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C24" i="3"/>
  <c r="D27" i="73"/>
  <c r="Q26" i="1"/>
  <c r="P26"/>
  <c r="D22" i="3"/>
  <c r="D23" s="1"/>
  <c r="E23"/>
  <c r="E22"/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G27"/>
  <c r="F27"/>
  <c r="G26"/>
  <c r="F26"/>
  <c r="G25"/>
  <c r="H25" s="1"/>
  <c r="F25"/>
  <c r="G24"/>
  <c r="F24"/>
  <c r="H24" s="1"/>
  <c r="G23"/>
  <c r="F23"/>
  <c r="G22"/>
  <c r="F22"/>
  <c r="G21"/>
  <c r="H21" s="1"/>
  <c r="F21"/>
  <c r="G20"/>
  <c r="F20"/>
  <c r="G19"/>
  <c r="H19" s="1"/>
  <c r="F19"/>
  <c r="G18"/>
  <c r="F18"/>
  <c r="G17"/>
  <c r="H17" s="1"/>
  <c r="F17"/>
  <c r="G16"/>
  <c r="F16"/>
  <c r="G15"/>
  <c r="H15" s="1"/>
  <c r="F15"/>
  <c r="G14"/>
  <c r="F14"/>
  <c r="G13"/>
  <c r="H13" s="1"/>
  <c r="F13"/>
  <c r="G12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S3"/>
  <c r="Q3"/>
  <c r="N3"/>
  <c r="M3"/>
  <c r="L3"/>
  <c r="K3"/>
  <c r="J26"/>
  <c r="J27" s="1"/>
  <c r="J28" s="1"/>
  <c r="J29" s="1"/>
  <c r="J30" s="1"/>
  <c r="J31" s="1"/>
  <c r="W26" s="1"/>
  <c r="I3"/>
  <c r="G3"/>
  <c r="E3"/>
  <c r="D3"/>
  <c r="C3"/>
  <c r="D25" i="3"/>
  <c r="D26" s="1"/>
  <c r="D27" s="1"/>
  <c r="D28" s="1"/>
  <c r="D29" s="1"/>
  <c r="D30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5" i="5"/>
  <c r="AV26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AT9"/>
  <c r="AT11" s="1"/>
  <c r="AT13" s="1"/>
  <c r="AT14" s="1"/>
  <c r="AT15" s="1"/>
  <c r="AT16" s="1"/>
  <c r="AT17" s="1"/>
  <c r="AT20" s="1"/>
  <c r="AT21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9" s="1"/>
  <c r="H20" s="1"/>
  <c r="H23" s="1"/>
  <c r="B27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5" s="1"/>
  <c r="Q27" s="1"/>
  <c r="Q28" s="1"/>
  <c r="Q29" s="1"/>
  <c r="Q30" s="1"/>
  <c r="Q31" s="1"/>
  <c r="Q32" s="1"/>
  <c r="P4"/>
  <c r="P6" s="1"/>
  <c r="P9" s="1"/>
  <c r="P12" s="1"/>
  <c r="P15" s="1"/>
  <c r="P18" s="1"/>
  <c r="P22" s="1"/>
  <c r="P25" s="1"/>
  <c r="P27" s="1"/>
  <c r="P28" s="1"/>
  <c r="P29" s="1"/>
  <c r="P30" s="1"/>
  <c r="P31" s="1"/>
  <c r="P32" s="1"/>
  <c r="O4"/>
  <c r="N4"/>
  <c r="M4"/>
  <c r="M5" s="1"/>
  <c r="M8" s="1"/>
  <c r="M11" s="1"/>
  <c r="M14" s="1"/>
  <c r="M17" s="1"/>
  <c r="M20" s="1"/>
  <c r="M21" s="1"/>
  <c r="L4"/>
  <c r="K4"/>
  <c r="K5" s="1"/>
  <c r="K8" s="1"/>
  <c r="K11" s="1"/>
  <c r="K14" s="1"/>
  <c r="K17" s="1"/>
  <c r="K20" s="1"/>
  <c r="K21" s="1"/>
  <c r="J4"/>
  <c r="I4"/>
  <c r="H4"/>
  <c r="G4"/>
  <c r="F4"/>
  <c r="F7" s="1"/>
  <c r="F10" s="1"/>
  <c r="F13" s="1"/>
  <c r="F19" s="1"/>
  <c r="F20" s="1"/>
  <c r="F23" s="1"/>
  <c r="E4"/>
  <c r="D4"/>
  <c r="C4"/>
  <c r="B4"/>
  <c r="AG2" i="2"/>
  <c r="AF2"/>
  <c r="AE2"/>
  <c r="AD2"/>
  <c r="AC2"/>
  <c r="AC10" s="1"/>
  <c r="AC11" s="1"/>
  <c r="AC12" s="1"/>
  <c r="AC13" s="1"/>
  <c r="AC14" s="1"/>
  <c r="AC15" s="1"/>
  <c r="AC16" s="1"/>
  <c r="AC17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6" s="1"/>
  <c r="W17" s="1"/>
  <c r="W18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O2"/>
  <c r="N2"/>
  <c r="M2"/>
  <c r="L2"/>
  <c r="K2"/>
  <c r="J2"/>
  <c r="I2"/>
  <c r="H2"/>
  <c r="G2"/>
  <c r="F2"/>
  <c r="E2"/>
  <c r="D2"/>
  <c r="C2"/>
  <c r="D24" i="73"/>
  <c r="AP24" i="5"/>
  <c r="AN24"/>
  <c r="AM24"/>
  <c r="K24"/>
  <c r="AJ23" i="1"/>
  <c r="A23"/>
  <c r="H27" i="74" l="1"/>
  <c r="H12"/>
  <c r="H20"/>
  <c r="H31"/>
  <c r="H28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6"/>
  <c r="H27" s="1"/>
  <c r="H28" s="1"/>
  <c r="H29" s="1"/>
  <c r="H30" s="1"/>
  <c r="H31" s="1"/>
  <c r="W27" s="1"/>
  <c r="G22"/>
  <c r="F26"/>
  <c r="F27" s="1"/>
  <c r="F28" s="1"/>
  <c r="F29" s="1"/>
  <c r="F30" s="1"/>
  <c r="F31" s="1"/>
  <c r="W28" s="1"/>
  <c r="C22"/>
  <c r="B26"/>
  <c r="B27" s="1"/>
  <c r="B28" s="1"/>
  <c r="B29" s="1"/>
  <c r="B30" s="1"/>
  <c r="B31" s="1"/>
  <c r="C21" i="3"/>
  <c r="B25"/>
  <c r="B26" s="1"/>
  <c r="B27" s="1"/>
  <c r="B28" s="1"/>
  <c r="B29" s="1"/>
  <c r="B30" s="1"/>
  <c r="BA24" i="5"/>
  <c r="AX28"/>
  <c r="AX29" s="1"/>
  <c r="AX30" s="1"/>
  <c r="AX31" s="1"/>
  <c r="AX32" s="1"/>
  <c r="AX33" s="1"/>
  <c r="AA24"/>
  <c r="Z25"/>
  <c r="Z27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8" s="1"/>
  <c r="G29" s="1"/>
  <c r="G30" s="1"/>
  <c r="G31" s="1"/>
  <c r="G32" s="1"/>
  <c r="G33" s="1"/>
  <c r="H24"/>
  <c r="N23" i="1"/>
  <c r="M24"/>
  <c r="M27" s="1"/>
  <c r="M28" s="1"/>
  <c r="M29" s="1"/>
  <c r="M30" s="1"/>
  <c r="M31" s="1"/>
  <c r="M32" s="1"/>
  <c r="L23"/>
  <c r="K24"/>
  <c r="K27" s="1"/>
  <c r="K28" s="1"/>
  <c r="K29" s="1"/>
  <c r="K30" s="1"/>
  <c r="K31" s="1"/>
  <c r="K32" s="1"/>
  <c r="I23"/>
  <c r="H26"/>
  <c r="H27" s="1"/>
  <c r="H28" s="1"/>
  <c r="H29" s="1"/>
  <c r="H30" s="1"/>
  <c r="H31" s="1"/>
  <c r="H32" s="1"/>
  <c r="G23"/>
  <c r="J23" s="1"/>
  <c r="F26"/>
  <c r="F27" s="1"/>
  <c r="F28" s="1"/>
  <c r="F29" s="1"/>
  <c r="F30" s="1"/>
  <c r="F31" s="1"/>
  <c r="F32" s="1"/>
  <c r="C27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5"/>
  <c r="P26" s="1"/>
  <c r="P27" s="1"/>
  <c r="P28" s="1"/>
  <c r="P29" s="1"/>
  <c r="P30" s="1"/>
  <c r="M21"/>
  <c r="L25"/>
  <c r="L26" s="1"/>
  <c r="L27" s="1"/>
  <c r="L28" s="1"/>
  <c r="L29" s="1"/>
  <c r="L30" s="1"/>
  <c r="J25"/>
  <c r="J26" s="1"/>
  <c r="J27" s="1"/>
  <c r="J28" s="1"/>
  <c r="J29" s="1"/>
  <c r="J30" s="1"/>
  <c r="K21"/>
  <c r="H25"/>
  <c r="H26" s="1"/>
  <c r="H27" s="1"/>
  <c r="H28" s="1"/>
  <c r="H29" s="1"/>
  <c r="H30" s="1"/>
  <c r="I21"/>
  <c r="F25"/>
  <c r="F26" s="1"/>
  <c r="F27" s="1"/>
  <c r="F28" s="1"/>
  <c r="F29" s="1"/>
  <c r="F30" s="1"/>
  <c r="G21"/>
  <c r="D25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BA27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Y26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AY32"/>
  <c r="BB32" s="1"/>
  <c r="BE32" s="1"/>
  <c r="J28" i="81"/>
  <c r="AX32" i="1"/>
  <c r="J29" i="81" s="1"/>
  <c r="BB33" i="5" l="1"/>
  <c r="BE33" s="1"/>
  <c r="BF33" s="1"/>
  <c r="BG33" s="1"/>
  <c r="G33" i="65" s="1"/>
  <c r="I28" i="63"/>
  <c r="BF32" i="5"/>
  <c r="BG32" s="1"/>
  <c r="G32" i="65" s="1"/>
  <c r="I29" i="63" l="1"/>
</calcChain>
</file>

<file path=xl/comments1.xml><?xml version="1.0" encoding="utf-8"?>
<comments xmlns="http://schemas.openxmlformats.org/spreadsheetml/2006/main">
  <authors>
    <author>amjad.abouhassan</author>
  </authors>
  <commentList>
    <comment ref="E22" authorId="0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filled manualy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<sst xmlns="http://schemas.openxmlformats.org/spreadsheetml/2006/main" count="646" uniqueCount="418">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</sst>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4705920"/>
        <c:axId val="114707456"/>
      </c:lineChart>
      <c:catAx>
        <c:axId val="11470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7456"/>
        <c:crosses val="autoZero"/>
        <c:auto val="1"/>
        <c:lblAlgn val="ctr"/>
        <c:lblOffset val="100"/>
      </c:catAx>
      <c:valAx>
        <c:axId val="114707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9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4723840"/>
        <c:axId val="114725632"/>
      </c:lineChart>
      <c:catAx>
        <c:axId val="11472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25632"/>
        <c:crosses val="autoZero"/>
        <c:auto val="1"/>
        <c:lblAlgn val="ctr"/>
        <c:lblOffset val="100"/>
      </c:catAx>
      <c:valAx>
        <c:axId val="114725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2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7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749824"/>
        <c:axId val="114751360"/>
      </c:lineChart>
      <c:catAx>
        <c:axId val="1147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51360"/>
        <c:crosses val="autoZero"/>
        <c:auto val="1"/>
        <c:lblAlgn val="ctr"/>
        <c:lblOffset val="100"/>
      </c:catAx>
      <c:valAx>
        <c:axId val="1147513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334"/>
          <c:y val="0.62975887529635965"/>
          <c:w val="7.9124755870162669E-2"/>
          <c:h val="4.49826989619499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466880"/>
        <c:axId val="145468416"/>
      </c:lineChart>
      <c:catAx>
        <c:axId val="14546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68416"/>
        <c:crosses val="autoZero"/>
        <c:auto val="1"/>
        <c:lblAlgn val="ctr"/>
        <c:lblOffset val="100"/>
      </c:catAx>
      <c:valAx>
        <c:axId val="145468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6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75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480320"/>
        <c:axId val="114962816"/>
      </c:lineChart>
      <c:catAx>
        <c:axId val="14548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62816"/>
        <c:crosses val="autoZero"/>
        <c:auto val="1"/>
        <c:lblAlgn val="ctr"/>
        <c:lblOffset val="100"/>
      </c:catAx>
      <c:valAx>
        <c:axId val="114962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8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6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192576"/>
        <c:axId val="115194112"/>
      </c:lineChart>
      <c:catAx>
        <c:axId val="11519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94112"/>
        <c:crosses val="autoZero"/>
        <c:auto val="1"/>
        <c:lblAlgn val="ctr"/>
        <c:lblOffset val="100"/>
      </c:catAx>
      <c:valAx>
        <c:axId val="11519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9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911104"/>
        <c:axId val="114912640"/>
      </c:lineChart>
      <c:catAx>
        <c:axId val="11491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12640"/>
        <c:crosses val="autoZero"/>
        <c:auto val="1"/>
        <c:lblAlgn val="ctr"/>
        <c:lblOffset val="100"/>
      </c:catAx>
      <c:valAx>
        <c:axId val="11491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1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928256"/>
        <c:axId val="114942336"/>
      </c:lineChart>
      <c:catAx>
        <c:axId val="11492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42336"/>
        <c:crosses val="autoZero"/>
        <c:auto val="1"/>
        <c:lblAlgn val="ctr"/>
        <c:lblOffset val="100"/>
      </c:catAx>
      <c:valAx>
        <c:axId val="11494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2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16.5</c:v>
                </c:pt>
                <c:pt idx="20">
                  <c:v>15.5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86016"/>
        <c:axId val="115287552"/>
      </c:lineChart>
      <c:catAx>
        <c:axId val="11528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87552"/>
        <c:crosses val="autoZero"/>
        <c:auto val="1"/>
        <c:lblAlgn val="ctr"/>
        <c:lblOffset val="100"/>
      </c:catAx>
      <c:valAx>
        <c:axId val="115287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8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039"/>
          <c:w val="0.127240331517738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324032"/>
        <c:axId val="115325568"/>
      </c:lineChart>
      <c:catAx>
        <c:axId val="11532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25568"/>
        <c:crosses val="autoZero"/>
        <c:auto val="1"/>
        <c:lblAlgn val="ctr"/>
        <c:lblOffset val="100"/>
      </c:catAx>
      <c:valAx>
        <c:axId val="11532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2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297</c:v>
                </c:pt>
                <c:pt idx="20">
                  <c:v>284</c:v>
                </c:pt>
                <c:pt idx="21">
                  <c:v>267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5374336"/>
        <c:axId val="115376128"/>
      </c:lineChart>
      <c:catAx>
        <c:axId val="11537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6128"/>
        <c:crosses val="autoZero"/>
        <c:auto val="1"/>
        <c:lblAlgn val="ctr"/>
        <c:lblOffset val="100"/>
      </c:catAx>
      <c:valAx>
        <c:axId val="11537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039"/>
          <c:w val="0.135416885389355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383680"/>
        <c:axId val="115225728"/>
      </c:lineChart>
      <c:catAx>
        <c:axId val="11538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25728"/>
        <c:crosses val="autoZero"/>
        <c:auto val="1"/>
        <c:lblAlgn val="ctr"/>
        <c:lblOffset val="100"/>
      </c:catAx>
      <c:valAx>
        <c:axId val="115225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8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03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5254400"/>
        <c:axId val="115255936"/>
      </c:lineChart>
      <c:catAx>
        <c:axId val="11525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55936"/>
        <c:crosses val="autoZero"/>
        <c:auto val="1"/>
        <c:lblAlgn val="ctr"/>
        <c:lblOffset val="100"/>
      </c:catAx>
      <c:valAx>
        <c:axId val="115255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5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9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5276032"/>
        <c:axId val="115408896"/>
      </c:lineChart>
      <c:catAx>
        <c:axId val="1152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08896"/>
        <c:crosses val="autoZero"/>
        <c:auto val="1"/>
        <c:lblAlgn val="ctr"/>
        <c:lblOffset val="100"/>
      </c:catAx>
      <c:valAx>
        <c:axId val="11540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039"/>
          <c:w val="0.135416885389355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416448"/>
        <c:axId val="115446912"/>
      </c:lineChart>
      <c:catAx>
        <c:axId val="11541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46912"/>
        <c:crosses val="autoZero"/>
        <c:auto val="1"/>
        <c:lblAlgn val="ctr"/>
        <c:lblOffset val="100"/>
      </c:catAx>
      <c:valAx>
        <c:axId val="115446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1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368"/>
          <c:y val="0.54325368498487869"/>
          <c:w val="0.11458355205599259"/>
          <c:h val="4.49826989619495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-1840.0645161290304</c:v>
                </c:pt>
                <c:pt idx="19">
                  <c:v>-1840.0645161290013</c:v>
                </c:pt>
                <c:pt idx="20">
                  <c:v>-1226.7096774193633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475200"/>
        <c:axId val="115476736"/>
      </c:lineChart>
      <c:catAx>
        <c:axId val="11547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6736"/>
        <c:crosses val="autoZero"/>
        <c:auto val="1"/>
        <c:lblAlgn val="ctr"/>
        <c:lblOffset val="100"/>
      </c:catAx>
      <c:valAx>
        <c:axId val="115476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31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501312"/>
        <c:axId val="115535872"/>
      </c:lineChart>
      <c:catAx>
        <c:axId val="1155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35872"/>
        <c:crosses val="autoZero"/>
        <c:auto val="1"/>
        <c:lblAlgn val="ctr"/>
        <c:lblOffset val="100"/>
      </c:catAx>
      <c:valAx>
        <c:axId val="11553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98"/>
          <c:h val="4.49826989619499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608960"/>
        <c:axId val="115614848"/>
      </c:lineChart>
      <c:catAx>
        <c:axId val="11560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14848"/>
        <c:crosses val="autoZero"/>
        <c:auto val="1"/>
        <c:lblAlgn val="ctr"/>
        <c:lblOffset val="100"/>
      </c:catAx>
      <c:valAx>
        <c:axId val="1156148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0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9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5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659520"/>
        <c:axId val="115661056"/>
      </c:lineChart>
      <c:catAx>
        <c:axId val="11565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61056"/>
        <c:crosses val="autoZero"/>
        <c:auto val="1"/>
        <c:lblAlgn val="ctr"/>
        <c:lblOffset val="100"/>
      </c:catAx>
      <c:valAx>
        <c:axId val="115661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5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9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558272"/>
        <c:axId val="115559808"/>
      </c:lineChart>
      <c:catAx>
        <c:axId val="11555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9808"/>
        <c:crosses val="autoZero"/>
        <c:auto val="1"/>
        <c:lblAlgn val="ctr"/>
        <c:lblOffset val="100"/>
      </c:catAx>
      <c:valAx>
        <c:axId val="11555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642"/>
          <c:y val="0.62975887529635965"/>
          <c:w val="0.13250539334757044"/>
          <c:h val="4.49826989619499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592192"/>
        <c:axId val="115671808"/>
      </c:lineChart>
      <c:catAx>
        <c:axId val="11559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71808"/>
        <c:crosses val="autoZero"/>
        <c:auto val="1"/>
        <c:lblAlgn val="ctr"/>
        <c:lblOffset val="100"/>
      </c:catAx>
      <c:valAx>
        <c:axId val="11567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9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03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700096"/>
        <c:axId val="115701632"/>
      </c:lineChart>
      <c:catAx>
        <c:axId val="1157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1632"/>
        <c:crosses val="autoZero"/>
        <c:auto val="1"/>
        <c:lblAlgn val="ctr"/>
        <c:lblOffset val="100"/>
      </c:catAx>
      <c:valAx>
        <c:axId val="11570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753"/>
          <c:w val="0.1234311819809308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5730688"/>
        <c:axId val="115802112"/>
      </c:lineChart>
      <c:catAx>
        <c:axId val="115730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02112"/>
        <c:crosses val="autoZero"/>
        <c:auto val="1"/>
        <c:lblAlgn val="ctr"/>
        <c:lblOffset val="100"/>
      </c:catAx>
      <c:valAx>
        <c:axId val="1158021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3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793"/>
          <c:w val="0.1569039853282198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809280"/>
        <c:axId val="115852032"/>
      </c:lineChart>
      <c:catAx>
        <c:axId val="11580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52032"/>
        <c:crosses val="autoZero"/>
        <c:auto val="1"/>
        <c:lblAlgn val="ctr"/>
        <c:lblOffset val="100"/>
      </c:catAx>
      <c:valAx>
        <c:axId val="115852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0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47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6077312"/>
        <c:axId val="116078848"/>
      </c:lineChart>
      <c:catAx>
        <c:axId val="11607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8848"/>
        <c:crosses val="autoZero"/>
        <c:auto val="1"/>
        <c:lblAlgn val="ctr"/>
        <c:lblOffset val="100"/>
      </c:catAx>
      <c:valAx>
        <c:axId val="11607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092"/>
          <c:y val="0.62975887529635965"/>
          <c:w val="0.12164948453608219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6443008"/>
        <c:axId val="116444544"/>
      </c:lineChart>
      <c:catAx>
        <c:axId val="11644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44544"/>
        <c:crosses val="autoZero"/>
        <c:auto val="1"/>
        <c:lblAlgn val="ctr"/>
        <c:lblOffset val="100"/>
      </c:catAx>
      <c:valAx>
        <c:axId val="116444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4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6542848"/>
        <c:axId val="116581504"/>
      </c:lineChart>
      <c:catAx>
        <c:axId val="11654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81504"/>
        <c:crosses val="autoZero"/>
        <c:auto val="1"/>
        <c:lblAlgn val="ctr"/>
        <c:lblOffset val="100"/>
      </c:catAx>
      <c:valAx>
        <c:axId val="11658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4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02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7024640"/>
        <c:axId val="117026176"/>
      </c:lineChart>
      <c:catAx>
        <c:axId val="1170246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26176"/>
        <c:crosses val="autoZero"/>
        <c:auto val="1"/>
        <c:lblAlgn val="ctr"/>
        <c:lblOffset val="100"/>
      </c:catAx>
      <c:valAx>
        <c:axId val="117026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2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7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0.11448466919593328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0.1030817458608265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0.11140006360056676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0.11876955906295553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1.892317088221292E-2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0.10187980226509599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0.12221675984905381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9.9771409209776077E-2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0.10968979554880832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0.14570439321642129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0.12413251174407139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0.11615283633151841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0.13734865897778972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0.13435362987026178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0.10821613305926557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-2.2563310347473694E-3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0.14635614712088338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7192</v>
      </c>
      <c r="F19" s="330">
        <f>SUM('EDl log'!T21)</f>
        <v>0.11819151689019733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7667</v>
      </c>
      <c r="F20" s="330">
        <f>SUM('EDl log'!T22)</f>
        <v>0.13262881962534978</v>
      </c>
      <c r="G20" s="203">
        <f>-tanks!AW24</f>
        <v>297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6433</v>
      </c>
      <c r="F21" s="330">
        <f>SUM('EDl log'!T23)</f>
        <v>0.16310604872954476</v>
      </c>
      <c r="G21" s="203">
        <f>-tanks!AW25</f>
        <v>284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6161</v>
      </c>
      <c r="F22" s="330">
        <f>SUM('EDl log'!T24)</f>
        <v>0.12112553544167276</v>
      </c>
      <c r="G22" s="203">
        <f>-tanks!AW26</f>
        <v>267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0.68899999999999995</v>
      </c>
      <c r="I23" s="10">
        <f>('B5'!AU26)*0.51</f>
        <v>0</v>
      </c>
      <c r="J23" s="309">
        <f>'B5'!AX26/0.51</f>
        <v>1.5686274509803921</v>
      </c>
      <c r="K23" s="203">
        <f>WATER!I27</f>
        <v>125</v>
      </c>
      <c r="L23" s="331">
        <f>SUM(WATER!J27)</f>
        <v>2.1428571428571428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0.68899999999999995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0.68899999999999995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0.68899999999999995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0.68899999999999995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0.68899999999999995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0.68899999999999995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2222</v>
      </c>
      <c r="F20" s="203">
        <f>ELEC!K21</f>
        <v>1244</v>
      </c>
      <c r="G20" s="203">
        <f>ELEC!I21</f>
        <v>928</v>
      </c>
      <c r="H20" s="203">
        <f>ELEC!E21</f>
        <v>2654</v>
      </c>
      <c r="I20" s="203">
        <f>ELEC!G21</f>
        <v>619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2132</v>
      </c>
      <c r="F21" s="203">
        <f>ELEC!K22</f>
        <v>1147</v>
      </c>
      <c r="G21" s="203">
        <f>ELEC!I22</f>
        <v>920</v>
      </c>
      <c r="H21" s="203">
        <f>ELEC!E22</f>
        <v>1678</v>
      </c>
      <c r="I21" s="203">
        <f>ELEC!G22</f>
        <v>556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1840</v>
      </c>
      <c r="F22" s="203">
        <f>ELEC!K23</f>
        <v>1525</v>
      </c>
      <c r="G22" s="203">
        <f>ELEC!I23</f>
        <v>830</v>
      </c>
      <c r="H22" s="203">
        <f>ELEC!E23</f>
        <v>1402</v>
      </c>
      <c r="I22" s="203">
        <f>ELEC!G23</f>
        <v>564</v>
      </c>
      <c r="J22" s="203">
        <f>WATER!Y26</f>
        <v>0</v>
      </c>
      <c r="K22" s="203">
        <f>WATER!AJ26</f>
        <v>9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U1" zoomScale="85" zoomScaleNormal="85" zoomScaleSheetLayoutView="100" workbookViewId="0">
      <pane ySplit="1" topLeftCell="A2" activePane="bottomLeft" state="frozen"/>
      <selection activeCell="C1" sqref="C1"/>
      <selection pane="bottomLeft" activeCell="AK24" sqref="AK24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4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5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5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5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5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5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5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v>32622554</v>
      </c>
      <c r="E21" s="311">
        <f t="shared" si="10"/>
        <v>2654</v>
      </c>
      <c r="F21" s="445">
        <v>3965778</v>
      </c>
      <c r="G21" s="312">
        <f t="shared" si="0"/>
        <v>619</v>
      </c>
      <c r="H21" s="445">
        <v>17795674</v>
      </c>
      <c r="I21" s="312">
        <f t="shared" si="11"/>
        <v>928</v>
      </c>
      <c r="J21" s="445">
        <v>28902418</v>
      </c>
      <c r="K21" s="312">
        <f t="shared" si="12"/>
        <v>1244</v>
      </c>
      <c r="L21" s="445">
        <v>24033546</v>
      </c>
      <c r="M21" s="312">
        <f t="shared" si="13"/>
        <v>2222</v>
      </c>
      <c r="N21" s="310">
        <f t="shared" si="14"/>
        <v>7667</v>
      </c>
      <c r="O21" s="467">
        <f t="shared" si="21"/>
        <v>0</v>
      </c>
      <c r="P21" s="605">
        <v>16634.52</v>
      </c>
      <c r="Q21" s="449">
        <f t="shared" si="24"/>
        <v>4754.0000000008149</v>
      </c>
      <c r="R21" s="449">
        <f t="shared" si="25"/>
        <v>2912.9999999991851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v>32201</v>
      </c>
      <c r="X21" s="449">
        <f t="shared" si="20"/>
        <v>1</v>
      </c>
      <c r="Y21" s="445">
        <v>701785</v>
      </c>
      <c r="Z21" s="449">
        <f t="shared" si="19"/>
        <v>97</v>
      </c>
      <c r="AA21" s="445">
        <v>35697</v>
      </c>
      <c r="AB21" s="449">
        <f t="shared" si="16"/>
        <v>3</v>
      </c>
      <c r="AC21" s="445">
        <v>916656</v>
      </c>
      <c r="AD21" s="449">
        <f t="shared" si="26"/>
        <v>559</v>
      </c>
      <c r="AE21" s="472">
        <f t="shared" si="8"/>
        <v>4</v>
      </c>
      <c r="AF21" s="473">
        <f t="shared" si="9"/>
        <v>656</v>
      </c>
      <c r="AG21" s="465">
        <f t="shared" si="22"/>
        <v>164</v>
      </c>
      <c r="AI21" s="466">
        <f>R21-'EDl log'!B19</f>
        <v>-883572.00000000081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v>32624232</v>
      </c>
      <c r="E22" s="311">
        <f t="shared" si="10"/>
        <v>1678</v>
      </c>
      <c r="F22" s="445">
        <v>3966334</v>
      </c>
      <c r="G22" s="312">
        <f t="shared" si="0"/>
        <v>556</v>
      </c>
      <c r="H22" s="445">
        <v>17796594</v>
      </c>
      <c r="I22" s="312">
        <f t="shared" si="11"/>
        <v>920</v>
      </c>
      <c r="J22" s="445">
        <v>28903565</v>
      </c>
      <c r="K22" s="312">
        <f t="shared" si="12"/>
        <v>1147</v>
      </c>
      <c r="L22" s="445">
        <v>24035678</v>
      </c>
      <c r="M22" s="312">
        <f t="shared" si="13"/>
        <v>2132</v>
      </c>
      <c r="N22" s="310">
        <f t="shared" si="14"/>
        <v>6433</v>
      </c>
      <c r="O22" s="467">
        <f t="shared" si="21"/>
        <v>0</v>
      </c>
      <c r="P22" s="605">
        <v>16637.68</v>
      </c>
      <c r="Q22" s="449">
        <f t="shared" si="24"/>
        <v>3159.9999999998545</v>
      </c>
      <c r="R22" s="449">
        <f t="shared" si="25"/>
        <v>3273.0000000001455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v>32204</v>
      </c>
      <c r="X22" s="449">
        <f t="shared" si="20"/>
        <v>3</v>
      </c>
      <c r="Y22" s="445">
        <v>702210</v>
      </c>
      <c r="Z22" s="449">
        <f t="shared" si="19"/>
        <v>425</v>
      </c>
      <c r="AA22" s="445">
        <f t="shared" si="7"/>
        <v>35697</v>
      </c>
      <c r="AB22" s="449">
        <f t="shared" si="16"/>
        <v>0</v>
      </c>
      <c r="AC22" s="445">
        <f t="shared" si="7"/>
        <v>916656</v>
      </c>
      <c r="AD22" s="449">
        <f t="shared" si="26"/>
        <v>0</v>
      </c>
      <c r="AE22" s="472">
        <f t="shared" si="8"/>
        <v>3</v>
      </c>
      <c r="AF22" s="473">
        <f t="shared" si="9"/>
        <v>425</v>
      </c>
      <c r="AG22" s="465">
        <f t="shared" si="22"/>
        <v>141.66666666666666</v>
      </c>
      <c r="AI22" s="466">
        <f>R22-'EDl log'!B20</f>
        <v>-884797.99999999988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v>32625634</v>
      </c>
      <c r="E23" s="311">
        <f t="shared" si="10"/>
        <v>1402</v>
      </c>
      <c r="F23" s="445">
        <v>3966898</v>
      </c>
      <c r="G23" s="312">
        <f t="shared" si="0"/>
        <v>564</v>
      </c>
      <c r="H23" s="445">
        <v>17797424</v>
      </c>
      <c r="I23" s="438">
        <f t="shared" si="11"/>
        <v>830</v>
      </c>
      <c r="J23" s="445">
        <v>28905090</v>
      </c>
      <c r="K23" s="312">
        <f t="shared" si="12"/>
        <v>1525</v>
      </c>
      <c r="L23" s="445">
        <v>24037518</v>
      </c>
      <c r="M23" s="312">
        <f t="shared" si="13"/>
        <v>1840</v>
      </c>
      <c r="N23" s="310">
        <f t="shared" si="14"/>
        <v>6161</v>
      </c>
      <c r="O23" s="467">
        <f t="shared" si="21"/>
        <v>0</v>
      </c>
      <c r="P23" s="605">
        <v>16640.482</v>
      </c>
      <c r="Q23" s="449">
        <f t="shared" si="24"/>
        <v>2801.9999999996799</v>
      </c>
      <c r="R23" s="449">
        <f t="shared" si="25"/>
        <v>3359.0000000003201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v>32206</v>
      </c>
      <c r="X23" s="449">
        <f t="shared" si="20"/>
        <v>2</v>
      </c>
      <c r="Y23" s="445">
        <v>702517</v>
      </c>
      <c r="Z23" s="449">
        <f t="shared" si="19"/>
        <v>307</v>
      </c>
      <c r="AA23" s="445">
        <f t="shared" si="7"/>
        <v>35697</v>
      </c>
      <c r="AB23" s="449">
        <f t="shared" si="16"/>
        <v>0</v>
      </c>
      <c r="AC23" s="445">
        <f t="shared" si="7"/>
        <v>916656</v>
      </c>
      <c r="AD23" s="449">
        <f t="shared" si="26"/>
        <v>0</v>
      </c>
      <c r="AE23" s="472">
        <f t="shared" si="8"/>
        <v>2</v>
      </c>
      <c r="AF23" s="473">
        <f t="shared" si="9"/>
        <v>307</v>
      </c>
      <c r="AG23" s="465">
        <f t="shared" si="22"/>
        <v>153.5</v>
      </c>
      <c r="AI23" s="466">
        <f>R23-'EDl log'!B21</f>
        <v>-886311.99999999965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v>32625634</v>
      </c>
      <c r="E24" s="311">
        <f t="shared" si="10"/>
        <v>0</v>
      </c>
      <c r="F24" s="445">
        <v>3966898</v>
      </c>
      <c r="G24" s="312">
        <f t="shared" si="0"/>
        <v>0</v>
      </c>
      <c r="H24" s="445">
        <v>17797424</v>
      </c>
      <c r="I24" s="312">
        <f t="shared" si="11"/>
        <v>0</v>
      </c>
      <c r="J24" s="445">
        <v>28905090</v>
      </c>
      <c r="K24" s="312">
        <f t="shared" si="12"/>
        <v>0</v>
      </c>
      <c r="L24" s="445">
        <v>24037518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605">
        <v>16640.482</v>
      </c>
      <c r="Q24" s="449">
        <f t="shared" si="24"/>
        <v>0</v>
      </c>
      <c r="R24" s="449">
        <f t="shared" si="25"/>
        <v>0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v>32206</v>
      </c>
      <c r="X24" s="449">
        <f t="shared" si="20"/>
        <v>0</v>
      </c>
      <c r="Y24" s="445">
        <v>702517</v>
      </c>
      <c r="Z24" s="449">
        <f t="shared" si="19"/>
        <v>0</v>
      </c>
      <c r="AA24" s="445">
        <f t="shared" si="7"/>
        <v>35697</v>
      </c>
      <c r="AB24" s="449">
        <f t="shared" si="16"/>
        <v>0</v>
      </c>
      <c r="AC24" s="445">
        <f t="shared" si="7"/>
        <v>916656</v>
      </c>
      <c r="AD24" s="449">
        <f t="shared" si="26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-891280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ref="D25:L30" si="27">D24</f>
        <v>32625634</v>
      </c>
      <c r="E25" s="311">
        <f t="shared" si="10"/>
        <v>0</v>
      </c>
      <c r="F25" s="445">
        <f t="shared" si="27"/>
        <v>3966898</v>
      </c>
      <c r="G25" s="312">
        <f t="shared" si="0"/>
        <v>0</v>
      </c>
      <c r="H25" s="445">
        <f t="shared" si="27"/>
        <v>17797424</v>
      </c>
      <c r="I25" s="312">
        <f t="shared" si="11"/>
        <v>0</v>
      </c>
      <c r="J25" s="445">
        <f t="shared" si="27"/>
        <v>28905090</v>
      </c>
      <c r="K25" s="312">
        <f t="shared" si="12"/>
        <v>0</v>
      </c>
      <c r="L25" s="445">
        <f t="shared" si="27"/>
        <v>24037518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605">
        <f t="shared" ref="P25:P30" si="28">P24</f>
        <v>16640.482</v>
      </c>
      <c r="Q25" s="449">
        <f t="shared" si="24"/>
        <v>0</v>
      </c>
      <c r="R25" s="449">
        <f t="shared" si="25"/>
        <v>0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f t="shared" si="7"/>
        <v>32206</v>
      </c>
      <c r="X25" s="449">
        <f t="shared" si="20"/>
        <v>0</v>
      </c>
      <c r="Y25" s="445">
        <f t="shared" si="7"/>
        <v>702517</v>
      </c>
      <c r="Z25" s="449">
        <f t="shared" si="19"/>
        <v>0</v>
      </c>
      <c r="AA25" s="445">
        <f t="shared" si="7"/>
        <v>35697</v>
      </c>
      <c r="AB25" s="449">
        <f t="shared" si="16"/>
        <v>0</v>
      </c>
      <c r="AC25" s="445">
        <f t="shared" si="7"/>
        <v>916656</v>
      </c>
      <c r="AD25" s="449">
        <f t="shared" si="26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-893238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7"/>
        <v>32625634</v>
      </c>
      <c r="E26" s="311">
        <f t="shared" si="10"/>
        <v>0</v>
      </c>
      <c r="F26" s="445">
        <f t="shared" si="27"/>
        <v>3966898</v>
      </c>
      <c r="G26" s="312">
        <f t="shared" si="0"/>
        <v>0</v>
      </c>
      <c r="H26" s="445">
        <f t="shared" si="27"/>
        <v>17797424</v>
      </c>
      <c r="I26" s="312">
        <f t="shared" si="11"/>
        <v>0</v>
      </c>
      <c r="J26" s="445">
        <f t="shared" si="27"/>
        <v>28905090</v>
      </c>
      <c r="K26" s="312">
        <f t="shared" si="12"/>
        <v>0</v>
      </c>
      <c r="L26" s="445">
        <f t="shared" si="27"/>
        <v>24037518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605">
        <f t="shared" si="28"/>
        <v>16640.482</v>
      </c>
      <c r="Q26" s="449">
        <f t="shared" si="24"/>
        <v>0</v>
      </c>
      <c r="R26" s="449">
        <f t="shared" si="25"/>
        <v>0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f t="shared" si="7"/>
        <v>32206</v>
      </c>
      <c r="X26" s="449">
        <f t="shared" si="20"/>
        <v>0</v>
      </c>
      <c r="Y26" s="445">
        <f t="shared" si="7"/>
        <v>702517</v>
      </c>
      <c r="Z26" s="449">
        <f t="shared" si="19"/>
        <v>0</v>
      </c>
      <c r="AA26" s="445">
        <f t="shared" si="7"/>
        <v>35697</v>
      </c>
      <c r="AB26" s="449">
        <f t="shared" si="16"/>
        <v>0</v>
      </c>
      <c r="AC26" s="445">
        <f t="shared" si="7"/>
        <v>916656</v>
      </c>
      <c r="AD26" s="449">
        <f t="shared" si="26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-894909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7"/>
        <v>32625634</v>
      </c>
      <c r="E27" s="311">
        <f t="shared" si="10"/>
        <v>0</v>
      </c>
      <c r="F27" s="445">
        <f t="shared" si="27"/>
        <v>3966898</v>
      </c>
      <c r="G27" s="312">
        <f>F27-F26</f>
        <v>0</v>
      </c>
      <c r="H27" s="445">
        <f t="shared" si="27"/>
        <v>17797424</v>
      </c>
      <c r="I27" s="312">
        <f t="shared" si="11"/>
        <v>0</v>
      </c>
      <c r="J27" s="445">
        <f t="shared" si="27"/>
        <v>28905090</v>
      </c>
      <c r="K27" s="312">
        <f t="shared" si="12"/>
        <v>0</v>
      </c>
      <c r="L27" s="445">
        <f t="shared" si="27"/>
        <v>24037518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605">
        <f t="shared" si="28"/>
        <v>16640.482</v>
      </c>
      <c r="Q27" s="449">
        <f t="shared" si="24"/>
        <v>0</v>
      </c>
      <c r="R27" s="449">
        <f t="shared" si="25"/>
        <v>0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f t="shared" si="7"/>
        <v>32206</v>
      </c>
      <c r="X27" s="449">
        <f t="shared" si="20"/>
        <v>0</v>
      </c>
      <c r="Y27" s="445">
        <f t="shared" si="7"/>
        <v>702517</v>
      </c>
      <c r="Z27" s="449">
        <f t="shared" si="19"/>
        <v>0</v>
      </c>
      <c r="AA27" s="445">
        <f t="shared" si="7"/>
        <v>35697</v>
      </c>
      <c r="AB27" s="449">
        <f t="shared" si="16"/>
        <v>0</v>
      </c>
      <c r="AC27" s="445">
        <f t="shared" si="7"/>
        <v>916656</v>
      </c>
      <c r="AD27" s="449">
        <f t="shared" si="26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-894909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7"/>
        <v>32625634</v>
      </c>
      <c r="E28" s="311">
        <f t="shared" si="10"/>
        <v>0</v>
      </c>
      <c r="F28" s="445">
        <f t="shared" si="27"/>
        <v>3966898</v>
      </c>
      <c r="G28" s="312">
        <f t="shared" si="0"/>
        <v>0</v>
      </c>
      <c r="H28" s="445">
        <f t="shared" si="27"/>
        <v>17797424</v>
      </c>
      <c r="I28" s="312">
        <f t="shared" si="11"/>
        <v>0</v>
      </c>
      <c r="J28" s="445">
        <f t="shared" si="27"/>
        <v>28905090</v>
      </c>
      <c r="K28" s="312">
        <f t="shared" si="12"/>
        <v>0</v>
      </c>
      <c r="L28" s="445">
        <f t="shared" si="27"/>
        <v>24037518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605">
        <f t="shared" si="28"/>
        <v>16640.482</v>
      </c>
      <c r="Q28" s="449">
        <f t="shared" si="24"/>
        <v>0</v>
      </c>
      <c r="R28" s="449">
        <f t="shared" si="25"/>
        <v>0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f t="shared" si="7"/>
        <v>32206</v>
      </c>
      <c r="X28" s="449">
        <f t="shared" si="20"/>
        <v>0</v>
      </c>
      <c r="Y28" s="445">
        <f t="shared" si="7"/>
        <v>702517</v>
      </c>
      <c r="Z28" s="449">
        <f t="shared" si="19"/>
        <v>0</v>
      </c>
      <c r="AA28" s="445">
        <f t="shared" si="7"/>
        <v>35697</v>
      </c>
      <c r="AB28" s="449">
        <f t="shared" si="16"/>
        <v>0</v>
      </c>
      <c r="AC28" s="445">
        <f t="shared" si="7"/>
        <v>916656</v>
      </c>
      <c r="AD28" s="449">
        <f t="shared" si="26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-894909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7"/>
        <v>32625634</v>
      </c>
      <c r="E29" s="311">
        <f t="shared" si="10"/>
        <v>0</v>
      </c>
      <c r="F29" s="445">
        <f t="shared" si="27"/>
        <v>3966898</v>
      </c>
      <c r="G29" s="312">
        <f t="shared" si="0"/>
        <v>0</v>
      </c>
      <c r="H29" s="445">
        <f t="shared" si="27"/>
        <v>17797424</v>
      </c>
      <c r="I29" s="312">
        <f t="shared" si="11"/>
        <v>0</v>
      </c>
      <c r="J29" s="445">
        <f t="shared" si="27"/>
        <v>28905090</v>
      </c>
      <c r="K29" s="312">
        <f t="shared" si="12"/>
        <v>0</v>
      </c>
      <c r="L29" s="445">
        <f t="shared" si="27"/>
        <v>24037518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605">
        <f t="shared" si="28"/>
        <v>16640.482</v>
      </c>
      <c r="Q29" s="449">
        <f t="shared" si="24"/>
        <v>0</v>
      </c>
      <c r="R29" s="449">
        <f t="shared" si="25"/>
        <v>0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f t="shared" si="7"/>
        <v>32206</v>
      </c>
      <c r="X29" s="449">
        <f t="shared" si="20"/>
        <v>0</v>
      </c>
      <c r="Y29" s="445">
        <f t="shared" si="7"/>
        <v>702517</v>
      </c>
      <c r="Z29" s="449">
        <f t="shared" si="19"/>
        <v>0</v>
      </c>
      <c r="AA29" s="445">
        <f t="shared" si="7"/>
        <v>35697</v>
      </c>
      <c r="AB29" s="449">
        <f t="shared" si="16"/>
        <v>0</v>
      </c>
      <c r="AC29" s="445">
        <f t="shared" si="7"/>
        <v>916656</v>
      </c>
      <c r="AD29" s="449">
        <f t="shared" si="26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-894909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7"/>
        <v>32625634</v>
      </c>
      <c r="E30" s="311">
        <f t="shared" si="10"/>
        <v>0</v>
      </c>
      <c r="F30" s="445">
        <f t="shared" si="27"/>
        <v>3966898</v>
      </c>
      <c r="G30" s="312">
        <f t="shared" si="0"/>
        <v>0</v>
      </c>
      <c r="H30" s="445">
        <f t="shared" si="27"/>
        <v>17797424</v>
      </c>
      <c r="I30" s="312">
        <f t="shared" si="11"/>
        <v>0</v>
      </c>
      <c r="J30" s="445">
        <f t="shared" si="27"/>
        <v>28905090</v>
      </c>
      <c r="K30" s="312">
        <f t="shared" si="12"/>
        <v>0</v>
      </c>
      <c r="L30" s="445">
        <f t="shared" si="27"/>
        <v>24037518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605">
        <f t="shared" si="28"/>
        <v>16640.482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32206</v>
      </c>
      <c r="X30" s="470">
        <f t="shared" si="20"/>
        <v>0</v>
      </c>
      <c r="Y30" s="445">
        <f t="shared" si="7"/>
        <v>702517</v>
      </c>
      <c r="Z30" s="449">
        <f t="shared" si="19"/>
        <v>0</v>
      </c>
      <c r="AA30" s="445">
        <f t="shared" si="7"/>
        <v>35697</v>
      </c>
      <c r="AB30" s="449">
        <f t="shared" si="16"/>
        <v>0</v>
      </c>
      <c r="AC30" s="445">
        <f t="shared" si="7"/>
        <v>916656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-894909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AA1" zoomScale="90" zoomScaleNormal="90" workbookViewId="0">
      <pane ySplit="1" topLeftCell="A8" activePane="bottomLeft" state="frozen"/>
      <selection activeCell="K1" sqref="K1"/>
      <selection pane="bottomLeft" activeCell="AP26" sqref="AP26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4" t="s">
        <v>2</v>
      </c>
      <c r="G1" s="615"/>
      <c r="H1" s="615"/>
      <c r="I1" s="616"/>
      <c r="J1" s="282">
        <f>J33</f>
        <v>70.821428571428569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v>230</v>
      </c>
      <c r="C21" s="589">
        <v>237</v>
      </c>
      <c r="D21" s="45">
        <f t="shared" ref="D21:D31" si="86">C20-C21</f>
        <v>6</v>
      </c>
      <c r="E21" s="45">
        <f t="shared" si="8"/>
        <v>50.28</v>
      </c>
      <c r="F21" s="589">
        <v>1736</v>
      </c>
      <c r="G21" s="52">
        <f t="shared" si="0"/>
        <v>2</v>
      </c>
      <c r="H21" s="589">
        <v>5528</v>
      </c>
      <c r="I21" s="396">
        <f t="shared" si="1"/>
        <v>183</v>
      </c>
      <c r="J21" s="66">
        <f t="shared" si="9"/>
        <v>91.5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v>1988</v>
      </c>
      <c r="Q21" s="589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7">AC20</f>
        <v>1934</v>
      </c>
      <c r="AD21" s="45">
        <f t="shared" si="6"/>
        <v>0</v>
      </c>
      <c r="AE21" s="589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9">
        <f t="shared" ref="AN21:AP21" si="88">AN20</f>
        <v>67</v>
      </c>
      <c r="AO21" s="320">
        <f t="shared" si="24"/>
        <v>2010.0000000000002</v>
      </c>
      <c r="AP21" s="589">
        <f t="shared" si="88"/>
        <v>55</v>
      </c>
      <c r="AQ21" s="320">
        <f t="shared" si="25"/>
        <v>1650.0000000000002</v>
      </c>
      <c r="AR21" s="589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v>225</v>
      </c>
      <c r="C22" s="589">
        <v>231</v>
      </c>
      <c r="D22" s="45">
        <f t="shared" si="86"/>
        <v>6</v>
      </c>
      <c r="E22" s="45">
        <f t="shared" si="8"/>
        <v>50.28</v>
      </c>
      <c r="F22" s="589">
        <v>1738</v>
      </c>
      <c r="G22" s="52">
        <f t="shared" si="0"/>
        <v>2</v>
      </c>
      <c r="H22" s="589">
        <v>5669</v>
      </c>
      <c r="I22" s="396">
        <f t="shared" si="1"/>
        <v>141</v>
      </c>
      <c r="J22" s="66">
        <f t="shared" si="9"/>
        <v>70.5</v>
      </c>
      <c r="K22" s="589">
        <v>2236</v>
      </c>
      <c r="L22" s="52">
        <f t="shared" si="10"/>
        <v>3</v>
      </c>
      <c r="M22" s="589">
        <v>164402</v>
      </c>
      <c r="N22" s="396">
        <f t="shared" si="2"/>
        <v>179</v>
      </c>
      <c r="O22" s="64">
        <f t="shared" si="11"/>
        <v>1869</v>
      </c>
      <c r="P22" s="589">
        <f t="shared" si="11"/>
        <v>1988</v>
      </c>
      <c r="Q22" s="589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9">
        <v>2455</v>
      </c>
      <c r="Y22" s="52">
        <f t="shared" si="17"/>
        <v>1</v>
      </c>
      <c r="Z22" s="589">
        <v>138089</v>
      </c>
      <c r="AA22" s="65">
        <f t="shared" si="5"/>
        <v>60.899999999994179</v>
      </c>
      <c r="AB22" s="284">
        <f t="shared" si="76"/>
        <v>0</v>
      </c>
      <c r="AC22" s="589">
        <f t="shared" ref="AC22:AE22" si="91">AC21</f>
        <v>1934</v>
      </c>
      <c r="AD22" s="45">
        <f t="shared" si="6"/>
        <v>0</v>
      </c>
      <c r="AE22" s="589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9">
        <f t="shared" ref="AN22:AP22" si="92">AN21</f>
        <v>67</v>
      </c>
      <c r="AO22" s="320">
        <f t="shared" si="24"/>
        <v>2010.0000000000002</v>
      </c>
      <c r="AP22" s="589">
        <f t="shared" si="92"/>
        <v>55</v>
      </c>
      <c r="AQ22" s="320">
        <f t="shared" si="25"/>
        <v>1650.0000000000002</v>
      </c>
      <c r="AR22" s="589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v>219</v>
      </c>
      <c r="C23" s="589">
        <v>225</v>
      </c>
      <c r="D23" s="45">
        <f t="shared" si="86"/>
        <v>6</v>
      </c>
      <c r="E23" s="45">
        <f t="shared" si="8"/>
        <v>50.28</v>
      </c>
      <c r="F23" s="589">
        <f t="shared" si="29"/>
        <v>1738</v>
      </c>
      <c r="G23" s="52">
        <f t="shared" si="0"/>
        <v>0</v>
      </c>
      <c r="H23" s="589">
        <f t="shared" si="29"/>
        <v>5669</v>
      </c>
      <c r="I23" s="396">
        <f t="shared" si="1"/>
        <v>0</v>
      </c>
      <c r="J23" s="66">
        <f t="shared" si="9"/>
        <v>0</v>
      </c>
      <c r="K23" s="589">
        <v>2237</v>
      </c>
      <c r="L23" s="52">
        <f t="shared" si="10"/>
        <v>1</v>
      </c>
      <c r="M23" s="589">
        <v>164489</v>
      </c>
      <c r="N23" s="396">
        <f t="shared" si="2"/>
        <v>87</v>
      </c>
      <c r="O23" s="64">
        <f t="shared" si="11"/>
        <v>1869</v>
      </c>
      <c r="P23" s="589">
        <v>1990</v>
      </c>
      <c r="Q23" s="589">
        <v>168180</v>
      </c>
      <c r="R23" s="395">
        <f t="shared" si="51"/>
        <v>210</v>
      </c>
      <c r="S23" s="52">
        <f t="shared" si="4"/>
        <v>2</v>
      </c>
      <c r="T23" s="67">
        <f t="shared" si="30"/>
        <v>0</v>
      </c>
      <c r="U23" s="402">
        <f t="shared" si="13"/>
        <v>3</v>
      </c>
      <c r="V23" s="62">
        <f t="shared" si="14"/>
        <v>297</v>
      </c>
      <c r="W23" s="400"/>
      <c r="X23" s="589">
        <f t="shared" si="16"/>
        <v>2455</v>
      </c>
      <c r="Y23" s="52">
        <f t="shared" si="17"/>
        <v>0</v>
      </c>
      <c r="Z23" s="589">
        <f t="shared" si="16"/>
        <v>138089</v>
      </c>
      <c r="AA23" s="65">
        <f t="shared" si="5"/>
        <v>0</v>
      </c>
      <c r="AB23" s="284">
        <f t="shared" si="76"/>
        <v>0</v>
      </c>
      <c r="AC23" s="589">
        <f t="shared" ref="AC23:AE23" si="94">AC22</f>
        <v>1934</v>
      </c>
      <c r="AD23" s="45">
        <f t="shared" si="6"/>
        <v>0</v>
      </c>
      <c r="AE23" s="589">
        <f t="shared" si="94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297</v>
      </c>
      <c r="AJ23" s="318">
        <f>-[3]tanks!AW24</f>
        <v>231</v>
      </c>
      <c r="AK23" s="318">
        <f t="shared" si="21"/>
        <v>-66</v>
      </c>
      <c r="AL23" s="318">
        <f t="shared" si="7"/>
        <v>3</v>
      </c>
      <c r="AM23" s="318">
        <f t="shared" si="22"/>
        <v>0</v>
      </c>
      <c r="AN23" s="589">
        <f t="shared" ref="AN23:AP23" si="95">AN22</f>
        <v>67</v>
      </c>
      <c r="AO23" s="320">
        <f t="shared" si="24"/>
        <v>2010.0000000000002</v>
      </c>
      <c r="AP23" s="589">
        <f t="shared" si="95"/>
        <v>55</v>
      </c>
      <c r="AQ23" s="320">
        <f t="shared" si="25"/>
        <v>1650.0000000000002</v>
      </c>
      <c r="AR23" s="589">
        <f t="shared" ref="AR23" si="96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v>213</v>
      </c>
      <c r="C24" s="589">
        <v>219</v>
      </c>
      <c r="D24" s="45">
        <f t="shared" si="86"/>
        <v>6</v>
      </c>
      <c r="E24" s="45">
        <f t="shared" si="8"/>
        <v>50.28</v>
      </c>
      <c r="F24" s="589">
        <v>1741</v>
      </c>
      <c r="G24" s="52">
        <f t="shared" si="0"/>
        <v>3</v>
      </c>
      <c r="H24" s="589">
        <v>5843</v>
      </c>
      <c r="I24" s="396">
        <f t="shared" si="1"/>
        <v>174</v>
      </c>
      <c r="J24" s="66">
        <f t="shared" si="9"/>
        <v>58</v>
      </c>
      <c r="K24" s="589">
        <f t="shared" si="40"/>
        <v>2237</v>
      </c>
      <c r="L24" s="52">
        <f t="shared" si="10"/>
        <v>0</v>
      </c>
      <c r="M24" s="589">
        <f t="shared" si="40"/>
        <v>164489</v>
      </c>
      <c r="N24" s="396">
        <f t="shared" si="2"/>
        <v>0</v>
      </c>
      <c r="O24" s="64">
        <f t="shared" si="11"/>
        <v>1869</v>
      </c>
      <c r="P24" s="589">
        <v>1992</v>
      </c>
      <c r="Q24" s="589">
        <v>168290</v>
      </c>
      <c r="R24" s="395">
        <f t="shared" si="51"/>
        <v>110</v>
      </c>
      <c r="S24" s="52">
        <f t="shared" si="4"/>
        <v>2</v>
      </c>
      <c r="T24" s="67">
        <f t="shared" si="30"/>
        <v>0</v>
      </c>
      <c r="U24" s="402">
        <f t="shared" si="13"/>
        <v>5</v>
      </c>
      <c r="V24" s="62">
        <f t="shared" si="14"/>
        <v>284</v>
      </c>
      <c r="W24" s="400"/>
      <c r="X24" s="589">
        <f t="shared" si="16"/>
        <v>2455</v>
      </c>
      <c r="Y24" s="52">
        <f t="shared" si="17"/>
        <v>0</v>
      </c>
      <c r="Z24" s="589">
        <f t="shared" si="16"/>
        <v>138089</v>
      </c>
      <c r="AA24" s="65">
        <f t="shared" si="5"/>
        <v>0</v>
      </c>
      <c r="AB24" s="284">
        <f t="shared" ref="AB24:AB32" si="97">SUM(Y24*$AB$2)</f>
        <v>0</v>
      </c>
      <c r="AC24" s="589">
        <f t="shared" ref="AC24:AE24" si="98">AC23</f>
        <v>1934</v>
      </c>
      <c r="AD24" s="45">
        <f t="shared" si="6"/>
        <v>0</v>
      </c>
      <c r="AE24" s="589">
        <f t="shared" si="9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284</v>
      </c>
      <c r="AJ24" s="318">
        <f>-tanks!AW25</f>
        <v>284</v>
      </c>
      <c r="AK24" s="318">
        <f t="shared" si="21"/>
        <v>0</v>
      </c>
      <c r="AL24" s="318">
        <f t="shared" si="7"/>
        <v>5</v>
      </c>
      <c r="AM24" s="318">
        <f t="shared" si="22"/>
        <v>0</v>
      </c>
      <c r="AN24" s="589">
        <f t="shared" ref="AN24:AP24" si="99">AN23</f>
        <v>67</v>
      </c>
      <c r="AO24" s="320">
        <f t="shared" si="24"/>
        <v>2010.0000000000002</v>
      </c>
      <c r="AP24" s="589">
        <f t="shared" si="99"/>
        <v>55</v>
      </c>
      <c r="AQ24" s="320">
        <f t="shared" si="25"/>
        <v>1650.0000000000002</v>
      </c>
      <c r="AR24" s="589">
        <f t="shared" ref="AR24" si="100">AR23</f>
        <v>61</v>
      </c>
      <c r="AS24" s="320">
        <f t="shared" si="37"/>
        <v>1830</v>
      </c>
      <c r="AT24" s="320">
        <f t="shared" ref="AT24:AT32" si="10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v>209</v>
      </c>
      <c r="C25" s="589">
        <v>215</v>
      </c>
      <c r="D25" s="45">
        <f t="shared" si="86"/>
        <v>4</v>
      </c>
      <c r="E25" s="45">
        <f t="shared" si="8"/>
        <v>33.520000000000003</v>
      </c>
      <c r="F25" s="589">
        <v>1742</v>
      </c>
      <c r="G25" s="52">
        <f t="shared" si="0"/>
        <v>1</v>
      </c>
      <c r="H25" s="589">
        <v>5953</v>
      </c>
      <c r="I25" s="396">
        <f t="shared" si="1"/>
        <v>110</v>
      </c>
      <c r="J25" s="66">
        <f t="shared" si="9"/>
        <v>110</v>
      </c>
      <c r="K25" s="589">
        <v>2239</v>
      </c>
      <c r="L25" s="52">
        <f t="shared" si="10"/>
        <v>2</v>
      </c>
      <c r="M25" s="589">
        <v>164646</v>
      </c>
      <c r="N25" s="396">
        <f t="shared" si="2"/>
        <v>157</v>
      </c>
      <c r="O25" s="64">
        <f t="shared" si="11"/>
        <v>1869</v>
      </c>
      <c r="P25" s="589">
        <f t="shared" si="11"/>
        <v>1992</v>
      </c>
      <c r="Q25" s="589">
        <f t="shared" ref="Q25:Q26" si="102">Q24</f>
        <v>168290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3</v>
      </c>
      <c r="V25" s="62">
        <f t="shared" si="14"/>
        <v>267</v>
      </c>
      <c r="W25" s="400"/>
      <c r="X25" s="589">
        <f t="shared" si="16"/>
        <v>2455</v>
      </c>
      <c r="Y25" s="52">
        <f t="shared" si="17"/>
        <v>0</v>
      </c>
      <c r="Z25" s="589">
        <f t="shared" si="16"/>
        <v>138089</v>
      </c>
      <c r="AA25" s="65">
        <f t="shared" si="5"/>
        <v>0</v>
      </c>
      <c r="AB25" s="284">
        <f t="shared" si="97"/>
        <v>0</v>
      </c>
      <c r="AC25" s="589">
        <f t="shared" ref="AC25:AE25" si="103">AC24</f>
        <v>1934</v>
      </c>
      <c r="AD25" s="45">
        <f t="shared" si="6"/>
        <v>0</v>
      </c>
      <c r="AE25" s="589">
        <f t="shared" si="10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267</v>
      </c>
      <c r="AJ25" s="318">
        <f>-tanks!AW26</f>
        <v>267</v>
      </c>
      <c r="AK25" s="318">
        <f t="shared" si="21"/>
        <v>0</v>
      </c>
      <c r="AL25" s="318">
        <f t="shared" si="7"/>
        <v>3</v>
      </c>
      <c r="AM25" s="318">
        <f t="shared" si="22"/>
        <v>0</v>
      </c>
      <c r="AN25" s="589">
        <f t="shared" ref="AN25:AP25" si="104">AN24</f>
        <v>67</v>
      </c>
      <c r="AO25" s="320">
        <f t="shared" si="24"/>
        <v>2010.0000000000002</v>
      </c>
      <c r="AP25" s="589">
        <f t="shared" si="104"/>
        <v>55</v>
      </c>
      <c r="AQ25" s="320">
        <f t="shared" ref="AQ25:AQ32" si="105">(AP25/100)*3000</f>
        <v>1650.0000000000002</v>
      </c>
      <c r="AR25" s="589">
        <f t="shared" ref="AR25" si="106">AR24</f>
        <v>61</v>
      </c>
      <c r="AS25" s="320">
        <f t="shared" si="37"/>
        <v>1830</v>
      </c>
      <c r="AT25" s="320">
        <f t="shared" si="10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v>209</v>
      </c>
      <c r="C26" s="589">
        <v>215</v>
      </c>
      <c r="D26" s="45">
        <f t="shared" si="86"/>
        <v>0</v>
      </c>
      <c r="E26" s="45">
        <f t="shared" si="8"/>
        <v>0</v>
      </c>
      <c r="F26" s="589">
        <f t="shared" si="29"/>
        <v>1742</v>
      </c>
      <c r="G26" s="52">
        <f t="shared" si="0"/>
        <v>0</v>
      </c>
      <c r="H26" s="589">
        <f t="shared" si="29"/>
        <v>5953</v>
      </c>
      <c r="I26" s="396">
        <f t="shared" si="1"/>
        <v>0</v>
      </c>
      <c r="J26" s="66">
        <f t="shared" si="9"/>
        <v>0</v>
      </c>
      <c r="K26" s="589">
        <v>2239</v>
      </c>
      <c r="L26" s="52">
        <f t="shared" si="10"/>
        <v>0</v>
      </c>
      <c r="M26" s="589">
        <v>164646</v>
      </c>
      <c r="N26" s="396">
        <f t="shared" si="2"/>
        <v>0</v>
      </c>
      <c r="O26" s="64">
        <f t="shared" si="11"/>
        <v>1869</v>
      </c>
      <c r="P26" s="589">
        <f t="shared" si="11"/>
        <v>1992</v>
      </c>
      <c r="Q26" s="589">
        <f t="shared" si="102"/>
        <v>168290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2455</v>
      </c>
      <c r="Y26" s="52">
        <f t="shared" si="17"/>
        <v>0</v>
      </c>
      <c r="Z26" s="589">
        <f t="shared" si="16"/>
        <v>138089</v>
      </c>
      <c r="AA26" s="65">
        <f t="shared" si="5"/>
        <v>0</v>
      </c>
      <c r="AB26" s="284">
        <f t="shared" si="97"/>
        <v>0</v>
      </c>
      <c r="AC26" s="589">
        <f t="shared" ref="AC26:AE26" si="107">AC25</f>
        <v>1934</v>
      </c>
      <c r="AD26" s="45">
        <f t="shared" si="6"/>
        <v>0</v>
      </c>
      <c r="AE26" s="589">
        <f t="shared" si="107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08">AN25</f>
        <v>67</v>
      </c>
      <c r="AO26" s="320">
        <f t="shared" si="24"/>
        <v>2010.0000000000002</v>
      </c>
      <c r="AP26" s="589">
        <f t="shared" si="108"/>
        <v>55</v>
      </c>
      <c r="AQ26" s="320">
        <f t="shared" si="105"/>
        <v>1650.0000000000002</v>
      </c>
      <c r="AR26" s="589">
        <f t="shared" ref="AR26" si="109">AR25</f>
        <v>61</v>
      </c>
      <c r="AS26" s="320">
        <f t="shared" si="37"/>
        <v>1830</v>
      </c>
      <c r="AT26" s="320">
        <f t="shared" si="10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ref="B27:C32" si="110">B26</f>
        <v>209</v>
      </c>
      <c r="C27" s="589">
        <f t="shared" si="110"/>
        <v>215</v>
      </c>
      <c r="D27" s="45">
        <f t="shared" si="86"/>
        <v>0</v>
      </c>
      <c r="E27" s="45">
        <f t="shared" si="8"/>
        <v>0</v>
      </c>
      <c r="F27" s="589">
        <f t="shared" si="29"/>
        <v>1742</v>
      </c>
      <c r="G27" s="52">
        <f t="shared" si="0"/>
        <v>0</v>
      </c>
      <c r="H27" s="589">
        <f t="shared" si="29"/>
        <v>5953</v>
      </c>
      <c r="I27" s="396">
        <f t="shared" si="1"/>
        <v>0</v>
      </c>
      <c r="J27" s="66">
        <f t="shared" si="9"/>
        <v>0</v>
      </c>
      <c r="K27" s="589">
        <f t="shared" si="40"/>
        <v>2239</v>
      </c>
      <c r="L27" s="52">
        <f t="shared" si="10"/>
        <v>0</v>
      </c>
      <c r="M27" s="589">
        <f t="shared" si="40"/>
        <v>164646</v>
      </c>
      <c r="N27" s="396">
        <f t="shared" si="2"/>
        <v>0</v>
      </c>
      <c r="O27" s="64">
        <f t="shared" si="11"/>
        <v>1869</v>
      </c>
      <c r="P27" s="589">
        <f t="shared" si="11"/>
        <v>1992</v>
      </c>
      <c r="Q27" s="589">
        <f t="shared" ref="Q27" si="111">Q26</f>
        <v>168290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2455</v>
      </c>
      <c r="Y27" s="52">
        <f t="shared" si="17"/>
        <v>0</v>
      </c>
      <c r="Z27" s="589">
        <f t="shared" si="16"/>
        <v>138089</v>
      </c>
      <c r="AA27" s="65">
        <f t="shared" si="5"/>
        <v>0</v>
      </c>
      <c r="AB27" s="284">
        <f t="shared" si="97"/>
        <v>0</v>
      </c>
      <c r="AC27" s="589">
        <f t="shared" ref="AC27:AE27" si="112">AC26</f>
        <v>1934</v>
      </c>
      <c r="AD27" s="45">
        <f t="shared" si="6"/>
        <v>0</v>
      </c>
      <c r="AE27" s="589">
        <f t="shared" si="112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13">AN26</f>
        <v>67</v>
      </c>
      <c r="AO27" s="320">
        <f>(AN27/100)*3000</f>
        <v>2010.0000000000002</v>
      </c>
      <c r="AP27" s="589">
        <f t="shared" si="113"/>
        <v>55</v>
      </c>
      <c r="AQ27" s="320">
        <f t="shared" si="105"/>
        <v>1650.0000000000002</v>
      </c>
      <c r="AR27" s="589">
        <f t="shared" ref="AR27" si="114">AR26</f>
        <v>61</v>
      </c>
      <c r="AS27" s="320">
        <f t="shared" si="37"/>
        <v>1830</v>
      </c>
      <c r="AT27" s="320">
        <f t="shared" si="10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110"/>
        <v>209</v>
      </c>
      <c r="C28" s="589">
        <f t="shared" si="110"/>
        <v>215</v>
      </c>
      <c r="D28" s="45">
        <f t="shared" si="86"/>
        <v>0</v>
      </c>
      <c r="E28" s="45">
        <f t="shared" si="8"/>
        <v>0</v>
      </c>
      <c r="F28" s="589">
        <f t="shared" si="29"/>
        <v>1742</v>
      </c>
      <c r="G28" s="52">
        <f t="shared" si="0"/>
        <v>0</v>
      </c>
      <c r="H28" s="589">
        <f t="shared" si="29"/>
        <v>5953</v>
      </c>
      <c r="I28" s="396">
        <f t="shared" si="1"/>
        <v>0</v>
      </c>
      <c r="J28" s="66">
        <f t="shared" si="9"/>
        <v>0</v>
      </c>
      <c r="K28" s="589">
        <f t="shared" si="40"/>
        <v>2239</v>
      </c>
      <c r="L28" s="52">
        <f t="shared" si="10"/>
        <v>0</v>
      </c>
      <c r="M28" s="589">
        <f t="shared" si="40"/>
        <v>164646</v>
      </c>
      <c r="N28" s="396">
        <f t="shared" si="2"/>
        <v>0</v>
      </c>
      <c r="O28" s="64">
        <f t="shared" si="11"/>
        <v>1869</v>
      </c>
      <c r="P28" s="589">
        <f t="shared" si="11"/>
        <v>1992</v>
      </c>
      <c r="Q28" s="589">
        <f t="shared" ref="Q28" si="115">Q27</f>
        <v>168290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2455</v>
      </c>
      <c r="Y28" s="52">
        <f t="shared" si="17"/>
        <v>0</v>
      </c>
      <c r="Z28" s="589">
        <f t="shared" si="16"/>
        <v>138089</v>
      </c>
      <c r="AA28" s="65">
        <f t="shared" si="5"/>
        <v>0</v>
      </c>
      <c r="AB28" s="284">
        <f t="shared" si="97"/>
        <v>0</v>
      </c>
      <c r="AC28" s="589">
        <f t="shared" ref="AC28:AE28" si="116">AC27</f>
        <v>1934</v>
      </c>
      <c r="AD28" s="45">
        <f t="shared" si="6"/>
        <v>0</v>
      </c>
      <c r="AE28" s="589">
        <f t="shared" si="116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17">AN27</f>
        <v>67</v>
      </c>
      <c r="AO28" s="320">
        <f t="shared" ref="AO28:AO32" si="118">(AN28/100)*3000</f>
        <v>2010.0000000000002</v>
      </c>
      <c r="AP28" s="589">
        <f t="shared" si="117"/>
        <v>55</v>
      </c>
      <c r="AQ28" s="320">
        <f t="shared" si="105"/>
        <v>1650.0000000000002</v>
      </c>
      <c r="AR28" s="589">
        <f t="shared" ref="AR28" si="119">AR27</f>
        <v>61</v>
      </c>
      <c r="AS28" s="320">
        <f t="shared" si="37"/>
        <v>1830</v>
      </c>
      <c r="AT28" s="320">
        <f t="shared" si="10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110"/>
        <v>209</v>
      </c>
      <c r="C29" s="589">
        <f t="shared" si="110"/>
        <v>215</v>
      </c>
      <c r="D29" s="45">
        <f t="shared" si="86"/>
        <v>0</v>
      </c>
      <c r="E29" s="45">
        <f t="shared" si="8"/>
        <v>0</v>
      </c>
      <c r="F29" s="589">
        <f t="shared" si="29"/>
        <v>1742</v>
      </c>
      <c r="G29" s="52">
        <f t="shared" si="0"/>
        <v>0</v>
      </c>
      <c r="H29" s="589">
        <f t="shared" si="29"/>
        <v>5953</v>
      </c>
      <c r="I29" s="396">
        <f t="shared" si="1"/>
        <v>0</v>
      </c>
      <c r="J29" s="66">
        <f t="shared" si="9"/>
        <v>0</v>
      </c>
      <c r="K29" s="589">
        <f t="shared" si="40"/>
        <v>2239</v>
      </c>
      <c r="L29" s="52">
        <f t="shared" si="10"/>
        <v>0</v>
      </c>
      <c r="M29" s="589">
        <f t="shared" si="40"/>
        <v>164646</v>
      </c>
      <c r="N29" s="396">
        <f t="shared" si="2"/>
        <v>0</v>
      </c>
      <c r="O29" s="64">
        <f t="shared" si="11"/>
        <v>1869</v>
      </c>
      <c r="P29" s="589">
        <f t="shared" si="11"/>
        <v>1992</v>
      </c>
      <c r="Q29" s="589">
        <f t="shared" ref="Q29" si="120">Q28</f>
        <v>168290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2455</v>
      </c>
      <c r="Y29" s="52">
        <f t="shared" si="17"/>
        <v>0</v>
      </c>
      <c r="Z29" s="589">
        <f t="shared" si="16"/>
        <v>138089</v>
      </c>
      <c r="AA29" s="65">
        <f t="shared" si="5"/>
        <v>0</v>
      </c>
      <c r="AB29" s="284">
        <f t="shared" si="97"/>
        <v>0</v>
      </c>
      <c r="AC29" s="589">
        <f t="shared" ref="AC29:AE29" si="121">AC28</f>
        <v>1934</v>
      </c>
      <c r="AD29" s="45">
        <f t="shared" si="6"/>
        <v>0</v>
      </c>
      <c r="AE29" s="589">
        <f t="shared" si="121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2">AN28</f>
        <v>67</v>
      </c>
      <c r="AO29" s="320">
        <f t="shared" si="118"/>
        <v>2010.0000000000002</v>
      </c>
      <c r="AP29" s="589">
        <f t="shared" si="122"/>
        <v>55</v>
      </c>
      <c r="AQ29" s="320">
        <f t="shared" si="105"/>
        <v>1650.0000000000002</v>
      </c>
      <c r="AR29" s="589">
        <f t="shared" ref="AR29" si="123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110"/>
        <v>209</v>
      </c>
      <c r="C30" s="589">
        <f t="shared" si="110"/>
        <v>215</v>
      </c>
      <c r="D30" s="45">
        <f t="shared" si="86"/>
        <v>0</v>
      </c>
      <c r="E30" s="45">
        <f t="shared" si="8"/>
        <v>0</v>
      </c>
      <c r="F30" s="589">
        <f t="shared" si="29"/>
        <v>1742</v>
      </c>
      <c r="G30" s="52">
        <f t="shared" si="0"/>
        <v>0</v>
      </c>
      <c r="H30" s="589">
        <f t="shared" si="29"/>
        <v>5953</v>
      </c>
      <c r="I30" s="396">
        <f t="shared" si="1"/>
        <v>0</v>
      </c>
      <c r="J30" s="66">
        <f t="shared" si="9"/>
        <v>0</v>
      </c>
      <c r="K30" s="589">
        <f t="shared" si="40"/>
        <v>2239</v>
      </c>
      <c r="L30" s="52">
        <f t="shared" si="10"/>
        <v>0</v>
      </c>
      <c r="M30" s="589">
        <f t="shared" si="40"/>
        <v>164646</v>
      </c>
      <c r="N30" s="396">
        <f t="shared" si="2"/>
        <v>0</v>
      </c>
      <c r="O30" s="64">
        <f t="shared" si="11"/>
        <v>1869</v>
      </c>
      <c r="P30" s="589">
        <f t="shared" si="11"/>
        <v>1992</v>
      </c>
      <c r="Q30" s="589">
        <f t="shared" ref="Q30" si="124">Q29</f>
        <v>168290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2455</v>
      </c>
      <c r="Y30" s="52">
        <f t="shared" si="17"/>
        <v>0</v>
      </c>
      <c r="Z30" s="589">
        <f t="shared" si="16"/>
        <v>138089</v>
      </c>
      <c r="AA30" s="65">
        <f t="shared" si="5"/>
        <v>0</v>
      </c>
      <c r="AB30" s="284">
        <f t="shared" si="97"/>
        <v>0</v>
      </c>
      <c r="AC30" s="589">
        <f t="shared" ref="AC30:AE30" si="125">AC29</f>
        <v>1934</v>
      </c>
      <c r="AD30" s="45">
        <f t="shared" si="6"/>
        <v>0</v>
      </c>
      <c r="AE30" s="589">
        <f t="shared" si="125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26">AN29</f>
        <v>67</v>
      </c>
      <c r="AO30" s="320">
        <f t="shared" si="118"/>
        <v>2010.0000000000002</v>
      </c>
      <c r="AP30" s="589">
        <f t="shared" si="126"/>
        <v>55</v>
      </c>
      <c r="AQ30" s="320">
        <f t="shared" si="105"/>
        <v>1650.0000000000002</v>
      </c>
      <c r="AR30" s="589">
        <f t="shared" ref="AR30" si="127">AR29</f>
        <v>61</v>
      </c>
      <c r="AS30" s="320">
        <f t="shared" si="37"/>
        <v>1830</v>
      </c>
      <c r="AT30" s="320">
        <f t="shared" si="10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110"/>
        <v>209</v>
      </c>
      <c r="C31" s="589">
        <f t="shared" si="110"/>
        <v>215</v>
      </c>
      <c r="D31" s="45">
        <f t="shared" si="86"/>
        <v>0</v>
      </c>
      <c r="E31" s="45">
        <f t="shared" si="8"/>
        <v>0</v>
      </c>
      <c r="F31" s="589">
        <f t="shared" si="29"/>
        <v>1742</v>
      </c>
      <c r="G31" s="52">
        <f t="shared" si="0"/>
        <v>0</v>
      </c>
      <c r="H31" s="589">
        <f t="shared" si="29"/>
        <v>5953</v>
      </c>
      <c r="I31" s="396">
        <f t="shared" si="1"/>
        <v>0</v>
      </c>
      <c r="J31" s="66">
        <f t="shared" si="9"/>
        <v>0</v>
      </c>
      <c r="K31" s="589">
        <f t="shared" si="40"/>
        <v>2239</v>
      </c>
      <c r="L31" s="52">
        <f t="shared" si="10"/>
        <v>0</v>
      </c>
      <c r="M31" s="589">
        <f t="shared" si="40"/>
        <v>164646</v>
      </c>
      <c r="N31" s="396">
        <f t="shared" si="2"/>
        <v>0</v>
      </c>
      <c r="O31" s="64">
        <f t="shared" si="11"/>
        <v>1869</v>
      </c>
      <c r="P31" s="589">
        <f t="shared" si="11"/>
        <v>1992</v>
      </c>
      <c r="Q31" s="589">
        <f t="shared" ref="Q31" si="128">Q30</f>
        <v>168290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2455</v>
      </c>
      <c r="Y31" s="52">
        <f t="shared" si="17"/>
        <v>0</v>
      </c>
      <c r="Z31" s="589">
        <f t="shared" si="16"/>
        <v>138089</v>
      </c>
      <c r="AA31" s="65">
        <f t="shared" si="5"/>
        <v>0</v>
      </c>
      <c r="AB31" s="284">
        <f t="shared" si="97"/>
        <v>0</v>
      </c>
      <c r="AC31" s="589">
        <f t="shared" ref="AC31:AE31" si="129">AC30</f>
        <v>1934</v>
      </c>
      <c r="AD31" s="269">
        <f t="shared" si="6"/>
        <v>0</v>
      </c>
      <c r="AE31" s="589">
        <f t="shared" si="129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0">AN30</f>
        <v>67</v>
      </c>
      <c r="AO31" s="320">
        <f t="shared" si="118"/>
        <v>2010.0000000000002</v>
      </c>
      <c r="AP31" s="589">
        <f t="shared" si="130"/>
        <v>55</v>
      </c>
      <c r="AQ31" s="320">
        <f t="shared" si="105"/>
        <v>1650.0000000000002</v>
      </c>
      <c r="AR31" s="589">
        <f t="shared" ref="AR31" si="131">AR30</f>
        <v>61</v>
      </c>
      <c r="AS31" s="320">
        <f t="shared" si="37"/>
        <v>1830</v>
      </c>
      <c r="AT31" s="320">
        <f t="shared" si="10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110"/>
        <v>209</v>
      </c>
      <c r="C32" s="589">
        <f t="shared" si="110"/>
        <v>215</v>
      </c>
      <c r="D32" s="45">
        <f t="shared" si="28"/>
        <v>0</v>
      </c>
      <c r="E32" s="45">
        <f t="shared" ref="E32" si="132">D32*8.38</f>
        <v>0</v>
      </c>
      <c r="F32" s="589">
        <f t="shared" si="29"/>
        <v>1742</v>
      </c>
      <c r="G32" s="52">
        <f t="shared" si="0"/>
        <v>0</v>
      </c>
      <c r="H32" s="589">
        <f t="shared" si="29"/>
        <v>5953</v>
      </c>
      <c r="I32" s="396">
        <f t="shared" si="1"/>
        <v>0</v>
      </c>
      <c r="J32" s="66">
        <f t="shared" si="9"/>
        <v>0</v>
      </c>
      <c r="K32" s="589">
        <f t="shared" si="40"/>
        <v>2239</v>
      </c>
      <c r="L32" s="52">
        <f t="shared" si="10"/>
        <v>0</v>
      </c>
      <c r="M32" s="589">
        <f t="shared" si="40"/>
        <v>164646</v>
      </c>
      <c r="N32" s="396">
        <f t="shared" si="2"/>
        <v>0</v>
      </c>
      <c r="O32" s="64">
        <f t="shared" si="11"/>
        <v>1869</v>
      </c>
      <c r="P32" s="589">
        <f t="shared" si="11"/>
        <v>1992</v>
      </c>
      <c r="Q32" s="589">
        <f t="shared" ref="Q32" si="133">Q31</f>
        <v>168290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2455</v>
      </c>
      <c r="Y32" s="52">
        <f t="shared" si="17"/>
        <v>0</v>
      </c>
      <c r="Z32" s="589">
        <f t="shared" si="16"/>
        <v>138089</v>
      </c>
      <c r="AA32" s="65">
        <f t="shared" si="5"/>
        <v>0</v>
      </c>
      <c r="AB32" s="284">
        <f t="shared" si="97"/>
        <v>0</v>
      </c>
      <c r="AC32" s="589">
        <f t="shared" ref="AC32:AE32" si="134">AC31</f>
        <v>1934</v>
      </c>
      <c r="AD32" s="269">
        <f t="shared" si="6"/>
        <v>0</v>
      </c>
      <c r="AE32" s="589">
        <f t="shared" si="134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5">AN31</f>
        <v>67</v>
      </c>
      <c r="AO32" s="320">
        <f t="shared" si="118"/>
        <v>2010.0000000000002</v>
      </c>
      <c r="AP32" s="589">
        <f t="shared" si="135"/>
        <v>55</v>
      </c>
      <c r="AQ32" s="320">
        <f t="shared" si="105"/>
        <v>1650.0000000000002</v>
      </c>
      <c r="AR32" s="589">
        <f t="shared" ref="AR32" si="136">AR31</f>
        <v>61</v>
      </c>
      <c r="AS32" s="320">
        <f t="shared" si="37"/>
        <v>1830</v>
      </c>
      <c r="AT32" s="320">
        <f t="shared" si="10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70.821428571428569</v>
      </c>
      <c r="V33" s="62">
        <f>SUM(V5:V32)</f>
        <v>5795</v>
      </c>
      <c r="AE33" s="71" t="s">
        <v>383</v>
      </c>
      <c r="AG33" s="344"/>
      <c r="AH33" s="62">
        <f>SUM(AH5:AH32)</f>
        <v>292.89999999999418</v>
      </c>
      <c r="AL33" s="62">
        <f>SUM(AL5:AL32)</f>
        <v>78</v>
      </c>
      <c r="AM33" s="62">
        <f>SUM(AM5:AM32)</f>
        <v>3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6087.8999999999942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T1" zoomScaleNormal="100" workbookViewId="0">
      <pane ySplit="3" topLeftCell="A20" activePane="bottomLeft" state="frozen"/>
      <selection pane="bottomLeft" activeCell="G27" sqref="G27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8006535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v>5166</v>
      </c>
      <c r="U24" s="5">
        <f t="shared" si="4"/>
        <v>1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v>158</v>
      </c>
      <c r="AU24" s="425">
        <f t="shared" si="35"/>
        <v>1.1000000000000001</v>
      </c>
      <c r="AV24" s="201">
        <v>146</v>
      </c>
      <c r="AW24" s="5">
        <v>2.9</v>
      </c>
      <c r="AX24" s="201">
        <v>164</v>
      </c>
      <c r="AY24" s="426">
        <f t="shared" si="7"/>
        <v>142.20000000000002</v>
      </c>
      <c r="AZ24" s="426">
        <f t="shared" si="26"/>
        <v>160.60000000000002</v>
      </c>
      <c r="BA24" s="426">
        <f t="shared" si="27"/>
        <v>475.59999999999997</v>
      </c>
      <c r="BB24" s="21">
        <f t="shared" si="28"/>
        <v>0</v>
      </c>
      <c r="BC24" s="21">
        <f t="shared" si="28"/>
        <v>-2.1999999999999886</v>
      </c>
      <c r="BD24" s="21">
        <f t="shared" si="28"/>
        <v>-8.7000000000000455</v>
      </c>
      <c r="BE24" s="24">
        <f t="shared" si="30"/>
        <v>-10.900000000000034</v>
      </c>
      <c r="BF24" s="96">
        <f t="shared" si="8"/>
        <v>10.900000000000034</v>
      </c>
      <c r="BG24" s="82">
        <f t="shared" si="9"/>
        <v>-10.900000000000034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v>5167</v>
      </c>
      <c r="U25" s="5">
        <f t="shared" si="4"/>
        <v>1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16.5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v>160</v>
      </c>
      <c r="AU25" s="425">
        <f t="shared" si="35"/>
        <v>1.1000000000000001</v>
      </c>
      <c r="AV25" s="201">
        <f t="shared" si="35"/>
        <v>146</v>
      </c>
      <c r="AW25" s="5">
        <v>2.9</v>
      </c>
      <c r="AX25" s="201">
        <v>162</v>
      </c>
      <c r="AY25" s="426">
        <f t="shared" si="7"/>
        <v>144</v>
      </c>
      <c r="AZ25" s="426">
        <f t="shared" si="26"/>
        <v>160.60000000000002</v>
      </c>
      <c r="BA25" s="426">
        <f t="shared" si="27"/>
        <v>469.8</v>
      </c>
      <c r="BB25" s="21">
        <f t="shared" si="28"/>
        <v>1.7999999999999829</v>
      </c>
      <c r="BC25" s="21">
        <f t="shared" si="28"/>
        <v>0</v>
      </c>
      <c r="BD25" s="21">
        <f t="shared" si="28"/>
        <v>-5.7999999999999545</v>
      </c>
      <c r="BE25" s="24">
        <f t="shared" si="30"/>
        <v>-3.9999999999999716</v>
      </c>
      <c r="BF25" s="96">
        <f t="shared" si="8"/>
        <v>3.9999999999999716</v>
      </c>
      <c r="BG25" s="82">
        <f t="shared" si="9"/>
        <v>-3.9999999999999716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v>98367</v>
      </c>
      <c r="AA26" s="83">
        <f t="shared" si="19"/>
        <v>9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9</v>
      </c>
      <c r="AK26" s="327">
        <f>SUM(Y26-L26)</f>
        <v>0</v>
      </c>
      <c r="AL26" s="327">
        <f>SUM(AJ26-W26)</f>
        <v>9</v>
      </c>
      <c r="AM26" s="327">
        <f>'General information '!D26</f>
        <v>15.5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v>157</v>
      </c>
      <c r="AU26" s="425">
        <f t="shared" si="35"/>
        <v>1.1000000000000001</v>
      </c>
      <c r="AV26" s="201">
        <f t="shared" si="35"/>
        <v>146</v>
      </c>
      <c r="AW26" s="5">
        <v>2.9</v>
      </c>
      <c r="AX26" s="201">
        <v>161</v>
      </c>
      <c r="AY26" s="426">
        <f t="shared" si="7"/>
        <v>141.30000000000001</v>
      </c>
      <c r="AZ26" s="426">
        <f t="shared" si="26"/>
        <v>160.60000000000002</v>
      </c>
      <c r="BA26" s="426">
        <f t="shared" si="27"/>
        <v>466.9</v>
      </c>
      <c r="BB26" s="21">
        <f t="shared" si="28"/>
        <v>-2.6999999999999886</v>
      </c>
      <c r="BC26" s="21">
        <f t="shared" si="28"/>
        <v>0</v>
      </c>
      <c r="BD26" s="21">
        <f t="shared" si="28"/>
        <v>-2.9000000000000341</v>
      </c>
      <c r="BE26" s="24">
        <f t="shared" si="30"/>
        <v>-5.6000000000000227</v>
      </c>
      <c r="BF26" s="96">
        <f t="shared" si="8"/>
        <v>5.6000000000000227</v>
      </c>
      <c r="BG26" s="82">
        <f t="shared" si="9"/>
        <v>-5.6000000000000227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v>615945</v>
      </c>
      <c r="H27" s="5">
        <f t="shared" si="14"/>
        <v>125</v>
      </c>
      <c r="I27" s="5">
        <f t="shared" si="0"/>
        <v>125</v>
      </c>
      <c r="J27" s="334">
        <f t="shared" si="1"/>
        <v>2.1428571428571428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98367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157</v>
      </c>
      <c r="AU27" s="425">
        <f t="shared" si="35"/>
        <v>1.1000000000000001</v>
      </c>
      <c r="AV27" s="201">
        <v>133</v>
      </c>
      <c r="AW27" s="5">
        <v>2.9</v>
      </c>
      <c r="AX27" s="201">
        <v>160</v>
      </c>
      <c r="AY27" s="426">
        <f t="shared" si="7"/>
        <v>141.30000000000001</v>
      </c>
      <c r="AZ27" s="426">
        <f t="shared" si="26"/>
        <v>146.30000000000001</v>
      </c>
      <c r="BA27" s="426">
        <f t="shared" si="27"/>
        <v>464</v>
      </c>
      <c r="BB27" s="21">
        <f t="shared" si="28"/>
        <v>0</v>
      </c>
      <c r="BC27" s="21">
        <f t="shared" si="28"/>
        <v>-14.300000000000011</v>
      </c>
      <c r="BD27" s="21">
        <f t="shared" si="28"/>
        <v>-2.8999999999999773</v>
      </c>
      <c r="BE27" s="24">
        <f t="shared" si="30"/>
        <v>-17.199999999999989</v>
      </c>
      <c r="BF27" s="96">
        <f t="shared" si="8"/>
        <v>142.19999999999999</v>
      </c>
      <c r="BG27" s="82">
        <f t="shared" si="9"/>
        <v>-17.199999999999989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615945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v>98367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157</v>
      </c>
      <c r="AU28" s="425">
        <f t="shared" si="35"/>
        <v>1.1000000000000001</v>
      </c>
      <c r="AV28" s="201">
        <f t="shared" si="35"/>
        <v>133</v>
      </c>
      <c r="AW28" s="5">
        <v>2.9</v>
      </c>
      <c r="AX28" s="201">
        <f t="shared" ref="AX28" si="47">AX27</f>
        <v>160</v>
      </c>
      <c r="AY28" s="426">
        <f t="shared" si="7"/>
        <v>141.30000000000001</v>
      </c>
      <c r="AZ28" s="426">
        <f t="shared" si="26"/>
        <v>146.30000000000001</v>
      </c>
      <c r="BA28" s="426">
        <f t="shared" si="27"/>
        <v>464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615945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98367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f t="shared" si="46"/>
        <v>157</v>
      </c>
      <c r="AU29" s="425">
        <f t="shared" si="35"/>
        <v>1.1000000000000001</v>
      </c>
      <c r="AV29" s="201">
        <f t="shared" si="35"/>
        <v>133</v>
      </c>
      <c r="AW29" s="5">
        <v>2.9</v>
      </c>
      <c r="AX29" s="201">
        <f t="shared" ref="AX29" si="48">AX28</f>
        <v>160</v>
      </c>
      <c r="AY29" s="426">
        <f t="shared" si="7"/>
        <v>141.30000000000001</v>
      </c>
      <c r="AZ29" s="426">
        <f t="shared" si="26"/>
        <v>146.30000000000001</v>
      </c>
      <c r="BA29" s="426">
        <f t="shared" si="27"/>
        <v>464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615945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98367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f t="shared" si="46"/>
        <v>157</v>
      </c>
      <c r="AU30" s="425">
        <f t="shared" si="35"/>
        <v>1.1000000000000001</v>
      </c>
      <c r="AV30" s="201">
        <f t="shared" si="35"/>
        <v>133</v>
      </c>
      <c r="AW30" s="5">
        <v>2.9</v>
      </c>
      <c r="AX30" s="201">
        <f t="shared" ref="AX30" si="49">AX29</f>
        <v>160</v>
      </c>
      <c r="AY30" s="426">
        <f t="shared" si="7"/>
        <v>141.30000000000001</v>
      </c>
      <c r="AZ30" s="426">
        <f t="shared" si="26"/>
        <v>146.30000000000001</v>
      </c>
      <c r="BA30" s="426">
        <f t="shared" si="27"/>
        <v>464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615945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6720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150281</v>
      </c>
      <c r="Y31" s="324">
        <f t="shared" si="34"/>
        <v>0</v>
      </c>
      <c r="Z31" s="5">
        <f t="shared" si="17"/>
        <v>98367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f t="shared" si="46"/>
        <v>157</v>
      </c>
      <c r="AU31" s="425">
        <f t="shared" si="35"/>
        <v>1.1000000000000001</v>
      </c>
      <c r="AV31" s="201">
        <f t="shared" si="35"/>
        <v>133</v>
      </c>
      <c r="AW31" s="5">
        <v>2.9</v>
      </c>
      <c r="AX31" s="201">
        <f t="shared" ref="AX31" si="50">AX30</f>
        <v>160</v>
      </c>
      <c r="AY31" s="426">
        <f t="shared" si="7"/>
        <v>141.30000000000001</v>
      </c>
      <c r="AZ31" s="426">
        <f t="shared" si="26"/>
        <v>146.30000000000001</v>
      </c>
      <c r="BA31" s="426">
        <f t="shared" si="27"/>
        <v>464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615945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6720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150281</v>
      </c>
      <c r="Y32" s="324">
        <f t="shared" si="34"/>
        <v>0</v>
      </c>
      <c r="Z32" s="5">
        <f t="shared" si="17"/>
        <v>98367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f t="shared" si="46"/>
        <v>157</v>
      </c>
      <c r="AU32" s="425">
        <f t="shared" si="35"/>
        <v>1.1000000000000001</v>
      </c>
      <c r="AV32" s="201">
        <f t="shared" si="35"/>
        <v>133</v>
      </c>
      <c r="AW32" s="5">
        <v>2.9</v>
      </c>
      <c r="AX32" s="201">
        <f t="shared" ref="AX32" si="51">AX31</f>
        <v>160</v>
      </c>
      <c r="AY32" s="426">
        <f t="shared" si="7"/>
        <v>141.30000000000001</v>
      </c>
      <c r="AZ32" s="426">
        <f t="shared" si="26"/>
        <v>146.30000000000001</v>
      </c>
      <c r="BA32" s="426">
        <f t="shared" si="27"/>
        <v>464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615945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6720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150281</v>
      </c>
      <c r="Y33" s="324">
        <f t="shared" si="34"/>
        <v>0</v>
      </c>
      <c r="Z33" s="5">
        <f t="shared" si="17"/>
        <v>98367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157</v>
      </c>
      <c r="AU33" s="425">
        <f t="shared" si="35"/>
        <v>1.1000000000000001</v>
      </c>
      <c r="AV33" s="201">
        <f t="shared" si="35"/>
        <v>133</v>
      </c>
      <c r="AW33" s="5">
        <v>2.9</v>
      </c>
      <c r="AX33" s="201">
        <f t="shared" ref="AX33" si="52">AX32</f>
        <v>160</v>
      </c>
      <c r="AY33" s="426">
        <f t="shared" si="7"/>
        <v>141.30000000000001</v>
      </c>
      <c r="AZ33" s="426">
        <f t="shared" si="26"/>
        <v>146.30000000000001</v>
      </c>
      <c r="BA33" s="426">
        <f t="shared" si="27"/>
        <v>464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571</v>
      </c>
      <c r="I34" s="412">
        <f>SUM(I6:I33)</f>
        <v>571</v>
      </c>
      <c r="L34" s="268">
        <f>SUM(L7:L33)</f>
        <v>4</v>
      </c>
      <c r="Q34" s="495">
        <f>SUM(Q5:Q33)</f>
        <v>0</v>
      </c>
      <c r="U34" s="409">
        <f>SUM(U6:U33)</f>
        <v>3</v>
      </c>
      <c r="X34" s="323"/>
      <c r="Y34" s="322" t="e">
        <f>SUM(#REF!,Y33,Y31,Y29,Y27,Y25,Y23,Y21,Y19,Y17,Y15,Y13,Y11,Y9,Y7,#REF!)</f>
        <v>#REF!</v>
      </c>
      <c r="AJ34" s="322">
        <f>SUM(AJ6:AJ33)</f>
        <v>105</v>
      </c>
      <c r="AK34" s="327" t="e">
        <f>SUM(Y34-L34)</f>
        <v>#REF!</v>
      </c>
      <c r="AL34" s="322">
        <f>SUM(AL6:AL33)</f>
        <v>104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571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571</v>
      </c>
      <c r="H36" s="1">
        <f>SUM(H35+C35)</f>
        <v>7500</v>
      </c>
      <c r="K36" s="1">
        <f>SUM(H36/G36)</f>
        <v>13.134851138353765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15" activePane="bottomLeft" state="frozen"/>
      <selection pane="bottomLeft" activeCell="D26" sqref="D26:D27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>
        <v>14</v>
      </c>
      <c r="C24" s="37">
        <v>7</v>
      </c>
      <c r="D24" s="26">
        <f t="shared" ref="D24" si="5">(C24+B24)/2</f>
        <v>10.5</v>
      </c>
      <c r="E24" s="394">
        <v>0.53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>
        <v>19</v>
      </c>
      <c r="C25" s="37">
        <v>14</v>
      </c>
      <c r="D25" s="26">
        <f t="shared" si="3"/>
        <v>16.5</v>
      </c>
      <c r="E25" s="340">
        <v>0.68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>
        <v>18</v>
      </c>
      <c r="C26" s="37">
        <v>13</v>
      </c>
      <c r="D26" s="26">
        <f>(C26+B26)/2</f>
        <v>15.5</v>
      </c>
      <c r="E26" s="340">
        <v>0.41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>(C27+B27)/2</f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15.880952380952381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7" zoomScale="90" zoomScaleNormal="90" workbookViewId="0">
      <pane xSplit="1" topLeftCell="AO1" activePane="topRight" state="frozen"/>
      <selection pane="topRight" activeCell="AU27" sqref="AU27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1223.603375527636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225</v>
      </c>
      <c r="AA24" s="203">
        <f t="shared" si="30"/>
        <v>2250</v>
      </c>
      <c r="AB24" s="203">
        <f t="shared" si="31"/>
        <v>225</v>
      </c>
      <c r="AC24" s="203">
        <f t="shared" si="30"/>
        <v>2250</v>
      </c>
      <c r="AD24" s="203">
        <f t="shared" si="32"/>
        <v>225</v>
      </c>
      <c r="AE24" s="203">
        <f t="shared" si="11"/>
        <v>2250</v>
      </c>
      <c r="AF24" s="203">
        <f t="shared" si="33"/>
        <v>225</v>
      </c>
      <c r="AG24" s="203">
        <f t="shared" si="12"/>
        <v>2250</v>
      </c>
      <c r="AH24" s="203">
        <f t="shared" si="34"/>
        <v>225</v>
      </c>
      <c r="AI24" s="203">
        <f t="shared" si="13"/>
        <v>2250</v>
      </c>
      <c r="AJ24" s="203">
        <f t="shared" si="35"/>
        <v>225</v>
      </c>
      <c r="AK24" s="203">
        <f t="shared" si="14"/>
        <v>2250</v>
      </c>
      <c r="AL24" s="203">
        <f t="shared" si="36"/>
        <v>225</v>
      </c>
      <c r="AM24" s="203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3">
        <f t="shared" si="37"/>
        <v>0.72692647992588644</v>
      </c>
      <c r="AR24" s="38">
        <f t="shared" si="41"/>
        <v>67582.354838709667</v>
      </c>
      <c r="AS24" s="197">
        <f t="shared" si="38"/>
        <v>-1840.0645161290304</v>
      </c>
      <c r="AT24" s="271"/>
      <c r="AU24" s="436"/>
      <c r="AV24" s="518">
        <f t="shared" si="42"/>
        <v>0.68899999999999995</v>
      </c>
      <c r="AW24" s="290">
        <f>-SUM('B5'!AI23)</f>
        <v>-297</v>
      </c>
      <c r="AX24" s="290">
        <f t="shared" si="39"/>
        <v>-1543.0645161290304</v>
      </c>
      <c r="AY24" s="37">
        <f t="shared" si="40"/>
        <v>-1840.0645161290304</v>
      </c>
      <c r="AZ24" s="100">
        <f>ELEC!A21</f>
        <v>0</v>
      </c>
      <c r="BA24" s="118">
        <f>'General information '!D24</f>
        <v>10.5</v>
      </c>
      <c r="BB24" s="394">
        <f>SUM('General information '!E24)</f>
        <v>0.53</v>
      </c>
      <c r="BC24" s="3">
        <f t="shared" si="43"/>
        <v>0</v>
      </c>
      <c r="BD24" s="102">
        <v>19222</v>
      </c>
      <c r="BE24" s="14">
        <f>(305/1185)*ELEC!Q22</f>
        <v>813.33333333329597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213</v>
      </c>
      <c r="C25" s="203">
        <f t="shared" si="18"/>
        <v>4582.9354838709678</v>
      </c>
      <c r="D25">
        <f t="shared" si="19"/>
        <v>213</v>
      </c>
      <c r="E25" s="203">
        <f t="shared" si="18"/>
        <v>4582.9354838709678</v>
      </c>
      <c r="F25">
        <f t="shared" si="20"/>
        <v>213</v>
      </c>
      <c r="G25" s="203">
        <f t="shared" si="1"/>
        <v>4582.9354838709678</v>
      </c>
      <c r="H25" s="203">
        <f t="shared" si="21"/>
        <v>213</v>
      </c>
      <c r="I25" s="203">
        <f t="shared" si="2"/>
        <v>4582.9354838709678</v>
      </c>
      <c r="J25" s="203">
        <f t="shared" si="22"/>
        <v>213</v>
      </c>
      <c r="K25" s="203">
        <f t="shared" si="3"/>
        <v>4582.9354838709678</v>
      </c>
      <c r="L25" s="203">
        <f t="shared" si="23"/>
        <v>213</v>
      </c>
      <c r="M25" s="203">
        <f t="shared" si="4"/>
        <v>4582.9354838709678</v>
      </c>
      <c r="N25" s="203">
        <f t="shared" si="24"/>
        <v>213</v>
      </c>
      <c r="O25" s="203">
        <f t="shared" si="5"/>
        <v>4582.9354838709678</v>
      </c>
      <c r="P25" s="203">
        <f t="shared" si="25"/>
        <v>213</v>
      </c>
      <c r="Q25" s="203">
        <f t="shared" si="6"/>
        <v>4582.9354838709678</v>
      </c>
      <c r="R25" s="203">
        <f t="shared" si="26"/>
        <v>213</v>
      </c>
      <c r="S25" s="203">
        <f t="shared" si="7"/>
        <v>4582.9354838709678</v>
      </c>
      <c r="T25" s="203">
        <f t="shared" si="27"/>
        <v>213</v>
      </c>
      <c r="U25" s="203">
        <f t="shared" si="8"/>
        <v>4582.9354838709678</v>
      </c>
      <c r="V25" s="203">
        <f t="shared" si="28"/>
        <v>213</v>
      </c>
      <c r="W25" s="203">
        <f t="shared" si="9"/>
        <v>4582.9354838709678</v>
      </c>
      <c r="X25" s="35">
        <f t="shared" si="10"/>
        <v>0.68709677419354853</v>
      </c>
      <c r="Y25" s="36">
        <f t="shared" si="29"/>
        <v>50412.290322580659</v>
      </c>
      <c r="Z25" s="203">
        <f>'B5'!C24</f>
        <v>219</v>
      </c>
      <c r="AA25" s="203">
        <f t="shared" si="30"/>
        <v>2190</v>
      </c>
      <c r="AB25" s="203">
        <f t="shared" si="31"/>
        <v>219</v>
      </c>
      <c r="AC25" s="203">
        <f t="shared" si="30"/>
        <v>2190</v>
      </c>
      <c r="AD25" s="203">
        <f t="shared" si="32"/>
        <v>219</v>
      </c>
      <c r="AE25" s="203">
        <f t="shared" si="11"/>
        <v>2190</v>
      </c>
      <c r="AF25" s="203">
        <f t="shared" si="33"/>
        <v>219</v>
      </c>
      <c r="AG25" s="203">
        <f t="shared" si="12"/>
        <v>2190</v>
      </c>
      <c r="AH25" s="203">
        <f t="shared" si="34"/>
        <v>219</v>
      </c>
      <c r="AI25" s="203">
        <f t="shared" si="13"/>
        <v>2190</v>
      </c>
      <c r="AJ25" s="203">
        <f t="shared" si="35"/>
        <v>219</v>
      </c>
      <c r="AK25" s="203">
        <f t="shared" si="14"/>
        <v>2190</v>
      </c>
      <c r="AL25" s="203">
        <f t="shared" si="36"/>
        <v>219</v>
      </c>
      <c r="AM25" s="203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3">
        <f t="shared" si="37"/>
        <v>0.70713445544348352</v>
      </c>
      <c r="AR25" s="38">
        <f t="shared" si="41"/>
        <v>65742.290322580666</v>
      </c>
      <c r="AS25" s="197">
        <f t="shared" si="38"/>
        <v>-1840.0645161290013</v>
      </c>
      <c r="AT25" s="271"/>
      <c r="AU25" s="436"/>
      <c r="AV25" s="518">
        <f t="shared" si="42"/>
        <v>0.68899999999999995</v>
      </c>
      <c r="AW25" s="290">
        <f>-SUM('B5'!AI24)</f>
        <v>-284</v>
      </c>
      <c r="AX25" s="290">
        <f t="shared" si="39"/>
        <v>-1556.0645161290013</v>
      </c>
      <c r="AY25" s="37">
        <f t="shared" si="40"/>
        <v>-1840.0645161290013</v>
      </c>
      <c r="AZ25" s="100">
        <f>ELEC!A22</f>
        <v>0</v>
      </c>
      <c r="BA25" s="118">
        <f>'General information '!D25</f>
        <v>16.5</v>
      </c>
      <c r="BB25" s="394">
        <f>SUM('General information '!E25)</f>
        <v>0.68</v>
      </c>
      <c r="BC25" s="3">
        <f t="shared" si="43"/>
        <v>0</v>
      </c>
      <c r="BD25" s="102">
        <v>19222</v>
      </c>
      <c r="BE25" s="14">
        <f>(305/1185)*ELEC!Q23</f>
        <v>721.18987341763921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0.69393977245521465</v>
      </c>
      <c r="AR26" s="38">
        <f t="shared" si="41"/>
        <v>64515.580645161303</v>
      </c>
      <c r="AS26" s="197">
        <f t="shared" si="38"/>
        <v>-1226.7096774193633</v>
      </c>
      <c r="AT26" s="271"/>
      <c r="AU26" s="491"/>
      <c r="AV26" s="518">
        <f t="shared" si="42"/>
        <v>0.68899999999999995</v>
      </c>
      <c r="AW26" s="290">
        <f>-SUM('B5'!AI25)</f>
        <v>-267</v>
      </c>
      <c r="AX26" s="290">
        <f t="shared" si="39"/>
        <v>-959.70967741936329</v>
      </c>
      <c r="AY26" s="37">
        <f t="shared" si="40"/>
        <v>-1226.7096774193633</v>
      </c>
      <c r="AZ26" s="100">
        <f>ELEC!A23</f>
        <v>0</v>
      </c>
      <c r="BA26" s="118">
        <f>'General information '!D26</f>
        <v>15.5</v>
      </c>
      <c r="BB26" s="394">
        <f>SUM('General information '!E26)</f>
        <v>0.41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209</v>
      </c>
      <c r="C27" s="203">
        <f t="shared" si="18"/>
        <v>4496.8709677419356</v>
      </c>
      <c r="D27">
        <f t="shared" si="19"/>
        <v>209</v>
      </c>
      <c r="E27" s="203">
        <f t="shared" si="18"/>
        <v>4496.8709677419356</v>
      </c>
      <c r="F27">
        <f t="shared" si="20"/>
        <v>209</v>
      </c>
      <c r="G27" s="203">
        <f t="shared" si="1"/>
        <v>4496.8709677419356</v>
      </c>
      <c r="H27" s="203">
        <f t="shared" si="21"/>
        <v>209</v>
      </c>
      <c r="I27" s="203">
        <f t="shared" si="2"/>
        <v>4496.8709677419356</v>
      </c>
      <c r="J27" s="203">
        <f t="shared" si="22"/>
        <v>209</v>
      </c>
      <c r="K27" s="203">
        <f t="shared" si="3"/>
        <v>4496.8709677419356</v>
      </c>
      <c r="L27" s="203">
        <f t="shared" si="23"/>
        <v>209</v>
      </c>
      <c r="M27" s="203">
        <f t="shared" si="4"/>
        <v>4496.8709677419356</v>
      </c>
      <c r="N27" s="203">
        <f t="shared" si="24"/>
        <v>209</v>
      </c>
      <c r="O27" s="203">
        <f t="shared" si="5"/>
        <v>4496.8709677419356</v>
      </c>
      <c r="P27" s="203">
        <f t="shared" si="25"/>
        <v>209</v>
      </c>
      <c r="Q27" s="203">
        <f t="shared" si="6"/>
        <v>4496.8709677419356</v>
      </c>
      <c r="R27" s="203">
        <f t="shared" si="26"/>
        <v>209</v>
      </c>
      <c r="S27" s="203">
        <f t="shared" si="7"/>
        <v>4496.8709677419356</v>
      </c>
      <c r="T27" s="203">
        <f t="shared" si="27"/>
        <v>209</v>
      </c>
      <c r="U27" s="203">
        <f t="shared" si="8"/>
        <v>4496.8709677419356</v>
      </c>
      <c r="V27" s="203">
        <f t="shared" si="28"/>
        <v>209</v>
      </c>
      <c r="W27" s="203">
        <f t="shared" si="9"/>
        <v>4496.8709677419356</v>
      </c>
      <c r="X27" s="35">
        <f t="shared" si="10"/>
        <v>0.67419354838709689</v>
      </c>
      <c r="Y27" s="36">
        <f t="shared" si="29"/>
        <v>49465.580645161303</v>
      </c>
      <c r="Z27" s="203">
        <f>'B5'!C26</f>
        <v>215</v>
      </c>
      <c r="AA27" s="203">
        <f t="shared" si="30"/>
        <v>2150</v>
      </c>
      <c r="AB27" s="203">
        <f t="shared" si="31"/>
        <v>215</v>
      </c>
      <c r="AC27" s="203">
        <f t="shared" si="30"/>
        <v>2150</v>
      </c>
      <c r="AD27" s="203">
        <f t="shared" si="32"/>
        <v>215</v>
      </c>
      <c r="AE27" s="203">
        <f t="shared" si="11"/>
        <v>2150</v>
      </c>
      <c r="AF27" s="203">
        <f t="shared" si="33"/>
        <v>215</v>
      </c>
      <c r="AG27" s="203">
        <f t="shared" si="12"/>
        <v>2150</v>
      </c>
      <c r="AH27" s="203">
        <f t="shared" si="34"/>
        <v>215</v>
      </c>
      <c r="AI27" s="203">
        <f t="shared" si="13"/>
        <v>2150</v>
      </c>
      <c r="AJ27" s="203">
        <f t="shared" si="35"/>
        <v>215</v>
      </c>
      <c r="AK27" s="203">
        <f t="shared" si="14"/>
        <v>2150</v>
      </c>
      <c r="AL27" s="203">
        <f t="shared" si="36"/>
        <v>215</v>
      </c>
      <c r="AM27" s="203">
        <f t="shared" si="15"/>
        <v>2150</v>
      </c>
      <c r="AN27" s="35">
        <f t="shared" si="16"/>
        <v>0.7678571428571429</v>
      </c>
      <c r="AO27" s="36">
        <f t="shared" si="17"/>
        <v>15050</v>
      </c>
      <c r="AQ27" s="223">
        <f t="shared" si="37"/>
        <v>0.69393977245521465</v>
      </c>
      <c r="AR27" s="38">
        <f t="shared" si="41"/>
        <v>64515.580645161303</v>
      </c>
      <c r="AS27" s="197">
        <f t="shared" si="38"/>
        <v>0</v>
      </c>
      <c r="AT27" s="271"/>
      <c r="AU27" s="436"/>
      <c r="AV27" s="518">
        <f t="shared" si="42"/>
        <v>0.68899999999999995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209</v>
      </c>
      <c r="C28" s="203">
        <f t="shared" si="18"/>
        <v>4496.8709677419356</v>
      </c>
      <c r="D28">
        <f t="shared" si="19"/>
        <v>209</v>
      </c>
      <c r="E28" s="203">
        <f t="shared" si="18"/>
        <v>4496.8709677419356</v>
      </c>
      <c r="F28">
        <f t="shared" si="20"/>
        <v>209</v>
      </c>
      <c r="G28" s="203">
        <f t="shared" si="1"/>
        <v>4496.8709677419356</v>
      </c>
      <c r="H28" s="203">
        <f t="shared" si="21"/>
        <v>209</v>
      </c>
      <c r="I28" s="203">
        <f t="shared" si="2"/>
        <v>4496.8709677419356</v>
      </c>
      <c r="J28" s="203">
        <f t="shared" si="22"/>
        <v>209</v>
      </c>
      <c r="K28" s="203">
        <f t="shared" si="3"/>
        <v>4496.8709677419356</v>
      </c>
      <c r="L28" s="203">
        <f t="shared" si="23"/>
        <v>209</v>
      </c>
      <c r="M28" s="203">
        <f t="shared" si="4"/>
        <v>4496.8709677419356</v>
      </c>
      <c r="N28" s="203">
        <f t="shared" si="24"/>
        <v>209</v>
      </c>
      <c r="O28" s="203">
        <f t="shared" si="5"/>
        <v>4496.8709677419356</v>
      </c>
      <c r="P28" s="203">
        <f t="shared" si="25"/>
        <v>209</v>
      </c>
      <c r="Q28" s="203">
        <f t="shared" si="6"/>
        <v>4496.8709677419356</v>
      </c>
      <c r="R28" s="203">
        <f t="shared" si="26"/>
        <v>209</v>
      </c>
      <c r="S28" s="203">
        <f t="shared" si="7"/>
        <v>4496.8709677419356</v>
      </c>
      <c r="T28" s="203">
        <f t="shared" si="27"/>
        <v>209</v>
      </c>
      <c r="U28" s="203">
        <f t="shared" si="8"/>
        <v>4496.8709677419356</v>
      </c>
      <c r="V28" s="203">
        <f t="shared" si="28"/>
        <v>209</v>
      </c>
      <c r="W28" s="203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3">
        <f>'B5'!C27</f>
        <v>215</v>
      </c>
      <c r="AA28" s="203">
        <f t="shared" si="30"/>
        <v>2150</v>
      </c>
      <c r="AB28" s="203">
        <f t="shared" si="31"/>
        <v>215</v>
      </c>
      <c r="AC28" s="203">
        <f t="shared" si="30"/>
        <v>2150</v>
      </c>
      <c r="AD28" s="203">
        <f t="shared" si="32"/>
        <v>215</v>
      </c>
      <c r="AE28" s="203">
        <f t="shared" si="11"/>
        <v>2150</v>
      </c>
      <c r="AF28" s="203">
        <f t="shared" si="33"/>
        <v>215</v>
      </c>
      <c r="AG28" s="203">
        <f t="shared" si="12"/>
        <v>2150</v>
      </c>
      <c r="AH28" s="203">
        <f t="shared" si="34"/>
        <v>215</v>
      </c>
      <c r="AI28" s="203">
        <f t="shared" si="13"/>
        <v>2150</v>
      </c>
      <c r="AJ28" s="203">
        <f t="shared" si="35"/>
        <v>215</v>
      </c>
      <c r="AK28" s="203">
        <f t="shared" si="14"/>
        <v>2150</v>
      </c>
      <c r="AL28" s="203">
        <f t="shared" si="36"/>
        <v>215</v>
      </c>
      <c r="AM28" s="203">
        <f t="shared" si="15"/>
        <v>2150</v>
      </c>
      <c r="AN28" s="35">
        <f t="shared" si="16"/>
        <v>0.7678571428571429</v>
      </c>
      <c r="AO28" s="36">
        <f t="shared" si="17"/>
        <v>15050</v>
      </c>
      <c r="AQ28" s="223">
        <f t="shared" si="37"/>
        <v>0.69393977245521465</v>
      </c>
      <c r="AR28" s="38">
        <f t="shared" si="41"/>
        <v>64515.580645161303</v>
      </c>
      <c r="AS28" s="197">
        <f t="shared" si="38"/>
        <v>0</v>
      </c>
      <c r="AT28" s="355"/>
      <c r="AU28" s="436"/>
      <c r="AV28" s="518">
        <f t="shared" si="42"/>
        <v>0.68899999999999995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209</v>
      </c>
      <c r="C29" s="203">
        <f t="shared" si="18"/>
        <v>4496.8709677419356</v>
      </c>
      <c r="D29">
        <f t="shared" si="19"/>
        <v>209</v>
      </c>
      <c r="E29" s="203">
        <f t="shared" si="18"/>
        <v>4496.8709677419356</v>
      </c>
      <c r="F29">
        <f t="shared" si="20"/>
        <v>209</v>
      </c>
      <c r="G29" s="203">
        <f t="shared" si="1"/>
        <v>4496.8709677419356</v>
      </c>
      <c r="H29" s="203">
        <f t="shared" si="21"/>
        <v>209</v>
      </c>
      <c r="I29" s="203">
        <f t="shared" si="2"/>
        <v>4496.8709677419356</v>
      </c>
      <c r="J29" s="203">
        <f t="shared" si="22"/>
        <v>209</v>
      </c>
      <c r="K29" s="203">
        <f t="shared" si="3"/>
        <v>4496.8709677419356</v>
      </c>
      <c r="L29" s="203">
        <f t="shared" si="23"/>
        <v>209</v>
      </c>
      <c r="M29" s="203">
        <f t="shared" si="4"/>
        <v>4496.8709677419356</v>
      </c>
      <c r="N29" s="203">
        <f t="shared" si="24"/>
        <v>209</v>
      </c>
      <c r="O29" s="203">
        <f t="shared" si="5"/>
        <v>4496.8709677419356</v>
      </c>
      <c r="P29" s="203">
        <f t="shared" si="25"/>
        <v>209</v>
      </c>
      <c r="Q29" s="203">
        <f t="shared" si="6"/>
        <v>4496.8709677419356</v>
      </c>
      <c r="R29" s="203">
        <f t="shared" si="26"/>
        <v>209</v>
      </c>
      <c r="S29" s="203">
        <f t="shared" si="7"/>
        <v>4496.8709677419356</v>
      </c>
      <c r="T29" s="203">
        <f t="shared" si="27"/>
        <v>209</v>
      </c>
      <c r="U29" s="203">
        <f t="shared" si="8"/>
        <v>4496.8709677419356</v>
      </c>
      <c r="V29" s="203">
        <f t="shared" si="28"/>
        <v>209</v>
      </c>
      <c r="W29" s="203">
        <f t="shared" si="9"/>
        <v>4496.8709677419356</v>
      </c>
      <c r="X29" s="35">
        <f t="shared" si="10"/>
        <v>0.67419354838709689</v>
      </c>
      <c r="Y29" s="36">
        <f t="shared" si="29"/>
        <v>49465.580645161303</v>
      </c>
      <c r="Z29" s="203">
        <f>'B5'!C28</f>
        <v>215</v>
      </c>
      <c r="AA29" s="203">
        <f t="shared" si="30"/>
        <v>2150</v>
      </c>
      <c r="AB29" s="203">
        <f t="shared" si="31"/>
        <v>215</v>
      </c>
      <c r="AC29" s="203">
        <f t="shared" si="30"/>
        <v>2150</v>
      </c>
      <c r="AD29" s="203">
        <f t="shared" si="32"/>
        <v>215</v>
      </c>
      <c r="AE29" s="203">
        <f t="shared" si="11"/>
        <v>2150</v>
      </c>
      <c r="AF29" s="203">
        <f t="shared" si="33"/>
        <v>215</v>
      </c>
      <c r="AG29" s="203">
        <f t="shared" si="12"/>
        <v>2150</v>
      </c>
      <c r="AH29" s="203">
        <f t="shared" si="34"/>
        <v>215</v>
      </c>
      <c r="AI29" s="203">
        <f t="shared" si="13"/>
        <v>2150</v>
      </c>
      <c r="AJ29" s="203">
        <f t="shared" si="35"/>
        <v>215</v>
      </c>
      <c r="AK29" s="203">
        <f t="shared" si="14"/>
        <v>2150</v>
      </c>
      <c r="AL29" s="203">
        <f t="shared" si="36"/>
        <v>215</v>
      </c>
      <c r="AM29" s="203">
        <f t="shared" si="15"/>
        <v>2150</v>
      </c>
      <c r="AN29" s="35">
        <f t="shared" si="16"/>
        <v>0.7678571428571429</v>
      </c>
      <c r="AO29" s="36">
        <f t="shared" si="17"/>
        <v>15050</v>
      </c>
      <c r="AQ29" s="223">
        <f t="shared" si="37"/>
        <v>0.69393977245521465</v>
      </c>
      <c r="AR29" s="38">
        <f t="shared" si="41"/>
        <v>64515.580645161303</v>
      </c>
      <c r="AS29" s="197">
        <f t="shared" si="38"/>
        <v>0</v>
      </c>
      <c r="AT29" s="355"/>
      <c r="AU29" s="436"/>
      <c r="AV29" s="518">
        <f t="shared" si="42"/>
        <v>0.68899999999999995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209</v>
      </c>
      <c r="C30" s="203">
        <f t="shared" si="18"/>
        <v>4496.8709677419356</v>
      </c>
      <c r="D30">
        <f t="shared" ref="D30:D33" si="44">SUM(B30)</f>
        <v>209</v>
      </c>
      <c r="E30" s="203">
        <f t="shared" si="18"/>
        <v>4496.8709677419356</v>
      </c>
      <c r="F30">
        <f t="shared" ref="F30:F33" si="45">SUM(D30)</f>
        <v>209</v>
      </c>
      <c r="G30" s="203">
        <f t="shared" si="1"/>
        <v>4496.8709677419356</v>
      </c>
      <c r="H30" s="203">
        <f t="shared" ref="H30:H33" si="46">SUM(F30)</f>
        <v>209</v>
      </c>
      <c r="I30" s="203">
        <f t="shared" si="2"/>
        <v>4496.8709677419356</v>
      </c>
      <c r="J30" s="203">
        <f t="shared" ref="J30:J33" si="47">SUM(H30)</f>
        <v>209</v>
      </c>
      <c r="K30" s="203">
        <f t="shared" si="3"/>
        <v>4496.8709677419356</v>
      </c>
      <c r="L30" s="203">
        <f t="shared" ref="L30:L33" si="48">SUM(J30)</f>
        <v>209</v>
      </c>
      <c r="M30" s="203">
        <f t="shared" si="4"/>
        <v>4496.8709677419356</v>
      </c>
      <c r="N30" s="203">
        <f t="shared" ref="N30:N33" si="49">SUM(L30)</f>
        <v>209</v>
      </c>
      <c r="O30" s="203">
        <f t="shared" si="5"/>
        <v>4496.8709677419356</v>
      </c>
      <c r="P30" s="203">
        <f t="shared" ref="P30:P33" si="50">SUM(N30)</f>
        <v>209</v>
      </c>
      <c r="Q30" s="203">
        <f t="shared" si="6"/>
        <v>4496.8709677419356</v>
      </c>
      <c r="R30" s="203">
        <f t="shared" ref="R30:R33" si="51">SUM(P30)</f>
        <v>209</v>
      </c>
      <c r="S30" s="203">
        <f t="shared" si="7"/>
        <v>4496.8709677419356</v>
      </c>
      <c r="T30" s="203">
        <f t="shared" ref="T30:T33" si="52">SUM(R30)</f>
        <v>209</v>
      </c>
      <c r="U30" s="203">
        <f t="shared" si="8"/>
        <v>4496.8709677419356</v>
      </c>
      <c r="V30" s="203">
        <f t="shared" ref="V30:V33" si="53">SUM(T30)</f>
        <v>209</v>
      </c>
      <c r="W30" s="203">
        <f t="shared" si="9"/>
        <v>4496.8709677419356</v>
      </c>
      <c r="X30" s="35">
        <f t="shared" ref="X30:X33" si="54">SUM(Y30/73370)</f>
        <v>0.67419354838709689</v>
      </c>
      <c r="Y30" s="36">
        <f t="shared" ref="Y30:Y33" si="55">SUM(C30+E30+G30+I30+K30+M30+O30+Q30+S30+U30+W30)</f>
        <v>49465.580645161303</v>
      </c>
      <c r="Z30" s="203">
        <f>'B5'!C29</f>
        <v>215</v>
      </c>
      <c r="AA30" s="203">
        <f t="shared" si="30"/>
        <v>2150</v>
      </c>
      <c r="AB30" s="203">
        <f t="shared" ref="AB30:AB33" si="56">SUM(Z30)</f>
        <v>215</v>
      </c>
      <c r="AC30" s="203">
        <f t="shared" si="30"/>
        <v>2150</v>
      </c>
      <c r="AD30" s="203">
        <f t="shared" ref="AD30:AD33" si="57">SUM(AB30)</f>
        <v>215</v>
      </c>
      <c r="AE30" s="203">
        <f t="shared" si="11"/>
        <v>2150</v>
      </c>
      <c r="AF30" s="203">
        <f t="shared" ref="AF30:AF33" si="58">SUM(AD30)</f>
        <v>215</v>
      </c>
      <c r="AG30" s="203">
        <f t="shared" si="12"/>
        <v>2150</v>
      </c>
      <c r="AH30" s="203">
        <f t="shared" ref="AH30:AH33" si="59">SUM(AF30)</f>
        <v>215</v>
      </c>
      <c r="AI30" s="203">
        <f t="shared" si="13"/>
        <v>2150</v>
      </c>
      <c r="AJ30" s="203">
        <f t="shared" ref="AJ30:AJ33" si="60">SUM(AH30)</f>
        <v>215</v>
      </c>
      <c r="AK30" s="203">
        <f t="shared" si="14"/>
        <v>2150</v>
      </c>
      <c r="AL30" s="203">
        <f t="shared" ref="AL30:AL33" si="61">SUM(AJ30)</f>
        <v>215</v>
      </c>
      <c r="AM30" s="203">
        <f t="shared" si="15"/>
        <v>2150</v>
      </c>
      <c r="AN30" s="35">
        <f t="shared" ref="AN30:AN33" si="62">SUM(AO30/19600)</f>
        <v>0.7678571428571429</v>
      </c>
      <c r="AO30" s="36">
        <f t="shared" ref="AO30:AO33" si="63">SUM(AA30+AC30+AE30+AG30+AI30+AK30+AM30)</f>
        <v>15050</v>
      </c>
      <c r="AQ30" s="223">
        <f t="shared" si="37"/>
        <v>0.69393977245521465</v>
      </c>
      <c r="AR30" s="38">
        <f t="shared" si="41"/>
        <v>64515.580645161303</v>
      </c>
      <c r="AS30" s="197">
        <f t="shared" si="38"/>
        <v>0</v>
      </c>
      <c r="AT30" s="355"/>
      <c r="AU30" s="436"/>
      <c r="AV30" s="518">
        <f t="shared" si="42"/>
        <v>0.68899999999999995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209</v>
      </c>
      <c r="C31" s="203">
        <f t="shared" si="18"/>
        <v>4496.8709677419356</v>
      </c>
      <c r="D31">
        <f t="shared" si="44"/>
        <v>209</v>
      </c>
      <c r="E31" s="203">
        <f t="shared" si="18"/>
        <v>4496.8709677419356</v>
      </c>
      <c r="F31">
        <f t="shared" si="45"/>
        <v>209</v>
      </c>
      <c r="G31" s="203">
        <f t="shared" si="1"/>
        <v>4496.8709677419356</v>
      </c>
      <c r="H31" s="203">
        <f t="shared" si="46"/>
        <v>209</v>
      </c>
      <c r="I31" s="203">
        <f t="shared" si="2"/>
        <v>4496.8709677419356</v>
      </c>
      <c r="J31" s="203">
        <f t="shared" si="47"/>
        <v>209</v>
      </c>
      <c r="K31" s="203">
        <f t="shared" si="3"/>
        <v>4496.8709677419356</v>
      </c>
      <c r="L31" s="203">
        <f t="shared" si="48"/>
        <v>209</v>
      </c>
      <c r="M31" s="203">
        <f t="shared" si="4"/>
        <v>4496.8709677419356</v>
      </c>
      <c r="N31" s="203">
        <f t="shared" si="49"/>
        <v>209</v>
      </c>
      <c r="O31" s="203">
        <f t="shared" si="5"/>
        <v>4496.8709677419356</v>
      </c>
      <c r="P31" s="203">
        <f t="shared" si="50"/>
        <v>209</v>
      </c>
      <c r="Q31" s="203">
        <f t="shared" si="6"/>
        <v>4496.8709677419356</v>
      </c>
      <c r="R31" s="203">
        <f t="shared" si="51"/>
        <v>209</v>
      </c>
      <c r="S31" s="203">
        <f t="shared" si="7"/>
        <v>4496.8709677419356</v>
      </c>
      <c r="T31" s="203">
        <f t="shared" si="52"/>
        <v>209</v>
      </c>
      <c r="U31" s="203">
        <f t="shared" si="8"/>
        <v>4496.8709677419356</v>
      </c>
      <c r="V31" s="203">
        <f t="shared" si="53"/>
        <v>209</v>
      </c>
      <c r="W31" s="203">
        <f t="shared" si="9"/>
        <v>4496.8709677419356</v>
      </c>
      <c r="X31" s="35">
        <f t="shared" si="54"/>
        <v>0.67419354838709689</v>
      </c>
      <c r="Y31" s="36">
        <f t="shared" si="55"/>
        <v>49465.580645161303</v>
      </c>
      <c r="Z31" s="203">
        <f>'B5'!C30</f>
        <v>215</v>
      </c>
      <c r="AA31" s="203">
        <f t="shared" si="30"/>
        <v>2150</v>
      </c>
      <c r="AB31" s="203">
        <f t="shared" si="56"/>
        <v>215</v>
      </c>
      <c r="AC31" s="203">
        <f t="shared" si="30"/>
        <v>2150</v>
      </c>
      <c r="AD31" s="203">
        <f t="shared" si="57"/>
        <v>215</v>
      </c>
      <c r="AE31" s="203">
        <f t="shared" si="11"/>
        <v>2150</v>
      </c>
      <c r="AF31" s="203">
        <f t="shared" si="58"/>
        <v>215</v>
      </c>
      <c r="AG31" s="203">
        <f t="shared" si="12"/>
        <v>2150</v>
      </c>
      <c r="AH31" s="203">
        <f t="shared" si="59"/>
        <v>215</v>
      </c>
      <c r="AI31" s="203">
        <f t="shared" si="13"/>
        <v>2150</v>
      </c>
      <c r="AJ31" s="203">
        <f t="shared" si="60"/>
        <v>215</v>
      </c>
      <c r="AK31" s="203">
        <f t="shared" si="14"/>
        <v>2150</v>
      </c>
      <c r="AL31" s="203">
        <f t="shared" si="61"/>
        <v>215</v>
      </c>
      <c r="AM31" s="203">
        <f t="shared" si="15"/>
        <v>2150</v>
      </c>
      <c r="AN31" s="35">
        <f t="shared" si="62"/>
        <v>0.7678571428571429</v>
      </c>
      <c r="AO31" s="36">
        <f t="shared" si="63"/>
        <v>15050</v>
      </c>
      <c r="AQ31" s="223">
        <f t="shared" si="37"/>
        <v>0.69393977245521465</v>
      </c>
      <c r="AR31" s="38">
        <f t="shared" si="41"/>
        <v>64515.580645161303</v>
      </c>
      <c r="AS31" s="197">
        <f>SUM(AR31-AR30-AT31)</f>
        <v>0</v>
      </c>
      <c r="AT31" s="355"/>
      <c r="AU31" s="436"/>
      <c r="AV31" s="518">
        <f t="shared" si="42"/>
        <v>0.68899999999999995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209</v>
      </c>
      <c r="C32" s="203">
        <f t="shared" si="18"/>
        <v>4496.8709677419356</v>
      </c>
      <c r="D32">
        <f t="shared" si="44"/>
        <v>209</v>
      </c>
      <c r="E32" s="203">
        <f t="shared" si="18"/>
        <v>4496.8709677419356</v>
      </c>
      <c r="F32">
        <f t="shared" si="45"/>
        <v>209</v>
      </c>
      <c r="G32" s="203">
        <f t="shared" si="1"/>
        <v>4496.8709677419356</v>
      </c>
      <c r="H32" s="203">
        <f t="shared" si="46"/>
        <v>209</v>
      </c>
      <c r="I32" s="203">
        <f t="shared" si="2"/>
        <v>4496.8709677419356</v>
      </c>
      <c r="J32" s="203">
        <f t="shared" si="47"/>
        <v>209</v>
      </c>
      <c r="K32" s="203">
        <f t="shared" si="3"/>
        <v>4496.8709677419356</v>
      </c>
      <c r="L32" s="203">
        <f t="shared" si="48"/>
        <v>209</v>
      </c>
      <c r="M32" s="203">
        <f t="shared" si="4"/>
        <v>4496.8709677419356</v>
      </c>
      <c r="N32" s="203">
        <f t="shared" si="49"/>
        <v>209</v>
      </c>
      <c r="O32" s="203">
        <f t="shared" si="5"/>
        <v>4496.8709677419356</v>
      </c>
      <c r="P32" s="203">
        <f t="shared" si="50"/>
        <v>209</v>
      </c>
      <c r="Q32" s="203">
        <f t="shared" si="6"/>
        <v>4496.8709677419356</v>
      </c>
      <c r="R32" s="203">
        <f t="shared" si="51"/>
        <v>209</v>
      </c>
      <c r="S32" s="203">
        <f t="shared" si="7"/>
        <v>4496.8709677419356</v>
      </c>
      <c r="T32" s="203">
        <f t="shared" si="52"/>
        <v>209</v>
      </c>
      <c r="U32" s="203">
        <f t="shared" si="8"/>
        <v>4496.8709677419356</v>
      </c>
      <c r="V32" s="203">
        <f t="shared" si="53"/>
        <v>209</v>
      </c>
      <c r="W32" s="203">
        <f t="shared" si="9"/>
        <v>4496.8709677419356</v>
      </c>
      <c r="X32" s="35">
        <f t="shared" si="54"/>
        <v>0.67419354838709689</v>
      </c>
      <c r="Y32" s="36">
        <f t="shared" si="55"/>
        <v>49465.580645161303</v>
      </c>
      <c r="Z32" s="203">
        <f>'B5'!C31</f>
        <v>215</v>
      </c>
      <c r="AA32" s="203">
        <f t="shared" si="30"/>
        <v>2150</v>
      </c>
      <c r="AB32" s="203">
        <f t="shared" si="56"/>
        <v>215</v>
      </c>
      <c r="AC32" s="203">
        <f t="shared" si="30"/>
        <v>2150</v>
      </c>
      <c r="AD32" s="203">
        <f t="shared" si="57"/>
        <v>215</v>
      </c>
      <c r="AE32" s="203">
        <f t="shared" si="11"/>
        <v>2150</v>
      </c>
      <c r="AF32" s="203">
        <f t="shared" si="58"/>
        <v>215</v>
      </c>
      <c r="AG32" s="203">
        <f t="shared" si="12"/>
        <v>2150</v>
      </c>
      <c r="AH32" s="203">
        <f t="shared" si="59"/>
        <v>215</v>
      </c>
      <c r="AI32" s="203">
        <f t="shared" si="13"/>
        <v>2150</v>
      </c>
      <c r="AJ32" s="203">
        <f t="shared" si="60"/>
        <v>215</v>
      </c>
      <c r="AK32" s="203">
        <f t="shared" si="14"/>
        <v>2150</v>
      </c>
      <c r="AL32" s="203">
        <f t="shared" si="61"/>
        <v>215</v>
      </c>
      <c r="AM32" s="203">
        <f t="shared" si="15"/>
        <v>2150</v>
      </c>
      <c r="AN32" s="35">
        <f t="shared" si="62"/>
        <v>0.7678571428571429</v>
      </c>
      <c r="AO32" s="36">
        <f t="shared" si="63"/>
        <v>15050</v>
      </c>
      <c r="AQ32" s="223">
        <f t="shared" si="37"/>
        <v>0.69393977245521465</v>
      </c>
      <c r="AR32" s="38">
        <f t="shared" si="41"/>
        <v>64515.580645161303</v>
      </c>
      <c r="AS32" s="197">
        <f t="shared" si="38"/>
        <v>0</v>
      </c>
      <c r="AT32" s="355"/>
      <c r="AU32" s="436"/>
      <c r="AV32" s="518">
        <f>IF(AT32&gt;0,AU32,AV31)</f>
        <v>0.68899999999999995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209</v>
      </c>
      <c r="C33" s="203">
        <f t="shared" si="18"/>
        <v>4496.8709677419356</v>
      </c>
      <c r="D33">
        <f t="shared" si="44"/>
        <v>209</v>
      </c>
      <c r="E33" s="203">
        <f t="shared" si="18"/>
        <v>4496.8709677419356</v>
      </c>
      <c r="F33">
        <f t="shared" si="45"/>
        <v>209</v>
      </c>
      <c r="G33" s="203">
        <f t="shared" si="1"/>
        <v>4496.8709677419356</v>
      </c>
      <c r="H33" s="203">
        <f t="shared" si="46"/>
        <v>209</v>
      </c>
      <c r="I33" s="203">
        <f t="shared" si="2"/>
        <v>4496.8709677419356</v>
      </c>
      <c r="J33" s="203">
        <f t="shared" si="47"/>
        <v>209</v>
      </c>
      <c r="K33" s="203">
        <f t="shared" si="3"/>
        <v>4496.8709677419356</v>
      </c>
      <c r="L33" s="203">
        <f t="shared" si="48"/>
        <v>209</v>
      </c>
      <c r="M33" s="203">
        <f t="shared" si="4"/>
        <v>4496.8709677419356</v>
      </c>
      <c r="N33" s="203">
        <f t="shared" si="49"/>
        <v>209</v>
      </c>
      <c r="O33" s="203">
        <f t="shared" si="5"/>
        <v>4496.8709677419356</v>
      </c>
      <c r="P33" s="203">
        <f t="shared" si="50"/>
        <v>209</v>
      </c>
      <c r="Q33" s="203">
        <f t="shared" si="6"/>
        <v>4496.8709677419356</v>
      </c>
      <c r="R33" s="203">
        <f t="shared" si="51"/>
        <v>209</v>
      </c>
      <c r="S33" s="203">
        <f t="shared" si="7"/>
        <v>4496.8709677419356</v>
      </c>
      <c r="T33" s="203">
        <f t="shared" si="52"/>
        <v>209</v>
      </c>
      <c r="U33" s="203">
        <f t="shared" si="8"/>
        <v>4496.8709677419356</v>
      </c>
      <c r="V33" s="203">
        <f t="shared" si="53"/>
        <v>209</v>
      </c>
      <c r="W33" s="203">
        <f t="shared" si="9"/>
        <v>4496.8709677419356</v>
      </c>
      <c r="X33" s="35">
        <f t="shared" si="54"/>
        <v>0.67419354838709689</v>
      </c>
      <c r="Y33" s="36">
        <f t="shared" si="55"/>
        <v>49465.580645161303</v>
      </c>
      <c r="Z33" s="203">
        <f>'B5'!C32</f>
        <v>215</v>
      </c>
      <c r="AA33" s="203">
        <f t="shared" si="30"/>
        <v>2150</v>
      </c>
      <c r="AB33" s="203">
        <f t="shared" si="56"/>
        <v>215</v>
      </c>
      <c r="AC33" s="203">
        <f t="shared" si="30"/>
        <v>2150</v>
      </c>
      <c r="AD33" s="203">
        <f t="shared" si="57"/>
        <v>215</v>
      </c>
      <c r="AE33" s="203">
        <f t="shared" si="11"/>
        <v>2150</v>
      </c>
      <c r="AF33" s="203">
        <f t="shared" si="58"/>
        <v>215</v>
      </c>
      <c r="AG33" s="203">
        <f t="shared" si="12"/>
        <v>2150</v>
      </c>
      <c r="AH33" s="203">
        <f t="shared" si="59"/>
        <v>215</v>
      </c>
      <c r="AI33" s="203">
        <f t="shared" si="13"/>
        <v>2150</v>
      </c>
      <c r="AJ33" s="203">
        <f t="shared" si="60"/>
        <v>215</v>
      </c>
      <c r="AK33" s="203">
        <f t="shared" si="14"/>
        <v>2150</v>
      </c>
      <c r="AL33" s="203">
        <f t="shared" si="61"/>
        <v>215</v>
      </c>
      <c r="AM33" s="203">
        <f t="shared" si="15"/>
        <v>2150</v>
      </c>
      <c r="AN33" s="35">
        <f t="shared" si="62"/>
        <v>0.7678571428571429</v>
      </c>
      <c r="AO33" s="36">
        <f t="shared" si="63"/>
        <v>15050</v>
      </c>
      <c r="AQ33" s="223">
        <f t="shared" si="37"/>
        <v>0.69393977245521465</v>
      </c>
      <c r="AR33" s="38">
        <f t="shared" si="41"/>
        <v>64515.580645161303</v>
      </c>
      <c r="AS33" s="197">
        <f t="shared" si="38"/>
        <v>0</v>
      </c>
      <c r="AT33" s="355"/>
      <c r="AU33" s="436"/>
      <c r="AV33" s="518">
        <f>IF(AT33&gt;0,AU33,AV32)</f>
        <v>0.68899999999999995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3</v>
      </c>
      <c r="AT34" s="203">
        <f>SUM(AT6:AT33)</f>
        <v>17500.099999999999</v>
      </c>
      <c r="AU34">
        <f>SUM(AU6:AU33)/AS34</f>
        <v>0.48766666666666669</v>
      </c>
      <c r="AX34" s="203">
        <f>SUM(AX6:AX33)</f>
        <v>-19692.490322580627</v>
      </c>
      <c r="AY34" s="203">
        <f>SUM(AY6:AY33)</f>
        <v>-25780.390322580621</v>
      </c>
    </row>
    <row r="35" spans="1:60">
      <c r="AS35" s="206"/>
      <c r="AT35">
        <f>+AT34*AU34</f>
        <v>8534.2154333333328</v>
      </c>
    </row>
    <row r="37" spans="1:60">
      <c r="AS37" s="165">
        <f>SUM(AS6:AS33)/'EDl log'!A32</f>
        <v>-1227.6376344086009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4</v>
      </c>
      <c r="B20" s="3">
        <f>ELEC!AF21</f>
        <v>656</v>
      </c>
      <c r="C20" s="3">
        <f>ELEC!N21</f>
        <v>7667</v>
      </c>
      <c r="D20" s="3">
        <f t="shared" si="0"/>
        <v>2912.9999999991851</v>
      </c>
      <c r="E20" s="3">
        <f>ELEC!Q21</f>
        <v>4754.0000000008149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-35.400000000000006</v>
      </c>
      <c r="J20" s="9">
        <f>'B5'!A22</f>
        <v>44245</v>
      </c>
    </row>
    <row r="21" spans="1:10">
      <c r="A21" s="3">
        <f>ELEC!T22+ELEC!X22+ELEC!AB22</f>
        <v>3</v>
      </c>
      <c r="B21" s="3">
        <f>ELEC!AF22</f>
        <v>425</v>
      </c>
      <c r="C21" s="3">
        <f>ELEC!N22</f>
        <v>6433</v>
      </c>
      <c r="D21" s="3">
        <f t="shared" si="0"/>
        <v>3273.0000000001455</v>
      </c>
      <c r="E21" s="3">
        <f>ELEC!Q22</f>
        <v>3159.9999999998545</v>
      </c>
      <c r="F21" s="3">
        <f>GEN!Z21</f>
        <v>9</v>
      </c>
      <c r="G21" s="3">
        <f>WATER!C24+WATER!H24</f>
        <v>0</v>
      </c>
      <c r="H21" s="3">
        <f>WATER!L24</f>
        <v>-7</v>
      </c>
      <c r="I21" s="15">
        <f>WATER!BC24+WATER!BD24+WATER!BE25-Sheet1!G21</f>
        <v>-14.900000000000006</v>
      </c>
      <c r="J21" s="9">
        <f>'B5'!A23</f>
        <v>44215</v>
      </c>
    </row>
    <row r="22" spans="1:10">
      <c r="A22" s="3">
        <f>ELEC!T23+ELEC!X23+ELEC!AB23</f>
        <v>2</v>
      </c>
      <c r="B22" s="3">
        <f>ELEC!AF23</f>
        <v>307</v>
      </c>
      <c r="C22" s="3">
        <f>ELEC!N23</f>
        <v>6161</v>
      </c>
      <c r="D22" s="3">
        <f t="shared" si="0"/>
        <v>3359.0000000003201</v>
      </c>
      <c r="E22" s="3">
        <f>ELEC!Q23</f>
        <v>2801.9999999996799</v>
      </c>
      <c r="F22" s="3">
        <f>GEN!Z22</f>
        <v>6</v>
      </c>
      <c r="G22" s="3">
        <f>WATER!C25+WATER!H25</f>
        <v>0</v>
      </c>
      <c r="H22" s="3">
        <f>WATER!L25</f>
        <v>7</v>
      </c>
      <c r="I22" s="15">
        <f>WATER!BC25+WATER!BD25+WATER!BE26-Sheet1!G22</f>
        <v>-11.399999999999977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-20.100000000000023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125</v>
      </c>
      <c r="H24" s="3">
        <f>WATER!L27</f>
        <v>0</v>
      </c>
      <c r="I24" s="15">
        <f>WATER!BC27+WATER!BD27+WATER!BE28-Sheet1!G24</f>
        <v>-142.19999999999999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39"/>
      <c r="B1" s="636" t="s">
        <v>119</v>
      </c>
      <c r="C1" s="636" t="s">
        <v>118</v>
      </c>
      <c r="D1" s="641" t="s">
        <v>113</v>
      </c>
      <c r="E1" s="641" t="s">
        <v>114</v>
      </c>
      <c r="F1" s="642" t="s">
        <v>120</v>
      </c>
      <c r="G1" s="643" t="s">
        <v>75</v>
      </c>
      <c r="H1" s="644" t="s">
        <v>115</v>
      </c>
      <c r="I1" s="645" t="s">
        <v>116</v>
      </c>
      <c r="J1" s="644" t="s">
        <v>117</v>
      </c>
      <c r="K1" s="638" t="s">
        <v>121</v>
      </c>
      <c r="L1" s="638" t="s">
        <v>122</v>
      </c>
      <c r="M1" s="638" t="s">
        <v>123</v>
      </c>
      <c r="N1" s="638" t="s">
        <v>124</v>
      </c>
    </row>
    <row r="2" spans="1:14">
      <c r="A2" s="640"/>
      <c r="B2" s="637"/>
      <c r="C2" s="637"/>
      <c r="D2" s="641"/>
      <c r="E2" s="641"/>
      <c r="F2" s="642"/>
      <c r="G2" s="643"/>
      <c r="H2" s="644"/>
      <c r="I2" s="646"/>
      <c r="J2" s="644"/>
      <c r="K2" s="638"/>
      <c r="L2" s="638"/>
      <c r="M2" s="638"/>
      <c r="N2" s="63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297</v>
      </c>
      <c r="C23" s="76">
        <f>'B5'!AH23</f>
        <v>0</v>
      </c>
      <c r="D23" s="76">
        <f>GEN!AI21</f>
        <v>1223.603375527636</v>
      </c>
      <c r="E23" s="242">
        <f t="shared" si="0"/>
        <v>1520.603375527636</v>
      </c>
      <c r="F23" s="75">
        <f>WATER!L23</f>
        <v>0</v>
      </c>
      <c r="G23" s="78">
        <f>WATER!BG23</f>
        <v>-24.499999999999972</v>
      </c>
      <c r="H23" s="79">
        <f>ELEC!AF21</f>
        <v>656</v>
      </c>
      <c r="I23" s="79">
        <f>ELEC!Q21</f>
        <v>4754.0000000008149</v>
      </c>
      <c r="J23" s="79">
        <f>ELEC!R21</f>
        <v>2912.9999999991851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284</v>
      </c>
      <c r="C24" s="76">
        <f>'B5'!AH24</f>
        <v>0</v>
      </c>
      <c r="D24" s="76">
        <f>GEN!AI22</f>
        <v>813.33333333329597</v>
      </c>
      <c r="E24" s="242">
        <f t="shared" si="0"/>
        <v>1097.333333333296</v>
      </c>
      <c r="F24" s="75">
        <f>WATER!L24</f>
        <v>-7</v>
      </c>
      <c r="G24" s="78">
        <f>WATER!BG24</f>
        <v>-10.900000000000034</v>
      </c>
      <c r="H24" s="79">
        <f>ELEC!AF22</f>
        <v>425</v>
      </c>
      <c r="I24" s="79">
        <f>ELEC!Q22</f>
        <v>3159.9999999998545</v>
      </c>
      <c r="J24" s="79">
        <f>ELEC!R22</f>
        <v>3273.0000000001455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267</v>
      </c>
      <c r="C25" s="76">
        <f>'B5'!AH25</f>
        <v>0</v>
      </c>
      <c r="D25" s="76">
        <f>GEN!AI23</f>
        <v>721.18987341763921</v>
      </c>
      <c r="E25" s="242">
        <f t="shared" si="0"/>
        <v>988.18987341763921</v>
      </c>
      <c r="F25" s="75">
        <f>WATER!L25</f>
        <v>7</v>
      </c>
      <c r="G25" s="78">
        <f>WATER!BG25</f>
        <v>-3.9999999999999716</v>
      </c>
      <c r="H25" s="79">
        <f>ELEC!AF23</f>
        <v>307</v>
      </c>
      <c r="I25" s="79">
        <f>ELEC!Q23</f>
        <v>2801.9999999996799</v>
      </c>
      <c r="J25" s="79">
        <f>ELEC!R23</f>
        <v>3359.0000000003201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-5.6000000000000227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-17.199999999999989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17" activePane="bottomLeft" state="frozen"/>
      <selection pane="bottomLeft" activeCell="AM24" sqref="AM24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" thickBot="1">
      <c r="A19" s="4">
        <f>ELEC!C19</f>
        <v>44244</v>
      </c>
      <c r="B19" s="541">
        <v>9615</v>
      </c>
      <c r="C19" s="287">
        <f t="shared" si="11"/>
        <v>9</v>
      </c>
      <c r="D19" s="542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" thickBot="1">
      <c r="A20" s="4">
        <f>ELEC!C20</f>
        <v>44245</v>
      </c>
      <c r="B20" s="541">
        <v>9623</v>
      </c>
      <c r="C20" s="287">
        <f>B20-B19</f>
        <v>8</v>
      </c>
      <c r="D20" s="542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" thickBot="1">
      <c r="A21" s="4">
        <f>ELEC!C21</f>
        <v>44246</v>
      </c>
      <c r="B21" s="541">
        <v>9632</v>
      </c>
      <c r="C21" s="287">
        <f t="shared" ref="C21" si="35">B21-B20</f>
        <v>9</v>
      </c>
      <c r="D21" s="542">
        <v>329098</v>
      </c>
      <c r="E21" s="287">
        <f t="shared" si="12"/>
        <v>2279</v>
      </c>
      <c r="F21" s="287">
        <f t="shared" si="0"/>
        <v>253.22222222222223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6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9</v>
      </c>
      <c r="AA21" s="287">
        <f t="shared" si="21"/>
        <v>2279</v>
      </c>
      <c r="AB21" s="287">
        <f t="shared" si="22"/>
        <v>253.22222222222223</v>
      </c>
      <c r="AC21" s="287">
        <f t="shared" si="23"/>
        <v>253.22222222222223</v>
      </c>
      <c r="AD21" s="73">
        <f>ELEC!Q21</f>
        <v>4754.0000000008149</v>
      </c>
      <c r="AE21" s="73">
        <f t="shared" si="25"/>
        <v>528.22222222231278</v>
      </c>
      <c r="AF21" s="403">
        <f t="shared" si="26"/>
        <v>0.33013888888894549</v>
      </c>
      <c r="AG21" s="404">
        <f t="shared" si="27"/>
        <v>105.64444444446255</v>
      </c>
      <c r="AH21" s="404">
        <f t="shared" si="24"/>
        <v>147.57777777775968</v>
      </c>
      <c r="AI21" s="73">
        <f t="shared" si="28"/>
        <v>1223.603375527636</v>
      </c>
      <c r="AJ21" s="289">
        <f t="shared" si="9"/>
        <v>0.25738396624472576</v>
      </c>
      <c r="AK21" s="289">
        <f t="shared" si="33"/>
        <v>135.95593061418177</v>
      </c>
    </row>
    <row r="22" spans="1:37" ht="15" thickBot="1">
      <c r="A22" s="4">
        <f>ELEC!C22</f>
        <v>44247</v>
      </c>
      <c r="B22" s="541">
        <v>9638</v>
      </c>
      <c r="C22" s="287">
        <f t="shared" si="11"/>
        <v>6</v>
      </c>
      <c r="D22" s="542">
        <f>D21+900</f>
        <v>329998</v>
      </c>
      <c r="E22" s="287">
        <f>150*C22</f>
        <v>900</v>
      </c>
      <c r="F22" s="287">
        <f t="shared" si="0"/>
        <v>150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6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7">IF(R22-X22&lt;=0,"ok","oil change")</f>
        <v>ok</v>
      </c>
      <c r="Z22" s="287">
        <f t="shared" si="8"/>
        <v>6</v>
      </c>
      <c r="AA22" s="287">
        <f t="shared" si="21"/>
        <v>900</v>
      </c>
      <c r="AB22" s="287">
        <f t="shared" si="22"/>
        <v>150</v>
      </c>
      <c r="AC22" s="287">
        <f t="shared" si="23"/>
        <v>150</v>
      </c>
      <c r="AD22" s="73">
        <f>ELEC!Q22</f>
        <v>3159.9999999998545</v>
      </c>
      <c r="AE22" s="73">
        <f t="shared" si="25"/>
        <v>526.66666666664241</v>
      </c>
      <c r="AF22" s="403">
        <f t="shared" si="26"/>
        <v>0.32916666666665151</v>
      </c>
      <c r="AG22" s="404">
        <f t="shared" si="27"/>
        <v>105.33333333332848</v>
      </c>
      <c r="AH22" s="404">
        <f t="shared" si="24"/>
        <v>44.666666666671517</v>
      </c>
      <c r="AI22" s="73">
        <f t="shared" si="28"/>
        <v>813.33333333329597</v>
      </c>
      <c r="AJ22" s="289">
        <f t="shared" si="9"/>
        <v>0.25738396624472576</v>
      </c>
      <c r="AK22" s="289">
        <f t="shared" si="33"/>
        <v>135.55555555554932</v>
      </c>
    </row>
    <row r="23" spans="1:37" ht="15" thickBot="1">
      <c r="A23" s="4">
        <f>ELEC!C23</f>
        <v>44248</v>
      </c>
      <c r="B23" s="541">
        <v>9645</v>
      </c>
      <c r="C23" s="287">
        <f t="shared" si="11"/>
        <v>7</v>
      </c>
      <c r="D23" s="542">
        <f>D22+1050</f>
        <v>331048</v>
      </c>
      <c r="E23" s="287">
        <f>150*C23</f>
        <v>1050</v>
      </c>
      <c r="F23" s="287">
        <f t="shared" si="0"/>
        <v>150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6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7"/>
        <v>ok</v>
      </c>
      <c r="Z23" s="287">
        <f t="shared" si="8"/>
        <v>7</v>
      </c>
      <c r="AA23" s="287">
        <f t="shared" si="21"/>
        <v>1050</v>
      </c>
      <c r="AB23" s="287">
        <f t="shared" si="22"/>
        <v>150</v>
      </c>
      <c r="AC23" s="287">
        <f t="shared" si="23"/>
        <v>150</v>
      </c>
      <c r="AD23" s="73">
        <f>ELEC!Q23</f>
        <v>2801.9999999996799</v>
      </c>
      <c r="AE23" s="73">
        <f t="shared" si="25"/>
        <v>400.28571428566858</v>
      </c>
      <c r="AF23" s="403">
        <f t="shared" si="26"/>
        <v>0.25017857142854288</v>
      </c>
      <c r="AG23" s="404">
        <f t="shared" si="27"/>
        <v>80.057142857133726</v>
      </c>
      <c r="AH23" s="404">
        <f t="shared" si="24"/>
        <v>69.942857142866274</v>
      </c>
      <c r="AI23" s="73">
        <f t="shared" si="28"/>
        <v>721.18987341763921</v>
      </c>
      <c r="AJ23" s="289">
        <f t="shared" si="9"/>
        <v>0.25738396624472576</v>
      </c>
      <c r="AK23" s="289">
        <f t="shared" si="33"/>
        <v>103.02712477394846</v>
      </c>
    </row>
    <row r="24" spans="1:37" ht="15" thickBot="1">
      <c r="A24" s="4">
        <f>ELEC!C24</f>
        <v>44249</v>
      </c>
      <c r="B24" s="541">
        <v>9645</v>
      </c>
      <c r="C24" s="287">
        <f t="shared" si="11"/>
        <v>0</v>
      </c>
      <c r="D24" s="542">
        <v>331048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2">
        <v>11802</v>
      </c>
      <c r="S24" s="287">
        <f t="shared" si="5"/>
        <v>0</v>
      </c>
      <c r="T24" s="542">
        <v>379778</v>
      </c>
      <c r="U24" s="287">
        <f t="shared" si="36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7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3"/>
        <v>0</v>
      </c>
    </row>
    <row r="25" spans="1:37" ht="15" thickBot="1">
      <c r="A25" s="4">
        <f>ELEC!C25</f>
        <v>44250</v>
      </c>
      <c r="B25" s="541">
        <f t="shared" ref="B25:B30" si="38">B24</f>
        <v>9645</v>
      </c>
      <c r="C25" s="287">
        <f t="shared" si="11"/>
        <v>0</v>
      </c>
      <c r="D25" s="542">
        <f t="shared" ref="D25:D30" si="39">D24</f>
        <v>331048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2">
        <f t="shared" si="17"/>
        <v>11802</v>
      </c>
      <c r="S25" s="287">
        <f t="shared" si="5"/>
        <v>0</v>
      </c>
      <c r="T25" s="542">
        <f t="shared" si="18"/>
        <v>379778</v>
      </c>
      <c r="U25" s="287">
        <f t="shared" si="36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7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3"/>
        <v>0</v>
      </c>
    </row>
    <row r="26" spans="1:37" ht="15" thickBot="1">
      <c r="A26" s="4">
        <f>ELEC!C26</f>
        <v>44251</v>
      </c>
      <c r="B26" s="541">
        <f t="shared" si="38"/>
        <v>9645</v>
      </c>
      <c r="C26" s="287">
        <f t="shared" si="11"/>
        <v>0</v>
      </c>
      <c r="D26" s="542">
        <f t="shared" si="39"/>
        <v>331048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2">
        <f t="shared" si="17"/>
        <v>11802</v>
      </c>
      <c r="S26" s="287">
        <f t="shared" si="5"/>
        <v>0</v>
      </c>
      <c r="T26" s="542">
        <f t="shared" si="18"/>
        <v>379778</v>
      </c>
      <c r="U26" s="287">
        <f t="shared" si="36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7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3"/>
        <v>0</v>
      </c>
    </row>
    <row r="27" spans="1:37" ht="15" thickBot="1">
      <c r="A27" s="4">
        <f>ELEC!C27</f>
        <v>44252</v>
      </c>
      <c r="B27" s="541">
        <f t="shared" si="38"/>
        <v>9645</v>
      </c>
      <c r="C27" s="287">
        <f t="shared" si="11"/>
        <v>0</v>
      </c>
      <c r="D27" s="542">
        <f t="shared" si="39"/>
        <v>331048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2">
        <f t="shared" si="17"/>
        <v>11802</v>
      </c>
      <c r="S27" s="287">
        <f t="shared" si="5"/>
        <v>0</v>
      </c>
      <c r="T27" s="542">
        <f t="shared" si="18"/>
        <v>379778</v>
      </c>
      <c r="U27" s="287">
        <f t="shared" si="36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7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3"/>
        <v>0</v>
      </c>
    </row>
    <row r="28" spans="1:37" ht="15" thickBot="1">
      <c r="A28" s="4">
        <f>ELEC!C28</f>
        <v>44253</v>
      </c>
      <c r="B28" s="541">
        <f t="shared" si="38"/>
        <v>9645</v>
      </c>
      <c r="C28" s="287">
        <f t="shared" si="11"/>
        <v>0</v>
      </c>
      <c r="D28" s="542">
        <f t="shared" si="39"/>
        <v>331048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2">
        <f t="shared" si="17"/>
        <v>11802</v>
      </c>
      <c r="S28" s="287">
        <f t="shared" si="5"/>
        <v>0</v>
      </c>
      <c r="T28" s="542">
        <f t="shared" si="18"/>
        <v>379778</v>
      </c>
      <c r="U28" s="287">
        <f t="shared" si="36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7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3"/>
        <v>0</v>
      </c>
    </row>
    <row r="29" spans="1:37" ht="15" thickBot="1">
      <c r="A29" s="4">
        <f>ELEC!C29</f>
        <v>44254</v>
      </c>
      <c r="B29" s="541">
        <f t="shared" si="38"/>
        <v>9645</v>
      </c>
      <c r="C29" s="287">
        <f t="shared" si="11"/>
        <v>0</v>
      </c>
      <c r="D29" s="542">
        <f t="shared" si="39"/>
        <v>331048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2">
        <f t="shared" si="17"/>
        <v>11802</v>
      </c>
      <c r="S29" s="287">
        <f t="shared" si="5"/>
        <v>0</v>
      </c>
      <c r="T29" s="542">
        <f t="shared" si="18"/>
        <v>379778</v>
      </c>
      <c r="U29" s="287">
        <f t="shared" si="36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7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3"/>
        <v>0</v>
      </c>
    </row>
    <row r="30" spans="1:37">
      <c r="A30" s="4">
        <f>ELEC!C30</f>
        <v>44255</v>
      </c>
      <c r="B30" s="541">
        <f t="shared" si="38"/>
        <v>9645</v>
      </c>
      <c r="C30" s="287">
        <f t="shared" si="11"/>
        <v>0</v>
      </c>
      <c r="D30" s="542">
        <f t="shared" si="39"/>
        <v>331048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2">
        <f t="shared" si="17"/>
        <v>11802</v>
      </c>
      <c r="S30" s="287">
        <f t="shared" si="5"/>
        <v>0</v>
      </c>
      <c r="T30" s="542">
        <f t="shared" si="18"/>
        <v>379778</v>
      </c>
      <c r="U30" s="287">
        <f t="shared" si="36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7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111</v>
      </c>
      <c r="V31" s="40"/>
      <c r="X31">
        <v>341</v>
      </c>
      <c r="Z31" s="421">
        <f>SUM(Z3:Z30)</f>
        <v>111</v>
      </c>
    </row>
    <row r="32" spans="1:37">
      <c r="C32" s="40">
        <f>SUM(C3:C30)</f>
        <v>107</v>
      </c>
      <c r="K32" s="40">
        <f>SUM(K3:K30)</f>
        <v>0</v>
      </c>
      <c r="S32" s="40">
        <f>SUM(S3:S30)</f>
        <v>4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P10" zoomScale="80" zoomScaleNormal="80" workbookViewId="0">
      <selection activeCell="AC25" sqref="AC25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128.54180881307747</v>
      </c>
      <c r="P4" s="297">
        <f>SUM(L4:O4)</f>
        <v>362.96436271025823</v>
      </c>
      <c r="Q4" s="297">
        <f>SUM(-tanks!AX6*tanks!$AU$34)</f>
        <v>370.24125268816618</v>
      </c>
      <c r="R4" s="297">
        <f>SUM(P4:Q4)</f>
        <v>733.20561539842447</v>
      </c>
      <c r="S4" s="299">
        <f>SUM(ELEC!N3)</f>
        <v>6404.3999999999069</v>
      </c>
      <c r="T4" s="336">
        <f>IF(S4&gt;0,R4/S4,0)</f>
        <v>0.11448466919593328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61"/>
      <c r="AC4" s="662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128.54180881307747</v>
      </c>
      <c r="P5" s="297">
        <f t="shared" ref="P5:P31" si="9">SUM(L5:O5)</f>
        <v>348.0522565742715</v>
      </c>
      <c r="Q5" s="297">
        <f>SUM(-tanks!AX7*tanks!$AU$34)</f>
        <v>334.55506451612149</v>
      </c>
      <c r="R5" s="297">
        <f t="shared" ref="R5:R31" si="10">SUM(P5:Q5)</f>
        <v>682.60732109039304</v>
      </c>
      <c r="S5" s="299">
        <f>SUM(ELEC!N4)</f>
        <v>6622</v>
      </c>
      <c r="T5" s="336">
        <f>IF(S5&gt;0,R5/S5,0)</f>
        <v>0.1030817458608265</v>
      </c>
      <c r="U5" s="250"/>
      <c r="V5" s="655"/>
      <c r="W5" s="656"/>
      <c r="X5" s="656"/>
      <c r="Y5" s="657"/>
      <c r="Z5" s="26" t="s">
        <v>203</v>
      </c>
      <c r="AA5" s="264">
        <f>'[7]EDl log'!AA22</f>
        <v>5000</v>
      </c>
      <c r="AB5" s="663"/>
      <c r="AC5" s="664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128.54180881307747</v>
      </c>
      <c r="P6" s="297">
        <f t="shared" si="9"/>
        <v>294.99487680644398</v>
      </c>
      <c r="Q6" s="297">
        <f>SUM(-tanks!AX8*tanks!$AU$34)</f>
        <v>457.28975268818328</v>
      </c>
      <c r="R6" s="297">
        <f t="shared" si="10"/>
        <v>752.28462949462732</v>
      </c>
      <c r="S6" s="299">
        <f>SUM(ELEC!N5)</f>
        <v>6753</v>
      </c>
      <c r="T6" s="336">
        <f t="shared" ref="T6:T31" si="12">IF(S6&gt;0,R6/S6,0)</f>
        <v>0.11140006360056676</v>
      </c>
      <c r="V6" s="658"/>
      <c r="W6" s="659"/>
      <c r="X6" s="659"/>
      <c r="Y6" s="660"/>
      <c r="Z6" s="3"/>
      <c r="AA6" s="3"/>
      <c r="AB6" s="663"/>
      <c r="AC6" s="664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128.54180881307747</v>
      </c>
      <c r="P7" s="297">
        <f t="shared" si="9"/>
        <v>337.23699952617864</v>
      </c>
      <c r="Q7" s="297">
        <f>SUM(-tanks!AX9*tanks!$AU$34)</f>
        <v>445.09808602150952</v>
      </c>
      <c r="R7" s="297">
        <f t="shared" si="10"/>
        <v>782.3350855476881</v>
      </c>
      <c r="S7" s="299">
        <f>SUM(ELEC!N6)</f>
        <v>6587</v>
      </c>
      <c r="T7" s="336">
        <f t="shared" si="12"/>
        <v>0.11876955906295553</v>
      </c>
      <c r="V7" s="651" t="s">
        <v>204</v>
      </c>
      <c r="W7" s="652"/>
      <c r="X7" s="653" t="s">
        <v>205</v>
      </c>
      <c r="Y7" s="654"/>
      <c r="Z7" s="652"/>
      <c r="AA7" s="26"/>
      <c r="AB7" s="665"/>
      <c r="AC7" s="666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128.54180881307747</v>
      </c>
      <c r="P8" s="297">
        <f t="shared" si="9"/>
        <v>329.07514214641083</v>
      </c>
      <c r="Q8" s="297">
        <f>SUM(-tanks!AX10*tanks!$AU$34)</f>
        <v>-216.82289247312377</v>
      </c>
      <c r="R8" s="297">
        <f t="shared" si="10"/>
        <v>112.25224967328705</v>
      </c>
      <c r="S8" s="299">
        <f>SUM(ELEC!N7)</f>
        <v>5932</v>
      </c>
      <c r="T8" s="336">
        <f>IF(S8&gt;0,R8/S8,0)</f>
        <v>1.892317088221292E-2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128.54180881307747</v>
      </c>
      <c r="P9" s="297">
        <f t="shared" si="9"/>
        <v>346.06751362236434</v>
      </c>
      <c r="Q9" s="297">
        <f>SUM(-tanks!AX11*tanks!$AU$34)</f>
        <v>262.86806451611437</v>
      </c>
      <c r="R9" s="297">
        <f>SUM(P9:Q9)</f>
        <v>608.93557813847872</v>
      </c>
      <c r="S9" s="299">
        <f>SUM(ELEC!N8)</f>
        <v>5977</v>
      </c>
      <c r="T9" s="336">
        <f t="shared" si="12"/>
        <v>0.10187980226509599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128.54180881307747</v>
      </c>
      <c r="P10" s="297">
        <f t="shared" si="9"/>
        <v>338.50001776830129</v>
      </c>
      <c r="Q10" s="297">
        <f>SUM(-tanks!AX12*tanks!$AU$34)</f>
        <v>462.16641935484284</v>
      </c>
      <c r="R10" s="297">
        <f t="shared" si="10"/>
        <v>800.66643712314408</v>
      </c>
      <c r="S10" s="299">
        <f>SUM(ELEC!N9)</f>
        <v>6551.2000000001863</v>
      </c>
      <c r="T10" s="336">
        <f t="shared" si="12"/>
        <v>0.12221675984905381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128.54180881307747</v>
      </c>
      <c r="P11" s="297">
        <f t="shared" si="9"/>
        <v>341.46121179815208</v>
      </c>
      <c r="Q11" s="297">
        <f>SUM(-tanks!AX13*tanks!$AU$34)</f>
        <v>286.08099784947893</v>
      </c>
      <c r="R11" s="297">
        <f t="shared" si="10"/>
        <v>627.54220964763101</v>
      </c>
      <c r="S11" s="299">
        <f>SUM(ELEC!N10)</f>
        <v>6289.7999999998137</v>
      </c>
      <c r="T11" s="336">
        <f t="shared" si="12"/>
        <v>9.9771409209776077E-2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128.54180881307747</v>
      </c>
      <c r="P12" s="297">
        <f t="shared" si="9"/>
        <v>285.5700011845534</v>
      </c>
      <c r="Q12" s="297">
        <f>SUM(-tanks!AX14*tanks!$AU$34)</f>
        <v>483.13608602149532</v>
      </c>
      <c r="R12" s="297">
        <f t="shared" si="10"/>
        <v>768.70608720604878</v>
      </c>
      <c r="S12" s="299">
        <f>SUM(ELEC!N11)</f>
        <v>7008</v>
      </c>
      <c r="T12" s="336">
        <f t="shared" si="12"/>
        <v>0.10968979554880832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128.54180881307747</v>
      </c>
      <c r="P13" s="297">
        <f t="shared" si="9"/>
        <v>277.89636934375744</v>
      </c>
      <c r="Q13" s="297">
        <f>SUM(-tanks!AX15*tanks!$AU$34)</f>
        <v>782.24879569892391</v>
      </c>
      <c r="R13" s="297">
        <f t="shared" si="10"/>
        <v>1060.1451650426814</v>
      </c>
      <c r="S13" s="299">
        <f>SUM(ELEC!N12)</f>
        <v>7276</v>
      </c>
      <c r="T13" s="336">
        <f>IF(S13&gt;0,R13/S13,0)</f>
        <v>0.14570439321642129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128.54180881307747</v>
      </c>
      <c r="P14" s="297">
        <f t="shared" ref="P14:P17" si="17">SUM(L14:O14)</f>
        <v>273.82074745321017</v>
      </c>
      <c r="Q14" s="297">
        <f>SUM(-tanks!AX16*tanks!$AU$34)</f>
        <v>624.4021075268904</v>
      </c>
      <c r="R14" s="297">
        <f t="shared" ref="R14:R17" si="18">SUM(P14:Q14)</f>
        <v>898.22285498010058</v>
      </c>
      <c r="S14" s="299">
        <f>SUM(ELEC!N13)</f>
        <v>7236</v>
      </c>
      <c r="T14" s="336">
        <f t="shared" ref="T14:T17" si="19">IF(S14&gt;0,R14/S14,0)</f>
        <v>0.12413251174407139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128.54180881307747</v>
      </c>
      <c r="P15" s="297">
        <f t="shared" si="17"/>
        <v>286.75872423596303</v>
      </c>
      <c r="Q15" s="297">
        <f>SUM(-tanks!AX17*tanks!$AU$34)</f>
        <v>368.69173118279525</v>
      </c>
      <c r="R15" s="297">
        <f t="shared" si="18"/>
        <v>655.45045541875834</v>
      </c>
      <c r="S15" s="299">
        <f>SUM(ELEC!N14)</f>
        <v>5643</v>
      </c>
      <c r="T15" s="336">
        <f t="shared" si="19"/>
        <v>0.11615283633151841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128.54180881307747</v>
      </c>
      <c r="P16" s="297">
        <f t="shared" si="17"/>
        <v>282.98028310826817</v>
      </c>
      <c r="Q16" s="297">
        <f>SUM(-tanks!AX18*tanks!$AU$34)</f>
        <v>610.74744086020962</v>
      </c>
      <c r="R16" s="297">
        <f t="shared" si="18"/>
        <v>893.72772396847779</v>
      </c>
      <c r="S16" s="299">
        <f>SUM(ELEC!N15)</f>
        <v>6507</v>
      </c>
      <c r="T16" s="336">
        <f t="shared" si="19"/>
        <v>0.13734865897778972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128.54180881307747</v>
      </c>
      <c r="P17" s="297">
        <f t="shared" si="17"/>
        <v>300.59885690594643</v>
      </c>
      <c r="Q17" s="297">
        <f>SUM(-tanks!AX19*tanks!$AU$34)</f>
        <v>698.857795698931</v>
      </c>
      <c r="R17" s="297">
        <f t="shared" si="18"/>
        <v>999.45665260487749</v>
      </c>
      <c r="S17" s="299">
        <f>SUM(ELEC!N16)</f>
        <v>7439</v>
      </c>
      <c r="T17" s="336">
        <f t="shared" si="19"/>
        <v>0.13435362987026178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128.54180881307747</v>
      </c>
      <c r="P18" s="297">
        <f t="shared" si="9"/>
        <v>281.72787846481879</v>
      </c>
      <c r="Q18" s="297">
        <f>SUM(-tanks!AX20*tanks!$AU$34)</f>
        <v>526.53841935483581</v>
      </c>
      <c r="R18" s="297">
        <f t="shared" si="10"/>
        <v>808.2662978196546</v>
      </c>
      <c r="S18" s="299">
        <f>SUM(ELEC!N17)</f>
        <v>7469</v>
      </c>
      <c r="T18" s="336">
        <f t="shared" si="12"/>
        <v>0.10821613305926557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128.54180881307747</v>
      </c>
      <c r="P19" s="297">
        <f t="shared" si="9"/>
        <v>327.17530798389009</v>
      </c>
      <c r="Q19" s="297">
        <f>SUM(-tanks!AX21*tanks!$AU$34)</f>
        <v>-340.56437634408098</v>
      </c>
      <c r="R19" s="297">
        <f t="shared" si="10"/>
        <v>-13.38906836019089</v>
      </c>
      <c r="S19" s="299">
        <f>SUM(ELEC!N18)</f>
        <v>5934</v>
      </c>
      <c r="T19" s="336">
        <f t="shared" si="12"/>
        <v>-2.2563310347473694E-3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40">
        <v>134501</v>
      </c>
      <c r="G20" s="160">
        <f t="shared" si="1"/>
        <v>0</v>
      </c>
      <c r="H20" s="540">
        <v>440703</v>
      </c>
      <c r="I20" s="161">
        <f t="shared" si="2"/>
        <v>739</v>
      </c>
      <c r="J20" s="540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128.54180881307747</v>
      </c>
      <c r="P20" s="297">
        <f t="shared" si="9"/>
        <v>228.28840914475242</v>
      </c>
      <c r="Q20" s="297">
        <f>SUM(-tanks!AX22*tanks!$AU$34)</f>
        <v>872.30981720429054</v>
      </c>
      <c r="R20" s="297">
        <f t="shared" si="10"/>
        <v>1100.598226349043</v>
      </c>
      <c r="S20" s="299">
        <f>SUM(ELEC!N19)</f>
        <v>7520</v>
      </c>
      <c r="T20" s="336">
        <f t="shared" si="12"/>
        <v>0.14635614712088338</v>
      </c>
      <c r="V20" t="s">
        <v>412</v>
      </c>
      <c r="AB20" s="571"/>
    </row>
    <row r="21" spans="1:32" ht="15" thickBot="1">
      <c r="A21" s="163">
        <f>ELEC!C20</f>
        <v>44245</v>
      </c>
      <c r="B21" s="540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40">
        <v>134658</v>
      </c>
      <c r="G21" s="160">
        <f t="shared" si="1"/>
        <v>157</v>
      </c>
      <c r="H21" s="540">
        <v>441427</v>
      </c>
      <c r="I21" s="161">
        <f t="shared" si="2"/>
        <v>724</v>
      </c>
      <c r="J21" s="540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128.54180881307747</v>
      </c>
      <c r="P21" s="297">
        <f t="shared" si="9"/>
        <v>253.86718194740581</v>
      </c>
      <c r="Q21" s="297">
        <f>SUM(-tanks!AX23*tanks!$AU$34)</f>
        <v>596.16620752689334</v>
      </c>
      <c r="R21" s="297">
        <f t="shared" si="10"/>
        <v>850.03338947429916</v>
      </c>
      <c r="S21" s="299">
        <f>SUM(ELEC!N20)</f>
        <v>7192</v>
      </c>
      <c r="T21" s="336">
        <f t="shared" si="12"/>
        <v>0.11819151689019733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61"/>
      <c r="AC21" s="662"/>
    </row>
    <row r="22" spans="1:32" ht="15" thickBot="1">
      <c r="A22" s="163">
        <f>ELEC!C21</f>
        <v>44246</v>
      </c>
      <c r="B22" s="540">
        <v>891280</v>
      </c>
      <c r="C22" s="264">
        <f t="shared" si="0"/>
        <v>1609</v>
      </c>
      <c r="D22" s="308">
        <f t="shared" si="8"/>
        <v>1609</v>
      </c>
      <c r="E22" s="308">
        <f t="shared" si="11"/>
        <v>891280</v>
      </c>
      <c r="F22" s="540">
        <v>134892</v>
      </c>
      <c r="G22" s="160">
        <f t="shared" si="1"/>
        <v>234</v>
      </c>
      <c r="H22" s="540">
        <v>442048</v>
      </c>
      <c r="I22" s="161">
        <f t="shared" si="2"/>
        <v>621</v>
      </c>
      <c r="J22" s="540">
        <v>314339</v>
      </c>
      <c r="K22" s="162">
        <f t="shared" si="3"/>
        <v>754</v>
      </c>
      <c r="L22" s="296">
        <f t="shared" si="20"/>
        <v>49.671641791044777</v>
      </c>
      <c r="M22" s="296">
        <f t="shared" si="21"/>
        <v>46.137313432835818</v>
      </c>
      <c r="N22" s="296">
        <f t="shared" si="22"/>
        <v>40.013266998341628</v>
      </c>
      <c r="O22" s="296">
        <f t="shared" si="7"/>
        <v>128.54180881307747</v>
      </c>
      <c r="P22" s="297">
        <f t="shared" si="9"/>
        <v>264.36403103529972</v>
      </c>
      <c r="Q22" s="297">
        <f>SUM(-tanks!AX24*tanks!$AU$34)</f>
        <v>752.50112903225715</v>
      </c>
      <c r="R22" s="297">
        <f t="shared" si="10"/>
        <v>1016.8651600675569</v>
      </c>
      <c r="S22" s="299">
        <f>SUM(ELEC!N21)</f>
        <v>7667</v>
      </c>
      <c r="T22" s="336">
        <f t="shared" si="12"/>
        <v>0.13262881962534978</v>
      </c>
      <c r="V22" s="667"/>
      <c r="W22" s="668"/>
      <c r="X22" s="668"/>
      <c r="Y22" s="669"/>
      <c r="Z22" s="26" t="s">
        <v>203</v>
      </c>
      <c r="AA22" s="26">
        <v>5000</v>
      </c>
      <c r="AB22" s="663"/>
      <c r="AC22" s="664"/>
    </row>
    <row r="23" spans="1:32" ht="15" thickBot="1">
      <c r="A23" s="163">
        <f>ELEC!C22</f>
        <v>44247</v>
      </c>
      <c r="B23" s="540">
        <v>893238</v>
      </c>
      <c r="C23" s="264">
        <f t="shared" si="0"/>
        <v>1958</v>
      </c>
      <c r="D23" s="308">
        <f t="shared" si="8"/>
        <v>1958</v>
      </c>
      <c r="E23" s="308">
        <f t="shared" si="11"/>
        <v>893238</v>
      </c>
      <c r="F23" s="540">
        <v>135164</v>
      </c>
      <c r="G23" s="160">
        <f t="shared" si="1"/>
        <v>272</v>
      </c>
      <c r="H23" s="540">
        <v>442739</v>
      </c>
      <c r="I23" s="161">
        <f t="shared" si="2"/>
        <v>691</v>
      </c>
      <c r="J23" s="540">
        <v>315334</v>
      </c>
      <c r="K23" s="162">
        <f t="shared" si="3"/>
        <v>995</v>
      </c>
      <c r="L23" s="296">
        <f t="shared" si="20"/>
        <v>57.737976782752902</v>
      </c>
      <c r="M23" s="296">
        <f t="shared" si="21"/>
        <v>51.337976782752904</v>
      </c>
      <c r="N23" s="296">
        <f t="shared" si="22"/>
        <v>52.802653399668323</v>
      </c>
      <c r="O23" s="296">
        <f t="shared" si="7"/>
        <v>128.54180881307747</v>
      </c>
      <c r="P23" s="297">
        <f t="shared" si="9"/>
        <v>290.42041577825159</v>
      </c>
      <c r="Q23" s="297">
        <f>SUM(-tanks!AX25*tanks!$AU$34)</f>
        <v>758.84079569890969</v>
      </c>
      <c r="R23" s="297">
        <f t="shared" si="10"/>
        <v>1049.2612114771614</v>
      </c>
      <c r="S23" s="299">
        <f>SUM(ELEC!N22)</f>
        <v>6433</v>
      </c>
      <c r="T23" s="336">
        <f t="shared" si="12"/>
        <v>0.16310604872954476</v>
      </c>
      <c r="V23" s="670"/>
      <c r="W23" s="671"/>
      <c r="X23" s="671"/>
      <c r="Y23" s="672"/>
      <c r="Z23" s="673"/>
      <c r="AA23" s="674"/>
      <c r="AB23" s="663"/>
      <c r="AC23" s="664"/>
    </row>
    <row r="24" spans="1:32" ht="15" customHeight="1" thickBot="1">
      <c r="A24" s="163">
        <f>ELEC!C23</f>
        <v>44248</v>
      </c>
      <c r="B24" s="540">
        <v>894909</v>
      </c>
      <c r="C24" s="264">
        <f t="shared" si="0"/>
        <v>1671</v>
      </c>
      <c r="D24" s="308">
        <f t="shared" si="8"/>
        <v>1671</v>
      </c>
      <c r="E24" s="308">
        <f t="shared" si="11"/>
        <v>894909</v>
      </c>
      <c r="F24" s="540">
        <v>135457</v>
      </c>
      <c r="G24" s="160">
        <f t="shared" si="1"/>
        <v>293</v>
      </c>
      <c r="H24" s="540">
        <v>443416</v>
      </c>
      <c r="I24" s="161">
        <f t="shared" si="2"/>
        <v>677</v>
      </c>
      <c r="J24" s="540">
        <v>316035</v>
      </c>
      <c r="K24" s="162">
        <f t="shared" si="3"/>
        <v>701</v>
      </c>
      <c r="L24" s="296">
        <f t="shared" si="20"/>
        <v>62.195688225538973</v>
      </c>
      <c r="M24" s="296">
        <f t="shared" si="21"/>
        <v>50.297844112769489</v>
      </c>
      <c r="N24" s="296">
        <f t="shared" si="22"/>
        <v>37.200663349917079</v>
      </c>
      <c r="O24" s="296">
        <f t="shared" si="7"/>
        <v>128.54180881307747</v>
      </c>
      <c r="P24" s="297">
        <f t="shared" si="9"/>
        <v>278.236004501303</v>
      </c>
      <c r="Q24" s="297">
        <f>SUM(-tanks!AX26*tanks!$AU$34)</f>
        <v>468.01841935484288</v>
      </c>
      <c r="R24" s="297">
        <f t="shared" si="10"/>
        <v>746.25442385614588</v>
      </c>
      <c r="S24" s="299">
        <f>SUM(ELEC!N23)</f>
        <v>6161</v>
      </c>
      <c r="T24" s="336">
        <f t="shared" si="12"/>
        <v>0.12112553544167276</v>
      </c>
      <c r="V24" s="675" t="s">
        <v>204</v>
      </c>
      <c r="W24" s="676"/>
      <c r="X24" s="677" t="s">
        <v>205</v>
      </c>
      <c r="Y24" s="678"/>
      <c r="Z24" s="679"/>
      <c r="AA24" s="170"/>
      <c r="AB24" s="665"/>
      <c r="AC24" s="666"/>
    </row>
    <row r="25" spans="1:32" ht="17.25" customHeight="1" thickBot="1">
      <c r="A25" s="163">
        <f>ELEC!C24</f>
        <v>44249</v>
      </c>
      <c r="B25" s="540">
        <v>894909</v>
      </c>
      <c r="C25" s="264">
        <f t="shared" si="0"/>
        <v>0</v>
      </c>
      <c r="D25" s="308">
        <f t="shared" si="8"/>
        <v>0</v>
      </c>
      <c r="E25" s="308">
        <f t="shared" si="11"/>
        <v>894909</v>
      </c>
      <c r="F25" s="540">
        <v>135457</v>
      </c>
      <c r="G25" s="160">
        <f t="shared" si="1"/>
        <v>0</v>
      </c>
      <c r="H25" s="540">
        <v>443416</v>
      </c>
      <c r="I25" s="161">
        <f t="shared" si="2"/>
        <v>0</v>
      </c>
      <c r="J25" s="540">
        <v>316035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128.54180881307747</v>
      </c>
      <c r="P25" s="297">
        <f t="shared" si="9"/>
        <v>128.54180881307747</v>
      </c>
      <c r="Q25" s="297">
        <f>SUM(-tanks!AX27*tanks!$AU$34)</f>
        <v>0</v>
      </c>
      <c r="R25" s="297">
        <f t="shared" si="10"/>
        <v>128.54180881307747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f t="shared" ref="B26:B31" si="23">B25</f>
        <v>894909</v>
      </c>
      <c r="C26" s="264">
        <f t="shared" si="0"/>
        <v>0</v>
      </c>
      <c r="D26" s="308">
        <f t="shared" si="8"/>
        <v>0</v>
      </c>
      <c r="E26" s="308">
        <f t="shared" si="11"/>
        <v>894909</v>
      </c>
      <c r="F26" s="540">
        <f t="shared" ref="F26:J31" si="24">F25</f>
        <v>135457</v>
      </c>
      <c r="G26" s="160">
        <f t="shared" si="1"/>
        <v>0</v>
      </c>
      <c r="H26" s="540">
        <f t="shared" si="24"/>
        <v>443416</v>
      </c>
      <c r="I26" s="161">
        <f t="shared" si="2"/>
        <v>0</v>
      </c>
      <c r="J26" s="540">
        <f t="shared" si="24"/>
        <v>316035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128.54180881307747</v>
      </c>
      <c r="P26" s="297">
        <f t="shared" si="9"/>
        <v>128.54180881307747</v>
      </c>
      <c r="Q26" s="297">
        <f>SUM(-tanks!AX28*tanks!$AU$34)</f>
        <v>0</v>
      </c>
      <c r="R26" s="297">
        <f t="shared" si="10"/>
        <v>128.54180881307747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316035</v>
      </c>
      <c r="X26" s="172" t="s">
        <v>199</v>
      </c>
      <c r="Y26" s="172">
        <v>80</v>
      </c>
      <c r="Z26" s="172">
        <v>1</v>
      </c>
      <c r="AA26" s="338">
        <f>(W26-V26)*Z26</f>
        <v>18145</v>
      </c>
      <c r="AB26" s="338">
        <f>AA26*Y26</f>
        <v>1451600</v>
      </c>
      <c r="AC26" s="249">
        <f>AC9</f>
        <v>1033333</v>
      </c>
      <c r="AD26" s="212">
        <f>SUM(K33)</f>
        <v>0.41615192694329384</v>
      </c>
    </row>
    <row r="27" spans="1:32" ht="15" thickBot="1">
      <c r="A27" s="163">
        <f>ELEC!C26</f>
        <v>44251</v>
      </c>
      <c r="B27" s="540">
        <f t="shared" si="23"/>
        <v>894909</v>
      </c>
      <c r="C27" s="264">
        <f t="shared" si="0"/>
        <v>0</v>
      </c>
      <c r="D27" s="308">
        <f t="shared" si="8"/>
        <v>0</v>
      </c>
      <c r="E27" s="308">
        <f t="shared" si="11"/>
        <v>894909</v>
      </c>
      <c r="F27" s="540">
        <f t="shared" si="24"/>
        <v>135457</v>
      </c>
      <c r="G27" s="160">
        <f t="shared" si="1"/>
        <v>0</v>
      </c>
      <c r="H27" s="540">
        <f t="shared" si="24"/>
        <v>443416</v>
      </c>
      <c r="I27" s="161">
        <f t="shared" si="2"/>
        <v>0</v>
      </c>
      <c r="J27" s="540">
        <f t="shared" si="24"/>
        <v>316035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128.54180881307747</v>
      </c>
      <c r="P27" s="297">
        <f t="shared" si="9"/>
        <v>128.54180881307747</v>
      </c>
      <c r="Q27" s="297">
        <f>SUM(-tanks!AX29*tanks!$AU$34)</f>
        <v>0</v>
      </c>
      <c r="R27" s="297">
        <f t="shared" si="10"/>
        <v>128.54180881307747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443416</v>
      </c>
      <c r="X27" s="172" t="s">
        <v>213</v>
      </c>
      <c r="Y27" s="172">
        <v>112</v>
      </c>
      <c r="Z27" s="172">
        <v>1</v>
      </c>
      <c r="AA27" s="338">
        <f>(W27-V27)*Z27</f>
        <v>18309</v>
      </c>
      <c r="AB27" s="338">
        <f>SUM(AA27*Y27)</f>
        <v>2050608</v>
      </c>
      <c r="AC27" s="249">
        <f>AC10</f>
        <v>6200000</v>
      </c>
      <c r="AD27" s="212">
        <f>SUM(I33)</f>
        <v>0.42085119782961511</v>
      </c>
    </row>
    <row r="28" spans="1:32" ht="15" thickBot="1">
      <c r="A28" s="163">
        <f>ELEC!C27</f>
        <v>44252</v>
      </c>
      <c r="B28" s="540">
        <f t="shared" si="23"/>
        <v>894909</v>
      </c>
      <c r="C28" s="264">
        <f t="shared" si="0"/>
        <v>0</v>
      </c>
      <c r="D28" s="308">
        <f t="shared" si="8"/>
        <v>0</v>
      </c>
      <c r="E28" s="308">
        <f t="shared" si="11"/>
        <v>894909</v>
      </c>
      <c r="F28" s="540">
        <f t="shared" si="24"/>
        <v>135457</v>
      </c>
      <c r="G28" s="160">
        <f t="shared" si="1"/>
        <v>0</v>
      </c>
      <c r="H28" s="540">
        <f t="shared" si="24"/>
        <v>443416</v>
      </c>
      <c r="I28" s="161">
        <f t="shared" si="2"/>
        <v>0</v>
      </c>
      <c r="J28" s="540">
        <f t="shared" si="24"/>
        <v>316035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128.54180881307747</v>
      </c>
      <c r="P28" s="297">
        <f t="shared" si="9"/>
        <v>128.54180881307747</v>
      </c>
      <c r="Q28" s="297">
        <f>SUM(-tanks!AX30*tanks!$AU$34)</f>
        <v>0</v>
      </c>
      <c r="R28" s="297">
        <f t="shared" si="10"/>
        <v>128.54180881307747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135457</v>
      </c>
      <c r="X28" s="172" t="s">
        <v>197</v>
      </c>
      <c r="Y28" s="172">
        <v>320</v>
      </c>
      <c r="Z28" s="172">
        <v>1</v>
      </c>
      <c r="AA28" s="338">
        <f>(W28-V28)*Z28</f>
        <v>7174</v>
      </c>
      <c r="AB28" s="338">
        <f>SUM(AA28*Y28)</f>
        <v>2295680</v>
      </c>
      <c r="AC28" s="249">
        <f>AC11</f>
        <v>1000</v>
      </c>
      <c r="AD28" s="212">
        <f>SUM(G33)</f>
        <v>0.16297265218128529</v>
      </c>
      <c r="AE28" s="40">
        <f>SUM(AB28*5%)</f>
        <v>114784</v>
      </c>
      <c r="AF28" s="82">
        <f>SUM(AE28/7)*31</f>
        <v>508329.1428571429</v>
      </c>
    </row>
    <row r="29" spans="1:32" ht="15" thickBot="1">
      <c r="A29" s="163">
        <f>ELEC!C28</f>
        <v>44253</v>
      </c>
      <c r="B29" s="540">
        <f t="shared" si="23"/>
        <v>894909</v>
      </c>
      <c r="C29" s="264">
        <f t="shared" si="0"/>
        <v>0</v>
      </c>
      <c r="D29" s="308">
        <f t="shared" si="8"/>
        <v>0</v>
      </c>
      <c r="E29" s="308">
        <f t="shared" si="11"/>
        <v>894909</v>
      </c>
      <c r="F29" s="540">
        <f t="shared" si="24"/>
        <v>135457</v>
      </c>
      <c r="G29" s="160">
        <f t="shared" si="1"/>
        <v>0</v>
      </c>
      <c r="H29" s="540">
        <f t="shared" si="24"/>
        <v>443416</v>
      </c>
      <c r="I29" s="161">
        <f t="shared" si="2"/>
        <v>0</v>
      </c>
      <c r="J29" s="540">
        <f t="shared" si="24"/>
        <v>316035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128.54180881307747</v>
      </c>
      <c r="P29" s="297">
        <f t="shared" si="9"/>
        <v>128.54180881307747</v>
      </c>
      <c r="Q29" s="297">
        <f>SUM(-tanks!AX31*tanks!$AU$34)</f>
        <v>0</v>
      </c>
      <c r="R29" s="297">
        <f t="shared" si="10"/>
        <v>128.54180881307747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43628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3"/>
        <v>894909</v>
      </c>
      <c r="C30" s="264">
        <f t="shared" si="0"/>
        <v>0</v>
      </c>
      <c r="D30" s="308">
        <f t="shared" si="8"/>
        <v>0</v>
      </c>
      <c r="E30" s="308">
        <f t="shared" si="11"/>
        <v>894909</v>
      </c>
      <c r="F30" s="540">
        <f t="shared" si="24"/>
        <v>135457</v>
      </c>
      <c r="G30" s="160">
        <f t="shared" si="1"/>
        <v>0</v>
      </c>
      <c r="H30" s="540">
        <f t="shared" si="24"/>
        <v>443416</v>
      </c>
      <c r="I30" s="161">
        <f t="shared" si="2"/>
        <v>0</v>
      </c>
      <c r="J30" s="540">
        <f t="shared" si="24"/>
        <v>316035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128.54180881307747</v>
      </c>
      <c r="P30" s="297">
        <f t="shared" si="9"/>
        <v>128.54180881307747</v>
      </c>
      <c r="Q30" s="297">
        <f>SUM(-tanks!AX32*tanks!$AU$34)</f>
        <v>0</v>
      </c>
      <c r="R30" s="297">
        <f t="shared" si="10"/>
        <v>128.54180881307747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5797888</v>
      </c>
      <c r="AC30" s="249">
        <f>SUM(AC26:AC29)/A34*A32</f>
        <v>5425749.75</v>
      </c>
    </row>
    <row r="31" spans="1:32">
      <c r="A31" s="163">
        <f>ELEC!C30</f>
        <v>44255</v>
      </c>
      <c r="B31" s="540">
        <f t="shared" si="23"/>
        <v>894909</v>
      </c>
      <c r="C31" s="264">
        <f t="shared" si="0"/>
        <v>0</v>
      </c>
      <c r="D31" s="308">
        <f t="shared" si="8"/>
        <v>0</v>
      </c>
      <c r="E31" s="308">
        <f t="shared" si="11"/>
        <v>894909</v>
      </c>
      <c r="F31" s="540">
        <f t="shared" si="24"/>
        <v>135457</v>
      </c>
      <c r="G31" s="160">
        <f t="shared" si="1"/>
        <v>0</v>
      </c>
      <c r="H31" s="540">
        <f t="shared" si="24"/>
        <v>443416</v>
      </c>
      <c r="I31" s="161">
        <f t="shared" si="2"/>
        <v>0</v>
      </c>
      <c r="J31" s="540">
        <f t="shared" si="24"/>
        <v>316035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128.54180881307747</v>
      </c>
      <c r="P31" s="297">
        <f t="shared" si="9"/>
        <v>128.54180881307747</v>
      </c>
      <c r="Q31" s="297">
        <f>SUM(-tanks!AX33*tanks!$AU$34)</f>
        <v>0</v>
      </c>
      <c r="R31" s="297">
        <f t="shared" si="10"/>
        <v>128.54180881307747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111</v>
      </c>
      <c r="X31" s="222">
        <f>SUM(W31/A32)</f>
        <v>5.2857142857142856</v>
      </c>
      <c r="Y31" s="260">
        <f>SUM(X31/2)</f>
        <v>2.6428571428571428</v>
      </c>
      <c r="Z31" s="3"/>
      <c r="AA31" s="3"/>
      <c r="AB31" s="543">
        <f>SUM(AB30+AC31)</f>
        <v>11223637.75</v>
      </c>
      <c r="AC31" s="249">
        <f>SUM(AC30)</f>
        <v>5425749.75</v>
      </c>
    </row>
    <row r="32" spans="1:32" ht="15" thickBot="1">
      <c r="A32" s="539">
        <f>A34-COUNTIF(C4:C31,0)</f>
        <v>21</v>
      </c>
      <c r="C32" s="173">
        <f>SUM(C4:C31)/A32</f>
        <v>1965.8571428571429</v>
      </c>
      <c r="D32" s="173"/>
      <c r="E32" s="173"/>
      <c r="G32" s="173">
        <f>SUM(G4:G31)/A32</f>
        <v>320.38095238095241</v>
      </c>
      <c r="I32" s="173">
        <f>SUM(I4:I31)/A32</f>
        <v>827.33333333333337</v>
      </c>
      <c r="K32" s="173">
        <f>SUM(K4:K31)/A32</f>
        <v>818.09523809523807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193776.77678571429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0.99997577695419426</v>
      </c>
      <c r="G33" s="225">
        <f>IF(C32&gt;0,G32/C32,0)</f>
        <v>0.16297265218128529</v>
      </c>
      <c r="H33" s="212"/>
      <c r="I33" s="225">
        <f>SUM(I32/C32)</f>
        <v>0.42085119782961511</v>
      </c>
      <c r="J33" s="212"/>
      <c r="K33" s="225">
        <f>SUM(K32/C32)</f>
        <v>0.41615192694329384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7445.1991708126034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3599.1706467661693</v>
      </c>
      <c r="Z35" s="40"/>
      <c r="AA35" s="292" t="s">
        <v>215</v>
      </c>
      <c r="AB35" s="293">
        <f>SUM(AB33)</f>
        <v>7445.1991708126034</v>
      </c>
    </row>
    <row r="36" spans="1:32">
      <c r="V36" s="217"/>
      <c r="W36" s="82">
        <f>(AB30+AB51)/1507.5</f>
        <v>3846.0285240464345</v>
      </c>
      <c r="X36" s="544"/>
      <c r="Z36" s="294">
        <f>SUM(AB35)</f>
        <v>7445.1991708126034</v>
      </c>
      <c r="AA36" s="293"/>
      <c r="AB36" s="293"/>
    </row>
    <row r="37" spans="1:32">
      <c r="V37" s="17"/>
      <c r="W37" s="82">
        <f>SUM(W35:W36)</f>
        <v>7445.1991708126043</v>
      </c>
      <c r="X37" s="544"/>
      <c r="Y37" s="82"/>
      <c r="Z37" s="294">
        <f>SUM(-tanks!AX34)*tanks!AU34</f>
        <v>9603.3711139784864</v>
      </c>
      <c r="AA37" s="101">
        <f>SUM(AB31/A32)</f>
        <v>534458.94047619053</v>
      </c>
      <c r="AB37" s="348">
        <f>SUM(AA37*A34)</f>
        <v>14964850.333333336</v>
      </c>
    </row>
    <row r="38" spans="1:32" ht="18.5">
      <c r="W38" s="82">
        <f>(AB30+AB51)/1507.5</f>
        <v>3846.0285240464345</v>
      </c>
      <c r="Z38" s="276">
        <f>SUM(Z36:Z37)</f>
        <v>17048.570284791091</v>
      </c>
      <c r="AA38" s="293">
        <f>SUM(AA37/1507.5)</f>
        <v>354.53329384821927</v>
      </c>
      <c r="AB38" s="347">
        <f>SUM(AB37/1507.5)</f>
        <v>9926.9322277501396</v>
      </c>
    </row>
    <row r="39" spans="1:32">
      <c r="D39" s="519"/>
      <c r="E39" s="519"/>
      <c r="F39" s="519"/>
      <c r="W39" s="82">
        <f>SUM(W37:W38)</f>
        <v>11291.227694859039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48"/>
      <c r="AC42" s="648"/>
      <c r="AD42" s="17"/>
      <c r="AE42" s="17"/>
      <c r="AF42" s="17"/>
    </row>
    <row r="43" spans="1:32">
      <c r="V43" s="648"/>
      <c r="W43" s="648"/>
      <c r="X43" s="648"/>
      <c r="Y43" s="648"/>
      <c r="Z43" s="548"/>
      <c r="AA43" s="548"/>
      <c r="AB43" s="648"/>
      <c r="AC43" s="648"/>
      <c r="AD43" s="17"/>
      <c r="AE43" s="17"/>
      <c r="AF43" s="17"/>
    </row>
    <row r="44" spans="1:32">
      <c r="V44" s="648"/>
      <c r="W44" s="648"/>
      <c r="X44" s="648"/>
      <c r="Y44" s="648"/>
      <c r="Z44" s="648"/>
      <c r="AA44" s="648"/>
      <c r="AB44" s="648"/>
      <c r="AC44" s="648"/>
      <c r="AD44" s="17"/>
      <c r="AE44" s="17"/>
      <c r="AF44" s="17"/>
    </row>
    <row r="45" spans="1:32">
      <c r="V45" s="649"/>
      <c r="W45" s="649"/>
      <c r="X45" s="650"/>
      <c r="Y45" s="650"/>
      <c r="Z45" s="650"/>
      <c r="AA45" s="549"/>
      <c r="AB45" s="648"/>
      <c r="AC45" s="648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2:AC45"/>
    <mergeCell ref="V43:Y44"/>
    <mergeCell ref="Z44:AA44"/>
    <mergeCell ref="V45:W45"/>
    <mergeCell ref="X45:Z45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G27" sqref="G27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7.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>
        <v>1.4</v>
      </c>
      <c r="C24" s="600">
        <v>7.8</v>
      </c>
      <c r="D24" s="170"/>
      <c r="E24" s="170">
        <v>1</v>
      </c>
      <c r="F24" s="170">
        <v>8</v>
      </c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>
        <v>1.5</v>
      </c>
      <c r="C25" s="582">
        <v>7.8</v>
      </c>
      <c r="D25" s="170"/>
      <c r="E25" s="170">
        <v>1</v>
      </c>
      <c r="F25" s="170">
        <v>8</v>
      </c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>
        <v>1.5</v>
      </c>
      <c r="C26" s="584">
        <v>7.8</v>
      </c>
      <c r="D26" s="170"/>
      <c r="E26" s="170">
        <v>1</v>
      </c>
      <c r="F26" s="170">
        <v>8</v>
      </c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6720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6720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6720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696" t="s">
        <v>161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</row>
    <row r="2" spans="1:28" ht="19.5">
      <c r="A2" s="697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</row>
    <row r="3" spans="1:28" ht="19.5">
      <c r="A3" s="697" t="s">
        <v>162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7" t="s">
        <v>409</v>
      </c>
      <c r="B5" s="697"/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</row>
    <row r="6" spans="1:28" ht="15" thickBot="1">
      <c r="A6" s="698"/>
      <c r="B6" s="698"/>
      <c r="C6" s="698"/>
      <c r="D6" s="698"/>
      <c r="E6" s="698"/>
      <c r="F6" s="698"/>
      <c r="G6" s="698"/>
      <c r="H6" s="698"/>
      <c r="I6" s="698"/>
      <c r="J6" s="698"/>
      <c r="K6" s="698"/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</row>
    <row r="7" spans="1:28" ht="1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14</v>
      </c>
      <c r="G28" s="272">
        <f>'General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19</v>
      </c>
      <c r="G29" s="272">
        <f>'General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18</v>
      </c>
      <c r="G30" s="272">
        <f>'General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-185.40000000000003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-5694.8000000000011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abSelected="1"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21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571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6149.9999999999991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17500.099999999999</v>
      </c>
      <c r="C8" s="493">
        <f>SUM(tanks!AU34)</f>
        <v>0.48766666666666669</v>
      </c>
      <c r="D8" s="191">
        <f>SUM(B8*C8)*D4</f>
        <v>12865329.765749998</v>
      </c>
      <c r="E8" s="192">
        <f>SUM(D8/D4/F4)</f>
        <v>406.39121111111109</v>
      </c>
      <c r="F8" s="192">
        <f>SUM(E8*F4)</f>
        <v>8534.2154333333328</v>
      </c>
      <c r="G8" s="510">
        <f>E8*$F$4</f>
        <v>8534.2154333333328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11223637.75</v>
      </c>
      <c r="E10" s="182">
        <f>SUM(D10/D4/F4)</f>
        <v>354.53329384821922</v>
      </c>
      <c r="F10" s="182">
        <f>SUM(E10*F4)</f>
        <v>7445.1991708126034</v>
      </c>
      <c r="G10" s="510">
        <f>E10*$G$4</f>
        <v>9926.9322277501378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1053.7816478164732</v>
      </c>
      <c r="F12" s="180">
        <f>SUM(F6:F10)</f>
        <v>22129.414604145935</v>
      </c>
      <c r="G12" s="179">
        <f>SUM(G6:G10)</f>
        <v>26661.147661083469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-28634.290726013289</v>
      </c>
      <c r="I14" s="423">
        <f>SUM(G12-I12)</f>
        <v>-28634.290726013289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15.880952380952381</v>
      </c>
      <c r="C16" s="433">
        <f>'[13]Utility Cost '!B16</f>
        <v>14.293103448275861</v>
      </c>
      <c r="D16" s="432"/>
      <c r="E16" s="433">
        <f t="shared" si="0"/>
        <v>1.5878489326765202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111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-4.4200000000000728</v>
      </c>
      <c r="F18" s="528">
        <f>B18-D18</f>
        <v>-61.73885330486587</v>
      </c>
    </row>
    <row r="19" spans="1:10">
      <c r="A19" s="522" t="s">
        <v>411</v>
      </c>
      <c r="B19" s="520">
        <f>SUM(B18/$F$4)</f>
        <v>5.2857142857142856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2021-02-23T07:54:55Z</dcterms:modified>
</cp:coreProperties>
</file>