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EE9DE9CF-C118-43A7-82A4-8FBF62017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tc={0654830B-AFB0-436F-BA56-78E14FA29F8A}</author>
  </authors>
  <commentList>
    <comment ref="B8" authorId="0" shapeId="0" xr:uid="{0654830B-AFB0-436F-BA56-78E14FA29F8A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Informed meter reading has issue</t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<sst xmlns="http://schemas.openxmlformats.org/spreadsheetml/2006/main" count="201" uniqueCount="128">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</sst>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-420699.99999999994</c:v>
                </c:pt>
                <c:pt idx="1">
                  <c:v>-2380800</c:v>
                </c:pt>
                <c:pt idx="2">
                  <c:v>-229580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1-07-11T03:58:51.80" personId="{00000000-0000-0000-0000-000000000000}" id="{0654830B-AFB0-436F-BA56-78E14FA29F8A}">
    <text>Informed meter reading has issue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M2" sqref="M2:O1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/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/>
      <c r="F12" s="48">
        <v>0.14000000000000001</v>
      </c>
      <c r="G12" s="107"/>
      <c r="H12" s="48">
        <v>0.45</v>
      </c>
      <c r="I12" s="65"/>
      <c r="J12" s="76">
        <v>0.4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/>
      <c r="F13" s="48">
        <v>0.14000000000000001</v>
      </c>
      <c r="G13" s="107"/>
      <c r="H13" s="48">
        <v>0.45</v>
      </c>
      <c r="I13" s="65"/>
      <c r="J13" s="76">
        <v>0.4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/>
      <c r="F14" s="48">
        <v>0.14000000000000001</v>
      </c>
      <c r="G14" s="107"/>
      <c r="H14" s="48">
        <v>0.45</v>
      </c>
      <c r="I14" s="65"/>
      <c r="J14" s="76">
        <v>0.4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/>
      <c r="F15" s="48">
        <v>0.14000000000000001</v>
      </c>
      <c r="G15" s="107"/>
      <c r="H15" s="48">
        <v>0.45</v>
      </c>
      <c r="I15" s="65"/>
      <c r="J15" s="76">
        <v>0.4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/>
      <c r="F16" s="48">
        <v>0.14000000000000001</v>
      </c>
      <c r="G16" s="107"/>
      <c r="H16" s="48">
        <v>0.45</v>
      </c>
      <c r="I16" s="65"/>
      <c r="J16" s="76">
        <v>0.4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/>
      <c r="F17" s="48">
        <v>0.14000000000000001</v>
      </c>
      <c r="G17" s="107"/>
      <c r="H17" s="48">
        <v>0.45</v>
      </c>
      <c r="I17" s="65"/>
      <c r="J17" s="76">
        <v>0.4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/>
      <c r="F18" s="48">
        <v>0.14000000000000001</v>
      </c>
      <c r="G18" s="107"/>
      <c r="H18" s="48">
        <v>0.45</v>
      </c>
      <c r="I18" s="65"/>
      <c r="J18" s="76">
        <v>0.4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/>
      <c r="F19" s="48">
        <v>0.14000000000000001</v>
      </c>
      <c r="G19" s="107"/>
      <c r="H19" s="48">
        <v>0.45</v>
      </c>
      <c r="I19" s="65"/>
      <c r="J19" s="76">
        <v>0.4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/>
      <c r="F20" s="48">
        <v>0.14000000000000001</v>
      </c>
      <c r="G20" s="107"/>
      <c r="H20" s="48">
        <v>0.45</v>
      </c>
      <c r="I20" s="65"/>
      <c r="J20" s="76">
        <v>0.4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/>
      <c r="F21" s="48">
        <v>0.14000000000000001</v>
      </c>
      <c r="G21" s="107"/>
      <c r="H21" s="48">
        <v>0.45</v>
      </c>
      <c r="I21" s="65"/>
      <c r="J21" s="76">
        <v>0.4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223790.00000000041</v>
      </c>
      <c r="F33" s="104">
        <v>0</v>
      </c>
      <c r="G33" s="101">
        <f>SUM(G2:G32)</f>
        <v>60679</v>
      </c>
      <c r="H33" s="102">
        <v>0</v>
      </c>
      <c r="I33" s="103">
        <f>SUM(I2:I32)</f>
        <v>2472</v>
      </c>
      <c r="J33" s="104">
        <v>0</v>
      </c>
      <c r="K33" s="105">
        <v>0</v>
      </c>
      <c r="L33" s="102">
        <v>0</v>
      </c>
      <c r="M33" s="106">
        <f t="shared" ref="M33:O33" si="1">SUM(M2:M32)</f>
        <v>112</v>
      </c>
      <c r="N33" s="106">
        <f t="shared" si="1"/>
        <v>315</v>
      </c>
      <c r="O33" s="106">
        <f t="shared" si="1"/>
        <v>853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R23" sqref="R2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/>
      <c r="W13" s="71"/>
      <c r="X13" s="71"/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/>
      <c r="W14" s="71"/>
      <c r="X14" s="71"/>
      <c r="Y14" s="17"/>
    </row>
    <row r="15" spans="1:25" ht="21" customHeight="1" x14ac:dyDescent="0.25">
      <c r="A15" s="8">
        <v>44389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44390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44391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44392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44393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44394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44395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44396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44397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44398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44399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44400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44401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44402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112</v>
      </c>
      <c r="W35" s="78">
        <f>SUM(W4:W34)</f>
        <v>315</v>
      </c>
      <c r="X35" s="78">
        <f>SUM(X4:X34)</f>
        <v>853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9" sqref="G3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0</v>
      </c>
      <c r="C14" s="4">
        <f>('Kwh Reading'!T15-'Kwh Reading'!T14)*1000</f>
        <v>-424970</v>
      </c>
      <c r="D14" s="2">
        <f>('Kwh Reading'!F15-'Kwh Reading'!F14)*1000000</f>
        <v>-2404200</v>
      </c>
      <c r="E14" s="2">
        <f>('Kwh Reading'!C15-'Kwh Reading'!C14)*1000</f>
        <v>-231840</v>
      </c>
      <c r="F14" s="2">
        <f>('Kwh Reading'!J15-'Kwh Reading'!J14)*1000</f>
        <v>-318430</v>
      </c>
      <c r="G14" s="2">
        <f>('Kwh Reading'!K15-'Kwh Reading'!K14)*1000</f>
        <v>-343210</v>
      </c>
      <c r="H14" s="2">
        <f>('Kwh Reading'!L15-'Kwh Reading'!L14)*1000</f>
        <v>-235800</v>
      </c>
      <c r="I14" s="2">
        <f>('Kwh Reading'!R15-'Kwh Reading'!R14)*1000</f>
        <v>-160840</v>
      </c>
      <c r="J14" s="2">
        <f>('Kwh Reading'!S15-'Kwh Reading'!S14)*1000</f>
        <v>-116340</v>
      </c>
      <c r="K14" s="2">
        <f>('Kwh Reading'!I15-'Kwh Reading'!I14)*1000</f>
        <v>-239320</v>
      </c>
      <c r="L14" s="2">
        <f>('Kwh Reading'!B15-'Kwh Reading'!B14)*1000</f>
        <v>-994200</v>
      </c>
      <c r="M14" s="2">
        <f>('Kwh Reading'!M15-'Kwh Reading'!M14)*1000</f>
        <v>-526190</v>
      </c>
      <c r="N14" s="2">
        <f>('Kwh Reading'!H15-'Kwh Reading'!H14)*1000</f>
        <v>-626840</v>
      </c>
      <c r="O14" s="2">
        <f>('Kwh Reading'!P15-'Kwh Reading'!P14)*1000</f>
        <v>-629310</v>
      </c>
      <c r="P14" s="2">
        <f>('Kwh Reading'!G15-'Kwh Reading'!G14)*1000</f>
        <v>-753960</v>
      </c>
      <c r="Q14" s="2">
        <f>('Kwh Reading'!Q15-'Kwh Reading'!Q14)*1000</f>
        <v>-467800</v>
      </c>
      <c r="R14" s="2">
        <f>('Kwh Reading'!N15-'Kwh Reading'!N14)*1000</f>
        <v>-480030</v>
      </c>
      <c r="S14" s="34">
        <f>'Kwh Reading'!E15-'Kwh Reading'!E14</f>
        <v>-8216837.4900000002</v>
      </c>
      <c r="T14" s="34">
        <f>'Kwh Reading'!D15-'Kwh Reading'!D14</f>
        <v>-7504440.0499999998</v>
      </c>
      <c r="U14" s="27">
        <f>('Kwh Reading'!O15-'Kwh Reading'!O14)*1000</f>
        <v>-153530</v>
      </c>
      <c r="V14" s="16">
        <f t="shared" si="1"/>
        <v>24828087.540000003</v>
      </c>
    </row>
    <row r="15" spans="1:22" x14ac:dyDescent="0.25">
      <c r="A15" s="3">
        <f>'Kwh Reading'!A15</f>
        <v>44389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44390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44391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44392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44393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44394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44395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44396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44397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44398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44399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44400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44401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44402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226990.00000000026</v>
      </c>
      <c r="C35" s="75">
        <f t="shared" ref="C35" si="2">SUM(C4:C34)</f>
        <v>-420699.99999999994</v>
      </c>
      <c r="D35" s="75">
        <f t="shared" ref="D35" si="3">SUM(D4:D34)</f>
        <v>-2380800</v>
      </c>
      <c r="E35" s="75">
        <f t="shared" ref="E35" si="4">SUM(E4:E34)</f>
        <v>-229580</v>
      </c>
      <c r="F35" s="75">
        <f t="shared" ref="F35" si="5">SUM(F4:F34)</f>
        <v>-316460</v>
      </c>
      <c r="G35" s="75">
        <f t="shared" ref="G35:U35" si="6">SUM(G4:G34)</f>
        <v>-340800.00000000006</v>
      </c>
      <c r="H35" s="75">
        <f t="shared" si="6"/>
        <v>-233900</v>
      </c>
      <c r="I35" s="75">
        <f t="shared" si="6"/>
        <v>-157730</v>
      </c>
      <c r="J35" s="75">
        <f t="shared" si="6"/>
        <v>-115160</v>
      </c>
      <c r="K35" s="75">
        <f t="shared" si="6"/>
        <v>-236040</v>
      </c>
      <c r="L35" s="75">
        <f t="shared" si="6"/>
        <v>-981179.99999999988</v>
      </c>
      <c r="M35" s="75">
        <f t="shared" si="6"/>
        <v>-518450</v>
      </c>
      <c r="N35" s="75">
        <f t="shared" si="6"/>
        <v>-622150</v>
      </c>
      <c r="O35" s="75">
        <f t="shared" si="6"/>
        <v>-618580.00000000012</v>
      </c>
      <c r="P35" s="75">
        <f t="shared" si="6"/>
        <v>-746169.99999999988</v>
      </c>
      <c r="Q35" s="75">
        <f t="shared" si="6"/>
        <v>-461070</v>
      </c>
      <c r="R35" s="75">
        <f t="shared" si="6"/>
        <v>-472620.00000000006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24894971.440000001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0</v>
      </c>
      <c r="C13" s="1">
        <f>'Kwh Consumption'!C14</f>
        <v>-424970</v>
      </c>
      <c r="D13" s="1">
        <f>'Kwh Consumption'!D14</f>
        <v>-2404200</v>
      </c>
      <c r="E13" s="1">
        <f>'Kwh Consumption'!E14</f>
        <v>-231840</v>
      </c>
      <c r="F13" s="1">
        <f>('Kwh Consumption'!F14+'Kwh Consumption'!G14+'Kwh Consumption'!H14)</f>
        <v>-897440</v>
      </c>
      <c r="G13" s="16">
        <f>('Kwh Consumption'!I14+'Kwh Consumption'!J14)</f>
        <v>-277180</v>
      </c>
      <c r="H13" s="1">
        <f>('Kwh Consumption'!K14+'Kwh Consumption'!L14)</f>
        <v>-1233520</v>
      </c>
      <c r="I13" s="1">
        <f>('Kwh Consumption'!M14+'Kwh Consumption'!N14+'Kwh Consumption'!O14+'Kwh Consumption'!P14+'Kwh Consumption'!Q14+'Kwh Consumption'!R14)</f>
        <v>-3484130</v>
      </c>
      <c r="J13" s="1">
        <f>('Kwh Consumption'!S14+'Kwh Consumption'!T14)</f>
        <v>-15721277.539999999</v>
      </c>
      <c r="K13" s="1">
        <f>'Kwh Consumption'!U14</f>
        <v>-153530</v>
      </c>
      <c r="L13" s="32">
        <f t="shared" si="0"/>
        <v>24828087.539999999</v>
      </c>
    </row>
    <row r="14" spans="1:12" x14ac:dyDescent="0.25">
      <c r="A14" s="14">
        <f>'Kwh Reading'!A15</f>
        <v>44389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44390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44391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44392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44393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44394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44395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44396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44397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44398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44399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44400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44401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44402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223790.00000000041</v>
      </c>
      <c r="C34" s="75">
        <f>SUM(C3:C33)</f>
        <v>-420699.99999999994</v>
      </c>
      <c r="D34" s="75">
        <f t="shared" ref="D34:L34" si="1">SUM(D3:D33)</f>
        <v>-2380800</v>
      </c>
      <c r="E34" s="75">
        <f t="shared" si="1"/>
        <v>-229580</v>
      </c>
      <c r="F34" s="75">
        <f t="shared" si="1"/>
        <v>-891160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-15665211.439999998</v>
      </c>
      <c r="K34" s="75">
        <f t="shared" si="1"/>
        <v>-151380</v>
      </c>
      <c r="L34" s="75">
        <f t="shared" si="1"/>
        <v>24891771.439999998</v>
      </c>
      <c r="M34" s="84">
        <f>C34+D34+E34+F34+G34+H34+I34+J34+K34+L34</f>
        <v>223790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</v>
      </c>
      <c r="D36" s="75">
        <f>D34*B36</f>
        <v>-333312.00000000006</v>
      </c>
      <c r="E36" s="75">
        <f>E34*B36</f>
        <v>-32141.200000000004</v>
      </c>
      <c r="F36" s="75">
        <f>F34*B36</f>
        <v>-124762.40000000001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-2193129.6015999997</v>
      </c>
      <c r="K36" s="75">
        <f>K34*B36</f>
        <v>-21193.200000000001</v>
      </c>
      <c r="L36" s="75">
        <f>L34*B36</f>
        <v>3484848.0016000001</v>
      </c>
      <c r="M36" s="84">
        <f>C36+D36+E36+F36+G36+H36+I36+J36+K36+L36</f>
        <v>31330.600000000093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-59495.8</v>
      </c>
      <c r="E13" s="1">
        <f>'Kwh Consumption'!D14*' Kwh area wise $ '!B13</f>
        <v>-336588.00000000006</v>
      </c>
      <c r="F13" s="1">
        <f>'Kwh Consumption'!E14*' Kwh area wise $ '!B13</f>
        <v>-32457.600000000002</v>
      </c>
      <c r="G13" s="1">
        <f>('Kwh Consumption'!F14+'Kwh Consumption'!G14+'Kwh Consumption'!H14)*' Kwh area wise $ '!B13</f>
        <v>-125641.60000000001</v>
      </c>
      <c r="H13" s="16">
        <f>('Kwh Consumption'!I14+'Kwh Consumption'!J14)*' Kwh area wise $ '!B13</f>
        <v>-38805.200000000004</v>
      </c>
      <c r="I13" s="1">
        <f>('Kwh Consumption'!K14+'Kwh Consumption'!L14)*' Kwh area wise $ '!B13</f>
        <v>-172692.80000000002</v>
      </c>
      <c r="J13" s="1">
        <f>('Kwh Consumption'!M14+'Kwh Consumption'!N14+'Kwh Consumption'!O14+'Kwh Consumption'!P14+'Kwh Consumption'!Q14+'Kwh Consumption'!R14)*' Kwh area wise $ '!B13</f>
        <v>-487778.20000000007</v>
      </c>
      <c r="K13" s="1">
        <f>('Kwh Consumption'!S14+'Kwh Consumption'!T14)*' Kwh area wise $ '!B13</f>
        <v>-2200978.8555999999</v>
      </c>
      <c r="L13" s="1">
        <f>'Kwh Consumption'!U14*' Kwh area wise $ '!B13</f>
        <v>-21494.2</v>
      </c>
      <c r="M13" s="1">
        <f>'Kwh Consumption'!V14*' Kwh area wise $ '!B13</f>
        <v>3475932.2556000007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31778.600000000042</v>
      </c>
      <c r="D34" s="75">
        <f t="shared" si="0"/>
        <v>-58898</v>
      </c>
      <c r="E34" s="75">
        <f t="shared" si="0"/>
        <v>-333312.00000000006</v>
      </c>
      <c r="F34" s="75">
        <f t="shared" si="0"/>
        <v>-32141.200000000004</v>
      </c>
      <c r="G34" s="75">
        <f t="shared" si="0"/>
        <v>-124762.40000000001</v>
      </c>
      <c r="H34" s="75">
        <f t="shared" si="0"/>
        <v>-38204.6</v>
      </c>
      <c r="I34" s="75">
        <f t="shared" si="0"/>
        <v>-170410.80000000002</v>
      </c>
      <c r="J34" s="75">
        <f t="shared" si="0"/>
        <v>-481465.60000000009</v>
      </c>
      <c r="K34" s="75">
        <f t="shared" si="0"/>
        <v>-2193129.6015999997</v>
      </c>
      <c r="L34" s="75">
        <f t="shared" si="0"/>
        <v>-21193.200000000001</v>
      </c>
      <c r="M34" s="75">
        <f>SUM(M3:M33)</f>
        <v>3485296.0016000005</v>
      </c>
      <c r="N34" s="84">
        <f>D34+E34+F34+G34+H34+I34+J34+K34+L34+M34</f>
        <v>31778.600000000559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C19" sqref="C1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248695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44390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44391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44392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44393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44394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44395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44396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44397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44398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44399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44400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44401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44402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44403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7" sqref="C7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363</v>
      </c>
      <c r="T12" s="100">
        <f t="shared" si="10"/>
        <v>0.53539823008849563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546</v>
      </c>
      <c r="Z12" s="67">
        <f t="shared" si="1"/>
        <v>1.68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-242</v>
      </c>
      <c r="T13" s="100">
        <f t="shared" si="10"/>
        <v>-1.3828571428571428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39</v>
      </c>
      <c r="Z13" s="67">
        <f t="shared" si="1"/>
        <v>0.16317991631799164</v>
      </c>
    </row>
    <row r="14" spans="1:26" x14ac:dyDescent="0.25">
      <c r="A14" s="8">
        <f>'Water Reading'!A13</f>
        <v>44388</v>
      </c>
      <c r="B14" s="65">
        <f>TOTAL!I12</f>
        <v>0</v>
      </c>
      <c r="C14" s="66">
        <f>('Water Reading'!B14-'Water Reading'!B13)+('Water Reading'!C14-'Water Reading'!C13)</f>
        <v>-301426</v>
      </c>
      <c r="D14" s="67" t="e">
        <f t="shared" si="2"/>
        <v>#DIV/0!</v>
      </c>
      <c r="E14" s="88">
        <f>'Water Reading'!H14-'Water Reading'!H13</f>
        <v>-53264</v>
      </c>
      <c r="F14" s="89">
        <f t="shared" si="3"/>
        <v>0.17670672072084026</v>
      </c>
      <c r="G14" s="93">
        <f>('Water Reading'!D14-'Water Reading'!D13)-('Water Reading'!R14-'Water Reading'!R13)-('Water Reading'!Q14-'Water Reading'!Q13)</f>
        <v>-203616</v>
      </c>
      <c r="H14" s="89">
        <f t="shared" si="4"/>
        <v>0.67550908017224787</v>
      </c>
      <c r="I14" s="90">
        <f>'Water Reading'!P14-'Water Reading'!P13</f>
        <v>-27097</v>
      </c>
      <c r="J14" s="68">
        <f t="shared" si="5"/>
        <v>8.9896027549050184E-2</v>
      </c>
      <c r="K14" s="91">
        <f>('Water Reading'!I14-'Water Reading'!I13)-('Water Reading'!P14-'Water Reading'!P13)</f>
        <v>-36750</v>
      </c>
      <c r="L14" s="68">
        <f t="shared" si="6"/>
        <v>0.12192047135947132</v>
      </c>
      <c r="M14" s="90">
        <f>'Water Reading'!R14-'Water Reading'!R13</f>
        <v>-6265</v>
      </c>
      <c r="N14" s="92">
        <f t="shared" si="7"/>
        <v>2.0784537498424158E-2</v>
      </c>
      <c r="O14" s="90">
        <f>'Water Reading'!Q14-'Water Reading'!Q13</f>
        <v>-702</v>
      </c>
      <c r="P14" s="99">
        <f t="shared" si="8"/>
        <v>2.3289298202543909E-3</v>
      </c>
      <c r="Q14" s="91">
        <f>'Water Reading'!F14-'Water Reading'!F13</f>
        <v>-66940</v>
      </c>
      <c r="R14" s="100">
        <f t="shared" si="9"/>
        <v>0.22207772388579619</v>
      </c>
      <c r="S14" s="94">
        <f>'Water Reading'!E14-'Water Reading'!E13</f>
        <v>-248453</v>
      </c>
      <c r="T14" s="100">
        <f t="shared" si="10"/>
        <v>0.82425869035849597</v>
      </c>
      <c r="U14" s="90">
        <f>'Water Reading'!G14-'Water Reading'!G13</f>
        <v>-111791</v>
      </c>
      <c r="V14" s="100">
        <f t="shared" si="11"/>
        <v>0.37087377996589543</v>
      </c>
      <c r="W14" s="90">
        <f>'Water Reading'!J14-'Water Reading'!J13</f>
        <v>-20424</v>
      </c>
      <c r="X14" s="100">
        <f t="shared" si="12"/>
        <v>6.7757924001247402E-2</v>
      </c>
      <c r="Y14" s="66">
        <f t="shared" si="0"/>
        <v>-775302</v>
      </c>
      <c r="Z14" s="67" t="e">
        <f t="shared" si="1"/>
        <v>#DIV/0!</v>
      </c>
    </row>
    <row r="15" spans="1:26" x14ac:dyDescent="0.25">
      <c r="A15" s="8">
        <f>'Water Reading'!A14</f>
        <v>44389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44390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44391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44392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44393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44394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44395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44396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44397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44398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44399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44400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44401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44402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2714</v>
      </c>
      <c r="C35" s="75">
        <f>SUM(C4:C34)</f>
        <v>-297465</v>
      </c>
      <c r="D35" s="96">
        <f>C35/B35</f>
        <v>-109.60390567428151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-284.66064848931467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2021-07-11T04:17:38Z</dcterms:modified>
  <cp:category/>
  <cp:contentStatus/>
</cp:coreProperties>
</file>