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<sst xmlns="http://schemas.openxmlformats.org/spreadsheetml/2006/main" count="128" uniqueCount="49">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</sst>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Submetering!R7</f>
        <v>636.705962</v>
      </c>
      <c r="H7" s="11">
        <v>0.52800000000000002</v>
      </c>
      <c r="I7" s="12">
        <f>Hotel!B12</f>
        <v>62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Submetering!R8</f>
        <v>450.46378999999996</v>
      </c>
      <c r="H8" s="11">
        <v>0.52800000000000002</v>
      </c>
      <c r="I8" s="12">
        <f>Hotel!B13</f>
        <v>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54950</v>
      </c>
      <c r="F9" s="11">
        <v>5.0000000000000001E-3</v>
      </c>
      <c r="G9" s="12">
        <f>Submetering!R9</f>
        <v>567.81150000000002</v>
      </c>
      <c r="H9" s="11">
        <v>0.52800000000000002</v>
      </c>
      <c r="I9" s="12">
        <f>Hotel!B14</f>
        <v>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52710</v>
      </c>
      <c r="F10" s="11">
        <v>5.0000000000000001E-3</v>
      </c>
      <c r="G10" s="12">
        <f>Submetering!R10</f>
        <v>605.66560000000004</v>
      </c>
      <c r="H10" s="11">
        <v>0.52800000000000002</v>
      </c>
      <c r="I10" s="12">
        <f>Hotel!B15</f>
        <v>82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51060</v>
      </c>
      <c r="F11" s="11">
        <v>5.0000000000000001E-3</v>
      </c>
      <c r="G11" s="12">
        <f>Submetering!R11</f>
        <v>1424.8283239999998</v>
      </c>
      <c r="H11" s="11">
        <v>0.52800000000000002</v>
      </c>
      <c r="I11" s="12">
        <f>Hotel!B16</f>
        <v>111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54590</v>
      </c>
      <c r="F12" s="11">
        <v>5.0000000000000001E-3</v>
      </c>
      <c r="G12" s="12">
        <f>Submetering!R12</f>
        <v>279.36325800000003</v>
      </c>
      <c r="H12" s="11">
        <v>0.52800000000000002</v>
      </c>
      <c r="I12" s="12">
        <f>Hotel!B17</f>
        <v>125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52810</v>
      </c>
      <c r="F13" s="11">
        <v>5.0000000000000001E-3</v>
      </c>
      <c r="G13" s="12">
        <f>Submetering!R13</f>
        <v>207.061927</v>
      </c>
      <c r="H13" s="11">
        <v>0.52800000000000002</v>
      </c>
      <c r="I13" s="12">
        <f>Hotel!B18</f>
        <v>103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51340</v>
      </c>
      <c r="F14" s="11">
        <v>5.0000000000000001E-3</v>
      </c>
      <c r="G14" s="12">
        <f>Submetering!R14</f>
        <v>662.82529099999999</v>
      </c>
      <c r="H14" s="11">
        <v>0.52800000000000002</v>
      </c>
      <c r="I14" s="12">
        <f>Hotel!B19</f>
        <v>75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51360</v>
      </c>
      <c r="F15" s="11">
        <v>5.0000000000000001E-3</v>
      </c>
      <c r="G15" s="12">
        <f>Submetering!R15</f>
        <v>697.65106300000002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50340</v>
      </c>
      <c r="F16" s="11">
        <v>5.0000000000000001E-3</v>
      </c>
      <c r="G16" s="12">
        <f>Submetering!R16</f>
        <v>520.87241600000004</v>
      </c>
      <c r="H16" s="11">
        <v>0.52800000000000002</v>
      </c>
      <c r="I16" s="12">
        <f>Hotel!B21</f>
        <v>64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Hotel!AV12*0.00378541*100</f>
        <v>636.705962</v>
      </c>
      <c r="S7" s="4">
        <f>Hotel!B12</f>
        <v>62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Hotel!AV13*0.00378541*100</f>
        <v>450.46378999999996</v>
      </c>
      <c r="S8" s="4">
        <f>Hotel!B13</f>
        <v>71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>
        <f>Hotel!Q14</f>
        <v>560</v>
      </c>
      <c r="F9" s="4">
        <f>Hotel!R14</f>
        <v>1930</v>
      </c>
      <c r="G9" s="4">
        <f>Hotel!S14</f>
        <v>0</v>
      </c>
      <c r="H9" s="4">
        <f>Hotel!T14</f>
        <v>4410</v>
      </c>
      <c r="I9" s="4">
        <f>Hotel!U14</f>
        <v>4870</v>
      </c>
      <c r="J9" s="4">
        <f>Hotel!V14</f>
        <v>3540</v>
      </c>
      <c r="K9" s="4">
        <f>Hotel!W14</f>
        <v>2500</v>
      </c>
      <c r="L9" s="4">
        <f>Hotel!X14</f>
        <v>4070</v>
      </c>
      <c r="M9" s="4">
        <f>Hotel!Y14</f>
        <v>6130</v>
      </c>
      <c r="N9" s="4">
        <f>Hotel!Z14</f>
        <v>2540</v>
      </c>
      <c r="O9" s="4">
        <f>Hotel!AA14</f>
        <v>3340</v>
      </c>
      <c r="P9" s="4">
        <f>Hotel!AB14</f>
        <v>7520</v>
      </c>
      <c r="Q9" s="4">
        <f>Hotel!AC14</f>
        <v>13540</v>
      </c>
      <c r="R9" s="4">
        <f>Hotel!AV14*0.00378541*100</f>
        <v>567.81150000000002</v>
      </c>
      <c r="S9" s="4">
        <f>Hotel!B14</f>
        <v>65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>
        <f>Hotel!Q15</f>
        <v>550</v>
      </c>
      <c r="F10" s="4">
        <f>Hotel!R15</f>
        <v>1910</v>
      </c>
      <c r="G10" s="4">
        <f>Hotel!S15</f>
        <v>0</v>
      </c>
      <c r="H10" s="4">
        <f>Hotel!T15</f>
        <v>4320</v>
      </c>
      <c r="I10" s="4">
        <f>Hotel!U15</f>
        <v>4950</v>
      </c>
      <c r="J10" s="4">
        <f>Hotel!V15</f>
        <v>3470</v>
      </c>
      <c r="K10" s="4">
        <f>Hotel!W15</f>
        <v>2440</v>
      </c>
      <c r="L10" s="4">
        <f>Hotel!X15</f>
        <v>3890</v>
      </c>
      <c r="M10" s="4">
        <f>Hotel!Y15</f>
        <v>5980</v>
      </c>
      <c r="N10" s="4">
        <f>Hotel!Z15</f>
        <v>2570</v>
      </c>
      <c r="O10" s="4">
        <f>Hotel!AA15</f>
        <v>3210</v>
      </c>
      <c r="P10" s="4">
        <f>Hotel!AB15</f>
        <v>7440</v>
      </c>
      <c r="Q10" s="4">
        <f>Hotel!AC15</f>
        <v>11980</v>
      </c>
      <c r="R10" s="4">
        <f>Hotel!AV15*0.00378541*100</f>
        <v>605.66560000000004</v>
      </c>
      <c r="S10" s="4">
        <f>Hotel!B15</f>
        <v>82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540</v>
      </c>
      <c r="F11" s="4">
        <f>Hotel!R16</f>
        <v>1850</v>
      </c>
      <c r="G11" s="4">
        <f>Hotel!S16</f>
        <v>1630</v>
      </c>
      <c r="H11" s="4">
        <f>Hotel!T16</f>
        <v>2570</v>
      </c>
      <c r="I11" s="4">
        <f>Hotel!U16</f>
        <v>4930</v>
      </c>
      <c r="J11" s="4">
        <f>Hotel!V16</f>
        <v>3410</v>
      </c>
      <c r="K11" s="4">
        <f>Hotel!W16</f>
        <v>2370</v>
      </c>
      <c r="L11" s="4">
        <f>Hotel!X16</f>
        <v>3760</v>
      </c>
      <c r="M11" s="4">
        <f>Hotel!Y16</f>
        <v>6030</v>
      </c>
      <c r="N11" s="4">
        <f>Hotel!Z16</f>
        <v>2640</v>
      </c>
      <c r="O11" s="4">
        <f>Hotel!AA16</f>
        <v>3400</v>
      </c>
      <c r="P11" s="4">
        <f>Hotel!AB16</f>
        <v>6990</v>
      </c>
      <c r="Q11" s="4">
        <f>Hotel!AC16</f>
        <v>10940</v>
      </c>
      <c r="R11" s="4">
        <f>Hotel!AV16*0.00378541*100</f>
        <v>1424.8283239999998</v>
      </c>
      <c r="S11" s="4">
        <f>Hotel!B16</f>
        <v>111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580</v>
      </c>
      <c r="F12" s="4">
        <f>Hotel!R17</f>
        <v>1970</v>
      </c>
      <c r="G12" s="4">
        <f>Hotel!S17</f>
        <v>2960</v>
      </c>
      <c r="H12" s="4">
        <f>Hotel!T17</f>
        <v>1440</v>
      </c>
      <c r="I12" s="4">
        <f>Hotel!U17</f>
        <v>5380</v>
      </c>
      <c r="J12" s="4">
        <f>Hotel!V17</f>
        <v>3650</v>
      </c>
      <c r="K12" s="4">
        <f>Hotel!W17</f>
        <v>2510</v>
      </c>
      <c r="L12" s="4">
        <f>Hotel!X17</f>
        <v>4020</v>
      </c>
      <c r="M12" s="4">
        <f>Hotel!Y17</f>
        <v>6410</v>
      </c>
      <c r="N12" s="4">
        <f>Hotel!Z17</f>
        <v>2730</v>
      </c>
      <c r="O12" s="4">
        <f>Hotel!AA17</f>
        <v>3590</v>
      </c>
      <c r="P12" s="4">
        <f>Hotel!AB17</f>
        <v>7410</v>
      </c>
      <c r="Q12" s="4">
        <f>Hotel!AC17</f>
        <v>11940</v>
      </c>
      <c r="R12" s="4">
        <f>Hotel!AV17*0.00378541*100</f>
        <v>279.36325800000003</v>
      </c>
      <c r="S12" s="4">
        <f>Hotel!B17</f>
        <v>125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360</v>
      </c>
      <c r="F13" s="4">
        <f>Hotel!R18</f>
        <v>1890</v>
      </c>
      <c r="G13" s="4">
        <f>Hotel!S18</f>
        <v>2730</v>
      </c>
      <c r="H13" s="4">
        <f>Hotel!T18</f>
        <v>1390</v>
      </c>
      <c r="I13" s="4">
        <f>Hotel!U18</f>
        <v>5200</v>
      </c>
      <c r="J13" s="4">
        <f>Hotel!V18</f>
        <v>3550</v>
      </c>
      <c r="K13" s="4">
        <f>Hotel!W18</f>
        <v>2410</v>
      </c>
      <c r="L13" s="4">
        <f>Hotel!X18</f>
        <v>3860</v>
      </c>
      <c r="M13" s="4">
        <f>Hotel!Y18</f>
        <v>6240</v>
      </c>
      <c r="N13" s="4">
        <f>Hotel!Z18</f>
        <v>2540</v>
      </c>
      <c r="O13" s="4">
        <f>Hotel!AA18</f>
        <v>3720</v>
      </c>
      <c r="P13" s="4">
        <f>Hotel!AB18</f>
        <v>7090</v>
      </c>
      <c r="Q13" s="4">
        <f>Hotel!AC18</f>
        <v>11830</v>
      </c>
      <c r="R13" s="4">
        <f>Hotel!AV18*0.00378541*100</f>
        <v>207.061927</v>
      </c>
      <c r="S13" s="4">
        <f>Hotel!B18</f>
        <v>103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>
        <f>Hotel!Q19</f>
        <v>750</v>
      </c>
      <c r="F14" s="4">
        <f>Hotel!R19</f>
        <v>1880</v>
      </c>
      <c r="G14" s="4">
        <f>Hotel!S19</f>
        <v>2670</v>
      </c>
      <c r="H14" s="4">
        <f>Hotel!T19</f>
        <v>1380</v>
      </c>
      <c r="I14" s="4">
        <f>Hotel!U19</f>
        <v>5160</v>
      </c>
      <c r="J14" s="4">
        <f>Hotel!V19</f>
        <v>3560</v>
      </c>
      <c r="K14" s="4">
        <f>Hotel!W19</f>
        <v>2390</v>
      </c>
      <c r="L14" s="4">
        <f>Hotel!X19</f>
        <v>3610</v>
      </c>
      <c r="M14" s="4">
        <f>Hotel!Y19</f>
        <v>5890</v>
      </c>
      <c r="N14" s="4">
        <f>Hotel!Z19</f>
        <v>2550</v>
      </c>
      <c r="O14" s="4">
        <f>Hotel!AA19</f>
        <v>3310</v>
      </c>
      <c r="P14" s="4">
        <f>Hotel!AB19</f>
        <v>6920</v>
      </c>
      <c r="Q14" s="4">
        <f>Hotel!AC19</f>
        <v>11270</v>
      </c>
      <c r="R14" s="4">
        <f>Hotel!AV19*0.00378541*100</f>
        <v>662.82529099999999</v>
      </c>
      <c r="S14" s="4">
        <f>Hotel!B19</f>
        <v>75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560</v>
      </c>
      <c r="F15" s="4">
        <f>Hotel!R20</f>
        <v>1900</v>
      </c>
      <c r="G15" s="4">
        <f>Hotel!S20</f>
        <v>2770</v>
      </c>
      <c r="H15" s="4">
        <f>Hotel!T20</f>
        <v>1390</v>
      </c>
      <c r="I15" s="4">
        <f>Hotel!U20</f>
        <v>5020</v>
      </c>
      <c r="J15" s="4">
        <f>Hotel!V20</f>
        <v>3500</v>
      </c>
      <c r="K15" s="4">
        <f>Hotel!W20</f>
        <v>2400</v>
      </c>
      <c r="L15" s="4">
        <f>Hotel!X20</f>
        <v>3710</v>
      </c>
      <c r="M15" s="4">
        <f>Hotel!Y20</f>
        <v>5850</v>
      </c>
      <c r="N15" s="4">
        <f>Hotel!Z20</f>
        <v>2450</v>
      </c>
      <c r="O15" s="4">
        <f>Hotel!AA20</f>
        <v>3210</v>
      </c>
      <c r="P15" s="4">
        <f>Hotel!AB20</f>
        <v>7080</v>
      </c>
      <c r="Q15" s="4">
        <f>Hotel!AC20</f>
        <v>11520</v>
      </c>
      <c r="R15" s="4">
        <f>Hotel!AV20*0.00378541*100</f>
        <v>697.65106300000002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550</v>
      </c>
      <c r="F16" s="4">
        <f>Hotel!R21</f>
        <v>1860</v>
      </c>
      <c r="G16" s="4">
        <f>Hotel!S21</f>
        <v>3000</v>
      </c>
      <c r="H16" s="4">
        <f>Hotel!T21</f>
        <v>1380</v>
      </c>
      <c r="I16" s="4">
        <f>Hotel!U21</f>
        <v>4620</v>
      </c>
      <c r="J16" s="4">
        <f>Hotel!V21</f>
        <v>3470</v>
      </c>
      <c r="K16" s="4">
        <f>Hotel!W21</f>
        <v>2450</v>
      </c>
      <c r="L16" s="4">
        <f>Hotel!X21</f>
        <v>3630</v>
      </c>
      <c r="M16" s="4">
        <f>Hotel!Y21</f>
        <v>6000</v>
      </c>
      <c r="N16" s="4">
        <f>Hotel!Z21</f>
        <v>2450</v>
      </c>
      <c r="O16" s="4">
        <f>Hotel!AA21</f>
        <v>2810</v>
      </c>
      <c r="P16" s="4">
        <f>Hotel!AB21</f>
        <v>6740</v>
      </c>
      <c r="Q16" s="4">
        <f>Hotel!AC21</f>
        <v>11380</v>
      </c>
      <c r="R16" s="4">
        <f>Hotel!AV21*0.00378541*100</f>
        <v>520.87241600000004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L35" sqref="AL3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271.25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>
        <v>62</v>
      </c>
      <c r="C12" s="49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16"/>
        <v>550</v>
      </c>
      <c r="R12" s="37">
        <f t="shared" si="17"/>
        <v>1900</v>
      </c>
      <c r="S12" s="37">
        <f t="shared" si="15"/>
        <v>10</v>
      </c>
      <c r="T12" s="37">
        <f t="shared" ref="T12:W14" si="32">IF((F12-F11&lt;0), "0",F12-F11)</f>
        <v>4630</v>
      </c>
      <c r="U12" s="37">
        <f t="shared" si="32"/>
        <v>4730</v>
      </c>
      <c r="V12" s="37">
        <f t="shared" si="32"/>
        <v>3310</v>
      </c>
      <c r="W12" s="37">
        <f t="shared" si="32"/>
        <v>2400</v>
      </c>
      <c r="X12" s="37">
        <f t="shared" si="22"/>
        <v>3500</v>
      </c>
      <c r="Y12" s="37">
        <f t="shared" si="23"/>
        <v>5860</v>
      </c>
      <c r="Z12" s="37">
        <f>IF((L12-L11&lt;0), "0",L12-L11)</f>
        <v>2380</v>
      </c>
      <c r="AA12" s="37">
        <f t="shared" si="25"/>
        <v>3260</v>
      </c>
      <c r="AB12" s="37">
        <f t="shared" si="26"/>
        <v>7150</v>
      </c>
      <c r="AC12" s="37">
        <f t="shared" si="27"/>
        <v>10430</v>
      </c>
      <c r="AD12" s="35">
        <f t="shared" si="28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29"/>
        <v>250.55000000000004</v>
      </c>
      <c r="AU12" s="47">
        <v>340110</v>
      </c>
      <c r="AV12" s="37">
        <f t="shared" si="31"/>
        <v>1682</v>
      </c>
      <c r="AW12" s="35">
        <f t="shared" si="30"/>
        <v>3.3639999999999999</v>
      </c>
    </row>
    <row r="13" spans="1:49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16"/>
        <v>560</v>
      </c>
      <c r="R13" s="37">
        <f t="shared" si="17"/>
        <v>1900</v>
      </c>
      <c r="S13" s="37">
        <f t="shared" si="15"/>
        <v>0</v>
      </c>
      <c r="T13" s="37">
        <f t="shared" si="32"/>
        <v>4330</v>
      </c>
      <c r="U13" s="37">
        <f t="shared" si="32"/>
        <v>4570</v>
      </c>
      <c r="V13" s="37">
        <f t="shared" si="32"/>
        <v>3510</v>
      </c>
      <c r="W13" s="37">
        <f t="shared" si="32"/>
        <v>2420</v>
      </c>
      <c r="X13" s="37">
        <f t="shared" si="22"/>
        <v>3960</v>
      </c>
      <c r="Y13" s="37">
        <f t="shared" si="23"/>
        <v>5950</v>
      </c>
      <c r="Z13" s="37">
        <f>IF((L13-L12&lt;0), "0",L13-L12)</f>
        <v>2400</v>
      </c>
      <c r="AA13" s="37">
        <f t="shared" si="25"/>
        <v>2960</v>
      </c>
      <c r="AB13" s="37">
        <f t="shared" si="26"/>
        <v>7370</v>
      </c>
      <c r="AC13" s="37">
        <f t="shared" si="27"/>
        <v>10550</v>
      </c>
      <c r="AD13" s="35">
        <f t="shared" si="28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29"/>
        <v>252.4</v>
      </c>
      <c r="AU13" s="47">
        <v>341300</v>
      </c>
      <c r="AV13" s="37">
        <f t="shared" si="31"/>
        <v>1190</v>
      </c>
      <c r="AW13" s="35">
        <f t="shared" si="30"/>
        <v>2.38</v>
      </c>
    </row>
    <row r="14" spans="1:49" x14ac:dyDescent="0.25">
      <c r="A14" s="23">
        <v>44173</v>
      </c>
      <c r="B14" s="40">
        <v>65</v>
      </c>
      <c r="C14" s="24">
        <v>6494680</v>
      </c>
      <c r="D14" s="24">
        <v>14991270</v>
      </c>
      <c r="E14" s="24">
        <v>2208820</v>
      </c>
      <c r="F14" s="24">
        <v>3189050</v>
      </c>
      <c r="G14" s="24">
        <v>9574970</v>
      </c>
      <c r="H14" s="24">
        <v>4935250</v>
      </c>
      <c r="I14" s="24">
        <v>4654170</v>
      </c>
      <c r="J14" s="24">
        <v>5295950</v>
      </c>
      <c r="K14" s="24">
        <v>8297490</v>
      </c>
      <c r="L14" s="24">
        <v>3382140</v>
      </c>
      <c r="M14" s="24">
        <v>7300120</v>
      </c>
      <c r="N14" s="24">
        <v>10802920</v>
      </c>
      <c r="O14" s="24">
        <v>14703750</v>
      </c>
      <c r="P14" s="54"/>
      <c r="Q14" s="37">
        <f t="shared" si="16"/>
        <v>560</v>
      </c>
      <c r="R14" s="37">
        <f t="shared" si="17"/>
        <v>1930</v>
      </c>
      <c r="S14" s="37">
        <f t="shared" si="15"/>
        <v>0</v>
      </c>
      <c r="T14" s="37">
        <f t="shared" si="32"/>
        <v>4410</v>
      </c>
      <c r="U14" s="37">
        <f t="shared" si="32"/>
        <v>4870</v>
      </c>
      <c r="V14" s="37">
        <f t="shared" si="32"/>
        <v>3540</v>
      </c>
      <c r="W14" s="37">
        <f t="shared" si="32"/>
        <v>2500</v>
      </c>
      <c r="X14" s="37">
        <f t="shared" si="22"/>
        <v>4070</v>
      </c>
      <c r="Y14" s="37">
        <f t="shared" si="23"/>
        <v>6130</v>
      </c>
      <c r="Z14" s="37">
        <f>IF((L14-L13&lt;0), "0",L14-L13)</f>
        <v>2540</v>
      </c>
      <c r="AA14" s="37">
        <f t="shared" si="25"/>
        <v>3340</v>
      </c>
      <c r="AB14" s="37">
        <f t="shared" si="26"/>
        <v>7520</v>
      </c>
      <c r="AC14" s="37">
        <f t="shared" si="27"/>
        <v>13540</v>
      </c>
      <c r="AD14" s="35">
        <f t="shared" si="28"/>
        <v>54950</v>
      </c>
      <c r="AF14" s="20">
        <f t="shared" si="1"/>
        <v>2.8000000000000003</v>
      </c>
      <c r="AG14" s="20">
        <f t="shared" si="2"/>
        <v>9.65</v>
      </c>
      <c r="AH14" s="20">
        <f t="shared" si="3"/>
        <v>0</v>
      </c>
      <c r="AI14" s="20">
        <f t="shared" si="4"/>
        <v>22.05</v>
      </c>
      <c r="AJ14" s="20">
        <f t="shared" si="5"/>
        <v>24.35</v>
      </c>
      <c r="AK14" s="20">
        <f t="shared" si="6"/>
        <v>17.7</v>
      </c>
      <c r="AL14" s="20">
        <f t="shared" si="7"/>
        <v>12.5</v>
      </c>
      <c r="AM14" s="20">
        <f t="shared" si="8"/>
        <v>20.350000000000001</v>
      </c>
      <c r="AN14" s="20">
        <f t="shared" si="9"/>
        <v>30.650000000000002</v>
      </c>
      <c r="AO14" s="20">
        <f t="shared" si="10"/>
        <v>12.700000000000001</v>
      </c>
      <c r="AP14" s="20">
        <f t="shared" si="11"/>
        <v>16.7</v>
      </c>
      <c r="AQ14" s="20">
        <f t="shared" si="12"/>
        <v>37.6</v>
      </c>
      <c r="AR14" s="20">
        <f t="shared" si="13"/>
        <v>67.7</v>
      </c>
      <c r="AS14" s="35">
        <f t="shared" si="29"/>
        <v>274.75</v>
      </c>
      <c r="AU14" s="47">
        <v>342800</v>
      </c>
      <c r="AV14" s="37">
        <f t="shared" si="31"/>
        <v>1500</v>
      </c>
      <c r="AW14" s="35">
        <f t="shared" si="30"/>
        <v>3</v>
      </c>
    </row>
    <row r="15" spans="1:49" x14ac:dyDescent="0.25">
      <c r="A15" s="23">
        <v>44174</v>
      </c>
      <c r="B15" s="40">
        <v>82</v>
      </c>
      <c r="C15" s="24">
        <v>6495230</v>
      </c>
      <c r="D15" s="24">
        <v>14993180</v>
      </c>
      <c r="E15" s="24">
        <v>2208820</v>
      </c>
      <c r="F15" s="24">
        <v>3193370</v>
      </c>
      <c r="G15" s="24">
        <v>9579920</v>
      </c>
      <c r="H15" s="24">
        <v>4938720</v>
      </c>
      <c r="I15" s="24">
        <v>4656610</v>
      </c>
      <c r="J15" s="24">
        <v>5299840</v>
      </c>
      <c r="K15" s="24">
        <v>8303470</v>
      </c>
      <c r="L15" s="24">
        <v>3384710</v>
      </c>
      <c r="M15" s="24">
        <v>7303330</v>
      </c>
      <c r="N15" s="24">
        <v>10810360</v>
      </c>
      <c r="O15" s="24">
        <v>14715730</v>
      </c>
      <c r="Q15" s="37">
        <f t="shared" si="16"/>
        <v>550</v>
      </c>
      <c r="R15" s="37">
        <f t="shared" si="17"/>
        <v>1910</v>
      </c>
      <c r="S15" s="37">
        <f t="shared" si="15"/>
        <v>0</v>
      </c>
      <c r="T15" s="37">
        <f t="shared" si="18"/>
        <v>4320</v>
      </c>
      <c r="U15" s="37">
        <f t="shared" si="19"/>
        <v>4950</v>
      </c>
      <c r="V15" s="37">
        <f t="shared" si="20"/>
        <v>3470</v>
      </c>
      <c r="W15" s="37">
        <f t="shared" si="21"/>
        <v>2440</v>
      </c>
      <c r="X15" s="37">
        <f t="shared" si="22"/>
        <v>3890</v>
      </c>
      <c r="Y15" s="37">
        <f t="shared" si="23"/>
        <v>5980</v>
      </c>
      <c r="Z15" s="37">
        <f t="shared" si="24"/>
        <v>2570</v>
      </c>
      <c r="AA15" s="37">
        <f t="shared" si="25"/>
        <v>3210</v>
      </c>
      <c r="AB15" s="37">
        <f t="shared" si="26"/>
        <v>7440</v>
      </c>
      <c r="AC15" s="37">
        <f t="shared" si="27"/>
        <v>11980</v>
      </c>
      <c r="AD15" s="35">
        <f t="shared" si="28"/>
        <v>52710</v>
      </c>
      <c r="AF15" s="20">
        <f t="shared" si="1"/>
        <v>2.75</v>
      </c>
      <c r="AG15" s="20">
        <f t="shared" si="2"/>
        <v>9.5500000000000007</v>
      </c>
      <c r="AH15" s="20">
        <f t="shared" si="3"/>
        <v>0</v>
      </c>
      <c r="AI15" s="20">
        <f t="shared" si="4"/>
        <v>21.6</v>
      </c>
      <c r="AJ15" s="20">
        <f t="shared" si="5"/>
        <v>24.75</v>
      </c>
      <c r="AK15" s="20">
        <f t="shared" si="6"/>
        <v>17.350000000000001</v>
      </c>
      <c r="AL15" s="20">
        <f t="shared" si="7"/>
        <v>12.200000000000001</v>
      </c>
      <c r="AM15" s="20">
        <f t="shared" si="8"/>
        <v>19.45</v>
      </c>
      <c r="AN15" s="20">
        <f t="shared" si="9"/>
        <v>29.900000000000002</v>
      </c>
      <c r="AO15" s="20">
        <f t="shared" si="10"/>
        <v>12.85</v>
      </c>
      <c r="AP15" s="20">
        <f t="shared" si="11"/>
        <v>16.05</v>
      </c>
      <c r="AQ15" s="20">
        <f t="shared" si="12"/>
        <v>37.200000000000003</v>
      </c>
      <c r="AR15" s="20">
        <f t="shared" si="13"/>
        <v>59.9</v>
      </c>
      <c r="AS15" s="35">
        <f t="shared" si="29"/>
        <v>263.55</v>
      </c>
      <c r="AU15" s="47">
        <v>344400</v>
      </c>
      <c r="AV15" s="37">
        <f t="shared" si="31"/>
        <v>1600</v>
      </c>
      <c r="AW15" s="35">
        <f t="shared" si="30"/>
        <v>3.2</v>
      </c>
    </row>
    <row r="16" spans="1:49" x14ac:dyDescent="0.25">
      <c r="A16" s="23">
        <v>44175</v>
      </c>
      <c r="B16" s="40">
        <v>111</v>
      </c>
      <c r="C16" s="24">
        <v>6495770</v>
      </c>
      <c r="D16" s="24">
        <v>14995030</v>
      </c>
      <c r="E16" s="24">
        <v>2210450</v>
      </c>
      <c r="F16" s="24">
        <v>3195940</v>
      </c>
      <c r="G16" s="24">
        <v>9584850</v>
      </c>
      <c r="H16" s="24">
        <v>4942130</v>
      </c>
      <c r="I16" s="24">
        <v>4658980</v>
      </c>
      <c r="J16" s="24">
        <v>5303600</v>
      </c>
      <c r="K16" s="24">
        <v>8309500</v>
      </c>
      <c r="L16" s="24">
        <v>3387350</v>
      </c>
      <c r="M16" s="24">
        <v>7306730</v>
      </c>
      <c r="N16" s="24">
        <v>10817350</v>
      </c>
      <c r="O16" s="24">
        <v>14726670</v>
      </c>
      <c r="Q16" s="37">
        <f t="shared" si="16"/>
        <v>540</v>
      </c>
      <c r="R16" s="37">
        <f t="shared" si="17"/>
        <v>1850</v>
      </c>
      <c r="S16" s="37">
        <f t="shared" si="15"/>
        <v>1630</v>
      </c>
      <c r="T16" s="37">
        <f t="shared" si="18"/>
        <v>2570</v>
      </c>
      <c r="U16" s="37">
        <f t="shared" si="19"/>
        <v>4930</v>
      </c>
      <c r="V16" s="37">
        <f t="shared" si="20"/>
        <v>3410</v>
      </c>
      <c r="W16" s="37">
        <f t="shared" si="21"/>
        <v>2370</v>
      </c>
      <c r="X16" s="37">
        <f t="shared" si="22"/>
        <v>3760</v>
      </c>
      <c r="Y16" s="37">
        <f t="shared" si="23"/>
        <v>6030</v>
      </c>
      <c r="Z16" s="37">
        <f t="shared" si="24"/>
        <v>2640</v>
      </c>
      <c r="AA16" s="37">
        <f t="shared" si="25"/>
        <v>3400</v>
      </c>
      <c r="AB16" s="37">
        <f t="shared" si="26"/>
        <v>6990</v>
      </c>
      <c r="AC16" s="37">
        <f t="shared" si="27"/>
        <v>10940</v>
      </c>
      <c r="AD16" s="35">
        <f t="shared" si="28"/>
        <v>51060</v>
      </c>
      <c r="AF16" s="20">
        <f t="shared" si="1"/>
        <v>2.7</v>
      </c>
      <c r="AG16" s="20">
        <f t="shared" si="2"/>
        <v>9.25</v>
      </c>
      <c r="AH16" s="20">
        <f t="shared" si="3"/>
        <v>8.15</v>
      </c>
      <c r="AI16" s="20">
        <f t="shared" si="4"/>
        <v>12.85</v>
      </c>
      <c r="AJ16" s="20">
        <f t="shared" si="5"/>
        <v>24.650000000000002</v>
      </c>
      <c r="AK16" s="20">
        <f t="shared" si="6"/>
        <v>17.05</v>
      </c>
      <c r="AL16" s="20">
        <f t="shared" si="7"/>
        <v>11.85</v>
      </c>
      <c r="AM16" s="20">
        <f t="shared" si="8"/>
        <v>18.8</v>
      </c>
      <c r="AN16" s="20">
        <f t="shared" si="9"/>
        <v>30.150000000000002</v>
      </c>
      <c r="AO16" s="20">
        <f t="shared" si="10"/>
        <v>13.200000000000001</v>
      </c>
      <c r="AP16" s="20">
        <f t="shared" si="11"/>
        <v>17</v>
      </c>
      <c r="AQ16" s="20">
        <f t="shared" si="12"/>
        <v>34.950000000000003</v>
      </c>
      <c r="AR16" s="20">
        <f t="shared" si="13"/>
        <v>54.7</v>
      </c>
      <c r="AS16" s="35">
        <f t="shared" si="29"/>
        <v>255.29999999999995</v>
      </c>
      <c r="AU16" s="47">
        <v>348164</v>
      </c>
      <c r="AV16" s="37">
        <f t="shared" si="31"/>
        <v>3764</v>
      </c>
      <c r="AW16" s="35">
        <f t="shared" si="30"/>
        <v>7.5280000000000005</v>
      </c>
    </row>
    <row r="17" spans="1:49" x14ac:dyDescent="0.25">
      <c r="A17" s="23">
        <v>44176</v>
      </c>
      <c r="B17" s="40">
        <v>125</v>
      </c>
      <c r="C17" s="24">
        <v>6496350</v>
      </c>
      <c r="D17" s="24">
        <v>14997000</v>
      </c>
      <c r="E17" s="24">
        <v>2213410</v>
      </c>
      <c r="F17" s="24">
        <v>3197380</v>
      </c>
      <c r="G17" s="24">
        <v>9590230</v>
      </c>
      <c r="H17" s="24">
        <v>4945780</v>
      </c>
      <c r="I17" s="24">
        <v>4661490</v>
      </c>
      <c r="J17" s="24">
        <v>5307620</v>
      </c>
      <c r="K17" s="24">
        <v>8315910</v>
      </c>
      <c r="L17" s="24">
        <v>3390080</v>
      </c>
      <c r="M17" s="24">
        <v>7310320</v>
      </c>
      <c r="N17" s="24">
        <v>10824760</v>
      </c>
      <c r="O17" s="24">
        <v>14738610</v>
      </c>
      <c r="Q17" s="37">
        <f t="shared" si="16"/>
        <v>580</v>
      </c>
      <c r="R17" s="37">
        <f t="shared" si="17"/>
        <v>1970</v>
      </c>
      <c r="S17" s="37">
        <f t="shared" si="15"/>
        <v>2960</v>
      </c>
      <c r="T17" s="37">
        <f t="shared" si="18"/>
        <v>1440</v>
      </c>
      <c r="U17" s="37">
        <f t="shared" si="19"/>
        <v>5380</v>
      </c>
      <c r="V17" s="37">
        <f t="shared" si="20"/>
        <v>3650</v>
      </c>
      <c r="W17" s="37">
        <f t="shared" si="21"/>
        <v>2510</v>
      </c>
      <c r="X17" s="37">
        <f t="shared" si="22"/>
        <v>4020</v>
      </c>
      <c r="Y17" s="37">
        <f t="shared" si="23"/>
        <v>6410</v>
      </c>
      <c r="Z17" s="37">
        <f t="shared" si="24"/>
        <v>2730</v>
      </c>
      <c r="AA17" s="37">
        <f t="shared" si="25"/>
        <v>3590</v>
      </c>
      <c r="AB17" s="37">
        <f t="shared" si="26"/>
        <v>7410</v>
      </c>
      <c r="AC17" s="37">
        <f t="shared" si="27"/>
        <v>11940</v>
      </c>
      <c r="AD17" s="35">
        <f t="shared" si="28"/>
        <v>54590</v>
      </c>
      <c r="AF17" s="20">
        <f t="shared" si="1"/>
        <v>2.9</v>
      </c>
      <c r="AG17" s="20">
        <f t="shared" si="2"/>
        <v>9.85</v>
      </c>
      <c r="AH17" s="20">
        <f t="shared" si="3"/>
        <v>14.8</v>
      </c>
      <c r="AI17" s="20">
        <f t="shared" si="4"/>
        <v>7.2</v>
      </c>
      <c r="AJ17" s="20">
        <f t="shared" si="5"/>
        <v>26.900000000000002</v>
      </c>
      <c r="AK17" s="20">
        <f t="shared" si="6"/>
        <v>18.25</v>
      </c>
      <c r="AL17" s="20">
        <f t="shared" si="7"/>
        <v>12.55</v>
      </c>
      <c r="AM17" s="20">
        <f t="shared" si="8"/>
        <v>20.100000000000001</v>
      </c>
      <c r="AN17" s="20">
        <f t="shared" si="9"/>
        <v>32.049999999999997</v>
      </c>
      <c r="AO17" s="20">
        <f t="shared" si="10"/>
        <v>13.65</v>
      </c>
      <c r="AP17" s="20">
        <f t="shared" si="11"/>
        <v>17.95</v>
      </c>
      <c r="AQ17" s="20">
        <f t="shared" si="12"/>
        <v>37.050000000000004</v>
      </c>
      <c r="AR17" s="20">
        <f t="shared" si="13"/>
        <v>59.7</v>
      </c>
      <c r="AS17" s="35">
        <f t="shared" si="29"/>
        <v>272.95000000000005</v>
      </c>
      <c r="AU17" s="47">
        <v>348902</v>
      </c>
      <c r="AV17" s="37">
        <f t="shared" si="31"/>
        <v>738</v>
      </c>
      <c r="AW17" s="35">
        <f t="shared" si="30"/>
        <v>1.476</v>
      </c>
    </row>
    <row r="18" spans="1:49" x14ac:dyDescent="0.25">
      <c r="A18" s="23">
        <v>44177</v>
      </c>
      <c r="B18" s="40">
        <v>103</v>
      </c>
      <c r="C18" s="24">
        <v>6496710</v>
      </c>
      <c r="D18" s="24">
        <v>14998890</v>
      </c>
      <c r="E18" s="24">
        <v>2216140</v>
      </c>
      <c r="F18" s="24">
        <v>3198770</v>
      </c>
      <c r="G18" s="24">
        <v>9595430</v>
      </c>
      <c r="H18" s="24">
        <v>4949330</v>
      </c>
      <c r="I18" s="24">
        <v>4663900</v>
      </c>
      <c r="J18" s="24">
        <v>5311480</v>
      </c>
      <c r="K18" s="24">
        <v>8322150</v>
      </c>
      <c r="L18" s="24">
        <v>3392620</v>
      </c>
      <c r="M18" s="24">
        <v>7314040</v>
      </c>
      <c r="N18" s="24">
        <v>10831850</v>
      </c>
      <c r="O18" s="24">
        <v>14750440</v>
      </c>
      <c r="Q18" s="37">
        <f t="shared" si="16"/>
        <v>360</v>
      </c>
      <c r="R18" s="37">
        <f t="shared" si="17"/>
        <v>1890</v>
      </c>
      <c r="S18" s="37">
        <f t="shared" si="15"/>
        <v>2730</v>
      </c>
      <c r="T18" s="37">
        <f t="shared" si="18"/>
        <v>1390</v>
      </c>
      <c r="U18" s="37">
        <f t="shared" si="19"/>
        <v>5200</v>
      </c>
      <c r="V18" s="37">
        <f t="shared" si="20"/>
        <v>3550</v>
      </c>
      <c r="W18" s="37">
        <f t="shared" si="21"/>
        <v>2410</v>
      </c>
      <c r="X18" s="37">
        <f t="shared" si="22"/>
        <v>3860</v>
      </c>
      <c r="Y18" s="37">
        <f t="shared" si="23"/>
        <v>6240</v>
      </c>
      <c r="Z18" s="37">
        <f t="shared" si="24"/>
        <v>2540</v>
      </c>
      <c r="AA18" s="37">
        <f t="shared" si="25"/>
        <v>3720</v>
      </c>
      <c r="AB18" s="37">
        <f t="shared" si="26"/>
        <v>7090</v>
      </c>
      <c r="AC18" s="37">
        <f t="shared" si="27"/>
        <v>11830</v>
      </c>
      <c r="AD18" s="35">
        <f t="shared" si="28"/>
        <v>52810</v>
      </c>
      <c r="AF18" s="20">
        <f t="shared" si="1"/>
        <v>1.8</v>
      </c>
      <c r="AG18" s="20">
        <f t="shared" si="2"/>
        <v>9.4500000000000011</v>
      </c>
      <c r="AH18" s="20">
        <f t="shared" si="3"/>
        <v>13.65</v>
      </c>
      <c r="AI18" s="20">
        <f t="shared" si="4"/>
        <v>6.95</v>
      </c>
      <c r="AJ18" s="20">
        <f t="shared" si="5"/>
        <v>26</v>
      </c>
      <c r="AK18" s="20">
        <f t="shared" si="6"/>
        <v>17.75</v>
      </c>
      <c r="AL18" s="20">
        <f t="shared" si="7"/>
        <v>12.05</v>
      </c>
      <c r="AM18" s="20">
        <f t="shared" si="8"/>
        <v>19.3</v>
      </c>
      <c r="AN18" s="20">
        <f t="shared" si="9"/>
        <v>31.2</v>
      </c>
      <c r="AO18" s="20">
        <f t="shared" si="10"/>
        <v>12.700000000000001</v>
      </c>
      <c r="AP18" s="20">
        <f t="shared" si="11"/>
        <v>18.600000000000001</v>
      </c>
      <c r="AQ18" s="20">
        <f t="shared" si="12"/>
        <v>35.450000000000003</v>
      </c>
      <c r="AR18" s="20">
        <f t="shared" si="13"/>
        <v>59.15</v>
      </c>
      <c r="AS18" s="35">
        <f t="shared" si="29"/>
        <v>264.04999999999995</v>
      </c>
      <c r="AU18" s="47">
        <v>349449</v>
      </c>
      <c r="AV18" s="37">
        <f t="shared" si="31"/>
        <v>547</v>
      </c>
      <c r="AW18" s="35">
        <f t="shared" si="30"/>
        <v>1.0940000000000001</v>
      </c>
    </row>
    <row r="19" spans="1:49" x14ac:dyDescent="0.25">
      <c r="A19" s="23">
        <v>44178</v>
      </c>
      <c r="B19" s="40">
        <v>75</v>
      </c>
      <c r="C19" s="24">
        <v>6497460</v>
      </c>
      <c r="D19" s="24">
        <v>15000770</v>
      </c>
      <c r="E19" s="24">
        <v>2218810</v>
      </c>
      <c r="F19" s="24">
        <v>3200150</v>
      </c>
      <c r="G19" s="24">
        <v>9600590</v>
      </c>
      <c r="H19" s="24">
        <v>4952890</v>
      </c>
      <c r="I19" s="24">
        <v>4666290</v>
      </c>
      <c r="J19" s="24">
        <v>5315090</v>
      </c>
      <c r="K19" s="24">
        <v>8328040</v>
      </c>
      <c r="L19" s="24">
        <v>3395170</v>
      </c>
      <c r="M19" s="24">
        <v>7317350</v>
      </c>
      <c r="N19" s="24">
        <v>10838770</v>
      </c>
      <c r="O19" s="24">
        <v>14761710</v>
      </c>
      <c r="Q19" s="37">
        <f t="shared" si="16"/>
        <v>750</v>
      </c>
      <c r="R19" s="37">
        <f t="shared" si="17"/>
        <v>1880</v>
      </c>
      <c r="S19" s="37">
        <f t="shared" si="15"/>
        <v>2670</v>
      </c>
      <c r="T19" s="37">
        <f t="shared" si="18"/>
        <v>1380</v>
      </c>
      <c r="U19" s="37">
        <f t="shared" si="19"/>
        <v>5160</v>
      </c>
      <c r="V19" s="37">
        <f t="shared" si="20"/>
        <v>3560</v>
      </c>
      <c r="W19" s="37">
        <f t="shared" si="21"/>
        <v>2390</v>
      </c>
      <c r="X19" s="37">
        <f t="shared" si="22"/>
        <v>3610</v>
      </c>
      <c r="Y19" s="37">
        <f t="shared" si="23"/>
        <v>5890</v>
      </c>
      <c r="Z19" s="37">
        <f t="shared" si="24"/>
        <v>2550</v>
      </c>
      <c r="AA19" s="37">
        <f t="shared" si="25"/>
        <v>3310</v>
      </c>
      <c r="AB19" s="37">
        <f t="shared" si="26"/>
        <v>6920</v>
      </c>
      <c r="AC19" s="37">
        <f t="shared" si="27"/>
        <v>11270</v>
      </c>
      <c r="AD19" s="35">
        <f t="shared" si="28"/>
        <v>51340</v>
      </c>
      <c r="AF19" s="20">
        <f t="shared" si="1"/>
        <v>3.75</v>
      </c>
      <c r="AG19" s="20">
        <f t="shared" si="2"/>
        <v>9.4</v>
      </c>
      <c r="AH19" s="20">
        <f t="shared" si="3"/>
        <v>13.35</v>
      </c>
      <c r="AI19" s="20">
        <f t="shared" si="4"/>
        <v>6.9</v>
      </c>
      <c r="AJ19" s="20">
        <f t="shared" si="5"/>
        <v>25.8</v>
      </c>
      <c r="AK19" s="20">
        <f t="shared" si="6"/>
        <v>17.8</v>
      </c>
      <c r="AL19" s="20">
        <f t="shared" si="7"/>
        <v>11.950000000000001</v>
      </c>
      <c r="AM19" s="20">
        <f t="shared" si="8"/>
        <v>18.05</v>
      </c>
      <c r="AN19" s="20">
        <f t="shared" si="9"/>
        <v>29.45</v>
      </c>
      <c r="AO19" s="20">
        <f t="shared" si="10"/>
        <v>12.75</v>
      </c>
      <c r="AP19" s="20">
        <f t="shared" si="11"/>
        <v>16.55</v>
      </c>
      <c r="AQ19" s="20">
        <f t="shared" si="12"/>
        <v>34.6</v>
      </c>
      <c r="AR19" s="20">
        <f t="shared" si="13"/>
        <v>56.35</v>
      </c>
      <c r="AS19" s="35">
        <f t="shared" si="29"/>
        <v>256.7</v>
      </c>
      <c r="AU19" s="47">
        <v>351200</v>
      </c>
      <c r="AV19" s="37">
        <f t="shared" si="31"/>
        <v>1751</v>
      </c>
      <c r="AW19" s="35">
        <f t="shared" si="30"/>
        <v>3.5020000000000002</v>
      </c>
    </row>
    <row r="20" spans="1:49" x14ac:dyDescent="0.25">
      <c r="A20" s="23">
        <v>44179</v>
      </c>
      <c r="B20" s="40">
        <v>73</v>
      </c>
      <c r="C20" s="24">
        <v>6498020</v>
      </c>
      <c r="D20" s="24">
        <v>15002670</v>
      </c>
      <c r="E20" s="24">
        <v>2221580</v>
      </c>
      <c r="F20" s="24">
        <v>3201540</v>
      </c>
      <c r="G20" s="24">
        <v>9605610</v>
      </c>
      <c r="H20" s="24">
        <v>4956390</v>
      </c>
      <c r="I20" s="24">
        <v>4668690</v>
      </c>
      <c r="J20" s="24">
        <v>5318800</v>
      </c>
      <c r="K20" s="24">
        <v>8333890</v>
      </c>
      <c r="L20" s="24">
        <v>3397620</v>
      </c>
      <c r="M20" s="24">
        <v>7320560</v>
      </c>
      <c r="N20" s="24">
        <v>10845850</v>
      </c>
      <c r="O20" s="24">
        <v>14773230</v>
      </c>
      <c r="Q20" s="37">
        <f t="shared" si="16"/>
        <v>560</v>
      </c>
      <c r="R20" s="37">
        <f t="shared" si="17"/>
        <v>1900</v>
      </c>
      <c r="S20" s="37">
        <f t="shared" si="15"/>
        <v>2770</v>
      </c>
      <c r="T20" s="37">
        <f t="shared" si="18"/>
        <v>1390</v>
      </c>
      <c r="U20" s="37">
        <f t="shared" si="19"/>
        <v>5020</v>
      </c>
      <c r="V20" s="37">
        <f t="shared" si="20"/>
        <v>3500</v>
      </c>
      <c r="W20" s="37">
        <f t="shared" si="21"/>
        <v>2400</v>
      </c>
      <c r="X20" s="37">
        <f t="shared" si="22"/>
        <v>3710</v>
      </c>
      <c r="Y20" s="37">
        <f t="shared" si="23"/>
        <v>5850</v>
      </c>
      <c r="Z20" s="37">
        <f t="shared" si="24"/>
        <v>2450</v>
      </c>
      <c r="AA20" s="37">
        <f t="shared" si="25"/>
        <v>3210</v>
      </c>
      <c r="AB20" s="37">
        <f t="shared" si="26"/>
        <v>7080</v>
      </c>
      <c r="AC20" s="37">
        <f t="shared" si="27"/>
        <v>11520</v>
      </c>
      <c r="AD20" s="35">
        <f t="shared" si="28"/>
        <v>51360</v>
      </c>
      <c r="AF20" s="20">
        <f t="shared" si="1"/>
        <v>2.8000000000000003</v>
      </c>
      <c r="AG20" s="20">
        <f t="shared" si="2"/>
        <v>9.5</v>
      </c>
      <c r="AH20" s="20">
        <f t="shared" si="3"/>
        <v>13.85</v>
      </c>
      <c r="AI20" s="20">
        <f t="shared" si="4"/>
        <v>6.95</v>
      </c>
      <c r="AJ20" s="20">
        <f t="shared" si="5"/>
        <v>25.1</v>
      </c>
      <c r="AK20" s="20">
        <f t="shared" si="6"/>
        <v>17.5</v>
      </c>
      <c r="AL20" s="20">
        <f t="shared" si="7"/>
        <v>12</v>
      </c>
      <c r="AM20" s="20">
        <f t="shared" si="8"/>
        <v>18.55</v>
      </c>
      <c r="AN20" s="20">
        <f t="shared" si="9"/>
        <v>29.25</v>
      </c>
      <c r="AO20" s="20">
        <f t="shared" si="10"/>
        <v>12.25</v>
      </c>
      <c r="AP20" s="20">
        <f t="shared" si="11"/>
        <v>16.05</v>
      </c>
      <c r="AQ20" s="20">
        <f t="shared" si="12"/>
        <v>35.4</v>
      </c>
      <c r="AR20" s="20">
        <f t="shared" si="13"/>
        <v>57.6</v>
      </c>
      <c r="AS20" s="35">
        <f t="shared" si="29"/>
        <v>256.8</v>
      </c>
      <c r="AU20" s="47">
        <v>353043</v>
      </c>
      <c r="AV20" s="37">
        <f t="shared" si="31"/>
        <v>1843</v>
      </c>
      <c r="AW20" s="35">
        <f t="shared" si="30"/>
        <v>3.6859999999999999</v>
      </c>
    </row>
    <row r="21" spans="1:49" x14ac:dyDescent="0.25">
      <c r="A21" s="23">
        <v>44180</v>
      </c>
      <c r="B21" s="40">
        <v>64</v>
      </c>
      <c r="C21" s="24">
        <v>6498570</v>
      </c>
      <c r="D21" s="24">
        <v>15004530</v>
      </c>
      <c r="E21" s="24">
        <v>2224580</v>
      </c>
      <c r="F21" s="24">
        <v>3202920</v>
      </c>
      <c r="G21" s="24">
        <v>9610230</v>
      </c>
      <c r="H21" s="24">
        <v>4959860</v>
      </c>
      <c r="I21" s="24">
        <v>4671140</v>
      </c>
      <c r="J21" s="24">
        <v>5322430</v>
      </c>
      <c r="K21" s="24">
        <v>8339890</v>
      </c>
      <c r="L21" s="24">
        <v>3400070</v>
      </c>
      <c r="M21" s="24">
        <v>7323370</v>
      </c>
      <c r="N21" s="24">
        <v>10852590</v>
      </c>
      <c r="O21" s="24">
        <v>14784610</v>
      </c>
      <c r="Q21" s="37">
        <f t="shared" si="16"/>
        <v>550</v>
      </c>
      <c r="R21" s="37">
        <f t="shared" si="17"/>
        <v>1860</v>
      </c>
      <c r="S21" s="37">
        <f t="shared" si="15"/>
        <v>3000</v>
      </c>
      <c r="T21" s="37">
        <f t="shared" si="18"/>
        <v>1380</v>
      </c>
      <c r="U21" s="37">
        <f t="shared" si="19"/>
        <v>4620</v>
      </c>
      <c r="V21" s="37">
        <f t="shared" si="20"/>
        <v>3470</v>
      </c>
      <c r="W21" s="37">
        <f t="shared" si="21"/>
        <v>2450</v>
      </c>
      <c r="X21" s="37">
        <f t="shared" si="22"/>
        <v>3630</v>
      </c>
      <c r="Y21" s="37">
        <f t="shared" si="23"/>
        <v>6000</v>
      </c>
      <c r="Z21" s="37">
        <f t="shared" si="24"/>
        <v>2450</v>
      </c>
      <c r="AA21" s="37">
        <f t="shared" si="25"/>
        <v>2810</v>
      </c>
      <c r="AB21" s="37">
        <f t="shared" si="26"/>
        <v>6740</v>
      </c>
      <c r="AC21" s="37">
        <f t="shared" si="27"/>
        <v>11380</v>
      </c>
      <c r="AD21" s="35">
        <f t="shared" si="28"/>
        <v>50340</v>
      </c>
      <c r="AF21" s="20">
        <f t="shared" si="1"/>
        <v>2.75</v>
      </c>
      <c r="AG21" s="20">
        <f t="shared" si="2"/>
        <v>9.3000000000000007</v>
      </c>
      <c r="AH21" s="20">
        <f t="shared" si="3"/>
        <v>15</v>
      </c>
      <c r="AI21" s="20">
        <f t="shared" si="4"/>
        <v>6.9</v>
      </c>
      <c r="AJ21" s="20">
        <f t="shared" si="5"/>
        <v>23.1</v>
      </c>
      <c r="AK21" s="20">
        <f t="shared" si="6"/>
        <v>17.350000000000001</v>
      </c>
      <c r="AL21" s="20">
        <f t="shared" si="7"/>
        <v>12.25</v>
      </c>
      <c r="AM21" s="20">
        <f t="shared" si="8"/>
        <v>18.150000000000002</v>
      </c>
      <c r="AN21" s="20">
        <f t="shared" si="9"/>
        <v>30</v>
      </c>
      <c r="AO21" s="20">
        <f t="shared" si="10"/>
        <v>12.25</v>
      </c>
      <c r="AP21" s="20">
        <f t="shared" si="11"/>
        <v>14.05</v>
      </c>
      <c r="AQ21" s="20">
        <f t="shared" si="12"/>
        <v>33.700000000000003</v>
      </c>
      <c r="AR21" s="20">
        <f t="shared" si="13"/>
        <v>56.9</v>
      </c>
      <c r="AS21" s="35">
        <f t="shared" si="29"/>
        <v>251.70000000000002</v>
      </c>
      <c r="AU21" s="47">
        <v>354419</v>
      </c>
      <c r="AV21" s="37">
        <f t="shared" si="31"/>
        <v>1376</v>
      </c>
      <c r="AW21" s="35">
        <f t="shared" si="30"/>
        <v>2.7520000000000002</v>
      </c>
    </row>
    <row r="22" spans="1:49" x14ac:dyDescent="0.25">
      <c r="A22" s="23">
        <v>44181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 t="str">
        <f t="shared" si="16"/>
        <v>0</v>
      </c>
      <c r="R22" s="37" t="str">
        <f t="shared" si="17"/>
        <v>0</v>
      </c>
      <c r="S22" s="37" t="str">
        <f t="shared" si="15"/>
        <v>0</v>
      </c>
      <c r="T22" s="37" t="str">
        <f t="shared" si="18"/>
        <v>0</v>
      </c>
      <c r="U22" s="37" t="str">
        <f t="shared" si="19"/>
        <v>0</v>
      </c>
      <c r="V22" s="37" t="str">
        <f t="shared" si="20"/>
        <v>0</v>
      </c>
      <c r="W22" s="37" t="str">
        <f t="shared" si="21"/>
        <v>0</v>
      </c>
      <c r="X22" s="37" t="str">
        <f t="shared" si="22"/>
        <v>0</v>
      </c>
      <c r="Y22" s="37" t="str">
        <f t="shared" si="23"/>
        <v>0</v>
      </c>
      <c r="Z22" s="37" t="str">
        <f t="shared" si="24"/>
        <v>0</v>
      </c>
      <c r="AA22" s="37" t="str">
        <f t="shared" si="25"/>
        <v>0</v>
      </c>
      <c r="AB22" s="37" t="str">
        <f t="shared" si="26"/>
        <v>0</v>
      </c>
      <c r="AC22" s="37" t="str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 t="str">
        <f t="shared" si="31"/>
        <v>0</v>
      </c>
      <c r="AW22" s="35">
        <f t="shared" si="30"/>
        <v>0</v>
      </c>
    </row>
    <row r="23" spans="1:49" x14ac:dyDescent="0.25">
      <c r="A23" s="23">
        <v>44182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44183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44185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44188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44189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44190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44191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44192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44193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44194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44195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44196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8320</v>
      </c>
      <c r="R38" s="30">
        <f t="shared" si="62"/>
        <v>28510</v>
      </c>
      <c r="S38" s="30">
        <f t="shared" si="62"/>
        <v>15880</v>
      </c>
      <c r="T38" s="30">
        <f t="shared" si="62"/>
        <v>51250</v>
      </c>
      <c r="U38" s="30">
        <f t="shared" si="62"/>
        <v>74460</v>
      </c>
      <c r="V38" s="30">
        <f t="shared" si="62"/>
        <v>52550</v>
      </c>
      <c r="W38" s="30">
        <f t="shared" si="62"/>
        <v>36170</v>
      </c>
      <c r="X38" s="30">
        <f t="shared" si="62"/>
        <v>57420</v>
      </c>
      <c r="Y38" s="30">
        <f t="shared" si="62"/>
        <v>91190</v>
      </c>
      <c r="Z38" s="30">
        <f t="shared" si="62"/>
        <v>38310</v>
      </c>
      <c r="AA38" s="30">
        <f t="shared" si="62"/>
        <v>49780</v>
      </c>
      <c r="AB38" s="30">
        <f t="shared" si="62"/>
        <v>106970</v>
      </c>
      <c r="AC38" s="30">
        <f t="shared" si="62"/>
        <v>170440</v>
      </c>
      <c r="AD38" s="35">
        <f t="shared" si="62"/>
        <v>781250</v>
      </c>
      <c r="AF38" s="35">
        <f t="shared" ref="AF38:AS38" si="63">SUM(AF7:AF34)</f>
        <v>41.599999999999994</v>
      </c>
      <c r="AG38" s="35">
        <f t="shared" si="63"/>
        <v>142.55000000000001</v>
      </c>
      <c r="AH38" s="35">
        <f t="shared" si="63"/>
        <v>79.400000000000006</v>
      </c>
      <c r="AI38" s="35">
        <f t="shared" si="63"/>
        <v>256.25</v>
      </c>
      <c r="AJ38" s="35">
        <f t="shared" si="63"/>
        <v>372.30000000000007</v>
      </c>
      <c r="AK38" s="35">
        <f t="shared" si="63"/>
        <v>262.75</v>
      </c>
      <c r="AL38" s="35">
        <f t="shared" si="63"/>
        <v>180.85</v>
      </c>
      <c r="AM38" s="35">
        <f t="shared" si="63"/>
        <v>287.10000000000002</v>
      </c>
      <c r="AN38" s="35">
        <f t="shared" si="63"/>
        <v>455.95</v>
      </c>
      <c r="AO38" s="35">
        <f t="shared" si="63"/>
        <v>191.54999999999998</v>
      </c>
      <c r="AP38" s="35">
        <f t="shared" si="63"/>
        <v>248.90000000000003</v>
      </c>
      <c r="AQ38" s="35">
        <f t="shared" si="63"/>
        <v>534.85</v>
      </c>
      <c r="AR38" s="35">
        <f t="shared" si="63"/>
        <v>852.2</v>
      </c>
      <c r="AS38" s="35">
        <f t="shared" si="63"/>
        <v>3906.25</v>
      </c>
      <c r="AU38" s="48"/>
      <c r="AV38" s="35">
        <f>SUM(AV7:AV34)</f>
        <v>23982</v>
      </c>
      <c r="AW38" s="35">
        <f>SUM(AW7:AW34)</f>
        <v>41.938000000000002</v>
      </c>
    </row>
    <row r="39" spans="1:49" x14ac:dyDescent="0.25">
      <c r="D39">
        <v>5.0000000000000001E-3</v>
      </c>
      <c r="AV39" s="36">
        <f>AV38*0.00378541*1000</f>
        <v>90781.702620000011</v>
      </c>
    </row>
    <row r="40" spans="1:49" x14ac:dyDescent="0.25">
      <c r="D40">
        <v>2E-3</v>
      </c>
      <c r="AV40">
        <f>AV39/31</f>
        <v>2928.4420200000004</v>
      </c>
    </row>
    <row r="41" spans="1:49" x14ac:dyDescent="0.25">
      <c r="AV41">
        <f>AV38*0.00378541</f>
        <v>90.781702620000004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2020-12-16T05:41:24Z</dcterms:modified>
</cp:coreProperties>
</file>