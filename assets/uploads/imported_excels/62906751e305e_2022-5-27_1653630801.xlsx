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44" documentId="13_ncr:1_{76C55D63-F869-4AF5-AAA3-3D809A91432B}" xr6:coauthVersionLast="48" xr6:coauthVersionMax="48" xr10:uidLastSave="{69AC849A-0DA3-4332-AAB5-4A716D9599E2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1" i="27" l="1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6" i="27"/>
  <c r="J17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2" i="27"/>
  <c r="L33" i="27"/>
  <c r="L34" i="27"/>
  <c r="L35" i="27"/>
  <c r="L36" i="27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<sst xmlns="http://schemas.openxmlformats.org/spreadsheetml/2006/main" count="72" uniqueCount="33">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</sst>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F1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20944.99999999698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2915</v>
      </c>
      <c r="J5" s="83">
        <v>0.21186441</v>
      </c>
      <c r="K5" s="11">
        <f>IF('Water, Gas, Diesel'!F9&lt;0,0,'Water, Gas, Diesel'!F9)</f>
        <v>266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20534.999999999854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3307</v>
      </c>
      <c r="J6" s="83">
        <v>0.21186441</v>
      </c>
      <c r="K6" s="11">
        <f>IF('Water, Gas, Diesel'!F10&lt;0,0,'Water, Gas, Diesel'!F10)</f>
        <v>268</v>
      </c>
      <c r="L6" s="83">
        <v>1.6949000000000001</v>
      </c>
      <c r="M6" s="11">
        <f>Electricity!H12</f>
        <v>171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20345.000000002074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3169</v>
      </c>
      <c r="J7" s="83">
        <v>0.21186441</v>
      </c>
      <c r="K7" s="11">
        <f>IF('Water, Gas, Diesel'!F11&lt;0,0,'Water, Gas, Diesel'!F11)</f>
        <v>288</v>
      </c>
      <c r="L7" s="83">
        <v>1.6949000000000001</v>
      </c>
      <c r="M7" s="11">
        <f>Electricity!H13</f>
        <v>144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19594.999999999345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2667</v>
      </c>
      <c r="J8" s="83">
        <v>0.21186441</v>
      </c>
      <c r="K8" s="11">
        <f>IF('Water, Gas, Diesel'!F12&lt;0,0,'Water, Gas, Diesel'!F12)</f>
        <v>286</v>
      </c>
      <c r="L8" s="83">
        <v>1.6949000000000001</v>
      </c>
      <c r="M8" s="11">
        <f>Electricity!H14</f>
        <v>153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14262.499999999818</v>
      </c>
      <c r="F9" s="83">
        <v>9.3200000000000005E-2</v>
      </c>
      <c r="G9" s="11">
        <f>IF('Water, Gas, Diesel'!K13&lt;0,0,'Water, Gas, Diesel'!K13)</f>
        <v>110</v>
      </c>
      <c r="H9" s="83">
        <v>0.7</v>
      </c>
      <c r="I9" s="11">
        <f>IF('Water, Gas, Diesel'!C13&lt;0,0,'Water, Gas, Diesel'!C13)</f>
        <v>2073</v>
      </c>
      <c r="J9" s="83">
        <v>0.21186441</v>
      </c>
      <c r="K9" s="11">
        <f>IF('Water, Gas, Diesel'!F13&lt;0,0,'Water, Gas, Diesel'!F13)</f>
        <v>201</v>
      </c>
      <c r="L9" s="83">
        <v>1.6949000000000001</v>
      </c>
      <c r="M9" s="11">
        <f>Electricity!H15</f>
        <v>131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20524.999999997817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2082</v>
      </c>
      <c r="J10" s="83">
        <v>0.21186441</v>
      </c>
      <c r="K10" s="11">
        <f>IF('Water, Gas, Diesel'!F14&lt;0,0,'Water, Gas, Diesel'!F14)</f>
        <v>294</v>
      </c>
      <c r="L10" s="83">
        <v>1.6949000000000001</v>
      </c>
      <c r="M10" s="11">
        <f>Electricity!H16</f>
        <v>90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19995.000000003529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1734</v>
      </c>
      <c r="J11" s="83">
        <v>0.21186441</v>
      </c>
      <c r="K11" s="11">
        <f>IF('Water, Gas, Diesel'!F15&lt;0,0,'Water, Gas, Diesel'!F15)</f>
        <v>288</v>
      </c>
      <c r="L11" s="83">
        <v>1.6949000000000001</v>
      </c>
      <c r="M11" s="11">
        <f>Electricity!H17</f>
        <v>84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22139.99999999487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3928</v>
      </c>
      <c r="J12" s="83">
        <v>0.21186441</v>
      </c>
      <c r="K12" s="11">
        <f>IF('Water, Gas, Diesel'!F16&lt;0,0,'Water, Gas, Diesel'!F16)</f>
        <v>315</v>
      </c>
      <c r="L12" s="83">
        <v>1.6949000000000001</v>
      </c>
      <c r="M12" s="11">
        <f>Electricity!H18</f>
        <v>85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19905.000000003383</v>
      </c>
      <c r="F13" s="83">
        <v>9.3200000000000005E-2</v>
      </c>
      <c r="G13" s="11">
        <f>IF('Water, Gas, Diesel'!K17&lt;0,0,'Water, Gas, Diesel'!K17)</f>
        <v>570</v>
      </c>
      <c r="H13" s="83">
        <v>0.7</v>
      </c>
      <c r="I13" s="11">
        <f>IF('Water, Gas, Diesel'!C17&lt;0,0,'Water, Gas, Diesel'!C17)</f>
        <v>1920</v>
      </c>
      <c r="J13" s="83">
        <v>0.21186441</v>
      </c>
      <c r="K13" s="11">
        <f>IF('Water, Gas, Diesel'!F17&lt;0,0,'Water, Gas, Diesel'!F17)</f>
        <v>271</v>
      </c>
      <c r="L13" s="83">
        <v>1.6949000000000001</v>
      </c>
      <c r="M13" s="11">
        <f>Electricity!H19</f>
        <v>89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20554.999999999382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2952</v>
      </c>
      <c r="J14" s="83">
        <v>0.21186441</v>
      </c>
      <c r="K14" s="11">
        <f>IF('Water, Gas, Diesel'!F18&lt;0,0,'Water, Gas, Diesel'!F18)</f>
        <v>273</v>
      </c>
      <c r="L14" s="83">
        <v>1.6949000000000001</v>
      </c>
      <c r="M14" s="11">
        <f>Electricity!H20</f>
        <v>67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19267.500000000837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2438</v>
      </c>
      <c r="J15" s="83">
        <v>0.21186441</v>
      </c>
      <c r="K15" s="11">
        <f>IF('Water, Gas, Diesel'!F19&lt;0,0,'Water, Gas, Diesel'!F19)</f>
        <v>279</v>
      </c>
      <c r="L15" s="83">
        <v>1.6949000000000001</v>
      </c>
      <c r="M15" s="11">
        <f>Electricity!H21</f>
        <v>65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18747.499999999491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1089</v>
      </c>
      <c r="J16" s="83">
        <v>0.21186441</v>
      </c>
      <c r="K16" s="11">
        <f>IF('Water, Gas, Diesel'!F20&lt;0,0,'Water, Gas, Diesel'!F20)</f>
        <v>253</v>
      </c>
      <c r="L16" s="83">
        <v>1.6949000000000001</v>
      </c>
      <c r="M16" s="11">
        <f>Electricity!H22</f>
        <v>70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19507.499999999709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3634</v>
      </c>
      <c r="J17" s="83">
        <v>0.21186441</v>
      </c>
      <c r="K17" s="11">
        <f>IF('Water, Gas, Diesel'!F21&lt;0,0,'Water, Gas, Diesel'!F21)</f>
        <v>260</v>
      </c>
      <c r="L17" s="83">
        <v>1.6949000000000001</v>
      </c>
      <c r="M17" s="11">
        <f>Electricity!H23</f>
        <v>82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11929.999999997563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3630</v>
      </c>
      <c r="J18" s="83">
        <v>0.21186441</v>
      </c>
      <c r="K18" s="11">
        <f>IF('Water, Gas, Diesel'!F22&lt;0,0,'Water, Gas, Diesel'!F22)</f>
        <v>235</v>
      </c>
      <c r="L18" s="83">
        <v>1.6949000000000001</v>
      </c>
      <c r="M18" s="11">
        <f>Electricity!H24</f>
        <v>132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25955.000000003565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923</v>
      </c>
      <c r="J19" s="83">
        <v>0.21186441</v>
      </c>
      <c r="K19" s="11">
        <f>IF('Water, Gas, Diesel'!F23&lt;0,0,'Water, Gas, Diesel'!F23)</f>
        <v>208</v>
      </c>
      <c r="L19" s="83">
        <v>1.6949000000000001</v>
      </c>
      <c r="M19" s="11">
        <f>Electricity!H25</f>
        <v>161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6634.9999999965803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486</v>
      </c>
      <c r="J20" s="83">
        <v>0.21186441</v>
      </c>
      <c r="K20" s="11">
        <f>IF('Water, Gas, Diesel'!F24&lt;0,0,'Water, Gas, Diesel'!F24)</f>
        <v>164</v>
      </c>
      <c r="L20" s="83">
        <v>1.6949000000000001</v>
      </c>
      <c r="M20" s="11">
        <f>Electricity!H26</f>
        <v>121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31282.500000002074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4653</v>
      </c>
      <c r="J21" s="83">
        <v>0.21186441</v>
      </c>
      <c r="K21" s="11">
        <f>IF('Water, Gas, Diesel'!F25&lt;0,0,'Water, Gas, Diesel'!F25)</f>
        <v>196</v>
      </c>
      <c r="L21" s="83">
        <v>1.6949000000000001</v>
      </c>
      <c r="M21" s="11">
        <f>Electricity!H27</f>
        <v>103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18425.000000002001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2253</v>
      </c>
      <c r="J22" s="83">
        <v>0.21186441</v>
      </c>
      <c r="K22" s="11">
        <f>IF('Water, Gas, Diesel'!F26&lt;0,0,'Water, Gas, Diesel'!F26)</f>
        <v>180</v>
      </c>
      <c r="L22" s="83">
        <v>1.6949000000000001</v>
      </c>
      <c r="M22" s="11">
        <f>Electricity!H28</f>
        <v>80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19017.49999999538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2339</v>
      </c>
      <c r="J23" s="83">
        <v>0.21186441</v>
      </c>
      <c r="K23" s="11">
        <f>IF('Water, Gas, Diesel'!F27&lt;0,0,'Water, Gas, Diesel'!F27)</f>
        <v>183</v>
      </c>
      <c r="L23" s="83">
        <v>1.6949000000000001</v>
      </c>
      <c r="M23" s="11">
        <f>Electricity!H29</f>
        <v>73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15472.500000005311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2225</v>
      </c>
      <c r="J24" s="83">
        <v>0.21186441</v>
      </c>
      <c r="K24" s="11">
        <f>IF('Water, Gas, Diesel'!F28&lt;0,0,'Water, Gas, Diesel'!F28)</f>
        <v>172</v>
      </c>
      <c r="L24" s="83">
        <v>1.6949000000000001</v>
      </c>
      <c r="M24" s="11">
        <f>Electricity!H30</f>
        <v>74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24312.499999996362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2888</v>
      </c>
      <c r="J25" s="83">
        <v>0.21186441</v>
      </c>
      <c r="K25" s="11">
        <f>IF('Water, Gas, Diesel'!F29&lt;0,0,'Water, Gas, Diesel'!F29)</f>
        <v>181</v>
      </c>
      <c r="L25" s="83">
        <v>1.6949000000000001</v>
      </c>
      <c r="M25" s="11">
        <f>Electricity!H31</f>
        <v>87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12080.000000000837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2875</v>
      </c>
      <c r="J26" s="83">
        <v>0.21186441</v>
      </c>
      <c r="K26" s="11">
        <f>IF('Water, Gas, Diesel'!F30&lt;0,0,'Water, Gas, Diesel'!F30)</f>
        <v>230</v>
      </c>
      <c r="L26" s="83">
        <v>1.6949000000000001</v>
      </c>
      <c r="M26" s="11">
        <f>Electricity!H32</f>
        <v>92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11650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121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7" activePane="bottomLeft" state="frozen"/>
      <selection pane="bottomLeft" activeCell="K28" sqref="K28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9369.9999999989814</v>
      </c>
      <c r="D11" s="76">
        <v>15534.433000000001</v>
      </c>
      <c r="E11" s="39">
        <f t="shared" si="1"/>
        <v>11574.999999997999</v>
      </c>
      <c r="F11" s="47">
        <f t="shared" si="2"/>
        <v>20944.99999999698</v>
      </c>
      <c r="G11" s="67">
        <f t="shared" si="3"/>
        <v>1952.0739999997186</v>
      </c>
      <c r="H11" s="103">
        <v>168</v>
      </c>
    </row>
    <row r="12" spans="1:8" ht="30.95" customHeight="1">
      <c r="A12" s="100">
        <v>5</v>
      </c>
      <c r="B12" s="77">
        <v>15146.355</v>
      </c>
      <c r="C12" s="70">
        <f t="shared" si="0"/>
        <v>9237.4999999992724</v>
      </c>
      <c r="D12" s="74">
        <v>15539.063</v>
      </c>
      <c r="E12" s="70">
        <f t="shared" si="1"/>
        <v>11297.500000000582</v>
      </c>
      <c r="F12" s="51">
        <f t="shared" si="2"/>
        <v>20534.999999999854</v>
      </c>
      <c r="G12" s="67">
        <f t="shared" si="3"/>
        <v>1913.8619999999864</v>
      </c>
      <c r="H12" s="103">
        <v>171</v>
      </c>
    </row>
    <row r="13" spans="1:8" ht="30.95" customHeight="1">
      <c r="A13" s="102">
        <v>6</v>
      </c>
      <c r="B13" s="75">
        <v>15150.05</v>
      </c>
      <c r="C13" s="39">
        <f t="shared" si="0"/>
        <v>9227.5000000017826</v>
      </c>
      <c r="D13" s="76">
        <v>15543.582</v>
      </c>
      <c r="E13" s="39">
        <f t="shared" si="1"/>
        <v>11117.500000000291</v>
      </c>
      <c r="F13" s="47">
        <f t="shared" si="2"/>
        <v>20345.000000002074</v>
      </c>
      <c r="G13" s="67">
        <f t="shared" si="3"/>
        <v>1896.1540000001933</v>
      </c>
      <c r="H13" s="103">
        <v>144</v>
      </c>
    </row>
    <row r="14" spans="1:8" ht="30.95" customHeight="1">
      <c r="A14" s="100">
        <v>7</v>
      </c>
      <c r="B14" s="77">
        <v>15153.741</v>
      </c>
      <c r="C14" s="70">
        <f t="shared" si="0"/>
        <v>9397.5000000000364</v>
      </c>
      <c r="D14" s="104">
        <v>15548.029</v>
      </c>
      <c r="E14" s="70">
        <f t="shared" si="1"/>
        <v>10197.499999999309</v>
      </c>
      <c r="F14" s="51">
        <f t="shared" si="2"/>
        <v>19594.999999999345</v>
      </c>
      <c r="G14" s="67">
        <f t="shared" si="3"/>
        <v>1826.253999999939</v>
      </c>
      <c r="H14" s="103">
        <v>153</v>
      </c>
    </row>
    <row r="15" spans="1:8" ht="30.95" customHeight="1">
      <c r="A15" s="102">
        <v>8</v>
      </c>
      <c r="B15" s="75">
        <v>15157.5</v>
      </c>
      <c r="C15" s="39">
        <f t="shared" si="0"/>
        <v>6759.9999999993088</v>
      </c>
      <c r="D15" s="78">
        <v>15552.108</v>
      </c>
      <c r="E15" s="39">
        <f t="shared" si="1"/>
        <v>7502.5000000005093</v>
      </c>
      <c r="F15" s="47">
        <f t="shared" si="2"/>
        <v>14262.499999999818</v>
      </c>
      <c r="G15" s="67">
        <f t="shared" si="3"/>
        <v>1329.264999999983</v>
      </c>
      <c r="H15" s="103">
        <v>131</v>
      </c>
    </row>
    <row r="16" spans="1:8" ht="30.95" customHeight="1">
      <c r="A16" s="100">
        <v>9</v>
      </c>
      <c r="B16" s="79">
        <v>15160.204</v>
      </c>
      <c r="C16" s="70">
        <f t="shared" si="0"/>
        <v>9437.4999999990905</v>
      </c>
      <c r="D16" s="80">
        <v>15555.109</v>
      </c>
      <c r="E16" s="70">
        <f t="shared" si="1"/>
        <v>11087.499999998727</v>
      </c>
      <c r="F16" s="51">
        <f t="shared" si="2"/>
        <v>20524.999999997817</v>
      </c>
      <c r="G16" s="67">
        <f t="shared" si="3"/>
        <v>1912.9299999997966</v>
      </c>
      <c r="H16" s="103">
        <v>90</v>
      </c>
    </row>
    <row r="17" spans="1:8" ht="30.95" customHeight="1">
      <c r="A17" s="102">
        <v>10</v>
      </c>
      <c r="B17" s="77">
        <v>15163.978999999999</v>
      </c>
      <c r="C17" s="39">
        <f t="shared" si="0"/>
        <v>8945.0000000033469</v>
      </c>
      <c r="D17" s="104">
        <v>15559.544</v>
      </c>
      <c r="E17" s="39">
        <f t="shared" si="1"/>
        <v>11050.000000000182</v>
      </c>
      <c r="F17" s="47">
        <f t="shared" si="2"/>
        <v>19995.000000003529</v>
      </c>
      <c r="G17" s="67">
        <f t="shared" si="3"/>
        <v>1863.5340000003289</v>
      </c>
      <c r="H17" s="103">
        <v>84</v>
      </c>
    </row>
    <row r="18" spans="1:8" ht="30.95" customHeight="1">
      <c r="A18" s="100">
        <v>11</v>
      </c>
      <c r="B18" s="75">
        <v>15167.557000000001</v>
      </c>
      <c r="C18" s="70">
        <f t="shared" si="0"/>
        <v>10049.999999996544</v>
      </c>
      <c r="D18" s="78">
        <v>15563.964</v>
      </c>
      <c r="E18" s="70">
        <f t="shared" si="1"/>
        <v>12089.999999998327</v>
      </c>
      <c r="F18" s="51">
        <f t="shared" si="2"/>
        <v>22139.99999999487</v>
      </c>
      <c r="G18" s="67">
        <f t="shared" si="3"/>
        <v>2063.4479999995219</v>
      </c>
      <c r="H18" s="103">
        <v>85</v>
      </c>
    </row>
    <row r="19" spans="1:8" ht="30.95" customHeight="1">
      <c r="A19" s="102">
        <v>12</v>
      </c>
      <c r="B19" s="77">
        <v>15171.576999999999</v>
      </c>
      <c r="C19" s="39">
        <f t="shared" si="0"/>
        <v>11825.000000003456</v>
      </c>
      <c r="D19" s="104">
        <v>15568.8</v>
      </c>
      <c r="E19" s="39">
        <f t="shared" si="1"/>
        <v>8079.9999999999272</v>
      </c>
      <c r="F19" s="47">
        <f t="shared" si="2"/>
        <v>19905.000000003383</v>
      </c>
      <c r="G19" s="67">
        <f t="shared" si="3"/>
        <v>1855.1460000003153</v>
      </c>
      <c r="H19" s="103">
        <v>89</v>
      </c>
    </row>
    <row r="20" spans="1:8" ht="30.95" customHeight="1">
      <c r="A20" s="100">
        <v>13</v>
      </c>
      <c r="B20" s="75">
        <v>15176.307000000001</v>
      </c>
      <c r="C20" s="70">
        <f t="shared" si="0"/>
        <v>12817.499999996471</v>
      </c>
      <c r="D20" s="81">
        <v>15572.031999999999</v>
      </c>
      <c r="E20" s="70">
        <f t="shared" si="1"/>
        <v>7737.5000000029104</v>
      </c>
      <c r="F20" s="51">
        <f t="shared" si="2"/>
        <v>20554.999999999382</v>
      </c>
      <c r="G20" s="67">
        <f t="shared" si="3"/>
        <v>1915.7259999999424</v>
      </c>
      <c r="H20" s="103">
        <v>67</v>
      </c>
    </row>
    <row r="21" spans="1:8" ht="30.95" customHeight="1">
      <c r="A21" s="102">
        <v>14</v>
      </c>
      <c r="B21" s="75">
        <v>15181.433999999999</v>
      </c>
      <c r="C21" s="39">
        <f t="shared" si="0"/>
        <v>12967.499999999745</v>
      </c>
      <c r="D21" s="78">
        <v>15575.127</v>
      </c>
      <c r="E21" s="39">
        <f t="shared" si="1"/>
        <v>6300.0000000010914</v>
      </c>
      <c r="F21" s="47">
        <f t="shared" si="2"/>
        <v>19267.500000000837</v>
      </c>
      <c r="G21" s="67">
        <f t="shared" si="3"/>
        <v>1795.731000000078</v>
      </c>
      <c r="H21" s="103">
        <v>65</v>
      </c>
    </row>
    <row r="22" spans="1:8" ht="30.95" customHeight="1">
      <c r="A22" s="100">
        <v>15</v>
      </c>
      <c r="B22" s="75">
        <v>15186.620999999999</v>
      </c>
      <c r="C22" s="70">
        <f t="shared" si="0"/>
        <v>12500</v>
      </c>
      <c r="D22" s="57">
        <v>15577.647000000001</v>
      </c>
      <c r="E22" s="70">
        <f t="shared" si="1"/>
        <v>6247.4999999994907</v>
      </c>
      <c r="F22" s="51">
        <f t="shared" si="2"/>
        <v>18747.499999999491</v>
      </c>
      <c r="G22" s="67">
        <f t="shared" si="3"/>
        <v>1747.2669999999525</v>
      </c>
      <c r="H22" s="103">
        <v>70</v>
      </c>
    </row>
    <row r="23" spans="1:8" ht="30.95" customHeight="1">
      <c r="A23" s="102">
        <v>16</v>
      </c>
      <c r="B23" s="84">
        <v>15191.620999999999</v>
      </c>
      <c r="C23" s="39">
        <f t="shared" si="0"/>
        <v>11707.500000002256</v>
      </c>
      <c r="D23" s="85">
        <v>15580.146000000001</v>
      </c>
      <c r="E23" s="39">
        <f t="shared" si="1"/>
        <v>7799.9999999974534</v>
      </c>
      <c r="F23" s="47">
        <f t="shared" si="2"/>
        <v>19507.499999999709</v>
      </c>
      <c r="G23" s="67">
        <f t="shared" si="3"/>
        <v>1818.0989999999729</v>
      </c>
      <c r="H23" s="103">
        <v>82</v>
      </c>
    </row>
    <row r="24" spans="1:8" ht="30.95" customHeight="1">
      <c r="A24" s="100">
        <v>17</v>
      </c>
      <c r="B24" s="86">
        <v>15196.304</v>
      </c>
      <c r="C24" s="70">
        <f t="shared" si="0"/>
        <v>7264.9999999975989</v>
      </c>
      <c r="D24" s="104">
        <v>15583.266</v>
      </c>
      <c r="E24" s="70">
        <f t="shared" si="1"/>
        <v>4664.9999999999636</v>
      </c>
      <c r="F24" s="51">
        <f t="shared" si="2"/>
        <v>11929.999999997563</v>
      </c>
      <c r="G24" s="67">
        <f t="shared" si="3"/>
        <v>1111.8759999997728</v>
      </c>
      <c r="H24" s="103">
        <v>132</v>
      </c>
    </row>
    <row r="25" spans="1:8" ht="30.95" customHeight="1">
      <c r="A25" s="102">
        <v>18</v>
      </c>
      <c r="B25" s="75">
        <v>15199.21</v>
      </c>
      <c r="C25" s="39">
        <f>(B26-B25)*2500</f>
        <v>17042.500000002292</v>
      </c>
      <c r="D25" s="78">
        <v>15585.132</v>
      </c>
      <c r="E25" s="39">
        <f>(D26-D25)*2500</f>
        <v>8912.5000000012733</v>
      </c>
      <c r="F25" s="47">
        <f t="shared" si="2"/>
        <v>25955.000000003565</v>
      </c>
      <c r="G25" s="67">
        <f t="shared" si="3"/>
        <v>2419.0060000003323</v>
      </c>
      <c r="H25" s="103">
        <v>161</v>
      </c>
    </row>
    <row r="26" spans="1:8" ht="30.95" customHeight="1">
      <c r="A26" s="100">
        <v>19</v>
      </c>
      <c r="B26" s="77">
        <v>15206.027</v>
      </c>
      <c r="C26" s="70">
        <f t="shared" ref="C26:C38" si="4">(B27-B26)*2500</f>
        <v>3762.4999999979991</v>
      </c>
      <c r="D26" s="104">
        <v>15588.697</v>
      </c>
      <c r="E26" s="70">
        <f t="shared" ref="E26:E38" si="5">(D27-D26)*2500</f>
        <v>2872.4999999985812</v>
      </c>
      <c r="F26" s="47">
        <f t="shared" si="2"/>
        <v>6634.9999999965803</v>
      </c>
      <c r="G26" s="67">
        <f t="shared" si="3"/>
        <v>618.38199999968128</v>
      </c>
      <c r="H26" s="103">
        <v>121</v>
      </c>
    </row>
    <row r="27" spans="1:8" ht="30.95" customHeight="1">
      <c r="A27" s="102">
        <v>20</v>
      </c>
      <c r="B27" s="75">
        <v>15207.531999999999</v>
      </c>
      <c r="C27" s="39">
        <f t="shared" si="4"/>
        <v>20995.000000002619</v>
      </c>
      <c r="D27" s="78">
        <v>15589.846</v>
      </c>
      <c r="E27" s="39">
        <f t="shared" si="5"/>
        <v>10287.499999999454</v>
      </c>
      <c r="F27" s="51">
        <f t="shared" si="2"/>
        <v>31282.500000002074</v>
      </c>
      <c r="G27" s="67">
        <f t="shared" si="3"/>
        <v>2915.5290000001933</v>
      </c>
      <c r="H27" s="103">
        <v>103</v>
      </c>
    </row>
    <row r="28" spans="1:8" ht="30.95" customHeight="1">
      <c r="A28" s="100">
        <v>21</v>
      </c>
      <c r="B28" s="77">
        <v>15215.93</v>
      </c>
      <c r="C28" s="70">
        <f t="shared" si="4"/>
        <v>12252.4999999996</v>
      </c>
      <c r="D28" s="104">
        <v>15593.960999999999</v>
      </c>
      <c r="E28" s="70">
        <f t="shared" si="5"/>
        <v>6172.5000000024011</v>
      </c>
      <c r="F28" s="47">
        <f t="shared" si="2"/>
        <v>18425.000000002001</v>
      </c>
      <c r="G28" s="67">
        <f t="shared" si="3"/>
        <v>1717.2100000001865</v>
      </c>
      <c r="H28" s="103">
        <v>80</v>
      </c>
    </row>
    <row r="29" spans="1:8" ht="30.95" customHeight="1">
      <c r="A29" s="102">
        <v>22</v>
      </c>
      <c r="B29" s="75">
        <v>15220.831</v>
      </c>
      <c r="C29" s="39">
        <f t="shared" si="4"/>
        <v>11549.999999997453</v>
      </c>
      <c r="D29" s="78">
        <v>15596.43</v>
      </c>
      <c r="E29" s="39">
        <f t="shared" si="5"/>
        <v>7467.4999999979264</v>
      </c>
      <c r="F29" s="51">
        <f t="shared" si="2"/>
        <v>19017.49999999538</v>
      </c>
      <c r="G29" s="67">
        <f t="shared" si="3"/>
        <v>1772.4309999995694</v>
      </c>
      <c r="H29" s="103">
        <v>73</v>
      </c>
    </row>
    <row r="30" spans="1:8" ht="30.95" customHeight="1">
      <c r="A30" s="100">
        <v>23</v>
      </c>
      <c r="B30" s="77">
        <v>15225.450999999999</v>
      </c>
      <c r="C30" s="70">
        <f t="shared" si="4"/>
        <v>8915.0000000017826</v>
      </c>
      <c r="D30" s="104">
        <v>15599.416999999999</v>
      </c>
      <c r="E30" s="70">
        <f t="shared" si="5"/>
        <v>6557.5000000035288</v>
      </c>
      <c r="F30" s="47">
        <f t="shared" si="2"/>
        <v>15472.500000005311</v>
      </c>
      <c r="G30" s="67">
        <f t="shared" si="3"/>
        <v>1442.037000000495</v>
      </c>
      <c r="H30" s="103">
        <v>74</v>
      </c>
    </row>
    <row r="31" spans="1:8" ht="30.95" customHeight="1">
      <c r="A31" s="102">
        <v>24</v>
      </c>
      <c r="B31" s="75">
        <v>15229.017</v>
      </c>
      <c r="C31" s="39">
        <f t="shared" si="4"/>
        <v>15284.999999998945</v>
      </c>
      <c r="D31" s="78">
        <v>15602.04</v>
      </c>
      <c r="E31" s="39">
        <f t="shared" si="5"/>
        <v>9027.499999997417</v>
      </c>
      <c r="F31" s="51">
        <f t="shared" si="2"/>
        <v>24312.499999996362</v>
      </c>
      <c r="G31" s="67">
        <f t="shared" si="3"/>
        <v>2265.9249999996609</v>
      </c>
      <c r="H31" s="103">
        <v>87</v>
      </c>
    </row>
    <row r="32" spans="1:8" ht="30.95" customHeight="1">
      <c r="A32" s="100">
        <v>25</v>
      </c>
      <c r="B32" s="77">
        <v>15235.130999999999</v>
      </c>
      <c r="C32" s="70">
        <f t="shared" si="4"/>
        <v>8425.0000000020009</v>
      </c>
      <c r="D32" s="104">
        <v>15605.651</v>
      </c>
      <c r="E32" s="70">
        <f t="shared" si="5"/>
        <v>3654.9999999988358</v>
      </c>
      <c r="F32" s="47">
        <f t="shared" si="2"/>
        <v>12080.000000000837</v>
      </c>
      <c r="G32" s="67">
        <f t="shared" si="3"/>
        <v>1125.856000000078</v>
      </c>
      <c r="H32" s="103">
        <v>92</v>
      </c>
    </row>
    <row r="33" spans="1:8" ht="30.95" customHeight="1">
      <c r="A33" s="102">
        <v>26</v>
      </c>
      <c r="B33" s="75">
        <v>15238.501</v>
      </c>
      <c r="C33" s="39">
        <f t="shared" si="4"/>
        <v>-38096252.5</v>
      </c>
      <c r="D33" s="78">
        <v>15607.112999999999</v>
      </c>
      <c r="E33" s="39">
        <f t="shared" si="5"/>
        <v>-39017782.5</v>
      </c>
      <c r="F33" s="51">
        <f t="shared" si="2"/>
        <v>-77114035</v>
      </c>
      <c r="G33" s="67">
        <f t="shared" si="3"/>
        <v>-7187028.0620000008</v>
      </c>
      <c r="H33" s="103">
        <v>121</v>
      </c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8" activePane="bottomLeft" state="frozen"/>
      <selection pane="bottomLeft" activeCell="O34" sqref="O34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2915</v>
      </c>
      <c r="D9" s="46">
        <f t="shared" si="7"/>
        <v>617.58475514999998</v>
      </c>
      <c r="E9" s="47">
        <v>526748</v>
      </c>
      <c r="F9" s="56">
        <f t="shared" si="1"/>
        <v>266</v>
      </c>
      <c r="G9" s="48">
        <f t="shared" si="4"/>
        <v>225.42436000000001</v>
      </c>
      <c r="H9" s="48">
        <f t="shared" si="5"/>
        <v>225.42436000000001</v>
      </c>
      <c r="I9" s="49">
        <f t="shared" si="2"/>
        <v>450.84872000000001</v>
      </c>
      <c r="J9" s="37">
        <f>5850+6480</f>
        <v>12330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6792425</v>
      </c>
      <c r="C10" s="53">
        <f t="shared" si="0"/>
        <v>3307</v>
      </c>
      <c r="D10" s="46">
        <f t="shared" si="7"/>
        <v>700.63560386999995</v>
      </c>
      <c r="E10" s="47">
        <v>527014</v>
      </c>
      <c r="F10" s="54">
        <f t="shared" si="1"/>
        <v>268</v>
      </c>
      <c r="G10" s="43">
        <f t="shared" si="4"/>
        <v>227.11928</v>
      </c>
      <c r="H10" s="43">
        <f t="shared" si="5"/>
        <v>227.11928</v>
      </c>
      <c r="I10" s="49">
        <f t="shared" si="2"/>
        <v>454.23856000000001</v>
      </c>
      <c r="J10" s="37">
        <f>5850+6480</f>
        <v>12330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6795732</v>
      </c>
      <c r="C11" s="55">
        <f t="shared" si="0"/>
        <v>3169</v>
      </c>
      <c r="D11" s="46">
        <f t="shared" si="7"/>
        <v>671.39831529000003</v>
      </c>
      <c r="E11" s="47">
        <v>527282</v>
      </c>
      <c r="F11" s="56">
        <f t="shared" si="1"/>
        <v>288</v>
      </c>
      <c r="G11" s="48">
        <f t="shared" si="4"/>
        <v>244.06847999999999</v>
      </c>
      <c r="H11" s="48">
        <f t="shared" si="5"/>
        <v>244.06847999999999</v>
      </c>
      <c r="I11" s="49">
        <f t="shared" si="2"/>
        <v>488.13695999999999</v>
      </c>
      <c r="J11" s="37">
        <f>5850+6480</f>
        <v>12330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6798901</v>
      </c>
      <c r="C12" s="53">
        <f t="shared" si="0"/>
        <v>2667</v>
      </c>
      <c r="D12" s="46">
        <f t="shared" si="7"/>
        <v>565.04238147000001</v>
      </c>
      <c r="E12" s="47">
        <v>527570</v>
      </c>
      <c r="F12" s="54">
        <f t="shared" si="1"/>
        <v>286</v>
      </c>
      <c r="G12" s="43">
        <f t="shared" si="4"/>
        <v>242.37356</v>
      </c>
      <c r="H12" s="43">
        <f t="shared" si="5"/>
        <v>242.37356</v>
      </c>
      <c r="I12" s="49">
        <f t="shared" si="2"/>
        <v>484.74712</v>
      </c>
      <c r="J12" s="37">
        <f>5850+6480</f>
        <v>12330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6801568</v>
      </c>
      <c r="C13" s="55">
        <f t="shared" si="0"/>
        <v>2073</v>
      </c>
      <c r="D13" s="46">
        <f t="shared" si="7"/>
        <v>439.19492193000002</v>
      </c>
      <c r="E13" s="47">
        <v>527856</v>
      </c>
      <c r="F13" s="56">
        <f t="shared" si="1"/>
        <v>201</v>
      </c>
      <c r="G13" s="48">
        <f t="shared" si="4"/>
        <v>170.33946</v>
      </c>
      <c r="H13" s="48">
        <f t="shared" si="5"/>
        <v>170.33946</v>
      </c>
      <c r="I13" s="49">
        <f t="shared" si="2"/>
        <v>340.67892000000001</v>
      </c>
      <c r="J13" s="37">
        <f>5850+6480</f>
        <v>12330</v>
      </c>
      <c r="K13" s="38">
        <f>J13-J14</f>
        <v>110</v>
      </c>
      <c r="L13" s="39">
        <f t="shared" si="6"/>
        <v>77</v>
      </c>
    </row>
    <row r="14" spans="1:12" ht="32.450000000000003" customHeight="1">
      <c r="A14" s="40">
        <v>9</v>
      </c>
      <c r="B14" s="40">
        <v>6803641</v>
      </c>
      <c r="C14" s="53">
        <f t="shared" si="0"/>
        <v>2082</v>
      </c>
      <c r="D14" s="46">
        <f t="shared" si="7"/>
        <v>441.10170162000003</v>
      </c>
      <c r="E14" s="47">
        <v>528057</v>
      </c>
      <c r="F14" s="54">
        <f t="shared" si="1"/>
        <v>294</v>
      </c>
      <c r="G14" s="48">
        <f t="shared" si="4"/>
        <v>249.15324000000001</v>
      </c>
      <c r="H14" s="43">
        <f t="shared" si="5"/>
        <v>249.15324000000001</v>
      </c>
      <c r="I14" s="49">
        <f t="shared" si="2"/>
        <v>498.30648000000002</v>
      </c>
      <c r="J14" s="37">
        <f>5780+6440</f>
        <v>12220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6805723</v>
      </c>
      <c r="C15" s="55">
        <f t="shared" si="0"/>
        <v>1734</v>
      </c>
      <c r="D15" s="46">
        <f t="shared" si="7"/>
        <v>367.37288694</v>
      </c>
      <c r="E15" s="47">
        <v>528351</v>
      </c>
      <c r="F15" s="56">
        <f t="shared" si="1"/>
        <v>288</v>
      </c>
      <c r="G15" s="48">
        <f t="shared" si="4"/>
        <v>244.06847999999999</v>
      </c>
      <c r="H15" s="48">
        <f t="shared" si="5"/>
        <v>244.06847999999999</v>
      </c>
      <c r="I15" s="49">
        <f t="shared" si="2"/>
        <v>488.13695999999999</v>
      </c>
      <c r="J15" s="37">
        <f>5780+6440</f>
        <v>12220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6807457</v>
      </c>
      <c r="C16" s="53">
        <f>B17-B16</f>
        <v>3928</v>
      </c>
      <c r="D16" s="46">
        <f t="shared" si="7"/>
        <v>832.20340248000002</v>
      </c>
      <c r="E16" s="47">
        <v>528639</v>
      </c>
      <c r="F16" s="54">
        <f>E17-E16</f>
        <v>315</v>
      </c>
      <c r="G16" s="43">
        <f t="shared" si="4"/>
        <v>266.94990000000001</v>
      </c>
      <c r="H16" s="43">
        <f t="shared" si="5"/>
        <v>266.94990000000001</v>
      </c>
      <c r="I16" s="49">
        <f t="shared" si="2"/>
        <v>533.89980000000003</v>
      </c>
      <c r="J16" s="37">
        <f>5780+6440</f>
        <v>12220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6811385</v>
      </c>
      <c r="C17" s="55">
        <f t="shared" ref="C17:C35" si="8">B18-B17</f>
        <v>1920</v>
      </c>
      <c r="D17" s="46">
        <f t="shared" si="7"/>
        <v>406.77966720000001</v>
      </c>
      <c r="E17" s="47">
        <v>528954</v>
      </c>
      <c r="F17" s="56">
        <f t="shared" ref="F17:F35" si="9">E18-E17</f>
        <v>271</v>
      </c>
      <c r="G17" s="48">
        <f t="shared" si="4"/>
        <v>229.66165999999998</v>
      </c>
      <c r="H17" s="48">
        <f t="shared" si="5"/>
        <v>229.66165999999998</v>
      </c>
      <c r="I17" s="49">
        <f t="shared" si="2"/>
        <v>459.32331999999997</v>
      </c>
      <c r="J17" s="37">
        <f>5780+6440</f>
        <v>12220</v>
      </c>
      <c r="K17" s="38">
        <f t="shared" si="3"/>
        <v>570</v>
      </c>
      <c r="L17" s="39">
        <f t="shared" si="6"/>
        <v>399</v>
      </c>
    </row>
    <row r="18" spans="1:12" ht="32.450000000000003" customHeight="1">
      <c r="A18" s="40">
        <v>13</v>
      </c>
      <c r="B18" s="40">
        <v>6813305</v>
      </c>
      <c r="C18" s="53">
        <f t="shared" si="8"/>
        <v>2952</v>
      </c>
      <c r="D18" s="46">
        <f t="shared" si="7"/>
        <v>625.42373831999998</v>
      </c>
      <c r="E18" s="51">
        <v>529225</v>
      </c>
      <c r="F18" s="54">
        <f t="shared" si="9"/>
        <v>273</v>
      </c>
      <c r="G18" s="43">
        <f t="shared" si="4"/>
        <v>231.35658000000001</v>
      </c>
      <c r="H18" s="43">
        <f t="shared" si="5"/>
        <v>231.35658000000001</v>
      </c>
      <c r="I18" s="49">
        <f t="shared" si="2"/>
        <v>462.71316000000002</v>
      </c>
      <c r="J18" s="37">
        <f>5210+6440</f>
        <v>11650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6816257</v>
      </c>
      <c r="C19" s="55">
        <f t="shared" si="8"/>
        <v>2438</v>
      </c>
      <c r="D19" s="46">
        <f t="shared" si="7"/>
        <v>516.52543158000003</v>
      </c>
      <c r="E19" s="52">
        <v>529498</v>
      </c>
      <c r="F19" s="56">
        <f t="shared" si="9"/>
        <v>279</v>
      </c>
      <c r="G19" s="48">
        <f t="shared" si="4"/>
        <v>236.44134</v>
      </c>
      <c r="H19" s="48">
        <f t="shared" si="5"/>
        <v>236.44134</v>
      </c>
      <c r="I19" s="49">
        <f t="shared" si="2"/>
        <v>472.88267999999999</v>
      </c>
      <c r="J19" s="37">
        <f>5210+6440</f>
        <v>11650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6818695</v>
      </c>
      <c r="C20" s="53">
        <f t="shared" si="8"/>
        <v>1089</v>
      </c>
      <c r="D20" s="46">
        <f t="shared" si="7"/>
        <v>230.72034249000001</v>
      </c>
      <c r="E20" s="51">
        <v>529777</v>
      </c>
      <c r="F20" s="54">
        <f t="shared" si="9"/>
        <v>253</v>
      </c>
      <c r="G20" s="43">
        <f t="shared" si="4"/>
        <v>214.40737999999999</v>
      </c>
      <c r="H20" s="43">
        <f t="shared" si="5"/>
        <v>214.40737999999999</v>
      </c>
      <c r="I20" s="49">
        <f t="shared" si="2"/>
        <v>428.81475999999998</v>
      </c>
      <c r="J20" s="37">
        <f>5210+6440</f>
        <v>11650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>
        <v>6819784</v>
      </c>
      <c r="C21" s="55">
        <f t="shared" si="8"/>
        <v>3634</v>
      </c>
      <c r="D21" s="46">
        <f t="shared" si="7"/>
        <v>769.91526594000004</v>
      </c>
      <c r="E21" s="87">
        <v>530030</v>
      </c>
      <c r="F21" s="56">
        <f t="shared" si="9"/>
        <v>260</v>
      </c>
      <c r="G21" s="48">
        <f t="shared" si="4"/>
        <v>220.33959999999999</v>
      </c>
      <c r="H21" s="48">
        <f t="shared" si="5"/>
        <v>220.33959999999999</v>
      </c>
      <c r="I21" s="49">
        <f t="shared" si="2"/>
        <v>440.67919999999998</v>
      </c>
      <c r="J21" s="88">
        <f>5210+6440</f>
        <v>11650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6823418</v>
      </c>
      <c r="C22" s="53">
        <f t="shared" si="8"/>
        <v>3630</v>
      </c>
      <c r="D22" s="46">
        <f t="shared" si="7"/>
        <v>769.06780830000002</v>
      </c>
      <c r="E22" s="52">
        <v>530290</v>
      </c>
      <c r="F22" s="54">
        <f t="shared" si="9"/>
        <v>235</v>
      </c>
      <c r="G22" s="43">
        <f t="shared" si="4"/>
        <v>199.15309999999999</v>
      </c>
      <c r="H22" s="43">
        <f t="shared" si="5"/>
        <v>199.15309999999999</v>
      </c>
      <c r="I22" s="49">
        <f t="shared" si="2"/>
        <v>398.30619999999999</v>
      </c>
      <c r="J22" s="88">
        <f>5210+6440</f>
        <v>11650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6827048</v>
      </c>
      <c r="C23" s="55">
        <f t="shared" si="8"/>
        <v>923</v>
      </c>
      <c r="D23" s="46">
        <f t="shared" si="7"/>
        <v>195.55085043</v>
      </c>
      <c r="E23" s="52">
        <v>530525</v>
      </c>
      <c r="F23" s="56">
        <f t="shared" si="9"/>
        <v>208</v>
      </c>
      <c r="G23" s="48">
        <f t="shared" si="4"/>
        <v>176.27168</v>
      </c>
      <c r="H23" s="48">
        <f t="shared" si="5"/>
        <v>176.27168</v>
      </c>
      <c r="I23" s="49">
        <f t="shared" si="2"/>
        <v>352.54336000000001</v>
      </c>
      <c r="J23" s="88">
        <f>5210+6440</f>
        <v>11650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6827971</v>
      </c>
      <c r="C24" s="53">
        <f t="shared" si="8"/>
        <v>486</v>
      </c>
      <c r="D24" s="46">
        <f t="shared" si="7"/>
        <v>102.96610326</v>
      </c>
      <c r="E24" s="52">
        <v>530733</v>
      </c>
      <c r="F24" s="54">
        <f t="shared" si="9"/>
        <v>164</v>
      </c>
      <c r="G24" s="43">
        <f t="shared" si="4"/>
        <v>138.98344</v>
      </c>
      <c r="H24" s="43">
        <f t="shared" si="5"/>
        <v>138.98344</v>
      </c>
      <c r="I24" s="49">
        <f t="shared" si="2"/>
        <v>277.96688</v>
      </c>
      <c r="J24" s="88">
        <f>5210+6440</f>
        <v>11650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6828457</v>
      </c>
      <c r="C25" s="55">
        <f t="shared" si="8"/>
        <v>4653</v>
      </c>
      <c r="D25" s="46">
        <f t="shared" si="7"/>
        <v>985.80509973000005</v>
      </c>
      <c r="E25" s="52">
        <v>530897</v>
      </c>
      <c r="F25" s="56">
        <f t="shared" si="9"/>
        <v>196</v>
      </c>
      <c r="G25" s="48">
        <f t="shared" si="4"/>
        <v>166.10216</v>
      </c>
      <c r="H25" s="48">
        <f t="shared" si="5"/>
        <v>166.10216</v>
      </c>
      <c r="I25" s="49">
        <f t="shared" si="2"/>
        <v>332.20432</v>
      </c>
      <c r="J25" s="88">
        <f>5210+6440</f>
        <v>11650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6833110</v>
      </c>
      <c r="C26" s="53">
        <f t="shared" si="8"/>
        <v>2253</v>
      </c>
      <c r="D26" s="46">
        <f t="shared" si="7"/>
        <v>477.33051573</v>
      </c>
      <c r="E26" s="52">
        <v>531093</v>
      </c>
      <c r="F26" s="54">
        <f t="shared" si="9"/>
        <v>180</v>
      </c>
      <c r="G26" s="43">
        <f t="shared" si="4"/>
        <v>152.5428</v>
      </c>
      <c r="H26" s="43">
        <f t="shared" si="5"/>
        <v>152.5428</v>
      </c>
      <c r="I26" s="49">
        <f t="shared" si="2"/>
        <v>305.0856</v>
      </c>
      <c r="J26" s="88">
        <f>5210+6440</f>
        <v>11650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6835363</v>
      </c>
      <c r="C27" s="55">
        <f t="shared" si="8"/>
        <v>2339</v>
      </c>
      <c r="D27" s="46">
        <f t="shared" si="7"/>
        <v>495.55085499</v>
      </c>
      <c r="E27" s="52">
        <v>531273</v>
      </c>
      <c r="F27" s="56">
        <f t="shared" si="9"/>
        <v>183</v>
      </c>
      <c r="G27" s="48">
        <f t="shared" si="4"/>
        <v>155.08518000000001</v>
      </c>
      <c r="H27" s="48">
        <f t="shared" si="5"/>
        <v>155.08518000000001</v>
      </c>
      <c r="I27" s="49">
        <f t="shared" si="2"/>
        <v>310.17036000000002</v>
      </c>
      <c r="J27" s="88">
        <f>5210+6440</f>
        <v>11650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6837702</v>
      </c>
      <c r="C28" s="53">
        <f t="shared" si="8"/>
        <v>2225</v>
      </c>
      <c r="D28" s="46">
        <f t="shared" si="7"/>
        <v>471.39831225</v>
      </c>
      <c r="E28" s="52">
        <v>531456</v>
      </c>
      <c r="F28" s="54">
        <f t="shared" si="9"/>
        <v>172</v>
      </c>
      <c r="G28" s="43">
        <f t="shared" si="4"/>
        <v>145.76311999999999</v>
      </c>
      <c r="H28" s="43">
        <f t="shared" si="5"/>
        <v>145.76311999999999</v>
      </c>
      <c r="I28" s="49">
        <f t="shared" si="2"/>
        <v>291.52623999999997</v>
      </c>
      <c r="J28" s="88">
        <f>5210+6440</f>
        <v>11650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6839927</v>
      </c>
      <c r="C29" s="55">
        <f t="shared" si="8"/>
        <v>2888</v>
      </c>
      <c r="D29" s="46">
        <f t="shared" si="7"/>
        <v>611.86441607999996</v>
      </c>
      <c r="E29" s="52">
        <v>531628</v>
      </c>
      <c r="F29" s="56">
        <f t="shared" si="9"/>
        <v>181</v>
      </c>
      <c r="G29" s="48">
        <f t="shared" si="4"/>
        <v>153.39026000000001</v>
      </c>
      <c r="H29" s="48">
        <f t="shared" si="5"/>
        <v>153.39026000000001</v>
      </c>
      <c r="I29" s="49">
        <f t="shared" si="2"/>
        <v>306.78052000000002</v>
      </c>
      <c r="J29" s="88">
        <f>5210+6440</f>
        <v>11650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6842815</v>
      </c>
      <c r="C30" s="53">
        <f t="shared" si="8"/>
        <v>2875</v>
      </c>
      <c r="D30" s="46">
        <f t="shared" si="7"/>
        <v>609.11017875000005</v>
      </c>
      <c r="E30" s="52">
        <v>531809</v>
      </c>
      <c r="F30" s="54">
        <f t="shared" si="9"/>
        <v>230</v>
      </c>
      <c r="G30" s="43">
        <f t="shared" si="4"/>
        <v>194.91579999999999</v>
      </c>
      <c r="H30" s="43">
        <f t="shared" si="5"/>
        <v>194.91579999999999</v>
      </c>
      <c r="I30" s="49">
        <f t="shared" si="2"/>
        <v>389.83159999999998</v>
      </c>
      <c r="J30" s="88">
        <f>5210+6440</f>
        <v>11650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6845690</v>
      </c>
      <c r="C31" s="55">
        <f t="shared" si="8"/>
        <v>-6845690</v>
      </c>
      <c r="D31" s="46">
        <f t="shared" si="7"/>
        <v>-1450358.0728929001</v>
      </c>
      <c r="E31" s="52">
        <v>532039</v>
      </c>
      <c r="F31" s="56">
        <f t="shared" si="9"/>
        <v>-532039</v>
      </c>
      <c r="G31" s="48">
        <f t="shared" si="4"/>
        <v>-450881.77094000002</v>
      </c>
      <c r="H31" s="48">
        <f t="shared" si="5"/>
        <v>-450881.77094000002</v>
      </c>
      <c r="I31" s="49">
        <f t="shared" si="2"/>
        <v>-901763.54188000003</v>
      </c>
      <c r="J31" s="88">
        <f>5210+6440</f>
        <v>11650</v>
      </c>
      <c r="K31" s="38">
        <f t="shared" si="3"/>
        <v>11650</v>
      </c>
      <c r="L31" s="39">
        <f t="shared" si="6"/>
        <v>8154.9999999999991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2022-05-27T05:50:44Z</dcterms:modified>
  <cp:category/>
  <cp:contentStatus/>
</cp:coreProperties>
</file>