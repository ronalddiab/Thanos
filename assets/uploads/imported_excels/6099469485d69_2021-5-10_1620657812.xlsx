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3" i="12"/>
  <c r="P14"/>
  <c r="P15"/>
  <c r="P16"/>
  <c r="B34" i="23"/>
  <c r="G28"/>
  <c r="G29"/>
  <c r="G30"/>
  <c r="G31"/>
  <c r="G32"/>
  <c r="G33"/>
  <c r="J35"/>
  <c r="C35"/>
  <c r="D35"/>
  <c r="H35"/>
  <c r="I35"/>
  <c r="A34"/>
  <c r="A35"/>
  <c r="A20"/>
  <c r="A21"/>
  <c r="A22"/>
  <c r="A23"/>
  <c r="A24"/>
  <c r="A25"/>
  <c r="A26"/>
  <c r="A27"/>
  <c r="A28"/>
  <c r="A29"/>
  <c r="A30"/>
  <c r="A31"/>
  <c r="A32"/>
  <c r="A33"/>
  <c r="J22"/>
  <c r="J19"/>
  <c r="J20"/>
  <c r="J21"/>
  <c r="J23"/>
  <c r="J24"/>
  <c r="J25"/>
  <c r="D2" i="1"/>
  <c r="T25" l="1"/>
  <c r="S25"/>
  <c r="E20" i="3" l="1"/>
  <c r="E21"/>
  <c r="M23" i="12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0" i="23"/>
  <c r="I30" i="24"/>
  <c r="E33"/>
  <c r="D33" i="23"/>
  <c r="C33"/>
  <c r="I33" i="24"/>
  <c r="C32" i="23"/>
  <c r="I32" i="24"/>
  <c r="C31" i="23"/>
  <c r="I31" i="24"/>
  <c r="C29" i="23"/>
  <c r="I29" i="24"/>
  <c r="C28" i="23"/>
  <c r="I28" i="24"/>
  <c r="C27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I21"/>
  <c r="C23" i="23"/>
  <c r="I23" i="24"/>
  <c r="C25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I20"/>
  <c r="C22" i="23"/>
  <c r="I22" i="24"/>
  <c r="C24" i="23"/>
  <c r="I24" i="24"/>
  <c r="C26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3" i="23"/>
  <c r="E23" i="24"/>
  <c r="D27" i="23"/>
  <c r="E27" i="24"/>
  <c r="D31" i="23"/>
  <c r="E31" i="24"/>
  <c r="E20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0" i="23"/>
  <c r="D26"/>
  <c r="D22"/>
  <c r="D29"/>
  <c r="D25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4" i="23"/>
  <c r="C34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N14"/>
  <c r="N15"/>
  <c r="N16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H22" i="23" s="1"/>
  <c r="Q26" i="13"/>
  <c r="R26" s="1"/>
  <c r="U26"/>
  <c r="V26" s="1"/>
  <c r="Y26"/>
  <c r="Z26" s="1"/>
  <c r="AA26" s="1"/>
  <c r="AC26"/>
  <c r="H23" i="23" s="1"/>
  <c r="Q27" i="13"/>
  <c r="R27" s="1"/>
  <c r="U27"/>
  <c r="V27" s="1"/>
  <c r="Y27"/>
  <c r="Z27" s="1"/>
  <c r="AA27" s="1"/>
  <c r="AC27"/>
  <c r="H24" i="23" s="1"/>
  <c r="Q28" i="13"/>
  <c r="R28" s="1"/>
  <c r="U28"/>
  <c r="V28" s="1"/>
  <c r="Y28"/>
  <c r="Z28" s="1"/>
  <c r="AA28" s="1"/>
  <c r="AC28"/>
  <c r="H25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4" l="1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F22" i="23"/>
  <c r="K24" i="10"/>
  <c r="K23"/>
  <c r="K22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6" i="23" s="1"/>
  <c r="AN31" i="3"/>
  <c r="AN30"/>
  <c r="G27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4" i="23" s="1"/>
  <c r="D35" i="18"/>
  <c r="B35"/>
  <c r="H35" s="1"/>
  <c r="M35" s="1"/>
  <c r="T35" s="1"/>
  <c r="Y35" s="1"/>
  <c r="A35"/>
  <c r="V34"/>
  <c r="X34" s="1"/>
  <c r="J33" i="23" s="1"/>
  <c r="D34" i="18"/>
  <c r="F34" s="1"/>
  <c r="I33" i="23" s="1"/>
  <c r="H34" i="18"/>
  <c r="M34" s="1"/>
  <c r="V33"/>
  <c r="X33" s="1"/>
  <c r="J32" i="23" s="1"/>
  <c r="D33" i="18"/>
  <c r="F33" s="1"/>
  <c r="I32" i="23" s="1"/>
  <c r="V32" i="18"/>
  <c r="D32"/>
  <c r="F32" s="1"/>
  <c r="I31" i="23" s="1"/>
  <c r="V31" i="18"/>
  <c r="D31"/>
  <c r="F31" s="1"/>
  <c r="I30" i="23" s="1"/>
  <c r="V30" i="18"/>
  <c r="X30" s="1"/>
  <c r="J29" i="23" s="1"/>
  <c r="D30" i="18"/>
  <c r="F30" s="1"/>
  <c r="I29" i="23" s="1"/>
  <c r="V29" i="18"/>
  <c r="X29" s="1"/>
  <c r="J28" i="23" s="1"/>
  <c r="D29" i="18"/>
  <c r="F29" s="1"/>
  <c r="I28" i="23" s="1"/>
  <c r="V28" i="18"/>
  <c r="X28" s="1"/>
  <c r="J27" i="23" s="1"/>
  <c r="D28" i="18"/>
  <c r="F28" s="1"/>
  <c r="I27" i="23" s="1"/>
  <c r="V27" i="18"/>
  <c r="X27" s="1"/>
  <c r="J26" i="23" s="1"/>
  <c r="D27" i="18"/>
  <c r="F27" s="1"/>
  <c r="I26" i="23" s="1"/>
  <c r="V26" i="18"/>
  <c r="D26"/>
  <c r="F26" s="1"/>
  <c r="I25" i="23" s="1"/>
  <c r="V25" i="18"/>
  <c r="D25"/>
  <c r="F25" s="1"/>
  <c r="I24" i="23" s="1"/>
  <c r="Y24" i="18"/>
  <c r="V24"/>
  <c r="D24"/>
  <c r="F24" s="1"/>
  <c r="I23" i="23" s="1"/>
  <c r="V23" i="18"/>
  <c r="D23"/>
  <c r="F23" s="1"/>
  <c r="I22" i="23" s="1"/>
  <c r="V22" i="18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3" i="23" s="1"/>
  <c r="Y36" i="13"/>
  <c r="Z36" s="1"/>
  <c r="AA36" s="1"/>
  <c r="U36"/>
  <c r="V36" s="1"/>
  <c r="Q36"/>
  <c r="R36" s="1"/>
  <c r="AE35"/>
  <c r="H35" i="14" s="1"/>
  <c r="AC35" i="13"/>
  <c r="H32" i="23" s="1"/>
  <c r="Y35" i="13"/>
  <c r="Z35" s="1"/>
  <c r="AA35" s="1"/>
  <c r="U35"/>
  <c r="V35" s="1"/>
  <c r="Q35"/>
  <c r="R35" s="1"/>
  <c r="AE34"/>
  <c r="H34" i="14" s="1"/>
  <c r="AC34" i="13"/>
  <c r="H31" i="23" s="1"/>
  <c r="Y34" i="13"/>
  <c r="Z34" s="1"/>
  <c r="AA34" s="1"/>
  <c r="U34"/>
  <c r="V34" s="1"/>
  <c r="Q34"/>
  <c r="R34" s="1"/>
  <c r="AE33"/>
  <c r="H33" i="14" s="1"/>
  <c r="AC33" i="13"/>
  <c r="H30" i="23" s="1"/>
  <c r="Y33" i="13"/>
  <c r="Z33" s="1"/>
  <c r="AA33" s="1"/>
  <c r="U33"/>
  <c r="V33" s="1"/>
  <c r="Q33"/>
  <c r="R33" s="1"/>
  <c r="AE32"/>
  <c r="H32" i="14" s="1"/>
  <c r="AC32" i="13"/>
  <c r="H29" i="23" s="1"/>
  <c r="Y32" i="13"/>
  <c r="Z32" s="1"/>
  <c r="AA32" s="1"/>
  <c r="U32"/>
  <c r="V32" s="1"/>
  <c r="Q32"/>
  <c r="R32" s="1"/>
  <c r="AE31"/>
  <c r="H31" i="14" s="1"/>
  <c r="AC31" i="13"/>
  <c r="H28" i="23" s="1"/>
  <c r="Y31" i="13"/>
  <c r="Z31" s="1"/>
  <c r="AA31" s="1"/>
  <c r="U31"/>
  <c r="V31" s="1"/>
  <c r="Q31"/>
  <c r="R31" s="1"/>
  <c r="AE30"/>
  <c r="H30" i="14" s="1"/>
  <c r="AC30" i="13"/>
  <c r="H27" i="23" s="1"/>
  <c r="Y30" i="13"/>
  <c r="Z30" s="1"/>
  <c r="AA30" s="1"/>
  <c r="U30"/>
  <c r="V30" s="1"/>
  <c r="Q30"/>
  <c r="R30" s="1"/>
  <c r="AE29"/>
  <c r="H29" i="14" s="1"/>
  <c r="AC29" i="13"/>
  <c r="H26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5" i="23" s="1"/>
  <c r="S28" i="3"/>
  <c r="N24" i="25"/>
  <c r="O28" i="3"/>
  <c r="L28"/>
  <c r="L24" i="25"/>
  <c r="I28" i="3"/>
  <c r="M24" i="25"/>
  <c r="C28" i="3"/>
  <c r="AK27"/>
  <c r="AE27"/>
  <c r="Y27"/>
  <c r="V27"/>
  <c r="AN27"/>
  <c r="G24" i="23" s="1"/>
  <c r="S27" i="3"/>
  <c r="N23" i="25"/>
  <c r="O27" i="3"/>
  <c r="L27"/>
  <c r="L23" i="25"/>
  <c r="I27" i="3"/>
  <c r="M23" i="25"/>
  <c r="C27" i="3"/>
  <c r="AK26"/>
  <c r="AE26"/>
  <c r="Y26"/>
  <c r="V26"/>
  <c r="AN26"/>
  <c r="G23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2" i="23" s="1"/>
  <c r="S25" i="3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Y29"/>
  <c r="T29"/>
  <c r="T25"/>
  <c r="Y25" s="1"/>
  <c r="T21"/>
  <c r="Y21" s="1"/>
  <c r="T17"/>
  <c r="Y17" s="1"/>
  <c r="T13"/>
  <c r="Y13" s="1"/>
  <c r="T9"/>
  <c r="Y9" s="1"/>
  <c r="T5"/>
  <c r="Y5" s="1"/>
  <c r="T34"/>
  <c r="Y34" s="1"/>
  <c r="Y30"/>
  <c r="T30"/>
  <c r="T26"/>
  <c r="Y26" s="1"/>
  <c r="T22"/>
  <c r="Y22" s="1"/>
  <c r="T18"/>
  <c r="Y18" s="1"/>
  <c r="Y14"/>
  <c r="T14"/>
  <c r="T10"/>
  <c r="Y10" s="1"/>
  <c r="T6"/>
  <c r="Y6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F35" i="23" s="1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G35" i="23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4" i="23" s="1"/>
  <c r="W8" i="25"/>
  <c r="G9" i="23"/>
  <c r="W4" i="25"/>
  <c r="G6" i="23"/>
  <c r="W9" i="25"/>
  <c r="C11" i="1" l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AT29" i="1" l="1"/>
  <c r="C30"/>
  <c r="J23" i="11"/>
  <c r="H24" i="13"/>
  <c r="C31" i="1" l="1"/>
  <c r="AT30"/>
  <c r="E22" i="23"/>
  <c r="J24" i="11"/>
  <c r="H25" i="13"/>
  <c r="AT31" i="1" l="1"/>
  <c r="C32"/>
  <c r="J25" i="11"/>
  <c r="H26" i="13"/>
  <c r="E23" i="23"/>
  <c r="C33" i="1" l="1"/>
  <c r="AT32"/>
  <c r="H27" i="13"/>
  <c r="J26" i="11"/>
  <c r="E24" i="23"/>
  <c r="C34" i="1" l="1"/>
  <c r="AT33"/>
  <c r="J27" i="11"/>
  <c r="E25" i="23"/>
  <c r="H28" i="13"/>
  <c r="C35" i="1" l="1"/>
  <c r="AT34"/>
  <c r="H29" i="13"/>
  <c r="J28" i="11"/>
  <c r="E26" i="23"/>
  <c r="AT35" i="1" l="1"/>
  <c r="C36"/>
  <c r="H30" i="13"/>
  <c r="E27" i="23"/>
  <c r="J29" i="11"/>
  <c r="C37" i="1" l="1"/>
  <c r="AT36"/>
  <c r="H31" i="13"/>
  <c r="E28" i="23"/>
  <c r="J30" i="11"/>
  <c r="C38" i="1" l="1"/>
  <c r="AT37"/>
  <c r="E29" i="23"/>
  <c r="J31" i="11"/>
  <c r="H32" i="13"/>
  <c r="C39" i="1" l="1"/>
  <c r="AT38"/>
  <c r="J32" i="11"/>
  <c r="H33" i="13"/>
  <c r="E30" i="23"/>
  <c r="AT39" i="1" l="1"/>
  <c r="C40"/>
  <c r="E31" i="23"/>
  <c r="J33" i="11"/>
  <c r="H34" i="13"/>
  <c r="C41" i="1" l="1"/>
  <c r="AT40"/>
  <c r="H35" i="13"/>
  <c r="J34" i="11"/>
  <c r="E32" i="23"/>
  <c r="C42" i="1" l="1"/>
  <c r="C43" s="1"/>
  <c r="E35" i="23" s="1"/>
  <c r="AT41" i="1"/>
  <c r="E33" i="23"/>
  <c r="J35" i="11"/>
  <c r="H36" i="13"/>
  <c r="AT43" i="1" l="1"/>
  <c r="AT42"/>
  <c r="J36" i="11"/>
  <c r="E34" i="23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<sst xmlns="http://schemas.openxmlformats.org/spreadsheetml/2006/main" count="534" uniqueCount="321">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</sst>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2697</c:v>
                </c:pt>
                <c:pt idx="1">
                  <c:v>2639</c:v>
                </c:pt>
                <c:pt idx="2">
                  <c:v>2826</c:v>
                </c:pt>
                <c:pt idx="3">
                  <c:v>2780</c:v>
                </c:pt>
                <c:pt idx="4">
                  <c:v>2900</c:v>
                </c:pt>
                <c:pt idx="5">
                  <c:v>2734</c:v>
                </c:pt>
                <c:pt idx="6">
                  <c:v>2996</c:v>
                </c:pt>
                <c:pt idx="7">
                  <c:v>2627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2068480"/>
        <c:axId val="920743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2075904"/>
        <c:axId val="92077440"/>
      </c:lineChart>
      <c:catAx>
        <c:axId val="9206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4368"/>
        <c:crosses val="autoZero"/>
        <c:auto val="1"/>
        <c:lblAlgn val="ctr"/>
        <c:lblOffset val="100"/>
      </c:catAx>
      <c:valAx>
        <c:axId val="920743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68480"/>
        <c:crosses val="autoZero"/>
        <c:crossBetween val="between"/>
        <c:majorUnit val="200"/>
      </c:valAx>
      <c:catAx>
        <c:axId val="92075904"/>
        <c:scaling>
          <c:orientation val="minMax"/>
        </c:scaling>
        <c:delete val="1"/>
        <c:axPos val="b"/>
        <c:tickLblPos val="none"/>
        <c:crossAx val="92077440"/>
        <c:crosses val="autoZero"/>
        <c:auto val="1"/>
        <c:lblAlgn val="ctr"/>
        <c:lblOffset val="100"/>
      </c:catAx>
      <c:valAx>
        <c:axId val="92077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5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1580672"/>
        <c:axId val="1315822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1584000"/>
        <c:axId val="131585536"/>
      </c:lineChart>
      <c:catAx>
        <c:axId val="1315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82208"/>
        <c:crosses val="autoZero"/>
        <c:auto val="1"/>
        <c:lblAlgn val="ctr"/>
        <c:lblOffset val="100"/>
      </c:catAx>
      <c:valAx>
        <c:axId val="13158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80672"/>
        <c:crosses val="autoZero"/>
        <c:crossBetween val="between"/>
        <c:majorUnit val="200"/>
      </c:valAx>
      <c:catAx>
        <c:axId val="131584000"/>
        <c:scaling>
          <c:orientation val="minMax"/>
        </c:scaling>
        <c:delete val="1"/>
        <c:axPos val="b"/>
        <c:tickLblPos val="none"/>
        <c:crossAx val="131585536"/>
        <c:crosses val="autoZero"/>
        <c:auto val="1"/>
        <c:lblAlgn val="ctr"/>
        <c:lblOffset val="100"/>
      </c:catAx>
      <c:valAx>
        <c:axId val="131585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84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3800320"/>
        <c:axId val="93801856"/>
      </c:lineChart>
      <c:catAx>
        <c:axId val="9380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01856"/>
        <c:crosses val="autoZero"/>
        <c:auto val="1"/>
        <c:lblAlgn val="ctr"/>
        <c:lblOffset val="200"/>
        <c:tickLblSkip val="1"/>
      </c:catAx>
      <c:valAx>
        <c:axId val="93801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0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3826432"/>
        <c:axId val="94131328"/>
      </c:lineChart>
      <c:catAx>
        <c:axId val="9382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31328"/>
        <c:crosses val="autoZero"/>
        <c:auto val="1"/>
        <c:lblAlgn val="ctr"/>
        <c:lblOffset val="100"/>
      </c:catAx>
      <c:valAx>
        <c:axId val="941313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4172288"/>
        <c:axId val="94174208"/>
      </c:lineChart>
      <c:catAx>
        <c:axId val="94172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74208"/>
        <c:crosses val="autoZero"/>
        <c:auto val="1"/>
        <c:lblAlgn val="ctr"/>
        <c:lblOffset val="100"/>
      </c:catAx>
      <c:valAx>
        <c:axId val="94174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72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3625728"/>
        <c:axId val="93640192"/>
      </c:lineChart>
      <c:catAx>
        <c:axId val="93625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40192"/>
        <c:crosses val="autoZero"/>
        <c:auto val="1"/>
        <c:lblAlgn val="ctr"/>
        <c:lblOffset val="100"/>
      </c:catAx>
      <c:valAx>
        <c:axId val="93640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25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-336036.66800000001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5164288"/>
        <c:axId val="95165824"/>
      </c:lineChart>
      <c:catAx>
        <c:axId val="9516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65824"/>
        <c:crosses val="autoZero"/>
        <c:auto val="1"/>
        <c:lblAlgn val="ctr"/>
        <c:lblOffset val="100"/>
      </c:catAx>
      <c:valAx>
        <c:axId val="9516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6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5216000"/>
        <c:axId val="95217536"/>
      </c:lineChart>
      <c:catAx>
        <c:axId val="952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7536"/>
        <c:crosses val="autoZero"/>
        <c:auto val="1"/>
        <c:lblAlgn val="ctr"/>
        <c:lblOffset val="100"/>
      </c:catAx>
      <c:valAx>
        <c:axId val="9521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4725632"/>
        <c:axId val="94727168"/>
      </c:lineChart>
      <c:catAx>
        <c:axId val="9472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7168"/>
        <c:crosses val="autoZero"/>
        <c:auto val="1"/>
        <c:lblAlgn val="ctr"/>
        <c:lblOffset val="100"/>
      </c:catAx>
      <c:valAx>
        <c:axId val="9472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955"/>
          <c:y val="7.471324705112296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4751744"/>
        <c:axId val="95748864"/>
      </c:lineChart>
      <c:catAx>
        <c:axId val="947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8864"/>
        <c:crosses val="autoZero"/>
        <c:auto val="1"/>
        <c:lblAlgn val="ctr"/>
        <c:lblOffset val="200"/>
        <c:tickLblSkip val="1"/>
      </c:catAx>
      <c:valAx>
        <c:axId val="95748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5790208"/>
        <c:axId val="95791744"/>
      </c:lineChart>
      <c:catAx>
        <c:axId val="9579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91744"/>
        <c:crosses val="autoZero"/>
        <c:auto val="1"/>
        <c:lblAlgn val="ctr"/>
        <c:lblOffset val="100"/>
      </c:catAx>
      <c:valAx>
        <c:axId val="95791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9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5812224"/>
        <c:axId val="96318208"/>
      </c:lineChart>
      <c:catAx>
        <c:axId val="95812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18208"/>
        <c:crosses val="autoZero"/>
        <c:auto val="1"/>
        <c:lblAlgn val="ctr"/>
        <c:lblOffset val="100"/>
      </c:catAx>
      <c:valAx>
        <c:axId val="96318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6564352"/>
        <c:axId val="96566272"/>
      </c:lineChart>
      <c:catAx>
        <c:axId val="96564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6272"/>
        <c:crosses val="autoZero"/>
        <c:auto val="1"/>
        <c:lblAlgn val="ctr"/>
        <c:lblOffset val="100"/>
      </c:catAx>
      <c:valAx>
        <c:axId val="96566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4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6595328"/>
        <c:axId val="96597120"/>
      </c:lineChart>
      <c:catAx>
        <c:axId val="9659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7120"/>
        <c:crosses val="autoZero"/>
        <c:auto val="1"/>
        <c:lblAlgn val="ctr"/>
        <c:lblOffset val="100"/>
      </c:catAx>
      <c:valAx>
        <c:axId val="9659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6126848"/>
        <c:axId val="96128384"/>
      </c:lineChart>
      <c:catAx>
        <c:axId val="9612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28384"/>
        <c:crosses val="autoZero"/>
        <c:auto val="1"/>
        <c:lblAlgn val="ctr"/>
        <c:lblOffset val="100"/>
      </c:catAx>
      <c:valAx>
        <c:axId val="9612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6877568"/>
        <c:axId val="96887552"/>
      </c:lineChart>
      <c:catAx>
        <c:axId val="9687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87552"/>
        <c:crosses val="autoZero"/>
        <c:auto val="1"/>
        <c:lblAlgn val="ctr"/>
        <c:lblOffset val="100"/>
      </c:catAx>
      <c:valAx>
        <c:axId val="96887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7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288"/>
          <c:y val="7.47132470511233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7068928"/>
        <c:axId val="970704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7088640"/>
        <c:axId val="97090176"/>
      </c:lineChart>
      <c:catAx>
        <c:axId val="970689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70464"/>
        <c:crosses val="autoZero"/>
        <c:lblAlgn val="ctr"/>
        <c:lblOffset val="100"/>
        <c:tickMarkSkip val="1"/>
      </c:catAx>
      <c:valAx>
        <c:axId val="97070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68928"/>
        <c:crosses val="autoZero"/>
        <c:crossBetween val="between"/>
      </c:valAx>
      <c:catAx>
        <c:axId val="97088640"/>
        <c:scaling>
          <c:orientation val="minMax"/>
        </c:scaling>
        <c:delete val="1"/>
        <c:axPos val="b"/>
        <c:numFmt formatCode="[$-409]d\-mmm\-yy;@" sourceLinked="1"/>
        <c:tickLblPos val="none"/>
        <c:crossAx val="97090176"/>
        <c:crosses val="autoZero"/>
        <c:lblAlgn val="ctr"/>
        <c:lblOffset val="100"/>
      </c:catAx>
      <c:valAx>
        <c:axId val="9709017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88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7122944"/>
        <c:axId val="98525568"/>
      </c:lineChart>
      <c:catAx>
        <c:axId val="9712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25568"/>
        <c:crosses val="autoZero"/>
        <c:auto val="1"/>
        <c:lblAlgn val="ctr"/>
        <c:lblOffset val="100"/>
      </c:catAx>
      <c:valAx>
        <c:axId val="985255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2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8550144"/>
        <c:axId val="98551680"/>
      </c:lineChart>
      <c:catAx>
        <c:axId val="9855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1680"/>
        <c:crosses val="autoZero"/>
        <c:auto val="1"/>
        <c:lblAlgn val="ctr"/>
        <c:lblOffset val="100"/>
      </c:catAx>
      <c:valAx>
        <c:axId val="985516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8996608"/>
        <c:axId val="98998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8999680"/>
        <c:axId val="99021952"/>
      </c:lineChart>
      <c:catAx>
        <c:axId val="98996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8144"/>
        <c:crosses val="autoZero"/>
        <c:lblAlgn val="ctr"/>
        <c:lblOffset val="100"/>
        <c:tickMarkSkip val="1"/>
      </c:catAx>
      <c:valAx>
        <c:axId val="9899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6608"/>
        <c:crosses val="autoZero"/>
        <c:crossBetween val="between"/>
      </c:valAx>
      <c:catAx>
        <c:axId val="98999680"/>
        <c:scaling>
          <c:orientation val="minMax"/>
        </c:scaling>
        <c:delete val="1"/>
        <c:axPos val="b"/>
        <c:numFmt formatCode="General" sourceLinked="1"/>
        <c:tickLblPos val="none"/>
        <c:crossAx val="99021952"/>
        <c:crosses val="autoZero"/>
        <c:lblAlgn val="ctr"/>
        <c:lblOffset val="100"/>
      </c:catAx>
      <c:valAx>
        <c:axId val="99021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9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9447936"/>
        <c:axId val="99449472"/>
      </c:lineChart>
      <c:catAx>
        <c:axId val="9944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49472"/>
        <c:crosses val="autoZero"/>
        <c:auto val="1"/>
        <c:lblAlgn val="ctr"/>
        <c:lblOffset val="100"/>
      </c:catAx>
      <c:valAx>
        <c:axId val="9944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4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9482240"/>
        <c:axId val="131600768"/>
      </c:lineChart>
      <c:catAx>
        <c:axId val="994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0768"/>
        <c:crosses val="autoZero"/>
        <c:auto val="1"/>
        <c:lblAlgn val="ctr"/>
        <c:lblOffset val="100"/>
      </c:catAx>
      <c:valAx>
        <c:axId val="13160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9727232"/>
        <c:axId val="997287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9738752"/>
        <c:axId val="99740288"/>
      </c:lineChart>
      <c:catAx>
        <c:axId val="997272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8768"/>
        <c:crosses val="autoZero"/>
        <c:lblAlgn val="ctr"/>
        <c:lblOffset val="100"/>
        <c:tickMarkSkip val="1"/>
      </c:catAx>
      <c:valAx>
        <c:axId val="99728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27232"/>
        <c:crosses val="autoZero"/>
        <c:crossBetween val="between"/>
      </c:valAx>
      <c:catAx>
        <c:axId val="99738752"/>
        <c:scaling>
          <c:orientation val="minMax"/>
        </c:scaling>
        <c:delete val="1"/>
        <c:axPos val="b"/>
        <c:numFmt formatCode="[$-409]d\-mmm\-yy;@" sourceLinked="1"/>
        <c:tickLblPos val="none"/>
        <c:crossAx val="99740288"/>
        <c:crosses val="autoZero"/>
        <c:lblAlgn val="ctr"/>
        <c:lblOffset val="100"/>
      </c:catAx>
      <c:valAx>
        <c:axId val="997402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38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3163904"/>
        <c:axId val="931654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3166976"/>
        <c:axId val="93176960"/>
      </c:lineChart>
      <c:catAx>
        <c:axId val="931639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5440"/>
        <c:crosses val="autoZero"/>
        <c:lblAlgn val="ctr"/>
        <c:lblOffset val="100"/>
        <c:tickMarkSkip val="1"/>
      </c:catAx>
      <c:valAx>
        <c:axId val="9316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3904"/>
        <c:crosses val="autoZero"/>
        <c:crossBetween val="between"/>
      </c:valAx>
      <c:catAx>
        <c:axId val="93166976"/>
        <c:scaling>
          <c:orientation val="minMax"/>
        </c:scaling>
        <c:delete val="1"/>
        <c:axPos val="b"/>
        <c:numFmt formatCode="General" sourceLinked="1"/>
        <c:tickLblPos val="none"/>
        <c:crossAx val="93176960"/>
        <c:crosses val="autoZero"/>
        <c:lblAlgn val="ctr"/>
        <c:lblOffset val="100"/>
      </c:catAx>
      <c:valAx>
        <c:axId val="93176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6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3531520"/>
        <c:axId val="9353740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3538944"/>
        <c:axId val="93544832"/>
      </c:lineChart>
      <c:catAx>
        <c:axId val="935315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7408"/>
        <c:crosses val="autoZero"/>
        <c:lblAlgn val="ctr"/>
        <c:lblOffset val="100"/>
        <c:tickMarkSkip val="1"/>
      </c:catAx>
      <c:valAx>
        <c:axId val="93537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1520"/>
        <c:crosses val="autoZero"/>
        <c:crossBetween val="between"/>
      </c:valAx>
      <c:catAx>
        <c:axId val="93538944"/>
        <c:scaling>
          <c:orientation val="minMax"/>
        </c:scaling>
        <c:delete val="1"/>
        <c:axPos val="b"/>
        <c:numFmt formatCode="[$-409]d\-mmm\-yy;@" sourceLinked="1"/>
        <c:tickLblPos val="none"/>
        <c:crossAx val="93544832"/>
        <c:crosses val="autoZero"/>
        <c:lblAlgn val="ctr"/>
        <c:lblOffset val="100"/>
      </c:catAx>
      <c:valAx>
        <c:axId val="935448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8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3579136"/>
        <c:axId val="935806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3582464"/>
        <c:axId val="93584000"/>
      </c:lineChart>
      <c:catAx>
        <c:axId val="935791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0672"/>
        <c:crosses val="autoZero"/>
        <c:lblAlgn val="ctr"/>
        <c:lblOffset val="100"/>
        <c:tickMarkSkip val="1"/>
      </c:catAx>
      <c:valAx>
        <c:axId val="9358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9136"/>
        <c:crosses val="autoZero"/>
        <c:crossBetween val="between"/>
      </c:valAx>
      <c:catAx>
        <c:axId val="93582464"/>
        <c:scaling>
          <c:orientation val="minMax"/>
        </c:scaling>
        <c:delete val="1"/>
        <c:axPos val="b"/>
        <c:numFmt formatCode="General" sourceLinked="1"/>
        <c:tickLblPos val="none"/>
        <c:crossAx val="93584000"/>
        <c:crosses val="autoZero"/>
        <c:lblAlgn val="ctr"/>
        <c:lblOffset val="100"/>
      </c:catAx>
      <c:valAx>
        <c:axId val="93584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2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5941120"/>
        <c:axId val="135959680"/>
      </c:lineChart>
      <c:catAx>
        <c:axId val="135941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59680"/>
        <c:crosses val="autoZero"/>
        <c:auto val="1"/>
        <c:lblAlgn val="ctr"/>
        <c:lblOffset val="100"/>
      </c:catAx>
      <c:valAx>
        <c:axId val="1359596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41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5931392"/>
        <c:axId val="135933312"/>
      </c:lineChart>
      <c:catAx>
        <c:axId val="135931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33312"/>
        <c:crosses val="autoZero"/>
        <c:auto val="1"/>
        <c:lblAlgn val="ctr"/>
        <c:lblOffset val="100"/>
      </c:catAx>
      <c:valAx>
        <c:axId val="135933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31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5573504"/>
        <c:axId val="135575040"/>
      </c:lineChart>
      <c:catAx>
        <c:axId val="13557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75040"/>
        <c:crosses val="autoZero"/>
        <c:auto val="1"/>
        <c:lblAlgn val="ctr"/>
        <c:lblOffset val="200"/>
        <c:tickLblSkip val="1"/>
      </c:catAx>
      <c:valAx>
        <c:axId val="135575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7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6848896"/>
        <c:axId val="136850432"/>
      </c:lineChart>
      <c:catAx>
        <c:axId val="13684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50432"/>
        <c:crosses val="autoZero"/>
        <c:auto val="1"/>
        <c:lblAlgn val="ctr"/>
        <c:lblOffset val="100"/>
      </c:catAx>
      <c:valAx>
        <c:axId val="1368504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4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8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-336036.66800000001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6883200"/>
        <c:axId val="136893184"/>
      </c:lineChart>
      <c:catAx>
        <c:axId val="1368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93184"/>
        <c:crosses val="autoZero"/>
        <c:auto val="1"/>
        <c:lblAlgn val="ctr"/>
        <c:lblOffset val="100"/>
      </c:catAx>
      <c:valAx>
        <c:axId val="136893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36688384"/>
        <c:axId val="136690304"/>
      </c:lineChart>
      <c:catAx>
        <c:axId val="136688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90304"/>
        <c:crosses val="autoZero"/>
        <c:auto val="1"/>
        <c:lblAlgn val="ctr"/>
        <c:lblOffset val="100"/>
      </c:catAx>
      <c:valAx>
        <c:axId val="136690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88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37235456"/>
        <c:axId val="137274496"/>
      </c:lineChart>
      <c:catAx>
        <c:axId val="137235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74496"/>
        <c:crosses val="autoZero"/>
        <c:auto val="1"/>
        <c:lblAlgn val="ctr"/>
        <c:lblOffset val="100"/>
      </c:catAx>
      <c:valAx>
        <c:axId val="137274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35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1578880"/>
        <c:axId val="171580416"/>
      </c:lineChart>
      <c:catAx>
        <c:axId val="1715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80416"/>
        <c:crosses val="autoZero"/>
        <c:auto val="1"/>
        <c:lblAlgn val="ctr"/>
        <c:lblOffset val="200"/>
        <c:tickLblSkip val="1"/>
      </c:catAx>
      <c:valAx>
        <c:axId val="171580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7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1609088"/>
        <c:axId val="171619072"/>
      </c:lineChart>
      <c:catAx>
        <c:axId val="1716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19072"/>
        <c:crosses val="autoZero"/>
        <c:auto val="1"/>
        <c:lblAlgn val="ctr"/>
        <c:lblOffset val="100"/>
      </c:catAx>
      <c:valAx>
        <c:axId val="1716190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68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-336036.66800000001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1131648"/>
        <c:axId val="171133184"/>
      </c:lineChart>
      <c:catAx>
        <c:axId val="17113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33184"/>
        <c:crosses val="autoZero"/>
        <c:auto val="1"/>
        <c:lblAlgn val="ctr"/>
        <c:lblOffset val="100"/>
      </c:catAx>
      <c:valAx>
        <c:axId val="171133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3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1178240"/>
        <c:axId val="172704128"/>
      </c:lineChart>
      <c:catAx>
        <c:axId val="171178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04128"/>
        <c:crosses val="autoZero"/>
        <c:auto val="1"/>
        <c:lblAlgn val="ctr"/>
        <c:lblOffset val="100"/>
      </c:catAx>
      <c:valAx>
        <c:axId val="172704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782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2737280"/>
        <c:axId val="172739200"/>
      </c:lineChart>
      <c:catAx>
        <c:axId val="172737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39200"/>
        <c:crosses val="autoZero"/>
        <c:auto val="1"/>
        <c:lblAlgn val="ctr"/>
        <c:lblOffset val="100"/>
      </c:catAx>
      <c:valAx>
        <c:axId val="1727392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372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2633088"/>
        <c:axId val="172659456"/>
      </c:lineChart>
      <c:catAx>
        <c:axId val="1726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59456"/>
        <c:crosses val="autoZero"/>
        <c:auto val="1"/>
        <c:lblAlgn val="ctr"/>
        <c:lblOffset val="200"/>
        <c:tickLblSkip val="1"/>
      </c:catAx>
      <c:valAx>
        <c:axId val="172659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2684032"/>
        <c:axId val="172685568"/>
      </c:lineChart>
      <c:catAx>
        <c:axId val="17268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5568"/>
        <c:crosses val="autoZero"/>
        <c:auto val="1"/>
        <c:lblAlgn val="ctr"/>
        <c:lblOffset val="100"/>
      </c:catAx>
      <c:valAx>
        <c:axId val="17268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8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87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3230336"/>
        <c:axId val="173260800"/>
      </c:lineChart>
      <c:catAx>
        <c:axId val="1732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60800"/>
        <c:crosses val="autoZero"/>
        <c:auto val="1"/>
        <c:lblAlgn val="ctr"/>
        <c:lblOffset val="100"/>
      </c:catAx>
      <c:valAx>
        <c:axId val="17326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3625344"/>
        <c:axId val="173627264"/>
      </c:lineChart>
      <c:catAx>
        <c:axId val="173625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27264"/>
        <c:crosses val="autoZero"/>
        <c:auto val="1"/>
        <c:lblAlgn val="ctr"/>
        <c:lblOffset val="100"/>
      </c:catAx>
      <c:valAx>
        <c:axId val="173627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25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3414656"/>
        <c:axId val="173429120"/>
      </c:lineChart>
      <c:catAx>
        <c:axId val="173414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29120"/>
        <c:crosses val="autoZero"/>
        <c:auto val="1"/>
        <c:lblAlgn val="ctr"/>
        <c:lblOffset val="100"/>
      </c:catAx>
      <c:valAx>
        <c:axId val="173429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14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3462272"/>
        <c:axId val="173463808"/>
      </c:lineChart>
      <c:catAx>
        <c:axId val="17346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63808"/>
        <c:crosses val="autoZero"/>
        <c:auto val="1"/>
        <c:lblAlgn val="ctr"/>
        <c:lblOffset val="200"/>
        <c:tickLblSkip val="1"/>
      </c:catAx>
      <c:valAx>
        <c:axId val="173463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6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3947136"/>
        <c:axId val="173953024"/>
      </c:lineChart>
      <c:catAx>
        <c:axId val="1739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53024"/>
        <c:crosses val="autoZero"/>
        <c:auto val="1"/>
        <c:lblAlgn val="ctr"/>
        <c:lblOffset val="100"/>
      </c:catAx>
      <c:valAx>
        <c:axId val="17395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87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3985792"/>
        <c:axId val="173987328"/>
      </c:lineChart>
      <c:catAx>
        <c:axId val="17398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87328"/>
        <c:crosses val="autoZero"/>
        <c:auto val="1"/>
        <c:lblAlgn val="ctr"/>
        <c:lblOffset val="100"/>
      </c:catAx>
      <c:valAx>
        <c:axId val="17398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8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5</v>
      </c>
      <c r="D2" s="416">
        <v>2021</v>
      </c>
      <c r="E2" s="417">
        <f>'UTILITY REPORT 1'!F3</f>
        <v>2650</v>
      </c>
      <c r="F2" s="418">
        <f>('UTILITY REPORT 1'!E3*'UTILITY REPORT 1'!D3)/'UTILITY REPORT 1'!F3</f>
        <v>0.4119358490566038</v>
      </c>
      <c r="G2" s="418">
        <f>IF('Utility summery'!M6&lt;0,"0",'Utility summery'!M6)</f>
        <v>0</v>
      </c>
      <c r="H2" s="423">
        <v>0</v>
      </c>
      <c r="I2" s="418">
        <f>IF('UTILITY REPORT 1'!G3&lt;0,"0",'UTILITY REPORT 1'!G3)</f>
        <v>41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5</v>
      </c>
      <c r="D3" s="416">
        <v>2021</v>
      </c>
      <c r="E3" s="417">
        <f>'UTILITY REPORT 1'!F4</f>
        <v>2697</v>
      </c>
      <c r="F3" s="418">
        <f>('UTILITY REPORT 1'!E4*'UTILITY REPORT 1'!D4)/'UTILITY REPORT 1'!F4</f>
        <v>0.41311086392287732</v>
      </c>
      <c r="G3" s="418">
        <f>IF('Utility summery'!M7&lt;0,"0",'Utility summery'!M7)</f>
        <v>49.631999999994882</v>
      </c>
      <c r="H3" s="423">
        <v>0</v>
      </c>
      <c r="I3" s="418">
        <f>IF('UTILITY REPORT 1'!G4&lt;0,"0",'UTILITY REPORT 1'!G4)</f>
        <v>50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5</v>
      </c>
      <c r="D4" s="416">
        <v>2021</v>
      </c>
      <c r="E4" s="417">
        <f>'UTILITY REPORT 1'!F5</f>
        <v>2639</v>
      </c>
      <c r="F4" s="418">
        <f>('UTILITY REPORT 1'!E5*'UTILITY REPORT 1'!D5)/'UTILITY REPORT 1'!F5</f>
        <v>0.41249336870026521</v>
      </c>
      <c r="G4" s="418">
        <f>IF('Utility summery'!M8&lt;0,"0",'Utility summery'!M8)</f>
        <v>42.768000000005124</v>
      </c>
      <c r="H4" s="423">
        <v>0</v>
      </c>
      <c r="I4" s="418">
        <f>IF('UTILITY REPORT 1'!G5&lt;0,"0",'UTILITY REPORT 1'!G5)</f>
        <v>50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5</v>
      </c>
      <c r="D5" s="416">
        <v>2021</v>
      </c>
      <c r="E5" s="417">
        <f>'UTILITY REPORT 1'!F6</f>
        <v>2826</v>
      </c>
      <c r="F5" s="418">
        <f>('UTILITY REPORT 1'!E6*'UTILITY REPORT 1'!D6)/'UTILITY REPORT 1'!F6</f>
        <v>0.41276362349610757</v>
      </c>
      <c r="G5" s="418">
        <f>IF('Utility summery'!M9&lt;0,"0",'Utility summery'!M9)</f>
        <v>55.22000000001281</v>
      </c>
      <c r="H5" s="423">
        <v>0</v>
      </c>
      <c r="I5" s="418">
        <f>IF('UTILITY REPORT 1'!G6&lt;0,"0",'UTILITY REPORT 1'!G6)</f>
        <v>50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5</v>
      </c>
      <c r="D6" s="416">
        <v>2021</v>
      </c>
      <c r="E6" s="417">
        <f>'UTILITY REPORT 1'!F7</f>
        <v>2780</v>
      </c>
      <c r="F6" s="418">
        <f>('UTILITY REPORT 1'!E7*'UTILITY REPORT 1'!D7)/'UTILITY REPORT 1'!F7</f>
        <v>0.40473021582733815</v>
      </c>
      <c r="G6" s="418">
        <f>IF('Utility summery'!M10&lt;0,"0",'Utility summery'!M10)</f>
        <v>65.295999999984645</v>
      </c>
      <c r="H6" s="423">
        <v>0</v>
      </c>
      <c r="I6" s="418">
        <f>IF('UTILITY REPORT 1'!G7&lt;0,"0",'UTILITY REPORT 1'!G7)</f>
        <v>67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5</v>
      </c>
      <c r="D7" s="416">
        <v>2021</v>
      </c>
      <c r="E7" s="417">
        <f>'UTILITY REPORT 1'!F8</f>
        <v>2900</v>
      </c>
      <c r="F7" s="418">
        <f>('UTILITY REPORT 1'!E8*'UTILITY REPORT 1'!D8)/'UTILITY REPORT 1'!F8</f>
        <v>0.40669310344827592</v>
      </c>
      <c r="G7" s="418">
        <f>IF('Utility summery'!M11&lt;0,"0",'Utility summery'!M11)</f>
        <v>64.988000000017934</v>
      </c>
      <c r="H7" s="423">
        <v>0</v>
      </c>
      <c r="I7" s="418">
        <f>IF('UTILITY REPORT 1'!G8&lt;0,"0",'UTILITY REPORT 1'!G8)</f>
        <v>70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5</v>
      </c>
      <c r="D8" s="416">
        <v>2021</v>
      </c>
      <c r="E8" s="417">
        <f>'UTILITY REPORT 1'!F9</f>
        <v>2734</v>
      </c>
      <c r="F8" s="418">
        <f>('UTILITY REPORT 1'!E9*'UTILITY REPORT 1'!D9)/'UTILITY REPORT 1'!F9</f>
        <v>0.41198244330651057</v>
      </c>
      <c r="G8" s="418">
        <f>IF('Utility summery'!M12&lt;0,"0",'Utility summery'!M12)</f>
        <v>62.391999999969272</v>
      </c>
      <c r="H8" s="423">
        <v>0</v>
      </c>
      <c r="I8" s="418">
        <f>IF('UTILITY REPORT 1'!G9&lt;0,"0",'UTILITY REPORT 1'!G9)</f>
        <v>50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5</v>
      </c>
      <c r="D9" s="416">
        <v>2021</v>
      </c>
      <c r="E9" s="417">
        <f>'UTILITY REPORT 1'!F10</f>
        <v>2996</v>
      </c>
      <c r="F9" s="418">
        <f>('UTILITY REPORT 1'!E10*'UTILITY REPORT 1'!D10)/'UTILITY REPORT 1'!F10</f>
        <v>0.41156542056074763</v>
      </c>
      <c r="G9" s="418">
        <f>IF('Utility summery'!M13&lt;0,"0",'Utility summery'!M13)</f>
        <v>68.904000000015373</v>
      </c>
      <c r="H9" s="423">
        <v>0</v>
      </c>
      <c r="I9" s="418">
        <f>IF('UTILITY REPORT 1'!G10&lt;0,"0",'UTILITY REPORT 1'!G10)</f>
        <v>51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5</v>
      </c>
      <c r="D10" s="416">
        <v>2021</v>
      </c>
      <c r="E10" s="417">
        <f>'UTILITY REPORT 1'!F11</f>
        <v>2627</v>
      </c>
      <c r="F10" s="418">
        <f>('UTILITY REPORT 1'!E11*'UTILITY REPORT 1'!D11)/'UTILITY REPORT 1'!F11</f>
        <v>0.40277502854967639</v>
      </c>
      <c r="G10" s="418">
        <f>IF('Utility summery'!M14&lt;0,"0",'Utility summery'!M14)</f>
        <v>66</v>
      </c>
      <c r="H10" s="423">
        <v>0</v>
      </c>
      <c r="I10" s="418">
        <f>IF('UTILITY REPORT 1'!G11&lt;0,"0",'UTILITY REPORT 1'!G11)</f>
        <v>76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5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79.068000000005128</v>
      </c>
      <c r="H11" s="423">
        <v>0</v>
      </c>
      <c r="I11" s="418" t="str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5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 t="str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5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5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5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5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5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5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5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5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5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5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5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5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5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5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5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5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5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5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5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5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5</v>
      </c>
      <c r="D2" s="461">
        <v>2021</v>
      </c>
      <c r="E2" s="462">
        <f>'UTILITY REPORT 1'!I3</f>
        <v>88.75</v>
      </c>
      <c r="F2" s="462">
        <f>'UTILITY REPORT 1'!E3</f>
        <v>1091.6300000000001</v>
      </c>
      <c r="G2" s="463">
        <f>'UTILITY REPORT 1'!F3</f>
        <v>2650</v>
      </c>
      <c r="H2" s="462">
        <f>IF('Kit report'!F4&lt;0,"0",'Kit report'!F4)</f>
        <v>263.99999999986903</v>
      </c>
      <c r="I2" s="462">
        <f>IF('Kit report'!X4&lt;0,"0",'Kit report'!X4)</f>
        <v>140.00000000014552</v>
      </c>
      <c r="J2" s="462">
        <f>IF('Utility summery'!H6&lt;0,"0",'Utility summery'!H6)</f>
        <v>66</v>
      </c>
      <c r="K2" s="463">
        <f>IF('UTILITY REPORT 1'!H3&lt;0,"0",'UTILITY REPORT 1'!H3)</f>
        <v>118</v>
      </c>
      <c r="L2" s="462">
        <f>'Water-Meter'!K6</f>
        <v>4</v>
      </c>
      <c r="M2" s="463">
        <f>'Water-Meter'!H6</f>
        <v>0</v>
      </c>
      <c r="N2" s="463">
        <f>'Water-Meter'!Q6</f>
        <v>3</v>
      </c>
      <c r="O2" s="462" t="e">
        <f>K2*E2+H2*I2+#REF!*#REF!+J2*L2</f>
        <v>#REF!</v>
      </c>
      <c r="P2" s="462">
        <f>'Water-Meter'!E6</f>
        <v>41</v>
      </c>
      <c r="Q2" s="405">
        <f>IF('Water-Meter'!U6&lt;0,"0",'Water-Meter'!U6)</f>
        <v>88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27</v>
      </c>
      <c r="W2" s="30">
        <f>'Water-Meter'!AN6</f>
        <v>130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5</v>
      </c>
      <c r="D3" s="461">
        <v>2021</v>
      </c>
      <c r="E3" s="456">
        <f>'UTILITY REPORT 1'!I4</f>
        <v>0</v>
      </c>
      <c r="F3" s="456">
        <f>'UTILITY REPORT 1'!E4</f>
        <v>1114.1600000000001</v>
      </c>
      <c r="G3" s="457">
        <f>'UTILITY REPORT 1'!F4</f>
        <v>2697</v>
      </c>
      <c r="H3" s="456">
        <f>IF('Kit report'!F5&lt;0,"0",'Kit report'!F5)</f>
        <v>264.00000000008731</v>
      </c>
      <c r="I3" s="456">
        <f>IF('Kit report'!X5&lt;0,"0",'Kit report'!X5)</f>
        <v>300</v>
      </c>
      <c r="J3" s="456">
        <f>IF('Utility summery'!H7&lt;0,"0",'Utility summery'!H7)</f>
        <v>50</v>
      </c>
      <c r="K3" s="457">
        <f>IF('UTILITY REPORT 1'!H4&lt;0,"0",'UTILITY REPORT 1'!H4)</f>
        <v>38</v>
      </c>
      <c r="L3" s="456">
        <f>'Water-Meter'!K7</f>
        <v>1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50</v>
      </c>
      <c r="Q3" s="242">
        <f>IF('Water-Meter'!U7&lt;0,"0",'Water-Meter'!U7)</f>
        <v>82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126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5</v>
      </c>
      <c r="D4" s="461">
        <v>2021</v>
      </c>
      <c r="E4" s="456">
        <f>'UTILITY REPORT 1'!I5</f>
        <v>29.76</v>
      </c>
      <c r="F4" s="456">
        <f>'UTILITY REPORT 1'!E5</f>
        <v>1088.57</v>
      </c>
      <c r="G4" s="457">
        <f>'UTILITY REPORT 1'!F5</f>
        <v>2639</v>
      </c>
      <c r="H4" s="456">
        <f>IF('Kit report'!F6&lt;0,"0",'Kit report'!F6)</f>
        <v>287.99999999995634</v>
      </c>
      <c r="I4" s="456">
        <f>IF('Kit report'!X6&lt;0,"0",'Kit report'!X6)</f>
        <v>219.99999999989086</v>
      </c>
      <c r="J4" s="456">
        <f>IF('Utility summery'!H8&lt;0,"0",'Utility summery'!H8)</f>
        <v>44</v>
      </c>
      <c r="K4" s="457">
        <f>IF('UTILITY REPORT 1'!H5&lt;0,"0",'UTILITY REPORT 1'!H5)</f>
        <v>37</v>
      </c>
      <c r="L4" s="456">
        <f>'Water-Meter'!K8</f>
        <v>1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50</v>
      </c>
      <c r="Q4" s="242">
        <f>IF('Water-Meter'!U8&lt;0,"0",'Water-Meter'!U8)</f>
        <v>82</v>
      </c>
      <c r="R4" s="242">
        <f>IF('Water-Meter'!X8&lt;0,"0",'Water-Meter'!X8)</f>
        <v>0</v>
      </c>
      <c r="S4" s="242">
        <f>IF('Water-Meter'!AA8&lt;0,"0",'Water-Meter'!AA8)</f>
        <v>0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28</v>
      </c>
      <c r="W4" s="30">
        <f>'Water-Meter'!AN8</f>
        <v>126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5</v>
      </c>
      <c r="D5" s="461">
        <v>2021</v>
      </c>
      <c r="E5" s="456">
        <f>'UTILITY REPORT 1'!I6</f>
        <v>38.130000000000003</v>
      </c>
      <c r="F5" s="456">
        <f>'UTILITY REPORT 1'!E6</f>
        <v>1166.47</v>
      </c>
      <c r="G5" s="457">
        <f>'UTILITY REPORT 1'!F6</f>
        <v>2826</v>
      </c>
      <c r="H5" s="456">
        <f>IF('Kit report'!F7&lt;0,"0",'Kit report'!F7)</f>
        <v>300</v>
      </c>
      <c r="I5" s="456">
        <f>IF('Kit report'!X7&lt;0,"0",'Kit report'!X7)</f>
        <v>320.00000000007276</v>
      </c>
      <c r="J5" s="456">
        <f>IF('Utility summery'!H9&lt;0,"0",'Utility summery'!H9)</f>
        <v>56</v>
      </c>
      <c r="K5" s="457">
        <f>IF('UTILITY REPORT 1'!H6&lt;0,"0",'UTILITY REPORT 1'!H6)</f>
        <v>32</v>
      </c>
      <c r="L5" s="456">
        <f>'Water-Meter'!K9</f>
        <v>2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50</v>
      </c>
      <c r="Q5" s="242">
        <f>IF('Water-Meter'!U9&lt;0,"0",'Water-Meter'!U9)</f>
        <v>24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29</v>
      </c>
      <c r="W5" s="30">
        <f>'Water-Meter'!AN9</f>
        <v>69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5</v>
      </c>
      <c r="D6" s="461">
        <v>2021</v>
      </c>
      <c r="E6" s="456">
        <f>'UTILITY REPORT 1'!I7</f>
        <v>0</v>
      </c>
      <c r="F6" s="456">
        <f>'UTILITY REPORT 1'!E7</f>
        <v>1125.1500000000001</v>
      </c>
      <c r="G6" s="457">
        <f>'UTILITY REPORT 1'!F7</f>
        <v>2780</v>
      </c>
      <c r="H6" s="456">
        <f>IF('Kit report'!F8&lt;0,"0",'Kit report'!F8)</f>
        <v>264.00000000008731</v>
      </c>
      <c r="I6" s="456">
        <f>IF('Kit report'!X8&lt;0,"0",'Kit report'!X8)</f>
        <v>260.00000000003638</v>
      </c>
      <c r="J6" s="456">
        <f>IF('Utility summery'!H10&lt;0,"0",'Utility summery'!H10)</f>
        <v>50</v>
      </c>
      <c r="K6" s="457">
        <f>IF('UTILITY REPORT 1'!H7&lt;0,"0",'UTILITY REPORT 1'!H7)</f>
        <v>38</v>
      </c>
      <c r="L6" s="456">
        <f>'Water-Meter'!K10</f>
        <v>1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67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29</v>
      </c>
      <c r="W6" s="30">
        <f>'Water-Meter'!AN10</f>
        <v>45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5</v>
      </c>
      <c r="D7" s="461">
        <v>2021</v>
      </c>
      <c r="E7" s="456">
        <f>'UTILITY REPORT 1'!I8</f>
        <v>500.13000000000005</v>
      </c>
      <c r="F7" s="456">
        <f>'UTILITY REPORT 1'!E8</f>
        <v>1179.4100000000001</v>
      </c>
      <c r="G7" s="457">
        <f>'UTILITY REPORT 1'!F8</f>
        <v>2900</v>
      </c>
      <c r="H7" s="456">
        <f>IF('Kit report'!F9&lt;0,"0",'Kit report'!F9)</f>
        <v>263.99999999986903</v>
      </c>
      <c r="I7" s="456">
        <f>IF('Kit report'!X9&lt;0,"0",'Kit report'!X9)</f>
        <v>319.99999999989086</v>
      </c>
      <c r="J7" s="456">
        <f>IF('Utility summery'!H11&lt;0,"0",'Utility summery'!H11)</f>
        <v>53</v>
      </c>
      <c r="K7" s="457">
        <f>IF('UTILITY REPORT 1'!H8&lt;0,"0",'UTILITY REPORT 1'!H8)</f>
        <v>34</v>
      </c>
      <c r="L7" s="456">
        <f>'Water-Meter'!K11</f>
        <v>1</v>
      </c>
      <c r="M7" s="457">
        <f>'Water-Meter'!H11</f>
        <v>0</v>
      </c>
      <c r="N7" s="457">
        <f>'Water-Meter'!Q11</f>
        <v>7</v>
      </c>
      <c r="O7" s="456" t="e">
        <f>K7*E7+H7*I7+#REF!*#REF!+J7*L7</f>
        <v>#REF!</v>
      </c>
      <c r="P7" s="462">
        <f>'Water-Meter'!E11</f>
        <v>70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16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44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5</v>
      </c>
      <c r="D8" s="461">
        <v>2021</v>
      </c>
      <c r="E8" s="456">
        <f>'UTILITY REPORT 1'!I9</f>
        <v>0</v>
      </c>
      <c r="F8" s="456">
        <f>'UTILITY REPORT 1'!E9</f>
        <v>1126.3599999999999</v>
      </c>
      <c r="G8" s="457">
        <f>'UTILITY REPORT 1'!F9</f>
        <v>2734</v>
      </c>
      <c r="H8" s="456">
        <f>IF('Kit report'!F10&lt;0,"0",'Kit report'!F10)</f>
        <v>240</v>
      </c>
      <c r="I8" s="456">
        <f>IF('Kit report'!X10&lt;0,"0",'Kit report'!X10)</f>
        <v>180.00000000010914</v>
      </c>
      <c r="J8" s="456">
        <f>IF('Utility summery'!H12&lt;0,"0",'Utility summery'!H12)</f>
        <v>45</v>
      </c>
      <c r="K8" s="457">
        <f>IF('UTILITY REPORT 1'!H9&lt;0,"0",'UTILITY REPORT 1'!H9)</f>
        <v>88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50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29</v>
      </c>
      <c r="W8" s="30">
        <f>'Water-Meter'!AN12</f>
        <v>46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5</v>
      </c>
      <c r="D9" s="461">
        <v>2021</v>
      </c>
      <c r="E9" s="456">
        <f>'UTILITY REPORT 1'!I10</f>
        <v>248</v>
      </c>
      <c r="F9" s="456">
        <f>'UTILITY REPORT 1'!E10</f>
        <v>1233.05</v>
      </c>
      <c r="G9" s="457">
        <f>'UTILITY REPORT 1'!F10</f>
        <v>2996</v>
      </c>
      <c r="H9" s="456">
        <f>IF('Kit report'!F11&lt;0,"0",'Kit report'!F11)</f>
        <v>276.00000000013097</v>
      </c>
      <c r="I9" s="456">
        <f>IF('Kit report'!X11&lt;0,"0",'Kit report'!X11)</f>
        <v>100</v>
      </c>
      <c r="J9" s="456">
        <f>IF('Utility summery'!H13&lt;0,"0",'Utility summery'!H13)</f>
        <v>44</v>
      </c>
      <c r="K9" s="457">
        <f>IF('UTILITY REPORT 1'!H10&lt;0,"0",'UTILITY REPORT 1'!H10)</f>
        <v>150</v>
      </c>
      <c r="L9" s="456">
        <f>'Water-Meter'!K13</f>
        <v>2</v>
      </c>
      <c r="M9" s="457">
        <f>'Water-Meter'!H13</f>
        <v>0</v>
      </c>
      <c r="N9" s="457">
        <f>'Water-Meter'!Q13</f>
        <v>2</v>
      </c>
      <c r="O9" s="456" t="e">
        <f>K9*E9+H9*I9+#REF!*#REF!+J9*L9</f>
        <v>#REF!</v>
      </c>
      <c r="P9" s="462">
        <f>'Water-Meter'!E13</f>
        <v>51</v>
      </c>
      <c r="Q9" s="242">
        <f>IF('Water-Meter'!U13&lt;0,"0",'Water-Meter'!U13)</f>
        <v>87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28</v>
      </c>
      <c r="W9" s="30">
        <f>'Water-Meter'!AN13</f>
        <v>131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5</v>
      </c>
      <c r="D10" s="461">
        <v>2021</v>
      </c>
      <c r="E10" s="456">
        <f>'UTILITY REPORT 1'!I11</f>
        <v>146.15</v>
      </c>
      <c r="F10" s="456">
        <f>'UTILITY REPORT 1'!E11</f>
        <v>1058.0899999999999</v>
      </c>
      <c r="G10" s="457">
        <f>'UTILITY REPORT 1'!F11</f>
        <v>2627</v>
      </c>
      <c r="H10" s="456">
        <f>IF('Kit report'!F12&lt;0,"0",'Kit report'!F12)</f>
        <v>203.99999999986903</v>
      </c>
      <c r="I10" s="456">
        <f>IF('Kit report'!X12&lt;0,"0",'Kit report'!X12)</f>
        <v>339.99999999996362</v>
      </c>
      <c r="J10" s="456">
        <f>IF('Utility summery'!H14&lt;0,"0",'Utility summery'!H14)</f>
        <v>66</v>
      </c>
      <c r="K10" s="457">
        <f>IF('UTILITY REPORT 1'!H11&lt;0,"0",'UTILITY REPORT 1'!H11)</f>
        <v>22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76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15</v>
      </c>
      <c r="U10" s="242">
        <f>IF('Water-Meter'!AG14&lt;0,"0",'Water-Meter'!AG14)</f>
        <v>0</v>
      </c>
      <c r="V10" s="242">
        <f>IF('Water-Meter'!AJ14&lt;0,"0",'Water-Meter'!AJ14)</f>
        <v>29</v>
      </c>
      <c r="W10" s="30">
        <f>'Water-Meter'!AN14</f>
        <v>125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5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 t="str">
        <f>IF('Kit report'!F13&lt;0,"0",'Kit report'!F13)</f>
        <v>0</v>
      </c>
      <c r="I11" s="456" t="str">
        <f>IF('Kit report'!X13&lt;0,"0",'Kit report'!X13)</f>
        <v>0</v>
      </c>
      <c r="J11" s="456" t="str">
        <f>IF('Utility summery'!H15&lt;0,"0",'Utility summery'!H15)</f>
        <v>0</v>
      </c>
      <c r="K11" s="457" t="str">
        <f>IF('UTILITY REPORT 1'!H12&lt;0,"0",'UTILITY REPORT 1'!H12)</f>
        <v>0</v>
      </c>
      <c r="L11" s="456" t="str">
        <f>'Water-Meter'!K15</f>
        <v>0</v>
      </c>
      <c r="M11" s="457" t="str">
        <f>'Water-Meter'!H15</f>
        <v>0</v>
      </c>
      <c r="N11" s="457" t="str">
        <f>'Water-Meter'!Q15</f>
        <v>0</v>
      </c>
      <c r="O11" s="456" t="e">
        <f>K11*E11+H11*I11+#REF!*#REF!+J11*L11</f>
        <v>#REF!</v>
      </c>
      <c r="P11" s="462" t="str">
        <f>'Water-Meter'!E15</f>
        <v>0</v>
      </c>
      <c r="Q11" s="242" t="str">
        <f>IF('Water-Meter'!U15&lt;0,"0",'Water-Meter'!U15)</f>
        <v>0</v>
      </c>
      <c r="R11" s="242" t="str">
        <f>IF('Water-Meter'!X15&lt;0,"0",'Water-Meter'!X15)</f>
        <v>0</v>
      </c>
      <c r="S11" s="242" t="str">
        <f>IF('Water-Meter'!AA15&lt;0,"0",'Water-Meter'!AA15)</f>
        <v>0</v>
      </c>
      <c r="T11" s="242" t="str">
        <f>IF('Water-Meter'!AD15&lt;0,"0",'Water-Meter'!AD15)</f>
        <v>0</v>
      </c>
      <c r="U11" s="242" t="str">
        <f>IF('Water-Meter'!AG15&lt;0,"0",'Water-Meter'!AG15)</f>
        <v>0</v>
      </c>
      <c r="V11" s="242" t="str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5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5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5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5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5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5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5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5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5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5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5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5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5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5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5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5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5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5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5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5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5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44317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1091.6300000000001</v>
      </c>
      <c r="F3" s="405">
        <f>Gen!T11</f>
        <v>2650</v>
      </c>
      <c r="G3" s="405">
        <f>'Water-Meter'!E6</f>
        <v>41</v>
      </c>
      <c r="H3" s="405">
        <f>'Utility report '!AC6</f>
        <v>118</v>
      </c>
      <c r="I3" s="405">
        <f>Gen!AJ11</f>
        <v>88.75</v>
      </c>
    </row>
    <row r="4" spans="1:9" ht="13.5">
      <c r="A4" s="402">
        <f>Gen!A12</f>
        <v>44318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1114.1600000000001</v>
      </c>
      <c r="F4" s="405">
        <f>Gen!T12</f>
        <v>2697</v>
      </c>
      <c r="G4" s="405">
        <f>'Water-Meter'!E7</f>
        <v>50</v>
      </c>
      <c r="H4" s="405">
        <f>'Utility report '!AC7</f>
        <v>38</v>
      </c>
      <c r="I4" s="405">
        <f>Gen!AJ12</f>
        <v>0</v>
      </c>
    </row>
    <row r="5" spans="1:9" ht="13.5">
      <c r="A5" s="402">
        <f>Gen!A13</f>
        <v>44319</v>
      </c>
      <c r="B5" s="404">
        <f>Gen!B13</f>
        <v>3.9E-2</v>
      </c>
      <c r="C5" s="405">
        <f>'Summery Report'!E7</f>
        <v>0</v>
      </c>
      <c r="D5" s="406">
        <v>1</v>
      </c>
      <c r="E5" s="405">
        <f>Gen!S13</f>
        <v>1088.57</v>
      </c>
      <c r="F5" s="405">
        <f>Gen!T13</f>
        <v>2639</v>
      </c>
      <c r="G5" s="405">
        <f>'Water-Meter'!E8</f>
        <v>50</v>
      </c>
      <c r="H5" s="405">
        <f>'Utility report '!AC8</f>
        <v>37</v>
      </c>
      <c r="I5" s="405">
        <f>Gen!AJ13</f>
        <v>29.76</v>
      </c>
    </row>
    <row r="6" spans="1:9" ht="13.5">
      <c r="A6" s="402">
        <f>Gen!A14</f>
        <v>44320</v>
      </c>
      <c r="B6" s="404">
        <f>Gen!B14</f>
        <v>5.1999999999999998E-2</v>
      </c>
      <c r="C6" s="405">
        <f>'Summery Report'!E8</f>
        <v>0</v>
      </c>
      <c r="D6" s="406">
        <v>1</v>
      </c>
      <c r="E6" s="405">
        <f>Gen!S14</f>
        <v>1166.47</v>
      </c>
      <c r="F6" s="405">
        <f>Gen!T14</f>
        <v>2826</v>
      </c>
      <c r="G6" s="405">
        <f>'Water-Meter'!E9</f>
        <v>50</v>
      </c>
      <c r="H6" s="405">
        <f>'Utility report '!AC9</f>
        <v>32</v>
      </c>
      <c r="I6" s="405">
        <f>Gen!AJ14</f>
        <v>38.130000000000003</v>
      </c>
    </row>
    <row r="7" spans="1:9" ht="13.5">
      <c r="A7" s="402">
        <f>Gen!A15</f>
        <v>44321</v>
      </c>
      <c r="B7" s="404">
        <f>Gen!B15</f>
        <v>5.6000000000000001E-2</v>
      </c>
      <c r="C7" s="405">
        <f>'Summery Report'!E9</f>
        <v>0</v>
      </c>
      <c r="D7" s="406">
        <v>1</v>
      </c>
      <c r="E7" s="405">
        <f>Gen!S15</f>
        <v>1125.1500000000001</v>
      </c>
      <c r="F7" s="405">
        <f>Gen!T15</f>
        <v>2780</v>
      </c>
      <c r="G7" s="405">
        <f>'Water-Meter'!E10</f>
        <v>67</v>
      </c>
      <c r="H7" s="405">
        <f>'Utility report '!AC10</f>
        <v>38</v>
      </c>
      <c r="I7" s="405">
        <f>Gen!AJ15</f>
        <v>0</v>
      </c>
    </row>
    <row r="8" spans="1:9" ht="13.5">
      <c r="A8" s="402">
        <f>Gen!A16</f>
        <v>44322</v>
      </c>
      <c r="B8" s="404">
        <f>Gen!B16</f>
        <v>5.6000000000000001E-2</v>
      </c>
      <c r="C8" s="405">
        <f>'Summery Report'!E10</f>
        <v>0</v>
      </c>
      <c r="D8" s="406">
        <v>1</v>
      </c>
      <c r="E8" s="405">
        <f>Gen!S16</f>
        <v>1179.4100000000001</v>
      </c>
      <c r="F8" s="405">
        <f>Gen!T16</f>
        <v>2900</v>
      </c>
      <c r="G8" s="405">
        <f>'Water-Meter'!E11</f>
        <v>70</v>
      </c>
      <c r="H8" s="405">
        <f>'Utility report '!AC11</f>
        <v>34</v>
      </c>
      <c r="I8" s="405">
        <f>Gen!AJ16</f>
        <v>500.13000000000005</v>
      </c>
    </row>
    <row r="9" spans="1:9" ht="13.5">
      <c r="A9" s="402">
        <f>Gen!A17</f>
        <v>44323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1126.3599999999999</v>
      </c>
      <c r="F9" s="405">
        <f>Gen!T17</f>
        <v>2734</v>
      </c>
      <c r="G9" s="405">
        <f>'Water-Meter'!E12</f>
        <v>50</v>
      </c>
      <c r="H9" s="405">
        <f>'Utility report '!AC12</f>
        <v>88</v>
      </c>
      <c r="I9" s="405">
        <f>Gen!AJ17</f>
        <v>0</v>
      </c>
    </row>
    <row r="10" spans="1:9" ht="13.5">
      <c r="A10" s="402">
        <f>Gen!A18</f>
        <v>44324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1233.05</v>
      </c>
      <c r="F10" s="405">
        <f>Gen!T18</f>
        <v>2996</v>
      </c>
      <c r="G10" s="405">
        <f>'Water-Meter'!E13</f>
        <v>51</v>
      </c>
      <c r="H10" s="405">
        <f>'Utility report '!AC13</f>
        <v>150</v>
      </c>
      <c r="I10" s="405">
        <f>Gen!AJ18</f>
        <v>248</v>
      </c>
    </row>
    <row r="11" spans="1:9" ht="13.5">
      <c r="A11" s="402">
        <f>Gen!A19</f>
        <v>44325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1058.0899999999999</v>
      </c>
      <c r="F11" s="405">
        <f>Gen!T19</f>
        <v>2627</v>
      </c>
      <c r="G11" s="405">
        <f>'Water-Meter'!E14</f>
        <v>76</v>
      </c>
      <c r="H11" s="405">
        <f>'Utility report '!AC14</f>
        <v>22</v>
      </c>
      <c r="I11" s="405">
        <f>Gen!AJ19</f>
        <v>146.15</v>
      </c>
    </row>
    <row r="12" spans="1:9" ht="13.5">
      <c r="A12" s="402">
        <f>Gen!A20</f>
        <v>44326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 t="str">
        <f>'Water-Meter'!E15</f>
        <v>0</v>
      </c>
      <c r="H12" s="405">
        <f>'Utility report '!AC15</f>
        <v>-1534</v>
      </c>
      <c r="I12" s="405">
        <f>Gen!AJ20</f>
        <v>0</v>
      </c>
    </row>
    <row r="13" spans="1:9" ht="13.5">
      <c r="A13" s="402">
        <f>Gen!A21</f>
        <v>44327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44328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44329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44330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44331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44332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44333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44334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44335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44336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44337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44338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44339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44340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44341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44342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44343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44344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44345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44346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44347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44317</v>
      </c>
      <c r="B6" s="6">
        <f>'Summery Report'!E5</f>
        <v>0</v>
      </c>
      <c r="C6" s="6">
        <f>Gen!U11</f>
        <v>0.4119358490566038</v>
      </c>
      <c r="D6" s="152">
        <f>Gen!T11</f>
        <v>2650</v>
      </c>
      <c r="E6" s="152">
        <f>Gen!AK11</f>
        <v>0</v>
      </c>
      <c r="F6" s="152">
        <f>Gen!AS11</f>
        <v>0</v>
      </c>
      <c r="G6" s="153">
        <f>'Utility report '!AC6</f>
        <v>118</v>
      </c>
      <c r="H6" s="153">
        <f>'Utility report '!AE6</f>
        <v>66</v>
      </c>
      <c r="I6" s="296">
        <f>'Water-Meter'!E6</f>
        <v>41</v>
      </c>
      <c r="J6" s="154">
        <f>'Lpg (2)'!B10</f>
        <v>85</v>
      </c>
      <c r="K6" s="154">
        <f>'Lpg (2)'!C10</f>
        <v>85</v>
      </c>
      <c r="L6" s="154">
        <f>'Lpg (2)'!D10</f>
        <v>1</v>
      </c>
      <c r="M6" s="449">
        <f>'Lpg (2)'!G10</f>
        <v>0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44318</v>
      </c>
      <c r="B7" s="6">
        <f>'Summery Report'!E6</f>
        <v>0</v>
      </c>
      <c r="C7" s="6">
        <f>Gen!U12</f>
        <v>0.41311086392287732</v>
      </c>
      <c r="D7" s="152">
        <f>Gen!T12</f>
        <v>2697</v>
      </c>
      <c r="E7" s="152">
        <f>Gen!AK12</f>
        <v>0</v>
      </c>
      <c r="F7" s="152">
        <f>Gen!AS12</f>
        <v>0</v>
      </c>
      <c r="G7" s="153">
        <f>'Utility report '!AC7</f>
        <v>38</v>
      </c>
      <c r="H7" s="153">
        <f>'Utility report '!AE7</f>
        <v>50</v>
      </c>
      <c r="I7" s="296">
        <f>'Water-Meter'!E7</f>
        <v>50</v>
      </c>
      <c r="J7" s="154">
        <f>'Lpg (2)'!B11</f>
        <v>85</v>
      </c>
      <c r="K7" s="154">
        <f>'Lpg (2)'!C11</f>
        <v>85</v>
      </c>
      <c r="L7" s="154">
        <f>'Lpg (2)'!D11</f>
        <v>1</v>
      </c>
      <c r="M7" s="449">
        <f>'Lpg (2)'!G11</f>
        <v>49.631999999994882</v>
      </c>
      <c r="N7" s="151">
        <f>D7*1.4</f>
        <v>3775.7999999999997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44319</v>
      </c>
      <c r="B8" s="6">
        <f>'Summery Report'!E7</f>
        <v>0</v>
      </c>
      <c r="C8" s="6">
        <f>Gen!U13</f>
        <v>0.41249336870026521</v>
      </c>
      <c r="D8" s="152">
        <f>Gen!T13</f>
        <v>2639</v>
      </c>
      <c r="E8" s="152">
        <f>Gen!AK13</f>
        <v>0</v>
      </c>
      <c r="F8" s="152">
        <f>Gen!AS13</f>
        <v>0</v>
      </c>
      <c r="G8" s="153">
        <f>'Utility report '!AC8</f>
        <v>37</v>
      </c>
      <c r="H8" s="153">
        <f>'Utility report '!AE8</f>
        <v>44</v>
      </c>
      <c r="I8" s="296">
        <f>'Water-Meter'!E8</f>
        <v>50</v>
      </c>
      <c r="J8" s="154">
        <f>'Lpg (2)'!B12</f>
        <v>85</v>
      </c>
      <c r="K8" s="154">
        <f>'Lpg (2)'!C12</f>
        <v>85</v>
      </c>
      <c r="L8" s="154">
        <f>'Lpg (2)'!D12</f>
        <v>0</v>
      </c>
      <c r="M8" s="449">
        <f>'Lpg (2)'!G12</f>
        <v>42.768000000005124</v>
      </c>
      <c r="N8" s="151">
        <f t="shared" ref="N8:O36" si="2">D8*1.4</f>
        <v>3694.6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44320</v>
      </c>
      <c r="B9" s="6">
        <f>'Summery Report'!E8</f>
        <v>0</v>
      </c>
      <c r="C9" s="6">
        <f>Gen!U14</f>
        <v>0.41276362349610757</v>
      </c>
      <c r="D9" s="152">
        <f>Gen!T14</f>
        <v>2826</v>
      </c>
      <c r="E9" s="152">
        <f>Gen!AK14</f>
        <v>0</v>
      </c>
      <c r="F9" s="152">
        <f>Gen!AS14</f>
        <v>0</v>
      </c>
      <c r="G9" s="153">
        <f>'Utility report '!AC9</f>
        <v>32</v>
      </c>
      <c r="H9" s="153">
        <f>'Utility report '!AE9</f>
        <v>56</v>
      </c>
      <c r="I9" s="296">
        <f>'Water-Meter'!E9</f>
        <v>50</v>
      </c>
      <c r="J9" s="154">
        <f>'Lpg (2)'!B13</f>
        <v>85</v>
      </c>
      <c r="K9" s="154">
        <f>'Lpg (2)'!C13</f>
        <v>85</v>
      </c>
      <c r="L9" s="154">
        <f>'Lpg (2)'!D13</f>
        <v>0</v>
      </c>
      <c r="M9" s="449">
        <f>'Lpg (2)'!G13</f>
        <v>55.22000000001281</v>
      </c>
      <c r="N9" s="151">
        <f t="shared" si="2"/>
        <v>3956.3999999999996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44321</v>
      </c>
      <c r="B10" s="6">
        <f>'Summery Report'!E9</f>
        <v>0</v>
      </c>
      <c r="C10" s="6">
        <f>Gen!U15</f>
        <v>0.40473021582733815</v>
      </c>
      <c r="D10" s="152">
        <f>Gen!T15</f>
        <v>2780</v>
      </c>
      <c r="E10" s="152">
        <f>Gen!AK15</f>
        <v>0</v>
      </c>
      <c r="F10" s="152">
        <f>Gen!AS15</f>
        <v>0</v>
      </c>
      <c r="G10" s="153">
        <f>'Utility report '!AC10</f>
        <v>38</v>
      </c>
      <c r="H10" s="153">
        <f>'Utility report '!AE10</f>
        <v>50</v>
      </c>
      <c r="I10" s="296">
        <f>'Water-Meter'!E10</f>
        <v>67</v>
      </c>
      <c r="J10" s="154">
        <f>'Lpg (2)'!B14</f>
        <v>85</v>
      </c>
      <c r="K10" s="154">
        <f>'Lpg (2)'!C14</f>
        <v>85</v>
      </c>
      <c r="L10" s="154">
        <f>'Lpg (2)'!D14</f>
        <v>0</v>
      </c>
      <c r="M10" s="449">
        <f>'Lpg (2)'!G14</f>
        <v>65.295999999984645</v>
      </c>
      <c r="N10" s="151">
        <f t="shared" si="2"/>
        <v>3891.9999999999995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44322</v>
      </c>
      <c r="B11" s="6">
        <f>'Summery Report'!E10</f>
        <v>0</v>
      </c>
      <c r="C11" s="6">
        <f>Gen!U16</f>
        <v>0.40669310344827592</v>
      </c>
      <c r="D11" s="152">
        <f>Gen!T16</f>
        <v>2900</v>
      </c>
      <c r="E11" s="152">
        <f>Gen!AK16</f>
        <v>0</v>
      </c>
      <c r="F11" s="152">
        <f>Gen!AS16</f>
        <v>0</v>
      </c>
      <c r="G11" s="153">
        <f>'Utility report '!AC11</f>
        <v>34</v>
      </c>
      <c r="H11" s="153">
        <f>'Utility report '!AE11</f>
        <v>53</v>
      </c>
      <c r="I11" s="296">
        <f>'Water-Meter'!E11</f>
        <v>70</v>
      </c>
      <c r="J11" s="154">
        <f>'Lpg (2)'!B15</f>
        <v>85</v>
      </c>
      <c r="K11" s="154">
        <f>'Lpg (2)'!C15</f>
        <v>84</v>
      </c>
      <c r="L11" s="154">
        <f>'Lpg (2)'!D15</f>
        <v>0</v>
      </c>
      <c r="M11" s="449">
        <f>'Lpg (2)'!G15</f>
        <v>64.988000000017934</v>
      </c>
      <c r="N11" s="151">
        <f t="shared" si="2"/>
        <v>4059.9999999999995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44323</v>
      </c>
      <c r="B12" s="6">
        <f>'Summery Report'!E11</f>
        <v>0</v>
      </c>
      <c r="C12" s="6">
        <f>Gen!U17</f>
        <v>0.41198244330651057</v>
      </c>
      <c r="D12" s="152">
        <f>Gen!T17</f>
        <v>2734</v>
      </c>
      <c r="E12" s="152">
        <f>Gen!AK17</f>
        <v>0</v>
      </c>
      <c r="F12" s="152">
        <f>Gen!AS17</f>
        <v>0</v>
      </c>
      <c r="G12" s="153">
        <f>'Utility report '!AC12</f>
        <v>88</v>
      </c>
      <c r="H12" s="153">
        <f>'Utility report '!AE12</f>
        <v>45</v>
      </c>
      <c r="I12" s="296">
        <f>'Water-Meter'!E12</f>
        <v>50</v>
      </c>
      <c r="J12" s="154">
        <f>'Lpg (2)'!B16</f>
        <v>85</v>
      </c>
      <c r="K12" s="154">
        <f>'Lpg (2)'!C16</f>
        <v>75</v>
      </c>
      <c r="L12" s="154">
        <f>'Lpg (2)'!D16</f>
        <v>0</v>
      </c>
      <c r="M12" s="449">
        <f>'Lpg (2)'!G16</f>
        <v>62.391999999969272</v>
      </c>
      <c r="N12" s="151">
        <f t="shared" si="2"/>
        <v>3827.6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44324</v>
      </c>
      <c r="B13" s="6">
        <f>'Summery Report'!E12</f>
        <v>0</v>
      </c>
      <c r="C13" s="6">
        <f>Gen!U18</f>
        <v>0.41156542056074763</v>
      </c>
      <c r="D13" s="152">
        <f>Gen!T18</f>
        <v>2996</v>
      </c>
      <c r="E13" s="152">
        <f>Gen!AK18</f>
        <v>0</v>
      </c>
      <c r="F13" s="152">
        <f>Gen!AS18</f>
        <v>0</v>
      </c>
      <c r="G13" s="153">
        <f>'Utility report '!AC13</f>
        <v>150</v>
      </c>
      <c r="H13" s="153">
        <f>'Utility report '!AE13</f>
        <v>44</v>
      </c>
      <c r="I13" s="296">
        <f>'Water-Meter'!E13</f>
        <v>51</v>
      </c>
      <c r="J13" s="154">
        <f>'Lpg (2)'!B17</f>
        <v>85</v>
      </c>
      <c r="K13" s="154">
        <f>'Lpg (2)'!C17</f>
        <v>70</v>
      </c>
      <c r="L13" s="154">
        <f>'Lpg (2)'!D17</f>
        <v>0</v>
      </c>
      <c r="M13" s="449">
        <f>'Lpg (2)'!G17</f>
        <v>68.904000000015373</v>
      </c>
      <c r="N13" s="151">
        <f t="shared" si="2"/>
        <v>4194.3999999999996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44325</v>
      </c>
      <c r="B14" s="6">
        <f>'Summery Report'!E13</f>
        <v>0</v>
      </c>
      <c r="C14" s="6">
        <f>Gen!U19</f>
        <v>0.40277502854967639</v>
      </c>
      <c r="D14" s="152">
        <f>Gen!T19</f>
        <v>2627</v>
      </c>
      <c r="E14" s="152">
        <f>Gen!AK19</f>
        <v>0</v>
      </c>
      <c r="F14" s="152">
        <f>Gen!AS19</f>
        <v>0</v>
      </c>
      <c r="G14" s="153">
        <f>'Utility report '!AC14</f>
        <v>22</v>
      </c>
      <c r="H14" s="153">
        <f>'Utility report '!AE14</f>
        <v>66</v>
      </c>
      <c r="I14" s="296">
        <f>'Water-Meter'!E14</f>
        <v>76</v>
      </c>
      <c r="J14" s="154">
        <f>'Lpg (2)'!B18</f>
        <v>85</v>
      </c>
      <c r="K14" s="154">
        <f>'Lpg (2)'!C18</f>
        <v>68</v>
      </c>
      <c r="L14" s="154">
        <f>'Lpg (2)'!D18</f>
        <v>0</v>
      </c>
      <c r="M14" s="449">
        <f>'Lpg (2)'!G18</f>
        <v>66</v>
      </c>
      <c r="N14" s="151">
        <f t="shared" si="2"/>
        <v>3677.7999999999997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44326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-1534</v>
      </c>
      <c r="H15" s="153">
        <f>'Utility report '!AE15</f>
        <v>-216162</v>
      </c>
      <c r="I15" s="296" t="str">
        <f>'Water-Meter'!E15</f>
        <v>0</v>
      </c>
      <c r="J15" s="154">
        <f>'Lpg (2)'!B19</f>
        <v>85</v>
      </c>
      <c r="K15" s="154">
        <f>'Lpg (2)'!C19</f>
        <v>65</v>
      </c>
      <c r="L15" s="154">
        <f>'Lpg (2)'!D19</f>
        <v>0</v>
      </c>
      <c r="M15" s="449">
        <f>'Lpg (2)'!G19</f>
        <v>79.068000000005128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44327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-336036.66800000001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44328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44329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44330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44331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44332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44333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44334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44335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44336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44337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44338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44339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44340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44341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44342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44343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44344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44345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44346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44347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/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22199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-1095</v>
      </c>
      <c r="H39" s="453">
        <f t="shared" si="3"/>
        <v>-215754</v>
      </c>
      <c r="I39" s="453">
        <f t="shared" si="3"/>
        <v>464</v>
      </c>
      <c r="J39" s="453">
        <f t="shared" si="3"/>
        <v>765</v>
      </c>
      <c r="K39" s="453">
        <f t="shared" si="3"/>
        <v>702</v>
      </c>
      <c r="L39" s="453">
        <f t="shared" si="3"/>
        <v>1</v>
      </c>
      <c r="M39" s="453">
        <f t="shared" si="3"/>
        <v>-335482.40000000002</v>
      </c>
      <c r="N39" s="453">
        <f t="shared" si="3"/>
        <v>31078.599999999995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AD16" sqref="AD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44317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27860.560000000001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9.5" thickBot="1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>
        <v>1.9</v>
      </c>
      <c r="P5" s="713">
        <v>19038</v>
      </c>
      <c r="Q5" s="724"/>
      <c r="R5" s="714"/>
      <c r="S5" s="695">
        <v>6.2</v>
      </c>
      <c r="T5" s="702">
        <v>17942</v>
      </c>
      <c r="U5" s="695"/>
      <c r="V5" s="714"/>
      <c r="W5" s="695">
        <v>1.7</v>
      </c>
      <c r="X5" s="707">
        <v>28101</v>
      </c>
      <c r="Y5" s="695"/>
      <c r="Z5" s="700"/>
      <c r="AA5" s="710"/>
      <c r="AB5" s="709">
        <v>977</v>
      </c>
      <c r="AC5" s="695"/>
      <c r="AD5" s="692">
        <v>215688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9.5" thickBot="1">
      <c r="A6" s="753">
        <f>Gen!A11</f>
        <v>44317</v>
      </c>
      <c r="B6" s="425">
        <f>'Summery Report'!E5</f>
        <v>0</v>
      </c>
      <c r="C6" s="758">
        <f>Gen!B11</f>
        <v>0.01</v>
      </c>
      <c r="D6" s="720">
        <f>'Summery Report'!E5</f>
        <v>0</v>
      </c>
      <c r="E6" s="720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0">
        <f>Gen!C11</f>
        <v>27860.560000000001</v>
      </c>
      <c r="I6" s="720">
        <f>Gen!E11</f>
        <v>15000</v>
      </c>
      <c r="J6" s="759">
        <f>Gen!T11</f>
        <v>2650</v>
      </c>
      <c r="K6" s="764">
        <f>Gen!AK11</f>
        <v>0</v>
      </c>
      <c r="L6" s="755">
        <f t="shared" ref="L6:L13" si="1">SUM(J6:K6)</f>
        <v>2650</v>
      </c>
      <c r="M6" s="448">
        <f>'Water-Meter'!K46</f>
        <v>356.0902651508203</v>
      </c>
      <c r="N6" s="715">
        <f>'Water-Meter'!E6</f>
        <v>41</v>
      </c>
      <c r="O6" s="695">
        <v>1.9</v>
      </c>
      <c r="P6" s="713">
        <v>19038</v>
      </c>
      <c r="Q6" s="725">
        <f t="shared" ref="Q6:Q36" si="2">SUM(P6-P5)</f>
        <v>0</v>
      </c>
      <c r="R6" s="426">
        <f>SUM(Q6*O6)</f>
        <v>0</v>
      </c>
      <c r="S6" s="695">
        <v>6.2</v>
      </c>
      <c r="T6" s="702">
        <v>17958</v>
      </c>
      <c r="U6" s="725">
        <f>T6-T5</f>
        <v>16</v>
      </c>
      <c r="V6" s="427" t="s">
        <v>246</v>
      </c>
      <c r="W6" s="695">
        <v>1.7</v>
      </c>
      <c r="X6" s="707">
        <v>28101</v>
      </c>
      <c r="Y6" s="725">
        <f>X6-X5</f>
        <v>0</v>
      </c>
      <c r="Z6" s="708">
        <f t="shared" ref="Z6:AA6" si="3">Y6-Y5</f>
        <v>0</v>
      </c>
      <c r="AA6" s="711">
        <f t="shared" si="3"/>
        <v>0</v>
      </c>
      <c r="AB6" s="709">
        <v>1095</v>
      </c>
      <c r="AC6" s="690">
        <f>AB6-AB5</f>
        <v>118</v>
      </c>
      <c r="AD6" s="692">
        <v>215754</v>
      </c>
      <c r="AE6" s="178">
        <f>AD6-AD5</f>
        <v>66</v>
      </c>
      <c r="AF6" s="719">
        <f>'Lpg (2)'!B10*2000/85</f>
        <v>2000</v>
      </c>
      <c r="AG6" s="266">
        <f>'Lpg (2)'!C10*1000/85</f>
        <v>1000</v>
      </c>
      <c r="AH6" s="732">
        <f>'Lpg (2)'!D10*1000/85</f>
        <v>11.764705882352942</v>
      </c>
      <c r="AI6" s="722">
        <f>SUM(AF6*2000)+(AG6*1000)+(AH6*1000)</f>
        <v>5011764.7058823528</v>
      </c>
      <c r="AJ6" s="428">
        <f t="shared" ref="AJ6:AJ36" si="4">SUM(AI5-AI6)</f>
        <v>-5011764.7058823528</v>
      </c>
      <c r="AK6" s="132"/>
    </row>
    <row r="7" spans="1:37" ht="19.5" thickBot="1">
      <c r="A7" s="753">
        <f>Gen!A12</f>
        <v>44318</v>
      </c>
      <c r="B7" s="425">
        <f>'Summery Report'!E6</f>
        <v>0</v>
      </c>
      <c r="C7" s="758">
        <f>Gen!B12</f>
        <v>0</v>
      </c>
      <c r="D7" s="720">
        <f>'Summery Report'!E6</f>
        <v>0</v>
      </c>
      <c r="E7" s="720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0">
        <f>Gen!C12</f>
        <v>26680.18</v>
      </c>
      <c r="I7" s="720">
        <f>Gen!E12</f>
        <v>0</v>
      </c>
      <c r="J7" s="759">
        <f>Gen!T12</f>
        <v>2697</v>
      </c>
      <c r="K7" s="764">
        <f>Gen!AK12</f>
        <v>0</v>
      </c>
      <c r="L7" s="755">
        <f t="shared" si="1"/>
        <v>2697</v>
      </c>
      <c r="M7" s="448">
        <f>'Water-Meter'!K47</f>
        <v>425.02401677422006</v>
      </c>
      <c r="N7" s="715">
        <f>'Water-Meter'!E7</f>
        <v>50</v>
      </c>
      <c r="O7" s="695">
        <v>1.9</v>
      </c>
      <c r="P7" s="713">
        <v>19038</v>
      </c>
      <c r="Q7" s="725">
        <f t="shared" si="2"/>
        <v>0</v>
      </c>
      <c r="R7" s="426">
        <f t="shared" ref="R7:R36" si="5">SUM(Q7*O7)</f>
        <v>0</v>
      </c>
      <c r="S7" s="695">
        <v>6.2</v>
      </c>
      <c r="T7" s="702">
        <v>17958</v>
      </c>
      <c r="U7" s="725">
        <f t="shared" ref="U7:U36" si="6">T7-T6</f>
        <v>0</v>
      </c>
      <c r="V7" s="427">
        <f t="shared" ref="V7:V8" si="7">SUM(U7*S7)</f>
        <v>0</v>
      </c>
      <c r="W7" s="695">
        <v>1.7</v>
      </c>
      <c r="X7" s="707">
        <v>28128</v>
      </c>
      <c r="Y7" s="725">
        <f t="shared" ref="Y7:Y36" si="8">X7-X6</f>
        <v>27</v>
      </c>
      <c r="Z7" s="705">
        <f t="shared" ref="Z7:Z36" si="9">SUM(Y7*W7)</f>
        <v>45.9</v>
      </c>
      <c r="AA7" s="712">
        <f t="shared" ref="AA7:AA36" si="10">SUM(Z7*X9)</f>
        <v>1293278.3999999999</v>
      </c>
      <c r="AB7" s="709">
        <v>1133</v>
      </c>
      <c r="AC7" s="690">
        <f t="shared" ref="AC7:AC27" si="11">AB7-AB6</f>
        <v>38</v>
      </c>
      <c r="AD7" s="692">
        <v>215804</v>
      </c>
      <c r="AE7" s="178">
        <f>AD7-AD6</f>
        <v>50</v>
      </c>
      <c r="AF7" s="719">
        <f>'Lpg (2)'!B11*2000/85</f>
        <v>2000</v>
      </c>
      <c r="AG7" s="266">
        <f>'Lpg (2)'!C11*1000/85</f>
        <v>1000</v>
      </c>
      <c r="AH7" s="732">
        <f>'Lpg (2)'!D11*1000/85</f>
        <v>11.764705882352942</v>
      </c>
      <c r="AI7" s="722">
        <f t="shared" ref="AI7:AI14" si="12">SUM(AF6*2000)+(AG7*1000)+(AH7*1000)</f>
        <v>5011764.7058823528</v>
      </c>
      <c r="AJ7" s="428">
        <f t="shared" si="4"/>
        <v>0</v>
      </c>
      <c r="AK7" s="132"/>
    </row>
    <row r="8" spans="1:37" ht="19.5" thickBot="1">
      <c r="A8" s="753">
        <f>Gen!A13</f>
        <v>44319</v>
      </c>
      <c r="B8" s="425">
        <f>'Summery Report'!E7</f>
        <v>0</v>
      </c>
      <c r="C8" s="758">
        <f>Gen!B13</f>
        <v>3.9E-2</v>
      </c>
      <c r="D8" s="720">
        <f>'Summery Report'!E7</f>
        <v>0</v>
      </c>
      <c r="E8" s="720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0">
        <f>Gen!C13</f>
        <v>40466.020000000004</v>
      </c>
      <c r="I8" s="720">
        <f>Gen!E13</f>
        <v>0</v>
      </c>
      <c r="J8" s="759">
        <f>Gen!T13</f>
        <v>2639</v>
      </c>
      <c r="K8" s="764">
        <f>Gen!AK13</f>
        <v>0</v>
      </c>
      <c r="L8" s="755">
        <f t="shared" si="1"/>
        <v>2639</v>
      </c>
      <c r="M8" s="448">
        <f>'Water-Meter'!K48</f>
        <v>483.24620738604517</v>
      </c>
      <c r="N8" s="715">
        <f>'Water-Meter'!E8</f>
        <v>50</v>
      </c>
      <c r="O8" s="695">
        <v>1.9</v>
      </c>
      <c r="P8" s="713">
        <v>19038</v>
      </c>
      <c r="Q8" s="725">
        <f t="shared" si="2"/>
        <v>0</v>
      </c>
      <c r="R8" s="426">
        <f t="shared" si="5"/>
        <v>0</v>
      </c>
      <c r="S8" s="695">
        <v>6.2</v>
      </c>
      <c r="T8" s="702">
        <v>17958</v>
      </c>
      <c r="U8" s="725">
        <f t="shared" si="6"/>
        <v>0</v>
      </c>
      <c r="V8" s="427">
        <f t="shared" si="7"/>
        <v>0</v>
      </c>
      <c r="W8" s="695">
        <v>1.7</v>
      </c>
      <c r="X8" s="707">
        <v>28152</v>
      </c>
      <c r="Y8" s="725">
        <f t="shared" si="8"/>
        <v>24</v>
      </c>
      <c r="Z8" s="705">
        <f t="shared" si="9"/>
        <v>40.799999999999997</v>
      </c>
      <c r="AA8" s="712">
        <f t="shared" si="10"/>
        <v>1150560</v>
      </c>
      <c r="AB8" s="709">
        <v>1170</v>
      </c>
      <c r="AC8" s="690">
        <f t="shared" si="11"/>
        <v>37</v>
      </c>
      <c r="AD8" s="692">
        <v>215848</v>
      </c>
      <c r="AE8" s="178">
        <f t="shared" ref="AE8:AE37" si="15">AD8-AD7</f>
        <v>44</v>
      </c>
      <c r="AF8" s="719">
        <f>'Lpg (2)'!B12*2000/85</f>
        <v>2000</v>
      </c>
      <c r="AG8" s="266">
        <f>'Lpg (2)'!C12*1000/85</f>
        <v>1000</v>
      </c>
      <c r="AH8" s="732">
        <f>'Lpg (2)'!D12*1000/85</f>
        <v>0</v>
      </c>
      <c r="AI8" s="722">
        <f t="shared" si="12"/>
        <v>5000000</v>
      </c>
      <c r="AJ8" s="428">
        <f t="shared" si="4"/>
        <v>11764.705882352777</v>
      </c>
      <c r="AK8" s="132"/>
    </row>
    <row r="9" spans="1:37" ht="19.5" thickBot="1">
      <c r="A9" s="753">
        <f>Gen!A14</f>
        <v>44320</v>
      </c>
      <c r="B9" s="425">
        <f>'Summery Report'!E8</f>
        <v>0</v>
      </c>
      <c r="C9" s="758">
        <f>Gen!B14</f>
        <v>5.1999999999999998E-2</v>
      </c>
      <c r="D9" s="720">
        <f>'Summery Report'!E8</f>
        <v>0</v>
      </c>
      <c r="E9" s="720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0">
        <f>Gen!C14</f>
        <v>39347.69</v>
      </c>
      <c r="I9" s="720">
        <f>Gen!E14</f>
        <v>0</v>
      </c>
      <c r="J9" s="759">
        <f>Gen!T14</f>
        <v>2826</v>
      </c>
      <c r="K9" s="764">
        <f>Gen!AK14</f>
        <v>0</v>
      </c>
      <c r="L9" s="755">
        <f t="shared" si="1"/>
        <v>2826</v>
      </c>
      <c r="M9" s="448">
        <f>'Water-Meter'!K49</f>
        <v>530.87795528245806</v>
      </c>
      <c r="N9" s="715">
        <f>'Water-Meter'!E9</f>
        <v>50</v>
      </c>
      <c r="O9" s="695">
        <v>1.9</v>
      </c>
      <c r="P9" s="713">
        <v>19038</v>
      </c>
      <c r="Q9" s="725">
        <f t="shared" si="2"/>
        <v>0</v>
      </c>
      <c r="R9" s="426">
        <f t="shared" si="5"/>
        <v>0</v>
      </c>
      <c r="S9" s="695">
        <v>6.2</v>
      </c>
      <c r="T9" s="702">
        <v>17958</v>
      </c>
      <c r="U9" s="725">
        <f t="shared" si="6"/>
        <v>0</v>
      </c>
      <c r="V9" s="427">
        <f>SUM(U9*S10)</f>
        <v>0</v>
      </c>
      <c r="W9" s="695">
        <v>1.7</v>
      </c>
      <c r="X9" s="707">
        <v>28176</v>
      </c>
      <c r="Y9" s="725">
        <f t="shared" si="8"/>
        <v>24</v>
      </c>
      <c r="Z9" s="705">
        <f>SUM(Y9*W11)</f>
        <v>40.799999999999997</v>
      </c>
      <c r="AA9" s="712">
        <f t="shared" si="10"/>
        <v>1151539.2</v>
      </c>
      <c r="AB9" s="709">
        <v>1202</v>
      </c>
      <c r="AC9" s="690">
        <f t="shared" si="11"/>
        <v>32</v>
      </c>
      <c r="AD9" s="692">
        <v>215904</v>
      </c>
      <c r="AE9" s="178">
        <f t="shared" si="15"/>
        <v>56</v>
      </c>
      <c r="AF9" s="719">
        <f>'Lpg (2)'!B13*2000/85</f>
        <v>2000</v>
      </c>
      <c r="AG9" s="266">
        <f>'Lpg (2)'!C13*1000/85</f>
        <v>1000</v>
      </c>
      <c r="AH9" s="732">
        <f>'Lpg (2)'!D13*1000/85</f>
        <v>0</v>
      </c>
      <c r="AI9" s="722">
        <f t="shared" si="12"/>
        <v>5000000</v>
      </c>
      <c r="AJ9" s="428">
        <f t="shared" si="4"/>
        <v>0</v>
      </c>
      <c r="AK9" s="132"/>
    </row>
    <row r="10" spans="1:37" ht="19.5" thickBot="1">
      <c r="A10" s="753">
        <f>Gen!A15</f>
        <v>44321</v>
      </c>
      <c r="B10" s="425">
        <f>'Summery Report'!E9</f>
        <v>0</v>
      </c>
      <c r="C10" s="758">
        <f>Gen!B15</f>
        <v>5.6000000000000001E-2</v>
      </c>
      <c r="D10" s="720">
        <f>'Summery Report'!E9</f>
        <v>0</v>
      </c>
      <c r="E10" s="720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0">
        <f>Gen!C15</f>
        <v>38143.090000000004</v>
      </c>
      <c r="I10" s="720">
        <f>Gen!E15</f>
        <v>0</v>
      </c>
      <c r="J10" s="759">
        <f>Gen!T15</f>
        <v>2780</v>
      </c>
      <c r="K10" s="764">
        <f>Gen!AK15</f>
        <v>0</v>
      </c>
      <c r="L10" s="755">
        <f t="shared" si="1"/>
        <v>2780</v>
      </c>
      <c r="M10" s="448">
        <f>'Water-Meter'!K50</f>
        <v>520.23188855616422</v>
      </c>
      <c r="N10" s="715">
        <f>'Water-Meter'!E10</f>
        <v>67</v>
      </c>
      <c r="O10" s="695">
        <v>1.9</v>
      </c>
      <c r="P10" s="713">
        <v>19038</v>
      </c>
      <c r="Q10" s="725">
        <f t="shared" si="2"/>
        <v>0</v>
      </c>
      <c r="R10" s="426">
        <f t="shared" si="5"/>
        <v>0</v>
      </c>
      <c r="S10" s="695">
        <v>6.2</v>
      </c>
      <c r="T10" s="702">
        <v>17958</v>
      </c>
      <c r="U10" s="725">
        <f t="shared" si="6"/>
        <v>0</v>
      </c>
      <c r="V10" s="427" t="e">
        <f>SUM(U10*#REF!)</f>
        <v>#REF!</v>
      </c>
      <c r="W10" s="695">
        <v>1.7</v>
      </c>
      <c r="X10" s="707">
        <v>28200</v>
      </c>
      <c r="Y10" s="725">
        <f t="shared" si="8"/>
        <v>24</v>
      </c>
      <c r="Z10" s="705">
        <f t="shared" si="9"/>
        <v>40.799999999999997</v>
      </c>
      <c r="AA10" s="712">
        <f t="shared" si="10"/>
        <v>1152151.2</v>
      </c>
      <c r="AB10" s="709">
        <v>1240</v>
      </c>
      <c r="AC10" s="690">
        <f t="shared" si="11"/>
        <v>38</v>
      </c>
      <c r="AD10" s="692">
        <v>215954</v>
      </c>
      <c r="AE10" s="178">
        <f t="shared" si="15"/>
        <v>50</v>
      </c>
      <c r="AF10" s="719">
        <f>'Lpg (2)'!B14*2000/85</f>
        <v>2000</v>
      </c>
      <c r="AG10" s="266">
        <f>'Lpg (2)'!C14*1000/85</f>
        <v>1000</v>
      </c>
      <c r="AH10" s="732">
        <f>'Lpg (2)'!D14*1000/85</f>
        <v>0</v>
      </c>
      <c r="AI10" s="722">
        <f t="shared" si="12"/>
        <v>5000000</v>
      </c>
      <c r="AJ10" s="428">
        <f t="shared" si="4"/>
        <v>0</v>
      </c>
      <c r="AK10" s="132"/>
    </row>
    <row r="11" spans="1:37" ht="19.5" thickBot="1">
      <c r="A11" s="753">
        <f>Gen!A16</f>
        <v>44322</v>
      </c>
      <c r="B11" s="425">
        <f>'Summery Report'!E10</f>
        <v>0</v>
      </c>
      <c r="C11" s="758">
        <f>Gen!B16</f>
        <v>5.6000000000000001E-2</v>
      </c>
      <c r="D11" s="720">
        <f>'Summery Report'!E10</f>
        <v>0</v>
      </c>
      <c r="E11" s="720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0">
        <f>Gen!C16</f>
        <v>37017.94</v>
      </c>
      <c r="I11" s="720">
        <f>Gen!E16</f>
        <v>0</v>
      </c>
      <c r="J11" s="759">
        <f>Gen!T16</f>
        <v>2900</v>
      </c>
      <c r="K11" s="764">
        <f>Gen!AK16</f>
        <v>0</v>
      </c>
      <c r="L11" s="755">
        <f t="shared" si="1"/>
        <v>2900</v>
      </c>
      <c r="M11" s="448">
        <f>'Water-Meter'!K51</f>
        <v>509.27933914449773</v>
      </c>
      <c r="N11" s="715">
        <f>'Water-Meter'!E11</f>
        <v>70</v>
      </c>
      <c r="O11" s="695">
        <v>1.9</v>
      </c>
      <c r="P11" s="713">
        <v>19038</v>
      </c>
      <c r="Q11" s="725">
        <f t="shared" si="2"/>
        <v>0</v>
      </c>
      <c r="R11" s="426">
        <f t="shared" si="5"/>
        <v>0</v>
      </c>
      <c r="S11" s="695">
        <v>6.2</v>
      </c>
      <c r="T11" s="702">
        <v>17958</v>
      </c>
      <c r="U11" s="725">
        <f t="shared" si="6"/>
        <v>0</v>
      </c>
      <c r="V11" s="427">
        <f t="shared" ref="V11:V16" si="16">SUM(U11*S11)</f>
        <v>0</v>
      </c>
      <c r="W11" s="695">
        <v>1.7</v>
      </c>
      <c r="X11" s="707">
        <v>28224</v>
      </c>
      <c r="Y11" s="725">
        <f t="shared" si="8"/>
        <v>24</v>
      </c>
      <c r="Z11" s="705" t="e">
        <f>SUM(Y11*#REF!)</f>
        <v>#REF!</v>
      </c>
      <c r="AA11" s="712" t="e">
        <f t="shared" si="10"/>
        <v>#REF!</v>
      </c>
      <c r="AB11" s="709">
        <v>1274</v>
      </c>
      <c r="AC11" s="690">
        <f t="shared" si="11"/>
        <v>34</v>
      </c>
      <c r="AD11" s="692">
        <v>216007</v>
      </c>
      <c r="AE11" s="178">
        <f t="shared" si="15"/>
        <v>53</v>
      </c>
      <c r="AF11" s="719">
        <f>'Lpg (2)'!B15*2000/85</f>
        <v>2000</v>
      </c>
      <c r="AG11" s="266">
        <f>'Lpg (2)'!C15*1000/85</f>
        <v>988.23529411764707</v>
      </c>
      <c r="AH11" s="732">
        <f>'Lpg (2)'!D15*1000/85</f>
        <v>0</v>
      </c>
      <c r="AI11" s="722">
        <f t="shared" si="12"/>
        <v>4988235.2941176472</v>
      </c>
      <c r="AJ11" s="428">
        <f t="shared" si="4"/>
        <v>11764.705882352777</v>
      </c>
      <c r="AK11" s="132"/>
    </row>
    <row r="12" spans="1:37" ht="19.5" thickBot="1">
      <c r="A12" s="753">
        <f>Gen!A17</f>
        <v>44323</v>
      </c>
      <c r="B12" s="425">
        <f>'Summery Report'!E11</f>
        <v>0</v>
      </c>
      <c r="C12" s="758">
        <f>Gen!B17</f>
        <v>0</v>
      </c>
      <c r="D12" s="720">
        <f>'Summery Report'!E11</f>
        <v>0</v>
      </c>
      <c r="E12" s="720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0">
        <f>Gen!C17</f>
        <v>35338.400000000001</v>
      </c>
      <c r="I12" s="720">
        <f>Gen!E17</f>
        <v>0</v>
      </c>
      <c r="J12" s="759">
        <f>Gen!T17</f>
        <v>2734</v>
      </c>
      <c r="K12" s="764">
        <f>Gen!AK17</f>
        <v>0</v>
      </c>
      <c r="L12" s="755">
        <f t="shared" si="1"/>
        <v>2734</v>
      </c>
      <c r="M12" s="448">
        <f>'Water-Meter'!K52</f>
        <v>430.60260517935171</v>
      </c>
      <c r="N12" s="715">
        <f>'Water-Meter'!E12</f>
        <v>50</v>
      </c>
      <c r="O12" s="695">
        <v>1.9</v>
      </c>
      <c r="P12" s="713">
        <v>19038</v>
      </c>
      <c r="Q12" s="725">
        <f t="shared" si="2"/>
        <v>0</v>
      </c>
      <c r="R12" s="426">
        <f t="shared" si="5"/>
        <v>0</v>
      </c>
      <c r="S12" s="695">
        <v>6.2</v>
      </c>
      <c r="T12" s="702">
        <v>17968</v>
      </c>
      <c r="U12" s="725">
        <f t="shared" si="6"/>
        <v>10</v>
      </c>
      <c r="V12" s="427">
        <f t="shared" si="16"/>
        <v>62</v>
      </c>
      <c r="W12" s="695">
        <v>1.7</v>
      </c>
      <c r="X12" s="707">
        <v>28239</v>
      </c>
      <c r="Y12" s="725">
        <f t="shared" si="8"/>
        <v>15</v>
      </c>
      <c r="Z12" s="705">
        <f t="shared" si="9"/>
        <v>25.5</v>
      </c>
      <c r="AA12" s="712">
        <f t="shared" si="10"/>
        <v>720477</v>
      </c>
      <c r="AB12" s="709">
        <v>1362</v>
      </c>
      <c r="AC12" s="690">
        <f t="shared" si="11"/>
        <v>88</v>
      </c>
      <c r="AD12" s="692">
        <v>216052</v>
      </c>
      <c r="AE12" s="178">
        <f t="shared" si="15"/>
        <v>45</v>
      </c>
      <c r="AF12" s="719">
        <f>'Lpg (2)'!B16*2000/85</f>
        <v>2000</v>
      </c>
      <c r="AG12" s="266">
        <f>'Lpg (2)'!C16*1000/85</f>
        <v>882.35294117647061</v>
      </c>
      <c r="AH12" s="732">
        <f>'Lpg (2)'!D16*1000/85</f>
        <v>0</v>
      </c>
      <c r="AI12" s="722">
        <f t="shared" si="12"/>
        <v>4882352.9411764704</v>
      </c>
      <c r="AJ12" s="428">
        <f t="shared" si="4"/>
        <v>105882.35294117685</v>
      </c>
      <c r="AK12" s="132"/>
    </row>
    <row r="13" spans="1:37" ht="18.75">
      <c r="A13" s="753">
        <f>Gen!A18</f>
        <v>44324</v>
      </c>
      <c r="B13" s="425">
        <f>'Summery Report'!E12</f>
        <v>0</v>
      </c>
      <c r="C13" s="758">
        <f>Gen!B18</f>
        <v>0</v>
      </c>
      <c r="D13" s="720">
        <f>'Summery Report'!E12</f>
        <v>0</v>
      </c>
      <c r="E13" s="720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0">
        <f>Gen!C18</f>
        <v>49212.04</v>
      </c>
      <c r="I13" s="720">
        <f>Gen!E18</f>
        <v>0</v>
      </c>
      <c r="J13" s="759">
        <f>Gen!T18</f>
        <v>2996</v>
      </c>
      <c r="K13" s="764">
        <f>Gen!AK18</f>
        <v>0</v>
      </c>
      <c r="L13" s="755">
        <f t="shared" si="1"/>
        <v>2996</v>
      </c>
      <c r="M13" s="448">
        <f>'Water-Meter'!K53</f>
        <v>436.71662313203637</v>
      </c>
      <c r="N13" s="715">
        <f>'Water-Meter'!E13</f>
        <v>51</v>
      </c>
      <c r="O13" s="695">
        <v>1.9</v>
      </c>
      <c r="P13" s="713">
        <v>19038</v>
      </c>
      <c r="Q13" s="725">
        <f t="shared" si="2"/>
        <v>0</v>
      </c>
      <c r="R13" s="426">
        <f t="shared" si="5"/>
        <v>0</v>
      </c>
      <c r="S13" s="695">
        <v>6.2</v>
      </c>
      <c r="T13" s="702">
        <v>17989</v>
      </c>
      <c r="U13" s="725">
        <f t="shared" si="6"/>
        <v>21</v>
      </c>
      <c r="V13" s="427">
        <f t="shared" si="16"/>
        <v>130.20000000000002</v>
      </c>
      <c r="W13" s="695">
        <v>1.7</v>
      </c>
      <c r="X13" s="707">
        <v>28239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1512</v>
      </c>
      <c r="AC13" s="690">
        <f t="shared" si="11"/>
        <v>150</v>
      </c>
      <c r="AD13" s="692">
        <v>216096</v>
      </c>
      <c r="AE13" s="178">
        <f t="shared" si="15"/>
        <v>44</v>
      </c>
      <c r="AF13" s="719">
        <f>'Lpg (2)'!B17*2000/85</f>
        <v>2000</v>
      </c>
      <c r="AG13" s="266">
        <f>'Lpg (2)'!C17*1000/85</f>
        <v>823.52941176470586</v>
      </c>
      <c r="AH13" s="732">
        <f>'Lpg (2)'!D17*1000/85</f>
        <v>0</v>
      </c>
      <c r="AI13" s="722">
        <f t="shared" si="12"/>
        <v>4823529.4117647056</v>
      </c>
      <c r="AJ13" s="428">
        <f t="shared" si="4"/>
        <v>58823.529411764815</v>
      </c>
      <c r="AK13" s="132"/>
    </row>
    <row r="14" spans="1:37" ht="18.75">
      <c r="A14" s="753">
        <f>Gen!A19</f>
        <v>44325</v>
      </c>
      <c r="B14" s="425">
        <f>'Summery Report'!E13</f>
        <v>0</v>
      </c>
      <c r="C14" s="758">
        <f>Gen!B19</f>
        <v>0</v>
      </c>
      <c r="D14" s="720">
        <f>'Summery Report'!E13</f>
        <v>0</v>
      </c>
      <c r="E14" s="720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0">
        <f>Gen!C19</f>
        <v>47730.99</v>
      </c>
      <c r="I14" s="720">
        <f>Gen!E19</f>
        <v>0</v>
      </c>
      <c r="J14" s="759">
        <f>Gen!T19</f>
        <v>2627</v>
      </c>
      <c r="K14" s="764">
        <f>Gen!AK19</f>
        <v>0</v>
      </c>
      <c r="L14" s="755">
        <f t="shared" ref="L14:L37" si="17">SUM(J14:K14)</f>
        <v>2627</v>
      </c>
      <c r="M14" s="448">
        <f>'Water-Meter'!K54</f>
        <v>523.50956322138109</v>
      </c>
      <c r="N14" s="715">
        <f>'Water-Meter'!E14</f>
        <v>76</v>
      </c>
      <c r="O14" s="706"/>
      <c r="P14" s="713">
        <v>19038</v>
      </c>
      <c r="Q14" s="725">
        <f t="shared" si="2"/>
        <v>0</v>
      </c>
      <c r="R14" s="426">
        <f t="shared" si="5"/>
        <v>0</v>
      </c>
      <c r="S14" s="701"/>
      <c r="T14" s="702">
        <v>17989</v>
      </c>
      <c r="U14" s="725">
        <f t="shared" si="6"/>
        <v>0</v>
      </c>
      <c r="V14" s="427">
        <f t="shared" si="16"/>
        <v>0</v>
      </c>
      <c r="W14" s="706">
        <v>1.7</v>
      </c>
      <c r="X14" s="707">
        <v>28254</v>
      </c>
      <c r="Y14" s="725">
        <f t="shared" si="8"/>
        <v>15</v>
      </c>
      <c r="Z14" s="705">
        <f t="shared" si="9"/>
        <v>25.5</v>
      </c>
      <c r="AA14" s="712">
        <f t="shared" si="10"/>
        <v>0</v>
      </c>
      <c r="AB14" s="709">
        <v>1534</v>
      </c>
      <c r="AC14" s="690">
        <f t="shared" si="11"/>
        <v>22</v>
      </c>
      <c r="AD14" s="692">
        <v>216162</v>
      </c>
      <c r="AE14" s="178">
        <f t="shared" si="15"/>
        <v>66</v>
      </c>
      <c r="AF14" s="719">
        <f>'Lpg (2)'!B18*2000/85</f>
        <v>2000</v>
      </c>
      <c r="AG14" s="266">
        <f>'Lpg (2)'!C18*1000/85</f>
        <v>800</v>
      </c>
      <c r="AH14" s="732">
        <f>'Lpg (2)'!D18*1000/85</f>
        <v>0</v>
      </c>
      <c r="AI14" s="722">
        <f t="shared" si="12"/>
        <v>4800000</v>
      </c>
      <c r="AJ14" s="428">
        <f t="shared" si="4"/>
        <v>23529.411764705554</v>
      </c>
      <c r="AK14" s="132"/>
    </row>
    <row r="15" spans="1:37" ht="18.75">
      <c r="A15" s="753">
        <f>Gen!A20</f>
        <v>44326</v>
      </c>
      <c r="B15" s="425">
        <f>'Summery Report'!E14</f>
        <v>0</v>
      </c>
      <c r="C15" s="758">
        <f>Gen!B20</f>
        <v>0</v>
      </c>
      <c r="D15" s="720">
        <f>'Summery Report'!E14</f>
        <v>0</v>
      </c>
      <c r="E15" s="720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0">
        <f>Gen!C20</f>
        <v>46526.75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593.50820372539329</v>
      </c>
      <c r="N15" s="715" t="str">
        <f>'Water-Meter'!E15</f>
        <v>0</v>
      </c>
      <c r="O15" s="706"/>
      <c r="P15" s="713"/>
      <c r="Q15" s="725">
        <f t="shared" si="2"/>
        <v>-19038</v>
      </c>
      <c r="R15" s="426">
        <f t="shared" si="5"/>
        <v>0</v>
      </c>
      <c r="S15" s="701"/>
      <c r="T15" s="702"/>
      <c r="U15" s="725">
        <f t="shared" si="6"/>
        <v>-17989</v>
      </c>
      <c r="V15" s="427">
        <f t="shared" si="16"/>
        <v>0</v>
      </c>
      <c r="W15" s="706"/>
      <c r="X15" s="707"/>
      <c r="Y15" s="725">
        <f t="shared" si="8"/>
        <v>-28254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-1534</v>
      </c>
      <c r="AD15" s="692"/>
      <c r="AE15" s="178">
        <f>AD15-AD14</f>
        <v>-216162</v>
      </c>
      <c r="AF15" s="719">
        <f>'Lpg (2)'!B19*2000/85</f>
        <v>2000</v>
      </c>
      <c r="AG15" s="266">
        <f>'Lpg (2)'!C19*1000/85</f>
        <v>764.70588235294122</v>
      </c>
      <c r="AH15" s="732">
        <f>'Lpg (2)'!D19*1000/85</f>
        <v>0</v>
      </c>
      <c r="AI15" s="722">
        <f t="shared" ref="AI15:AI35" si="18">SUM(AF15*2000)+(AG15*1000)+(AH15*1000)</f>
        <v>4764705.8823529407</v>
      </c>
      <c r="AJ15" s="428">
        <f t="shared" si="4"/>
        <v>35294.117647059262</v>
      </c>
      <c r="AK15" s="132"/>
    </row>
    <row r="16" spans="1:37" ht="18.75">
      <c r="A16" s="753">
        <f>Gen!A21</f>
        <v>44327</v>
      </c>
      <c r="B16" s="425">
        <f>'Summery Report'!E15</f>
        <v>0</v>
      </c>
      <c r="C16" s="758">
        <f>Gen!B21</f>
        <v>0</v>
      </c>
      <c r="D16" s="720">
        <f>'Summery Report'!E15</f>
        <v>0</v>
      </c>
      <c r="E16" s="720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0">
        <f>Gen!C21</f>
        <v>46526.75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4764705.8823529407</v>
      </c>
      <c r="AK16" s="132"/>
    </row>
    <row r="17" spans="1:37" ht="18.75">
      <c r="A17" s="753">
        <f>Gen!A22</f>
        <v>44328</v>
      </c>
      <c r="B17" s="425">
        <f>'Summery Report'!E16</f>
        <v>0</v>
      </c>
      <c r="C17" s="758">
        <f>Gen!B22</f>
        <v>0</v>
      </c>
      <c r="D17" s="720">
        <f>'Summery Report'!E16</f>
        <v>0</v>
      </c>
      <c r="E17" s="720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0">
        <f>Gen!C22</f>
        <v>46526.75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44329</v>
      </c>
      <c r="B18" s="425">
        <f>'Summery Report'!E17</f>
        <v>0</v>
      </c>
      <c r="C18" s="758">
        <f>Gen!B23</f>
        <v>0</v>
      </c>
      <c r="D18" s="720">
        <f>'Summery Report'!E17</f>
        <v>0</v>
      </c>
      <c r="E18" s="720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0">
        <f>Gen!C23</f>
        <v>46526.75</v>
      </c>
      <c r="I18" s="720">
        <f>Gen!E23</f>
        <v>15000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44330</v>
      </c>
      <c r="B19" s="425">
        <f>'Summery Report'!E18</f>
        <v>0</v>
      </c>
      <c r="C19" s="758">
        <f>Gen!B24</f>
        <v>0</v>
      </c>
      <c r="D19" s="720">
        <f>'Summery Report'!E18</f>
        <v>0</v>
      </c>
      <c r="E19" s="720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0">
        <f>Gen!C24</f>
        <v>46526.75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44331</v>
      </c>
      <c r="B20" s="425">
        <f>'Summery Report'!E19</f>
        <v>0</v>
      </c>
      <c r="C20" s="758">
        <f>Gen!B25</f>
        <v>0</v>
      </c>
      <c r="D20" s="720">
        <f>'Summery Report'!E19</f>
        <v>0</v>
      </c>
      <c r="E20" s="720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0">
        <f>Gen!C25</f>
        <v>46526.75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44332</v>
      </c>
      <c r="B21" s="425">
        <f>'Summery Report'!E20</f>
        <v>0</v>
      </c>
      <c r="C21" s="758">
        <f>Gen!B26</f>
        <v>0</v>
      </c>
      <c r="D21" s="720">
        <f>'Summery Report'!E20</f>
        <v>0</v>
      </c>
      <c r="E21" s="720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0">
        <f>Gen!C26</f>
        <v>46526.75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44333</v>
      </c>
      <c r="B22" s="425">
        <f>'Summery Report'!E21</f>
        <v>0</v>
      </c>
      <c r="C22" s="758">
        <f>Gen!B27</f>
        <v>0</v>
      </c>
      <c r="D22" s="720">
        <f>'Summery Report'!E21</f>
        <v>0</v>
      </c>
      <c r="E22" s="720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0">
        <f>Gen!C27</f>
        <v>46526.75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44334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46526.75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44335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46526.75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44336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46526.75</v>
      </c>
      <c r="I25" s="720">
        <f>Gen!E30</f>
        <v>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44337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46526.75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44338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46526.75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44339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46526.75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44340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46526.75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44341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46526.75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44342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46526.75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44343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46526.75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44344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46526.75</v>
      </c>
      <c r="I33" s="720">
        <f>Gen!E38</f>
        <v>15000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44345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46526.75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44346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46526.75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44347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46526.75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24849</v>
      </c>
      <c r="K37" s="770"/>
      <c r="L37" s="756">
        <f t="shared" si="17"/>
        <v>24849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8" sqref="W1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44317</v>
      </c>
      <c r="B3" s="886" t="s">
        <v>156</v>
      </c>
      <c r="C3" s="887"/>
      <c r="D3" s="166"/>
      <c r="E3" s="577">
        <v>9269.1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8410</v>
      </c>
      <c r="Q3" s="165"/>
      <c r="R3" s="241"/>
      <c r="S3" s="640"/>
      <c r="T3" s="886" t="s">
        <v>156</v>
      </c>
      <c r="U3" s="887"/>
      <c r="V3" s="166"/>
      <c r="W3" s="578">
        <v>8119.9</v>
      </c>
      <c r="X3" s="588">
        <f t="shared" ref="X3:X35" si="0">(W3-V3)*200</f>
        <v>1623980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0.01</v>
      </c>
      <c r="B4" s="589">
        <f>Gen!A11</f>
        <v>44317</v>
      </c>
      <c r="C4" s="590"/>
      <c r="D4" s="591">
        <f t="shared" ref="D4:D23" si="1">E3</f>
        <v>9269.1</v>
      </c>
      <c r="E4" s="577">
        <v>9271.2999999999993</v>
      </c>
      <c r="F4" s="591">
        <f t="shared" ref="F4:F15" si="2">SUM(E4-D4)*120</f>
        <v>263.99999999986903</v>
      </c>
      <c r="G4" s="590"/>
      <c r="H4" s="628">
        <f>B4</f>
        <v>44317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44317</v>
      </c>
      <c r="N4" s="590"/>
      <c r="O4" s="60"/>
      <c r="P4" s="597">
        <f>'Water-Meter'!J6</f>
        <v>8414</v>
      </c>
      <c r="Q4" s="590">
        <f>N4-O3</f>
        <v>0</v>
      </c>
      <c r="R4" s="631">
        <f t="shared" ref="R4:R20" si="4">SUM(Q4/1615)</f>
        <v>0</v>
      </c>
      <c r="S4" s="632">
        <f>Gen!T11</f>
        <v>2650</v>
      </c>
      <c r="T4" s="628">
        <f>M4</f>
        <v>44317</v>
      </c>
      <c r="U4" s="590"/>
      <c r="V4" s="591">
        <f t="shared" ref="V4:V33" si="5">W3</f>
        <v>8119.9</v>
      </c>
      <c r="W4" s="578">
        <v>8120.6</v>
      </c>
      <c r="X4" s="591">
        <f t="shared" si="0"/>
        <v>140.00000000014552</v>
      </c>
      <c r="Y4" s="628">
        <f>T4</f>
        <v>44317</v>
      </c>
      <c r="Z4" s="590"/>
      <c r="AA4" s="590"/>
      <c r="AB4" s="597">
        <f>'Water-Meter'!P6</f>
        <v>21233</v>
      </c>
      <c r="AC4" s="598">
        <f>AA4-AB3</f>
        <v>0</v>
      </c>
    </row>
    <row r="5" spans="1:29" ht="19.5" thickBot="1">
      <c r="A5" s="642">
        <f>Gen!B12</f>
        <v>0</v>
      </c>
      <c r="B5" s="592">
        <f>Gen!A12</f>
        <v>44318</v>
      </c>
      <c r="C5" s="576"/>
      <c r="D5" s="581">
        <f t="shared" si="1"/>
        <v>9271.2999999999993</v>
      </c>
      <c r="E5" s="577">
        <v>9273.5</v>
      </c>
      <c r="F5" s="581">
        <f t="shared" si="2"/>
        <v>264.00000000008731</v>
      </c>
      <c r="G5" s="576"/>
      <c r="H5" s="623">
        <f t="shared" ref="H5:H35" si="6">B5</f>
        <v>44318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44318</v>
      </c>
      <c r="N5" s="576"/>
      <c r="O5" s="6"/>
      <c r="P5" s="580">
        <f>'Water-Meter'!J7</f>
        <v>8415</v>
      </c>
      <c r="Q5" s="576">
        <f t="shared" ref="Q5:Q20" si="8">N5-O4</f>
        <v>0</v>
      </c>
      <c r="R5" s="626">
        <f t="shared" si="4"/>
        <v>0</v>
      </c>
      <c r="S5" s="627">
        <f>Gen!T12</f>
        <v>2697</v>
      </c>
      <c r="T5" s="628">
        <f t="shared" ref="T5:T34" si="9">M5</f>
        <v>44318</v>
      </c>
      <c r="U5" s="576"/>
      <c r="V5" s="581">
        <f t="shared" si="5"/>
        <v>8120.6</v>
      </c>
      <c r="W5" s="578">
        <v>8122.1</v>
      </c>
      <c r="X5" s="581">
        <f t="shared" si="0"/>
        <v>300</v>
      </c>
      <c r="Y5" s="623">
        <f t="shared" ref="Y5:Y30" si="10">T5</f>
        <v>44318</v>
      </c>
      <c r="Z5" s="576"/>
      <c r="AA5" s="576"/>
      <c r="AB5" s="580">
        <f>'Water-Meter'!P7</f>
        <v>21237</v>
      </c>
      <c r="AC5" s="633">
        <f t="shared" ref="AC5:AC35" si="11">AA5-AB4</f>
        <v>-21233</v>
      </c>
    </row>
    <row r="6" spans="1:29" ht="19.5" thickBot="1">
      <c r="A6" s="642">
        <f>Gen!B13</f>
        <v>3.9E-2</v>
      </c>
      <c r="B6" s="592">
        <f>Gen!A13</f>
        <v>44319</v>
      </c>
      <c r="C6" s="576"/>
      <c r="D6" s="581">
        <f t="shared" si="1"/>
        <v>9273.5</v>
      </c>
      <c r="E6" s="577">
        <v>9275.9</v>
      </c>
      <c r="F6" s="581">
        <f t="shared" si="2"/>
        <v>287.99999999995634</v>
      </c>
      <c r="G6" s="576"/>
      <c r="H6" s="623">
        <f t="shared" si="6"/>
        <v>44319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44319</v>
      </c>
      <c r="N6" s="576"/>
      <c r="O6" s="6"/>
      <c r="P6" s="580">
        <f>'Water-Meter'!J8</f>
        <v>8416</v>
      </c>
      <c r="Q6" s="576">
        <f t="shared" si="8"/>
        <v>0</v>
      </c>
      <c r="R6" s="626">
        <f t="shared" si="4"/>
        <v>0</v>
      </c>
      <c r="S6" s="627">
        <f>Gen!T13</f>
        <v>2639</v>
      </c>
      <c r="T6" s="628">
        <f t="shared" si="9"/>
        <v>44319</v>
      </c>
      <c r="U6" s="576"/>
      <c r="V6" s="581">
        <f t="shared" si="5"/>
        <v>8122.1</v>
      </c>
      <c r="W6" s="578">
        <v>8123.2</v>
      </c>
      <c r="X6" s="581">
        <f t="shared" si="0"/>
        <v>219.99999999989086</v>
      </c>
      <c r="Y6" s="623">
        <f t="shared" si="10"/>
        <v>44319</v>
      </c>
      <c r="Z6" s="576"/>
      <c r="AA6" s="576"/>
      <c r="AB6" s="580">
        <f>'Water-Meter'!P8</f>
        <v>21242</v>
      </c>
      <c r="AC6" s="633">
        <f t="shared" si="11"/>
        <v>-21237</v>
      </c>
    </row>
    <row r="7" spans="1:29" ht="19.5" thickBot="1">
      <c r="A7" s="642">
        <f>Gen!B14</f>
        <v>5.1999999999999998E-2</v>
      </c>
      <c r="B7" s="592">
        <f>Gen!A14</f>
        <v>44320</v>
      </c>
      <c r="C7" s="576"/>
      <c r="D7" s="581">
        <f t="shared" si="1"/>
        <v>9275.9</v>
      </c>
      <c r="E7" s="577">
        <v>9278.4</v>
      </c>
      <c r="F7" s="581">
        <f t="shared" si="2"/>
        <v>300</v>
      </c>
      <c r="G7" s="576"/>
      <c r="H7" s="623">
        <f t="shared" si="6"/>
        <v>44320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44320</v>
      </c>
      <c r="N7" s="576"/>
      <c r="O7" s="6"/>
      <c r="P7" s="580">
        <f>'Water-Meter'!J9</f>
        <v>8418</v>
      </c>
      <c r="Q7" s="576">
        <f t="shared" si="8"/>
        <v>0</v>
      </c>
      <c r="R7" s="626">
        <f t="shared" si="4"/>
        <v>0</v>
      </c>
      <c r="S7" s="627">
        <f>Gen!T14</f>
        <v>2826</v>
      </c>
      <c r="T7" s="628">
        <f t="shared" si="9"/>
        <v>44320</v>
      </c>
      <c r="U7" s="576"/>
      <c r="V7" s="581">
        <f t="shared" si="5"/>
        <v>8123.2</v>
      </c>
      <c r="W7" s="578">
        <v>8124.8</v>
      </c>
      <c r="X7" s="581">
        <f t="shared" si="0"/>
        <v>320.00000000007276</v>
      </c>
      <c r="Y7" s="623">
        <f t="shared" si="10"/>
        <v>44320</v>
      </c>
      <c r="Z7" s="576"/>
      <c r="AA7" s="576"/>
      <c r="AB7" s="580">
        <f>'Water-Meter'!P9</f>
        <v>21245</v>
      </c>
      <c r="AC7" s="633">
        <f t="shared" si="11"/>
        <v>-21242</v>
      </c>
    </row>
    <row r="8" spans="1:29" ht="19.5" thickBot="1">
      <c r="A8" s="642">
        <f>Gen!B15</f>
        <v>5.6000000000000001E-2</v>
      </c>
      <c r="B8" s="592">
        <f>Gen!A15</f>
        <v>44321</v>
      </c>
      <c r="C8" s="576"/>
      <c r="D8" s="581">
        <f t="shared" si="1"/>
        <v>9278.4</v>
      </c>
      <c r="E8" s="577">
        <v>9280.6</v>
      </c>
      <c r="F8" s="581">
        <f t="shared" si="2"/>
        <v>264.00000000008731</v>
      </c>
      <c r="G8" s="576"/>
      <c r="H8" s="623">
        <f t="shared" si="6"/>
        <v>44321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44321</v>
      </c>
      <c r="N8" s="576"/>
      <c r="O8" s="6"/>
      <c r="P8" s="580">
        <f>'Water-Meter'!J10</f>
        <v>8419</v>
      </c>
      <c r="Q8" s="576">
        <f t="shared" si="8"/>
        <v>0</v>
      </c>
      <c r="R8" s="626">
        <f t="shared" si="4"/>
        <v>0</v>
      </c>
      <c r="S8" s="627">
        <f>Gen!T15</f>
        <v>2780</v>
      </c>
      <c r="T8" s="628">
        <f t="shared" si="9"/>
        <v>44321</v>
      </c>
      <c r="U8" s="576"/>
      <c r="V8" s="581">
        <f t="shared" si="5"/>
        <v>8124.8</v>
      </c>
      <c r="W8" s="578">
        <v>8126.1</v>
      </c>
      <c r="X8" s="581">
        <f t="shared" si="0"/>
        <v>260.00000000003638</v>
      </c>
      <c r="Y8" s="623">
        <f t="shared" si="10"/>
        <v>44321</v>
      </c>
      <c r="Z8" s="576"/>
      <c r="AA8" s="576"/>
      <c r="AB8" s="580">
        <f>'Water-Meter'!P10</f>
        <v>21249</v>
      </c>
      <c r="AC8" s="633">
        <f t="shared" si="11"/>
        <v>-21245</v>
      </c>
    </row>
    <row r="9" spans="1:29" ht="19.5" thickBot="1">
      <c r="A9" s="642">
        <f>Gen!B16</f>
        <v>5.6000000000000001E-2</v>
      </c>
      <c r="B9" s="592">
        <f>Gen!A16</f>
        <v>44322</v>
      </c>
      <c r="C9" s="576"/>
      <c r="D9" s="581">
        <f t="shared" si="1"/>
        <v>9280.6</v>
      </c>
      <c r="E9" s="577">
        <v>9282.7999999999993</v>
      </c>
      <c r="F9" s="581">
        <f t="shared" si="2"/>
        <v>263.99999999986903</v>
      </c>
      <c r="G9" s="576"/>
      <c r="H9" s="623">
        <f t="shared" si="6"/>
        <v>44322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44322</v>
      </c>
      <c r="N9" s="576"/>
      <c r="O9" s="6"/>
      <c r="P9" s="580">
        <f>'Water-Meter'!J11</f>
        <v>8420</v>
      </c>
      <c r="Q9" s="576">
        <f t="shared" si="8"/>
        <v>0</v>
      </c>
      <c r="R9" s="626">
        <f t="shared" si="4"/>
        <v>0</v>
      </c>
      <c r="S9" s="627">
        <f>Gen!T16</f>
        <v>2900</v>
      </c>
      <c r="T9" s="628">
        <f t="shared" si="9"/>
        <v>44322</v>
      </c>
      <c r="U9" s="576"/>
      <c r="V9" s="581">
        <f t="shared" si="5"/>
        <v>8126.1</v>
      </c>
      <c r="W9" s="578">
        <v>8127.7</v>
      </c>
      <c r="X9" s="581">
        <f t="shared" si="0"/>
        <v>319.99999999989086</v>
      </c>
      <c r="Y9" s="623">
        <f t="shared" si="10"/>
        <v>44322</v>
      </c>
      <c r="Z9" s="576"/>
      <c r="AA9" s="576"/>
      <c r="AB9" s="580">
        <f>'Water-Meter'!P11</f>
        <v>21256</v>
      </c>
      <c r="AC9" s="633">
        <f t="shared" si="11"/>
        <v>-21249</v>
      </c>
    </row>
    <row r="10" spans="1:29" ht="19.5" thickBot="1">
      <c r="A10" s="642">
        <f>Gen!B17</f>
        <v>0</v>
      </c>
      <c r="B10" s="592">
        <f>Gen!A17</f>
        <v>44323</v>
      </c>
      <c r="C10" s="576"/>
      <c r="D10" s="581">
        <f t="shared" si="1"/>
        <v>9282.7999999999993</v>
      </c>
      <c r="E10" s="577">
        <v>9284.7999999999993</v>
      </c>
      <c r="F10" s="581">
        <f t="shared" si="2"/>
        <v>240</v>
      </c>
      <c r="G10" s="576"/>
      <c r="H10" s="623">
        <f t="shared" si="6"/>
        <v>44323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44323</v>
      </c>
      <c r="N10" s="576"/>
      <c r="O10" s="6"/>
      <c r="P10" s="580">
        <f>'Water-Meter'!J12</f>
        <v>8422</v>
      </c>
      <c r="Q10" s="576">
        <f t="shared" si="8"/>
        <v>0</v>
      </c>
      <c r="R10" s="626">
        <f t="shared" si="4"/>
        <v>0</v>
      </c>
      <c r="S10" s="627">
        <f>Gen!T17</f>
        <v>2734</v>
      </c>
      <c r="T10" s="628">
        <f t="shared" si="9"/>
        <v>44323</v>
      </c>
      <c r="U10" s="576"/>
      <c r="V10" s="581">
        <f t="shared" si="5"/>
        <v>8127.7</v>
      </c>
      <c r="W10" s="578">
        <v>8128.6</v>
      </c>
      <c r="X10" s="581">
        <f t="shared" si="0"/>
        <v>180.00000000010914</v>
      </c>
      <c r="Y10" s="623">
        <f t="shared" si="10"/>
        <v>44323</v>
      </c>
      <c r="Z10" s="576"/>
      <c r="AA10" s="576"/>
      <c r="AB10" s="580">
        <f>'Water-Meter'!P12</f>
        <v>21259</v>
      </c>
      <c r="AC10" s="633">
        <f t="shared" si="11"/>
        <v>-21256</v>
      </c>
    </row>
    <row r="11" spans="1:29" ht="19.5" thickBot="1">
      <c r="A11" s="642">
        <f>Gen!B18</f>
        <v>0</v>
      </c>
      <c r="B11" s="592">
        <f>Gen!A18</f>
        <v>44324</v>
      </c>
      <c r="C11" s="576"/>
      <c r="D11" s="581">
        <f t="shared" si="1"/>
        <v>9284.7999999999993</v>
      </c>
      <c r="E11" s="577">
        <v>9287.1</v>
      </c>
      <c r="F11" s="581">
        <f t="shared" si="2"/>
        <v>276.00000000013097</v>
      </c>
      <c r="G11" s="576"/>
      <c r="H11" s="623">
        <f t="shared" si="6"/>
        <v>44324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44324</v>
      </c>
      <c r="N11" s="576"/>
      <c r="O11" s="6"/>
      <c r="P11" s="580">
        <f>'Water-Meter'!J13</f>
        <v>8424</v>
      </c>
      <c r="Q11" s="576">
        <f t="shared" si="8"/>
        <v>0</v>
      </c>
      <c r="R11" s="626">
        <f t="shared" si="4"/>
        <v>0</v>
      </c>
      <c r="S11" s="627">
        <f>Gen!T18</f>
        <v>2996</v>
      </c>
      <c r="T11" s="628">
        <f t="shared" si="9"/>
        <v>44324</v>
      </c>
      <c r="U11" s="576"/>
      <c r="V11" s="581">
        <f t="shared" si="5"/>
        <v>8128.6</v>
      </c>
      <c r="W11" s="578">
        <v>8129.1</v>
      </c>
      <c r="X11" s="581">
        <f t="shared" si="0"/>
        <v>100</v>
      </c>
      <c r="Y11" s="623">
        <f t="shared" si="10"/>
        <v>44324</v>
      </c>
      <c r="Z11" s="576"/>
      <c r="AA11" s="576"/>
      <c r="AB11" s="580">
        <f>'Water-Meter'!P13</f>
        <v>21261</v>
      </c>
      <c r="AC11" s="633">
        <f t="shared" si="11"/>
        <v>-21259</v>
      </c>
    </row>
    <row r="12" spans="1:29" ht="19.5" thickBot="1">
      <c r="A12" s="642">
        <f>Gen!B19</f>
        <v>0</v>
      </c>
      <c r="B12" s="592">
        <f>Gen!A19</f>
        <v>44325</v>
      </c>
      <c r="C12" s="576"/>
      <c r="D12" s="581">
        <f t="shared" si="1"/>
        <v>9287.1</v>
      </c>
      <c r="E12" s="577">
        <v>9288.7999999999993</v>
      </c>
      <c r="F12" s="581">
        <f t="shared" si="2"/>
        <v>203.99999999986903</v>
      </c>
      <c r="G12" s="576"/>
      <c r="H12" s="623">
        <f t="shared" si="6"/>
        <v>44325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44325</v>
      </c>
      <c r="N12" s="576"/>
      <c r="O12" s="6"/>
      <c r="P12" s="580">
        <f>'Water-Meter'!J14</f>
        <v>8425</v>
      </c>
      <c r="Q12" s="576">
        <f t="shared" si="8"/>
        <v>0</v>
      </c>
      <c r="R12" s="626">
        <f t="shared" si="4"/>
        <v>0</v>
      </c>
      <c r="S12" s="627">
        <f>Gen!T19</f>
        <v>2627</v>
      </c>
      <c r="T12" s="628">
        <f t="shared" si="9"/>
        <v>44325</v>
      </c>
      <c r="U12" s="576"/>
      <c r="V12" s="581">
        <f t="shared" si="5"/>
        <v>8129.1</v>
      </c>
      <c r="W12" s="578">
        <v>8130.8</v>
      </c>
      <c r="X12" s="581">
        <f t="shared" si="0"/>
        <v>339.99999999996362</v>
      </c>
      <c r="Y12" s="623">
        <f t="shared" si="10"/>
        <v>44325</v>
      </c>
      <c r="Z12" s="576"/>
      <c r="AA12" s="576"/>
      <c r="AB12" s="580">
        <f>'Water-Meter'!P14</f>
        <v>21265</v>
      </c>
      <c r="AC12" s="633">
        <f t="shared" si="11"/>
        <v>-21261</v>
      </c>
    </row>
    <row r="13" spans="1:29" ht="19.5" thickBot="1">
      <c r="A13" s="642">
        <f>Gen!B20</f>
        <v>0</v>
      </c>
      <c r="B13" s="592">
        <f>Gen!A20</f>
        <v>44326</v>
      </c>
      <c r="C13" s="576"/>
      <c r="D13" s="581">
        <f t="shared" si="1"/>
        <v>9288.7999999999993</v>
      </c>
      <c r="E13" s="577"/>
      <c r="F13" s="581">
        <f t="shared" si="2"/>
        <v>-1114656</v>
      </c>
      <c r="G13" s="576"/>
      <c r="H13" s="623">
        <f t="shared" si="6"/>
        <v>44326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44326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44326</v>
      </c>
      <c r="U13" s="576"/>
      <c r="V13" s="581">
        <f t="shared" si="5"/>
        <v>8130.8</v>
      </c>
      <c r="W13" s="578"/>
      <c r="X13" s="581">
        <f t="shared" si="0"/>
        <v>-1626160</v>
      </c>
      <c r="Y13" s="623">
        <f t="shared" si="10"/>
        <v>44326</v>
      </c>
      <c r="Z13" s="576"/>
      <c r="AA13" s="576"/>
      <c r="AB13" s="580">
        <f>'Water-Meter'!P15</f>
        <v>0</v>
      </c>
      <c r="AC13" s="633">
        <f t="shared" si="11"/>
        <v>-21265</v>
      </c>
    </row>
    <row r="14" spans="1:29" ht="19.5" thickBot="1">
      <c r="A14" s="642">
        <f>Gen!B21</f>
        <v>0</v>
      </c>
      <c r="B14" s="592">
        <f>Gen!A21</f>
        <v>44327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44327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44327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44327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44327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44328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44328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44328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44328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44328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44329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44329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44329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44329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44329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44330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44330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44330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44330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44330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44331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44331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44331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44331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44331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44332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44332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44332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44332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44332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44333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44333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44333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44333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44333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44334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44334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44334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44334</v>
      </c>
      <c r="U21" s="579"/>
      <c r="V21" s="581">
        <f t="shared" si="5"/>
        <v>0</v>
      </c>
      <c r="W21" s="578" t="s">
        <v>320</v>
      </c>
      <c r="X21" s="581" t="e">
        <f t="shared" si="0"/>
        <v>#VALUE!</v>
      </c>
      <c r="Y21" s="623">
        <f t="shared" si="10"/>
        <v>44334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44335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44335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44335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44335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44335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44336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44336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44336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44336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44336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44337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44337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44337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44337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44337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44338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44338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44338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44338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44338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44339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44339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44339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44339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44339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44340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44340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44340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44340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44340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44341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44341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44341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44341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44341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44342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44342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44342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44342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44342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44343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44343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44343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44343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44343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44344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44344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44344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44344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44344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44345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44345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44345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44345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44345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44346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44346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44346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44346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44346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815.99999999991269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660.00000000003638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44317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44317</v>
      </c>
      <c r="B5" s="644">
        <f>'Daily report Gen'!Z6</f>
        <v>24</v>
      </c>
      <c r="C5" s="645">
        <f>Gen!B11</f>
        <v>0.01</v>
      </c>
      <c r="D5" s="646">
        <f t="shared" ref="D5:D36" si="0">E5</f>
        <v>0</v>
      </c>
      <c r="E5" s="647"/>
      <c r="F5" s="70">
        <f>Gen!U11</f>
        <v>0.4119358490566038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27860.560000000001</v>
      </c>
      <c r="K5" s="650">
        <f>'Water-Meter'!E6</f>
        <v>41</v>
      </c>
      <c r="L5" s="651">
        <f>'Lpg (2)'!G10</f>
        <v>0</v>
      </c>
      <c r="M5" s="79" t="e">
        <f>SUM(#REF!-#REF!)</f>
        <v>#REF!</v>
      </c>
    </row>
    <row r="6" spans="1:13">
      <c r="A6" s="662">
        <f>Gen!A12</f>
        <v>44318</v>
      </c>
      <c r="B6" s="652">
        <f>'Daily report Gen'!Z7</f>
        <v>25</v>
      </c>
      <c r="C6" s="87">
        <f>Gen!B12</f>
        <v>0</v>
      </c>
      <c r="D6" s="434">
        <f t="shared" si="0"/>
        <v>0</v>
      </c>
      <c r="E6" s="74"/>
      <c r="F6" s="70">
        <f>Gen!U12</f>
        <v>0.41311086392287732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26680.18</v>
      </c>
      <c r="K6" s="295">
        <f>'Water-Meter'!E7</f>
        <v>50</v>
      </c>
      <c r="L6" s="653">
        <f>'Lpg (2)'!G11</f>
        <v>49.631999999994882</v>
      </c>
      <c r="M6" s="79" t="e">
        <f>SUM(#REF!-#REF!)</f>
        <v>#REF!</v>
      </c>
    </row>
    <row r="7" spans="1:13">
      <c r="A7" s="662">
        <f>Gen!A13</f>
        <v>44319</v>
      </c>
      <c r="B7" s="652">
        <f>'Daily report Gen'!Z8</f>
        <v>24</v>
      </c>
      <c r="C7" s="87">
        <f>Gen!B13</f>
        <v>3.9E-2</v>
      </c>
      <c r="D7" s="434">
        <f t="shared" si="0"/>
        <v>0</v>
      </c>
      <c r="E7" s="74"/>
      <c r="F7" s="70">
        <f>Gen!U13</f>
        <v>0.41249336870026521</v>
      </c>
      <c r="G7" s="85">
        <f>Gen!T11</f>
        <v>2650</v>
      </c>
      <c r="H7" s="85">
        <f>Gen!AK13</f>
        <v>0</v>
      </c>
      <c r="I7" s="85">
        <f t="shared" si="1"/>
        <v>2650</v>
      </c>
      <c r="J7" s="446">
        <f>Gen!C13</f>
        <v>40466.020000000004</v>
      </c>
      <c r="K7" s="295">
        <f>'Water-Meter'!E8</f>
        <v>50</v>
      </c>
      <c r="L7" s="653">
        <f>'Lpg (2)'!G12</f>
        <v>42.768000000005124</v>
      </c>
      <c r="M7" s="79" t="e">
        <f>SUM(#REF!-#REF!)</f>
        <v>#REF!</v>
      </c>
    </row>
    <row r="8" spans="1:13">
      <c r="A8" s="662">
        <f>Gen!A14</f>
        <v>44320</v>
      </c>
      <c r="B8" s="652">
        <f>'Daily report Gen'!Z9</f>
        <v>24</v>
      </c>
      <c r="C8" s="87">
        <f>Gen!B14</f>
        <v>5.1999999999999998E-2</v>
      </c>
      <c r="D8" s="434">
        <f>E8</f>
        <v>0</v>
      </c>
      <c r="E8" s="74"/>
      <c r="F8" s="70">
        <f>Gen!U14</f>
        <v>0.41276362349610757</v>
      </c>
      <c r="G8" s="85">
        <f>Gen!T12</f>
        <v>2697</v>
      </c>
      <c r="H8" s="85">
        <f>Gen!AK14</f>
        <v>0</v>
      </c>
      <c r="I8" s="85">
        <f t="shared" si="1"/>
        <v>2697</v>
      </c>
      <c r="J8" s="446">
        <f>Gen!C14</f>
        <v>39347.69</v>
      </c>
      <c r="K8" s="295">
        <f>'Water-Meter'!E9</f>
        <v>50</v>
      </c>
      <c r="L8" s="653">
        <f>'Lpg (2)'!G13</f>
        <v>55.22000000001281</v>
      </c>
      <c r="M8" s="79" t="e">
        <f>SUM(#REF!-#REF!)</f>
        <v>#REF!</v>
      </c>
    </row>
    <row r="9" spans="1:13">
      <c r="A9" s="662">
        <f>Gen!A15</f>
        <v>44321</v>
      </c>
      <c r="B9" s="652">
        <f>'Daily report Gen'!Z10</f>
        <v>25</v>
      </c>
      <c r="C9" s="87">
        <f>Gen!B15</f>
        <v>5.6000000000000001E-2</v>
      </c>
      <c r="D9" s="434">
        <f t="shared" si="0"/>
        <v>0</v>
      </c>
      <c r="E9" s="74"/>
      <c r="F9" s="70">
        <f>Gen!U15</f>
        <v>0.40473021582733815</v>
      </c>
      <c r="G9" s="85">
        <f>Gen!T13</f>
        <v>2639</v>
      </c>
      <c r="H9" s="85">
        <f>Gen!AK15</f>
        <v>0</v>
      </c>
      <c r="I9" s="85">
        <f t="shared" si="1"/>
        <v>2639</v>
      </c>
      <c r="J9" s="446">
        <f>Gen!C15</f>
        <v>38143.090000000004</v>
      </c>
      <c r="K9" s="295">
        <f>'Water-Meter'!E10</f>
        <v>67</v>
      </c>
      <c r="L9" s="653">
        <f>'Lpg (2)'!G14</f>
        <v>65.295999999984645</v>
      </c>
      <c r="M9" s="79" t="e">
        <f>SUM(#REF!-#REF!)</f>
        <v>#REF!</v>
      </c>
    </row>
    <row r="10" spans="1:13">
      <c r="A10" s="662">
        <f>Gen!A16</f>
        <v>44322</v>
      </c>
      <c r="B10" s="652">
        <f>'Daily report Gen'!Z11</f>
        <v>24</v>
      </c>
      <c r="C10" s="87">
        <f>Gen!B16</f>
        <v>5.6000000000000001E-2</v>
      </c>
      <c r="D10" s="434">
        <f t="shared" si="0"/>
        <v>0</v>
      </c>
      <c r="E10" s="74"/>
      <c r="F10" s="70">
        <f>Gen!U16</f>
        <v>0.40669310344827592</v>
      </c>
      <c r="G10" s="85">
        <f>Gen!T14</f>
        <v>2826</v>
      </c>
      <c r="H10" s="85">
        <f>Gen!AK16</f>
        <v>0</v>
      </c>
      <c r="I10" s="85">
        <f t="shared" si="1"/>
        <v>2826</v>
      </c>
      <c r="J10" s="446">
        <f>Gen!C16</f>
        <v>37017.94</v>
      </c>
      <c r="K10" s="295">
        <f>'Water-Meter'!E11</f>
        <v>70</v>
      </c>
      <c r="L10" s="653">
        <f>'Lpg (2)'!G15</f>
        <v>64.988000000017934</v>
      </c>
      <c r="M10" s="79" t="e">
        <f>SUM(#REF!-#REF!)</f>
        <v>#REF!</v>
      </c>
    </row>
    <row r="11" spans="1:13">
      <c r="A11" s="662">
        <f>Gen!A17</f>
        <v>44323</v>
      </c>
      <c r="B11" s="652">
        <f>'Daily report Gen'!Z12</f>
        <v>25</v>
      </c>
      <c r="C11" s="87">
        <f>Gen!B17</f>
        <v>0</v>
      </c>
      <c r="D11" s="434">
        <f t="shared" si="0"/>
        <v>0</v>
      </c>
      <c r="E11" s="74"/>
      <c r="F11" s="70">
        <f>Gen!U17</f>
        <v>0.41198244330651057</v>
      </c>
      <c r="G11" s="85">
        <f>Gen!T15</f>
        <v>2780</v>
      </c>
      <c r="H11" s="85">
        <f>Gen!AK17</f>
        <v>0</v>
      </c>
      <c r="I11" s="85">
        <f t="shared" si="1"/>
        <v>2780</v>
      </c>
      <c r="J11" s="446">
        <f>Gen!C17</f>
        <v>35338.400000000001</v>
      </c>
      <c r="K11" s="295">
        <f>'Water-Meter'!E12</f>
        <v>50</v>
      </c>
      <c r="L11" s="653">
        <f>'Lpg (2)'!G16</f>
        <v>62.391999999969272</v>
      </c>
      <c r="M11" s="79" t="e">
        <f>SUM(#REF!-#REF!)</f>
        <v>#REF!</v>
      </c>
    </row>
    <row r="12" spans="1:13">
      <c r="A12" s="662">
        <f>Gen!A18</f>
        <v>44324</v>
      </c>
      <c r="B12" s="652">
        <f>'Daily report Gen'!Z13</f>
        <v>48</v>
      </c>
      <c r="C12" s="87">
        <f>Gen!B18</f>
        <v>0</v>
      </c>
      <c r="D12" s="434">
        <f t="shared" si="0"/>
        <v>0</v>
      </c>
      <c r="E12" s="74"/>
      <c r="F12" s="70">
        <f>Gen!U18</f>
        <v>0.41156542056074763</v>
      </c>
      <c r="G12" s="85">
        <f>Gen!T16</f>
        <v>2900</v>
      </c>
      <c r="H12" s="85">
        <f>Gen!AK18</f>
        <v>0</v>
      </c>
      <c r="I12" s="85">
        <f t="shared" si="1"/>
        <v>2900</v>
      </c>
      <c r="J12" s="446">
        <f>Gen!C18</f>
        <v>49212.04</v>
      </c>
      <c r="K12" s="295">
        <f>'Water-Meter'!E13</f>
        <v>51</v>
      </c>
      <c r="L12" s="653">
        <f>'Lpg (2)'!G17</f>
        <v>68.904000000015373</v>
      </c>
      <c r="M12" s="79" t="e">
        <f>SUM(#REF!-#REF!)</f>
        <v>#REF!</v>
      </c>
    </row>
    <row r="13" spans="1:13">
      <c r="A13" s="662">
        <f>Gen!A19</f>
        <v>44325</v>
      </c>
      <c r="B13" s="652">
        <f>'Daily report Gen'!Z14</f>
        <v>-31245</v>
      </c>
      <c r="C13" s="87">
        <f>Gen!B19</f>
        <v>0</v>
      </c>
      <c r="D13" s="434">
        <f t="shared" si="0"/>
        <v>0</v>
      </c>
      <c r="E13" s="74"/>
      <c r="F13" s="70">
        <f>Gen!U19</f>
        <v>0.40277502854967639</v>
      </c>
      <c r="G13" s="85">
        <f>Gen!T17</f>
        <v>2734</v>
      </c>
      <c r="H13" s="85">
        <f>Gen!AK19</f>
        <v>0</v>
      </c>
      <c r="I13" s="85">
        <f t="shared" si="1"/>
        <v>2734</v>
      </c>
      <c r="J13" s="446">
        <f>Gen!C19</f>
        <v>47730.99</v>
      </c>
      <c r="K13" s="295">
        <f>'Water-Meter'!E14</f>
        <v>76</v>
      </c>
      <c r="L13" s="653">
        <f>'Lpg (2)'!G18</f>
        <v>66</v>
      </c>
      <c r="M13" s="79" t="e">
        <f>SUM(#REF!-#REF!)</f>
        <v>#REF!</v>
      </c>
    </row>
    <row r="14" spans="1:13">
      <c r="A14" s="662">
        <f>Gen!A20</f>
        <v>44326</v>
      </c>
      <c r="B14" s="652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2996</v>
      </c>
      <c r="H14" s="85">
        <f>Gen!AK20</f>
        <v>0</v>
      </c>
      <c r="I14" s="85">
        <f t="shared" si="1"/>
        <v>2996</v>
      </c>
      <c r="J14" s="446">
        <f>Gen!C20</f>
        <v>46526.75</v>
      </c>
      <c r="K14" s="295" t="str">
        <f>'Water-Meter'!E15</f>
        <v>0</v>
      </c>
      <c r="L14" s="653">
        <f>'Lpg (2)'!G19</f>
        <v>79.068000000005128</v>
      </c>
      <c r="M14" s="79" t="e">
        <f>SUM(#REF!-#REF!)</f>
        <v>#REF!</v>
      </c>
    </row>
    <row r="15" spans="1:13">
      <c r="A15" s="662">
        <f>Gen!A21</f>
        <v>44327</v>
      </c>
      <c r="B15" s="652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2627</v>
      </c>
      <c r="H15" s="85">
        <f>Gen!AK21</f>
        <v>0</v>
      </c>
      <c r="I15" s="85">
        <f t="shared" si="1"/>
        <v>2627</v>
      </c>
      <c r="J15" s="446">
        <f>Gen!C21</f>
        <v>46526.75</v>
      </c>
      <c r="K15" s="295">
        <f>'Water-Meter'!E16</f>
        <v>0</v>
      </c>
      <c r="L15" s="653">
        <f>'Lpg (2)'!G20</f>
        <v>-336036.66800000001</v>
      </c>
      <c r="M15" s="79" t="e">
        <f>SUM(#REF!-#REF!)</f>
        <v>#REF!</v>
      </c>
    </row>
    <row r="16" spans="1:13">
      <c r="A16" s="662">
        <f>Gen!A22</f>
        <v>44328</v>
      </c>
      <c r="B16" s="652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46526.75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44329</v>
      </c>
      <c r="B17" s="652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46526.75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44330</v>
      </c>
      <c r="B18" s="652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46526.75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44331</v>
      </c>
      <c r="B19" s="652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46526.75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44332</v>
      </c>
      <c r="B20" s="652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46526.75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44333</v>
      </c>
      <c r="B21" s="652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46526.75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44334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46526.75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44335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46526.75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44336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46526.75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44337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46526.75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44338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46526.75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44339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46526.75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44340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46526.75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44341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46526.75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44342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46526.75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44343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46526.75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44344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46526.75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44345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46526.75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44346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46526.75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44347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46526.75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46526.75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7" sqref="AB1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44317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5587.56</v>
      </c>
      <c r="D5" s="145">
        <v>22273</v>
      </c>
      <c r="E5" s="851"/>
      <c r="F5" s="851"/>
      <c r="G5" s="851"/>
      <c r="H5" s="851"/>
      <c r="I5" s="145">
        <v>31991.4</v>
      </c>
      <c r="J5" s="861">
        <v>21328.7</v>
      </c>
      <c r="K5" s="857"/>
      <c r="L5" s="305">
        <v>36261</v>
      </c>
      <c r="M5" s="680"/>
      <c r="N5" s="673"/>
      <c r="O5" s="820">
        <v>31197</v>
      </c>
      <c r="P5" s="681"/>
      <c r="Q5" s="673"/>
      <c r="R5" s="305">
        <v>36489</v>
      </c>
      <c r="S5" s="681"/>
      <c r="T5" s="673"/>
      <c r="U5" s="820">
        <v>33660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44317</v>
      </c>
      <c r="B6" s="851"/>
      <c r="C6" s="850">
        <v>5587.56</v>
      </c>
      <c r="D6" s="145">
        <v>22273</v>
      </c>
      <c r="E6" s="852"/>
      <c r="F6" s="145"/>
      <c r="G6" s="145">
        <v>88.75</v>
      </c>
      <c r="H6" s="145"/>
      <c r="I6" s="145">
        <v>31991.4</v>
      </c>
      <c r="J6" s="861">
        <v>21328.7</v>
      </c>
      <c r="K6" s="858">
        <f>L5</f>
        <v>36261</v>
      </c>
      <c r="L6" s="305">
        <v>36261</v>
      </c>
      <c r="M6" s="304">
        <f>L6-K6</f>
        <v>0</v>
      </c>
      <c r="N6" s="306">
        <f>O5</f>
        <v>31197</v>
      </c>
      <c r="O6" s="820">
        <v>31197</v>
      </c>
      <c r="P6" s="304">
        <f>O6-N6</f>
        <v>0</v>
      </c>
      <c r="Q6" s="304">
        <f>R5</f>
        <v>36489</v>
      </c>
      <c r="R6" s="305">
        <v>36489</v>
      </c>
      <c r="S6" s="304">
        <f>R6-Q6</f>
        <v>0</v>
      </c>
      <c r="T6" s="304">
        <f>U5</f>
        <v>33660</v>
      </c>
      <c r="U6" s="820">
        <v>33684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230</v>
      </c>
      <c r="AB6" s="125">
        <v>125</v>
      </c>
      <c r="AC6" s="684">
        <f>Gen!AR11</f>
        <v>1180.3800000000001</v>
      </c>
    </row>
    <row r="7" spans="1:29" ht="20.100000000000001" customHeight="1" thickBot="1">
      <c r="A7" s="856">
        <f>Gen!A12</f>
        <v>44318</v>
      </c>
      <c r="B7" s="851"/>
      <c r="C7" s="850">
        <v>4407.18</v>
      </c>
      <c r="D7" s="145">
        <v>22273</v>
      </c>
      <c r="E7" s="852"/>
      <c r="F7" s="145"/>
      <c r="G7" s="145"/>
      <c r="H7" s="145"/>
      <c r="I7" s="145">
        <v>31995.8</v>
      </c>
      <c r="J7" s="848">
        <v>21331.7</v>
      </c>
      <c r="K7" s="858">
        <f t="shared" ref="K7:K37" si="0">L6</f>
        <v>36261</v>
      </c>
      <c r="L7" s="305">
        <v>36286</v>
      </c>
      <c r="M7" s="304">
        <f t="shared" ref="M7:M37" si="1">L7-K7</f>
        <v>25</v>
      </c>
      <c r="N7" s="306">
        <f t="shared" ref="N7:N37" si="2">O6</f>
        <v>31197</v>
      </c>
      <c r="O7" s="820">
        <v>31197</v>
      </c>
      <c r="P7" s="304">
        <f t="shared" ref="P7:P37" si="3">O7-N7</f>
        <v>0</v>
      </c>
      <c r="Q7" s="304">
        <f t="shared" ref="Q7:Q37" si="4">R6</f>
        <v>36489</v>
      </c>
      <c r="R7" s="305">
        <v>36489</v>
      </c>
      <c r="S7" s="304">
        <f t="shared" ref="S7:S37" si="5">R7-Q7</f>
        <v>0</v>
      </c>
      <c r="T7" s="304">
        <f t="shared" ref="T7:T37" si="6">U6</f>
        <v>33684</v>
      </c>
      <c r="U7" s="820">
        <v>33684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25</v>
      </c>
      <c r="AA7" s="125">
        <v>220</v>
      </c>
      <c r="AB7" s="125">
        <v>125</v>
      </c>
      <c r="AC7" s="684">
        <f>Gen!AR12</f>
        <v>1114.1600000000001</v>
      </c>
    </row>
    <row r="8" spans="1:29" ht="20.100000000000001" customHeight="1" thickBot="1">
      <c r="A8" s="856">
        <f>Gen!A13</f>
        <v>44319</v>
      </c>
      <c r="B8" s="851"/>
      <c r="C8" s="850">
        <v>18193.02</v>
      </c>
      <c r="D8" s="145">
        <v>22273</v>
      </c>
      <c r="E8" s="852"/>
      <c r="F8" s="850"/>
      <c r="G8" s="145">
        <v>29.76</v>
      </c>
      <c r="H8" s="145"/>
      <c r="I8" s="145">
        <v>32000.400000000001</v>
      </c>
      <c r="J8" s="848">
        <v>21334.799999999999</v>
      </c>
      <c r="K8" s="858">
        <f t="shared" si="0"/>
        <v>36286</v>
      </c>
      <c r="L8" s="305">
        <v>36286</v>
      </c>
      <c r="M8" s="304">
        <f t="shared" si="1"/>
        <v>0</v>
      </c>
      <c r="N8" s="306">
        <f t="shared" si="2"/>
        <v>31197</v>
      </c>
      <c r="O8" s="820">
        <v>31197</v>
      </c>
      <c r="P8" s="304">
        <f t="shared" si="3"/>
        <v>0</v>
      </c>
      <c r="Q8" s="304">
        <f t="shared" si="4"/>
        <v>36489</v>
      </c>
      <c r="R8" s="305">
        <v>36489</v>
      </c>
      <c r="S8" s="304">
        <f t="shared" si="5"/>
        <v>0</v>
      </c>
      <c r="T8" s="304">
        <f t="shared" si="6"/>
        <v>33684</v>
      </c>
      <c r="U8" s="820">
        <v>33708</v>
      </c>
      <c r="V8" s="304">
        <f t="shared" si="7"/>
        <v>24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24</v>
      </c>
      <c r="AA8" s="125">
        <v>200</v>
      </c>
      <c r="AB8" s="125">
        <v>120</v>
      </c>
      <c r="AC8" s="684">
        <f>Gen!AR13</f>
        <v>1118.33</v>
      </c>
    </row>
    <row r="9" spans="1:29" ht="20.100000000000001" customHeight="1" thickBot="1">
      <c r="A9" s="856">
        <f>Gen!A14</f>
        <v>44320</v>
      </c>
      <c r="B9" s="851"/>
      <c r="C9" s="850">
        <v>17074.689999999999</v>
      </c>
      <c r="D9" s="145">
        <v>22273</v>
      </c>
      <c r="E9" s="852"/>
      <c r="F9" s="853"/>
      <c r="G9" s="145">
        <v>38.130000000000003</v>
      </c>
      <c r="H9" s="145"/>
      <c r="I9" s="145">
        <v>32004.7</v>
      </c>
      <c r="J9" s="848">
        <v>21337.9</v>
      </c>
      <c r="K9" s="858">
        <f t="shared" si="0"/>
        <v>36286</v>
      </c>
      <c r="L9" s="305">
        <v>36286</v>
      </c>
      <c r="M9" s="304">
        <f t="shared" si="1"/>
        <v>0</v>
      </c>
      <c r="N9" s="306">
        <f t="shared" si="2"/>
        <v>31197</v>
      </c>
      <c r="O9" s="820">
        <v>31197</v>
      </c>
      <c r="P9" s="304">
        <f t="shared" si="3"/>
        <v>0</v>
      </c>
      <c r="Q9" s="304">
        <f t="shared" si="4"/>
        <v>36489</v>
      </c>
      <c r="R9" s="305">
        <v>36513</v>
      </c>
      <c r="S9" s="304">
        <f t="shared" si="5"/>
        <v>24</v>
      </c>
      <c r="T9" s="304">
        <f t="shared" si="6"/>
        <v>33708</v>
      </c>
      <c r="U9" s="820">
        <v>33708</v>
      </c>
      <c r="V9" s="304">
        <f t="shared" si="7"/>
        <v>0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220</v>
      </c>
      <c r="AB9" s="125">
        <v>100</v>
      </c>
      <c r="AC9" s="684">
        <f>Gen!AR14</f>
        <v>1204.6000000000001</v>
      </c>
    </row>
    <row r="10" spans="1:29" ht="20.100000000000001" customHeight="1" thickBot="1">
      <c r="A10" s="856">
        <f>Gen!A15</f>
        <v>44321</v>
      </c>
      <c r="B10" s="851"/>
      <c r="C10" s="850">
        <v>15870.09</v>
      </c>
      <c r="D10" s="145">
        <v>22273</v>
      </c>
      <c r="E10" s="852"/>
      <c r="F10" s="145"/>
      <c r="G10" s="145"/>
      <c r="H10" s="145"/>
      <c r="I10" s="145">
        <v>32009.8</v>
      </c>
      <c r="J10" s="848">
        <v>21341.1</v>
      </c>
      <c r="K10" s="858">
        <f t="shared" si="0"/>
        <v>36286</v>
      </c>
      <c r="L10" s="305">
        <v>36286</v>
      </c>
      <c r="M10" s="304">
        <f t="shared" si="1"/>
        <v>0</v>
      </c>
      <c r="N10" s="306">
        <f t="shared" si="2"/>
        <v>31197</v>
      </c>
      <c r="O10" s="125">
        <v>31222</v>
      </c>
      <c r="P10" s="304">
        <f t="shared" si="3"/>
        <v>25</v>
      </c>
      <c r="Q10" s="304">
        <f t="shared" si="4"/>
        <v>36513</v>
      </c>
      <c r="R10" s="305">
        <v>36513</v>
      </c>
      <c r="S10" s="304">
        <f t="shared" si="5"/>
        <v>0</v>
      </c>
      <c r="T10" s="304">
        <f t="shared" si="6"/>
        <v>33708</v>
      </c>
      <c r="U10" s="820">
        <v>33708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25</v>
      </c>
      <c r="AA10" s="125">
        <v>230</v>
      </c>
      <c r="AB10" s="125">
        <v>120</v>
      </c>
      <c r="AC10" s="684">
        <f>Gen!AR15</f>
        <v>1125.1500000000001</v>
      </c>
    </row>
    <row r="11" spans="1:29" ht="20.100000000000001" customHeight="1" thickBot="1">
      <c r="A11" s="856">
        <f>Gen!A16</f>
        <v>44322</v>
      </c>
      <c r="B11" s="851"/>
      <c r="C11" s="850">
        <v>14744.94</v>
      </c>
      <c r="D11" s="145">
        <v>22273</v>
      </c>
      <c r="E11" s="852"/>
      <c r="F11" s="145"/>
      <c r="G11" s="145">
        <v>500.13</v>
      </c>
      <c r="H11" s="145"/>
      <c r="I11" s="145">
        <v>32014.5</v>
      </c>
      <c r="J11" s="848">
        <v>21344.2</v>
      </c>
      <c r="K11" s="858">
        <f t="shared" si="0"/>
        <v>36286</v>
      </c>
      <c r="L11" s="305">
        <v>36310</v>
      </c>
      <c r="M11" s="304">
        <f t="shared" si="1"/>
        <v>24</v>
      </c>
      <c r="N11" s="306">
        <f t="shared" si="2"/>
        <v>31222</v>
      </c>
      <c r="O11" s="125">
        <v>31222</v>
      </c>
      <c r="P11" s="304">
        <f t="shared" si="3"/>
        <v>0</v>
      </c>
      <c r="Q11" s="304">
        <f t="shared" si="4"/>
        <v>36513</v>
      </c>
      <c r="R11" s="305">
        <v>36513</v>
      </c>
      <c r="S11" s="304">
        <f t="shared" si="5"/>
        <v>0</v>
      </c>
      <c r="T11" s="304">
        <f t="shared" si="6"/>
        <v>33708</v>
      </c>
      <c r="U11" s="820">
        <v>33708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24</v>
      </c>
      <c r="AA11" s="125">
        <v>225</v>
      </c>
      <c r="AB11" s="125">
        <v>120</v>
      </c>
      <c r="AC11" s="684">
        <f>Gen!AR16</f>
        <v>1679.5400000000002</v>
      </c>
    </row>
    <row r="12" spans="1:29" ht="20.100000000000001" customHeight="1" thickBot="1">
      <c r="A12" s="856">
        <f>Gen!A17</f>
        <v>44323</v>
      </c>
      <c r="B12" s="851"/>
      <c r="C12" s="850">
        <v>13065.4</v>
      </c>
      <c r="D12" s="145">
        <v>22273</v>
      </c>
      <c r="E12" s="852"/>
      <c r="F12" s="145"/>
      <c r="G12" s="145"/>
      <c r="H12" s="145"/>
      <c r="I12" s="145">
        <v>32019.5</v>
      </c>
      <c r="J12" s="848">
        <v>21347.3</v>
      </c>
      <c r="K12" s="858">
        <f t="shared" si="0"/>
        <v>36310</v>
      </c>
      <c r="L12" s="305">
        <v>36310</v>
      </c>
      <c r="M12" s="304">
        <f t="shared" si="1"/>
        <v>0</v>
      </c>
      <c r="N12" s="306">
        <f t="shared" si="2"/>
        <v>31222</v>
      </c>
      <c r="O12" s="125">
        <v>31222</v>
      </c>
      <c r="P12" s="304">
        <f t="shared" si="3"/>
        <v>0</v>
      </c>
      <c r="Q12" s="304">
        <f t="shared" si="4"/>
        <v>36513</v>
      </c>
      <c r="R12" s="305">
        <v>36513</v>
      </c>
      <c r="S12" s="304">
        <f t="shared" si="5"/>
        <v>0</v>
      </c>
      <c r="T12" s="304">
        <f t="shared" si="6"/>
        <v>33708</v>
      </c>
      <c r="U12" s="125">
        <v>33733</v>
      </c>
      <c r="V12" s="304">
        <f t="shared" si="7"/>
        <v>25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25</v>
      </c>
      <c r="AA12" s="125">
        <v>230</v>
      </c>
      <c r="AB12" s="125">
        <v>130</v>
      </c>
      <c r="AC12" s="684">
        <f>Gen!AR17</f>
        <v>1126.3599999999999</v>
      </c>
    </row>
    <row r="13" spans="1:29" ht="20.100000000000001" customHeight="1" thickBot="1">
      <c r="A13" s="856">
        <f>Gen!A18</f>
        <v>44324</v>
      </c>
      <c r="B13" s="851"/>
      <c r="C13" s="850">
        <v>11939.04</v>
      </c>
      <c r="D13" s="145">
        <v>22273</v>
      </c>
      <c r="E13" s="852"/>
      <c r="F13" s="145"/>
      <c r="G13" s="145">
        <v>248</v>
      </c>
      <c r="H13" s="145"/>
      <c r="I13" s="145">
        <v>32024.2</v>
      </c>
      <c r="J13" s="848">
        <v>21350.400000000001</v>
      </c>
      <c r="K13" s="858">
        <f t="shared" si="0"/>
        <v>36310</v>
      </c>
      <c r="L13" s="305">
        <v>36310</v>
      </c>
      <c r="M13" s="304">
        <f t="shared" si="1"/>
        <v>0</v>
      </c>
      <c r="N13" s="306">
        <f t="shared" si="2"/>
        <v>31222</v>
      </c>
      <c r="O13" s="125">
        <v>31222</v>
      </c>
      <c r="P13" s="304">
        <f>O14-N13</f>
        <v>23</v>
      </c>
      <c r="Q13" s="304">
        <f t="shared" si="4"/>
        <v>36513</v>
      </c>
      <c r="R13" s="125">
        <v>36538</v>
      </c>
      <c r="S13" s="304">
        <f t="shared" si="5"/>
        <v>25</v>
      </c>
      <c r="T13" s="304">
        <f t="shared" si="6"/>
        <v>33733</v>
      </c>
      <c r="U13" s="125">
        <v>33733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48</v>
      </c>
      <c r="AA13" s="125">
        <v>219</v>
      </c>
      <c r="AB13" s="125">
        <v>128</v>
      </c>
      <c r="AC13" s="684">
        <f>Gen!AR18</f>
        <v>1481.05</v>
      </c>
    </row>
    <row r="14" spans="1:29" ht="20.100000000000001" customHeight="1" thickBot="1">
      <c r="A14" s="856">
        <f>Gen!A19</f>
        <v>44325</v>
      </c>
      <c r="B14" s="851"/>
      <c r="C14" s="850">
        <v>26939.040000000001</v>
      </c>
      <c r="D14" s="145">
        <v>22273</v>
      </c>
      <c r="E14" s="852"/>
      <c r="F14" s="145"/>
      <c r="G14" s="145">
        <v>146.15</v>
      </c>
      <c r="H14" s="145"/>
      <c r="I14" s="145">
        <v>32029.1</v>
      </c>
      <c r="J14" s="848">
        <v>21353.9</v>
      </c>
      <c r="K14" s="858">
        <f t="shared" si="0"/>
        <v>36310</v>
      </c>
      <c r="L14" s="305">
        <v>36310</v>
      </c>
      <c r="M14" s="304">
        <f t="shared" si="1"/>
        <v>0</v>
      </c>
      <c r="N14" s="306">
        <f>O14</f>
        <v>31245</v>
      </c>
      <c r="O14" s="125">
        <v>31245</v>
      </c>
      <c r="P14" s="304">
        <f t="shared" ref="P14:P15" si="11">O15-N14</f>
        <v>-31245</v>
      </c>
      <c r="Q14" s="304">
        <f t="shared" si="4"/>
        <v>36538</v>
      </c>
      <c r="R14" s="125">
        <v>36538</v>
      </c>
      <c r="S14" s="304">
        <f t="shared" si="5"/>
        <v>0</v>
      </c>
      <c r="T14" s="304">
        <f t="shared" si="6"/>
        <v>33733</v>
      </c>
      <c r="U14" s="125">
        <v>33733</v>
      </c>
      <c r="V14" s="304">
        <f t="shared" si="7"/>
        <v>0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-31245</v>
      </c>
      <c r="AA14" s="125">
        <v>220</v>
      </c>
      <c r="AB14" s="125">
        <v>120</v>
      </c>
      <c r="AC14" s="684">
        <f>Gen!AR19</f>
        <v>1204.24</v>
      </c>
    </row>
    <row r="15" spans="1:29" ht="20.100000000000001" customHeight="1" thickBot="1">
      <c r="A15" s="856">
        <f>Gen!A20</f>
        <v>44326</v>
      </c>
      <c r="B15" s="851"/>
      <c r="C15" s="850">
        <v>24253.75</v>
      </c>
      <c r="D15" s="145">
        <v>22273</v>
      </c>
      <c r="E15" s="852"/>
      <c r="F15" s="145"/>
      <c r="G15" s="862"/>
      <c r="H15" s="145"/>
      <c r="I15" s="145">
        <v>32033.4</v>
      </c>
      <c r="J15" s="848">
        <v>21357.1</v>
      </c>
      <c r="K15" s="858">
        <f t="shared" si="0"/>
        <v>36310</v>
      </c>
      <c r="L15" s="305"/>
      <c r="M15" s="304">
        <f t="shared" si="1"/>
        <v>-36310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36538</v>
      </c>
      <c r="R15" s="125"/>
      <c r="S15" s="304">
        <f t="shared" si="5"/>
        <v>-36538</v>
      </c>
      <c r="T15" s="304">
        <f t="shared" si="6"/>
        <v>33733</v>
      </c>
      <c r="U15" s="305"/>
      <c r="V15" s="304">
        <f t="shared" si="7"/>
        <v>-33733</v>
      </c>
      <c r="W15" s="306">
        <f t="shared" si="8"/>
        <v>22034</v>
      </c>
      <c r="X15" s="673"/>
      <c r="Y15" s="304">
        <f t="shared" si="9"/>
        <v>-22034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 thickBot="1">
      <c r="A16" s="856">
        <f>Gen!A21</f>
        <v>44327</v>
      </c>
      <c r="B16" s="851"/>
      <c r="C16" s="850"/>
      <c r="D16" s="145"/>
      <c r="E16" s="852"/>
      <c r="F16" s="145"/>
      <c r="G16" s="145"/>
      <c r="H16" s="145"/>
      <c r="I16" s="145"/>
      <c r="J16" s="848"/>
      <c r="K16" s="85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 thickBot="1">
      <c r="A17" s="856">
        <f>Gen!A22</f>
        <v>44328</v>
      </c>
      <c r="B17" s="851"/>
      <c r="C17" s="850"/>
      <c r="D17" s="145"/>
      <c r="E17" s="852"/>
      <c r="F17" s="145"/>
      <c r="G17" s="145"/>
      <c r="H17" s="145"/>
      <c r="I17" s="145"/>
      <c r="J17" s="848"/>
      <c r="K17" s="85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 thickBot="1">
      <c r="A18" s="856">
        <f>Gen!A23</f>
        <v>44329</v>
      </c>
      <c r="B18" s="851"/>
      <c r="C18" s="850"/>
      <c r="D18" s="145"/>
      <c r="E18" s="145"/>
      <c r="F18" s="145"/>
      <c r="G18" s="145"/>
      <c r="H18" s="145"/>
      <c r="I18" s="145"/>
      <c r="J18" s="848"/>
      <c r="K18" s="85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 thickBot="1">
      <c r="A19" s="856">
        <f>Gen!A24</f>
        <v>44330</v>
      </c>
      <c r="B19" s="851"/>
      <c r="C19" s="850"/>
      <c r="D19" s="145"/>
      <c r="E19" s="145"/>
      <c r="F19" s="145"/>
      <c r="G19" s="145"/>
      <c r="H19" s="145"/>
      <c r="I19" s="145"/>
      <c r="J19" s="848"/>
      <c r="K19" s="85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6">
        <f>Gen!A25</f>
        <v>44331</v>
      </c>
      <c r="B20" s="851"/>
      <c r="C20" s="850"/>
      <c r="D20" s="145"/>
      <c r="E20" s="145"/>
      <c r="F20" s="145"/>
      <c r="G20" s="145"/>
      <c r="H20" s="145"/>
      <c r="I20" s="145"/>
      <c r="J20" s="848"/>
      <c r="K20" s="85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6">
        <f>Gen!A26</f>
        <v>44332</v>
      </c>
      <c r="B21" s="851"/>
      <c r="C21" s="850"/>
      <c r="D21" s="145"/>
      <c r="E21" s="145"/>
      <c r="F21" s="145"/>
      <c r="G21" s="145"/>
      <c r="H21" s="145"/>
      <c r="I21" s="145"/>
      <c r="J21" s="848"/>
      <c r="K21" s="85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6">
        <f>Gen!A27</f>
        <v>44333</v>
      </c>
      <c r="B22" s="851"/>
      <c r="C22" s="850"/>
      <c r="D22" s="145"/>
      <c r="E22" s="145"/>
      <c r="F22" s="145"/>
      <c r="G22" s="145"/>
      <c r="H22" s="145"/>
      <c r="I22" s="145"/>
      <c r="J22" s="848"/>
      <c r="K22" s="85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44334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44335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44336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44337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44338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44339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44340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44341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44342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44343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44344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44345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44346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44347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AB24" sqref="AB24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44317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v>27860.560000000001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44317</v>
      </c>
      <c r="B11" s="824">
        <v>0.01</v>
      </c>
      <c r="C11" s="802">
        <f>SUM(C9+D11)</f>
        <v>27860.560000000001</v>
      </c>
      <c r="D11" s="803"/>
      <c r="E11" s="800">
        <v>15000</v>
      </c>
      <c r="F11" s="846" t="s">
        <v>319</v>
      </c>
      <c r="G11" s="801"/>
      <c r="H11" s="204"/>
      <c r="I11" s="223"/>
      <c r="J11" s="204"/>
      <c r="K11" s="204">
        <v>1091.6300000000001</v>
      </c>
      <c r="L11" s="299"/>
      <c r="M11" s="298"/>
      <c r="N11" s="206"/>
      <c r="O11" s="206"/>
      <c r="P11" s="206"/>
      <c r="Q11" s="206">
        <v>2650</v>
      </c>
      <c r="R11" s="562"/>
      <c r="S11" s="570">
        <f t="shared" si="0"/>
        <v>1091.6300000000001</v>
      </c>
      <c r="T11" s="218">
        <f t="shared" si="1"/>
        <v>2650</v>
      </c>
      <c r="U11" s="571">
        <f t="shared" ref="U11:U41" si="4">S11/T11</f>
        <v>0.4119358490566038</v>
      </c>
      <c r="V11" s="211"/>
      <c r="W11" s="219"/>
      <c r="X11" s="197"/>
      <c r="Y11" s="219"/>
      <c r="Z11" s="204"/>
      <c r="AA11" s="273"/>
      <c r="AB11" s="219">
        <v>88.75</v>
      </c>
      <c r="AC11" s="219"/>
      <c r="AD11" s="219"/>
      <c r="AE11" s="219"/>
      <c r="AF11" s="219"/>
      <c r="AG11" s="219"/>
      <c r="AH11" s="219"/>
      <c r="AI11" s="386"/>
      <c r="AJ11" s="271">
        <f t="shared" si="3"/>
        <v>88.75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1180.3800000000001</v>
      </c>
      <c r="AS11" s="221">
        <f>AR11*AU11</f>
        <v>0</v>
      </c>
      <c r="AT11" s="283">
        <f t="shared" ref="AT11:AT43" si="5">C11</f>
        <v>27860.560000000001</v>
      </c>
    </row>
    <row r="12" spans="1:46" ht="13.5" customHeight="1">
      <c r="A12" s="575">
        <v>44318</v>
      </c>
      <c r="B12" s="825">
        <v>0</v>
      </c>
      <c r="C12" s="802">
        <f t="shared" ref="C12:C43" si="6">SUM(C11-AR11+D12)</f>
        <v>26680.18</v>
      </c>
      <c r="D12" s="803"/>
      <c r="E12" s="800"/>
      <c r="F12" s="525"/>
      <c r="G12" s="801">
        <v>1114.1600000000001</v>
      </c>
      <c r="H12" s="204"/>
      <c r="I12" s="223"/>
      <c r="J12" s="204"/>
      <c r="K12" s="204"/>
      <c r="L12" s="299"/>
      <c r="M12" s="298">
        <v>2697</v>
      </c>
      <c r="N12" s="206"/>
      <c r="O12" s="206"/>
      <c r="P12" s="206"/>
      <c r="Q12" s="206"/>
      <c r="R12" s="562"/>
      <c r="S12" s="570">
        <f t="shared" si="0"/>
        <v>1114.1600000000001</v>
      </c>
      <c r="T12" s="218">
        <f t="shared" si="1"/>
        <v>2697</v>
      </c>
      <c r="U12" s="571">
        <f t="shared" si="4"/>
        <v>0.41311086392287732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>SUM(V12:AI12)</f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1114.1600000000001</v>
      </c>
      <c r="AS12" s="221">
        <f t="shared" ref="AS12:AS44" si="7">AR12*AU12</f>
        <v>0</v>
      </c>
      <c r="AT12" s="283">
        <f t="shared" si="5"/>
        <v>26680.18</v>
      </c>
    </row>
    <row r="13" spans="1:46" ht="13.5" customHeight="1">
      <c r="A13" s="575">
        <v>44319</v>
      </c>
      <c r="B13" s="826">
        <v>3.9E-2</v>
      </c>
      <c r="C13" s="802">
        <f t="shared" si="6"/>
        <v>40466.020000000004</v>
      </c>
      <c r="D13" s="803">
        <v>14900</v>
      </c>
      <c r="E13" s="800"/>
      <c r="F13" s="525"/>
      <c r="G13" s="801"/>
      <c r="H13" s="204"/>
      <c r="I13" s="223"/>
      <c r="J13" s="204"/>
      <c r="K13" s="204">
        <v>1088.57</v>
      </c>
      <c r="L13" s="299"/>
      <c r="M13" s="298"/>
      <c r="N13" s="206"/>
      <c r="O13" s="206"/>
      <c r="P13" s="206"/>
      <c r="Q13" s="206">
        <v>2639</v>
      </c>
      <c r="R13" s="562"/>
      <c r="S13" s="570">
        <f t="shared" si="0"/>
        <v>1088.57</v>
      </c>
      <c r="T13" s="218">
        <f t="shared" si="1"/>
        <v>2639</v>
      </c>
      <c r="U13" s="571">
        <f t="shared" si="4"/>
        <v>0.41249336870026521</v>
      </c>
      <c r="V13" s="211"/>
      <c r="W13" s="219"/>
      <c r="X13" s="197">
        <v>29.76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29.76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1118.33</v>
      </c>
      <c r="AS13" s="221">
        <f t="shared" si="7"/>
        <v>0</v>
      </c>
      <c r="AT13" s="283">
        <f t="shared" si="5"/>
        <v>40466.020000000004</v>
      </c>
    </row>
    <row r="14" spans="1:46" ht="13.5" customHeight="1">
      <c r="A14" s="575">
        <v>44320</v>
      </c>
      <c r="B14" s="826">
        <v>5.1999999999999998E-2</v>
      </c>
      <c r="C14" s="802">
        <f t="shared" si="6"/>
        <v>39347.69</v>
      </c>
      <c r="D14" s="803"/>
      <c r="E14" s="800"/>
      <c r="F14" s="804"/>
      <c r="G14" s="801"/>
      <c r="H14" s="204"/>
      <c r="I14" s="223"/>
      <c r="J14" s="204">
        <v>1166.47</v>
      </c>
      <c r="K14" s="204"/>
      <c r="L14" s="299"/>
      <c r="M14" s="298"/>
      <c r="N14" s="206"/>
      <c r="O14" s="206"/>
      <c r="P14" s="206">
        <v>2826</v>
      </c>
      <c r="Q14" s="206"/>
      <c r="R14" s="562"/>
      <c r="S14" s="570">
        <f t="shared" si="0"/>
        <v>1166.47</v>
      </c>
      <c r="T14" s="218">
        <f t="shared" si="1"/>
        <v>2826</v>
      </c>
      <c r="U14" s="571">
        <f t="shared" si="4"/>
        <v>0.41276362349610757</v>
      </c>
      <c r="V14" s="211"/>
      <c r="W14" s="219"/>
      <c r="X14" s="197">
        <v>38.130000000000003</v>
      </c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38.130000000000003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1204.6000000000001</v>
      </c>
      <c r="AS14" s="221">
        <f t="shared" si="7"/>
        <v>0</v>
      </c>
      <c r="AT14" s="283">
        <f t="shared" si="5"/>
        <v>39347.69</v>
      </c>
    </row>
    <row r="15" spans="1:46" ht="13.5" customHeight="1">
      <c r="A15" s="575">
        <v>44321</v>
      </c>
      <c r="B15" s="826">
        <v>5.6000000000000001E-2</v>
      </c>
      <c r="C15" s="802">
        <f t="shared" si="6"/>
        <v>38143.090000000004</v>
      </c>
      <c r="D15" s="803"/>
      <c r="E15" s="800"/>
      <c r="F15" s="804"/>
      <c r="G15" s="801"/>
      <c r="H15" s="204">
        <v>1125.1500000000001</v>
      </c>
      <c r="I15" s="223"/>
      <c r="J15" s="204"/>
      <c r="K15" s="204"/>
      <c r="L15" s="299"/>
      <c r="M15" s="298"/>
      <c r="N15" s="206">
        <v>2780</v>
      </c>
      <c r="O15" s="206"/>
      <c r="P15" s="206"/>
      <c r="Q15" s="206"/>
      <c r="R15" s="562"/>
      <c r="S15" s="570">
        <f t="shared" si="0"/>
        <v>1125.1500000000001</v>
      </c>
      <c r="T15" s="218">
        <f t="shared" si="1"/>
        <v>2780</v>
      </c>
      <c r="U15" s="571">
        <f t="shared" si="4"/>
        <v>0.40473021582733815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1125.1500000000001</v>
      </c>
      <c r="AS15" s="221">
        <f t="shared" si="7"/>
        <v>0</v>
      </c>
      <c r="AT15" s="283">
        <f t="shared" si="5"/>
        <v>38143.090000000004</v>
      </c>
    </row>
    <row r="16" spans="1:46" ht="13.5" customHeight="1">
      <c r="A16" s="575">
        <v>44322</v>
      </c>
      <c r="B16" s="826">
        <v>5.6000000000000001E-2</v>
      </c>
      <c r="C16" s="802">
        <f t="shared" si="6"/>
        <v>37017.94</v>
      </c>
      <c r="D16" s="803"/>
      <c r="E16" s="800"/>
      <c r="F16" s="804"/>
      <c r="G16" s="801">
        <v>1179.4100000000001</v>
      </c>
      <c r="H16" s="204"/>
      <c r="I16" s="223"/>
      <c r="J16" s="204"/>
      <c r="K16" s="204"/>
      <c r="L16" s="299"/>
      <c r="M16" s="298">
        <v>2900</v>
      </c>
      <c r="N16" s="206"/>
      <c r="O16" s="206"/>
      <c r="P16" s="206"/>
      <c r="Q16" s="206"/>
      <c r="R16" s="562"/>
      <c r="S16" s="570">
        <f t="shared" si="0"/>
        <v>1179.4100000000001</v>
      </c>
      <c r="T16" s="218">
        <f t="shared" si="1"/>
        <v>2900</v>
      </c>
      <c r="U16" s="571">
        <f t="shared" si="4"/>
        <v>0.40669310344827592</v>
      </c>
      <c r="V16" s="211"/>
      <c r="W16" s="219"/>
      <c r="X16" s="197">
        <v>25.75</v>
      </c>
      <c r="Y16" s="219"/>
      <c r="Z16" s="204">
        <v>70.400000000000006</v>
      </c>
      <c r="AA16" s="273"/>
      <c r="AB16" s="219"/>
      <c r="AC16" s="219"/>
      <c r="AD16" s="219">
        <v>298.44</v>
      </c>
      <c r="AE16" s="219">
        <v>105.54</v>
      </c>
      <c r="AF16" s="219"/>
      <c r="AG16" s="219"/>
      <c r="AH16" s="219"/>
      <c r="AI16" s="386"/>
      <c r="AJ16" s="271">
        <f t="shared" si="3"/>
        <v>500.13000000000005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1679.5400000000002</v>
      </c>
      <c r="AS16" s="221">
        <f t="shared" si="7"/>
        <v>0</v>
      </c>
      <c r="AT16" s="283">
        <f t="shared" si="5"/>
        <v>37017.94</v>
      </c>
    </row>
    <row r="17" spans="1:46" ht="13.5" customHeight="1">
      <c r="A17" s="575">
        <v>44323</v>
      </c>
      <c r="B17" s="826"/>
      <c r="C17" s="802">
        <f t="shared" si="6"/>
        <v>35338.400000000001</v>
      </c>
      <c r="D17" s="803"/>
      <c r="E17" s="800"/>
      <c r="F17" s="804"/>
      <c r="G17" s="801"/>
      <c r="H17" s="204"/>
      <c r="I17" s="223"/>
      <c r="J17" s="204"/>
      <c r="K17" s="204">
        <v>1126.3599999999999</v>
      </c>
      <c r="L17" s="299"/>
      <c r="M17" s="298"/>
      <c r="N17" s="206"/>
      <c r="O17" s="206"/>
      <c r="P17" s="206"/>
      <c r="Q17" s="206">
        <v>2734</v>
      </c>
      <c r="R17" s="562"/>
      <c r="S17" s="570">
        <f t="shared" si="0"/>
        <v>1126.3599999999999</v>
      </c>
      <c r="T17" s="218">
        <f t="shared" si="1"/>
        <v>2734</v>
      </c>
      <c r="U17" s="571">
        <f t="shared" si="4"/>
        <v>0.41198244330651057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1126.3599999999999</v>
      </c>
      <c r="AS17" s="221">
        <f t="shared" si="7"/>
        <v>0</v>
      </c>
      <c r="AT17" s="283">
        <f t="shared" si="5"/>
        <v>35338.400000000001</v>
      </c>
    </row>
    <row r="18" spans="1:46" ht="13.5" customHeight="1">
      <c r="A18" s="575">
        <v>44324</v>
      </c>
      <c r="B18" s="826"/>
      <c r="C18" s="802">
        <f t="shared" si="6"/>
        <v>49212.04</v>
      </c>
      <c r="D18" s="803">
        <v>15000</v>
      </c>
      <c r="E18" s="800"/>
      <c r="F18" s="804"/>
      <c r="G18" s="801"/>
      <c r="H18" s="204"/>
      <c r="I18" s="223"/>
      <c r="J18" s="204">
        <v>1233.05</v>
      </c>
      <c r="K18" s="204"/>
      <c r="L18" s="299"/>
      <c r="M18" s="298"/>
      <c r="N18" s="206"/>
      <c r="O18" s="206"/>
      <c r="P18" s="206">
        <v>2996</v>
      </c>
      <c r="Q18" s="206"/>
      <c r="R18" s="562"/>
      <c r="S18" s="570">
        <f t="shared" si="0"/>
        <v>1233.05</v>
      </c>
      <c r="T18" s="218">
        <f t="shared" si="1"/>
        <v>2996</v>
      </c>
      <c r="U18" s="571">
        <f t="shared" si="4"/>
        <v>0.41156542056074763</v>
      </c>
      <c r="V18" s="211"/>
      <c r="W18" s="219"/>
      <c r="X18" s="197">
        <v>61.73</v>
      </c>
      <c r="Y18" s="219"/>
      <c r="Z18" s="204">
        <v>76.239999999999995</v>
      </c>
      <c r="AA18" s="273"/>
      <c r="AB18" s="219"/>
      <c r="AC18" s="219"/>
      <c r="AD18" s="219"/>
      <c r="AE18" s="219"/>
      <c r="AF18" s="219"/>
      <c r="AG18" s="219"/>
      <c r="AH18" s="219">
        <v>110.03</v>
      </c>
      <c r="AI18" s="386"/>
      <c r="AJ18" s="271">
        <f t="shared" si="3"/>
        <v>248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1481.05</v>
      </c>
      <c r="AS18" s="221">
        <f t="shared" si="7"/>
        <v>0</v>
      </c>
      <c r="AT18" s="283">
        <f t="shared" si="5"/>
        <v>49212.04</v>
      </c>
    </row>
    <row r="19" spans="1:46" ht="13.5" customHeight="1">
      <c r="A19" s="575">
        <v>44325</v>
      </c>
      <c r="B19" s="826"/>
      <c r="C19" s="802">
        <f t="shared" si="6"/>
        <v>47730.99</v>
      </c>
      <c r="D19" s="803"/>
      <c r="E19" s="800"/>
      <c r="F19" s="804"/>
      <c r="G19" s="801"/>
      <c r="H19" s="204">
        <v>1058.0899999999999</v>
      </c>
      <c r="I19" s="223"/>
      <c r="J19" s="204"/>
      <c r="K19" s="204"/>
      <c r="L19" s="299"/>
      <c r="M19" s="298"/>
      <c r="N19" s="206">
        <v>2627</v>
      </c>
      <c r="O19" s="206"/>
      <c r="P19" s="206"/>
      <c r="Q19" s="206"/>
      <c r="R19" s="562"/>
      <c r="S19" s="570">
        <f t="shared" si="0"/>
        <v>1058.0899999999999</v>
      </c>
      <c r="T19" s="218">
        <f t="shared" si="1"/>
        <v>2627</v>
      </c>
      <c r="U19" s="571">
        <f t="shared" si="4"/>
        <v>0.40277502854967639</v>
      </c>
      <c r="V19" s="211"/>
      <c r="W19" s="219"/>
      <c r="X19" s="197"/>
      <c r="Y19" s="219"/>
      <c r="Z19" s="204"/>
      <c r="AA19" s="273"/>
      <c r="AB19" s="219">
        <v>72.39</v>
      </c>
      <c r="AC19" s="219"/>
      <c r="AD19" s="219"/>
      <c r="AE19" s="219"/>
      <c r="AF19" s="219">
        <v>73.760000000000005</v>
      </c>
      <c r="AG19" s="219"/>
      <c r="AH19" s="219"/>
      <c r="AI19" s="386"/>
      <c r="AJ19" s="271">
        <f t="shared" si="3"/>
        <v>146.15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1204.24</v>
      </c>
      <c r="AS19" s="221">
        <f t="shared" si="7"/>
        <v>0</v>
      </c>
      <c r="AT19" s="283">
        <f t="shared" si="5"/>
        <v>47730.99</v>
      </c>
    </row>
    <row r="20" spans="1:46" ht="15.75">
      <c r="A20" s="575">
        <v>44326</v>
      </c>
      <c r="B20" s="826"/>
      <c r="C20" s="802">
        <f t="shared" si="6"/>
        <v>46526.75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46526.75</v>
      </c>
    </row>
    <row r="21" spans="1:46" ht="15.75">
      <c r="A21" s="575">
        <v>44327</v>
      </c>
      <c r="B21" s="826"/>
      <c r="C21" s="802">
        <f t="shared" si="6"/>
        <v>46526.75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46526.75</v>
      </c>
    </row>
    <row r="22" spans="1:46" ht="15.75">
      <c r="A22" s="575">
        <v>44328</v>
      </c>
      <c r="B22" s="826"/>
      <c r="C22" s="802">
        <f t="shared" si="6"/>
        <v>46526.75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46526.75</v>
      </c>
    </row>
    <row r="23" spans="1:46" ht="13.5" customHeight="1">
      <c r="A23" s="575">
        <v>44329</v>
      </c>
      <c r="B23" s="826"/>
      <c r="C23" s="802">
        <f t="shared" si="6"/>
        <v>46526.75</v>
      </c>
      <c r="D23" s="803"/>
      <c r="E23" s="800">
        <v>15000</v>
      </c>
      <c r="F23" s="847" t="s">
        <v>319</v>
      </c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46526.75</v>
      </c>
    </row>
    <row r="24" spans="1:46" ht="15.75">
      <c r="A24" s="575">
        <v>44330</v>
      </c>
      <c r="B24" s="826"/>
      <c r="C24" s="802">
        <f t="shared" si="6"/>
        <v>46526.75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>SUM(F24:L24)</f>
        <v>0</v>
      </c>
      <c r="T24" s="218">
        <f t="shared" si="1"/>
        <v>0</v>
      </c>
      <c r="U24" s="571" t="e">
        <f>S24/T24</f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>SUM(AJ24+S24)</f>
        <v>0</v>
      </c>
      <c r="AS24" s="221">
        <f t="shared" si="7"/>
        <v>0</v>
      </c>
      <c r="AT24" s="283">
        <f t="shared" si="5"/>
        <v>46526.75</v>
      </c>
    </row>
    <row r="25" spans="1:46" ht="15.75">
      <c r="A25" s="575">
        <v>44331</v>
      </c>
      <c r="B25" s="826"/>
      <c r="C25" s="802">
        <f t="shared" si="6"/>
        <v>46526.75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>SUM(M25:R25)</f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46526.75</v>
      </c>
    </row>
    <row r="26" spans="1:46" ht="15.75">
      <c r="A26" s="575">
        <v>44332</v>
      </c>
      <c r="B26" s="826"/>
      <c r="C26" s="802">
        <f t="shared" si="6"/>
        <v>46526.75</v>
      </c>
      <c r="D26" s="803"/>
      <c r="E26" s="800"/>
      <c r="F26" s="805"/>
      <c r="G26" s="801"/>
      <c r="H26" s="219"/>
      <c r="I26" s="205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>SUM(M26:R26)</f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46526.75</v>
      </c>
    </row>
    <row r="27" spans="1:46" ht="15.75">
      <c r="A27" s="575">
        <v>44333</v>
      </c>
      <c r="B27" s="826"/>
      <c r="C27" s="802">
        <f t="shared" si="6"/>
        <v>46526.75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46526.75</v>
      </c>
    </row>
    <row r="28" spans="1:46" ht="15.75">
      <c r="A28" s="575">
        <v>44334</v>
      </c>
      <c r="B28" s="826"/>
      <c r="C28" s="802">
        <f t="shared" si="6"/>
        <v>46526.75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46526.75</v>
      </c>
    </row>
    <row r="29" spans="1:46" ht="15.75">
      <c r="A29" s="575">
        <v>44335</v>
      </c>
      <c r="B29" s="826"/>
      <c r="C29" s="802">
        <f t="shared" si="6"/>
        <v>46526.75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46526.75</v>
      </c>
    </row>
    <row r="30" spans="1:46" ht="15.75">
      <c r="A30" s="575">
        <v>44336</v>
      </c>
      <c r="B30" s="826"/>
      <c r="C30" s="802">
        <f t="shared" si="6"/>
        <v>46526.75</v>
      </c>
      <c r="D30" s="803"/>
      <c r="E30" s="800"/>
      <c r="F30" s="804"/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46526.75</v>
      </c>
    </row>
    <row r="31" spans="1:46" ht="15.75">
      <c r="A31" s="575">
        <v>44337</v>
      </c>
      <c r="B31" s="826"/>
      <c r="C31" s="802">
        <f t="shared" si="6"/>
        <v>46526.75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46526.75</v>
      </c>
    </row>
    <row r="32" spans="1:46" ht="15.75">
      <c r="A32" s="575">
        <v>44338</v>
      </c>
      <c r="B32" s="826"/>
      <c r="C32" s="802">
        <f t="shared" si="6"/>
        <v>46526.75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46526.75</v>
      </c>
    </row>
    <row r="33" spans="1:46" ht="15.75">
      <c r="A33" s="575">
        <v>44339</v>
      </c>
      <c r="B33" s="826"/>
      <c r="C33" s="802">
        <f t="shared" si="6"/>
        <v>46526.75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46526.75</v>
      </c>
    </row>
    <row r="34" spans="1:46" ht="15.75">
      <c r="A34" s="575">
        <v>44340</v>
      </c>
      <c r="B34" s="826"/>
      <c r="C34" s="802">
        <f t="shared" si="6"/>
        <v>46526.75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46526.75</v>
      </c>
    </row>
    <row r="35" spans="1:46" ht="15.75">
      <c r="A35" s="575">
        <v>44341</v>
      </c>
      <c r="B35" s="826"/>
      <c r="C35" s="802">
        <f t="shared" si="6"/>
        <v>46526.75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46526.75</v>
      </c>
    </row>
    <row r="36" spans="1:46" ht="15.75">
      <c r="A36" s="575">
        <v>44342</v>
      </c>
      <c r="B36" s="826"/>
      <c r="C36" s="802">
        <f t="shared" si="6"/>
        <v>46526.75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46526.75</v>
      </c>
    </row>
    <row r="37" spans="1:46" ht="15.75">
      <c r="A37" s="575">
        <v>44343</v>
      </c>
      <c r="B37" s="826"/>
      <c r="C37" s="802">
        <f t="shared" si="6"/>
        <v>46526.75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46526.75</v>
      </c>
    </row>
    <row r="38" spans="1:46" ht="15.75">
      <c r="A38" s="575">
        <v>44344</v>
      </c>
      <c r="B38" s="826"/>
      <c r="C38" s="802">
        <f t="shared" si="6"/>
        <v>46526.75</v>
      </c>
      <c r="D38" s="803"/>
      <c r="E38" s="800">
        <v>15000</v>
      </c>
      <c r="F38" s="846" t="s">
        <v>319</v>
      </c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46526.75</v>
      </c>
    </row>
    <row r="39" spans="1:46" ht="15.75">
      <c r="A39" s="575">
        <v>44345</v>
      </c>
      <c r="B39" s="826"/>
      <c r="C39" s="802">
        <f t="shared" si="6"/>
        <v>46526.75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46526.75</v>
      </c>
    </row>
    <row r="40" spans="1:46" ht="15.75">
      <c r="A40" s="575">
        <v>44346</v>
      </c>
      <c r="B40" s="826"/>
      <c r="C40" s="802">
        <f t="shared" si="6"/>
        <v>46526.75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46526.75</v>
      </c>
    </row>
    <row r="41" spans="1:46" ht="15.75">
      <c r="A41" s="575">
        <v>44347</v>
      </c>
      <c r="B41" s="826"/>
      <c r="C41" s="802">
        <f t="shared" si="6"/>
        <v>46526.75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46526.75</v>
      </c>
    </row>
    <row r="42" spans="1:46" ht="14.25">
      <c r="A42" s="575"/>
      <c r="B42" s="574"/>
      <c r="C42" s="802">
        <f t="shared" si="6"/>
        <v>46526.75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46526.75</v>
      </c>
    </row>
    <row r="43" spans="1:46" ht="14.25">
      <c r="A43" s="495" t="s">
        <v>25</v>
      </c>
      <c r="B43" s="469">
        <f>AVERAGE(B11:B42)</f>
        <v>3.5499999999999997E-2</v>
      </c>
      <c r="C43" s="798">
        <f t="shared" si="6"/>
        <v>46526.75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46526.75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29900</v>
      </c>
      <c r="E45" s="313">
        <f>SUM(E11:E42)</f>
        <v>45000</v>
      </c>
      <c r="F45" s="814">
        <f t="shared" ref="F45:O45" si="8">SUM(F11:F44)</f>
        <v>0</v>
      </c>
      <c r="G45" s="313">
        <f t="shared" si="8"/>
        <v>2293.5700000000002</v>
      </c>
      <c r="H45" s="308">
        <f t="shared" si="8"/>
        <v>2183.2399999999998</v>
      </c>
      <c r="I45" s="313">
        <f t="shared" si="8"/>
        <v>0</v>
      </c>
      <c r="J45" s="308">
        <f t="shared" si="8"/>
        <v>2399.52</v>
      </c>
      <c r="K45" s="313">
        <f t="shared" si="8"/>
        <v>3306.5599999999995</v>
      </c>
      <c r="L45" s="308">
        <f t="shared" si="8"/>
        <v>0</v>
      </c>
      <c r="M45" s="313">
        <f t="shared" si="8"/>
        <v>5597</v>
      </c>
      <c r="N45" s="553">
        <f t="shared" si="8"/>
        <v>5407</v>
      </c>
      <c r="O45" s="313">
        <f t="shared" si="8"/>
        <v>0</v>
      </c>
      <c r="P45" s="308">
        <f>SUM(P11:P43)</f>
        <v>5822</v>
      </c>
      <c r="Q45" s="313">
        <f>SUM(Q11:Q44)</f>
        <v>8023</v>
      </c>
      <c r="R45" s="308">
        <f>SUM(R11:R44)</f>
        <v>0</v>
      </c>
      <c r="S45" s="551">
        <f>SUM(G45:L45)</f>
        <v>10182.89</v>
      </c>
      <c r="T45" s="308">
        <f>SUM(M45:R45)</f>
        <v>24849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155.37</v>
      </c>
      <c r="Y45" s="234">
        <f t="shared" si="9"/>
        <v>0</v>
      </c>
      <c r="Z45" s="546">
        <f t="shared" si="9"/>
        <v>146.63999999999999</v>
      </c>
      <c r="AA45" s="234">
        <f t="shared" si="9"/>
        <v>0</v>
      </c>
      <c r="AB45" s="546">
        <f t="shared" si="9"/>
        <v>161.13999999999999</v>
      </c>
      <c r="AC45" s="234">
        <f>SUM(AC10:AC44)</f>
        <v>0</v>
      </c>
      <c r="AD45" s="546">
        <f>SUM(AD10:AD44)</f>
        <v>298.44</v>
      </c>
      <c r="AE45" s="234">
        <f>SUM(AE9:AE44)</f>
        <v>105.54</v>
      </c>
      <c r="AF45" s="546">
        <f>SUM(AF9:AF44)</f>
        <v>73.760000000000005</v>
      </c>
      <c r="AG45" s="234">
        <f>SUM(AG9:AG44)</f>
        <v>0</v>
      </c>
      <c r="AH45" s="546">
        <f>SUM(AH9:AH43)</f>
        <v>110.03</v>
      </c>
      <c r="AI45" s="234">
        <f>SUM(AI9:AI39)</f>
        <v>0</v>
      </c>
      <c r="AJ45" s="546">
        <f>SUM(AJ9:AJ44)</f>
        <v>1050.92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11233.81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328.48032258064512</v>
      </c>
      <c r="T47" s="316">
        <f>S45*2315</f>
        <v>23573390.349999998</v>
      </c>
      <c r="U47" s="317" t="s">
        <v>244</v>
      </c>
      <c r="AR47" s="522">
        <f>AR45*2143</f>
        <v>24074054.829999998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10298.554106596766</v>
      </c>
      <c r="U48" s="317" t="s">
        <v>245</v>
      </c>
      <c r="W48" s="191"/>
      <c r="X48" s="191"/>
      <c r="Y48" s="191"/>
      <c r="Z48" s="191"/>
      <c r="AA48" s="191"/>
      <c r="AR48" s="316">
        <f>AR47/2289</f>
        <v>10517.280397553515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/>
      <c r="C52" s="498"/>
      <c r="D52" s="500"/>
      <c r="E52" s="499"/>
      <c r="F52" s="526"/>
      <c r="H52" s="529"/>
      <c r="I52" s="506"/>
      <c r="J52" s="506"/>
      <c r="K52" s="506"/>
      <c r="L52" s="530"/>
      <c r="N52" s="348"/>
      <c r="O52" s="506"/>
      <c r="P52" s="524"/>
      <c r="Q52" s="524"/>
      <c r="R52" s="510"/>
      <c r="T52" s="348"/>
      <c r="U52" s="531"/>
      <c r="V52" s="612"/>
      <c r="W52" s="532"/>
      <c r="X52" s="532"/>
      <c r="Y52" s="533"/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/>
      <c r="U53" s="200"/>
      <c r="V53" s="612"/>
      <c r="W53" s="499"/>
      <c r="X53" s="499"/>
      <c r="Y53" s="819"/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44317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44318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44319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44320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44321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44322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44323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44324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44325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44326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44327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44328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44329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44330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44331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44332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44333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44334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44335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44336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44337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44338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44339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44340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44341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44342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44343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44344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44345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44346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44347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2" sqref="F2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85</v>
      </c>
      <c r="C9" s="268">
        <v>85</v>
      </c>
      <c r="D9" s="268">
        <v>1</v>
      </c>
      <c r="E9" s="268"/>
      <c r="F9" s="268">
        <v>76246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44317</v>
      </c>
      <c r="B10" s="268">
        <v>85</v>
      </c>
      <c r="C10" s="268">
        <v>85</v>
      </c>
      <c r="D10" s="268">
        <v>1</v>
      </c>
      <c r="E10" s="268"/>
      <c r="F10" s="268">
        <v>76246</v>
      </c>
      <c r="G10" s="268">
        <f t="shared" ref="G10:G41" si="0">(F10-F9)*4.4</f>
        <v>0</v>
      </c>
      <c r="H10" s="111">
        <f>[4]Gen!B11</f>
        <v>7.6999999999999999E-2</v>
      </c>
      <c r="I10" s="843">
        <f>SUM(F10/H10)</f>
        <v>990207.79220779217</v>
      </c>
      <c r="J10" s="844">
        <f t="shared" ref="J10:J40" si="1">SUM(G10/I10)</f>
        <v>0</v>
      </c>
      <c r="N10" s="156"/>
      <c r="O10" s="156"/>
    </row>
    <row r="11" spans="1:15" ht="18.75">
      <c r="A11" s="94">
        <f>Gen!A12</f>
        <v>44318</v>
      </c>
      <c r="B11" s="268">
        <v>85</v>
      </c>
      <c r="C11" s="268">
        <v>85</v>
      </c>
      <c r="D11" s="268">
        <v>1</v>
      </c>
      <c r="E11" s="268"/>
      <c r="F11" s="268">
        <v>76257.279999999999</v>
      </c>
      <c r="G11" s="268">
        <f t="shared" si="0"/>
        <v>49.631999999994882</v>
      </c>
      <c r="H11" s="111">
        <f>[4]Gen!B12</f>
        <v>9.0999999999999998E-2</v>
      </c>
      <c r="I11" s="843">
        <f t="shared" ref="I11:I41" si="2">SUM(F11/H11)</f>
        <v>837992.08791208791</v>
      </c>
      <c r="J11" s="844">
        <f t="shared" si="1"/>
        <v>5.9227289512549284E-5</v>
      </c>
      <c r="M11" s="156"/>
      <c r="N11" s="156"/>
    </row>
    <row r="12" spans="1:15" ht="18.75">
      <c r="A12" s="94">
        <f>Gen!A13</f>
        <v>44319</v>
      </c>
      <c r="B12" s="268">
        <v>85</v>
      </c>
      <c r="C12" s="268">
        <v>85</v>
      </c>
      <c r="D12" s="268">
        <v>0</v>
      </c>
      <c r="E12" s="268"/>
      <c r="F12" s="268">
        <v>76267</v>
      </c>
      <c r="G12" s="268">
        <f t="shared" si="0"/>
        <v>42.768000000005124</v>
      </c>
      <c r="H12" s="111">
        <f>[4]Gen!B13</f>
        <v>1.2999999999999999E-2</v>
      </c>
      <c r="I12" s="843">
        <f t="shared" si="2"/>
        <v>5866692.307692308</v>
      </c>
      <c r="J12" s="844">
        <f t="shared" si="1"/>
        <v>7.2899681382520168E-6</v>
      </c>
      <c r="M12" s="156"/>
      <c r="N12" s="156"/>
    </row>
    <row r="13" spans="1:15" ht="18.75">
      <c r="A13" s="94">
        <f>Gen!A14</f>
        <v>44320</v>
      </c>
      <c r="B13" s="268">
        <v>85</v>
      </c>
      <c r="C13" s="268">
        <v>85</v>
      </c>
      <c r="D13" s="268">
        <v>0</v>
      </c>
      <c r="E13" s="268"/>
      <c r="F13" s="268">
        <v>76279.55</v>
      </c>
      <c r="G13" s="268">
        <f t="shared" ref="G13" si="3">(F13-F12)*4.4</f>
        <v>55.22000000001281</v>
      </c>
      <c r="H13" s="111">
        <f>[4]Gen!B14</f>
        <v>1.2999999999999999E-2</v>
      </c>
      <c r="I13" s="843">
        <f t="shared" si="2"/>
        <v>5867657.692307693</v>
      </c>
      <c r="J13" s="844">
        <f t="shared" si="1"/>
        <v>9.410910263631162E-6</v>
      </c>
      <c r="M13" s="156"/>
      <c r="N13" s="156"/>
    </row>
    <row r="14" spans="1:15" ht="18.75">
      <c r="A14" s="94">
        <f>Gen!A15</f>
        <v>44321</v>
      </c>
      <c r="B14" s="268">
        <v>85</v>
      </c>
      <c r="C14" s="268">
        <v>85</v>
      </c>
      <c r="D14" s="268">
        <v>0</v>
      </c>
      <c r="E14" s="268"/>
      <c r="F14" s="268">
        <v>76294.39</v>
      </c>
      <c r="G14" s="268">
        <f t="shared" si="0"/>
        <v>65.295999999984645</v>
      </c>
      <c r="H14" s="111">
        <f>[4]Gen!B15</f>
        <v>0.01</v>
      </c>
      <c r="I14" s="843">
        <f t="shared" si="2"/>
        <v>7629439</v>
      </c>
      <c r="J14" s="844">
        <f t="shared" si="1"/>
        <v>8.5584274282794108E-6</v>
      </c>
      <c r="M14" s="156"/>
      <c r="N14" s="156"/>
    </row>
    <row r="15" spans="1:15" ht="18.75">
      <c r="A15" s="94">
        <f>Gen!A16</f>
        <v>44322</v>
      </c>
      <c r="B15" s="268">
        <v>85</v>
      </c>
      <c r="C15" s="268">
        <v>84</v>
      </c>
      <c r="D15" s="268">
        <v>0</v>
      </c>
      <c r="E15" s="268"/>
      <c r="F15" s="268">
        <v>76309.16</v>
      </c>
      <c r="G15" s="268">
        <f t="shared" si="0"/>
        <v>64.988000000017934</v>
      </c>
      <c r="H15" s="111">
        <f>[4]Gen!B16</f>
        <v>0.01</v>
      </c>
      <c r="I15" s="843">
        <f t="shared" si="2"/>
        <v>7630916</v>
      </c>
      <c r="J15" s="844">
        <f t="shared" si="1"/>
        <v>8.5164087771399835E-6</v>
      </c>
      <c r="M15" s="156"/>
      <c r="N15" s="156"/>
    </row>
    <row r="16" spans="1:15" ht="18.75">
      <c r="A16" s="94">
        <f>Gen!A17</f>
        <v>44323</v>
      </c>
      <c r="B16" s="268">
        <v>85</v>
      </c>
      <c r="C16" s="268">
        <v>75</v>
      </c>
      <c r="D16" s="268">
        <v>0</v>
      </c>
      <c r="E16" s="268"/>
      <c r="F16" s="268">
        <v>76323.34</v>
      </c>
      <c r="G16" s="268">
        <f t="shared" si="0"/>
        <v>62.391999999969272</v>
      </c>
      <c r="H16" s="111">
        <f>[4]Gen!B17</f>
        <v>0.01</v>
      </c>
      <c r="I16" s="843">
        <f t="shared" si="2"/>
        <v>7632333.9999999991</v>
      </c>
      <c r="J16" s="844">
        <f t="shared" si="1"/>
        <v>8.1746946608952498E-6</v>
      </c>
      <c r="M16" s="156"/>
      <c r="N16" s="156"/>
    </row>
    <row r="17" spans="1:14" ht="18.75">
      <c r="A17" s="94">
        <f>Gen!A18</f>
        <v>44324</v>
      </c>
      <c r="B17" s="268">
        <v>85</v>
      </c>
      <c r="C17" s="268">
        <v>70</v>
      </c>
      <c r="D17" s="268">
        <v>0</v>
      </c>
      <c r="E17" s="268"/>
      <c r="F17" s="268">
        <v>76339</v>
      </c>
      <c r="G17" s="268">
        <f t="shared" si="0"/>
        <v>68.904000000015373</v>
      </c>
      <c r="H17" s="111">
        <f>[4]Gen!B18</f>
        <v>0.01</v>
      </c>
      <c r="I17" s="843">
        <f t="shared" si="2"/>
        <v>7633900</v>
      </c>
      <c r="J17" s="844">
        <f t="shared" si="1"/>
        <v>9.0260548343592886E-6</v>
      </c>
      <c r="M17" s="156"/>
      <c r="N17" s="156"/>
    </row>
    <row r="18" spans="1:14" ht="18.75">
      <c r="A18" s="94">
        <f>Gen!A19</f>
        <v>44325</v>
      </c>
      <c r="B18" s="268">
        <v>85</v>
      </c>
      <c r="C18" s="268">
        <v>68</v>
      </c>
      <c r="D18" s="268">
        <v>0</v>
      </c>
      <c r="E18" s="268"/>
      <c r="F18" s="268">
        <v>76354</v>
      </c>
      <c r="G18" s="268">
        <f t="shared" si="0"/>
        <v>66</v>
      </c>
      <c r="H18" s="111">
        <f>[4]Gen!B19</f>
        <v>0.01</v>
      </c>
      <c r="I18" s="843">
        <f t="shared" si="2"/>
        <v>7635400</v>
      </c>
      <c r="J18" s="844">
        <f t="shared" si="1"/>
        <v>8.6439479267621873E-6</v>
      </c>
      <c r="M18" s="156"/>
      <c r="N18" s="156"/>
    </row>
    <row r="19" spans="1:14" ht="18.75">
      <c r="A19" s="94">
        <f>Gen!A20</f>
        <v>44326</v>
      </c>
      <c r="B19" s="268">
        <v>85</v>
      </c>
      <c r="C19" s="268">
        <v>65</v>
      </c>
      <c r="D19" s="268">
        <v>0</v>
      </c>
      <c r="E19" s="268"/>
      <c r="F19" s="268">
        <v>76371.97</v>
      </c>
      <c r="G19" s="268">
        <f t="shared" si="0"/>
        <v>79.068000000005128</v>
      </c>
      <c r="H19" s="111">
        <f>[4]Gen!B20</f>
        <v>0.01</v>
      </c>
      <c r="I19" s="843">
        <f t="shared" si="2"/>
        <v>7637197</v>
      </c>
      <c r="J19" s="844">
        <f t="shared" si="1"/>
        <v>1.0353013022972319E-5</v>
      </c>
      <c r="M19" s="156"/>
      <c r="N19" s="156"/>
    </row>
    <row r="20" spans="1:14" ht="18.75">
      <c r="A20" s="94">
        <f>Gen!A21</f>
        <v>44327</v>
      </c>
      <c r="B20" s="268"/>
      <c r="C20" s="268"/>
      <c r="D20" s="268"/>
      <c r="E20" s="268"/>
      <c r="F20" s="268"/>
      <c r="G20" s="268">
        <f t="shared" si="0"/>
        <v>-336036.66800000001</v>
      </c>
      <c r="H20" s="111">
        <f>[4]Gen!B21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44328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44329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44330</v>
      </c>
      <c r="B23" s="268"/>
      <c r="C23" s="268"/>
      <c r="D23" s="268"/>
      <c r="E23" s="268"/>
      <c r="F23" s="268"/>
      <c r="G23" s="268">
        <f>(F23-F22)*4.4</f>
        <v>0</v>
      </c>
      <c r="H23" s="111">
        <f>[4]Gen!B24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44331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44332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44333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44334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44335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44336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44337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44338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44339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44340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44341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44342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44343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44344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44345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44346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44347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763041.69</v>
      </c>
      <c r="G42" s="101">
        <f>SUM(G10:G40)</f>
        <v>-335482.40000000002</v>
      </c>
      <c r="H42" s="111">
        <f>[4]Gen!B43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44317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44318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44319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44320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44321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44322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44323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44324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44325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44326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44327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44328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44329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44330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44331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44332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44333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44334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44335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44336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44337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44338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44339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44340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44341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44342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44343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44344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44345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44346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44347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B1" activePane="topRight" state="frozen"/>
      <selection pane="topRight" activeCell="AI18" sqref="AI1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254752</v>
      </c>
      <c r="E5" s="58">
        <f t="shared" ref="E5:E15" si="1">IF((D5-D4)&lt;0,"0",(D5-D4))</f>
        <v>254752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8410</v>
      </c>
      <c r="K5" s="474">
        <f t="shared" ref="K5:K6" si="4">J5-J4</f>
        <v>8410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21230</v>
      </c>
      <c r="Q5" s="474">
        <f t="shared" ref="Q5:Q27" si="7">IF((P5-P4)&lt;0,"0",(P5-P4))</f>
        <v>21230</v>
      </c>
      <c r="R5" s="246"/>
      <c r="S5" s="245"/>
      <c r="T5" s="384">
        <v>68997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90129</v>
      </c>
      <c r="AA5" s="246">
        <v>0</v>
      </c>
      <c r="AB5" s="606" t="str">
        <f>AC4</f>
        <v>FINAL</v>
      </c>
      <c r="AC5" s="610">
        <v>19263</v>
      </c>
      <c r="AD5" s="608"/>
      <c r="AE5" s="245" t="str">
        <f t="shared" ref="AE5:AE37" si="10">AF4</f>
        <v>FINAL</v>
      </c>
      <c r="AF5" s="385">
        <v>8300</v>
      </c>
      <c r="AG5" s="260">
        <v>0</v>
      </c>
      <c r="AH5" s="245" t="str">
        <f t="shared" ref="AH5:AH37" si="11">AI4</f>
        <v>FINAL</v>
      </c>
      <c r="AI5" s="385">
        <v>31157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44317</v>
      </c>
      <c r="B6" s="4"/>
      <c r="C6" s="95">
        <f t="shared" si="0"/>
        <v>254752</v>
      </c>
      <c r="D6" s="1">
        <v>254793</v>
      </c>
      <c r="E6" s="58">
        <f t="shared" si="1"/>
        <v>41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8410</v>
      </c>
      <c r="J6" s="1">
        <v>8414</v>
      </c>
      <c r="K6" s="474">
        <f t="shared" si="4"/>
        <v>4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21230</v>
      </c>
      <c r="P6" s="383">
        <v>21233</v>
      </c>
      <c r="Q6" s="474">
        <f t="shared" si="7"/>
        <v>3</v>
      </c>
      <c r="R6" s="250"/>
      <c r="S6" s="245">
        <f t="shared" ref="S6:S24" si="15">T5</f>
        <v>68997</v>
      </c>
      <c r="T6" s="384">
        <v>69085</v>
      </c>
      <c r="U6" s="475">
        <f t="shared" ref="U6:U24" si="16">IF((T6-T5)&lt;0,"0",(T6-T5))</f>
        <v>88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90129</v>
      </c>
      <c r="Z6" s="384">
        <v>90129</v>
      </c>
      <c r="AA6" s="475">
        <f t="shared" ref="AA6:AA37" si="18">IF((Z6-Z5)&lt;0,"0",(Z6-Z5))</f>
        <v>0</v>
      </c>
      <c r="AB6" s="606">
        <f>AC5</f>
        <v>19263</v>
      </c>
      <c r="AC6" s="617">
        <v>19278</v>
      </c>
      <c r="AD6" s="609">
        <f>IF((AC6-AC5)&lt;0,"0",(AC6-AC5))</f>
        <v>15</v>
      </c>
      <c r="AE6" s="245">
        <f t="shared" si="10"/>
        <v>8300</v>
      </c>
      <c r="AF6" s="385">
        <v>8300</v>
      </c>
      <c r="AG6" s="475">
        <f t="shared" ref="AG6:AG37" si="19">IF((AF6-AF5)&lt;0,"0",(AF6-AF5))</f>
        <v>0</v>
      </c>
      <c r="AH6" s="245">
        <f t="shared" si="11"/>
        <v>31157</v>
      </c>
      <c r="AI6" s="385">
        <v>31184</v>
      </c>
      <c r="AJ6" s="475">
        <f t="shared" ref="AJ6:AJ37" si="20">IF((AI6-AI5)&lt;0,"0",(AI6-AI5))</f>
        <v>27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130</v>
      </c>
    </row>
    <row r="7" spans="1:40" ht="23.1" customHeight="1">
      <c r="A7" s="57">
        <f>Gen!A12</f>
        <v>44318</v>
      </c>
      <c r="B7" s="4"/>
      <c r="C7" s="95">
        <f t="shared" si="0"/>
        <v>254793</v>
      </c>
      <c r="D7" s="1">
        <v>254843</v>
      </c>
      <c r="E7" s="58">
        <f t="shared" si="1"/>
        <v>50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8414</v>
      </c>
      <c r="J7" s="1">
        <v>8415</v>
      </c>
      <c r="K7" s="474">
        <f>J7-J6</f>
        <v>1</v>
      </c>
      <c r="L7" s="95">
        <f t="shared" si="5"/>
        <v>0</v>
      </c>
      <c r="M7" s="1"/>
      <c r="N7" s="474">
        <f t="shared" si="14"/>
        <v>0</v>
      </c>
      <c r="O7" s="95">
        <f t="shared" si="6"/>
        <v>21233</v>
      </c>
      <c r="P7" s="383">
        <v>21237</v>
      </c>
      <c r="Q7" s="474">
        <f t="shared" si="7"/>
        <v>4</v>
      </c>
      <c r="R7" s="250"/>
      <c r="S7" s="245">
        <f t="shared" si="15"/>
        <v>69085</v>
      </c>
      <c r="T7" s="384">
        <v>69167</v>
      </c>
      <c r="U7" s="475">
        <f t="shared" si="16"/>
        <v>82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90129</v>
      </c>
      <c r="Z7" s="384">
        <v>90129</v>
      </c>
      <c r="AA7" s="475">
        <f t="shared" si="18"/>
        <v>0</v>
      </c>
      <c r="AB7" s="606">
        <f t="shared" ref="AB7:AB37" si="22">AC6</f>
        <v>19278</v>
      </c>
      <c r="AC7" s="607">
        <v>19295</v>
      </c>
      <c r="AD7" s="609">
        <f t="shared" ref="AD7:AD37" si="23">IF((AC7-AC6)&lt;0,"0",(AC7-AC6))</f>
        <v>17</v>
      </c>
      <c r="AE7" s="245">
        <f t="shared" si="10"/>
        <v>8300</v>
      </c>
      <c r="AF7" s="385">
        <v>8300</v>
      </c>
      <c r="AG7" s="475">
        <f t="shared" si="19"/>
        <v>0</v>
      </c>
      <c r="AH7" s="245">
        <f t="shared" si="11"/>
        <v>31184</v>
      </c>
      <c r="AI7" s="385">
        <v>31211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126</v>
      </c>
    </row>
    <row r="8" spans="1:40" ht="23.1" customHeight="1">
      <c r="A8" s="57">
        <f>Gen!A13</f>
        <v>44319</v>
      </c>
      <c r="B8" s="4"/>
      <c r="C8" s="95">
        <f t="shared" si="0"/>
        <v>254843</v>
      </c>
      <c r="D8" s="1">
        <v>254893</v>
      </c>
      <c r="E8" s="58">
        <f t="shared" si="1"/>
        <v>50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8415</v>
      </c>
      <c r="J8" s="1">
        <v>8416</v>
      </c>
      <c r="K8" s="474">
        <f>J8-J7</f>
        <v>1</v>
      </c>
      <c r="L8" s="95">
        <f t="shared" si="5"/>
        <v>0</v>
      </c>
      <c r="M8" s="1"/>
      <c r="N8" s="474">
        <f t="shared" si="14"/>
        <v>0</v>
      </c>
      <c r="O8" s="95">
        <f t="shared" si="6"/>
        <v>21237</v>
      </c>
      <c r="P8" s="383">
        <v>21242</v>
      </c>
      <c r="Q8" s="474">
        <f t="shared" si="7"/>
        <v>5</v>
      </c>
      <c r="R8" s="250"/>
      <c r="S8" s="245">
        <f t="shared" si="15"/>
        <v>69167</v>
      </c>
      <c r="T8" s="384">
        <v>69249</v>
      </c>
      <c r="U8" s="475">
        <f t="shared" si="16"/>
        <v>82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90129</v>
      </c>
      <c r="Z8" s="384">
        <v>90129</v>
      </c>
      <c r="AA8" s="475">
        <f t="shared" si="18"/>
        <v>0</v>
      </c>
      <c r="AB8" s="606">
        <f t="shared" si="22"/>
        <v>19295</v>
      </c>
      <c r="AC8" s="607">
        <v>19311</v>
      </c>
      <c r="AD8" s="609">
        <f t="shared" si="23"/>
        <v>16</v>
      </c>
      <c r="AE8" s="245">
        <f t="shared" si="10"/>
        <v>8300</v>
      </c>
      <c r="AF8" s="385">
        <v>8300</v>
      </c>
      <c r="AG8" s="475">
        <f t="shared" si="19"/>
        <v>0</v>
      </c>
      <c r="AH8" s="245">
        <f t="shared" si="11"/>
        <v>31211</v>
      </c>
      <c r="AI8" s="385">
        <v>31239</v>
      </c>
      <c r="AJ8" s="475">
        <f t="shared" si="20"/>
        <v>28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126</v>
      </c>
    </row>
    <row r="9" spans="1:40" ht="23.1" customHeight="1">
      <c r="A9" s="57">
        <f>Gen!A14</f>
        <v>44320</v>
      </c>
      <c r="B9" s="4"/>
      <c r="C9" s="95">
        <f t="shared" si="0"/>
        <v>254893</v>
      </c>
      <c r="D9" s="1">
        <v>254943</v>
      </c>
      <c r="E9" s="58">
        <f t="shared" si="1"/>
        <v>50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8416</v>
      </c>
      <c r="J9" s="1">
        <v>8418</v>
      </c>
      <c r="K9" s="474">
        <f>J9-J8</f>
        <v>2</v>
      </c>
      <c r="L9" s="95">
        <f t="shared" si="5"/>
        <v>0</v>
      </c>
      <c r="M9" s="1"/>
      <c r="N9" s="474">
        <f t="shared" si="14"/>
        <v>0</v>
      </c>
      <c r="O9" s="95">
        <f t="shared" si="6"/>
        <v>21242</v>
      </c>
      <c r="P9" s="383">
        <v>21245</v>
      </c>
      <c r="Q9" s="474">
        <f t="shared" si="7"/>
        <v>3</v>
      </c>
      <c r="R9" s="250"/>
      <c r="S9" s="245">
        <f t="shared" si="15"/>
        <v>69249</v>
      </c>
      <c r="T9" s="384">
        <v>69273</v>
      </c>
      <c r="U9" s="475">
        <f t="shared" si="16"/>
        <v>24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90129</v>
      </c>
      <c r="Z9" s="384">
        <v>90129</v>
      </c>
      <c r="AA9" s="475">
        <f t="shared" si="18"/>
        <v>0</v>
      </c>
      <c r="AB9" s="606">
        <f t="shared" si="22"/>
        <v>19311</v>
      </c>
      <c r="AC9" s="607">
        <v>19327</v>
      </c>
      <c r="AD9" s="609">
        <f t="shared" si="23"/>
        <v>16</v>
      </c>
      <c r="AE9" s="245">
        <f t="shared" si="10"/>
        <v>8300</v>
      </c>
      <c r="AF9" s="385">
        <v>8300</v>
      </c>
      <c r="AG9" s="475">
        <f t="shared" si="19"/>
        <v>0</v>
      </c>
      <c r="AH9" s="245">
        <f t="shared" ref="AH9" si="25">AI9</f>
        <v>31268</v>
      </c>
      <c r="AI9" s="385">
        <v>31268</v>
      </c>
      <c r="AJ9" s="475">
        <f t="shared" si="20"/>
        <v>29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69</v>
      </c>
    </row>
    <row r="10" spans="1:40" ht="23.1" customHeight="1">
      <c r="A10" s="57">
        <f>Gen!A15</f>
        <v>44321</v>
      </c>
      <c r="B10" s="4"/>
      <c r="C10" s="95">
        <f t="shared" si="0"/>
        <v>254943</v>
      </c>
      <c r="D10" s="1">
        <v>255010</v>
      </c>
      <c r="E10" s="58">
        <f t="shared" si="1"/>
        <v>67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8418</v>
      </c>
      <c r="J10" s="1">
        <v>8419</v>
      </c>
      <c r="K10" s="474">
        <f t="shared" ref="K10:K13" si="26">J10-J9</f>
        <v>1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21245</v>
      </c>
      <c r="P10" s="383">
        <v>21249</v>
      </c>
      <c r="Q10" s="474">
        <f t="shared" si="7"/>
        <v>4</v>
      </c>
      <c r="R10" s="250"/>
      <c r="S10" s="245">
        <f t="shared" si="15"/>
        <v>69273</v>
      </c>
      <c r="T10" s="384">
        <v>69273</v>
      </c>
      <c r="U10" s="475">
        <f t="shared" si="16"/>
        <v>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90129</v>
      </c>
      <c r="Z10" s="384">
        <v>90129</v>
      </c>
      <c r="AA10" s="475">
        <f t="shared" si="18"/>
        <v>0</v>
      </c>
      <c r="AB10" s="606">
        <f t="shared" si="22"/>
        <v>19327</v>
      </c>
      <c r="AC10" s="607">
        <v>19343</v>
      </c>
      <c r="AD10" s="609">
        <f t="shared" si="23"/>
        <v>16</v>
      </c>
      <c r="AE10" s="245">
        <f t="shared" si="10"/>
        <v>8300</v>
      </c>
      <c r="AF10" s="385">
        <v>8300</v>
      </c>
      <c r="AG10" s="475">
        <f t="shared" si="19"/>
        <v>0</v>
      </c>
      <c r="AH10" s="245">
        <f t="shared" si="11"/>
        <v>31268</v>
      </c>
      <c r="AI10" s="385">
        <v>31297</v>
      </c>
      <c r="AJ10" s="475">
        <f t="shared" si="20"/>
        <v>29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45</v>
      </c>
    </row>
    <row r="11" spans="1:40" ht="23.1" customHeight="1">
      <c r="A11" s="57">
        <f>Gen!A16</f>
        <v>44322</v>
      </c>
      <c r="B11" s="4"/>
      <c r="C11" s="95">
        <f t="shared" si="0"/>
        <v>255010</v>
      </c>
      <c r="D11" s="1">
        <v>255080</v>
      </c>
      <c r="E11" s="58">
        <f t="shared" si="1"/>
        <v>70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8419</v>
      </c>
      <c r="J11" s="1">
        <v>8420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21249</v>
      </c>
      <c r="P11" s="383">
        <v>21256</v>
      </c>
      <c r="Q11" s="474">
        <f t="shared" si="7"/>
        <v>7</v>
      </c>
      <c r="R11" s="250"/>
      <c r="S11" s="245">
        <f t="shared" si="15"/>
        <v>69273</v>
      </c>
      <c r="T11" s="384">
        <v>69273</v>
      </c>
      <c r="U11" s="475">
        <f t="shared" si="16"/>
        <v>0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90129</v>
      </c>
      <c r="Z11" s="384">
        <v>90129</v>
      </c>
      <c r="AA11" s="475">
        <f t="shared" si="18"/>
        <v>0</v>
      </c>
      <c r="AB11" s="606">
        <f t="shared" si="22"/>
        <v>19343</v>
      </c>
      <c r="AC11" s="607">
        <v>19359</v>
      </c>
      <c r="AD11" s="609">
        <f t="shared" si="23"/>
        <v>16</v>
      </c>
      <c r="AE11" s="245">
        <f>AF11</f>
        <v>8300</v>
      </c>
      <c r="AF11" s="385">
        <v>8300</v>
      </c>
      <c r="AG11" s="475">
        <f t="shared" si="19"/>
        <v>0</v>
      </c>
      <c r="AH11" s="245">
        <f t="shared" si="11"/>
        <v>31297</v>
      </c>
      <c r="AI11" s="385">
        <v>31325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44</v>
      </c>
    </row>
    <row r="12" spans="1:40" ht="23.1" customHeight="1">
      <c r="A12" s="57">
        <f>Gen!A17</f>
        <v>44323</v>
      </c>
      <c r="B12" s="4"/>
      <c r="C12" s="95">
        <f t="shared" si="0"/>
        <v>255080</v>
      </c>
      <c r="D12" s="1">
        <v>255130</v>
      </c>
      <c r="E12" s="58">
        <f t="shared" si="1"/>
        <v>50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8420</v>
      </c>
      <c r="J12" s="1">
        <v>8422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21256</v>
      </c>
      <c r="P12" s="383">
        <v>21259</v>
      </c>
      <c r="Q12" s="474">
        <f t="shared" si="7"/>
        <v>3</v>
      </c>
      <c r="R12" s="250"/>
      <c r="S12" s="245">
        <f t="shared" si="15"/>
        <v>69273</v>
      </c>
      <c r="T12" s="384">
        <v>69273</v>
      </c>
      <c r="U12" s="475">
        <f t="shared" si="16"/>
        <v>0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90129</v>
      </c>
      <c r="Z12" s="384">
        <v>90129</v>
      </c>
      <c r="AA12" s="475">
        <f t="shared" si="18"/>
        <v>0</v>
      </c>
      <c r="AB12" s="606">
        <f t="shared" si="22"/>
        <v>19359</v>
      </c>
      <c r="AC12" s="607">
        <v>19376</v>
      </c>
      <c r="AD12" s="609">
        <f t="shared" si="23"/>
        <v>17</v>
      </c>
      <c r="AE12" s="245">
        <f t="shared" ref="AE12:AE20" si="27">AF12</f>
        <v>8300</v>
      </c>
      <c r="AF12" s="385">
        <v>8300</v>
      </c>
      <c r="AG12" s="475">
        <f t="shared" si="19"/>
        <v>0</v>
      </c>
      <c r="AH12" s="245">
        <f t="shared" si="11"/>
        <v>31325</v>
      </c>
      <c r="AI12" s="385">
        <v>31354</v>
      </c>
      <c r="AJ12" s="475">
        <f t="shared" si="20"/>
        <v>29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46</v>
      </c>
    </row>
    <row r="13" spans="1:40" ht="23.1" customHeight="1">
      <c r="A13" s="57">
        <f>Gen!A18</f>
        <v>44324</v>
      </c>
      <c r="B13" s="4"/>
      <c r="C13" s="95">
        <f t="shared" si="0"/>
        <v>255130</v>
      </c>
      <c r="D13" s="1">
        <v>255181</v>
      </c>
      <c r="E13" s="58">
        <f t="shared" si="1"/>
        <v>51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8422</v>
      </c>
      <c r="J13" s="1">
        <v>8424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21259</v>
      </c>
      <c r="P13" s="383">
        <v>21261</v>
      </c>
      <c r="Q13" s="474">
        <f t="shared" si="7"/>
        <v>2</v>
      </c>
      <c r="R13" s="250"/>
      <c r="S13" s="245">
        <f t="shared" si="15"/>
        <v>69273</v>
      </c>
      <c r="T13" s="384">
        <v>69360</v>
      </c>
      <c r="U13" s="475">
        <f t="shared" si="16"/>
        <v>87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90129</v>
      </c>
      <c r="Z13" s="384">
        <v>90129</v>
      </c>
      <c r="AA13" s="475">
        <f t="shared" si="18"/>
        <v>0</v>
      </c>
      <c r="AB13" s="606">
        <f t="shared" si="22"/>
        <v>19376</v>
      </c>
      <c r="AC13" s="607">
        <v>19392</v>
      </c>
      <c r="AD13" s="609">
        <f t="shared" si="23"/>
        <v>16</v>
      </c>
      <c r="AE13" s="245">
        <f t="shared" si="27"/>
        <v>8300</v>
      </c>
      <c r="AF13" s="385">
        <v>8300</v>
      </c>
      <c r="AG13" s="475">
        <f t="shared" si="19"/>
        <v>0</v>
      </c>
      <c r="AH13" s="245">
        <f t="shared" si="11"/>
        <v>31354</v>
      </c>
      <c r="AI13" s="385">
        <v>31382</v>
      </c>
      <c r="AJ13" s="475">
        <f t="shared" si="20"/>
        <v>28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131</v>
      </c>
    </row>
    <row r="14" spans="1:40" ht="23.1" customHeight="1">
      <c r="A14" s="57">
        <f>Gen!A19</f>
        <v>44325</v>
      </c>
      <c r="B14" s="4"/>
      <c r="C14" s="95">
        <f t="shared" si="0"/>
        <v>255181</v>
      </c>
      <c r="D14" s="1">
        <v>255257</v>
      </c>
      <c r="E14" s="58">
        <f t="shared" si="1"/>
        <v>76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8424</v>
      </c>
      <c r="J14" s="1">
        <v>8425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21261</v>
      </c>
      <c r="P14" s="383">
        <v>21265</v>
      </c>
      <c r="Q14" s="474">
        <f t="shared" si="7"/>
        <v>4</v>
      </c>
      <c r="R14" s="250"/>
      <c r="S14" s="245">
        <f t="shared" si="15"/>
        <v>69360</v>
      </c>
      <c r="T14" s="384">
        <v>69441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90129</v>
      </c>
      <c r="Z14" s="384">
        <v>90129</v>
      </c>
      <c r="AA14" s="475">
        <f t="shared" si="18"/>
        <v>0</v>
      </c>
      <c r="AB14" s="606">
        <f t="shared" si="22"/>
        <v>19392</v>
      </c>
      <c r="AC14" s="610">
        <v>19407</v>
      </c>
      <c r="AD14" s="609">
        <f t="shared" si="23"/>
        <v>15</v>
      </c>
      <c r="AE14" s="245">
        <f t="shared" si="27"/>
        <v>8300</v>
      </c>
      <c r="AF14" s="385">
        <v>8300</v>
      </c>
      <c r="AG14" s="475">
        <f t="shared" si="19"/>
        <v>0</v>
      </c>
      <c r="AH14" s="245">
        <f t="shared" si="11"/>
        <v>31382</v>
      </c>
      <c r="AI14" s="385">
        <v>31411</v>
      </c>
      <c r="AJ14" s="475">
        <f t="shared" si="20"/>
        <v>29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125</v>
      </c>
    </row>
    <row r="15" spans="1:40" ht="23.1" customHeight="1">
      <c r="A15" s="57">
        <f>Gen!A20</f>
        <v>44326</v>
      </c>
      <c r="B15" s="4"/>
      <c r="C15" s="95">
        <f t="shared" si="0"/>
        <v>255257</v>
      </c>
      <c r="D15" s="1"/>
      <c r="E15" s="58" t="str">
        <f t="shared" si="1"/>
        <v>0</v>
      </c>
      <c r="F15" s="95">
        <f t="shared" si="2"/>
        <v>75790</v>
      </c>
      <c r="G15" s="387"/>
      <c r="H15" s="474" t="str">
        <f t="shared" si="13"/>
        <v>0</v>
      </c>
      <c r="I15" s="95">
        <f t="shared" si="3"/>
        <v>8425</v>
      </c>
      <c r="J15" s="1"/>
      <c r="K15" s="474" t="str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21265</v>
      </c>
      <c r="P15" s="383"/>
      <c r="Q15" s="474" t="str">
        <f t="shared" si="7"/>
        <v>0</v>
      </c>
      <c r="R15" s="250"/>
      <c r="S15" s="245">
        <f t="shared" si="15"/>
        <v>69441</v>
      </c>
      <c r="T15" s="384"/>
      <c r="U15" s="475" t="str">
        <f t="shared" si="16"/>
        <v>0</v>
      </c>
      <c r="V15" s="245">
        <f t="shared" si="8"/>
        <v>73031</v>
      </c>
      <c r="W15" s="384"/>
      <c r="X15" s="475" t="str">
        <f t="shared" si="17"/>
        <v>0</v>
      </c>
      <c r="Y15" s="245">
        <f t="shared" si="9"/>
        <v>90129</v>
      </c>
      <c r="Z15" s="384"/>
      <c r="AA15" s="475" t="str">
        <f t="shared" si="18"/>
        <v>0</v>
      </c>
      <c r="AB15" s="606">
        <f t="shared" si="22"/>
        <v>19407</v>
      </c>
      <c r="AC15" s="610"/>
      <c r="AD15" s="609" t="str">
        <f t="shared" si="23"/>
        <v>0</v>
      </c>
      <c r="AE15" s="245">
        <f t="shared" si="27"/>
        <v>0</v>
      </c>
      <c r="AF15" s="385"/>
      <c r="AG15" s="475" t="str">
        <f t="shared" si="19"/>
        <v>0</v>
      </c>
      <c r="AH15" s="245">
        <f t="shared" si="11"/>
        <v>31411</v>
      </c>
      <c r="AI15" s="385"/>
      <c r="AJ15" s="475" t="str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44327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44328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44329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44330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44331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44332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44333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44334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44335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44336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44337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44338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44339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44340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44341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44342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44343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44344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44345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44346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44347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/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444</v>
      </c>
    </row>
    <row r="38" spans="1:41" ht="18.75">
      <c r="A38" s="57"/>
      <c r="B38" s="21"/>
      <c r="C38" s="927" t="s">
        <v>6</v>
      </c>
      <c r="D38" s="927"/>
      <c r="E38" s="22">
        <f>SUM(E6:E36)</f>
        <v>505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15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505</v>
      </c>
      <c r="S38" s="247"/>
      <c r="T38" s="247"/>
      <c r="U38" s="257">
        <f>SUM(U6:U37)</f>
        <v>444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444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44317</v>
      </c>
      <c r="B46" s="19"/>
      <c r="C46" s="62">
        <v>175</v>
      </c>
      <c r="D46" s="325">
        <f t="shared" ref="D46:D77" si="49">C46*217/300</f>
        <v>126.58333333333333</v>
      </c>
      <c r="E46" s="6">
        <v>140</v>
      </c>
      <c r="F46" s="325">
        <f t="shared" ref="F46:F77" si="50">E46*92/305</f>
        <v>42.229508196721312</v>
      </c>
      <c r="G46" s="618">
        <v>45</v>
      </c>
      <c r="H46" s="325">
        <f t="shared" ref="H46:H77" si="51">G46*146/383</f>
        <v>17.154046997389035</v>
      </c>
      <c r="I46" s="6">
        <v>246</v>
      </c>
      <c r="J46" s="325">
        <f t="shared" ref="J46:J77" si="52">I46*213/308</f>
        <v>170.12337662337663</v>
      </c>
      <c r="K46" s="331">
        <f>D46+F46+H46+J46</f>
        <v>356.0902651508203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44318</v>
      </c>
      <c r="B47" s="19"/>
      <c r="C47" s="62">
        <v>150</v>
      </c>
      <c r="D47" s="325">
        <f t="shared" si="49"/>
        <v>108.5</v>
      </c>
      <c r="E47" s="6">
        <v>115</v>
      </c>
      <c r="F47" s="325">
        <f t="shared" si="50"/>
        <v>34.688524590163937</v>
      </c>
      <c r="G47" s="618">
        <v>235</v>
      </c>
      <c r="H47" s="325">
        <f t="shared" si="51"/>
        <v>89.582245430809394</v>
      </c>
      <c r="I47" s="6">
        <v>278</v>
      </c>
      <c r="J47" s="325">
        <f t="shared" si="52"/>
        <v>192.25324675324674</v>
      </c>
      <c r="K47" s="331">
        <f t="shared" ref="K47:K77" si="53">D47+F47+H47+J47</f>
        <v>425.02401677422006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44319</v>
      </c>
      <c r="B48" s="19"/>
      <c r="C48" s="62">
        <v>211</v>
      </c>
      <c r="D48" s="325">
        <f t="shared" si="49"/>
        <v>152.62333333333333</v>
      </c>
      <c r="E48" s="6">
        <v>176</v>
      </c>
      <c r="F48" s="325">
        <f t="shared" si="50"/>
        <v>53.088524590163935</v>
      </c>
      <c r="G48" s="618">
        <v>260</v>
      </c>
      <c r="H48" s="325">
        <f t="shared" si="51"/>
        <v>99.112271540469976</v>
      </c>
      <c r="I48" s="6">
        <v>258</v>
      </c>
      <c r="J48" s="325">
        <f t="shared" si="52"/>
        <v>178.42207792207793</v>
      </c>
      <c r="K48" s="331">
        <f t="shared" si="53"/>
        <v>483.24620738604517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44320</v>
      </c>
      <c r="B49" s="19"/>
      <c r="C49" s="62">
        <v>280</v>
      </c>
      <c r="D49" s="325">
        <f t="shared" si="49"/>
        <v>202.53333333333333</v>
      </c>
      <c r="E49" s="6">
        <v>245</v>
      </c>
      <c r="F49" s="325">
        <f t="shared" si="50"/>
        <v>73.901639344262293</v>
      </c>
      <c r="G49" s="618">
        <v>145</v>
      </c>
      <c r="H49" s="325">
        <f t="shared" si="51"/>
        <v>55.274151436031332</v>
      </c>
      <c r="I49" s="6">
        <v>288</v>
      </c>
      <c r="J49" s="325">
        <f t="shared" si="52"/>
        <v>199.16883116883116</v>
      </c>
      <c r="K49" s="331">
        <f t="shared" si="53"/>
        <v>530.87795528245806</v>
      </c>
    </row>
    <row r="50" spans="1:15" ht="13.5">
      <c r="A50" s="293">
        <f>Gen!A15</f>
        <v>44321</v>
      </c>
      <c r="B50" s="19"/>
      <c r="C50" s="62">
        <v>285</v>
      </c>
      <c r="D50" s="325">
        <f t="shared" si="49"/>
        <v>206.15</v>
      </c>
      <c r="E50" s="6">
        <v>250</v>
      </c>
      <c r="F50" s="325">
        <f t="shared" si="50"/>
        <v>75.409836065573771</v>
      </c>
      <c r="G50" s="618">
        <v>100</v>
      </c>
      <c r="H50" s="325">
        <f t="shared" si="51"/>
        <v>38.120104438642301</v>
      </c>
      <c r="I50" s="6">
        <v>290</v>
      </c>
      <c r="J50" s="325">
        <f t="shared" si="52"/>
        <v>200.55194805194805</v>
      </c>
      <c r="K50" s="331">
        <f t="shared" si="53"/>
        <v>520.23188855616422</v>
      </c>
    </row>
    <row r="51" spans="1:15" ht="13.5">
      <c r="A51" s="293">
        <f>Gen!A16</f>
        <v>44322</v>
      </c>
      <c r="B51" s="19"/>
      <c r="C51" s="62">
        <v>265</v>
      </c>
      <c r="D51" s="325">
        <f t="shared" si="49"/>
        <v>191.68333333333334</v>
      </c>
      <c r="E51" s="6">
        <v>230</v>
      </c>
      <c r="F51" s="325">
        <f t="shared" si="50"/>
        <v>69.377049180327873</v>
      </c>
      <c r="G51" s="618">
        <v>145</v>
      </c>
      <c r="H51" s="325">
        <f t="shared" si="51"/>
        <v>55.274151436031332</v>
      </c>
      <c r="I51" s="6">
        <v>279</v>
      </c>
      <c r="J51" s="325">
        <f t="shared" si="52"/>
        <v>192.94480519480518</v>
      </c>
      <c r="K51" s="331">
        <f t="shared" si="53"/>
        <v>509.27933914449773</v>
      </c>
    </row>
    <row r="52" spans="1:15" ht="13.5">
      <c r="A52" s="293">
        <f>Gen!A17</f>
        <v>44323</v>
      </c>
      <c r="B52" s="19"/>
      <c r="C52" s="62">
        <v>246</v>
      </c>
      <c r="D52" s="325">
        <f t="shared" si="49"/>
        <v>177.94</v>
      </c>
      <c r="E52" s="6">
        <v>210</v>
      </c>
      <c r="F52" s="325">
        <f t="shared" si="50"/>
        <v>63.344262295081968</v>
      </c>
      <c r="G52" s="618">
        <v>5</v>
      </c>
      <c r="H52" s="325">
        <f t="shared" si="51"/>
        <v>1.9060052219321149</v>
      </c>
      <c r="I52" s="6">
        <v>271</v>
      </c>
      <c r="J52" s="325">
        <f t="shared" si="52"/>
        <v>187.41233766233765</v>
      </c>
      <c r="K52" s="331">
        <f t="shared" si="53"/>
        <v>430.60260517935171</v>
      </c>
    </row>
    <row r="53" spans="1:15" ht="13.5">
      <c r="A53" s="293">
        <f>Gen!A18</f>
        <v>44324</v>
      </c>
      <c r="B53" s="19"/>
      <c r="C53" s="62">
        <v>210</v>
      </c>
      <c r="D53" s="325">
        <f t="shared" si="49"/>
        <v>151.9</v>
      </c>
      <c r="E53" s="6">
        <v>175</v>
      </c>
      <c r="F53" s="325">
        <f t="shared" si="50"/>
        <v>52.786885245901637</v>
      </c>
      <c r="G53" s="618">
        <v>137</v>
      </c>
      <c r="H53" s="325">
        <f t="shared" si="51"/>
        <v>52.224543080939945</v>
      </c>
      <c r="I53" s="6">
        <v>260</v>
      </c>
      <c r="J53" s="325">
        <f t="shared" si="52"/>
        <v>179.80519480519482</v>
      </c>
      <c r="K53" s="331">
        <f t="shared" si="53"/>
        <v>436.71662313203637</v>
      </c>
    </row>
    <row r="54" spans="1:15" ht="13.5">
      <c r="A54" s="293">
        <f>Gen!A19</f>
        <v>44325</v>
      </c>
      <c r="B54" s="19"/>
      <c r="C54" s="62">
        <v>215</v>
      </c>
      <c r="D54" s="325">
        <f t="shared" si="49"/>
        <v>155.51666666666668</v>
      </c>
      <c r="E54" s="6">
        <v>180</v>
      </c>
      <c r="F54" s="325">
        <f t="shared" si="50"/>
        <v>54.295081967213115</v>
      </c>
      <c r="G54" s="618">
        <v>295</v>
      </c>
      <c r="H54" s="325">
        <f t="shared" si="51"/>
        <v>112.45430809399478</v>
      </c>
      <c r="I54" s="6">
        <v>291</v>
      </c>
      <c r="J54" s="325">
        <f t="shared" si="52"/>
        <v>201.24350649350649</v>
      </c>
      <c r="K54" s="331">
        <f t="shared" si="53"/>
        <v>523.50956322138109</v>
      </c>
    </row>
    <row r="55" spans="1:15" ht="13.5">
      <c r="A55" s="293">
        <f>Gen!A20</f>
        <v>44326</v>
      </c>
      <c r="B55" s="19"/>
      <c r="C55" s="62">
        <v>300</v>
      </c>
      <c r="D55" s="325">
        <f t="shared" si="49"/>
        <v>217</v>
      </c>
      <c r="E55" s="6">
        <v>284</v>
      </c>
      <c r="F55" s="325">
        <f t="shared" si="50"/>
        <v>85.665573770491804</v>
      </c>
      <c r="G55" s="618">
        <v>255</v>
      </c>
      <c r="H55" s="325">
        <f t="shared" si="51"/>
        <v>97.206266318537857</v>
      </c>
      <c r="I55" s="6">
        <v>280</v>
      </c>
      <c r="J55" s="325">
        <f t="shared" si="52"/>
        <v>193.63636363636363</v>
      </c>
      <c r="K55" s="331">
        <f t="shared" si="53"/>
        <v>593.50820372539329</v>
      </c>
    </row>
    <row r="56" spans="1:15" ht="13.5">
      <c r="A56" s="293">
        <f>Gen!A21</f>
        <v>44327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44328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44329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44330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44331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44332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44333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44334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44335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44336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44337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44338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44339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44340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44341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44342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44343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44344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44345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44346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44347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44317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44318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44319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44320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44321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44322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44323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44324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44325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44326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44327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44328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44329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44330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44331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44332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44333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44334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44335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44336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44337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44338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44339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44340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44341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44342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44343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44344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44345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44346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44347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44317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0.4119358490566038</v>
      </c>
      <c r="G5" s="85">
        <f>Gen!T11</f>
        <v>2650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41</v>
      </c>
      <c r="L5" s="447">
        <f>'Lpg (2)'!G10</f>
        <v>0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2.6401515151515151</v>
      </c>
      <c r="U5" s="122">
        <f>SUM(L5*1963)/X5</f>
        <v>0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44318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0.41311086392287732</v>
      </c>
      <c r="G6" s="85">
        <f>Gen!T12</f>
        <v>2697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50</v>
      </c>
      <c r="L6" s="447">
        <f>'Lpg (2)'!G11</f>
        <v>49.631999999994882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3.2196969696969697</v>
      </c>
      <c r="U6" s="122">
        <f t="shared" ref="U6:U35" si="6">SUM(L6*1963)/X6</f>
        <v>61.50733333332699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44319</v>
      </c>
      <c r="B7" s="82">
        <v>0</v>
      </c>
      <c r="C7" s="87">
        <f>Gen!B13</f>
        <v>3.9E-2</v>
      </c>
      <c r="D7" s="434">
        <f t="shared" si="2"/>
        <v>3.0030000000000001</v>
      </c>
      <c r="E7" s="74"/>
      <c r="F7" s="70">
        <f>Gen!U13</f>
        <v>0.41249336870026521</v>
      </c>
      <c r="G7" s="85">
        <f>Gen!T13</f>
        <v>2639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50</v>
      </c>
      <c r="L7" s="447">
        <f>'Lpg (2)'!G12</f>
        <v>42.768000000005124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3.2196969696969697</v>
      </c>
      <c r="U7" s="122">
        <f t="shared" si="6"/>
        <v>53.00100000000635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44320</v>
      </c>
      <c r="B8" s="82">
        <v>0</v>
      </c>
      <c r="C8" s="87">
        <f>Gen!B14</f>
        <v>5.1999999999999998E-2</v>
      </c>
      <c r="D8" s="434">
        <f t="shared" si="2"/>
        <v>4.0039999999999996</v>
      </c>
      <c r="E8" s="74"/>
      <c r="F8" s="70">
        <f>Gen!U14</f>
        <v>0.41276362349610757</v>
      </c>
      <c r="G8" s="85">
        <f>Gen!T14</f>
        <v>2826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50</v>
      </c>
      <c r="L8" s="447">
        <f>'Lpg (2)'!G13</f>
        <v>55.22000000001281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3.2196969696969697</v>
      </c>
      <c r="U8" s="122">
        <f t="shared" si="6"/>
        <v>68.43236111112698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44321</v>
      </c>
      <c r="B9" s="82">
        <v>0</v>
      </c>
      <c r="C9" s="87">
        <f>Gen!B15</f>
        <v>5.6000000000000001E-2</v>
      </c>
      <c r="D9" s="434">
        <f t="shared" si="2"/>
        <v>4.3120000000000003</v>
      </c>
      <c r="E9" s="74"/>
      <c r="F9" s="70">
        <f>Gen!U15</f>
        <v>0.40473021582733815</v>
      </c>
      <c r="G9" s="85">
        <f>Gen!T15</f>
        <v>2780</v>
      </c>
      <c r="H9" s="85">
        <f>[1]Gen!AJ10</f>
        <v>0</v>
      </c>
      <c r="I9" s="85">
        <f t="shared" si="0"/>
        <v>2780</v>
      </c>
      <c r="J9" s="85">
        <f>[1]Gen!AT15</f>
        <v>37525.210000000021</v>
      </c>
      <c r="K9" s="69">
        <f>'Water-Meter'!E10</f>
        <v>67</v>
      </c>
      <c r="L9" s="447">
        <f>'Lpg (2)'!G14</f>
        <v>65.295999999984645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6143383</v>
      </c>
      <c r="R9" s="76">
        <f t="shared" si="3"/>
        <v>899.44303306722134</v>
      </c>
      <c r="S9" s="438" t="e">
        <f t="shared" si="4"/>
        <v>#DIV/0!</v>
      </c>
      <c r="T9" s="76">
        <f t="shared" si="5"/>
        <v>4.3143939393939394</v>
      </c>
      <c r="U9" s="122">
        <f t="shared" si="6"/>
        <v>80.919222222203189</v>
      </c>
      <c r="V9" s="17">
        <f t="shared" si="7"/>
        <v>6143468.2336161621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44322</v>
      </c>
      <c r="B10" s="82">
        <v>0</v>
      </c>
      <c r="C10" s="87">
        <f>Gen!B16</f>
        <v>5.6000000000000001E-2</v>
      </c>
      <c r="D10" s="434">
        <f t="shared" si="2"/>
        <v>4.3120000000000003</v>
      </c>
      <c r="E10" s="74"/>
      <c r="F10" s="70">
        <f>Gen!U16</f>
        <v>0.40669310344827592</v>
      </c>
      <c r="G10" s="85">
        <f>Gen!T16</f>
        <v>2900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70</v>
      </c>
      <c r="L10" s="447">
        <f>'Lpg (2)'!G15</f>
        <v>64.988000000017934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4.5075757575757578</v>
      </c>
      <c r="U10" s="122">
        <f t="shared" si="6"/>
        <v>80.537527777800008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44323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>
        <f>Gen!U17</f>
        <v>0.41198244330651057</v>
      </c>
      <c r="G11" s="85">
        <f>Gen!T17</f>
        <v>2734</v>
      </c>
      <c r="H11" s="85">
        <f>[1]Gen!AJ25</f>
        <v>80.56</v>
      </c>
      <c r="I11" s="85">
        <f t="shared" si="0"/>
        <v>2814.56</v>
      </c>
      <c r="J11" s="85">
        <f>[1]Gen!AT17</f>
        <v>47513.140000000029</v>
      </c>
      <c r="K11" s="69">
        <f>'Water-Meter'!E12</f>
        <v>50</v>
      </c>
      <c r="L11" s="447">
        <f>'Lpg (2)'!G16</f>
        <v>62.391999999969272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6219755.4159999993</v>
      </c>
      <c r="R11" s="76" t="e">
        <f t="shared" si="3"/>
        <v>#DIV/0!</v>
      </c>
      <c r="S11" s="438" t="e">
        <f t="shared" si="4"/>
        <v>#DIV/0!</v>
      </c>
      <c r="T11" s="76">
        <f t="shared" si="5"/>
        <v>3.2196969696969697</v>
      </c>
      <c r="U11" s="122">
        <f t="shared" si="6"/>
        <v>77.320388888850815</v>
      </c>
      <c r="V11" s="17">
        <f t="shared" si="7"/>
        <v>6219835.9560858579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44324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>
        <f>Gen!U18</f>
        <v>0.41156542056074763</v>
      </c>
      <c r="G12" s="85">
        <f>Gen!T18</f>
        <v>2996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51</v>
      </c>
      <c r="L12" s="447">
        <f>'Lpg (2)'!G17</f>
        <v>68.904000000015373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3.2840909090909092</v>
      </c>
      <c r="U12" s="122">
        <f t="shared" si="6"/>
        <v>85.390500000019046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44325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>
        <f>Gen!U19</f>
        <v>0.40277502854967639</v>
      </c>
      <c r="G13" s="85">
        <f>Gen!T19</f>
        <v>2627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76</v>
      </c>
      <c r="L13" s="447">
        <f>'Lpg (2)'!G18</f>
        <v>66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4.8939393939393936</v>
      </c>
      <c r="U13" s="122">
        <f t="shared" si="6"/>
        <v>81.791666666666671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44326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 t="str">
        <f>'Water-Meter'!E15</f>
        <v>0</v>
      </c>
      <c r="L14" s="447">
        <f>'Lpg (2)'!G19</f>
        <v>79.068000000005128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97.986416666673023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44327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-336036.66800000001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-416439.38086111116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44328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44329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44330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44331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44332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44333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44334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44335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44336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44337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44338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44339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44340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44341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44342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44343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44344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44345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44346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44347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505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B35" sqref="B3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44317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44317</v>
      </c>
      <c r="B5" s="399">
        <f>Gen!B11</f>
        <v>0.01</v>
      </c>
      <c r="C5" s="443">
        <f>Gen!AJ11</f>
        <v>88.75</v>
      </c>
      <c r="D5" s="444">
        <f>Gen!S11</f>
        <v>1091.6300000000001</v>
      </c>
      <c r="E5" s="395">
        <f>Gen!C11</f>
        <v>27860.560000000001</v>
      </c>
      <c r="F5" s="396">
        <f>'Water-Meter'!E6</f>
        <v>41</v>
      </c>
      <c r="G5" s="397">
        <f>'Water-Meter'!AN6</f>
        <v>130</v>
      </c>
      <c r="H5" s="395">
        <f>'Utility report '!AC6</f>
        <v>118</v>
      </c>
      <c r="I5" s="394">
        <f>'Kit report'!F4</f>
        <v>263.99999999986903</v>
      </c>
      <c r="J5" s="395">
        <f>'Kit report'!X4</f>
        <v>140.00000000014552</v>
      </c>
    </row>
    <row r="6" spans="1:10" ht="17.100000000000001" customHeight="1" thickBot="1">
      <c r="A6" s="217">
        <f>Gen!A12</f>
        <v>44318</v>
      </c>
      <c r="B6" s="399">
        <f>Gen!B12</f>
        <v>0</v>
      </c>
      <c r="C6" s="443">
        <f>Gen!AJ12</f>
        <v>0</v>
      </c>
      <c r="D6" s="444">
        <f>Gen!S12</f>
        <v>1114.1600000000001</v>
      </c>
      <c r="E6" s="395">
        <f>Gen!C12</f>
        <v>26680.18</v>
      </c>
      <c r="F6" s="396">
        <f>'Water-Meter'!E7</f>
        <v>50</v>
      </c>
      <c r="G6" s="397">
        <f>'Water-Meter'!AN7</f>
        <v>126</v>
      </c>
      <c r="H6" s="395">
        <f>'Utility report '!AC7</f>
        <v>38</v>
      </c>
      <c r="I6" s="394">
        <f>'Kit report'!F5</f>
        <v>264.00000000008731</v>
      </c>
      <c r="J6" s="395">
        <f>'Kit report'!X5</f>
        <v>300</v>
      </c>
    </row>
    <row r="7" spans="1:10" ht="17.100000000000001" customHeight="1" thickBot="1">
      <c r="A7" s="217">
        <f>Gen!A13</f>
        <v>44319</v>
      </c>
      <c r="B7" s="399">
        <f>Gen!B13</f>
        <v>3.9E-2</v>
      </c>
      <c r="C7" s="443">
        <f>Gen!AJ13</f>
        <v>29.76</v>
      </c>
      <c r="D7" s="444">
        <f>Gen!S13</f>
        <v>1088.57</v>
      </c>
      <c r="E7" s="395">
        <f>Gen!C13</f>
        <v>40466.020000000004</v>
      </c>
      <c r="F7" s="396">
        <f>'Water-Meter'!E8</f>
        <v>50</v>
      </c>
      <c r="G7" s="397">
        <f>'Water-Meter'!AN8</f>
        <v>126</v>
      </c>
      <c r="H7" s="395">
        <f>'Utility report '!AC8</f>
        <v>37</v>
      </c>
      <c r="I7" s="394">
        <f>'Kit report'!F6</f>
        <v>287.99999999995634</v>
      </c>
      <c r="J7" s="395">
        <f>'Kit report'!X6</f>
        <v>219.99999999989086</v>
      </c>
    </row>
    <row r="8" spans="1:10" ht="17.100000000000001" customHeight="1" thickBot="1">
      <c r="A8" s="217">
        <f>Gen!A14</f>
        <v>44320</v>
      </c>
      <c r="B8" s="399">
        <f>Gen!B14</f>
        <v>5.1999999999999998E-2</v>
      </c>
      <c r="C8" s="443">
        <f>Gen!AJ14</f>
        <v>38.130000000000003</v>
      </c>
      <c r="D8" s="444">
        <f>Gen!S14</f>
        <v>1166.47</v>
      </c>
      <c r="E8" s="395">
        <f>Gen!C14</f>
        <v>39347.69</v>
      </c>
      <c r="F8" s="396">
        <f>'Water-Meter'!E9</f>
        <v>50</v>
      </c>
      <c r="G8" s="397">
        <f>'Water-Meter'!AN9</f>
        <v>69</v>
      </c>
      <c r="H8" s="395">
        <f>'Utility report '!AC9</f>
        <v>32</v>
      </c>
      <c r="I8" s="394">
        <f>'Kit report'!F7</f>
        <v>300</v>
      </c>
      <c r="J8" s="395">
        <f>'Kit report'!X7</f>
        <v>320.00000000007276</v>
      </c>
    </row>
    <row r="9" spans="1:10" ht="17.100000000000001" customHeight="1" thickBot="1">
      <c r="A9" s="217">
        <f>Gen!A15</f>
        <v>44321</v>
      </c>
      <c r="B9" s="399">
        <f>Gen!B15</f>
        <v>5.6000000000000001E-2</v>
      </c>
      <c r="C9" s="443">
        <f>Gen!AJ15</f>
        <v>0</v>
      </c>
      <c r="D9" s="444">
        <f>Gen!S15</f>
        <v>1125.1500000000001</v>
      </c>
      <c r="E9" s="395">
        <f>Gen!C15</f>
        <v>38143.090000000004</v>
      </c>
      <c r="F9" s="396">
        <f>'Water-Meter'!E10</f>
        <v>67</v>
      </c>
      <c r="G9" s="397">
        <f>'Water-Meter'!AN10</f>
        <v>45</v>
      </c>
      <c r="H9" s="395">
        <f>'Utility report '!AC10</f>
        <v>38</v>
      </c>
      <c r="I9" s="394">
        <f>'Kit report'!F8</f>
        <v>264.00000000008731</v>
      </c>
      <c r="J9" s="395">
        <f>'Kit report'!X8</f>
        <v>260.00000000003638</v>
      </c>
    </row>
    <row r="10" spans="1:10" ht="17.100000000000001" customHeight="1" thickBot="1">
      <c r="A10" s="217">
        <f>Gen!A16</f>
        <v>44322</v>
      </c>
      <c r="B10" s="399">
        <f>Gen!B16</f>
        <v>5.6000000000000001E-2</v>
      </c>
      <c r="C10" s="443">
        <f>Gen!AJ16</f>
        <v>500.13000000000005</v>
      </c>
      <c r="D10" s="444">
        <f>Gen!S16</f>
        <v>1179.4100000000001</v>
      </c>
      <c r="E10" s="395">
        <f>Gen!C16</f>
        <v>37017.94</v>
      </c>
      <c r="F10" s="396">
        <f>'Water-Meter'!E11</f>
        <v>70</v>
      </c>
      <c r="G10" s="397">
        <f>'Water-Meter'!AN11</f>
        <v>44</v>
      </c>
      <c r="H10" s="395">
        <f>'Utility report '!AC11</f>
        <v>34</v>
      </c>
      <c r="I10" s="394">
        <f>'Kit report'!F9</f>
        <v>263.99999999986903</v>
      </c>
      <c r="J10" s="395">
        <f>'Kit report'!X9</f>
        <v>319.99999999989086</v>
      </c>
    </row>
    <row r="11" spans="1:10" ht="17.100000000000001" customHeight="1" thickBot="1">
      <c r="A11" s="217">
        <f>Gen!A17</f>
        <v>44323</v>
      </c>
      <c r="B11" s="399">
        <f>Gen!B17</f>
        <v>0</v>
      </c>
      <c r="C11" s="443">
        <f>Gen!AJ17</f>
        <v>0</v>
      </c>
      <c r="D11" s="444">
        <f>Gen!S17</f>
        <v>1126.3599999999999</v>
      </c>
      <c r="E11" s="395">
        <f>Gen!C17</f>
        <v>35338.400000000001</v>
      </c>
      <c r="F11" s="396">
        <f>'Water-Meter'!E12</f>
        <v>50</v>
      </c>
      <c r="G11" s="397">
        <f>'Water-Meter'!AN12</f>
        <v>46</v>
      </c>
      <c r="H11" s="395">
        <f>'Utility report '!AC12</f>
        <v>88</v>
      </c>
      <c r="I11" s="394">
        <f>'Kit report'!F10</f>
        <v>240</v>
      </c>
      <c r="J11" s="395">
        <f>'Kit report'!X10</f>
        <v>180.00000000010914</v>
      </c>
    </row>
    <row r="12" spans="1:10" ht="17.100000000000001" customHeight="1" thickBot="1">
      <c r="A12" s="217">
        <f>Gen!A18</f>
        <v>44324</v>
      </c>
      <c r="B12" s="399">
        <f>Gen!B18</f>
        <v>0</v>
      </c>
      <c r="C12" s="443">
        <f>Gen!AJ18</f>
        <v>248</v>
      </c>
      <c r="D12" s="444">
        <f>Gen!S18</f>
        <v>1233.05</v>
      </c>
      <c r="E12" s="395">
        <f>Gen!C18</f>
        <v>49212.04</v>
      </c>
      <c r="F12" s="396">
        <f>'Water-Meter'!E13</f>
        <v>51</v>
      </c>
      <c r="G12" s="397">
        <f>'Water-Meter'!AN13</f>
        <v>131</v>
      </c>
      <c r="H12" s="395">
        <f>'Utility report '!AC13</f>
        <v>150</v>
      </c>
      <c r="I12" s="394">
        <f>'Kit report'!F11</f>
        <v>276.00000000013097</v>
      </c>
      <c r="J12" s="395">
        <f>'Kit report'!X11</f>
        <v>100</v>
      </c>
    </row>
    <row r="13" spans="1:10" ht="17.100000000000001" customHeight="1" thickBot="1">
      <c r="A13" s="217">
        <f>Gen!A19</f>
        <v>44325</v>
      </c>
      <c r="B13" s="399">
        <f>Gen!B19</f>
        <v>0</v>
      </c>
      <c r="C13" s="443">
        <f>Gen!AJ19</f>
        <v>146.15</v>
      </c>
      <c r="D13" s="444">
        <f>Gen!S19</f>
        <v>1058.0899999999999</v>
      </c>
      <c r="E13" s="395">
        <f>Gen!C19</f>
        <v>47730.99</v>
      </c>
      <c r="F13" s="396">
        <f>'Water-Meter'!E14</f>
        <v>76</v>
      </c>
      <c r="G13" s="397">
        <f>'Water-Meter'!AN14</f>
        <v>125</v>
      </c>
      <c r="H13" s="395">
        <f>'Utility report '!AC14</f>
        <v>22</v>
      </c>
      <c r="I13" s="394">
        <f>'Kit report'!F12</f>
        <v>203.99999999986903</v>
      </c>
      <c r="J13" s="395">
        <f>'Kit report'!X12</f>
        <v>339.99999999996362</v>
      </c>
    </row>
    <row r="14" spans="1:10" ht="17.100000000000001" customHeight="1" thickBot="1">
      <c r="A14" s="217">
        <f>Gen!A20</f>
        <v>44326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46526.75</v>
      </c>
      <c r="F14" s="396" t="str">
        <f>'Water-Meter'!E15</f>
        <v>0</v>
      </c>
      <c r="G14" s="397">
        <f>'Water-Meter'!AN15</f>
        <v>0</v>
      </c>
      <c r="H14" s="395">
        <f>'Utility report '!AC15</f>
        <v>-1534</v>
      </c>
      <c r="I14" s="394">
        <f>'Kit report'!F13</f>
        <v>-1114656</v>
      </c>
      <c r="J14" s="395">
        <f>'Kit report'!X13</f>
        <v>-1626160</v>
      </c>
    </row>
    <row r="15" spans="1:10" ht="17.100000000000001" customHeight="1" thickBot="1">
      <c r="A15" s="217">
        <f>Gen!A21</f>
        <v>44327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46526.75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44328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46526.75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44329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46526.75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44330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46526.75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44331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46526.75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44332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46526.75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44333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46526.75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44334</v>
      </c>
      <c r="B22" s="399">
        <f>Gen!B30</f>
        <v>0</v>
      </c>
      <c r="C22" s="443">
        <f>Gen!AJ30</f>
        <v>0</v>
      </c>
      <c r="D22" s="444">
        <f>Gen!S30</f>
        <v>0</v>
      </c>
      <c r="E22" s="395">
        <f>Gen!C30</f>
        <v>46526.75</v>
      </c>
      <c r="F22" s="396">
        <f>'Water-Meter'!E25</f>
        <v>0</v>
      </c>
      <c r="G22" s="397">
        <f>'Water-Meter'!AN25</f>
        <v>0</v>
      </c>
      <c r="H22" s="395">
        <f>'Utility report '!AC25</f>
        <v>0</v>
      </c>
      <c r="I22" s="394">
        <f>'Kit report'!F23</f>
        <v>0</v>
      </c>
      <c r="J22" s="395">
        <f>'Kit report'!X23</f>
        <v>0</v>
      </c>
    </row>
    <row r="23" spans="1:10" ht="15" customHeight="1" thickBot="1">
      <c r="A23" s="217">
        <f>Gen!A29</f>
        <v>44335</v>
      </c>
      <c r="B23" s="399">
        <f>Gen!B31</f>
        <v>0</v>
      </c>
      <c r="C23" s="443">
        <f>Gen!AJ31</f>
        <v>0</v>
      </c>
      <c r="D23" s="444">
        <f>Gen!S31</f>
        <v>0</v>
      </c>
      <c r="E23" s="395">
        <f>Gen!C31</f>
        <v>46526.75</v>
      </c>
      <c r="F23" s="396">
        <f>'Water-Meter'!E26</f>
        <v>0</v>
      </c>
      <c r="G23" s="397">
        <f>'Water-Meter'!AN26</f>
        <v>0</v>
      </c>
      <c r="H23" s="395">
        <f>'Utility report '!AC26</f>
        <v>0</v>
      </c>
      <c r="I23" s="394">
        <f>'Kit report'!F24</f>
        <v>0</v>
      </c>
      <c r="J23" s="395">
        <f>'Kit report'!X24</f>
        <v>0</v>
      </c>
    </row>
    <row r="24" spans="1:10" ht="15" customHeight="1" thickBot="1">
      <c r="A24" s="217">
        <f>Gen!A30</f>
        <v>44336</v>
      </c>
      <c r="B24" s="399">
        <f>Gen!B32</f>
        <v>0</v>
      </c>
      <c r="C24" s="443">
        <f>Gen!AJ32</f>
        <v>0</v>
      </c>
      <c r="D24" s="444">
        <f>Gen!S32</f>
        <v>0</v>
      </c>
      <c r="E24" s="395">
        <f>Gen!C32</f>
        <v>46526.75</v>
      </c>
      <c r="F24" s="396">
        <f>'Water-Meter'!E27</f>
        <v>0</v>
      </c>
      <c r="G24" s="397">
        <f>'Water-Meter'!AN27</f>
        <v>0</v>
      </c>
      <c r="H24" s="395">
        <f>'Utility report '!AC27</f>
        <v>0</v>
      </c>
      <c r="I24" s="394">
        <f>'Kit report'!F25</f>
        <v>0</v>
      </c>
      <c r="J24" s="395">
        <f>'Kit report'!X25</f>
        <v>0</v>
      </c>
    </row>
    <row r="25" spans="1:10" ht="15" customHeight="1" thickBot="1">
      <c r="A25" s="217">
        <f>Gen!A31</f>
        <v>44337</v>
      </c>
      <c r="B25" s="399">
        <f>Gen!B33</f>
        <v>0</v>
      </c>
      <c r="C25" s="443">
        <f>Gen!AJ33</f>
        <v>0</v>
      </c>
      <c r="D25" s="444">
        <f>Gen!S33</f>
        <v>0</v>
      </c>
      <c r="E25" s="395">
        <f>Gen!C33</f>
        <v>46526.75</v>
      </c>
      <c r="F25" s="396">
        <f>'Water-Meter'!E28</f>
        <v>0</v>
      </c>
      <c r="G25" s="397">
        <f>'Water-Meter'!AN28</f>
        <v>0</v>
      </c>
      <c r="H25" s="395">
        <f>'Utility report '!AC28</f>
        <v>0</v>
      </c>
      <c r="I25" s="394">
        <f>'Kit report'!F26</f>
        <v>0</v>
      </c>
      <c r="J25" s="395">
        <f>'Kit report'!X26</f>
        <v>0</v>
      </c>
    </row>
    <row r="26" spans="1:10" ht="15" customHeight="1" thickBot="1">
      <c r="A26" s="217">
        <f>Gen!A32</f>
        <v>44338</v>
      </c>
      <c r="B26" s="399">
        <f>Gen!B34</f>
        <v>0</v>
      </c>
      <c r="C26" s="443">
        <f>Gen!AJ34</f>
        <v>0</v>
      </c>
      <c r="D26" s="444">
        <f>Gen!S34</f>
        <v>0</v>
      </c>
      <c r="E26" s="395">
        <f>Gen!C34</f>
        <v>46526.75</v>
      </c>
      <c r="F26" s="396">
        <f>'Water-Meter'!E29</f>
        <v>0</v>
      </c>
      <c r="G26" s="397">
        <f>'Water-Meter'!AN29</f>
        <v>0</v>
      </c>
      <c r="H26" s="395">
        <f>'Utility report '!AC29</f>
        <v>0</v>
      </c>
      <c r="I26" s="394">
        <f>'Kit report'!F27</f>
        <v>0</v>
      </c>
      <c r="J26" s="395">
        <f>'Kit report'!X27</f>
        <v>0</v>
      </c>
    </row>
    <row r="27" spans="1:10" ht="15" customHeight="1" thickBot="1">
      <c r="A27" s="217">
        <f>Gen!A33</f>
        <v>44339</v>
      </c>
      <c r="B27" s="399">
        <f>Gen!B35</f>
        <v>0</v>
      </c>
      <c r="C27" s="443">
        <f>Gen!AJ35</f>
        <v>0</v>
      </c>
      <c r="D27" s="444">
        <f>Gen!S35</f>
        <v>0</v>
      </c>
      <c r="E27" s="395">
        <f>Gen!C35</f>
        <v>46526.75</v>
      </c>
      <c r="F27" s="396">
        <f>'Water-Meter'!E30</f>
        <v>0</v>
      </c>
      <c r="G27" s="397">
        <f>'Water-Meter'!AN30</f>
        <v>0</v>
      </c>
      <c r="H27" s="395">
        <f>'Utility report '!AC30</f>
        <v>0</v>
      </c>
      <c r="I27" s="394">
        <f>'Kit report'!F28</f>
        <v>0</v>
      </c>
      <c r="J27" s="395">
        <f>'Kit report'!X28</f>
        <v>0</v>
      </c>
    </row>
    <row r="28" spans="1:10" ht="15" customHeight="1" thickBot="1">
      <c r="A28" s="217">
        <f>Gen!A34</f>
        <v>44340</v>
      </c>
      <c r="B28" s="399">
        <f>Gen!B36</f>
        <v>0</v>
      </c>
      <c r="C28" s="443">
        <f>Gen!AJ36</f>
        <v>0</v>
      </c>
      <c r="D28" s="444">
        <f>Gen!S36</f>
        <v>0</v>
      </c>
      <c r="E28" s="395">
        <f>Gen!C36</f>
        <v>46526.75</v>
      </c>
      <c r="F28" s="396">
        <f>'Water-Meter'!E31</f>
        <v>0</v>
      </c>
      <c r="G28" s="397">
        <f>'Water-Meter'!AN31</f>
        <v>0</v>
      </c>
      <c r="H28" s="395">
        <f>'Utility report '!AC31</f>
        <v>0</v>
      </c>
      <c r="I28" s="394">
        <f>'Kit report'!F29</f>
        <v>0</v>
      </c>
      <c r="J28" s="395">
        <f>'Kit report'!X29</f>
        <v>0</v>
      </c>
    </row>
    <row r="29" spans="1:10" ht="15" customHeight="1" thickBot="1">
      <c r="A29" s="217">
        <f>Gen!A35</f>
        <v>44341</v>
      </c>
      <c r="B29" s="399">
        <f>Gen!B37</f>
        <v>0</v>
      </c>
      <c r="C29" s="443">
        <f>Gen!AJ37</f>
        <v>0</v>
      </c>
      <c r="D29" s="444">
        <f>Gen!S37</f>
        <v>0</v>
      </c>
      <c r="E29" s="395">
        <f>Gen!C37</f>
        <v>46526.75</v>
      </c>
      <c r="F29" s="396">
        <f>'Water-Meter'!E32</f>
        <v>0</v>
      </c>
      <c r="G29" s="397">
        <f>'Water-Meter'!AN32</f>
        <v>0</v>
      </c>
      <c r="H29" s="395">
        <f>'Utility report '!AC32</f>
        <v>0</v>
      </c>
      <c r="I29" s="394">
        <f>'Kit report'!F30</f>
        <v>0</v>
      </c>
      <c r="J29" s="395">
        <f>'Kit report'!X30</f>
        <v>0</v>
      </c>
    </row>
    <row r="30" spans="1:10" ht="15" customHeight="1" thickBot="1">
      <c r="A30" s="217">
        <f>Gen!A36</f>
        <v>44342</v>
      </c>
      <c r="B30" s="399">
        <f>Gen!B38</f>
        <v>0</v>
      </c>
      <c r="C30" s="443">
        <f>Gen!AJ38</f>
        <v>0</v>
      </c>
      <c r="D30" s="444">
        <f>Gen!S38</f>
        <v>0</v>
      </c>
      <c r="E30" s="395">
        <f>Gen!C38</f>
        <v>46526.75</v>
      </c>
      <c r="F30" s="396">
        <f>'Water-Meter'!E33</f>
        <v>0</v>
      </c>
      <c r="G30" s="397">
        <f>'Water-Meter'!AN33</f>
        <v>0</v>
      </c>
      <c r="H30" s="395">
        <f>'Utility report '!AC33</f>
        <v>0</v>
      </c>
      <c r="I30" s="394">
        <f>'Kit report'!F31</f>
        <v>0</v>
      </c>
      <c r="J30" s="395">
        <f>'Kit report'!X31</f>
        <v>0</v>
      </c>
    </row>
    <row r="31" spans="1:10" ht="15" customHeight="1" thickBot="1">
      <c r="A31" s="217">
        <f>Gen!A37</f>
        <v>44343</v>
      </c>
      <c r="B31" s="399">
        <f>Gen!B39</f>
        <v>0</v>
      </c>
      <c r="C31" s="443">
        <f>Gen!AJ39</f>
        <v>0</v>
      </c>
      <c r="D31" s="444">
        <f>Gen!S39</f>
        <v>0</v>
      </c>
      <c r="E31" s="395">
        <f>Gen!C39</f>
        <v>46526.75</v>
      </c>
      <c r="F31" s="396">
        <f>'Water-Meter'!E34</f>
        <v>0</v>
      </c>
      <c r="G31" s="397">
        <f>'Water-Meter'!AN34</f>
        <v>0</v>
      </c>
      <c r="H31" s="395">
        <f>'Utility report '!AC34</f>
        <v>0</v>
      </c>
      <c r="I31" s="394">
        <f>'Kit report'!F32</f>
        <v>0</v>
      </c>
      <c r="J31" s="395">
        <f>'Kit report'!X32</f>
        <v>0</v>
      </c>
    </row>
    <row r="32" spans="1:10" ht="15" customHeight="1" thickBot="1">
      <c r="A32" s="217">
        <f>Gen!A38</f>
        <v>44344</v>
      </c>
      <c r="B32" s="399">
        <f>Gen!B40</f>
        <v>0</v>
      </c>
      <c r="C32" s="443">
        <f>Gen!AJ40</f>
        <v>0</v>
      </c>
      <c r="D32" s="444">
        <f>Gen!S40</f>
        <v>0</v>
      </c>
      <c r="E32" s="442">
        <f>Gen!C40</f>
        <v>46526.75</v>
      </c>
      <c r="F32" s="396">
        <f>'Water-Meter'!E35</f>
        <v>0</v>
      </c>
      <c r="G32" s="397">
        <f>'Water-Meter'!AN35</f>
        <v>0</v>
      </c>
      <c r="H32" s="395">
        <f>'Utility report '!AC35</f>
        <v>0</v>
      </c>
      <c r="I32" s="394">
        <f>'Kit report'!F33</f>
        <v>0</v>
      </c>
      <c r="J32" s="395">
        <f>'Kit report'!X33</f>
        <v>0</v>
      </c>
    </row>
    <row r="33" spans="1:10" ht="15" customHeight="1" thickBot="1">
      <c r="A33" s="217">
        <f>Gen!A39</f>
        <v>44345</v>
      </c>
      <c r="B33" s="399">
        <f>Gen!B41</f>
        <v>0</v>
      </c>
      <c r="C33" s="443">
        <f>Gen!AJ41</f>
        <v>0</v>
      </c>
      <c r="D33" s="444">
        <f>Gen!S41</f>
        <v>0</v>
      </c>
      <c r="E33" s="397">
        <f>Gen!C41</f>
        <v>46526.75</v>
      </c>
      <c r="F33" s="396">
        <f>'Water-Meter'!E36</f>
        <v>0</v>
      </c>
      <c r="G33" s="397">
        <f>'Water-Meter'!AN36</f>
        <v>0</v>
      </c>
      <c r="H33" s="395">
        <f>'Utility report '!AC36</f>
        <v>0</v>
      </c>
      <c r="I33" s="394">
        <f>'Kit report'!F34</f>
        <v>0</v>
      </c>
      <c r="J33" s="395">
        <f>'Kit report'!X34</f>
        <v>0</v>
      </c>
    </row>
    <row r="34" spans="1:10" ht="15.75" thickBot="1">
      <c r="A34" s="217">
        <f>Gen!A40</f>
        <v>44346</v>
      </c>
      <c r="B34" s="399">
        <f>Gen!B42</f>
        <v>0</v>
      </c>
      <c r="C34" s="443">
        <f>Gen!AK42</f>
        <v>0</v>
      </c>
      <c r="D34" s="444">
        <f>Gen!T42</f>
        <v>0</v>
      </c>
      <c r="E34" s="397">
        <f>Gen!C42</f>
        <v>46526.75</v>
      </c>
      <c r="F34" s="396">
        <f>'Water-Meter'!E37</f>
        <v>0</v>
      </c>
      <c r="G34" s="397">
        <f>'Water-Meter'!AN37</f>
        <v>444</v>
      </c>
      <c r="H34" s="395">
        <f>'Utility report '!AC37</f>
        <v>0</v>
      </c>
      <c r="I34" s="394"/>
      <c r="J34" s="395">
        <f>'Kit report'!X35</f>
        <v>0</v>
      </c>
    </row>
    <row r="35" spans="1:10" ht="15">
      <c r="A35" s="217">
        <f>Gen!A41</f>
        <v>44347</v>
      </c>
      <c r="B35" s="399"/>
      <c r="C35" s="443">
        <f>Gen!AK43</f>
        <v>0</v>
      </c>
      <c r="D35" s="444">
        <f>Gen!T43</f>
        <v>0</v>
      </c>
      <c r="E35" s="397">
        <f>Gen!C43</f>
        <v>46526.75</v>
      </c>
      <c r="F35" s="396">
        <f>'Water-Meter'!E38</f>
        <v>505</v>
      </c>
      <c r="G35" s="397">
        <f>'Water-Meter'!AN38</f>
        <v>444</v>
      </c>
      <c r="H35" s="395">
        <f>'Utility report '!AC38</f>
        <v>0</v>
      </c>
      <c r="I35" s="394">
        <f>'Kit report'!F36</f>
        <v>0</v>
      </c>
      <c r="J35" s="395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2021-05-10T05:37:17Z</dcterms:modified>
</cp:coreProperties>
</file>