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83" documentId="8_{9B439D3B-B023-4087-B27B-CB56FE35C246}" xr6:coauthVersionLast="47" xr6:coauthVersionMax="47" xr10:uidLastSave="{60E5DFDC-4A49-4972-AAB5-F7BED2586C10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V43" i="3" l="1"/>
  <c r="AH43" i="3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<sst xmlns="http://schemas.openxmlformats.org/spreadsheetml/2006/main" count="91" uniqueCount="53">
  <si>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</si>
  <si>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</si>
  <si>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</si>
  <si>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</si>
  <si>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</si>
  <si>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</si>
  <si>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</si>
  <si>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</si>
  <si>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</si>
  <si>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</si>
  <si>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</si>
  <si>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</si>
  <si>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</si>
  <si>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</si>
  <si>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</si>
  <si>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</si>
  <si>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AUGUST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</si>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</sst>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4" fontId="21" fillId="2" borderId="11" xfId="2" applyNumberFormat="1" applyFont="1" applyFill="1" applyBorder="1" applyProtection="1">
      <protection locked="0"/>
    </xf>
    <xf numFmtId="0" fontId="21" fillId="0" borderId="11" xfId="0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8</v>
      </c>
      <c r="D2" s="97">
        <v>2021</v>
      </c>
      <c r="E2" s="99">
        <f>'Localize Daily Bali Jimbaran'!P7</f>
        <v>12839.999999999778</v>
      </c>
      <c r="F2" s="100">
        <f>'Localize Daily Bali Jimbaran'!O7/'Localize Daily Bali Jimbaran'!P7</f>
        <v>1179.8937827102832</v>
      </c>
      <c r="G2" s="99">
        <f>'Localize Daily Bali Jimbaran'!AC7</f>
        <v>12</v>
      </c>
      <c r="H2" s="100">
        <f>'Localize Daily Bali Jimbaran'!AD7/'Localize Daily Bali Jimbaran'!AC7</f>
        <v>11458.333333333334</v>
      </c>
      <c r="I2" s="99">
        <f>'Localize Daily Bali Jimbaran'!AH7</f>
        <v>108.75</v>
      </c>
      <c r="J2" s="101">
        <f>'Localize Daily Bali Jimbaran'!AI7/'Localize Daily Bali Jimbaran'!AH7</f>
        <v>9900</v>
      </c>
      <c r="K2" s="99">
        <f>'Localize Daily Bali Jimbaran'!Q7</f>
        <v>515</v>
      </c>
      <c r="L2" s="100">
        <f>'Localize Daily Bali Jimbaran'!V7/'Localize Daily Bali Jimbaran'!Q7</f>
        <v>7984.0164660194177</v>
      </c>
      <c r="M2" s="99">
        <f>'Localize Daily Bali Jimbaran'!C7</f>
        <v>4</v>
      </c>
      <c r="N2" s="99">
        <v>10</v>
      </c>
    </row>
    <row r="3" spans="1:14" ht="15">
      <c r="A3" s="96" t="s">
        <v>14</v>
      </c>
      <c r="B3" s="97">
        <v>2</v>
      </c>
      <c r="C3" s="98">
        <v>8</v>
      </c>
      <c r="D3" s="97">
        <v>2021</v>
      </c>
      <c r="E3" s="99">
        <f>'Localize Daily Bali Jimbaran'!P8</f>
        <v>12720.000000000384</v>
      </c>
      <c r="F3" s="100">
        <f>'Localize Daily Bali Jimbaran'!O8/'Localize Daily Bali Jimbaran'!P8</f>
        <v>1182.4747853773574</v>
      </c>
      <c r="G3" s="99">
        <f>'Localize Daily Bali Jimbaran'!AC8</f>
        <v>0</v>
      </c>
      <c r="H3" s="100" t="e">
        <f>'Localize Daily Bali Jimbaran'!AD8/'Localize Daily Bali Jimbaran'!AC8</f>
        <v>#DIV/0!</v>
      </c>
      <c r="I3" s="99">
        <f>'Localize Daily Bali Jimbaran'!AH8</f>
        <v>346.97000000000116</v>
      </c>
      <c r="J3" s="101">
        <f>'Localize Daily Bali Jimbaran'!AI8/'Localize Daily Bali Jimbaran'!AH8</f>
        <v>9900</v>
      </c>
      <c r="K3" s="99">
        <f>'Localize Daily Bali Jimbaran'!Q8</f>
        <v>539</v>
      </c>
      <c r="L3" s="100">
        <f>'Localize Daily Bali Jimbaran'!V8/'Localize Daily Bali Jimbaran'!Q8</f>
        <v>7815.4563636363646</v>
      </c>
      <c r="M3" s="99">
        <f>'Localize Daily Bali Jimbaran'!C8</f>
        <v>5</v>
      </c>
      <c r="N3" s="99">
        <v>10</v>
      </c>
    </row>
    <row r="4" spans="1:14" ht="15">
      <c r="A4" s="96" t="s">
        <v>14</v>
      </c>
      <c r="B4" s="97">
        <v>3</v>
      </c>
      <c r="C4" s="98">
        <v>8</v>
      </c>
      <c r="D4" s="97">
        <v>2021</v>
      </c>
      <c r="E4" s="99">
        <f>'Localize Daily Bali Jimbaran'!P9</f>
        <v>12440.000000000011</v>
      </c>
      <c r="F4" s="100">
        <f>'Localize Daily Bali Jimbaran'!O9/'Localize Daily Bali Jimbaran'!P9</f>
        <v>1177.616915594856</v>
      </c>
      <c r="G4" s="99">
        <f>'Localize Daily Bali Jimbaran'!AC9</f>
        <v>0</v>
      </c>
      <c r="H4" s="100" t="e">
        <f>'Localize Daily Bali Jimbaran'!AD9/'Localize Daily Bali Jimbaran'!AC9</f>
        <v>#DIV/0!</v>
      </c>
      <c r="I4" s="99">
        <f>'Localize Daily Bali Jimbaran'!AH9</f>
        <v>276.88999999999942</v>
      </c>
      <c r="J4" s="101">
        <f>'Localize Daily Bali Jimbaran'!AI9/'Localize Daily Bali Jimbaran'!AH9</f>
        <v>9900</v>
      </c>
      <c r="K4" s="99">
        <f>'Localize Daily Bali Jimbaran'!Q9</f>
        <v>481</v>
      </c>
      <c r="L4" s="100">
        <f>'Localize Daily Bali Jimbaran'!V9/'Localize Daily Bali Jimbaran'!Q9</f>
        <v>8212.6644490644485</v>
      </c>
      <c r="M4" s="99">
        <f>'Localize Daily Bali Jimbaran'!C9</f>
        <v>3</v>
      </c>
      <c r="N4" s="99">
        <v>10</v>
      </c>
    </row>
    <row r="5" spans="1:14" ht="15">
      <c r="A5" s="96" t="s">
        <v>14</v>
      </c>
      <c r="B5" s="97">
        <v>4</v>
      </c>
      <c r="C5" s="98">
        <v>8</v>
      </c>
      <c r="D5" s="97">
        <v>2021</v>
      </c>
      <c r="E5" s="99">
        <f>'Localize Daily Bali Jimbaran'!P10</f>
        <v>13219.999999999902</v>
      </c>
      <c r="F5" s="100">
        <f>'Localize Daily Bali Jimbaran'!O10/'Localize Daily Bali Jimbaran'!P10</f>
        <v>1182.998655068076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385.38999999999942</v>
      </c>
      <c r="J5" s="101">
        <f>'Localize Daily Bali Jimbaran'!AI10/'Localize Daily Bali Jimbaran'!AH10</f>
        <v>9900</v>
      </c>
      <c r="K5" s="99">
        <f>'Localize Daily Bali Jimbaran'!Q10</f>
        <v>601</v>
      </c>
      <c r="L5" s="100">
        <f>'Localize Daily Bali Jimbaran'!V10/'Localize Daily Bali Jimbaran'!Q10</f>
        <v>7521.1480865224621</v>
      </c>
      <c r="M5" s="99">
        <f>'Localize Daily Bali Jimbaran'!C10</f>
        <v>3</v>
      </c>
      <c r="N5" s="99">
        <v>10</v>
      </c>
    </row>
    <row r="6" spans="1:14" ht="15">
      <c r="A6" s="96" t="s">
        <v>14</v>
      </c>
      <c r="B6" s="97">
        <v>5</v>
      </c>
      <c r="C6" s="98">
        <v>8</v>
      </c>
      <c r="D6" s="97">
        <v>2021</v>
      </c>
      <c r="E6" s="99">
        <f>'Localize Daily Bali Jimbaran'!P11</f>
        <v>13299.999999999854</v>
      </c>
      <c r="F6" s="100">
        <f>'Localize Daily Bali Jimbaran'!O11/'Localize Daily Bali Jimbaran'!P11</f>
        <v>1179.1537578947411</v>
      </c>
      <c r="G6" s="99">
        <f>'Localize Daily Bali Jimbaran'!AC11</f>
        <v>0</v>
      </c>
      <c r="H6" s="100" t="e">
        <f>'Localize Daily Bali Jimbaran'!AD11/'Localize Daily Bali Jimbaran'!AC11</f>
        <v>#DIV/0!</v>
      </c>
      <c r="I6" s="99">
        <f>'Localize Daily Bali Jimbaran'!AH11</f>
        <v>117.19999999999709</v>
      </c>
      <c r="J6" s="101">
        <f>'Localize Daily Bali Jimbaran'!AI11/'Localize Daily Bali Jimbaran'!AH11</f>
        <v>9900</v>
      </c>
      <c r="K6" s="99">
        <f>'Localize Daily Bali Jimbaran'!Q11</f>
        <v>736</v>
      </c>
      <c r="L6" s="100">
        <f>'Localize Daily Bali Jimbaran'!V11/'Localize Daily Bali Jimbaran'!Q11</f>
        <v>6994.7649728260867</v>
      </c>
      <c r="M6" s="99">
        <f>'Localize Daily Bali Jimbaran'!C11</f>
        <v>3</v>
      </c>
      <c r="N6" s="99">
        <v>10</v>
      </c>
    </row>
    <row r="7" spans="1:14" ht="15">
      <c r="A7" s="96" t="s">
        <v>14</v>
      </c>
      <c r="B7" s="97">
        <v>6</v>
      </c>
      <c r="C7" s="98">
        <v>8</v>
      </c>
      <c r="D7" s="97">
        <v>2021</v>
      </c>
      <c r="E7" s="99">
        <f>'Localize Daily Bali Jimbaran'!P12</f>
        <v>13420.000000000186</v>
      </c>
      <c r="F7" s="100">
        <f>'Localize Daily Bali Jimbaran'!O12/'Localize Daily Bali Jimbaran'!P12</f>
        <v>1183.1972727272698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323.88000000000466</v>
      </c>
      <c r="J7" s="101">
        <f>'Localize Daily Bali Jimbaran'!AI12/'Localize Daily Bali Jimbaran'!AH12</f>
        <v>9900</v>
      </c>
      <c r="K7" s="99">
        <f>'Localize Daily Bali Jimbaran'!Q12</f>
        <v>657</v>
      </c>
      <c r="L7" s="100">
        <f>'Localize Daily Bali Jimbaran'!V12/'Localize Daily Bali Jimbaran'!Q12</f>
        <v>7224.5180821917811</v>
      </c>
      <c r="M7" s="99">
        <f>'Localize Daily Bali Jimbaran'!C12</f>
        <v>5</v>
      </c>
      <c r="N7" s="99">
        <v>20</v>
      </c>
    </row>
    <row r="8" spans="1:14" ht="15">
      <c r="A8" s="96" t="s">
        <v>14</v>
      </c>
      <c r="B8" s="97">
        <v>7</v>
      </c>
      <c r="C8" s="98">
        <v>8</v>
      </c>
      <c r="D8" s="97">
        <v>2021</v>
      </c>
      <c r="E8" s="99">
        <f>'Localize Daily Bali Jimbaran'!P13</f>
        <v>13560.000000000073</v>
      </c>
      <c r="F8" s="100">
        <f>'Localize Daily Bali Jimbaran'!O13/'Localize Daily Bali Jimbaran'!P13</f>
        <v>1180.6058761061947</v>
      </c>
      <c r="G8" s="99">
        <f>'Localize Daily Bali Jimbaran'!AC13</f>
        <v>12</v>
      </c>
      <c r="H8" s="100">
        <f>'Localize Daily Bali Jimbaran'!AD13/'Localize Daily Bali Jimbaran'!AC13</f>
        <v>11458.333333333334</v>
      </c>
      <c r="I8" s="99">
        <f>'Localize Daily Bali Jimbaran'!AH13</f>
        <v>245.56999999999971</v>
      </c>
      <c r="J8" s="101">
        <f>'Localize Daily Bali Jimbaran'!AI13/'Localize Daily Bali Jimbaran'!AH13</f>
        <v>9900</v>
      </c>
      <c r="K8" s="99">
        <f>'Localize Daily Bali Jimbaran'!Q13</f>
        <v>618</v>
      </c>
      <c r="L8" s="100">
        <f>'Localize Daily Bali Jimbaran'!V13/'Localize Daily Bali Jimbaran'!Q13</f>
        <v>7466.2938834951447</v>
      </c>
      <c r="M8" s="99">
        <f>'Localize Daily Bali Jimbaran'!C13</f>
        <v>5</v>
      </c>
      <c r="N8" s="99">
        <v>23</v>
      </c>
    </row>
    <row r="9" spans="1:14" ht="15">
      <c r="A9" s="96" t="s">
        <v>14</v>
      </c>
      <c r="B9" s="97">
        <v>8</v>
      </c>
      <c r="C9" s="98">
        <v>8</v>
      </c>
      <c r="D9" s="97">
        <v>2021</v>
      </c>
      <c r="E9" s="99">
        <f>'Localize Daily Bali Jimbaran'!P14</f>
        <v>13339.999999999747</v>
      </c>
      <c r="F9" s="100">
        <f>'Localize Daily Bali Jimbaran'!O14/'Localize Daily Bali Jimbaran'!P14</f>
        <v>1180.5096791604226</v>
      </c>
      <c r="G9" s="99">
        <f>'Localize Daily Bali Jimbaran'!AC14</f>
        <v>400</v>
      </c>
      <c r="H9" s="100">
        <f>'Localize Daily Bali Jimbaran'!AD14/'Localize Daily Bali Jimbaran'!AC14</f>
        <v>14740</v>
      </c>
      <c r="I9" s="99">
        <f>'Localize Daily Bali Jimbaran'!AH14</f>
        <v>101.97999999999593</v>
      </c>
      <c r="J9" s="101">
        <f>'Localize Daily Bali Jimbaran'!AI14/'Localize Daily Bali Jimbaran'!AH14</f>
        <v>9900</v>
      </c>
      <c r="K9" s="99">
        <f>'Localize Daily Bali Jimbaran'!Q14</f>
        <v>535</v>
      </c>
      <c r="L9" s="100">
        <f>'Localize Daily Bali Jimbaran'!V14/'Localize Daily Bali Jimbaran'!Q14</f>
        <v>7838.380747663552</v>
      </c>
      <c r="M9" s="99">
        <f>'Localize Daily Bali Jimbaran'!C14</f>
        <v>3</v>
      </c>
      <c r="N9" s="99">
        <v>8</v>
      </c>
    </row>
    <row r="10" spans="1:14" ht="15">
      <c r="A10" s="96" t="s">
        <v>14</v>
      </c>
      <c r="B10" s="97">
        <v>9</v>
      </c>
      <c r="C10" s="98">
        <v>8</v>
      </c>
      <c r="D10" s="97">
        <v>2021</v>
      </c>
      <c r="E10" s="99">
        <f>'Localize Daily Bali Jimbaran'!P15</f>
        <v>13220.000000000156</v>
      </c>
      <c r="F10" s="100">
        <f>'Localize Daily Bali Jimbaran'!O15/'Localize Daily Bali Jimbaran'!P15</f>
        <v>1179.707977307108</v>
      </c>
      <c r="G10" s="99">
        <f>'Localize Daily Bali Jimbaran'!AC15</f>
        <v>12</v>
      </c>
      <c r="H10" s="100">
        <f>'Localize Daily Bali Jimbaran'!AD15/'Localize Daily Bali Jimbaran'!AC15</f>
        <v>11458.333333333334</v>
      </c>
      <c r="I10" s="99">
        <f>'Localize Daily Bali Jimbaran'!AH15</f>
        <v>378.90000000000146</v>
      </c>
      <c r="J10" s="101">
        <f>'Localize Daily Bali Jimbaran'!AI15/'Localize Daily Bali Jimbaran'!AH15</f>
        <v>9900</v>
      </c>
      <c r="K10" s="99">
        <f>'Localize Daily Bali Jimbaran'!Q15</f>
        <v>642</v>
      </c>
      <c r="L10" s="100">
        <f>'Localize Daily Bali Jimbaran'!V15/'Localize Daily Bali Jimbaran'!Q15</f>
        <v>7323.5372897196257</v>
      </c>
      <c r="M10" s="99">
        <f>'Localize Daily Bali Jimbaran'!C15</f>
        <v>5</v>
      </c>
      <c r="N10" s="99">
        <v>10</v>
      </c>
    </row>
    <row r="11" spans="1:14" ht="15">
      <c r="A11" s="96" t="s">
        <v>14</v>
      </c>
      <c r="B11" s="97">
        <v>10</v>
      </c>
      <c r="C11" s="98">
        <v>8</v>
      </c>
      <c r="D11" s="97">
        <v>2021</v>
      </c>
      <c r="E11" s="99">
        <f>'Localize Daily Bali Jimbaran'!P16</f>
        <v>12479.999999999947</v>
      </c>
      <c r="F11" s="100">
        <f>'Localize Daily Bali Jimbaran'!O16/'Localize Daily Bali Jimbaran'!P16</f>
        <v>1184.2998966346138</v>
      </c>
      <c r="G11" s="99">
        <f>'Localize Daily Bali Jimbaran'!AC16</f>
        <v>0</v>
      </c>
      <c r="H11" s="100" t="e">
        <f>'Localize Daily Bali Jimbaran'!AD16/'Localize Daily Bali Jimbaran'!AC16</f>
        <v>#DIV/0!</v>
      </c>
      <c r="I11" s="99">
        <f>'Localize Daily Bali Jimbaran'!AH16</f>
        <v>135.01000000000204</v>
      </c>
      <c r="J11" s="101">
        <f>'Localize Daily Bali Jimbaran'!AI16/'Localize Daily Bali Jimbaran'!AH16</f>
        <v>9900</v>
      </c>
      <c r="K11" s="99">
        <f>'Localize Daily Bali Jimbaran'!Q16</f>
        <v>523</v>
      </c>
      <c r="L11" s="100">
        <f>'Localize Daily Bali Jimbaran'!V16/'Localize Daily Bali Jimbaran'!Q16</f>
        <v>7985.0963671128102</v>
      </c>
      <c r="M11" s="99">
        <f>'Localize Daily Bali Jimbaran'!C16</f>
        <v>3</v>
      </c>
      <c r="N11" s="99">
        <v>6</v>
      </c>
    </row>
    <row r="12" spans="1:14" ht="15">
      <c r="A12" s="96" t="s">
        <v>14</v>
      </c>
      <c r="B12" s="97">
        <v>11</v>
      </c>
      <c r="C12" s="98">
        <v>8</v>
      </c>
      <c r="D12" s="97">
        <v>2021</v>
      </c>
      <c r="E12" s="99">
        <f>'Localize Daily Bali Jimbaran'!P17</f>
        <v>13279.999999999845</v>
      </c>
      <c r="F12" s="100">
        <f>'Localize Daily Bali Jimbaran'!O17/'Localize Daily Bali Jimbaran'!P17</f>
        <v>1182.5674969879544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469.33999999998923</v>
      </c>
      <c r="J12" s="101">
        <f>'Localize Daily Bali Jimbaran'!AI17/'Localize Daily Bali Jimbaran'!AH17</f>
        <v>9900.0000000000018</v>
      </c>
      <c r="K12" s="99">
        <f>'Localize Daily Bali Jimbaran'!Q17</f>
        <v>614</v>
      </c>
      <c r="L12" s="100">
        <f>'Localize Daily Bali Jimbaran'!V17/'Localize Daily Bali Jimbaran'!Q17</f>
        <v>7440.9283061889255</v>
      </c>
      <c r="M12" s="99">
        <f>'Localize Daily Bali Jimbaran'!C17</f>
        <v>3</v>
      </c>
      <c r="N12" s="99">
        <v>11</v>
      </c>
    </row>
    <row r="13" spans="1:14" ht="15">
      <c r="A13" s="96" t="s">
        <v>14</v>
      </c>
      <c r="B13" s="97">
        <v>12</v>
      </c>
      <c r="C13" s="98">
        <v>8</v>
      </c>
      <c r="D13" s="97">
        <v>2021</v>
      </c>
      <c r="E13" s="99">
        <f>'Localize Daily Bali Jimbaran'!P18</f>
        <v>13440.000000000167</v>
      </c>
      <c r="F13" s="100">
        <f>'Localize Daily Bali Jimbaran'!O18/'Localize Daily Bali Jimbaran'!P18</f>
        <v>1179.8181562500001</v>
      </c>
      <c r="G13" s="99">
        <f>'Localize Daily Bali Jimbaran'!AC18</f>
        <v>12</v>
      </c>
      <c r="H13" s="100">
        <f>'Localize Daily Bali Jimbaran'!AD18/'Localize Daily Bali Jimbaran'!AC18</f>
        <v>11458.333333333334</v>
      </c>
      <c r="I13" s="99">
        <f>'Localize Daily Bali Jimbaran'!AH18</f>
        <v>280.66000000001077</v>
      </c>
      <c r="J13" s="101">
        <f>'Localize Daily Bali Jimbaran'!AI18/'Localize Daily Bali Jimbaran'!AH18</f>
        <v>9900</v>
      </c>
      <c r="K13" s="99">
        <f>'Localize Daily Bali Jimbaran'!Q18</f>
        <v>723</v>
      </c>
      <c r="L13" s="100">
        <f>'Localize Daily Bali Jimbaran'!V18/'Localize Daily Bali Jimbaran'!Q18</f>
        <v>7053.426058091286</v>
      </c>
      <c r="M13" s="99">
        <f>'Localize Daily Bali Jimbaran'!C18</f>
        <v>5</v>
      </c>
      <c r="N13" s="99">
        <v>13</v>
      </c>
    </row>
    <row r="14" spans="1:14" ht="15">
      <c r="A14" s="96" t="s">
        <v>14</v>
      </c>
      <c r="B14" s="97">
        <v>13</v>
      </c>
      <c r="C14" s="98">
        <v>8</v>
      </c>
      <c r="D14" s="97">
        <v>2021</v>
      </c>
      <c r="E14" s="99">
        <f>'Localize Daily Bali Jimbaran'!P19</f>
        <v>13459.999999999725</v>
      </c>
      <c r="F14" s="100">
        <f>'Localize Daily Bali Jimbaran'!O19/'Localize Daily Bali Jimbaran'!P19</f>
        <v>1178.8730839524519</v>
      </c>
      <c r="G14" s="99">
        <f>'Localize Daily Bali Jimbaran'!AC19</f>
        <v>0</v>
      </c>
      <c r="H14" s="100" t="e">
        <f>'Localize Daily Bali Jimbaran'!AD19/'Localize Daily Bali Jimbaran'!AC19</f>
        <v>#DIV/0!</v>
      </c>
      <c r="I14" s="99">
        <f>'Localize Daily Bali Jimbaran'!AH19</f>
        <v>321.77999999999884</v>
      </c>
      <c r="J14" s="101">
        <f>'Localize Daily Bali Jimbaran'!AI19/'Localize Daily Bali Jimbaran'!AH19</f>
        <v>9900</v>
      </c>
      <c r="K14" s="99">
        <f>'Localize Daily Bali Jimbaran'!Q19</f>
        <v>711</v>
      </c>
      <c r="L14" s="100">
        <f>'Localize Daily Bali Jimbaran'!V19/'Localize Daily Bali Jimbaran'!Q19</f>
        <v>7129.5043037974692</v>
      </c>
      <c r="M14" s="99">
        <f>'Localize Daily Bali Jimbaran'!C19</f>
        <v>5</v>
      </c>
      <c r="N14" s="99">
        <v>14</v>
      </c>
    </row>
    <row r="15" spans="1:14" ht="15">
      <c r="A15" s="96" t="s">
        <v>14</v>
      </c>
      <c r="B15" s="97">
        <v>14</v>
      </c>
      <c r="C15" s="98">
        <v>8</v>
      </c>
      <c r="D15" s="97">
        <v>2021</v>
      </c>
      <c r="E15" s="99">
        <f>'Localize Daily Bali Jimbaran'!P20</f>
        <v>13380.000000000266</v>
      </c>
      <c r="F15" s="100">
        <f>'Localize Daily Bali Jimbaran'!O20/'Localize Daily Bali Jimbaran'!P20</f>
        <v>1185.1088206277993</v>
      </c>
      <c r="G15" s="99">
        <f>'Localize Daily Bali Jimbaran'!AC20</f>
        <v>12</v>
      </c>
      <c r="H15" s="100">
        <f>'Localize Daily Bali Jimbaran'!AD20/'Localize Daily Bali Jimbaran'!AC20</f>
        <v>11458.333333333334</v>
      </c>
      <c r="I15" s="99">
        <f>'Localize Daily Bali Jimbaran'!AH20</f>
        <v>116.94000000000233</v>
      </c>
      <c r="J15" s="101">
        <f>'Localize Daily Bali Jimbaran'!AI20/'Localize Daily Bali Jimbaran'!AH20</f>
        <v>9900</v>
      </c>
      <c r="K15" s="99">
        <f>'Localize Daily Bali Jimbaran'!Q20</f>
        <v>716</v>
      </c>
      <c r="L15" s="100">
        <f>'Localize Daily Bali Jimbaran'!V20/'Localize Daily Bali Jimbaran'!Q20</f>
        <v>7075.9522346368713</v>
      </c>
      <c r="M15" s="99">
        <f>'Localize Daily Bali Jimbaran'!C20</f>
        <v>5</v>
      </c>
      <c r="N15" s="99">
        <v>14</v>
      </c>
    </row>
    <row r="16" spans="1:14" ht="15">
      <c r="A16" s="96" t="s">
        <v>14</v>
      </c>
      <c r="B16" s="97">
        <v>15</v>
      </c>
      <c r="C16" s="98">
        <v>8</v>
      </c>
      <c r="D16" s="97">
        <v>2021</v>
      </c>
      <c r="E16" s="99">
        <f>'Localize Daily Bali Jimbaran'!P21</f>
        <v>13640.000000000073</v>
      </c>
      <c r="F16" s="100">
        <f>'Localize Daily Bali Jimbaran'!O21/'Localize Daily Bali Jimbaran'!P21</f>
        <v>1177.6681913489761</v>
      </c>
      <c r="G16" s="99">
        <f>'Localize Daily Bali Jimbaran'!AC21</f>
        <v>62</v>
      </c>
      <c r="H16" s="100">
        <f>'Localize Daily Bali Jimbaran'!AD21/'Localize Daily Bali Jimbaran'!AC21</f>
        <v>14104.838709677419</v>
      </c>
      <c r="I16" s="99">
        <f>'Localize Daily Bali Jimbaran'!AH21</f>
        <v>81.379999999997381</v>
      </c>
      <c r="J16" s="101">
        <f>'Localize Daily Bali Jimbaran'!AI21/'Localize Daily Bali Jimbaran'!AH21</f>
        <v>9900</v>
      </c>
      <c r="K16" s="99">
        <f>'Localize Daily Bali Jimbaran'!Q21</f>
        <v>694</v>
      </c>
      <c r="L16" s="100">
        <f>'Localize Daily Bali Jimbaran'!V21/'Localize Daily Bali Jimbaran'!Q21</f>
        <v>7168.7578386167143</v>
      </c>
      <c r="M16" s="99">
        <f>'Localize Daily Bali Jimbaran'!C21</f>
        <v>1</v>
      </c>
      <c r="N16" s="99">
        <v>8</v>
      </c>
    </row>
    <row r="17" spans="1:14" ht="15">
      <c r="A17" s="96" t="s">
        <v>14</v>
      </c>
      <c r="B17" s="97">
        <v>16</v>
      </c>
      <c r="C17" s="98">
        <v>8</v>
      </c>
      <c r="D17" s="97">
        <v>2021</v>
      </c>
      <c r="E17" s="99">
        <f>'Localize Daily Bali Jimbaran'!P22</f>
        <v>13299.999999999756</v>
      </c>
      <c r="F17" s="100">
        <f>'Localize Daily Bali Jimbaran'!O22/'Localize Daily Bali Jimbaran'!P22</f>
        <v>1179.9714789473687</v>
      </c>
      <c r="G17" s="99">
        <f>'Localize Daily Bali Jimbaran'!AC22</f>
        <v>412</v>
      </c>
      <c r="H17" s="100">
        <f>'Localize Daily Bali Jimbaran'!AD22/'Localize Daily Bali Jimbaran'!AC22</f>
        <v>14644.417475728156</v>
      </c>
      <c r="I17" s="99">
        <f>'Localize Daily Bali Jimbaran'!AH22</f>
        <v>351.13999999999942</v>
      </c>
      <c r="J17" s="101">
        <f>'Localize Daily Bali Jimbaran'!AI22/'Localize Daily Bali Jimbaran'!AH22</f>
        <v>9900</v>
      </c>
      <c r="K17" s="99">
        <f>'Localize Daily Bali Jimbaran'!Q22</f>
        <v>611</v>
      </c>
      <c r="L17" s="100">
        <f>'Localize Daily Bali Jimbaran'!V22/'Localize Daily Bali Jimbaran'!Q22</f>
        <v>7627.2527986906707</v>
      </c>
      <c r="M17" s="99">
        <f>'Localize Daily Bali Jimbaran'!C22</f>
        <v>1</v>
      </c>
      <c r="N17" s="99">
        <v>4</v>
      </c>
    </row>
    <row r="18" spans="1:14" ht="15">
      <c r="A18" s="96" t="s">
        <v>14</v>
      </c>
      <c r="B18" s="97">
        <v>17</v>
      </c>
      <c r="C18" s="98">
        <v>8</v>
      </c>
      <c r="D18" s="97">
        <v>2021</v>
      </c>
      <c r="E18" s="99">
        <f>'Localize Daily Bali Jimbaran'!P23</f>
        <v>12680.000000000235</v>
      </c>
      <c r="F18" s="100">
        <f>'Localize Daily Bali Jimbaran'!O23/'Localize Daily Bali Jimbaran'!P23</f>
        <v>1181.9164684542566</v>
      </c>
      <c r="G18" s="99">
        <f>'Localize Daily Bali Jimbaran'!AC23</f>
        <v>12</v>
      </c>
      <c r="H18" s="100">
        <f>'Localize Daily Bali Jimbaran'!AD23/'Localize Daily Bali Jimbaran'!AC23</f>
        <v>11458.333333333334</v>
      </c>
      <c r="I18" s="99">
        <f>'Localize Daily Bali Jimbaran'!AH23</f>
        <v>179.38999999999942</v>
      </c>
      <c r="J18" s="101">
        <f>'Localize Daily Bali Jimbaran'!AI23/'Localize Daily Bali Jimbaran'!AH23</f>
        <v>9900</v>
      </c>
      <c r="K18" s="99">
        <f>'Localize Daily Bali Jimbaran'!Q23</f>
        <v>401</v>
      </c>
      <c r="L18" s="100">
        <f>'Localize Daily Bali Jimbaran'!V23/'Localize Daily Bali Jimbaran'!Q23</f>
        <v>7782.6081795511218</v>
      </c>
      <c r="M18" s="99">
        <f>'Localize Daily Bali Jimbaran'!C23</f>
        <v>1</v>
      </c>
      <c r="N18" s="99">
        <v>4</v>
      </c>
    </row>
    <row r="19" spans="1:14" ht="15">
      <c r="A19" s="96" t="s">
        <v>14</v>
      </c>
      <c r="B19" s="97">
        <v>18</v>
      </c>
      <c r="C19" s="98">
        <v>8</v>
      </c>
      <c r="D19" s="97">
        <v>2021</v>
      </c>
      <c r="E19" s="99">
        <f>'Localize Daily Bali Jimbaran'!P24</f>
        <v>13459.999999999724</v>
      </c>
      <c r="F19" s="100">
        <f>'Localize Daily Bali Jimbaran'!O24/'Localize Daily Bali Jimbaran'!P24</f>
        <v>1180.4890854383391</v>
      </c>
      <c r="G19" s="99">
        <f>'Localize Daily Bali Jimbaran'!AC24</f>
        <v>0</v>
      </c>
      <c r="H19" s="100" t="e">
        <f>'Localize Daily Bali Jimbaran'!AD24/'Localize Daily Bali Jimbaran'!AC24</f>
        <v>#DIV/0!</v>
      </c>
      <c r="I19" s="99">
        <f>'Localize Daily Bali Jimbaran'!AH24</f>
        <v>292.34999999999127</v>
      </c>
      <c r="J19" s="101">
        <f>'Localize Daily Bali Jimbaran'!AI24/'Localize Daily Bali Jimbaran'!AH24</f>
        <v>9900</v>
      </c>
      <c r="K19" s="99">
        <f>'Localize Daily Bali Jimbaran'!Q24</f>
        <v>571</v>
      </c>
      <c r="L19" s="100">
        <f>'Localize Daily Bali Jimbaran'!V24/'Localize Daily Bali Jimbaran'!Q24</f>
        <v>4749.32</v>
      </c>
      <c r="M19" s="99">
        <f>'Localize Daily Bali Jimbaran'!C24</f>
        <v>1</v>
      </c>
      <c r="N19" s="99">
        <v>4</v>
      </c>
    </row>
    <row r="20" spans="1:14" ht="15">
      <c r="A20" s="96" t="s">
        <v>14</v>
      </c>
      <c r="B20" s="97">
        <v>19</v>
      </c>
      <c r="C20" s="98">
        <v>8</v>
      </c>
      <c r="D20" s="97">
        <v>2021</v>
      </c>
      <c r="E20" s="99">
        <f>'Localize Daily Bali Jimbaran'!P25</f>
        <v>13039.999999999936</v>
      </c>
      <c r="F20" s="100">
        <f>'Localize Daily Bali Jimbaran'!O25/'Localize Daily Bali Jimbaran'!P25</f>
        <v>1181.8138596625754</v>
      </c>
      <c r="G20" s="99">
        <f>'Localize Daily Bali Jimbaran'!AC25</f>
        <v>12</v>
      </c>
      <c r="H20" s="100">
        <f>'Localize Daily Bali Jimbaran'!AD25/'Localize Daily Bali Jimbaran'!AC25</f>
        <v>11458.333333333334</v>
      </c>
      <c r="I20" s="99">
        <f>'Localize Daily Bali Jimbaran'!AH25</f>
        <v>118.83000000000175</v>
      </c>
      <c r="J20" s="101">
        <f>'Localize Daily Bali Jimbaran'!AI25/'Localize Daily Bali Jimbaran'!AH25</f>
        <v>9900</v>
      </c>
      <c r="K20" s="99">
        <f>'Localize Daily Bali Jimbaran'!Q25</f>
        <v>657</v>
      </c>
      <c r="L20" s="100">
        <f>'Localize Daily Bali Jimbaran'!V25/'Localize Daily Bali Jimbaran'!Q25</f>
        <v>6882.417534246576</v>
      </c>
      <c r="M20" s="99">
        <f>'Localize Daily Bali Jimbaran'!C25</f>
        <v>1</v>
      </c>
      <c r="N20" s="99">
        <v>4</v>
      </c>
    </row>
    <row r="21" spans="1:14" ht="15">
      <c r="A21" s="96" t="s">
        <v>14</v>
      </c>
      <c r="B21" s="97">
        <v>20</v>
      </c>
      <c r="C21" s="98">
        <v>8</v>
      </c>
      <c r="D21" s="97">
        <v>2021</v>
      </c>
      <c r="E21" s="99">
        <f>'Localize Daily Bali Jimbaran'!P26</f>
        <v>13220.000000000367</v>
      </c>
      <c r="F21" s="100">
        <f>'Localize Daily Bali Jimbaran'!O26/'Localize Daily Bali Jimbaran'!P26</f>
        <v>1181.3533161875932</v>
      </c>
      <c r="G21" s="99">
        <f>'Localize Daily Bali Jimbaran'!AC26</f>
        <v>12</v>
      </c>
      <c r="H21" s="100">
        <f>'Localize Daily Bali Jimbaran'!AD26/'Localize Daily Bali Jimbaran'!AC26</f>
        <v>11458.333333333334</v>
      </c>
      <c r="I21" s="99">
        <f>'Localize Daily Bali Jimbaran'!AH26</f>
        <v>338.63000000000466</v>
      </c>
      <c r="J21" s="101">
        <f>'Localize Daily Bali Jimbaran'!AI26/'Localize Daily Bali Jimbaran'!AH26</f>
        <v>9900</v>
      </c>
      <c r="K21" s="99">
        <f>'Localize Daily Bali Jimbaran'!Q26</f>
        <v>838</v>
      </c>
      <c r="L21" s="100">
        <f>'Localize Daily Bali Jimbaran'!V26/'Localize Daily Bali Jimbaran'!Q26</f>
        <v>6768.7842482100232</v>
      </c>
      <c r="M21" s="99">
        <f>'Localize Daily Bali Jimbaran'!C26</f>
        <v>2</v>
      </c>
      <c r="N21" s="99">
        <v>8</v>
      </c>
    </row>
    <row r="22" spans="1:14" ht="15">
      <c r="A22" s="96" t="s">
        <v>14</v>
      </c>
      <c r="B22" s="97">
        <v>21</v>
      </c>
      <c r="C22" s="98">
        <v>8</v>
      </c>
      <c r="D22" s="97">
        <v>2021</v>
      </c>
      <c r="E22" s="99">
        <f>'Localize Daily Bali Jimbaran'!P27</f>
        <v>13660.000000000069</v>
      </c>
      <c r="F22" s="100">
        <f>'Localize Daily Bali Jimbaran'!O27/'Localize Daily Bali Jimbaran'!P27</f>
        <v>1179.9247862371899</v>
      </c>
      <c r="G22" s="99">
        <f>'Localize Daily Bali Jimbaran'!AC27</f>
        <v>12</v>
      </c>
      <c r="H22" s="100">
        <f>'Localize Daily Bali Jimbaran'!AD27/'Localize Daily Bali Jimbaran'!AC27</f>
        <v>11458.333333333334</v>
      </c>
      <c r="I22" s="99">
        <f>'Localize Daily Bali Jimbaran'!AH27</f>
        <v>97.519999999982247</v>
      </c>
      <c r="J22" s="101">
        <f>'Localize Daily Bali Jimbaran'!AI27/'Localize Daily Bali Jimbaran'!AH27</f>
        <v>9900</v>
      </c>
      <c r="K22" s="99">
        <f>'Localize Daily Bali Jimbaran'!Q27</f>
        <v>766</v>
      </c>
      <c r="L22" s="100">
        <f>'Localize Daily Bali Jimbaran'!V27/'Localize Daily Bali Jimbaran'!Q27</f>
        <v>6285.4623237597907</v>
      </c>
      <c r="M22" s="99">
        <f>'Localize Daily Bali Jimbaran'!C27</f>
        <v>2</v>
      </c>
      <c r="N22" s="99">
        <v>6</v>
      </c>
    </row>
    <row r="23" spans="1:14" ht="15">
      <c r="A23" s="96" t="s">
        <v>14</v>
      </c>
      <c r="B23" s="97">
        <v>22</v>
      </c>
      <c r="C23" s="98">
        <v>8</v>
      </c>
      <c r="D23" s="97">
        <v>2021</v>
      </c>
      <c r="E23" s="99">
        <f>'Localize Daily Bali Jimbaran'!P28</f>
        <v>13100.000000000011</v>
      </c>
      <c r="F23" s="100">
        <f>'Localize Daily Bali Jimbaran'!O28/'Localize Daily Bali Jimbaran'!P28</f>
        <v>1180.5519984732821</v>
      </c>
      <c r="G23" s="99">
        <f>'Localize Daily Bali Jimbaran'!AC28</f>
        <v>0</v>
      </c>
      <c r="H23" s="100" t="e">
        <f>'Localize Daily Bali Jimbaran'!AD28/'Localize Daily Bali Jimbaran'!AC28</f>
        <v>#DIV/0!</v>
      </c>
      <c r="I23" s="99">
        <f>'Localize Daily Bali Jimbaran'!AH28</f>
        <v>115.5</v>
      </c>
      <c r="J23" s="101">
        <f>'Localize Daily Bali Jimbaran'!AI28/'Localize Daily Bali Jimbaran'!AH28</f>
        <v>9900</v>
      </c>
      <c r="K23" s="99">
        <f>'Localize Daily Bali Jimbaran'!Q28</f>
        <v>584</v>
      </c>
      <c r="L23" s="100">
        <f>'Localize Daily Bali Jimbaran'!V28/'Localize Daily Bali Jimbaran'!Q28</f>
        <v>6877.3866438356163</v>
      </c>
      <c r="M23" s="99">
        <f>'Localize Daily Bali Jimbaran'!C28</f>
        <v>3</v>
      </c>
      <c r="N23" s="99">
        <v>9</v>
      </c>
    </row>
    <row r="24" spans="1:14" ht="15">
      <c r="A24" s="96" t="s">
        <v>14</v>
      </c>
      <c r="B24" s="97">
        <v>23</v>
      </c>
      <c r="C24" s="98">
        <v>8</v>
      </c>
      <c r="D24" s="97">
        <v>2021</v>
      </c>
      <c r="E24" s="99">
        <f>'Localize Daily Bali Jimbaran'!P29</f>
        <v>12979.999999999607</v>
      </c>
      <c r="F24" s="100">
        <f>'Localize Daily Bali Jimbaran'!O29/'Localize Daily Bali Jimbaran'!P29</f>
        <v>1181.4116255778147</v>
      </c>
      <c r="G24" s="99">
        <f>'Localize Daily Bali Jimbaran'!AC29</f>
        <v>12</v>
      </c>
      <c r="H24" s="100">
        <f>'Localize Daily Bali Jimbaran'!AD29/'Localize Daily Bali Jimbaran'!AC29</f>
        <v>11458.333333333334</v>
      </c>
      <c r="I24" s="99">
        <f>'Localize Daily Bali Jimbaran'!AH29</f>
        <v>360.16999999999825</v>
      </c>
      <c r="J24" s="101">
        <f>'Localize Daily Bali Jimbaran'!AI29/'Localize Daily Bali Jimbaran'!AH29</f>
        <v>9900</v>
      </c>
      <c r="K24" s="99">
        <f>'Localize Daily Bali Jimbaran'!Q29</f>
        <v>770</v>
      </c>
      <c r="L24" s="100">
        <f>'Localize Daily Bali Jimbaran'!V29/'Localize Daily Bali Jimbaran'!Q29</f>
        <v>6861.2747272727274</v>
      </c>
      <c r="M24" s="99">
        <f>'Localize Daily Bali Jimbaran'!C29</f>
        <v>4</v>
      </c>
      <c r="N24" s="99">
        <v>7</v>
      </c>
    </row>
    <row r="25" spans="1:14" ht="15">
      <c r="A25" s="96" t="s">
        <v>14</v>
      </c>
      <c r="B25" s="97">
        <v>24</v>
      </c>
      <c r="C25" s="98">
        <v>8</v>
      </c>
      <c r="D25" s="97">
        <v>2021</v>
      </c>
      <c r="E25" s="99">
        <f>'Localize Daily Bali Jimbaran'!P30</f>
        <v>12800.000000000196</v>
      </c>
      <c r="F25" s="100">
        <f>'Localize Daily Bali Jimbaran'!O30/'Localize Daily Bali Jimbaran'!P30</f>
        <v>1181.0319609374988</v>
      </c>
      <c r="G25" s="99">
        <f>'Localize Daily Bali Jimbaran'!AC30</f>
        <v>0</v>
      </c>
      <c r="H25" s="100" t="e">
        <f>'Localize Daily Bali Jimbaran'!AD30/'Localize Daily Bali Jimbaran'!AC30</f>
        <v>#DIV/0!</v>
      </c>
      <c r="I25" s="99">
        <f>'Localize Daily Bali Jimbaran'!AH30</f>
        <v>197.19000000000233</v>
      </c>
      <c r="J25" s="101">
        <f>'Localize Daily Bali Jimbaran'!AI30/'Localize Daily Bali Jimbaran'!AH30</f>
        <v>9900</v>
      </c>
      <c r="K25" s="99">
        <f>'Localize Daily Bali Jimbaran'!Q30</f>
        <v>686</v>
      </c>
      <c r="L25" s="100">
        <f>'Localize Daily Bali Jimbaran'!V30/'Localize Daily Bali Jimbaran'!Q30</f>
        <v>7620.9757142857143</v>
      </c>
      <c r="M25" s="99">
        <f>'Localize Daily Bali Jimbaran'!C30</f>
        <v>6</v>
      </c>
      <c r="N25" s="99">
        <v>11</v>
      </c>
    </row>
    <row r="26" spans="1:14" ht="15">
      <c r="A26" s="96" t="s">
        <v>14</v>
      </c>
      <c r="B26" s="97">
        <v>25</v>
      </c>
      <c r="C26" s="98">
        <v>8</v>
      </c>
      <c r="D26" s="97">
        <v>2021</v>
      </c>
      <c r="E26" s="99">
        <f>'Localize Daily Bali Jimbaran'!P31</f>
        <v>13420.000000000116</v>
      </c>
      <c r="F26" s="100">
        <f>'Localize Daily Bali Jimbaran'!O31/'Localize Daily Bali Jimbaran'!P31</f>
        <v>1181.5764545454506</v>
      </c>
      <c r="G26" s="99">
        <f>'Localize Daily Bali Jimbaran'!AC31</f>
        <v>436</v>
      </c>
      <c r="H26" s="100">
        <f>'Localize Daily Bali Jimbaran'!AD31/'Localize Daily Bali Jimbaran'!AC31</f>
        <v>14469.036697247706</v>
      </c>
      <c r="I26" s="99">
        <f>'Localize Daily Bali Jimbaran'!AH31</f>
        <v>278.83999999999651</v>
      </c>
      <c r="J26" s="101">
        <f>'Localize Daily Bali Jimbaran'!AI31/'Localize Daily Bali Jimbaran'!AH31</f>
        <v>9900</v>
      </c>
      <c r="K26" s="99">
        <f>'Localize Daily Bali Jimbaran'!Q31</f>
        <v>600</v>
      </c>
      <c r="L26" s="100">
        <f>'Localize Daily Bali Jimbaran'!V31/'Localize Daily Bali Jimbaran'!Q31</f>
        <v>7261.3441999999995</v>
      </c>
      <c r="M26" s="99">
        <f>'Localize Daily Bali Jimbaran'!C31</f>
        <v>4</v>
      </c>
      <c r="N26" s="99">
        <v>8</v>
      </c>
    </row>
    <row r="27" spans="1:14" ht="15">
      <c r="A27" s="96" t="s">
        <v>14</v>
      </c>
      <c r="B27" s="97">
        <v>26</v>
      </c>
      <c r="C27" s="98">
        <v>8</v>
      </c>
      <c r="D27" s="97">
        <v>2021</v>
      </c>
      <c r="E27" s="99">
        <f>'Localize Daily Bali Jimbaran'!P32</f>
        <v>12659.999999999842</v>
      </c>
      <c r="F27" s="100">
        <f>'Localize Daily Bali Jimbaran'!O32/'Localize Daily Bali Jimbaran'!P32</f>
        <v>1183.7836350710911</v>
      </c>
      <c r="G27" s="99">
        <f>'Localize Daily Bali Jimbaran'!AC32</f>
        <v>0</v>
      </c>
      <c r="H27" s="100" t="e">
        <f>'Localize Daily Bali Jimbaran'!AD32/'Localize Daily Bali Jimbaran'!AC32</f>
        <v>#DIV/0!</v>
      </c>
      <c r="I27" s="99">
        <f>'Localize Daily Bali Jimbaran'!AH32</f>
        <v>226.9800000000032</v>
      </c>
      <c r="J27" s="101">
        <f>'Localize Daily Bali Jimbaran'!AI32/'Localize Daily Bali Jimbaran'!AH32</f>
        <v>9900</v>
      </c>
      <c r="K27" s="99">
        <f>'Localize Daily Bali Jimbaran'!Q32</f>
        <v>749</v>
      </c>
      <c r="L27" s="100">
        <f>'Localize Daily Bali Jimbaran'!V32/'Localize Daily Bali Jimbaran'!Q32</f>
        <v>6549.8011214953276</v>
      </c>
      <c r="M27" s="99">
        <f>'Localize Daily Bali Jimbaran'!C32</f>
        <v>4</v>
      </c>
      <c r="N27" s="99">
        <v>13</v>
      </c>
    </row>
    <row r="28" spans="1:14" ht="15">
      <c r="A28" s="96" t="s">
        <v>14</v>
      </c>
      <c r="B28" s="97">
        <v>27</v>
      </c>
      <c r="C28" s="98">
        <v>8</v>
      </c>
      <c r="D28" s="97">
        <v>2021</v>
      </c>
      <c r="E28" s="99">
        <f>'Localize Daily Bali Jimbaran'!P33</f>
        <v>13319.999999999909</v>
      </c>
      <c r="F28" s="100">
        <f>'Localize Daily Bali Jimbaran'!O33/'Localize Daily Bali Jimbaran'!P33</f>
        <v>1183.0987094594602</v>
      </c>
      <c r="G28" s="99">
        <f>'Localize Daily Bali Jimbaran'!AC33</f>
        <v>0</v>
      </c>
      <c r="H28" s="100" t="e">
        <f>'Localize Daily Bali Jimbaran'!AD33/'Localize Daily Bali Jimbaran'!AC33</f>
        <v>#DIV/0!</v>
      </c>
      <c r="I28" s="99">
        <f>'Localize Daily Bali Jimbaran'!AH33</f>
        <v>284.89999999999418</v>
      </c>
      <c r="J28" s="101">
        <f>'Localize Daily Bali Jimbaran'!AI33/'Localize Daily Bali Jimbaran'!AH33</f>
        <v>9900</v>
      </c>
      <c r="K28" s="99">
        <f>'Localize Daily Bali Jimbaran'!Q33</f>
        <v>574</v>
      </c>
      <c r="L28" s="100">
        <f>'Localize Daily Bali Jimbaran'!V33/'Localize Daily Bali Jimbaran'!Q33</f>
        <v>7697.5970731707312</v>
      </c>
      <c r="M28" s="99">
        <f>'Localize Daily Bali Jimbaran'!C33</f>
        <v>5</v>
      </c>
      <c r="N28" s="99">
        <v>12</v>
      </c>
    </row>
    <row r="29" spans="1:14" ht="15">
      <c r="A29" s="96" t="s">
        <v>14</v>
      </c>
      <c r="B29" s="97">
        <v>28</v>
      </c>
      <c r="C29" s="98">
        <v>8</v>
      </c>
      <c r="D29" s="97">
        <v>2021</v>
      </c>
      <c r="E29" s="99">
        <f>'Localize Daily Bali Jimbaran'!P34</f>
        <v>13740.000000000166</v>
      </c>
      <c r="F29" s="100">
        <f>'Localize Daily Bali Jimbaran'!O34/'Localize Daily Bali Jimbaran'!P34</f>
        <v>1182.5531921397401</v>
      </c>
      <c r="G29" s="99">
        <f>'Localize Daily Bali Jimbaran'!AC34</f>
        <v>12</v>
      </c>
      <c r="H29" s="100">
        <f>'Localize Daily Bali Jimbaran'!AD34/'Localize Daily Bali Jimbaran'!AC34</f>
        <v>11458.333333333334</v>
      </c>
      <c r="I29" s="99">
        <f>'Localize Daily Bali Jimbaran'!AH34</f>
        <v>127.72000000000844</v>
      </c>
      <c r="J29" s="101">
        <f>'Localize Daily Bali Jimbaran'!AI34/'Localize Daily Bali Jimbaran'!AH34</f>
        <v>9900</v>
      </c>
      <c r="K29" s="99">
        <f>'Localize Daily Bali Jimbaran'!Q34</f>
        <v>775</v>
      </c>
      <c r="L29" s="100">
        <f>'Localize Daily Bali Jimbaran'!V34/'Localize Daily Bali Jimbaran'!Q34</f>
        <v>6932.9471483870966</v>
      </c>
      <c r="M29" s="99">
        <f>'Localize Daily Bali Jimbaran'!C34</f>
        <v>6</v>
      </c>
      <c r="N29" s="99">
        <v>17</v>
      </c>
    </row>
    <row r="30" spans="1:14" ht="15">
      <c r="A30" s="96" t="s">
        <v>14</v>
      </c>
      <c r="B30" s="97">
        <v>29</v>
      </c>
      <c r="C30" s="98">
        <v>8</v>
      </c>
      <c r="D30" s="97">
        <v>2021</v>
      </c>
      <c r="E30" s="99">
        <f>'Localize Daily Bali Jimbaran'!P35</f>
        <v>13839.999999999847</v>
      </c>
      <c r="F30" s="100">
        <f>'Localize Daily Bali Jimbaran'!O35/'Localize Daily Bali Jimbaran'!P35</f>
        <v>1180.295258670521</v>
      </c>
      <c r="G30" s="99">
        <f>'Localize Daily Bali Jimbaran'!AC35</f>
        <v>12</v>
      </c>
      <c r="H30" s="100">
        <f>'Localize Daily Bali Jimbaran'!AD35/'Localize Daily Bali Jimbaran'!AC35</f>
        <v>11458.333333333334</v>
      </c>
      <c r="I30" s="99">
        <f>'Localize Daily Bali Jimbaran'!AH35</f>
        <v>117.83999999999651</v>
      </c>
      <c r="J30" s="101">
        <f>'Localize Daily Bali Jimbaran'!AI35/'Localize Daily Bali Jimbaran'!AH35</f>
        <v>9900.0000000000018</v>
      </c>
      <c r="K30" s="99">
        <f>'Localize Daily Bali Jimbaran'!Q35</f>
        <v>536</v>
      </c>
      <c r="L30" s="100">
        <f>'Localize Daily Bali Jimbaran'!V35/'Localize Daily Bali Jimbaran'!Q35</f>
        <v>7906.6167164179096</v>
      </c>
      <c r="M30" s="99">
        <f>'Localize Daily Bali Jimbaran'!C35</f>
        <v>6</v>
      </c>
      <c r="N30" s="99">
        <v>17</v>
      </c>
    </row>
    <row r="31" spans="1:14" ht="15">
      <c r="A31" s="96" t="s">
        <v>14</v>
      </c>
      <c r="B31" s="97">
        <v>30</v>
      </c>
      <c r="C31" s="98">
        <v>8</v>
      </c>
      <c r="D31" s="97">
        <v>2021</v>
      </c>
      <c r="E31" s="99">
        <f>'Localize Daily Bali Jimbaran'!P36</f>
        <v>13839.999999999891</v>
      </c>
      <c r="F31" s="100">
        <f>'Localize Daily Bali Jimbaran'!O36/'Localize Daily Bali Jimbaran'!P36</f>
        <v>1179.5094429190758</v>
      </c>
      <c r="G31" s="99">
        <f>'Localize Daily Bali Jimbaran'!AC36</f>
        <v>12</v>
      </c>
      <c r="H31" s="100">
        <f>'Localize Daily Bali Jimbaran'!AD36/'Localize Daily Bali Jimbaran'!AC36</f>
        <v>11458.333333333334</v>
      </c>
      <c r="I31" s="99">
        <f>'Localize Daily Bali Jimbaran'!AH36</f>
        <v>281.34000000000378</v>
      </c>
      <c r="J31" s="101">
        <f>'Localize Daily Bali Jimbaran'!AI36/'Localize Daily Bali Jimbaran'!AH36</f>
        <v>9900</v>
      </c>
      <c r="K31" s="99">
        <f>'Localize Daily Bali Jimbaran'!Q36</f>
        <v>655</v>
      </c>
      <c r="L31" s="100">
        <f>'Localize Daily Bali Jimbaran'!V36/'Localize Daily Bali Jimbaran'!Q36</f>
        <v>7333.0009770992365</v>
      </c>
      <c r="M31" s="99">
        <f>'Localize Daily Bali Jimbaran'!C36</f>
        <v>4</v>
      </c>
      <c r="N31" s="99">
        <v>13</v>
      </c>
    </row>
    <row r="32" spans="1:14" ht="15">
      <c r="A32" s="96" t="s">
        <v>14</v>
      </c>
      <c r="B32" s="97">
        <v>31</v>
      </c>
      <c r="C32" s="98">
        <v>8</v>
      </c>
      <c r="D32" s="97">
        <v>2021</v>
      </c>
      <c r="E32" s="99">
        <f>'Localize Daily Bali Jimbaran'!P37</f>
        <v>13080.000000000397</v>
      </c>
      <c r="F32" s="100">
        <f>'Localize Daily Bali Jimbaran'!O37/'Localize Daily Bali Jimbaran'!P37</f>
        <v>1179.862699541281</v>
      </c>
      <c r="G32" s="99">
        <f>'Localize Daily Bali Jimbaran'!AC37</f>
        <v>0</v>
      </c>
      <c r="H32" s="100" t="e">
        <f>'Localize Daily Bali Jimbaran'!AD37/'Localize Daily Bali Jimbaran'!AC37</f>
        <v>#DIV/0!</v>
      </c>
      <c r="I32" s="99">
        <f>'Localize Daily Bali Jimbaran'!AH37</f>
        <v>97.860000000000582</v>
      </c>
      <c r="J32" s="101">
        <f>'Localize Daily Bali Jimbaran'!AI37/'Localize Daily Bali Jimbaran'!AH37</f>
        <v>9900</v>
      </c>
      <c r="K32" s="99">
        <f>'Localize Daily Bali Jimbaran'!Q37</f>
        <v>563</v>
      </c>
      <c r="L32" s="100">
        <f>'Localize Daily Bali Jimbaran'!V37/'Localize Daily Bali Jimbaran'!Q37</f>
        <v>7731.7176198934276</v>
      </c>
      <c r="M32" s="99">
        <f>'Localize Daily Bali Jimbaran'!C37</f>
        <v>3</v>
      </c>
      <c r="N32" s="9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60" t="s">
        <v>16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4"/>
    </row>
    <row r="4" spans="1:36" s="83" customFormat="1" ht="15.75" customHeight="1">
      <c r="A4" s="16"/>
      <c r="B4" s="161" t="s">
        <v>17</v>
      </c>
      <c r="C4" s="162" t="s">
        <v>18</v>
      </c>
      <c r="D4" s="163" t="s">
        <v>19</v>
      </c>
      <c r="E4" s="164" t="s">
        <v>20</v>
      </c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5" t="s">
        <v>21</v>
      </c>
      <c r="R4" s="165"/>
      <c r="S4" s="165"/>
      <c r="T4" s="165"/>
      <c r="U4" s="165"/>
      <c r="V4" s="165"/>
      <c r="W4" s="166" t="s">
        <v>22</v>
      </c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7"/>
    </row>
    <row r="5" spans="1:36" s="1" customFormat="1" ht="27" customHeight="1">
      <c r="A5" s="83"/>
      <c r="B5" s="161"/>
      <c r="C5" s="162"/>
      <c r="D5" s="163"/>
      <c r="E5" s="167" t="s">
        <v>23</v>
      </c>
      <c r="F5" s="167"/>
      <c r="G5" s="167"/>
      <c r="H5" s="167"/>
      <c r="I5" s="167"/>
      <c r="J5" s="168" t="s">
        <v>24</v>
      </c>
      <c r="K5" s="168"/>
      <c r="L5" s="168"/>
      <c r="M5" s="168"/>
      <c r="N5" s="168"/>
      <c r="O5" s="169" t="s">
        <v>25</v>
      </c>
      <c r="P5" s="171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6" t="s">
        <v>29</v>
      </c>
      <c r="X5" s="166"/>
      <c r="Y5" s="166"/>
      <c r="Z5" s="166"/>
      <c r="AA5" s="166"/>
      <c r="AB5" s="166"/>
      <c r="AC5" s="166"/>
      <c r="AD5" s="166"/>
      <c r="AE5" s="170" t="s">
        <v>30</v>
      </c>
      <c r="AF5" s="170"/>
      <c r="AG5" s="170"/>
      <c r="AH5" s="170"/>
      <c r="AI5" s="170"/>
      <c r="AJ5" s="83"/>
    </row>
    <row r="6" spans="1:36" s="1" customFormat="1" ht="58.5" customHeight="1">
      <c r="A6" s="86"/>
      <c r="B6" s="161"/>
      <c r="C6" s="162"/>
      <c r="D6" s="163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9"/>
      <c r="P6" s="171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4" t="s">
        <v>45</v>
      </c>
      <c r="AA6" s="124" t="s">
        <v>46</v>
      </c>
      <c r="AB6" s="89" t="s">
        <v>47</v>
      </c>
      <c r="AC6" s="89" t="s">
        <v>48</v>
      </c>
      <c r="AD6" s="90" t="s">
        <v>41</v>
      </c>
      <c r="AE6" s="126" t="s">
        <v>49</v>
      </c>
      <c r="AF6" s="126" t="s">
        <v>50</v>
      </c>
      <c r="AG6" s="126" t="s">
        <v>51</v>
      </c>
      <c r="AH6" s="126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4</v>
      </c>
      <c r="D7" s="103">
        <v>95</v>
      </c>
      <c r="E7" s="155">
        <v>9279.9999999997453</v>
      </c>
      <c r="F7" s="155">
        <v>10092640.319999723</v>
      </c>
      <c r="G7" s="115">
        <v>1840.0000000000318</v>
      </c>
      <c r="H7" s="156">
        <v>3001690.4400000521</v>
      </c>
      <c r="I7" s="105">
        <f>F7+H7</f>
        <v>13094330.759999774</v>
      </c>
      <c r="J7" s="114">
        <v>1379.9999999999955</v>
      </c>
      <c r="K7" s="114">
        <v>1500845.2199999951</v>
      </c>
      <c r="L7" s="118">
        <v>340.00000000000341</v>
      </c>
      <c r="M7" s="120">
        <v>554660.19000000553</v>
      </c>
      <c r="N7" s="107">
        <f>K7+M7</f>
        <v>2055505.4100000006</v>
      </c>
      <c r="O7" s="105">
        <f>I7+N7</f>
        <v>15149836.169999775</v>
      </c>
      <c r="P7" s="107">
        <f>E7+G7+J7+L7</f>
        <v>12839.999999999778</v>
      </c>
      <c r="Q7" s="122">
        <f>R7+T7</f>
        <v>515</v>
      </c>
      <c r="R7" s="114">
        <v>126</v>
      </c>
      <c r="S7" s="114">
        <v>2264283</v>
      </c>
      <c r="T7" s="114">
        <v>389</v>
      </c>
      <c r="U7" s="114">
        <v>1847485.48</v>
      </c>
      <c r="V7" s="114">
        <f>S7+U7</f>
        <v>4111768.48</v>
      </c>
      <c r="W7" s="114">
        <v>0</v>
      </c>
      <c r="X7" s="106">
        <v>0</v>
      </c>
      <c r="Y7" s="109">
        <v>0</v>
      </c>
      <c r="Z7" s="109">
        <v>0</v>
      </c>
      <c r="AA7" s="109">
        <v>0</v>
      </c>
      <c r="AB7" s="111">
        <v>12</v>
      </c>
      <c r="AC7" s="122">
        <f>W7+X7+Y7+Z7+AA7+AB7</f>
        <v>12</v>
      </c>
      <c r="AD7" s="104">
        <v>137500</v>
      </c>
      <c r="AE7" s="108"/>
      <c r="AF7" s="127">
        <v>108.75</v>
      </c>
      <c r="AG7" s="129">
        <v>0</v>
      </c>
      <c r="AH7" s="129">
        <f>AF7+AG7</f>
        <v>108.75</v>
      </c>
      <c r="AI7" s="131">
        <v>1076625</v>
      </c>
      <c r="AJ7" s="18"/>
    </row>
    <row r="8" spans="1:36" ht="15">
      <c r="A8" s="19"/>
      <c r="B8" s="64">
        <v>2</v>
      </c>
      <c r="C8" s="158">
        <v>5</v>
      </c>
      <c r="D8" s="158">
        <v>44</v>
      </c>
      <c r="E8" s="123">
        <v>9120.0000000003456</v>
      </c>
      <c r="F8" s="123">
        <v>9918629.2800003756</v>
      </c>
      <c r="G8" s="110">
        <v>1840.0000000000318</v>
      </c>
      <c r="H8" s="110">
        <v>3001690.4400000521</v>
      </c>
      <c r="I8" s="105">
        <f>F8+H8</f>
        <v>12920319.720000427</v>
      </c>
      <c r="J8" s="157">
        <v>1379.9999999999955</v>
      </c>
      <c r="K8" s="157">
        <v>1500845.2199999951</v>
      </c>
      <c r="L8" s="119">
        <v>380.00000000000966</v>
      </c>
      <c r="M8" s="121">
        <v>619914.33000001579</v>
      </c>
      <c r="N8" s="107">
        <f>K8+M8</f>
        <v>2120759.550000011</v>
      </c>
      <c r="O8" s="105">
        <f>I8+N8</f>
        <v>15041079.270000439</v>
      </c>
      <c r="P8" s="107">
        <f>E8+G8+J8+L8</f>
        <v>12720.000000000384</v>
      </c>
      <c r="Q8" s="122">
        <f>R8+T8</f>
        <v>539</v>
      </c>
      <c r="R8" s="123">
        <v>125</v>
      </c>
      <c r="S8" s="123">
        <v>2246312.5</v>
      </c>
      <c r="T8" s="116">
        <v>414</v>
      </c>
      <c r="U8" s="116">
        <v>1966218.48</v>
      </c>
      <c r="V8" s="114">
        <f>S8+U8</f>
        <v>4212530.9800000004</v>
      </c>
      <c r="W8" s="125">
        <v>0</v>
      </c>
      <c r="X8" s="111">
        <v>0</v>
      </c>
      <c r="Y8" s="109">
        <v>0</v>
      </c>
      <c r="Z8" s="111">
        <v>0</v>
      </c>
      <c r="AA8" s="111">
        <v>0</v>
      </c>
      <c r="AB8" s="111">
        <v>0</v>
      </c>
      <c r="AC8" s="122">
        <f>W8+X8+Y8+Z8+AA8+AB8</f>
        <v>0</v>
      </c>
      <c r="AD8" s="109">
        <v>0</v>
      </c>
      <c r="AE8" s="112"/>
      <c r="AF8" s="128">
        <v>346.97000000000116</v>
      </c>
      <c r="AG8" s="130">
        <v>0</v>
      </c>
      <c r="AH8" s="129">
        <f>AF8+AG8</f>
        <v>346.97000000000116</v>
      </c>
      <c r="AI8" s="132">
        <v>3435003.0000000116</v>
      </c>
      <c r="AJ8" s="21"/>
    </row>
    <row r="9" spans="1:36" ht="15">
      <c r="A9" s="19"/>
      <c r="B9" s="81">
        <v>3</v>
      </c>
      <c r="C9" s="158">
        <v>3</v>
      </c>
      <c r="D9" s="158">
        <v>47</v>
      </c>
      <c r="E9" s="123">
        <v>9000</v>
      </c>
      <c r="F9" s="123">
        <v>9788121</v>
      </c>
      <c r="G9" s="110">
        <v>1720.0000000000273</v>
      </c>
      <c r="H9" s="110">
        <v>2805928.0200000452</v>
      </c>
      <c r="I9" s="105">
        <f>F9+H9</f>
        <v>12594049.020000044</v>
      </c>
      <c r="J9" s="157">
        <v>1379.9999999999955</v>
      </c>
      <c r="K9" s="157">
        <v>1500845.2199999951</v>
      </c>
      <c r="L9" s="119">
        <v>339.9999999999892</v>
      </c>
      <c r="M9" s="121">
        <v>554660.18999998248</v>
      </c>
      <c r="N9" s="107">
        <f>K9+M9</f>
        <v>2055505.4099999776</v>
      </c>
      <c r="O9" s="105">
        <f>I9+N9</f>
        <v>14649554.430000022</v>
      </c>
      <c r="P9" s="107">
        <f>E9+G9+J9+L9</f>
        <v>12440.000000000011</v>
      </c>
      <c r="Q9" s="122">
        <f>R9+T9</f>
        <v>481</v>
      </c>
      <c r="R9" s="123">
        <v>126</v>
      </c>
      <c r="S9" s="123">
        <v>2264283</v>
      </c>
      <c r="T9" s="116">
        <v>355</v>
      </c>
      <c r="U9" s="116">
        <v>1686008.5999999999</v>
      </c>
      <c r="V9" s="114">
        <f>S9+U9</f>
        <v>3950291.5999999996</v>
      </c>
      <c r="W9" s="125">
        <v>0</v>
      </c>
      <c r="X9" s="111">
        <v>0</v>
      </c>
      <c r="Y9" s="109">
        <v>0</v>
      </c>
      <c r="Z9" s="111">
        <v>0</v>
      </c>
      <c r="AA9" s="111">
        <v>0</v>
      </c>
      <c r="AB9" s="111">
        <v>0</v>
      </c>
      <c r="AC9" s="122">
        <f>W9+X9+Y9+Z9+AA9+AB9</f>
        <v>0</v>
      </c>
      <c r="AD9" s="109">
        <v>0</v>
      </c>
      <c r="AE9" s="112"/>
      <c r="AF9" s="128">
        <v>276.88999999999942</v>
      </c>
      <c r="AG9" s="130">
        <v>0</v>
      </c>
      <c r="AH9" s="129">
        <f>AF9+AG9</f>
        <v>276.88999999999942</v>
      </c>
      <c r="AI9" s="132">
        <v>2741210.9999999944</v>
      </c>
      <c r="AJ9" s="21"/>
    </row>
    <row r="10" spans="1:36" ht="15">
      <c r="A10" s="19"/>
      <c r="B10" s="64">
        <v>4</v>
      </c>
      <c r="C10" s="158">
        <v>3</v>
      </c>
      <c r="D10" s="158">
        <v>43</v>
      </c>
      <c r="E10" s="123">
        <v>9519.9999999999818</v>
      </c>
      <c r="F10" s="123">
        <v>10353656.87999998</v>
      </c>
      <c r="G10" s="110">
        <v>1959.9999999999227</v>
      </c>
      <c r="H10" s="110">
        <v>3197452.8599998741</v>
      </c>
      <c r="I10" s="105">
        <f>F10+H10</f>
        <v>13551109.739999855</v>
      </c>
      <c r="J10" s="157">
        <v>1379.9999999999955</v>
      </c>
      <c r="K10" s="157">
        <v>1500845.2199999951</v>
      </c>
      <c r="L10" s="119">
        <v>359.99999999999943</v>
      </c>
      <c r="M10" s="121">
        <v>587287.25999999908</v>
      </c>
      <c r="N10" s="107">
        <f>K10+M10</f>
        <v>2088132.4799999942</v>
      </c>
      <c r="O10" s="105">
        <f>I10+N10</f>
        <v>15639242.21999985</v>
      </c>
      <c r="P10" s="107">
        <f>E10+G10+J10+L10</f>
        <v>13219.999999999902</v>
      </c>
      <c r="Q10" s="122">
        <f>R10+T10</f>
        <v>601</v>
      </c>
      <c r="R10" s="123">
        <v>126</v>
      </c>
      <c r="S10" s="123">
        <v>2264283</v>
      </c>
      <c r="T10" s="116">
        <v>475</v>
      </c>
      <c r="U10" s="116">
        <v>2255927</v>
      </c>
      <c r="V10" s="114">
        <f>S10+U10</f>
        <v>4520210</v>
      </c>
      <c r="W10" s="125">
        <v>0</v>
      </c>
      <c r="X10" s="111">
        <v>0</v>
      </c>
      <c r="Y10" s="109">
        <v>0</v>
      </c>
      <c r="Z10" s="111">
        <v>0</v>
      </c>
      <c r="AA10" s="111">
        <v>0</v>
      </c>
      <c r="AB10" s="111">
        <v>0</v>
      </c>
      <c r="AC10" s="122">
        <f>W10+X10+Y10+Z10+AA10+AB10</f>
        <v>0</v>
      </c>
      <c r="AD10" s="109">
        <v>0</v>
      </c>
      <c r="AE10" s="112"/>
      <c r="AF10" s="128">
        <v>385.38999999999942</v>
      </c>
      <c r="AG10" s="130">
        <v>0</v>
      </c>
      <c r="AH10" s="129">
        <f>AF10+AG10</f>
        <v>385.38999999999942</v>
      </c>
      <c r="AI10" s="132">
        <v>3815360.9999999944</v>
      </c>
      <c r="AJ10" s="21"/>
    </row>
    <row r="11" spans="1:36" ht="15">
      <c r="A11" s="19"/>
      <c r="B11" s="81">
        <v>5</v>
      </c>
      <c r="C11" s="158">
        <v>3</v>
      </c>
      <c r="D11" s="158">
        <v>27</v>
      </c>
      <c r="E11" s="123">
        <v>9719.9999999997999</v>
      </c>
      <c r="F11" s="123">
        <v>10571170.679999784</v>
      </c>
      <c r="G11" s="110">
        <v>1920.0000000000728</v>
      </c>
      <c r="H11" s="110">
        <v>3132198.7200001189</v>
      </c>
      <c r="I11" s="105">
        <f>F11+H11</f>
        <v>13703369.399999902</v>
      </c>
      <c r="J11" s="157">
        <v>1339.999999999975</v>
      </c>
      <c r="K11" s="157">
        <v>1457342.459999973</v>
      </c>
      <c r="L11" s="119">
        <v>320.00000000000739</v>
      </c>
      <c r="M11" s="121">
        <v>522033.1200000121</v>
      </c>
      <c r="N11" s="107">
        <f>K11+M11</f>
        <v>1979375.5799999852</v>
      </c>
      <c r="O11" s="105">
        <f>I11+N11</f>
        <v>15682744.979999887</v>
      </c>
      <c r="P11" s="107">
        <f>E11+G11+J11+L11</f>
        <v>13299.999999999854</v>
      </c>
      <c r="Q11" s="122">
        <f>R11+T11</f>
        <v>736</v>
      </c>
      <c r="R11" s="123">
        <v>125</v>
      </c>
      <c r="S11" s="123">
        <v>2246312.5</v>
      </c>
      <c r="T11" s="116">
        <v>611</v>
      </c>
      <c r="U11" s="116">
        <v>2901834.52</v>
      </c>
      <c r="V11" s="114">
        <f>S11+U11</f>
        <v>5148147.0199999996</v>
      </c>
      <c r="W11" s="125">
        <v>0</v>
      </c>
      <c r="X11" s="111">
        <v>0</v>
      </c>
      <c r="Y11" s="109">
        <v>0</v>
      </c>
      <c r="Z11" s="111">
        <v>0</v>
      </c>
      <c r="AA11" s="111">
        <v>0</v>
      </c>
      <c r="AB11" s="111">
        <v>0</v>
      </c>
      <c r="AC11" s="122">
        <f>W11+X11+Y11+Z11+AA11+AB11</f>
        <v>0</v>
      </c>
      <c r="AD11" s="109">
        <v>0</v>
      </c>
      <c r="AE11" s="112"/>
      <c r="AF11" s="128">
        <v>117.19999999999709</v>
      </c>
      <c r="AG11" s="130">
        <v>0</v>
      </c>
      <c r="AH11" s="129">
        <f>AF11+AG11</f>
        <v>117.19999999999709</v>
      </c>
      <c r="AI11" s="132">
        <v>1160279.9999999711</v>
      </c>
      <c r="AJ11" s="21"/>
    </row>
    <row r="12" spans="1:36" ht="15">
      <c r="A12" s="19"/>
      <c r="B12" s="64">
        <v>6</v>
      </c>
      <c r="C12" s="158">
        <v>5</v>
      </c>
      <c r="D12" s="158">
        <v>46</v>
      </c>
      <c r="E12" s="123">
        <v>9760.0000000002183</v>
      </c>
      <c r="F12" s="123">
        <v>10614673.440000238</v>
      </c>
      <c r="G12" s="110">
        <v>2039.9999999999636</v>
      </c>
      <c r="H12" s="110">
        <v>3327961.139999941</v>
      </c>
      <c r="I12" s="105">
        <f>F12+H12</f>
        <v>13942634.580000179</v>
      </c>
      <c r="J12" s="157">
        <v>1300.0000000000114</v>
      </c>
      <c r="K12" s="157">
        <v>1413839.7000000123</v>
      </c>
      <c r="L12" s="119">
        <v>319.99999999999318</v>
      </c>
      <c r="M12" s="121">
        <v>522033.11999998894</v>
      </c>
      <c r="N12" s="107">
        <f>K12+M12</f>
        <v>1935872.8200000012</v>
      </c>
      <c r="O12" s="105">
        <f>I12+N12</f>
        <v>15878507.400000181</v>
      </c>
      <c r="P12" s="107">
        <f>E12+G12+J12+L12</f>
        <v>13420.000000000186</v>
      </c>
      <c r="Q12" s="122">
        <f>R12+T12</f>
        <v>657</v>
      </c>
      <c r="R12" s="123">
        <v>123</v>
      </c>
      <c r="S12" s="123">
        <v>2210371.5</v>
      </c>
      <c r="T12" s="116">
        <v>534</v>
      </c>
      <c r="U12" s="116">
        <v>2536136.88</v>
      </c>
      <c r="V12" s="114">
        <f>S12+U12</f>
        <v>4746508.38</v>
      </c>
      <c r="W12" s="125">
        <v>0</v>
      </c>
      <c r="X12" s="111">
        <v>0</v>
      </c>
      <c r="Y12" s="109">
        <v>0</v>
      </c>
      <c r="Z12" s="111">
        <v>0</v>
      </c>
      <c r="AA12" s="111">
        <v>0</v>
      </c>
      <c r="AB12" s="111">
        <v>0</v>
      </c>
      <c r="AC12" s="122">
        <f>W12+X12+Y12+Z12+AA12+AB12</f>
        <v>0</v>
      </c>
      <c r="AD12" s="109">
        <v>0</v>
      </c>
      <c r="AE12" s="112"/>
      <c r="AF12" s="128">
        <v>323.88000000000466</v>
      </c>
      <c r="AG12" s="130">
        <v>0</v>
      </c>
      <c r="AH12" s="129">
        <f>AF12+AG12</f>
        <v>323.88000000000466</v>
      </c>
      <c r="AI12" s="132">
        <v>3206412.0000000461</v>
      </c>
      <c r="AJ12" s="21"/>
    </row>
    <row r="13" spans="1:36" ht="15">
      <c r="A13" s="19"/>
      <c r="B13" s="81">
        <v>7</v>
      </c>
      <c r="C13" s="158">
        <v>5</v>
      </c>
      <c r="D13" s="158">
        <v>74</v>
      </c>
      <c r="E13" s="123">
        <v>9960.0000000000364</v>
      </c>
      <c r="F13" s="123">
        <v>10832187.240000041</v>
      </c>
      <c r="G13" s="110">
        <v>2000</v>
      </c>
      <c r="H13" s="110">
        <v>3262707</v>
      </c>
      <c r="I13" s="105">
        <f>F13+H13</f>
        <v>14094894.240000041</v>
      </c>
      <c r="J13" s="157">
        <v>1280.0000000000296</v>
      </c>
      <c r="K13" s="157">
        <v>1392088.3200000322</v>
      </c>
      <c r="L13" s="119">
        <v>320.00000000000739</v>
      </c>
      <c r="M13" s="121">
        <v>522033.1200000121</v>
      </c>
      <c r="N13" s="107">
        <f>K13+M13</f>
        <v>1914121.4400000442</v>
      </c>
      <c r="O13" s="105">
        <f>I13+N13</f>
        <v>16009015.680000085</v>
      </c>
      <c r="P13" s="107">
        <f>E13+G13+J13+L13</f>
        <v>13560.000000000073</v>
      </c>
      <c r="Q13" s="122">
        <f>R13+T13</f>
        <v>618</v>
      </c>
      <c r="R13" s="123">
        <v>127</v>
      </c>
      <c r="S13" s="123">
        <v>2282253.5</v>
      </c>
      <c r="T13" s="116">
        <v>491</v>
      </c>
      <c r="U13" s="116">
        <v>2331916.1199999996</v>
      </c>
      <c r="V13" s="114">
        <f>S13+U13</f>
        <v>4614169.6199999992</v>
      </c>
      <c r="W13" s="125">
        <v>0</v>
      </c>
      <c r="X13" s="111">
        <v>0</v>
      </c>
      <c r="Y13" s="109">
        <v>0</v>
      </c>
      <c r="Z13" s="111">
        <v>0</v>
      </c>
      <c r="AA13" s="111">
        <v>0</v>
      </c>
      <c r="AB13" s="111">
        <v>12</v>
      </c>
      <c r="AC13" s="122">
        <f>W13+X13+Y13+Z13+AA13+AB13</f>
        <v>12</v>
      </c>
      <c r="AD13" s="109">
        <v>137500</v>
      </c>
      <c r="AE13" s="112"/>
      <c r="AF13" s="128">
        <v>245.56999999999971</v>
      </c>
      <c r="AG13" s="130">
        <v>0</v>
      </c>
      <c r="AH13" s="129">
        <f>AF13+AG13</f>
        <v>245.56999999999971</v>
      </c>
      <c r="AI13" s="132">
        <v>2431142.9999999972</v>
      </c>
      <c r="AJ13" s="21"/>
    </row>
    <row r="14" spans="1:36" ht="15">
      <c r="A14" s="19"/>
      <c r="B14" s="64">
        <v>8</v>
      </c>
      <c r="C14" s="158">
        <v>3</v>
      </c>
      <c r="D14" s="158">
        <v>51</v>
      </c>
      <c r="E14" s="123">
        <v>9799.9999999997272</v>
      </c>
      <c r="F14" s="123">
        <v>10658176.199999703</v>
      </c>
      <c r="G14" s="110">
        <v>1960.0000000000364</v>
      </c>
      <c r="H14" s="110">
        <v>3197452.8600000595</v>
      </c>
      <c r="I14" s="105">
        <f>F14+H14</f>
        <v>13855629.059999762</v>
      </c>
      <c r="J14" s="157">
        <v>1259.9999999999909</v>
      </c>
      <c r="K14" s="157">
        <v>1370336.9399999902</v>
      </c>
      <c r="L14" s="119">
        <v>319.99999999999318</v>
      </c>
      <c r="M14" s="121">
        <v>522033.11999998894</v>
      </c>
      <c r="N14" s="107">
        <f>K14+M14</f>
        <v>1892370.0599999791</v>
      </c>
      <c r="O14" s="105">
        <f>I14+N14</f>
        <v>15747999.11999974</v>
      </c>
      <c r="P14" s="107">
        <f>E14+G14+J14+L14</f>
        <v>13339.999999999747</v>
      </c>
      <c r="Q14" s="122">
        <f>R14+T14</f>
        <v>535</v>
      </c>
      <c r="R14" s="123">
        <v>125</v>
      </c>
      <c r="S14" s="123">
        <v>2246312.5</v>
      </c>
      <c r="T14" s="116">
        <v>410</v>
      </c>
      <c r="U14" s="116">
        <v>1947221.2</v>
      </c>
      <c r="V14" s="114">
        <f>S14+U14</f>
        <v>4193533.7</v>
      </c>
      <c r="W14" s="125">
        <v>0</v>
      </c>
      <c r="X14" s="111">
        <v>0</v>
      </c>
      <c r="Y14" s="109">
        <v>400</v>
      </c>
      <c r="Z14" s="111">
        <v>0</v>
      </c>
      <c r="AA14" s="111">
        <v>0</v>
      </c>
      <c r="AB14" s="111">
        <v>0</v>
      </c>
      <c r="AC14" s="122">
        <f>W14+X14+Y14+Z14+AA14+AB14</f>
        <v>400</v>
      </c>
      <c r="AD14" s="109">
        <v>5896000</v>
      </c>
      <c r="AE14" s="112"/>
      <c r="AF14" s="128">
        <v>101.97999999999593</v>
      </c>
      <c r="AG14" s="130">
        <v>0</v>
      </c>
      <c r="AH14" s="129">
        <f>AF14+AG14</f>
        <v>101.97999999999593</v>
      </c>
      <c r="AI14" s="132">
        <v>1009601.9999999597</v>
      </c>
      <c r="AJ14" s="21"/>
    </row>
    <row r="15" spans="1:36" ht="15">
      <c r="A15" s="19"/>
      <c r="B15" s="81">
        <v>9</v>
      </c>
      <c r="C15" s="158">
        <v>5</v>
      </c>
      <c r="D15" s="158">
        <v>40</v>
      </c>
      <c r="E15" s="123">
        <v>9760.0000000002183</v>
      </c>
      <c r="F15" s="123">
        <v>10614673.440000238</v>
      </c>
      <c r="G15" s="110">
        <v>1919.9999999999591</v>
      </c>
      <c r="H15" s="110">
        <v>3132198.7199999336</v>
      </c>
      <c r="I15" s="105">
        <f>F15+H15</f>
        <v>13746872.160000172</v>
      </c>
      <c r="J15" s="157">
        <v>1219.9999999999704</v>
      </c>
      <c r="K15" s="157">
        <v>1326834.1799999678</v>
      </c>
      <c r="L15" s="119">
        <v>320.00000000000739</v>
      </c>
      <c r="M15" s="121">
        <v>522033.1200000121</v>
      </c>
      <c r="N15" s="107">
        <f>K15+M15</f>
        <v>1848867.2999999798</v>
      </c>
      <c r="O15" s="105">
        <f>I15+N15</f>
        <v>15595739.460000152</v>
      </c>
      <c r="P15" s="107">
        <f>E15+G15+J15+L15</f>
        <v>13220.000000000156</v>
      </c>
      <c r="Q15" s="122">
        <f>R15+T15</f>
        <v>642</v>
      </c>
      <c r="R15" s="123">
        <v>125</v>
      </c>
      <c r="S15" s="123">
        <v>2246312.5</v>
      </c>
      <c r="T15" s="116">
        <v>517</v>
      </c>
      <c r="U15" s="116">
        <v>2455398.44</v>
      </c>
      <c r="V15" s="114">
        <f>S15+U15</f>
        <v>4701710.9399999995</v>
      </c>
      <c r="W15" s="125">
        <v>0</v>
      </c>
      <c r="X15" s="111">
        <v>0</v>
      </c>
      <c r="Y15" s="109">
        <v>0</v>
      </c>
      <c r="Z15" s="111">
        <v>0</v>
      </c>
      <c r="AA15" s="111">
        <v>0</v>
      </c>
      <c r="AB15" s="111">
        <v>12</v>
      </c>
      <c r="AC15" s="122">
        <f>W15+X15+Y15+Z15+AA15+AB15</f>
        <v>12</v>
      </c>
      <c r="AD15" s="109">
        <v>137500</v>
      </c>
      <c r="AE15" s="112"/>
      <c r="AF15" s="128">
        <v>378.90000000000146</v>
      </c>
      <c r="AG15" s="130">
        <v>0</v>
      </c>
      <c r="AH15" s="129">
        <f>AF15+AG15</f>
        <v>378.90000000000146</v>
      </c>
      <c r="AI15" s="132">
        <v>3751110.0000000144</v>
      </c>
      <c r="AJ15" s="21"/>
    </row>
    <row r="16" spans="1:36" ht="15">
      <c r="A16" s="19"/>
      <c r="B16" s="64">
        <v>10</v>
      </c>
      <c r="C16" s="158">
        <v>3</v>
      </c>
      <c r="D16" s="158">
        <v>42</v>
      </c>
      <c r="E16" s="123">
        <v>9039.9999999999636</v>
      </c>
      <c r="F16" s="123">
        <v>9831623.7599999607</v>
      </c>
      <c r="G16" s="110">
        <v>1919.9999999999591</v>
      </c>
      <c r="H16" s="110">
        <v>3132198.7199999336</v>
      </c>
      <c r="I16" s="105">
        <f>F16+H16</f>
        <v>12963822.479999894</v>
      </c>
      <c r="J16" s="157">
        <v>1220.0000000000273</v>
      </c>
      <c r="K16" s="157">
        <v>1326834.1800000297</v>
      </c>
      <c r="L16" s="119">
        <v>299.99999999999716</v>
      </c>
      <c r="M16" s="121">
        <v>489406.04999999545</v>
      </c>
      <c r="N16" s="107">
        <f>K16+M16</f>
        <v>1816240.2300000251</v>
      </c>
      <c r="O16" s="105">
        <f>I16+N16</f>
        <v>14780062.709999919</v>
      </c>
      <c r="P16" s="107">
        <f>E16+G16+J16+L16</f>
        <v>12479.999999999947</v>
      </c>
      <c r="Q16" s="122">
        <f>R16+T16</f>
        <v>523</v>
      </c>
      <c r="R16" s="123">
        <v>128</v>
      </c>
      <c r="S16" s="123">
        <v>2300224</v>
      </c>
      <c r="T16" s="116">
        <v>395</v>
      </c>
      <c r="U16" s="116">
        <v>1875981.4</v>
      </c>
      <c r="V16" s="114">
        <f>S16+U16</f>
        <v>4176205.4</v>
      </c>
      <c r="W16" s="125">
        <v>0</v>
      </c>
      <c r="X16" s="111">
        <v>0</v>
      </c>
      <c r="Y16" s="109">
        <v>0</v>
      </c>
      <c r="Z16" s="111">
        <v>0</v>
      </c>
      <c r="AA16" s="111">
        <v>0</v>
      </c>
      <c r="AB16" s="111">
        <v>0</v>
      </c>
      <c r="AC16" s="122">
        <f>W16+X16+Y16+Z16+AA16+AB16</f>
        <v>0</v>
      </c>
      <c r="AD16" s="109">
        <v>0</v>
      </c>
      <c r="AE16" s="112"/>
      <c r="AF16" s="128">
        <v>135.01000000000204</v>
      </c>
      <c r="AG16" s="130">
        <v>0</v>
      </c>
      <c r="AH16" s="129">
        <f>AF16+AG16</f>
        <v>135.01000000000204</v>
      </c>
      <c r="AI16" s="132">
        <v>1336599.0000000203</v>
      </c>
      <c r="AJ16" s="21"/>
    </row>
    <row r="17" spans="1:36" ht="15">
      <c r="A17" s="19"/>
      <c r="B17" s="81">
        <v>11</v>
      </c>
      <c r="C17" s="158">
        <v>3</v>
      </c>
      <c r="D17" s="158">
        <v>32</v>
      </c>
      <c r="E17" s="123">
        <v>9719.9999999997999</v>
      </c>
      <c r="F17" s="123">
        <v>10571170.679999784</v>
      </c>
      <c r="G17" s="110">
        <v>1960.0000000000364</v>
      </c>
      <c r="H17" s="110">
        <v>3197452.8600000595</v>
      </c>
      <c r="I17" s="105">
        <f>F17+H17</f>
        <v>13768623.539999843</v>
      </c>
      <c r="J17" s="157">
        <v>1240.0000000000091</v>
      </c>
      <c r="K17" s="157">
        <v>1348585.5600000101</v>
      </c>
      <c r="L17" s="119">
        <v>359.99999999999943</v>
      </c>
      <c r="M17" s="121">
        <v>587287.25999999908</v>
      </c>
      <c r="N17" s="107">
        <f>K17+M17</f>
        <v>1935872.8200000091</v>
      </c>
      <c r="O17" s="105">
        <f>I17+N17</f>
        <v>15704496.359999852</v>
      </c>
      <c r="P17" s="107">
        <f>E17+G17+J17+L17</f>
        <v>13279.999999999845</v>
      </c>
      <c r="Q17" s="122">
        <f>R17+T17</f>
        <v>614</v>
      </c>
      <c r="R17" s="123">
        <v>125</v>
      </c>
      <c r="S17" s="123">
        <v>2246312.5</v>
      </c>
      <c r="T17" s="116">
        <v>489</v>
      </c>
      <c r="U17" s="116">
        <v>2322417.48</v>
      </c>
      <c r="V17" s="114">
        <f>S17+U17</f>
        <v>4568729.9800000004</v>
      </c>
      <c r="W17" s="125">
        <v>0</v>
      </c>
      <c r="X17" s="111">
        <v>0</v>
      </c>
      <c r="Y17" s="109">
        <v>0</v>
      </c>
      <c r="Z17" s="111">
        <v>0</v>
      </c>
      <c r="AA17" s="111">
        <v>0</v>
      </c>
      <c r="AB17" s="111">
        <v>0</v>
      </c>
      <c r="AC17" s="122">
        <f>W17+X17+Y17+Z17+AA17+AB17</f>
        <v>0</v>
      </c>
      <c r="AD17" s="109">
        <v>0</v>
      </c>
      <c r="AE17" s="112"/>
      <c r="AF17" s="128">
        <v>418.54000000000087</v>
      </c>
      <c r="AG17" s="130">
        <v>50.799999999988358</v>
      </c>
      <c r="AH17" s="129">
        <f>AF17+AG17</f>
        <v>469.33999999998923</v>
      </c>
      <c r="AI17" s="132">
        <v>4646465.9999998938</v>
      </c>
      <c r="AJ17" s="21"/>
    </row>
    <row r="18" spans="1:36" ht="15">
      <c r="A18" s="19"/>
      <c r="B18" s="64">
        <v>12</v>
      </c>
      <c r="C18" s="158">
        <v>5</v>
      </c>
      <c r="D18" s="158">
        <v>37</v>
      </c>
      <c r="E18" s="123">
        <v>9800.0000000001819</v>
      </c>
      <c r="F18" s="123">
        <v>10658176.200000199</v>
      </c>
      <c r="G18" s="110">
        <v>1960.0000000000364</v>
      </c>
      <c r="H18" s="110">
        <v>3197452.8600000595</v>
      </c>
      <c r="I18" s="105">
        <f>F18+H18</f>
        <v>13855629.060000258</v>
      </c>
      <c r="J18" s="157">
        <v>1359.9999999999568</v>
      </c>
      <c r="K18" s="157">
        <v>1479093.8399999528</v>
      </c>
      <c r="L18" s="119">
        <v>319.99999999999318</v>
      </c>
      <c r="M18" s="121">
        <v>522033.11999998894</v>
      </c>
      <c r="N18" s="107">
        <f>K18+M18</f>
        <v>2001126.9599999418</v>
      </c>
      <c r="O18" s="105">
        <f>I18+N18</f>
        <v>15856756.020000199</v>
      </c>
      <c r="P18" s="107">
        <f>E18+G18+J18+L18</f>
        <v>13440.000000000167</v>
      </c>
      <c r="Q18" s="122">
        <f>R18+T18</f>
        <v>723</v>
      </c>
      <c r="R18" s="123">
        <v>126</v>
      </c>
      <c r="S18" s="123">
        <v>2264283</v>
      </c>
      <c r="T18" s="116">
        <v>597</v>
      </c>
      <c r="U18" s="116">
        <v>2835344.04</v>
      </c>
      <c r="V18" s="114">
        <f>S18+U18</f>
        <v>5099627.04</v>
      </c>
      <c r="W18" s="125">
        <v>0</v>
      </c>
      <c r="X18" s="111">
        <v>0</v>
      </c>
      <c r="Y18" s="109">
        <v>0</v>
      </c>
      <c r="Z18" s="111">
        <v>0</v>
      </c>
      <c r="AA18" s="111">
        <v>0</v>
      </c>
      <c r="AB18" s="111">
        <v>12</v>
      </c>
      <c r="AC18" s="122">
        <f>W18+X18+Y18+Z18+AA18+AB18</f>
        <v>12</v>
      </c>
      <c r="AD18" s="109">
        <v>137500</v>
      </c>
      <c r="AE18" s="112"/>
      <c r="AF18" s="128">
        <v>273.45999999999913</v>
      </c>
      <c r="AG18" s="130">
        <v>7.2000000000116415</v>
      </c>
      <c r="AH18" s="129">
        <f>AF18+AG18</f>
        <v>280.66000000001077</v>
      </c>
      <c r="AI18" s="132">
        <v>2778534.0000001066</v>
      </c>
      <c r="AJ18" s="21"/>
    </row>
    <row r="19" spans="1:36" ht="15">
      <c r="A19" s="19"/>
      <c r="B19" s="81">
        <v>13</v>
      </c>
      <c r="C19" s="158">
        <v>5</v>
      </c>
      <c r="D19" s="158">
        <v>34</v>
      </c>
      <c r="E19" s="123">
        <v>9799.9999999997272</v>
      </c>
      <c r="F19" s="123">
        <v>10658176.199999703</v>
      </c>
      <c r="G19" s="110">
        <v>1919.9999999999591</v>
      </c>
      <c r="H19" s="110">
        <v>3132198.7199999336</v>
      </c>
      <c r="I19" s="105">
        <f>F19+H19</f>
        <v>13790374.919999637</v>
      </c>
      <c r="J19" s="157">
        <v>1400.0000000000341</v>
      </c>
      <c r="K19" s="157">
        <v>1522596.6000000371</v>
      </c>
      <c r="L19" s="119">
        <v>340.00000000000341</v>
      </c>
      <c r="M19" s="121">
        <v>554660.19000000553</v>
      </c>
      <c r="N19" s="107">
        <f>K19+M19</f>
        <v>2077256.7900000426</v>
      </c>
      <c r="O19" s="105">
        <f>I19+N19</f>
        <v>15867631.709999679</v>
      </c>
      <c r="P19" s="107">
        <f>E19+G19+J19+L19</f>
        <v>13459.999999999725</v>
      </c>
      <c r="Q19" s="122">
        <f>R19+T19</f>
        <v>711</v>
      </c>
      <c r="R19" s="123">
        <v>128</v>
      </c>
      <c r="S19" s="123">
        <v>2300224</v>
      </c>
      <c r="T19" s="116">
        <v>583</v>
      </c>
      <c r="U19" s="116">
        <v>2768853.56</v>
      </c>
      <c r="V19" s="114">
        <f>S19+U19</f>
        <v>5069077.5600000005</v>
      </c>
      <c r="W19" s="125">
        <v>0</v>
      </c>
      <c r="X19" s="111">
        <v>0</v>
      </c>
      <c r="Y19" s="109">
        <v>0</v>
      </c>
      <c r="Z19" s="111">
        <v>0</v>
      </c>
      <c r="AA19" s="111">
        <v>0</v>
      </c>
      <c r="AB19" s="111">
        <v>0</v>
      </c>
      <c r="AC19" s="122">
        <f>W19+X19+Y19+Z19+AA19+AB19</f>
        <v>0</v>
      </c>
      <c r="AD19" s="109">
        <v>0</v>
      </c>
      <c r="AE19" s="112"/>
      <c r="AF19" s="128">
        <v>321.77999999999884</v>
      </c>
      <c r="AG19" s="130">
        <v>0</v>
      </c>
      <c r="AH19" s="129">
        <f>AF19+AG19</f>
        <v>321.77999999999884</v>
      </c>
      <c r="AI19" s="132">
        <v>3185621.9999999884</v>
      </c>
      <c r="AJ19" s="21"/>
    </row>
    <row r="20" spans="1:36" ht="15">
      <c r="A20" s="19"/>
      <c r="B20" s="64">
        <v>14</v>
      </c>
      <c r="C20" s="158">
        <v>5</v>
      </c>
      <c r="D20" s="158">
        <v>56</v>
      </c>
      <c r="E20" s="123">
        <v>9640.0000000003274</v>
      </c>
      <c r="F20" s="123">
        <v>10484165.160000356</v>
      </c>
      <c r="G20" s="110">
        <v>2039.9999999999636</v>
      </c>
      <c r="H20" s="110">
        <v>3327961.139999941</v>
      </c>
      <c r="I20" s="105">
        <f>F20+H20</f>
        <v>13812126.300000297</v>
      </c>
      <c r="J20" s="157">
        <v>1339.999999999975</v>
      </c>
      <c r="K20" s="157">
        <v>1457342.459999973</v>
      </c>
      <c r="L20" s="119">
        <v>359.99999999999943</v>
      </c>
      <c r="M20" s="121">
        <v>587287.25999999908</v>
      </c>
      <c r="N20" s="107">
        <f>K20+M20</f>
        <v>2044629.719999972</v>
      </c>
      <c r="O20" s="105">
        <f>I20+N20</f>
        <v>15856756.02000027</v>
      </c>
      <c r="P20" s="107">
        <f>E20+G20+J20+L20</f>
        <v>13380.000000000266</v>
      </c>
      <c r="Q20" s="122">
        <f>R20+T20</f>
        <v>716</v>
      </c>
      <c r="R20" s="123">
        <v>126</v>
      </c>
      <c r="S20" s="123">
        <v>2264283</v>
      </c>
      <c r="T20" s="116">
        <v>590</v>
      </c>
      <c r="U20" s="116">
        <v>2802098.8</v>
      </c>
      <c r="V20" s="114">
        <f>S20+U20</f>
        <v>5066381.8</v>
      </c>
      <c r="W20" s="125">
        <v>0</v>
      </c>
      <c r="X20" s="111">
        <v>0</v>
      </c>
      <c r="Y20" s="109">
        <v>0</v>
      </c>
      <c r="Z20" s="111">
        <v>0</v>
      </c>
      <c r="AA20" s="111">
        <v>0</v>
      </c>
      <c r="AB20" s="111">
        <v>12</v>
      </c>
      <c r="AC20" s="122">
        <f>W20+X20+Y20+Z20+AA20+AB20</f>
        <v>12</v>
      </c>
      <c r="AD20" s="109">
        <v>137500</v>
      </c>
      <c r="AE20" s="112"/>
      <c r="AF20" s="128">
        <v>116.94000000000233</v>
      </c>
      <c r="AG20" s="130">
        <v>0</v>
      </c>
      <c r="AH20" s="129">
        <f>AF20+AG20</f>
        <v>116.94000000000233</v>
      </c>
      <c r="AI20" s="132">
        <v>1157706.0000000231</v>
      </c>
      <c r="AJ20" s="21"/>
    </row>
    <row r="21" spans="1:36" ht="15">
      <c r="A21" s="19"/>
      <c r="B21" s="81">
        <v>15</v>
      </c>
      <c r="C21" s="159">
        <v>1</v>
      </c>
      <c r="D21" s="159">
        <v>75</v>
      </c>
      <c r="E21" s="116">
        <v>10039.999999999964</v>
      </c>
      <c r="F21" s="116">
        <v>10919192.759999961</v>
      </c>
      <c r="G21" s="113">
        <v>1920.0000000000728</v>
      </c>
      <c r="H21" s="113">
        <v>3132198.7200001189</v>
      </c>
      <c r="I21" s="105">
        <f>F21+H21</f>
        <v>14051391.480000079</v>
      </c>
      <c r="J21" s="113">
        <v>1340.0000000000318</v>
      </c>
      <c r="K21" s="113">
        <v>1457342.4600000347</v>
      </c>
      <c r="L21" s="113">
        <v>340.00000000000341</v>
      </c>
      <c r="M21" s="116">
        <v>554660.19000000553</v>
      </c>
      <c r="N21" s="107">
        <f>K21+M21</f>
        <v>2012002.6500000402</v>
      </c>
      <c r="O21" s="105">
        <f>I21+N21</f>
        <v>16063394.130000118</v>
      </c>
      <c r="P21" s="107">
        <f>E21+G21+J21+L21</f>
        <v>13640.000000000073</v>
      </c>
      <c r="Q21" s="122">
        <f>R21+T21</f>
        <v>694</v>
      </c>
      <c r="R21" s="123">
        <v>127</v>
      </c>
      <c r="S21" s="123">
        <v>2282253.5</v>
      </c>
      <c r="T21" s="116">
        <v>567</v>
      </c>
      <c r="U21" s="116">
        <v>2692864.44</v>
      </c>
      <c r="V21" s="114">
        <f>S21+U21</f>
        <v>4975117.9399999995</v>
      </c>
      <c r="W21" s="125">
        <v>0</v>
      </c>
      <c r="X21" s="111">
        <v>0</v>
      </c>
      <c r="Y21" s="109">
        <v>50</v>
      </c>
      <c r="Z21" s="111">
        <v>0</v>
      </c>
      <c r="AA21" s="111">
        <v>0</v>
      </c>
      <c r="AB21" s="111">
        <v>12</v>
      </c>
      <c r="AC21" s="122">
        <f>W21+X21+Y21+Z21+AA21+AB21</f>
        <v>62</v>
      </c>
      <c r="AD21" s="109">
        <v>874500</v>
      </c>
      <c r="AE21" s="112"/>
      <c r="AF21" s="128">
        <v>81.379999999997381</v>
      </c>
      <c r="AG21" s="130">
        <v>0</v>
      </c>
      <c r="AH21" s="129">
        <f>AF21+AG21</f>
        <v>81.379999999997381</v>
      </c>
      <c r="AI21" s="132">
        <v>805661.99999997404</v>
      </c>
      <c r="AJ21" s="21"/>
    </row>
    <row r="22" spans="1:36" ht="15">
      <c r="A22" s="19"/>
      <c r="B22" s="64">
        <v>16</v>
      </c>
      <c r="C22" s="159">
        <v>1</v>
      </c>
      <c r="D22" s="159">
        <v>18</v>
      </c>
      <c r="E22" s="116">
        <v>9719.9999999997999</v>
      </c>
      <c r="F22" s="116">
        <v>10571170.679999784</v>
      </c>
      <c r="G22" s="113">
        <v>1919.9999999999591</v>
      </c>
      <c r="H22" s="113">
        <v>3132198.7199999336</v>
      </c>
      <c r="I22" s="105">
        <f>F22+H22</f>
        <v>13703369.399999717</v>
      </c>
      <c r="J22" s="113">
        <v>1319.9999999999932</v>
      </c>
      <c r="K22" s="113">
        <v>1435591.0799999926</v>
      </c>
      <c r="L22" s="113">
        <v>340.00000000000341</v>
      </c>
      <c r="M22" s="116">
        <v>554660.19000000553</v>
      </c>
      <c r="N22" s="107">
        <f>K22+M22</f>
        <v>1990251.2699999982</v>
      </c>
      <c r="O22" s="105">
        <f>I22+N22</f>
        <v>15693620.669999715</v>
      </c>
      <c r="P22" s="107">
        <f>E22+G22+J22+L22</f>
        <v>13299.999999999756</v>
      </c>
      <c r="Q22" s="122">
        <f>R22+T22</f>
        <v>611</v>
      </c>
      <c r="R22" s="123">
        <v>133</v>
      </c>
      <c r="S22" s="123">
        <v>2390076.5</v>
      </c>
      <c r="T22" s="116">
        <v>478</v>
      </c>
      <c r="U22" s="116">
        <v>2270174.96</v>
      </c>
      <c r="V22" s="114">
        <f>S22+U22</f>
        <v>4660251.46</v>
      </c>
      <c r="W22" s="125">
        <v>0</v>
      </c>
      <c r="X22" s="111">
        <v>0</v>
      </c>
      <c r="Y22" s="109">
        <v>400</v>
      </c>
      <c r="Z22" s="111">
        <v>0</v>
      </c>
      <c r="AA22" s="111">
        <v>0</v>
      </c>
      <c r="AB22" s="111">
        <v>12</v>
      </c>
      <c r="AC22" s="122">
        <f>W22+X22+Y22+Z22+AA22+AB22</f>
        <v>412</v>
      </c>
      <c r="AD22" s="109">
        <v>6033500</v>
      </c>
      <c r="AE22" s="112"/>
      <c r="AF22" s="128">
        <v>351.13999999999942</v>
      </c>
      <c r="AG22" s="130">
        <v>0</v>
      </c>
      <c r="AH22" s="129">
        <f>AF22+AG22</f>
        <v>351.13999999999942</v>
      </c>
      <c r="AI22" s="132">
        <v>3476285.9999999944</v>
      </c>
      <c r="AJ22" s="21"/>
    </row>
    <row r="23" spans="1:36" ht="15">
      <c r="A23" s="19"/>
      <c r="B23" s="81">
        <v>17</v>
      </c>
      <c r="C23" s="159">
        <v>1</v>
      </c>
      <c r="D23" s="159">
        <v>58</v>
      </c>
      <c r="E23" s="116">
        <v>9200.0000000002728</v>
      </c>
      <c r="F23" s="116">
        <v>10005634.800000297</v>
      </c>
      <c r="G23" s="113">
        <v>1879.9999999999955</v>
      </c>
      <c r="H23" s="113">
        <v>3066944.5799999931</v>
      </c>
      <c r="I23" s="105">
        <f>F23+H23</f>
        <v>13072579.38000029</v>
      </c>
      <c r="J23" s="113">
        <v>1279.9999999999727</v>
      </c>
      <c r="K23" s="113">
        <v>1392088.3199999705</v>
      </c>
      <c r="L23" s="113">
        <v>319.99999999999318</v>
      </c>
      <c r="M23" s="116">
        <v>522033.11999998894</v>
      </c>
      <c r="N23" s="107">
        <f>K23+M23</f>
        <v>1914121.4399999594</v>
      </c>
      <c r="O23" s="105">
        <f>I23+N23</f>
        <v>14986700.82000025</v>
      </c>
      <c r="P23" s="107">
        <f>E23+G23+J23+L23</f>
        <v>12680.000000000235</v>
      </c>
      <c r="Q23" s="122">
        <f>R23+T23</f>
        <v>401</v>
      </c>
      <c r="R23" s="123">
        <v>92</v>
      </c>
      <c r="S23" s="123">
        <v>1653286</v>
      </c>
      <c r="T23" s="116">
        <v>309</v>
      </c>
      <c r="U23" s="116">
        <v>1467539.88</v>
      </c>
      <c r="V23" s="114">
        <f>S23+U23</f>
        <v>3120825.88</v>
      </c>
      <c r="W23" s="125">
        <v>0</v>
      </c>
      <c r="X23" s="111">
        <v>0</v>
      </c>
      <c r="Y23" s="109">
        <v>0</v>
      </c>
      <c r="Z23" s="111">
        <v>0</v>
      </c>
      <c r="AA23" s="111">
        <v>0</v>
      </c>
      <c r="AB23" s="111">
        <v>12</v>
      </c>
      <c r="AC23" s="122">
        <f>W23+X23+Y23+Z23+AA23+AB23</f>
        <v>12</v>
      </c>
      <c r="AD23" s="109">
        <v>137500</v>
      </c>
      <c r="AE23" s="112"/>
      <c r="AF23" s="128">
        <v>179.38999999999942</v>
      </c>
      <c r="AG23" s="130">
        <v>0</v>
      </c>
      <c r="AH23" s="129">
        <f>AF23+AG23</f>
        <v>179.38999999999942</v>
      </c>
      <c r="AI23" s="132">
        <v>1775960.9999999942</v>
      </c>
      <c r="AJ23" s="21"/>
    </row>
    <row r="24" spans="1:36" ht="15">
      <c r="A24" s="19"/>
      <c r="B24" s="64">
        <v>18</v>
      </c>
      <c r="C24" s="159">
        <v>1</v>
      </c>
      <c r="D24" s="159">
        <v>29</v>
      </c>
      <c r="E24" s="116">
        <v>9879.9999999996544</v>
      </c>
      <c r="F24" s="116">
        <v>10745181.719999623</v>
      </c>
      <c r="G24" s="113">
        <v>1960.0000000000364</v>
      </c>
      <c r="H24" s="113">
        <v>3197452.8600000595</v>
      </c>
      <c r="I24" s="105">
        <f>F24+H24</f>
        <v>13942634.579999682</v>
      </c>
      <c r="J24" s="113">
        <v>1280.0000000000296</v>
      </c>
      <c r="K24" s="117">
        <v>1392088.3200000322</v>
      </c>
      <c r="L24" s="113">
        <v>340.00000000000341</v>
      </c>
      <c r="M24" s="116">
        <v>554660.19000000553</v>
      </c>
      <c r="N24" s="107">
        <f>K24+M24</f>
        <v>1946748.5100000377</v>
      </c>
      <c r="O24" s="105">
        <f>I24+N24</f>
        <v>15889383.089999719</v>
      </c>
      <c r="P24" s="107">
        <f>E24+G24+J24+L24</f>
        <v>13459.999999999724</v>
      </c>
      <c r="Q24" s="122">
        <f>R24+T24</f>
        <v>571</v>
      </c>
      <c r="R24" s="123">
        <v>0</v>
      </c>
      <c r="S24" s="123">
        <v>0</v>
      </c>
      <c r="T24" s="116">
        <v>571</v>
      </c>
      <c r="U24" s="116">
        <v>2711861.7199999997</v>
      </c>
      <c r="V24" s="114">
        <f>S24+U24</f>
        <v>2711861.7199999997</v>
      </c>
      <c r="W24" s="125">
        <v>0</v>
      </c>
      <c r="X24" s="111">
        <v>0</v>
      </c>
      <c r="Y24" s="109">
        <v>0</v>
      </c>
      <c r="Z24" s="111">
        <v>0</v>
      </c>
      <c r="AA24" s="111">
        <v>0</v>
      </c>
      <c r="AB24" s="111">
        <v>0</v>
      </c>
      <c r="AC24" s="122">
        <f>W24+X24+Y24+Z24+AA24+AB24</f>
        <v>0</v>
      </c>
      <c r="AD24" s="109">
        <v>0</v>
      </c>
      <c r="AE24" s="112"/>
      <c r="AF24" s="128">
        <v>269.44999999999709</v>
      </c>
      <c r="AG24" s="130">
        <v>22.899999999994179</v>
      </c>
      <c r="AH24" s="129">
        <f>AF24+AG24</f>
        <v>292.34999999999127</v>
      </c>
      <c r="AI24" s="132">
        <v>2894264.9999999134</v>
      </c>
      <c r="AJ24" s="21"/>
    </row>
    <row r="25" spans="1:36" ht="15">
      <c r="A25" s="19"/>
      <c r="B25" s="81">
        <v>19</v>
      </c>
      <c r="C25" s="159">
        <v>1</v>
      </c>
      <c r="D25" s="159">
        <v>15</v>
      </c>
      <c r="E25" s="116">
        <v>9519.9999999999818</v>
      </c>
      <c r="F25" s="116">
        <v>10353656.87999998</v>
      </c>
      <c r="G25" s="113">
        <v>1919.9999999999591</v>
      </c>
      <c r="H25" s="113">
        <v>3132198.7199999336</v>
      </c>
      <c r="I25" s="105">
        <f>F25+H25</f>
        <v>13485855.599999914</v>
      </c>
      <c r="J25" s="113">
        <v>1259.9999999999909</v>
      </c>
      <c r="K25" s="113">
        <v>1370336.9399999902</v>
      </c>
      <c r="L25" s="113">
        <v>340.00000000000341</v>
      </c>
      <c r="M25" s="116">
        <v>554660.19000000553</v>
      </c>
      <c r="N25" s="107">
        <f>K25+M25</f>
        <v>1924997.1299999957</v>
      </c>
      <c r="O25" s="105">
        <f>I25+N25</f>
        <v>15410852.729999909</v>
      </c>
      <c r="P25" s="107">
        <f>E25+G25+J25+L25</f>
        <v>13039.999999999936</v>
      </c>
      <c r="Q25" s="122">
        <f>R25+T25</f>
        <v>657</v>
      </c>
      <c r="R25" s="123">
        <v>106</v>
      </c>
      <c r="S25" s="123">
        <v>1904873</v>
      </c>
      <c r="T25" s="116">
        <v>551</v>
      </c>
      <c r="U25" s="116">
        <v>2616875.3199999998</v>
      </c>
      <c r="V25" s="114">
        <f>S25+U25</f>
        <v>4521748.32</v>
      </c>
      <c r="W25" s="125">
        <v>0</v>
      </c>
      <c r="X25" s="111">
        <v>0</v>
      </c>
      <c r="Y25" s="109">
        <v>0</v>
      </c>
      <c r="Z25" s="111">
        <v>0</v>
      </c>
      <c r="AA25" s="111">
        <v>0</v>
      </c>
      <c r="AB25" s="111">
        <v>12</v>
      </c>
      <c r="AC25" s="122">
        <f>W25+X25+Y25+Z25+AA25+AB25</f>
        <v>12</v>
      </c>
      <c r="AD25" s="109">
        <v>137500</v>
      </c>
      <c r="AE25" s="112"/>
      <c r="AF25" s="128">
        <v>118.83000000000175</v>
      </c>
      <c r="AG25" s="130">
        <v>0</v>
      </c>
      <c r="AH25" s="129">
        <f>AF25+AG25</f>
        <v>118.83000000000175</v>
      </c>
      <c r="AI25" s="132">
        <v>1176417.0000000172</v>
      </c>
      <c r="AJ25" s="21"/>
    </row>
    <row r="26" spans="1:36" ht="15">
      <c r="A26" s="19"/>
      <c r="B26" s="64">
        <v>20</v>
      </c>
      <c r="C26" s="159">
        <v>2</v>
      </c>
      <c r="D26" s="159">
        <v>26</v>
      </c>
      <c r="E26" s="116">
        <v>9600.0000000003638</v>
      </c>
      <c r="F26" s="116">
        <v>10440662.400000395</v>
      </c>
      <c r="G26" s="113">
        <v>1960.0000000000364</v>
      </c>
      <c r="H26" s="113">
        <v>3197452.8600000595</v>
      </c>
      <c r="I26" s="105">
        <f>F26+H26</f>
        <v>13638115.260000454</v>
      </c>
      <c r="J26" s="113">
        <v>1339.999999999975</v>
      </c>
      <c r="K26" s="113">
        <v>1457342.459999973</v>
      </c>
      <c r="L26" s="113">
        <v>319.99999999999318</v>
      </c>
      <c r="M26" s="116">
        <v>522033.11999998894</v>
      </c>
      <c r="N26" s="107">
        <f>K26+M26</f>
        <v>1979375.5799999619</v>
      </c>
      <c r="O26" s="105">
        <f>I26+N26</f>
        <v>15617490.840000417</v>
      </c>
      <c r="P26" s="107">
        <f>E26+G26+J26+L26</f>
        <v>13220.000000000367</v>
      </c>
      <c r="Q26" s="122">
        <f>R26+T26</f>
        <v>838</v>
      </c>
      <c r="R26" s="123">
        <v>128</v>
      </c>
      <c r="S26" s="123">
        <v>2300224</v>
      </c>
      <c r="T26" s="116">
        <v>710</v>
      </c>
      <c r="U26" s="116">
        <v>3372017.1999999997</v>
      </c>
      <c r="V26" s="114">
        <f>S26+U26</f>
        <v>5672241.1999999993</v>
      </c>
      <c r="W26" s="125">
        <v>0</v>
      </c>
      <c r="X26" s="111">
        <v>0</v>
      </c>
      <c r="Y26" s="109">
        <v>0</v>
      </c>
      <c r="Z26" s="111">
        <v>0</v>
      </c>
      <c r="AA26" s="111">
        <v>0</v>
      </c>
      <c r="AB26" s="111">
        <v>12</v>
      </c>
      <c r="AC26" s="122">
        <f>W26+X26+Y26+Z26+AA26+AB26</f>
        <v>12</v>
      </c>
      <c r="AD26" s="109">
        <v>137500</v>
      </c>
      <c r="AE26" s="112"/>
      <c r="AF26" s="128">
        <v>338.63000000000466</v>
      </c>
      <c r="AG26" s="130">
        <v>0</v>
      </c>
      <c r="AH26" s="129">
        <f>AF26+AG26</f>
        <v>338.63000000000466</v>
      </c>
      <c r="AI26" s="132">
        <v>3352437.0000000461</v>
      </c>
      <c r="AJ26" s="21"/>
    </row>
    <row r="27" spans="1:36" ht="15">
      <c r="A27" s="19"/>
      <c r="B27" s="81">
        <v>21</v>
      </c>
      <c r="C27" s="158">
        <v>2</v>
      </c>
      <c r="D27" s="158">
        <v>49</v>
      </c>
      <c r="E27" s="123">
        <v>9960.0000000000364</v>
      </c>
      <c r="F27" s="123">
        <v>10832187.240000041</v>
      </c>
      <c r="G27" s="110">
        <v>1960.0000000000364</v>
      </c>
      <c r="H27" s="110">
        <v>3197452.8600000595</v>
      </c>
      <c r="I27" s="105">
        <f>F27+H27</f>
        <v>14029640.1000001</v>
      </c>
      <c r="J27" s="157">
        <v>1379.9999999999955</v>
      </c>
      <c r="K27" s="157">
        <v>1500845.2199999951</v>
      </c>
      <c r="L27" s="119">
        <v>359.99999999999943</v>
      </c>
      <c r="M27" s="121">
        <v>587287.25999999908</v>
      </c>
      <c r="N27" s="107">
        <f>K27+M27</f>
        <v>2088132.4799999942</v>
      </c>
      <c r="O27" s="105">
        <f>I27+N27</f>
        <v>16117772.580000095</v>
      </c>
      <c r="P27" s="107">
        <f>E27+G27+J27+L27</f>
        <v>13660.000000000069</v>
      </c>
      <c r="Q27" s="122">
        <f>R27+T27</f>
        <v>766</v>
      </c>
      <c r="R27" s="123">
        <v>89</v>
      </c>
      <c r="S27" s="123">
        <v>1599374.5</v>
      </c>
      <c r="T27" s="116">
        <v>677</v>
      </c>
      <c r="U27" s="116">
        <v>3215289.6399999997</v>
      </c>
      <c r="V27" s="114">
        <f>S27+U27</f>
        <v>4814664.1399999997</v>
      </c>
      <c r="W27" s="125">
        <v>0</v>
      </c>
      <c r="X27" s="111">
        <v>0</v>
      </c>
      <c r="Y27" s="109">
        <v>0</v>
      </c>
      <c r="Z27" s="111">
        <v>0</v>
      </c>
      <c r="AA27" s="111">
        <v>0</v>
      </c>
      <c r="AB27" s="111">
        <v>12</v>
      </c>
      <c r="AC27" s="122">
        <f>W27+X27+Y27+Z27+AA27+AB27</f>
        <v>12</v>
      </c>
      <c r="AD27" s="109">
        <v>137500</v>
      </c>
      <c r="AE27" s="112"/>
      <c r="AF27" s="128">
        <v>83.819999999999709</v>
      </c>
      <c r="AG27" s="130">
        <v>13.699999999982538</v>
      </c>
      <c r="AH27" s="129">
        <f>AF27+AG27</f>
        <v>97.519999999982247</v>
      </c>
      <c r="AI27" s="132">
        <v>965447.99999982421</v>
      </c>
      <c r="AJ27" s="21"/>
    </row>
    <row r="28" spans="1:36" ht="15">
      <c r="A28" s="19"/>
      <c r="B28" s="64">
        <v>22</v>
      </c>
      <c r="C28" s="158">
        <v>3</v>
      </c>
      <c r="D28" s="158">
        <v>53</v>
      </c>
      <c r="E28" s="123">
        <v>9519.9999999999818</v>
      </c>
      <c r="F28" s="123">
        <v>10353656.87999998</v>
      </c>
      <c r="G28" s="110">
        <v>1879.9999999999955</v>
      </c>
      <c r="H28" s="110">
        <v>3066944.5799999931</v>
      </c>
      <c r="I28" s="105">
        <f>F28+H28</f>
        <v>13420601.459999973</v>
      </c>
      <c r="J28" s="157">
        <v>1340.0000000000318</v>
      </c>
      <c r="K28" s="157">
        <v>1457342.4600000347</v>
      </c>
      <c r="L28" s="119">
        <v>359.99999999999943</v>
      </c>
      <c r="M28" s="121">
        <v>587287.25999999908</v>
      </c>
      <c r="N28" s="107">
        <f>K28+M28</f>
        <v>2044629.7200000337</v>
      </c>
      <c r="O28" s="105">
        <f>I28+N28</f>
        <v>15465231.180000007</v>
      </c>
      <c r="P28" s="107">
        <f>E28+G28+J28+L28</f>
        <v>13100.000000000011</v>
      </c>
      <c r="Q28" s="122">
        <f>R28+T28</f>
        <v>584</v>
      </c>
      <c r="R28" s="123">
        <v>94</v>
      </c>
      <c r="S28" s="123">
        <v>1689227</v>
      </c>
      <c r="T28" s="116">
        <v>490</v>
      </c>
      <c r="U28" s="116">
        <v>2327166.7999999998</v>
      </c>
      <c r="V28" s="114">
        <f>S28+U28</f>
        <v>4016393.8</v>
      </c>
      <c r="W28" s="125">
        <v>0</v>
      </c>
      <c r="X28" s="111">
        <v>0</v>
      </c>
      <c r="Y28" s="109">
        <v>0</v>
      </c>
      <c r="Z28" s="111">
        <v>0</v>
      </c>
      <c r="AA28" s="111">
        <v>0</v>
      </c>
      <c r="AB28" s="111">
        <v>0</v>
      </c>
      <c r="AC28" s="122">
        <f>W28+X28+Y28+Z28+AA28+AB28</f>
        <v>0</v>
      </c>
      <c r="AD28" s="109">
        <v>0</v>
      </c>
      <c r="AE28" s="112"/>
      <c r="AF28" s="128">
        <v>115.5</v>
      </c>
      <c r="AG28" s="130">
        <v>0</v>
      </c>
      <c r="AH28" s="129">
        <f>AF28+AG28</f>
        <v>115.5</v>
      </c>
      <c r="AI28" s="132">
        <v>1143450</v>
      </c>
      <c r="AJ28" s="21"/>
    </row>
    <row r="29" spans="1:36" ht="15">
      <c r="A29" s="19"/>
      <c r="B29" s="81">
        <v>23</v>
      </c>
      <c r="C29" s="158">
        <v>4</v>
      </c>
      <c r="D29" s="158">
        <v>28</v>
      </c>
      <c r="E29" s="123">
        <v>9399.9999999996362</v>
      </c>
      <c r="F29" s="123">
        <v>10223148.599999605</v>
      </c>
      <c r="G29" s="110">
        <v>1879.9999999999955</v>
      </c>
      <c r="H29" s="110">
        <v>3066944.5799999931</v>
      </c>
      <c r="I29" s="105">
        <f>F29+H29</f>
        <v>13290093.179999597</v>
      </c>
      <c r="J29" s="157">
        <v>1339.999999999975</v>
      </c>
      <c r="K29" s="157">
        <v>1457342.459999973</v>
      </c>
      <c r="L29" s="119">
        <v>359.99999999999943</v>
      </c>
      <c r="M29" s="121">
        <v>587287.25999999908</v>
      </c>
      <c r="N29" s="107">
        <f>K29+M29</f>
        <v>2044629.719999972</v>
      </c>
      <c r="O29" s="105">
        <f>I29+N29</f>
        <v>15334722.89999957</v>
      </c>
      <c r="P29" s="107">
        <f>E29+G29+J29+L29</f>
        <v>12979.999999999607</v>
      </c>
      <c r="Q29" s="122">
        <f>R29+T29</f>
        <v>770</v>
      </c>
      <c r="R29" s="123">
        <v>123</v>
      </c>
      <c r="S29" s="123">
        <v>2210371.5</v>
      </c>
      <c r="T29" s="116">
        <v>647</v>
      </c>
      <c r="U29" s="116">
        <v>3072810.04</v>
      </c>
      <c r="V29" s="114">
        <f>S29+U29</f>
        <v>5283181.54</v>
      </c>
      <c r="W29" s="125">
        <v>0</v>
      </c>
      <c r="X29" s="111">
        <v>0</v>
      </c>
      <c r="Y29" s="109">
        <v>0</v>
      </c>
      <c r="Z29" s="111">
        <v>0</v>
      </c>
      <c r="AA29" s="111">
        <v>0</v>
      </c>
      <c r="AB29" s="111">
        <v>12</v>
      </c>
      <c r="AC29" s="122">
        <f>W29+X29+Y29+Z29+AA29+AB29</f>
        <v>12</v>
      </c>
      <c r="AD29" s="109">
        <v>137500</v>
      </c>
      <c r="AE29" s="112"/>
      <c r="AF29" s="128">
        <v>360.16999999999825</v>
      </c>
      <c r="AG29" s="130">
        <v>0</v>
      </c>
      <c r="AH29" s="129">
        <f>AF29+AG29</f>
        <v>360.16999999999825</v>
      </c>
      <c r="AI29" s="132">
        <v>3565682.9999999828</v>
      </c>
      <c r="AJ29" s="21"/>
    </row>
    <row r="30" spans="1:36" ht="15">
      <c r="A30" s="19"/>
      <c r="B30" s="64">
        <v>24</v>
      </c>
      <c r="C30" s="158">
        <v>6</v>
      </c>
      <c r="D30" s="158">
        <v>42</v>
      </c>
      <c r="E30" s="123">
        <v>9280.0000000002001</v>
      </c>
      <c r="F30" s="123">
        <v>10092640.320000218</v>
      </c>
      <c r="G30" s="110">
        <v>1879.9999999999955</v>
      </c>
      <c r="H30" s="110">
        <v>3066944.5799999931</v>
      </c>
      <c r="I30" s="105">
        <f>F30+H30</f>
        <v>13159584.900000211</v>
      </c>
      <c r="J30" s="157">
        <v>1319.9999999999932</v>
      </c>
      <c r="K30" s="157">
        <v>1435591.0799999926</v>
      </c>
      <c r="L30" s="119">
        <v>320.00000000000739</v>
      </c>
      <c r="M30" s="121">
        <v>522033.1200000121</v>
      </c>
      <c r="N30" s="107">
        <f>K30+M30</f>
        <v>1957624.2000000048</v>
      </c>
      <c r="O30" s="105">
        <f>I30+N30</f>
        <v>15117209.100000216</v>
      </c>
      <c r="P30" s="107">
        <f>E30+G30+J30+L30</f>
        <v>12800.000000000196</v>
      </c>
      <c r="Q30" s="122">
        <f>R30+T30</f>
        <v>686</v>
      </c>
      <c r="R30" s="123">
        <v>149</v>
      </c>
      <c r="S30" s="123">
        <v>2677604.5</v>
      </c>
      <c r="T30" s="116">
        <v>537</v>
      </c>
      <c r="U30" s="116">
        <v>2550384.84</v>
      </c>
      <c r="V30" s="114">
        <f>S30+U30</f>
        <v>5227989.34</v>
      </c>
      <c r="W30" s="125">
        <v>0</v>
      </c>
      <c r="X30" s="111">
        <v>0</v>
      </c>
      <c r="Y30" s="109">
        <v>0</v>
      </c>
      <c r="Z30" s="111">
        <v>0</v>
      </c>
      <c r="AA30" s="111">
        <v>0</v>
      </c>
      <c r="AB30" s="111">
        <v>0</v>
      </c>
      <c r="AC30" s="122">
        <f>W30+X30+Y30+Z30+AA30+AB30</f>
        <v>0</v>
      </c>
      <c r="AD30" s="109">
        <v>0</v>
      </c>
      <c r="AE30" s="112"/>
      <c r="AF30" s="128">
        <v>197.19000000000233</v>
      </c>
      <c r="AG30" s="130">
        <v>0</v>
      </c>
      <c r="AH30" s="129">
        <f>AF30+AG30</f>
        <v>197.19000000000233</v>
      </c>
      <c r="AI30" s="132">
        <v>1952181.0000000231</v>
      </c>
      <c r="AJ30" s="21"/>
    </row>
    <row r="31" spans="1:36" ht="15">
      <c r="A31" s="19"/>
      <c r="B31" s="81">
        <v>25</v>
      </c>
      <c r="C31" s="158">
        <v>4</v>
      </c>
      <c r="D31" s="158">
        <v>28</v>
      </c>
      <c r="E31" s="123">
        <v>9840.0000000001455</v>
      </c>
      <c r="F31" s="123">
        <v>10701678.960000157</v>
      </c>
      <c r="G31" s="110">
        <v>1959.9999999999227</v>
      </c>
      <c r="H31" s="110">
        <v>3197452.8599998741</v>
      </c>
      <c r="I31" s="105">
        <f>F31+H31</f>
        <v>13899131.820000032</v>
      </c>
      <c r="J31" s="157">
        <v>1260.0000000000477</v>
      </c>
      <c r="K31" s="157">
        <v>1370336.9400000519</v>
      </c>
      <c r="L31" s="119">
        <v>359.99999999999943</v>
      </c>
      <c r="M31" s="121">
        <v>587287.25999999908</v>
      </c>
      <c r="N31" s="107">
        <f>K31+M31</f>
        <v>1957624.2000000509</v>
      </c>
      <c r="O31" s="105">
        <f>I31+N31</f>
        <v>15856756.020000083</v>
      </c>
      <c r="P31" s="107">
        <f>E31+G31+J31+L31</f>
        <v>13420.000000000116</v>
      </c>
      <c r="Q31" s="122">
        <f>R31+T31</f>
        <v>600</v>
      </c>
      <c r="R31" s="123">
        <v>114</v>
      </c>
      <c r="S31" s="123">
        <v>2048637</v>
      </c>
      <c r="T31" s="116">
        <v>486</v>
      </c>
      <c r="U31" s="116">
        <v>2308169.52</v>
      </c>
      <c r="V31" s="114">
        <f>S31+U31</f>
        <v>4356806.5199999996</v>
      </c>
      <c r="W31" s="125">
        <v>0</v>
      </c>
      <c r="X31" s="111">
        <v>0</v>
      </c>
      <c r="Y31" s="109">
        <v>400</v>
      </c>
      <c r="Z31" s="111">
        <v>0</v>
      </c>
      <c r="AA31" s="111">
        <v>0</v>
      </c>
      <c r="AB31" s="111">
        <v>36</v>
      </c>
      <c r="AC31" s="122">
        <f>W31+X31+Y31+Z31+AA31+AB31</f>
        <v>436</v>
      </c>
      <c r="AD31" s="109">
        <v>6308500</v>
      </c>
      <c r="AE31" s="112"/>
      <c r="AF31" s="128">
        <v>278.83999999999651</v>
      </c>
      <c r="AG31" s="130">
        <v>0</v>
      </c>
      <c r="AH31" s="129">
        <f>AF31+AG31</f>
        <v>278.83999999999651</v>
      </c>
      <c r="AI31" s="132">
        <v>2760515.9999999655</v>
      </c>
      <c r="AJ31" s="21"/>
    </row>
    <row r="32" spans="1:36" ht="15">
      <c r="A32" s="19"/>
      <c r="B32" s="64">
        <v>26</v>
      </c>
      <c r="C32" s="158">
        <v>4</v>
      </c>
      <c r="D32" s="158">
        <v>47</v>
      </c>
      <c r="E32" s="123">
        <v>9159.9999999998545</v>
      </c>
      <c r="F32" s="123">
        <v>9962132.0399998426</v>
      </c>
      <c r="G32" s="110">
        <v>1879.9999999999955</v>
      </c>
      <c r="H32" s="110">
        <v>3066944.5799999931</v>
      </c>
      <c r="I32" s="105">
        <f>F32+H32</f>
        <v>13029076.619999835</v>
      </c>
      <c r="J32" s="157">
        <v>1259.9999999999909</v>
      </c>
      <c r="K32" s="157">
        <v>1370336.9399999902</v>
      </c>
      <c r="L32" s="119">
        <v>359.99999999999943</v>
      </c>
      <c r="M32" s="121">
        <v>587287.25999999908</v>
      </c>
      <c r="N32" s="107">
        <f>K32+M32</f>
        <v>1957624.1999999892</v>
      </c>
      <c r="O32" s="105">
        <f>I32+N32</f>
        <v>14986700.819999825</v>
      </c>
      <c r="P32" s="107">
        <f>E32+G32+J32+L32</f>
        <v>12659.999999999842</v>
      </c>
      <c r="Q32" s="122">
        <f>R32+T32</f>
        <v>749</v>
      </c>
      <c r="R32" s="123">
        <v>102</v>
      </c>
      <c r="S32" s="123">
        <v>1832991</v>
      </c>
      <c r="T32" s="116">
        <v>647</v>
      </c>
      <c r="U32" s="116">
        <v>3072810.04</v>
      </c>
      <c r="V32" s="114">
        <f>S32+U32</f>
        <v>4905801.04</v>
      </c>
      <c r="W32" s="125">
        <v>0</v>
      </c>
      <c r="X32" s="111">
        <v>0</v>
      </c>
      <c r="Y32" s="109">
        <v>0</v>
      </c>
      <c r="Z32" s="111">
        <v>0</v>
      </c>
      <c r="AA32" s="111">
        <v>0</v>
      </c>
      <c r="AB32" s="111">
        <v>0</v>
      </c>
      <c r="AC32" s="122">
        <f>W32+X32+Y32+Z32+AA32+AB32</f>
        <v>0</v>
      </c>
      <c r="AD32" s="109">
        <v>0</v>
      </c>
      <c r="AE32" s="112"/>
      <c r="AF32" s="128">
        <v>226.9800000000032</v>
      </c>
      <c r="AG32" s="130">
        <v>0</v>
      </c>
      <c r="AH32" s="129">
        <f>AF32+AG32</f>
        <v>226.9800000000032</v>
      </c>
      <c r="AI32" s="132">
        <v>2247102.0000000317</v>
      </c>
      <c r="AJ32" s="21"/>
    </row>
    <row r="33" spans="1:36" ht="15">
      <c r="A33" s="19"/>
      <c r="B33" s="81">
        <v>27</v>
      </c>
      <c r="C33" s="158">
        <v>5</v>
      </c>
      <c r="D33" s="158">
        <v>41</v>
      </c>
      <c r="E33" s="123">
        <v>9559.9999999999454</v>
      </c>
      <c r="F33" s="123">
        <v>10397159.639999941</v>
      </c>
      <c r="G33" s="110">
        <v>2000</v>
      </c>
      <c r="H33" s="110">
        <v>3262707</v>
      </c>
      <c r="I33" s="105">
        <f>F33+H33</f>
        <v>13659866.639999941</v>
      </c>
      <c r="J33" s="157">
        <v>1419.9999999999591</v>
      </c>
      <c r="K33" s="157">
        <v>1544347.9799999555</v>
      </c>
      <c r="L33" s="119">
        <v>340.00000000000341</v>
      </c>
      <c r="M33" s="121">
        <v>554660.19000000553</v>
      </c>
      <c r="N33" s="107">
        <f>K33+M33</f>
        <v>2099008.1699999608</v>
      </c>
      <c r="O33" s="105">
        <f>I33+N33</f>
        <v>15758874.809999902</v>
      </c>
      <c r="P33" s="107">
        <f>E33+G33+J33+L33</f>
        <v>13319.999999999909</v>
      </c>
      <c r="Q33" s="122">
        <f>R33+T33</f>
        <v>574</v>
      </c>
      <c r="R33" s="123">
        <v>128</v>
      </c>
      <c r="S33" s="123">
        <v>2300224</v>
      </c>
      <c r="T33" s="116">
        <v>446</v>
      </c>
      <c r="U33" s="116">
        <v>2118196.7199999997</v>
      </c>
      <c r="V33" s="114">
        <f>S33+U33</f>
        <v>4418420.72</v>
      </c>
      <c r="W33" s="125">
        <v>0</v>
      </c>
      <c r="X33" s="111">
        <v>0</v>
      </c>
      <c r="Y33" s="109">
        <v>0</v>
      </c>
      <c r="Z33" s="111">
        <v>0</v>
      </c>
      <c r="AA33" s="111">
        <v>0</v>
      </c>
      <c r="AB33" s="111">
        <v>0</v>
      </c>
      <c r="AC33" s="122">
        <f>W33+X33+Y33+Z33+AA33+AB33</f>
        <v>0</v>
      </c>
      <c r="AD33" s="109">
        <v>0</v>
      </c>
      <c r="AE33" s="112"/>
      <c r="AF33" s="128">
        <v>284.89999999999418</v>
      </c>
      <c r="AG33" s="130">
        <v>0</v>
      </c>
      <c r="AH33" s="129">
        <f>AF33+AG33</f>
        <v>284.89999999999418</v>
      </c>
      <c r="AI33" s="132">
        <v>2820509.9999999423</v>
      </c>
      <c r="AJ33" s="21"/>
    </row>
    <row r="34" spans="1:36" ht="15">
      <c r="A34" s="19"/>
      <c r="B34" s="64">
        <v>28</v>
      </c>
      <c r="C34" s="158">
        <v>6</v>
      </c>
      <c r="D34" s="158">
        <v>47</v>
      </c>
      <c r="E34" s="123">
        <v>9960.0000000000364</v>
      </c>
      <c r="F34" s="123">
        <v>10832187.240000041</v>
      </c>
      <c r="G34" s="110">
        <v>2040.0000000000773</v>
      </c>
      <c r="H34" s="110">
        <v>3327961.1400001268</v>
      </c>
      <c r="I34" s="105">
        <f>F34+H34</f>
        <v>14160148.380000168</v>
      </c>
      <c r="J34" s="157">
        <v>1380.0000000000523</v>
      </c>
      <c r="K34" s="157">
        <v>1500845.220000057</v>
      </c>
      <c r="L34" s="119">
        <v>359.99999999999943</v>
      </c>
      <c r="M34" s="121">
        <v>587287.25999999908</v>
      </c>
      <c r="N34" s="107">
        <f>K34+M34</f>
        <v>2088132.4800000561</v>
      </c>
      <c r="O34" s="105">
        <f>I34+N34</f>
        <v>16248280.860000225</v>
      </c>
      <c r="P34" s="107">
        <f>E34+G34+J34+L34</f>
        <v>13740.000000000166</v>
      </c>
      <c r="Q34" s="122">
        <f>R34+T34</f>
        <v>775</v>
      </c>
      <c r="R34" s="123">
        <v>128</v>
      </c>
      <c r="S34" s="123">
        <v>2300224</v>
      </c>
      <c r="T34" s="116">
        <v>647</v>
      </c>
      <c r="U34" s="116">
        <v>3072810.04</v>
      </c>
      <c r="V34" s="114">
        <f>S34+U34</f>
        <v>5373034.04</v>
      </c>
      <c r="W34" s="125">
        <v>0</v>
      </c>
      <c r="X34" s="111">
        <v>0</v>
      </c>
      <c r="Y34" s="109">
        <v>0</v>
      </c>
      <c r="Z34" s="111">
        <v>0</v>
      </c>
      <c r="AA34" s="111">
        <v>0</v>
      </c>
      <c r="AB34" s="111">
        <v>12</v>
      </c>
      <c r="AC34" s="122">
        <f>W34+X34+Y34+Z34+AA34+AB34</f>
        <v>12</v>
      </c>
      <c r="AD34" s="109">
        <v>137500</v>
      </c>
      <c r="AE34" s="112"/>
      <c r="AF34" s="128">
        <v>85.620000000002619</v>
      </c>
      <c r="AG34" s="130">
        <v>42.100000000005821</v>
      </c>
      <c r="AH34" s="129">
        <f>AF34+AG34</f>
        <v>127.72000000000844</v>
      </c>
      <c r="AI34" s="132">
        <v>1264428.0000000836</v>
      </c>
      <c r="AJ34" s="21"/>
    </row>
    <row r="35" spans="1:36" ht="15">
      <c r="A35" s="19"/>
      <c r="B35" s="81">
        <v>29</v>
      </c>
      <c r="C35" s="158">
        <v>6</v>
      </c>
      <c r="D35" s="158">
        <v>97</v>
      </c>
      <c r="E35" s="123">
        <v>10119.999999999891</v>
      </c>
      <c r="F35" s="123">
        <v>11006198.27999988</v>
      </c>
      <c r="G35" s="110">
        <v>2000</v>
      </c>
      <c r="H35" s="110">
        <v>3262707</v>
      </c>
      <c r="I35" s="105">
        <f>F35+H35</f>
        <v>14268905.27999988</v>
      </c>
      <c r="J35" s="157">
        <v>1359.9999999999568</v>
      </c>
      <c r="K35" s="157">
        <v>1479093.8399999528</v>
      </c>
      <c r="L35" s="119">
        <v>359.99999999999943</v>
      </c>
      <c r="M35" s="121">
        <v>587287.25999999908</v>
      </c>
      <c r="N35" s="107">
        <f>K35+M35</f>
        <v>2066381.0999999519</v>
      </c>
      <c r="O35" s="105">
        <f>I35+N35</f>
        <v>16335286.379999831</v>
      </c>
      <c r="P35" s="107">
        <f>E35+G35+J35+L35</f>
        <v>13839.999999999847</v>
      </c>
      <c r="Q35" s="122">
        <f>R35+T35</f>
        <v>536</v>
      </c>
      <c r="R35" s="123">
        <v>128</v>
      </c>
      <c r="S35" s="123">
        <v>2300224</v>
      </c>
      <c r="T35" s="116">
        <v>408</v>
      </c>
      <c r="U35" s="116">
        <v>1937722.5599999998</v>
      </c>
      <c r="V35" s="114">
        <f>S35+U35</f>
        <v>4237946.5599999996</v>
      </c>
      <c r="W35" s="125">
        <v>0</v>
      </c>
      <c r="X35" s="111">
        <v>0</v>
      </c>
      <c r="Y35" s="109">
        <v>0</v>
      </c>
      <c r="Z35" s="111">
        <v>0</v>
      </c>
      <c r="AA35" s="111">
        <v>0</v>
      </c>
      <c r="AB35" s="111">
        <v>12</v>
      </c>
      <c r="AC35" s="122">
        <f>W35+X35+Y35+Z35+AA35+AB35</f>
        <v>12</v>
      </c>
      <c r="AD35" s="109">
        <v>137500</v>
      </c>
      <c r="AE35" s="112"/>
      <c r="AF35" s="128">
        <v>117.83999999999651</v>
      </c>
      <c r="AG35" s="130">
        <v>0</v>
      </c>
      <c r="AH35" s="129">
        <f>AF35+AG35</f>
        <v>117.83999999999651</v>
      </c>
      <c r="AI35" s="132">
        <v>1166615.9999999655</v>
      </c>
      <c r="AJ35" s="21"/>
    </row>
    <row r="36" spans="1:36" ht="15">
      <c r="A36" s="19"/>
      <c r="B36" s="64">
        <v>30</v>
      </c>
      <c r="C36" s="158">
        <v>4</v>
      </c>
      <c r="D36" s="158">
        <v>46</v>
      </c>
      <c r="E36" s="123">
        <v>10119.999999999891</v>
      </c>
      <c r="F36" s="123">
        <v>11006198.27999988</v>
      </c>
      <c r="G36" s="110">
        <v>2000</v>
      </c>
      <c r="H36" s="110">
        <v>3262707</v>
      </c>
      <c r="I36" s="105">
        <f>F36+H36</f>
        <v>14268905.27999988</v>
      </c>
      <c r="J36" s="157">
        <v>1379.9999999999955</v>
      </c>
      <c r="K36" s="157">
        <v>1500845.2199999951</v>
      </c>
      <c r="L36" s="119">
        <v>340.00000000000341</v>
      </c>
      <c r="M36" s="121">
        <v>554660.19000000553</v>
      </c>
      <c r="N36" s="107">
        <f>K36+M36</f>
        <v>2055505.4100000006</v>
      </c>
      <c r="O36" s="105">
        <f>I36+N36</f>
        <v>16324410.68999988</v>
      </c>
      <c r="P36" s="107">
        <f>E36+G36+J36+L36</f>
        <v>13839.999999999891</v>
      </c>
      <c r="Q36" s="122">
        <f>R36+T36</f>
        <v>655</v>
      </c>
      <c r="R36" s="123">
        <v>128</v>
      </c>
      <c r="S36" s="123">
        <v>2300224</v>
      </c>
      <c r="T36" s="116">
        <v>527</v>
      </c>
      <c r="U36" s="116">
        <v>2502891.6399999997</v>
      </c>
      <c r="V36" s="114">
        <f>S36+U36</f>
        <v>4803115.6399999997</v>
      </c>
      <c r="W36" s="125">
        <v>0</v>
      </c>
      <c r="X36" s="111">
        <v>0</v>
      </c>
      <c r="Y36" s="109">
        <v>0</v>
      </c>
      <c r="Z36" s="111">
        <v>0</v>
      </c>
      <c r="AA36" s="111">
        <v>0</v>
      </c>
      <c r="AB36" s="111">
        <v>12</v>
      </c>
      <c r="AC36" s="122">
        <f>W36+X36+Y36+Z36+AA36+AB36</f>
        <v>12</v>
      </c>
      <c r="AD36" s="109">
        <v>137500</v>
      </c>
      <c r="AE36" s="112"/>
      <c r="AF36" s="128">
        <v>281.34000000000378</v>
      </c>
      <c r="AG36" s="130">
        <v>0</v>
      </c>
      <c r="AH36" s="129">
        <f>AF36+AG36</f>
        <v>281.34000000000378</v>
      </c>
      <c r="AI36" s="132">
        <v>2785266.0000000373</v>
      </c>
      <c r="AJ36" s="21"/>
    </row>
    <row r="37" spans="1:36" ht="15">
      <c r="A37" s="19"/>
      <c r="B37" s="81">
        <v>31</v>
      </c>
      <c r="C37" s="158">
        <v>3</v>
      </c>
      <c r="D37" s="158">
        <v>47</v>
      </c>
      <c r="E37" s="123">
        <v>9560.0000000004002</v>
      </c>
      <c r="F37" s="123">
        <v>10397159.640000435</v>
      </c>
      <c r="G37" s="110">
        <v>1879.9999999999955</v>
      </c>
      <c r="H37" s="110">
        <v>3066944.5799999931</v>
      </c>
      <c r="I37" s="105">
        <f>F37+H37</f>
        <v>13464104.220000427</v>
      </c>
      <c r="J37" s="157">
        <v>1300.0000000000114</v>
      </c>
      <c r="K37" s="157">
        <v>1413839.7000000123</v>
      </c>
      <c r="L37" s="119">
        <v>339.9999999999892</v>
      </c>
      <c r="M37" s="121">
        <v>554660.18999998248</v>
      </c>
      <c r="N37" s="107">
        <f>K37+M37</f>
        <v>1968499.8899999948</v>
      </c>
      <c r="O37" s="105">
        <f>I37+N37</f>
        <v>15432604.110000422</v>
      </c>
      <c r="P37" s="107">
        <f>E37+G37+J37+L37</f>
        <v>13080.000000000397</v>
      </c>
      <c r="Q37" s="122">
        <f>R37+T37</f>
        <v>563</v>
      </c>
      <c r="R37" s="123">
        <v>127</v>
      </c>
      <c r="S37" s="123">
        <v>2282253.5</v>
      </c>
      <c r="T37" s="116">
        <v>436</v>
      </c>
      <c r="U37" s="116">
        <v>2070703.5199999998</v>
      </c>
      <c r="V37" s="114">
        <f>S37+U37</f>
        <v>4352957.0199999996</v>
      </c>
      <c r="W37" s="125">
        <v>0</v>
      </c>
      <c r="X37" s="111">
        <v>0</v>
      </c>
      <c r="Y37" s="109">
        <v>0</v>
      </c>
      <c r="Z37" s="111">
        <v>0</v>
      </c>
      <c r="AA37" s="111">
        <v>0</v>
      </c>
      <c r="AB37" s="111">
        <v>0</v>
      </c>
      <c r="AC37" s="122">
        <f>W37+X37+Y37+Z37+AA37+AB37</f>
        <v>0</v>
      </c>
      <c r="AD37" s="109">
        <v>0</v>
      </c>
      <c r="AE37" s="112"/>
      <c r="AF37" s="128">
        <v>97.860000000000582</v>
      </c>
      <c r="AG37" s="130">
        <v>0</v>
      </c>
      <c r="AH37" s="129">
        <f>AF37+AG37</f>
        <v>97.860000000000582</v>
      </c>
      <c r="AI37" s="132">
        <v>968814.00000000582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4"/>
      <c r="D42" s="144"/>
      <c r="E42" s="145"/>
      <c r="F42" s="146"/>
      <c r="G42" s="147"/>
      <c r="H42" s="146"/>
      <c r="I42" s="147"/>
      <c r="J42" s="147"/>
      <c r="K42" s="147"/>
      <c r="L42" s="146"/>
      <c r="M42" s="148"/>
      <c r="N42" s="149"/>
      <c r="O42" s="147"/>
      <c r="P42" s="149"/>
      <c r="Q42" s="150"/>
      <c r="R42" s="151"/>
      <c r="S42" s="147"/>
      <c r="T42" s="147"/>
      <c r="U42" s="147"/>
      <c r="V42" s="147"/>
      <c r="W42" s="152"/>
      <c r="X42" s="146"/>
      <c r="Y42" s="152"/>
      <c r="Z42" s="152"/>
      <c r="AA42" s="152"/>
      <c r="AB42" s="152"/>
      <c r="AC42" s="152"/>
      <c r="AD42" s="146"/>
      <c r="AE42" s="153"/>
      <c r="AF42" s="153"/>
      <c r="AG42" s="153"/>
      <c r="AH42" s="153"/>
      <c r="AI42" s="154"/>
    </row>
    <row r="43" spans="1:36">
      <c r="A43" s="33"/>
      <c r="B43" s="143"/>
      <c r="C43" s="133">
        <f>SUM(C7:C37)</f>
        <v>111</v>
      </c>
      <c r="D43" s="133">
        <f>SUM(D7:D37)</f>
        <v>1414</v>
      </c>
      <c r="E43" s="134">
        <f>SUM(E7:E37)</f>
        <v>298360.00000000006</v>
      </c>
      <c r="F43" s="134">
        <f>SUM(F7:F37)</f>
        <v>324487086.84000015</v>
      </c>
      <c r="G43" s="134">
        <f>SUM(G7:G37)</f>
        <v>59920.000000000065</v>
      </c>
      <c r="H43" s="134">
        <f>SUM(H7:H37)</f>
        <v>97750701.720000133</v>
      </c>
      <c r="I43" s="134">
        <f>SUM(I7:I37)</f>
        <v>422237788.56000024</v>
      </c>
      <c r="J43" s="134">
        <f>SUM(J7:J37)</f>
        <v>41039.999999999964</v>
      </c>
      <c r="K43" s="134">
        <f>SUM(K7:K37)</f>
        <v>44633831.759999953</v>
      </c>
      <c r="L43" s="134">
        <f>SUM(L7:L37)</f>
        <v>10560.000000000004</v>
      </c>
      <c r="M43" s="134">
        <f>SUM(M7:M37)</f>
        <v>17227092.960000005</v>
      </c>
      <c r="N43" s="134">
        <f>SUM(N7:N37)</f>
        <v>61860924.719999962</v>
      </c>
      <c r="O43" s="135">
        <f>SUM(O7:O37)</f>
        <v>484098713.28000021</v>
      </c>
      <c r="P43" s="136">
        <f>SUM(P7:P37)</f>
        <v>409880.00000000006</v>
      </c>
      <c r="Q43" s="137">
        <f>SUM(Q7:Q37)</f>
        <v>19641</v>
      </c>
      <c r="R43" s="134">
        <f>SUM(R7:R37)</f>
        <v>3657</v>
      </c>
      <c r="S43" s="134">
        <f>SUM(S7:S37)</f>
        <v>65718118.5</v>
      </c>
      <c r="T43" s="134">
        <f>SUM(T7:T37)</f>
        <v>15984</v>
      </c>
      <c r="U43" s="134">
        <f>SUM(U7:U37)</f>
        <v>75913130.88000001</v>
      </c>
      <c r="V43" s="138">
        <f>SUM(V7:V37)</f>
        <v>141631249.38000003</v>
      </c>
      <c r="W43" s="139">
        <f>SUM(W7:W37)</f>
        <v>0</v>
      </c>
      <c r="X43" s="134">
        <f>SUM(X7:X37)</f>
        <v>0</v>
      </c>
      <c r="Y43" s="134">
        <f>SUM(Y7:Y37)</f>
        <v>1250</v>
      </c>
      <c r="Z43" s="134">
        <f>SUM(Z7:Z37)</f>
        <v>0</v>
      </c>
      <c r="AA43" s="134">
        <f>SUM(AA7:AA37)</f>
        <v>0</v>
      </c>
      <c r="AB43" s="134">
        <f>SUM(AB7:AB37)</f>
        <v>216</v>
      </c>
      <c r="AC43" s="140">
        <f>SUM(AC7:AC37)</f>
        <v>1466</v>
      </c>
      <c r="AD43" s="140">
        <f>SUM(AD7:AD37)</f>
        <v>20900000</v>
      </c>
      <c r="AE43" s="141">
        <f>SUM(AE8:AE39)</f>
        <v>0</v>
      </c>
      <c r="AF43" s="134">
        <f>SUM(AF7:AF37)</f>
        <v>7020.1399999999994</v>
      </c>
      <c r="AG43" s="134">
        <f>SUM(AG7:AG37)</f>
        <v>136.69999999998254</v>
      </c>
      <c r="AH43" s="142">
        <f>SUM(AH7:AH37)</f>
        <v>7156.839999999982</v>
      </c>
      <c r="AI43" s="142">
        <f>SUM(AI7:AI37)</f>
        <v>70852715.999999791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1181.0742492436814</v>
      </c>
      <c r="Q45" s="43"/>
      <c r="R45" s="43"/>
      <c r="S45" s="43"/>
      <c r="T45" s="36"/>
      <c r="U45" s="36"/>
      <c r="V45" s="43">
        <f>V43/Q43</f>
        <v>7210.9999175194762</v>
      </c>
      <c r="W45" s="43"/>
      <c r="X45" s="36"/>
      <c r="Y45" s="43"/>
      <c r="Z45" s="43"/>
      <c r="AA45" s="43"/>
      <c r="AB45" s="43"/>
      <c r="AC45" s="36"/>
      <c r="AD45" s="36">
        <f>AD43/AC43</f>
        <v>14256.480218281036</v>
      </c>
      <c r="AE45" s="40"/>
      <c r="AF45" s="40"/>
      <c r="AG45" s="40"/>
      <c r="AH45" s="40"/>
      <c r="AI45" s="43">
        <f>AI43/AH43</f>
        <v>9899.9999999999964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