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90" documentId="13_ncr:1_{76C55D63-F869-4AF5-AAA3-3D809A91432B}" xr6:coauthVersionLast="47" xr6:coauthVersionMax="47" xr10:uidLastSave="{41E2A233-9657-4B4B-B490-3C54A3AA02DA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7" l="1"/>
  <c r="J17" i="27"/>
  <c r="J16" i="27"/>
  <c r="J15" i="27"/>
  <c r="J14" i="27"/>
  <c r="J13" i="27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<sst xmlns="http://schemas.openxmlformats.org/spreadsheetml/2006/main" count="72" uniqueCount="33">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</sst>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2727</v>
      </c>
      <c r="J8" s="98">
        <v>0.1694</v>
      </c>
      <c r="K8" s="11">
        <f>IF('Water, Gas, Diesel'!F13&lt;0,0,'Water, Gas, Diesel'!F13)</f>
        <v>267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3000</v>
      </c>
      <c r="J9" s="98">
        <v>0.1694</v>
      </c>
      <c r="K9" s="11">
        <f>IF('Water, Gas, Diesel'!F14&lt;0,0,'Water, Gas, Diesel'!F14)</f>
        <v>232</v>
      </c>
      <c r="L9" s="98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2727</v>
      </c>
      <c r="J10" s="98">
        <v>0.1694</v>
      </c>
      <c r="K10" s="11">
        <f>IF('Water, Gas, Diesel'!F15&lt;0,0,'Water, Gas, Diesel'!F15)</f>
        <v>232</v>
      </c>
      <c r="L10" s="98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2041</v>
      </c>
      <c r="J11" s="98">
        <v>0.1694</v>
      </c>
      <c r="K11" s="11">
        <f>IF('Water, Gas, Diesel'!F16&lt;0,0,'Water, Gas, Diesel'!F16)</f>
        <v>221</v>
      </c>
      <c r="L11" s="98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250018942.5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1878</v>
      </c>
      <c r="J12" s="98">
        <v>0.1694</v>
      </c>
      <c r="K12" s="11">
        <f>IF('Water, Gas, Diesel'!F17&lt;0,0,'Water, Gas, Diesel'!F17)</f>
        <v>210</v>
      </c>
      <c r="L12" s="98">
        <v>1.6949000000000001</v>
      </c>
      <c r="M12" s="11">
        <f>Electricity!H18</f>
        <v>89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13630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102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6" activePane="bottomLeft" state="frozen"/>
      <selection pane="bottomLeft" activeCell="H20" sqref="H20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8352.5000000008731</v>
      </c>
      <c r="D17" s="92">
        <v>14688.9</v>
      </c>
      <c r="E17" s="41">
        <f t="shared" si="1"/>
        <v>11320.000000000618</v>
      </c>
      <c r="F17" s="49">
        <f t="shared" si="2"/>
        <v>19672.500000001492</v>
      </c>
      <c r="G17" s="87">
        <f t="shared" si="3"/>
        <v>1573.8000000001193</v>
      </c>
      <c r="H17" s="87">
        <v>116</v>
      </c>
    </row>
    <row r="18" spans="1:8" ht="30.95" customHeight="1">
      <c r="A18" s="42">
        <v>11</v>
      </c>
      <c r="B18" s="89">
        <v>14480.294</v>
      </c>
      <c r="C18" s="84">
        <f t="shared" si="0"/>
        <v>250007727.5</v>
      </c>
      <c r="D18" s="93">
        <v>14693.428</v>
      </c>
      <c r="E18" s="84">
        <f t="shared" si="1"/>
        <v>11215.000000001965</v>
      </c>
      <c r="F18" s="53">
        <f t="shared" si="2"/>
        <v>250018942.5</v>
      </c>
      <c r="G18" s="87">
        <f t="shared" si="3"/>
        <v>20001515.400000002</v>
      </c>
      <c r="H18" s="87">
        <v>89</v>
      </c>
    </row>
    <row r="19" spans="1:8" ht="30.95" customHeight="1">
      <c r="A19" s="47">
        <v>12</v>
      </c>
      <c r="B19" s="91">
        <v>114483.38499999999</v>
      </c>
      <c r="C19" s="41">
        <f t="shared" si="0"/>
        <v>-286208462.5</v>
      </c>
      <c r="D19" s="92">
        <v>14697.914000000001</v>
      </c>
      <c r="E19" s="41">
        <f t="shared" si="1"/>
        <v>-36744785</v>
      </c>
      <c r="F19" s="49">
        <f t="shared" si="2"/>
        <v>-322953247.5</v>
      </c>
      <c r="G19" s="87">
        <f t="shared" si="3"/>
        <v>-25836259.800000001</v>
      </c>
      <c r="H19" s="87">
        <v>102</v>
      </c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11" activePane="bottomLeft" state="frozen"/>
      <selection pane="bottomLeft" activeCell="O16" sqref="O16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>
        <f>7060+6570</f>
        <v>13630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232</v>
      </c>
      <c r="G15" s="50">
        <f t="shared" si="5"/>
        <v>196.61071999999999</v>
      </c>
      <c r="H15" s="45">
        <f t="shared" si="6"/>
        <v>196.61071999999999</v>
      </c>
      <c r="I15" s="51">
        <f t="shared" si="2"/>
        <v>393.22143999999997</v>
      </c>
      <c r="J15" s="52">
        <f>7060+6570</f>
        <v>13630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2041</v>
      </c>
      <c r="D16" s="48">
        <f t="shared" si="7"/>
        <v>345.93221273</v>
      </c>
      <c r="E16" s="49">
        <v>489956</v>
      </c>
      <c r="F16" s="58">
        <f t="shared" si="1"/>
        <v>221</v>
      </c>
      <c r="G16" s="50">
        <f t="shared" si="5"/>
        <v>187.28865999999999</v>
      </c>
      <c r="H16" s="50">
        <f t="shared" si="6"/>
        <v>187.28865999999999</v>
      </c>
      <c r="I16" s="51">
        <f t="shared" si="2"/>
        <v>374.57731999999999</v>
      </c>
      <c r="J16" s="52">
        <f>7060+6570</f>
        <v>13630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6156228</v>
      </c>
      <c r="C17" s="55">
        <f>B18-B17</f>
        <v>1878</v>
      </c>
      <c r="D17" s="48">
        <f t="shared" si="7"/>
        <v>318.30509333999998</v>
      </c>
      <c r="E17" s="49">
        <v>490177</v>
      </c>
      <c r="F17" s="56">
        <f>E18-E17</f>
        <v>210</v>
      </c>
      <c r="G17" s="45">
        <f t="shared" si="5"/>
        <v>177.9666</v>
      </c>
      <c r="H17" s="45">
        <f t="shared" si="6"/>
        <v>177.9666</v>
      </c>
      <c r="I17" s="51">
        <f t="shared" si="2"/>
        <v>355.9332</v>
      </c>
      <c r="J17" s="52">
        <f>7060+6570</f>
        <v>13630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6158106</v>
      </c>
      <c r="C18" s="57">
        <f t="shared" ref="C18:C36" si="8">B19-B18</f>
        <v>-6158106</v>
      </c>
      <c r="D18" s="48">
        <f t="shared" si="7"/>
        <v>-1043746.80784218</v>
      </c>
      <c r="E18" s="49">
        <v>490387</v>
      </c>
      <c r="F18" s="58">
        <f t="shared" ref="F18:F36" si="9">E19-E18</f>
        <v>-490387</v>
      </c>
      <c r="G18" s="50">
        <f t="shared" si="5"/>
        <v>-415583.36702000001</v>
      </c>
      <c r="H18" s="50">
        <f t="shared" si="6"/>
        <v>-415583.36702000001</v>
      </c>
      <c r="I18" s="51">
        <f t="shared" si="2"/>
        <v>-831166.73404000001</v>
      </c>
      <c r="J18" s="52">
        <f>7060+6570</f>
        <v>13630</v>
      </c>
      <c r="K18" s="40">
        <f t="shared" si="3"/>
        <v>13630</v>
      </c>
      <c r="L18" s="41">
        <f t="shared" si="4"/>
        <v>8041.7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2021-10-13T05:40:08Z</dcterms:modified>
  <cp:category/>
  <cp:contentStatus/>
</cp:coreProperties>
</file>