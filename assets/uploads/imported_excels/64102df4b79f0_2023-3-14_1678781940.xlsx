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1\"/>
    </mc:Choice>
  </mc:AlternateContent>
  <xr:revisionPtr revIDLastSave="0" documentId="13_ncr:1_{AEC450B8-A570-4FE0-B9D1-17DC5144818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Electricity!$B$1:$R$53</definedName>
    <definedName name="_xlnm.Print_Area" localSheetId="2">Water!$A$1:$H$35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L3" i="4"/>
  <c r="K4" i="4"/>
  <c r="L4" i="4"/>
  <c r="N4" i="4" s="1"/>
  <c r="K5" i="4"/>
  <c r="L5" i="4"/>
  <c r="K6" i="4"/>
  <c r="L6" i="4"/>
  <c r="K7" i="4"/>
  <c r="L7" i="4"/>
  <c r="N7" i="4" s="1"/>
  <c r="K8" i="4"/>
  <c r="L8" i="4"/>
  <c r="K9" i="4"/>
  <c r="L9" i="4"/>
  <c r="K10" i="4"/>
  <c r="L10" i="4"/>
  <c r="N10" i="4" s="1"/>
  <c r="K11" i="4"/>
  <c r="L11" i="4"/>
  <c r="K12" i="4"/>
  <c r="L12" i="4"/>
  <c r="K13" i="4"/>
  <c r="L13" i="4"/>
  <c r="N13" i="4" s="1"/>
  <c r="K14" i="4"/>
  <c r="L14" i="4"/>
  <c r="K15" i="4"/>
  <c r="L15" i="4"/>
  <c r="K16" i="4"/>
  <c r="L16" i="4"/>
  <c r="N16" i="4" s="1"/>
  <c r="K17" i="4"/>
  <c r="L17" i="4"/>
  <c r="K18" i="4"/>
  <c r="L18" i="4"/>
  <c r="K19" i="4"/>
  <c r="L19" i="4"/>
  <c r="N19" i="4" s="1"/>
  <c r="K20" i="4"/>
  <c r="L20" i="4"/>
  <c r="K21" i="4"/>
  <c r="L21" i="4"/>
  <c r="K22" i="4"/>
  <c r="L22" i="4"/>
  <c r="N22" i="4" s="1"/>
  <c r="K23" i="4"/>
  <c r="L23" i="4"/>
  <c r="K24" i="4"/>
  <c r="L24" i="4"/>
  <c r="K25" i="4"/>
  <c r="L25" i="4"/>
  <c r="N25" i="4" s="1"/>
  <c r="K26" i="4"/>
  <c r="L26" i="4"/>
  <c r="K27" i="4"/>
  <c r="L27" i="4"/>
  <c r="K28" i="4"/>
  <c r="L28" i="4"/>
  <c r="N28" i="4" s="1"/>
  <c r="K29" i="4"/>
  <c r="L29" i="4"/>
  <c r="K30" i="4"/>
  <c r="L30" i="4"/>
  <c r="K31" i="4"/>
  <c r="L31" i="4"/>
  <c r="N31" i="4" s="1"/>
  <c r="K2" i="4"/>
  <c r="L2" i="4"/>
  <c r="N2" i="4"/>
  <c r="O2" i="4"/>
  <c r="N3" i="4"/>
  <c r="O3" i="4"/>
  <c r="O4" i="4"/>
  <c r="N5" i="4"/>
  <c r="O5" i="4"/>
  <c r="N6" i="4"/>
  <c r="O6" i="4"/>
  <c r="O7" i="4"/>
  <c r="N8" i="4"/>
  <c r="O8" i="4"/>
  <c r="N9" i="4"/>
  <c r="O9" i="4"/>
  <c r="O10" i="4"/>
  <c r="N11" i="4"/>
  <c r="O11" i="4"/>
  <c r="N12" i="4"/>
  <c r="O12" i="4"/>
  <c r="O13" i="4"/>
  <c r="N14" i="4"/>
  <c r="O14" i="4"/>
  <c r="N15" i="4"/>
  <c r="O15" i="4"/>
  <c r="O16" i="4"/>
  <c r="N17" i="4"/>
  <c r="O17" i="4"/>
  <c r="N18" i="4"/>
  <c r="O18" i="4"/>
  <c r="O19" i="4"/>
  <c r="N20" i="4"/>
  <c r="O20" i="4"/>
  <c r="N21" i="4"/>
  <c r="O21" i="4"/>
  <c r="O22" i="4"/>
  <c r="N23" i="4"/>
  <c r="O23" i="4"/>
  <c r="N24" i="4"/>
  <c r="O24" i="4"/>
  <c r="O25" i="4"/>
  <c r="N26" i="4"/>
  <c r="O26" i="4"/>
  <c r="N27" i="4"/>
  <c r="O27" i="4"/>
  <c r="O28" i="4"/>
  <c r="N29" i="4"/>
  <c r="O29" i="4"/>
  <c r="N30" i="4"/>
  <c r="O30" i="4"/>
  <c r="O31" i="4"/>
  <c r="F36" i="1" l="1"/>
  <c r="E36" i="1"/>
  <c r="E35" i="2"/>
  <c r="I6" i="1" l="1"/>
  <c r="C36" i="1"/>
  <c r="F35" i="2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5" i="2" l="1"/>
  <c r="G39" i="2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H6" i="1"/>
  <c r="G34" i="1"/>
  <c r="E30" i="4" s="1"/>
  <c r="H34" i="1"/>
  <c r="I34" i="1"/>
  <c r="J34" i="1" l="1"/>
  <c r="K34" i="1" s="1"/>
  <c r="L34" i="1" l="1"/>
  <c r="J30" i="4" s="1"/>
  <c r="G6" i="1" l="1"/>
  <c r="E2" i="4" l="1"/>
  <c r="G45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6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6" i="1" l="1"/>
  <c r="G36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J36" i="1" l="1"/>
  <c r="K6" i="1"/>
  <c r="K36" i="1" s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6" i="1" s="1"/>
  <c r="J2" i="4"/>
</calcChain>
</file>

<file path=xl/sharedStrings.xml><?xml version="1.0" encoding="utf-8"?>
<sst xmlns="http://schemas.openxmlformats.org/spreadsheetml/2006/main" count="115" uniqueCount="45">
  <si>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</si>
  <si>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</si>
  <si>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</si>
  <si>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</si>
  <si>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</si>
  <si>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</si>
  <si>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</si>
  <si>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</si>
  <si>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</si>
  <si>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</si>
  <si>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</si>
  <si>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</si>
  <si>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</si>
  <si>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</si>
  <si>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</si>
  <si>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</si>
  <si>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</si>
  <si>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</si>
  <si>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</si>
  <si>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</si>
  <si>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</si>
  <si>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</si>
  <si>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</si>
  <si>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</si>
  <si>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</si>
  <si>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</si>
  <si>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</si>
  <si>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</si>
  <si>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</si>
  <si>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</si>
  <si>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</si>
  <si>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</si>
  <si>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</si>
  <si>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</si>
  <si>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</si>
  <si>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</si>
  <si>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</si>
  <si>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2021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</si>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</sst>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C1" workbookViewId="0">
      <selection activeCell="K11" sqref="K11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140" t="s">
        <v>43</v>
      </c>
    </row>
    <row r="2" spans="1:15" x14ac:dyDescent="0.25">
      <c r="A2" s="48" t="s">
        <v>44</v>
      </c>
      <c r="B2" s="45">
        <v>1</v>
      </c>
      <c r="C2" s="45">
        <v>11</v>
      </c>
      <c r="D2" s="45">
        <v>2021</v>
      </c>
      <c r="E2" s="43">
        <f>Electricity!G6</f>
        <v>24720</v>
      </c>
      <c r="F2" s="43">
        <f>Electricity!E6</f>
        <v>4480</v>
      </c>
      <c r="G2" s="43">
        <f>Electricity!F6</f>
        <v>20240</v>
      </c>
      <c r="H2" s="47">
        <v>1553.67</v>
      </c>
      <c r="I2" s="57" t="s">
        <v>28</v>
      </c>
      <c r="J2" s="106">
        <f>Electricity!L6</f>
        <v>28594819.891199999</v>
      </c>
      <c r="K2" s="43">
        <f>J2/E2</f>
        <v>1156.7483774757281</v>
      </c>
      <c r="L2" s="58">
        <f>Water!G5</f>
        <v>319</v>
      </c>
      <c r="M2" s="58">
        <v>12550</v>
      </c>
      <c r="N2" s="106">
        <f>M2*L2</f>
        <v>4003450</v>
      </c>
      <c r="O2" s="43">
        <f>Electricity!D6</f>
        <v>1035.78</v>
      </c>
    </row>
    <row r="3" spans="1:15" x14ac:dyDescent="0.25">
      <c r="A3" s="48" t="s">
        <v>44</v>
      </c>
      <c r="B3" s="45">
        <v>2</v>
      </c>
      <c r="C3" s="45">
        <v>11</v>
      </c>
      <c r="D3" s="45">
        <v>2021</v>
      </c>
      <c r="E3" s="43">
        <f>Electricity!G7</f>
        <v>25320</v>
      </c>
      <c r="F3" s="43">
        <f>Electricity!E7</f>
        <v>4480</v>
      </c>
      <c r="G3" s="43">
        <f>Electricity!F7</f>
        <v>20840</v>
      </c>
      <c r="H3" s="47">
        <v>1553.67</v>
      </c>
      <c r="I3" s="57" t="s">
        <v>28</v>
      </c>
      <c r="J3" s="106">
        <f>Electricity!L7</f>
        <v>29231203.123199996</v>
      </c>
      <c r="K3" s="43">
        <f t="shared" ref="K3:K31" si="0">J3/E3</f>
        <v>1154.4708974407581</v>
      </c>
      <c r="L3" s="58">
        <f>Water!G6</f>
        <v>300</v>
      </c>
      <c r="M3" s="58">
        <v>12550</v>
      </c>
      <c r="N3" s="106">
        <f t="shared" ref="N3:N31" si="1">M3*L3</f>
        <v>3765000</v>
      </c>
      <c r="O3" s="43">
        <f>Electricity!D7</f>
        <v>1035.78</v>
      </c>
    </row>
    <row r="4" spans="1:15" x14ac:dyDescent="0.25">
      <c r="A4" s="48" t="s">
        <v>44</v>
      </c>
      <c r="B4" s="45">
        <v>3</v>
      </c>
      <c r="C4" s="45">
        <v>11</v>
      </c>
      <c r="D4" s="45">
        <v>2021</v>
      </c>
      <c r="E4" s="43">
        <f>Electricity!G8</f>
        <v>25840</v>
      </c>
      <c r="F4" s="43">
        <f>Electricity!E8</f>
        <v>4440</v>
      </c>
      <c r="G4" s="43">
        <f>Electricity!F8</f>
        <v>21400</v>
      </c>
      <c r="H4" s="47">
        <v>1553.67</v>
      </c>
      <c r="I4" s="57" t="s">
        <v>28</v>
      </c>
      <c r="J4" s="106">
        <f>Electricity!L8</f>
        <v>29761522.483200002</v>
      </c>
      <c r="K4" s="43">
        <f t="shared" si="0"/>
        <v>1151.7617060061921</v>
      </c>
      <c r="L4" s="58">
        <f>Water!G7</f>
        <v>279</v>
      </c>
      <c r="M4" s="58">
        <v>12550</v>
      </c>
      <c r="N4" s="106">
        <f t="shared" si="1"/>
        <v>3501450</v>
      </c>
      <c r="O4" s="43">
        <f>Electricity!D8</f>
        <v>1035.78</v>
      </c>
    </row>
    <row r="5" spans="1:15" x14ac:dyDescent="0.25">
      <c r="A5" s="48" t="s">
        <v>44</v>
      </c>
      <c r="B5" s="45">
        <v>4</v>
      </c>
      <c r="C5" s="45">
        <v>11</v>
      </c>
      <c r="D5" s="45">
        <v>2021</v>
      </c>
      <c r="E5" s="43">
        <f>Electricity!G9</f>
        <v>25200</v>
      </c>
      <c r="F5" s="43">
        <f>Electricity!E9</f>
        <v>4400</v>
      </c>
      <c r="G5" s="43">
        <f>Electricity!F9</f>
        <v>20800</v>
      </c>
      <c r="H5" s="47">
        <v>1553.67</v>
      </c>
      <c r="I5" s="57" t="s">
        <v>28</v>
      </c>
      <c r="J5" s="106">
        <f>Electricity!L9</f>
        <v>29061500.927999999</v>
      </c>
      <c r="K5" s="43">
        <f t="shared" si="0"/>
        <v>1153.2341638095238</v>
      </c>
      <c r="L5" s="58">
        <f>Water!G8</f>
        <v>358</v>
      </c>
      <c r="M5" s="58">
        <v>12550</v>
      </c>
      <c r="N5" s="106">
        <f t="shared" si="1"/>
        <v>4492900</v>
      </c>
      <c r="O5" s="43">
        <f>Electricity!D9</f>
        <v>1035.78</v>
      </c>
    </row>
    <row r="6" spans="1:15" x14ac:dyDescent="0.25">
      <c r="A6" s="48" t="s">
        <v>44</v>
      </c>
      <c r="B6" s="45">
        <v>5</v>
      </c>
      <c r="C6" s="45">
        <v>11</v>
      </c>
      <c r="D6" s="45">
        <v>2021</v>
      </c>
      <c r="E6" s="43">
        <f>Electricity!G10</f>
        <v>26440</v>
      </c>
      <c r="F6" s="43">
        <f>Electricity!E10</f>
        <v>4640</v>
      </c>
      <c r="G6" s="43">
        <f>Electricity!F10</f>
        <v>21800</v>
      </c>
      <c r="H6" s="47">
        <v>1553.67</v>
      </c>
      <c r="I6" s="57" t="s">
        <v>28</v>
      </c>
      <c r="J6" s="106">
        <f>Electricity!L10</f>
        <v>30503969.587200001</v>
      </c>
      <c r="K6" s="43">
        <f t="shared" si="0"/>
        <v>1153.7053550378216</v>
      </c>
      <c r="L6" s="58">
        <f>Water!G9</f>
        <v>354</v>
      </c>
      <c r="M6" s="58">
        <v>12550</v>
      </c>
      <c r="N6" s="106">
        <f t="shared" si="1"/>
        <v>4442700</v>
      </c>
      <c r="O6" s="43">
        <f>Electricity!D10</f>
        <v>1035.78</v>
      </c>
    </row>
    <row r="7" spans="1:15" x14ac:dyDescent="0.25">
      <c r="A7" s="48" t="s">
        <v>44</v>
      </c>
      <c r="B7" s="45">
        <v>6</v>
      </c>
      <c r="C7" s="45">
        <v>11</v>
      </c>
      <c r="D7" s="45">
        <v>2021</v>
      </c>
      <c r="E7" s="43">
        <f>Electricity!G11</f>
        <v>24760</v>
      </c>
      <c r="F7" s="43">
        <f>Electricity!E11</f>
        <v>4320</v>
      </c>
      <c r="G7" s="43">
        <f>Electricity!F11</f>
        <v>20440</v>
      </c>
      <c r="H7" s="47">
        <v>1553.67</v>
      </c>
      <c r="I7" s="57" t="s">
        <v>28</v>
      </c>
      <c r="J7" s="106">
        <f>Electricity!L11</f>
        <v>28552394.342399999</v>
      </c>
      <c r="K7" s="43">
        <f t="shared" si="0"/>
        <v>1153.166168917609</v>
      </c>
      <c r="L7" s="58">
        <f>Water!G10</f>
        <v>303</v>
      </c>
      <c r="M7" s="58">
        <v>12550</v>
      </c>
      <c r="N7" s="106">
        <f t="shared" si="1"/>
        <v>3802650</v>
      </c>
      <c r="O7" s="43">
        <f>Electricity!D11</f>
        <v>1035.78</v>
      </c>
    </row>
    <row r="8" spans="1:15" x14ac:dyDescent="0.25">
      <c r="A8" s="48" t="s">
        <v>44</v>
      </c>
      <c r="B8" s="45">
        <v>7</v>
      </c>
      <c r="C8" s="45">
        <v>11</v>
      </c>
      <c r="D8" s="45">
        <v>2021</v>
      </c>
      <c r="E8" s="43">
        <f>Electricity!G12</f>
        <v>22880</v>
      </c>
      <c r="F8" s="43">
        <f>Electricity!E12</f>
        <v>4400</v>
      </c>
      <c r="G8" s="43">
        <f>Electricity!F12</f>
        <v>18480</v>
      </c>
      <c r="H8" s="47">
        <v>1553.67</v>
      </c>
      <c r="I8" s="57" t="s">
        <v>28</v>
      </c>
      <c r="J8" s="106">
        <f>Electricity!L12</f>
        <v>26600819.097599998</v>
      </c>
      <c r="K8" s="43">
        <f t="shared" si="0"/>
        <v>1162.6232123076923</v>
      </c>
      <c r="L8" s="58">
        <f>Water!G11</f>
        <v>383</v>
      </c>
      <c r="M8" s="58">
        <v>12550</v>
      </c>
      <c r="N8" s="106">
        <f t="shared" si="1"/>
        <v>4806650</v>
      </c>
      <c r="O8" s="43">
        <f>Electricity!D12</f>
        <v>1035.78</v>
      </c>
    </row>
    <row r="9" spans="1:15" x14ac:dyDescent="0.25">
      <c r="A9" s="48" t="s">
        <v>44</v>
      </c>
      <c r="B9" s="45">
        <v>8</v>
      </c>
      <c r="C9" s="45">
        <v>11</v>
      </c>
      <c r="D9" s="45">
        <v>2021</v>
      </c>
      <c r="E9" s="43">
        <f>Electricity!G13</f>
        <v>23920</v>
      </c>
      <c r="F9" s="43">
        <f>Electricity!E13</f>
        <v>4160</v>
      </c>
      <c r="G9" s="43">
        <f>Electricity!F13</f>
        <v>19760</v>
      </c>
      <c r="H9" s="47">
        <v>1553.67</v>
      </c>
      <c r="I9" s="57" t="s">
        <v>28</v>
      </c>
      <c r="J9" s="106">
        <f>Electricity!L13</f>
        <v>27576606.719999999</v>
      </c>
      <c r="K9" s="43">
        <f t="shared" si="0"/>
        <v>1152.8681739130434</v>
      </c>
      <c r="L9" s="58">
        <f>Water!G12</f>
        <v>349</v>
      </c>
      <c r="M9" s="58">
        <v>12550</v>
      </c>
      <c r="N9" s="106">
        <f t="shared" si="1"/>
        <v>4379950</v>
      </c>
      <c r="O9" s="43">
        <f>Electricity!D13</f>
        <v>1035.78</v>
      </c>
    </row>
    <row r="10" spans="1:15" x14ac:dyDescent="0.25">
      <c r="A10" s="48" t="s">
        <v>44</v>
      </c>
      <c r="B10" s="45">
        <v>9</v>
      </c>
      <c r="C10" s="45">
        <v>11</v>
      </c>
      <c r="D10" s="45">
        <v>2021</v>
      </c>
      <c r="E10" s="43">
        <f>Electricity!G14</f>
        <v>24440</v>
      </c>
      <c r="F10" s="43">
        <f>Electricity!E14</f>
        <v>4440</v>
      </c>
      <c r="G10" s="43">
        <f>Electricity!F14</f>
        <v>20000</v>
      </c>
      <c r="H10" s="47">
        <v>1553.67</v>
      </c>
      <c r="I10" s="57" t="s">
        <v>28</v>
      </c>
      <c r="J10" s="106">
        <f>Electricity!L14</f>
        <v>28276628.275200002</v>
      </c>
      <c r="K10" s="43">
        <f t="shared" si="0"/>
        <v>1156.9815169885435</v>
      </c>
      <c r="L10" s="58">
        <f>Water!G13</f>
        <v>302</v>
      </c>
      <c r="M10" s="58">
        <v>12550</v>
      </c>
      <c r="N10" s="106">
        <f t="shared" si="1"/>
        <v>3790100</v>
      </c>
      <c r="O10" s="43">
        <f>Electricity!D14</f>
        <v>1035.78</v>
      </c>
    </row>
    <row r="11" spans="1:15" x14ac:dyDescent="0.25">
      <c r="A11" s="48" t="s">
        <v>44</v>
      </c>
      <c r="B11" s="45">
        <v>10</v>
      </c>
      <c r="C11" s="45">
        <v>11</v>
      </c>
      <c r="D11" s="45">
        <v>2021</v>
      </c>
      <c r="E11" s="43">
        <f>Electricity!G15</f>
        <v>24240</v>
      </c>
      <c r="F11" s="43">
        <f>Electricity!E15</f>
        <v>4600</v>
      </c>
      <c r="G11" s="43">
        <f>Electricity!F15</f>
        <v>19640</v>
      </c>
      <c r="H11" s="47">
        <v>1553.67</v>
      </c>
      <c r="I11" s="57" t="s">
        <v>28</v>
      </c>
      <c r="J11" s="106">
        <f>Electricity!L15</f>
        <v>28149351.628800001</v>
      </c>
      <c r="K11" s="43">
        <f t="shared" si="0"/>
        <v>1161.2768823762376</v>
      </c>
      <c r="L11" s="58">
        <f>Water!G14</f>
        <v>430</v>
      </c>
      <c r="M11" s="58">
        <v>12550</v>
      </c>
      <c r="N11" s="106">
        <f t="shared" si="1"/>
        <v>5396500</v>
      </c>
      <c r="O11" s="43">
        <f>Electricity!D15</f>
        <v>1035.78</v>
      </c>
    </row>
    <row r="12" spans="1:15" x14ac:dyDescent="0.25">
      <c r="A12" s="48" t="s">
        <v>44</v>
      </c>
      <c r="B12" s="45">
        <v>11</v>
      </c>
      <c r="C12" s="45">
        <v>11</v>
      </c>
      <c r="D12" s="45">
        <v>2021</v>
      </c>
      <c r="E12" s="43">
        <f>Electricity!G16</f>
        <v>25640</v>
      </c>
      <c r="F12" s="43">
        <f>Electricity!E16</f>
        <v>4480</v>
      </c>
      <c r="G12" s="43">
        <f>Electricity!F16</f>
        <v>21160</v>
      </c>
      <c r="H12" s="47">
        <v>1553.67</v>
      </c>
      <c r="I12" s="57" t="s">
        <v>28</v>
      </c>
      <c r="J12" s="106">
        <f>Electricity!L16</f>
        <v>29570607.513599999</v>
      </c>
      <c r="K12" s="43">
        <f t="shared" si="0"/>
        <v>1153.2998250234009</v>
      </c>
      <c r="L12" s="58">
        <f>Water!G15</f>
        <v>384</v>
      </c>
      <c r="M12" s="58">
        <v>12550</v>
      </c>
      <c r="N12" s="106">
        <f t="shared" si="1"/>
        <v>4819200</v>
      </c>
      <c r="O12" s="43">
        <f>Electricity!D16</f>
        <v>1035.78</v>
      </c>
    </row>
    <row r="13" spans="1:15" x14ac:dyDescent="0.25">
      <c r="A13" s="48" t="s">
        <v>44</v>
      </c>
      <c r="B13" s="45">
        <v>12</v>
      </c>
      <c r="C13" s="45">
        <v>11</v>
      </c>
      <c r="D13" s="45">
        <v>2021</v>
      </c>
      <c r="E13" s="43">
        <f>Electricity!G17</f>
        <v>24360</v>
      </c>
      <c r="F13" s="43">
        <f>Electricity!E17</f>
        <v>4400</v>
      </c>
      <c r="G13" s="43">
        <f>Electricity!F17</f>
        <v>19960</v>
      </c>
      <c r="H13" s="47">
        <v>1553.67</v>
      </c>
      <c r="I13" s="57" t="s">
        <v>28</v>
      </c>
      <c r="J13" s="106">
        <f>Electricity!L17</f>
        <v>28170564.403200001</v>
      </c>
      <c r="K13" s="43">
        <f t="shared" si="0"/>
        <v>1156.4271101477832</v>
      </c>
      <c r="L13" s="58">
        <f>Water!G16</f>
        <v>316</v>
      </c>
      <c r="M13" s="58">
        <v>12550</v>
      </c>
      <c r="N13" s="106">
        <f t="shared" si="1"/>
        <v>3965800</v>
      </c>
      <c r="O13" s="43">
        <f>Electricity!D17</f>
        <v>1035.78</v>
      </c>
    </row>
    <row r="14" spans="1:15" x14ac:dyDescent="0.25">
      <c r="A14" s="48" t="s">
        <v>44</v>
      </c>
      <c r="B14" s="45">
        <v>13</v>
      </c>
      <c r="C14" s="45">
        <v>11</v>
      </c>
      <c r="D14" s="45">
        <v>2021</v>
      </c>
      <c r="E14" s="43">
        <f>Electricity!G18</f>
        <v>25000</v>
      </c>
      <c r="F14" s="43">
        <f>Electricity!E18</f>
        <v>4120</v>
      </c>
      <c r="G14" s="43">
        <f>Electricity!F18</f>
        <v>20880</v>
      </c>
      <c r="H14" s="47">
        <v>1553.67</v>
      </c>
      <c r="I14" s="57" t="s">
        <v>28</v>
      </c>
      <c r="J14" s="106">
        <f>Electricity!L18</f>
        <v>28700883.763199996</v>
      </c>
      <c r="K14" s="43">
        <f t="shared" si="0"/>
        <v>1148.0353505279998</v>
      </c>
      <c r="L14" s="58">
        <f>Water!G17</f>
        <v>406</v>
      </c>
      <c r="M14" s="58">
        <v>12550</v>
      </c>
      <c r="N14" s="106">
        <f t="shared" si="1"/>
        <v>5095300</v>
      </c>
      <c r="O14" s="43">
        <f>Electricity!D18</f>
        <v>1035.78</v>
      </c>
    </row>
    <row r="15" spans="1:15" x14ac:dyDescent="0.25">
      <c r="A15" s="48" t="s">
        <v>44</v>
      </c>
      <c r="B15" s="45">
        <v>14</v>
      </c>
      <c r="C15" s="45">
        <v>11</v>
      </c>
      <c r="D15" s="45">
        <v>2021</v>
      </c>
      <c r="E15" s="43">
        <f>Electricity!G19</f>
        <v>25000</v>
      </c>
      <c r="F15" s="43">
        <f>Electricity!E19</f>
        <v>4200</v>
      </c>
      <c r="G15" s="43">
        <f>Electricity!F19</f>
        <v>20800</v>
      </c>
      <c r="H15" s="47">
        <v>1553.67</v>
      </c>
      <c r="I15" s="57" t="s">
        <v>28</v>
      </c>
      <c r="J15" s="106">
        <f>Electricity!L19</f>
        <v>28743309.311999999</v>
      </c>
      <c r="K15" s="43">
        <f t="shared" si="0"/>
        <v>1149.7323724799999</v>
      </c>
      <c r="L15" s="58">
        <f>Water!G18</f>
        <v>328</v>
      </c>
      <c r="M15" s="58">
        <v>12550</v>
      </c>
      <c r="N15" s="106">
        <f t="shared" si="1"/>
        <v>4116400</v>
      </c>
      <c r="O15" s="43">
        <f>Electricity!D19</f>
        <v>1035.78</v>
      </c>
    </row>
    <row r="16" spans="1:15" x14ac:dyDescent="0.25">
      <c r="A16" s="48" t="s">
        <v>44</v>
      </c>
      <c r="B16" s="45">
        <v>15</v>
      </c>
      <c r="C16" s="45">
        <v>11</v>
      </c>
      <c r="D16" s="45">
        <v>2021</v>
      </c>
      <c r="E16" s="43">
        <f>Electricity!G20</f>
        <v>23760</v>
      </c>
      <c r="F16" s="43">
        <f>Electricity!E20</f>
        <v>4400</v>
      </c>
      <c r="G16" s="43">
        <f>Electricity!F20</f>
        <v>19360</v>
      </c>
      <c r="H16" s="47">
        <v>1553.67</v>
      </c>
      <c r="I16" s="57" t="s">
        <v>28</v>
      </c>
      <c r="J16" s="106">
        <f>Electricity!L20</f>
        <v>27534181.1712</v>
      </c>
      <c r="K16" s="43">
        <f t="shared" si="0"/>
        <v>1158.8460088888889</v>
      </c>
      <c r="L16" s="58">
        <f>Water!G19</f>
        <v>404</v>
      </c>
      <c r="M16" s="58">
        <v>12550</v>
      </c>
      <c r="N16" s="106">
        <f t="shared" si="1"/>
        <v>5070200</v>
      </c>
      <c r="O16" s="43">
        <f>Electricity!D20</f>
        <v>1035.78</v>
      </c>
    </row>
    <row r="17" spans="1:15" x14ac:dyDescent="0.25">
      <c r="A17" s="48" t="s">
        <v>44</v>
      </c>
      <c r="B17" s="45">
        <v>16</v>
      </c>
      <c r="C17" s="45">
        <v>11</v>
      </c>
      <c r="D17" s="45">
        <v>2021</v>
      </c>
      <c r="E17" s="43">
        <f>Electricity!G21</f>
        <v>24160</v>
      </c>
      <c r="F17" s="43">
        <f>Electricity!E21</f>
        <v>4320</v>
      </c>
      <c r="G17" s="43">
        <f>Electricity!F21</f>
        <v>19840</v>
      </c>
      <c r="H17" s="47">
        <v>1553.67</v>
      </c>
      <c r="I17" s="57" t="s">
        <v>28</v>
      </c>
      <c r="J17" s="106">
        <f>Electricity!L21</f>
        <v>27916011.110399999</v>
      </c>
      <c r="K17" s="43">
        <f t="shared" si="0"/>
        <v>1155.46403602649</v>
      </c>
      <c r="L17" s="58">
        <f>Water!G20</f>
        <v>369</v>
      </c>
      <c r="M17" s="58">
        <v>12550</v>
      </c>
      <c r="N17" s="106">
        <f t="shared" si="1"/>
        <v>4630950</v>
      </c>
      <c r="O17" s="43">
        <f>Electricity!D21</f>
        <v>1035.78</v>
      </c>
    </row>
    <row r="18" spans="1:15" x14ac:dyDescent="0.25">
      <c r="A18" s="48" t="s">
        <v>44</v>
      </c>
      <c r="B18" s="45">
        <v>17</v>
      </c>
      <c r="C18" s="45">
        <v>11</v>
      </c>
      <c r="D18" s="45">
        <v>2021</v>
      </c>
      <c r="E18" s="43">
        <f>Electricity!G22</f>
        <v>24400</v>
      </c>
      <c r="F18" s="43">
        <f>Electricity!E22</f>
        <v>4240</v>
      </c>
      <c r="G18" s="43">
        <f>Electricity!F22</f>
        <v>20160</v>
      </c>
      <c r="H18" s="47">
        <v>1553.67</v>
      </c>
      <c r="I18" s="57" t="s">
        <v>28</v>
      </c>
      <c r="J18" s="106">
        <f>Electricity!L22</f>
        <v>28128138.854400001</v>
      </c>
      <c r="K18" s="43">
        <f t="shared" si="0"/>
        <v>1152.7925760000001</v>
      </c>
      <c r="L18" s="58">
        <f>Water!G21</f>
        <v>316</v>
      </c>
      <c r="M18" s="58">
        <v>12550</v>
      </c>
      <c r="N18" s="106">
        <f t="shared" si="1"/>
        <v>3965800</v>
      </c>
      <c r="O18" s="43">
        <f>Electricity!D22</f>
        <v>1035.78</v>
      </c>
    </row>
    <row r="19" spans="1:15" x14ac:dyDescent="0.25">
      <c r="A19" s="48" t="s">
        <v>44</v>
      </c>
      <c r="B19" s="45">
        <v>18</v>
      </c>
      <c r="C19" s="45">
        <v>11</v>
      </c>
      <c r="D19" s="45">
        <v>2021</v>
      </c>
      <c r="E19" s="43">
        <f>Electricity!G23</f>
        <v>26960</v>
      </c>
      <c r="F19" s="43">
        <f>Electricity!E23</f>
        <v>4800</v>
      </c>
      <c r="G19" s="43">
        <f>Electricity!F23</f>
        <v>22160</v>
      </c>
      <c r="H19" s="47">
        <v>1553.67</v>
      </c>
      <c r="I19" s="57" t="s">
        <v>28</v>
      </c>
      <c r="J19" s="106">
        <f>Electricity!L23</f>
        <v>31140352.819200002</v>
      </c>
      <c r="K19" s="43">
        <f t="shared" si="0"/>
        <v>1155.0575971513354</v>
      </c>
      <c r="L19" s="58">
        <f>Water!G22</f>
        <v>422</v>
      </c>
      <c r="M19" s="58">
        <v>12550</v>
      </c>
      <c r="N19" s="106">
        <f t="shared" si="1"/>
        <v>5296100</v>
      </c>
      <c r="O19" s="43">
        <f>Electricity!D23</f>
        <v>1035.78</v>
      </c>
    </row>
    <row r="20" spans="1:15" x14ac:dyDescent="0.25">
      <c r="A20" s="48" t="s">
        <v>44</v>
      </c>
      <c r="B20" s="45">
        <v>19</v>
      </c>
      <c r="C20" s="45">
        <v>11</v>
      </c>
      <c r="D20" s="45">
        <v>2021</v>
      </c>
      <c r="E20" s="43">
        <f>Electricity!G24</f>
        <v>26840</v>
      </c>
      <c r="F20" s="43">
        <f>Electricity!E24</f>
        <v>5560</v>
      </c>
      <c r="G20" s="43">
        <f>Electricity!F24</f>
        <v>21280</v>
      </c>
      <c r="H20" s="47">
        <v>1553.67</v>
      </c>
      <c r="I20" s="57" t="s">
        <v>28</v>
      </c>
      <c r="J20" s="106">
        <f>Electricity!L24</f>
        <v>31416118.886399999</v>
      </c>
      <c r="K20" s="43">
        <f t="shared" si="0"/>
        <v>1170.4962327272726</v>
      </c>
      <c r="L20" s="58">
        <f>Water!G23</f>
        <v>345</v>
      </c>
      <c r="M20" s="58">
        <v>12550</v>
      </c>
      <c r="N20" s="106">
        <f t="shared" si="1"/>
        <v>4329750</v>
      </c>
      <c r="O20" s="43">
        <f>Electricity!D24</f>
        <v>1035.78</v>
      </c>
    </row>
    <row r="21" spans="1:15" x14ac:dyDescent="0.25">
      <c r="A21" s="48" t="s">
        <v>44</v>
      </c>
      <c r="B21" s="45">
        <v>20</v>
      </c>
      <c r="C21" s="45">
        <v>11</v>
      </c>
      <c r="D21" s="45">
        <v>2021</v>
      </c>
      <c r="E21" s="43">
        <f>Electricity!G25</f>
        <v>23320</v>
      </c>
      <c r="F21" s="43">
        <f>Electricity!E25</f>
        <v>3040</v>
      </c>
      <c r="G21" s="43">
        <f>Electricity!F25</f>
        <v>20280</v>
      </c>
      <c r="H21" s="47">
        <v>1553.67</v>
      </c>
      <c r="I21" s="57" t="s">
        <v>28</v>
      </c>
      <c r="J21" s="106">
        <f>Electricity!L25</f>
        <v>26346265.8048</v>
      </c>
      <c r="K21" s="43">
        <f t="shared" si="0"/>
        <v>1129.7712609262435</v>
      </c>
      <c r="L21" s="58">
        <f>Water!G24</f>
        <v>350</v>
      </c>
      <c r="M21" s="58">
        <v>12550</v>
      </c>
      <c r="N21" s="106">
        <f t="shared" si="1"/>
        <v>4392500</v>
      </c>
      <c r="O21" s="43">
        <f>Electricity!D25</f>
        <v>1035.78</v>
      </c>
    </row>
    <row r="22" spans="1:15" x14ac:dyDescent="0.25">
      <c r="A22" s="48" t="s">
        <v>44</v>
      </c>
      <c r="B22" s="45">
        <v>21</v>
      </c>
      <c r="C22" s="45">
        <v>11</v>
      </c>
      <c r="D22" s="45">
        <v>2021</v>
      </c>
      <c r="E22" s="43">
        <f>Electricity!G26</f>
        <v>23360</v>
      </c>
      <c r="F22" s="43">
        <f>Electricity!E26</f>
        <v>4240</v>
      </c>
      <c r="G22" s="43">
        <f>Electricity!F26</f>
        <v>19120</v>
      </c>
      <c r="H22" s="47">
        <v>1553.67</v>
      </c>
      <c r="I22" s="57" t="s">
        <v>28</v>
      </c>
      <c r="J22" s="106">
        <f>Electricity!L26</f>
        <v>27025074.5856</v>
      </c>
      <c r="K22" s="43">
        <f t="shared" si="0"/>
        <v>1156.8953161643835</v>
      </c>
      <c r="L22" s="58">
        <f>Water!G25</f>
        <v>370</v>
      </c>
      <c r="M22" s="58">
        <v>12550</v>
      </c>
      <c r="N22" s="106">
        <f t="shared" si="1"/>
        <v>4643500</v>
      </c>
      <c r="O22" s="43">
        <f>Electricity!D26</f>
        <v>1035.78</v>
      </c>
    </row>
    <row r="23" spans="1:15" x14ac:dyDescent="0.25">
      <c r="A23" s="48" t="s">
        <v>44</v>
      </c>
      <c r="B23" s="45">
        <v>22</v>
      </c>
      <c r="C23" s="45">
        <v>11</v>
      </c>
      <c r="D23" s="45">
        <v>2021</v>
      </c>
      <c r="E23" s="43">
        <f>Electricity!G27</f>
        <v>24560</v>
      </c>
      <c r="F23" s="43">
        <f>Electricity!E27</f>
        <v>4360</v>
      </c>
      <c r="G23" s="43">
        <f>Electricity!F27</f>
        <v>20200</v>
      </c>
      <c r="H23" s="47">
        <v>1553.67</v>
      </c>
      <c r="I23" s="57" t="s">
        <v>28</v>
      </c>
      <c r="J23" s="106">
        <f>Electricity!L27</f>
        <v>28361479.3728</v>
      </c>
      <c r="K23" s="43">
        <f t="shared" si="0"/>
        <v>1154.7833620846905</v>
      </c>
      <c r="L23" s="58">
        <f>Water!G26</f>
        <v>355</v>
      </c>
      <c r="M23" s="58">
        <v>12550</v>
      </c>
      <c r="N23" s="106">
        <f t="shared" si="1"/>
        <v>4455250</v>
      </c>
      <c r="O23" s="43">
        <f>Electricity!D27</f>
        <v>1035.78</v>
      </c>
    </row>
    <row r="24" spans="1:15" x14ac:dyDescent="0.25">
      <c r="A24" s="48" t="s">
        <v>44</v>
      </c>
      <c r="B24" s="45">
        <v>23</v>
      </c>
      <c r="C24" s="45">
        <v>11</v>
      </c>
      <c r="D24" s="45">
        <v>2021</v>
      </c>
      <c r="E24" s="43">
        <f>Electricity!G28</f>
        <v>25320</v>
      </c>
      <c r="F24" s="43">
        <f>Electricity!E28</f>
        <v>4600</v>
      </c>
      <c r="G24" s="43">
        <f>Electricity!F28</f>
        <v>20720</v>
      </c>
      <c r="H24" s="47">
        <v>1553.67</v>
      </c>
      <c r="I24" s="57" t="s">
        <v>28</v>
      </c>
      <c r="J24" s="106">
        <f>Electricity!L28</f>
        <v>29294841.446399998</v>
      </c>
      <c r="K24" s="43">
        <f t="shared" si="0"/>
        <v>1156.9842593364929</v>
      </c>
      <c r="L24" s="58">
        <f>Water!G27</f>
        <v>299</v>
      </c>
      <c r="M24" s="58">
        <v>12550</v>
      </c>
      <c r="N24" s="106">
        <f t="shared" si="1"/>
        <v>3752450</v>
      </c>
      <c r="O24" s="43">
        <f>Electricity!D28</f>
        <v>1035.78</v>
      </c>
    </row>
    <row r="25" spans="1:15" x14ac:dyDescent="0.25">
      <c r="A25" s="48" t="s">
        <v>44</v>
      </c>
      <c r="B25" s="45">
        <v>24</v>
      </c>
      <c r="C25" s="45">
        <v>11</v>
      </c>
      <c r="D25" s="45">
        <v>2021</v>
      </c>
      <c r="E25" s="43">
        <f>Electricity!G29</f>
        <v>25240</v>
      </c>
      <c r="F25" s="43">
        <f>Electricity!E29</f>
        <v>4520</v>
      </c>
      <c r="G25" s="43">
        <f>Electricity!F29</f>
        <v>20720</v>
      </c>
      <c r="H25" s="47">
        <v>1553.67</v>
      </c>
      <c r="I25" s="57" t="s">
        <v>28</v>
      </c>
      <c r="J25" s="106">
        <f>Electricity!L29</f>
        <v>29167564.799999997</v>
      </c>
      <c r="K25" s="43">
        <f t="shared" si="0"/>
        <v>1155.6087480190174</v>
      </c>
      <c r="L25" s="58">
        <f>Water!G28</f>
        <v>387</v>
      </c>
      <c r="M25" s="58">
        <v>12550</v>
      </c>
      <c r="N25" s="106">
        <f t="shared" si="1"/>
        <v>4856850</v>
      </c>
      <c r="O25" s="43">
        <f>Electricity!D29</f>
        <v>1035.78</v>
      </c>
    </row>
    <row r="26" spans="1:15" x14ac:dyDescent="0.25">
      <c r="A26" s="48" t="s">
        <v>44</v>
      </c>
      <c r="B26" s="45">
        <v>25</v>
      </c>
      <c r="C26" s="45">
        <v>11</v>
      </c>
      <c r="D26" s="45">
        <v>2021</v>
      </c>
      <c r="E26" s="43">
        <f>Electricity!G30</f>
        <v>25800</v>
      </c>
      <c r="F26" s="43">
        <f>Electricity!E30</f>
        <v>4520</v>
      </c>
      <c r="G26" s="43">
        <f>Electricity!F30</f>
        <v>21280</v>
      </c>
      <c r="H26" s="47">
        <v>1553.67</v>
      </c>
      <c r="I26" s="57" t="s">
        <v>28</v>
      </c>
      <c r="J26" s="106">
        <f>Electricity!L30</f>
        <v>29761522.483199999</v>
      </c>
      <c r="K26" s="43">
        <f t="shared" si="0"/>
        <v>1153.5473830697674</v>
      </c>
      <c r="L26" s="58">
        <f>Water!G29</f>
        <v>378</v>
      </c>
      <c r="M26" s="58">
        <v>12550</v>
      </c>
      <c r="N26" s="106">
        <f t="shared" si="1"/>
        <v>4743900</v>
      </c>
      <c r="O26" s="43">
        <f>Electricity!D30</f>
        <v>1035.78</v>
      </c>
    </row>
    <row r="27" spans="1:15" x14ac:dyDescent="0.25">
      <c r="A27" s="48" t="s">
        <v>44</v>
      </c>
      <c r="B27" s="45">
        <v>26</v>
      </c>
      <c r="C27" s="45">
        <v>11</v>
      </c>
      <c r="D27" s="45">
        <v>2021</v>
      </c>
      <c r="E27" s="43">
        <f>Electricity!G31</f>
        <v>25840</v>
      </c>
      <c r="F27" s="43">
        <f>Electricity!E31</f>
        <v>4560</v>
      </c>
      <c r="G27" s="43">
        <f>Electricity!F31</f>
        <v>21280</v>
      </c>
      <c r="H27" s="47">
        <v>1553.67</v>
      </c>
      <c r="I27" s="57" t="s">
        <v>28</v>
      </c>
      <c r="J27" s="106">
        <f>Electricity!L31</f>
        <v>29825160.806399997</v>
      </c>
      <c r="K27" s="43">
        <f t="shared" si="0"/>
        <v>1154.2244894117646</v>
      </c>
      <c r="L27" s="58">
        <f>Water!G30</f>
        <v>326</v>
      </c>
      <c r="M27" s="58">
        <v>12550</v>
      </c>
      <c r="N27" s="106">
        <f t="shared" si="1"/>
        <v>4091300</v>
      </c>
      <c r="O27" s="43">
        <f>Electricity!D31</f>
        <v>1035.78</v>
      </c>
    </row>
    <row r="28" spans="1:15" x14ac:dyDescent="0.25">
      <c r="A28" s="48" t="s">
        <v>44</v>
      </c>
      <c r="B28" s="45">
        <v>27</v>
      </c>
      <c r="C28" s="45">
        <v>11</v>
      </c>
      <c r="D28" s="45">
        <v>2021</v>
      </c>
      <c r="E28" s="43">
        <f>Electricity!G32</f>
        <v>23720</v>
      </c>
      <c r="F28" s="43">
        <f>Electricity!E32</f>
        <v>4520</v>
      </c>
      <c r="G28" s="43">
        <f>Electricity!F32</f>
        <v>19200</v>
      </c>
      <c r="H28" s="47">
        <v>1553.67</v>
      </c>
      <c r="I28" s="57" t="s">
        <v>28</v>
      </c>
      <c r="J28" s="106">
        <f>Electricity!L32</f>
        <v>27555393.945599999</v>
      </c>
      <c r="K28" s="43">
        <f t="shared" si="0"/>
        <v>1161.6945170994941</v>
      </c>
      <c r="L28" s="58">
        <f>Water!G31</f>
        <v>397</v>
      </c>
      <c r="M28" s="58">
        <v>12550</v>
      </c>
      <c r="N28" s="106">
        <f t="shared" si="1"/>
        <v>4982350</v>
      </c>
      <c r="O28" s="43">
        <f>Electricity!D32</f>
        <v>1035.78</v>
      </c>
    </row>
    <row r="29" spans="1:15" x14ac:dyDescent="0.25">
      <c r="A29" s="48" t="s">
        <v>44</v>
      </c>
      <c r="B29" s="45">
        <v>28</v>
      </c>
      <c r="C29" s="45">
        <v>11</v>
      </c>
      <c r="D29" s="45">
        <v>2021</v>
      </c>
      <c r="E29" s="43">
        <f>Electricity!G33</f>
        <v>25240</v>
      </c>
      <c r="F29" s="43">
        <f>Electricity!E33</f>
        <v>4240</v>
      </c>
      <c r="G29" s="43">
        <f>Electricity!F33</f>
        <v>21000</v>
      </c>
      <c r="H29" s="47">
        <v>1553.67</v>
      </c>
      <c r="I29" s="57" t="s">
        <v>28</v>
      </c>
      <c r="J29" s="106">
        <f>Electricity!L33</f>
        <v>29019075.3792</v>
      </c>
      <c r="K29" s="43">
        <f t="shared" si="0"/>
        <v>1149.7256489381934</v>
      </c>
      <c r="L29" s="58">
        <f>Water!G32</f>
        <v>309</v>
      </c>
      <c r="M29" s="58">
        <v>12550</v>
      </c>
      <c r="N29" s="106">
        <f t="shared" si="1"/>
        <v>3877950</v>
      </c>
      <c r="O29" s="43">
        <f>Electricity!D33</f>
        <v>1035.78</v>
      </c>
    </row>
    <row r="30" spans="1:15" s="43" customFormat="1" x14ac:dyDescent="0.25">
      <c r="A30" s="48" t="s">
        <v>44</v>
      </c>
      <c r="B30" s="45">
        <v>29</v>
      </c>
      <c r="C30" s="45">
        <v>11</v>
      </c>
      <c r="D30" s="45">
        <v>2021</v>
      </c>
      <c r="E30" s="43">
        <f>Electricity!G34</f>
        <v>23040</v>
      </c>
      <c r="F30" s="43">
        <f>Electricity!E34</f>
        <v>4200</v>
      </c>
      <c r="G30" s="43">
        <f>Electricity!F34</f>
        <v>18840</v>
      </c>
      <c r="H30" s="47">
        <v>1553.67</v>
      </c>
      <c r="I30" s="57" t="s">
        <v>28</v>
      </c>
      <c r="J30" s="106">
        <f>Electricity!L34</f>
        <v>26664457.4208</v>
      </c>
      <c r="K30" s="43">
        <f t="shared" si="0"/>
        <v>1157.31152</v>
      </c>
      <c r="L30" s="58">
        <f>Water!G33</f>
        <v>368</v>
      </c>
      <c r="M30" s="58">
        <v>12550</v>
      </c>
      <c r="N30" s="106">
        <f t="shared" si="1"/>
        <v>4618400</v>
      </c>
      <c r="O30" s="43">
        <f>Electricity!D34</f>
        <v>1035.78</v>
      </c>
    </row>
    <row r="31" spans="1:15" s="43" customFormat="1" x14ac:dyDescent="0.25">
      <c r="A31" s="48" t="s">
        <v>44</v>
      </c>
      <c r="B31" s="45">
        <v>30</v>
      </c>
      <c r="C31" s="45">
        <v>11</v>
      </c>
      <c r="D31" s="45">
        <v>2021</v>
      </c>
      <c r="E31" s="43">
        <f>Electricity!G35</f>
        <v>25560</v>
      </c>
      <c r="F31" s="43">
        <f>Electricity!E35</f>
        <v>4560</v>
      </c>
      <c r="G31" s="43">
        <f>Electricity!F35</f>
        <v>21000</v>
      </c>
      <c r="H31" s="47">
        <v>1553.67</v>
      </c>
      <c r="I31" s="57" t="s">
        <v>28</v>
      </c>
      <c r="J31" s="106">
        <f>Electricity!L35</f>
        <v>29528181.9648</v>
      </c>
      <c r="K31" s="43">
        <f t="shared" si="0"/>
        <v>1155.2496856338028</v>
      </c>
      <c r="L31" s="58">
        <f>Water!G34</f>
        <v>330</v>
      </c>
      <c r="M31" s="58">
        <v>12550</v>
      </c>
      <c r="N31" s="106">
        <f t="shared" si="1"/>
        <v>4141500</v>
      </c>
      <c r="O31" s="43">
        <f>Electricity!D35</f>
        <v>1035.78</v>
      </c>
    </row>
    <row r="32" spans="1:15" s="43" customFormat="1" x14ac:dyDescent="0.25">
      <c r="A32" s="44"/>
      <c r="B32" s="46"/>
      <c r="C32" s="46"/>
      <c r="D32" s="45"/>
      <c r="I32" s="47"/>
      <c r="J32" s="47"/>
      <c r="K32" s="47"/>
      <c r="L32" s="47"/>
      <c r="M32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7"/>
  <sheetViews>
    <sheetView view="pageBreakPreview" zoomScale="80" zoomScaleNormal="80" zoomScaleSheetLayoutView="80" workbookViewId="0">
      <pane ySplit="4" topLeftCell="A31" activePane="bottomLeft" state="frozen"/>
      <selection pane="bottomLeft" activeCell="C38" sqref="C38:C39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37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33</v>
      </c>
      <c r="D2" s="125" t="s">
        <v>9</v>
      </c>
      <c r="E2" s="128" t="s">
        <v>38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13</v>
      </c>
      <c r="G3" s="24" t="s">
        <v>16</v>
      </c>
      <c r="H3" s="131" t="s">
        <v>17</v>
      </c>
      <c r="I3" s="132"/>
      <c r="J3" s="133"/>
      <c r="K3" s="116" t="s">
        <v>35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44501</v>
      </c>
      <c r="C6" s="59">
        <v>159</v>
      </c>
      <c r="D6" s="87">
        <v>1035.78</v>
      </c>
      <c r="E6" s="115">
        <v>4480</v>
      </c>
      <c r="F6" s="115">
        <v>20240</v>
      </c>
      <c r="G6" s="80">
        <f>F6+E6</f>
        <v>24720</v>
      </c>
      <c r="H6" s="81">
        <f t="shared" ref="H6:H33" si="0">E6*1.5*D6</f>
        <v>6960441.5999999996</v>
      </c>
      <c r="I6" s="81">
        <f t="shared" ref="I6:I33" si="1">F6*D6</f>
        <v>20964187.199999999</v>
      </c>
      <c r="J6" s="81">
        <f t="shared" ref="J6:J30" si="2">I6+H6</f>
        <v>27924628.799999997</v>
      </c>
      <c r="K6" s="81">
        <f>J6*0.024</f>
        <v>670191.09119999991</v>
      </c>
      <c r="L6" s="104">
        <f>J6+K6</f>
        <v>28594819.891199999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44502</v>
      </c>
      <c r="C7" s="59">
        <v>159</v>
      </c>
      <c r="D7" s="87">
        <v>1035.78</v>
      </c>
      <c r="E7" s="115">
        <v>4480</v>
      </c>
      <c r="F7" s="115">
        <v>20840</v>
      </c>
      <c r="G7" s="80">
        <f t="shared" ref="G7:G33" si="3">F7+E7</f>
        <v>25320</v>
      </c>
      <c r="H7" s="81">
        <f t="shared" si="0"/>
        <v>6960441.5999999996</v>
      </c>
      <c r="I7" s="81">
        <f t="shared" si="1"/>
        <v>21585655.199999999</v>
      </c>
      <c r="J7" s="81">
        <f t="shared" si="2"/>
        <v>28546096.799999997</v>
      </c>
      <c r="K7" s="81">
        <f t="shared" ref="K7:K35" si="4">J7*0.024</f>
        <v>685106.32319999998</v>
      </c>
      <c r="L7" s="104">
        <f>J7+K7</f>
        <v>29231203.123199996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44503</v>
      </c>
      <c r="C8" s="59">
        <v>159</v>
      </c>
      <c r="D8" s="87">
        <v>1035.78</v>
      </c>
      <c r="E8" s="115">
        <v>4440</v>
      </c>
      <c r="F8" s="115">
        <v>21400</v>
      </c>
      <c r="G8" s="80">
        <f t="shared" si="3"/>
        <v>25840</v>
      </c>
      <c r="H8" s="81">
        <f t="shared" si="0"/>
        <v>6898294.7999999998</v>
      </c>
      <c r="I8" s="81">
        <f t="shared" si="1"/>
        <v>22165692</v>
      </c>
      <c r="J8" s="81">
        <f t="shared" si="2"/>
        <v>29063986.800000001</v>
      </c>
      <c r="K8" s="81">
        <f t="shared" si="4"/>
        <v>697535.68320000009</v>
      </c>
      <c r="L8" s="104">
        <f t="shared" ref="L8:L30" si="5">J8+K8</f>
        <v>29761522.483200002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44504</v>
      </c>
      <c r="C9" s="59">
        <v>159</v>
      </c>
      <c r="D9" s="87">
        <v>1035.78</v>
      </c>
      <c r="E9" s="115">
        <v>4400</v>
      </c>
      <c r="F9" s="115">
        <v>20800</v>
      </c>
      <c r="G9" s="80">
        <f t="shared" si="3"/>
        <v>25200</v>
      </c>
      <c r="H9" s="81">
        <f t="shared" si="0"/>
        <v>6836148</v>
      </c>
      <c r="I9" s="81">
        <f t="shared" si="1"/>
        <v>21544224</v>
      </c>
      <c r="J9" s="81">
        <f t="shared" si="2"/>
        <v>28380372</v>
      </c>
      <c r="K9" s="81">
        <f t="shared" si="4"/>
        <v>681128.92799999996</v>
      </c>
      <c r="L9" s="104">
        <f t="shared" si="5"/>
        <v>29061500.927999999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44505</v>
      </c>
      <c r="C10" s="59">
        <v>159</v>
      </c>
      <c r="D10" s="87">
        <v>1035.78</v>
      </c>
      <c r="E10" s="115">
        <v>4640</v>
      </c>
      <c r="F10" s="115">
        <v>21800</v>
      </c>
      <c r="G10" s="80">
        <f t="shared" si="3"/>
        <v>26440</v>
      </c>
      <c r="H10" s="81">
        <f t="shared" si="0"/>
        <v>7209028.7999999998</v>
      </c>
      <c r="I10" s="81">
        <f t="shared" si="1"/>
        <v>22580004</v>
      </c>
      <c r="J10" s="81">
        <f t="shared" si="2"/>
        <v>29789032.800000001</v>
      </c>
      <c r="K10" s="81">
        <f t="shared" si="4"/>
        <v>714936.78720000002</v>
      </c>
      <c r="L10" s="104">
        <f t="shared" si="5"/>
        <v>30503969.587200001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44506</v>
      </c>
      <c r="C11" s="59">
        <v>159</v>
      </c>
      <c r="D11" s="87">
        <v>1035.78</v>
      </c>
      <c r="E11" s="115">
        <v>4320</v>
      </c>
      <c r="F11" s="115">
        <v>20440</v>
      </c>
      <c r="G11" s="80">
        <f t="shared" si="3"/>
        <v>24760</v>
      </c>
      <c r="H11" s="81">
        <f t="shared" si="0"/>
        <v>6711854.3999999994</v>
      </c>
      <c r="I11" s="81">
        <f t="shared" si="1"/>
        <v>21171343.199999999</v>
      </c>
      <c r="J11" s="81">
        <f t="shared" si="2"/>
        <v>27883197.599999998</v>
      </c>
      <c r="K11" s="81">
        <f t="shared" si="4"/>
        <v>669196.74239999999</v>
      </c>
      <c r="L11" s="104">
        <f t="shared" si="5"/>
        <v>28552394.342399999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44507</v>
      </c>
      <c r="C12" s="59">
        <v>159</v>
      </c>
      <c r="D12" s="87">
        <v>1035.78</v>
      </c>
      <c r="E12" s="115">
        <v>4400</v>
      </c>
      <c r="F12" s="115">
        <v>18480</v>
      </c>
      <c r="G12" s="80">
        <f t="shared" si="3"/>
        <v>22880</v>
      </c>
      <c r="H12" s="81">
        <f t="shared" si="0"/>
        <v>6836148</v>
      </c>
      <c r="I12" s="81">
        <f t="shared" si="1"/>
        <v>19141214.399999999</v>
      </c>
      <c r="J12" s="81">
        <f t="shared" si="2"/>
        <v>25977362.399999999</v>
      </c>
      <c r="K12" s="81">
        <f t="shared" si="4"/>
        <v>623456.69759999996</v>
      </c>
      <c r="L12" s="104">
        <f t="shared" si="5"/>
        <v>26600819.097599998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44508</v>
      </c>
      <c r="C13" s="59">
        <v>159</v>
      </c>
      <c r="D13" s="87">
        <v>1035.78</v>
      </c>
      <c r="E13" s="115">
        <v>4160</v>
      </c>
      <c r="F13" s="115">
        <v>19760</v>
      </c>
      <c r="G13" s="80">
        <f t="shared" si="3"/>
        <v>23920</v>
      </c>
      <c r="H13" s="81">
        <f t="shared" si="0"/>
        <v>6463267.2000000002</v>
      </c>
      <c r="I13" s="81">
        <f t="shared" si="1"/>
        <v>20467012.800000001</v>
      </c>
      <c r="J13" s="81">
        <f t="shared" si="2"/>
        <v>26930280</v>
      </c>
      <c r="K13" s="81">
        <f t="shared" si="4"/>
        <v>646326.72</v>
      </c>
      <c r="L13" s="104">
        <f t="shared" si="5"/>
        <v>27576606.719999999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44509</v>
      </c>
      <c r="C14" s="59">
        <v>159</v>
      </c>
      <c r="D14" s="87">
        <v>1035.78</v>
      </c>
      <c r="E14" s="115">
        <v>4440</v>
      </c>
      <c r="F14" s="115">
        <v>20000</v>
      </c>
      <c r="G14" s="80">
        <f t="shared" si="3"/>
        <v>24440</v>
      </c>
      <c r="H14" s="81">
        <f t="shared" si="0"/>
        <v>6898294.7999999998</v>
      </c>
      <c r="I14" s="81">
        <f t="shared" si="1"/>
        <v>20715600</v>
      </c>
      <c r="J14" s="81">
        <f t="shared" si="2"/>
        <v>27613894.800000001</v>
      </c>
      <c r="K14" s="81">
        <f t="shared" si="4"/>
        <v>662733.47519999999</v>
      </c>
      <c r="L14" s="104">
        <f t="shared" si="5"/>
        <v>28276628.275200002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44510</v>
      </c>
      <c r="C15" s="59">
        <v>159</v>
      </c>
      <c r="D15" s="87">
        <v>1035.78</v>
      </c>
      <c r="E15" s="115">
        <v>4600</v>
      </c>
      <c r="F15" s="115">
        <v>19640</v>
      </c>
      <c r="G15" s="80">
        <f t="shared" si="3"/>
        <v>24240</v>
      </c>
      <c r="H15" s="81">
        <f t="shared" si="0"/>
        <v>7146882</v>
      </c>
      <c r="I15" s="81">
        <f t="shared" si="1"/>
        <v>20342719.199999999</v>
      </c>
      <c r="J15" s="81">
        <f t="shared" si="2"/>
        <v>27489601.199999999</v>
      </c>
      <c r="K15" s="81">
        <f t="shared" si="4"/>
        <v>659750.42879999999</v>
      </c>
      <c r="L15" s="104">
        <f t="shared" si="5"/>
        <v>28149351.628800001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44511</v>
      </c>
      <c r="C16" s="59">
        <v>159</v>
      </c>
      <c r="D16" s="87">
        <v>1035.78</v>
      </c>
      <c r="E16" s="115">
        <v>4480</v>
      </c>
      <c r="F16" s="115">
        <v>21160</v>
      </c>
      <c r="G16" s="80">
        <f t="shared" si="3"/>
        <v>25640</v>
      </c>
      <c r="H16" s="81">
        <f t="shared" si="0"/>
        <v>6960441.5999999996</v>
      </c>
      <c r="I16" s="81">
        <f t="shared" si="1"/>
        <v>21917104.800000001</v>
      </c>
      <c r="J16" s="81">
        <f t="shared" si="2"/>
        <v>28877546.399999999</v>
      </c>
      <c r="K16" s="81">
        <f t="shared" si="4"/>
        <v>693061.11359999992</v>
      </c>
      <c r="L16" s="104">
        <f t="shared" si="5"/>
        <v>29570607.513599999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44512</v>
      </c>
      <c r="C17" s="59">
        <v>159</v>
      </c>
      <c r="D17" s="87">
        <v>1035.78</v>
      </c>
      <c r="E17" s="115">
        <v>4400</v>
      </c>
      <c r="F17" s="115">
        <v>19960</v>
      </c>
      <c r="G17" s="80">
        <f t="shared" si="3"/>
        <v>24360</v>
      </c>
      <c r="H17" s="81">
        <f t="shared" si="0"/>
        <v>6836148</v>
      </c>
      <c r="I17" s="81">
        <f t="shared" si="1"/>
        <v>20674168.800000001</v>
      </c>
      <c r="J17" s="81">
        <f t="shared" si="2"/>
        <v>27510316.800000001</v>
      </c>
      <c r="K17" s="81">
        <f t="shared" si="4"/>
        <v>660247.60320000001</v>
      </c>
      <c r="L17" s="104">
        <f t="shared" si="5"/>
        <v>28170564.403200001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44513</v>
      </c>
      <c r="C18" s="59">
        <v>159</v>
      </c>
      <c r="D18" s="87">
        <v>1035.78</v>
      </c>
      <c r="E18" s="115">
        <v>4120</v>
      </c>
      <c r="F18" s="115">
        <v>20880</v>
      </c>
      <c r="G18" s="80">
        <f t="shared" si="3"/>
        <v>25000</v>
      </c>
      <c r="H18" s="81">
        <f t="shared" si="0"/>
        <v>6401120.3999999994</v>
      </c>
      <c r="I18" s="81">
        <f t="shared" si="1"/>
        <v>21627086.399999999</v>
      </c>
      <c r="J18" s="81">
        <f t="shared" si="2"/>
        <v>28028206.799999997</v>
      </c>
      <c r="K18" s="81">
        <f t="shared" si="4"/>
        <v>672676.9632</v>
      </c>
      <c r="L18" s="104">
        <f t="shared" si="5"/>
        <v>28700883.763199996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44514</v>
      </c>
      <c r="C19" s="59">
        <v>159</v>
      </c>
      <c r="D19" s="87">
        <v>1035.78</v>
      </c>
      <c r="E19" s="115">
        <v>4200</v>
      </c>
      <c r="F19" s="115">
        <v>20800</v>
      </c>
      <c r="G19" s="80">
        <f t="shared" si="3"/>
        <v>25000</v>
      </c>
      <c r="H19" s="81">
        <f t="shared" si="0"/>
        <v>6525414</v>
      </c>
      <c r="I19" s="81">
        <f t="shared" si="1"/>
        <v>21544224</v>
      </c>
      <c r="J19" s="81">
        <f t="shared" si="2"/>
        <v>28069638</v>
      </c>
      <c r="K19" s="81">
        <f t="shared" si="4"/>
        <v>673671.31200000003</v>
      </c>
      <c r="L19" s="104">
        <f t="shared" si="5"/>
        <v>28743309.311999999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44515</v>
      </c>
      <c r="C20" s="59">
        <v>159</v>
      </c>
      <c r="D20" s="87">
        <v>1035.78</v>
      </c>
      <c r="E20" s="115">
        <v>4400</v>
      </c>
      <c r="F20" s="115">
        <v>19360</v>
      </c>
      <c r="G20" s="80">
        <f t="shared" si="3"/>
        <v>23760</v>
      </c>
      <c r="H20" s="81">
        <f t="shared" si="0"/>
        <v>6836148</v>
      </c>
      <c r="I20" s="81">
        <f t="shared" si="1"/>
        <v>20052700.800000001</v>
      </c>
      <c r="J20" s="81">
        <f t="shared" si="2"/>
        <v>26888848.800000001</v>
      </c>
      <c r="K20" s="81">
        <f t="shared" si="4"/>
        <v>645332.37120000005</v>
      </c>
      <c r="L20" s="104">
        <f t="shared" si="5"/>
        <v>27534181.1712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44516</v>
      </c>
      <c r="C21" s="59">
        <v>159</v>
      </c>
      <c r="D21" s="87">
        <v>1035.78</v>
      </c>
      <c r="E21" s="115">
        <v>4320</v>
      </c>
      <c r="F21" s="115">
        <v>19840</v>
      </c>
      <c r="G21" s="80">
        <f t="shared" si="3"/>
        <v>24160</v>
      </c>
      <c r="H21" s="81">
        <f t="shared" si="0"/>
        <v>6711854.3999999994</v>
      </c>
      <c r="I21" s="81">
        <f t="shared" si="1"/>
        <v>20549875.199999999</v>
      </c>
      <c r="J21" s="81">
        <f t="shared" si="2"/>
        <v>27261729.599999998</v>
      </c>
      <c r="K21" s="81">
        <f t="shared" si="4"/>
        <v>654281.51039999991</v>
      </c>
      <c r="L21" s="104">
        <f t="shared" si="5"/>
        <v>27916011.110399999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44517</v>
      </c>
      <c r="C22" s="59">
        <v>159</v>
      </c>
      <c r="D22" s="87">
        <v>1035.78</v>
      </c>
      <c r="E22" s="115">
        <v>4240</v>
      </c>
      <c r="F22" s="115">
        <v>20160</v>
      </c>
      <c r="G22" s="80">
        <f t="shared" si="3"/>
        <v>24400</v>
      </c>
      <c r="H22" s="81">
        <f t="shared" si="0"/>
        <v>6587560.7999999998</v>
      </c>
      <c r="I22" s="81">
        <f t="shared" si="1"/>
        <v>20881324.800000001</v>
      </c>
      <c r="J22" s="81">
        <f t="shared" si="2"/>
        <v>27468885.600000001</v>
      </c>
      <c r="K22" s="81">
        <f t="shared" si="4"/>
        <v>659253.25440000009</v>
      </c>
      <c r="L22" s="104">
        <f t="shared" si="5"/>
        <v>28128138.854400001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44518</v>
      </c>
      <c r="C23" s="59">
        <v>159</v>
      </c>
      <c r="D23" s="87">
        <v>1035.78</v>
      </c>
      <c r="E23" s="115">
        <v>4800</v>
      </c>
      <c r="F23" s="115">
        <v>22160</v>
      </c>
      <c r="G23" s="80">
        <f t="shared" si="3"/>
        <v>26960</v>
      </c>
      <c r="H23" s="81">
        <f t="shared" si="0"/>
        <v>7457616</v>
      </c>
      <c r="I23" s="81">
        <f t="shared" si="1"/>
        <v>22952884.800000001</v>
      </c>
      <c r="J23" s="81">
        <f t="shared" si="2"/>
        <v>30410500.800000001</v>
      </c>
      <c r="K23" s="81">
        <f t="shared" si="4"/>
        <v>729852.01919999998</v>
      </c>
      <c r="L23" s="104">
        <f t="shared" si="5"/>
        <v>31140352.819200002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44519</v>
      </c>
      <c r="C24" s="59">
        <v>159</v>
      </c>
      <c r="D24" s="87">
        <v>1035.78</v>
      </c>
      <c r="E24" s="115">
        <v>5560</v>
      </c>
      <c r="F24" s="115">
        <v>21280</v>
      </c>
      <c r="G24" s="80">
        <f t="shared" si="3"/>
        <v>26840</v>
      </c>
      <c r="H24" s="81">
        <f t="shared" si="0"/>
        <v>8638405.1999999993</v>
      </c>
      <c r="I24" s="81">
        <f t="shared" si="1"/>
        <v>22041398.399999999</v>
      </c>
      <c r="J24" s="81">
        <f t="shared" si="2"/>
        <v>30679803.599999998</v>
      </c>
      <c r="K24" s="81">
        <f t="shared" si="4"/>
        <v>736315.28639999998</v>
      </c>
      <c r="L24" s="104">
        <f t="shared" si="5"/>
        <v>31416118.886399999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44520</v>
      </c>
      <c r="C25" s="59">
        <v>159</v>
      </c>
      <c r="D25" s="87">
        <v>1035.78</v>
      </c>
      <c r="E25" s="115">
        <v>3040</v>
      </c>
      <c r="F25" s="115">
        <v>20280</v>
      </c>
      <c r="G25" s="80">
        <f t="shared" si="3"/>
        <v>23320</v>
      </c>
      <c r="H25" s="81">
        <f t="shared" si="0"/>
        <v>4723156.8</v>
      </c>
      <c r="I25" s="81">
        <f t="shared" si="1"/>
        <v>21005618.399999999</v>
      </c>
      <c r="J25" s="81">
        <f t="shared" si="2"/>
        <v>25728775.199999999</v>
      </c>
      <c r="K25" s="81">
        <f t="shared" si="4"/>
        <v>617490.60479999997</v>
      </c>
      <c r="L25" s="104">
        <f t="shared" si="5"/>
        <v>26346265.8048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44521</v>
      </c>
      <c r="C26" s="59">
        <v>159</v>
      </c>
      <c r="D26" s="87">
        <v>1035.78</v>
      </c>
      <c r="E26" s="115">
        <v>4240</v>
      </c>
      <c r="F26" s="115">
        <v>19120</v>
      </c>
      <c r="G26" s="80">
        <f t="shared" si="3"/>
        <v>23360</v>
      </c>
      <c r="H26" s="81">
        <f t="shared" si="0"/>
        <v>6587560.7999999998</v>
      </c>
      <c r="I26" s="81">
        <f t="shared" si="1"/>
        <v>19804113.599999998</v>
      </c>
      <c r="J26" s="81">
        <f t="shared" si="2"/>
        <v>26391674.399999999</v>
      </c>
      <c r="K26" s="81">
        <f t="shared" si="4"/>
        <v>633400.18559999997</v>
      </c>
      <c r="L26" s="104">
        <f>J26+K26</f>
        <v>27025074.5856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44522</v>
      </c>
      <c r="C27" s="59">
        <v>159</v>
      </c>
      <c r="D27" s="87">
        <v>1035.78</v>
      </c>
      <c r="E27" s="115">
        <v>4360</v>
      </c>
      <c r="F27" s="115">
        <v>20200</v>
      </c>
      <c r="G27" s="80">
        <f t="shared" si="3"/>
        <v>24560</v>
      </c>
      <c r="H27" s="81">
        <f t="shared" si="0"/>
        <v>6774001.2000000002</v>
      </c>
      <c r="I27" s="81">
        <f t="shared" si="1"/>
        <v>20922756</v>
      </c>
      <c r="J27" s="81">
        <f t="shared" si="2"/>
        <v>27696757.199999999</v>
      </c>
      <c r="K27" s="81">
        <f t="shared" si="4"/>
        <v>664722.17279999994</v>
      </c>
      <c r="L27" s="104">
        <f t="shared" si="5"/>
        <v>28361479.3728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44523</v>
      </c>
      <c r="C28" s="59">
        <v>159</v>
      </c>
      <c r="D28" s="87">
        <v>1035.78</v>
      </c>
      <c r="E28" s="115">
        <v>4600</v>
      </c>
      <c r="F28" s="115">
        <v>20720</v>
      </c>
      <c r="G28" s="80">
        <f t="shared" si="3"/>
        <v>25320</v>
      </c>
      <c r="H28" s="81">
        <f t="shared" si="0"/>
        <v>7146882</v>
      </c>
      <c r="I28" s="81">
        <f t="shared" si="1"/>
        <v>21461361.599999998</v>
      </c>
      <c r="J28" s="81">
        <f t="shared" si="2"/>
        <v>28608243.599999998</v>
      </c>
      <c r="K28" s="81">
        <f t="shared" si="4"/>
        <v>686597.84639999992</v>
      </c>
      <c r="L28" s="104">
        <f t="shared" si="5"/>
        <v>29294841.446399998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44524</v>
      </c>
      <c r="C29" s="59">
        <v>159</v>
      </c>
      <c r="D29" s="87">
        <v>1035.78</v>
      </c>
      <c r="E29" s="115">
        <v>4520</v>
      </c>
      <c r="F29" s="115">
        <v>20720</v>
      </c>
      <c r="G29" s="80">
        <f t="shared" si="3"/>
        <v>25240</v>
      </c>
      <c r="H29" s="81">
        <f t="shared" si="0"/>
        <v>7022588.3999999994</v>
      </c>
      <c r="I29" s="81">
        <f t="shared" si="1"/>
        <v>21461361.599999998</v>
      </c>
      <c r="J29" s="81">
        <f t="shared" si="2"/>
        <v>28483949.999999996</v>
      </c>
      <c r="K29" s="81">
        <f t="shared" si="4"/>
        <v>683614.79999999993</v>
      </c>
      <c r="L29" s="104">
        <f t="shared" si="5"/>
        <v>29167564.799999997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44525</v>
      </c>
      <c r="C30" s="59">
        <v>159</v>
      </c>
      <c r="D30" s="87">
        <v>1035.78</v>
      </c>
      <c r="E30" s="115">
        <v>4520</v>
      </c>
      <c r="F30" s="115">
        <v>21280</v>
      </c>
      <c r="G30" s="80">
        <f t="shared" si="3"/>
        <v>25800</v>
      </c>
      <c r="H30" s="81">
        <f t="shared" si="0"/>
        <v>7022588.3999999994</v>
      </c>
      <c r="I30" s="81">
        <f t="shared" si="1"/>
        <v>22041398.399999999</v>
      </c>
      <c r="J30" s="81">
        <f t="shared" si="2"/>
        <v>29063986.799999997</v>
      </c>
      <c r="K30" s="81">
        <f t="shared" si="4"/>
        <v>697535.68319999997</v>
      </c>
      <c r="L30" s="104">
        <f t="shared" si="5"/>
        <v>29761522.483199999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44526</v>
      </c>
      <c r="C31" s="59">
        <v>159</v>
      </c>
      <c r="D31" s="87">
        <v>1035.78</v>
      </c>
      <c r="E31" s="115">
        <v>4560</v>
      </c>
      <c r="F31" s="115">
        <v>21280</v>
      </c>
      <c r="G31" s="80">
        <f t="shared" si="3"/>
        <v>25840</v>
      </c>
      <c r="H31" s="81">
        <f t="shared" si="0"/>
        <v>7084735.2000000002</v>
      </c>
      <c r="I31" s="81">
        <f t="shared" si="1"/>
        <v>22041398.399999999</v>
      </c>
      <c r="J31" s="81">
        <f t="shared" ref="J31:J33" si="6">I31+H31</f>
        <v>29126133.599999998</v>
      </c>
      <c r="K31" s="81">
        <f t="shared" si="4"/>
        <v>699027.20639999991</v>
      </c>
      <c r="L31" s="104">
        <f t="shared" ref="L31:L33" si="7">J31+K31</f>
        <v>29825160.806399997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44527</v>
      </c>
      <c r="C32" s="59">
        <v>159</v>
      </c>
      <c r="D32" s="87">
        <v>1035.78</v>
      </c>
      <c r="E32" s="115">
        <v>4520</v>
      </c>
      <c r="F32" s="115">
        <v>19200</v>
      </c>
      <c r="G32" s="80">
        <f t="shared" si="3"/>
        <v>23720</v>
      </c>
      <c r="H32" s="81">
        <f t="shared" si="0"/>
        <v>7022588.3999999994</v>
      </c>
      <c r="I32" s="81">
        <f t="shared" si="1"/>
        <v>19886976</v>
      </c>
      <c r="J32" s="81">
        <f t="shared" si="6"/>
        <v>26909564.399999999</v>
      </c>
      <c r="K32" s="81">
        <f t="shared" si="4"/>
        <v>645829.54559999995</v>
      </c>
      <c r="L32" s="104">
        <f t="shared" si="7"/>
        <v>27555393.945599999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44528</v>
      </c>
      <c r="C33" s="59">
        <v>159</v>
      </c>
      <c r="D33" s="87">
        <v>1035.78</v>
      </c>
      <c r="E33" s="115">
        <v>4240</v>
      </c>
      <c r="F33" s="115">
        <v>21000</v>
      </c>
      <c r="G33" s="80">
        <f t="shared" si="3"/>
        <v>25240</v>
      </c>
      <c r="H33" s="81">
        <f t="shared" si="0"/>
        <v>6587560.7999999998</v>
      </c>
      <c r="I33" s="81">
        <f t="shared" si="1"/>
        <v>21751380</v>
      </c>
      <c r="J33" s="81">
        <f t="shared" si="6"/>
        <v>28338940.800000001</v>
      </c>
      <c r="K33" s="81">
        <f t="shared" si="4"/>
        <v>680134.57920000004</v>
      </c>
      <c r="L33" s="104">
        <f t="shared" si="7"/>
        <v>29019075.3792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44529</v>
      </c>
      <c r="C34" s="59">
        <v>159</v>
      </c>
      <c r="D34" s="87">
        <v>1035.78</v>
      </c>
      <c r="E34" s="115">
        <v>4200</v>
      </c>
      <c r="F34" s="115">
        <v>18840</v>
      </c>
      <c r="G34" s="80">
        <f t="shared" ref="G34" si="8">F34+E34</f>
        <v>23040</v>
      </c>
      <c r="H34" s="81">
        <f t="shared" ref="H34" si="9">E34*1.5*D34</f>
        <v>6525414</v>
      </c>
      <c r="I34" s="81">
        <f t="shared" ref="I34" si="10">F34*D34</f>
        <v>19514095.199999999</v>
      </c>
      <c r="J34" s="81">
        <f t="shared" ref="J34" si="11">I34+H34</f>
        <v>26039509.199999999</v>
      </c>
      <c r="K34" s="81">
        <f t="shared" si="4"/>
        <v>624948.22080000001</v>
      </c>
      <c r="L34" s="104">
        <f t="shared" ref="L34" si="12">J34+K34</f>
        <v>26664457.4208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44530</v>
      </c>
      <c r="C35" s="59">
        <v>159</v>
      </c>
      <c r="D35" s="87">
        <v>1035.78</v>
      </c>
      <c r="E35" s="115">
        <v>4560</v>
      </c>
      <c r="F35" s="115">
        <v>21000</v>
      </c>
      <c r="G35" s="80">
        <f t="shared" ref="G35" si="13">F35+E35</f>
        <v>25560</v>
      </c>
      <c r="H35" s="81">
        <f t="shared" ref="H35" si="14">E35*1.5*D35</f>
        <v>7084735.2000000002</v>
      </c>
      <c r="I35" s="81">
        <f t="shared" ref="I35" si="15">F35*D35</f>
        <v>21751380</v>
      </c>
      <c r="J35" s="81">
        <f t="shared" ref="J35" si="16">I35+H35</f>
        <v>28836115.199999999</v>
      </c>
      <c r="K35" s="81">
        <f t="shared" si="4"/>
        <v>692066.7648</v>
      </c>
      <c r="L35" s="104">
        <f t="shared" ref="L35" si="17">J35+K35</f>
        <v>29528181.9648</v>
      </c>
      <c r="M35" s="1"/>
      <c r="N35" s="1"/>
      <c r="O35" s="1"/>
      <c r="P35" s="1"/>
      <c r="Q35" s="1"/>
    </row>
    <row r="36" spans="2:17" s="1" customFormat="1" x14ac:dyDescent="0.25">
      <c r="B36" s="7"/>
      <c r="C36" s="9">
        <f>SUM(C6:C35)</f>
        <v>4770</v>
      </c>
      <c r="D36" s="88"/>
      <c r="E36" s="82">
        <f t="shared" ref="E36:L36" si="18">SUM(E6:E35)</f>
        <v>132240</v>
      </c>
      <c r="F36" s="82">
        <f t="shared" si="18"/>
        <v>612640</v>
      </c>
      <c r="G36" s="82">
        <f t="shared" si="18"/>
        <v>744880</v>
      </c>
      <c r="H36" s="82">
        <f t="shared" si="18"/>
        <v>205457320.80000001</v>
      </c>
      <c r="I36" s="82">
        <f t="shared" si="18"/>
        <v>634560259.20000005</v>
      </c>
      <c r="J36" s="82">
        <f t="shared" si="18"/>
        <v>840017580.00000012</v>
      </c>
      <c r="K36" s="82">
        <f t="shared" si="18"/>
        <v>20160421.920000006</v>
      </c>
      <c r="L36" s="82">
        <f t="shared" si="18"/>
        <v>860178001.91999984</v>
      </c>
    </row>
    <row r="37" spans="2:17" s="1" customFormat="1" x14ac:dyDescent="0.25">
      <c r="B37" s="7"/>
      <c r="C37" s="7"/>
      <c r="D37" s="88"/>
      <c r="E37" s="31"/>
      <c r="F37" s="31"/>
      <c r="G37" s="32"/>
      <c r="H37" s="9"/>
      <c r="J37" s="95"/>
      <c r="K37" s="15"/>
      <c r="L37" s="83"/>
    </row>
    <row r="38" spans="2:17" s="1" customFormat="1" x14ac:dyDescent="0.25">
      <c r="B38" s="7"/>
      <c r="C38" s="7"/>
      <c r="D38" s="89"/>
      <c r="E38" s="33"/>
      <c r="F38" s="33"/>
      <c r="G38" s="32"/>
      <c r="H38" s="8"/>
      <c r="I38" s="10"/>
      <c r="J38" s="95"/>
      <c r="K38" s="15"/>
      <c r="L38" s="73"/>
      <c r="N38" s="7"/>
    </row>
    <row r="39" spans="2:17" s="1" customFormat="1" x14ac:dyDescent="0.25">
      <c r="B39" s="7"/>
      <c r="C39" s="7"/>
      <c r="D39" s="90"/>
      <c r="E39" s="33"/>
      <c r="F39" s="33"/>
      <c r="G39" s="32"/>
      <c r="H39" s="9"/>
      <c r="J39" s="96"/>
      <c r="K39" s="83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7"/>
      <c r="K40" s="73"/>
      <c r="L40" s="8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8"/>
      <c r="K41" s="73"/>
      <c r="L41" s="83"/>
      <c r="N41" s="7"/>
    </row>
    <row r="42" spans="2:17" s="1" customFormat="1" x14ac:dyDescent="0.25">
      <c r="B42" s="7"/>
      <c r="C42" s="7"/>
      <c r="D42" s="89"/>
      <c r="E42" s="33"/>
      <c r="F42" s="33"/>
      <c r="G42" s="32"/>
      <c r="H42" s="9"/>
      <c r="J42" s="96"/>
      <c r="K42" s="15"/>
      <c r="L42" s="83"/>
      <c r="N42" s="7"/>
    </row>
    <row r="43" spans="2:17" s="1" customFormat="1" x14ac:dyDescent="0.25">
      <c r="B43" s="7"/>
      <c r="C43" s="7"/>
      <c r="D43" s="90"/>
      <c r="E43" s="33"/>
      <c r="F43" s="33"/>
      <c r="G43" s="32"/>
      <c r="J43" s="99"/>
      <c r="K43" s="73"/>
      <c r="L43" s="73"/>
      <c r="N43" s="7"/>
    </row>
    <row r="44" spans="2:17" s="1" customFormat="1" x14ac:dyDescent="0.25">
      <c r="B44" s="7"/>
      <c r="C44" s="7"/>
      <c r="D44" s="89"/>
      <c r="E44" s="33"/>
      <c r="F44" s="33"/>
      <c r="G44" s="34" t="s">
        <v>6</v>
      </c>
      <c r="H44" s="9"/>
      <c r="J44" s="96"/>
      <c r="K44" s="83"/>
      <c r="L44" s="83"/>
      <c r="M44" s="11"/>
      <c r="N44" s="7"/>
    </row>
    <row r="45" spans="2:17" s="1" customFormat="1" ht="21" x14ac:dyDescent="0.25">
      <c r="B45" s="7"/>
      <c r="C45" s="7"/>
      <c r="D45" s="90"/>
      <c r="E45" s="33"/>
      <c r="F45" s="33"/>
      <c r="G45" s="35"/>
      <c r="H45" s="7"/>
      <c r="J45" s="100"/>
      <c r="K45" s="83"/>
      <c r="L45" s="105"/>
      <c r="N45" s="7"/>
    </row>
    <row r="46" spans="2:17" s="1" customFormat="1" x14ac:dyDescent="0.25">
      <c r="D46" s="89"/>
      <c r="E46" s="33"/>
      <c r="F46" s="33"/>
      <c r="G46" s="30"/>
      <c r="J46" s="83"/>
      <c r="K46" s="83"/>
      <c r="L46" s="83"/>
      <c r="M46" s="16"/>
      <c r="N46" s="7"/>
    </row>
    <row r="47" spans="2:17" s="1" customFormat="1" x14ac:dyDescent="0.25">
      <c r="D47" s="90"/>
      <c r="E47" s="33"/>
      <c r="F47" s="33"/>
      <c r="G47" s="30"/>
      <c r="J47" s="83"/>
      <c r="K47" s="83"/>
      <c r="L47" s="83"/>
    </row>
    <row r="48" spans="2:17" s="1" customFormat="1" x14ac:dyDescent="0.25">
      <c r="D48" s="90"/>
      <c r="E48" s="33"/>
      <c r="F48" s="33"/>
      <c r="G48" s="36"/>
      <c r="J48" s="83"/>
      <c r="K48" s="83"/>
      <c r="L48" s="83"/>
    </row>
    <row r="49" spans="2:12" s="1" customFormat="1" x14ac:dyDescent="0.25">
      <c r="B49" s="12"/>
      <c r="C49" s="12"/>
      <c r="D49" s="91"/>
      <c r="E49" s="33"/>
      <c r="F49" s="33"/>
      <c r="G49" s="38"/>
      <c r="H49" s="12"/>
      <c r="I49" s="12"/>
      <c r="J49" s="84"/>
      <c r="K49" s="84"/>
      <c r="L49" s="84"/>
    </row>
    <row r="50" spans="2:12" s="12" customFormat="1" x14ac:dyDescent="0.25">
      <c r="D50" s="91"/>
      <c r="E50" s="33"/>
      <c r="F50" s="33"/>
      <c r="G50" s="39"/>
      <c r="J50" s="84"/>
      <c r="K50" s="84"/>
      <c r="L50" s="84"/>
    </row>
    <row r="51" spans="2:12" s="12" customFormat="1" x14ac:dyDescent="0.25">
      <c r="D51" s="91"/>
      <c r="E51" s="33"/>
      <c r="F51" s="33"/>
      <c r="G51" s="37"/>
      <c r="J51" s="84"/>
      <c r="K51" s="84"/>
      <c r="L51" s="84"/>
    </row>
    <row r="52" spans="2:12" s="12" customFormat="1" x14ac:dyDescent="0.25">
      <c r="D52" s="91"/>
      <c r="E52" s="33"/>
      <c r="F52" s="33"/>
      <c r="G52" s="39"/>
      <c r="J52" s="84"/>
      <c r="K52" s="84"/>
      <c r="L52" s="84"/>
    </row>
    <row r="53" spans="2:12" s="12" customFormat="1" x14ac:dyDescent="0.25">
      <c r="D53" s="91"/>
      <c r="E53" s="33"/>
      <c r="F53" s="33"/>
      <c r="G53" s="37"/>
      <c r="J53" s="84"/>
      <c r="K53" s="84"/>
      <c r="L53" s="84"/>
    </row>
    <row r="54" spans="2:12" s="12" customFormat="1" x14ac:dyDescent="0.25">
      <c r="B54" s="13"/>
      <c r="C54" s="13"/>
      <c r="D54" s="92"/>
      <c r="E54" s="33"/>
      <c r="F54" s="33"/>
      <c r="G54" s="40"/>
      <c r="H54" s="13"/>
      <c r="I54" s="13"/>
      <c r="J54" s="85"/>
      <c r="K54" s="85"/>
      <c r="L54" s="85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5">
    <cfRule type="cellIs" dxfId="5" priority="139" operator="greaterThan">
      <formula>$G$46</formula>
    </cfRule>
  </conditionalFormatting>
  <conditionalFormatting sqref="G6:G35">
    <cfRule type="cellIs" dxfId="4" priority="138" operator="greaterThan">
      <formula>$G$46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$D$46</formula>
    </cfRule>
  </conditionalFormatting>
  <conditionalFormatting sqref="E30:E35">
    <cfRule type="cellIs" dxfId="1" priority="7" operator="greaterThan">
      <formula>#REF!</formula>
    </cfRule>
  </conditionalFormatting>
  <conditionalFormatting sqref="F30:F35">
    <cfRule type="cellIs" dxfId="0" priority="6" operator="greaterThan">
      <formula>$D$46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5"/>
  <sheetViews>
    <sheetView zoomScaleNormal="100" workbookViewId="0">
      <selection activeCell="E41" sqref="E41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22</v>
      </c>
      <c r="D3" s="138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11</v>
      </c>
      <c r="D5" s="78">
        <v>2021</v>
      </c>
      <c r="E5" s="114">
        <v>5</v>
      </c>
      <c r="F5" s="109">
        <v>314</v>
      </c>
      <c r="G5" s="56">
        <f>E5+F5</f>
        <v>319</v>
      </c>
    </row>
    <row r="6" spans="1:43" ht="15.75" x14ac:dyDescent="0.25">
      <c r="B6" s="78">
        <v>2</v>
      </c>
      <c r="C6" s="78">
        <v>11</v>
      </c>
      <c r="D6" s="78">
        <v>2021</v>
      </c>
      <c r="E6" s="113">
        <v>4</v>
      </c>
      <c r="F6" s="108">
        <v>296</v>
      </c>
      <c r="G6" s="56">
        <f t="shared" ref="G6:G34" si="0">E6+F6</f>
        <v>300</v>
      </c>
    </row>
    <row r="7" spans="1:43" ht="15.75" x14ac:dyDescent="0.25">
      <c r="B7" s="78">
        <v>3</v>
      </c>
      <c r="C7" s="78">
        <v>11</v>
      </c>
      <c r="D7" s="78">
        <v>2021</v>
      </c>
      <c r="E7" s="113">
        <v>4</v>
      </c>
      <c r="F7" s="108">
        <v>275</v>
      </c>
      <c r="G7" s="56">
        <f t="shared" si="0"/>
        <v>279</v>
      </c>
    </row>
    <row r="8" spans="1:43" ht="15.75" x14ac:dyDescent="0.25">
      <c r="B8" s="78">
        <v>4</v>
      </c>
      <c r="C8" s="78">
        <v>11</v>
      </c>
      <c r="D8" s="78">
        <v>2021</v>
      </c>
      <c r="E8" s="113">
        <v>5</v>
      </c>
      <c r="F8" s="108">
        <v>353</v>
      </c>
      <c r="G8" s="56">
        <f t="shared" si="0"/>
        <v>358</v>
      </c>
    </row>
    <row r="9" spans="1:43" ht="15.75" x14ac:dyDescent="0.25">
      <c r="B9" s="78">
        <v>5</v>
      </c>
      <c r="C9" s="78">
        <v>11</v>
      </c>
      <c r="D9" s="78">
        <v>2021</v>
      </c>
      <c r="E9" s="113">
        <v>5</v>
      </c>
      <c r="F9" s="108">
        <v>349</v>
      </c>
      <c r="G9" s="56">
        <f t="shared" si="0"/>
        <v>354</v>
      </c>
    </row>
    <row r="10" spans="1:43" ht="15.75" x14ac:dyDescent="0.25">
      <c r="B10" s="78">
        <v>6</v>
      </c>
      <c r="C10" s="78">
        <v>11</v>
      </c>
      <c r="D10" s="78">
        <v>2021</v>
      </c>
      <c r="E10" s="113">
        <v>5</v>
      </c>
      <c r="F10" s="108">
        <v>298</v>
      </c>
      <c r="G10" s="56">
        <f t="shared" si="0"/>
        <v>303</v>
      </c>
    </row>
    <row r="11" spans="1:43" ht="15.75" x14ac:dyDescent="0.25">
      <c r="B11" s="78">
        <v>7</v>
      </c>
      <c r="C11" s="78">
        <v>11</v>
      </c>
      <c r="D11" s="78">
        <v>2021</v>
      </c>
      <c r="E11" s="113">
        <v>5</v>
      </c>
      <c r="F11" s="109">
        <v>378</v>
      </c>
      <c r="G11" s="56">
        <f t="shared" si="0"/>
        <v>383</v>
      </c>
    </row>
    <row r="12" spans="1:43" ht="15.75" x14ac:dyDescent="0.25">
      <c r="B12" s="78">
        <v>8</v>
      </c>
      <c r="C12" s="78">
        <v>11</v>
      </c>
      <c r="D12" s="78">
        <v>2021</v>
      </c>
      <c r="E12" s="114">
        <v>6</v>
      </c>
      <c r="F12" s="109">
        <v>343</v>
      </c>
      <c r="G12" s="56">
        <f t="shared" si="0"/>
        <v>349</v>
      </c>
    </row>
    <row r="13" spans="1:43" ht="15.75" x14ac:dyDescent="0.25">
      <c r="B13" s="78">
        <v>9</v>
      </c>
      <c r="C13" s="78">
        <v>11</v>
      </c>
      <c r="D13" s="78">
        <v>2021</v>
      </c>
      <c r="E13" s="113">
        <v>4</v>
      </c>
      <c r="F13" s="109">
        <v>298</v>
      </c>
      <c r="G13" s="56">
        <f t="shared" si="0"/>
        <v>302</v>
      </c>
    </row>
    <row r="14" spans="1:43" ht="15.75" x14ac:dyDescent="0.25">
      <c r="B14" s="78">
        <v>10</v>
      </c>
      <c r="C14" s="78">
        <v>11</v>
      </c>
      <c r="D14" s="78">
        <v>2021</v>
      </c>
      <c r="E14" s="113">
        <v>6</v>
      </c>
      <c r="F14" s="108">
        <v>424</v>
      </c>
      <c r="G14" s="56">
        <f t="shared" si="0"/>
        <v>430</v>
      </c>
    </row>
    <row r="15" spans="1:43" ht="15.75" x14ac:dyDescent="0.25">
      <c r="B15" s="78">
        <v>11</v>
      </c>
      <c r="C15" s="78">
        <v>11</v>
      </c>
      <c r="D15" s="78">
        <v>2021</v>
      </c>
      <c r="E15" s="113">
        <v>6</v>
      </c>
      <c r="F15" s="108">
        <v>378</v>
      </c>
      <c r="G15" s="56">
        <f t="shared" si="0"/>
        <v>384</v>
      </c>
    </row>
    <row r="16" spans="1:43" ht="15.75" x14ac:dyDescent="0.25">
      <c r="B16" s="78">
        <v>12</v>
      </c>
      <c r="C16" s="78">
        <v>11</v>
      </c>
      <c r="D16" s="78">
        <v>2021</v>
      </c>
      <c r="E16" s="113">
        <v>4</v>
      </c>
      <c r="F16" s="108">
        <v>312</v>
      </c>
      <c r="G16" s="56">
        <f t="shared" si="0"/>
        <v>316</v>
      </c>
    </row>
    <row r="17" spans="2:7" ht="15.75" x14ac:dyDescent="0.25">
      <c r="B17" s="78">
        <v>13</v>
      </c>
      <c r="C17" s="78">
        <v>11</v>
      </c>
      <c r="D17" s="78">
        <v>2021</v>
      </c>
      <c r="E17" s="113">
        <v>8</v>
      </c>
      <c r="F17" s="108">
        <v>398</v>
      </c>
      <c r="G17" s="56">
        <f t="shared" si="0"/>
        <v>406</v>
      </c>
    </row>
    <row r="18" spans="2:7" ht="15.75" x14ac:dyDescent="0.25">
      <c r="B18" s="78">
        <v>14</v>
      </c>
      <c r="C18" s="78">
        <v>11</v>
      </c>
      <c r="D18" s="78">
        <v>2021</v>
      </c>
      <c r="E18" s="113">
        <v>6</v>
      </c>
      <c r="F18" s="108">
        <v>322</v>
      </c>
      <c r="G18" s="56">
        <f t="shared" si="0"/>
        <v>328</v>
      </c>
    </row>
    <row r="19" spans="2:7" ht="15.75" x14ac:dyDescent="0.25">
      <c r="B19" s="78">
        <v>15</v>
      </c>
      <c r="C19" s="78">
        <v>11</v>
      </c>
      <c r="D19" s="78">
        <v>2021</v>
      </c>
      <c r="E19" s="114">
        <v>12</v>
      </c>
      <c r="F19" s="109">
        <v>392</v>
      </c>
      <c r="G19" s="56">
        <f t="shared" si="0"/>
        <v>404</v>
      </c>
    </row>
    <row r="20" spans="2:7" ht="15.75" x14ac:dyDescent="0.25">
      <c r="B20" s="78">
        <v>16</v>
      </c>
      <c r="C20" s="78">
        <v>11</v>
      </c>
      <c r="D20" s="78">
        <v>2021</v>
      </c>
      <c r="E20" s="113">
        <v>10</v>
      </c>
      <c r="F20" s="108">
        <v>359</v>
      </c>
      <c r="G20" s="56">
        <f t="shared" si="0"/>
        <v>369</v>
      </c>
    </row>
    <row r="21" spans="2:7" ht="15.75" x14ac:dyDescent="0.25">
      <c r="B21" s="78">
        <v>17</v>
      </c>
      <c r="C21" s="78">
        <v>11</v>
      </c>
      <c r="D21" s="78">
        <v>2021</v>
      </c>
      <c r="E21" s="113">
        <v>8</v>
      </c>
      <c r="F21" s="108">
        <v>308</v>
      </c>
      <c r="G21" s="56">
        <f t="shared" si="0"/>
        <v>316</v>
      </c>
    </row>
    <row r="22" spans="2:7" ht="15.75" x14ac:dyDescent="0.25">
      <c r="B22" s="78">
        <v>18</v>
      </c>
      <c r="C22" s="78">
        <v>11</v>
      </c>
      <c r="D22" s="78">
        <v>2021</v>
      </c>
      <c r="E22" s="113">
        <v>12</v>
      </c>
      <c r="F22" s="108">
        <v>410</v>
      </c>
      <c r="G22" s="56">
        <f t="shared" si="0"/>
        <v>422</v>
      </c>
    </row>
    <row r="23" spans="2:7" ht="15.75" x14ac:dyDescent="0.25">
      <c r="B23" s="78">
        <v>19</v>
      </c>
      <c r="C23" s="78">
        <v>11</v>
      </c>
      <c r="D23" s="78">
        <v>2021</v>
      </c>
      <c r="E23" s="113">
        <v>10</v>
      </c>
      <c r="F23" s="108">
        <v>335</v>
      </c>
      <c r="G23" s="56">
        <f t="shared" si="0"/>
        <v>345</v>
      </c>
    </row>
    <row r="24" spans="2:7" ht="15.75" x14ac:dyDescent="0.25">
      <c r="B24" s="78">
        <v>20</v>
      </c>
      <c r="C24" s="78">
        <v>11</v>
      </c>
      <c r="D24" s="78">
        <v>2021</v>
      </c>
      <c r="E24" s="113">
        <v>10</v>
      </c>
      <c r="F24" s="108">
        <v>340</v>
      </c>
      <c r="G24" s="56">
        <f t="shared" si="0"/>
        <v>350</v>
      </c>
    </row>
    <row r="25" spans="2:7" ht="15.75" x14ac:dyDescent="0.25">
      <c r="B25" s="78">
        <v>21</v>
      </c>
      <c r="C25" s="78">
        <v>11</v>
      </c>
      <c r="D25" s="78">
        <v>2021</v>
      </c>
      <c r="E25" s="113">
        <v>11</v>
      </c>
      <c r="F25" s="108">
        <v>359</v>
      </c>
      <c r="G25" s="56">
        <f t="shared" si="0"/>
        <v>370</v>
      </c>
    </row>
    <row r="26" spans="2:7" ht="15.75" x14ac:dyDescent="0.25">
      <c r="B26" s="78">
        <v>22</v>
      </c>
      <c r="C26" s="78">
        <v>11</v>
      </c>
      <c r="D26" s="78">
        <v>2021</v>
      </c>
      <c r="E26" s="114">
        <v>10</v>
      </c>
      <c r="F26" s="109">
        <v>345</v>
      </c>
      <c r="G26" s="56">
        <f t="shared" si="0"/>
        <v>355</v>
      </c>
    </row>
    <row r="27" spans="2:7" ht="15.75" x14ac:dyDescent="0.25">
      <c r="B27" s="78">
        <v>23</v>
      </c>
      <c r="C27" s="78">
        <v>11</v>
      </c>
      <c r="D27" s="78">
        <v>2021</v>
      </c>
      <c r="E27" s="113">
        <v>9</v>
      </c>
      <c r="F27" s="108">
        <v>290</v>
      </c>
      <c r="G27" s="56">
        <f t="shared" si="0"/>
        <v>299</v>
      </c>
    </row>
    <row r="28" spans="2:7" ht="15.75" x14ac:dyDescent="0.25">
      <c r="B28" s="78">
        <v>24</v>
      </c>
      <c r="C28" s="78">
        <v>11</v>
      </c>
      <c r="D28" s="78">
        <v>2021</v>
      </c>
      <c r="E28" s="113">
        <v>11</v>
      </c>
      <c r="F28" s="108">
        <v>376</v>
      </c>
      <c r="G28" s="56">
        <f t="shared" si="0"/>
        <v>387</v>
      </c>
    </row>
    <row r="29" spans="2:7" ht="15.75" x14ac:dyDescent="0.25">
      <c r="B29" s="78">
        <v>25</v>
      </c>
      <c r="C29" s="78">
        <v>11</v>
      </c>
      <c r="D29" s="78">
        <v>2021</v>
      </c>
      <c r="E29" s="113">
        <v>11</v>
      </c>
      <c r="F29" s="108">
        <v>367</v>
      </c>
      <c r="G29" s="56">
        <f t="shared" si="0"/>
        <v>378</v>
      </c>
    </row>
    <row r="30" spans="2:7" ht="15.75" x14ac:dyDescent="0.25">
      <c r="B30" s="78">
        <v>26</v>
      </c>
      <c r="C30" s="78">
        <v>11</v>
      </c>
      <c r="D30" s="78">
        <v>2021</v>
      </c>
      <c r="E30" s="113">
        <v>9</v>
      </c>
      <c r="F30" s="108">
        <v>317</v>
      </c>
      <c r="G30" s="56">
        <f t="shared" si="0"/>
        <v>326</v>
      </c>
    </row>
    <row r="31" spans="2:7" ht="15.75" x14ac:dyDescent="0.25">
      <c r="B31" s="78">
        <v>27</v>
      </c>
      <c r="C31" s="78">
        <v>11</v>
      </c>
      <c r="D31" s="78">
        <v>2021</v>
      </c>
      <c r="E31" s="113">
        <v>11</v>
      </c>
      <c r="F31" s="108">
        <v>386</v>
      </c>
      <c r="G31" s="56">
        <f t="shared" si="0"/>
        <v>397</v>
      </c>
    </row>
    <row r="32" spans="2:7" ht="15.75" x14ac:dyDescent="0.25">
      <c r="B32" s="78">
        <v>28</v>
      </c>
      <c r="C32" s="78">
        <v>11</v>
      </c>
      <c r="D32" s="78">
        <v>2021</v>
      </c>
      <c r="E32" s="113">
        <v>10</v>
      </c>
      <c r="F32" s="108">
        <v>299</v>
      </c>
      <c r="G32" s="56">
        <f t="shared" si="0"/>
        <v>309</v>
      </c>
    </row>
    <row r="33" spans="2:9" ht="15.75" x14ac:dyDescent="0.25">
      <c r="B33" s="78">
        <v>29</v>
      </c>
      <c r="C33" s="78">
        <v>11</v>
      </c>
      <c r="D33" s="78">
        <v>2021</v>
      </c>
      <c r="E33" s="113">
        <v>10</v>
      </c>
      <c r="F33" s="108">
        <v>358</v>
      </c>
      <c r="G33" s="56">
        <f t="shared" si="0"/>
        <v>368</v>
      </c>
    </row>
    <row r="34" spans="2:9" ht="15.75" x14ac:dyDescent="0.25">
      <c r="B34" s="78">
        <v>30</v>
      </c>
      <c r="C34" s="78">
        <v>11</v>
      </c>
      <c r="D34" s="78">
        <v>2021</v>
      </c>
      <c r="E34" s="113">
        <v>10</v>
      </c>
      <c r="F34" s="108">
        <v>320</v>
      </c>
      <c r="G34" s="56">
        <f t="shared" si="0"/>
        <v>330</v>
      </c>
    </row>
    <row r="35" spans="2:9" ht="21" x14ac:dyDescent="0.35">
      <c r="B35" s="64"/>
      <c r="C35" s="64"/>
      <c r="D35" s="64"/>
      <c r="E35" s="14">
        <f>SUM(E5:E34)</f>
        <v>237</v>
      </c>
      <c r="F35" s="14">
        <f>SUM(F5:F34)</f>
        <v>10299</v>
      </c>
      <c r="G35" s="14">
        <f>SUM(G5:G34)</f>
        <v>10536</v>
      </c>
    </row>
    <row r="36" spans="2:9" x14ac:dyDescent="0.25">
      <c r="I36" s="66"/>
    </row>
    <row r="37" spans="2:9" x14ac:dyDescent="0.25">
      <c r="I37" s="66"/>
    </row>
    <row r="38" spans="2:9" ht="15.75" thickBot="1" x14ac:dyDescent="0.3"/>
    <row r="39" spans="2:9" ht="21.75" thickBot="1" x14ac:dyDescent="0.4">
      <c r="C39" s="70"/>
      <c r="D39" s="70"/>
      <c r="F39" s="70"/>
      <c r="G39" s="67">
        <f>G35</f>
        <v>10536</v>
      </c>
      <c r="H39" s="68"/>
    </row>
    <row r="40" spans="2:9" ht="15.75" x14ac:dyDescent="0.25">
      <c r="B40" s="70"/>
      <c r="C40" s="70"/>
      <c r="D40" s="70"/>
      <c r="E40" s="70"/>
      <c r="F40" s="70"/>
      <c r="G40" s="69"/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 t="s">
        <v>4</v>
      </c>
      <c r="C42" s="70"/>
      <c r="D42" s="70"/>
      <c r="F42" s="79" t="s">
        <v>19</v>
      </c>
      <c r="G42" s="71">
        <v>12550</v>
      </c>
      <c r="H42" s="72"/>
    </row>
    <row r="43" spans="2:9" x14ac:dyDescent="0.25">
      <c r="G43" s="69"/>
    </row>
    <row r="44" spans="2:9" ht="15.75" thickBot="1" x14ac:dyDescent="0.3">
      <c r="G44" s="69"/>
    </row>
    <row r="45" spans="2:9" ht="27" thickBot="1" x14ac:dyDescent="0.3">
      <c r="F45" s="70" t="s">
        <v>5</v>
      </c>
      <c r="G45" s="74">
        <f>G39*G42</f>
        <v>132226800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2023-03-14T08:13:46Z</dcterms:modified>
</cp:coreProperties>
</file>