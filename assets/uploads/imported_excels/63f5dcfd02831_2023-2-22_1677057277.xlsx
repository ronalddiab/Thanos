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1"/>
  </bookViews>
  <sheets>
    <sheet name="Sheet1" sheetId="1" r:id="rId1"/>
    <sheet name="Sheet2" sheetId="2" r:id="rId2"/>
  </sheets>
  <externalReferences>
    <externalReference r:id="rId3"/>
  </externalReferences>
  <calcPr calcId="152511"/>
</workbook>
</file>

<file path=xl/calcChain.xml><?xml version="1.0" encoding="utf-8"?>
<calcChain xmlns="http://schemas.openxmlformats.org/spreadsheetml/2006/main">
  <c r="I3" i="2" l="1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2" i="2"/>
  <c r="L32" i="2"/>
  <c r="K32" i="2"/>
  <c r="L31" i="2"/>
  <c r="K31" i="2"/>
  <c r="L30" i="2"/>
  <c r="K30" i="2"/>
  <c r="L29" i="2"/>
  <c r="K29" i="2"/>
  <c r="L28" i="2"/>
  <c r="K28" i="2"/>
  <c r="L27" i="2"/>
  <c r="K27" i="2"/>
  <c r="L26" i="2"/>
  <c r="K26" i="2"/>
  <c r="L25" i="2"/>
  <c r="K25" i="2"/>
  <c r="L24" i="2"/>
  <c r="K24" i="2"/>
  <c r="L23" i="2"/>
  <c r="K23" i="2"/>
  <c r="L22" i="2"/>
  <c r="K22" i="2"/>
  <c r="L21" i="2"/>
  <c r="K21" i="2"/>
  <c r="L20" i="2"/>
  <c r="K20" i="2"/>
  <c r="L19" i="2"/>
  <c r="K19" i="2"/>
  <c r="L18" i="2"/>
  <c r="K18" i="2"/>
  <c r="L17" i="2"/>
  <c r="K17" i="2"/>
  <c r="L16" i="2"/>
  <c r="K16" i="2"/>
  <c r="L15" i="2"/>
  <c r="K15" i="2"/>
  <c r="L14" i="2"/>
  <c r="K14" i="2"/>
  <c r="L13" i="2"/>
  <c r="K13" i="2"/>
  <c r="L12" i="2"/>
  <c r="K12" i="2"/>
  <c r="L11" i="2"/>
  <c r="K11" i="2"/>
  <c r="L10" i="2"/>
  <c r="K10" i="2"/>
  <c r="L9" i="2"/>
  <c r="K9" i="2"/>
  <c r="L8" i="2"/>
  <c r="K8" i="2"/>
  <c r="L7" i="2"/>
  <c r="K7" i="2"/>
  <c r="L6" i="2"/>
  <c r="K6" i="2"/>
  <c r="L5" i="2"/>
  <c r="K5" i="2"/>
  <c r="L4" i="2"/>
  <c r="K4" i="2"/>
  <c r="B4" i="2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L3" i="2"/>
  <c r="K3" i="2"/>
  <c r="B3" i="2"/>
  <c r="L2" i="2"/>
  <c r="K2" i="2"/>
  <c r="H35" i="1"/>
  <c r="F35" i="1"/>
  <c r="D35" i="1"/>
  <c r="H34" i="1"/>
  <c r="F34" i="1"/>
  <c r="D34" i="1"/>
  <c r="H33" i="1"/>
  <c r="F33" i="1"/>
  <c r="D33" i="1"/>
  <c r="H32" i="1"/>
  <c r="F32" i="1"/>
  <c r="D32" i="1"/>
  <c r="H31" i="1"/>
  <c r="F31" i="1"/>
  <c r="D31" i="1"/>
  <c r="H30" i="1"/>
  <c r="F30" i="1"/>
  <c r="D30" i="1"/>
  <c r="H29" i="1"/>
  <c r="F29" i="1"/>
  <c r="D29" i="1"/>
  <c r="H28" i="1"/>
  <c r="F28" i="1"/>
  <c r="D28" i="1"/>
  <c r="H27" i="1"/>
  <c r="F27" i="1"/>
  <c r="D27" i="1"/>
  <c r="H26" i="1"/>
  <c r="F26" i="1"/>
  <c r="D26" i="1"/>
  <c r="H25" i="1"/>
  <c r="F25" i="1"/>
  <c r="D25" i="1"/>
  <c r="H24" i="1"/>
  <c r="F24" i="1"/>
  <c r="D24" i="1"/>
  <c r="H23" i="1"/>
  <c r="F23" i="1"/>
  <c r="D23" i="1"/>
  <c r="H22" i="1"/>
  <c r="F22" i="1"/>
  <c r="D22" i="1"/>
  <c r="H21" i="1"/>
  <c r="F21" i="1"/>
  <c r="D21" i="1"/>
  <c r="H20" i="1"/>
  <c r="F20" i="1"/>
  <c r="D20" i="1"/>
  <c r="H19" i="1"/>
  <c r="F19" i="1"/>
  <c r="D19" i="1"/>
  <c r="H18" i="1"/>
  <c r="F18" i="1"/>
  <c r="D18" i="1"/>
  <c r="H17" i="1"/>
  <c r="F17" i="1"/>
  <c r="D17" i="1"/>
  <c r="H16" i="1"/>
  <c r="F16" i="1"/>
  <c r="D16" i="1"/>
  <c r="H15" i="1"/>
  <c r="F15" i="1"/>
  <c r="D15" i="1"/>
  <c r="H14" i="1"/>
  <c r="F14" i="1"/>
  <c r="D14" i="1"/>
  <c r="H13" i="1"/>
  <c r="F13" i="1"/>
  <c r="D13" i="1"/>
  <c r="H12" i="1"/>
  <c r="F12" i="1"/>
  <c r="D12" i="1"/>
  <c r="H11" i="1"/>
  <c r="F11" i="1"/>
  <c r="D11" i="1"/>
  <c r="H10" i="1"/>
  <c r="F10" i="1"/>
  <c r="D10" i="1"/>
  <c r="H9" i="1"/>
  <c r="F9" i="1"/>
  <c r="D9" i="1"/>
  <c r="H8" i="1"/>
  <c r="F8" i="1"/>
  <c r="D8" i="1"/>
  <c r="H7" i="1"/>
  <c r="F7" i="1"/>
  <c r="D7" i="1"/>
  <c r="H6" i="1"/>
  <c r="F6" i="1"/>
  <c r="D6" i="1"/>
  <c r="H5" i="1"/>
  <c r="F5" i="1"/>
  <c r="D5" i="1"/>
</calcChain>
</file>

<file path=xl/sharedStrings.xml><?xml version="1.0" encoding="utf-8"?>
<sst xmlns="http://schemas.openxmlformats.org/spreadsheetml/2006/main" count="56" uniqueCount="25">
  <si>
    <t xml:space="preserve">Days </t>
  </si>
  <si>
    <t xml:space="preserve">Electricity Meter (KWh) </t>
  </si>
  <si>
    <t>Gas m3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</si>
  <si>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</si>
  <si>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</si>
  <si>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</si>
  <si>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</si>
  <si>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</si>
  <si>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>Reading m³</t>
  </si>
  <si>
    <t xml:space="preserve">Daily Consumption m³ </t>
  </si>
  <si>
    <t>ROOM NIGHTS</t>
  </si>
  <si>
    <t>TOTAL GUESTS</t>
  </si>
  <si>
    <t>Site Name</t>
  </si>
  <si>
    <t>Day</t>
  </si>
  <si>
    <t>Month</t>
  </si>
  <si>
    <t>Year</t>
  </si>
  <si>
    <t>Total Electricity Kwh</t>
  </si>
  <si>
    <t>Electricity Tariff ($/Kwh)</t>
  </si>
  <si>
    <t>Natural Gas (m3)</t>
  </si>
  <si>
    <t>Natural Gas $/m3</t>
  </si>
  <si>
    <t>Water Utility Supply (m3) m3</t>
  </si>
  <si>
    <t>Water Utility Supply (m3) $/m3</t>
  </si>
  <si>
    <t xml:space="preserve">Room Nights </t>
  </si>
  <si>
    <t>Food Covers</t>
  </si>
  <si>
    <t>Shenzhen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</si>
</sst>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宋体"/>
      <family val="2"/>
      <scheme val="minor"/>
    </font>
    <font>
      <sz val="11"/>
      <color theme="1"/>
      <name val="宋体"/>
      <family val="2"/>
      <scheme val="minor"/>
    </font>
    <font>
      <sz val="16"/>
      <color theme="1"/>
      <name val="Segoe UI Emoji"/>
      <family val="2"/>
    </font>
    <font>
      <sz val="9"/>
      <name val="宋体"/>
      <family val="3"/>
      <charset val="134"/>
      <scheme val="minor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theme="1"/>
      <name val="宋体"/>
      <family val="2"/>
      <scheme val="minor"/>
    </font>
    <font>
      <b/>
      <sz val="11"/>
      <color rgb="FFFF0000"/>
      <name val="宋体"/>
      <family val="2"/>
      <scheme val="minor"/>
    </font>
    <font>
      <sz val="11"/>
      <color rgb="FFFF0000"/>
      <name val="宋体"/>
      <family val="2"/>
      <scheme val="minor"/>
    </font>
    <font>
      <b/>
      <sz val="11"/>
      <color rgb="FF000000"/>
      <name val="Segoe UI Emoji"/>
      <family val="2"/>
    </font>
    <font>
      <sz val="11"/>
      <color indexed="8"/>
      <name val="Calibri"/>
      <family val="2"/>
    </font>
  </fonts>
  <fills count="9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3">
    <xf numFmtId="0" fontId="0" fillId="0" borderId="0" xfId="0"/>
    <xf numFmtId="0" fontId="2" fillId="2" borderId="0" xfId="1" applyFont="1" applyFill="1" applyAlignment="1">
      <alignment horizontal="center"/>
    </xf>
    <xf numFmtId="0" fontId="2" fillId="2" borderId="1" xfId="1" applyFont="1" applyFill="1" applyBorder="1" applyAlignment="1">
      <alignment horizontal="center"/>
    </xf>
    <xf numFmtId="1" fontId="4" fillId="2" borderId="0" xfId="1" applyNumberFormat="1" applyFont="1" applyFill="1" applyAlignment="1">
      <alignment horizontal="center"/>
    </xf>
    <xf numFmtId="0" fontId="4" fillId="2" borderId="2" xfId="1" applyFont="1" applyFill="1" applyBorder="1" applyAlignment="1">
      <alignment horizontal="center"/>
    </xf>
    <xf numFmtId="1" fontId="1" fillId="0" borderId="1" xfId="1" applyNumberFormat="1" applyBorder="1" applyAlignment="1">
      <alignment horizontal="center"/>
    </xf>
    <xf numFmtId="0" fontId="1" fillId="0" borderId="0" xfId="1"/>
    <xf numFmtId="0" fontId="5" fillId="3" borderId="3" xfId="1" applyFont="1" applyFill="1" applyBorder="1" applyAlignment="1">
      <alignment horizontal="center" vertical="center" wrapText="1"/>
    </xf>
    <xf numFmtId="0" fontId="6" fillId="4" borderId="4" xfId="1" applyFont="1" applyFill="1" applyBorder="1" applyAlignment="1">
      <alignment horizontal="center" vertical="center"/>
    </xf>
    <xf numFmtId="0" fontId="6" fillId="4" borderId="5" xfId="1" applyFont="1" applyFill="1" applyBorder="1" applyAlignment="1">
      <alignment horizontal="center" vertical="center"/>
    </xf>
    <xf numFmtId="0" fontId="6" fillId="4" borderId="6" xfId="1" applyFont="1" applyFill="1" applyBorder="1" applyAlignment="1">
      <alignment horizontal="center" vertical="center"/>
    </xf>
    <xf numFmtId="0" fontId="7" fillId="5" borderId="7" xfId="1" applyFont="1" applyFill="1" applyBorder="1" applyAlignment="1">
      <alignment horizontal="center" vertical="center" wrapText="1"/>
    </xf>
    <xf numFmtId="0" fontId="7" fillId="5" borderId="8" xfId="1" applyFont="1" applyFill="1" applyBorder="1" applyAlignment="1">
      <alignment horizontal="center" vertical="center" wrapText="1"/>
    </xf>
    <xf numFmtId="1" fontId="1" fillId="0" borderId="0" xfId="1" applyNumberFormat="1"/>
    <xf numFmtId="0" fontId="7" fillId="6" borderId="2" xfId="1" applyFont="1" applyFill="1" applyBorder="1" applyAlignment="1">
      <alignment horizontal="center" vertical="center"/>
    </xf>
    <xf numFmtId="0" fontId="7" fillId="7" borderId="9" xfId="1" applyFont="1" applyFill="1" applyBorder="1" applyAlignment="1">
      <alignment horizontal="center" vertical="center" wrapText="1"/>
    </xf>
    <xf numFmtId="1" fontId="7" fillId="7" borderId="2" xfId="1" applyNumberFormat="1" applyFont="1" applyFill="1" applyBorder="1" applyAlignment="1">
      <alignment horizontal="center" vertical="center" wrapText="1"/>
    </xf>
    <xf numFmtId="0" fontId="7" fillId="7" borderId="2" xfId="1" applyFont="1" applyFill="1" applyBorder="1" applyAlignment="1">
      <alignment horizontal="center" vertical="center" wrapText="1"/>
    </xf>
    <xf numFmtId="0" fontId="7" fillId="7" borderId="2" xfId="1" applyFont="1" applyFill="1" applyBorder="1" applyAlignment="1">
      <alignment horizontal="center" wrapText="1"/>
    </xf>
    <xf numFmtId="1" fontId="7" fillId="8" borderId="1" xfId="1" applyNumberFormat="1" applyFont="1" applyFill="1" applyBorder="1" applyAlignment="1">
      <alignment horizontal="center" wrapText="1"/>
    </xf>
    <xf numFmtId="15" fontId="8" fillId="6" borderId="2" xfId="1" applyNumberFormat="1" applyFont="1" applyFill="1" applyBorder="1" applyAlignment="1">
      <alignment horizontal="center" vertical="center"/>
    </xf>
    <xf numFmtId="0" fontId="9" fillId="0" borderId="1" xfId="1" applyFont="1" applyBorder="1" applyAlignment="1">
      <alignment horizontal="center"/>
    </xf>
    <xf numFmtId="1" fontId="8" fillId="0" borderId="0" xfId="1" applyNumberFormat="1" applyFont="1" applyAlignment="1">
      <alignment horizontal="center"/>
    </xf>
    <xf numFmtId="0" fontId="9" fillId="0" borderId="0" xfId="1" applyFont="1" applyAlignment="1">
      <alignment horizontal="center"/>
    </xf>
    <xf numFmtId="0" fontId="9" fillId="0" borderId="0" xfId="1" applyFont="1"/>
    <xf numFmtId="1" fontId="9" fillId="0" borderId="1" xfId="1" applyNumberFormat="1" applyFont="1" applyBorder="1" applyAlignment="1">
      <alignment horizontal="center" vertical="center"/>
    </xf>
    <xf numFmtId="15" fontId="7" fillId="6" borderId="2" xfId="1" applyNumberFormat="1" applyFont="1" applyFill="1" applyBorder="1" applyAlignment="1">
      <alignment horizontal="center" vertical="center"/>
    </xf>
    <xf numFmtId="0" fontId="1" fillId="0" borderId="1" xfId="1" applyBorder="1" applyAlignment="1">
      <alignment horizontal="center"/>
    </xf>
    <xf numFmtId="1" fontId="10" fillId="0" borderId="1" xfId="1" applyNumberFormat="1" applyFont="1" applyBorder="1" applyAlignment="1">
      <alignment horizontal="center" vertical="center"/>
    </xf>
    <xf numFmtId="1" fontId="1" fillId="0" borderId="1" xfId="1" applyNumberFormat="1" applyBorder="1" applyAlignment="1">
      <alignment horizontal="center" vertical="center"/>
    </xf>
    <xf numFmtId="0" fontId="1" fillId="0" borderId="0" xfId="1" applyAlignment="1">
      <alignment horizontal="center"/>
    </xf>
    <xf numFmtId="1" fontId="7" fillId="0" borderId="0" xfId="1" applyNumberFormat="1" applyFont="1" applyAlignment="1">
      <alignment horizontal="center"/>
    </xf>
    <xf numFmtId="1" fontId="1" fillId="0" borderId="0" xfId="1" applyNumberFormat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2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2" fontId="9" fillId="0" borderId="1" xfId="0" applyNumberFormat="1" applyFont="1" applyBorder="1" applyAlignment="1">
      <alignment horizontal="center"/>
    </xf>
  </cellXfs>
  <cellStyles count="2">
    <cellStyle name="Normal 4" xfId="1"/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S%20Shenzhen_HEP_Daily_%20Feb-2022.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henzhen Daily"/>
    </sheetNames>
    <sheetDataSet>
      <sheetData sheetId="0" refreshError="1"/>
      <sheetData sheetId="1" refreshError="1"/>
    </sheetDataSet>
  </externalBook>
</externalLink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5"/>
  <sheetViews>
    <sheetView workbookViewId="0">
      <selection activeCell="N16" sqref="N16"/>
    </sheetView>
  </sheetViews>
  <sheetFormatPr defaultRowHeight="13.5" x14ac:dyDescent="0.15"/>
  <cols>
    <col min="1" max="1" width="12.25" style="6" customWidth="1"/>
    <col min="2" max="2" width="1.75" style="6" customWidth="1"/>
    <col min="3" max="3" width="10.375" style="30" customWidth="1"/>
    <col min="4" max="4" width="11.875" style="31" customWidth="1"/>
    <col min="5" max="5" width="13" style="6" customWidth="1"/>
    <col min="6" max="6" width="13" style="30" customWidth="1"/>
    <col min="7" max="7" width="7.75" style="6" customWidth="1"/>
    <col min="8" max="8" width="11" style="6" customWidth="1"/>
    <col min="9" max="10" width="11.375" style="32" customWidth="1"/>
    <col min="11" max="254" width="9" style="6"/>
    <col min="255" max="255" width="12.25" style="6" customWidth="1"/>
    <col min="256" max="256" width="1.75" style="6" customWidth="1"/>
    <col min="257" max="257" width="10.375" style="6" customWidth="1"/>
    <col min="258" max="258" width="11.875" style="6" customWidth="1"/>
    <col min="259" max="260" width="12.125" style="6" customWidth="1"/>
    <col min="261" max="262" width="13" style="6" customWidth="1"/>
    <col min="263" max="263" width="7.75" style="6" customWidth="1"/>
    <col min="264" max="264" width="11" style="6" customWidth="1"/>
    <col min="265" max="266" width="11.375" style="6" customWidth="1"/>
    <col min="267" max="510" width="9" style="6"/>
    <col min="511" max="511" width="12.25" style="6" customWidth="1"/>
    <col min="512" max="512" width="1.75" style="6" customWidth="1"/>
    <col min="513" max="513" width="10.375" style="6" customWidth="1"/>
    <col min="514" max="514" width="11.875" style="6" customWidth="1"/>
    <col min="515" max="516" width="12.125" style="6" customWidth="1"/>
    <col min="517" max="518" width="13" style="6" customWidth="1"/>
    <col min="519" max="519" width="7.75" style="6" customWidth="1"/>
    <col min="520" max="520" width="11" style="6" customWidth="1"/>
    <col min="521" max="522" width="11.375" style="6" customWidth="1"/>
    <col min="523" max="766" width="9" style="6"/>
    <col min="767" max="767" width="12.25" style="6" customWidth="1"/>
    <col min="768" max="768" width="1.75" style="6" customWidth="1"/>
    <col min="769" max="769" width="10.375" style="6" customWidth="1"/>
    <col min="770" max="770" width="11.875" style="6" customWidth="1"/>
    <col min="771" max="772" width="12.125" style="6" customWidth="1"/>
    <col min="773" max="774" width="13" style="6" customWidth="1"/>
    <col min="775" max="775" width="7.75" style="6" customWidth="1"/>
    <col min="776" max="776" width="11" style="6" customWidth="1"/>
    <col min="777" max="778" width="11.375" style="6" customWidth="1"/>
    <col min="779" max="1022" width="9" style="6"/>
    <col min="1023" max="1023" width="12.25" style="6" customWidth="1"/>
    <col min="1024" max="1024" width="1.75" style="6" customWidth="1"/>
    <col min="1025" max="1025" width="10.375" style="6" customWidth="1"/>
    <col min="1026" max="1026" width="11.875" style="6" customWidth="1"/>
    <col min="1027" max="1028" width="12.125" style="6" customWidth="1"/>
    <col min="1029" max="1030" width="13" style="6" customWidth="1"/>
    <col min="1031" max="1031" width="7.75" style="6" customWidth="1"/>
    <col min="1032" max="1032" width="11" style="6" customWidth="1"/>
    <col min="1033" max="1034" width="11.375" style="6" customWidth="1"/>
    <col min="1035" max="1278" width="9" style="6"/>
    <col min="1279" max="1279" width="12.25" style="6" customWidth="1"/>
    <col min="1280" max="1280" width="1.75" style="6" customWidth="1"/>
    <col min="1281" max="1281" width="10.375" style="6" customWidth="1"/>
    <col min="1282" max="1282" width="11.875" style="6" customWidth="1"/>
    <col min="1283" max="1284" width="12.125" style="6" customWidth="1"/>
    <col min="1285" max="1286" width="13" style="6" customWidth="1"/>
    <col min="1287" max="1287" width="7.75" style="6" customWidth="1"/>
    <col min="1288" max="1288" width="11" style="6" customWidth="1"/>
    <col min="1289" max="1290" width="11.375" style="6" customWidth="1"/>
    <col min="1291" max="1534" width="9" style="6"/>
    <col min="1535" max="1535" width="12.25" style="6" customWidth="1"/>
    <col min="1536" max="1536" width="1.75" style="6" customWidth="1"/>
    <col min="1537" max="1537" width="10.375" style="6" customWidth="1"/>
    <col min="1538" max="1538" width="11.875" style="6" customWidth="1"/>
    <col min="1539" max="1540" width="12.125" style="6" customWidth="1"/>
    <col min="1541" max="1542" width="13" style="6" customWidth="1"/>
    <col min="1543" max="1543" width="7.75" style="6" customWidth="1"/>
    <col min="1544" max="1544" width="11" style="6" customWidth="1"/>
    <col min="1545" max="1546" width="11.375" style="6" customWidth="1"/>
    <col min="1547" max="1790" width="9" style="6"/>
    <col min="1791" max="1791" width="12.25" style="6" customWidth="1"/>
    <col min="1792" max="1792" width="1.75" style="6" customWidth="1"/>
    <col min="1793" max="1793" width="10.375" style="6" customWidth="1"/>
    <col min="1794" max="1794" width="11.875" style="6" customWidth="1"/>
    <col min="1795" max="1796" width="12.125" style="6" customWidth="1"/>
    <col min="1797" max="1798" width="13" style="6" customWidth="1"/>
    <col min="1799" max="1799" width="7.75" style="6" customWidth="1"/>
    <col min="1800" max="1800" width="11" style="6" customWidth="1"/>
    <col min="1801" max="1802" width="11.375" style="6" customWidth="1"/>
    <col min="1803" max="2046" width="9" style="6"/>
    <col min="2047" max="2047" width="12.25" style="6" customWidth="1"/>
    <col min="2048" max="2048" width="1.75" style="6" customWidth="1"/>
    <col min="2049" max="2049" width="10.375" style="6" customWidth="1"/>
    <col min="2050" max="2050" width="11.875" style="6" customWidth="1"/>
    <col min="2051" max="2052" width="12.125" style="6" customWidth="1"/>
    <col min="2053" max="2054" width="13" style="6" customWidth="1"/>
    <col min="2055" max="2055" width="7.75" style="6" customWidth="1"/>
    <col min="2056" max="2056" width="11" style="6" customWidth="1"/>
    <col min="2057" max="2058" width="11.375" style="6" customWidth="1"/>
    <col min="2059" max="2302" width="9" style="6"/>
    <col min="2303" max="2303" width="12.25" style="6" customWidth="1"/>
    <col min="2304" max="2304" width="1.75" style="6" customWidth="1"/>
    <col min="2305" max="2305" width="10.375" style="6" customWidth="1"/>
    <col min="2306" max="2306" width="11.875" style="6" customWidth="1"/>
    <col min="2307" max="2308" width="12.125" style="6" customWidth="1"/>
    <col min="2309" max="2310" width="13" style="6" customWidth="1"/>
    <col min="2311" max="2311" width="7.75" style="6" customWidth="1"/>
    <col min="2312" max="2312" width="11" style="6" customWidth="1"/>
    <col min="2313" max="2314" width="11.375" style="6" customWidth="1"/>
    <col min="2315" max="2558" width="9" style="6"/>
    <col min="2559" max="2559" width="12.25" style="6" customWidth="1"/>
    <col min="2560" max="2560" width="1.75" style="6" customWidth="1"/>
    <col min="2561" max="2561" width="10.375" style="6" customWidth="1"/>
    <col min="2562" max="2562" width="11.875" style="6" customWidth="1"/>
    <col min="2563" max="2564" width="12.125" style="6" customWidth="1"/>
    <col min="2565" max="2566" width="13" style="6" customWidth="1"/>
    <col min="2567" max="2567" width="7.75" style="6" customWidth="1"/>
    <col min="2568" max="2568" width="11" style="6" customWidth="1"/>
    <col min="2569" max="2570" width="11.375" style="6" customWidth="1"/>
    <col min="2571" max="2814" width="9" style="6"/>
    <col min="2815" max="2815" width="12.25" style="6" customWidth="1"/>
    <col min="2816" max="2816" width="1.75" style="6" customWidth="1"/>
    <col min="2817" max="2817" width="10.375" style="6" customWidth="1"/>
    <col min="2818" max="2818" width="11.875" style="6" customWidth="1"/>
    <col min="2819" max="2820" width="12.125" style="6" customWidth="1"/>
    <col min="2821" max="2822" width="13" style="6" customWidth="1"/>
    <col min="2823" max="2823" width="7.75" style="6" customWidth="1"/>
    <col min="2824" max="2824" width="11" style="6" customWidth="1"/>
    <col min="2825" max="2826" width="11.375" style="6" customWidth="1"/>
    <col min="2827" max="3070" width="9" style="6"/>
    <col min="3071" max="3071" width="12.25" style="6" customWidth="1"/>
    <col min="3072" max="3072" width="1.75" style="6" customWidth="1"/>
    <col min="3073" max="3073" width="10.375" style="6" customWidth="1"/>
    <col min="3074" max="3074" width="11.875" style="6" customWidth="1"/>
    <col min="3075" max="3076" width="12.125" style="6" customWidth="1"/>
    <col min="3077" max="3078" width="13" style="6" customWidth="1"/>
    <col min="3079" max="3079" width="7.75" style="6" customWidth="1"/>
    <col min="3080" max="3080" width="11" style="6" customWidth="1"/>
    <col min="3081" max="3082" width="11.375" style="6" customWidth="1"/>
    <col min="3083" max="3326" width="9" style="6"/>
    <col min="3327" max="3327" width="12.25" style="6" customWidth="1"/>
    <col min="3328" max="3328" width="1.75" style="6" customWidth="1"/>
    <col min="3329" max="3329" width="10.375" style="6" customWidth="1"/>
    <col min="3330" max="3330" width="11.875" style="6" customWidth="1"/>
    <col min="3331" max="3332" width="12.125" style="6" customWidth="1"/>
    <col min="3333" max="3334" width="13" style="6" customWidth="1"/>
    <col min="3335" max="3335" width="7.75" style="6" customWidth="1"/>
    <col min="3336" max="3336" width="11" style="6" customWidth="1"/>
    <col min="3337" max="3338" width="11.375" style="6" customWidth="1"/>
    <col min="3339" max="3582" width="9" style="6"/>
    <col min="3583" max="3583" width="12.25" style="6" customWidth="1"/>
    <col min="3584" max="3584" width="1.75" style="6" customWidth="1"/>
    <col min="3585" max="3585" width="10.375" style="6" customWidth="1"/>
    <col min="3586" max="3586" width="11.875" style="6" customWidth="1"/>
    <col min="3587" max="3588" width="12.125" style="6" customWidth="1"/>
    <col min="3589" max="3590" width="13" style="6" customWidth="1"/>
    <col min="3591" max="3591" width="7.75" style="6" customWidth="1"/>
    <col min="3592" max="3592" width="11" style="6" customWidth="1"/>
    <col min="3593" max="3594" width="11.375" style="6" customWidth="1"/>
    <col min="3595" max="3838" width="9" style="6"/>
    <col min="3839" max="3839" width="12.25" style="6" customWidth="1"/>
    <col min="3840" max="3840" width="1.75" style="6" customWidth="1"/>
    <col min="3841" max="3841" width="10.375" style="6" customWidth="1"/>
    <col min="3842" max="3842" width="11.875" style="6" customWidth="1"/>
    <col min="3843" max="3844" width="12.125" style="6" customWidth="1"/>
    <col min="3845" max="3846" width="13" style="6" customWidth="1"/>
    <col min="3847" max="3847" width="7.75" style="6" customWidth="1"/>
    <col min="3848" max="3848" width="11" style="6" customWidth="1"/>
    <col min="3849" max="3850" width="11.375" style="6" customWidth="1"/>
    <col min="3851" max="4094" width="9" style="6"/>
    <col min="4095" max="4095" width="12.25" style="6" customWidth="1"/>
    <col min="4096" max="4096" width="1.75" style="6" customWidth="1"/>
    <col min="4097" max="4097" width="10.375" style="6" customWidth="1"/>
    <col min="4098" max="4098" width="11.875" style="6" customWidth="1"/>
    <col min="4099" max="4100" width="12.125" style="6" customWidth="1"/>
    <col min="4101" max="4102" width="13" style="6" customWidth="1"/>
    <col min="4103" max="4103" width="7.75" style="6" customWidth="1"/>
    <col min="4104" max="4104" width="11" style="6" customWidth="1"/>
    <col min="4105" max="4106" width="11.375" style="6" customWidth="1"/>
    <col min="4107" max="4350" width="9" style="6"/>
    <col min="4351" max="4351" width="12.25" style="6" customWidth="1"/>
    <col min="4352" max="4352" width="1.75" style="6" customWidth="1"/>
    <col min="4353" max="4353" width="10.375" style="6" customWidth="1"/>
    <col min="4354" max="4354" width="11.875" style="6" customWidth="1"/>
    <col min="4355" max="4356" width="12.125" style="6" customWidth="1"/>
    <col min="4357" max="4358" width="13" style="6" customWidth="1"/>
    <col min="4359" max="4359" width="7.75" style="6" customWidth="1"/>
    <col min="4360" max="4360" width="11" style="6" customWidth="1"/>
    <col min="4361" max="4362" width="11.375" style="6" customWidth="1"/>
    <col min="4363" max="4606" width="9" style="6"/>
    <col min="4607" max="4607" width="12.25" style="6" customWidth="1"/>
    <col min="4608" max="4608" width="1.75" style="6" customWidth="1"/>
    <col min="4609" max="4609" width="10.375" style="6" customWidth="1"/>
    <col min="4610" max="4610" width="11.875" style="6" customWidth="1"/>
    <col min="4611" max="4612" width="12.125" style="6" customWidth="1"/>
    <col min="4613" max="4614" width="13" style="6" customWidth="1"/>
    <col min="4615" max="4615" width="7.75" style="6" customWidth="1"/>
    <col min="4616" max="4616" width="11" style="6" customWidth="1"/>
    <col min="4617" max="4618" width="11.375" style="6" customWidth="1"/>
    <col min="4619" max="4862" width="9" style="6"/>
    <col min="4863" max="4863" width="12.25" style="6" customWidth="1"/>
    <col min="4864" max="4864" width="1.75" style="6" customWidth="1"/>
    <col min="4865" max="4865" width="10.375" style="6" customWidth="1"/>
    <col min="4866" max="4866" width="11.875" style="6" customWidth="1"/>
    <col min="4867" max="4868" width="12.125" style="6" customWidth="1"/>
    <col min="4869" max="4870" width="13" style="6" customWidth="1"/>
    <col min="4871" max="4871" width="7.75" style="6" customWidth="1"/>
    <col min="4872" max="4872" width="11" style="6" customWidth="1"/>
    <col min="4873" max="4874" width="11.375" style="6" customWidth="1"/>
    <col min="4875" max="5118" width="9" style="6"/>
    <col min="5119" max="5119" width="12.25" style="6" customWidth="1"/>
    <col min="5120" max="5120" width="1.75" style="6" customWidth="1"/>
    <col min="5121" max="5121" width="10.375" style="6" customWidth="1"/>
    <col min="5122" max="5122" width="11.875" style="6" customWidth="1"/>
    <col min="5123" max="5124" width="12.125" style="6" customWidth="1"/>
    <col min="5125" max="5126" width="13" style="6" customWidth="1"/>
    <col min="5127" max="5127" width="7.75" style="6" customWidth="1"/>
    <col min="5128" max="5128" width="11" style="6" customWidth="1"/>
    <col min="5129" max="5130" width="11.375" style="6" customWidth="1"/>
    <col min="5131" max="5374" width="9" style="6"/>
    <col min="5375" max="5375" width="12.25" style="6" customWidth="1"/>
    <col min="5376" max="5376" width="1.75" style="6" customWidth="1"/>
    <col min="5377" max="5377" width="10.375" style="6" customWidth="1"/>
    <col min="5378" max="5378" width="11.875" style="6" customWidth="1"/>
    <col min="5379" max="5380" width="12.125" style="6" customWidth="1"/>
    <col min="5381" max="5382" width="13" style="6" customWidth="1"/>
    <col min="5383" max="5383" width="7.75" style="6" customWidth="1"/>
    <col min="5384" max="5384" width="11" style="6" customWidth="1"/>
    <col min="5385" max="5386" width="11.375" style="6" customWidth="1"/>
    <col min="5387" max="5630" width="9" style="6"/>
    <col min="5631" max="5631" width="12.25" style="6" customWidth="1"/>
    <col min="5632" max="5632" width="1.75" style="6" customWidth="1"/>
    <col min="5633" max="5633" width="10.375" style="6" customWidth="1"/>
    <col min="5634" max="5634" width="11.875" style="6" customWidth="1"/>
    <col min="5635" max="5636" width="12.125" style="6" customWidth="1"/>
    <col min="5637" max="5638" width="13" style="6" customWidth="1"/>
    <col min="5639" max="5639" width="7.75" style="6" customWidth="1"/>
    <col min="5640" max="5640" width="11" style="6" customWidth="1"/>
    <col min="5641" max="5642" width="11.375" style="6" customWidth="1"/>
    <col min="5643" max="5886" width="9" style="6"/>
    <col min="5887" max="5887" width="12.25" style="6" customWidth="1"/>
    <col min="5888" max="5888" width="1.75" style="6" customWidth="1"/>
    <col min="5889" max="5889" width="10.375" style="6" customWidth="1"/>
    <col min="5890" max="5890" width="11.875" style="6" customWidth="1"/>
    <col min="5891" max="5892" width="12.125" style="6" customWidth="1"/>
    <col min="5893" max="5894" width="13" style="6" customWidth="1"/>
    <col min="5895" max="5895" width="7.75" style="6" customWidth="1"/>
    <col min="5896" max="5896" width="11" style="6" customWidth="1"/>
    <col min="5897" max="5898" width="11.375" style="6" customWidth="1"/>
    <col min="5899" max="6142" width="9" style="6"/>
    <col min="6143" max="6143" width="12.25" style="6" customWidth="1"/>
    <col min="6144" max="6144" width="1.75" style="6" customWidth="1"/>
    <col min="6145" max="6145" width="10.375" style="6" customWidth="1"/>
    <col min="6146" max="6146" width="11.875" style="6" customWidth="1"/>
    <col min="6147" max="6148" width="12.125" style="6" customWidth="1"/>
    <col min="6149" max="6150" width="13" style="6" customWidth="1"/>
    <col min="6151" max="6151" width="7.75" style="6" customWidth="1"/>
    <col min="6152" max="6152" width="11" style="6" customWidth="1"/>
    <col min="6153" max="6154" width="11.375" style="6" customWidth="1"/>
    <col min="6155" max="6398" width="9" style="6"/>
    <col min="6399" max="6399" width="12.25" style="6" customWidth="1"/>
    <col min="6400" max="6400" width="1.75" style="6" customWidth="1"/>
    <col min="6401" max="6401" width="10.375" style="6" customWidth="1"/>
    <col min="6402" max="6402" width="11.875" style="6" customWidth="1"/>
    <col min="6403" max="6404" width="12.125" style="6" customWidth="1"/>
    <col min="6405" max="6406" width="13" style="6" customWidth="1"/>
    <col min="6407" max="6407" width="7.75" style="6" customWidth="1"/>
    <col min="6408" max="6408" width="11" style="6" customWidth="1"/>
    <col min="6409" max="6410" width="11.375" style="6" customWidth="1"/>
    <col min="6411" max="6654" width="9" style="6"/>
    <col min="6655" max="6655" width="12.25" style="6" customWidth="1"/>
    <col min="6656" max="6656" width="1.75" style="6" customWidth="1"/>
    <col min="6657" max="6657" width="10.375" style="6" customWidth="1"/>
    <col min="6658" max="6658" width="11.875" style="6" customWidth="1"/>
    <col min="6659" max="6660" width="12.125" style="6" customWidth="1"/>
    <col min="6661" max="6662" width="13" style="6" customWidth="1"/>
    <col min="6663" max="6663" width="7.75" style="6" customWidth="1"/>
    <col min="6664" max="6664" width="11" style="6" customWidth="1"/>
    <col min="6665" max="6666" width="11.375" style="6" customWidth="1"/>
    <col min="6667" max="6910" width="9" style="6"/>
    <col min="6911" max="6911" width="12.25" style="6" customWidth="1"/>
    <col min="6912" max="6912" width="1.75" style="6" customWidth="1"/>
    <col min="6913" max="6913" width="10.375" style="6" customWidth="1"/>
    <col min="6914" max="6914" width="11.875" style="6" customWidth="1"/>
    <col min="6915" max="6916" width="12.125" style="6" customWidth="1"/>
    <col min="6917" max="6918" width="13" style="6" customWidth="1"/>
    <col min="6919" max="6919" width="7.75" style="6" customWidth="1"/>
    <col min="6920" max="6920" width="11" style="6" customWidth="1"/>
    <col min="6921" max="6922" width="11.375" style="6" customWidth="1"/>
    <col min="6923" max="7166" width="9" style="6"/>
    <col min="7167" max="7167" width="12.25" style="6" customWidth="1"/>
    <col min="7168" max="7168" width="1.75" style="6" customWidth="1"/>
    <col min="7169" max="7169" width="10.375" style="6" customWidth="1"/>
    <col min="7170" max="7170" width="11.875" style="6" customWidth="1"/>
    <col min="7171" max="7172" width="12.125" style="6" customWidth="1"/>
    <col min="7173" max="7174" width="13" style="6" customWidth="1"/>
    <col min="7175" max="7175" width="7.75" style="6" customWidth="1"/>
    <col min="7176" max="7176" width="11" style="6" customWidth="1"/>
    <col min="7177" max="7178" width="11.375" style="6" customWidth="1"/>
    <col min="7179" max="7422" width="9" style="6"/>
    <col min="7423" max="7423" width="12.25" style="6" customWidth="1"/>
    <col min="7424" max="7424" width="1.75" style="6" customWidth="1"/>
    <col min="7425" max="7425" width="10.375" style="6" customWidth="1"/>
    <col min="7426" max="7426" width="11.875" style="6" customWidth="1"/>
    <col min="7427" max="7428" width="12.125" style="6" customWidth="1"/>
    <col min="7429" max="7430" width="13" style="6" customWidth="1"/>
    <col min="7431" max="7431" width="7.75" style="6" customWidth="1"/>
    <col min="7432" max="7432" width="11" style="6" customWidth="1"/>
    <col min="7433" max="7434" width="11.375" style="6" customWidth="1"/>
    <col min="7435" max="7678" width="9" style="6"/>
    <col min="7679" max="7679" width="12.25" style="6" customWidth="1"/>
    <col min="7680" max="7680" width="1.75" style="6" customWidth="1"/>
    <col min="7681" max="7681" width="10.375" style="6" customWidth="1"/>
    <col min="7682" max="7682" width="11.875" style="6" customWidth="1"/>
    <col min="7683" max="7684" width="12.125" style="6" customWidth="1"/>
    <col min="7685" max="7686" width="13" style="6" customWidth="1"/>
    <col min="7687" max="7687" width="7.75" style="6" customWidth="1"/>
    <col min="7688" max="7688" width="11" style="6" customWidth="1"/>
    <col min="7689" max="7690" width="11.375" style="6" customWidth="1"/>
    <col min="7691" max="7934" width="9" style="6"/>
    <col min="7935" max="7935" width="12.25" style="6" customWidth="1"/>
    <col min="7936" max="7936" width="1.75" style="6" customWidth="1"/>
    <col min="7937" max="7937" width="10.375" style="6" customWidth="1"/>
    <col min="7938" max="7938" width="11.875" style="6" customWidth="1"/>
    <col min="7939" max="7940" width="12.125" style="6" customWidth="1"/>
    <col min="7941" max="7942" width="13" style="6" customWidth="1"/>
    <col min="7943" max="7943" width="7.75" style="6" customWidth="1"/>
    <col min="7944" max="7944" width="11" style="6" customWidth="1"/>
    <col min="7945" max="7946" width="11.375" style="6" customWidth="1"/>
    <col min="7947" max="8190" width="9" style="6"/>
    <col min="8191" max="8191" width="12.25" style="6" customWidth="1"/>
    <col min="8192" max="8192" width="1.75" style="6" customWidth="1"/>
    <col min="8193" max="8193" width="10.375" style="6" customWidth="1"/>
    <col min="8194" max="8194" width="11.875" style="6" customWidth="1"/>
    <col min="8195" max="8196" width="12.125" style="6" customWidth="1"/>
    <col min="8197" max="8198" width="13" style="6" customWidth="1"/>
    <col min="8199" max="8199" width="7.75" style="6" customWidth="1"/>
    <col min="8200" max="8200" width="11" style="6" customWidth="1"/>
    <col min="8201" max="8202" width="11.375" style="6" customWidth="1"/>
    <col min="8203" max="8446" width="9" style="6"/>
    <col min="8447" max="8447" width="12.25" style="6" customWidth="1"/>
    <col min="8448" max="8448" width="1.75" style="6" customWidth="1"/>
    <col min="8449" max="8449" width="10.375" style="6" customWidth="1"/>
    <col min="8450" max="8450" width="11.875" style="6" customWidth="1"/>
    <col min="8451" max="8452" width="12.125" style="6" customWidth="1"/>
    <col min="8453" max="8454" width="13" style="6" customWidth="1"/>
    <col min="8455" max="8455" width="7.75" style="6" customWidth="1"/>
    <col min="8456" max="8456" width="11" style="6" customWidth="1"/>
    <col min="8457" max="8458" width="11.375" style="6" customWidth="1"/>
    <col min="8459" max="8702" width="9" style="6"/>
    <col min="8703" max="8703" width="12.25" style="6" customWidth="1"/>
    <col min="8704" max="8704" width="1.75" style="6" customWidth="1"/>
    <col min="8705" max="8705" width="10.375" style="6" customWidth="1"/>
    <col min="8706" max="8706" width="11.875" style="6" customWidth="1"/>
    <col min="8707" max="8708" width="12.125" style="6" customWidth="1"/>
    <col min="8709" max="8710" width="13" style="6" customWidth="1"/>
    <col min="8711" max="8711" width="7.75" style="6" customWidth="1"/>
    <col min="8712" max="8712" width="11" style="6" customWidth="1"/>
    <col min="8713" max="8714" width="11.375" style="6" customWidth="1"/>
    <col min="8715" max="8958" width="9" style="6"/>
    <col min="8959" max="8959" width="12.25" style="6" customWidth="1"/>
    <col min="8960" max="8960" width="1.75" style="6" customWidth="1"/>
    <col min="8961" max="8961" width="10.375" style="6" customWidth="1"/>
    <col min="8962" max="8962" width="11.875" style="6" customWidth="1"/>
    <col min="8963" max="8964" width="12.125" style="6" customWidth="1"/>
    <col min="8965" max="8966" width="13" style="6" customWidth="1"/>
    <col min="8967" max="8967" width="7.75" style="6" customWidth="1"/>
    <col min="8968" max="8968" width="11" style="6" customWidth="1"/>
    <col min="8969" max="8970" width="11.375" style="6" customWidth="1"/>
    <col min="8971" max="9214" width="9" style="6"/>
    <col min="9215" max="9215" width="12.25" style="6" customWidth="1"/>
    <col min="9216" max="9216" width="1.75" style="6" customWidth="1"/>
    <col min="9217" max="9217" width="10.375" style="6" customWidth="1"/>
    <col min="9218" max="9218" width="11.875" style="6" customWidth="1"/>
    <col min="9219" max="9220" width="12.125" style="6" customWidth="1"/>
    <col min="9221" max="9222" width="13" style="6" customWidth="1"/>
    <col min="9223" max="9223" width="7.75" style="6" customWidth="1"/>
    <col min="9224" max="9224" width="11" style="6" customWidth="1"/>
    <col min="9225" max="9226" width="11.375" style="6" customWidth="1"/>
    <col min="9227" max="9470" width="9" style="6"/>
    <col min="9471" max="9471" width="12.25" style="6" customWidth="1"/>
    <col min="9472" max="9472" width="1.75" style="6" customWidth="1"/>
    <col min="9473" max="9473" width="10.375" style="6" customWidth="1"/>
    <col min="9474" max="9474" width="11.875" style="6" customWidth="1"/>
    <col min="9475" max="9476" width="12.125" style="6" customWidth="1"/>
    <col min="9477" max="9478" width="13" style="6" customWidth="1"/>
    <col min="9479" max="9479" width="7.75" style="6" customWidth="1"/>
    <col min="9480" max="9480" width="11" style="6" customWidth="1"/>
    <col min="9481" max="9482" width="11.375" style="6" customWidth="1"/>
    <col min="9483" max="9726" width="9" style="6"/>
    <col min="9727" max="9727" width="12.25" style="6" customWidth="1"/>
    <col min="9728" max="9728" width="1.75" style="6" customWidth="1"/>
    <col min="9729" max="9729" width="10.375" style="6" customWidth="1"/>
    <col min="9730" max="9730" width="11.875" style="6" customWidth="1"/>
    <col min="9731" max="9732" width="12.125" style="6" customWidth="1"/>
    <col min="9733" max="9734" width="13" style="6" customWidth="1"/>
    <col min="9735" max="9735" width="7.75" style="6" customWidth="1"/>
    <col min="9736" max="9736" width="11" style="6" customWidth="1"/>
    <col min="9737" max="9738" width="11.375" style="6" customWidth="1"/>
    <col min="9739" max="9982" width="9" style="6"/>
    <col min="9983" max="9983" width="12.25" style="6" customWidth="1"/>
    <col min="9984" max="9984" width="1.75" style="6" customWidth="1"/>
    <col min="9985" max="9985" width="10.375" style="6" customWidth="1"/>
    <col min="9986" max="9986" width="11.875" style="6" customWidth="1"/>
    <col min="9987" max="9988" width="12.125" style="6" customWidth="1"/>
    <col min="9989" max="9990" width="13" style="6" customWidth="1"/>
    <col min="9991" max="9991" width="7.75" style="6" customWidth="1"/>
    <col min="9992" max="9992" width="11" style="6" customWidth="1"/>
    <col min="9993" max="9994" width="11.375" style="6" customWidth="1"/>
    <col min="9995" max="10238" width="9" style="6"/>
    <col min="10239" max="10239" width="12.25" style="6" customWidth="1"/>
    <col min="10240" max="10240" width="1.75" style="6" customWidth="1"/>
    <col min="10241" max="10241" width="10.375" style="6" customWidth="1"/>
    <col min="10242" max="10242" width="11.875" style="6" customWidth="1"/>
    <col min="10243" max="10244" width="12.125" style="6" customWidth="1"/>
    <col min="10245" max="10246" width="13" style="6" customWidth="1"/>
    <col min="10247" max="10247" width="7.75" style="6" customWidth="1"/>
    <col min="10248" max="10248" width="11" style="6" customWidth="1"/>
    <col min="10249" max="10250" width="11.375" style="6" customWidth="1"/>
    <col min="10251" max="10494" width="9" style="6"/>
    <col min="10495" max="10495" width="12.25" style="6" customWidth="1"/>
    <col min="10496" max="10496" width="1.75" style="6" customWidth="1"/>
    <col min="10497" max="10497" width="10.375" style="6" customWidth="1"/>
    <col min="10498" max="10498" width="11.875" style="6" customWidth="1"/>
    <col min="10499" max="10500" width="12.125" style="6" customWidth="1"/>
    <col min="10501" max="10502" width="13" style="6" customWidth="1"/>
    <col min="10503" max="10503" width="7.75" style="6" customWidth="1"/>
    <col min="10504" max="10504" width="11" style="6" customWidth="1"/>
    <col min="10505" max="10506" width="11.375" style="6" customWidth="1"/>
    <col min="10507" max="10750" width="9" style="6"/>
    <col min="10751" max="10751" width="12.25" style="6" customWidth="1"/>
    <col min="10752" max="10752" width="1.75" style="6" customWidth="1"/>
    <col min="10753" max="10753" width="10.375" style="6" customWidth="1"/>
    <col min="10754" max="10754" width="11.875" style="6" customWidth="1"/>
    <col min="10755" max="10756" width="12.125" style="6" customWidth="1"/>
    <col min="10757" max="10758" width="13" style="6" customWidth="1"/>
    <col min="10759" max="10759" width="7.75" style="6" customWidth="1"/>
    <col min="10760" max="10760" width="11" style="6" customWidth="1"/>
    <col min="10761" max="10762" width="11.375" style="6" customWidth="1"/>
    <col min="10763" max="11006" width="9" style="6"/>
    <col min="11007" max="11007" width="12.25" style="6" customWidth="1"/>
    <col min="11008" max="11008" width="1.75" style="6" customWidth="1"/>
    <col min="11009" max="11009" width="10.375" style="6" customWidth="1"/>
    <col min="11010" max="11010" width="11.875" style="6" customWidth="1"/>
    <col min="11011" max="11012" width="12.125" style="6" customWidth="1"/>
    <col min="11013" max="11014" width="13" style="6" customWidth="1"/>
    <col min="11015" max="11015" width="7.75" style="6" customWidth="1"/>
    <col min="11016" max="11016" width="11" style="6" customWidth="1"/>
    <col min="11017" max="11018" width="11.375" style="6" customWidth="1"/>
    <col min="11019" max="11262" width="9" style="6"/>
    <col min="11263" max="11263" width="12.25" style="6" customWidth="1"/>
    <col min="11264" max="11264" width="1.75" style="6" customWidth="1"/>
    <col min="11265" max="11265" width="10.375" style="6" customWidth="1"/>
    <col min="11266" max="11266" width="11.875" style="6" customWidth="1"/>
    <col min="11267" max="11268" width="12.125" style="6" customWidth="1"/>
    <col min="11269" max="11270" width="13" style="6" customWidth="1"/>
    <col min="11271" max="11271" width="7.75" style="6" customWidth="1"/>
    <col min="11272" max="11272" width="11" style="6" customWidth="1"/>
    <col min="11273" max="11274" width="11.375" style="6" customWidth="1"/>
    <col min="11275" max="11518" width="9" style="6"/>
    <col min="11519" max="11519" width="12.25" style="6" customWidth="1"/>
    <col min="11520" max="11520" width="1.75" style="6" customWidth="1"/>
    <col min="11521" max="11521" width="10.375" style="6" customWidth="1"/>
    <col min="11522" max="11522" width="11.875" style="6" customWidth="1"/>
    <col min="11523" max="11524" width="12.125" style="6" customWidth="1"/>
    <col min="11525" max="11526" width="13" style="6" customWidth="1"/>
    <col min="11527" max="11527" width="7.75" style="6" customWidth="1"/>
    <col min="11528" max="11528" width="11" style="6" customWidth="1"/>
    <col min="11529" max="11530" width="11.375" style="6" customWidth="1"/>
    <col min="11531" max="11774" width="9" style="6"/>
    <col min="11775" max="11775" width="12.25" style="6" customWidth="1"/>
    <col min="11776" max="11776" width="1.75" style="6" customWidth="1"/>
    <col min="11777" max="11777" width="10.375" style="6" customWidth="1"/>
    <col min="11778" max="11778" width="11.875" style="6" customWidth="1"/>
    <col min="11779" max="11780" width="12.125" style="6" customWidth="1"/>
    <col min="11781" max="11782" width="13" style="6" customWidth="1"/>
    <col min="11783" max="11783" width="7.75" style="6" customWidth="1"/>
    <col min="11784" max="11784" width="11" style="6" customWidth="1"/>
    <col min="11785" max="11786" width="11.375" style="6" customWidth="1"/>
    <col min="11787" max="12030" width="9" style="6"/>
    <col min="12031" max="12031" width="12.25" style="6" customWidth="1"/>
    <col min="12032" max="12032" width="1.75" style="6" customWidth="1"/>
    <col min="12033" max="12033" width="10.375" style="6" customWidth="1"/>
    <col min="12034" max="12034" width="11.875" style="6" customWidth="1"/>
    <col min="12035" max="12036" width="12.125" style="6" customWidth="1"/>
    <col min="12037" max="12038" width="13" style="6" customWidth="1"/>
    <col min="12039" max="12039" width="7.75" style="6" customWidth="1"/>
    <col min="12040" max="12040" width="11" style="6" customWidth="1"/>
    <col min="12041" max="12042" width="11.375" style="6" customWidth="1"/>
    <col min="12043" max="12286" width="9" style="6"/>
    <col min="12287" max="12287" width="12.25" style="6" customWidth="1"/>
    <col min="12288" max="12288" width="1.75" style="6" customWidth="1"/>
    <col min="12289" max="12289" width="10.375" style="6" customWidth="1"/>
    <col min="12290" max="12290" width="11.875" style="6" customWidth="1"/>
    <col min="12291" max="12292" width="12.125" style="6" customWidth="1"/>
    <col min="12293" max="12294" width="13" style="6" customWidth="1"/>
    <col min="12295" max="12295" width="7.75" style="6" customWidth="1"/>
    <col min="12296" max="12296" width="11" style="6" customWidth="1"/>
    <col min="12297" max="12298" width="11.375" style="6" customWidth="1"/>
    <col min="12299" max="12542" width="9" style="6"/>
    <col min="12543" max="12543" width="12.25" style="6" customWidth="1"/>
    <col min="12544" max="12544" width="1.75" style="6" customWidth="1"/>
    <col min="12545" max="12545" width="10.375" style="6" customWidth="1"/>
    <col min="12546" max="12546" width="11.875" style="6" customWidth="1"/>
    <col min="12547" max="12548" width="12.125" style="6" customWidth="1"/>
    <col min="12549" max="12550" width="13" style="6" customWidth="1"/>
    <col min="12551" max="12551" width="7.75" style="6" customWidth="1"/>
    <col min="12552" max="12552" width="11" style="6" customWidth="1"/>
    <col min="12553" max="12554" width="11.375" style="6" customWidth="1"/>
    <col min="12555" max="12798" width="9" style="6"/>
    <col min="12799" max="12799" width="12.25" style="6" customWidth="1"/>
    <col min="12800" max="12800" width="1.75" style="6" customWidth="1"/>
    <col min="12801" max="12801" width="10.375" style="6" customWidth="1"/>
    <col min="12802" max="12802" width="11.875" style="6" customWidth="1"/>
    <col min="12803" max="12804" width="12.125" style="6" customWidth="1"/>
    <col min="12805" max="12806" width="13" style="6" customWidth="1"/>
    <col min="12807" max="12807" width="7.75" style="6" customWidth="1"/>
    <col min="12808" max="12808" width="11" style="6" customWidth="1"/>
    <col min="12809" max="12810" width="11.375" style="6" customWidth="1"/>
    <col min="12811" max="13054" width="9" style="6"/>
    <col min="13055" max="13055" width="12.25" style="6" customWidth="1"/>
    <col min="13056" max="13056" width="1.75" style="6" customWidth="1"/>
    <col min="13057" max="13057" width="10.375" style="6" customWidth="1"/>
    <col min="13058" max="13058" width="11.875" style="6" customWidth="1"/>
    <col min="13059" max="13060" width="12.125" style="6" customWidth="1"/>
    <col min="13061" max="13062" width="13" style="6" customWidth="1"/>
    <col min="13063" max="13063" width="7.75" style="6" customWidth="1"/>
    <col min="13064" max="13064" width="11" style="6" customWidth="1"/>
    <col min="13065" max="13066" width="11.375" style="6" customWidth="1"/>
    <col min="13067" max="13310" width="9" style="6"/>
    <col min="13311" max="13311" width="12.25" style="6" customWidth="1"/>
    <col min="13312" max="13312" width="1.75" style="6" customWidth="1"/>
    <col min="13313" max="13313" width="10.375" style="6" customWidth="1"/>
    <col min="13314" max="13314" width="11.875" style="6" customWidth="1"/>
    <col min="13315" max="13316" width="12.125" style="6" customWidth="1"/>
    <col min="13317" max="13318" width="13" style="6" customWidth="1"/>
    <col min="13319" max="13319" width="7.75" style="6" customWidth="1"/>
    <col min="13320" max="13320" width="11" style="6" customWidth="1"/>
    <col min="13321" max="13322" width="11.375" style="6" customWidth="1"/>
    <col min="13323" max="13566" width="9" style="6"/>
    <col min="13567" max="13567" width="12.25" style="6" customWidth="1"/>
    <col min="13568" max="13568" width="1.75" style="6" customWidth="1"/>
    <col min="13569" max="13569" width="10.375" style="6" customWidth="1"/>
    <col min="13570" max="13570" width="11.875" style="6" customWidth="1"/>
    <col min="13571" max="13572" width="12.125" style="6" customWidth="1"/>
    <col min="13573" max="13574" width="13" style="6" customWidth="1"/>
    <col min="13575" max="13575" width="7.75" style="6" customWidth="1"/>
    <col min="13576" max="13576" width="11" style="6" customWidth="1"/>
    <col min="13577" max="13578" width="11.375" style="6" customWidth="1"/>
    <col min="13579" max="13822" width="9" style="6"/>
    <col min="13823" max="13823" width="12.25" style="6" customWidth="1"/>
    <col min="13824" max="13824" width="1.75" style="6" customWidth="1"/>
    <col min="13825" max="13825" width="10.375" style="6" customWidth="1"/>
    <col min="13826" max="13826" width="11.875" style="6" customWidth="1"/>
    <col min="13827" max="13828" width="12.125" style="6" customWidth="1"/>
    <col min="13829" max="13830" width="13" style="6" customWidth="1"/>
    <col min="13831" max="13831" width="7.75" style="6" customWidth="1"/>
    <col min="13832" max="13832" width="11" style="6" customWidth="1"/>
    <col min="13833" max="13834" width="11.375" style="6" customWidth="1"/>
    <col min="13835" max="14078" width="9" style="6"/>
    <col min="14079" max="14079" width="12.25" style="6" customWidth="1"/>
    <col min="14080" max="14080" width="1.75" style="6" customWidth="1"/>
    <col min="14081" max="14081" width="10.375" style="6" customWidth="1"/>
    <col min="14082" max="14082" width="11.875" style="6" customWidth="1"/>
    <col min="14083" max="14084" width="12.125" style="6" customWidth="1"/>
    <col min="14085" max="14086" width="13" style="6" customWidth="1"/>
    <col min="14087" max="14087" width="7.75" style="6" customWidth="1"/>
    <col min="14088" max="14088" width="11" style="6" customWidth="1"/>
    <col min="14089" max="14090" width="11.375" style="6" customWidth="1"/>
    <col min="14091" max="14334" width="9" style="6"/>
    <col min="14335" max="14335" width="12.25" style="6" customWidth="1"/>
    <col min="14336" max="14336" width="1.75" style="6" customWidth="1"/>
    <col min="14337" max="14337" width="10.375" style="6" customWidth="1"/>
    <col min="14338" max="14338" width="11.875" style="6" customWidth="1"/>
    <col min="14339" max="14340" width="12.125" style="6" customWidth="1"/>
    <col min="14341" max="14342" width="13" style="6" customWidth="1"/>
    <col min="14343" max="14343" width="7.75" style="6" customWidth="1"/>
    <col min="14344" max="14344" width="11" style="6" customWidth="1"/>
    <col min="14345" max="14346" width="11.375" style="6" customWidth="1"/>
    <col min="14347" max="14590" width="9" style="6"/>
    <col min="14591" max="14591" width="12.25" style="6" customWidth="1"/>
    <col min="14592" max="14592" width="1.75" style="6" customWidth="1"/>
    <col min="14593" max="14593" width="10.375" style="6" customWidth="1"/>
    <col min="14594" max="14594" width="11.875" style="6" customWidth="1"/>
    <col min="14595" max="14596" width="12.125" style="6" customWidth="1"/>
    <col min="14597" max="14598" width="13" style="6" customWidth="1"/>
    <col min="14599" max="14599" width="7.75" style="6" customWidth="1"/>
    <col min="14600" max="14600" width="11" style="6" customWidth="1"/>
    <col min="14601" max="14602" width="11.375" style="6" customWidth="1"/>
    <col min="14603" max="14846" width="9" style="6"/>
    <col min="14847" max="14847" width="12.25" style="6" customWidth="1"/>
    <col min="14848" max="14848" width="1.75" style="6" customWidth="1"/>
    <col min="14849" max="14849" width="10.375" style="6" customWidth="1"/>
    <col min="14850" max="14850" width="11.875" style="6" customWidth="1"/>
    <col min="14851" max="14852" width="12.125" style="6" customWidth="1"/>
    <col min="14853" max="14854" width="13" style="6" customWidth="1"/>
    <col min="14855" max="14855" width="7.75" style="6" customWidth="1"/>
    <col min="14856" max="14856" width="11" style="6" customWidth="1"/>
    <col min="14857" max="14858" width="11.375" style="6" customWidth="1"/>
    <col min="14859" max="15102" width="9" style="6"/>
    <col min="15103" max="15103" width="12.25" style="6" customWidth="1"/>
    <col min="15104" max="15104" width="1.75" style="6" customWidth="1"/>
    <col min="15105" max="15105" width="10.375" style="6" customWidth="1"/>
    <col min="15106" max="15106" width="11.875" style="6" customWidth="1"/>
    <col min="15107" max="15108" width="12.125" style="6" customWidth="1"/>
    <col min="15109" max="15110" width="13" style="6" customWidth="1"/>
    <col min="15111" max="15111" width="7.75" style="6" customWidth="1"/>
    <col min="15112" max="15112" width="11" style="6" customWidth="1"/>
    <col min="15113" max="15114" width="11.375" style="6" customWidth="1"/>
    <col min="15115" max="15358" width="9" style="6"/>
    <col min="15359" max="15359" width="12.25" style="6" customWidth="1"/>
    <col min="15360" max="15360" width="1.75" style="6" customWidth="1"/>
    <col min="15361" max="15361" width="10.375" style="6" customWidth="1"/>
    <col min="15362" max="15362" width="11.875" style="6" customWidth="1"/>
    <col min="15363" max="15364" width="12.125" style="6" customWidth="1"/>
    <col min="15365" max="15366" width="13" style="6" customWidth="1"/>
    <col min="15367" max="15367" width="7.75" style="6" customWidth="1"/>
    <col min="15368" max="15368" width="11" style="6" customWidth="1"/>
    <col min="15369" max="15370" width="11.375" style="6" customWidth="1"/>
    <col min="15371" max="15614" width="9" style="6"/>
    <col min="15615" max="15615" width="12.25" style="6" customWidth="1"/>
    <col min="15616" max="15616" width="1.75" style="6" customWidth="1"/>
    <col min="15617" max="15617" width="10.375" style="6" customWidth="1"/>
    <col min="15618" max="15618" width="11.875" style="6" customWidth="1"/>
    <col min="15619" max="15620" width="12.125" style="6" customWidth="1"/>
    <col min="15621" max="15622" width="13" style="6" customWidth="1"/>
    <col min="15623" max="15623" width="7.75" style="6" customWidth="1"/>
    <col min="15624" max="15624" width="11" style="6" customWidth="1"/>
    <col min="15625" max="15626" width="11.375" style="6" customWidth="1"/>
    <col min="15627" max="15870" width="9" style="6"/>
    <col min="15871" max="15871" width="12.25" style="6" customWidth="1"/>
    <col min="15872" max="15872" width="1.75" style="6" customWidth="1"/>
    <col min="15873" max="15873" width="10.375" style="6" customWidth="1"/>
    <col min="15874" max="15874" width="11.875" style="6" customWidth="1"/>
    <col min="15875" max="15876" width="12.125" style="6" customWidth="1"/>
    <col min="15877" max="15878" width="13" style="6" customWidth="1"/>
    <col min="15879" max="15879" width="7.75" style="6" customWidth="1"/>
    <col min="15880" max="15880" width="11" style="6" customWidth="1"/>
    <col min="15881" max="15882" width="11.375" style="6" customWidth="1"/>
    <col min="15883" max="16126" width="9" style="6"/>
    <col min="16127" max="16127" width="12.25" style="6" customWidth="1"/>
    <col min="16128" max="16128" width="1.75" style="6" customWidth="1"/>
    <col min="16129" max="16129" width="10.375" style="6" customWidth="1"/>
    <col min="16130" max="16130" width="11.875" style="6" customWidth="1"/>
    <col min="16131" max="16132" width="12.125" style="6" customWidth="1"/>
    <col min="16133" max="16134" width="13" style="6" customWidth="1"/>
    <col min="16135" max="16135" width="7.75" style="6" customWidth="1"/>
    <col min="16136" max="16136" width="11" style="6" customWidth="1"/>
    <col min="16137" max="16138" width="11.375" style="6" customWidth="1"/>
    <col min="16139" max="16384" width="9" style="6"/>
  </cols>
  <sheetData>
    <row r="1" spans="1:10" ht="24" thickBot="1" x14ac:dyDescent="0.45">
      <c r="A1" s="1"/>
      <c r="B1" s="2"/>
      <c r="C1" s="1"/>
      <c r="D1" s="3"/>
      <c r="E1" s="1"/>
      <c r="F1" s="1"/>
      <c r="G1" s="4"/>
      <c r="H1" s="4"/>
      <c r="I1" s="5"/>
      <c r="J1" s="5"/>
    </row>
    <row r="2" spans="1:10" ht="18" thickBot="1" x14ac:dyDescent="0.2">
      <c r="A2" s="7" t="s">
        <v>0</v>
      </c>
      <c r="B2" s="2"/>
      <c r="C2" s="8" t="s">
        <v>1</v>
      </c>
      <c r="D2" s="9"/>
      <c r="E2" s="10" t="s">
        <v>2</v>
      </c>
      <c r="F2" s="10"/>
      <c r="G2" s="11" t="s">
        <v>3</v>
      </c>
      <c r="H2" s="12"/>
      <c r="I2" s="13"/>
      <c r="J2" s="13"/>
    </row>
    <row r="3" spans="1:10" ht="40.5" x14ac:dyDescent="0.15">
      <c r="A3" s="14" t="s">
        <v>4</v>
      </c>
      <c r="B3" s="2"/>
      <c r="C3" s="15" t="s">
        <v>5</v>
      </c>
      <c r="D3" s="16" t="s">
        <v>6</v>
      </c>
      <c r="E3" s="17" t="s">
        <v>7</v>
      </c>
      <c r="F3" s="17" t="s">
        <v>6</v>
      </c>
      <c r="G3" s="17" t="s">
        <v>8</v>
      </c>
      <c r="H3" s="18" t="s">
        <v>9</v>
      </c>
      <c r="I3" s="19" t="s">
        <v>10</v>
      </c>
      <c r="J3" s="19" t="s">
        <v>11</v>
      </c>
    </row>
    <row r="4" spans="1:10" s="24" customFormat="1" x14ac:dyDescent="0.15">
      <c r="A4" s="20">
        <v>44681</v>
      </c>
      <c r="B4" s="2"/>
      <c r="C4" s="21">
        <v>29049.999999998272</v>
      </c>
      <c r="D4" s="22"/>
      <c r="E4" s="21">
        <v>1327</v>
      </c>
      <c r="F4" s="23"/>
      <c r="G4" s="21">
        <v>473</v>
      </c>
      <c r="I4" s="25"/>
      <c r="J4" s="25"/>
    </row>
    <row r="5" spans="1:10" ht="16.5" x14ac:dyDescent="0.15">
      <c r="A5" s="26">
        <v>44682</v>
      </c>
      <c r="B5" s="2"/>
      <c r="C5" s="27">
        <v>26754.000000001091</v>
      </c>
      <c r="D5" s="28" t="str">
        <f t="shared" ref="D5:D22" si="0">IF((C5-C4&lt;0), "0",C5-C4)</f>
        <v>0</v>
      </c>
      <c r="E5" s="27">
        <v>1433</v>
      </c>
      <c r="F5" s="28">
        <f>IF((E5-E4&lt;0), "0",E5-E4)</f>
        <v>106</v>
      </c>
      <c r="G5" s="27">
        <v>419</v>
      </c>
      <c r="H5" s="28" t="str">
        <f>IF((G5-G4&lt;0), "0",G5-G4)</f>
        <v>0</v>
      </c>
      <c r="I5" s="29"/>
      <c r="J5" s="29"/>
    </row>
    <row r="6" spans="1:10" ht="16.5" x14ac:dyDescent="0.15">
      <c r="A6" s="26">
        <v>44683</v>
      </c>
      <c r="B6" s="2"/>
      <c r="C6" s="27">
        <v>25151.000000000335</v>
      </c>
      <c r="D6" s="28" t="str">
        <f t="shared" si="0"/>
        <v>0</v>
      </c>
      <c r="E6" s="27">
        <v>1539</v>
      </c>
      <c r="F6" s="28">
        <f t="shared" ref="F6:F35" si="1">IF((E6-E5&lt;0), "0",E6-E5)</f>
        <v>106</v>
      </c>
      <c r="G6" s="27">
        <v>440</v>
      </c>
      <c r="H6" s="28">
        <f t="shared" ref="H6:H35" si="2">IF((G6-G5&lt;0), "0",G6-G5)</f>
        <v>21</v>
      </c>
      <c r="I6" s="5"/>
      <c r="J6" s="5"/>
    </row>
    <row r="7" spans="1:10" ht="16.5" x14ac:dyDescent="0.15">
      <c r="A7" s="26">
        <v>44684</v>
      </c>
      <c r="B7" s="2"/>
      <c r="C7" s="27">
        <v>26051.999999999647</v>
      </c>
      <c r="D7" s="28">
        <f t="shared" si="0"/>
        <v>900.99999999931242</v>
      </c>
      <c r="E7" s="27">
        <v>1396</v>
      </c>
      <c r="F7" s="28" t="str">
        <f t="shared" si="1"/>
        <v>0</v>
      </c>
      <c r="G7" s="27">
        <v>418</v>
      </c>
      <c r="H7" s="28" t="str">
        <f t="shared" si="2"/>
        <v>0</v>
      </c>
      <c r="I7" s="5"/>
      <c r="J7" s="5"/>
    </row>
    <row r="8" spans="1:10" ht="16.5" x14ac:dyDescent="0.15">
      <c r="A8" s="26">
        <v>44685</v>
      </c>
      <c r="B8" s="2"/>
      <c r="C8" s="27">
        <v>25597.999999998843</v>
      </c>
      <c r="D8" s="28" t="str">
        <f t="shared" si="0"/>
        <v>0</v>
      </c>
      <c r="E8" s="27">
        <v>1367</v>
      </c>
      <c r="F8" s="28" t="str">
        <f t="shared" si="1"/>
        <v>0</v>
      </c>
      <c r="G8" s="27">
        <v>438</v>
      </c>
      <c r="H8" s="28">
        <f t="shared" si="2"/>
        <v>20</v>
      </c>
      <c r="I8" s="5"/>
      <c r="J8" s="5"/>
    </row>
    <row r="9" spans="1:10" ht="16.5" x14ac:dyDescent="0.15">
      <c r="A9" s="26">
        <v>44686</v>
      </c>
      <c r="B9" s="2"/>
      <c r="C9" s="27">
        <v>26232.00000000115</v>
      </c>
      <c r="D9" s="28">
        <f t="shared" si="0"/>
        <v>634.00000000230648</v>
      </c>
      <c r="E9" s="27">
        <v>1278</v>
      </c>
      <c r="F9" s="28" t="str">
        <f t="shared" si="1"/>
        <v>0</v>
      </c>
      <c r="G9" s="27">
        <v>527</v>
      </c>
      <c r="H9" s="28">
        <f t="shared" si="2"/>
        <v>89</v>
      </c>
      <c r="I9" s="5"/>
      <c r="J9" s="5"/>
    </row>
    <row r="10" spans="1:10" ht="16.5" x14ac:dyDescent="0.15">
      <c r="A10" s="26">
        <v>44687</v>
      </c>
      <c r="B10" s="2"/>
      <c r="C10" s="27">
        <v>26846.999999999774</v>
      </c>
      <c r="D10" s="28">
        <f t="shared" si="0"/>
        <v>614.99999999862484</v>
      </c>
      <c r="E10" s="27">
        <v>1325</v>
      </c>
      <c r="F10" s="28">
        <f t="shared" si="1"/>
        <v>47</v>
      </c>
      <c r="G10" s="27">
        <v>403</v>
      </c>
      <c r="H10" s="28" t="str">
        <f t="shared" si="2"/>
        <v>0</v>
      </c>
      <c r="I10" s="5"/>
      <c r="J10" s="5"/>
    </row>
    <row r="11" spans="1:10" ht="16.5" x14ac:dyDescent="0.15">
      <c r="A11" s="26">
        <v>44688</v>
      </c>
      <c r="B11" s="2"/>
      <c r="C11" s="27">
        <v>27778.999999999494</v>
      </c>
      <c r="D11" s="28">
        <f t="shared" si="0"/>
        <v>931.99999999971988</v>
      </c>
      <c r="E11" s="27">
        <v>1281</v>
      </c>
      <c r="F11" s="28" t="str">
        <f t="shared" si="1"/>
        <v>0</v>
      </c>
      <c r="G11" s="27">
        <v>399</v>
      </c>
      <c r="H11" s="28" t="str">
        <f t="shared" si="2"/>
        <v>0</v>
      </c>
      <c r="I11" s="5"/>
      <c r="J11" s="5"/>
    </row>
    <row r="12" spans="1:10" ht="16.5" x14ac:dyDescent="0.15">
      <c r="A12" s="26">
        <v>44689</v>
      </c>
      <c r="B12" s="2"/>
      <c r="C12" s="27">
        <v>27100.000000001084</v>
      </c>
      <c r="D12" s="28" t="str">
        <f t="shared" si="0"/>
        <v>0</v>
      </c>
      <c r="E12" s="27">
        <v>1421</v>
      </c>
      <c r="F12" s="28">
        <f t="shared" si="1"/>
        <v>140</v>
      </c>
      <c r="G12" s="27">
        <v>482</v>
      </c>
      <c r="H12" s="28">
        <f t="shared" si="2"/>
        <v>83</v>
      </c>
      <c r="I12" s="5"/>
      <c r="J12" s="5"/>
    </row>
    <row r="13" spans="1:10" ht="16.5" x14ac:dyDescent="0.15">
      <c r="A13" s="26">
        <v>44690</v>
      </c>
      <c r="B13" s="2"/>
      <c r="C13" s="27">
        <v>28712.999999999785</v>
      </c>
      <c r="D13" s="28">
        <f t="shared" si="0"/>
        <v>1612.9999999987012</v>
      </c>
      <c r="E13" s="27">
        <v>1263</v>
      </c>
      <c r="F13" s="28" t="str">
        <f t="shared" si="1"/>
        <v>0</v>
      </c>
      <c r="G13" s="27">
        <v>424</v>
      </c>
      <c r="H13" s="28" t="str">
        <f t="shared" si="2"/>
        <v>0</v>
      </c>
      <c r="I13" s="5"/>
      <c r="J13" s="5"/>
    </row>
    <row r="14" spans="1:10" ht="16.5" x14ac:dyDescent="0.15">
      <c r="A14" s="26">
        <v>44691</v>
      </c>
      <c r="B14" s="2"/>
      <c r="C14" s="27">
        <v>30898.999999998312</v>
      </c>
      <c r="D14" s="28">
        <f t="shared" si="0"/>
        <v>2185.9999999985266</v>
      </c>
      <c r="E14" s="27">
        <v>1327</v>
      </c>
      <c r="F14" s="28">
        <f t="shared" si="1"/>
        <v>64</v>
      </c>
      <c r="G14" s="27">
        <v>453</v>
      </c>
      <c r="H14" s="28">
        <f t="shared" si="2"/>
        <v>29</v>
      </c>
      <c r="I14" s="5"/>
      <c r="J14" s="5"/>
    </row>
    <row r="15" spans="1:10" ht="16.5" x14ac:dyDescent="0.15">
      <c r="A15" s="26">
        <v>44692</v>
      </c>
      <c r="B15" s="2"/>
      <c r="C15" s="27">
        <v>29195.000000001124</v>
      </c>
      <c r="D15" s="28" t="str">
        <f t="shared" si="0"/>
        <v>0</v>
      </c>
      <c r="E15" s="27">
        <v>1292</v>
      </c>
      <c r="F15" s="28" t="str">
        <f t="shared" si="1"/>
        <v>0</v>
      </c>
      <c r="G15" s="27">
        <v>379</v>
      </c>
      <c r="H15" s="28" t="str">
        <f t="shared" si="2"/>
        <v>0</v>
      </c>
      <c r="I15" s="5"/>
      <c r="J15" s="5"/>
    </row>
    <row r="16" spans="1:10" ht="16.5" x14ac:dyDescent="0.15">
      <c r="A16" s="26">
        <v>44693</v>
      </c>
      <c r="B16" s="2"/>
      <c r="C16" s="27">
        <v>28584.999999999891</v>
      </c>
      <c r="D16" s="28" t="str">
        <f t="shared" si="0"/>
        <v>0</v>
      </c>
      <c r="E16" s="27">
        <v>1243</v>
      </c>
      <c r="F16" s="28" t="str">
        <f t="shared" si="1"/>
        <v>0</v>
      </c>
      <c r="G16" s="27">
        <v>297</v>
      </c>
      <c r="H16" s="28" t="str">
        <f t="shared" si="2"/>
        <v>0</v>
      </c>
      <c r="I16" s="5"/>
      <c r="J16" s="5"/>
    </row>
    <row r="17" spans="1:10" ht="16.5" x14ac:dyDescent="0.15">
      <c r="A17" s="26">
        <v>44694</v>
      </c>
      <c r="B17" s="2"/>
      <c r="C17" s="27">
        <v>29735.999999999327</v>
      </c>
      <c r="D17" s="28">
        <f t="shared" si="0"/>
        <v>1150.9999999994361</v>
      </c>
      <c r="E17" s="27">
        <v>1315</v>
      </c>
      <c r="F17" s="28">
        <f t="shared" si="1"/>
        <v>72</v>
      </c>
      <c r="G17" s="27">
        <v>361</v>
      </c>
      <c r="H17" s="28">
        <f t="shared" si="2"/>
        <v>64</v>
      </c>
      <c r="I17" s="5"/>
      <c r="J17" s="5"/>
    </row>
    <row r="18" spans="1:10" ht="16.5" x14ac:dyDescent="0.15">
      <c r="A18" s="26">
        <v>44695</v>
      </c>
      <c r="B18" s="2"/>
      <c r="C18" s="27">
        <v>29237.000000000335</v>
      </c>
      <c r="D18" s="28" t="str">
        <f t="shared" si="0"/>
        <v>0</v>
      </c>
      <c r="E18" s="27">
        <v>1413</v>
      </c>
      <c r="F18" s="28">
        <f t="shared" si="1"/>
        <v>98</v>
      </c>
      <c r="G18" s="27">
        <v>339</v>
      </c>
      <c r="H18" s="28" t="str">
        <f t="shared" si="2"/>
        <v>0</v>
      </c>
      <c r="I18" s="5"/>
      <c r="J18" s="5"/>
    </row>
    <row r="19" spans="1:10" ht="16.5" x14ac:dyDescent="0.15">
      <c r="A19" s="26">
        <v>44696</v>
      </c>
      <c r="B19" s="2"/>
      <c r="C19" s="27">
        <v>28419.99999999988</v>
      </c>
      <c r="D19" s="28" t="str">
        <f t="shared" si="0"/>
        <v>0</v>
      </c>
      <c r="E19" s="27">
        <v>1413</v>
      </c>
      <c r="F19" s="28">
        <f t="shared" si="1"/>
        <v>0</v>
      </c>
      <c r="G19" s="27">
        <v>419</v>
      </c>
      <c r="H19" s="28">
        <f t="shared" si="2"/>
        <v>80</v>
      </c>
      <c r="I19" s="5"/>
      <c r="J19" s="5"/>
    </row>
    <row r="20" spans="1:10" ht="16.5" x14ac:dyDescent="0.15">
      <c r="A20" s="26">
        <v>44697</v>
      </c>
      <c r="B20" s="2"/>
      <c r="C20" s="27">
        <v>25686.999999999862</v>
      </c>
      <c r="D20" s="28" t="str">
        <f t="shared" si="0"/>
        <v>0</v>
      </c>
      <c r="E20" s="27">
        <v>1402</v>
      </c>
      <c r="F20" s="28" t="str">
        <f t="shared" si="1"/>
        <v>0</v>
      </c>
      <c r="G20" s="27">
        <v>357</v>
      </c>
      <c r="H20" s="28" t="str">
        <f t="shared" si="2"/>
        <v>0</v>
      </c>
      <c r="I20" s="5"/>
      <c r="J20" s="5"/>
    </row>
    <row r="21" spans="1:10" ht="16.5" x14ac:dyDescent="0.15">
      <c r="A21" s="26">
        <v>44698</v>
      </c>
      <c r="B21" s="2"/>
      <c r="C21" s="27">
        <v>26607.000000000346</v>
      </c>
      <c r="D21" s="28">
        <f t="shared" si="0"/>
        <v>920.00000000048385</v>
      </c>
      <c r="E21" s="27">
        <v>1436</v>
      </c>
      <c r="F21" s="28">
        <f t="shared" si="1"/>
        <v>34</v>
      </c>
      <c r="G21" s="27">
        <v>376</v>
      </c>
      <c r="H21" s="28">
        <f t="shared" si="2"/>
        <v>19</v>
      </c>
      <c r="I21" s="5"/>
      <c r="J21" s="5"/>
    </row>
    <row r="22" spans="1:10" ht="16.5" x14ac:dyDescent="0.15">
      <c r="A22" s="26">
        <v>44699</v>
      </c>
      <c r="B22" s="2"/>
      <c r="C22" s="27">
        <v>26208.000000001193</v>
      </c>
      <c r="D22" s="28" t="str">
        <f t="shared" si="0"/>
        <v>0</v>
      </c>
      <c r="E22" s="27">
        <v>1396</v>
      </c>
      <c r="F22" s="28" t="str">
        <f t="shared" si="1"/>
        <v>0</v>
      </c>
      <c r="G22" s="27">
        <v>406</v>
      </c>
      <c r="H22" s="28">
        <f t="shared" si="2"/>
        <v>30</v>
      </c>
      <c r="I22" s="5"/>
      <c r="J22" s="5"/>
    </row>
    <row r="23" spans="1:10" ht="16.5" x14ac:dyDescent="0.15">
      <c r="A23" s="26">
        <v>44700</v>
      </c>
      <c r="B23" s="2"/>
      <c r="C23" s="27">
        <v>26384.999999999425</v>
      </c>
      <c r="D23" s="28">
        <f>IF((C23-C22&lt;0), "0",C23-C22)</f>
        <v>176.99999999823194</v>
      </c>
      <c r="E23" s="27">
        <v>1445</v>
      </c>
      <c r="F23" s="28">
        <f t="shared" si="1"/>
        <v>49</v>
      </c>
      <c r="G23" s="27">
        <v>464</v>
      </c>
      <c r="H23" s="28">
        <f t="shared" si="2"/>
        <v>58</v>
      </c>
      <c r="I23" s="5"/>
      <c r="J23" s="5"/>
    </row>
    <row r="24" spans="1:10" ht="16.5" x14ac:dyDescent="0.15">
      <c r="A24" s="26">
        <v>44701</v>
      </c>
      <c r="B24" s="2"/>
      <c r="C24" s="27">
        <v>29441.999999999833</v>
      </c>
      <c r="D24" s="28">
        <f t="shared" ref="D24:D35" si="3">IF((C24-C23&lt;0), "0",C24-C23)</f>
        <v>3057.0000000004075</v>
      </c>
      <c r="E24" s="27">
        <v>1395</v>
      </c>
      <c r="F24" s="28" t="str">
        <f t="shared" si="1"/>
        <v>0</v>
      </c>
      <c r="G24" s="27">
        <v>430</v>
      </c>
      <c r="H24" s="28" t="str">
        <f t="shared" si="2"/>
        <v>0</v>
      </c>
      <c r="I24" s="5"/>
      <c r="J24" s="5"/>
    </row>
    <row r="25" spans="1:10" ht="16.5" x14ac:dyDescent="0.15">
      <c r="A25" s="26">
        <v>44702</v>
      </c>
      <c r="B25" s="2"/>
      <c r="C25" s="27">
        <v>29724.999999999738</v>
      </c>
      <c r="D25" s="28">
        <f t="shared" si="3"/>
        <v>282.99999999990541</v>
      </c>
      <c r="E25" s="27">
        <v>1349</v>
      </c>
      <c r="F25" s="28" t="str">
        <f t="shared" si="1"/>
        <v>0</v>
      </c>
      <c r="G25" s="27">
        <v>427</v>
      </c>
      <c r="H25" s="28" t="str">
        <f t="shared" si="2"/>
        <v>0</v>
      </c>
      <c r="I25" s="5"/>
      <c r="J25" s="5"/>
    </row>
    <row r="26" spans="1:10" ht="16.5" x14ac:dyDescent="0.15">
      <c r="A26" s="26">
        <v>44703</v>
      </c>
      <c r="B26" s="2"/>
      <c r="C26" s="27">
        <v>29273.000000000422</v>
      </c>
      <c r="D26" s="28" t="str">
        <f t="shared" si="3"/>
        <v>0</v>
      </c>
      <c r="E26" s="27">
        <v>1434</v>
      </c>
      <c r="F26" s="28">
        <f t="shared" si="1"/>
        <v>85</v>
      </c>
      <c r="G26" s="27">
        <v>458</v>
      </c>
      <c r="H26" s="28">
        <f t="shared" si="2"/>
        <v>31</v>
      </c>
      <c r="I26" s="5"/>
      <c r="J26" s="5"/>
    </row>
    <row r="27" spans="1:10" ht="16.5" x14ac:dyDescent="0.15">
      <c r="A27" s="26">
        <v>44704</v>
      </c>
      <c r="B27" s="2"/>
      <c r="C27" s="27">
        <v>28197.999999999342</v>
      </c>
      <c r="D27" s="28" t="str">
        <f t="shared" si="3"/>
        <v>0</v>
      </c>
      <c r="E27" s="27">
        <v>1409</v>
      </c>
      <c r="F27" s="28" t="str">
        <f t="shared" si="1"/>
        <v>0</v>
      </c>
      <c r="G27" s="27">
        <v>453</v>
      </c>
      <c r="H27" s="28" t="str">
        <f t="shared" si="2"/>
        <v>0</v>
      </c>
      <c r="I27" s="5"/>
      <c r="J27" s="5"/>
    </row>
    <row r="28" spans="1:10" ht="16.5" x14ac:dyDescent="0.15">
      <c r="A28" s="26">
        <v>44705</v>
      </c>
      <c r="B28" s="2"/>
      <c r="C28" s="27">
        <v>29326.000000000196</v>
      </c>
      <c r="D28" s="28">
        <f t="shared" si="3"/>
        <v>1128.0000000008549</v>
      </c>
      <c r="E28" s="27">
        <v>1309</v>
      </c>
      <c r="F28" s="28" t="str">
        <f t="shared" si="1"/>
        <v>0</v>
      </c>
      <c r="G28" s="27">
        <v>442</v>
      </c>
      <c r="H28" s="28" t="str">
        <f t="shared" si="2"/>
        <v>0</v>
      </c>
      <c r="I28" s="5"/>
      <c r="J28" s="5"/>
    </row>
    <row r="29" spans="1:10" ht="16.5" x14ac:dyDescent="0.15">
      <c r="A29" s="26">
        <v>44706</v>
      </c>
      <c r="B29" s="2"/>
      <c r="C29" s="27">
        <v>33824.000000000211</v>
      </c>
      <c r="D29" s="28">
        <f t="shared" si="3"/>
        <v>4498.0000000000146</v>
      </c>
      <c r="E29" s="27">
        <v>1414</v>
      </c>
      <c r="F29" s="28">
        <f t="shared" si="1"/>
        <v>105</v>
      </c>
      <c r="G29" s="27">
        <v>479</v>
      </c>
      <c r="H29" s="28">
        <f t="shared" si="2"/>
        <v>37</v>
      </c>
      <c r="I29" s="5"/>
      <c r="J29" s="5"/>
    </row>
    <row r="30" spans="1:10" ht="16.5" x14ac:dyDescent="0.15">
      <c r="A30" s="26">
        <v>44707</v>
      </c>
      <c r="B30" s="2"/>
      <c r="C30" s="27">
        <v>33975.000000000284</v>
      </c>
      <c r="D30" s="28">
        <f t="shared" si="3"/>
        <v>151.00000000007276</v>
      </c>
      <c r="E30" s="27">
        <v>1478</v>
      </c>
      <c r="F30" s="28">
        <f t="shared" si="1"/>
        <v>64</v>
      </c>
      <c r="G30" s="27">
        <v>489</v>
      </c>
      <c r="H30" s="28">
        <f t="shared" si="2"/>
        <v>10</v>
      </c>
      <c r="I30" s="5"/>
      <c r="J30" s="5"/>
    </row>
    <row r="31" spans="1:10" ht="16.5" x14ac:dyDescent="0.15">
      <c r="A31" s="26">
        <v>44708</v>
      </c>
      <c r="B31" s="2"/>
      <c r="C31" s="27">
        <v>32730.999999999491</v>
      </c>
      <c r="D31" s="28" t="str">
        <f t="shared" si="3"/>
        <v>0</v>
      </c>
      <c r="E31" s="27">
        <v>1439</v>
      </c>
      <c r="F31" s="28" t="str">
        <f t="shared" si="1"/>
        <v>0</v>
      </c>
      <c r="G31" s="27">
        <v>499</v>
      </c>
      <c r="H31" s="28">
        <f t="shared" si="2"/>
        <v>10</v>
      </c>
      <c r="I31" s="5"/>
      <c r="J31" s="5"/>
    </row>
    <row r="32" spans="1:10" ht="16.5" x14ac:dyDescent="0.15">
      <c r="A32" s="26">
        <v>44709</v>
      </c>
      <c r="B32" s="2"/>
      <c r="C32" s="27">
        <v>35765.000000000502</v>
      </c>
      <c r="D32" s="28">
        <f t="shared" si="3"/>
        <v>3034.0000000010114</v>
      </c>
      <c r="E32" s="27">
        <v>1423</v>
      </c>
      <c r="F32" s="28" t="str">
        <f t="shared" si="1"/>
        <v>0</v>
      </c>
      <c r="G32" s="27">
        <v>497</v>
      </c>
      <c r="H32" s="28" t="str">
        <f t="shared" si="2"/>
        <v>0</v>
      </c>
      <c r="I32" s="5"/>
      <c r="J32" s="5"/>
    </row>
    <row r="33" spans="1:10" ht="16.5" x14ac:dyDescent="0.15">
      <c r="A33" s="26">
        <v>44710</v>
      </c>
      <c r="C33" s="27">
        <v>34485.999999999993</v>
      </c>
      <c r="D33" s="28" t="str">
        <f t="shared" si="3"/>
        <v>0</v>
      </c>
      <c r="E33" s="27">
        <v>1335</v>
      </c>
      <c r="F33" s="28" t="str">
        <f t="shared" si="1"/>
        <v>0</v>
      </c>
      <c r="G33" s="27">
        <v>475</v>
      </c>
      <c r="H33" s="28" t="str">
        <f t="shared" si="2"/>
        <v>0</v>
      </c>
      <c r="I33" s="5"/>
      <c r="J33" s="5"/>
    </row>
    <row r="34" spans="1:10" ht="16.5" x14ac:dyDescent="0.15">
      <c r="A34" s="26">
        <v>44711</v>
      </c>
      <c r="C34" s="27">
        <v>35948.000000000029</v>
      </c>
      <c r="D34" s="28">
        <f t="shared" si="3"/>
        <v>1462.0000000000364</v>
      </c>
      <c r="E34" s="27">
        <v>1317</v>
      </c>
      <c r="F34" s="28" t="str">
        <f t="shared" si="1"/>
        <v>0</v>
      </c>
      <c r="G34" s="27">
        <v>525</v>
      </c>
      <c r="H34" s="28">
        <f t="shared" si="2"/>
        <v>50</v>
      </c>
      <c r="I34" s="5"/>
      <c r="J34" s="5"/>
    </row>
    <row r="35" spans="1:10" ht="16.5" x14ac:dyDescent="0.15">
      <c r="A35" s="26">
        <v>44712</v>
      </c>
      <c r="C35" s="27">
        <v>35663.999999999309</v>
      </c>
      <c r="D35" s="28" t="str">
        <f t="shared" si="3"/>
        <v>0</v>
      </c>
      <c r="E35" s="27">
        <v>1353</v>
      </c>
      <c r="F35" s="28">
        <f t="shared" si="1"/>
        <v>36</v>
      </c>
      <c r="G35" s="27">
        <v>468</v>
      </c>
      <c r="H35" s="28" t="str">
        <f t="shared" si="2"/>
        <v>0</v>
      </c>
      <c r="I35" s="5"/>
      <c r="J35" s="5"/>
    </row>
  </sheetData>
  <mergeCells count="5">
    <mergeCell ref="B1:B32"/>
    <mergeCell ref="G1:H1"/>
    <mergeCell ref="C2:D2"/>
    <mergeCell ref="E2:F2"/>
    <mergeCell ref="G2:H2"/>
  </mergeCells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2"/>
  <sheetViews>
    <sheetView tabSelected="1" workbookViewId="0">
      <selection activeCell="O19" sqref="O19"/>
    </sheetView>
  </sheetViews>
  <sheetFormatPr defaultRowHeight="13.5" x14ac:dyDescent="0.15"/>
  <cols>
    <col min="1" max="1" width="11.125" bestFit="1" customWidth="1"/>
    <col min="5" max="5" width="9.375" customWidth="1"/>
    <col min="6" max="6" width="10.625" customWidth="1"/>
    <col min="9" max="9" width="9.5" customWidth="1"/>
    <col min="10" max="10" width="9.875" customWidth="1"/>
  </cols>
  <sheetData>
    <row r="1" spans="1:12" ht="67.5" x14ac:dyDescent="0.15">
      <c r="A1" s="33" t="s">
        <v>12</v>
      </c>
      <c r="B1" s="33" t="s">
        <v>13</v>
      </c>
      <c r="C1" s="34" t="s">
        <v>14</v>
      </c>
      <c r="D1" s="33" t="s">
        <v>15</v>
      </c>
      <c r="E1" s="35" t="s">
        <v>16</v>
      </c>
      <c r="F1" s="36" t="s">
        <v>17</v>
      </c>
      <c r="G1" s="35" t="s">
        <v>18</v>
      </c>
      <c r="H1" s="36" t="s">
        <v>19</v>
      </c>
      <c r="I1" s="35" t="s">
        <v>20</v>
      </c>
      <c r="J1" s="37" t="s">
        <v>21</v>
      </c>
      <c r="K1" s="35" t="s">
        <v>22</v>
      </c>
      <c r="L1" s="35" t="s">
        <v>23</v>
      </c>
    </row>
    <row r="2" spans="1:12" ht="15" x14ac:dyDescent="0.25">
      <c r="A2" s="38" t="s">
        <v>24</v>
      </c>
      <c r="B2" s="39">
        <v>1</v>
      </c>
      <c r="C2" s="40">
        <v>5</v>
      </c>
      <c r="D2" s="39">
        <v>2022</v>
      </c>
      <c r="E2" s="41">
        <f>Sheet1!C5</f>
        <v>26754.000000001091</v>
      </c>
      <c r="F2" s="42">
        <v>0.93</v>
      </c>
      <c r="G2" s="41">
        <f>Sheet1!E5</f>
        <v>1433</v>
      </c>
      <c r="H2" s="42">
        <v>4.3899999999999997</v>
      </c>
      <c r="I2" s="41">
        <f>Sheet1!G5</f>
        <v>419</v>
      </c>
      <c r="J2" s="42">
        <v>1.72</v>
      </c>
      <c r="K2" s="41" t="e">
        <f>'[1]Shenzhen Daily'!I5</f>
        <v>#REF!</v>
      </c>
      <c r="L2" s="41" t="e">
        <f>'[1]Shenzhen Daily'!J5</f>
        <v>#REF!</v>
      </c>
    </row>
    <row r="3" spans="1:12" ht="15" x14ac:dyDescent="0.25">
      <c r="A3" s="38" t="s">
        <v>24</v>
      </c>
      <c r="B3" s="39">
        <f>B2+1</f>
        <v>2</v>
      </c>
      <c r="C3" s="40">
        <v>5</v>
      </c>
      <c r="D3" s="39">
        <v>2022</v>
      </c>
      <c r="E3" s="41">
        <f>Sheet1!C6</f>
        <v>25151.000000000335</v>
      </c>
      <c r="F3" s="42">
        <v>0.93</v>
      </c>
      <c r="G3" s="41">
        <f>Sheet1!E6</f>
        <v>1539</v>
      </c>
      <c r="H3" s="42">
        <v>4.3899999999999997</v>
      </c>
      <c r="I3" s="41">
        <f>Sheet1!G6</f>
        <v>440</v>
      </c>
      <c r="J3" s="42">
        <v>1.72</v>
      </c>
      <c r="K3" s="41" t="e">
        <f>'[1]Shenzhen Daily'!I6</f>
        <v>#REF!</v>
      </c>
      <c r="L3" s="41" t="e">
        <f>'[1]Shenzhen Daily'!J6</f>
        <v>#REF!</v>
      </c>
    </row>
    <row r="4" spans="1:12" ht="15" x14ac:dyDescent="0.25">
      <c r="A4" s="38" t="s">
        <v>24</v>
      </c>
      <c r="B4" s="39">
        <f t="shared" ref="B4:B32" si="0">B3+1</f>
        <v>3</v>
      </c>
      <c r="C4" s="40">
        <v>5</v>
      </c>
      <c r="D4" s="39">
        <v>2022</v>
      </c>
      <c r="E4" s="41">
        <f>Sheet1!C7</f>
        <v>26051.999999999647</v>
      </c>
      <c r="F4" s="42">
        <v>0.93</v>
      </c>
      <c r="G4" s="41">
        <f>Sheet1!E7</f>
        <v>1396</v>
      </c>
      <c r="H4" s="42">
        <v>4.3899999999999997</v>
      </c>
      <c r="I4" s="41">
        <f>Sheet1!G7</f>
        <v>418</v>
      </c>
      <c r="J4" s="42">
        <v>1.72</v>
      </c>
      <c r="K4" s="41" t="e">
        <f>'[1]Shenzhen Daily'!I7</f>
        <v>#REF!</v>
      </c>
      <c r="L4" s="41" t="e">
        <f>'[1]Shenzhen Daily'!J7</f>
        <v>#REF!</v>
      </c>
    </row>
    <row r="5" spans="1:12" ht="15" x14ac:dyDescent="0.25">
      <c r="A5" s="38" t="s">
        <v>24</v>
      </c>
      <c r="B5" s="39">
        <f t="shared" si="0"/>
        <v>4</v>
      </c>
      <c r="C5" s="40">
        <v>5</v>
      </c>
      <c r="D5" s="39">
        <v>2022</v>
      </c>
      <c r="E5" s="41">
        <f>Sheet1!C8</f>
        <v>25597.999999998843</v>
      </c>
      <c r="F5" s="42">
        <v>0.93</v>
      </c>
      <c r="G5" s="41">
        <f>Sheet1!E8</f>
        <v>1367</v>
      </c>
      <c r="H5" s="42">
        <v>4.3899999999999997</v>
      </c>
      <c r="I5" s="41">
        <f>Sheet1!G8</f>
        <v>438</v>
      </c>
      <c r="J5" s="42">
        <v>1.72</v>
      </c>
      <c r="K5" s="41" t="e">
        <f>'[1]Shenzhen Daily'!I8</f>
        <v>#REF!</v>
      </c>
      <c r="L5" s="41" t="e">
        <f>'[1]Shenzhen Daily'!J8</f>
        <v>#REF!</v>
      </c>
    </row>
    <row r="6" spans="1:12" ht="15" x14ac:dyDescent="0.25">
      <c r="A6" s="38" t="s">
        <v>24</v>
      </c>
      <c r="B6" s="39">
        <f t="shared" si="0"/>
        <v>5</v>
      </c>
      <c r="C6" s="40">
        <v>5</v>
      </c>
      <c r="D6" s="39">
        <v>2022</v>
      </c>
      <c r="E6" s="41">
        <f>Sheet1!C9</f>
        <v>26232.00000000115</v>
      </c>
      <c r="F6" s="42">
        <v>0.93</v>
      </c>
      <c r="G6" s="41">
        <f>Sheet1!E9</f>
        <v>1278</v>
      </c>
      <c r="H6" s="42">
        <v>4.3899999999999997</v>
      </c>
      <c r="I6" s="41">
        <f>Sheet1!G9</f>
        <v>527</v>
      </c>
      <c r="J6" s="42">
        <v>1.72</v>
      </c>
      <c r="K6" s="41" t="e">
        <f>'[1]Shenzhen Daily'!I9</f>
        <v>#REF!</v>
      </c>
      <c r="L6" s="41" t="e">
        <f>'[1]Shenzhen Daily'!J9</f>
        <v>#REF!</v>
      </c>
    </row>
    <row r="7" spans="1:12" ht="15" x14ac:dyDescent="0.25">
      <c r="A7" s="38" t="s">
        <v>24</v>
      </c>
      <c r="B7" s="39">
        <f t="shared" si="0"/>
        <v>6</v>
      </c>
      <c r="C7" s="40">
        <v>5</v>
      </c>
      <c r="D7" s="39">
        <v>2022</v>
      </c>
      <c r="E7" s="41">
        <f>Sheet1!C10</f>
        <v>26846.999999999774</v>
      </c>
      <c r="F7" s="42">
        <v>0.93</v>
      </c>
      <c r="G7" s="41">
        <f>Sheet1!E10</f>
        <v>1325</v>
      </c>
      <c r="H7" s="42">
        <v>4.3899999999999997</v>
      </c>
      <c r="I7" s="41">
        <f>Sheet1!G10</f>
        <v>403</v>
      </c>
      <c r="J7" s="42">
        <v>1.72</v>
      </c>
      <c r="K7" s="41" t="e">
        <f>'[1]Shenzhen Daily'!I10</f>
        <v>#REF!</v>
      </c>
      <c r="L7" s="41" t="e">
        <f>'[1]Shenzhen Daily'!J10</f>
        <v>#REF!</v>
      </c>
    </row>
    <row r="8" spans="1:12" ht="15" x14ac:dyDescent="0.25">
      <c r="A8" s="38" t="s">
        <v>24</v>
      </c>
      <c r="B8" s="39">
        <f t="shared" si="0"/>
        <v>7</v>
      </c>
      <c r="C8" s="40">
        <v>5</v>
      </c>
      <c r="D8" s="39">
        <v>2022</v>
      </c>
      <c r="E8" s="41">
        <f>Sheet1!C11</f>
        <v>27778.999999999494</v>
      </c>
      <c r="F8" s="42">
        <v>0.93</v>
      </c>
      <c r="G8" s="41">
        <f>Sheet1!E11</f>
        <v>1281</v>
      </c>
      <c r="H8" s="42">
        <v>4.3899999999999997</v>
      </c>
      <c r="I8" s="41">
        <f>Sheet1!G11</f>
        <v>399</v>
      </c>
      <c r="J8" s="42">
        <v>1.72</v>
      </c>
      <c r="K8" s="41" t="e">
        <f>'[1]Shenzhen Daily'!I11</f>
        <v>#REF!</v>
      </c>
      <c r="L8" s="41" t="e">
        <f>'[1]Shenzhen Daily'!J11</f>
        <v>#REF!</v>
      </c>
    </row>
    <row r="9" spans="1:12" ht="15" x14ac:dyDescent="0.25">
      <c r="A9" s="38" t="s">
        <v>24</v>
      </c>
      <c r="B9" s="39">
        <f t="shared" si="0"/>
        <v>8</v>
      </c>
      <c r="C9" s="40">
        <v>5</v>
      </c>
      <c r="D9" s="39">
        <v>2022</v>
      </c>
      <c r="E9" s="41">
        <f>Sheet1!C12</f>
        <v>27100.000000001084</v>
      </c>
      <c r="F9" s="42">
        <v>0.93</v>
      </c>
      <c r="G9" s="41">
        <f>Sheet1!E12</f>
        <v>1421</v>
      </c>
      <c r="H9" s="42">
        <v>4.3899999999999997</v>
      </c>
      <c r="I9" s="41">
        <f>Sheet1!G12</f>
        <v>482</v>
      </c>
      <c r="J9" s="42">
        <v>1.72</v>
      </c>
      <c r="K9" s="41" t="e">
        <f>'[1]Shenzhen Daily'!I12</f>
        <v>#REF!</v>
      </c>
      <c r="L9" s="41" t="e">
        <f>'[1]Shenzhen Daily'!J12</f>
        <v>#REF!</v>
      </c>
    </row>
    <row r="10" spans="1:12" ht="15" x14ac:dyDescent="0.25">
      <c r="A10" s="38" t="s">
        <v>24</v>
      </c>
      <c r="B10" s="39">
        <f t="shared" si="0"/>
        <v>9</v>
      </c>
      <c r="C10" s="40">
        <v>5</v>
      </c>
      <c r="D10" s="39">
        <v>2022</v>
      </c>
      <c r="E10" s="41">
        <f>Sheet1!C13</f>
        <v>28712.999999999785</v>
      </c>
      <c r="F10" s="42">
        <v>0.93</v>
      </c>
      <c r="G10" s="41">
        <f>Sheet1!E13</f>
        <v>1263</v>
      </c>
      <c r="H10" s="42">
        <v>4.3899999999999997</v>
      </c>
      <c r="I10" s="41">
        <f>Sheet1!G13</f>
        <v>424</v>
      </c>
      <c r="J10" s="42">
        <v>1.72</v>
      </c>
      <c r="K10" s="41" t="e">
        <f>'[1]Shenzhen Daily'!I13</f>
        <v>#REF!</v>
      </c>
      <c r="L10" s="41" t="e">
        <f>'[1]Shenzhen Daily'!J13</f>
        <v>#REF!</v>
      </c>
    </row>
    <row r="11" spans="1:12" ht="15" x14ac:dyDescent="0.25">
      <c r="A11" s="38" t="s">
        <v>24</v>
      </c>
      <c r="B11" s="39">
        <f t="shared" si="0"/>
        <v>10</v>
      </c>
      <c r="C11" s="40">
        <v>5</v>
      </c>
      <c r="D11" s="39">
        <v>2022</v>
      </c>
      <c r="E11" s="41">
        <f>Sheet1!C14</f>
        <v>30898.999999998312</v>
      </c>
      <c r="F11" s="42">
        <v>0.93</v>
      </c>
      <c r="G11" s="41">
        <f>Sheet1!E14</f>
        <v>1327</v>
      </c>
      <c r="H11" s="42">
        <v>4.3899999999999997</v>
      </c>
      <c r="I11" s="41">
        <f>Sheet1!G14</f>
        <v>453</v>
      </c>
      <c r="J11" s="42">
        <v>1.72</v>
      </c>
      <c r="K11" s="41" t="e">
        <f>'[1]Shenzhen Daily'!I14</f>
        <v>#REF!</v>
      </c>
      <c r="L11" s="41" t="e">
        <f>'[1]Shenzhen Daily'!J14</f>
        <v>#REF!</v>
      </c>
    </row>
    <row r="12" spans="1:12" ht="15" x14ac:dyDescent="0.25">
      <c r="A12" s="38" t="s">
        <v>24</v>
      </c>
      <c r="B12" s="39">
        <f t="shared" si="0"/>
        <v>11</v>
      </c>
      <c r="C12" s="40">
        <v>5</v>
      </c>
      <c r="D12" s="39">
        <v>2022</v>
      </c>
      <c r="E12" s="41">
        <f>Sheet1!C15</f>
        <v>29195.000000001124</v>
      </c>
      <c r="F12" s="42">
        <v>0.93</v>
      </c>
      <c r="G12" s="41">
        <f>Sheet1!E15</f>
        <v>1292</v>
      </c>
      <c r="H12" s="42">
        <v>4.3899999999999997</v>
      </c>
      <c r="I12" s="41">
        <f>Sheet1!G15</f>
        <v>379</v>
      </c>
      <c r="J12" s="42">
        <v>1.72</v>
      </c>
      <c r="K12" s="41" t="e">
        <f>'[1]Shenzhen Daily'!I15</f>
        <v>#REF!</v>
      </c>
      <c r="L12" s="41" t="e">
        <f>'[1]Shenzhen Daily'!J15</f>
        <v>#REF!</v>
      </c>
    </row>
    <row r="13" spans="1:12" ht="15" x14ac:dyDescent="0.25">
      <c r="A13" s="38" t="s">
        <v>24</v>
      </c>
      <c r="B13" s="39">
        <f t="shared" si="0"/>
        <v>12</v>
      </c>
      <c r="C13" s="40">
        <v>5</v>
      </c>
      <c r="D13" s="39">
        <v>2022</v>
      </c>
      <c r="E13" s="41">
        <f>Sheet1!C16</f>
        <v>28584.999999999891</v>
      </c>
      <c r="F13" s="42">
        <v>0.93</v>
      </c>
      <c r="G13" s="41">
        <f>Sheet1!E16</f>
        <v>1243</v>
      </c>
      <c r="H13" s="42">
        <v>4.3899999999999997</v>
      </c>
      <c r="I13" s="41">
        <f>Sheet1!G16</f>
        <v>297</v>
      </c>
      <c r="J13" s="42">
        <v>1.72</v>
      </c>
      <c r="K13" s="41" t="e">
        <f>'[1]Shenzhen Daily'!I16</f>
        <v>#REF!</v>
      </c>
      <c r="L13" s="41" t="e">
        <f>'[1]Shenzhen Daily'!J16</f>
        <v>#REF!</v>
      </c>
    </row>
    <row r="14" spans="1:12" ht="15" x14ac:dyDescent="0.25">
      <c r="A14" s="38" t="s">
        <v>24</v>
      </c>
      <c r="B14" s="39">
        <f t="shared" si="0"/>
        <v>13</v>
      </c>
      <c r="C14" s="40">
        <v>5</v>
      </c>
      <c r="D14" s="39">
        <v>2022</v>
      </c>
      <c r="E14" s="41">
        <f>Sheet1!C17</f>
        <v>29735.999999999327</v>
      </c>
      <c r="F14" s="42">
        <v>0.93</v>
      </c>
      <c r="G14" s="41">
        <f>Sheet1!E17</f>
        <v>1315</v>
      </c>
      <c r="H14" s="42">
        <v>4.3899999999999997</v>
      </c>
      <c r="I14" s="41">
        <f>Sheet1!G17</f>
        <v>361</v>
      </c>
      <c r="J14" s="42">
        <v>1.72</v>
      </c>
      <c r="K14" s="41" t="e">
        <f>'[1]Shenzhen Daily'!I17</f>
        <v>#REF!</v>
      </c>
      <c r="L14" s="41" t="e">
        <f>'[1]Shenzhen Daily'!J17</f>
        <v>#REF!</v>
      </c>
    </row>
    <row r="15" spans="1:12" ht="15" x14ac:dyDescent="0.25">
      <c r="A15" s="38" t="s">
        <v>24</v>
      </c>
      <c r="B15" s="39">
        <f t="shared" si="0"/>
        <v>14</v>
      </c>
      <c r="C15" s="40">
        <v>5</v>
      </c>
      <c r="D15" s="39">
        <v>2022</v>
      </c>
      <c r="E15" s="41">
        <f>Sheet1!C18</f>
        <v>29237.000000000335</v>
      </c>
      <c r="F15" s="42">
        <v>0.93</v>
      </c>
      <c r="G15" s="41">
        <f>Sheet1!E18</f>
        <v>1413</v>
      </c>
      <c r="H15" s="42">
        <v>4.3899999999999997</v>
      </c>
      <c r="I15" s="41">
        <f>Sheet1!G18</f>
        <v>339</v>
      </c>
      <c r="J15" s="42">
        <v>1.72</v>
      </c>
      <c r="K15" s="41" t="e">
        <f>'[1]Shenzhen Daily'!I18</f>
        <v>#REF!</v>
      </c>
      <c r="L15" s="41" t="e">
        <f>'[1]Shenzhen Daily'!J18</f>
        <v>#REF!</v>
      </c>
    </row>
    <row r="16" spans="1:12" ht="15" x14ac:dyDescent="0.25">
      <c r="A16" s="38" t="s">
        <v>24</v>
      </c>
      <c r="B16" s="39">
        <f t="shared" si="0"/>
        <v>15</v>
      </c>
      <c r="C16" s="40">
        <v>5</v>
      </c>
      <c r="D16" s="39">
        <v>2022</v>
      </c>
      <c r="E16" s="41">
        <f>Sheet1!C19</f>
        <v>28419.99999999988</v>
      </c>
      <c r="F16" s="42">
        <v>0.93</v>
      </c>
      <c r="G16" s="41">
        <f>Sheet1!E19</f>
        <v>1413</v>
      </c>
      <c r="H16" s="42">
        <v>4.3899999999999997</v>
      </c>
      <c r="I16" s="41">
        <f>Sheet1!G19</f>
        <v>419</v>
      </c>
      <c r="J16" s="42">
        <v>1.72</v>
      </c>
      <c r="K16" s="41" t="e">
        <f>'[1]Shenzhen Daily'!I19</f>
        <v>#REF!</v>
      </c>
      <c r="L16" s="41" t="e">
        <f>'[1]Shenzhen Daily'!J19</f>
        <v>#REF!</v>
      </c>
    </row>
    <row r="17" spans="1:12" ht="15" x14ac:dyDescent="0.25">
      <c r="A17" s="38" t="s">
        <v>24</v>
      </c>
      <c r="B17" s="39">
        <f t="shared" si="0"/>
        <v>16</v>
      </c>
      <c r="C17" s="40">
        <v>5</v>
      </c>
      <c r="D17" s="39">
        <v>2022</v>
      </c>
      <c r="E17" s="41">
        <f>Sheet1!C20</f>
        <v>25686.999999999862</v>
      </c>
      <c r="F17" s="42">
        <v>0.93</v>
      </c>
      <c r="G17" s="41">
        <f>Sheet1!E20</f>
        <v>1402</v>
      </c>
      <c r="H17" s="42">
        <v>4.3899999999999997</v>
      </c>
      <c r="I17" s="41">
        <f>Sheet1!G20</f>
        <v>357</v>
      </c>
      <c r="J17" s="42">
        <v>1.72</v>
      </c>
      <c r="K17" s="41" t="e">
        <f>'[1]Shenzhen Daily'!I20</f>
        <v>#REF!</v>
      </c>
      <c r="L17" s="41" t="e">
        <f>'[1]Shenzhen Daily'!J20</f>
        <v>#REF!</v>
      </c>
    </row>
    <row r="18" spans="1:12" ht="15" x14ac:dyDescent="0.25">
      <c r="A18" s="38" t="s">
        <v>24</v>
      </c>
      <c r="B18" s="39">
        <f t="shared" si="0"/>
        <v>17</v>
      </c>
      <c r="C18" s="40">
        <v>5</v>
      </c>
      <c r="D18" s="39">
        <v>2022</v>
      </c>
      <c r="E18" s="41">
        <f>Sheet1!C21</f>
        <v>26607.000000000346</v>
      </c>
      <c r="F18" s="42">
        <v>0.93</v>
      </c>
      <c r="G18" s="41">
        <f>Sheet1!E21</f>
        <v>1436</v>
      </c>
      <c r="H18" s="42">
        <v>4.3899999999999997</v>
      </c>
      <c r="I18" s="41">
        <f>Sheet1!G21</f>
        <v>376</v>
      </c>
      <c r="J18" s="42">
        <v>1.72</v>
      </c>
      <c r="K18" s="41" t="e">
        <f>'[1]Shenzhen Daily'!I21</f>
        <v>#REF!</v>
      </c>
      <c r="L18" s="41" t="e">
        <f>'[1]Shenzhen Daily'!J21</f>
        <v>#REF!</v>
      </c>
    </row>
    <row r="19" spans="1:12" ht="15" x14ac:dyDescent="0.25">
      <c r="A19" s="38" t="s">
        <v>24</v>
      </c>
      <c r="B19" s="39">
        <f t="shared" si="0"/>
        <v>18</v>
      </c>
      <c r="C19" s="40">
        <v>5</v>
      </c>
      <c r="D19" s="39">
        <v>2022</v>
      </c>
      <c r="E19" s="41">
        <f>Sheet1!C22</f>
        <v>26208.000000001193</v>
      </c>
      <c r="F19" s="42">
        <v>0.93</v>
      </c>
      <c r="G19" s="41">
        <f>Sheet1!E22</f>
        <v>1396</v>
      </c>
      <c r="H19" s="42">
        <v>4.3899999999999997</v>
      </c>
      <c r="I19" s="41">
        <f>Sheet1!G22</f>
        <v>406</v>
      </c>
      <c r="J19" s="42">
        <v>1.72</v>
      </c>
      <c r="K19" s="41" t="e">
        <f>'[1]Shenzhen Daily'!I22</f>
        <v>#REF!</v>
      </c>
      <c r="L19" s="41" t="e">
        <f>'[1]Shenzhen Daily'!J22</f>
        <v>#REF!</v>
      </c>
    </row>
    <row r="20" spans="1:12" ht="15" x14ac:dyDescent="0.25">
      <c r="A20" s="38" t="s">
        <v>24</v>
      </c>
      <c r="B20" s="39">
        <f t="shared" si="0"/>
        <v>19</v>
      </c>
      <c r="C20" s="40">
        <v>5</v>
      </c>
      <c r="D20" s="39">
        <v>2022</v>
      </c>
      <c r="E20" s="41">
        <f>Sheet1!C23</f>
        <v>26384.999999999425</v>
      </c>
      <c r="F20" s="42">
        <v>0.93</v>
      </c>
      <c r="G20" s="41">
        <f>Sheet1!E23</f>
        <v>1445</v>
      </c>
      <c r="H20" s="42">
        <v>4.3899999999999997</v>
      </c>
      <c r="I20" s="41">
        <f>Sheet1!G23</f>
        <v>464</v>
      </c>
      <c r="J20" s="42">
        <v>1.72</v>
      </c>
      <c r="K20" s="41" t="e">
        <f>'[1]Shenzhen Daily'!I23</f>
        <v>#REF!</v>
      </c>
      <c r="L20" s="41" t="e">
        <f>'[1]Shenzhen Daily'!J23</f>
        <v>#REF!</v>
      </c>
    </row>
    <row r="21" spans="1:12" ht="15" x14ac:dyDescent="0.25">
      <c r="A21" s="38" t="s">
        <v>24</v>
      </c>
      <c r="B21" s="39">
        <f t="shared" si="0"/>
        <v>20</v>
      </c>
      <c r="C21" s="40">
        <v>5</v>
      </c>
      <c r="D21" s="39">
        <v>2022</v>
      </c>
      <c r="E21" s="41">
        <f>Sheet1!C24</f>
        <v>29441.999999999833</v>
      </c>
      <c r="F21" s="42">
        <v>0.93</v>
      </c>
      <c r="G21" s="41">
        <f>Sheet1!E24</f>
        <v>1395</v>
      </c>
      <c r="H21" s="42">
        <v>4.3899999999999997</v>
      </c>
      <c r="I21" s="41">
        <f>Sheet1!G24</f>
        <v>430</v>
      </c>
      <c r="J21" s="42">
        <v>1.72</v>
      </c>
      <c r="K21" s="41" t="e">
        <f>'[1]Shenzhen Daily'!I24</f>
        <v>#REF!</v>
      </c>
      <c r="L21" s="41" t="e">
        <f>'[1]Shenzhen Daily'!J24</f>
        <v>#REF!</v>
      </c>
    </row>
    <row r="22" spans="1:12" ht="15" x14ac:dyDescent="0.25">
      <c r="A22" s="38" t="s">
        <v>24</v>
      </c>
      <c r="B22" s="39">
        <f t="shared" si="0"/>
        <v>21</v>
      </c>
      <c r="C22" s="40">
        <v>5</v>
      </c>
      <c r="D22" s="39">
        <v>2022</v>
      </c>
      <c r="E22" s="41">
        <f>Sheet1!C25</f>
        <v>29724.999999999738</v>
      </c>
      <c r="F22" s="42">
        <v>0.93</v>
      </c>
      <c r="G22" s="41">
        <f>Sheet1!E25</f>
        <v>1349</v>
      </c>
      <c r="H22" s="42">
        <v>4.3899999999999997</v>
      </c>
      <c r="I22" s="41">
        <f>Sheet1!G25</f>
        <v>427</v>
      </c>
      <c r="J22" s="42">
        <v>1.72</v>
      </c>
      <c r="K22" s="41" t="e">
        <f>'[1]Shenzhen Daily'!I25</f>
        <v>#REF!</v>
      </c>
      <c r="L22" s="41" t="e">
        <f>'[1]Shenzhen Daily'!J25</f>
        <v>#REF!</v>
      </c>
    </row>
    <row r="23" spans="1:12" ht="15" x14ac:dyDescent="0.25">
      <c r="A23" s="38" t="s">
        <v>24</v>
      </c>
      <c r="B23" s="39">
        <f t="shared" si="0"/>
        <v>22</v>
      </c>
      <c r="C23" s="40">
        <v>5</v>
      </c>
      <c r="D23" s="39">
        <v>2022</v>
      </c>
      <c r="E23" s="41">
        <f>Sheet1!C26</f>
        <v>29273.000000000422</v>
      </c>
      <c r="F23" s="42">
        <v>0.93</v>
      </c>
      <c r="G23" s="41">
        <f>Sheet1!E26</f>
        <v>1434</v>
      </c>
      <c r="H23" s="42">
        <v>4.3899999999999997</v>
      </c>
      <c r="I23" s="41">
        <f>Sheet1!G26</f>
        <v>458</v>
      </c>
      <c r="J23" s="42">
        <v>1.72</v>
      </c>
      <c r="K23" s="41" t="e">
        <f>'[1]Shenzhen Daily'!I26</f>
        <v>#REF!</v>
      </c>
      <c r="L23" s="41" t="e">
        <f>'[1]Shenzhen Daily'!J26</f>
        <v>#REF!</v>
      </c>
    </row>
    <row r="24" spans="1:12" ht="15" x14ac:dyDescent="0.25">
      <c r="A24" s="38" t="s">
        <v>24</v>
      </c>
      <c r="B24" s="39">
        <f t="shared" si="0"/>
        <v>23</v>
      </c>
      <c r="C24" s="40">
        <v>5</v>
      </c>
      <c r="D24" s="39">
        <v>2022</v>
      </c>
      <c r="E24" s="41">
        <f>Sheet1!C27</f>
        <v>28197.999999999342</v>
      </c>
      <c r="F24" s="42">
        <v>0.93</v>
      </c>
      <c r="G24" s="41">
        <f>Sheet1!E27</f>
        <v>1409</v>
      </c>
      <c r="H24" s="42">
        <v>4.3899999999999997</v>
      </c>
      <c r="I24" s="41">
        <f>Sheet1!G27</f>
        <v>453</v>
      </c>
      <c r="J24" s="42">
        <v>1.72</v>
      </c>
      <c r="K24" s="41" t="e">
        <f>'[1]Shenzhen Daily'!I27</f>
        <v>#REF!</v>
      </c>
      <c r="L24" s="41" t="e">
        <f>'[1]Shenzhen Daily'!J27</f>
        <v>#REF!</v>
      </c>
    </row>
    <row r="25" spans="1:12" ht="15" x14ac:dyDescent="0.25">
      <c r="A25" s="38" t="s">
        <v>24</v>
      </c>
      <c r="B25" s="39">
        <f t="shared" si="0"/>
        <v>24</v>
      </c>
      <c r="C25" s="40">
        <v>5</v>
      </c>
      <c r="D25" s="39">
        <v>2022</v>
      </c>
      <c r="E25" s="41">
        <f>Sheet1!C28</f>
        <v>29326.000000000196</v>
      </c>
      <c r="F25" s="42">
        <v>0.93</v>
      </c>
      <c r="G25" s="41">
        <f>Sheet1!E28</f>
        <v>1309</v>
      </c>
      <c r="H25" s="42">
        <v>4.3899999999999997</v>
      </c>
      <c r="I25" s="41">
        <f>Sheet1!G28</f>
        <v>442</v>
      </c>
      <c r="J25" s="42">
        <v>1.72</v>
      </c>
      <c r="K25" s="41" t="e">
        <f>'[1]Shenzhen Daily'!I28</f>
        <v>#REF!</v>
      </c>
      <c r="L25" s="41" t="e">
        <f>'[1]Shenzhen Daily'!J28</f>
        <v>#REF!</v>
      </c>
    </row>
    <row r="26" spans="1:12" ht="15" x14ac:dyDescent="0.25">
      <c r="A26" s="38" t="s">
        <v>24</v>
      </c>
      <c r="B26" s="39">
        <f>B25+1</f>
        <v>25</v>
      </c>
      <c r="C26" s="40">
        <v>5</v>
      </c>
      <c r="D26" s="39">
        <v>2022</v>
      </c>
      <c r="E26" s="41">
        <f>Sheet1!C29</f>
        <v>33824.000000000211</v>
      </c>
      <c r="F26" s="42">
        <v>0.93</v>
      </c>
      <c r="G26" s="41">
        <f>Sheet1!E29</f>
        <v>1414</v>
      </c>
      <c r="H26" s="42">
        <v>4.3899999999999997</v>
      </c>
      <c r="I26" s="41">
        <f>Sheet1!G29</f>
        <v>479</v>
      </c>
      <c r="J26" s="42">
        <v>1.72</v>
      </c>
      <c r="K26" s="41" t="e">
        <f>'[1]Shenzhen Daily'!I29</f>
        <v>#REF!</v>
      </c>
      <c r="L26" s="41" t="e">
        <f>'[1]Shenzhen Daily'!J29</f>
        <v>#REF!</v>
      </c>
    </row>
    <row r="27" spans="1:12" ht="15" x14ac:dyDescent="0.25">
      <c r="A27" s="38" t="s">
        <v>24</v>
      </c>
      <c r="B27" s="39">
        <f t="shared" si="0"/>
        <v>26</v>
      </c>
      <c r="C27" s="40">
        <v>5</v>
      </c>
      <c r="D27" s="39">
        <v>2022</v>
      </c>
      <c r="E27" s="41">
        <f>Sheet1!C30</f>
        <v>33975.000000000284</v>
      </c>
      <c r="F27" s="42">
        <v>0.93</v>
      </c>
      <c r="G27" s="41">
        <f>Sheet1!E30</f>
        <v>1478</v>
      </c>
      <c r="H27" s="42">
        <v>4.3899999999999997</v>
      </c>
      <c r="I27" s="41">
        <f>Sheet1!G30</f>
        <v>489</v>
      </c>
      <c r="J27" s="42">
        <v>1.72</v>
      </c>
      <c r="K27" s="41" t="e">
        <f>'[1]Shenzhen Daily'!I30</f>
        <v>#REF!</v>
      </c>
      <c r="L27" s="41" t="e">
        <f>'[1]Shenzhen Daily'!J30</f>
        <v>#REF!</v>
      </c>
    </row>
    <row r="28" spans="1:12" ht="15" x14ac:dyDescent="0.25">
      <c r="A28" s="38" t="s">
        <v>24</v>
      </c>
      <c r="B28" s="39">
        <f t="shared" si="0"/>
        <v>27</v>
      </c>
      <c r="C28" s="40">
        <v>5</v>
      </c>
      <c r="D28" s="39">
        <v>2022</v>
      </c>
      <c r="E28" s="41">
        <f>Sheet1!C31</f>
        <v>32730.999999999491</v>
      </c>
      <c r="F28" s="42">
        <v>0.93</v>
      </c>
      <c r="G28" s="41">
        <f>Sheet1!E31</f>
        <v>1439</v>
      </c>
      <c r="H28" s="42">
        <v>4.3899999999999997</v>
      </c>
      <c r="I28" s="41">
        <f>Sheet1!G31</f>
        <v>499</v>
      </c>
      <c r="J28" s="42">
        <v>1.72</v>
      </c>
      <c r="K28" s="41" t="e">
        <f>'[1]Shenzhen Daily'!I31</f>
        <v>#REF!</v>
      </c>
      <c r="L28" s="41" t="e">
        <f>'[1]Shenzhen Daily'!J31</f>
        <v>#REF!</v>
      </c>
    </row>
    <row r="29" spans="1:12" ht="15" x14ac:dyDescent="0.25">
      <c r="A29" s="38" t="s">
        <v>24</v>
      </c>
      <c r="B29" s="39">
        <f t="shared" si="0"/>
        <v>28</v>
      </c>
      <c r="C29" s="40">
        <v>5</v>
      </c>
      <c r="D29" s="39">
        <v>2022</v>
      </c>
      <c r="E29" s="41">
        <f>Sheet1!C32</f>
        <v>35765.000000000502</v>
      </c>
      <c r="F29" s="42">
        <v>0.93</v>
      </c>
      <c r="G29" s="41">
        <f>Sheet1!E32</f>
        <v>1423</v>
      </c>
      <c r="H29" s="42">
        <v>4.3899999999999997</v>
      </c>
      <c r="I29" s="41">
        <f>Sheet1!G32</f>
        <v>497</v>
      </c>
      <c r="J29" s="42">
        <v>1.72</v>
      </c>
      <c r="K29" s="41" t="e">
        <f>'[1]Shenzhen Daily'!I32</f>
        <v>#REF!</v>
      </c>
      <c r="L29" s="41" t="e">
        <f>'[1]Shenzhen Daily'!J32</f>
        <v>#REF!</v>
      </c>
    </row>
    <row r="30" spans="1:12" ht="15" x14ac:dyDescent="0.25">
      <c r="A30" s="38" t="s">
        <v>24</v>
      </c>
      <c r="B30" s="39">
        <f t="shared" si="0"/>
        <v>29</v>
      </c>
      <c r="C30" s="40">
        <v>5</v>
      </c>
      <c r="D30" s="39">
        <v>2022</v>
      </c>
      <c r="E30" s="41">
        <f>Sheet1!C33</f>
        <v>34485.999999999993</v>
      </c>
      <c r="F30" s="42">
        <v>0.93</v>
      </c>
      <c r="G30" s="41">
        <f>Sheet1!E33</f>
        <v>1335</v>
      </c>
      <c r="H30" s="42">
        <v>4.3899999999999997</v>
      </c>
      <c r="I30" s="41">
        <f>Sheet1!G33</f>
        <v>475</v>
      </c>
      <c r="J30" s="42">
        <v>1.72</v>
      </c>
      <c r="K30" s="41" t="e">
        <f>'[1]Shenzhen Daily'!I33</f>
        <v>#REF!</v>
      </c>
      <c r="L30" s="41" t="e">
        <f>'[1]Shenzhen Daily'!J33</f>
        <v>#REF!</v>
      </c>
    </row>
    <row r="31" spans="1:12" ht="15" x14ac:dyDescent="0.25">
      <c r="A31" s="38" t="s">
        <v>24</v>
      </c>
      <c r="B31" s="39">
        <f t="shared" si="0"/>
        <v>30</v>
      </c>
      <c r="C31" s="40">
        <v>5</v>
      </c>
      <c r="D31" s="39">
        <v>2022</v>
      </c>
      <c r="E31" s="41">
        <f>Sheet1!C34</f>
        <v>35948.000000000029</v>
      </c>
      <c r="F31" s="42">
        <v>0.93</v>
      </c>
      <c r="G31" s="41">
        <f>Sheet1!E34</f>
        <v>1317</v>
      </c>
      <c r="H31" s="42">
        <v>4.3899999999999997</v>
      </c>
      <c r="I31" s="41">
        <f>Sheet1!G34</f>
        <v>525</v>
      </c>
      <c r="J31" s="42">
        <v>1.72</v>
      </c>
      <c r="K31" s="41" t="e">
        <f>'[1]Shenzhen Daily'!I34</f>
        <v>#REF!</v>
      </c>
      <c r="L31" s="41" t="e">
        <f>'[1]Shenzhen Daily'!J34</f>
        <v>#REF!</v>
      </c>
    </row>
    <row r="32" spans="1:12" ht="15" x14ac:dyDescent="0.25">
      <c r="A32" s="38" t="s">
        <v>24</v>
      </c>
      <c r="B32" s="39">
        <f t="shared" si="0"/>
        <v>31</v>
      </c>
      <c r="C32" s="40">
        <v>5</v>
      </c>
      <c r="D32" s="39">
        <v>2022</v>
      </c>
      <c r="E32" s="41">
        <f>Sheet1!C35</f>
        <v>35663.999999999309</v>
      </c>
      <c r="F32" s="42">
        <v>0.93</v>
      </c>
      <c r="G32" s="41">
        <f>Sheet1!E35</f>
        <v>1353</v>
      </c>
      <c r="H32" s="42">
        <v>4.3899999999999997</v>
      </c>
      <c r="I32" s="41">
        <f>Sheet1!G35</f>
        <v>468</v>
      </c>
      <c r="J32" s="42">
        <v>1.72</v>
      </c>
      <c r="K32" s="41" t="e">
        <f>'[1]Shenzhen Daily'!I35</f>
        <v>#REF!</v>
      </c>
      <c r="L32" s="41" t="e">
        <f>'[1]Shenzhen Daily'!J35</f>
        <v>#REF!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2023-02-22T08:55:35Z</dcterms:modified>
</cp:coreProperties>
</file>