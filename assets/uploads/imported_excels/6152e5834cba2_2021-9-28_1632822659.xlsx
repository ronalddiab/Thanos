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43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6" l="1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S6" i="43"/>
  <c r="S7" i="43"/>
  <c r="S8" i="43"/>
  <c r="S9" i="43"/>
  <c r="S10" i="43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S29" i="43"/>
  <c r="S30" i="43"/>
  <c r="S31" i="43"/>
  <c r="S32" i="43"/>
  <c r="S33" i="43"/>
  <c r="S34" i="43"/>
  <c r="S35" i="43"/>
  <c r="S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19" i="43"/>
  <c r="Q20" i="43"/>
  <c r="Q21" i="43"/>
  <c r="Q22" i="43"/>
  <c r="Q23" i="43"/>
  <c r="Q24" i="43"/>
  <c r="Q25" i="43"/>
  <c r="Q26" i="43"/>
  <c r="Q27" i="43"/>
  <c r="Q28" i="43"/>
  <c r="Q29" i="43"/>
  <c r="Q30" i="43"/>
  <c r="Q31" i="43"/>
  <c r="Q32" i="43"/>
  <c r="Q33" i="43"/>
  <c r="Q34" i="43"/>
  <c r="Q35" i="43"/>
  <c r="Q5" i="43"/>
  <c r="L6" i="43"/>
  <c r="O6" i="43"/>
  <c r="M6" i="43"/>
  <c r="L7" i="43"/>
  <c r="O7" i="43"/>
  <c r="M7" i="43"/>
  <c r="L8" i="43"/>
  <c r="O8" i="43"/>
  <c r="M8" i="43"/>
  <c r="L9" i="43"/>
  <c r="O9" i="43"/>
  <c r="M9" i="43"/>
  <c r="L10" i="43"/>
  <c r="O10" i="43"/>
  <c r="M10" i="43"/>
  <c r="L11" i="43"/>
  <c r="O11" i="43"/>
  <c r="M11" i="43"/>
  <c r="L12" i="43"/>
  <c r="O12" i="43"/>
  <c r="M12" i="43"/>
  <c r="L13" i="43"/>
  <c r="O13" i="43"/>
  <c r="M13" i="43"/>
  <c r="L14" i="43"/>
  <c r="O14" i="43"/>
  <c r="M14" i="43"/>
  <c r="L15" i="43"/>
  <c r="O15" i="43"/>
  <c r="M15" i="43"/>
  <c r="L16" i="43"/>
  <c r="O16" i="43"/>
  <c r="M16" i="43"/>
  <c r="L17" i="43"/>
  <c r="O17" i="43"/>
  <c r="M17" i="43"/>
  <c r="L18" i="43"/>
  <c r="O18" i="43"/>
  <c r="M18" i="43"/>
  <c r="L19" i="43"/>
  <c r="O19" i="43"/>
  <c r="M19" i="43"/>
  <c r="L20" i="43"/>
  <c r="O20" i="43"/>
  <c r="M20" i="43"/>
  <c r="L21" i="43"/>
  <c r="O21" i="43"/>
  <c r="M21" i="43"/>
  <c r="L22" i="43"/>
  <c r="O22" i="43"/>
  <c r="M22" i="43"/>
  <c r="L23" i="43"/>
  <c r="O23" i="43"/>
  <c r="M23" i="43"/>
  <c r="L24" i="43"/>
  <c r="O24" i="43"/>
  <c r="M24" i="43"/>
  <c r="L25" i="43"/>
  <c r="O25" i="43"/>
  <c r="M25" i="43"/>
  <c r="L26" i="43"/>
  <c r="O26" i="43"/>
  <c r="M26" i="43"/>
  <c r="L27" i="43"/>
  <c r="O27" i="43"/>
  <c r="M27" i="43"/>
  <c r="L28" i="43"/>
  <c r="O28" i="43"/>
  <c r="M28" i="43"/>
  <c r="L29" i="43"/>
  <c r="O29" i="43"/>
  <c r="M29" i="43"/>
  <c r="L30" i="43"/>
  <c r="O30" i="43"/>
  <c r="M30" i="43"/>
  <c r="L31" i="43"/>
  <c r="O31" i="43"/>
  <c r="M31" i="43"/>
  <c r="L32" i="43"/>
  <c r="O32" i="43"/>
  <c r="M32" i="43"/>
  <c r="L33" i="43"/>
  <c r="O33" i="43"/>
  <c r="M33" i="43"/>
  <c r="L34" i="43"/>
  <c r="O34" i="43"/>
  <c r="M34" i="43"/>
  <c r="L35" i="43"/>
  <c r="O35" i="43"/>
  <c r="M35" i="43"/>
  <c r="L5" i="43"/>
  <c r="O5" i="43"/>
  <c r="M5" i="43"/>
  <c r="J5" i="43"/>
  <c r="M20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P6" i="43"/>
  <c r="K3" i="36"/>
  <c r="L3" i="36"/>
  <c r="P7" i="43"/>
  <c r="K4" i="36"/>
  <c r="L4" i="36"/>
  <c r="P8" i="43"/>
  <c r="K5" i="36"/>
  <c r="L5" i="36"/>
  <c r="P9" i="43"/>
  <c r="K6" i="36"/>
  <c r="L6" i="36"/>
  <c r="P10" i="43"/>
  <c r="K7" i="36"/>
  <c r="L7" i="36"/>
  <c r="P11" i="43"/>
  <c r="K8" i="36"/>
  <c r="L8" i="36"/>
  <c r="P12" i="43"/>
  <c r="K9" i="36"/>
  <c r="L9" i="36"/>
  <c r="P13" i="43"/>
  <c r="K10" i="36"/>
  <c r="L10" i="36"/>
  <c r="P14" i="43"/>
  <c r="K11" i="36"/>
  <c r="L11" i="36"/>
  <c r="P15" i="43"/>
  <c r="K12" i="36"/>
  <c r="L12" i="36"/>
  <c r="P16" i="43"/>
  <c r="K13" i="36"/>
  <c r="L13" i="36"/>
  <c r="P17" i="43"/>
  <c r="K14" i="36"/>
  <c r="L14" i="36"/>
  <c r="P18" i="43"/>
  <c r="K15" i="36"/>
  <c r="L15" i="36"/>
  <c r="P19" i="43"/>
  <c r="K16" i="36"/>
  <c r="L16" i="36"/>
  <c r="P20" i="43"/>
  <c r="K17" i="36"/>
  <c r="L17" i="36"/>
  <c r="P21" i="43"/>
  <c r="K18" i="36"/>
  <c r="L18" i="36"/>
  <c r="P22" i="43"/>
  <c r="K19" i="36"/>
  <c r="L19" i="36"/>
  <c r="P23" i="43"/>
  <c r="K20" i="36"/>
  <c r="L20" i="36"/>
  <c r="P24" i="43"/>
  <c r="K21" i="36"/>
  <c r="L21" i="36"/>
  <c r="P25" i="43"/>
  <c r="K22" i="36"/>
  <c r="L22" i="36"/>
  <c r="P26" i="43"/>
  <c r="K23" i="36"/>
  <c r="L23" i="36"/>
  <c r="P27" i="43"/>
  <c r="K24" i="36"/>
  <c r="L24" i="36"/>
  <c r="P28" i="43"/>
  <c r="K25" i="36"/>
  <c r="L25" i="36"/>
  <c r="P29" i="43"/>
  <c r="K26" i="36"/>
  <c r="L26" i="36"/>
  <c r="P30" i="43"/>
  <c r="K27" i="36"/>
  <c r="L27" i="36"/>
  <c r="P31" i="43"/>
  <c r="K28" i="36"/>
  <c r="L28" i="36"/>
  <c r="P32" i="43"/>
  <c r="K29" i="36"/>
  <c r="L29" i="36"/>
  <c r="P33" i="43"/>
  <c r="K30" i="36"/>
  <c r="L30" i="36"/>
  <c r="P34" i="43"/>
  <c r="K31" i="36"/>
  <c r="L31" i="36"/>
  <c r="P35" i="43"/>
  <c r="K32" i="36"/>
  <c r="L32" i="36"/>
  <c r="P5" i="43"/>
  <c r="K2" i="36"/>
  <c r="L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6" i="43"/>
  <c r="F6" i="43"/>
  <c r="E6" i="43"/>
  <c r="H6" i="43"/>
  <c r="G3" i="36"/>
  <c r="G7" i="43"/>
  <c r="F7" i="43"/>
  <c r="E7" i="43"/>
  <c r="H7" i="43"/>
  <c r="G4" i="36"/>
  <c r="G8" i="43"/>
  <c r="F8" i="43"/>
  <c r="E8" i="43"/>
  <c r="H8" i="43"/>
  <c r="G5" i="36"/>
  <c r="G9" i="43"/>
  <c r="F9" i="43"/>
  <c r="E9" i="43"/>
  <c r="H9" i="43"/>
  <c r="G6" i="36"/>
  <c r="G10" i="43"/>
  <c r="F10" i="43"/>
  <c r="E10" i="43"/>
  <c r="H10" i="43"/>
  <c r="G7" i="36"/>
  <c r="G11" i="43"/>
  <c r="F11" i="43"/>
  <c r="E11" i="43"/>
  <c r="H11" i="43"/>
  <c r="G8" i="36"/>
  <c r="G12" i="43"/>
  <c r="F12" i="43"/>
  <c r="E12" i="43"/>
  <c r="H12" i="43"/>
  <c r="G9" i="36"/>
  <c r="G13" i="43"/>
  <c r="F13" i="43"/>
  <c r="E13" i="43"/>
  <c r="H13" i="43"/>
  <c r="G10" i="36"/>
  <c r="G14" i="43"/>
  <c r="F14" i="43"/>
  <c r="E14" i="43"/>
  <c r="H14" i="43"/>
  <c r="G11" i="36"/>
  <c r="G15" i="43"/>
  <c r="F15" i="43"/>
  <c r="E15" i="43"/>
  <c r="H15" i="43"/>
  <c r="G12" i="36"/>
  <c r="G16" i="43"/>
  <c r="F16" i="43"/>
  <c r="E16" i="43"/>
  <c r="H16" i="43"/>
  <c r="G13" i="36"/>
  <c r="G17" i="43"/>
  <c r="F17" i="43"/>
  <c r="E17" i="43"/>
  <c r="H17" i="43"/>
  <c r="G14" i="36"/>
  <c r="G18" i="43"/>
  <c r="F18" i="43"/>
  <c r="E18" i="43"/>
  <c r="H18" i="43"/>
  <c r="G15" i="36"/>
  <c r="G19" i="43"/>
  <c r="F19" i="43"/>
  <c r="E19" i="43"/>
  <c r="H19" i="43"/>
  <c r="G16" i="36"/>
  <c r="G20" i="43"/>
  <c r="F20" i="43"/>
  <c r="E20" i="43"/>
  <c r="H20" i="43"/>
  <c r="G17" i="36"/>
  <c r="E21" i="43"/>
  <c r="F21" i="43"/>
  <c r="G21" i="43"/>
  <c r="H21" i="43"/>
  <c r="G18" i="36"/>
  <c r="G22" i="43"/>
  <c r="F22" i="43"/>
  <c r="E22" i="43"/>
  <c r="H22" i="43"/>
  <c r="G19" i="36"/>
  <c r="G23" i="43"/>
  <c r="F23" i="43"/>
  <c r="E23" i="43"/>
  <c r="H23" i="43"/>
  <c r="G20" i="36"/>
  <c r="G24" i="43"/>
  <c r="F24" i="43"/>
  <c r="E24" i="43"/>
  <c r="H24" i="43"/>
  <c r="G21" i="36"/>
  <c r="G25" i="43"/>
  <c r="F25" i="43"/>
  <c r="E25" i="43"/>
  <c r="H25" i="43"/>
  <c r="G22" i="36"/>
  <c r="G26" i="43"/>
  <c r="F26" i="43"/>
  <c r="E26" i="43"/>
  <c r="H26" i="43"/>
  <c r="G23" i="36"/>
  <c r="G27" i="43"/>
  <c r="F27" i="43"/>
  <c r="E27" i="43"/>
  <c r="H27" i="43"/>
  <c r="G24" i="36"/>
  <c r="G28" i="43"/>
  <c r="F28" i="43"/>
  <c r="E28" i="43"/>
  <c r="H28" i="43"/>
  <c r="G25" i="36"/>
  <c r="G29" i="43"/>
  <c r="F29" i="43"/>
  <c r="E29" i="43"/>
  <c r="H29" i="43"/>
  <c r="G26" i="36"/>
  <c r="G30" i="43"/>
  <c r="F30" i="43"/>
  <c r="E30" i="43"/>
  <c r="H30" i="43"/>
  <c r="G27" i="36"/>
  <c r="G31" i="43"/>
  <c r="F31" i="43"/>
  <c r="E31" i="43"/>
  <c r="H31" i="43"/>
  <c r="G28" i="36"/>
  <c r="G32" i="43"/>
  <c r="F32" i="43"/>
  <c r="E32" i="43"/>
  <c r="H32" i="43"/>
  <c r="G29" i="36"/>
  <c r="G33" i="43"/>
  <c r="F33" i="43"/>
  <c r="E33" i="43"/>
  <c r="H33" i="43"/>
  <c r="G30" i="36"/>
  <c r="G34" i="43"/>
  <c r="F34" i="43"/>
  <c r="E34" i="43"/>
  <c r="H34" i="43"/>
  <c r="G31" i="36"/>
  <c r="G35" i="43"/>
  <c r="F35" i="43"/>
  <c r="E35" i="43"/>
  <c r="H35" i="43"/>
  <c r="G32" i="36"/>
  <c r="G5" i="43"/>
  <c r="F5" i="43"/>
  <c r="E5" i="43"/>
  <c r="H5" i="43"/>
  <c r="G2" i="36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6" i="43"/>
  <c r="I5" i="43"/>
  <c r="N5" i="43"/>
  <c r="T5" i="43"/>
  <c r="U5" i="43"/>
  <c r="I6" i="43"/>
  <c r="N6" i="43"/>
  <c r="T6" i="43"/>
  <c r="U6" i="43"/>
  <c r="I7" i="43"/>
  <c r="N7" i="43"/>
  <c r="T7" i="43"/>
  <c r="U7" i="43"/>
  <c r="I8" i="43"/>
  <c r="N8" i="43"/>
  <c r="T8" i="43"/>
  <c r="U8" i="43"/>
  <c r="I9" i="43"/>
  <c r="N9" i="43"/>
  <c r="T9" i="43"/>
  <c r="U9" i="43"/>
  <c r="I10" i="43"/>
  <c r="N10" i="43"/>
  <c r="T10" i="43"/>
  <c r="U10" i="43"/>
  <c r="I11" i="43"/>
  <c r="N11" i="43"/>
  <c r="T11" i="43"/>
  <c r="U11" i="43"/>
  <c r="I12" i="43"/>
  <c r="N12" i="43"/>
  <c r="T12" i="43"/>
  <c r="U12" i="43"/>
  <c r="I13" i="43"/>
  <c r="N13" i="43"/>
  <c r="T13" i="43"/>
  <c r="U13" i="43"/>
  <c r="I14" i="43"/>
  <c r="N14" i="43"/>
  <c r="T14" i="43"/>
  <c r="U14" i="43"/>
  <c r="I15" i="43"/>
  <c r="N15" i="43"/>
  <c r="T15" i="43"/>
  <c r="U15" i="43"/>
  <c r="I16" i="43"/>
  <c r="N16" i="43"/>
  <c r="T16" i="43"/>
  <c r="U16" i="43"/>
  <c r="I17" i="43"/>
  <c r="N17" i="43"/>
  <c r="T17" i="43"/>
  <c r="U17" i="43"/>
  <c r="I18" i="43"/>
  <c r="N18" i="43"/>
  <c r="T18" i="43"/>
  <c r="U18" i="43"/>
  <c r="I19" i="43"/>
  <c r="N19" i="43"/>
  <c r="T19" i="43"/>
  <c r="U19" i="43"/>
  <c r="I20" i="43"/>
  <c r="N20" i="43"/>
  <c r="T20" i="43"/>
  <c r="U20" i="43"/>
  <c r="I21" i="43"/>
  <c r="N21" i="43"/>
  <c r="T21" i="43"/>
  <c r="U21" i="43"/>
  <c r="I22" i="43"/>
  <c r="N22" i="43"/>
  <c r="T22" i="43"/>
  <c r="U22" i="43"/>
  <c r="I23" i="43"/>
  <c r="N23" i="43"/>
  <c r="T23" i="43"/>
  <c r="U23" i="43"/>
  <c r="I24" i="43"/>
  <c r="N24" i="43"/>
  <c r="T24" i="43"/>
  <c r="U24" i="43"/>
  <c r="I25" i="43"/>
  <c r="N25" i="43"/>
  <c r="T25" i="43"/>
  <c r="U25" i="43"/>
  <c r="I26" i="43"/>
  <c r="N26" i="43"/>
  <c r="T26" i="43"/>
  <c r="U26" i="43"/>
  <c r="I27" i="43"/>
  <c r="N27" i="43"/>
  <c r="T27" i="43"/>
  <c r="U27" i="43"/>
  <c r="I28" i="43"/>
  <c r="N28" i="43"/>
  <c r="T28" i="43"/>
  <c r="U28" i="43"/>
  <c r="I29" i="43"/>
  <c r="N29" i="43"/>
  <c r="T29" i="43"/>
  <c r="U29" i="43"/>
  <c r="I30" i="43"/>
  <c r="N30" i="43"/>
  <c r="T30" i="43"/>
  <c r="U30" i="43"/>
  <c r="I31" i="43"/>
  <c r="N31" i="43"/>
  <c r="T31" i="43"/>
  <c r="U31" i="43"/>
  <c r="I32" i="43"/>
  <c r="N32" i="43"/>
  <c r="T32" i="43"/>
  <c r="U32" i="43"/>
  <c r="I33" i="43"/>
  <c r="N33" i="43"/>
  <c r="T33" i="43"/>
  <c r="U33" i="43"/>
  <c r="I34" i="43"/>
  <c r="N34" i="43"/>
  <c r="T34" i="43"/>
  <c r="U34" i="43"/>
  <c r="I35" i="43"/>
  <c r="N35" i="43"/>
  <c r="T35" i="43"/>
  <c r="U35" i="43"/>
  <c r="U37" i="43"/>
  <c r="T37" i="43"/>
  <c r="S37" i="43"/>
  <c r="P37" i="43"/>
  <c r="O37" i="43"/>
  <c r="N37" i="43"/>
  <c r="M37" i="43"/>
  <c r="J37" i="43"/>
  <c r="I37" i="43"/>
  <c r="H37" i="43"/>
  <c r="G37" i="43"/>
  <c r="F37" i="43"/>
  <c r="E37" i="43"/>
  <c r="B32" i="36"/>
  <c r="N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F3" i="36"/>
  <c r="F4" i="36"/>
  <c r="F5" i="36"/>
  <c r="F6" i="36"/>
  <c r="F7" i="36"/>
  <c r="F8" i="36"/>
  <c r="F9" i="36"/>
  <c r="B3" i="36"/>
  <c r="N2" i="36"/>
  <c r="F10" i="36"/>
  <c r="F11" i="36"/>
  <c r="F12" i="36"/>
  <c r="F13" i="36"/>
  <c r="F14" i="36"/>
  <c r="F15" i="36"/>
  <c r="F16" i="36"/>
  <c r="F17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18" i="36"/>
  <c r="F19" i="36"/>
  <c r="O13" i="36"/>
  <c r="O7" i="36"/>
  <c r="O14" i="36"/>
  <c r="O4" i="36"/>
  <c r="O3" i="36"/>
  <c r="F20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/>
  <c r="O21" i="36"/>
  <c r="F23" i="36"/>
  <c r="O22" i="36"/>
  <c r="F24" i="36"/>
  <c r="O23" i="36"/>
  <c r="F25" i="36"/>
  <c r="O24" i="36"/>
  <c r="F26" i="36"/>
  <c r="O25" i="36"/>
  <c r="F27" i="36"/>
  <c r="O26" i="36"/>
  <c r="F28" i="36"/>
  <c r="O27" i="36"/>
  <c r="F29" i="36"/>
  <c r="O28" i="36"/>
  <c r="O29" i="36"/>
  <c r="F30" i="36"/>
  <c r="F31" i="36"/>
  <c r="F32" i="36"/>
  <c r="O30" i="36"/>
  <c r="O31" i="36"/>
</calcChain>
</file>

<file path=xl/sharedStrings.xml><?xml version="1.0" encoding="utf-8"?>
<sst xmlns="http://schemas.openxmlformats.org/spreadsheetml/2006/main" count="114" uniqueCount="63">
  <si>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</si>
  <si>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</si>
  <si>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</si>
  <si>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</si>
  <si>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</si>
  <si>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</si>
  <si>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</si>
  <si>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</si>
  <si>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</si>
  <si>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</si>
  <si>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</si>
  <si>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</si>
  <si>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</si>
  <si>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</si>
  <si>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</si>
  <si>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</si>
  <si>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</si>
  <si>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</si>
  <si>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</si>
  <si>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</si>
  <si>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</si>
  <si>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</si>
  <si>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</si>
  <si>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</si>
  <si>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</si>
  <si>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</si>
  <si>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</si>
  <si>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</si>
  <si>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</si>
  <si>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</si>
  <si>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</si>
  <si>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t>Podium AC Consumption              裙楼空调用量                 (Mw/h)Rmb291.66/MwH+1655.02/天</t>
    <phoneticPr fontId="2" type="noConversion"/>
  </si>
  <si>
    <t>27/35</t>
    <phoneticPr fontId="2" type="noConversion"/>
  </si>
  <si>
    <t>27/33</t>
    <phoneticPr fontId="2" type="noConversion"/>
  </si>
  <si>
    <t>27/34</t>
    <phoneticPr fontId="2" type="noConversion"/>
  </si>
  <si>
    <t>26/34</t>
    <phoneticPr fontId="2" type="noConversion"/>
  </si>
  <si>
    <t>26/33</t>
    <phoneticPr fontId="2" type="noConversion"/>
  </si>
  <si>
    <t>25/33</t>
    <phoneticPr fontId="2" type="noConversion"/>
  </si>
  <si>
    <t>26/32</t>
    <phoneticPr fontId="2" type="noConversion"/>
  </si>
  <si>
    <t>Kitchen Gas               厨房天然气                (RMB3.11/m³)</t>
    <phoneticPr fontId="2" type="noConversion"/>
  </si>
  <si>
    <t>Boiler Gas           锅炉天然气(蒸汽)
(RMB3.11/m³)</t>
    <phoneticPr fontId="2" type="noConversion"/>
  </si>
  <si>
    <t>Boiler Gas                锅炉天然气(热水)
(RMB3.11/m³)</t>
    <phoneticPr fontId="2" type="noConversion"/>
  </si>
  <si>
    <t>General Gas               总天然气               (RMB3.11/m³)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</si>
  <si>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</si>
  <si>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r>
      <t>domestic Water 生活水RMB3.46/m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</si>
  <si>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</si>
  <si>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26/36</t>
    <phoneticPr fontId="2" type="noConversion"/>
  </si>
  <si>
    <t>26/35</t>
    <phoneticPr fontId="2" type="noConversion"/>
  </si>
  <si>
    <t>26/29</t>
    <phoneticPr fontId="2" type="noConversion"/>
  </si>
  <si>
    <r>
      <t xml:space="preserve">UTILITIES CONSUMPTION REPORT(2021-08)  </t>
    </r>
    <r>
      <rPr>
        <b/>
        <sz val="10"/>
        <rFont val="仿宋"/>
        <family val="3"/>
        <charset val="134"/>
      </rPr>
      <t>电费从2019年8月1号开始下降改为0.675169/Kwh，天然气从2021年6月1号开始下降改为3.11/m³</t>
    </r>
    <phoneticPr fontId="2" type="noConversion"/>
  </si>
  <si>
    <t>28/32</t>
    <phoneticPr fontId="2" type="noConversion"/>
  </si>
  <si>
    <t>27/31</t>
    <phoneticPr fontId="2" type="noConversion"/>
  </si>
  <si>
    <t>27/32</t>
    <phoneticPr fontId="2" type="noConversion"/>
  </si>
  <si>
    <t>26/31</t>
    <phoneticPr fontId="2" type="noConversion"/>
  </si>
  <si>
    <t>25/34</t>
    <phoneticPr fontId="2" type="noConversion"/>
  </si>
  <si>
    <t xml:space="preserve">Chiller Electricity                    制冷主机用电                       </t>
  </si>
  <si>
    <t>Podium Electricity  裙楼用电      每月10.20.月末日抄表</t>
  </si>
  <si>
    <t xml:space="preserve">Main Tower electricity     
 主塔用电 </t>
  </si>
  <si>
    <t>Total electricity  (KWH)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</si>
  <si>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1)</t>
    </r>
    <r>
      <rPr>
        <b/>
        <sz val="7"/>
        <rFont val="仿宋"/>
        <family val="3"/>
        <charset val="134"/>
      </rPr>
      <t/>
    </r>
  </si>
  <si>
    <r>
      <t>Total Water   (m</t>
    </r>
    <r>
      <rPr>
        <b/>
        <vertAlign val="superscript"/>
        <sz val="7"/>
        <rFont val="仿宋"/>
        <family val="3"/>
        <charset val="134"/>
      </rPr>
      <t>2)</t>
    </r>
    <r>
      <rPr>
        <b/>
        <sz val="7"/>
        <rFont val="仿宋"/>
        <family val="3"/>
        <charset val="134"/>
      </rPr>
      <t/>
    </r>
  </si>
  <si>
    <t xml:space="preserve"> 主塔用水</t>
  </si>
  <si>
    <t>裙楼用水          每月10.20.30日抄表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</si>
</sst>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76" formatCode="0_ "/>
    <numFmt numFmtId="177" formatCode="[$￥-804]#,##0.00"/>
    <numFmt numFmtId="178" formatCode="[$￥-804]#,##0.00_);[Red]\([$￥-804]#,##0.00\)"/>
  </numFmts>
  <fonts count="22">
    <font>
      <sz val="12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98">
    <xf numFmtId="0" fontId="0" fillId="0" borderId="0" xfId="0"/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2" borderId="0" xfId="2" applyFont="1" applyFill="1" applyAlignment="1">
      <alignment horizontal="center"/>
    </xf>
    <xf numFmtId="0" fontId="12" fillId="0" borderId="7" xfId="2" applyFont="1" applyBorder="1" applyAlignment="1" applyProtection="1">
      <alignment horizontal="center" vertical="center" wrapText="1"/>
      <protection locked="0"/>
    </xf>
    <xf numFmtId="0" fontId="12" fillId="0" borderId="8" xfId="2" applyFont="1" applyBorder="1" applyAlignment="1" applyProtection="1">
      <alignment horizontal="center" vertical="center" wrapText="1"/>
      <protection locked="0"/>
    </xf>
    <xf numFmtId="0" fontId="12" fillId="0" borderId="9" xfId="2" applyFont="1" applyBorder="1" applyAlignment="1" applyProtection="1">
      <alignment horizontal="center" vertical="center" wrapText="1"/>
      <protection locked="0"/>
    </xf>
    <xf numFmtId="0" fontId="12" fillId="0" borderId="10" xfId="2" applyFont="1" applyBorder="1" applyAlignment="1" applyProtection="1">
      <alignment horizontal="center" vertical="center" wrapText="1"/>
      <protection locked="0"/>
    </xf>
    <xf numFmtId="0" fontId="12" fillId="0" borderId="32" xfId="2" applyFont="1" applyBorder="1" applyAlignment="1" applyProtection="1">
      <alignment horizontal="center" vertical="center" wrapText="1"/>
      <protection locked="0"/>
    </xf>
    <xf numFmtId="0" fontId="12" fillId="0" borderId="11" xfId="2" applyFont="1" applyBorder="1" applyAlignment="1" applyProtection="1">
      <alignment horizontal="center" vertical="center" wrapText="1"/>
      <protection locked="0"/>
    </xf>
    <xf numFmtId="0" fontId="8" fillId="0" borderId="20" xfId="2" applyFont="1" applyBorder="1" applyAlignment="1" applyProtection="1">
      <alignment horizontal="center" vertical="center"/>
      <protection locked="0"/>
    </xf>
    <xf numFmtId="14" fontId="7" fillId="0" borderId="3" xfId="2" applyNumberFormat="1" applyFont="1" applyBorder="1" applyAlignment="1" applyProtection="1">
      <alignment horizontal="center" vertical="center"/>
      <protection locked="0"/>
    </xf>
    <xf numFmtId="0" fontId="7" fillId="0" borderId="3" xfId="2" applyFont="1" applyBorder="1" applyAlignment="1" applyProtection="1">
      <alignment horizontal="center" vertical="center"/>
      <protection locked="0"/>
    </xf>
    <xf numFmtId="0" fontId="7" fillId="0" borderId="13" xfId="2" applyFont="1" applyBorder="1" applyAlignment="1" applyProtection="1">
      <alignment horizontal="center" vertical="center"/>
      <protection locked="0"/>
    </xf>
    <xf numFmtId="41" fontId="7" fillId="0" borderId="4" xfId="2" applyNumberFormat="1" applyFont="1" applyBorder="1" applyAlignment="1" applyProtection="1">
      <alignment horizontal="center" vertical="center"/>
      <protection locked="0"/>
    </xf>
    <xf numFmtId="178" fontId="7" fillId="0" borderId="15" xfId="2" applyNumberFormat="1" applyFont="1" applyBorder="1" applyAlignment="1" applyProtection="1">
      <alignment horizontal="center" vertical="center"/>
      <protection locked="0"/>
    </xf>
    <xf numFmtId="41" fontId="7" fillId="0" borderId="14" xfId="2" applyNumberFormat="1" applyFont="1" applyBorder="1" applyAlignment="1" applyProtection="1">
      <alignment horizontal="center" vertical="center"/>
      <protection locked="0"/>
    </xf>
    <xf numFmtId="177" fontId="7" fillId="0" borderId="6" xfId="2" applyNumberFormat="1" applyFont="1" applyBorder="1" applyAlignment="1" applyProtection="1">
      <alignment horizontal="center" vertical="center"/>
      <protection locked="0"/>
    </xf>
    <xf numFmtId="178" fontId="7" fillId="0" borderId="6" xfId="2" applyNumberFormat="1" applyFont="1" applyBorder="1" applyAlignment="1" applyProtection="1">
      <alignment horizontal="center" vertical="center"/>
      <protection locked="0"/>
    </xf>
    <xf numFmtId="41" fontId="7" fillId="0" borderId="2" xfId="2" applyNumberFormat="1" applyFont="1" applyBorder="1" applyAlignment="1" applyProtection="1">
      <alignment horizontal="center" vertical="center"/>
      <protection locked="0"/>
    </xf>
    <xf numFmtId="178" fontId="9" fillId="0" borderId="17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/>
    </xf>
    <xf numFmtId="0" fontId="8" fillId="0" borderId="21" xfId="2" applyFont="1" applyBorder="1" applyAlignment="1" applyProtection="1">
      <alignment horizontal="center" vertical="center"/>
      <protection locked="0"/>
    </xf>
    <xf numFmtId="178" fontId="7" fillId="0" borderId="1" xfId="2" applyNumberFormat="1" applyFont="1" applyBorder="1" applyAlignment="1" applyProtection="1">
      <alignment horizontal="center" vertical="center"/>
      <protection locked="0"/>
    </xf>
    <xf numFmtId="0" fontId="5" fillId="0" borderId="22" xfId="2" applyFont="1" applyBorder="1" applyAlignment="1" applyProtection="1">
      <alignment horizontal="center" vertical="center"/>
      <protection locked="0"/>
    </xf>
    <xf numFmtId="41" fontId="7" fillId="3" borderId="12" xfId="2" applyNumberFormat="1" applyFont="1" applyFill="1" applyBorder="1" applyAlignment="1" applyProtection="1">
      <alignment horizontal="center" vertical="center"/>
      <protection locked="0"/>
    </xf>
    <xf numFmtId="178" fontId="7" fillId="3" borderId="5" xfId="2" applyNumberFormat="1" applyFont="1" applyFill="1" applyBorder="1" applyAlignment="1" applyProtection="1">
      <alignment horizontal="center" vertical="center"/>
      <protection locked="0"/>
    </xf>
    <xf numFmtId="177" fontId="7" fillId="3" borderId="16" xfId="2" applyNumberFormat="1" applyFont="1" applyFill="1" applyBorder="1" applyAlignment="1" applyProtection="1">
      <alignment horizontal="center" vertical="center"/>
      <protection locked="0"/>
    </xf>
    <xf numFmtId="41" fontId="7" fillId="3" borderId="5" xfId="2" applyNumberFormat="1" applyFont="1" applyFill="1" applyBorder="1" applyAlignment="1" applyProtection="1">
      <alignment horizontal="center" vertical="center"/>
      <protection locked="0"/>
    </xf>
    <xf numFmtId="177" fontId="7" fillId="3" borderId="12" xfId="2" applyNumberFormat="1" applyFont="1" applyFill="1" applyBorder="1" applyAlignment="1" applyProtection="1">
      <alignment horizontal="center" vertical="center"/>
      <protection locked="0"/>
    </xf>
    <xf numFmtId="178" fontId="7" fillId="3" borderId="16" xfId="2" applyNumberFormat="1" applyFont="1" applyFill="1" applyBorder="1" applyAlignment="1" applyProtection="1">
      <alignment horizontal="center" vertical="center"/>
      <protection locked="0"/>
    </xf>
    <xf numFmtId="178" fontId="9" fillId="0" borderId="18" xfId="2" applyNumberFormat="1" applyFont="1" applyBorder="1" applyAlignment="1" applyProtection="1">
      <alignment horizontal="center" vertical="center" wrapText="1"/>
      <protection locked="0"/>
    </xf>
    <xf numFmtId="41" fontId="14" fillId="0" borderId="19" xfId="2" applyNumberFormat="1" applyFont="1" applyBorder="1" applyAlignment="1" applyProtection="1">
      <alignment horizontal="center" vertical="center" wrapText="1"/>
      <protection locked="0"/>
    </xf>
    <xf numFmtId="41" fontId="14" fillId="0" borderId="8" xfId="2" applyNumberFormat="1" applyFont="1" applyBorder="1" applyAlignment="1" applyProtection="1">
      <alignment horizontal="center" vertical="center" wrapText="1"/>
      <protection locked="0"/>
    </xf>
    <xf numFmtId="41" fontId="14" fillId="0" borderId="32" xfId="2" applyNumberFormat="1" applyFont="1" applyBorder="1" applyAlignment="1" applyProtection="1">
      <alignment horizontal="center" vertical="center" wrapText="1"/>
      <protection locked="0"/>
    </xf>
    <xf numFmtId="41" fontId="15" fillId="0" borderId="10" xfId="2" applyNumberFormat="1" applyFont="1" applyBorder="1" applyAlignment="1" applyProtection="1">
      <alignment horizontal="center" vertical="center" wrapText="1"/>
      <protection locked="0"/>
    </xf>
    <xf numFmtId="0" fontId="4" fillId="0" borderId="0" xfId="2" applyFont="1" applyBorder="1" applyAlignment="1">
      <alignment horizontal="center"/>
    </xf>
    <xf numFmtId="0" fontId="4" fillId="0" borderId="0" xfId="2" applyFont="1" applyBorder="1" applyAlignment="1"/>
    <xf numFmtId="0" fontId="4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/>
    </xf>
    <xf numFmtId="0" fontId="4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4" fillId="0" borderId="0" xfId="2" applyFont="1" applyAlignment="1"/>
    <xf numFmtId="0" fontId="9" fillId="2" borderId="26" xfId="2" applyFont="1" applyFill="1" applyBorder="1" applyAlignment="1" applyProtection="1">
      <alignment horizontal="center" vertical="center" wrapText="1"/>
      <protection locked="0"/>
    </xf>
    <xf numFmtId="0" fontId="9" fillId="2" borderId="27" xfId="2" applyFont="1" applyFill="1" applyBorder="1" applyAlignment="1" applyProtection="1">
      <alignment horizontal="center" vertical="center" wrapText="1"/>
      <protection locked="0"/>
    </xf>
    <xf numFmtId="0" fontId="9" fillId="2" borderId="12" xfId="2" applyFont="1" applyFill="1" applyBorder="1" applyAlignment="1" applyProtection="1">
      <alignment horizontal="center" vertical="center" wrapText="1"/>
      <protection locked="0"/>
    </xf>
    <xf numFmtId="0" fontId="9" fillId="2" borderId="16" xfId="2" applyFont="1" applyFill="1" applyBorder="1" applyAlignment="1" applyProtection="1">
      <alignment horizontal="center" vertical="center" wrapText="1"/>
      <protection locked="0"/>
    </xf>
    <xf numFmtId="0" fontId="6" fillId="0" borderId="26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2" borderId="28" xfId="2" applyFont="1" applyFill="1" applyBorder="1" applyAlignment="1" applyProtection="1">
      <alignment horizontal="center" vertical="center" wrapText="1"/>
      <protection locked="0"/>
    </xf>
    <xf numFmtId="0" fontId="6" fillId="2" borderId="30" xfId="2" applyFont="1" applyFill="1" applyBorder="1" applyAlignment="1" applyProtection="1">
      <alignment horizontal="center" vertical="center" wrapText="1"/>
      <protection locked="0"/>
    </xf>
    <xf numFmtId="0" fontId="9" fillId="0" borderId="27" xfId="2" applyFont="1" applyBorder="1" applyAlignment="1" applyProtection="1">
      <alignment horizontal="center" vertical="center" wrapText="1"/>
      <protection locked="0"/>
    </xf>
    <xf numFmtId="0" fontId="9" fillId="0" borderId="24" xfId="2" applyFont="1" applyBorder="1" applyAlignment="1" applyProtection="1">
      <alignment horizontal="center" vertical="center" wrapText="1"/>
      <protection locked="0"/>
    </xf>
    <xf numFmtId="0" fontId="9" fillId="0" borderId="25" xfId="2" applyFont="1" applyBorder="1" applyAlignment="1" applyProtection="1">
      <alignment horizontal="center" vertical="center" wrapText="1"/>
      <protection locked="0"/>
    </xf>
    <xf numFmtId="0" fontId="9" fillId="2" borderId="28" xfId="2" applyFont="1" applyFill="1" applyBorder="1" applyAlignment="1" applyProtection="1">
      <alignment horizontal="center" vertical="center" wrapText="1"/>
      <protection locked="0"/>
    </xf>
    <xf numFmtId="0" fontId="9" fillId="2" borderId="30" xfId="2" applyFont="1" applyFill="1" applyBorder="1" applyAlignment="1" applyProtection="1">
      <alignment horizontal="center" vertical="center" wrapText="1"/>
      <protection locked="0"/>
    </xf>
    <xf numFmtId="43" fontId="6" fillId="0" borderId="28" xfId="2" applyNumberFormat="1" applyFont="1" applyBorder="1" applyAlignment="1" applyProtection="1">
      <alignment horizontal="center" vertical="center"/>
      <protection locked="0"/>
    </xf>
    <xf numFmtId="43" fontId="6" fillId="0" borderId="29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9" fillId="0" borderId="23" xfId="2" applyFont="1" applyBorder="1" applyAlignment="1" applyProtection="1">
      <alignment horizontal="center" vertical="center" wrapText="1"/>
      <protection locked="0"/>
    </xf>
    <xf numFmtId="0" fontId="9" fillId="2" borderId="23" xfId="2" applyFont="1" applyFill="1" applyBorder="1" applyAlignment="1" applyProtection="1">
      <alignment horizontal="center" vertical="center" wrapText="1"/>
      <protection locked="0"/>
    </xf>
    <xf numFmtId="0" fontId="9" fillId="2" borderId="24" xfId="2" applyFont="1" applyFill="1" applyBorder="1" applyAlignment="1" applyProtection="1">
      <alignment horizontal="center" vertical="center" wrapText="1"/>
      <protection locked="0"/>
    </xf>
    <xf numFmtId="0" fontId="9" fillId="2" borderId="25" xfId="2" applyFont="1" applyFill="1" applyBorder="1" applyAlignment="1" applyProtection="1">
      <alignment horizontal="center" vertical="center" wrapText="1"/>
      <protection locked="0"/>
    </xf>
    <xf numFmtId="176" fontId="9" fillId="2" borderId="26" xfId="2" applyNumberFormat="1" applyFont="1" applyFill="1" applyBorder="1" applyAlignment="1" applyProtection="1">
      <alignment horizontal="center" vertical="center" wrapText="1"/>
      <protection locked="0"/>
    </xf>
    <xf numFmtId="176" fontId="9" fillId="2" borderId="12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0" borderId="12" xfId="2" applyFont="1" applyBorder="1" applyAlignment="1" applyProtection="1">
      <alignment horizontal="center" vertical="center"/>
      <protection locked="0"/>
    </xf>
    <xf numFmtId="0" fontId="9" fillId="0" borderId="31" xfId="2" applyFont="1" applyBorder="1" applyAlignment="1" applyProtection="1">
      <alignment horizontal="center" vertical="center" wrapText="1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0" fontId="9" fillId="0" borderId="12" xfId="2" applyFont="1" applyBorder="1" applyAlignment="1" applyProtection="1">
      <alignment horizontal="center" vertical="center" wrapText="1"/>
      <protection locked="0"/>
    </xf>
    <xf numFmtId="0" fontId="9" fillId="0" borderId="16" xfId="2" applyFont="1" applyBorder="1" applyAlignment="1" applyProtection="1">
      <alignment horizontal="center" vertical="center" wrapText="1"/>
      <protection locked="0"/>
    </xf>
    <xf numFmtId="0" fontId="6" fillId="0" borderId="26" xfId="2" applyFont="1" applyBorder="1" applyAlignment="1" applyProtection="1">
      <alignment horizontal="center" vertical="center" wrapText="1"/>
      <protection locked="0"/>
    </xf>
    <xf numFmtId="0" fontId="6" fillId="0" borderId="12" xfId="2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7" fillId="0" borderId="33" xfId="2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E7">
            <v>17000.000000000455</v>
          </cell>
          <cell r="F7">
            <v>35699.99999999936</v>
          </cell>
        </row>
        <row r="8">
          <cell r="F8">
            <v>34900.000000000087</v>
          </cell>
        </row>
        <row r="9">
          <cell r="F9">
            <v>36399.999999998727</v>
          </cell>
        </row>
        <row r="10">
          <cell r="F10">
            <v>36299.999999998821</v>
          </cell>
        </row>
        <row r="11">
          <cell r="F11">
            <v>35900.000000001455</v>
          </cell>
        </row>
        <row r="12">
          <cell r="F12">
            <v>36700.000000000728</v>
          </cell>
        </row>
        <row r="13">
          <cell r="F13">
            <v>36699.999999998457</v>
          </cell>
        </row>
        <row r="14">
          <cell r="F14">
            <v>37099.999999998094</v>
          </cell>
        </row>
        <row r="15">
          <cell r="F15">
            <v>37100.000000004911</v>
          </cell>
        </row>
        <row r="16">
          <cell r="F16">
            <v>34499.999999998181</v>
          </cell>
        </row>
        <row r="17">
          <cell r="F17">
            <v>37200.000000000276</v>
          </cell>
        </row>
        <row r="18">
          <cell r="F18">
            <v>36800.00000000064</v>
          </cell>
        </row>
        <row r="19">
          <cell r="F19">
            <v>36999.999999998181</v>
          </cell>
        </row>
        <row r="20">
          <cell r="F20">
            <v>38099.999999999454</v>
          </cell>
        </row>
        <row r="21">
          <cell r="F21">
            <v>36200.000000001179</v>
          </cell>
        </row>
        <row r="22">
          <cell r="F22">
            <v>35399.999999999636</v>
          </cell>
        </row>
        <row r="23">
          <cell r="F23">
            <v>36900.000000000546</v>
          </cell>
        </row>
        <row r="24">
          <cell r="F24">
            <v>35799.999999999272</v>
          </cell>
        </row>
        <row r="25">
          <cell r="F25">
            <v>34700.000000000276</v>
          </cell>
        </row>
        <row r="26">
          <cell r="F26">
            <v>36199.999999998909</v>
          </cell>
        </row>
        <row r="27">
          <cell r="F27">
            <v>37500</v>
          </cell>
        </row>
        <row r="28">
          <cell r="F28">
            <v>36200.000000001179</v>
          </cell>
        </row>
        <row r="29">
          <cell r="F29">
            <v>34900.000000000087</v>
          </cell>
        </row>
        <row r="30">
          <cell r="F30">
            <v>35600.000000001732</v>
          </cell>
        </row>
        <row r="31">
          <cell r="F31">
            <v>37699.999999997541</v>
          </cell>
        </row>
        <row r="32">
          <cell r="F32">
            <v>35199.999999999818</v>
          </cell>
        </row>
        <row r="33">
          <cell r="F33">
            <v>35799.999999999272</v>
          </cell>
        </row>
        <row r="34">
          <cell r="F34">
            <v>34500.000000000451</v>
          </cell>
        </row>
        <row r="35">
          <cell r="F35">
            <v>35399.999999999636</v>
          </cell>
        </row>
        <row r="36">
          <cell r="F36">
            <v>34700.000000000276</v>
          </cell>
        </row>
        <row r="37">
          <cell r="F37">
            <v>35500.000000001819</v>
          </cell>
        </row>
      </sheetData>
      <sheetData sheetId="2">
        <row r="7">
          <cell r="A7">
            <v>44409</v>
          </cell>
          <cell r="C7">
            <v>750</v>
          </cell>
        </row>
        <row r="8">
          <cell r="C8">
            <v>439</v>
          </cell>
        </row>
        <row r="9">
          <cell r="C9">
            <v>699</v>
          </cell>
        </row>
        <row r="10">
          <cell r="C10">
            <v>556</v>
          </cell>
        </row>
        <row r="11">
          <cell r="C11">
            <v>585</v>
          </cell>
        </row>
        <row r="12">
          <cell r="C12">
            <v>659</v>
          </cell>
        </row>
        <row r="13">
          <cell r="C13">
            <v>763</v>
          </cell>
        </row>
        <row r="14">
          <cell r="C14">
            <v>625</v>
          </cell>
        </row>
        <row r="15">
          <cell r="C15">
            <v>439</v>
          </cell>
        </row>
        <row r="16">
          <cell r="C16">
            <v>511</v>
          </cell>
        </row>
        <row r="17">
          <cell r="C17">
            <v>628</v>
          </cell>
        </row>
        <row r="18">
          <cell r="C18">
            <v>584</v>
          </cell>
        </row>
        <row r="19">
          <cell r="C19">
            <v>588</v>
          </cell>
        </row>
        <row r="20">
          <cell r="C20">
            <v>668</v>
          </cell>
        </row>
        <row r="21">
          <cell r="C21">
            <v>617</v>
          </cell>
        </row>
        <row r="22">
          <cell r="C22">
            <v>554</v>
          </cell>
        </row>
        <row r="23">
          <cell r="C23">
            <v>631</v>
          </cell>
        </row>
        <row r="24">
          <cell r="C24">
            <v>583</v>
          </cell>
        </row>
        <row r="25">
          <cell r="C25">
            <v>608</v>
          </cell>
        </row>
        <row r="26">
          <cell r="C26">
            <v>534</v>
          </cell>
        </row>
        <row r="27">
          <cell r="C27">
            <v>719</v>
          </cell>
        </row>
        <row r="28">
          <cell r="C28">
            <v>635</v>
          </cell>
        </row>
        <row r="29">
          <cell r="C29">
            <v>449</v>
          </cell>
        </row>
        <row r="30">
          <cell r="C30">
            <v>574</v>
          </cell>
        </row>
        <row r="31">
          <cell r="C31">
            <v>520</v>
          </cell>
        </row>
        <row r="32">
          <cell r="C32">
            <v>595</v>
          </cell>
        </row>
        <row r="33">
          <cell r="C33">
            <v>680</v>
          </cell>
        </row>
        <row r="34">
          <cell r="C34">
            <v>651</v>
          </cell>
        </row>
        <row r="35">
          <cell r="C35">
            <v>692</v>
          </cell>
        </row>
        <row r="36">
          <cell r="C36">
            <v>713</v>
          </cell>
        </row>
        <row r="37">
          <cell r="C37">
            <v>579</v>
          </cell>
        </row>
      </sheetData>
      <sheetData sheetId="3">
        <row r="7">
          <cell r="C7">
            <v>1387</v>
          </cell>
          <cell r="H7">
            <v>760</v>
          </cell>
        </row>
        <row r="8">
          <cell r="C8">
            <v>1375</v>
          </cell>
          <cell r="H8">
            <v>728</v>
          </cell>
        </row>
        <row r="9">
          <cell r="C9">
            <v>1463</v>
          </cell>
          <cell r="H9">
            <v>711</v>
          </cell>
        </row>
        <row r="10">
          <cell r="C10">
            <v>1364</v>
          </cell>
          <cell r="H10">
            <v>679</v>
          </cell>
        </row>
        <row r="11">
          <cell r="C11">
            <v>1243</v>
          </cell>
          <cell r="H11">
            <v>690</v>
          </cell>
        </row>
        <row r="12">
          <cell r="C12">
            <v>1365</v>
          </cell>
          <cell r="H12">
            <v>716</v>
          </cell>
        </row>
        <row r="13">
          <cell r="C13">
            <v>1314</v>
          </cell>
          <cell r="H13">
            <v>708</v>
          </cell>
        </row>
        <row r="14">
          <cell r="C14">
            <v>1282</v>
          </cell>
          <cell r="H14">
            <v>746</v>
          </cell>
        </row>
        <row r="15">
          <cell r="C15">
            <v>1279</v>
          </cell>
          <cell r="H15">
            <v>660</v>
          </cell>
        </row>
        <row r="16">
          <cell r="C16">
            <v>1287</v>
          </cell>
          <cell r="H16">
            <v>653</v>
          </cell>
        </row>
        <row r="17">
          <cell r="C17">
            <v>1298</v>
          </cell>
          <cell r="H17">
            <v>769</v>
          </cell>
        </row>
        <row r="18">
          <cell r="C18">
            <v>1293</v>
          </cell>
          <cell r="H18">
            <v>659</v>
          </cell>
        </row>
        <row r="19">
          <cell r="C19">
            <v>1220</v>
          </cell>
          <cell r="H19">
            <v>690</v>
          </cell>
        </row>
        <row r="20">
          <cell r="C20">
            <v>1234</v>
          </cell>
          <cell r="H20">
            <v>742</v>
          </cell>
        </row>
        <row r="21">
          <cell r="C21">
            <v>1264</v>
          </cell>
          <cell r="H21">
            <v>738</v>
          </cell>
        </row>
        <row r="22">
          <cell r="C22">
            <v>1264</v>
          </cell>
          <cell r="H22">
            <v>635</v>
          </cell>
        </row>
        <row r="23">
          <cell r="C23">
            <v>1288</v>
          </cell>
          <cell r="H23">
            <v>630</v>
          </cell>
        </row>
        <row r="24">
          <cell r="C24">
            <v>1237</v>
          </cell>
          <cell r="H24">
            <v>674</v>
          </cell>
        </row>
        <row r="25">
          <cell r="C25">
            <v>1225</v>
          </cell>
          <cell r="H25">
            <v>642</v>
          </cell>
        </row>
        <row r="26">
          <cell r="C26">
            <v>1240</v>
          </cell>
          <cell r="H26">
            <v>703</v>
          </cell>
        </row>
        <row r="27">
          <cell r="C27">
            <v>1226</v>
          </cell>
          <cell r="H27">
            <v>676</v>
          </cell>
        </row>
        <row r="28">
          <cell r="C28">
            <v>1226</v>
          </cell>
          <cell r="H28">
            <v>701</v>
          </cell>
        </row>
        <row r="29">
          <cell r="C29">
            <v>1198</v>
          </cell>
          <cell r="H29">
            <v>623</v>
          </cell>
        </row>
        <row r="30">
          <cell r="C30">
            <v>1220</v>
          </cell>
          <cell r="H30">
            <v>647</v>
          </cell>
        </row>
        <row r="31">
          <cell r="C31">
            <v>1295</v>
          </cell>
          <cell r="H31">
            <v>676</v>
          </cell>
        </row>
        <row r="32">
          <cell r="C32">
            <v>1245</v>
          </cell>
          <cell r="H32">
            <v>686</v>
          </cell>
        </row>
        <row r="33">
          <cell r="C33">
            <v>1201</v>
          </cell>
          <cell r="H33">
            <v>637</v>
          </cell>
        </row>
        <row r="34">
          <cell r="C34">
            <v>1292</v>
          </cell>
          <cell r="H34">
            <v>671</v>
          </cell>
        </row>
        <row r="35">
          <cell r="C35">
            <v>1297</v>
          </cell>
          <cell r="H35">
            <v>725</v>
          </cell>
        </row>
        <row r="36">
          <cell r="C36">
            <v>1266</v>
          </cell>
          <cell r="H36">
            <v>649</v>
          </cell>
        </row>
        <row r="37">
          <cell r="C37">
            <v>1309</v>
          </cell>
          <cell r="H37">
            <v>632</v>
          </cell>
        </row>
      </sheetData>
      <sheetData sheetId="4"/>
      <sheetData sheetId="5">
        <row r="7">
          <cell r="BH7">
            <v>623</v>
          </cell>
        </row>
        <row r="8">
          <cell r="BH8">
            <v>600</v>
          </cell>
        </row>
        <row r="9">
          <cell r="BH9">
            <v>626</v>
          </cell>
        </row>
        <row r="10">
          <cell r="BH10">
            <v>654</v>
          </cell>
        </row>
        <row r="11">
          <cell r="BH11">
            <v>648</v>
          </cell>
        </row>
        <row r="12">
          <cell r="BH12">
            <v>735</v>
          </cell>
        </row>
        <row r="13">
          <cell r="BH13">
            <v>748</v>
          </cell>
        </row>
        <row r="14">
          <cell r="BH14">
            <v>551</v>
          </cell>
        </row>
        <row r="15">
          <cell r="BH15">
            <v>552</v>
          </cell>
        </row>
        <row r="16">
          <cell r="BH16">
            <v>639</v>
          </cell>
        </row>
        <row r="17">
          <cell r="BH17">
            <v>614</v>
          </cell>
        </row>
        <row r="18">
          <cell r="BH18">
            <v>593</v>
          </cell>
        </row>
        <row r="19">
          <cell r="BH19">
            <v>639</v>
          </cell>
        </row>
        <row r="20">
          <cell r="BH20">
            <v>777</v>
          </cell>
        </row>
        <row r="21">
          <cell r="BH21">
            <v>597</v>
          </cell>
        </row>
        <row r="22">
          <cell r="BH22">
            <v>547</v>
          </cell>
        </row>
        <row r="23">
          <cell r="BH23">
            <v>588</v>
          </cell>
        </row>
        <row r="24">
          <cell r="BH24">
            <v>757</v>
          </cell>
        </row>
        <row r="25">
          <cell r="BH25">
            <v>685</v>
          </cell>
        </row>
        <row r="26">
          <cell r="BH26">
            <v>625</v>
          </cell>
        </row>
        <row r="27">
          <cell r="BH27">
            <v>569</v>
          </cell>
        </row>
        <row r="28">
          <cell r="BH28">
            <v>519</v>
          </cell>
        </row>
        <row r="29">
          <cell r="BH29">
            <v>506</v>
          </cell>
        </row>
        <row r="30">
          <cell r="BH30">
            <v>594</v>
          </cell>
        </row>
        <row r="31">
          <cell r="BH31">
            <v>549</v>
          </cell>
        </row>
        <row r="32">
          <cell r="BH32">
            <v>535</v>
          </cell>
        </row>
        <row r="33">
          <cell r="BH33">
            <v>622</v>
          </cell>
        </row>
        <row r="34">
          <cell r="BH34">
            <v>718</v>
          </cell>
        </row>
        <row r="35">
          <cell r="BH35">
            <v>540</v>
          </cell>
        </row>
        <row r="36">
          <cell r="BH36">
            <v>514</v>
          </cell>
        </row>
        <row r="37">
          <cell r="BH37">
            <v>556</v>
          </cell>
        </row>
      </sheetData>
      <sheetData sheetId="6">
        <row r="4">
          <cell r="V4">
            <v>11880</v>
          </cell>
        </row>
        <row r="5">
          <cell r="V5">
            <v>11636</v>
          </cell>
        </row>
        <row r="6">
          <cell r="V6">
            <v>12804</v>
          </cell>
        </row>
        <row r="7">
          <cell r="V7">
            <v>12699</v>
          </cell>
        </row>
        <row r="8">
          <cell r="V8">
            <v>12491</v>
          </cell>
        </row>
        <row r="9">
          <cell r="V9">
            <v>12763</v>
          </cell>
        </row>
        <row r="10">
          <cell r="V10">
            <v>12240</v>
          </cell>
        </row>
        <row r="11">
          <cell r="V11">
            <v>13113</v>
          </cell>
        </row>
        <row r="12">
          <cell r="V12">
            <v>12230</v>
          </cell>
        </row>
        <row r="13">
          <cell r="V13">
            <v>12859</v>
          </cell>
        </row>
        <row r="14">
          <cell r="V14">
            <v>13316</v>
          </cell>
        </row>
        <row r="15">
          <cell r="V15">
            <v>12839</v>
          </cell>
        </row>
        <row r="16">
          <cell r="V16">
            <v>13460</v>
          </cell>
        </row>
        <row r="17">
          <cell r="V17">
            <v>13478</v>
          </cell>
        </row>
        <row r="18">
          <cell r="V18">
            <v>12361</v>
          </cell>
        </row>
        <row r="19">
          <cell r="V19">
            <v>12661</v>
          </cell>
        </row>
        <row r="20">
          <cell r="V20">
            <v>13244</v>
          </cell>
        </row>
        <row r="21">
          <cell r="V21">
            <v>12575</v>
          </cell>
        </row>
        <row r="22">
          <cell r="V22">
            <v>12157</v>
          </cell>
        </row>
        <row r="23">
          <cell r="V23">
            <v>12950</v>
          </cell>
        </row>
        <row r="24">
          <cell r="V24">
            <v>13594</v>
          </cell>
        </row>
        <row r="25">
          <cell r="V25">
            <v>13152</v>
          </cell>
        </row>
        <row r="26">
          <cell r="V26">
            <v>12045</v>
          </cell>
        </row>
        <row r="27">
          <cell r="V27">
            <v>12762</v>
          </cell>
        </row>
        <row r="28">
          <cell r="V28">
            <v>13179</v>
          </cell>
        </row>
        <row r="29">
          <cell r="V29">
            <v>12289</v>
          </cell>
        </row>
        <row r="30">
          <cell r="V30">
            <v>12859</v>
          </cell>
        </row>
        <row r="31">
          <cell r="V31">
            <v>10764</v>
          </cell>
        </row>
        <row r="32">
          <cell r="V32">
            <v>11662</v>
          </cell>
        </row>
        <row r="33">
          <cell r="V33">
            <v>10877</v>
          </cell>
        </row>
        <row r="34">
          <cell r="V34">
            <v>12966</v>
          </cell>
        </row>
      </sheetData>
      <sheetData sheetId="7">
        <row r="4">
          <cell r="L4">
            <v>27</v>
          </cell>
        </row>
        <row r="5">
          <cell r="L5">
            <v>23</v>
          </cell>
        </row>
        <row r="6">
          <cell r="L6">
            <v>26</v>
          </cell>
        </row>
        <row r="7">
          <cell r="L7">
            <v>27</v>
          </cell>
        </row>
        <row r="8">
          <cell r="L8">
            <v>30</v>
          </cell>
        </row>
        <row r="9">
          <cell r="L9">
            <v>31</v>
          </cell>
        </row>
        <row r="10">
          <cell r="L10">
            <v>26</v>
          </cell>
        </row>
        <row r="11">
          <cell r="L11">
            <v>29</v>
          </cell>
        </row>
        <row r="12">
          <cell r="L12">
            <v>26</v>
          </cell>
        </row>
        <row r="13">
          <cell r="L13">
            <v>25</v>
          </cell>
        </row>
        <row r="14">
          <cell r="L14">
            <v>26</v>
          </cell>
        </row>
        <row r="15">
          <cell r="L15">
            <v>28</v>
          </cell>
        </row>
        <row r="16">
          <cell r="L16">
            <v>25</v>
          </cell>
        </row>
        <row r="17">
          <cell r="L17">
            <v>24</v>
          </cell>
        </row>
        <row r="18">
          <cell r="L18">
            <v>24</v>
          </cell>
        </row>
        <row r="19">
          <cell r="L19">
            <v>25</v>
          </cell>
        </row>
        <row r="20">
          <cell r="L20">
            <v>27</v>
          </cell>
        </row>
        <row r="21">
          <cell r="L21">
            <v>33</v>
          </cell>
        </row>
        <row r="22">
          <cell r="L22">
            <v>27</v>
          </cell>
        </row>
        <row r="23">
          <cell r="L23">
            <v>24</v>
          </cell>
        </row>
        <row r="24">
          <cell r="L24">
            <v>23</v>
          </cell>
        </row>
        <row r="25">
          <cell r="L25">
            <v>22</v>
          </cell>
        </row>
        <row r="26">
          <cell r="L26">
            <v>24</v>
          </cell>
        </row>
        <row r="27">
          <cell r="L27">
            <v>25</v>
          </cell>
        </row>
        <row r="28">
          <cell r="L28">
            <v>25</v>
          </cell>
        </row>
        <row r="29">
          <cell r="L29">
            <v>24</v>
          </cell>
        </row>
        <row r="30">
          <cell r="L30">
            <v>30</v>
          </cell>
        </row>
        <row r="31">
          <cell r="L31">
            <v>23</v>
          </cell>
        </row>
        <row r="32">
          <cell r="L32">
            <v>24</v>
          </cell>
        </row>
        <row r="33">
          <cell r="L33">
            <v>21</v>
          </cell>
        </row>
        <row r="34">
          <cell r="L34">
            <v>23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zoomScale="85" zoomScaleNormal="85" workbookViewId="0">
      <selection activeCell="C36" sqref="C36"/>
    </sheetView>
  </sheetViews>
  <sheetFormatPr defaultColWidth="10.125" defaultRowHeight="14.2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7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5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8</v>
      </c>
      <c r="D2" s="10">
        <v>2021</v>
      </c>
      <c r="E2" s="11">
        <f>SUBMETERING!M5</f>
        <v>62407.92999999936</v>
      </c>
      <c r="F2" s="17">
        <v>0.67516900000000002</v>
      </c>
      <c r="G2" s="12">
        <f>SUBMETERING!H5</f>
        <v>2770</v>
      </c>
      <c r="H2" s="17">
        <v>3.11</v>
      </c>
      <c r="I2" s="12">
        <f>SUBMETERING!S5</f>
        <v>856.96</v>
      </c>
      <c r="J2" s="17">
        <v>4.8600000000000003</v>
      </c>
      <c r="K2" s="19">
        <f>SUBMETERING!O5*1000</f>
        <v>27000</v>
      </c>
      <c r="L2" s="17">
        <f>SUBMETERING!P5/TOTAL!K2</f>
        <v>0.41699999999999998</v>
      </c>
      <c r="M2" s="11">
        <f>(SUBMETERING!D5/100)*344</f>
        <v>204.9896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8</v>
      </c>
      <c r="D3" s="10">
        <v>2021</v>
      </c>
      <c r="E3" s="11">
        <f>SUBMETERING!M6</f>
        <v>59137.570000000087</v>
      </c>
      <c r="F3" s="17">
        <f>F2</f>
        <v>0.67516900000000002</v>
      </c>
      <c r="G3" s="12">
        <f>SUBMETERING!H6</f>
        <v>2703</v>
      </c>
      <c r="H3" s="17">
        <f>H2</f>
        <v>3.11</v>
      </c>
      <c r="I3" s="12">
        <f>SUBMETERING!S6</f>
        <v>545.96</v>
      </c>
      <c r="J3" s="17">
        <f>J2</f>
        <v>4.8600000000000003</v>
      </c>
      <c r="K3" s="19">
        <f>SUBMETERING!O6*1000</f>
        <v>23000</v>
      </c>
      <c r="L3" s="17">
        <f>SUBMETERING!P6/TOTAL!K3</f>
        <v>0.41699999999999998</v>
      </c>
      <c r="M3" s="11">
        <f>(SUBMETERING!D6/100)*344</f>
        <v>224.0128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8</v>
      </c>
      <c r="D4" s="10">
        <v>2021</v>
      </c>
      <c r="E4" s="11">
        <f>SUBMETERING!M7</f>
        <v>62490.33999999873</v>
      </c>
      <c r="F4" s="17">
        <f t="shared" ref="F4:F32" si="1">F3</f>
        <v>0.67516900000000002</v>
      </c>
      <c r="G4" s="12">
        <f>SUBMETERING!H7</f>
        <v>2800</v>
      </c>
      <c r="H4" s="17">
        <f t="shared" ref="H4:H32" si="2">H3</f>
        <v>3.11</v>
      </c>
      <c r="I4" s="12">
        <f>SUBMETERING!S7</f>
        <v>805.96</v>
      </c>
      <c r="J4" s="17">
        <f t="shared" ref="J4:J32" si="3">J3</f>
        <v>4.8600000000000003</v>
      </c>
      <c r="K4" s="19">
        <f>SUBMETERING!O7*1000</f>
        <v>26000</v>
      </c>
      <c r="L4" s="17">
        <f>SUBMETERING!P7/TOTAL!K4</f>
        <v>0.41699999999999998</v>
      </c>
      <c r="M4" s="11">
        <f>(SUBMETERING!D7/100)*344</f>
        <v>198.00640000000001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8</v>
      </c>
      <c r="D5" s="10">
        <v>2021</v>
      </c>
      <c r="E5" s="11">
        <f>SUBMETERING!M8</f>
        <v>63007.929999998822</v>
      </c>
      <c r="F5" s="17">
        <f t="shared" si="1"/>
        <v>0.67516900000000002</v>
      </c>
      <c r="G5" s="12">
        <f>SUBMETERING!H8</f>
        <v>2697</v>
      </c>
      <c r="H5" s="17">
        <f t="shared" si="2"/>
        <v>3.11</v>
      </c>
      <c r="I5" s="12">
        <f>SUBMETERING!S8</f>
        <v>662.96</v>
      </c>
      <c r="J5" s="17">
        <f t="shared" si="3"/>
        <v>4.8600000000000003</v>
      </c>
      <c r="K5" s="19">
        <f>SUBMETERING!O8*1000</f>
        <v>27000</v>
      </c>
      <c r="L5" s="17">
        <f>SUBMETERING!P8/TOTAL!K5</f>
        <v>0.41699999999999998</v>
      </c>
      <c r="M5" s="11">
        <f>(SUBMETERING!D8/100)*344</f>
        <v>184.00560000000002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8</v>
      </c>
      <c r="D6" s="10">
        <v>2021</v>
      </c>
      <c r="E6" s="11">
        <f>SUBMETERING!M9</f>
        <v>64460.700000001452</v>
      </c>
      <c r="F6" s="17">
        <f t="shared" si="1"/>
        <v>0.67516900000000002</v>
      </c>
      <c r="G6" s="12">
        <f>SUBMETERING!H9</f>
        <v>2581</v>
      </c>
      <c r="H6" s="17">
        <f t="shared" si="2"/>
        <v>3.11</v>
      </c>
      <c r="I6" s="12">
        <f>SUBMETERING!S9</f>
        <v>691.96</v>
      </c>
      <c r="J6" s="17">
        <f t="shared" si="3"/>
        <v>4.8600000000000003</v>
      </c>
      <c r="K6" s="19">
        <f>SUBMETERING!O9*1000</f>
        <v>30000</v>
      </c>
      <c r="L6" s="17">
        <f>SUBMETERING!P9/TOTAL!K6</f>
        <v>0.41699999999999998</v>
      </c>
      <c r="M6" s="11">
        <f>(SUBMETERING!D9/100)*344</f>
        <v>251.01680000000002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8</v>
      </c>
      <c r="D7" s="10">
        <v>2021</v>
      </c>
      <c r="E7" s="11">
        <f>SUBMETERING!M10</f>
        <v>65878.290000000736</v>
      </c>
      <c r="F7" s="17">
        <f t="shared" si="1"/>
        <v>0.67516900000000002</v>
      </c>
      <c r="G7" s="12">
        <f>SUBMETERING!H10</f>
        <v>2816</v>
      </c>
      <c r="H7" s="17">
        <f t="shared" si="2"/>
        <v>3.11</v>
      </c>
      <c r="I7" s="12">
        <f>SUBMETERING!S10</f>
        <v>765.96</v>
      </c>
      <c r="J7" s="17">
        <f t="shared" si="3"/>
        <v>4.8600000000000003</v>
      </c>
      <c r="K7" s="19">
        <f>SUBMETERING!O10*1000</f>
        <v>31000</v>
      </c>
      <c r="L7" s="17">
        <f>SUBMETERING!P10/TOTAL!K7</f>
        <v>0.41699999999999998</v>
      </c>
      <c r="M7" s="11">
        <f>(SUBMETERING!D10/100)*344</f>
        <v>203.99199999999999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8</v>
      </c>
      <c r="D8" s="10">
        <v>2021</v>
      </c>
      <c r="E8" s="11">
        <f>SUBMETERING!M11</f>
        <v>62790.339999998454</v>
      </c>
      <c r="F8" s="17">
        <f t="shared" si="1"/>
        <v>0.67516900000000002</v>
      </c>
      <c r="G8" s="12">
        <f>SUBMETERING!H11</f>
        <v>2770</v>
      </c>
      <c r="H8" s="17">
        <f t="shared" si="2"/>
        <v>3.11</v>
      </c>
      <c r="I8" s="12">
        <f>SUBMETERING!S11</f>
        <v>869.96</v>
      </c>
      <c r="J8" s="17">
        <f t="shared" si="3"/>
        <v>4.8600000000000003</v>
      </c>
      <c r="K8" s="19">
        <f>SUBMETERING!O11*1000</f>
        <v>26000</v>
      </c>
      <c r="L8" s="17">
        <f>SUBMETERING!P11/TOTAL!K8</f>
        <v>0.41699999999999998</v>
      </c>
      <c r="M8" s="11">
        <f>(SUBMETERING!D11/100)*344</f>
        <v>215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8</v>
      </c>
      <c r="D9" s="10">
        <v>2021</v>
      </c>
      <c r="E9" s="11">
        <f>SUBMETERING!M12</f>
        <v>65043.109999998094</v>
      </c>
      <c r="F9" s="17">
        <f t="shared" si="1"/>
        <v>0.67516900000000002</v>
      </c>
      <c r="G9" s="12">
        <f>SUBMETERING!H12</f>
        <v>2579</v>
      </c>
      <c r="H9" s="17">
        <f t="shared" si="2"/>
        <v>3.11</v>
      </c>
      <c r="I9" s="12">
        <f>SUBMETERING!S12</f>
        <v>731.96</v>
      </c>
      <c r="J9" s="17">
        <f t="shared" si="3"/>
        <v>4.8600000000000003</v>
      </c>
      <c r="K9" s="19">
        <f>SUBMETERING!O12*1000</f>
        <v>29000</v>
      </c>
      <c r="L9" s="17">
        <f>SUBMETERING!P12/TOTAL!K9</f>
        <v>0.41699999999999998</v>
      </c>
      <c r="M9" s="11">
        <f>(SUBMETERING!D12/100)*344</f>
        <v>155.00640000000001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8</v>
      </c>
      <c r="D10" s="10">
        <v>2021</v>
      </c>
      <c r="E10" s="11">
        <f>SUBMETERING!M13</f>
        <v>63190.340000004915</v>
      </c>
      <c r="F10" s="17">
        <f t="shared" si="1"/>
        <v>0.67516900000000002</v>
      </c>
      <c r="G10" s="12">
        <f>SUBMETERING!H13</f>
        <v>2491</v>
      </c>
      <c r="H10" s="17">
        <f t="shared" si="2"/>
        <v>3.11</v>
      </c>
      <c r="I10" s="12">
        <f>SUBMETERING!S13</f>
        <v>545.96</v>
      </c>
      <c r="J10" s="17">
        <f t="shared" si="3"/>
        <v>4.8600000000000003</v>
      </c>
      <c r="K10" s="19">
        <f>SUBMETERING!O13*1000</f>
        <v>26000</v>
      </c>
      <c r="L10" s="17">
        <f>SUBMETERING!P13/TOTAL!K10</f>
        <v>0.41699999999999998</v>
      </c>
      <c r="M10" s="11">
        <f>(SUBMETERING!D13/100)*344</f>
        <v>135.98319999999998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8</v>
      </c>
      <c r="D11" s="10">
        <v>2021</v>
      </c>
      <c r="E11" s="11">
        <f>SUBMETERING!M14</f>
        <v>59972.749999998181</v>
      </c>
      <c r="F11" s="17">
        <f t="shared" si="1"/>
        <v>0.67516900000000002</v>
      </c>
      <c r="G11" s="12">
        <f>SUBMETERING!H14</f>
        <v>2579</v>
      </c>
      <c r="H11" s="17">
        <f t="shared" si="2"/>
        <v>3.11</v>
      </c>
      <c r="I11" s="12">
        <f>SUBMETERING!S14</f>
        <v>617.96</v>
      </c>
      <c r="J11" s="17">
        <f t="shared" si="3"/>
        <v>4.8600000000000003</v>
      </c>
      <c r="K11" s="19">
        <f>SUBMETERING!O14*1000</f>
        <v>25000</v>
      </c>
      <c r="L11" s="17">
        <f>SUBMETERING!P14/TOTAL!K11</f>
        <v>0.41699999999999998</v>
      </c>
      <c r="M11" s="11">
        <f>(SUBMETERING!D14/100)*344</f>
        <v>302.99520000000001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8</v>
      </c>
      <c r="D12" s="10">
        <v>2021</v>
      </c>
      <c r="E12" s="11">
        <f>SUBMETERING!M15</f>
        <v>63290.340000000273</v>
      </c>
      <c r="F12" s="17">
        <f t="shared" si="1"/>
        <v>0.67516900000000002</v>
      </c>
      <c r="G12" s="12">
        <f>SUBMETERING!H15</f>
        <v>2681</v>
      </c>
      <c r="H12" s="17">
        <f t="shared" si="2"/>
        <v>3.11</v>
      </c>
      <c r="I12" s="12">
        <f>SUBMETERING!S15</f>
        <v>734.96</v>
      </c>
      <c r="J12" s="17">
        <f t="shared" si="3"/>
        <v>4.8600000000000003</v>
      </c>
      <c r="K12" s="19">
        <f>SUBMETERING!O15*1000</f>
        <v>26000</v>
      </c>
      <c r="L12" s="17">
        <f>SUBMETERING!P15/TOTAL!K12</f>
        <v>0.41699999999999998</v>
      </c>
      <c r="M12" s="11">
        <f>(SUBMETERING!D15/100)*344</f>
        <v>148.9864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8</v>
      </c>
      <c r="D13" s="10">
        <v>2021</v>
      </c>
      <c r="E13" s="11">
        <f>SUBMETERING!M16</f>
        <v>64125.520000000644</v>
      </c>
      <c r="F13" s="17">
        <f t="shared" si="1"/>
        <v>0.67516900000000002</v>
      </c>
      <c r="G13" s="12">
        <f>SUBMETERING!H16</f>
        <v>2545</v>
      </c>
      <c r="H13" s="17">
        <f t="shared" si="2"/>
        <v>3.11</v>
      </c>
      <c r="I13" s="12">
        <f>SUBMETERING!S16</f>
        <v>690.96</v>
      </c>
      <c r="J13" s="17">
        <f t="shared" si="3"/>
        <v>4.8600000000000003</v>
      </c>
      <c r="K13" s="19">
        <f>SUBMETERING!O16*1000</f>
        <v>28000</v>
      </c>
      <c r="L13" s="17">
        <f>SUBMETERING!P16/TOTAL!K13</f>
        <v>0.41699999999999998</v>
      </c>
      <c r="M13" s="11">
        <f>(SUBMETERING!D16/100)*344</f>
        <v>181.0128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8</v>
      </c>
      <c r="D14" s="10">
        <v>2021</v>
      </c>
      <c r="E14" s="11">
        <f>SUBMETERING!M17</f>
        <v>62472.749999998181</v>
      </c>
      <c r="F14" s="17">
        <f t="shared" si="1"/>
        <v>0.67516900000000002</v>
      </c>
      <c r="G14" s="12">
        <f>SUBMETERING!H17</f>
        <v>2549</v>
      </c>
      <c r="H14" s="17">
        <f t="shared" si="2"/>
        <v>3.11</v>
      </c>
      <c r="I14" s="12">
        <f>SUBMETERING!S17</f>
        <v>694.96</v>
      </c>
      <c r="J14" s="17">
        <f t="shared" si="3"/>
        <v>4.8600000000000003</v>
      </c>
      <c r="K14" s="19">
        <f>SUBMETERING!O17*1000</f>
        <v>25000</v>
      </c>
      <c r="L14" s="17">
        <f>SUBMETERING!P17/TOTAL!K14</f>
        <v>0.41699999999999998</v>
      </c>
      <c r="M14" s="11">
        <f>(SUBMETERING!D17/100)*344</f>
        <v>166.01439999999999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8</v>
      </c>
      <c r="D15" s="10">
        <v>2021</v>
      </c>
      <c r="E15" s="11">
        <f>SUBMETERING!M18</f>
        <v>62955.159999999451</v>
      </c>
      <c r="F15" s="17">
        <f t="shared" si="1"/>
        <v>0.67516900000000002</v>
      </c>
      <c r="G15" s="12">
        <f>SUBMETERING!H18</f>
        <v>2753</v>
      </c>
      <c r="H15" s="17">
        <f t="shared" si="2"/>
        <v>3.11</v>
      </c>
      <c r="I15" s="12">
        <f>SUBMETERING!S18</f>
        <v>774.96</v>
      </c>
      <c r="J15" s="17">
        <f t="shared" si="3"/>
        <v>4.8600000000000003</v>
      </c>
      <c r="K15" s="19">
        <f>SUBMETERING!O18*1000</f>
        <v>24000</v>
      </c>
      <c r="L15" s="17">
        <f>SUBMETERING!P18/TOTAL!K15</f>
        <v>0.41699999999999998</v>
      </c>
      <c r="M15" s="11">
        <f>(SUBMETERING!D18/100)*344</f>
        <v>302.99520000000001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8</v>
      </c>
      <c r="D16" s="10">
        <v>2021</v>
      </c>
      <c r="E16" s="11">
        <f>SUBMETERING!M19</f>
        <v>61055.160000001182</v>
      </c>
      <c r="F16" s="17">
        <f t="shared" si="1"/>
        <v>0.67516900000000002</v>
      </c>
      <c r="G16" s="12">
        <f>SUBMETERING!H19</f>
        <v>2599</v>
      </c>
      <c r="H16" s="17">
        <f t="shared" si="2"/>
        <v>3.11</v>
      </c>
      <c r="I16" s="12">
        <f>SUBMETERING!S19</f>
        <v>723.96</v>
      </c>
      <c r="J16" s="17">
        <f t="shared" si="3"/>
        <v>4.8600000000000003</v>
      </c>
      <c r="K16" s="19">
        <f>SUBMETERING!O19*1000</f>
        <v>24000</v>
      </c>
      <c r="L16" s="17">
        <f>SUBMETERING!P19/TOTAL!K16</f>
        <v>0.41699999999999998</v>
      </c>
      <c r="M16" s="11">
        <f>(SUBMETERING!D19/100)*344</f>
        <v>139.01039999999998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8</v>
      </c>
      <c r="D17" s="10">
        <v>2021</v>
      </c>
      <c r="E17" s="11">
        <f>SUBMETERING!M20</f>
        <v>60872.749999999636</v>
      </c>
      <c r="F17" s="17">
        <f t="shared" si="1"/>
        <v>0.67516900000000002</v>
      </c>
      <c r="G17" s="12">
        <f>SUBMETERING!H20</f>
        <v>2446</v>
      </c>
      <c r="H17" s="17">
        <f t="shared" si="2"/>
        <v>3.11</v>
      </c>
      <c r="I17" s="12">
        <f>SUBMETERING!S20</f>
        <v>660.96</v>
      </c>
      <c r="J17" s="17">
        <f t="shared" si="3"/>
        <v>4.8600000000000003</v>
      </c>
      <c r="K17" s="19">
        <f>SUBMETERING!O20*1000</f>
        <v>25000</v>
      </c>
      <c r="L17" s="17">
        <f>SUBMETERING!P20/TOTAL!K17</f>
        <v>0.41699999999999998</v>
      </c>
      <c r="M17" s="11">
        <f>(SUBMETERING!D20/100)*344</f>
        <v>128.00239999999999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8</v>
      </c>
      <c r="D18" s="10">
        <v>2021</v>
      </c>
      <c r="E18" s="11">
        <f>SUBMETERING!M21</f>
        <v>63607.930000000546</v>
      </c>
      <c r="F18" s="17">
        <f t="shared" si="1"/>
        <v>0.67516900000000002</v>
      </c>
      <c r="G18" s="12">
        <f>SUBMETERING!H21</f>
        <v>2506</v>
      </c>
      <c r="H18" s="17">
        <f t="shared" si="2"/>
        <v>3.11</v>
      </c>
      <c r="I18" s="12">
        <f>SUBMETERING!S21</f>
        <v>737.96</v>
      </c>
      <c r="J18" s="17">
        <f t="shared" si="3"/>
        <v>4.8600000000000003</v>
      </c>
      <c r="K18" s="19">
        <f>SUBMETERING!O21*1000</f>
        <v>27000</v>
      </c>
      <c r="L18" s="17">
        <f>SUBMETERING!P21/TOTAL!K18</f>
        <v>0.41699999999999998</v>
      </c>
      <c r="M18" s="11">
        <f>(SUBMETERING!D21/100)*344</f>
        <v>165.01680000000002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8</v>
      </c>
      <c r="D19" s="10">
        <v>2021</v>
      </c>
      <c r="E19" s="11">
        <f>SUBMETERING!M22</f>
        <v>66213.469999999274</v>
      </c>
      <c r="F19" s="17">
        <f t="shared" si="1"/>
        <v>0.67516900000000002</v>
      </c>
      <c r="G19" s="12">
        <f>SUBMETERING!H22</f>
        <v>2668</v>
      </c>
      <c r="H19" s="17">
        <f t="shared" si="2"/>
        <v>3.11</v>
      </c>
      <c r="I19" s="12">
        <f>SUBMETERING!S22</f>
        <v>689.96</v>
      </c>
      <c r="J19" s="17">
        <f t="shared" si="3"/>
        <v>4.8600000000000003</v>
      </c>
      <c r="K19" s="19">
        <f>SUBMETERING!O22*1000</f>
        <v>33000</v>
      </c>
      <c r="L19" s="17">
        <f>SUBMETERING!P22/TOTAL!K19</f>
        <v>0.41699999999999998</v>
      </c>
      <c r="M19" s="11">
        <f>(SUBMETERING!D22/100)*344</f>
        <v>147.9888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8</v>
      </c>
      <c r="D20" s="10">
        <v>2021</v>
      </c>
      <c r="E20" s="11">
        <f>SUBMETERING!M23</f>
        <v>61407.930000000277</v>
      </c>
      <c r="F20" s="17">
        <f t="shared" si="1"/>
        <v>0.67516900000000002</v>
      </c>
      <c r="G20" s="12">
        <f>SUBMETERING!H23</f>
        <v>2552</v>
      </c>
      <c r="H20" s="17">
        <f t="shared" si="2"/>
        <v>3.11</v>
      </c>
      <c r="I20" s="12">
        <f>SUBMETERING!S23</f>
        <v>714.96</v>
      </c>
      <c r="J20" s="17">
        <f t="shared" si="3"/>
        <v>4.8600000000000003</v>
      </c>
      <c r="K20" s="19">
        <f>SUBMETERING!O23*1000</f>
        <v>27000</v>
      </c>
      <c r="L20" s="17">
        <f>SUBMETERING!P23/TOTAL!K20</f>
        <v>0.41699999999999998</v>
      </c>
      <c r="M20" s="11">
        <f>(SUBMETERING!D23/100)*344</f>
        <v>165.01680000000002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8</v>
      </c>
      <c r="D21" s="10">
        <v>2021</v>
      </c>
      <c r="E21" s="11">
        <f>SUBMETERING!M24</f>
        <v>61055.159999998912</v>
      </c>
      <c r="F21" s="17">
        <f t="shared" si="1"/>
        <v>0.67516900000000002</v>
      </c>
      <c r="G21" s="12">
        <f>SUBMETERING!H24</f>
        <v>2568</v>
      </c>
      <c r="H21" s="17">
        <f t="shared" si="2"/>
        <v>3.11</v>
      </c>
      <c r="I21" s="12">
        <f>SUBMETERING!S24</f>
        <v>640.96</v>
      </c>
      <c r="J21" s="17">
        <f t="shared" si="3"/>
        <v>4.8600000000000003</v>
      </c>
      <c r="K21" s="19">
        <f>SUBMETERING!O24*1000</f>
        <v>24000</v>
      </c>
      <c r="L21" s="17">
        <f>SUBMETERING!P24/TOTAL!K21</f>
        <v>0.41699999999999998</v>
      </c>
      <c r="M21" s="11">
        <f>(SUBMETERING!D24/100)*344</f>
        <v>175.99039999999999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8</v>
      </c>
      <c r="D22" s="10">
        <v>2021</v>
      </c>
      <c r="E22" s="11">
        <f>SUBMETERING!M25</f>
        <v>61737.57</v>
      </c>
      <c r="F22" s="17">
        <f t="shared" si="1"/>
        <v>0.67516900000000002</v>
      </c>
      <c r="G22" s="12">
        <f>SUBMETERING!H25</f>
        <v>2471</v>
      </c>
      <c r="H22" s="17">
        <f t="shared" si="2"/>
        <v>3.11</v>
      </c>
      <c r="I22" s="12">
        <f>SUBMETERING!S25</f>
        <v>825.96</v>
      </c>
      <c r="J22" s="17">
        <f t="shared" si="3"/>
        <v>4.8600000000000003</v>
      </c>
      <c r="K22" s="19">
        <f>SUBMETERING!O25*1000</f>
        <v>23000</v>
      </c>
      <c r="L22" s="17">
        <f>SUBMETERING!P25/TOTAL!K22</f>
        <v>0.41699999999999998</v>
      </c>
      <c r="M22" s="11">
        <f>(SUBMETERING!D25/100)*344</f>
        <v>232.99119999999999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8</v>
      </c>
      <c r="D23" s="10">
        <v>2021</v>
      </c>
      <c r="E23" s="11">
        <f>SUBMETERING!M26</f>
        <v>59819.980000001182</v>
      </c>
      <c r="F23" s="17">
        <f t="shared" si="1"/>
        <v>0.67516900000000002</v>
      </c>
      <c r="G23" s="12">
        <f>SUBMETERING!H26</f>
        <v>2446</v>
      </c>
      <c r="H23" s="17">
        <f t="shared" si="2"/>
        <v>3.11</v>
      </c>
      <c r="I23" s="12">
        <f>SUBMETERING!S26</f>
        <v>741.96</v>
      </c>
      <c r="J23" s="17">
        <f t="shared" si="3"/>
        <v>4.8600000000000003</v>
      </c>
      <c r="K23" s="19">
        <f>SUBMETERING!O26*1000</f>
        <v>22000</v>
      </c>
      <c r="L23" s="17">
        <f>SUBMETERING!P26/TOTAL!K23</f>
        <v>0.41699999999999998</v>
      </c>
      <c r="M23" s="11">
        <f>(SUBMETERING!D26/100)*344</f>
        <v>155.00640000000001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8</v>
      </c>
      <c r="D24" s="10">
        <v>2021</v>
      </c>
      <c r="E24" s="11">
        <f>SUBMETERING!M27</f>
        <v>59755.160000000091</v>
      </c>
      <c r="F24" s="17">
        <f t="shared" si="1"/>
        <v>0.67516900000000002</v>
      </c>
      <c r="G24" s="12">
        <f>SUBMETERING!H27</f>
        <v>2327</v>
      </c>
      <c r="H24" s="17">
        <f t="shared" si="2"/>
        <v>3.11</v>
      </c>
      <c r="I24" s="12">
        <f>SUBMETERING!S27</f>
        <v>555.96</v>
      </c>
      <c r="J24" s="17">
        <f t="shared" si="3"/>
        <v>4.8600000000000003</v>
      </c>
      <c r="K24" s="19">
        <f>SUBMETERING!O27*1000</f>
        <v>24000</v>
      </c>
      <c r="L24" s="17">
        <f>SUBMETERING!P27/TOTAL!K24</f>
        <v>0.41699999999999998</v>
      </c>
      <c r="M24" s="11">
        <f>(SUBMETERING!D27/100)*344</f>
        <v>159.99439999999998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8</v>
      </c>
      <c r="D25" s="10">
        <v>2021</v>
      </c>
      <c r="E25" s="11">
        <f>SUBMETERING!M28</f>
        <v>61072.750000001732</v>
      </c>
      <c r="F25" s="17">
        <f t="shared" si="1"/>
        <v>0.67516900000000002</v>
      </c>
      <c r="G25" s="12">
        <f>SUBMETERING!H28</f>
        <v>2461</v>
      </c>
      <c r="H25" s="17">
        <f t="shared" si="2"/>
        <v>3.11</v>
      </c>
      <c r="I25" s="12">
        <f>SUBMETERING!S28</f>
        <v>680.96</v>
      </c>
      <c r="J25" s="17">
        <f t="shared" si="3"/>
        <v>4.8600000000000003</v>
      </c>
      <c r="K25" s="19">
        <f>SUBMETERING!O28*1000</f>
        <v>25000</v>
      </c>
      <c r="L25" s="17">
        <f>SUBMETERING!P28/TOTAL!K25</f>
        <v>0.41699999999999998</v>
      </c>
      <c r="M25" s="11">
        <f>(SUBMETERING!D28/100)*344</f>
        <v>156.00400000000002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8</v>
      </c>
      <c r="D26" s="10">
        <v>2021</v>
      </c>
      <c r="E26" s="11">
        <f>SUBMETERING!M29</f>
        <v>63172.749999997541</v>
      </c>
      <c r="F26" s="17">
        <f t="shared" si="1"/>
        <v>0.67516900000000002</v>
      </c>
      <c r="G26" s="12">
        <f>SUBMETERING!H29</f>
        <v>2520</v>
      </c>
      <c r="H26" s="17">
        <f t="shared" si="2"/>
        <v>3.11</v>
      </c>
      <c r="I26" s="12">
        <f>SUBMETERING!S29</f>
        <v>626.96</v>
      </c>
      <c r="J26" s="17">
        <f t="shared" si="3"/>
        <v>4.8600000000000003</v>
      </c>
      <c r="K26" s="19">
        <f>SUBMETERING!O29*1000</f>
        <v>25000</v>
      </c>
      <c r="L26" s="17">
        <f>SUBMETERING!P29/TOTAL!K26</f>
        <v>0.41699999999999998</v>
      </c>
      <c r="M26" s="11">
        <f>(SUBMETERING!D29/100)*344</f>
        <v>196.0112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8</v>
      </c>
      <c r="D27" s="10">
        <v>2021</v>
      </c>
      <c r="E27" s="11">
        <f>SUBMETERING!M30</f>
        <v>60055.159999999814</v>
      </c>
      <c r="F27" s="17">
        <f t="shared" si="1"/>
        <v>0.67516900000000002</v>
      </c>
      <c r="G27" s="12">
        <f>SUBMETERING!H30</f>
        <v>2466</v>
      </c>
      <c r="H27" s="17">
        <f t="shared" si="2"/>
        <v>3.11</v>
      </c>
      <c r="I27" s="12">
        <f>SUBMETERING!S30</f>
        <v>701.96</v>
      </c>
      <c r="J27" s="17">
        <f t="shared" si="3"/>
        <v>4.8600000000000003</v>
      </c>
      <c r="K27" s="19">
        <f>SUBMETERING!O30*1000</f>
        <v>24000</v>
      </c>
      <c r="L27" s="17">
        <f>SUBMETERING!P30/TOTAL!K27</f>
        <v>0.41699999999999998</v>
      </c>
      <c r="M27" s="11">
        <f>(SUBMETERING!D30/100)*344</f>
        <v>189.99119999999999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8</v>
      </c>
      <c r="D28" s="10">
        <v>2021</v>
      </c>
      <c r="E28" s="11">
        <f>SUBMETERING!M31</f>
        <v>64360.699999999269</v>
      </c>
      <c r="F28" s="17">
        <f t="shared" si="1"/>
        <v>0.67516900000000002</v>
      </c>
      <c r="G28" s="12">
        <f>SUBMETERING!H31</f>
        <v>2460</v>
      </c>
      <c r="H28" s="17">
        <f t="shared" si="2"/>
        <v>3.11</v>
      </c>
      <c r="I28" s="12">
        <f>SUBMETERING!S31</f>
        <v>786.96</v>
      </c>
      <c r="J28" s="17">
        <f t="shared" si="3"/>
        <v>4.8600000000000003</v>
      </c>
      <c r="K28" s="19">
        <f>SUBMETERING!O31*1000</f>
        <v>30000</v>
      </c>
      <c r="L28" s="17">
        <f>SUBMETERING!P31/TOTAL!K28</f>
        <v>0.41699999999999998</v>
      </c>
      <c r="M28" s="11">
        <f>(SUBMETERING!D31/100)*344</f>
        <v>245.99440000000001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8</v>
      </c>
      <c r="D29" s="10">
        <v>2021</v>
      </c>
      <c r="E29" s="11">
        <f>SUBMETERING!M32</f>
        <v>58737.570000000451</v>
      </c>
      <c r="F29" s="17">
        <f t="shared" si="1"/>
        <v>0.67516900000000002</v>
      </c>
      <c r="G29" s="12">
        <f>SUBMETERING!H32</f>
        <v>2681</v>
      </c>
      <c r="H29" s="17">
        <f t="shared" si="2"/>
        <v>3.11</v>
      </c>
      <c r="I29" s="12">
        <f>SUBMETERING!S32</f>
        <v>757.96</v>
      </c>
      <c r="J29" s="17">
        <f t="shared" si="3"/>
        <v>4.8600000000000003</v>
      </c>
      <c r="K29" s="19">
        <f>SUBMETERING!O32*1000</f>
        <v>23000</v>
      </c>
      <c r="L29" s="17">
        <f>SUBMETERING!P32/TOTAL!K29</f>
        <v>0.41699999999999998</v>
      </c>
      <c r="M29" s="11">
        <f>(SUBMETERING!D32/100)*344</f>
        <v>275.99119999999999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8</v>
      </c>
      <c r="D30" s="10">
        <v>2021</v>
      </c>
      <c r="E30" s="11">
        <f>SUBMETERING!M33</f>
        <v>60255.15999999964</v>
      </c>
      <c r="F30" s="17">
        <f t="shared" si="1"/>
        <v>0.67516900000000002</v>
      </c>
      <c r="G30" s="12">
        <f>SUBMETERING!H33</f>
        <v>2562</v>
      </c>
      <c r="H30" s="17">
        <f t="shared" si="2"/>
        <v>3.11</v>
      </c>
      <c r="I30" s="12">
        <f>SUBMETERING!S33</f>
        <v>798.96</v>
      </c>
      <c r="J30" s="17">
        <f t="shared" si="3"/>
        <v>4.8600000000000003</v>
      </c>
      <c r="K30" s="19">
        <f>SUBMETERING!O33*1000</f>
        <v>24000</v>
      </c>
      <c r="L30" s="17">
        <f>SUBMETERING!P33/TOTAL!K30</f>
        <v>0.41699999999999998</v>
      </c>
      <c r="M30" s="11">
        <f>(SUBMETERING!D33/100)*344</f>
        <v>146.99119999999999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8</v>
      </c>
      <c r="D31" s="10">
        <v>2021</v>
      </c>
      <c r="E31" s="11">
        <f>SUBMETERING!M34</f>
        <v>57702.390000000276</v>
      </c>
      <c r="F31" s="17">
        <f t="shared" si="1"/>
        <v>0.67516900000000002</v>
      </c>
      <c r="G31" s="12">
        <f>SUBMETERING!H34</f>
        <v>2429</v>
      </c>
      <c r="H31" s="17">
        <f t="shared" si="2"/>
        <v>3.11</v>
      </c>
      <c r="I31" s="12">
        <f>SUBMETERING!S34</f>
        <v>819.96</v>
      </c>
      <c r="J31" s="17">
        <f t="shared" si="3"/>
        <v>4.8600000000000003</v>
      </c>
      <c r="K31" s="19">
        <f>SUBMETERING!O34*1000</f>
        <v>21000</v>
      </c>
      <c r="L31" s="17">
        <f>SUBMETERING!P34/TOTAL!K31</f>
        <v>0.41699999999999998</v>
      </c>
      <c r="M31" s="11">
        <f>(SUBMETERING!D34/100)*344</f>
        <v>187.99599999999998</v>
      </c>
      <c r="N31" s="11">
        <f>'[1]Consommation mensuel énergie'!E39</f>
        <v>0</v>
      </c>
      <c r="O31" s="13" t="e">
        <f>E31*F31+G31*H31+#REF!*#REF!+I31*J31</f>
        <v>#REF!</v>
      </c>
    </row>
    <row r="32" spans="1:15">
      <c r="A32" s="8" t="s">
        <v>15</v>
      </c>
      <c r="B32" s="9">
        <f t="shared" si="0"/>
        <v>31</v>
      </c>
      <c r="C32" s="9">
        <v>8</v>
      </c>
      <c r="D32" s="10">
        <v>2021</v>
      </c>
      <c r="E32" s="11">
        <f>SUBMETERING!M35</f>
        <v>59737.570000001819</v>
      </c>
      <c r="F32" s="17">
        <f t="shared" si="1"/>
        <v>0.67516900000000002</v>
      </c>
      <c r="G32" s="12">
        <f>SUBMETERING!H35</f>
        <v>2497</v>
      </c>
      <c r="H32" s="17">
        <f t="shared" si="2"/>
        <v>3.11</v>
      </c>
      <c r="I32" s="12">
        <f>SUBMETERING!S35</f>
        <v>685.96</v>
      </c>
      <c r="J32" s="17">
        <f t="shared" si="3"/>
        <v>4.8600000000000003</v>
      </c>
      <c r="K32" s="19">
        <f>SUBMETERING!O35*1000</f>
        <v>23000</v>
      </c>
      <c r="L32" s="17">
        <f>SUBMETERING!P35/TOTAL!K32</f>
        <v>0.41699999999999998</v>
      </c>
      <c r="M32" s="11">
        <f>(SUBMETERING!D35/100)*344</f>
        <v>204.9896</v>
      </c>
      <c r="N32" s="11">
        <f>'[1]Consommation mensuel énergie'!E40</f>
        <v>0</v>
      </c>
      <c r="O32" s="13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  <row r="35" spans="1:15" s="11" customFormat="1">
      <c r="A35" s="15"/>
      <c r="B35" s="9"/>
      <c r="C35" s="9"/>
      <c r="D35" s="10"/>
      <c r="F35" s="17"/>
      <c r="G35" s="12"/>
      <c r="H35" s="17"/>
      <c r="I35" s="12"/>
      <c r="J35" s="17"/>
      <c r="K35" s="17"/>
      <c r="L35" s="17"/>
      <c r="O35" s="14"/>
    </row>
    <row r="36" spans="1:15" s="11" customFormat="1">
      <c r="A36" s="15"/>
      <c r="B36" s="9"/>
      <c r="C36" s="9"/>
      <c r="D36" s="10"/>
      <c r="F36" s="17"/>
      <c r="G36" s="12"/>
      <c r="H36" s="17"/>
      <c r="I36" s="12"/>
      <c r="J36" s="17"/>
      <c r="K36" s="17"/>
      <c r="L36" s="17"/>
      <c r="O36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C1" zoomScale="80" zoomScaleNormal="80" workbookViewId="0">
      <selection activeCell="V32" sqref="V32"/>
    </sheetView>
  </sheetViews>
  <sheetFormatPr defaultRowHeight="14.25"/>
  <cols>
    <col min="1" max="1" width="4.625" style="20" customWidth="1"/>
    <col min="2" max="2" width="6.625" style="20" customWidth="1"/>
    <col min="3" max="3" width="5.625" style="20" customWidth="1"/>
    <col min="4" max="4" width="6.625" style="20" customWidth="1"/>
    <col min="5" max="5" width="7.5" style="20" customWidth="1"/>
    <col min="6" max="6" width="7.625" style="61" customWidth="1"/>
    <col min="7" max="7" width="7.375" style="20" customWidth="1"/>
    <col min="8" max="8" width="8.625" style="20" customWidth="1"/>
    <col min="9" max="9" width="13.625" style="20" customWidth="1"/>
    <col min="10" max="10" width="10.375" style="20" customWidth="1"/>
    <col min="11" max="11" width="11.75" style="20" customWidth="1"/>
    <col min="12" max="12" width="12.125" style="20" customWidth="1"/>
    <col min="13" max="13" width="9.625" style="20" customWidth="1"/>
    <col min="14" max="14" width="13.625" style="20" customWidth="1"/>
    <col min="15" max="15" width="6.5" style="20" customWidth="1"/>
    <col min="16" max="18" width="12.25" style="20" customWidth="1"/>
    <col min="19" max="19" width="7.375" style="20" customWidth="1"/>
    <col min="20" max="20" width="11.625" style="59" customWidth="1"/>
    <col min="21" max="21" width="15.625" style="60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58" width="6.625" style="20" customWidth="1"/>
    <col min="259" max="259" width="5.625" style="20" customWidth="1"/>
    <col min="260" max="260" width="6.625" style="20" customWidth="1"/>
    <col min="261" max="261" width="7.5" style="20" customWidth="1"/>
    <col min="262" max="262" width="11.625" style="20" customWidth="1"/>
    <col min="263" max="263" width="7.625" style="20" customWidth="1"/>
    <col min="264" max="264" width="12.375" style="20" customWidth="1"/>
    <col min="265" max="265" width="7.375" style="20" customWidth="1"/>
    <col min="266" max="266" width="11.625" style="20" customWidth="1"/>
    <col min="267" max="267" width="8.625" style="20" customWidth="1"/>
    <col min="268" max="268" width="13.625" style="20" customWidth="1"/>
    <col min="269" max="269" width="8.625" style="20" customWidth="1"/>
    <col min="270" max="270" width="13.625" style="20" customWidth="1"/>
    <col min="271" max="271" width="9.625" style="20" customWidth="1"/>
    <col min="272" max="272" width="13.625" style="20" customWidth="1"/>
    <col min="273" max="273" width="6.5" style="20" customWidth="1"/>
    <col min="274" max="274" width="12.25" style="20" customWidth="1"/>
    <col min="275" max="275" width="7.375" style="20" customWidth="1"/>
    <col min="276" max="276" width="11.625" style="20" customWidth="1"/>
    <col min="277" max="277" width="15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4" width="6.625" style="20" customWidth="1"/>
    <col min="515" max="515" width="5.625" style="20" customWidth="1"/>
    <col min="516" max="516" width="6.625" style="20" customWidth="1"/>
    <col min="517" max="517" width="7.5" style="20" customWidth="1"/>
    <col min="518" max="518" width="11.625" style="20" customWidth="1"/>
    <col min="519" max="519" width="7.625" style="20" customWidth="1"/>
    <col min="520" max="520" width="12.375" style="20" customWidth="1"/>
    <col min="521" max="521" width="7.375" style="20" customWidth="1"/>
    <col min="522" max="522" width="11.625" style="20" customWidth="1"/>
    <col min="523" max="523" width="8.625" style="20" customWidth="1"/>
    <col min="524" max="524" width="13.625" style="20" customWidth="1"/>
    <col min="525" max="525" width="8.625" style="20" customWidth="1"/>
    <col min="526" max="526" width="13.625" style="20" customWidth="1"/>
    <col min="527" max="527" width="9.625" style="20" customWidth="1"/>
    <col min="528" max="528" width="13.625" style="20" customWidth="1"/>
    <col min="529" max="529" width="6.5" style="20" customWidth="1"/>
    <col min="530" max="530" width="12.25" style="20" customWidth="1"/>
    <col min="531" max="531" width="7.375" style="20" customWidth="1"/>
    <col min="532" max="532" width="11.625" style="20" customWidth="1"/>
    <col min="533" max="533" width="15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0" width="6.625" style="20" customWidth="1"/>
    <col min="771" max="771" width="5.625" style="20" customWidth="1"/>
    <col min="772" max="772" width="6.625" style="20" customWidth="1"/>
    <col min="773" max="773" width="7.5" style="20" customWidth="1"/>
    <col min="774" max="774" width="11.625" style="20" customWidth="1"/>
    <col min="775" max="775" width="7.625" style="20" customWidth="1"/>
    <col min="776" max="776" width="12.375" style="20" customWidth="1"/>
    <col min="777" max="777" width="7.375" style="20" customWidth="1"/>
    <col min="778" max="778" width="11.625" style="20" customWidth="1"/>
    <col min="779" max="779" width="8.625" style="20" customWidth="1"/>
    <col min="780" max="780" width="13.625" style="20" customWidth="1"/>
    <col min="781" max="781" width="8.625" style="20" customWidth="1"/>
    <col min="782" max="782" width="13.625" style="20" customWidth="1"/>
    <col min="783" max="783" width="9.625" style="20" customWidth="1"/>
    <col min="784" max="784" width="13.625" style="20" customWidth="1"/>
    <col min="785" max="785" width="6.5" style="20" customWidth="1"/>
    <col min="786" max="786" width="12.25" style="20" customWidth="1"/>
    <col min="787" max="787" width="7.375" style="20" customWidth="1"/>
    <col min="788" max="788" width="11.625" style="20" customWidth="1"/>
    <col min="789" max="789" width="15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6" width="6.625" style="20" customWidth="1"/>
    <col min="1027" max="1027" width="5.625" style="20" customWidth="1"/>
    <col min="1028" max="1028" width="6.625" style="20" customWidth="1"/>
    <col min="1029" max="1029" width="7.5" style="20" customWidth="1"/>
    <col min="1030" max="1030" width="11.625" style="20" customWidth="1"/>
    <col min="1031" max="1031" width="7.625" style="20" customWidth="1"/>
    <col min="1032" max="1032" width="12.375" style="20" customWidth="1"/>
    <col min="1033" max="1033" width="7.375" style="20" customWidth="1"/>
    <col min="1034" max="1034" width="11.625" style="20" customWidth="1"/>
    <col min="1035" max="1035" width="8.625" style="20" customWidth="1"/>
    <col min="1036" max="1036" width="13.625" style="20" customWidth="1"/>
    <col min="1037" max="1037" width="8.625" style="20" customWidth="1"/>
    <col min="1038" max="1038" width="13.625" style="20" customWidth="1"/>
    <col min="1039" max="1039" width="9.625" style="20" customWidth="1"/>
    <col min="1040" max="1040" width="13.625" style="20" customWidth="1"/>
    <col min="1041" max="1041" width="6.5" style="20" customWidth="1"/>
    <col min="1042" max="1042" width="12.25" style="20" customWidth="1"/>
    <col min="1043" max="1043" width="7.375" style="20" customWidth="1"/>
    <col min="1044" max="1044" width="11.625" style="20" customWidth="1"/>
    <col min="1045" max="1045" width="15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2" width="6.625" style="20" customWidth="1"/>
    <col min="1283" max="1283" width="5.625" style="20" customWidth="1"/>
    <col min="1284" max="1284" width="6.625" style="20" customWidth="1"/>
    <col min="1285" max="1285" width="7.5" style="20" customWidth="1"/>
    <col min="1286" max="1286" width="11.625" style="20" customWidth="1"/>
    <col min="1287" max="1287" width="7.625" style="20" customWidth="1"/>
    <col min="1288" max="1288" width="12.375" style="20" customWidth="1"/>
    <col min="1289" max="1289" width="7.375" style="20" customWidth="1"/>
    <col min="1290" max="1290" width="11.625" style="20" customWidth="1"/>
    <col min="1291" max="1291" width="8.625" style="20" customWidth="1"/>
    <col min="1292" max="1292" width="13.625" style="20" customWidth="1"/>
    <col min="1293" max="1293" width="8.625" style="20" customWidth="1"/>
    <col min="1294" max="1294" width="13.625" style="20" customWidth="1"/>
    <col min="1295" max="1295" width="9.625" style="20" customWidth="1"/>
    <col min="1296" max="1296" width="13.625" style="20" customWidth="1"/>
    <col min="1297" max="1297" width="6.5" style="20" customWidth="1"/>
    <col min="1298" max="1298" width="12.25" style="20" customWidth="1"/>
    <col min="1299" max="1299" width="7.375" style="20" customWidth="1"/>
    <col min="1300" max="1300" width="11.625" style="20" customWidth="1"/>
    <col min="1301" max="1301" width="15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38" width="6.625" style="20" customWidth="1"/>
    <col min="1539" max="1539" width="5.625" style="20" customWidth="1"/>
    <col min="1540" max="1540" width="6.625" style="20" customWidth="1"/>
    <col min="1541" max="1541" width="7.5" style="20" customWidth="1"/>
    <col min="1542" max="1542" width="11.625" style="20" customWidth="1"/>
    <col min="1543" max="1543" width="7.625" style="20" customWidth="1"/>
    <col min="1544" max="1544" width="12.375" style="20" customWidth="1"/>
    <col min="1545" max="1545" width="7.375" style="20" customWidth="1"/>
    <col min="1546" max="1546" width="11.625" style="20" customWidth="1"/>
    <col min="1547" max="1547" width="8.625" style="20" customWidth="1"/>
    <col min="1548" max="1548" width="13.625" style="20" customWidth="1"/>
    <col min="1549" max="1549" width="8.625" style="20" customWidth="1"/>
    <col min="1550" max="1550" width="13.625" style="20" customWidth="1"/>
    <col min="1551" max="1551" width="9.625" style="20" customWidth="1"/>
    <col min="1552" max="1552" width="13.625" style="20" customWidth="1"/>
    <col min="1553" max="1553" width="6.5" style="20" customWidth="1"/>
    <col min="1554" max="1554" width="12.25" style="20" customWidth="1"/>
    <col min="1555" max="1555" width="7.375" style="20" customWidth="1"/>
    <col min="1556" max="1556" width="11.625" style="20" customWidth="1"/>
    <col min="1557" max="1557" width="15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4" width="6.625" style="20" customWidth="1"/>
    <col min="1795" max="1795" width="5.625" style="20" customWidth="1"/>
    <col min="1796" max="1796" width="6.625" style="20" customWidth="1"/>
    <col min="1797" max="1797" width="7.5" style="20" customWidth="1"/>
    <col min="1798" max="1798" width="11.625" style="20" customWidth="1"/>
    <col min="1799" max="1799" width="7.625" style="20" customWidth="1"/>
    <col min="1800" max="1800" width="12.375" style="20" customWidth="1"/>
    <col min="1801" max="1801" width="7.375" style="20" customWidth="1"/>
    <col min="1802" max="1802" width="11.625" style="20" customWidth="1"/>
    <col min="1803" max="1803" width="8.625" style="20" customWidth="1"/>
    <col min="1804" max="1804" width="13.625" style="20" customWidth="1"/>
    <col min="1805" max="1805" width="8.625" style="20" customWidth="1"/>
    <col min="1806" max="1806" width="13.625" style="20" customWidth="1"/>
    <col min="1807" max="1807" width="9.625" style="20" customWidth="1"/>
    <col min="1808" max="1808" width="13.625" style="20" customWidth="1"/>
    <col min="1809" max="1809" width="6.5" style="20" customWidth="1"/>
    <col min="1810" max="1810" width="12.25" style="20" customWidth="1"/>
    <col min="1811" max="1811" width="7.375" style="20" customWidth="1"/>
    <col min="1812" max="1812" width="11.625" style="20" customWidth="1"/>
    <col min="1813" max="1813" width="15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0" width="6.625" style="20" customWidth="1"/>
    <col min="2051" max="2051" width="5.625" style="20" customWidth="1"/>
    <col min="2052" max="2052" width="6.625" style="20" customWidth="1"/>
    <col min="2053" max="2053" width="7.5" style="20" customWidth="1"/>
    <col min="2054" max="2054" width="11.625" style="20" customWidth="1"/>
    <col min="2055" max="2055" width="7.625" style="20" customWidth="1"/>
    <col min="2056" max="2056" width="12.375" style="20" customWidth="1"/>
    <col min="2057" max="2057" width="7.375" style="20" customWidth="1"/>
    <col min="2058" max="2058" width="11.625" style="20" customWidth="1"/>
    <col min="2059" max="2059" width="8.625" style="20" customWidth="1"/>
    <col min="2060" max="2060" width="13.625" style="20" customWidth="1"/>
    <col min="2061" max="2061" width="8.625" style="20" customWidth="1"/>
    <col min="2062" max="2062" width="13.625" style="20" customWidth="1"/>
    <col min="2063" max="2063" width="9.625" style="20" customWidth="1"/>
    <col min="2064" max="2064" width="13.625" style="20" customWidth="1"/>
    <col min="2065" max="2065" width="6.5" style="20" customWidth="1"/>
    <col min="2066" max="2066" width="12.25" style="20" customWidth="1"/>
    <col min="2067" max="2067" width="7.375" style="20" customWidth="1"/>
    <col min="2068" max="2068" width="11.625" style="20" customWidth="1"/>
    <col min="2069" max="2069" width="15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6" width="6.625" style="20" customWidth="1"/>
    <col min="2307" max="2307" width="5.625" style="20" customWidth="1"/>
    <col min="2308" max="2308" width="6.625" style="20" customWidth="1"/>
    <col min="2309" max="2309" width="7.5" style="20" customWidth="1"/>
    <col min="2310" max="2310" width="11.625" style="20" customWidth="1"/>
    <col min="2311" max="2311" width="7.625" style="20" customWidth="1"/>
    <col min="2312" max="2312" width="12.375" style="20" customWidth="1"/>
    <col min="2313" max="2313" width="7.375" style="20" customWidth="1"/>
    <col min="2314" max="2314" width="11.625" style="20" customWidth="1"/>
    <col min="2315" max="2315" width="8.625" style="20" customWidth="1"/>
    <col min="2316" max="2316" width="13.625" style="20" customWidth="1"/>
    <col min="2317" max="2317" width="8.625" style="20" customWidth="1"/>
    <col min="2318" max="2318" width="13.625" style="20" customWidth="1"/>
    <col min="2319" max="2319" width="9.625" style="20" customWidth="1"/>
    <col min="2320" max="2320" width="13.625" style="20" customWidth="1"/>
    <col min="2321" max="2321" width="6.5" style="20" customWidth="1"/>
    <col min="2322" max="2322" width="12.25" style="20" customWidth="1"/>
    <col min="2323" max="2323" width="7.375" style="20" customWidth="1"/>
    <col min="2324" max="2324" width="11.625" style="20" customWidth="1"/>
    <col min="2325" max="2325" width="15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2" width="6.625" style="20" customWidth="1"/>
    <col min="2563" max="2563" width="5.625" style="20" customWidth="1"/>
    <col min="2564" max="2564" width="6.625" style="20" customWidth="1"/>
    <col min="2565" max="2565" width="7.5" style="20" customWidth="1"/>
    <col min="2566" max="2566" width="11.625" style="20" customWidth="1"/>
    <col min="2567" max="2567" width="7.625" style="20" customWidth="1"/>
    <col min="2568" max="2568" width="12.375" style="20" customWidth="1"/>
    <col min="2569" max="2569" width="7.375" style="20" customWidth="1"/>
    <col min="2570" max="2570" width="11.625" style="20" customWidth="1"/>
    <col min="2571" max="2571" width="8.625" style="20" customWidth="1"/>
    <col min="2572" max="2572" width="13.625" style="20" customWidth="1"/>
    <col min="2573" max="2573" width="8.625" style="20" customWidth="1"/>
    <col min="2574" max="2574" width="13.625" style="20" customWidth="1"/>
    <col min="2575" max="2575" width="9.625" style="20" customWidth="1"/>
    <col min="2576" max="2576" width="13.625" style="20" customWidth="1"/>
    <col min="2577" max="2577" width="6.5" style="20" customWidth="1"/>
    <col min="2578" max="2578" width="12.25" style="20" customWidth="1"/>
    <col min="2579" max="2579" width="7.375" style="20" customWidth="1"/>
    <col min="2580" max="2580" width="11.625" style="20" customWidth="1"/>
    <col min="2581" max="2581" width="15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18" width="6.625" style="20" customWidth="1"/>
    <col min="2819" max="2819" width="5.625" style="20" customWidth="1"/>
    <col min="2820" max="2820" width="6.625" style="20" customWidth="1"/>
    <col min="2821" max="2821" width="7.5" style="20" customWidth="1"/>
    <col min="2822" max="2822" width="11.625" style="20" customWidth="1"/>
    <col min="2823" max="2823" width="7.625" style="20" customWidth="1"/>
    <col min="2824" max="2824" width="12.375" style="20" customWidth="1"/>
    <col min="2825" max="2825" width="7.375" style="20" customWidth="1"/>
    <col min="2826" max="2826" width="11.625" style="20" customWidth="1"/>
    <col min="2827" max="2827" width="8.625" style="20" customWidth="1"/>
    <col min="2828" max="2828" width="13.625" style="20" customWidth="1"/>
    <col min="2829" max="2829" width="8.625" style="20" customWidth="1"/>
    <col min="2830" max="2830" width="13.625" style="20" customWidth="1"/>
    <col min="2831" max="2831" width="9.625" style="20" customWidth="1"/>
    <col min="2832" max="2832" width="13.625" style="20" customWidth="1"/>
    <col min="2833" max="2833" width="6.5" style="20" customWidth="1"/>
    <col min="2834" max="2834" width="12.25" style="20" customWidth="1"/>
    <col min="2835" max="2835" width="7.375" style="20" customWidth="1"/>
    <col min="2836" max="2836" width="11.625" style="20" customWidth="1"/>
    <col min="2837" max="2837" width="15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4" width="6.625" style="20" customWidth="1"/>
    <col min="3075" max="3075" width="5.625" style="20" customWidth="1"/>
    <col min="3076" max="3076" width="6.625" style="20" customWidth="1"/>
    <col min="3077" max="3077" width="7.5" style="20" customWidth="1"/>
    <col min="3078" max="3078" width="11.625" style="20" customWidth="1"/>
    <col min="3079" max="3079" width="7.625" style="20" customWidth="1"/>
    <col min="3080" max="3080" width="12.375" style="20" customWidth="1"/>
    <col min="3081" max="3081" width="7.375" style="20" customWidth="1"/>
    <col min="3082" max="3082" width="11.625" style="20" customWidth="1"/>
    <col min="3083" max="3083" width="8.625" style="20" customWidth="1"/>
    <col min="3084" max="3084" width="13.625" style="20" customWidth="1"/>
    <col min="3085" max="3085" width="8.625" style="20" customWidth="1"/>
    <col min="3086" max="3086" width="13.625" style="20" customWidth="1"/>
    <col min="3087" max="3087" width="9.625" style="20" customWidth="1"/>
    <col min="3088" max="3088" width="13.625" style="20" customWidth="1"/>
    <col min="3089" max="3089" width="6.5" style="20" customWidth="1"/>
    <col min="3090" max="3090" width="12.25" style="20" customWidth="1"/>
    <col min="3091" max="3091" width="7.375" style="20" customWidth="1"/>
    <col min="3092" max="3092" width="11.625" style="20" customWidth="1"/>
    <col min="3093" max="3093" width="15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0" width="6.625" style="20" customWidth="1"/>
    <col min="3331" max="3331" width="5.625" style="20" customWidth="1"/>
    <col min="3332" max="3332" width="6.625" style="20" customWidth="1"/>
    <col min="3333" max="3333" width="7.5" style="20" customWidth="1"/>
    <col min="3334" max="3334" width="11.625" style="20" customWidth="1"/>
    <col min="3335" max="3335" width="7.625" style="20" customWidth="1"/>
    <col min="3336" max="3336" width="12.375" style="20" customWidth="1"/>
    <col min="3337" max="3337" width="7.375" style="20" customWidth="1"/>
    <col min="3338" max="3338" width="11.625" style="20" customWidth="1"/>
    <col min="3339" max="3339" width="8.625" style="20" customWidth="1"/>
    <col min="3340" max="3340" width="13.625" style="20" customWidth="1"/>
    <col min="3341" max="3341" width="8.625" style="20" customWidth="1"/>
    <col min="3342" max="3342" width="13.625" style="20" customWidth="1"/>
    <col min="3343" max="3343" width="9.625" style="20" customWidth="1"/>
    <col min="3344" max="3344" width="13.625" style="20" customWidth="1"/>
    <col min="3345" max="3345" width="6.5" style="20" customWidth="1"/>
    <col min="3346" max="3346" width="12.25" style="20" customWidth="1"/>
    <col min="3347" max="3347" width="7.375" style="20" customWidth="1"/>
    <col min="3348" max="3348" width="11.625" style="20" customWidth="1"/>
    <col min="3349" max="3349" width="15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6" width="6.625" style="20" customWidth="1"/>
    <col min="3587" max="3587" width="5.625" style="20" customWidth="1"/>
    <col min="3588" max="3588" width="6.625" style="20" customWidth="1"/>
    <col min="3589" max="3589" width="7.5" style="20" customWidth="1"/>
    <col min="3590" max="3590" width="11.625" style="20" customWidth="1"/>
    <col min="3591" max="3591" width="7.625" style="20" customWidth="1"/>
    <col min="3592" max="3592" width="12.375" style="20" customWidth="1"/>
    <col min="3593" max="3593" width="7.375" style="20" customWidth="1"/>
    <col min="3594" max="3594" width="11.625" style="20" customWidth="1"/>
    <col min="3595" max="3595" width="8.625" style="20" customWidth="1"/>
    <col min="3596" max="3596" width="13.625" style="20" customWidth="1"/>
    <col min="3597" max="3597" width="8.625" style="20" customWidth="1"/>
    <col min="3598" max="3598" width="13.625" style="20" customWidth="1"/>
    <col min="3599" max="3599" width="9.625" style="20" customWidth="1"/>
    <col min="3600" max="3600" width="13.625" style="20" customWidth="1"/>
    <col min="3601" max="3601" width="6.5" style="20" customWidth="1"/>
    <col min="3602" max="3602" width="12.25" style="20" customWidth="1"/>
    <col min="3603" max="3603" width="7.375" style="20" customWidth="1"/>
    <col min="3604" max="3604" width="11.625" style="20" customWidth="1"/>
    <col min="3605" max="3605" width="15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2" width="6.625" style="20" customWidth="1"/>
    <col min="3843" max="3843" width="5.625" style="20" customWidth="1"/>
    <col min="3844" max="3844" width="6.625" style="20" customWidth="1"/>
    <col min="3845" max="3845" width="7.5" style="20" customWidth="1"/>
    <col min="3846" max="3846" width="11.625" style="20" customWidth="1"/>
    <col min="3847" max="3847" width="7.625" style="20" customWidth="1"/>
    <col min="3848" max="3848" width="12.375" style="20" customWidth="1"/>
    <col min="3849" max="3849" width="7.375" style="20" customWidth="1"/>
    <col min="3850" max="3850" width="11.625" style="20" customWidth="1"/>
    <col min="3851" max="3851" width="8.625" style="20" customWidth="1"/>
    <col min="3852" max="3852" width="13.625" style="20" customWidth="1"/>
    <col min="3853" max="3853" width="8.625" style="20" customWidth="1"/>
    <col min="3854" max="3854" width="13.625" style="20" customWidth="1"/>
    <col min="3855" max="3855" width="9.625" style="20" customWidth="1"/>
    <col min="3856" max="3856" width="13.625" style="20" customWidth="1"/>
    <col min="3857" max="3857" width="6.5" style="20" customWidth="1"/>
    <col min="3858" max="3858" width="12.25" style="20" customWidth="1"/>
    <col min="3859" max="3859" width="7.375" style="20" customWidth="1"/>
    <col min="3860" max="3860" width="11.625" style="20" customWidth="1"/>
    <col min="3861" max="3861" width="15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098" width="6.625" style="20" customWidth="1"/>
    <col min="4099" max="4099" width="5.625" style="20" customWidth="1"/>
    <col min="4100" max="4100" width="6.625" style="20" customWidth="1"/>
    <col min="4101" max="4101" width="7.5" style="20" customWidth="1"/>
    <col min="4102" max="4102" width="11.625" style="20" customWidth="1"/>
    <col min="4103" max="4103" width="7.625" style="20" customWidth="1"/>
    <col min="4104" max="4104" width="12.375" style="20" customWidth="1"/>
    <col min="4105" max="4105" width="7.375" style="20" customWidth="1"/>
    <col min="4106" max="4106" width="11.625" style="20" customWidth="1"/>
    <col min="4107" max="4107" width="8.625" style="20" customWidth="1"/>
    <col min="4108" max="4108" width="13.625" style="20" customWidth="1"/>
    <col min="4109" max="4109" width="8.625" style="20" customWidth="1"/>
    <col min="4110" max="4110" width="13.625" style="20" customWidth="1"/>
    <col min="4111" max="4111" width="9.625" style="20" customWidth="1"/>
    <col min="4112" max="4112" width="13.625" style="20" customWidth="1"/>
    <col min="4113" max="4113" width="6.5" style="20" customWidth="1"/>
    <col min="4114" max="4114" width="12.25" style="20" customWidth="1"/>
    <col min="4115" max="4115" width="7.375" style="20" customWidth="1"/>
    <col min="4116" max="4116" width="11.625" style="20" customWidth="1"/>
    <col min="4117" max="4117" width="15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4" width="6.625" style="20" customWidth="1"/>
    <col min="4355" max="4355" width="5.625" style="20" customWidth="1"/>
    <col min="4356" max="4356" width="6.625" style="20" customWidth="1"/>
    <col min="4357" max="4357" width="7.5" style="20" customWidth="1"/>
    <col min="4358" max="4358" width="11.625" style="20" customWidth="1"/>
    <col min="4359" max="4359" width="7.625" style="20" customWidth="1"/>
    <col min="4360" max="4360" width="12.375" style="20" customWidth="1"/>
    <col min="4361" max="4361" width="7.375" style="20" customWidth="1"/>
    <col min="4362" max="4362" width="11.625" style="20" customWidth="1"/>
    <col min="4363" max="4363" width="8.625" style="20" customWidth="1"/>
    <col min="4364" max="4364" width="13.625" style="20" customWidth="1"/>
    <col min="4365" max="4365" width="8.625" style="20" customWidth="1"/>
    <col min="4366" max="4366" width="13.625" style="20" customWidth="1"/>
    <col min="4367" max="4367" width="9.625" style="20" customWidth="1"/>
    <col min="4368" max="4368" width="13.625" style="20" customWidth="1"/>
    <col min="4369" max="4369" width="6.5" style="20" customWidth="1"/>
    <col min="4370" max="4370" width="12.25" style="20" customWidth="1"/>
    <col min="4371" max="4371" width="7.375" style="20" customWidth="1"/>
    <col min="4372" max="4372" width="11.625" style="20" customWidth="1"/>
    <col min="4373" max="4373" width="15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0" width="6.625" style="20" customWidth="1"/>
    <col min="4611" max="4611" width="5.625" style="20" customWidth="1"/>
    <col min="4612" max="4612" width="6.625" style="20" customWidth="1"/>
    <col min="4613" max="4613" width="7.5" style="20" customWidth="1"/>
    <col min="4614" max="4614" width="11.625" style="20" customWidth="1"/>
    <col min="4615" max="4615" width="7.625" style="20" customWidth="1"/>
    <col min="4616" max="4616" width="12.375" style="20" customWidth="1"/>
    <col min="4617" max="4617" width="7.375" style="20" customWidth="1"/>
    <col min="4618" max="4618" width="11.625" style="20" customWidth="1"/>
    <col min="4619" max="4619" width="8.625" style="20" customWidth="1"/>
    <col min="4620" max="4620" width="13.625" style="20" customWidth="1"/>
    <col min="4621" max="4621" width="8.625" style="20" customWidth="1"/>
    <col min="4622" max="4622" width="13.625" style="20" customWidth="1"/>
    <col min="4623" max="4623" width="9.625" style="20" customWidth="1"/>
    <col min="4624" max="4624" width="13.625" style="20" customWidth="1"/>
    <col min="4625" max="4625" width="6.5" style="20" customWidth="1"/>
    <col min="4626" max="4626" width="12.25" style="20" customWidth="1"/>
    <col min="4627" max="4627" width="7.375" style="20" customWidth="1"/>
    <col min="4628" max="4628" width="11.625" style="20" customWidth="1"/>
    <col min="4629" max="4629" width="15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6" width="6.625" style="20" customWidth="1"/>
    <col min="4867" max="4867" width="5.625" style="20" customWidth="1"/>
    <col min="4868" max="4868" width="6.625" style="20" customWidth="1"/>
    <col min="4869" max="4869" width="7.5" style="20" customWidth="1"/>
    <col min="4870" max="4870" width="11.625" style="20" customWidth="1"/>
    <col min="4871" max="4871" width="7.625" style="20" customWidth="1"/>
    <col min="4872" max="4872" width="12.375" style="20" customWidth="1"/>
    <col min="4873" max="4873" width="7.375" style="20" customWidth="1"/>
    <col min="4874" max="4874" width="11.625" style="20" customWidth="1"/>
    <col min="4875" max="4875" width="8.625" style="20" customWidth="1"/>
    <col min="4876" max="4876" width="13.625" style="20" customWidth="1"/>
    <col min="4877" max="4877" width="8.625" style="20" customWidth="1"/>
    <col min="4878" max="4878" width="13.625" style="20" customWidth="1"/>
    <col min="4879" max="4879" width="9.625" style="20" customWidth="1"/>
    <col min="4880" max="4880" width="13.625" style="20" customWidth="1"/>
    <col min="4881" max="4881" width="6.5" style="20" customWidth="1"/>
    <col min="4882" max="4882" width="12.25" style="20" customWidth="1"/>
    <col min="4883" max="4883" width="7.375" style="20" customWidth="1"/>
    <col min="4884" max="4884" width="11.625" style="20" customWidth="1"/>
    <col min="4885" max="4885" width="15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2" width="6.625" style="20" customWidth="1"/>
    <col min="5123" max="5123" width="5.625" style="20" customWidth="1"/>
    <col min="5124" max="5124" width="6.625" style="20" customWidth="1"/>
    <col min="5125" max="5125" width="7.5" style="20" customWidth="1"/>
    <col min="5126" max="5126" width="11.625" style="20" customWidth="1"/>
    <col min="5127" max="5127" width="7.625" style="20" customWidth="1"/>
    <col min="5128" max="5128" width="12.375" style="20" customWidth="1"/>
    <col min="5129" max="5129" width="7.375" style="20" customWidth="1"/>
    <col min="5130" max="5130" width="11.625" style="20" customWidth="1"/>
    <col min="5131" max="5131" width="8.625" style="20" customWidth="1"/>
    <col min="5132" max="5132" width="13.625" style="20" customWidth="1"/>
    <col min="5133" max="5133" width="8.625" style="20" customWidth="1"/>
    <col min="5134" max="5134" width="13.625" style="20" customWidth="1"/>
    <col min="5135" max="5135" width="9.625" style="20" customWidth="1"/>
    <col min="5136" max="5136" width="13.625" style="20" customWidth="1"/>
    <col min="5137" max="5137" width="6.5" style="20" customWidth="1"/>
    <col min="5138" max="5138" width="12.25" style="20" customWidth="1"/>
    <col min="5139" max="5139" width="7.375" style="20" customWidth="1"/>
    <col min="5140" max="5140" width="11.625" style="20" customWidth="1"/>
    <col min="5141" max="5141" width="15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78" width="6.625" style="20" customWidth="1"/>
    <col min="5379" max="5379" width="5.625" style="20" customWidth="1"/>
    <col min="5380" max="5380" width="6.625" style="20" customWidth="1"/>
    <col min="5381" max="5381" width="7.5" style="20" customWidth="1"/>
    <col min="5382" max="5382" width="11.625" style="20" customWidth="1"/>
    <col min="5383" max="5383" width="7.625" style="20" customWidth="1"/>
    <col min="5384" max="5384" width="12.375" style="20" customWidth="1"/>
    <col min="5385" max="5385" width="7.375" style="20" customWidth="1"/>
    <col min="5386" max="5386" width="11.625" style="20" customWidth="1"/>
    <col min="5387" max="5387" width="8.625" style="20" customWidth="1"/>
    <col min="5388" max="5388" width="13.625" style="20" customWidth="1"/>
    <col min="5389" max="5389" width="8.625" style="20" customWidth="1"/>
    <col min="5390" max="5390" width="13.625" style="20" customWidth="1"/>
    <col min="5391" max="5391" width="9.625" style="20" customWidth="1"/>
    <col min="5392" max="5392" width="13.625" style="20" customWidth="1"/>
    <col min="5393" max="5393" width="6.5" style="20" customWidth="1"/>
    <col min="5394" max="5394" width="12.25" style="20" customWidth="1"/>
    <col min="5395" max="5395" width="7.375" style="20" customWidth="1"/>
    <col min="5396" max="5396" width="11.625" style="20" customWidth="1"/>
    <col min="5397" max="5397" width="15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4" width="6.625" style="20" customWidth="1"/>
    <col min="5635" max="5635" width="5.625" style="20" customWidth="1"/>
    <col min="5636" max="5636" width="6.625" style="20" customWidth="1"/>
    <col min="5637" max="5637" width="7.5" style="20" customWidth="1"/>
    <col min="5638" max="5638" width="11.625" style="20" customWidth="1"/>
    <col min="5639" max="5639" width="7.625" style="20" customWidth="1"/>
    <col min="5640" max="5640" width="12.375" style="20" customWidth="1"/>
    <col min="5641" max="5641" width="7.375" style="20" customWidth="1"/>
    <col min="5642" max="5642" width="11.625" style="20" customWidth="1"/>
    <col min="5643" max="5643" width="8.625" style="20" customWidth="1"/>
    <col min="5644" max="5644" width="13.625" style="20" customWidth="1"/>
    <col min="5645" max="5645" width="8.625" style="20" customWidth="1"/>
    <col min="5646" max="5646" width="13.625" style="20" customWidth="1"/>
    <col min="5647" max="5647" width="9.625" style="20" customWidth="1"/>
    <col min="5648" max="5648" width="13.625" style="20" customWidth="1"/>
    <col min="5649" max="5649" width="6.5" style="20" customWidth="1"/>
    <col min="5650" max="5650" width="12.25" style="20" customWidth="1"/>
    <col min="5651" max="5651" width="7.375" style="20" customWidth="1"/>
    <col min="5652" max="5652" width="11.625" style="20" customWidth="1"/>
    <col min="5653" max="5653" width="15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0" width="6.625" style="20" customWidth="1"/>
    <col min="5891" max="5891" width="5.625" style="20" customWidth="1"/>
    <col min="5892" max="5892" width="6.625" style="20" customWidth="1"/>
    <col min="5893" max="5893" width="7.5" style="20" customWidth="1"/>
    <col min="5894" max="5894" width="11.625" style="20" customWidth="1"/>
    <col min="5895" max="5895" width="7.625" style="20" customWidth="1"/>
    <col min="5896" max="5896" width="12.375" style="20" customWidth="1"/>
    <col min="5897" max="5897" width="7.375" style="20" customWidth="1"/>
    <col min="5898" max="5898" width="11.625" style="20" customWidth="1"/>
    <col min="5899" max="5899" width="8.625" style="20" customWidth="1"/>
    <col min="5900" max="5900" width="13.625" style="20" customWidth="1"/>
    <col min="5901" max="5901" width="8.625" style="20" customWidth="1"/>
    <col min="5902" max="5902" width="13.625" style="20" customWidth="1"/>
    <col min="5903" max="5903" width="9.625" style="20" customWidth="1"/>
    <col min="5904" max="5904" width="13.625" style="20" customWidth="1"/>
    <col min="5905" max="5905" width="6.5" style="20" customWidth="1"/>
    <col min="5906" max="5906" width="12.25" style="20" customWidth="1"/>
    <col min="5907" max="5907" width="7.375" style="20" customWidth="1"/>
    <col min="5908" max="5908" width="11.625" style="20" customWidth="1"/>
    <col min="5909" max="5909" width="15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6" width="6.625" style="20" customWidth="1"/>
    <col min="6147" max="6147" width="5.625" style="20" customWidth="1"/>
    <col min="6148" max="6148" width="6.625" style="20" customWidth="1"/>
    <col min="6149" max="6149" width="7.5" style="20" customWidth="1"/>
    <col min="6150" max="6150" width="11.625" style="20" customWidth="1"/>
    <col min="6151" max="6151" width="7.625" style="20" customWidth="1"/>
    <col min="6152" max="6152" width="12.375" style="20" customWidth="1"/>
    <col min="6153" max="6153" width="7.375" style="20" customWidth="1"/>
    <col min="6154" max="6154" width="11.625" style="20" customWidth="1"/>
    <col min="6155" max="6155" width="8.625" style="20" customWidth="1"/>
    <col min="6156" max="6156" width="13.625" style="20" customWidth="1"/>
    <col min="6157" max="6157" width="8.625" style="20" customWidth="1"/>
    <col min="6158" max="6158" width="13.625" style="20" customWidth="1"/>
    <col min="6159" max="6159" width="9.625" style="20" customWidth="1"/>
    <col min="6160" max="6160" width="13.625" style="20" customWidth="1"/>
    <col min="6161" max="6161" width="6.5" style="20" customWidth="1"/>
    <col min="6162" max="6162" width="12.25" style="20" customWidth="1"/>
    <col min="6163" max="6163" width="7.375" style="20" customWidth="1"/>
    <col min="6164" max="6164" width="11.625" style="20" customWidth="1"/>
    <col min="6165" max="6165" width="15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2" width="6.625" style="20" customWidth="1"/>
    <col min="6403" max="6403" width="5.625" style="20" customWidth="1"/>
    <col min="6404" max="6404" width="6.625" style="20" customWidth="1"/>
    <col min="6405" max="6405" width="7.5" style="20" customWidth="1"/>
    <col min="6406" max="6406" width="11.625" style="20" customWidth="1"/>
    <col min="6407" max="6407" width="7.625" style="20" customWidth="1"/>
    <col min="6408" max="6408" width="12.375" style="20" customWidth="1"/>
    <col min="6409" max="6409" width="7.375" style="20" customWidth="1"/>
    <col min="6410" max="6410" width="11.625" style="20" customWidth="1"/>
    <col min="6411" max="6411" width="8.625" style="20" customWidth="1"/>
    <col min="6412" max="6412" width="13.625" style="20" customWidth="1"/>
    <col min="6413" max="6413" width="8.625" style="20" customWidth="1"/>
    <col min="6414" max="6414" width="13.625" style="20" customWidth="1"/>
    <col min="6415" max="6415" width="9.625" style="20" customWidth="1"/>
    <col min="6416" max="6416" width="13.625" style="20" customWidth="1"/>
    <col min="6417" max="6417" width="6.5" style="20" customWidth="1"/>
    <col min="6418" max="6418" width="12.25" style="20" customWidth="1"/>
    <col min="6419" max="6419" width="7.375" style="20" customWidth="1"/>
    <col min="6420" max="6420" width="11.625" style="20" customWidth="1"/>
    <col min="6421" max="6421" width="15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58" width="6.625" style="20" customWidth="1"/>
    <col min="6659" max="6659" width="5.625" style="20" customWidth="1"/>
    <col min="6660" max="6660" width="6.625" style="20" customWidth="1"/>
    <col min="6661" max="6661" width="7.5" style="20" customWidth="1"/>
    <col min="6662" max="6662" width="11.625" style="20" customWidth="1"/>
    <col min="6663" max="6663" width="7.625" style="20" customWidth="1"/>
    <col min="6664" max="6664" width="12.375" style="20" customWidth="1"/>
    <col min="6665" max="6665" width="7.375" style="20" customWidth="1"/>
    <col min="6666" max="6666" width="11.625" style="20" customWidth="1"/>
    <col min="6667" max="6667" width="8.625" style="20" customWidth="1"/>
    <col min="6668" max="6668" width="13.625" style="20" customWidth="1"/>
    <col min="6669" max="6669" width="8.625" style="20" customWidth="1"/>
    <col min="6670" max="6670" width="13.625" style="20" customWidth="1"/>
    <col min="6671" max="6671" width="9.625" style="20" customWidth="1"/>
    <col min="6672" max="6672" width="13.625" style="20" customWidth="1"/>
    <col min="6673" max="6673" width="6.5" style="20" customWidth="1"/>
    <col min="6674" max="6674" width="12.25" style="20" customWidth="1"/>
    <col min="6675" max="6675" width="7.375" style="20" customWidth="1"/>
    <col min="6676" max="6676" width="11.625" style="20" customWidth="1"/>
    <col min="6677" max="6677" width="15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4" width="6.625" style="20" customWidth="1"/>
    <col min="6915" max="6915" width="5.625" style="20" customWidth="1"/>
    <col min="6916" max="6916" width="6.625" style="20" customWidth="1"/>
    <col min="6917" max="6917" width="7.5" style="20" customWidth="1"/>
    <col min="6918" max="6918" width="11.625" style="20" customWidth="1"/>
    <col min="6919" max="6919" width="7.625" style="20" customWidth="1"/>
    <col min="6920" max="6920" width="12.375" style="20" customWidth="1"/>
    <col min="6921" max="6921" width="7.375" style="20" customWidth="1"/>
    <col min="6922" max="6922" width="11.625" style="20" customWidth="1"/>
    <col min="6923" max="6923" width="8.625" style="20" customWidth="1"/>
    <col min="6924" max="6924" width="13.625" style="20" customWidth="1"/>
    <col min="6925" max="6925" width="8.625" style="20" customWidth="1"/>
    <col min="6926" max="6926" width="13.625" style="20" customWidth="1"/>
    <col min="6927" max="6927" width="9.625" style="20" customWidth="1"/>
    <col min="6928" max="6928" width="13.625" style="20" customWidth="1"/>
    <col min="6929" max="6929" width="6.5" style="20" customWidth="1"/>
    <col min="6930" max="6930" width="12.25" style="20" customWidth="1"/>
    <col min="6931" max="6931" width="7.375" style="20" customWidth="1"/>
    <col min="6932" max="6932" width="11.625" style="20" customWidth="1"/>
    <col min="6933" max="6933" width="15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0" width="6.625" style="20" customWidth="1"/>
    <col min="7171" max="7171" width="5.625" style="20" customWidth="1"/>
    <col min="7172" max="7172" width="6.625" style="20" customWidth="1"/>
    <col min="7173" max="7173" width="7.5" style="20" customWidth="1"/>
    <col min="7174" max="7174" width="11.625" style="20" customWidth="1"/>
    <col min="7175" max="7175" width="7.625" style="20" customWidth="1"/>
    <col min="7176" max="7176" width="12.375" style="20" customWidth="1"/>
    <col min="7177" max="7177" width="7.375" style="20" customWidth="1"/>
    <col min="7178" max="7178" width="11.625" style="20" customWidth="1"/>
    <col min="7179" max="7179" width="8.625" style="20" customWidth="1"/>
    <col min="7180" max="7180" width="13.625" style="20" customWidth="1"/>
    <col min="7181" max="7181" width="8.625" style="20" customWidth="1"/>
    <col min="7182" max="7182" width="13.625" style="20" customWidth="1"/>
    <col min="7183" max="7183" width="9.625" style="20" customWidth="1"/>
    <col min="7184" max="7184" width="13.625" style="20" customWidth="1"/>
    <col min="7185" max="7185" width="6.5" style="20" customWidth="1"/>
    <col min="7186" max="7186" width="12.25" style="20" customWidth="1"/>
    <col min="7187" max="7187" width="7.375" style="20" customWidth="1"/>
    <col min="7188" max="7188" width="11.625" style="20" customWidth="1"/>
    <col min="7189" max="7189" width="15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6" width="6.625" style="20" customWidth="1"/>
    <col min="7427" max="7427" width="5.625" style="20" customWidth="1"/>
    <col min="7428" max="7428" width="6.625" style="20" customWidth="1"/>
    <col min="7429" max="7429" width="7.5" style="20" customWidth="1"/>
    <col min="7430" max="7430" width="11.625" style="20" customWidth="1"/>
    <col min="7431" max="7431" width="7.625" style="20" customWidth="1"/>
    <col min="7432" max="7432" width="12.375" style="20" customWidth="1"/>
    <col min="7433" max="7433" width="7.375" style="20" customWidth="1"/>
    <col min="7434" max="7434" width="11.625" style="20" customWidth="1"/>
    <col min="7435" max="7435" width="8.625" style="20" customWidth="1"/>
    <col min="7436" max="7436" width="13.625" style="20" customWidth="1"/>
    <col min="7437" max="7437" width="8.625" style="20" customWidth="1"/>
    <col min="7438" max="7438" width="13.625" style="20" customWidth="1"/>
    <col min="7439" max="7439" width="9.625" style="20" customWidth="1"/>
    <col min="7440" max="7440" width="13.625" style="20" customWidth="1"/>
    <col min="7441" max="7441" width="6.5" style="20" customWidth="1"/>
    <col min="7442" max="7442" width="12.25" style="20" customWidth="1"/>
    <col min="7443" max="7443" width="7.375" style="20" customWidth="1"/>
    <col min="7444" max="7444" width="11.625" style="20" customWidth="1"/>
    <col min="7445" max="7445" width="15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2" width="6.625" style="20" customWidth="1"/>
    <col min="7683" max="7683" width="5.625" style="20" customWidth="1"/>
    <col min="7684" max="7684" width="6.625" style="20" customWidth="1"/>
    <col min="7685" max="7685" width="7.5" style="20" customWidth="1"/>
    <col min="7686" max="7686" width="11.625" style="20" customWidth="1"/>
    <col min="7687" max="7687" width="7.625" style="20" customWidth="1"/>
    <col min="7688" max="7688" width="12.375" style="20" customWidth="1"/>
    <col min="7689" max="7689" width="7.375" style="20" customWidth="1"/>
    <col min="7690" max="7690" width="11.625" style="20" customWidth="1"/>
    <col min="7691" max="7691" width="8.625" style="20" customWidth="1"/>
    <col min="7692" max="7692" width="13.625" style="20" customWidth="1"/>
    <col min="7693" max="7693" width="8.625" style="20" customWidth="1"/>
    <col min="7694" max="7694" width="13.625" style="20" customWidth="1"/>
    <col min="7695" max="7695" width="9.625" style="20" customWidth="1"/>
    <col min="7696" max="7696" width="13.625" style="20" customWidth="1"/>
    <col min="7697" max="7697" width="6.5" style="20" customWidth="1"/>
    <col min="7698" max="7698" width="12.25" style="20" customWidth="1"/>
    <col min="7699" max="7699" width="7.375" style="20" customWidth="1"/>
    <col min="7700" max="7700" width="11.625" style="20" customWidth="1"/>
    <col min="7701" max="7701" width="15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38" width="6.625" style="20" customWidth="1"/>
    <col min="7939" max="7939" width="5.625" style="20" customWidth="1"/>
    <col min="7940" max="7940" width="6.625" style="20" customWidth="1"/>
    <col min="7941" max="7941" width="7.5" style="20" customWidth="1"/>
    <col min="7942" max="7942" width="11.625" style="20" customWidth="1"/>
    <col min="7943" max="7943" width="7.625" style="20" customWidth="1"/>
    <col min="7944" max="7944" width="12.375" style="20" customWidth="1"/>
    <col min="7945" max="7945" width="7.375" style="20" customWidth="1"/>
    <col min="7946" max="7946" width="11.625" style="20" customWidth="1"/>
    <col min="7947" max="7947" width="8.625" style="20" customWidth="1"/>
    <col min="7948" max="7948" width="13.625" style="20" customWidth="1"/>
    <col min="7949" max="7949" width="8.625" style="20" customWidth="1"/>
    <col min="7950" max="7950" width="13.625" style="20" customWidth="1"/>
    <col min="7951" max="7951" width="9.625" style="20" customWidth="1"/>
    <col min="7952" max="7952" width="13.625" style="20" customWidth="1"/>
    <col min="7953" max="7953" width="6.5" style="20" customWidth="1"/>
    <col min="7954" max="7954" width="12.25" style="20" customWidth="1"/>
    <col min="7955" max="7955" width="7.375" style="20" customWidth="1"/>
    <col min="7956" max="7956" width="11.625" style="20" customWidth="1"/>
    <col min="7957" max="7957" width="15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4" width="6.625" style="20" customWidth="1"/>
    <col min="8195" max="8195" width="5.625" style="20" customWidth="1"/>
    <col min="8196" max="8196" width="6.625" style="20" customWidth="1"/>
    <col min="8197" max="8197" width="7.5" style="20" customWidth="1"/>
    <col min="8198" max="8198" width="11.625" style="20" customWidth="1"/>
    <col min="8199" max="8199" width="7.625" style="20" customWidth="1"/>
    <col min="8200" max="8200" width="12.375" style="20" customWidth="1"/>
    <col min="8201" max="8201" width="7.375" style="20" customWidth="1"/>
    <col min="8202" max="8202" width="11.625" style="20" customWidth="1"/>
    <col min="8203" max="8203" width="8.625" style="20" customWidth="1"/>
    <col min="8204" max="8204" width="13.625" style="20" customWidth="1"/>
    <col min="8205" max="8205" width="8.625" style="20" customWidth="1"/>
    <col min="8206" max="8206" width="13.625" style="20" customWidth="1"/>
    <col min="8207" max="8207" width="9.625" style="20" customWidth="1"/>
    <col min="8208" max="8208" width="13.625" style="20" customWidth="1"/>
    <col min="8209" max="8209" width="6.5" style="20" customWidth="1"/>
    <col min="8210" max="8210" width="12.25" style="20" customWidth="1"/>
    <col min="8211" max="8211" width="7.375" style="20" customWidth="1"/>
    <col min="8212" max="8212" width="11.625" style="20" customWidth="1"/>
    <col min="8213" max="8213" width="15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0" width="6.625" style="20" customWidth="1"/>
    <col min="8451" max="8451" width="5.625" style="20" customWidth="1"/>
    <col min="8452" max="8452" width="6.625" style="20" customWidth="1"/>
    <col min="8453" max="8453" width="7.5" style="20" customWidth="1"/>
    <col min="8454" max="8454" width="11.625" style="20" customWidth="1"/>
    <col min="8455" max="8455" width="7.625" style="20" customWidth="1"/>
    <col min="8456" max="8456" width="12.375" style="20" customWidth="1"/>
    <col min="8457" max="8457" width="7.375" style="20" customWidth="1"/>
    <col min="8458" max="8458" width="11.625" style="20" customWidth="1"/>
    <col min="8459" max="8459" width="8.625" style="20" customWidth="1"/>
    <col min="8460" max="8460" width="13.625" style="20" customWidth="1"/>
    <col min="8461" max="8461" width="8.625" style="20" customWidth="1"/>
    <col min="8462" max="8462" width="13.625" style="20" customWidth="1"/>
    <col min="8463" max="8463" width="9.625" style="20" customWidth="1"/>
    <col min="8464" max="8464" width="13.625" style="20" customWidth="1"/>
    <col min="8465" max="8465" width="6.5" style="20" customWidth="1"/>
    <col min="8466" max="8466" width="12.25" style="20" customWidth="1"/>
    <col min="8467" max="8467" width="7.375" style="20" customWidth="1"/>
    <col min="8468" max="8468" width="11.625" style="20" customWidth="1"/>
    <col min="8469" max="8469" width="15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6" width="6.625" style="20" customWidth="1"/>
    <col min="8707" max="8707" width="5.625" style="20" customWidth="1"/>
    <col min="8708" max="8708" width="6.625" style="20" customWidth="1"/>
    <col min="8709" max="8709" width="7.5" style="20" customWidth="1"/>
    <col min="8710" max="8710" width="11.625" style="20" customWidth="1"/>
    <col min="8711" max="8711" width="7.625" style="20" customWidth="1"/>
    <col min="8712" max="8712" width="12.375" style="20" customWidth="1"/>
    <col min="8713" max="8713" width="7.375" style="20" customWidth="1"/>
    <col min="8714" max="8714" width="11.625" style="20" customWidth="1"/>
    <col min="8715" max="8715" width="8.625" style="20" customWidth="1"/>
    <col min="8716" max="8716" width="13.625" style="20" customWidth="1"/>
    <col min="8717" max="8717" width="8.625" style="20" customWidth="1"/>
    <col min="8718" max="8718" width="13.625" style="20" customWidth="1"/>
    <col min="8719" max="8719" width="9.625" style="20" customWidth="1"/>
    <col min="8720" max="8720" width="13.625" style="20" customWidth="1"/>
    <col min="8721" max="8721" width="6.5" style="20" customWidth="1"/>
    <col min="8722" max="8722" width="12.25" style="20" customWidth="1"/>
    <col min="8723" max="8723" width="7.375" style="20" customWidth="1"/>
    <col min="8724" max="8724" width="11.625" style="20" customWidth="1"/>
    <col min="8725" max="8725" width="15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2" width="6.625" style="20" customWidth="1"/>
    <col min="8963" max="8963" width="5.625" style="20" customWidth="1"/>
    <col min="8964" max="8964" width="6.625" style="20" customWidth="1"/>
    <col min="8965" max="8965" width="7.5" style="20" customWidth="1"/>
    <col min="8966" max="8966" width="11.625" style="20" customWidth="1"/>
    <col min="8967" max="8967" width="7.625" style="20" customWidth="1"/>
    <col min="8968" max="8968" width="12.375" style="20" customWidth="1"/>
    <col min="8969" max="8969" width="7.375" style="20" customWidth="1"/>
    <col min="8970" max="8970" width="11.625" style="20" customWidth="1"/>
    <col min="8971" max="8971" width="8.625" style="20" customWidth="1"/>
    <col min="8972" max="8972" width="13.625" style="20" customWidth="1"/>
    <col min="8973" max="8973" width="8.625" style="20" customWidth="1"/>
    <col min="8974" max="8974" width="13.625" style="20" customWidth="1"/>
    <col min="8975" max="8975" width="9.625" style="20" customWidth="1"/>
    <col min="8976" max="8976" width="13.625" style="20" customWidth="1"/>
    <col min="8977" max="8977" width="6.5" style="20" customWidth="1"/>
    <col min="8978" max="8978" width="12.25" style="20" customWidth="1"/>
    <col min="8979" max="8979" width="7.375" style="20" customWidth="1"/>
    <col min="8980" max="8980" width="11.625" style="20" customWidth="1"/>
    <col min="8981" max="8981" width="15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18" width="6.625" style="20" customWidth="1"/>
    <col min="9219" max="9219" width="5.625" style="20" customWidth="1"/>
    <col min="9220" max="9220" width="6.625" style="20" customWidth="1"/>
    <col min="9221" max="9221" width="7.5" style="20" customWidth="1"/>
    <col min="9222" max="9222" width="11.625" style="20" customWidth="1"/>
    <col min="9223" max="9223" width="7.625" style="20" customWidth="1"/>
    <col min="9224" max="9224" width="12.375" style="20" customWidth="1"/>
    <col min="9225" max="9225" width="7.375" style="20" customWidth="1"/>
    <col min="9226" max="9226" width="11.625" style="20" customWidth="1"/>
    <col min="9227" max="9227" width="8.625" style="20" customWidth="1"/>
    <col min="9228" max="9228" width="13.625" style="20" customWidth="1"/>
    <col min="9229" max="9229" width="8.625" style="20" customWidth="1"/>
    <col min="9230" max="9230" width="13.625" style="20" customWidth="1"/>
    <col min="9231" max="9231" width="9.625" style="20" customWidth="1"/>
    <col min="9232" max="9232" width="13.625" style="20" customWidth="1"/>
    <col min="9233" max="9233" width="6.5" style="20" customWidth="1"/>
    <col min="9234" max="9234" width="12.25" style="20" customWidth="1"/>
    <col min="9235" max="9235" width="7.375" style="20" customWidth="1"/>
    <col min="9236" max="9236" width="11.625" style="20" customWidth="1"/>
    <col min="9237" max="9237" width="15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4" width="6.625" style="20" customWidth="1"/>
    <col min="9475" max="9475" width="5.625" style="20" customWidth="1"/>
    <col min="9476" max="9476" width="6.625" style="20" customWidth="1"/>
    <col min="9477" max="9477" width="7.5" style="20" customWidth="1"/>
    <col min="9478" max="9478" width="11.625" style="20" customWidth="1"/>
    <col min="9479" max="9479" width="7.625" style="20" customWidth="1"/>
    <col min="9480" max="9480" width="12.375" style="20" customWidth="1"/>
    <col min="9481" max="9481" width="7.375" style="20" customWidth="1"/>
    <col min="9482" max="9482" width="11.625" style="20" customWidth="1"/>
    <col min="9483" max="9483" width="8.625" style="20" customWidth="1"/>
    <col min="9484" max="9484" width="13.625" style="20" customWidth="1"/>
    <col min="9485" max="9485" width="8.625" style="20" customWidth="1"/>
    <col min="9486" max="9486" width="13.625" style="20" customWidth="1"/>
    <col min="9487" max="9487" width="9.625" style="20" customWidth="1"/>
    <col min="9488" max="9488" width="13.625" style="20" customWidth="1"/>
    <col min="9489" max="9489" width="6.5" style="20" customWidth="1"/>
    <col min="9490" max="9490" width="12.25" style="20" customWidth="1"/>
    <col min="9491" max="9491" width="7.375" style="20" customWidth="1"/>
    <col min="9492" max="9492" width="11.625" style="20" customWidth="1"/>
    <col min="9493" max="9493" width="15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0" width="6.625" style="20" customWidth="1"/>
    <col min="9731" max="9731" width="5.625" style="20" customWidth="1"/>
    <col min="9732" max="9732" width="6.625" style="20" customWidth="1"/>
    <col min="9733" max="9733" width="7.5" style="20" customWidth="1"/>
    <col min="9734" max="9734" width="11.625" style="20" customWidth="1"/>
    <col min="9735" max="9735" width="7.625" style="20" customWidth="1"/>
    <col min="9736" max="9736" width="12.375" style="20" customWidth="1"/>
    <col min="9737" max="9737" width="7.375" style="20" customWidth="1"/>
    <col min="9738" max="9738" width="11.625" style="20" customWidth="1"/>
    <col min="9739" max="9739" width="8.625" style="20" customWidth="1"/>
    <col min="9740" max="9740" width="13.625" style="20" customWidth="1"/>
    <col min="9741" max="9741" width="8.625" style="20" customWidth="1"/>
    <col min="9742" max="9742" width="13.625" style="20" customWidth="1"/>
    <col min="9743" max="9743" width="9.625" style="20" customWidth="1"/>
    <col min="9744" max="9744" width="13.625" style="20" customWidth="1"/>
    <col min="9745" max="9745" width="6.5" style="20" customWidth="1"/>
    <col min="9746" max="9746" width="12.25" style="20" customWidth="1"/>
    <col min="9747" max="9747" width="7.375" style="20" customWidth="1"/>
    <col min="9748" max="9748" width="11.625" style="20" customWidth="1"/>
    <col min="9749" max="9749" width="15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6" width="6.625" style="20" customWidth="1"/>
    <col min="9987" max="9987" width="5.625" style="20" customWidth="1"/>
    <col min="9988" max="9988" width="6.625" style="20" customWidth="1"/>
    <col min="9989" max="9989" width="7.5" style="20" customWidth="1"/>
    <col min="9990" max="9990" width="11.625" style="20" customWidth="1"/>
    <col min="9991" max="9991" width="7.625" style="20" customWidth="1"/>
    <col min="9992" max="9992" width="12.375" style="20" customWidth="1"/>
    <col min="9993" max="9993" width="7.375" style="20" customWidth="1"/>
    <col min="9994" max="9994" width="11.625" style="20" customWidth="1"/>
    <col min="9995" max="9995" width="8.625" style="20" customWidth="1"/>
    <col min="9996" max="9996" width="13.625" style="20" customWidth="1"/>
    <col min="9997" max="9997" width="8.625" style="20" customWidth="1"/>
    <col min="9998" max="9998" width="13.625" style="20" customWidth="1"/>
    <col min="9999" max="9999" width="9.625" style="20" customWidth="1"/>
    <col min="10000" max="10000" width="13.625" style="20" customWidth="1"/>
    <col min="10001" max="10001" width="6.5" style="20" customWidth="1"/>
    <col min="10002" max="10002" width="12.25" style="20" customWidth="1"/>
    <col min="10003" max="10003" width="7.375" style="20" customWidth="1"/>
    <col min="10004" max="10004" width="11.625" style="20" customWidth="1"/>
    <col min="10005" max="10005" width="15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2" width="6.625" style="20" customWidth="1"/>
    <col min="10243" max="10243" width="5.625" style="20" customWidth="1"/>
    <col min="10244" max="10244" width="6.625" style="20" customWidth="1"/>
    <col min="10245" max="10245" width="7.5" style="20" customWidth="1"/>
    <col min="10246" max="10246" width="11.625" style="20" customWidth="1"/>
    <col min="10247" max="10247" width="7.625" style="20" customWidth="1"/>
    <col min="10248" max="10248" width="12.375" style="20" customWidth="1"/>
    <col min="10249" max="10249" width="7.375" style="20" customWidth="1"/>
    <col min="10250" max="10250" width="11.625" style="20" customWidth="1"/>
    <col min="10251" max="10251" width="8.625" style="20" customWidth="1"/>
    <col min="10252" max="10252" width="13.625" style="20" customWidth="1"/>
    <col min="10253" max="10253" width="8.625" style="20" customWidth="1"/>
    <col min="10254" max="10254" width="13.625" style="20" customWidth="1"/>
    <col min="10255" max="10255" width="9.625" style="20" customWidth="1"/>
    <col min="10256" max="10256" width="13.625" style="20" customWidth="1"/>
    <col min="10257" max="10257" width="6.5" style="20" customWidth="1"/>
    <col min="10258" max="10258" width="12.25" style="20" customWidth="1"/>
    <col min="10259" max="10259" width="7.375" style="20" customWidth="1"/>
    <col min="10260" max="10260" width="11.625" style="20" customWidth="1"/>
    <col min="10261" max="10261" width="15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498" width="6.625" style="20" customWidth="1"/>
    <col min="10499" max="10499" width="5.625" style="20" customWidth="1"/>
    <col min="10500" max="10500" width="6.625" style="20" customWidth="1"/>
    <col min="10501" max="10501" width="7.5" style="20" customWidth="1"/>
    <col min="10502" max="10502" width="11.625" style="20" customWidth="1"/>
    <col min="10503" max="10503" width="7.625" style="20" customWidth="1"/>
    <col min="10504" max="10504" width="12.375" style="20" customWidth="1"/>
    <col min="10505" max="10505" width="7.375" style="20" customWidth="1"/>
    <col min="10506" max="10506" width="11.625" style="20" customWidth="1"/>
    <col min="10507" max="10507" width="8.625" style="20" customWidth="1"/>
    <col min="10508" max="10508" width="13.625" style="20" customWidth="1"/>
    <col min="10509" max="10509" width="8.625" style="20" customWidth="1"/>
    <col min="10510" max="10510" width="13.625" style="20" customWidth="1"/>
    <col min="10511" max="10511" width="9.625" style="20" customWidth="1"/>
    <col min="10512" max="10512" width="13.625" style="20" customWidth="1"/>
    <col min="10513" max="10513" width="6.5" style="20" customWidth="1"/>
    <col min="10514" max="10514" width="12.25" style="20" customWidth="1"/>
    <col min="10515" max="10515" width="7.375" style="20" customWidth="1"/>
    <col min="10516" max="10516" width="11.625" style="20" customWidth="1"/>
    <col min="10517" max="10517" width="15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4" width="6.625" style="20" customWidth="1"/>
    <col min="10755" max="10755" width="5.625" style="20" customWidth="1"/>
    <col min="10756" max="10756" width="6.625" style="20" customWidth="1"/>
    <col min="10757" max="10757" width="7.5" style="20" customWidth="1"/>
    <col min="10758" max="10758" width="11.625" style="20" customWidth="1"/>
    <col min="10759" max="10759" width="7.625" style="20" customWidth="1"/>
    <col min="10760" max="10760" width="12.375" style="20" customWidth="1"/>
    <col min="10761" max="10761" width="7.375" style="20" customWidth="1"/>
    <col min="10762" max="10762" width="11.625" style="20" customWidth="1"/>
    <col min="10763" max="10763" width="8.625" style="20" customWidth="1"/>
    <col min="10764" max="10764" width="13.625" style="20" customWidth="1"/>
    <col min="10765" max="10765" width="8.625" style="20" customWidth="1"/>
    <col min="10766" max="10766" width="13.625" style="20" customWidth="1"/>
    <col min="10767" max="10767" width="9.625" style="20" customWidth="1"/>
    <col min="10768" max="10768" width="13.625" style="20" customWidth="1"/>
    <col min="10769" max="10769" width="6.5" style="20" customWidth="1"/>
    <col min="10770" max="10770" width="12.25" style="20" customWidth="1"/>
    <col min="10771" max="10771" width="7.375" style="20" customWidth="1"/>
    <col min="10772" max="10772" width="11.625" style="20" customWidth="1"/>
    <col min="10773" max="10773" width="15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0" width="6.625" style="20" customWidth="1"/>
    <col min="11011" max="11011" width="5.625" style="20" customWidth="1"/>
    <col min="11012" max="11012" width="6.625" style="20" customWidth="1"/>
    <col min="11013" max="11013" width="7.5" style="20" customWidth="1"/>
    <col min="11014" max="11014" width="11.625" style="20" customWidth="1"/>
    <col min="11015" max="11015" width="7.625" style="20" customWidth="1"/>
    <col min="11016" max="11016" width="12.375" style="20" customWidth="1"/>
    <col min="11017" max="11017" width="7.375" style="20" customWidth="1"/>
    <col min="11018" max="11018" width="11.625" style="20" customWidth="1"/>
    <col min="11019" max="11019" width="8.625" style="20" customWidth="1"/>
    <col min="11020" max="11020" width="13.625" style="20" customWidth="1"/>
    <col min="11021" max="11021" width="8.625" style="20" customWidth="1"/>
    <col min="11022" max="11022" width="13.625" style="20" customWidth="1"/>
    <col min="11023" max="11023" width="9.625" style="20" customWidth="1"/>
    <col min="11024" max="11024" width="13.625" style="20" customWidth="1"/>
    <col min="11025" max="11025" width="6.5" style="20" customWidth="1"/>
    <col min="11026" max="11026" width="12.25" style="20" customWidth="1"/>
    <col min="11027" max="11027" width="7.375" style="20" customWidth="1"/>
    <col min="11028" max="11028" width="11.625" style="20" customWidth="1"/>
    <col min="11029" max="11029" width="15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6" width="6.625" style="20" customWidth="1"/>
    <col min="11267" max="11267" width="5.625" style="20" customWidth="1"/>
    <col min="11268" max="11268" width="6.625" style="20" customWidth="1"/>
    <col min="11269" max="11269" width="7.5" style="20" customWidth="1"/>
    <col min="11270" max="11270" width="11.625" style="20" customWidth="1"/>
    <col min="11271" max="11271" width="7.625" style="20" customWidth="1"/>
    <col min="11272" max="11272" width="12.375" style="20" customWidth="1"/>
    <col min="11273" max="11273" width="7.375" style="20" customWidth="1"/>
    <col min="11274" max="11274" width="11.625" style="20" customWidth="1"/>
    <col min="11275" max="11275" width="8.625" style="20" customWidth="1"/>
    <col min="11276" max="11276" width="13.625" style="20" customWidth="1"/>
    <col min="11277" max="11277" width="8.625" style="20" customWidth="1"/>
    <col min="11278" max="11278" width="13.625" style="20" customWidth="1"/>
    <col min="11279" max="11279" width="9.625" style="20" customWidth="1"/>
    <col min="11280" max="11280" width="13.625" style="20" customWidth="1"/>
    <col min="11281" max="11281" width="6.5" style="20" customWidth="1"/>
    <col min="11282" max="11282" width="12.25" style="20" customWidth="1"/>
    <col min="11283" max="11283" width="7.375" style="20" customWidth="1"/>
    <col min="11284" max="11284" width="11.625" style="20" customWidth="1"/>
    <col min="11285" max="11285" width="15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2" width="6.625" style="20" customWidth="1"/>
    <col min="11523" max="11523" width="5.625" style="20" customWidth="1"/>
    <col min="11524" max="11524" width="6.625" style="20" customWidth="1"/>
    <col min="11525" max="11525" width="7.5" style="20" customWidth="1"/>
    <col min="11526" max="11526" width="11.625" style="20" customWidth="1"/>
    <col min="11527" max="11527" width="7.625" style="20" customWidth="1"/>
    <col min="11528" max="11528" width="12.375" style="20" customWidth="1"/>
    <col min="11529" max="11529" width="7.375" style="20" customWidth="1"/>
    <col min="11530" max="11530" width="11.625" style="20" customWidth="1"/>
    <col min="11531" max="11531" width="8.625" style="20" customWidth="1"/>
    <col min="11532" max="11532" width="13.625" style="20" customWidth="1"/>
    <col min="11533" max="11533" width="8.625" style="20" customWidth="1"/>
    <col min="11534" max="11534" width="13.625" style="20" customWidth="1"/>
    <col min="11535" max="11535" width="9.625" style="20" customWidth="1"/>
    <col min="11536" max="11536" width="13.625" style="20" customWidth="1"/>
    <col min="11537" max="11537" width="6.5" style="20" customWidth="1"/>
    <col min="11538" max="11538" width="12.25" style="20" customWidth="1"/>
    <col min="11539" max="11539" width="7.375" style="20" customWidth="1"/>
    <col min="11540" max="11540" width="11.625" style="20" customWidth="1"/>
    <col min="11541" max="11541" width="15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78" width="6.625" style="20" customWidth="1"/>
    <col min="11779" max="11779" width="5.625" style="20" customWidth="1"/>
    <col min="11780" max="11780" width="6.625" style="20" customWidth="1"/>
    <col min="11781" max="11781" width="7.5" style="20" customWidth="1"/>
    <col min="11782" max="11782" width="11.625" style="20" customWidth="1"/>
    <col min="11783" max="11783" width="7.625" style="20" customWidth="1"/>
    <col min="11784" max="11784" width="12.375" style="20" customWidth="1"/>
    <col min="11785" max="11785" width="7.375" style="20" customWidth="1"/>
    <col min="11786" max="11786" width="11.625" style="20" customWidth="1"/>
    <col min="11787" max="11787" width="8.625" style="20" customWidth="1"/>
    <col min="11788" max="11788" width="13.625" style="20" customWidth="1"/>
    <col min="11789" max="11789" width="8.625" style="20" customWidth="1"/>
    <col min="11790" max="11790" width="13.625" style="20" customWidth="1"/>
    <col min="11791" max="11791" width="9.625" style="20" customWidth="1"/>
    <col min="11792" max="11792" width="13.625" style="20" customWidth="1"/>
    <col min="11793" max="11793" width="6.5" style="20" customWidth="1"/>
    <col min="11794" max="11794" width="12.25" style="20" customWidth="1"/>
    <col min="11795" max="11795" width="7.375" style="20" customWidth="1"/>
    <col min="11796" max="11796" width="11.625" style="20" customWidth="1"/>
    <col min="11797" max="11797" width="15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4" width="6.625" style="20" customWidth="1"/>
    <col min="12035" max="12035" width="5.625" style="20" customWidth="1"/>
    <col min="12036" max="12036" width="6.625" style="20" customWidth="1"/>
    <col min="12037" max="12037" width="7.5" style="20" customWidth="1"/>
    <col min="12038" max="12038" width="11.625" style="20" customWidth="1"/>
    <col min="12039" max="12039" width="7.625" style="20" customWidth="1"/>
    <col min="12040" max="12040" width="12.375" style="20" customWidth="1"/>
    <col min="12041" max="12041" width="7.375" style="20" customWidth="1"/>
    <col min="12042" max="12042" width="11.625" style="20" customWidth="1"/>
    <col min="12043" max="12043" width="8.625" style="20" customWidth="1"/>
    <col min="12044" max="12044" width="13.625" style="20" customWidth="1"/>
    <col min="12045" max="12045" width="8.625" style="20" customWidth="1"/>
    <col min="12046" max="12046" width="13.625" style="20" customWidth="1"/>
    <col min="12047" max="12047" width="9.625" style="20" customWidth="1"/>
    <col min="12048" max="12048" width="13.625" style="20" customWidth="1"/>
    <col min="12049" max="12049" width="6.5" style="20" customWidth="1"/>
    <col min="12050" max="12050" width="12.25" style="20" customWidth="1"/>
    <col min="12051" max="12051" width="7.375" style="20" customWidth="1"/>
    <col min="12052" max="12052" width="11.625" style="20" customWidth="1"/>
    <col min="12053" max="12053" width="15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0" width="6.625" style="20" customWidth="1"/>
    <col min="12291" max="12291" width="5.625" style="20" customWidth="1"/>
    <col min="12292" max="12292" width="6.625" style="20" customWidth="1"/>
    <col min="12293" max="12293" width="7.5" style="20" customWidth="1"/>
    <col min="12294" max="12294" width="11.625" style="20" customWidth="1"/>
    <col min="12295" max="12295" width="7.625" style="20" customWidth="1"/>
    <col min="12296" max="12296" width="12.375" style="20" customWidth="1"/>
    <col min="12297" max="12297" width="7.375" style="20" customWidth="1"/>
    <col min="12298" max="12298" width="11.625" style="20" customWidth="1"/>
    <col min="12299" max="12299" width="8.625" style="20" customWidth="1"/>
    <col min="12300" max="12300" width="13.625" style="20" customWidth="1"/>
    <col min="12301" max="12301" width="8.625" style="20" customWidth="1"/>
    <col min="12302" max="12302" width="13.625" style="20" customWidth="1"/>
    <col min="12303" max="12303" width="9.625" style="20" customWidth="1"/>
    <col min="12304" max="12304" width="13.625" style="20" customWidth="1"/>
    <col min="12305" max="12305" width="6.5" style="20" customWidth="1"/>
    <col min="12306" max="12306" width="12.25" style="20" customWidth="1"/>
    <col min="12307" max="12307" width="7.375" style="20" customWidth="1"/>
    <col min="12308" max="12308" width="11.625" style="20" customWidth="1"/>
    <col min="12309" max="12309" width="15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6" width="6.625" style="20" customWidth="1"/>
    <col min="12547" max="12547" width="5.625" style="20" customWidth="1"/>
    <col min="12548" max="12548" width="6.625" style="20" customWidth="1"/>
    <col min="12549" max="12549" width="7.5" style="20" customWidth="1"/>
    <col min="12550" max="12550" width="11.625" style="20" customWidth="1"/>
    <col min="12551" max="12551" width="7.625" style="20" customWidth="1"/>
    <col min="12552" max="12552" width="12.375" style="20" customWidth="1"/>
    <col min="12553" max="12553" width="7.375" style="20" customWidth="1"/>
    <col min="12554" max="12554" width="11.625" style="20" customWidth="1"/>
    <col min="12555" max="12555" width="8.625" style="20" customWidth="1"/>
    <col min="12556" max="12556" width="13.625" style="20" customWidth="1"/>
    <col min="12557" max="12557" width="8.625" style="20" customWidth="1"/>
    <col min="12558" max="12558" width="13.625" style="20" customWidth="1"/>
    <col min="12559" max="12559" width="9.625" style="20" customWidth="1"/>
    <col min="12560" max="12560" width="13.625" style="20" customWidth="1"/>
    <col min="12561" max="12561" width="6.5" style="20" customWidth="1"/>
    <col min="12562" max="12562" width="12.25" style="20" customWidth="1"/>
    <col min="12563" max="12563" width="7.375" style="20" customWidth="1"/>
    <col min="12564" max="12564" width="11.625" style="20" customWidth="1"/>
    <col min="12565" max="12565" width="15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2" width="6.625" style="20" customWidth="1"/>
    <col min="12803" max="12803" width="5.625" style="20" customWidth="1"/>
    <col min="12804" max="12804" width="6.625" style="20" customWidth="1"/>
    <col min="12805" max="12805" width="7.5" style="20" customWidth="1"/>
    <col min="12806" max="12806" width="11.625" style="20" customWidth="1"/>
    <col min="12807" max="12807" width="7.625" style="20" customWidth="1"/>
    <col min="12808" max="12808" width="12.375" style="20" customWidth="1"/>
    <col min="12809" max="12809" width="7.375" style="20" customWidth="1"/>
    <col min="12810" max="12810" width="11.625" style="20" customWidth="1"/>
    <col min="12811" max="12811" width="8.625" style="20" customWidth="1"/>
    <col min="12812" max="12812" width="13.625" style="20" customWidth="1"/>
    <col min="12813" max="12813" width="8.625" style="20" customWidth="1"/>
    <col min="12814" max="12814" width="13.625" style="20" customWidth="1"/>
    <col min="12815" max="12815" width="9.625" style="20" customWidth="1"/>
    <col min="12816" max="12816" width="13.625" style="20" customWidth="1"/>
    <col min="12817" max="12817" width="6.5" style="20" customWidth="1"/>
    <col min="12818" max="12818" width="12.25" style="20" customWidth="1"/>
    <col min="12819" max="12819" width="7.375" style="20" customWidth="1"/>
    <col min="12820" max="12820" width="11.625" style="20" customWidth="1"/>
    <col min="12821" max="12821" width="15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58" width="6.625" style="20" customWidth="1"/>
    <col min="13059" max="13059" width="5.625" style="20" customWidth="1"/>
    <col min="13060" max="13060" width="6.625" style="20" customWidth="1"/>
    <col min="13061" max="13061" width="7.5" style="20" customWidth="1"/>
    <col min="13062" max="13062" width="11.625" style="20" customWidth="1"/>
    <col min="13063" max="13063" width="7.625" style="20" customWidth="1"/>
    <col min="13064" max="13064" width="12.375" style="20" customWidth="1"/>
    <col min="13065" max="13065" width="7.375" style="20" customWidth="1"/>
    <col min="13066" max="13066" width="11.625" style="20" customWidth="1"/>
    <col min="13067" max="13067" width="8.625" style="20" customWidth="1"/>
    <col min="13068" max="13068" width="13.625" style="20" customWidth="1"/>
    <col min="13069" max="13069" width="8.625" style="20" customWidth="1"/>
    <col min="13070" max="13070" width="13.625" style="20" customWidth="1"/>
    <col min="13071" max="13071" width="9.625" style="20" customWidth="1"/>
    <col min="13072" max="13072" width="13.625" style="20" customWidth="1"/>
    <col min="13073" max="13073" width="6.5" style="20" customWidth="1"/>
    <col min="13074" max="13074" width="12.25" style="20" customWidth="1"/>
    <col min="13075" max="13075" width="7.375" style="20" customWidth="1"/>
    <col min="13076" max="13076" width="11.625" style="20" customWidth="1"/>
    <col min="13077" max="13077" width="15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4" width="6.625" style="20" customWidth="1"/>
    <col min="13315" max="13315" width="5.625" style="20" customWidth="1"/>
    <col min="13316" max="13316" width="6.625" style="20" customWidth="1"/>
    <col min="13317" max="13317" width="7.5" style="20" customWidth="1"/>
    <col min="13318" max="13318" width="11.625" style="20" customWidth="1"/>
    <col min="13319" max="13319" width="7.625" style="20" customWidth="1"/>
    <col min="13320" max="13320" width="12.375" style="20" customWidth="1"/>
    <col min="13321" max="13321" width="7.375" style="20" customWidth="1"/>
    <col min="13322" max="13322" width="11.625" style="20" customWidth="1"/>
    <col min="13323" max="13323" width="8.625" style="20" customWidth="1"/>
    <col min="13324" max="13324" width="13.625" style="20" customWidth="1"/>
    <col min="13325" max="13325" width="8.625" style="20" customWidth="1"/>
    <col min="13326" max="13326" width="13.625" style="20" customWidth="1"/>
    <col min="13327" max="13327" width="9.625" style="20" customWidth="1"/>
    <col min="13328" max="13328" width="13.625" style="20" customWidth="1"/>
    <col min="13329" max="13329" width="6.5" style="20" customWidth="1"/>
    <col min="13330" max="13330" width="12.25" style="20" customWidth="1"/>
    <col min="13331" max="13331" width="7.375" style="20" customWidth="1"/>
    <col min="13332" max="13332" width="11.625" style="20" customWidth="1"/>
    <col min="13333" max="13333" width="15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0" width="6.625" style="20" customWidth="1"/>
    <col min="13571" max="13571" width="5.625" style="20" customWidth="1"/>
    <col min="13572" max="13572" width="6.625" style="20" customWidth="1"/>
    <col min="13573" max="13573" width="7.5" style="20" customWidth="1"/>
    <col min="13574" max="13574" width="11.625" style="20" customWidth="1"/>
    <col min="13575" max="13575" width="7.625" style="20" customWidth="1"/>
    <col min="13576" max="13576" width="12.375" style="20" customWidth="1"/>
    <col min="13577" max="13577" width="7.375" style="20" customWidth="1"/>
    <col min="13578" max="13578" width="11.625" style="20" customWidth="1"/>
    <col min="13579" max="13579" width="8.625" style="20" customWidth="1"/>
    <col min="13580" max="13580" width="13.625" style="20" customWidth="1"/>
    <col min="13581" max="13581" width="8.625" style="20" customWidth="1"/>
    <col min="13582" max="13582" width="13.625" style="20" customWidth="1"/>
    <col min="13583" max="13583" width="9.625" style="20" customWidth="1"/>
    <col min="13584" max="13584" width="13.625" style="20" customWidth="1"/>
    <col min="13585" max="13585" width="6.5" style="20" customWidth="1"/>
    <col min="13586" max="13586" width="12.25" style="20" customWidth="1"/>
    <col min="13587" max="13587" width="7.375" style="20" customWidth="1"/>
    <col min="13588" max="13588" width="11.625" style="20" customWidth="1"/>
    <col min="13589" max="13589" width="15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6" width="6.625" style="20" customWidth="1"/>
    <col min="13827" max="13827" width="5.625" style="20" customWidth="1"/>
    <col min="13828" max="13828" width="6.625" style="20" customWidth="1"/>
    <col min="13829" max="13829" width="7.5" style="20" customWidth="1"/>
    <col min="13830" max="13830" width="11.625" style="20" customWidth="1"/>
    <col min="13831" max="13831" width="7.625" style="20" customWidth="1"/>
    <col min="13832" max="13832" width="12.375" style="20" customWidth="1"/>
    <col min="13833" max="13833" width="7.375" style="20" customWidth="1"/>
    <col min="13834" max="13834" width="11.625" style="20" customWidth="1"/>
    <col min="13835" max="13835" width="8.625" style="20" customWidth="1"/>
    <col min="13836" max="13836" width="13.625" style="20" customWidth="1"/>
    <col min="13837" max="13837" width="8.625" style="20" customWidth="1"/>
    <col min="13838" max="13838" width="13.625" style="20" customWidth="1"/>
    <col min="13839" max="13839" width="9.625" style="20" customWidth="1"/>
    <col min="13840" max="13840" width="13.625" style="20" customWidth="1"/>
    <col min="13841" max="13841" width="6.5" style="20" customWidth="1"/>
    <col min="13842" max="13842" width="12.25" style="20" customWidth="1"/>
    <col min="13843" max="13843" width="7.375" style="20" customWidth="1"/>
    <col min="13844" max="13844" width="11.625" style="20" customWidth="1"/>
    <col min="13845" max="13845" width="15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2" width="6.625" style="20" customWidth="1"/>
    <col min="14083" max="14083" width="5.625" style="20" customWidth="1"/>
    <col min="14084" max="14084" width="6.625" style="20" customWidth="1"/>
    <col min="14085" max="14085" width="7.5" style="20" customWidth="1"/>
    <col min="14086" max="14086" width="11.625" style="20" customWidth="1"/>
    <col min="14087" max="14087" width="7.625" style="20" customWidth="1"/>
    <col min="14088" max="14088" width="12.375" style="20" customWidth="1"/>
    <col min="14089" max="14089" width="7.375" style="20" customWidth="1"/>
    <col min="14090" max="14090" width="11.625" style="20" customWidth="1"/>
    <col min="14091" max="14091" width="8.625" style="20" customWidth="1"/>
    <col min="14092" max="14092" width="13.625" style="20" customWidth="1"/>
    <col min="14093" max="14093" width="8.625" style="20" customWidth="1"/>
    <col min="14094" max="14094" width="13.625" style="20" customWidth="1"/>
    <col min="14095" max="14095" width="9.625" style="20" customWidth="1"/>
    <col min="14096" max="14096" width="13.625" style="20" customWidth="1"/>
    <col min="14097" max="14097" width="6.5" style="20" customWidth="1"/>
    <col min="14098" max="14098" width="12.25" style="20" customWidth="1"/>
    <col min="14099" max="14099" width="7.375" style="20" customWidth="1"/>
    <col min="14100" max="14100" width="11.625" style="20" customWidth="1"/>
    <col min="14101" max="14101" width="15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38" width="6.625" style="20" customWidth="1"/>
    <col min="14339" max="14339" width="5.625" style="20" customWidth="1"/>
    <col min="14340" max="14340" width="6.625" style="20" customWidth="1"/>
    <col min="14341" max="14341" width="7.5" style="20" customWidth="1"/>
    <col min="14342" max="14342" width="11.625" style="20" customWidth="1"/>
    <col min="14343" max="14343" width="7.625" style="20" customWidth="1"/>
    <col min="14344" max="14344" width="12.375" style="20" customWidth="1"/>
    <col min="14345" max="14345" width="7.375" style="20" customWidth="1"/>
    <col min="14346" max="14346" width="11.625" style="20" customWidth="1"/>
    <col min="14347" max="14347" width="8.625" style="20" customWidth="1"/>
    <col min="14348" max="14348" width="13.625" style="20" customWidth="1"/>
    <col min="14349" max="14349" width="8.625" style="20" customWidth="1"/>
    <col min="14350" max="14350" width="13.625" style="20" customWidth="1"/>
    <col min="14351" max="14351" width="9.625" style="20" customWidth="1"/>
    <col min="14352" max="14352" width="13.625" style="20" customWidth="1"/>
    <col min="14353" max="14353" width="6.5" style="20" customWidth="1"/>
    <col min="14354" max="14354" width="12.25" style="20" customWidth="1"/>
    <col min="14355" max="14355" width="7.375" style="20" customWidth="1"/>
    <col min="14356" max="14356" width="11.625" style="20" customWidth="1"/>
    <col min="14357" max="14357" width="15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4" width="6.625" style="20" customWidth="1"/>
    <col min="14595" max="14595" width="5.625" style="20" customWidth="1"/>
    <col min="14596" max="14596" width="6.625" style="20" customWidth="1"/>
    <col min="14597" max="14597" width="7.5" style="20" customWidth="1"/>
    <col min="14598" max="14598" width="11.625" style="20" customWidth="1"/>
    <col min="14599" max="14599" width="7.625" style="20" customWidth="1"/>
    <col min="14600" max="14600" width="12.375" style="20" customWidth="1"/>
    <col min="14601" max="14601" width="7.375" style="20" customWidth="1"/>
    <col min="14602" max="14602" width="11.625" style="20" customWidth="1"/>
    <col min="14603" max="14603" width="8.625" style="20" customWidth="1"/>
    <col min="14604" max="14604" width="13.625" style="20" customWidth="1"/>
    <col min="14605" max="14605" width="8.625" style="20" customWidth="1"/>
    <col min="14606" max="14606" width="13.625" style="20" customWidth="1"/>
    <col min="14607" max="14607" width="9.625" style="20" customWidth="1"/>
    <col min="14608" max="14608" width="13.625" style="20" customWidth="1"/>
    <col min="14609" max="14609" width="6.5" style="20" customWidth="1"/>
    <col min="14610" max="14610" width="12.25" style="20" customWidth="1"/>
    <col min="14611" max="14611" width="7.375" style="20" customWidth="1"/>
    <col min="14612" max="14612" width="11.625" style="20" customWidth="1"/>
    <col min="14613" max="14613" width="15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0" width="6.625" style="20" customWidth="1"/>
    <col min="14851" max="14851" width="5.625" style="20" customWidth="1"/>
    <col min="14852" max="14852" width="6.625" style="20" customWidth="1"/>
    <col min="14853" max="14853" width="7.5" style="20" customWidth="1"/>
    <col min="14854" max="14854" width="11.625" style="20" customWidth="1"/>
    <col min="14855" max="14855" width="7.625" style="20" customWidth="1"/>
    <col min="14856" max="14856" width="12.375" style="20" customWidth="1"/>
    <col min="14857" max="14857" width="7.375" style="20" customWidth="1"/>
    <col min="14858" max="14858" width="11.625" style="20" customWidth="1"/>
    <col min="14859" max="14859" width="8.625" style="20" customWidth="1"/>
    <col min="14860" max="14860" width="13.625" style="20" customWidth="1"/>
    <col min="14861" max="14861" width="8.625" style="20" customWidth="1"/>
    <col min="14862" max="14862" width="13.625" style="20" customWidth="1"/>
    <col min="14863" max="14863" width="9.625" style="20" customWidth="1"/>
    <col min="14864" max="14864" width="13.625" style="20" customWidth="1"/>
    <col min="14865" max="14865" width="6.5" style="20" customWidth="1"/>
    <col min="14866" max="14866" width="12.25" style="20" customWidth="1"/>
    <col min="14867" max="14867" width="7.375" style="20" customWidth="1"/>
    <col min="14868" max="14868" width="11.625" style="20" customWidth="1"/>
    <col min="14869" max="14869" width="15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6" width="6.625" style="20" customWidth="1"/>
    <col min="15107" max="15107" width="5.625" style="20" customWidth="1"/>
    <col min="15108" max="15108" width="6.625" style="20" customWidth="1"/>
    <col min="15109" max="15109" width="7.5" style="20" customWidth="1"/>
    <col min="15110" max="15110" width="11.625" style="20" customWidth="1"/>
    <col min="15111" max="15111" width="7.625" style="20" customWidth="1"/>
    <col min="15112" max="15112" width="12.375" style="20" customWidth="1"/>
    <col min="15113" max="15113" width="7.375" style="20" customWidth="1"/>
    <col min="15114" max="15114" width="11.625" style="20" customWidth="1"/>
    <col min="15115" max="15115" width="8.625" style="20" customWidth="1"/>
    <col min="15116" max="15116" width="13.625" style="20" customWidth="1"/>
    <col min="15117" max="15117" width="8.625" style="20" customWidth="1"/>
    <col min="15118" max="15118" width="13.625" style="20" customWidth="1"/>
    <col min="15119" max="15119" width="9.625" style="20" customWidth="1"/>
    <col min="15120" max="15120" width="13.625" style="20" customWidth="1"/>
    <col min="15121" max="15121" width="6.5" style="20" customWidth="1"/>
    <col min="15122" max="15122" width="12.25" style="20" customWidth="1"/>
    <col min="15123" max="15123" width="7.375" style="20" customWidth="1"/>
    <col min="15124" max="15124" width="11.625" style="20" customWidth="1"/>
    <col min="15125" max="15125" width="15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2" width="6.625" style="20" customWidth="1"/>
    <col min="15363" max="15363" width="5.625" style="20" customWidth="1"/>
    <col min="15364" max="15364" width="6.625" style="20" customWidth="1"/>
    <col min="15365" max="15365" width="7.5" style="20" customWidth="1"/>
    <col min="15366" max="15366" width="11.625" style="20" customWidth="1"/>
    <col min="15367" max="15367" width="7.625" style="20" customWidth="1"/>
    <col min="15368" max="15368" width="12.375" style="20" customWidth="1"/>
    <col min="15369" max="15369" width="7.375" style="20" customWidth="1"/>
    <col min="15370" max="15370" width="11.625" style="20" customWidth="1"/>
    <col min="15371" max="15371" width="8.625" style="20" customWidth="1"/>
    <col min="15372" max="15372" width="13.625" style="20" customWidth="1"/>
    <col min="15373" max="15373" width="8.625" style="20" customWidth="1"/>
    <col min="15374" max="15374" width="13.625" style="20" customWidth="1"/>
    <col min="15375" max="15375" width="9.625" style="20" customWidth="1"/>
    <col min="15376" max="15376" width="13.625" style="20" customWidth="1"/>
    <col min="15377" max="15377" width="6.5" style="20" customWidth="1"/>
    <col min="15378" max="15378" width="12.25" style="20" customWidth="1"/>
    <col min="15379" max="15379" width="7.375" style="20" customWidth="1"/>
    <col min="15380" max="15380" width="11.625" style="20" customWidth="1"/>
    <col min="15381" max="15381" width="15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18" width="6.625" style="20" customWidth="1"/>
    <col min="15619" max="15619" width="5.625" style="20" customWidth="1"/>
    <col min="15620" max="15620" width="6.625" style="20" customWidth="1"/>
    <col min="15621" max="15621" width="7.5" style="20" customWidth="1"/>
    <col min="15622" max="15622" width="11.625" style="20" customWidth="1"/>
    <col min="15623" max="15623" width="7.625" style="20" customWidth="1"/>
    <col min="15624" max="15624" width="12.375" style="20" customWidth="1"/>
    <col min="15625" max="15625" width="7.375" style="20" customWidth="1"/>
    <col min="15626" max="15626" width="11.625" style="20" customWidth="1"/>
    <col min="15627" max="15627" width="8.625" style="20" customWidth="1"/>
    <col min="15628" max="15628" width="13.625" style="20" customWidth="1"/>
    <col min="15629" max="15629" width="8.625" style="20" customWidth="1"/>
    <col min="15630" max="15630" width="13.625" style="20" customWidth="1"/>
    <col min="15631" max="15631" width="9.625" style="20" customWidth="1"/>
    <col min="15632" max="15632" width="13.625" style="20" customWidth="1"/>
    <col min="15633" max="15633" width="6.5" style="20" customWidth="1"/>
    <col min="15634" max="15634" width="12.25" style="20" customWidth="1"/>
    <col min="15635" max="15635" width="7.375" style="20" customWidth="1"/>
    <col min="15636" max="15636" width="11.625" style="20" customWidth="1"/>
    <col min="15637" max="15637" width="15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4" width="6.625" style="20" customWidth="1"/>
    <col min="15875" max="15875" width="5.625" style="20" customWidth="1"/>
    <col min="15876" max="15876" width="6.625" style="20" customWidth="1"/>
    <col min="15877" max="15877" width="7.5" style="20" customWidth="1"/>
    <col min="15878" max="15878" width="11.625" style="20" customWidth="1"/>
    <col min="15879" max="15879" width="7.625" style="20" customWidth="1"/>
    <col min="15880" max="15880" width="12.375" style="20" customWidth="1"/>
    <col min="15881" max="15881" width="7.375" style="20" customWidth="1"/>
    <col min="15882" max="15882" width="11.625" style="20" customWidth="1"/>
    <col min="15883" max="15883" width="8.625" style="20" customWidth="1"/>
    <col min="15884" max="15884" width="13.625" style="20" customWidth="1"/>
    <col min="15885" max="15885" width="8.625" style="20" customWidth="1"/>
    <col min="15886" max="15886" width="13.625" style="20" customWidth="1"/>
    <col min="15887" max="15887" width="9.625" style="20" customWidth="1"/>
    <col min="15888" max="15888" width="13.625" style="20" customWidth="1"/>
    <col min="15889" max="15889" width="6.5" style="20" customWidth="1"/>
    <col min="15890" max="15890" width="12.25" style="20" customWidth="1"/>
    <col min="15891" max="15891" width="7.375" style="20" customWidth="1"/>
    <col min="15892" max="15892" width="11.625" style="20" customWidth="1"/>
    <col min="15893" max="15893" width="15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0" width="6.625" style="20" customWidth="1"/>
    <col min="16131" max="16131" width="5.625" style="20" customWidth="1"/>
    <col min="16132" max="16132" width="6.625" style="20" customWidth="1"/>
    <col min="16133" max="16133" width="7.5" style="20" customWidth="1"/>
    <col min="16134" max="16134" width="11.625" style="20" customWidth="1"/>
    <col min="16135" max="16135" width="7.625" style="20" customWidth="1"/>
    <col min="16136" max="16136" width="12.375" style="20" customWidth="1"/>
    <col min="16137" max="16137" width="7.375" style="20" customWidth="1"/>
    <col min="16138" max="16138" width="11.625" style="20" customWidth="1"/>
    <col min="16139" max="16139" width="8.625" style="20" customWidth="1"/>
    <col min="16140" max="16140" width="13.625" style="20" customWidth="1"/>
    <col min="16141" max="16141" width="8.625" style="20" customWidth="1"/>
    <col min="16142" max="16142" width="13.625" style="20" customWidth="1"/>
    <col min="16143" max="16143" width="9.625" style="20" customWidth="1"/>
    <col min="16144" max="16144" width="13.625" style="20" customWidth="1"/>
    <col min="16145" max="16145" width="6.5" style="20" customWidth="1"/>
    <col min="16146" max="16146" width="12.25" style="20" customWidth="1"/>
    <col min="16147" max="16147" width="7.375" style="20" customWidth="1"/>
    <col min="16148" max="16148" width="11.625" style="20" customWidth="1"/>
    <col min="16149" max="16149" width="15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79" t="s">
        <v>49</v>
      </c>
      <c r="B1" s="79"/>
      <c r="C1" s="79"/>
      <c r="D1" s="79"/>
      <c r="E1" s="79"/>
      <c r="F1" s="80"/>
      <c r="G1" s="79"/>
      <c r="H1" s="79"/>
      <c r="I1" s="79"/>
      <c r="J1" s="79"/>
      <c r="K1" s="79"/>
      <c r="L1" s="79"/>
      <c r="M1" s="81"/>
      <c r="N1" s="81"/>
      <c r="O1" s="81"/>
      <c r="P1" s="81"/>
      <c r="Q1" s="81"/>
      <c r="R1" s="81"/>
      <c r="S1" s="81"/>
      <c r="T1" s="81"/>
      <c r="U1" s="81"/>
    </row>
    <row r="2" spans="1:21" s="21" customFormat="1" ht="18" customHeight="1" thickBot="1">
      <c r="A2" s="82" t="s">
        <v>16</v>
      </c>
      <c r="B2" s="83" t="s">
        <v>17</v>
      </c>
      <c r="C2" s="83" t="s">
        <v>18</v>
      </c>
      <c r="D2" s="82" t="s">
        <v>19</v>
      </c>
      <c r="E2" s="86" t="s">
        <v>39</v>
      </c>
      <c r="F2" s="88" t="s">
        <v>40</v>
      </c>
      <c r="G2" s="90" t="s">
        <v>41</v>
      </c>
      <c r="H2" s="88" t="s">
        <v>42</v>
      </c>
      <c r="I2" s="72"/>
      <c r="J2" s="88" t="s">
        <v>55</v>
      </c>
      <c r="K2" s="94" t="s">
        <v>56</v>
      </c>
      <c r="L2" s="82" t="s">
        <v>57</v>
      </c>
      <c r="M2" s="62" t="s">
        <v>43</v>
      </c>
      <c r="N2" s="63"/>
      <c r="O2" s="66" t="s">
        <v>31</v>
      </c>
      <c r="P2" s="67"/>
      <c r="Q2" s="62" t="s">
        <v>61</v>
      </c>
      <c r="R2" s="94" t="s">
        <v>62</v>
      </c>
      <c r="S2" s="70" t="s">
        <v>20</v>
      </c>
      <c r="T2" s="71"/>
      <c r="U2" s="72" t="s">
        <v>21</v>
      </c>
    </row>
    <row r="3" spans="1:21" s="22" customFormat="1" ht="42" customHeight="1" thickBot="1">
      <c r="A3" s="73"/>
      <c r="B3" s="84"/>
      <c r="C3" s="84"/>
      <c r="D3" s="73"/>
      <c r="E3" s="87"/>
      <c r="F3" s="89"/>
      <c r="G3" s="91"/>
      <c r="H3" s="92"/>
      <c r="I3" s="93"/>
      <c r="J3" s="92"/>
      <c r="K3" s="95"/>
      <c r="L3" s="74"/>
      <c r="M3" s="64"/>
      <c r="N3" s="65"/>
      <c r="O3" s="68"/>
      <c r="P3" s="69"/>
      <c r="Q3" s="64"/>
      <c r="R3" s="95"/>
      <c r="S3" s="75" t="s">
        <v>44</v>
      </c>
      <c r="T3" s="76"/>
      <c r="U3" s="73"/>
    </row>
    <row r="4" spans="1:21" s="21" customFormat="1" ht="31.5" customHeight="1" thickBot="1">
      <c r="A4" s="74"/>
      <c r="B4" s="85"/>
      <c r="C4" s="85"/>
      <c r="D4" s="74"/>
      <c r="E4" s="23" t="s">
        <v>22</v>
      </c>
      <c r="F4" s="23" t="s">
        <v>22</v>
      </c>
      <c r="G4" s="25" t="s">
        <v>25</v>
      </c>
      <c r="H4" s="25" t="s">
        <v>26</v>
      </c>
      <c r="I4" s="26" t="s">
        <v>24</v>
      </c>
      <c r="J4" s="96" t="s">
        <v>58</v>
      </c>
      <c r="K4" s="96" t="s">
        <v>58</v>
      </c>
      <c r="L4" s="96" t="s">
        <v>58</v>
      </c>
      <c r="M4" s="23" t="s">
        <v>27</v>
      </c>
      <c r="N4" s="24" t="s">
        <v>23</v>
      </c>
      <c r="O4" s="27" t="s">
        <v>28</v>
      </c>
      <c r="P4" s="28" t="s">
        <v>24</v>
      </c>
      <c r="Q4" s="23" t="s">
        <v>59</v>
      </c>
      <c r="R4" s="23" t="s">
        <v>60</v>
      </c>
      <c r="S4" s="23" t="s">
        <v>45</v>
      </c>
      <c r="T4" s="24" t="s">
        <v>23</v>
      </c>
      <c r="U4" s="74"/>
    </row>
    <row r="5" spans="1:21" s="40" customFormat="1" ht="22.5" customHeight="1" thickBot="1">
      <c r="A5" s="29">
        <v>1</v>
      </c>
      <c r="B5" s="30" t="s">
        <v>33</v>
      </c>
      <c r="C5" s="31">
        <v>70</v>
      </c>
      <c r="D5" s="32">
        <v>59.59</v>
      </c>
      <c r="E5" s="33">
        <f>SUM([2]厨房燃气!BH7)</f>
        <v>623</v>
      </c>
      <c r="F5" s="33">
        <f>SUM('[2]B1 &amp; 102F 锅炉房'!C7)</f>
        <v>1387</v>
      </c>
      <c r="G5" s="35">
        <f>SUM('[2]B1 &amp; 102F 锅炉房'!H7)</f>
        <v>760</v>
      </c>
      <c r="H5" s="33">
        <f>SUM(G5+F5+E5)</f>
        <v>2770</v>
      </c>
      <c r="I5" s="36">
        <f>IF(H5&gt;0,H5*3.11,0)</f>
        <v>8614.6999999999989</v>
      </c>
      <c r="J5" s="35">
        <f>SUM([2]主塔楼空调用电量!V4)</f>
        <v>11880</v>
      </c>
      <c r="K5" s="35">
        <v>10033</v>
      </c>
      <c r="L5" s="33">
        <f>SUM('[2]68F 高压F13&amp;F30'!F7)</f>
        <v>35699.99999999936</v>
      </c>
      <c r="M5" s="33">
        <f>K5+L5+O5*617.59</f>
        <v>62407.92999999936</v>
      </c>
      <c r="N5" s="37">
        <f>IF(M5&gt;0,M5*0.675169)</f>
        <v>42135.899690169572</v>
      </c>
      <c r="O5" s="38">
        <f>SUM([2]裙楼空调用量!L4)</f>
        <v>27</v>
      </c>
      <c r="P5" s="34">
        <f>IF(O5*417&gt;0,O5*417,0)</f>
        <v>11259</v>
      </c>
      <c r="Q5" s="33">
        <f>SUM('[2]B4 水表'!C7)</f>
        <v>750</v>
      </c>
      <c r="R5" s="97">
        <v>106.96</v>
      </c>
      <c r="S5" s="33">
        <f>Q5+R5</f>
        <v>856.96</v>
      </c>
      <c r="T5" s="37">
        <f>S5*3.46</f>
        <v>2965.0816</v>
      </c>
      <c r="U5" s="39">
        <f>SUM(I5+N5+P5+T5)</f>
        <v>64974.681290169567</v>
      </c>
    </row>
    <row r="6" spans="1:21" s="40" customFormat="1" ht="22.5" customHeight="1" thickBot="1">
      <c r="A6" s="41">
        <v>2</v>
      </c>
      <c r="B6" s="30" t="s">
        <v>33</v>
      </c>
      <c r="C6" s="31">
        <v>640</v>
      </c>
      <c r="D6" s="32">
        <v>65.12</v>
      </c>
      <c r="E6" s="33">
        <f>SUM([2]厨房燃气!BH8)</f>
        <v>600</v>
      </c>
      <c r="F6" s="33">
        <f>SUM('[2]B1 &amp; 102F 锅炉房'!C8)</f>
        <v>1375</v>
      </c>
      <c r="G6" s="35">
        <f>SUM('[2]B1 &amp; 102F 锅炉房'!H8)</f>
        <v>728</v>
      </c>
      <c r="H6" s="33">
        <f>SUM(G6+F6+E6)</f>
        <v>2703</v>
      </c>
      <c r="I6" s="36">
        <f t="shared" ref="I6:I35" si="0">IF(H6&gt;0,H6*3.11,0)</f>
        <v>8406.33</v>
      </c>
      <c r="J6" s="35">
        <f>SUM([2]主塔楼空调用电量!V5)</f>
        <v>11636</v>
      </c>
      <c r="K6" s="35">
        <v>10033</v>
      </c>
      <c r="L6" s="33">
        <f>SUM('[2]68F 高压F13&amp;F30'!F8)</f>
        <v>34900.000000000087</v>
      </c>
      <c r="M6" s="33">
        <f t="shared" ref="M6:M35" si="1">K6+L6+O6*617.59</f>
        <v>59137.570000000087</v>
      </c>
      <c r="N6" s="37">
        <f>IF(M6&gt;0,M6*0.675169)</f>
        <v>39927.853999330058</v>
      </c>
      <c r="O6" s="38">
        <f>SUM([2]裙楼空调用量!L5)</f>
        <v>23</v>
      </c>
      <c r="P6" s="42">
        <f t="shared" ref="P6:P18" si="2">IF(O6*417&gt;0,O6*417,0)</f>
        <v>9591</v>
      </c>
      <c r="Q6" s="33">
        <f>SUM('[2]B4 水表'!C8)</f>
        <v>439</v>
      </c>
      <c r="R6" s="97">
        <v>106.96</v>
      </c>
      <c r="S6" s="33">
        <f t="shared" ref="S6:S35" si="3">Q6+R6</f>
        <v>545.96</v>
      </c>
      <c r="T6" s="37">
        <f t="shared" ref="T6:T35" si="4">S6*3.46</f>
        <v>1889.0216</v>
      </c>
      <c r="U6" s="39">
        <f>SUM(I6+N6+P6+T6)</f>
        <v>59814.20559933006</v>
      </c>
    </row>
    <row r="7" spans="1:21" s="40" customFormat="1" ht="22.5" customHeight="1" thickBot="1">
      <c r="A7" s="41">
        <v>3</v>
      </c>
      <c r="B7" s="30" t="s">
        <v>33</v>
      </c>
      <c r="C7" s="31">
        <v>620</v>
      </c>
      <c r="D7" s="32">
        <v>57.56</v>
      </c>
      <c r="E7" s="33">
        <f>SUM([2]厨房燃气!BH9)</f>
        <v>626</v>
      </c>
      <c r="F7" s="33">
        <f>SUM('[2]B1 &amp; 102F 锅炉房'!C9)</f>
        <v>1463</v>
      </c>
      <c r="G7" s="35">
        <f>SUM('[2]B1 &amp; 102F 锅炉房'!H9)</f>
        <v>711</v>
      </c>
      <c r="H7" s="33">
        <f>SUM(G7+F7+E7)</f>
        <v>2800</v>
      </c>
      <c r="I7" s="36">
        <f t="shared" si="0"/>
        <v>8708</v>
      </c>
      <c r="J7" s="35">
        <f>SUM([2]主塔楼空调用电量!V6)</f>
        <v>12804</v>
      </c>
      <c r="K7" s="35">
        <v>10033</v>
      </c>
      <c r="L7" s="33">
        <f>SUM('[2]68F 高压F13&amp;F30'!F9)</f>
        <v>36399.999999998727</v>
      </c>
      <c r="M7" s="33">
        <f t="shared" si="1"/>
        <v>62490.33999999873</v>
      </c>
      <c r="N7" s="37">
        <f t="shared" ref="N7:N12" si="5">IF(M7&gt;0,M7*0.675169)</f>
        <v>42191.540367459143</v>
      </c>
      <c r="O7" s="38">
        <f>SUM([2]裙楼空调用量!L6)</f>
        <v>26</v>
      </c>
      <c r="P7" s="42">
        <f t="shared" si="2"/>
        <v>10842</v>
      </c>
      <c r="Q7" s="33">
        <f>SUM('[2]B4 水表'!C9)</f>
        <v>699</v>
      </c>
      <c r="R7" s="97">
        <v>106.96</v>
      </c>
      <c r="S7" s="33">
        <f t="shared" si="3"/>
        <v>805.96</v>
      </c>
      <c r="T7" s="37">
        <f t="shared" si="4"/>
        <v>2788.6215999999999</v>
      </c>
      <c r="U7" s="39">
        <f>SUM(I7+N7+P7+T7)</f>
        <v>64530.161967459142</v>
      </c>
    </row>
    <row r="8" spans="1:21" s="40" customFormat="1" ht="22.5" customHeight="1" thickBot="1">
      <c r="A8" s="41">
        <v>4</v>
      </c>
      <c r="B8" s="30" t="s">
        <v>33</v>
      </c>
      <c r="C8" s="31">
        <v>220</v>
      </c>
      <c r="D8" s="32">
        <v>53.49</v>
      </c>
      <c r="E8" s="33">
        <f>SUM([2]厨房燃气!BH10)</f>
        <v>654</v>
      </c>
      <c r="F8" s="33">
        <f>SUM('[2]B1 &amp; 102F 锅炉房'!C10)</f>
        <v>1364</v>
      </c>
      <c r="G8" s="35">
        <f>SUM('[2]B1 &amp; 102F 锅炉房'!H10)</f>
        <v>679</v>
      </c>
      <c r="H8" s="33">
        <f>SUM(G8+F8+E8)</f>
        <v>2697</v>
      </c>
      <c r="I8" s="36">
        <f t="shared" si="0"/>
        <v>8387.67</v>
      </c>
      <c r="J8" s="35">
        <f>SUM([2]主塔楼空调用电量!V7)</f>
        <v>12699</v>
      </c>
      <c r="K8" s="35">
        <v>10033</v>
      </c>
      <c r="L8" s="33">
        <f>SUM('[2]68F 高压F13&amp;F30'!F10)</f>
        <v>36299.999999998821</v>
      </c>
      <c r="M8" s="33">
        <f t="shared" si="1"/>
        <v>63007.929999998822</v>
      </c>
      <c r="N8" s="37">
        <f t="shared" si="5"/>
        <v>42541.001090169208</v>
      </c>
      <c r="O8" s="38">
        <f>SUM([2]裙楼空调用量!L7)</f>
        <v>27</v>
      </c>
      <c r="P8" s="42">
        <f t="shared" si="2"/>
        <v>11259</v>
      </c>
      <c r="Q8" s="33">
        <f>SUM('[2]B4 水表'!C10)</f>
        <v>556</v>
      </c>
      <c r="R8" s="97">
        <v>106.96</v>
      </c>
      <c r="S8" s="33">
        <f t="shared" si="3"/>
        <v>662.96</v>
      </c>
      <c r="T8" s="37">
        <f t="shared" si="4"/>
        <v>2293.8416000000002</v>
      </c>
      <c r="U8" s="39">
        <f>SUM(I8+N8+P8+T8)</f>
        <v>64481.512690169206</v>
      </c>
    </row>
    <row r="9" spans="1:21" s="40" customFormat="1" ht="22.5" customHeight="1" thickBot="1">
      <c r="A9" s="41">
        <v>5</v>
      </c>
      <c r="B9" s="30" t="s">
        <v>33</v>
      </c>
      <c r="C9" s="31">
        <v>227</v>
      </c>
      <c r="D9" s="32">
        <v>72.97</v>
      </c>
      <c r="E9" s="33">
        <f>SUM([2]厨房燃气!BH11)</f>
        <v>648</v>
      </c>
      <c r="F9" s="33">
        <f>SUM('[2]B1 &amp; 102F 锅炉房'!C11)</f>
        <v>1243</v>
      </c>
      <c r="G9" s="35">
        <f>SUM('[2]B1 &amp; 102F 锅炉房'!H11)</f>
        <v>690</v>
      </c>
      <c r="H9" s="33">
        <f>SUM(G9+F9+E9)</f>
        <v>2581</v>
      </c>
      <c r="I9" s="36">
        <f t="shared" si="0"/>
        <v>8026.91</v>
      </c>
      <c r="J9" s="35">
        <f>SUM([2]主塔楼空调用电量!V8)</f>
        <v>12491</v>
      </c>
      <c r="K9" s="35">
        <v>10033</v>
      </c>
      <c r="L9" s="33">
        <f>SUM('[2]68F 高压F13&amp;F30'!F11)</f>
        <v>35900.000000001455</v>
      </c>
      <c r="M9" s="33">
        <f t="shared" si="1"/>
        <v>64460.700000001452</v>
      </c>
      <c r="N9" s="37">
        <f t="shared" si="5"/>
        <v>43521.866358300984</v>
      </c>
      <c r="O9" s="38">
        <f>SUM([2]裙楼空调用量!L8)</f>
        <v>30</v>
      </c>
      <c r="P9" s="42">
        <f t="shared" si="2"/>
        <v>12510</v>
      </c>
      <c r="Q9" s="33">
        <f>SUM('[2]B4 水表'!C11)</f>
        <v>585</v>
      </c>
      <c r="R9" s="97">
        <v>106.96</v>
      </c>
      <c r="S9" s="33">
        <f t="shared" si="3"/>
        <v>691.96</v>
      </c>
      <c r="T9" s="37">
        <f t="shared" si="4"/>
        <v>2394.1815999999999</v>
      </c>
      <c r="U9" s="39">
        <f>SUM(I9+N9+P9+T9)</f>
        <v>66452.957958300976</v>
      </c>
    </row>
    <row r="10" spans="1:21" s="40" customFormat="1" ht="22.5" customHeight="1" thickBot="1">
      <c r="A10" s="41">
        <v>6</v>
      </c>
      <c r="B10" s="30" t="s">
        <v>33</v>
      </c>
      <c r="C10" s="31">
        <v>469</v>
      </c>
      <c r="D10" s="32">
        <v>59.3</v>
      </c>
      <c r="E10" s="33">
        <f>SUM([2]厨房燃气!BH12)</f>
        <v>735</v>
      </c>
      <c r="F10" s="33">
        <f>SUM('[2]B1 &amp; 102F 锅炉房'!C12)</f>
        <v>1365</v>
      </c>
      <c r="G10" s="35">
        <f>SUM('[2]B1 &amp; 102F 锅炉房'!H12)</f>
        <v>716</v>
      </c>
      <c r="H10" s="33">
        <f>SUM(G10+F10+E10)</f>
        <v>2816</v>
      </c>
      <c r="I10" s="36">
        <f t="shared" si="0"/>
        <v>8757.76</v>
      </c>
      <c r="J10" s="35">
        <f>SUM([2]主塔楼空调用电量!V9)</f>
        <v>12763</v>
      </c>
      <c r="K10" s="35">
        <v>10033</v>
      </c>
      <c r="L10" s="33">
        <f>SUM('[2]68F 高压F13&amp;F30'!F12)</f>
        <v>36700.000000000728</v>
      </c>
      <c r="M10" s="33">
        <f t="shared" si="1"/>
        <v>65878.290000000736</v>
      </c>
      <c r="N10" s="37">
        <f t="shared" si="5"/>
        <v>44478.979181010502</v>
      </c>
      <c r="O10" s="38">
        <f>SUM([2]裙楼空调用量!L9)</f>
        <v>31</v>
      </c>
      <c r="P10" s="42">
        <f t="shared" si="2"/>
        <v>12927</v>
      </c>
      <c r="Q10" s="33">
        <f>SUM('[2]B4 水表'!C12)</f>
        <v>659</v>
      </c>
      <c r="R10" s="97">
        <v>106.96</v>
      </c>
      <c r="S10" s="33">
        <f t="shared" si="3"/>
        <v>765.96</v>
      </c>
      <c r="T10" s="37">
        <f t="shared" si="4"/>
        <v>2650.2216000000003</v>
      </c>
      <c r="U10" s="39">
        <f>SUM(I10+N10+P10+T10)</f>
        <v>68813.960781010508</v>
      </c>
    </row>
    <row r="11" spans="1:21" s="40" customFormat="1" ht="22.5" customHeight="1" thickBot="1">
      <c r="A11" s="41">
        <v>7</v>
      </c>
      <c r="B11" s="30" t="s">
        <v>33</v>
      </c>
      <c r="C11" s="31">
        <v>339</v>
      </c>
      <c r="D11" s="32">
        <v>62.5</v>
      </c>
      <c r="E11" s="33">
        <f>SUM([2]厨房燃气!BH13)</f>
        <v>748</v>
      </c>
      <c r="F11" s="33">
        <f>SUM('[2]B1 &amp; 102F 锅炉房'!C13)</f>
        <v>1314</v>
      </c>
      <c r="G11" s="35">
        <f>SUM('[2]B1 &amp; 102F 锅炉房'!H13)</f>
        <v>708</v>
      </c>
      <c r="H11" s="33">
        <f>SUM(G11+F11+E11)</f>
        <v>2770</v>
      </c>
      <c r="I11" s="36">
        <f t="shared" si="0"/>
        <v>8614.6999999999989</v>
      </c>
      <c r="J11" s="35">
        <f>SUM([2]主塔楼空调用电量!V10)</f>
        <v>12240</v>
      </c>
      <c r="K11" s="35">
        <v>10033</v>
      </c>
      <c r="L11" s="33">
        <f>SUM('[2]68F 高压F13&amp;F30'!F13)</f>
        <v>36699.999999998457</v>
      </c>
      <c r="M11" s="33">
        <f t="shared" si="1"/>
        <v>62790.339999998454</v>
      </c>
      <c r="N11" s="37">
        <f t="shared" si="5"/>
        <v>42394.091067458954</v>
      </c>
      <c r="O11" s="38">
        <f>SUM([2]裙楼空调用量!L10)</f>
        <v>26</v>
      </c>
      <c r="P11" s="42">
        <f t="shared" si="2"/>
        <v>10842</v>
      </c>
      <c r="Q11" s="33">
        <f>SUM('[2]B4 水表'!C13)</f>
        <v>763</v>
      </c>
      <c r="R11" s="97">
        <v>106.96</v>
      </c>
      <c r="S11" s="33">
        <f t="shared" si="3"/>
        <v>869.96</v>
      </c>
      <c r="T11" s="37">
        <f t="shared" si="4"/>
        <v>3010.0616</v>
      </c>
      <c r="U11" s="39">
        <f>SUM(I11+N11+P11+T11)</f>
        <v>64860.852667458952</v>
      </c>
    </row>
    <row r="12" spans="1:21" s="40" customFormat="1" ht="22.5" customHeight="1" thickBot="1">
      <c r="A12" s="41">
        <v>8</v>
      </c>
      <c r="B12" s="30" t="s">
        <v>50</v>
      </c>
      <c r="C12" s="31">
        <v>10</v>
      </c>
      <c r="D12" s="32">
        <v>45.06</v>
      </c>
      <c r="E12" s="33">
        <f>SUM([2]厨房燃气!BH14)</f>
        <v>551</v>
      </c>
      <c r="F12" s="33">
        <f>SUM('[2]B1 &amp; 102F 锅炉房'!C14)</f>
        <v>1282</v>
      </c>
      <c r="G12" s="35">
        <f>SUM('[2]B1 &amp; 102F 锅炉房'!H14)</f>
        <v>746</v>
      </c>
      <c r="H12" s="33">
        <f>SUM(G12+F12+E12)</f>
        <v>2579</v>
      </c>
      <c r="I12" s="36">
        <f t="shared" si="0"/>
        <v>8020.69</v>
      </c>
      <c r="J12" s="35">
        <f>SUM([2]主塔楼空调用电量!V11)</f>
        <v>13113</v>
      </c>
      <c r="K12" s="35">
        <v>10033</v>
      </c>
      <c r="L12" s="33">
        <f>SUM('[2]68F 高压F13&amp;F30'!F14)</f>
        <v>37099.999999998094</v>
      </c>
      <c r="M12" s="33">
        <f t="shared" si="1"/>
        <v>65043.109999998094</v>
      </c>
      <c r="N12" s="37">
        <f t="shared" si="5"/>
        <v>43915.091535588712</v>
      </c>
      <c r="O12" s="38">
        <f>SUM([2]裙楼空调用量!L11)</f>
        <v>29</v>
      </c>
      <c r="P12" s="42">
        <f t="shared" si="2"/>
        <v>12093</v>
      </c>
      <c r="Q12" s="33">
        <f>SUM('[2]B4 水表'!C14)</f>
        <v>625</v>
      </c>
      <c r="R12" s="97">
        <v>106.96</v>
      </c>
      <c r="S12" s="33">
        <f t="shared" si="3"/>
        <v>731.96</v>
      </c>
      <c r="T12" s="37">
        <f t="shared" si="4"/>
        <v>2532.5816</v>
      </c>
      <c r="U12" s="39">
        <f>SUM(I12+N12+P12+T12)</f>
        <v>66561.363135588719</v>
      </c>
    </row>
    <row r="13" spans="1:21" s="40" customFormat="1" ht="22.5" customHeight="1" thickBot="1">
      <c r="A13" s="41">
        <v>9</v>
      </c>
      <c r="B13" s="30" t="s">
        <v>38</v>
      </c>
      <c r="C13" s="31">
        <v>382</v>
      </c>
      <c r="D13" s="32">
        <v>39.53</v>
      </c>
      <c r="E13" s="33">
        <f>SUM([2]厨房燃气!BH15)</f>
        <v>552</v>
      </c>
      <c r="F13" s="33">
        <f>SUM('[2]B1 &amp; 102F 锅炉房'!C15)</f>
        <v>1279</v>
      </c>
      <c r="G13" s="35">
        <f>SUM('[2]B1 &amp; 102F 锅炉房'!H15)</f>
        <v>660</v>
      </c>
      <c r="H13" s="33">
        <f>SUM(G13+F13+E13)</f>
        <v>2491</v>
      </c>
      <c r="I13" s="36">
        <f t="shared" si="0"/>
        <v>7747.0099999999993</v>
      </c>
      <c r="J13" s="35">
        <f>SUM([2]主塔楼空调用电量!V12)</f>
        <v>12230</v>
      </c>
      <c r="K13" s="35">
        <v>10033</v>
      </c>
      <c r="L13" s="33">
        <f>SUM('[2]68F 高压F13&amp;F30'!F15)</f>
        <v>37100.000000004911</v>
      </c>
      <c r="M13" s="33">
        <f t="shared" si="1"/>
        <v>63190.340000004915</v>
      </c>
      <c r="N13" s="37">
        <f t="shared" ref="N13:N34" si="6">M13*0.675169</f>
        <v>42664.158667463322</v>
      </c>
      <c r="O13" s="38">
        <f>SUM([2]裙楼空调用量!L12)</f>
        <v>26</v>
      </c>
      <c r="P13" s="42">
        <f t="shared" si="2"/>
        <v>10842</v>
      </c>
      <c r="Q13" s="33">
        <f>SUM('[2]B4 水表'!C15)</f>
        <v>439</v>
      </c>
      <c r="R13" s="97">
        <v>106.96</v>
      </c>
      <c r="S13" s="33">
        <f t="shared" si="3"/>
        <v>545.96</v>
      </c>
      <c r="T13" s="37">
        <f t="shared" si="4"/>
        <v>1889.0216</v>
      </c>
      <c r="U13" s="39">
        <f>SUM(I13+N13+P13+T13)</f>
        <v>63142.190267463324</v>
      </c>
    </row>
    <row r="14" spans="1:21" s="40" customFormat="1" ht="22.5" customHeight="1" thickBot="1">
      <c r="A14" s="41">
        <v>10</v>
      </c>
      <c r="B14" s="30" t="s">
        <v>51</v>
      </c>
      <c r="C14" s="31">
        <v>110</v>
      </c>
      <c r="D14" s="32">
        <v>88.08</v>
      </c>
      <c r="E14" s="33">
        <f>SUM([2]厨房燃气!BH16)</f>
        <v>639</v>
      </c>
      <c r="F14" s="33">
        <f>SUM('[2]B1 &amp; 102F 锅炉房'!C16)</f>
        <v>1287</v>
      </c>
      <c r="G14" s="35">
        <f>SUM('[2]B1 &amp; 102F 锅炉房'!H16)</f>
        <v>653</v>
      </c>
      <c r="H14" s="33">
        <f>SUM(G14+F14+E14)</f>
        <v>2579</v>
      </c>
      <c r="I14" s="36">
        <f t="shared" si="0"/>
        <v>8020.69</v>
      </c>
      <c r="J14" s="35">
        <f>SUM([2]主塔楼空调用电量!V13)</f>
        <v>12859</v>
      </c>
      <c r="K14" s="35">
        <v>10033</v>
      </c>
      <c r="L14" s="33">
        <f>SUM('[2]68F 高压F13&amp;F30'!F16)</f>
        <v>34499.999999998181</v>
      </c>
      <c r="M14" s="33">
        <f t="shared" si="1"/>
        <v>59972.749999998181</v>
      </c>
      <c r="N14" s="37">
        <f t="shared" si="6"/>
        <v>40491.74164474877</v>
      </c>
      <c r="O14" s="38">
        <f>SUM([2]裙楼空调用量!L13)</f>
        <v>25</v>
      </c>
      <c r="P14" s="42">
        <f t="shared" si="2"/>
        <v>10425</v>
      </c>
      <c r="Q14" s="33">
        <f>SUM('[2]B4 水表'!C16)</f>
        <v>511</v>
      </c>
      <c r="R14" s="97">
        <v>106.96</v>
      </c>
      <c r="S14" s="33">
        <f t="shared" si="3"/>
        <v>617.96</v>
      </c>
      <c r="T14" s="37">
        <f t="shared" si="4"/>
        <v>2138.1415999999999</v>
      </c>
      <c r="U14" s="39">
        <f>SUM(I14+N14+P14+T14)</f>
        <v>61075.573244748775</v>
      </c>
    </row>
    <row r="15" spans="1:21" s="40" customFormat="1" ht="22.5" customHeight="1" thickBot="1">
      <c r="A15" s="41">
        <v>11</v>
      </c>
      <c r="B15" s="30" t="s">
        <v>36</v>
      </c>
      <c r="C15" s="31">
        <v>280</v>
      </c>
      <c r="D15" s="32">
        <v>43.31</v>
      </c>
      <c r="E15" s="33">
        <f>SUM([2]厨房燃气!BH17)</f>
        <v>614</v>
      </c>
      <c r="F15" s="33">
        <f>SUM('[2]B1 &amp; 102F 锅炉房'!C17)</f>
        <v>1298</v>
      </c>
      <c r="G15" s="35">
        <f>SUM('[2]B1 &amp; 102F 锅炉房'!H17)</f>
        <v>769</v>
      </c>
      <c r="H15" s="33">
        <f>SUM(G15+F15+E15)</f>
        <v>2681</v>
      </c>
      <c r="I15" s="36">
        <f t="shared" si="0"/>
        <v>8337.91</v>
      </c>
      <c r="J15" s="35">
        <f>SUM([2]主塔楼空调用电量!V14)</f>
        <v>13316</v>
      </c>
      <c r="K15" s="35">
        <v>10033</v>
      </c>
      <c r="L15" s="33">
        <f>SUM('[2]68F 高压F13&amp;F30'!F17)</f>
        <v>37200.000000000276</v>
      </c>
      <c r="M15" s="33">
        <f t="shared" si="1"/>
        <v>63290.340000000273</v>
      </c>
      <c r="N15" s="37">
        <f t="shared" si="6"/>
        <v>42731.675567460188</v>
      </c>
      <c r="O15" s="38">
        <f>SUM([2]裙楼空调用量!L14)</f>
        <v>26</v>
      </c>
      <c r="P15" s="42">
        <f t="shared" si="2"/>
        <v>10842</v>
      </c>
      <c r="Q15" s="33">
        <f>SUM('[2]B4 水表'!C17)</f>
        <v>628</v>
      </c>
      <c r="R15" s="97">
        <v>106.96</v>
      </c>
      <c r="S15" s="33">
        <f t="shared" si="3"/>
        <v>734.96</v>
      </c>
      <c r="T15" s="37">
        <f t="shared" si="4"/>
        <v>2542.9616000000001</v>
      </c>
      <c r="U15" s="39">
        <f>SUM(I15+N15+P15+T15)</f>
        <v>64454.547167460194</v>
      </c>
    </row>
    <row r="16" spans="1:21" s="40" customFormat="1" ht="22.5" customHeight="1" thickBot="1">
      <c r="A16" s="41">
        <v>12</v>
      </c>
      <c r="B16" s="30" t="s">
        <v>52</v>
      </c>
      <c r="C16" s="31">
        <v>284</v>
      </c>
      <c r="D16" s="32">
        <v>52.62</v>
      </c>
      <c r="E16" s="33">
        <f>SUM([2]厨房燃气!BH18)</f>
        <v>593</v>
      </c>
      <c r="F16" s="33">
        <f>SUM('[2]B1 &amp; 102F 锅炉房'!C18)</f>
        <v>1293</v>
      </c>
      <c r="G16" s="35">
        <f>SUM('[2]B1 &amp; 102F 锅炉房'!H18)</f>
        <v>659</v>
      </c>
      <c r="H16" s="33">
        <f>SUM(G16+F16+E16)</f>
        <v>2545</v>
      </c>
      <c r="I16" s="36">
        <f t="shared" si="0"/>
        <v>7914.95</v>
      </c>
      <c r="J16" s="35">
        <f>SUM([2]主塔楼空调用电量!V15)</f>
        <v>12839</v>
      </c>
      <c r="K16" s="35">
        <v>10033</v>
      </c>
      <c r="L16" s="33">
        <f>SUM('[2]68F 高压F13&amp;F30'!F18)</f>
        <v>36800.00000000064</v>
      </c>
      <c r="M16" s="33">
        <f t="shared" si="1"/>
        <v>64125.520000000644</v>
      </c>
      <c r="N16" s="37">
        <f t="shared" si="6"/>
        <v>43295.563212880435</v>
      </c>
      <c r="O16" s="38">
        <f>SUM([2]裙楼空调用量!L15)</f>
        <v>28</v>
      </c>
      <c r="P16" s="42">
        <f t="shared" si="2"/>
        <v>11676</v>
      </c>
      <c r="Q16" s="33">
        <f>SUM('[2]B4 水表'!C18)</f>
        <v>584</v>
      </c>
      <c r="R16" s="97">
        <v>106.96</v>
      </c>
      <c r="S16" s="33">
        <f t="shared" si="3"/>
        <v>690.96</v>
      </c>
      <c r="T16" s="37">
        <f t="shared" si="4"/>
        <v>2390.7216000000003</v>
      </c>
      <c r="U16" s="39">
        <f>SUM(I16+N16+P16+T16)</f>
        <v>65277.23481288043</v>
      </c>
    </row>
    <row r="17" spans="1:21" s="40" customFormat="1" ht="22.5" customHeight="1" thickBot="1">
      <c r="A17" s="41">
        <v>13</v>
      </c>
      <c r="B17" s="30" t="s">
        <v>37</v>
      </c>
      <c r="C17" s="31">
        <v>260</v>
      </c>
      <c r="D17" s="32">
        <v>48.26</v>
      </c>
      <c r="E17" s="33">
        <f>SUM([2]厨房燃气!BH19)</f>
        <v>639</v>
      </c>
      <c r="F17" s="33">
        <f>SUM('[2]B1 &amp; 102F 锅炉房'!C19)</f>
        <v>1220</v>
      </c>
      <c r="G17" s="35">
        <f>SUM('[2]B1 &amp; 102F 锅炉房'!H19)</f>
        <v>690</v>
      </c>
      <c r="H17" s="33">
        <f>SUM(G17+F17+E17)</f>
        <v>2549</v>
      </c>
      <c r="I17" s="36">
        <f t="shared" si="0"/>
        <v>7927.3899999999994</v>
      </c>
      <c r="J17" s="35">
        <f>SUM([2]主塔楼空调用电量!V16)</f>
        <v>13460</v>
      </c>
      <c r="K17" s="35">
        <v>10033</v>
      </c>
      <c r="L17" s="33">
        <f>SUM('[2]68F 高压F13&amp;F30'!F19)</f>
        <v>36999.999999998181</v>
      </c>
      <c r="M17" s="33">
        <f t="shared" si="1"/>
        <v>62472.749999998181</v>
      </c>
      <c r="N17" s="37">
        <f t="shared" si="6"/>
        <v>42179.664144748771</v>
      </c>
      <c r="O17" s="38">
        <f>SUM([2]裙楼空调用量!L16)</f>
        <v>25</v>
      </c>
      <c r="P17" s="42">
        <f t="shared" si="2"/>
        <v>10425</v>
      </c>
      <c r="Q17" s="33">
        <f>SUM('[2]B4 水表'!C19)</f>
        <v>588</v>
      </c>
      <c r="R17" s="97">
        <v>106.96</v>
      </c>
      <c r="S17" s="33">
        <f t="shared" si="3"/>
        <v>694.96</v>
      </c>
      <c r="T17" s="37">
        <f t="shared" si="4"/>
        <v>2404.5616</v>
      </c>
      <c r="U17" s="39">
        <f>SUM(I17+N17+P17+T17)</f>
        <v>62936.615744748771</v>
      </c>
    </row>
    <row r="18" spans="1:21" s="40" customFormat="1" ht="22.5" customHeight="1" thickBot="1">
      <c r="A18" s="41">
        <v>14</v>
      </c>
      <c r="B18" s="30" t="s">
        <v>48</v>
      </c>
      <c r="C18" s="31">
        <v>120</v>
      </c>
      <c r="D18" s="32">
        <v>88.08</v>
      </c>
      <c r="E18" s="33">
        <f>SUM([2]厨房燃气!BH20)</f>
        <v>777</v>
      </c>
      <c r="F18" s="33">
        <f>SUM('[2]B1 &amp; 102F 锅炉房'!C20)</f>
        <v>1234</v>
      </c>
      <c r="G18" s="35">
        <f>SUM('[2]B1 &amp; 102F 锅炉房'!H20)</f>
        <v>742</v>
      </c>
      <c r="H18" s="33">
        <f>SUM(G18+F18+E18)</f>
        <v>2753</v>
      </c>
      <c r="I18" s="36">
        <f t="shared" si="0"/>
        <v>8561.83</v>
      </c>
      <c r="J18" s="35">
        <f>SUM([2]主塔楼空调用电量!V17)</f>
        <v>13478</v>
      </c>
      <c r="K18" s="35">
        <v>10033</v>
      </c>
      <c r="L18" s="33">
        <f>SUM('[2]68F 高压F13&amp;F30'!F20)</f>
        <v>38099.999999999454</v>
      </c>
      <c r="M18" s="33">
        <f t="shared" si="1"/>
        <v>62955.159999999451</v>
      </c>
      <c r="N18" s="37">
        <f t="shared" si="6"/>
        <v>42505.372422039633</v>
      </c>
      <c r="O18" s="38">
        <f>SUM([2]裙楼空调用量!L17)</f>
        <v>24</v>
      </c>
      <c r="P18" s="42">
        <f t="shared" si="2"/>
        <v>10008</v>
      </c>
      <c r="Q18" s="33">
        <f>SUM('[2]B4 水表'!C20)</f>
        <v>668</v>
      </c>
      <c r="R18" s="97">
        <v>106.96</v>
      </c>
      <c r="S18" s="33">
        <f t="shared" si="3"/>
        <v>774.96</v>
      </c>
      <c r="T18" s="37">
        <f t="shared" si="4"/>
        <v>2681.3616000000002</v>
      </c>
      <c r="U18" s="39">
        <f>SUM(I18+N18+P18+T18)</f>
        <v>63756.564022039631</v>
      </c>
    </row>
    <row r="19" spans="1:21" s="40" customFormat="1" ht="22.5" customHeight="1" thickBot="1">
      <c r="A19" s="41">
        <v>15</v>
      </c>
      <c r="B19" s="30" t="s">
        <v>53</v>
      </c>
      <c r="C19" s="31">
        <v>10</v>
      </c>
      <c r="D19" s="32">
        <v>40.409999999999997</v>
      </c>
      <c r="E19" s="33">
        <f>SUM([2]厨房燃气!BH21)</f>
        <v>597</v>
      </c>
      <c r="F19" s="33">
        <f>SUM('[2]B1 &amp; 102F 锅炉房'!C21)</f>
        <v>1264</v>
      </c>
      <c r="G19" s="35">
        <f>SUM('[2]B1 &amp; 102F 锅炉房'!H21)</f>
        <v>738</v>
      </c>
      <c r="H19" s="33">
        <f>SUM(G19+F19+E19)</f>
        <v>2599</v>
      </c>
      <c r="I19" s="36">
        <f t="shared" si="0"/>
        <v>8082.8899999999994</v>
      </c>
      <c r="J19" s="35">
        <f>SUM([2]主塔楼空调用电量!V18)</f>
        <v>12361</v>
      </c>
      <c r="K19" s="35">
        <v>10033</v>
      </c>
      <c r="L19" s="33">
        <f>SUM('[2]68F 高压F13&amp;F30'!F21)</f>
        <v>36200.000000001179</v>
      </c>
      <c r="M19" s="33">
        <f t="shared" si="1"/>
        <v>61055.160000001182</v>
      </c>
      <c r="N19" s="37">
        <f t="shared" si="6"/>
        <v>41222.551322040803</v>
      </c>
      <c r="O19" s="38">
        <f>SUM([2]裙楼空调用量!L18)</f>
        <v>24</v>
      </c>
      <c r="P19" s="42">
        <f>SUM(O19*417)</f>
        <v>10008</v>
      </c>
      <c r="Q19" s="33">
        <f>SUM('[2]B4 水表'!C21)</f>
        <v>617</v>
      </c>
      <c r="R19" s="97">
        <v>106.96</v>
      </c>
      <c r="S19" s="33">
        <f t="shared" si="3"/>
        <v>723.96</v>
      </c>
      <c r="T19" s="37">
        <f t="shared" si="4"/>
        <v>2504.9016000000001</v>
      </c>
      <c r="U19" s="39">
        <f>SUM(I19+N19+P19+T19)</f>
        <v>61818.3429220408</v>
      </c>
    </row>
    <row r="20" spans="1:21" s="40" customFormat="1" ht="22.5" customHeight="1" thickBot="1">
      <c r="A20" s="41">
        <v>16</v>
      </c>
      <c r="B20" s="30" t="s">
        <v>35</v>
      </c>
      <c r="C20" s="31">
        <v>90</v>
      </c>
      <c r="D20" s="32">
        <v>37.21</v>
      </c>
      <c r="E20" s="33">
        <f>SUM([2]厨房燃气!BH22)</f>
        <v>547</v>
      </c>
      <c r="F20" s="33">
        <f>SUM('[2]B1 &amp; 102F 锅炉房'!C22)</f>
        <v>1264</v>
      </c>
      <c r="G20" s="35">
        <f>SUM('[2]B1 &amp; 102F 锅炉房'!H22)</f>
        <v>635</v>
      </c>
      <c r="H20" s="33">
        <f>SUM(G20+F20+E20)</f>
        <v>2446</v>
      </c>
      <c r="I20" s="36">
        <f t="shared" si="0"/>
        <v>7607.0599999999995</v>
      </c>
      <c r="J20" s="35">
        <f>SUM([2]主塔楼空调用电量!V19)</f>
        <v>12661</v>
      </c>
      <c r="K20" s="35">
        <v>10033</v>
      </c>
      <c r="L20" s="33">
        <f>SUM('[2]68F 高压F13&amp;F30'!F22)</f>
        <v>35399.999999999636</v>
      </c>
      <c r="M20" s="33">
        <f t="shared" si="1"/>
        <v>60872.749999999636</v>
      </c>
      <c r="N20" s="37">
        <f t="shared" si="6"/>
        <v>41099.393744749752</v>
      </c>
      <c r="O20" s="38">
        <f>SUM([2]裙楼空调用量!L19)</f>
        <v>25</v>
      </c>
      <c r="P20" s="42">
        <f t="shared" ref="P20:P34" si="7">SUM(O20*417)</f>
        <v>10425</v>
      </c>
      <c r="Q20" s="33">
        <f>SUM('[2]B4 水表'!C22)</f>
        <v>554</v>
      </c>
      <c r="R20" s="97">
        <v>106.96</v>
      </c>
      <c r="S20" s="33">
        <f t="shared" si="3"/>
        <v>660.96</v>
      </c>
      <c r="T20" s="37">
        <f t="shared" si="4"/>
        <v>2286.9216000000001</v>
      </c>
      <c r="U20" s="39">
        <f>SUM(I20+N20+P20+T20)</f>
        <v>61418.375344749751</v>
      </c>
    </row>
    <row r="21" spans="1:21" s="40" customFormat="1" ht="22.5" customHeight="1" thickBot="1">
      <c r="A21" s="41">
        <v>17</v>
      </c>
      <c r="B21" s="30" t="s">
        <v>35</v>
      </c>
      <c r="C21" s="31">
        <v>520</v>
      </c>
      <c r="D21" s="32">
        <v>47.97</v>
      </c>
      <c r="E21" s="33">
        <f>SUM([2]厨房燃气!BH23)</f>
        <v>588</v>
      </c>
      <c r="F21" s="33">
        <f>SUM('[2]B1 &amp; 102F 锅炉房'!C23)</f>
        <v>1288</v>
      </c>
      <c r="G21" s="35">
        <f>SUM('[2]B1 &amp; 102F 锅炉房'!H23)</f>
        <v>630</v>
      </c>
      <c r="H21" s="33">
        <f>SUM(E21+F21+G21)</f>
        <v>2506</v>
      </c>
      <c r="I21" s="36">
        <f t="shared" si="0"/>
        <v>7793.66</v>
      </c>
      <c r="J21" s="35">
        <f>SUM([2]主塔楼空调用电量!V20)</f>
        <v>13244</v>
      </c>
      <c r="K21" s="35">
        <v>10033</v>
      </c>
      <c r="L21" s="33">
        <f>SUM('[2]68F 高压F13&amp;F30'!F23)</f>
        <v>36900.000000000546</v>
      </c>
      <c r="M21" s="33">
        <f t="shared" si="1"/>
        <v>63607.930000000546</v>
      </c>
      <c r="N21" s="37">
        <f t="shared" si="6"/>
        <v>42946.102490170371</v>
      </c>
      <c r="O21" s="38">
        <f>SUM([2]裙楼空调用量!L20)</f>
        <v>27</v>
      </c>
      <c r="P21" s="42">
        <f t="shared" si="7"/>
        <v>11259</v>
      </c>
      <c r="Q21" s="33">
        <f>SUM('[2]B4 水表'!C23)</f>
        <v>631</v>
      </c>
      <c r="R21" s="97">
        <v>106.96</v>
      </c>
      <c r="S21" s="33">
        <f t="shared" si="3"/>
        <v>737.96</v>
      </c>
      <c r="T21" s="37">
        <f t="shared" si="4"/>
        <v>2553.3416000000002</v>
      </c>
      <c r="U21" s="39">
        <f>SUM(I21+N21+P21+T21)</f>
        <v>64552.104090170367</v>
      </c>
    </row>
    <row r="22" spans="1:21" s="40" customFormat="1" ht="22.5" customHeight="1" thickBot="1">
      <c r="A22" s="41">
        <v>18</v>
      </c>
      <c r="B22" s="30" t="s">
        <v>36</v>
      </c>
      <c r="C22" s="31">
        <v>250</v>
      </c>
      <c r="D22" s="32">
        <v>43.02</v>
      </c>
      <c r="E22" s="33">
        <f>SUM([2]厨房燃气!BH24)</f>
        <v>757</v>
      </c>
      <c r="F22" s="33">
        <f>SUM('[2]B1 &amp; 102F 锅炉房'!C24)</f>
        <v>1237</v>
      </c>
      <c r="G22" s="35">
        <f>SUM('[2]B1 &amp; 102F 锅炉房'!H24)</f>
        <v>674</v>
      </c>
      <c r="H22" s="33">
        <f>SUM(G22+F22+E22)</f>
        <v>2668</v>
      </c>
      <c r="I22" s="36">
        <f t="shared" si="0"/>
        <v>8297.48</v>
      </c>
      <c r="J22" s="35">
        <f>SUM([2]主塔楼空调用电量!V21)</f>
        <v>12575</v>
      </c>
      <c r="K22" s="35">
        <v>10033</v>
      </c>
      <c r="L22" s="33">
        <f>SUM('[2]68F 高压F13&amp;F30'!F24)</f>
        <v>35799.999999999272</v>
      </c>
      <c r="M22" s="33">
        <f t="shared" si="1"/>
        <v>66213.469999999274</v>
      </c>
      <c r="N22" s="37">
        <f t="shared" si="6"/>
        <v>44705.282326429508</v>
      </c>
      <c r="O22" s="38">
        <f>SUM([2]裙楼空调用量!L21)</f>
        <v>33</v>
      </c>
      <c r="P22" s="42">
        <f t="shared" si="7"/>
        <v>13761</v>
      </c>
      <c r="Q22" s="33">
        <f>SUM('[2]B4 水表'!C24)</f>
        <v>583</v>
      </c>
      <c r="R22" s="97">
        <v>106.96</v>
      </c>
      <c r="S22" s="33">
        <f t="shared" si="3"/>
        <v>689.96</v>
      </c>
      <c r="T22" s="37">
        <f t="shared" si="4"/>
        <v>2387.2616000000003</v>
      </c>
      <c r="U22" s="39">
        <f>SUM(I22+N22+P22+T22)</f>
        <v>69151.023926429509</v>
      </c>
    </row>
    <row r="23" spans="1:21" s="40" customFormat="1" ht="22.5" customHeight="1" thickBot="1">
      <c r="A23" s="41">
        <v>19</v>
      </c>
      <c r="B23" s="30" t="s">
        <v>35</v>
      </c>
      <c r="C23" s="31">
        <v>190</v>
      </c>
      <c r="D23" s="32">
        <v>47.97</v>
      </c>
      <c r="E23" s="33">
        <f>SUM([2]厨房燃气!BH25)</f>
        <v>685</v>
      </c>
      <c r="F23" s="33">
        <f>SUM('[2]B1 &amp; 102F 锅炉房'!C25)</f>
        <v>1225</v>
      </c>
      <c r="G23" s="35">
        <f>SUM('[2]B1 &amp; 102F 锅炉房'!H25)</f>
        <v>642</v>
      </c>
      <c r="H23" s="33">
        <f>SUM(G23+F23+E23)</f>
        <v>2552</v>
      </c>
      <c r="I23" s="36">
        <f t="shared" si="0"/>
        <v>7936.7199999999993</v>
      </c>
      <c r="J23" s="35">
        <f>SUM([2]主塔楼空调用电量!V22)</f>
        <v>12157</v>
      </c>
      <c r="K23" s="35">
        <v>10033</v>
      </c>
      <c r="L23" s="33">
        <f>SUM('[2]68F 高压F13&amp;F30'!F25)</f>
        <v>34700.000000000276</v>
      </c>
      <c r="M23" s="33">
        <f t="shared" si="1"/>
        <v>61407.930000000277</v>
      </c>
      <c r="N23" s="37">
        <f t="shared" si="6"/>
        <v>41460.730690170189</v>
      </c>
      <c r="O23" s="38">
        <f>SUM([2]裙楼空调用量!L22)</f>
        <v>27</v>
      </c>
      <c r="P23" s="42">
        <f t="shared" si="7"/>
        <v>11259</v>
      </c>
      <c r="Q23" s="33">
        <f>SUM('[2]B4 水表'!C25)</f>
        <v>608</v>
      </c>
      <c r="R23" s="97">
        <v>106.96</v>
      </c>
      <c r="S23" s="33">
        <f t="shared" si="3"/>
        <v>714.96</v>
      </c>
      <c r="T23" s="37">
        <f t="shared" si="4"/>
        <v>2473.7616000000003</v>
      </c>
      <c r="U23" s="39">
        <f>SUM(I23+N23+P23+T23)</f>
        <v>63130.212290170188</v>
      </c>
    </row>
    <row r="24" spans="1:21" s="40" customFormat="1" ht="22.5" customHeight="1" thickBot="1">
      <c r="A24" s="41">
        <v>20</v>
      </c>
      <c r="B24" s="30" t="s">
        <v>46</v>
      </c>
      <c r="C24" s="31">
        <v>18</v>
      </c>
      <c r="D24" s="32">
        <v>51.16</v>
      </c>
      <c r="E24" s="33">
        <f>SUM([2]厨房燃气!BH26)</f>
        <v>625</v>
      </c>
      <c r="F24" s="33">
        <f>SUM('[2]B1 &amp; 102F 锅炉房'!C26)</f>
        <v>1240</v>
      </c>
      <c r="G24" s="35">
        <f>SUM('[2]B1 &amp; 102F 锅炉房'!H26)</f>
        <v>703</v>
      </c>
      <c r="H24" s="33">
        <f>SUM(G24+F24+E24)</f>
        <v>2568</v>
      </c>
      <c r="I24" s="36">
        <f t="shared" si="0"/>
        <v>7986.48</v>
      </c>
      <c r="J24" s="35">
        <f>SUM([2]主塔楼空调用电量!V23)</f>
        <v>12950</v>
      </c>
      <c r="K24" s="35">
        <v>10033</v>
      </c>
      <c r="L24" s="33">
        <f>SUM('[2]68F 高压F13&amp;F30'!F26)</f>
        <v>36199.999999998909</v>
      </c>
      <c r="M24" s="33">
        <f t="shared" si="1"/>
        <v>61055.159999998912</v>
      </c>
      <c r="N24" s="37">
        <f t="shared" si="6"/>
        <v>41222.551322039268</v>
      </c>
      <c r="O24" s="38">
        <f>SUM([2]裙楼空调用量!L23)</f>
        <v>24</v>
      </c>
      <c r="P24" s="42">
        <f t="shared" si="7"/>
        <v>10008</v>
      </c>
      <c r="Q24" s="33">
        <f>SUM('[2]B4 水表'!C26)</f>
        <v>534</v>
      </c>
      <c r="R24" s="97">
        <v>106.96</v>
      </c>
      <c r="S24" s="33">
        <f t="shared" si="3"/>
        <v>640.96</v>
      </c>
      <c r="T24" s="37">
        <f t="shared" si="4"/>
        <v>2217.7216000000003</v>
      </c>
      <c r="U24" s="39">
        <f>SUM(I24+N24+P24+T24)</f>
        <v>61434.752922039268</v>
      </c>
    </row>
    <row r="25" spans="1:21" s="40" customFormat="1" ht="22.5" customHeight="1" thickBot="1">
      <c r="A25" s="41">
        <v>21</v>
      </c>
      <c r="B25" s="30" t="s">
        <v>32</v>
      </c>
      <c r="C25" s="31">
        <v>10</v>
      </c>
      <c r="D25" s="32">
        <v>67.73</v>
      </c>
      <c r="E25" s="33">
        <f>SUM([2]厨房燃气!BH27)</f>
        <v>569</v>
      </c>
      <c r="F25" s="33">
        <f>SUM('[2]B1 &amp; 102F 锅炉房'!C27)</f>
        <v>1226</v>
      </c>
      <c r="G25" s="35">
        <f>SUM('[2]B1 &amp; 102F 锅炉房'!H27)</f>
        <v>676</v>
      </c>
      <c r="H25" s="33">
        <f>SUM(G25+F25+E25)</f>
        <v>2471</v>
      </c>
      <c r="I25" s="36">
        <f t="shared" si="0"/>
        <v>7684.8099999999995</v>
      </c>
      <c r="J25" s="35">
        <f>SUM([2]主塔楼空调用电量!V24)</f>
        <v>13594</v>
      </c>
      <c r="K25" s="35">
        <v>10033</v>
      </c>
      <c r="L25" s="33">
        <f>SUM('[2]68F 高压F13&amp;F30'!F27)</f>
        <v>37500</v>
      </c>
      <c r="M25" s="33">
        <f t="shared" si="1"/>
        <v>61737.57</v>
      </c>
      <c r="N25" s="37">
        <f t="shared" si="6"/>
        <v>41683.293399330003</v>
      </c>
      <c r="O25" s="38">
        <f>SUM([2]裙楼空调用量!L24)</f>
        <v>23</v>
      </c>
      <c r="P25" s="42">
        <f t="shared" si="7"/>
        <v>9591</v>
      </c>
      <c r="Q25" s="33">
        <f>SUM('[2]B4 水表'!C27)</f>
        <v>719</v>
      </c>
      <c r="R25" s="97">
        <v>106.96</v>
      </c>
      <c r="S25" s="33">
        <f t="shared" si="3"/>
        <v>825.96</v>
      </c>
      <c r="T25" s="37">
        <f t="shared" si="4"/>
        <v>2857.8216000000002</v>
      </c>
      <c r="U25" s="39">
        <f>SUM(I25+N25+P25+T25)</f>
        <v>61816.924999330004</v>
      </c>
    </row>
    <row r="26" spans="1:21" s="40" customFormat="1" ht="22.5" customHeight="1" thickBot="1">
      <c r="A26" s="41">
        <v>22</v>
      </c>
      <c r="B26" s="30" t="s">
        <v>34</v>
      </c>
      <c r="C26" s="31">
        <v>10</v>
      </c>
      <c r="D26" s="32">
        <v>45.06</v>
      </c>
      <c r="E26" s="33">
        <f>SUM([2]厨房燃气!BH28)</f>
        <v>519</v>
      </c>
      <c r="F26" s="33">
        <f>SUM('[2]B1 &amp; 102F 锅炉房'!C28)</f>
        <v>1226</v>
      </c>
      <c r="G26" s="35">
        <f>SUM('[2]B1 &amp; 102F 锅炉房'!H28)</f>
        <v>701</v>
      </c>
      <c r="H26" s="33">
        <f>SUM(G26+F26+E26)</f>
        <v>2446</v>
      </c>
      <c r="I26" s="36">
        <f t="shared" si="0"/>
        <v>7607.0599999999995</v>
      </c>
      <c r="J26" s="35">
        <f>SUM([2]主塔楼空调用电量!V25)</f>
        <v>13152</v>
      </c>
      <c r="K26" s="35">
        <v>10033</v>
      </c>
      <c r="L26" s="33">
        <f>SUM('[2]68F 高压F13&amp;F30'!F28)</f>
        <v>36200.000000001179</v>
      </c>
      <c r="M26" s="33">
        <f t="shared" si="1"/>
        <v>59819.980000001182</v>
      </c>
      <c r="N26" s="37">
        <f t="shared" si="6"/>
        <v>40388.596076620801</v>
      </c>
      <c r="O26" s="38">
        <f>SUM([2]裙楼空调用量!L25)</f>
        <v>22</v>
      </c>
      <c r="P26" s="42">
        <f t="shared" si="7"/>
        <v>9174</v>
      </c>
      <c r="Q26" s="33">
        <f>SUM('[2]B4 水表'!C28)</f>
        <v>635</v>
      </c>
      <c r="R26" s="97">
        <v>106.96</v>
      </c>
      <c r="S26" s="33">
        <f t="shared" si="3"/>
        <v>741.96</v>
      </c>
      <c r="T26" s="37">
        <f t="shared" si="4"/>
        <v>2567.1815999999999</v>
      </c>
      <c r="U26" s="39">
        <f>SUM(I26+N26+P26+T26)</f>
        <v>59736.837676620795</v>
      </c>
    </row>
    <row r="27" spans="1:21" s="40" customFormat="1" ht="22.5" customHeight="1" thickBot="1">
      <c r="A27" s="41">
        <v>23</v>
      </c>
      <c r="B27" s="30" t="s">
        <v>47</v>
      </c>
      <c r="C27" s="31">
        <v>90</v>
      </c>
      <c r="D27" s="32">
        <v>46.51</v>
      </c>
      <c r="E27" s="33">
        <f>SUM([2]厨房燃气!BH29)</f>
        <v>506</v>
      </c>
      <c r="F27" s="33">
        <f>SUM('[2]B1 &amp; 102F 锅炉房'!C29)</f>
        <v>1198</v>
      </c>
      <c r="G27" s="35">
        <f>SUM('[2]B1 &amp; 102F 锅炉房'!H29)</f>
        <v>623</v>
      </c>
      <c r="H27" s="33">
        <f>SUM(G27+F27+E27)</f>
        <v>2327</v>
      </c>
      <c r="I27" s="36">
        <f t="shared" si="0"/>
        <v>7236.9699999999993</v>
      </c>
      <c r="J27" s="35">
        <f>SUM([2]主塔楼空调用电量!V26)</f>
        <v>12045</v>
      </c>
      <c r="K27" s="35">
        <v>10033</v>
      </c>
      <c r="L27" s="33">
        <f>SUM('[2]68F 高压F13&amp;F30'!F29)</f>
        <v>34900.000000000087</v>
      </c>
      <c r="M27" s="33">
        <f t="shared" si="1"/>
        <v>59755.160000000091</v>
      </c>
      <c r="N27" s="37">
        <f t="shared" si="6"/>
        <v>40344.831622040059</v>
      </c>
      <c r="O27" s="38">
        <f>SUM([2]裙楼空调用量!L26)</f>
        <v>24</v>
      </c>
      <c r="P27" s="42">
        <f t="shared" si="7"/>
        <v>10008</v>
      </c>
      <c r="Q27" s="33">
        <f>SUM('[2]B4 水表'!C29)</f>
        <v>449</v>
      </c>
      <c r="R27" s="97">
        <v>106.96</v>
      </c>
      <c r="S27" s="33">
        <f t="shared" si="3"/>
        <v>555.96</v>
      </c>
      <c r="T27" s="37">
        <f t="shared" si="4"/>
        <v>1923.6216000000002</v>
      </c>
      <c r="U27" s="39">
        <f>SUM(I27+N27+P27+T27)</f>
        <v>59513.423222040059</v>
      </c>
    </row>
    <row r="28" spans="1:21" s="40" customFormat="1" ht="22.5" customHeight="1" thickBot="1">
      <c r="A28" s="41">
        <v>24</v>
      </c>
      <c r="B28" s="30" t="s">
        <v>32</v>
      </c>
      <c r="C28" s="31">
        <v>95</v>
      </c>
      <c r="D28" s="32">
        <v>45.35</v>
      </c>
      <c r="E28" s="33">
        <f>SUM([2]厨房燃气!BH30)</f>
        <v>594</v>
      </c>
      <c r="F28" s="33">
        <f>SUM('[2]B1 &amp; 102F 锅炉房'!C30)</f>
        <v>1220</v>
      </c>
      <c r="G28" s="35">
        <f>SUM('[2]B1 &amp; 102F 锅炉房'!H30)</f>
        <v>647</v>
      </c>
      <c r="H28" s="33">
        <f>SUM(G28+F28+E28)</f>
        <v>2461</v>
      </c>
      <c r="I28" s="36">
        <f t="shared" si="0"/>
        <v>7653.71</v>
      </c>
      <c r="J28" s="35">
        <f>SUM([2]主塔楼空调用电量!V27)</f>
        <v>12762</v>
      </c>
      <c r="K28" s="35">
        <v>10033</v>
      </c>
      <c r="L28" s="33">
        <f>SUM('[2]68F 高压F13&amp;F30'!F30)</f>
        <v>35600.000000001732</v>
      </c>
      <c r="M28" s="33">
        <f t="shared" si="1"/>
        <v>61072.750000001732</v>
      </c>
      <c r="N28" s="37">
        <f t="shared" si="6"/>
        <v>41234.427544751168</v>
      </c>
      <c r="O28" s="38">
        <f>SUM([2]裙楼空调用量!L27)</f>
        <v>25</v>
      </c>
      <c r="P28" s="42">
        <f t="shared" si="7"/>
        <v>10425</v>
      </c>
      <c r="Q28" s="33">
        <f>SUM('[2]B4 水表'!C30)</f>
        <v>574</v>
      </c>
      <c r="R28" s="97">
        <v>106.96</v>
      </c>
      <c r="S28" s="33">
        <f t="shared" si="3"/>
        <v>680.96</v>
      </c>
      <c r="T28" s="37">
        <f t="shared" si="4"/>
        <v>2356.1215999999999</v>
      </c>
      <c r="U28" s="39">
        <f>SUM(I28+N28+P28+T28)</f>
        <v>61669.259144751166</v>
      </c>
    </row>
    <row r="29" spans="1:21" s="40" customFormat="1" ht="22.5" customHeight="1" thickBot="1">
      <c r="A29" s="41">
        <v>25</v>
      </c>
      <c r="B29" s="30" t="s">
        <v>35</v>
      </c>
      <c r="C29" s="31">
        <v>95</v>
      </c>
      <c r="D29" s="32">
        <v>56.98</v>
      </c>
      <c r="E29" s="33">
        <f>SUM([2]厨房燃气!BH31)</f>
        <v>549</v>
      </c>
      <c r="F29" s="33">
        <f>SUM('[2]B1 &amp; 102F 锅炉房'!C31)</f>
        <v>1295</v>
      </c>
      <c r="G29" s="35">
        <f>SUM('[2]B1 &amp; 102F 锅炉房'!H31)</f>
        <v>676</v>
      </c>
      <c r="H29" s="33">
        <f>SUM(G29+F29+E29)</f>
        <v>2520</v>
      </c>
      <c r="I29" s="36">
        <f t="shared" si="0"/>
        <v>7837.2</v>
      </c>
      <c r="J29" s="35">
        <f>SUM([2]主塔楼空调用电量!V28)</f>
        <v>13179</v>
      </c>
      <c r="K29" s="35">
        <v>10033</v>
      </c>
      <c r="L29" s="33">
        <f>SUM('[2]68F 高压F13&amp;F30'!F31)</f>
        <v>37699.999999997541</v>
      </c>
      <c r="M29" s="33">
        <f t="shared" si="1"/>
        <v>63172.749999997541</v>
      </c>
      <c r="N29" s="37">
        <f t="shared" si="6"/>
        <v>42652.282444748344</v>
      </c>
      <c r="O29" s="38">
        <f>SUM([2]裙楼空调用量!L28)</f>
        <v>25</v>
      </c>
      <c r="P29" s="42">
        <f t="shared" si="7"/>
        <v>10425</v>
      </c>
      <c r="Q29" s="33">
        <f>SUM('[2]B4 水表'!C31)</f>
        <v>520</v>
      </c>
      <c r="R29" s="97">
        <v>106.96</v>
      </c>
      <c r="S29" s="33">
        <f t="shared" si="3"/>
        <v>626.96</v>
      </c>
      <c r="T29" s="37">
        <f t="shared" si="4"/>
        <v>2169.2816000000003</v>
      </c>
      <c r="U29" s="39">
        <f>SUM(I29+N29+P29+T29)</f>
        <v>63083.764044748343</v>
      </c>
    </row>
    <row r="30" spans="1:21" s="40" customFormat="1" ht="22.5" customHeight="1" thickBot="1">
      <c r="A30" s="41">
        <v>26</v>
      </c>
      <c r="B30" s="30" t="s">
        <v>36</v>
      </c>
      <c r="C30" s="31">
        <v>40</v>
      </c>
      <c r="D30" s="32">
        <v>55.23</v>
      </c>
      <c r="E30" s="33">
        <f>SUM([2]厨房燃气!BH32)</f>
        <v>535</v>
      </c>
      <c r="F30" s="33">
        <f>SUM('[2]B1 &amp; 102F 锅炉房'!C32)</f>
        <v>1245</v>
      </c>
      <c r="G30" s="35">
        <f>SUM('[2]B1 &amp; 102F 锅炉房'!H32)</f>
        <v>686</v>
      </c>
      <c r="H30" s="33">
        <f>SUM(G30+F30+E30)</f>
        <v>2466</v>
      </c>
      <c r="I30" s="36">
        <f t="shared" si="0"/>
        <v>7669.2599999999993</v>
      </c>
      <c r="J30" s="35">
        <f>SUM([2]主塔楼空调用电量!V29)</f>
        <v>12289</v>
      </c>
      <c r="K30" s="35">
        <v>10033</v>
      </c>
      <c r="L30" s="33">
        <f>SUM('[2]68F 高压F13&amp;F30'!F32)</f>
        <v>35199.999999999818</v>
      </c>
      <c r="M30" s="33">
        <f t="shared" si="1"/>
        <v>60055.159999999814</v>
      </c>
      <c r="N30" s="37">
        <f t="shared" si="6"/>
        <v>40547.382322039877</v>
      </c>
      <c r="O30" s="38">
        <f>SUM([2]裙楼空调用量!L29)</f>
        <v>24</v>
      </c>
      <c r="P30" s="42">
        <f t="shared" si="7"/>
        <v>10008</v>
      </c>
      <c r="Q30" s="33">
        <f>SUM('[2]B4 水表'!C32)</f>
        <v>595</v>
      </c>
      <c r="R30" s="97">
        <v>106.96</v>
      </c>
      <c r="S30" s="33">
        <f t="shared" si="3"/>
        <v>701.96</v>
      </c>
      <c r="T30" s="37">
        <f t="shared" si="4"/>
        <v>2428.7816000000003</v>
      </c>
      <c r="U30" s="39">
        <f>SUM(I30+N30+P30+T30)</f>
        <v>60653.423922039881</v>
      </c>
    </row>
    <row r="31" spans="1:21" s="40" customFormat="1" ht="22.5" customHeight="1" thickBot="1">
      <c r="A31" s="41">
        <v>27</v>
      </c>
      <c r="B31" s="30" t="s">
        <v>38</v>
      </c>
      <c r="C31" s="31">
        <v>301</v>
      </c>
      <c r="D31" s="32">
        <v>71.510000000000005</v>
      </c>
      <c r="E31" s="33">
        <f>SUM([2]厨房燃气!BH33)</f>
        <v>622</v>
      </c>
      <c r="F31" s="33">
        <f>SUM('[2]B1 &amp; 102F 锅炉房'!C33)</f>
        <v>1201</v>
      </c>
      <c r="G31" s="35">
        <f>SUM('[2]B1 &amp; 102F 锅炉房'!H33)</f>
        <v>637</v>
      </c>
      <c r="H31" s="33">
        <f>SUM(G31+F31+E31)</f>
        <v>2460</v>
      </c>
      <c r="I31" s="36">
        <f t="shared" si="0"/>
        <v>7650.5999999999995</v>
      </c>
      <c r="J31" s="35">
        <f>SUM([2]主塔楼空调用电量!V30)</f>
        <v>12859</v>
      </c>
      <c r="K31" s="35">
        <v>10033</v>
      </c>
      <c r="L31" s="33">
        <f>SUM('[2]68F 高压F13&amp;F30'!F33)</f>
        <v>35799.999999999272</v>
      </c>
      <c r="M31" s="33">
        <f t="shared" si="1"/>
        <v>64360.699999999269</v>
      </c>
      <c r="N31" s="37">
        <f t="shared" si="6"/>
        <v>43454.349458299504</v>
      </c>
      <c r="O31" s="38">
        <f>SUM([2]裙楼空调用量!L30)</f>
        <v>30</v>
      </c>
      <c r="P31" s="42">
        <f t="shared" si="7"/>
        <v>12510</v>
      </c>
      <c r="Q31" s="33">
        <f>SUM('[2]B4 水表'!C33)</f>
        <v>680</v>
      </c>
      <c r="R31" s="97">
        <v>106.96</v>
      </c>
      <c r="S31" s="33">
        <f t="shared" si="3"/>
        <v>786.96</v>
      </c>
      <c r="T31" s="37">
        <f t="shared" si="4"/>
        <v>2722.8816000000002</v>
      </c>
      <c r="U31" s="39">
        <f>SUM(I31+N31+P31+T31)</f>
        <v>66337.831058299504</v>
      </c>
    </row>
    <row r="32" spans="1:21" s="40" customFormat="1" ht="22.5" customHeight="1" thickBot="1">
      <c r="A32" s="41">
        <v>28</v>
      </c>
      <c r="B32" s="30" t="s">
        <v>36</v>
      </c>
      <c r="C32" s="31">
        <v>78</v>
      </c>
      <c r="D32" s="32">
        <v>80.23</v>
      </c>
      <c r="E32" s="33">
        <f>SUM([2]厨房燃气!BH34)</f>
        <v>718</v>
      </c>
      <c r="F32" s="33">
        <f>SUM('[2]B1 &amp; 102F 锅炉房'!C34)</f>
        <v>1292</v>
      </c>
      <c r="G32" s="35">
        <f>SUM('[2]B1 &amp; 102F 锅炉房'!H34)</f>
        <v>671</v>
      </c>
      <c r="H32" s="33">
        <f>SUM(G32+F32+E32)</f>
        <v>2681</v>
      </c>
      <c r="I32" s="36">
        <f t="shared" si="0"/>
        <v>8337.91</v>
      </c>
      <c r="J32" s="35">
        <f>SUM([2]主塔楼空调用电量!V31)</f>
        <v>10764</v>
      </c>
      <c r="K32" s="35">
        <v>10033</v>
      </c>
      <c r="L32" s="33">
        <f>SUM('[2]68F 高压F13&amp;F30'!F34)</f>
        <v>34500.000000000451</v>
      </c>
      <c r="M32" s="33">
        <f t="shared" si="1"/>
        <v>58737.570000000451</v>
      </c>
      <c r="N32" s="37">
        <f t="shared" si="6"/>
        <v>39657.786399330304</v>
      </c>
      <c r="O32" s="38">
        <f>SUM([2]裙楼空调用量!L31)</f>
        <v>23</v>
      </c>
      <c r="P32" s="42">
        <f t="shared" si="7"/>
        <v>9591</v>
      </c>
      <c r="Q32" s="33">
        <f>SUM('[2]B4 水表'!C34)</f>
        <v>651</v>
      </c>
      <c r="R32" s="97">
        <v>106.96</v>
      </c>
      <c r="S32" s="33">
        <f t="shared" si="3"/>
        <v>757.96</v>
      </c>
      <c r="T32" s="37">
        <f t="shared" si="4"/>
        <v>2622.5416</v>
      </c>
      <c r="U32" s="39">
        <f>SUM(I32+N32+P32+T32)</f>
        <v>60209.237999330304</v>
      </c>
    </row>
    <row r="33" spans="1:21" s="40" customFormat="1" ht="22.5" customHeight="1" thickBot="1">
      <c r="A33" s="41">
        <v>29</v>
      </c>
      <c r="B33" s="30" t="s">
        <v>54</v>
      </c>
      <c r="C33" s="31">
        <v>110</v>
      </c>
      <c r="D33" s="32">
        <v>42.73</v>
      </c>
      <c r="E33" s="33">
        <f>SUM([2]厨房燃气!BH35)</f>
        <v>540</v>
      </c>
      <c r="F33" s="33">
        <f>SUM('[2]B1 &amp; 102F 锅炉房'!C35)</f>
        <v>1297</v>
      </c>
      <c r="G33" s="35">
        <f>SUM('[2]B1 &amp; 102F 锅炉房'!H35)</f>
        <v>725</v>
      </c>
      <c r="H33" s="33">
        <f>SUM(G33+F33+E33)</f>
        <v>2562</v>
      </c>
      <c r="I33" s="36">
        <f t="shared" si="0"/>
        <v>7967.82</v>
      </c>
      <c r="J33" s="35">
        <f>SUM([2]主塔楼空调用电量!V32)</f>
        <v>11662</v>
      </c>
      <c r="K33" s="35">
        <v>10033</v>
      </c>
      <c r="L33" s="33">
        <f>SUM('[2]68F 高压F13&amp;F30'!F35)</f>
        <v>35399.999999999636</v>
      </c>
      <c r="M33" s="33">
        <f t="shared" si="1"/>
        <v>60255.15999999964</v>
      </c>
      <c r="N33" s="37">
        <f t="shared" si="6"/>
        <v>40682.416122039758</v>
      </c>
      <c r="O33" s="38">
        <f>SUM([2]裙楼空调用量!L32)</f>
        <v>24</v>
      </c>
      <c r="P33" s="42">
        <f t="shared" si="7"/>
        <v>10008</v>
      </c>
      <c r="Q33" s="33">
        <f>SUM('[2]B4 水表'!C35)</f>
        <v>692</v>
      </c>
      <c r="R33" s="97">
        <v>106.96</v>
      </c>
      <c r="S33" s="33">
        <f t="shared" si="3"/>
        <v>798.96</v>
      </c>
      <c r="T33" s="37">
        <f t="shared" si="4"/>
        <v>2764.4016000000001</v>
      </c>
      <c r="U33" s="39">
        <f>SUM(I33+N33+P33+T33)</f>
        <v>61422.637722039755</v>
      </c>
    </row>
    <row r="34" spans="1:21" s="40" customFormat="1" ht="22.5" customHeight="1" thickBot="1">
      <c r="A34" s="41">
        <v>30</v>
      </c>
      <c r="B34" s="30" t="s">
        <v>37</v>
      </c>
      <c r="C34" s="31">
        <v>127</v>
      </c>
      <c r="D34" s="32">
        <v>54.65</v>
      </c>
      <c r="E34" s="33">
        <f>SUM([2]厨房燃气!BH36)</f>
        <v>514</v>
      </c>
      <c r="F34" s="33">
        <f>SUM('[2]B1 &amp; 102F 锅炉房'!C36)</f>
        <v>1266</v>
      </c>
      <c r="G34" s="35">
        <f>SUM('[2]B1 &amp; 102F 锅炉房'!H36)</f>
        <v>649</v>
      </c>
      <c r="H34" s="33">
        <f>SUM(G34+F34+E34)</f>
        <v>2429</v>
      </c>
      <c r="I34" s="36">
        <f t="shared" si="0"/>
        <v>7554.19</v>
      </c>
      <c r="J34" s="35">
        <f>SUM([2]主塔楼空调用电量!V33)</f>
        <v>10877</v>
      </c>
      <c r="K34" s="35">
        <v>10033</v>
      </c>
      <c r="L34" s="33">
        <f>SUM('[2]68F 高压F13&amp;F30'!F36)</f>
        <v>34700.000000000276</v>
      </c>
      <c r="M34" s="33">
        <f t="shared" si="1"/>
        <v>57702.390000000276</v>
      </c>
      <c r="N34" s="37">
        <f t="shared" si="6"/>
        <v>38958.86495391019</v>
      </c>
      <c r="O34" s="38">
        <f>SUM([2]裙楼空调用量!L33)</f>
        <v>21</v>
      </c>
      <c r="P34" s="42">
        <f t="shared" si="7"/>
        <v>8757</v>
      </c>
      <c r="Q34" s="33">
        <f>SUM('[2]B4 水表'!C36)</f>
        <v>713</v>
      </c>
      <c r="R34" s="97">
        <v>106.96</v>
      </c>
      <c r="S34" s="33">
        <f t="shared" si="3"/>
        <v>819.96</v>
      </c>
      <c r="T34" s="37">
        <f t="shared" si="4"/>
        <v>2837.0616</v>
      </c>
      <c r="U34" s="39">
        <f>SUM(I34+N34+P34+T34)</f>
        <v>58107.116553910193</v>
      </c>
    </row>
    <row r="35" spans="1:21" s="40" customFormat="1" ht="22.5" customHeight="1">
      <c r="A35" s="41">
        <v>31</v>
      </c>
      <c r="B35" s="30" t="s">
        <v>37</v>
      </c>
      <c r="C35" s="31">
        <v>93</v>
      </c>
      <c r="D35" s="32">
        <v>59.59</v>
      </c>
      <c r="E35" s="33">
        <f>SUM([2]厨房燃气!BH37)</f>
        <v>556</v>
      </c>
      <c r="F35" s="33">
        <f>SUM('[2]B1 &amp; 102F 锅炉房'!C37)</f>
        <v>1309</v>
      </c>
      <c r="G35" s="35">
        <f>SUM('[2]B1 &amp; 102F 锅炉房'!H37)</f>
        <v>632</v>
      </c>
      <c r="H35" s="33">
        <f>SUM(G35+F35+E35)</f>
        <v>2497</v>
      </c>
      <c r="I35" s="36">
        <f t="shared" si="0"/>
        <v>7765.67</v>
      </c>
      <c r="J35" s="35">
        <f>SUM([2]主塔楼空调用电量!V34)</f>
        <v>12966</v>
      </c>
      <c r="K35" s="35">
        <v>10033</v>
      </c>
      <c r="L35" s="33">
        <f>SUM('[2]68F 高压F13&amp;F30'!F37)</f>
        <v>35500.000000001819</v>
      </c>
      <c r="M35" s="33">
        <f t="shared" si="1"/>
        <v>59737.570000001819</v>
      </c>
      <c r="N35" s="37">
        <f>M35*0.675169</f>
        <v>40332.955399331229</v>
      </c>
      <c r="O35" s="38">
        <f>SUM([2]裙楼空调用量!L34)</f>
        <v>23</v>
      </c>
      <c r="P35" s="42">
        <f>SUM(O35*417)</f>
        <v>9591</v>
      </c>
      <c r="Q35" s="33">
        <f>SUM('[2]B4 水表'!C37)</f>
        <v>579</v>
      </c>
      <c r="R35" s="97">
        <v>106.96</v>
      </c>
      <c r="S35" s="33">
        <f t="shared" si="3"/>
        <v>685.96</v>
      </c>
      <c r="T35" s="37">
        <f t="shared" si="4"/>
        <v>2373.4216000000001</v>
      </c>
      <c r="U35" s="39">
        <f>SUM(I35+N35+P35+T35)</f>
        <v>60063.046999331229</v>
      </c>
    </row>
    <row r="36" spans="1:21" s="40" customFormat="1" ht="22.5" customHeight="1" thickBot="1">
      <c r="A36" s="43" t="s">
        <v>29</v>
      </c>
      <c r="B36" s="30"/>
      <c r="C36" s="31"/>
      <c r="D36" s="32"/>
      <c r="E36" s="44"/>
      <c r="F36" s="44"/>
      <c r="G36" s="47"/>
      <c r="H36" s="48"/>
      <c r="I36" s="46"/>
      <c r="J36" s="47"/>
      <c r="K36" s="47"/>
      <c r="L36" s="47"/>
      <c r="M36" s="44"/>
      <c r="N36" s="49"/>
      <c r="O36" s="47"/>
      <c r="P36" s="45"/>
      <c r="Q36" s="45"/>
      <c r="R36" s="45"/>
      <c r="S36" s="44"/>
      <c r="T36" s="49"/>
      <c r="U36" s="50"/>
    </row>
    <row r="37" spans="1:21" s="40" customFormat="1" ht="23.1" customHeight="1" thickBot="1">
      <c r="A37" s="77" t="s">
        <v>30</v>
      </c>
      <c r="B37" s="78"/>
      <c r="C37" s="78"/>
      <c r="D37" s="78"/>
      <c r="E37" s="51">
        <f>SUM(E5:E35)</f>
        <v>19020</v>
      </c>
      <c r="F37" s="51">
        <f t="shared" ref="F37:T37" si="8">SUM(F5:F35)</f>
        <v>39697</v>
      </c>
      <c r="G37" s="51">
        <f t="shared" si="8"/>
        <v>21256</v>
      </c>
      <c r="H37" s="51">
        <f t="shared" si="8"/>
        <v>79973</v>
      </c>
      <c r="I37" s="51">
        <f t="shared" si="8"/>
        <v>248716.03000000006</v>
      </c>
      <c r="J37" s="51">
        <f t="shared" si="8"/>
        <v>389905</v>
      </c>
      <c r="K37" s="51"/>
      <c r="L37" s="51"/>
      <c r="M37" s="51">
        <f t="shared" si="8"/>
        <v>1921842.2299999993</v>
      </c>
      <c r="N37" s="52">
        <f t="shared" si="8"/>
        <v>1297568.2965868695</v>
      </c>
      <c r="O37" s="53">
        <f t="shared" si="8"/>
        <v>797</v>
      </c>
      <c r="P37" s="51">
        <f t="shared" si="8"/>
        <v>332349</v>
      </c>
      <c r="Q37" s="51"/>
      <c r="R37" s="51"/>
      <c r="S37" s="51">
        <f t="shared" si="8"/>
        <v>22143.759999999984</v>
      </c>
      <c r="T37" s="51">
        <f t="shared" si="8"/>
        <v>76617.409599999984</v>
      </c>
      <c r="U37" s="54">
        <f>SUM(U5:U35)</f>
        <v>1955250.7361868692</v>
      </c>
    </row>
    <row r="38" spans="1:21" ht="19.5" customHeight="1">
      <c r="E38" s="55"/>
      <c r="F38" s="56"/>
      <c r="N38" s="57"/>
      <c r="T38" s="20"/>
      <c r="U38" s="20"/>
    </row>
    <row r="39" spans="1:21" ht="18.95" customHeight="1">
      <c r="E39" s="58"/>
      <c r="F39" s="56"/>
      <c r="N39" s="59"/>
      <c r="T39" s="20"/>
      <c r="U39" s="20"/>
    </row>
    <row r="40" spans="1:21" ht="18.95" customHeight="1">
      <c r="E40" s="60"/>
      <c r="N40" s="59"/>
      <c r="T40" s="20"/>
      <c r="U40" s="20"/>
    </row>
    <row r="41" spans="1:21" ht="18.95" customHeight="1">
      <c r="N41" s="59"/>
      <c r="T41" s="20"/>
      <c r="U41" s="20"/>
    </row>
    <row r="42" spans="1:21" ht="18.95" customHeight="1">
      <c r="N42" s="59"/>
      <c r="T42" s="20"/>
      <c r="U42" s="20"/>
    </row>
    <row r="43" spans="1:21" ht="18.95" customHeight="1">
      <c r="N43" s="59"/>
      <c r="T43" s="20"/>
      <c r="U43" s="20"/>
    </row>
    <row r="44" spans="1:21" ht="18.95" customHeight="1">
      <c r="N44" s="59"/>
      <c r="T44" s="20"/>
      <c r="U44" s="20"/>
    </row>
    <row r="45" spans="1:21" ht="18.95" customHeight="1">
      <c r="N45" s="59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37:D37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K2:K3"/>
    <mergeCell ref="L2:L3"/>
    <mergeCell ref="Q2:Q3"/>
    <mergeCell ref="R2:R3"/>
    <mergeCell ref="M2:N3"/>
    <mergeCell ref="O2:P3"/>
    <mergeCell ref="S2:T2"/>
    <mergeCell ref="U2:U4"/>
    <mergeCell ref="S3:T3"/>
  </mergeCells>
  <phoneticPr fontId="2" type="noConversion"/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2021-09-17T09:25:44Z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