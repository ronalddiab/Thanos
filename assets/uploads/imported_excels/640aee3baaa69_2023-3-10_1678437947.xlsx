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2D118D65-3902-4C80-BDF2-E365608A680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" l="1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2" i="4"/>
  <c r="N2" i="4"/>
  <c r="N3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C8" i="1" l="1"/>
  <c r="C9" i="1"/>
  <c r="C10" i="1"/>
  <c r="C11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7" i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7" i="2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6" i="2"/>
  <c r="E35" i="2" l="1"/>
  <c r="F35" i="2"/>
  <c r="E36" i="1"/>
  <c r="F36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9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I6" i="1"/>
  <c r="H6" i="1"/>
  <c r="G34" i="1"/>
  <c r="E30" i="4" s="1"/>
  <c r="H34" i="1"/>
  <c r="I34" i="1"/>
  <c r="J34" i="1" l="1"/>
  <c r="K34" i="1" s="1"/>
  <c r="L34" i="1" l="1"/>
  <c r="J30" i="4" s="1"/>
  <c r="C36" i="1"/>
  <c r="G6" i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6" i="1" l="1"/>
  <c r="I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s="1"/>
  <c r="J2" i="4" l="1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<sst xmlns="http://schemas.openxmlformats.org/spreadsheetml/2006/main" count="115" uniqueCount="45">
  <si>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</si>
  <si>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</si>
  <si>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</si>
  <si>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</si>
  <si>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</si>
  <si>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</si>
  <si>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</si>
  <si>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</si>
  <si>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</si>
  <si>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</si>
  <si>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</si>
  <si>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</si>
  <si>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</si>
  <si>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</si>
  <si>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</si>
  <si>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</si>
  <si>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</si>
  <si>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</si>
  <si>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</si>
  <si>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</si>
  <si>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</si>
  <si>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</si>
  <si>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</si>
  <si>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</si>
  <si>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</si>
  <si>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</si>
  <si>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</si>
  <si>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</si>
  <si>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</si>
  <si>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</si>
  <si>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</si>
  <si>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</si>
  <si>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</si>
  <si>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</si>
  <si>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</si>
  <si>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</si>
  <si>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</si>
  <si>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2018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</si>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</sst>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A2" sqref="A2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9</v>
      </c>
      <c r="D2" s="45">
        <f>Water!D5</f>
        <v>2018</v>
      </c>
      <c r="E2" s="43">
        <f>Electricity!G6</f>
        <v>26920.000000000528</v>
      </c>
      <c r="F2" s="43">
        <f>Electricity!E6</f>
        <v>4799.9999999997272</v>
      </c>
      <c r="G2" s="43">
        <f>Electricity!F6</f>
        <v>22120.0000000008</v>
      </c>
      <c r="H2" s="47">
        <v>1553.67</v>
      </c>
      <c r="I2" s="57" t="s">
        <v>28</v>
      </c>
      <c r="J2" s="106">
        <f>Electricity!L6</f>
        <v>31097927.270400412</v>
      </c>
      <c r="K2" s="43">
        <f>J2/E2</f>
        <v>1155.1978926597253</v>
      </c>
      <c r="L2" s="58">
        <f>Water!G5</f>
        <v>415</v>
      </c>
      <c r="M2" s="58">
        <v>12550</v>
      </c>
      <c r="N2" s="106">
        <f>M2*L2</f>
        <v>5208250</v>
      </c>
      <c r="O2" s="43">
        <f>Electricity!C6</f>
        <v>161</v>
      </c>
    </row>
    <row r="3" spans="1:15" x14ac:dyDescent="0.25">
      <c r="A3" s="48" t="s">
        <v>44</v>
      </c>
      <c r="B3" s="45">
        <v>2</v>
      </c>
      <c r="C3" s="45">
        <v>9</v>
      </c>
      <c r="D3" s="45">
        <f>D2</f>
        <v>2018</v>
      </c>
      <c r="E3" s="43">
        <f>Electricity!G7</f>
        <v>26800.000000000637</v>
      </c>
      <c r="F3" s="43">
        <f>Electricity!E7</f>
        <v>4519.9999999999818</v>
      </c>
      <c r="G3" s="43">
        <f>Electricity!F7</f>
        <v>22280.000000000655</v>
      </c>
      <c r="H3" s="47">
        <v>1553.67</v>
      </c>
      <c r="I3" s="57" t="s">
        <v>28</v>
      </c>
      <c r="J3" s="106">
        <f>Electricity!L7</f>
        <v>30822161.203200664</v>
      </c>
      <c r="K3" s="43">
        <f t="shared" ref="K3:K31" si="0">J3/E3</f>
        <v>1150.0806419104451</v>
      </c>
      <c r="L3" s="58">
        <f>Water!G6</f>
        <v>269</v>
      </c>
      <c r="M3" s="58">
        <v>12550</v>
      </c>
      <c r="N3" s="106">
        <f t="shared" ref="N3:N33" si="1">M3*L3</f>
        <v>3375950</v>
      </c>
      <c r="O3" s="43">
        <f>O2</f>
        <v>161</v>
      </c>
    </row>
    <row r="4" spans="1:15" x14ac:dyDescent="0.25">
      <c r="A4" s="48" t="s">
        <v>44</v>
      </c>
      <c r="B4" s="45">
        <v>3</v>
      </c>
      <c r="C4" s="45">
        <v>9</v>
      </c>
      <c r="D4" s="45">
        <f t="shared" ref="D4:D31" si="2">D3</f>
        <v>2018</v>
      </c>
      <c r="E4" s="43">
        <f>Electricity!G8</f>
        <v>28679.999999999836</v>
      </c>
      <c r="F4" s="43">
        <f>Electricity!E8</f>
        <v>6120.0000000003456</v>
      </c>
      <c r="G4" s="43">
        <f>Electricity!F8</f>
        <v>22559.999999999491</v>
      </c>
      <c r="H4" s="47">
        <v>1553.67</v>
      </c>
      <c r="I4" s="57" t="s">
        <v>28</v>
      </c>
      <c r="J4" s="106">
        <f>Electricity!L8</f>
        <v>33664672.972800009</v>
      </c>
      <c r="K4" s="43">
        <f t="shared" si="0"/>
        <v>1173.8031022594212</v>
      </c>
      <c r="L4" s="58">
        <f>Water!G7</f>
        <v>306</v>
      </c>
      <c r="M4" s="58">
        <v>12550</v>
      </c>
      <c r="N4" s="106">
        <f t="shared" si="1"/>
        <v>3840300</v>
      </c>
      <c r="O4" s="43">
        <f t="shared" ref="N4:O31" si="3">O3</f>
        <v>161</v>
      </c>
    </row>
    <row r="5" spans="1:15" x14ac:dyDescent="0.25">
      <c r="A5" s="48" t="s">
        <v>44</v>
      </c>
      <c r="B5" s="45">
        <v>4</v>
      </c>
      <c r="C5" s="45">
        <v>9</v>
      </c>
      <c r="D5" s="45">
        <f t="shared" si="2"/>
        <v>2018</v>
      </c>
      <c r="E5" s="43">
        <f>Electricity!G9</f>
        <v>24039.999999999054</v>
      </c>
      <c r="F5" s="43">
        <f>Electricity!E9</f>
        <v>2159.9999999998545</v>
      </c>
      <c r="G5" s="43">
        <f>Electricity!F9</f>
        <v>21879.9999999992</v>
      </c>
      <c r="H5" s="47">
        <v>1553.67</v>
      </c>
      <c r="I5" s="57" t="s">
        <v>28</v>
      </c>
      <c r="J5" s="106">
        <f>Electricity!L9</f>
        <v>26643244.646398917</v>
      </c>
      <c r="K5" s="43">
        <f t="shared" si="0"/>
        <v>1108.2880468552398</v>
      </c>
      <c r="L5" s="58">
        <f>Water!G8</f>
        <v>236</v>
      </c>
      <c r="M5" s="58">
        <v>12550</v>
      </c>
      <c r="N5" s="106">
        <f t="shared" si="1"/>
        <v>2961800</v>
      </c>
      <c r="O5" s="43">
        <f t="shared" si="3"/>
        <v>161</v>
      </c>
    </row>
    <row r="6" spans="1:15" x14ac:dyDescent="0.25">
      <c r="A6" s="48" t="s">
        <v>44</v>
      </c>
      <c r="B6" s="45">
        <v>5</v>
      </c>
      <c r="C6" s="45">
        <v>9</v>
      </c>
      <c r="D6" s="45">
        <f t="shared" si="2"/>
        <v>2018</v>
      </c>
      <c r="E6" s="43">
        <f>Electricity!G10</f>
        <v>28920.000000000528</v>
      </c>
      <c r="F6" s="43">
        <f>Electricity!E10</f>
        <v>7799.9999999997272</v>
      </c>
      <c r="G6" s="43">
        <f>Electricity!F10</f>
        <v>21120.0000000008</v>
      </c>
      <c r="H6" s="47">
        <v>1553.67</v>
      </c>
      <c r="I6" s="57" t="s">
        <v>28</v>
      </c>
      <c r="J6" s="106">
        <f>Electricity!L10</f>
        <v>34810162.790400416</v>
      </c>
      <c r="K6" s="43">
        <f t="shared" si="0"/>
        <v>1203.6709125311127</v>
      </c>
      <c r="L6" s="58">
        <f>Water!G9</f>
        <v>285</v>
      </c>
      <c r="M6" s="58">
        <v>12550</v>
      </c>
      <c r="N6" s="106">
        <f t="shared" si="1"/>
        <v>3576750</v>
      </c>
      <c r="O6" s="43">
        <f t="shared" si="3"/>
        <v>161</v>
      </c>
    </row>
    <row r="7" spans="1:15" x14ac:dyDescent="0.25">
      <c r="A7" s="48" t="s">
        <v>44</v>
      </c>
      <c r="B7" s="45">
        <v>6</v>
      </c>
      <c r="C7" s="45">
        <v>9</v>
      </c>
      <c r="D7" s="45">
        <f t="shared" si="2"/>
        <v>2018</v>
      </c>
      <c r="E7" s="43">
        <f>Electricity!G11</f>
        <v>25040.000000000873</v>
      </c>
      <c r="F7" s="43">
        <f>Electricity!E11</f>
        <v>3840.0000000001455</v>
      </c>
      <c r="G7" s="43">
        <f>Electricity!F11</f>
        <v>21200.000000000728</v>
      </c>
      <c r="H7" s="47">
        <v>1553.67</v>
      </c>
      <c r="I7" s="57" t="s">
        <v>28</v>
      </c>
      <c r="J7" s="106">
        <f>Electricity!L11</f>
        <v>28594819.891201004</v>
      </c>
      <c r="K7" s="43">
        <f t="shared" si="0"/>
        <v>1141.9656506070291</v>
      </c>
      <c r="L7" s="58">
        <f>Water!G10</f>
        <v>559</v>
      </c>
      <c r="M7" s="58">
        <v>12550</v>
      </c>
      <c r="N7" s="106">
        <f t="shared" si="1"/>
        <v>7015450</v>
      </c>
      <c r="O7" s="43">
        <f t="shared" si="3"/>
        <v>161</v>
      </c>
    </row>
    <row r="8" spans="1:15" x14ac:dyDescent="0.25">
      <c r="A8" s="48" t="s">
        <v>44</v>
      </c>
      <c r="B8" s="45">
        <v>7</v>
      </c>
      <c r="C8" s="45">
        <v>9</v>
      </c>
      <c r="D8" s="45">
        <f t="shared" si="2"/>
        <v>2018</v>
      </c>
      <c r="E8" s="43">
        <f>Electricity!G12</f>
        <v>27559.999999999945</v>
      </c>
      <c r="F8" s="43">
        <f>Electricity!E12</f>
        <v>6320.0000000001637</v>
      </c>
      <c r="G8" s="43">
        <f>Electricity!F12</f>
        <v>21239.999999999782</v>
      </c>
      <c r="H8" s="47">
        <v>1553.67</v>
      </c>
      <c r="I8" s="57" t="s">
        <v>28</v>
      </c>
      <c r="J8" s="106">
        <f>Electricity!L12</f>
        <v>32582821.478400026</v>
      </c>
      <c r="K8" s="43">
        <f t="shared" si="0"/>
        <v>1182.2504164876666</v>
      </c>
      <c r="L8" s="58">
        <f>Water!G11</f>
        <v>235</v>
      </c>
      <c r="M8" s="58">
        <v>12550</v>
      </c>
      <c r="N8" s="106">
        <f t="shared" si="1"/>
        <v>2949250</v>
      </c>
      <c r="O8" s="43">
        <f t="shared" si="3"/>
        <v>161</v>
      </c>
    </row>
    <row r="9" spans="1:15" x14ac:dyDescent="0.25">
      <c r="A9" s="48" t="s">
        <v>44</v>
      </c>
      <c r="B9" s="45">
        <v>8</v>
      </c>
      <c r="C9" s="45">
        <v>9</v>
      </c>
      <c r="D9" s="45">
        <f t="shared" si="2"/>
        <v>2018</v>
      </c>
      <c r="E9" s="43">
        <f>Electricity!G13</f>
        <v>21880.000000000109</v>
      </c>
      <c r="F9" s="43">
        <f>Electricity!E13</f>
        <v>1199.9999999998181</v>
      </c>
      <c r="G9" s="43">
        <f>Electricity!F13</f>
        <v>20680.000000000291</v>
      </c>
      <c r="H9" s="47">
        <v>1553.67</v>
      </c>
      <c r="I9" s="57" t="s">
        <v>28</v>
      </c>
      <c r="J9" s="106">
        <f>Electricity!L13</f>
        <v>23843158.425600018</v>
      </c>
      <c r="K9" s="43">
        <f t="shared" si="0"/>
        <v>1089.7238768555712</v>
      </c>
      <c r="L9" s="58">
        <f>Water!G12</f>
        <v>369</v>
      </c>
      <c r="M9" s="58">
        <v>12550</v>
      </c>
      <c r="N9" s="106">
        <f t="shared" si="1"/>
        <v>4630950</v>
      </c>
      <c r="O9" s="43">
        <f t="shared" si="3"/>
        <v>161</v>
      </c>
    </row>
    <row r="10" spans="1:15" x14ac:dyDescent="0.25">
      <c r="A10" s="48" t="s">
        <v>44</v>
      </c>
      <c r="B10" s="45">
        <v>9</v>
      </c>
      <c r="C10" s="45">
        <v>9</v>
      </c>
      <c r="D10" s="45">
        <f t="shared" si="2"/>
        <v>2018</v>
      </c>
      <c r="E10" s="43">
        <f>Electricity!G14</f>
        <v>28759.999999999309</v>
      </c>
      <c r="F10" s="43">
        <f>Electricity!E14</f>
        <v>7880.0000000001091</v>
      </c>
      <c r="G10" s="43">
        <f>Electricity!F14</f>
        <v>20879.9999999992</v>
      </c>
      <c r="H10" s="47">
        <v>1553.67</v>
      </c>
      <c r="I10" s="57" t="s">
        <v>28</v>
      </c>
      <c r="J10" s="106">
        <f>Electricity!L14</f>
        <v>34682886.143999331</v>
      </c>
      <c r="K10" s="43">
        <f t="shared" si="0"/>
        <v>1205.9417991655134</v>
      </c>
      <c r="L10" s="58">
        <f>Water!G13</f>
        <v>218</v>
      </c>
      <c r="M10" s="58">
        <v>12550</v>
      </c>
      <c r="N10" s="106">
        <f t="shared" si="1"/>
        <v>2735900</v>
      </c>
      <c r="O10" s="43">
        <f t="shared" si="3"/>
        <v>161</v>
      </c>
    </row>
    <row r="11" spans="1:15" x14ac:dyDescent="0.25">
      <c r="A11" s="48" t="s">
        <v>44</v>
      </c>
      <c r="B11" s="45">
        <v>10</v>
      </c>
      <c r="C11" s="45">
        <v>9</v>
      </c>
      <c r="D11" s="45">
        <f t="shared" si="2"/>
        <v>2018</v>
      </c>
      <c r="E11" s="43">
        <f>Electricity!G15</f>
        <v>22600.000000000364</v>
      </c>
      <c r="F11" s="43">
        <f>Electricity!E15</f>
        <v>4920.0000000000728</v>
      </c>
      <c r="G11" s="43">
        <f>Electricity!F15</f>
        <v>17680.000000000291</v>
      </c>
      <c r="H11" s="47">
        <v>1553.67</v>
      </c>
      <c r="I11" s="57" t="s">
        <v>28</v>
      </c>
      <c r="J11" s="106">
        <f>Electricity!L15</f>
        <v>26579606.323200423</v>
      </c>
      <c r="K11" s="43">
        <f t="shared" si="0"/>
        <v>1176.0887753628317</v>
      </c>
      <c r="L11" s="58">
        <f>Water!G14</f>
        <v>212</v>
      </c>
      <c r="M11" s="58">
        <v>12550</v>
      </c>
      <c r="N11" s="106">
        <f t="shared" si="1"/>
        <v>2660600</v>
      </c>
      <c r="O11" s="43">
        <f t="shared" si="3"/>
        <v>161</v>
      </c>
    </row>
    <row r="12" spans="1:15" x14ac:dyDescent="0.25">
      <c r="A12" s="48" t="s">
        <v>44</v>
      </c>
      <c r="B12" s="45">
        <v>11</v>
      </c>
      <c r="C12" s="45">
        <v>9</v>
      </c>
      <c r="D12" s="45">
        <f t="shared" si="2"/>
        <v>2018</v>
      </c>
      <c r="E12" s="43">
        <f>Electricity!G16</f>
        <v>27199.999999999363</v>
      </c>
      <c r="F12" s="43">
        <f>Electricity!E16</f>
        <v>4559.9999999999454</v>
      </c>
      <c r="G12" s="43">
        <f>Electricity!F16</f>
        <v>22639.999999999418</v>
      </c>
      <c r="H12" s="47">
        <v>1553.67</v>
      </c>
      <c r="I12" s="57" t="s">
        <v>28</v>
      </c>
      <c r="J12" s="106">
        <f>Electricity!L16</f>
        <v>31267629.465599298</v>
      </c>
      <c r="K12" s="43">
        <f t="shared" si="0"/>
        <v>1149.5452009411777</v>
      </c>
      <c r="L12" s="58">
        <f>Water!G15</f>
        <v>268</v>
      </c>
      <c r="M12" s="58">
        <v>12550</v>
      </c>
      <c r="N12" s="106">
        <f t="shared" si="1"/>
        <v>3363400</v>
      </c>
      <c r="O12" s="43">
        <f t="shared" si="3"/>
        <v>161</v>
      </c>
    </row>
    <row r="13" spans="1:15" x14ac:dyDescent="0.25">
      <c r="A13" s="48" t="s">
        <v>44</v>
      </c>
      <c r="B13" s="45">
        <v>12</v>
      </c>
      <c r="C13" s="45">
        <v>9</v>
      </c>
      <c r="D13" s="45">
        <f t="shared" si="2"/>
        <v>2018</v>
      </c>
      <c r="E13" s="43">
        <f>Electricity!G17</f>
        <v>25320.000000000618</v>
      </c>
      <c r="F13" s="43">
        <f>Electricity!E17</f>
        <v>4880.0000000001091</v>
      </c>
      <c r="G13" s="43">
        <f>Electricity!F17</f>
        <v>20440.000000000509</v>
      </c>
      <c r="H13" s="47">
        <v>1553.67</v>
      </c>
      <c r="I13" s="57" t="s">
        <v>28</v>
      </c>
      <c r="J13" s="106">
        <f>Electricity!L17</f>
        <v>29443330.867200714</v>
      </c>
      <c r="K13" s="43">
        <f t="shared" si="0"/>
        <v>1162.8487704265401</v>
      </c>
      <c r="L13" s="58">
        <f>Water!G16</f>
        <v>391</v>
      </c>
      <c r="M13" s="58">
        <v>12550</v>
      </c>
      <c r="N13" s="106">
        <f t="shared" si="1"/>
        <v>4907050</v>
      </c>
      <c r="O13" s="43">
        <f t="shared" si="3"/>
        <v>161</v>
      </c>
    </row>
    <row r="14" spans="1:15" x14ac:dyDescent="0.25">
      <c r="A14" s="48" t="s">
        <v>44</v>
      </c>
      <c r="B14" s="45">
        <v>13</v>
      </c>
      <c r="C14" s="45">
        <v>9</v>
      </c>
      <c r="D14" s="45">
        <f t="shared" si="2"/>
        <v>2018</v>
      </c>
      <c r="E14" s="43">
        <f>Electricity!G18</f>
        <v>25559.999999999945</v>
      </c>
      <c r="F14" s="43">
        <f>Electricity!E18</f>
        <v>4799.9999999997272</v>
      </c>
      <c r="G14" s="43">
        <f>Electricity!F18</f>
        <v>20760.000000000218</v>
      </c>
      <c r="H14" s="47">
        <v>1553.67</v>
      </c>
      <c r="I14" s="57" t="s">
        <v>28</v>
      </c>
      <c r="J14" s="106">
        <f>Electricity!L18</f>
        <v>29655458.611199796</v>
      </c>
      <c r="K14" s="43">
        <f t="shared" si="0"/>
        <v>1160.2292101408395</v>
      </c>
      <c r="L14" s="58">
        <f>Water!G17</f>
        <v>200</v>
      </c>
      <c r="M14" s="58">
        <v>12550</v>
      </c>
      <c r="N14" s="106">
        <f t="shared" si="1"/>
        <v>2510000</v>
      </c>
      <c r="O14" s="43">
        <f t="shared" si="3"/>
        <v>161</v>
      </c>
    </row>
    <row r="15" spans="1:15" x14ac:dyDescent="0.25">
      <c r="A15" s="48" t="s">
        <v>44</v>
      </c>
      <c r="B15" s="45">
        <v>14</v>
      </c>
      <c r="C15" s="45">
        <v>9</v>
      </c>
      <c r="D15" s="45">
        <f t="shared" si="2"/>
        <v>2018</v>
      </c>
      <c r="E15" s="43">
        <f>Electricity!G19</f>
        <v>25080.000000000382</v>
      </c>
      <c r="F15" s="43">
        <f>Electricity!E19</f>
        <v>4240.0000000002365</v>
      </c>
      <c r="G15" s="43">
        <f>Electricity!F19</f>
        <v>20840.000000000146</v>
      </c>
      <c r="H15" s="47">
        <v>1553.67</v>
      </c>
      <c r="I15" s="57" t="s">
        <v>28</v>
      </c>
      <c r="J15" s="106">
        <f>Electricity!L19</f>
        <v>28849373.184000533</v>
      </c>
      <c r="K15" s="43">
        <f t="shared" si="0"/>
        <v>1150.2939866028746</v>
      </c>
      <c r="L15" s="58">
        <f>Water!G18</f>
        <v>366</v>
      </c>
      <c r="M15" s="58">
        <v>12550</v>
      </c>
      <c r="N15" s="106">
        <f t="shared" si="1"/>
        <v>4593300</v>
      </c>
      <c r="O15" s="43">
        <f t="shared" si="3"/>
        <v>161</v>
      </c>
    </row>
    <row r="16" spans="1:15" x14ac:dyDescent="0.25">
      <c r="A16" s="48" t="s">
        <v>44</v>
      </c>
      <c r="B16" s="45">
        <v>15</v>
      </c>
      <c r="C16" s="45">
        <v>9</v>
      </c>
      <c r="D16" s="45">
        <f t="shared" si="2"/>
        <v>2018</v>
      </c>
      <c r="E16" s="43">
        <f>Electricity!G20</f>
        <v>25359.999999999218</v>
      </c>
      <c r="F16" s="43">
        <f>Electricity!E20</f>
        <v>4400.0000000000909</v>
      </c>
      <c r="G16" s="43">
        <f>Electricity!F20</f>
        <v>20959.999999999127</v>
      </c>
      <c r="H16" s="47">
        <v>1553.67</v>
      </c>
      <c r="I16" s="57" t="s">
        <v>28</v>
      </c>
      <c r="J16" s="106">
        <f>Electricity!L20</f>
        <v>29231203.123199217</v>
      </c>
      <c r="K16" s="43">
        <f t="shared" si="0"/>
        <v>1152.6499654258721</v>
      </c>
      <c r="L16" s="58">
        <f>Water!G19</f>
        <v>340</v>
      </c>
      <c r="M16" s="58">
        <v>12550</v>
      </c>
      <c r="N16" s="106">
        <f t="shared" si="1"/>
        <v>4267000</v>
      </c>
      <c r="O16" s="43">
        <f t="shared" si="3"/>
        <v>161</v>
      </c>
    </row>
    <row r="17" spans="1:15" x14ac:dyDescent="0.25">
      <c r="A17" s="48" t="s">
        <v>44</v>
      </c>
      <c r="B17" s="45">
        <v>16</v>
      </c>
      <c r="C17" s="45">
        <v>9</v>
      </c>
      <c r="D17" s="45">
        <f t="shared" si="2"/>
        <v>2018</v>
      </c>
      <c r="E17" s="43">
        <f>Electricity!G21</f>
        <v>27199.999999999363</v>
      </c>
      <c r="F17" s="43">
        <f>Electricity!E21</f>
        <v>6799.9999999997272</v>
      </c>
      <c r="G17" s="43">
        <f>Electricity!F21</f>
        <v>20399.999999999636</v>
      </c>
      <c r="H17" s="47">
        <v>1553.67</v>
      </c>
      <c r="I17" s="57" t="s">
        <v>28</v>
      </c>
      <c r="J17" s="106">
        <f>Electricity!L21</f>
        <v>32455544.831999179</v>
      </c>
      <c r="K17" s="43">
        <f t="shared" si="0"/>
        <v>1193.2185599999978</v>
      </c>
      <c r="L17" s="58">
        <f>Water!G20</f>
        <v>456</v>
      </c>
      <c r="M17" s="58">
        <v>12550</v>
      </c>
      <c r="N17" s="106">
        <f t="shared" si="1"/>
        <v>5722800</v>
      </c>
      <c r="O17" s="43">
        <f t="shared" si="3"/>
        <v>161</v>
      </c>
    </row>
    <row r="18" spans="1:15" x14ac:dyDescent="0.25">
      <c r="A18" s="48" t="s">
        <v>44</v>
      </c>
      <c r="B18" s="45">
        <v>17</v>
      </c>
      <c r="C18" s="45">
        <v>9</v>
      </c>
      <c r="D18" s="45">
        <f t="shared" si="2"/>
        <v>2018</v>
      </c>
      <c r="E18" s="43">
        <f>Electricity!G22</f>
        <v>23160.000000000309</v>
      </c>
      <c r="F18" s="43">
        <f>Electricity!E22</f>
        <v>2639.9999999998727</v>
      </c>
      <c r="G18" s="43">
        <f>Electricity!F22</f>
        <v>20520.000000000437</v>
      </c>
      <c r="H18" s="47">
        <v>1553.67</v>
      </c>
      <c r="I18" s="57" t="s">
        <v>28</v>
      </c>
      <c r="J18" s="106">
        <f>Electricity!L22</f>
        <v>25964435.865600262</v>
      </c>
      <c r="K18" s="43">
        <f t="shared" si="0"/>
        <v>1121.0896315025871</v>
      </c>
      <c r="L18" s="58">
        <f>Water!G21</f>
        <v>221</v>
      </c>
      <c r="M18" s="58">
        <v>12550</v>
      </c>
      <c r="N18" s="106">
        <f t="shared" si="1"/>
        <v>2773550</v>
      </c>
      <c r="O18" s="43">
        <f t="shared" si="3"/>
        <v>161</v>
      </c>
    </row>
    <row r="19" spans="1:15" x14ac:dyDescent="0.25">
      <c r="A19" s="48" t="s">
        <v>44</v>
      </c>
      <c r="B19" s="45">
        <v>18</v>
      </c>
      <c r="C19" s="45">
        <v>9</v>
      </c>
      <c r="D19" s="45">
        <f t="shared" si="2"/>
        <v>2018</v>
      </c>
      <c r="E19" s="43">
        <f>Electricity!G23</f>
        <v>25879.999999999654</v>
      </c>
      <c r="F19" s="43">
        <f>Electricity!E23</f>
        <v>4480.0000000000182</v>
      </c>
      <c r="G19" s="43">
        <f>Electricity!F23</f>
        <v>21399.999999999636</v>
      </c>
      <c r="H19" s="47">
        <v>1553.67</v>
      </c>
      <c r="I19" s="57" t="s">
        <v>28</v>
      </c>
      <c r="J19" s="106">
        <f>Electricity!L23</f>
        <v>29825160.806399643</v>
      </c>
      <c r="K19" s="43">
        <f t="shared" si="0"/>
        <v>1152.4405257496153</v>
      </c>
      <c r="L19" s="58">
        <f>Water!G22</f>
        <v>252</v>
      </c>
      <c r="M19" s="58">
        <v>12550</v>
      </c>
      <c r="N19" s="106">
        <f t="shared" si="1"/>
        <v>3162600</v>
      </c>
      <c r="O19" s="43">
        <f t="shared" si="3"/>
        <v>161</v>
      </c>
    </row>
    <row r="20" spans="1:15" x14ac:dyDescent="0.25">
      <c r="A20" s="48" t="s">
        <v>44</v>
      </c>
      <c r="B20" s="45">
        <v>19</v>
      </c>
      <c r="C20" s="45">
        <v>9</v>
      </c>
      <c r="D20" s="45">
        <f t="shared" si="2"/>
        <v>2018</v>
      </c>
      <c r="E20" s="43">
        <f>Electricity!G24</f>
        <v>25520.000000001346</v>
      </c>
      <c r="F20" s="43">
        <f>Electricity!E24</f>
        <v>5560.0000000004002</v>
      </c>
      <c r="G20" s="43">
        <f>Electricity!F24</f>
        <v>19960.000000000946</v>
      </c>
      <c r="H20" s="47">
        <v>1553.67</v>
      </c>
      <c r="I20" s="57" t="s">
        <v>28</v>
      </c>
      <c r="J20" s="106">
        <f>Electricity!L24</f>
        <v>30016075.77600164</v>
      </c>
      <c r="K20" s="43">
        <f t="shared" si="0"/>
        <v>1176.1785178683408</v>
      </c>
      <c r="L20" s="58">
        <f>Water!G23</f>
        <v>251</v>
      </c>
      <c r="M20" s="58">
        <v>12550</v>
      </c>
      <c r="N20" s="106">
        <f t="shared" si="1"/>
        <v>3150050</v>
      </c>
      <c r="O20" s="43">
        <f t="shared" si="3"/>
        <v>161</v>
      </c>
    </row>
    <row r="21" spans="1:15" x14ac:dyDescent="0.25">
      <c r="A21" s="48" t="s">
        <v>44</v>
      </c>
      <c r="B21" s="45">
        <v>20</v>
      </c>
      <c r="C21" s="45">
        <v>9</v>
      </c>
      <c r="D21" s="45">
        <f t="shared" si="2"/>
        <v>2018</v>
      </c>
      <c r="E21" s="43">
        <f>Electricity!G25</f>
        <v>25439.999999999145</v>
      </c>
      <c r="F21" s="43">
        <f>Electricity!E25</f>
        <v>4799.9999999997272</v>
      </c>
      <c r="G21" s="43">
        <f>Electricity!F25</f>
        <v>20639.999999999418</v>
      </c>
      <c r="H21" s="47">
        <v>1553.67</v>
      </c>
      <c r="I21" s="57" t="s">
        <v>28</v>
      </c>
      <c r="J21" s="106">
        <f>Electricity!L25</f>
        <v>29528181.964798946</v>
      </c>
      <c r="K21" s="43">
        <f t="shared" si="0"/>
        <v>1160.6989766037711</v>
      </c>
      <c r="L21" s="58">
        <f>Water!G24</f>
        <v>316</v>
      </c>
      <c r="M21" s="58">
        <v>12550</v>
      </c>
      <c r="N21" s="106">
        <f t="shared" si="1"/>
        <v>3965800</v>
      </c>
      <c r="O21" s="43">
        <f t="shared" si="3"/>
        <v>161</v>
      </c>
    </row>
    <row r="22" spans="1:15" x14ac:dyDescent="0.25">
      <c r="A22" s="48" t="s">
        <v>44</v>
      </c>
      <c r="B22" s="45">
        <v>21</v>
      </c>
      <c r="C22" s="45">
        <v>9</v>
      </c>
      <c r="D22" s="45">
        <f t="shared" si="2"/>
        <v>2018</v>
      </c>
      <c r="E22" s="43">
        <f>Electricity!G26</f>
        <v>24360.000000001037</v>
      </c>
      <c r="F22" s="43">
        <f>Electricity!E26</f>
        <v>4480.0000000000182</v>
      </c>
      <c r="G22" s="43">
        <f>Electricity!F26</f>
        <v>19880.000000001019</v>
      </c>
      <c r="H22" s="47">
        <v>1553.67</v>
      </c>
      <c r="I22" s="57" t="s">
        <v>28</v>
      </c>
      <c r="J22" s="106">
        <f>Electricity!L26</f>
        <v>28212989.952001106</v>
      </c>
      <c r="K22" s="43">
        <f t="shared" si="0"/>
        <v>1158.1687172413754</v>
      </c>
      <c r="L22" s="58">
        <f>Water!G25</f>
        <v>340</v>
      </c>
      <c r="M22" s="58">
        <v>12550</v>
      </c>
      <c r="N22" s="106">
        <f t="shared" si="1"/>
        <v>4267000</v>
      </c>
      <c r="O22" s="43">
        <f t="shared" si="3"/>
        <v>161</v>
      </c>
    </row>
    <row r="23" spans="1:15" x14ac:dyDescent="0.25">
      <c r="A23" s="48" t="s">
        <v>44</v>
      </c>
      <c r="B23" s="45">
        <v>22</v>
      </c>
      <c r="C23" s="45">
        <v>9</v>
      </c>
      <c r="D23" s="45">
        <f t="shared" si="2"/>
        <v>2018</v>
      </c>
      <c r="E23" s="43">
        <f>Electricity!G27</f>
        <v>24879.999999998745</v>
      </c>
      <c r="F23" s="43">
        <f>Electricity!E27</f>
        <v>4519.9999999999818</v>
      </c>
      <c r="G23" s="43">
        <f>Electricity!F27</f>
        <v>20359.999999998763</v>
      </c>
      <c r="H23" s="47">
        <v>1553.67</v>
      </c>
      <c r="I23" s="57" t="s">
        <v>28</v>
      </c>
      <c r="J23" s="106">
        <f>Electricity!L27</f>
        <v>28785734.860798661</v>
      </c>
      <c r="K23" s="43">
        <f t="shared" si="0"/>
        <v>1156.9829124115802</v>
      </c>
      <c r="L23" s="58">
        <f>Water!G26</f>
        <v>301</v>
      </c>
      <c r="M23" s="58">
        <v>12550</v>
      </c>
      <c r="N23" s="106">
        <f t="shared" si="1"/>
        <v>3777550</v>
      </c>
      <c r="O23" s="43">
        <f t="shared" si="3"/>
        <v>161</v>
      </c>
    </row>
    <row r="24" spans="1:15" x14ac:dyDescent="0.25">
      <c r="A24" s="48" t="s">
        <v>44</v>
      </c>
      <c r="B24" s="45">
        <v>23</v>
      </c>
      <c r="C24" s="45">
        <v>9</v>
      </c>
      <c r="D24" s="45">
        <f t="shared" si="2"/>
        <v>2018</v>
      </c>
      <c r="E24" s="43">
        <f>Electricity!G28</f>
        <v>24560.0000000004</v>
      </c>
      <c r="F24" s="43">
        <f>Electricity!E28</f>
        <v>4880.0000000001091</v>
      </c>
      <c r="G24" s="43">
        <f>Electricity!F28</f>
        <v>19680.000000000291</v>
      </c>
      <c r="H24" s="47">
        <v>1553.67</v>
      </c>
      <c r="I24" s="57" t="s">
        <v>28</v>
      </c>
      <c r="J24" s="106">
        <f>Electricity!L28</f>
        <v>28637245.440000482</v>
      </c>
      <c r="K24" s="43">
        <f t="shared" si="0"/>
        <v>1166.0116221498376</v>
      </c>
      <c r="L24" s="58">
        <f>Water!G27</f>
        <v>220</v>
      </c>
      <c r="M24" s="58">
        <v>12550</v>
      </c>
      <c r="N24" s="106">
        <f t="shared" si="1"/>
        <v>2761000</v>
      </c>
      <c r="O24" s="43">
        <f t="shared" si="3"/>
        <v>161</v>
      </c>
    </row>
    <row r="25" spans="1:15" x14ac:dyDescent="0.25">
      <c r="A25" s="48" t="s">
        <v>44</v>
      </c>
      <c r="B25" s="45">
        <v>24</v>
      </c>
      <c r="C25" s="45">
        <v>9</v>
      </c>
      <c r="D25" s="45">
        <f t="shared" si="2"/>
        <v>2018</v>
      </c>
      <c r="E25" s="43">
        <f>Electricity!G29</f>
        <v>24079.999999999472</v>
      </c>
      <c r="F25" s="43">
        <f>Electricity!E29</f>
        <v>3759.9999999997635</v>
      </c>
      <c r="G25" s="43">
        <f>Electricity!F29</f>
        <v>20319.999999999709</v>
      </c>
      <c r="H25" s="47">
        <v>1553.67</v>
      </c>
      <c r="I25" s="57" t="s">
        <v>28</v>
      </c>
      <c r="J25" s="106">
        <f>Electricity!L29</f>
        <v>27534181.171199318</v>
      </c>
      <c r="K25" s="43">
        <f t="shared" si="0"/>
        <v>1143.4460619269071</v>
      </c>
      <c r="L25" s="58">
        <f>Water!G28</f>
        <v>441</v>
      </c>
      <c r="M25" s="58">
        <v>12550</v>
      </c>
      <c r="N25" s="106">
        <f t="shared" si="1"/>
        <v>5534550</v>
      </c>
      <c r="O25" s="43">
        <f t="shared" si="3"/>
        <v>161</v>
      </c>
    </row>
    <row r="26" spans="1:15" x14ac:dyDescent="0.25">
      <c r="A26" s="48" t="s">
        <v>44</v>
      </c>
      <c r="B26" s="45">
        <v>25</v>
      </c>
      <c r="C26" s="45">
        <v>9</v>
      </c>
      <c r="D26" s="45">
        <f t="shared" si="2"/>
        <v>2018</v>
      </c>
      <c r="E26" s="43">
        <f>Electricity!G30</f>
        <v>26880.000000000109</v>
      </c>
      <c r="F26" s="43">
        <f>Electricity!E30</f>
        <v>5960.0000000000364</v>
      </c>
      <c r="G26" s="43">
        <f>Electricity!F30</f>
        <v>20920.000000000073</v>
      </c>
      <c r="H26" s="47">
        <v>1553.67</v>
      </c>
      <c r="I26" s="57" t="s">
        <v>28</v>
      </c>
      <c r="J26" s="106">
        <f>Electricity!L30</f>
        <v>31670672.179200135</v>
      </c>
      <c r="K26" s="43">
        <f t="shared" si="0"/>
        <v>1178.2244114285718</v>
      </c>
      <c r="L26" s="58">
        <f>Water!G29</f>
        <v>517</v>
      </c>
      <c r="M26" s="58">
        <v>12550</v>
      </c>
      <c r="N26" s="106">
        <f t="shared" si="1"/>
        <v>6488350</v>
      </c>
      <c r="O26" s="43">
        <f t="shared" si="3"/>
        <v>161</v>
      </c>
    </row>
    <row r="27" spans="1:15" x14ac:dyDescent="0.25">
      <c r="A27" s="48" t="s">
        <v>44</v>
      </c>
      <c r="B27" s="45">
        <v>26</v>
      </c>
      <c r="C27" s="45">
        <v>9</v>
      </c>
      <c r="D27" s="45">
        <f t="shared" si="2"/>
        <v>2018</v>
      </c>
      <c r="E27" s="43">
        <f>Electricity!G31</f>
        <v>27240.000000000236</v>
      </c>
      <c r="F27" s="43">
        <f>Electricity!E31</f>
        <v>5400.0000000000909</v>
      </c>
      <c r="G27" s="43">
        <f>Electricity!F31</f>
        <v>21840.000000000146</v>
      </c>
      <c r="H27" s="47">
        <v>1553.67</v>
      </c>
      <c r="I27" s="57" t="s">
        <v>28</v>
      </c>
      <c r="J27" s="106">
        <f>Electricity!L31</f>
        <v>31755523.276800301</v>
      </c>
      <c r="K27" s="43">
        <f t="shared" si="0"/>
        <v>1165.7681085462564</v>
      </c>
      <c r="L27" s="58">
        <f>Water!G30</f>
        <v>219</v>
      </c>
      <c r="M27" s="58">
        <v>12550</v>
      </c>
      <c r="N27" s="106">
        <f t="shared" si="1"/>
        <v>2748450</v>
      </c>
      <c r="O27" s="43">
        <f t="shared" si="3"/>
        <v>161</v>
      </c>
    </row>
    <row r="28" spans="1:15" x14ac:dyDescent="0.25">
      <c r="A28" s="48" t="s">
        <v>44</v>
      </c>
      <c r="B28" s="45">
        <v>27</v>
      </c>
      <c r="C28" s="45">
        <v>9</v>
      </c>
      <c r="D28" s="45">
        <f t="shared" si="2"/>
        <v>2018</v>
      </c>
      <c r="E28" s="43">
        <f>Electricity!G32</f>
        <v>26479.999999999109</v>
      </c>
      <c r="F28" s="43">
        <f>Electricity!E32</f>
        <v>4679.9999999998363</v>
      </c>
      <c r="G28" s="43">
        <f>Electricity!F32</f>
        <v>21799.999999999272</v>
      </c>
      <c r="H28" s="47">
        <v>1553.67</v>
      </c>
      <c r="I28" s="57" t="s">
        <v>28</v>
      </c>
      <c r="J28" s="106">
        <f>Electricity!L32</f>
        <v>30567607.910398968</v>
      </c>
      <c r="K28" s="43">
        <f t="shared" si="0"/>
        <v>1154.3658576435043</v>
      </c>
      <c r="L28" s="58">
        <f>Water!G31</f>
        <v>255</v>
      </c>
      <c r="M28" s="58">
        <v>12550</v>
      </c>
      <c r="N28" s="106">
        <f t="shared" si="1"/>
        <v>3200250</v>
      </c>
      <c r="O28" s="43">
        <f t="shared" si="3"/>
        <v>161</v>
      </c>
    </row>
    <row r="29" spans="1:15" x14ac:dyDescent="0.25">
      <c r="A29" s="48" t="s">
        <v>44</v>
      </c>
      <c r="B29" s="45">
        <v>28</v>
      </c>
      <c r="C29" s="45">
        <v>9</v>
      </c>
      <c r="D29" s="45">
        <f t="shared" si="2"/>
        <v>2018</v>
      </c>
      <c r="E29" s="43">
        <f>Electricity!G33</f>
        <v>26160.000000001673</v>
      </c>
      <c r="F29" s="43">
        <f>Electricity!E33</f>
        <v>5000</v>
      </c>
      <c r="G29" s="43">
        <f>Electricity!F33</f>
        <v>21160.000000001673</v>
      </c>
      <c r="H29" s="47">
        <v>1553.67</v>
      </c>
      <c r="I29" s="57" t="s">
        <v>28</v>
      </c>
      <c r="J29" s="106">
        <f>Electricity!L33</f>
        <v>30397905.715201773</v>
      </c>
      <c r="K29" s="43">
        <f t="shared" si="0"/>
        <v>1161.9994539449476</v>
      </c>
      <c r="L29" s="58">
        <f>Water!G32</f>
        <v>250</v>
      </c>
      <c r="M29" s="58">
        <v>12550</v>
      </c>
      <c r="N29" s="106">
        <f t="shared" si="1"/>
        <v>3137500</v>
      </c>
      <c r="O29" s="43">
        <f t="shared" si="3"/>
        <v>161</v>
      </c>
    </row>
    <row r="30" spans="1:15" s="43" customFormat="1" x14ac:dyDescent="0.25">
      <c r="A30" s="48" t="s">
        <v>44</v>
      </c>
      <c r="B30" s="45">
        <v>29</v>
      </c>
      <c r="C30" s="45">
        <v>9</v>
      </c>
      <c r="D30" s="45">
        <f t="shared" si="2"/>
        <v>2018</v>
      </c>
      <c r="E30" s="43">
        <f>Electricity!G34</f>
        <v>19519.999999999982</v>
      </c>
      <c r="F30" s="43">
        <f>Electricity!E34</f>
        <v>2040.0000000004184</v>
      </c>
      <c r="G30" s="43">
        <f>Electricity!F34</f>
        <v>17479.999999999563</v>
      </c>
      <c r="H30" s="47">
        <v>1553.67</v>
      </c>
      <c r="I30" s="57" t="s">
        <v>28</v>
      </c>
      <c r="J30" s="106">
        <f>Electricity!L34</f>
        <v>21785519.308800202</v>
      </c>
      <c r="K30" s="43">
        <f t="shared" si="0"/>
        <v>1116.0614400000113</v>
      </c>
      <c r="L30" s="58">
        <f>Water!G33</f>
        <v>303</v>
      </c>
      <c r="M30" s="58">
        <v>12550</v>
      </c>
      <c r="N30" s="106">
        <f t="shared" si="1"/>
        <v>3802650</v>
      </c>
      <c r="O30" s="43">
        <f t="shared" si="3"/>
        <v>161</v>
      </c>
    </row>
    <row r="31" spans="1:15" s="43" customFormat="1" x14ac:dyDescent="0.25">
      <c r="A31" s="48" t="s">
        <v>44</v>
      </c>
      <c r="B31" s="45">
        <v>30</v>
      </c>
      <c r="C31" s="45">
        <v>9</v>
      </c>
      <c r="D31" s="45">
        <f t="shared" si="2"/>
        <v>2018</v>
      </c>
      <c r="E31" s="43">
        <f>Electricity!G35</f>
        <v>26639.999999999873</v>
      </c>
      <c r="F31" s="43">
        <f>Electricity!E35</f>
        <v>5719.9999999997999</v>
      </c>
      <c r="G31" s="43">
        <f>Electricity!F35</f>
        <v>20920.000000000073</v>
      </c>
      <c r="H31" s="47">
        <v>1553.67</v>
      </c>
      <c r="I31" s="57" t="s">
        <v>28</v>
      </c>
      <c r="J31" s="106">
        <f>Electricity!L35</f>
        <v>31288842.23999976</v>
      </c>
      <c r="K31" s="43">
        <f t="shared" si="0"/>
        <v>1174.5060900900867</v>
      </c>
      <c r="L31" s="58">
        <f>Water!G34</f>
        <v>402</v>
      </c>
      <c r="M31" s="58">
        <v>12550</v>
      </c>
      <c r="N31" s="106">
        <f t="shared" si="1"/>
        <v>5045100</v>
      </c>
      <c r="O31" s="43">
        <f t="shared" si="3"/>
        <v>161</v>
      </c>
    </row>
    <row r="32" spans="1:15" s="43" customFormat="1" x14ac:dyDescent="0.25">
      <c r="A32" s="44"/>
      <c r="B32" s="46"/>
      <c r="C32" s="46"/>
      <c r="D32" s="45"/>
    </row>
    <row r="33" spans="1:14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  <c r="N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I34" sqref="I34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43344</v>
      </c>
      <c r="C6" s="59">
        <v>161</v>
      </c>
      <c r="D6" s="87">
        <v>1035.78</v>
      </c>
      <c r="E6" s="115">
        <v>4799.9999999997272</v>
      </c>
      <c r="F6" s="115">
        <v>22120.0000000008</v>
      </c>
      <c r="G6" s="80">
        <f>F6+E6</f>
        <v>26920.000000000528</v>
      </c>
      <c r="H6" s="81">
        <f t="shared" ref="H6:H33" si="0">E6*1.5*D6</f>
        <v>7457615.9999995762</v>
      </c>
      <c r="I6" s="81">
        <f t="shared" ref="I6:I33" si="1">F6*D6</f>
        <v>22911453.600000829</v>
      </c>
      <c r="J6" s="81">
        <f t="shared" ref="J6:J30" si="2">I6+H6</f>
        <v>30369069.600000404</v>
      </c>
      <c r="K6" s="81">
        <f>J6*0.024</f>
        <v>728857.67040000972</v>
      </c>
      <c r="L6" s="104">
        <f>J6+K6</f>
        <v>31097927.270400412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43345</v>
      </c>
      <c r="C7" s="59">
        <f>C6</f>
        <v>161</v>
      </c>
      <c r="D7" s="87">
        <v>1035.78</v>
      </c>
      <c r="E7" s="115">
        <v>4519.9999999999818</v>
      </c>
      <c r="F7" s="115">
        <v>22280.000000000655</v>
      </c>
      <c r="G7" s="80">
        <f t="shared" ref="G7:G33" si="3">F7+E7</f>
        <v>26800.000000000637</v>
      </c>
      <c r="H7" s="81">
        <f t="shared" si="0"/>
        <v>7022588.3999999715</v>
      </c>
      <c r="I7" s="81">
        <f t="shared" si="1"/>
        <v>23077178.400000677</v>
      </c>
      <c r="J7" s="81">
        <f t="shared" si="2"/>
        <v>30099766.800000649</v>
      </c>
      <c r="K7" s="81">
        <f t="shared" ref="K7:K35" si="4">J7*0.024</f>
        <v>722394.40320001554</v>
      </c>
      <c r="L7" s="104">
        <f>J7+K7</f>
        <v>30822161.203200664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43346</v>
      </c>
      <c r="C8" s="59">
        <f t="shared" ref="C8:C35" si="5">C7</f>
        <v>161</v>
      </c>
      <c r="D8" s="87">
        <v>1035.78</v>
      </c>
      <c r="E8" s="115">
        <v>6120.0000000003456</v>
      </c>
      <c r="F8" s="115">
        <v>22559.999999999491</v>
      </c>
      <c r="G8" s="80">
        <f t="shared" si="3"/>
        <v>28679.999999999836</v>
      </c>
      <c r="H8" s="81">
        <f t="shared" si="0"/>
        <v>9508460.4000005368</v>
      </c>
      <c r="I8" s="81">
        <f t="shared" si="1"/>
        <v>23367196.799999472</v>
      </c>
      <c r="J8" s="81">
        <f t="shared" si="2"/>
        <v>32875657.20000001</v>
      </c>
      <c r="K8" s="81">
        <f t="shared" si="4"/>
        <v>789015.77280000027</v>
      </c>
      <c r="L8" s="104">
        <f t="shared" ref="L8:L30" si="6">J8+K8</f>
        <v>33664672.972800009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43347</v>
      </c>
      <c r="C9" s="59">
        <f t="shared" si="5"/>
        <v>161</v>
      </c>
      <c r="D9" s="87">
        <v>1035.78</v>
      </c>
      <c r="E9" s="115">
        <v>2159.9999999998545</v>
      </c>
      <c r="F9" s="115">
        <v>21879.9999999992</v>
      </c>
      <c r="G9" s="80">
        <f t="shared" si="3"/>
        <v>24039.999999999054</v>
      </c>
      <c r="H9" s="81">
        <f t="shared" si="0"/>
        <v>3355927.1999997739</v>
      </c>
      <c r="I9" s="81">
        <f t="shared" si="1"/>
        <v>22662866.399999171</v>
      </c>
      <c r="J9" s="81">
        <f t="shared" si="2"/>
        <v>26018793.599998944</v>
      </c>
      <c r="K9" s="81">
        <f t="shared" si="4"/>
        <v>624451.04639997461</v>
      </c>
      <c r="L9" s="104">
        <f t="shared" si="6"/>
        <v>26643244.646398917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43348</v>
      </c>
      <c r="C10" s="59">
        <f t="shared" si="5"/>
        <v>161</v>
      </c>
      <c r="D10" s="87">
        <v>1035.78</v>
      </c>
      <c r="E10" s="115">
        <v>7799.9999999997272</v>
      </c>
      <c r="F10" s="115">
        <v>21120.0000000008</v>
      </c>
      <c r="G10" s="80">
        <f t="shared" si="3"/>
        <v>28920.000000000528</v>
      </c>
      <c r="H10" s="81">
        <f t="shared" si="0"/>
        <v>12118625.999999575</v>
      </c>
      <c r="I10" s="81">
        <f t="shared" si="1"/>
        <v>21875673.600000829</v>
      </c>
      <c r="J10" s="81">
        <f t="shared" si="2"/>
        <v>33994299.600000404</v>
      </c>
      <c r="K10" s="81">
        <f t="shared" si="4"/>
        <v>815863.19040000974</v>
      </c>
      <c r="L10" s="104">
        <f t="shared" si="6"/>
        <v>34810162.790400416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43349</v>
      </c>
      <c r="C11" s="59">
        <f t="shared" si="5"/>
        <v>161</v>
      </c>
      <c r="D11" s="87">
        <v>1035.78</v>
      </c>
      <c r="E11" s="115">
        <v>3840.0000000001455</v>
      </c>
      <c r="F11" s="115">
        <v>21200.000000000728</v>
      </c>
      <c r="G11" s="80">
        <f t="shared" si="3"/>
        <v>25040.000000000873</v>
      </c>
      <c r="H11" s="81">
        <f t="shared" si="0"/>
        <v>5966092.8000002261</v>
      </c>
      <c r="I11" s="81">
        <f t="shared" si="1"/>
        <v>21958536.000000753</v>
      </c>
      <c r="J11" s="81">
        <f t="shared" si="2"/>
        <v>27924628.80000098</v>
      </c>
      <c r="K11" s="81">
        <f t="shared" si="4"/>
        <v>670191.09120002354</v>
      </c>
      <c r="L11" s="104">
        <f t="shared" si="6"/>
        <v>28594819.891201004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43350</v>
      </c>
      <c r="C12" s="59">
        <f t="shared" si="5"/>
        <v>161</v>
      </c>
      <c r="D12" s="87">
        <v>1035.78</v>
      </c>
      <c r="E12" s="115">
        <v>6320.0000000001637</v>
      </c>
      <c r="F12" s="115">
        <v>21239.999999999782</v>
      </c>
      <c r="G12" s="80">
        <f t="shared" si="3"/>
        <v>27559.999999999945</v>
      </c>
      <c r="H12" s="81">
        <f t="shared" si="0"/>
        <v>9819194.4000002537</v>
      </c>
      <c r="I12" s="81">
        <f t="shared" si="1"/>
        <v>21999967.199999772</v>
      </c>
      <c r="J12" s="81">
        <f t="shared" si="2"/>
        <v>31819161.600000024</v>
      </c>
      <c r="K12" s="81">
        <f t="shared" si="4"/>
        <v>763659.87840000063</v>
      </c>
      <c r="L12" s="104">
        <f t="shared" si="6"/>
        <v>32582821.478400026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43351</v>
      </c>
      <c r="C13" s="59">
        <f t="shared" si="5"/>
        <v>161</v>
      </c>
      <c r="D13" s="87">
        <v>1035.78</v>
      </c>
      <c r="E13" s="115">
        <v>1199.9999999998181</v>
      </c>
      <c r="F13" s="115">
        <v>20680.000000000291</v>
      </c>
      <c r="G13" s="80">
        <f t="shared" si="3"/>
        <v>21880.000000000109</v>
      </c>
      <c r="H13" s="81">
        <f t="shared" si="0"/>
        <v>1864403.9999997173</v>
      </c>
      <c r="I13" s="81">
        <f t="shared" si="1"/>
        <v>21419930.4000003</v>
      </c>
      <c r="J13" s="81">
        <f t="shared" si="2"/>
        <v>23284334.400000017</v>
      </c>
      <c r="K13" s="81">
        <f t="shared" si="4"/>
        <v>558824.0256000004</v>
      </c>
      <c r="L13" s="104">
        <f t="shared" si="6"/>
        <v>23843158.425600018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43352</v>
      </c>
      <c r="C14" s="59">
        <f t="shared" si="5"/>
        <v>161</v>
      </c>
      <c r="D14" s="87">
        <v>1035.78</v>
      </c>
      <c r="E14" s="115">
        <v>7880.0000000001091</v>
      </c>
      <c r="F14" s="115">
        <v>20879.9999999992</v>
      </c>
      <c r="G14" s="80">
        <f t="shared" si="3"/>
        <v>28759.999999999309</v>
      </c>
      <c r="H14" s="81">
        <f t="shared" si="0"/>
        <v>12242919.600000169</v>
      </c>
      <c r="I14" s="81">
        <f t="shared" si="1"/>
        <v>21627086.399999171</v>
      </c>
      <c r="J14" s="81">
        <f t="shared" si="2"/>
        <v>33870005.999999344</v>
      </c>
      <c r="K14" s="81">
        <f t="shared" si="4"/>
        <v>812880.14399998426</v>
      </c>
      <c r="L14" s="104">
        <f t="shared" si="6"/>
        <v>34682886.143999331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43353</v>
      </c>
      <c r="C15" s="59">
        <f t="shared" si="5"/>
        <v>161</v>
      </c>
      <c r="D15" s="87">
        <v>1035.78</v>
      </c>
      <c r="E15" s="115">
        <v>4920.0000000000728</v>
      </c>
      <c r="F15" s="115">
        <v>17680.000000000291</v>
      </c>
      <c r="G15" s="80">
        <f t="shared" si="3"/>
        <v>22600.000000000364</v>
      </c>
      <c r="H15" s="81">
        <f t="shared" si="0"/>
        <v>7644056.4000001131</v>
      </c>
      <c r="I15" s="81">
        <f t="shared" si="1"/>
        <v>18312590.4000003</v>
      </c>
      <c r="J15" s="81">
        <f t="shared" si="2"/>
        <v>25956646.800000414</v>
      </c>
      <c r="K15" s="81">
        <f t="shared" si="4"/>
        <v>622959.52320000995</v>
      </c>
      <c r="L15" s="104">
        <f t="shared" si="6"/>
        <v>26579606.323200423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43354</v>
      </c>
      <c r="C16" s="59">
        <f t="shared" si="5"/>
        <v>161</v>
      </c>
      <c r="D16" s="87">
        <v>1035.78</v>
      </c>
      <c r="E16" s="115">
        <v>4559.9999999999454</v>
      </c>
      <c r="F16" s="115">
        <v>22639.999999999418</v>
      </c>
      <c r="G16" s="80">
        <f t="shared" si="3"/>
        <v>27199.999999999363</v>
      </c>
      <c r="H16" s="81">
        <f t="shared" si="0"/>
        <v>7084735.1999999154</v>
      </c>
      <c r="I16" s="81">
        <f t="shared" si="1"/>
        <v>23450059.199999396</v>
      </c>
      <c r="J16" s="81">
        <f t="shared" si="2"/>
        <v>30534794.399999313</v>
      </c>
      <c r="K16" s="81">
        <f t="shared" si="4"/>
        <v>732835.06559998356</v>
      </c>
      <c r="L16" s="104">
        <f t="shared" si="6"/>
        <v>31267629.465599298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43355</v>
      </c>
      <c r="C17" s="59">
        <f t="shared" si="5"/>
        <v>161</v>
      </c>
      <c r="D17" s="87">
        <v>1035.78</v>
      </c>
      <c r="E17" s="115">
        <v>4880.0000000001091</v>
      </c>
      <c r="F17" s="115">
        <v>20440.000000000509</v>
      </c>
      <c r="G17" s="80">
        <f t="shared" si="3"/>
        <v>25320.000000000618</v>
      </c>
      <c r="H17" s="81">
        <f t="shared" si="0"/>
        <v>7581909.6000001691</v>
      </c>
      <c r="I17" s="81">
        <f t="shared" si="1"/>
        <v>21171343.200000528</v>
      </c>
      <c r="J17" s="81">
        <f t="shared" si="2"/>
        <v>28753252.800000697</v>
      </c>
      <c r="K17" s="81">
        <f t="shared" si="4"/>
        <v>690078.0672000167</v>
      </c>
      <c r="L17" s="104">
        <f t="shared" si="6"/>
        <v>29443330.867200714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43356</v>
      </c>
      <c r="C18" s="59">
        <f t="shared" si="5"/>
        <v>161</v>
      </c>
      <c r="D18" s="87">
        <v>1035.78</v>
      </c>
      <c r="E18" s="115">
        <v>4799.9999999997272</v>
      </c>
      <c r="F18" s="115">
        <v>20760.000000000218</v>
      </c>
      <c r="G18" s="80">
        <f t="shared" si="3"/>
        <v>25559.999999999945</v>
      </c>
      <c r="H18" s="81">
        <f t="shared" si="0"/>
        <v>7457615.9999995762</v>
      </c>
      <c r="I18" s="81">
        <f t="shared" si="1"/>
        <v>21502792.800000224</v>
      </c>
      <c r="J18" s="81">
        <f t="shared" si="2"/>
        <v>28960408.7999998</v>
      </c>
      <c r="K18" s="81">
        <f t="shared" si="4"/>
        <v>695049.81119999522</v>
      </c>
      <c r="L18" s="104">
        <f t="shared" si="6"/>
        <v>29655458.611199796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43357</v>
      </c>
      <c r="C19" s="59">
        <f t="shared" si="5"/>
        <v>161</v>
      </c>
      <c r="D19" s="87">
        <v>1035.78</v>
      </c>
      <c r="E19" s="115">
        <v>4240.0000000002365</v>
      </c>
      <c r="F19" s="115">
        <v>20840.000000000146</v>
      </c>
      <c r="G19" s="80">
        <f t="shared" si="3"/>
        <v>25080.000000000382</v>
      </c>
      <c r="H19" s="81">
        <f t="shared" si="0"/>
        <v>6587560.8000003677</v>
      </c>
      <c r="I19" s="81">
        <f t="shared" si="1"/>
        <v>21585655.200000152</v>
      </c>
      <c r="J19" s="81">
        <f t="shared" si="2"/>
        <v>28173216.000000522</v>
      </c>
      <c r="K19" s="81">
        <f t="shared" si="4"/>
        <v>676157.18400001258</v>
      </c>
      <c r="L19" s="104">
        <f t="shared" si="6"/>
        <v>28849373.184000533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43358</v>
      </c>
      <c r="C20" s="59">
        <f t="shared" si="5"/>
        <v>161</v>
      </c>
      <c r="D20" s="87">
        <v>1035.78</v>
      </c>
      <c r="E20" s="115">
        <v>4400.0000000000909</v>
      </c>
      <c r="F20" s="115">
        <v>20959.999999999127</v>
      </c>
      <c r="G20" s="80">
        <f t="shared" si="3"/>
        <v>25359.999999999218</v>
      </c>
      <c r="H20" s="81">
        <f t="shared" si="0"/>
        <v>6836148.0000001416</v>
      </c>
      <c r="I20" s="81">
        <f t="shared" si="1"/>
        <v>21709948.799999095</v>
      </c>
      <c r="J20" s="81">
        <f t="shared" si="2"/>
        <v>28546096.799999237</v>
      </c>
      <c r="K20" s="81">
        <f t="shared" si="4"/>
        <v>685106.32319998171</v>
      </c>
      <c r="L20" s="104">
        <f t="shared" si="6"/>
        <v>29231203.123199217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43359</v>
      </c>
      <c r="C21" s="59">
        <f t="shared" si="5"/>
        <v>161</v>
      </c>
      <c r="D21" s="87">
        <v>1035.78</v>
      </c>
      <c r="E21" s="115">
        <v>6799.9999999997272</v>
      </c>
      <c r="F21" s="115">
        <v>20399.999999999636</v>
      </c>
      <c r="G21" s="80">
        <f t="shared" si="3"/>
        <v>27199.999999999363</v>
      </c>
      <c r="H21" s="81">
        <f t="shared" si="0"/>
        <v>10564955.999999575</v>
      </c>
      <c r="I21" s="81">
        <f t="shared" si="1"/>
        <v>21129911.999999624</v>
      </c>
      <c r="J21" s="81">
        <f t="shared" si="2"/>
        <v>31694867.999999199</v>
      </c>
      <c r="K21" s="81">
        <f t="shared" si="4"/>
        <v>760676.83199998084</v>
      </c>
      <c r="L21" s="104">
        <f t="shared" si="6"/>
        <v>32455544.831999179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43360</v>
      </c>
      <c r="C22" s="59">
        <f t="shared" si="5"/>
        <v>161</v>
      </c>
      <c r="D22" s="87">
        <v>1035.78</v>
      </c>
      <c r="E22" s="115">
        <v>2639.9999999998727</v>
      </c>
      <c r="F22" s="115">
        <v>20520.000000000437</v>
      </c>
      <c r="G22" s="80">
        <f t="shared" si="3"/>
        <v>23160.000000000309</v>
      </c>
      <c r="H22" s="81">
        <f t="shared" si="0"/>
        <v>4101688.7999998019</v>
      </c>
      <c r="I22" s="81">
        <f t="shared" si="1"/>
        <v>21254205.600000452</v>
      </c>
      <c r="J22" s="81">
        <f t="shared" si="2"/>
        <v>25355894.400000256</v>
      </c>
      <c r="K22" s="81">
        <f t="shared" si="4"/>
        <v>608541.46560000617</v>
      </c>
      <c r="L22" s="104">
        <f t="shared" si="6"/>
        <v>25964435.865600262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43361</v>
      </c>
      <c r="C23" s="59">
        <f t="shared" si="5"/>
        <v>161</v>
      </c>
      <c r="D23" s="87">
        <v>1035.78</v>
      </c>
      <c r="E23" s="115">
        <v>4480.0000000000182</v>
      </c>
      <c r="F23" s="115">
        <v>21399.999999999636</v>
      </c>
      <c r="G23" s="80">
        <f t="shared" si="3"/>
        <v>25879.999999999654</v>
      </c>
      <c r="H23" s="81">
        <f t="shared" si="0"/>
        <v>6960441.6000000285</v>
      </c>
      <c r="I23" s="81">
        <f t="shared" si="1"/>
        <v>22165691.999999624</v>
      </c>
      <c r="J23" s="81">
        <f t="shared" si="2"/>
        <v>29126133.599999651</v>
      </c>
      <c r="K23" s="81">
        <f t="shared" si="4"/>
        <v>699027.20639999164</v>
      </c>
      <c r="L23" s="104">
        <f t="shared" si="6"/>
        <v>29825160.806399643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43362</v>
      </c>
      <c r="C24" s="59">
        <f t="shared" si="5"/>
        <v>161</v>
      </c>
      <c r="D24" s="87">
        <v>1035.78</v>
      </c>
      <c r="E24" s="115">
        <v>5560.0000000004002</v>
      </c>
      <c r="F24" s="115">
        <v>19960.000000000946</v>
      </c>
      <c r="G24" s="80">
        <f t="shared" si="3"/>
        <v>25520.000000001346</v>
      </c>
      <c r="H24" s="81">
        <f t="shared" si="0"/>
        <v>8638405.2000006214</v>
      </c>
      <c r="I24" s="81">
        <f t="shared" si="1"/>
        <v>20674168.80000098</v>
      </c>
      <c r="J24" s="81">
        <f t="shared" si="2"/>
        <v>29312574.000001602</v>
      </c>
      <c r="K24" s="81">
        <f t="shared" si="4"/>
        <v>703501.77600003849</v>
      </c>
      <c r="L24" s="104">
        <f t="shared" si="6"/>
        <v>30016075.77600164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43363</v>
      </c>
      <c r="C25" s="59">
        <f t="shared" si="5"/>
        <v>161</v>
      </c>
      <c r="D25" s="87">
        <v>1035.78</v>
      </c>
      <c r="E25" s="115">
        <v>4799.9999999997272</v>
      </c>
      <c r="F25" s="115">
        <v>20639.999999999418</v>
      </c>
      <c r="G25" s="80">
        <f t="shared" si="3"/>
        <v>25439.999999999145</v>
      </c>
      <c r="H25" s="81">
        <f t="shared" si="0"/>
        <v>7457615.9999995762</v>
      </c>
      <c r="I25" s="81">
        <f t="shared" si="1"/>
        <v>21378499.199999396</v>
      </c>
      <c r="J25" s="81">
        <f t="shared" si="2"/>
        <v>28836115.199998971</v>
      </c>
      <c r="K25" s="81">
        <f t="shared" si="4"/>
        <v>692066.76479997532</v>
      </c>
      <c r="L25" s="104">
        <f t="shared" si="6"/>
        <v>29528181.964798946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43364</v>
      </c>
      <c r="C26" s="59">
        <f t="shared" si="5"/>
        <v>161</v>
      </c>
      <c r="D26" s="87">
        <v>1035.78</v>
      </c>
      <c r="E26" s="115">
        <v>4480.0000000000182</v>
      </c>
      <c r="F26" s="115">
        <v>19880.000000001019</v>
      </c>
      <c r="G26" s="80">
        <f t="shared" si="3"/>
        <v>24360.000000001037</v>
      </c>
      <c r="H26" s="81">
        <f t="shared" si="0"/>
        <v>6960441.6000000285</v>
      </c>
      <c r="I26" s="81">
        <f t="shared" si="1"/>
        <v>20591306.400001053</v>
      </c>
      <c r="J26" s="81">
        <f t="shared" si="2"/>
        <v>27551748.00000108</v>
      </c>
      <c r="K26" s="81">
        <f t="shared" si="4"/>
        <v>661241.95200002589</v>
      </c>
      <c r="L26" s="104">
        <f>J26+K26</f>
        <v>28212989.952001106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43365</v>
      </c>
      <c r="C27" s="59">
        <f t="shared" si="5"/>
        <v>161</v>
      </c>
      <c r="D27" s="87">
        <v>1035.78</v>
      </c>
      <c r="E27" s="115">
        <v>4519.9999999999818</v>
      </c>
      <c r="F27" s="115">
        <v>20359.999999998763</v>
      </c>
      <c r="G27" s="80">
        <f t="shared" si="3"/>
        <v>24879.999999998745</v>
      </c>
      <c r="H27" s="81">
        <f t="shared" si="0"/>
        <v>7022588.3999999715</v>
      </c>
      <c r="I27" s="81">
        <f t="shared" si="1"/>
        <v>21088480.799998719</v>
      </c>
      <c r="J27" s="81">
        <f t="shared" si="2"/>
        <v>28111069.199998692</v>
      </c>
      <c r="K27" s="81">
        <f t="shared" si="4"/>
        <v>674665.66079996864</v>
      </c>
      <c r="L27" s="104">
        <f t="shared" si="6"/>
        <v>28785734.860798661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43366</v>
      </c>
      <c r="C28" s="59">
        <f t="shared" si="5"/>
        <v>161</v>
      </c>
      <c r="D28" s="87">
        <v>1035.78</v>
      </c>
      <c r="E28" s="115">
        <v>4880.0000000001091</v>
      </c>
      <c r="F28" s="115">
        <v>19680.000000000291</v>
      </c>
      <c r="G28" s="80">
        <f t="shared" si="3"/>
        <v>24560.0000000004</v>
      </c>
      <c r="H28" s="81">
        <f t="shared" si="0"/>
        <v>7581909.6000001691</v>
      </c>
      <c r="I28" s="81">
        <f t="shared" si="1"/>
        <v>20384150.4000003</v>
      </c>
      <c r="J28" s="81">
        <f t="shared" si="2"/>
        <v>27966060.000000469</v>
      </c>
      <c r="K28" s="81">
        <f t="shared" si="4"/>
        <v>671185.44000001124</v>
      </c>
      <c r="L28" s="104">
        <f t="shared" si="6"/>
        <v>28637245.440000482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43367</v>
      </c>
      <c r="C29" s="59">
        <f t="shared" si="5"/>
        <v>161</v>
      </c>
      <c r="D29" s="87">
        <v>1035.78</v>
      </c>
      <c r="E29" s="115">
        <v>3759.9999999997635</v>
      </c>
      <c r="F29" s="115">
        <v>20319.999999999709</v>
      </c>
      <c r="G29" s="80">
        <f t="shared" si="3"/>
        <v>24079.999999999472</v>
      </c>
      <c r="H29" s="81">
        <f t="shared" si="0"/>
        <v>5841799.1999996323</v>
      </c>
      <c r="I29" s="81">
        <f t="shared" si="1"/>
        <v>21047049.5999997</v>
      </c>
      <c r="J29" s="81">
        <f t="shared" si="2"/>
        <v>26888848.799999334</v>
      </c>
      <c r="K29" s="81">
        <f t="shared" si="4"/>
        <v>645332.37119998399</v>
      </c>
      <c r="L29" s="104">
        <f t="shared" si="6"/>
        <v>27534181.171199318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43368</v>
      </c>
      <c r="C30" s="59">
        <f t="shared" si="5"/>
        <v>161</v>
      </c>
      <c r="D30" s="87">
        <v>1035.78</v>
      </c>
      <c r="E30" s="115">
        <v>5960.0000000000364</v>
      </c>
      <c r="F30" s="115">
        <v>20920.000000000073</v>
      </c>
      <c r="G30" s="80">
        <f t="shared" si="3"/>
        <v>26880.000000000109</v>
      </c>
      <c r="H30" s="81">
        <f t="shared" si="0"/>
        <v>9259873.200000057</v>
      </c>
      <c r="I30" s="81">
        <f t="shared" si="1"/>
        <v>21668517.600000076</v>
      </c>
      <c r="J30" s="81">
        <f t="shared" si="2"/>
        <v>30928390.800000131</v>
      </c>
      <c r="K30" s="81">
        <f t="shared" si="4"/>
        <v>742281.37920000311</v>
      </c>
      <c r="L30" s="104">
        <f t="shared" si="6"/>
        <v>31670672.179200135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43369</v>
      </c>
      <c r="C31" s="59">
        <f t="shared" si="5"/>
        <v>161</v>
      </c>
      <c r="D31" s="87">
        <v>1035.78</v>
      </c>
      <c r="E31" s="115">
        <v>5400.0000000000909</v>
      </c>
      <c r="F31" s="115">
        <v>21840.000000000146</v>
      </c>
      <c r="G31" s="80">
        <f t="shared" si="3"/>
        <v>27240.000000000236</v>
      </c>
      <c r="H31" s="81">
        <f t="shared" si="0"/>
        <v>8389818.0000001416</v>
      </c>
      <c r="I31" s="81">
        <f t="shared" si="1"/>
        <v>22621435.200000152</v>
      </c>
      <c r="J31" s="81">
        <f t="shared" ref="J31:J33" si="7">I31+H31</f>
        <v>31011253.200000294</v>
      </c>
      <c r="K31" s="81">
        <f t="shared" si="4"/>
        <v>744270.07680000702</v>
      </c>
      <c r="L31" s="104">
        <f t="shared" ref="L31:L33" si="8">J31+K31</f>
        <v>31755523.276800301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43370</v>
      </c>
      <c r="C32" s="59">
        <f t="shared" si="5"/>
        <v>161</v>
      </c>
      <c r="D32" s="87">
        <v>1035.78</v>
      </c>
      <c r="E32" s="115">
        <v>4679.9999999998363</v>
      </c>
      <c r="F32" s="115">
        <v>21799.999999999272</v>
      </c>
      <c r="G32" s="80">
        <f t="shared" si="3"/>
        <v>26479.999999999109</v>
      </c>
      <c r="H32" s="81">
        <f t="shared" si="0"/>
        <v>7271175.5999997454</v>
      </c>
      <c r="I32" s="81">
        <f t="shared" si="1"/>
        <v>22580003.999999247</v>
      </c>
      <c r="J32" s="81">
        <f t="shared" si="7"/>
        <v>29851179.599998992</v>
      </c>
      <c r="K32" s="81">
        <f t="shared" si="4"/>
        <v>716428.31039997586</v>
      </c>
      <c r="L32" s="104">
        <f t="shared" si="8"/>
        <v>30567607.910398968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43371</v>
      </c>
      <c r="C33" s="59">
        <f t="shared" si="5"/>
        <v>161</v>
      </c>
      <c r="D33" s="87">
        <v>1035.78</v>
      </c>
      <c r="E33" s="115">
        <v>5000</v>
      </c>
      <c r="F33" s="115">
        <v>21160.000000001673</v>
      </c>
      <c r="G33" s="80">
        <f t="shared" si="3"/>
        <v>26160.000000001673</v>
      </c>
      <c r="H33" s="81">
        <f t="shared" si="0"/>
        <v>7768350</v>
      </c>
      <c r="I33" s="81">
        <f t="shared" si="1"/>
        <v>21917104.800001733</v>
      </c>
      <c r="J33" s="81">
        <f t="shared" si="7"/>
        <v>29685454.800001733</v>
      </c>
      <c r="K33" s="81">
        <f t="shared" si="4"/>
        <v>712450.91520004161</v>
      </c>
      <c r="L33" s="104">
        <f t="shared" si="8"/>
        <v>30397905.715201773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43372</v>
      </c>
      <c r="C34" s="59">
        <f t="shared" si="5"/>
        <v>161</v>
      </c>
      <c r="D34" s="87">
        <v>1035.78</v>
      </c>
      <c r="E34" s="115">
        <v>2040.0000000004184</v>
      </c>
      <c r="F34" s="115">
        <v>17479.999999999563</v>
      </c>
      <c r="G34" s="80">
        <f t="shared" ref="G34" si="9">F34+E34</f>
        <v>19519.999999999982</v>
      </c>
      <c r="H34" s="81">
        <f t="shared" ref="H34" si="10">E34*1.5*D34</f>
        <v>3169486.8000006499</v>
      </c>
      <c r="I34" s="81">
        <f t="shared" ref="I34" si="11">F34*D34</f>
        <v>18105434.399999548</v>
      </c>
      <c r="J34" s="81">
        <f t="shared" ref="J34" si="12">I34+H34</f>
        <v>21274921.200000197</v>
      </c>
      <c r="K34" s="81">
        <f t="shared" si="4"/>
        <v>510598.10880000476</v>
      </c>
      <c r="L34" s="104">
        <f t="shared" ref="L34" si="13">J34+K34</f>
        <v>21785519.308800202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43373</v>
      </c>
      <c r="C35" s="59">
        <f t="shared" si="5"/>
        <v>161</v>
      </c>
      <c r="D35" s="87">
        <v>1035.78</v>
      </c>
      <c r="E35" s="115">
        <v>5719.9999999997999</v>
      </c>
      <c r="F35" s="115">
        <v>20920.000000000073</v>
      </c>
      <c r="G35" s="80">
        <f t="shared" ref="G35" si="14">F35+E35</f>
        <v>26639.999999999873</v>
      </c>
      <c r="H35" s="81">
        <f t="shared" ref="H35" si="15">E35*1.5*D35</f>
        <v>8886992.3999996893</v>
      </c>
      <c r="I35" s="81">
        <f t="shared" ref="I35" si="16">F35*D35</f>
        <v>21668517.600000076</v>
      </c>
      <c r="J35" s="81">
        <f t="shared" ref="J35" si="17">I35+H35</f>
        <v>30555509.999999765</v>
      </c>
      <c r="K35" s="81">
        <f t="shared" si="4"/>
        <v>733332.2399999944</v>
      </c>
      <c r="L35" s="104">
        <f t="shared" ref="L35" si="18">J35+K35</f>
        <v>31288842.23999976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4508</v>
      </c>
      <c r="D36" s="88"/>
      <c r="E36" s="82">
        <f t="shared" ref="E36:G36" si="19">SUM(E6:E35)</f>
        <v>143159.9999999998</v>
      </c>
      <c r="F36" s="82">
        <f t="shared" si="19"/>
        <v>624560.00000000128</v>
      </c>
      <c r="G36" s="82">
        <f t="shared" si="19"/>
        <v>767720.00000000093</v>
      </c>
      <c r="H36" s="82">
        <f>SUM(H6:H35)</f>
        <v>222423397.19999978</v>
      </c>
      <c r="I36" s="82">
        <f>SUM(I6:I35)</f>
        <v>646906756.80000138</v>
      </c>
      <c r="J36" s="82">
        <f>SUM(J6:J35)</f>
        <v>869330154.00000119</v>
      </c>
      <c r="K36" s="82">
        <f>SUM(K6:K35)</f>
        <v>20863923.696000028</v>
      </c>
      <c r="L36" s="82">
        <f>SUM(L6:L35)</f>
        <v>890194077.69600141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K45" sqref="K45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9</v>
      </c>
      <c r="D5" s="78">
        <v>2018</v>
      </c>
      <c r="E5" s="114">
        <v>83</v>
      </c>
      <c r="F5" s="108">
        <v>332</v>
      </c>
      <c r="G5" s="56">
        <f>E5+F5</f>
        <v>415</v>
      </c>
    </row>
    <row r="6" spans="1:43" ht="15.75" x14ac:dyDescent="0.25">
      <c r="B6" s="78">
        <v>2</v>
      </c>
      <c r="C6" s="78">
        <v>9</v>
      </c>
      <c r="D6" s="78">
        <f>D5</f>
        <v>2018</v>
      </c>
      <c r="E6" s="114">
        <v>44</v>
      </c>
      <c r="F6" s="109">
        <v>225</v>
      </c>
      <c r="G6" s="56">
        <f t="shared" ref="G6:G34" si="0">E6+F6</f>
        <v>269</v>
      </c>
    </row>
    <row r="7" spans="1:43" ht="15.75" x14ac:dyDescent="0.25">
      <c r="B7" s="78">
        <v>3</v>
      </c>
      <c r="C7" s="78">
        <v>9</v>
      </c>
      <c r="D7" s="78">
        <f t="shared" ref="D7:D34" si="1">D6</f>
        <v>2018</v>
      </c>
      <c r="E7" s="113">
        <v>80</v>
      </c>
      <c r="F7" s="108">
        <v>226</v>
      </c>
      <c r="G7" s="56">
        <f t="shared" si="0"/>
        <v>306</v>
      </c>
    </row>
    <row r="8" spans="1:43" ht="15.75" x14ac:dyDescent="0.25">
      <c r="B8" s="78">
        <v>4</v>
      </c>
      <c r="C8" s="78">
        <v>9</v>
      </c>
      <c r="D8" s="78">
        <f t="shared" si="1"/>
        <v>2018</v>
      </c>
      <c r="E8" s="113">
        <v>50</v>
      </c>
      <c r="F8" s="108">
        <v>186</v>
      </c>
      <c r="G8" s="56">
        <f t="shared" si="0"/>
        <v>236</v>
      </c>
    </row>
    <row r="9" spans="1:43" ht="15.75" x14ac:dyDescent="0.25">
      <c r="B9" s="78">
        <v>5</v>
      </c>
      <c r="C9" s="78">
        <v>9</v>
      </c>
      <c r="D9" s="78">
        <f t="shared" si="1"/>
        <v>2018</v>
      </c>
      <c r="E9" s="113">
        <v>60</v>
      </c>
      <c r="F9" s="108">
        <v>225</v>
      </c>
      <c r="G9" s="56">
        <f t="shared" si="0"/>
        <v>285</v>
      </c>
    </row>
    <row r="10" spans="1:43" ht="15.75" x14ac:dyDescent="0.25">
      <c r="B10" s="78">
        <v>6</v>
      </c>
      <c r="C10" s="78">
        <v>9</v>
      </c>
      <c r="D10" s="78">
        <f t="shared" si="1"/>
        <v>2018</v>
      </c>
      <c r="E10" s="113">
        <v>118</v>
      </c>
      <c r="F10" s="108">
        <v>441</v>
      </c>
      <c r="G10" s="56">
        <f t="shared" si="0"/>
        <v>559</v>
      </c>
    </row>
    <row r="11" spans="1:43" ht="15.75" x14ac:dyDescent="0.25">
      <c r="B11" s="78">
        <v>7</v>
      </c>
      <c r="C11" s="78">
        <v>9</v>
      </c>
      <c r="D11" s="78">
        <f t="shared" si="1"/>
        <v>2018</v>
      </c>
      <c r="E11" s="113">
        <v>49</v>
      </c>
      <c r="F11" s="108">
        <v>186</v>
      </c>
      <c r="G11" s="56">
        <f t="shared" si="0"/>
        <v>235</v>
      </c>
    </row>
    <row r="12" spans="1:43" ht="15.75" x14ac:dyDescent="0.25">
      <c r="B12" s="78">
        <v>8</v>
      </c>
      <c r="C12" s="78">
        <v>9</v>
      </c>
      <c r="D12" s="78">
        <f t="shared" si="1"/>
        <v>2018</v>
      </c>
      <c r="E12" s="113">
        <v>79</v>
      </c>
      <c r="F12" s="109">
        <v>290</v>
      </c>
      <c r="G12" s="56">
        <f t="shared" si="0"/>
        <v>369</v>
      </c>
    </row>
    <row r="13" spans="1:43" ht="15.75" x14ac:dyDescent="0.25">
      <c r="B13" s="78">
        <v>9</v>
      </c>
      <c r="C13" s="78">
        <v>9</v>
      </c>
      <c r="D13" s="78">
        <f t="shared" si="1"/>
        <v>2018</v>
      </c>
      <c r="E13" s="114">
        <v>46</v>
      </c>
      <c r="F13" s="109">
        <v>172</v>
      </c>
      <c r="G13" s="56">
        <f t="shared" si="0"/>
        <v>218</v>
      </c>
    </row>
    <row r="14" spans="1:43" ht="15.75" x14ac:dyDescent="0.25">
      <c r="B14" s="78">
        <v>10</v>
      </c>
      <c r="C14" s="78">
        <v>9</v>
      </c>
      <c r="D14" s="78">
        <f t="shared" si="1"/>
        <v>2018</v>
      </c>
      <c r="E14" s="113">
        <v>45</v>
      </c>
      <c r="F14" s="109">
        <v>167</v>
      </c>
      <c r="G14" s="56">
        <f t="shared" si="0"/>
        <v>212</v>
      </c>
    </row>
    <row r="15" spans="1:43" ht="15.75" x14ac:dyDescent="0.25">
      <c r="B15" s="78">
        <v>11</v>
      </c>
      <c r="C15" s="78">
        <v>9</v>
      </c>
      <c r="D15" s="78">
        <f t="shared" si="1"/>
        <v>2018</v>
      </c>
      <c r="E15" s="113">
        <v>57</v>
      </c>
      <c r="F15" s="108">
        <v>211</v>
      </c>
      <c r="G15" s="56">
        <f t="shared" si="0"/>
        <v>268</v>
      </c>
    </row>
    <row r="16" spans="1:43" ht="15.75" x14ac:dyDescent="0.25">
      <c r="B16" s="78">
        <v>12</v>
      </c>
      <c r="C16" s="78">
        <v>9</v>
      </c>
      <c r="D16" s="78">
        <f t="shared" si="1"/>
        <v>2018</v>
      </c>
      <c r="E16" s="113">
        <v>84</v>
      </c>
      <c r="F16" s="108">
        <v>307</v>
      </c>
      <c r="G16" s="56">
        <f t="shared" si="0"/>
        <v>391</v>
      </c>
    </row>
    <row r="17" spans="2:7" ht="15.75" x14ac:dyDescent="0.25">
      <c r="B17" s="78">
        <v>13</v>
      </c>
      <c r="C17" s="78">
        <v>9</v>
      </c>
      <c r="D17" s="78">
        <f t="shared" si="1"/>
        <v>2018</v>
      </c>
      <c r="E17" s="113">
        <v>43</v>
      </c>
      <c r="F17" s="108">
        <v>157</v>
      </c>
      <c r="G17" s="56">
        <f t="shared" si="0"/>
        <v>200</v>
      </c>
    </row>
    <row r="18" spans="2:7" ht="15.75" x14ac:dyDescent="0.25">
      <c r="B18" s="78">
        <v>14</v>
      </c>
      <c r="C18" s="78">
        <v>9</v>
      </c>
      <c r="D18" s="78">
        <f t="shared" si="1"/>
        <v>2018</v>
      </c>
      <c r="E18" s="113">
        <v>78</v>
      </c>
      <c r="F18" s="108">
        <v>288</v>
      </c>
      <c r="G18" s="56">
        <f t="shared" si="0"/>
        <v>366</v>
      </c>
    </row>
    <row r="19" spans="2:7" ht="15.75" x14ac:dyDescent="0.25">
      <c r="B19" s="78">
        <v>15</v>
      </c>
      <c r="C19" s="78">
        <v>9</v>
      </c>
      <c r="D19" s="78">
        <f t="shared" si="1"/>
        <v>2018</v>
      </c>
      <c r="E19" s="113">
        <v>72</v>
      </c>
      <c r="F19" s="108">
        <v>268</v>
      </c>
      <c r="G19" s="56">
        <f t="shared" si="0"/>
        <v>340</v>
      </c>
    </row>
    <row r="20" spans="2:7" ht="15.75" x14ac:dyDescent="0.25">
      <c r="B20" s="78">
        <v>16</v>
      </c>
      <c r="C20" s="78">
        <v>9</v>
      </c>
      <c r="D20" s="78">
        <f t="shared" si="1"/>
        <v>2018</v>
      </c>
      <c r="E20" s="114">
        <v>98</v>
      </c>
      <c r="F20" s="109">
        <v>358</v>
      </c>
      <c r="G20" s="56">
        <f t="shared" si="0"/>
        <v>456</v>
      </c>
    </row>
    <row r="21" spans="2:7" ht="15.75" x14ac:dyDescent="0.25">
      <c r="B21" s="78">
        <v>17</v>
      </c>
      <c r="C21" s="78">
        <v>9</v>
      </c>
      <c r="D21" s="78">
        <f t="shared" si="1"/>
        <v>2018</v>
      </c>
      <c r="E21" s="113">
        <v>47</v>
      </c>
      <c r="F21" s="108">
        <v>174</v>
      </c>
      <c r="G21" s="56">
        <f t="shared" si="0"/>
        <v>221</v>
      </c>
    </row>
    <row r="22" spans="2:7" ht="15.75" x14ac:dyDescent="0.25">
      <c r="B22" s="78">
        <v>18</v>
      </c>
      <c r="C22" s="78">
        <v>9</v>
      </c>
      <c r="D22" s="78">
        <f t="shared" si="1"/>
        <v>2018</v>
      </c>
      <c r="E22" s="113">
        <v>53</v>
      </c>
      <c r="F22" s="108">
        <v>199</v>
      </c>
      <c r="G22" s="56">
        <f t="shared" si="0"/>
        <v>252</v>
      </c>
    </row>
    <row r="23" spans="2:7" ht="15.75" x14ac:dyDescent="0.25">
      <c r="B23" s="78">
        <v>19</v>
      </c>
      <c r="C23" s="78">
        <v>9</v>
      </c>
      <c r="D23" s="78">
        <f t="shared" si="1"/>
        <v>2018</v>
      </c>
      <c r="E23" s="113">
        <v>53</v>
      </c>
      <c r="F23" s="108">
        <v>198</v>
      </c>
      <c r="G23" s="56">
        <f t="shared" si="0"/>
        <v>251</v>
      </c>
    </row>
    <row r="24" spans="2:7" ht="15.75" x14ac:dyDescent="0.25">
      <c r="B24" s="78">
        <v>20</v>
      </c>
      <c r="C24" s="78">
        <v>9</v>
      </c>
      <c r="D24" s="78">
        <f t="shared" si="1"/>
        <v>2018</v>
      </c>
      <c r="E24" s="113">
        <v>67</v>
      </c>
      <c r="F24" s="108">
        <v>249</v>
      </c>
      <c r="G24" s="56">
        <f t="shared" si="0"/>
        <v>316</v>
      </c>
    </row>
    <row r="25" spans="2:7" ht="15.75" x14ac:dyDescent="0.25">
      <c r="B25" s="78">
        <v>21</v>
      </c>
      <c r="C25" s="78">
        <v>9</v>
      </c>
      <c r="D25" s="78">
        <f t="shared" si="1"/>
        <v>2018</v>
      </c>
      <c r="E25" s="113">
        <v>72</v>
      </c>
      <c r="F25" s="108">
        <v>268</v>
      </c>
      <c r="G25" s="56">
        <f t="shared" si="0"/>
        <v>340</v>
      </c>
    </row>
    <row r="26" spans="2:7" ht="15.75" x14ac:dyDescent="0.25">
      <c r="B26" s="78">
        <v>22</v>
      </c>
      <c r="C26" s="78">
        <v>9</v>
      </c>
      <c r="D26" s="78">
        <f t="shared" si="1"/>
        <v>2018</v>
      </c>
      <c r="E26" s="113">
        <v>64</v>
      </c>
      <c r="F26" s="108">
        <v>237</v>
      </c>
      <c r="G26" s="56">
        <f t="shared" si="0"/>
        <v>301</v>
      </c>
    </row>
    <row r="27" spans="2:7" ht="15.75" x14ac:dyDescent="0.25">
      <c r="B27" s="78">
        <v>23</v>
      </c>
      <c r="C27" s="78">
        <v>9</v>
      </c>
      <c r="D27" s="78">
        <f t="shared" si="1"/>
        <v>2018</v>
      </c>
      <c r="E27" s="114">
        <v>46</v>
      </c>
      <c r="F27" s="109">
        <v>174</v>
      </c>
      <c r="G27" s="56">
        <f t="shared" si="0"/>
        <v>220</v>
      </c>
    </row>
    <row r="28" spans="2:7" ht="15.75" x14ac:dyDescent="0.25">
      <c r="B28" s="78">
        <v>24</v>
      </c>
      <c r="C28" s="78">
        <v>9</v>
      </c>
      <c r="D28" s="78">
        <f t="shared" si="1"/>
        <v>2018</v>
      </c>
      <c r="E28" s="113">
        <v>95</v>
      </c>
      <c r="F28" s="108">
        <v>346</v>
      </c>
      <c r="G28" s="56">
        <f t="shared" si="0"/>
        <v>441</v>
      </c>
    </row>
    <row r="29" spans="2:7" ht="15.75" x14ac:dyDescent="0.25">
      <c r="B29" s="78">
        <v>25</v>
      </c>
      <c r="C29" s="78">
        <v>9</v>
      </c>
      <c r="D29" s="78">
        <f t="shared" si="1"/>
        <v>2018</v>
      </c>
      <c r="E29" s="113">
        <v>111</v>
      </c>
      <c r="F29" s="108">
        <v>406</v>
      </c>
      <c r="G29" s="56">
        <f t="shared" si="0"/>
        <v>517</v>
      </c>
    </row>
    <row r="30" spans="2:7" ht="15.75" x14ac:dyDescent="0.25">
      <c r="B30" s="78">
        <v>26</v>
      </c>
      <c r="C30" s="78">
        <v>9</v>
      </c>
      <c r="D30" s="78">
        <f t="shared" si="1"/>
        <v>2018</v>
      </c>
      <c r="E30" s="113">
        <v>46</v>
      </c>
      <c r="F30" s="108">
        <v>173</v>
      </c>
      <c r="G30" s="56">
        <f t="shared" si="0"/>
        <v>219</v>
      </c>
    </row>
    <row r="31" spans="2:7" ht="15.75" x14ac:dyDescent="0.25">
      <c r="B31" s="78">
        <v>27</v>
      </c>
      <c r="C31" s="78">
        <v>9</v>
      </c>
      <c r="D31" s="78">
        <f t="shared" si="1"/>
        <v>2018</v>
      </c>
      <c r="E31" s="113">
        <v>55</v>
      </c>
      <c r="F31" s="108">
        <v>200</v>
      </c>
      <c r="G31" s="56">
        <f t="shared" si="0"/>
        <v>255</v>
      </c>
    </row>
    <row r="32" spans="2:7" ht="15.75" x14ac:dyDescent="0.25">
      <c r="B32" s="78">
        <v>28</v>
      </c>
      <c r="C32" s="78">
        <v>9</v>
      </c>
      <c r="D32" s="78">
        <f t="shared" si="1"/>
        <v>2018</v>
      </c>
      <c r="E32" s="113">
        <v>53</v>
      </c>
      <c r="F32" s="108">
        <v>197</v>
      </c>
      <c r="G32" s="56">
        <f t="shared" si="0"/>
        <v>250</v>
      </c>
    </row>
    <row r="33" spans="2:9" ht="15.75" x14ac:dyDescent="0.25">
      <c r="B33" s="78">
        <v>29</v>
      </c>
      <c r="C33" s="78">
        <v>9</v>
      </c>
      <c r="D33" s="78">
        <f t="shared" si="1"/>
        <v>2018</v>
      </c>
      <c r="E33" s="113">
        <v>12</v>
      </c>
      <c r="F33" s="108">
        <v>291</v>
      </c>
      <c r="G33" s="56">
        <f t="shared" si="0"/>
        <v>303</v>
      </c>
    </row>
    <row r="34" spans="2:9" ht="15.75" x14ac:dyDescent="0.25">
      <c r="B34" s="78">
        <v>30</v>
      </c>
      <c r="C34" s="78">
        <v>9</v>
      </c>
      <c r="D34" s="78">
        <f t="shared" si="1"/>
        <v>2018</v>
      </c>
      <c r="E34" s="113">
        <v>139</v>
      </c>
      <c r="F34" s="108">
        <v>263</v>
      </c>
      <c r="G34" s="56">
        <f t="shared" si="0"/>
        <v>402</v>
      </c>
    </row>
    <row r="35" spans="2:9" ht="21" x14ac:dyDescent="0.35">
      <c r="B35" s="64"/>
      <c r="C35" s="64"/>
      <c r="D35" s="64"/>
      <c r="E35" s="14">
        <f>SUM(E5:E34)</f>
        <v>1999</v>
      </c>
      <c r="F35" s="14">
        <f>SUM(F5:F34)</f>
        <v>7414</v>
      </c>
      <c r="G35" s="14">
        <f>SUM(G5:G34)</f>
        <v>9413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9413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118133150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2023-03-10T08:23:17Z</dcterms:modified>
</cp:coreProperties>
</file>