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13_ncr:1_{073E2999-C4C4-4981-8010-3E904356FA2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OTAL" sheetId="1" r:id="rId1"/>
    <sheet name="February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1" l="1"/>
  <c r="E32" i="1"/>
  <c r="G32" i="1"/>
  <c r="I32" i="1"/>
  <c r="K32" i="1"/>
  <c r="L3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D36" i="8" l="1"/>
  <c r="C36" i="8"/>
  <c r="B36" i="8"/>
  <c r="L35" i="8"/>
  <c r="K35" i="8"/>
  <c r="J35" i="8"/>
  <c r="H35" i="8"/>
  <c r="G35" i="8"/>
  <c r="F35" i="8"/>
  <c r="D35" i="8"/>
  <c r="C35" i="8"/>
  <c r="B35" i="8"/>
  <c r="C38" i="8" l="1"/>
  <c r="D38" i="8"/>
  <c r="B38" i="8"/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<sst xmlns="http://schemas.openxmlformats.org/spreadsheetml/2006/main" count="68" uniqueCount="36">
  <si>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</si>
  <si>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</si>
  <si>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</si>
  <si>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</si>
  <si>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</si>
  <si>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</si>
  <si>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</si>
  <si>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</si>
  <si>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</si>
  <si>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</si>
  <si>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Total Guests </t>
  </si>
  <si>
    <t xml:space="preserve">Room Nights </t>
  </si>
  <si>
    <t>Prague</t>
  </si>
  <si>
    <t xml:space="preserve"> </t>
  </si>
  <si>
    <t>DATE</t>
  </si>
  <si>
    <t xml:space="preserve">Electricity </t>
  </si>
  <si>
    <t>Gas</t>
  </si>
  <si>
    <t>Water</t>
  </si>
  <si>
    <t>Guests</t>
  </si>
  <si>
    <t>MTG</t>
  </si>
  <si>
    <t>[kWh]</t>
  </si>
  <si>
    <t>[m3]</t>
  </si>
  <si>
    <t>in house</t>
  </si>
  <si>
    <t>rooms</t>
  </si>
  <si>
    <t xml:space="preserve">TOTAL </t>
  </si>
  <si>
    <t>AVG</t>
  </si>
  <si>
    <t>Average consumption per guest</t>
  </si>
  <si>
    <t>Stefano Ricci</t>
  </si>
  <si>
    <t>Room Night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</si>
  <si>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</t>
  </si>
  <si>
    <t>min. ČR</t>
  </si>
  <si>
    <t>max. ČR</t>
  </si>
  <si>
    <t>FSHP-max</t>
  </si>
  <si>
    <t>Temperature °C</t>
  </si>
  <si>
    <t>Four Seasons Hotel Prague - Utilities Daily Consumption - JUNE 2021</t>
  </si>
  <si>
    <t>Kremosyn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</si>
</sst>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"/>
  </numFmts>
  <fonts count="18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  <charset val="238"/>
    </font>
    <font>
      <sz val="8"/>
      <name val="Arial CE"/>
      <family val="2"/>
      <charset val="238"/>
    </font>
    <font>
      <sz val="8"/>
      <name val="Arial"/>
      <family val="2"/>
    </font>
    <font>
      <b/>
      <sz val="12"/>
      <name val="Arial"/>
      <family val="2"/>
      <charset val="238"/>
    </font>
    <font>
      <sz val="12"/>
      <name val="Arial"/>
      <family val="2"/>
      <charset val="238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8"/>
      <name val="Arial"/>
      <family val="2"/>
      <charset val="238"/>
    </font>
    <font>
      <sz val="8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9"/>
      <name val="Arial"/>
      <family val="2"/>
      <charset val="238"/>
    </font>
    <font>
      <sz val="10"/>
      <color theme="1"/>
      <name val="Arial"/>
      <family val="2"/>
      <charset val="238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6699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1" fontId="0" fillId="0" borderId="0" xfId="0" applyNumberFormat="1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Continuous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8" xfId="0" applyFont="1" applyBorder="1" applyAlignment="1">
      <alignment horizontal="center" vertical="center" wrapText="1"/>
    </xf>
    <xf numFmtId="2" fontId="9" fillId="0" borderId="8" xfId="0" applyNumberFormat="1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10" fillId="0" borderId="8" xfId="0" applyFont="1" applyBorder="1" applyAlignment="1">
      <alignment horizontal="center" vertical="center" wrapText="1"/>
    </xf>
    <xf numFmtId="1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4" fontId="1" fillId="3" borderId="16" xfId="0" applyNumberFormat="1" applyFont="1" applyFill="1" applyBorder="1" applyAlignment="1">
      <alignment horizontal="center"/>
    </xf>
    <xf numFmtId="4" fontId="1" fillId="3" borderId="17" xfId="0" applyNumberFormat="1" applyFont="1" applyFill="1" applyBorder="1" applyAlignment="1">
      <alignment horizontal="center"/>
    </xf>
    <xf numFmtId="4" fontId="1" fillId="3" borderId="18" xfId="0" applyNumberFormat="1" applyFont="1" applyFill="1" applyBorder="1" applyAlignment="1">
      <alignment horizontal="center"/>
    </xf>
    <xf numFmtId="4" fontId="2" fillId="0" borderId="0" xfId="0" applyNumberFormat="1" applyFont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4" fontId="2" fillId="0" borderId="19" xfId="0" applyNumberFormat="1" applyFont="1" applyBorder="1" applyAlignment="1">
      <alignment horizontal="center"/>
    </xf>
    <xf numFmtId="4" fontId="2" fillId="0" borderId="20" xfId="0" applyNumberFormat="1" applyFont="1" applyBorder="1" applyAlignment="1">
      <alignment horizontal="center"/>
    </xf>
    <xf numFmtId="4" fontId="2" fillId="0" borderId="21" xfId="0" applyNumberFormat="1" applyFont="1" applyBorder="1" applyAlignment="1">
      <alignment horizontal="center"/>
    </xf>
    <xf numFmtId="1" fontId="4" fillId="0" borderId="0" xfId="0" applyNumberFormat="1" applyFont="1" applyAlignment="1">
      <alignment horizontal="center"/>
    </xf>
    <xf numFmtId="0" fontId="5" fillId="0" borderId="22" xfId="0" applyFont="1" applyBorder="1" applyAlignment="1">
      <alignment horizontal="right"/>
    </xf>
    <xf numFmtId="3" fontId="6" fillId="0" borderId="22" xfId="0" applyNumberFormat="1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4" fontId="1" fillId="3" borderId="0" xfId="0" applyNumberFormat="1" applyFont="1" applyFill="1" applyAlignment="1">
      <alignment horizontal="center"/>
    </xf>
    <xf numFmtId="0" fontId="12" fillId="0" borderId="14" xfId="0" applyFont="1" applyBorder="1" applyAlignment="1">
      <alignment horizontal="center"/>
    </xf>
    <xf numFmtId="166" fontId="1" fillId="3" borderId="7" xfId="0" applyNumberFormat="1" applyFont="1" applyFill="1" applyBorder="1" applyAlignment="1">
      <alignment horizontal="center"/>
    </xf>
    <xf numFmtId="166" fontId="1" fillId="3" borderId="14" xfId="0" applyNumberFormat="1" applyFont="1" applyFill="1" applyBorder="1" applyAlignment="1">
      <alignment horizontal="center"/>
    </xf>
    <xf numFmtId="166" fontId="1" fillId="3" borderId="27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2" borderId="6" xfId="0" applyFont="1" applyFill="1" applyBorder="1" applyAlignment="1" applyProtection="1">
      <alignment horizontal="center"/>
      <protection locked="0"/>
    </xf>
    <xf numFmtId="0" fontId="2" fillId="0" borderId="6" xfId="0" applyFont="1" applyBorder="1" applyAlignment="1">
      <alignment horizontal="center"/>
    </xf>
    <xf numFmtId="3" fontId="3" fillId="2" borderId="5" xfId="0" applyNumberFormat="1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/>
    </xf>
    <xf numFmtId="0" fontId="2" fillId="2" borderId="0" xfId="0" applyFont="1" applyFill="1" applyAlignment="1" applyProtection="1">
      <alignment horizontal="center"/>
      <protection locked="0"/>
    </xf>
    <xf numFmtId="0" fontId="2" fillId="2" borderId="0" xfId="0" applyFont="1" applyFill="1" applyAlignment="1">
      <alignment horizontal="center"/>
    </xf>
    <xf numFmtId="3" fontId="2" fillId="0" borderId="13" xfId="0" applyNumberFormat="1" applyFont="1" applyBorder="1" applyAlignment="1">
      <alignment horizontal="center"/>
    </xf>
    <xf numFmtId="3" fontId="3" fillId="2" borderId="12" xfId="0" applyNumberFormat="1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2" borderId="25" xfId="0" applyFont="1" applyFill="1" applyBorder="1" applyAlignment="1" applyProtection="1">
      <alignment horizontal="center"/>
      <protection locked="0"/>
    </xf>
    <xf numFmtId="0" fontId="2" fillId="0" borderId="25" xfId="0" applyFont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2" borderId="28" xfId="0" applyFont="1" applyFill="1" applyBorder="1" applyAlignment="1" applyProtection="1">
      <alignment horizontal="center"/>
      <protection locked="0"/>
    </xf>
    <xf numFmtId="0" fontId="2" fillId="0" borderId="29" xfId="0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3" fontId="13" fillId="0" borderId="6" xfId="0" applyNumberFormat="1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3" fontId="14" fillId="0" borderId="6" xfId="0" applyNumberFormat="1" applyFont="1" applyBorder="1" applyAlignment="1">
      <alignment horizontal="center"/>
    </xf>
    <xf numFmtId="3" fontId="14" fillId="0" borderId="31" xfId="0" applyNumberFormat="1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3" fontId="14" fillId="0" borderId="32" xfId="0" applyNumberFormat="1" applyFont="1" applyBorder="1" applyAlignment="1">
      <alignment horizontal="center"/>
    </xf>
    <xf numFmtId="0" fontId="15" fillId="2" borderId="6" xfId="0" applyFont="1" applyFill="1" applyBorder="1" applyAlignment="1" applyProtection="1">
      <alignment horizontal="center"/>
      <protection locked="0"/>
    </xf>
    <xf numFmtId="3" fontId="15" fillId="0" borderId="6" xfId="0" applyNumberFormat="1" applyFont="1" applyBorder="1" applyAlignment="1">
      <alignment horizontal="center"/>
    </xf>
    <xf numFmtId="3" fontId="16" fillId="0" borderId="32" xfId="0" applyNumberFormat="1" applyFont="1" applyBorder="1" applyAlignment="1">
      <alignment horizontal="center"/>
    </xf>
    <xf numFmtId="3" fontId="15" fillId="0" borderId="5" xfId="0" applyNumberFormat="1" applyFont="1" applyBorder="1" applyAlignment="1">
      <alignment horizontal="center"/>
    </xf>
    <xf numFmtId="3" fontId="17" fillId="0" borderId="6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32"/>
  <sheetViews>
    <sheetView workbookViewId="0">
      <selection activeCell="C2" sqref="C2:C32"/>
    </sheetView>
  </sheetViews>
  <sheetFormatPr defaultColWidth="11.5546875" defaultRowHeight="14.4" x14ac:dyDescent="0.3"/>
  <cols>
    <col min="1" max="1" width="18.109375" style="3" customWidth="1"/>
    <col min="2" max="2" width="11.5546875" style="2"/>
    <col min="3" max="3" width="11.5546875" style="22"/>
    <col min="4" max="4" width="13.44140625" style="2" customWidth="1"/>
    <col min="5" max="5" width="12.5546875" style="1" customWidth="1"/>
    <col min="6" max="6" width="12.5546875" style="17" customWidth="1"/>
    <col min="7" max="7" width="11.5546875" style="1"/>
    <col min="8" max="8" width="11.5546875" style="17"/>
    <col min="9" max="9" width="11.5546875" style="1"/>
    <col min="10" max="10" width="11.5546875" style="18"/>
    <col min="11" max="11" width="11.5546875" style="25"/>
    <col min="12" max="24" width="11.5546875" style="1"/>
  </cols>
  <sheetData>
    <row r="1" spans="1:24" s="3" customFormat="1" ht="43.2" x14ac:dyDescent="0.3">
      <c r="A1" s="19" t="s">
        <v>0</v>
      </c>
      <c r="B1" s="19" t="s">
        <v>1</v>
      </c>
      <c r="C1" s="21" t="s">
        <v>2</v>
      </c>
      <c r="D1" s="19" t="s">
        <v>3</v>
      </c>
      <c r="E1" s="19" t="s">
        <v>4</v>
      </c>
      <c r="F1" s="20" t="s">
        <v>5</v>
      </c>
      <c r="G1" s="19" t="s">
        <v>6</v>
      </c>
      <c r="H1" s="20" t="s">
        <v>7</v>
      </c>
      <c r="I1" s="19" t="s">
        <v>8</v>
      </c>
      <c r="J1" s="21" t="s">
        <v>9</v>
      </c>
      <c r="K1" s="23" t="s">
        <v>10</v>
      </c>
      <c r="L1" s="19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3">
      <c r="A2" s="3" t="s">
        <v>12</v>
      </c>
      <c r="B2" s="2">
        <v>1</v>
      </c>
      <c r="C2" s="22">
        <v>2</v>
      </c>
      <c r="D2" s="2">
        <v>2023</v>
      </c>
      <c r="E2" s="4">
        <f>February!B4</f>
        <v>10049</v>
      </c>
      <c r="F2" s="16">
        <v>9.9000000000000005E-2</v>
      </c>
      <c r="G2" s="4">
        <f>February!C4</f>
        <v>1267</v>
      </c>
      <c r="H2" s="17">
        <v>0.28000000000000003</v>
      </c>
      <c r="I2" s="4">
        <f>February!D4</f>
        <v>58</v>
      </c>
      <c r="J2" s="17">
        <v>3.2719999999999998</v>
      </c>
      <c r="K2" s="24">
        <f>February!J4</f>
        <v>65</v>
      </c>
      <c r="L2" s="24">
        <f>February!K4</f>
        <v>47</v>
      </c>
      <c r="M2" s="1" t="s">
        <v>13</v>
      </c>
    </row>
    <row r="3" spans="1:24" x14ac:dyDescent="0.3">
      <c r="A3" s="3" t="s">
        <v>12</v>
      </c>
      <c r="B3" s="2">
        <f>B2+1</f>
        <v>2</v>
      </c>
      <c r="C3" s="22">
        <v>2</v>
      </c>
      <c r="D3" s="2">
        <v>2023</v>
      </c>
      <c r="E3" s="4">
        <f>February!B5</f>
        <v>10192</v>
      </c>
      <c r="F3" s="16">
        <v>9.9000000000000005E-2</v>
      </c>
      <c r="G3" s="4">
        <f>February!C5</f>
        <v>1352</v>
      </c>
      <c r="H3" s="17">
        <v>0.28000000000000003</v>
      </c>
      <c r="I3" s="4">
        <f>February!D5</f>
        <v>51</v>
      </c>
      <c r="J3" s="17">
        <v>3.2719999999999998</v>
      </c>
      <c r="K3" s="24">
        <f>February!J5</f>
        <v>82</v>
      </c>
      <c r="L3" s="24">
        <f>February!K5</f>
        <v>45</v>
      </c>
    </row>
    <row r="4" spans="1:24" x14ac:dyDescent="0.3">
      <c r="A4" s="3" t="s">
        <v>12</v>
      </c>
      <c r="B4" s="2">
        <f t="shared" ref="B4:B32" si="0">B3+1</f>
        <v>3</v>
      </c>
      <c r="C4" s="22">
        <v>2</v>
      </c>
      <c r="D4" s="2">
        <v>2023</v>
      </c>
      <c r="E4" s="4">
        <f>February!B6</f>
        <v>10328</v>
      </c>
      <c r="F4" s="16">
        <v>9.9000000000000005E-2</v>
      </c>
      <c r="G4" s="4">
        <f>February!C6</f>
        <v>1374</v>
      </c>
      <c r="H4" s="17">
        <v>0.28000000000000003</v>
      </c>
      <c r="I4" s="4">
        <f>February!D6</f>
        <v>55</v>
      </c>
      <c r="J4" s="17">
        <v>3.2719999999999998</v>
      </c>
      <c r="K4" s="24">
        <f>February!J6</f>
        <v>64</v>
      </c>
      <c r="L4" s="24">
        <f>February!K6</f>
        <v>37</v>
      </c>
    </row>
    <row r="5" spans="1:24" x14ac:dyDescent="0.3">
      <c r="A5" s="3" t="s">
        <v>12</v>
      </c>
      <c r="B5" s="2">
        <f t="shared" si="0"/>
        <v>4</v>
      </c>
      <c r="C5" s="22">
        <v>2</v>
      </c>
      <c r="D5" s="2">
        <v>2023</v>
      </c>
      <c r="E5" s="4">
        <f>February!B7</f>
        <v>9758</v>
      </c>
      <c r="F5" s="16">
        <v>9.9000000000000005E-2</v>
      </c>
      <c r="G5" s="4">
        <f>February!C7</f>
        <v>1436</v>
      </c>
      <c r="H5" s="17">
        <v>0.28000000000000003</v>
      </c>
      <c r="I5" s="4">
        <f>February!D7</f>
        <v>46</v>
      </c>
      <c r="J5" s="17">
        <v>3.2719999999999998</v>
      </c>
      <c r="K5" s="24">
        <f>February!J7</f>
        <v>76</v>
      </c>
      <c r="L5" s="24">
        <f>February!K7</f>
        <v>46</v>
      </c>
    </row>
    <row r="6" spans="1:24" x14ac:dyDescent="0.3">
      <c r="A6" s="3" t="s">
        <v>12</v>
      </c>
      <c r="B6" s="2">
        <f t="shared" si="0"/>
        <v>5</v>
      </c>
      <c r="C6" s="22">
        <v>2</v>
      </c>
      <c r="D6" s="2">
        <v>2023</v>
      </c>
      <c r="E6" s="4">
        <f>February!B8</f>
        <v>9955</v>
      </c>
      <c r="F6" s="16">
        <v>9.9000000000000005E-2</v>
      </c>
      <c r="G6" s="4">
        <f>February!C8</f>
        <v>1591</v>
      </c>
      <c r="H6" s="17">
        <v>0.28000000000000003</v>
      </c>
      <c r="I6" s="4">
        <f>February!D8</f>
        <v>48</v>
      </c>
      <c r="J6" s="17">
        <v>3.2719999999999998</v>
      </c>
      <c r="K6" s="24">
        <f>February!J8</f>
        <v>71</v>
      </c>
      <c r="L6" s="24">
        <f>February!K8</f>
        <v>38</v>
      </c>
    </row>
    <row r="7" spans="1:24" x14ac:dyDescent="0.3">
      <c r="A7" s="3" t="s">
        <v>12</v>
      </c>
      <c r="B7" s="2">
        <f t="shared" si="0"/>
        <v>6</v>
      </c>
      <c r="C7" s="22">
        <v>2</v>
      </c>
      <c r="D7" s="2">
        <v>2023</v>
      </c>
      <c r="E7" s="4">
        <f>February!B9</f>
        <v>9763</v>
      </c>
      <c r="F7" s="16">
        <v>9.9000000000000005E-2</v>
      </c>
      <c r="G7" s="4">
        <f>February!C9</f>
        <v>1684</v>
      </c>
      <c r="H7" s="17">
        <v>0.28000000000000003</v>
      </c>
      <c r="I7" s="4">
        <f>February!D9</f>
        <v>50</v>
      </c>
      <c r="J7" s="17">
        <v>3.2719999999999998</v>
      </c>
      <c r="K7" s="24">
        <f>February!J9</f>
        <v>72</v>
      </c>
      <c r="L7" s="24">
        <f>February!K9</f>
        <v>39</v>
      </c>
    </row>
    <row r="8" spans="1:24" x14ac:dyDescent="0.3">
      <c r="A8" s="3" t="s">
        <v>12</v>
      </c>
      <c r="B8" s="2">
        <f t="shared" si="0"/>
        <v>7</v>
      </c>
      <c r="C8" s="22">
        <v>2</v>
      </c>
      <c r="D8" s="2">
        <v>2023</v>
      </c>
      <c r="E8" s="4">
        <f>February!B10</f>
        <v>9595</v>
      </c>
      <c r="F8" s="16">
        <v>9.9000000000000005E-2</v>
      </c>
      <c r="G8" s="4">
        <f>February!C10</f>
        <v>1613</v>
      </c>
      <c r="H8" s="17">
        <v>0.28000000000000003</v>
      </c>
      <c r="I8" s="4">
        <f>February!D10</f>
        <v>79</v>
      </c>
      <c r="J8" s="17">
        <v>3.2719999999999998</v>
      </c>
      <c r="K8" s="24">
        <f>February!J10</f>
        <v>68</v>
      </c>
      <c r="L8" s="24">
        <f>February!K10</f>
        <v>34</v>
      </c>
    </row>
    <row r="9" spans="1:24" x14ac:dyDescent="0.3">
      <c r="A9" s="3" t="s">
        <v>12</v>
      </c>
      <c r="B9" s="2">
        <f t="shared" si="0"/>
        <v>8</v>
      </c>
      <c r="C9" s="22">
        <v>2</v>
      </c>
      <c r="D9" s="2">
        <v>2023</v>
      </c>
      <c r="E9" s="4">
        <f>February!B11</f>
        <v>11495</v>
      </c>
      <c r="F9" s="16">
        <v>9.9000000000000005E-2</v>
      </c>
      <c r="G9" s="4">
        <f>February!C11</f>
        <v>2068</v>
      </c>
      <c r="H9" s="17">
        <v>0.28000000000000003</v>
      </c>
      <c r="I9" s="4">
        <f>February!D11</f>
        <v>90</v>
      </c>
      <c r="J9" s="17">
        <v>3.2719999999999998</v>
      </c>
      <c r="K9" s="24">
        <f>February!J11</f>
        <v>65</v>
      </c>
      <c r="L9" s="24">
        <f>February!K11</f>
        <v>34</v>
      </c>
    </row>
    <row r="10" spans="1:24" x14ac:dyDescent="0.3">
      <c r="A10" s="3" t="s">
        <v>12</v>
      </c>
      <c r="B10" s="2">
        <f t="shared" si="0"/>
        <v>9</v>
      </c>
      <c r="C10" s="22">
        <v>2</v>
      </c>
      <c r="D10" s="2">
        <v>2023</v>
      </c>
      <c r="E10" s="4">
        <f>February!B12</f>
        <v>19069</v>
      </c>
      <c r="F10" s="16">
        <v>9.9000000000000005E-2</v>
      </c>
      <c r="G10" s="4">
        <f>February!C12</f>
        <v>3017</v>
      </c>
      <c r="H10" s="17">
        <v>0.28000000000000003</v>
      </c>
      <c r="I10" s="4">
        <f>February!D12</f>
        <v>99</v>
      </c>
      <c r="J10" s="17">
        <v>3.2719999999999998</v>
      </c>
      <c r="K10" s="24">
        <f>February!J12</f>
        <v>53</v>
      </c>
      <c r="L10" s="24">
        <f>February!K12</f>
        <v>29</v>
      </c>
    </row>
    <row r="11" spans="1:24" x14ac:dyDescent="0.3">
      <c r="A11" s="3" t="s">
        <v>12</v>
      </c>
      <c r="B11" s="2">
        <f t="shared" si="0"/>
        <v>10</v>
      </c>
      <c r="C11" s="22">
        <v>2</v>
      </c>
      <c r="D11" s="2">
        <v>2023</v>
      </c>
      <c r="E11" s="4">
        <f>February!B13</f>
        <v>10396</v>
      </c>
      <c r="F11" s="16">
        <v>9.9000000000000005E-2</v>
      </c>
      <c r="G11" s="4">
        <f>February!C13</f>
        <v>1419</v>
      </c>
      <c r="H11" s="17">
        <v>0.28000000000000003</v>
      </c>
      <c r="I11" s="4">
        <f>February!D13</f>
        <v>58</v>
      </c>
      <c r="J11" s="17">
        <v>3.2719999999999998</v>
      </c>
      <c r="K11" s="24">
        <f>February!J13</f>
        <v>79</v>
      </c>
      <c r="L11" s="24">
        <f>February!K13</f>
        <v>40</v>
      </c>
    </row>
    <row r="12" spans="1:24" x14ac:dyDescent="0.3">
      <c r="A12" s="3" t="s">
        <v>12</v>
      </c>
      <c r="B12" s="2">
        <f t="shared" si="0"/>
        <v>11</v>
      </c>
      <c r="C12" s="22">
        <v>2</v>
      </c>
      <c r="D12" s="2">
        <v>2023</v>
      </c>
      <c r="E12" s="4">
        <f>February!B14</f>
        <v>10071</v>
      </c>
      <c r="F12" s="16">
        <v>9.9000000000000005E-2</v>
      </c>
      <c r="G12" s="4">
        <f>February!C14</f>
        <v>1207</v>
      </c>
      <c r="H12" s="17">
        <v>0.28000000000000003</v>
      </c>
      <c r="I12" s="4">
        <f>February!D14</f>
        <v>48</v>
      </c>
      <c r="J12" s="17">
        <v>3.2719999999999998</v>
      </c>
      <c r="K12" s="24">
        <f>February!J14</f>
        <v>53</v>
      </c>
      <c r="L12" s="24">
        <f>February!K14</f>
        <v>27</v>
      </c>
    </row>
    <row r="13" spans="1:24" x14ac:dyDescent="0.3">
      <c r="A13" s="3" t="s">
        <v>12</v>
      </c>
      <c r="B13" s="2">
        <f t="shared" si="0"/>
        <v>12</v>
      </c>
      <c r="C13" s="22">
        <v>2</v>
      </c>
      <c r="D13" s="2">
        <v>2023</v>
      </c>
      <c r="E13" s="4">
        <f>February!B15</f>
        <v>9595</v>
      </c>
      <c r="F13" s="16">
        <v>9.9000000000000005E-2</v>
      </c>
      <c r="G13" s="4">
        <f>February!C15</f>
        <v>1303</v>
      </c>
      <c r="H13" s="17">
        <v>0.28000000000000003</v>
      </c>
      <c r="I13" s="4">
        <f>February!D15</f>
        <v>55</v>
      </c>
      <c r="J13" s="17">
        <v>3.2719999999999998</v>
      </c>
      <c r="K13" s="24">
        <f>February!J15</f>
        <v>61</v>
      </c>
      <c r="L13" s="24">
        <f>February!K15</f>
        <v>33</v>
      </c>
    </row>
    <row r="14" spans="1:24" x14ac:dyDescent="0.3">
      <c r="A14" s="3" t="s">
        <v>12</v>
      </c>
      <c r="B14" s="2">
        <f t="shared" si="0"/>
        <v>13</v>
      </c>
      <c r="C14" s="22">
        <v>2</v>
      </c>
      <c r="D14" s="2">
        <v>2023</v>
      </c>
      <c r="E14" s="4">
        <f>February!B16</f>
        <v>8656</v>
      </c>
      <c r="F14" s="16">
        <v>9.9000000000000005E-2</v>
      </c>
      <c r="G14" s="4">
        <f>February!C16</f>
        <v>1083</v>
      </c>
      <c r="H14" s="17">
        <v>0.28000000000000003</v>
      </c>
      <c r="I14" s="4">
        <f>February!D16</f>
        <v>49</v>
      </c>
      <c r="J14" s="17">
        <v>3.2719999999999998</v>
      </c>
      <c r="K14" s="24">
        <f>February!J16</f>
        <v>62</v>
      </c>
      <c r="L14" s="24">
        <f>February!K16</f>
        <v>33</v>
      </c>
    </row>
    <row r="15" spans="1:24" x14ac:dyDescent="0.3">
      <c r="A15" s="3" t="s">
        <v>12</v>
      </c>
      <c r="B15" s="2">
        <f t="shared" si="0"/>
        <v>14</v>
      </c>
      <c r="C15" s="22">
        <v>2</v>
      </c>
      <c r="D15" s="2">
        <v>2023</v>
      </c>
      <c r="E15" s="4">
        <f>February!B17</f>
        <v>10021</v>
      </c>
      <c r="F15" s="16">
        <v>9.9000000000000005E-2</v>
      </c>
      <c r="G15" s="4">
        <f>February!C17</f>
        <v>1321</v>
      </c>
      <c r="H15" s="17">
        <v>0.28000000000000003</v>
      </c>
      <c r="I15" s="4">
        <f>February!D17</f>
        <v>55</v>
      </c>
      <c r="J15" s="17">
        <v>3.2719999999999998</v>
      </c>
      <c r="K15" s="24">
        <f>February!J17</f>
        <v>63</v>
      </c>
      <c r="L15" s="24">
        <f>February!K17</f>
        <v>34</v>
      </c>
    </row>
    <row r="16" spans="1:24" x14ac:dyDescent="0.3">
      <c r="A16" s="3" t="s">
        <v>12</v>
      </c>
      <c r="B16" s="2">
        <f t="shared" si="0"/>
        <v>15</v>
      </c>
      <c r="C16" s="22">
        <v>2</v>
      </c>
      <c r="D16" s="2">
        <v>2023</v>
      </c>
      <c r="E16" s="4">
        <f>February!B18</f>
        <v>9998</v>
      </c>
      <c r="F16" s="16">
        <v>9.9000000000000005E-2</v>
      </c>
      <c r="G16" s="4">
        <f>February!C18</f>
        <v>1405</v>
      </c>
      <c r="H16" s="17">
        <v>0.28000000000000003</v>
      </c>
      <c r="I16" s="4">
        <f>February!D18</f>
        <v>48</v>
      </c>
      <c r="J16" s="17">
        <v>3.2719999999999998</v>
      </c>
      <c r="K16" s="24">
        <f>February!J18</f>
        <v>76</v>
      </c>
      <c r="L16" s="24">
        <f>February!K18</f>
        <v>42</v>
      </c>
    </row>
    <row r="17" spans="1:12" x14ac:dyDescent="0.3">
      <c r="A17" s="3" t="s">
        <v>12</v>
      </c>
      <c r="B17" s="2">
        <f t="shared" si="0"/>
        <v>16</v>
      </c>
      <c r="C17" s="22">
        <v>2</v>
      </c>
      <c r="D17" s="2">
        <v>2023</v>
      </c>
      <c r="E17" s="4">
        <f>February!B19</f>
        <v>10090</v>
      </c>
      <c r="F17" s="16">
        <v>9.9000000000000005E-2</v>
      </c>
      <c r="G17" s="4">
        <f>February!C19</f>
        <v>1328</v>
      </c>
      <c r="H17" s="17">
        <v>0.28000000000000003</v>
      </c>
      <c r="I17" s="4">
        <f>February!D19</f>
        <v>48</v>
      </c>
      <c r="J17" s="17">
        <v>3.2719999999999998</v>
      </c>
      <c r="K17" s="24">
        <f>February!J19</f>
        <v>82</v>
      </c>
      <c r="L17" s="24">
        <f>February!K19</f>
        <v>49</v>
      </c>
    </row>
    <row r="18" spans="1:12" x14ac:dyDescent="0.3">
      <c r="A18" s="3" t="s">
        <v>12</v>
      </c>
      <c r="B18" s="2">
        <f t="shared" si="0"/>
        <v>17</v>
      </c>
      <c r="C18" s="22">
        <v>2</v>
      </c>
      <c r="D18" s="2">
        <v>2023</v>
      </c>
      <c r="E18" s="4">
        <f>February!B20</f>
        <v>10665</v>
      </c>
      <c r="F18" s="16">
        <v>9.9000000000000005E-2</v>
      </c>
      <c r="G18" s="4">
        <f>February!C20</f>
        <v>1058</v>
      </c>
      <c r="H18" s="17">
        <v>0.28000000000000003</v>
      </c>
      <c r="I18" s="4">
        <f>February!D20</f>
        <v>58</v>
      </c>
      <c r="J18" s="17">
        <v>3.2719999999999998</v>
      </c>
      <c r="K18" s="24">
        <f>February!J20</f>
        <v>116</v>
      </c>
      <c r="L18" s="24">
        <f>February!K20</f>
        <v>63</v>
      </c>
    </row>
    <row r="19" spans="1:12" x14ac:dyDescent="0.3">
      <c r="A19" s="3" t="s">
        <v>12</v>
      </c>
      <c r="B19" s="2">
        <f t="shared" si="0"/>
        <v>18</v>
      </c>
      <c r="C19" s="22">
        <v>2</v>
      </c>
      <c r="D19" s="2">
        <v>2023</v>
      </c>
      <c r="E19" s="4">
        <f>February!B21</f>
        <v>9820</v>
      </c>
      <c r="F19" s="16">
        <v>9.9000000000000005E-2</v>
      </c>
      <c r="G19" s="4">
        <f>February!C21</f>
        <v>957</v>
      </c>
      <c r="H19" s="17">
        <v>0.28000000000000003</v>
      </c>
      <c r="I19" s="4">
        <f>February!D21</f>
        <v>59</v>
      </c>
      <c r="J19" s="17">
        <v>3.2719999999999998</v>
      </c>
      <c r="K19" s="24">
        <f>February!J21</f>
        <v>110</v>
      </c>
      <c r="L19" s="24">
        <f>February!K21</f>
        <v>59</v>
      </c>
    </row>
    <row r="20" spans="1:12" x14ac:dyDescent="0.3">
      <c r="A20" s="3" t="s">
        <v>12</v>
      </c>
      <c r="B20" s="2">
        <f t="shared" si="0"/>
        <v>19</v>
      </c>
      <c r="C20" s="22">
        <v>2</v>
      </c>
      <c r="D20" s="2">
        <v>2023</v>
      </c>
      <c r="E20" s="4">
        <f>February!B22</f>
        <v>10435</v>
      </c>
      <c r="F20" s="16">
        <v>9.9000000000000005E-2</v>
      </c>
      <c r="G20" s="4">
        <f>February!C22</f>
        <v>1253</v>
      </c>
      <c r="H20" s="17">
        <v>0.28000000000000003</v>
      </c>
      <c r="I20" s="4">
        <f>February!D22</f>
        <v>70</v>
      </c>
      <c r="J20" s="17">
        <v>3.2719999999999998</v>
      </c>
      <c r="K20" s="24">
        <f>February!J22</f>
        <v>89</v>
      </c>
      <c r="L20" s="24">
        <f>February!K22</f>
        <v>49</v>
      </c>
    </row>
    <row r="21" spans="1:12" x14ac:dyDescent="0.3">
      <c r="A21" s="3" t="s">
        <v>12</v>
      </c>
      <c r="B21" s="2">
        <f t="shared" si="0"/>
        <v>20</v>
      </c>
      <c r="C21" s="22">
        <v>2</v>
      </c>
      <c r="D21" s="2">
        <v>2023</v>
      </c>
      <c r="E21" s="4">
        <f>February!B23</f>
        <v>9343</v>
      </c>
      <c r="F21" s="16">
        <v>9.9000000000000005E-2</v>
      </c>
      <c r="G21" s="4">
        <f>February!C23</f>
        <v>988</v>
      </c>
      <c r="H21" s="17">
        <v>0.28000000000000003</v>
      </c>
      <c r="I21" s="4">
        <f>February!D23</f>
        <v>43</v>
      </c>
      <c r="J21" s="17">
        <v>3.2719999999999998</v>
      </c>
      <c r="K21" s="24">
        <f>February!J23</f>
        <v>75</v>
      </c>
      <c r="L21" s="24">
        <f>February!K23</f>
        <v>43</v>
      </c>
    </row>
    <row r="22" spans="1:12" x14ac:dyDescent="0.3">
      <c r="A22" s="3" t="s">
        <v>12</v>
      </c>
      <c r="B22" s="2">
        <f t="shared" si="0"/>
        <v>21</v>
      </c>
      <c r="C22" s="22">
        <v>2</v>
      </c>
      <c r="D22" s="2">
        <v>2023</v>
      </c>
      <c r="E22" s="4">
        <f>February!B24</f>
        <v>10023</v>
      </c>
      <c r="F22" s="16">
        <v>9.9000000000000005E-2</v>
      </c>
      <c r="G22" s="4">
        <f>February!C24</f>
        <v>967</v>
      </c>
      <c r="H22" s="17">
        <v>0.28000000000000003</v>
      </c>
      <c r="I22" s="4">
        <f>February!D24</f>
        <v>50</v>
      </c>
      <c r="J22" s="17">
        <v>3.2719999999999998</v>
      </c>
      <c r="K22" s="24">
        <f>February!J24</f>
        <v>57</v>
      </c>
      <c r="L22" s="24">
        <f>February!K24</f>
        <v>31</v>
      </c>
    </row>
    <row r="23" spans="1:12" x14ac:dyDescent="0.3">
      <c r="A23" s="3" t="s">
        <v>12</v>
      </c>
      <c r="B23" s="2">
        <f t="shared" si="0"/>
        <v>22</v>
      </c>
      <c r="C23" s="22">
        <v>2</v>
      </c>
      <c r="D23" s="2">
        <v>2023</v>
      </c>
      <c r="E23" s="4">
        <f>February!B25</f>
        <v>10315</v>
      </c>
      <c r="F23" s="16">
        <v>9.9000000000000005E-2</v>
      </c>
      <c r="G23" s="4">
        <f>February!C25</f>
        <v>972</v>
      </c>
      <c r="H23" s="17">
        <v>0.28000000000000003</v>
      </c>
      <c r="I23" s="4">
        <f>February!D25</f>
        <v>49</v>
      </c>
      <c r="J23" s="17">
        <v>3.2719999999999998</v>
      </c>
      <c r="K23" s="24">
        <f>February!J25</f>
        <v>96</v>
      </c>
      <c r="L23" s="24">
        <f>February!K25</f>
        <v>52</v>
      </c>
    </row>
    <row r="24" spans="1:12" x14ac:dyDescent="0.3">
      <c r="A24" s="3" t="s">
        <v>12</v>
      </c>
      <c r="B24" s="2">
        <f t="shared" si="0"/>
        <v>23</v>
      </c>
      <c r="C24" s="22">
        <v>2</v>
      </c>
      <c r="D24" s="2">
        <v>2023</v>
      </c>
      <c r="E24" s="4">
        <f>February!B26</f>
        <v>10471</v>
      </c>
      <c r="F24" s="16">
        <v>9.9000000000000005E-2</v>
      </c>
      <c r="G24" s="4">
        <f>February!C26</f>
        <v>1055</v>
      </c>
      <c r="H24" s="17">
        <v>0.28000000000000003</v>
      </c>
      <c r="I24" s="4">
        <f>February!D26</f>
        <v>56</v>
      </c>
      <c r="J24" s="17">
        <v>3.2719999999999998</v>
      </c>
      <c r="K24" s="24">
        <f>February!J26</f>
        <v>88</v>
      </c>
      <c r="L24" s="24">
        <f>February!K26</f>
        <v>43</v>
      </c>
    </row>
    <row r="25" spans="1:12" x14ac:dyDescent="0.3">
      <c r="A25" s="3" t="s">
        <v>12</v>
      </c>
      <c r="B25" s="2">
        <f t="shared" si="0"/>
        <v>24</v>
      </c>
      <c r="C25" s="22">
        <v>2</v>
      </c>
      <c r="D25" s="2">
        <v>2023</v>
      </c>
      <c r="E25" s="4">
        <f>February!B27</f>
        <v>10107</v>
      </c>
      <c r="F25" s="16">
        <v>9.9000000000000005E-2</v>
      </c>
      <c r="G25" s="4">
        <f>February!C27</f>
        <v>1033</v>
      </c>
      <c r="H25" s="17">
        <v>0.28000000000000003</v>
      </c>
      <c r="I25" s="4">
        <f>February!D27</f>
        <v>52</v>
      </c>
      <c r="J25" s="17">
        <v>3.2719999999999998</v>
      </c>
      <c r="K25" s="24">
        <f>February!J27</f>
        <v>74</v>
      </c>
      <c r="L25" s="24">
        <f>February!K27</f>
        <v>33</v>
      </c>
    </row>
    <row r="26" spans="1:12" x14ac:dyDescent="0.3">
      <c r="A26" s="3" t="s">
        <v>12</v>
      </c>
      <c r="B26" s="2">
        <f>B25+1</f>
        <v>25</v>
      </c>
      <c r="C26" s="22">
        <v>2</v>
      </c>
      <c r="D26" s="2">
        <v>2023</v>
      </c>
      <c r="E26" s="4">
        <f>February!B28</f>
        <v>9449</v>
      </c>
      <c r="F26" s="16">
        <v>9.9000000000000005E-2</v>
      </c>
      <c r="G26" s="4">
        <f>February!C28</f>
        <v>1303</v>
      </c>
      <c r="H26" s="17">
        <v>0.28000000000000003</v>
      </c>
      <c r="I26" s="4">
        <f>February!D28</f>
        <v>45</v>
      </c>
      <c r="J26" s="17">
        <v>3.2719999999999998</v>
      </c>
      <c r="K26" s="24">
        <f>February!J28</f>
        <v>81</v>
      </c>
      <c r="L26" s="24">
        <f>February!K28</f>
        <v>41</v>
      </c>
    </row>
    <row r="27" spans="1:12" x14ac:dyDescent="0.3">
      <c r="A27" s="3" t="s">
        <v>12</v>
      </c>
      <c r="B27" s="2">
        <f t="shared" si="0"/>
        <v>26</v>
      </c>
      <c r="C27" s="22">
        <v>2</v>
      </c>
      <c r="D27" s="2">
        <v>2023</v>
      </c>
      <c r="E27" s="4">
        <f>February!B29</f>
        <v>9615</v>
      </c>
      <c r="F27" s="16">
        <v>9.9000000000000005E-2</v>
      </c>
      <c r="G27" s="4">
        <f>February!C29</f>
        <v>1454</v>
      </c>
      <c r="H27" s="17">
        <v>0.28000000000000003</v>
      </c>
      <c r="I27" s="4">
        <f>February!D29</f>
        <v>47</v>
      </c>
      <c r="J27" s="17">
        <v>3.2719999999999998</v>
      </c>
      <c r="K27" s="24">
        <f>February!J29</f>
        <v>45</v>
      </c>
      <c r="L27" s="24">
        <f>February!K29</f>
        <v>43</v>
      </c>
    </row>
    <row r="28" spans="1:12" x14ac:dyDescent="0.3">
      <c r="A28" s="3" t="s">
        <v>12</v>
      </c>
      <c r="B28" s="2">
        <f t="shared" si="0"/>
        <v>27</v>
      </c>
      <c r="C28" s="22">
        <v>2</v>
      </c>
      <c r="D28" s="2">
        <v>2023</v>
      </c>
      <c r="E28" s="4">
        <f>February!B30</f>
        <v>11034</v>
      </c>
      <c r="F28" s="16">
        <v>9.9000000000000005E-2</v>
      </c>
      <c r="G28" s="4">
        <f>February!C30</f>
        <v>1499</v>
      </c>
      <c r="H28" s="17">
        <v>0.28000000000000003</v>
      </c>
      <c r="I28" s="4">
        <f>February!D30</f>
        <v>50</v>
      </c>
      <c r="J28" s="17">
        <v>3.2719999999999998</v>
      </c>
      <c r="K28" s="24">
        <f>February!J30</f>
        <v>79</v>
      </c>
      <c r="L28" s="24">
        <f>February!K30</f>
        <v>49</v>
      </c>
    </row>
    <row r="29" spans="1:12" x14ac:dyDescent="0.3">
      <c r="A29" s="3" t="s">
        <v>12</v>
      </c>
      <c r="B29" s="2">
        <f t="shared" si="0"/>
        <v>28</v>
      </c>
      <c r="C29" s="22">
        <v>2</v>
      </c>
      <c r="D29" s="2">
        <v>2023</v>
      </c>
      <c r="E29" s="4">
        <f>February!B31</f>
        <v>10142</v>
      </c>
      <c r="F29" s="16">
        <v>9.9000000000000005E-2</v>
      </c>
      <c r="G29" s="4">
        <f>February!C31</f>
        <v>1466</v>
      </c>
      <c r="H29" s="17">
        <v>0.28000000000000003</v>
      </c>
      <c r="I29" s="4">
        <f>February!D31</f>
        <v>52</v>
      </c>
      <c r="J29" s="17">
        <v>3.2719999999999998</v>
      </c>
      <c r="K29" s="24">
        <f>February!J31</f>
        <v>64</v>
      </c>
      <c r="L29" s="24">
        <f>February!K31</f>
        <v>43</v>
      </c>
    </row>
    <row r="30" spans="1:12" x14ac:dyDescent="0.3">
      <c r="A30" s="3" t="s">
        <v>12</v>
      </c>
      <c r="B30" s="2">
        <f t="shared" si="0"/>
        <v>29</v>
      </c>
      <c r="C30" s="22">
        <v>2</v>
      </c>
      <c r="D30" s="2">
        <v>2023</v>
      </c>
      <c r="E30" s="4">
        <f>February!B32</f>
        <v>0</v>
      </c>
      <c r="F30" s="16">
        <v>9.9000000000000005E-2</v>
      </c>
      <c r="G30" s="4">
        <f>February!C32</f>
        <v>0</v>
      </c>
      <c r="H30" s="17">
        <v>0.28000000000000003</v>
      </c>
      <c r="I30" s="4">
        <f>February!D32</f>
        <v>0</v>
      </c>
      <c r="J30" s="17">
        <v>3.2719999999999998</v>
      </c>
      <c r="K30" s="24">
        <f>February!J32</f>
        <v>0</v>
      </c>
      <c r="L30" s="24">
        <f>February!K32</f>
        <v>0</v>
      </c>
    </row>
    <row r="31" spans="1:12" x14ac:dyDescent="0.3">
      <c r="A31" s="3" t="s">
        <v>12</v>
      </c>
      <c r="B31" s="2">
        <f t="shared" si="0"/>
        <v>30</v>
      </c>
      <c r="C31" s="22">
        <v>2</v>
      </c>
      <c r="D31" s="2">
        <v>2023</v>
      </c>
      <c r="E31" s="4">
        <f>February!B33</f>
        <v>0</v>
      </c>
      <c r="F31" s="16">
        <v>9.9000000000000005E-2</v>
      </c>
      <c r="G31" s="4">
        <f>February!C33</f>
        <v>0</v>
      </c>
      <c r="H31" s="17">
        <v>0.28000000000000003</v>
      </c>
      <c r="I31" s="4">
        <f>February!D33</f>
        <v>0</v>
      </c>
      <c r="J31" s="17">
        <v>3.2719999999999998</v>
      </c>
      <c r="K31" s="24">
        <f>February!J33</f>
        <v>0</v>
      </c>
      <c r="L31" s="24">
        <f>February!K33</f>
        <v>0</v>
      </c>
    </row>
    <row r="32" spans="1:12" x14ac:dyDescent="0.3">
      <c r="A32" s="3" t="s">
        <v>12</v>
      </c>
      <c r="B32" s="2">
        <f t="shared" si="0"/>
        <v>31</v>
      </c>
      <c r="C32" s="22">
        <v>2</v>
      </c>
      <c r="D32" s="2">
        <v>2023</v>
      </c>
      <c r="E32" s="4">
        <f>February!B34</f>
        <v>0</v>
      </c>
      <c r="F32" s="16">
        <v>1.099</v>
      </c>
      <c r="G32" s="4">
        <f>February!C34</f>
        <v>0</v>
      </c>
      <c r="H32" s="17">
        <v>1.28</v>
      </c>
      <c r="I32" s="4">
        <f>February!D34</f>
        <v>0</v>
      </c>
      <c r="J32" s="17">
        <v>4.2720000000000002</v>
      </c>
      <c r="K32" s="24">
        <f>February!J34</f>
        <v>0</v>
      </c>
      <c r="L32" s="24">
        <f>February!K34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</sheetPr>
  <dimension ref="A1:O42"/>
  <sheetViews>
    <sheetView tabSelected="1" topLeftCell="A25" workbookViewId="0">
      <selection activeCell="B41" sqref="B41:B42"/>
    </sheetView>
  </sheetViews>
  <sheetFormatPr defaultRowHeight="14.4" x14ac:dyDescent="0.3"/>
  <cols>
    <col min="1" max="1" width="15.88671875" bestFit="1" customWidth="1"/>
    <col min="5" max="5" width="2.33203125" customWidth="1"/>
    <col min="6" max="6" width="6.88671875" customWidth="1"/>
    <col min="7" max="7" width="7.5546875" customWidth="1"/>
    <col min="8" max="8" width="8.33203125" customWidth="1"/>
    <col min="9" max="9" width="2" customWidth="1"/>
    <col min="10" max="10" width="7.44140625" customWidth="1"/>
    <col min="11" max="11" width="10.109375" customWidth="1"/>
    <col min="12" max="12" width="7.109375" customWidth="1"/>
  </cols>
  <sheetData>
    <row r="1" spans="1:12" ht="15" thickBot="1" x14ac:dyDescent="0.35">
      <c r="A1" s="72" t="s">
        <v>34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4"/>
    </row>
    <row r="2" spans="1:12" ht="15" thickBot="1" x14ac:dyDescent="0.35">
      <c r="A2" s="8" t="s">
        <v>14</v>
      </c>
      <c r="B2" s="7" t="s">
        <v>15</v>
      </c>
      <c r="C2" s="7" t="s">
        <v>16</v>
      </c>
      <c r="D2" s="7" t="s">
        <v>17</v>
      </c>
      <c r="E2" s="15"/>
      <c r="F2" s="75" t="s">
        <v>33</v>
      </c>
      <c r="G2" s="76"/>
      <c r="H2" s="77"/>
      <c r="I2" s="15"/>
      <c r="J2" s="8" t="s">
        <v>18</v>
      </c>
      <c r="K2" s="7" t="s">
        <v>28</v>
      </c>
      <c r="L2" s="7" t="s">
        <v>19</v>
      </c>
    </row>
    <row r="3" spans="1:12" ht="15" thickBot="1" x14ac:dyDescent="0.35">
      <c r="A3" s="27"/>
      <c r="B3" s="28" t="s">
        <v>20</v>
      </c>
      <c r="C3" s="28" t="s">
        <v>21</v>
      </c>
      <c r="D3" s="44" t="s">
        <v>21</v>
      </c>
      <c r="E3" s="29"/>
      <c r="F3" s="46" t="s">
        <v>30</v>
      </c>
      <c r="G3" s="46" t="s">
        <v>31</v>
      </c>
      <c r="H3" s="46" t="s">
        <v>32</v>
      </c>
      <c r="I3" s="29"/>
      <c r="J3" s="27" t="s">
        <v>22</v>
      </c>
      <c r="K3" s="28" t="s">
        <v>23</v>
      </c>
      <c r="L3" s="28" t="s">
        <v>23</v>
      </c>
    </row>
    <row r="4" spans="1:12" x14ac:dyDescent="0.3">
      <c r="A4" s="6">
        <v>1</v>
      </c>
      <c r="B4" s="78">
        <v>10049</v>
      </c>
      <c r="C4" s="79">
        <v>1267</v>
      </c>
      <c r="D4" s="80">
        <v>58</v>
      </c>
      <c r="E4" s="11"/>
      <c r="F4" s="50">
        <v>1</v>
      </c>
      <c r="G4" s="66">
        <v>6</v>
      </c>
      <c r="H4" s="50">
        <v>6</v>
      </c>
      <c r="I4" s="11"/>
      <c r="J4" s="50">
        <v>65</v>
      </c>
      <c r="K4" s="50">
        <v>47</v>
      </c>
      <c r="L4" s="50">
        <v>2</v>
      </c>
    </row>
    <row r="5" spans="1:12" x14ac:dyDescent="0.3">
      <c r="A5" s="10">
        <v>2</v>
      </c>
      <c r="B5" s="78">
        <v>10192</v>
      </c>
      <c r="C5" s="81">
        <v>1352</v>
      </c>
      <c r="D5" s="82">
        <v>51</v>
      </c>
      <c r="E5" s="57"/>
      <c r="F5" s="51">
        <v>0</v>
      </c>
      <c r="G5" s="67">
        <v>6</v>
      </c>
      <c r="H5" s="51">
        <v>6</v>
      </c>
      <c r="I5" s="57"/>
      <c r="J5" s="52">
        <v>82</v>
      </c>
      <c r="K5" s="52">
        <v>45</v>
      </c>
      <c r="L5" s="52">
        <v>2</v>
      </c>
    </row>
    <row r="6" spans="1:12" x14ac:dyDescent="0.3">
      <c r="A6" s="10">
        <v>3</v>
      </c>
      <c r="B6" s="78">
        <v>10328</v>
      </c>
      <c r="C6" s="81">
        <v>1374</v>
      </c>
      <c r="D6" s="82">
        <v>55</v>
      </c>
      <c r="E6" s="57"/>
      <c r="F6" s="51">
        <v>1</v>
      </c>
      <c r="G6" s="62">
        <v>7</v>
      </c>
      <c r="H6" s="51">
        <v>7</v>
      </c>
      <c r="I6" s="57"/>
      <c r="J6" s="52">
        <v>64</v>
      </c>
      <c r="K6" s="52">
        <v>37</v>
      </c>
      <c r="L6" s="52">
        <v>2</v>
      </c>
    </row>
    <row r="7" spans="1:12" x14ac:dyDescent="0.3">
      <c r="A7" s="10">
        <v>4</v>
      </c>
      <c r="B7" s="78">
        <v>9758</v>
      </c>
      <c r="C7" s="81">
        <v>1436</v>
      </c>
      <c r="D7" s="82">
        <v>46</v>
      </c>
      <c r="E7" s="57"/>
      <c r="F7" s="68">
        <v>-1</v>
      </c>
      <c r="G7" s="62">
        <v>6</v>
      </c>
      <c r="H7" s="51">
        <v>6</v>
      </c>
      <c r="I7" s="57"/>
      <c r="J7" s="52">
        <v>76</v>
      </c>
      <c r="K7" s="52">
        <v>46</v>
      </c>
      <c r="L7" s="52">
        <v>0</v>
      </c>
    </row>
    <row r="8" spans="1:12" x14ac:dyDescent="0.3">
      <c r="A8" s="10">
        <v>5</v>
      </c>
      <c r="B8" s="78">
        <v>9955</v>
      </c>
      <c r="C8" s="81">
        <v>1591</v>
      </c>
      <c r="D8" s="82">
        <v>48</v>
      </c>
      <c r="E8" s="57"/>
      <c r="F8" s="51">
        <v>-6</v>
      </c>
      <c r="G8" s="62">
        <v>0</v>
      </c>
      <c r="H8" s="51">
        <v>0</v>
      </c>
      <c r="I8" s="57"/>
      <c r="J8" s="52">
        <v>71</v>
      </c>
      <c r="K8" s="52">
        <v>38</v>
      </c>
      <c r="L8" s="52">
        <v>1</v>
      </c>
    </row>
    <row r="9" spans="1:12" x14ac:dyDescent="0.3">
      <c r="A9" s="10">
        <v>6</v>
      </c>
      <c r="B9" s="83">
        <v>9763</v>
      </c>
      <c r="C9" s="84">
        <v>1684</v>
      </c>
      <c r="D9" s="82">
        <v>50</v>
      </c>
      <c r="E9" s="57"/>
      <c r="F9" s="51">
        <v>-8</v>
      </c>
      <c r="G9" s="62">
        <v>0</v>
      </c>
      <c r="H9" s="51">
        <v>0</v>
      </c>
      <c r="I9" s="57"/>
      <c r="J9" s="52">
        <v>72</v>
      </c>
      <c r="K9" s="52">
        <v>39</v>
      </c>
      <c r="L9" s="52">
        <v>2</v>
      </c>
    </row>
    <row r="10" spans="1:12" x14ac:dyDescent="0.3">
      <c r="A10" s="10">
        <v>7</v>
      </c>
      <c r="B10" s="83">
        <v>9595</v>
      </c>
      <c r="C10" s="85">
        <v>1613</v>
      </c>
      <c r="D10" s="82">
        <v>79</v>
      </c>
      <c r="E10" s="57"/>
      <c r="F10" s="51">
        <v>-9</v>
      </c>
      <c r="G10" s="62">
        <v>1</v>
      </c>
      <c r="H10" s="51">
        <v>1</v>
      </c>
      <c r="I10" s="57"/>
      <c r="J10" s="52">
        <v>68</v>
      </c>
      <c r="K10" s="52">
        <v>34</v>
      </c>
      <c r="L10" s="52">
        <v>2</v>
      </c>
    </row>
    <row r="11" spans="1:12" x14ac:dyDescent="0.3">
      <c r="A11" s="10">
        <v>8</v>
      </c>
      <c r="B11" s="83">
        <v>11495</v>
      </c>
      <c r="C11" s="85">
        <v>2068</v>
      </c>
      <c r="D11" s="82">
        <v>90</v>
      </c>
      <c r="E11" s="57"/>
      <c r="F11" s="51">
        <v>-9</v>
      </c>
      <c r="G11" s="62">
        <v>2</v>
      </c>
      <c r="H11" s="51">
        <v>2</v>
      </c>
      <c r="I11" s="57"/>
      <c r="J11" s="52">
        <v>65</v>
      </c>
      <c r="K11" s="52">
        <v>34</v>
      </c>
      <c r="L11" s="52">
        <v>2</v>
      </c>
    </row>
    <row r="12" spans="1:12" x14ac:dyDescent="0.3">
      <c r="A12" s="10">
        <v>9</v>
      </c>
      <c r="B12" s="83">
        <v>19069</v>
      </c>
      <c r="C12" s="85">
        <v>3017</v>
      </c>
      <c r="D12" s="82">
        <v>99</v>
      </c>
      <c r="E12" s="57"/>
      <c r="F12" s="51">
        <v>-7</v>
      </c>
      <c r="G12" s="62">
        <v>5</v>
      </c>
      <c r="H12" s="51">
        <v>5</v>
      </c>
      <c r="I12" s="57"/>
      <c r="J12" s="52">
        <v>53</v>
      </c>
      <c r="K12" s="52">
        <v>29</v>
      </c>
      <c r="L12" s="52">
        <v>2</v>
      </c>
    </row>
    <row r="13" spans="1:12" x14ac:dyDescent="0.3">
      <c r="A13" s="10">
        <v>10</v>
      </c>
      <c r="B13" s="83">
        <v>10396</v>
      </c>
      <c r="C13" s="85">
        <v>1419</v>
      </c>
      <c r="D13" s="82">
        <v>58</v>
      </c>
      <c r="E13" s="57"/>
      <c r="F13" s="51">
        <v>-5</v>
      </c>
      <c r="G13" s="62">
        <v>4</v>
      </c>
      <c r="H13" s="51">
        <v>4</v>
      </c>
      <c r="I13" s="57"/>
      <c r="J13" s="52">
        <v>79</v>
      </c>
      <c r="K13" s="52">
        <v>40</v>
      </c>
      <c r="L13" s="52">
        <v>1</v>
      </c>
    </row>
    <row r="14" spans="1:12" x14ac:dyDescent="0.3">
      <c r="A14" s="10">
        <v>11</v>
      </c>
      <c r="B14" s="83">
        <v>10071</v>
      </c>
      <c r="C14" s="85">
        <v>1207</v>
      </c>
      <c r="D14" s="82">
        <v>48</v>
      </c>
      <c r="E14" s="57"/>
      <c r="F14" s="51">
        <v>-1</v>
      </c>
      <c r="G14" s="62">
        <v>5</v>
      </c>
      <c r="H14" s="51">
        <v>5</v>
      </c>
      <c r="I14" s="57"/>
      <c r="J14" s="52">
        <v>53</v>
      </c>
      <c r="K14" s="52">
        <v>27</v>
      </c>
      <c r="L14" s="52">
        <v>0</v>
      </c>
    </row>
    <row r="15" spans="1:12" x14ac:dyDescent="0.3">
      <c r="A15" s="10">
        <v>12</v>
      </c>
      <c r="B15" s="83">
        <v>9595</v>
      </c>
      <c r="C15" s="85">
        <v>1303</v>
      </c>
      <c r="D15" s="82">
        <v>55</v>
      </c>
      <c r="E15" s="57"/>
      <c r="F15" s="51">
        <v>3</v>
      </c>
      <c r="G15" s="62">
        <v>7</v>
      </c>
      <c r="H15" s="51">
        <v>8</v>
      </c>
      <c r="I15" s="57"/>
      <c r="J15" s="52">
        <v>61</v>
      </c>
      <c r="K15" s="52">
        <v>33</v>
      </c>
      <c r="L15" s="52">
        <v>0</v>
      </c>
    </row>
    <row r="16" spans="1:12" x14ac:dyDescent="0.3">
      <c r="A16" s="10">
        <v>13</v>
      </c>
      <c r="B16" s="86">
        <v>8656</v>
      </c>
      <c r="C16" s="56">
        <v>1083</v>
      </c>
      <c r="D16" s="51">
        <v>49</v>
      </c>
      <c r="E16" s="57"/>
      <c r="F16" s="51">
        <v>1</v>
      </c>
      <c r="G16" s="62">
        <v>9</v>
      </c>
      <c r="H16" s="51">
        <v>9</v>
      </c>
      <c r="I16" s="57"/>
      <c r="J16" s="52">
        <v>62</v>
      </c>
      <c r="K16" s="52">
        <v>33</v>
      </c>
      <c r="L16" s="52">
        <v>0</v>
      </c>
    </row>
    <row r="17" spans="1:15" x14ac:dyDescent="0.3">
      <c r="A17" s="10">
        <v>14</v>
      </c>
      <c r="B17" s="55">
        <v>10021</v>
      </c>
      <c r="C17" s="55">
        <v>1321</v>
      </c>
      <c r="D17" s="51">
        <v>55</v>
      </c>
      <c r="E17" s="57"/>
      <c r="F17" s="51">
        <v>1</v>
      </c>
      <c r="G17" s="62">
        <v>5</v>
      </c>
      <c r="H17" s="51">
        <v>5</v>
      </c>
      <c r="I17" s="57"/>
      <c r="J17" s="52">
        <v>63</v>
      </c>
      <c r="K17" s="52">
        <v>34</v>
      </c>
      <c r="L17" s="52">
        <v>1</v>
      </c>
    </row>
    <row r="18" spans="1:15" x14ac:dyDescent="0.3">
      <c r="A18" s="10">
        <v>15</v>
      </c>
      <c r="B18" s="55">
        <v>9998</v>
      </c>
      <c r="C18" s="55">
        <v>1405</v>
      </c>
      <c r="D18" s="51">
        <v>48</v>
      </c>
      <c r="E18" s="57"/>
      <c r="F18" s="51">
        <v>-2</v>
      </c>
      <c r="G18" s="62">
        <v>3</v>
      </c>
      <c r="H18" s="51">
        <v>5</v>
      </c>
      <c r="I18" s="57"/>
      <c r="J18" s="52">
        <v>76</v>
      </c>
      <c r="K18" s="52">
        <v>42</v>
      </c>
      <c r="L18" s="52">
        <v>2</v>
      </c>
    </row>
    <row r="19" spans="1:15" x14ac:dyDescent="0.3">
      <c r="A19" s="10">
        <v>16</v>
      </c>
      <c r="B19" s="70">
        <v>10090</v>
      </c>
      <c r="C19" s="56">
        <v>1328</v>
      </c>
      <c r="D19" s="51">
        <v>48</v>
      </c>
      <c r="E19" s="57"/>
      <c r="F19" s="51">
        <v>-2</v>
      </c>
      <c r="G19" s="62">
        <v>11</v>
      </c>
      <c r="H19" s="51">
        <v>10</v>
      </c>
      <c r="I19" s="57"/>
      <c r="J19" s="52">
        <v>82</v>
      </c>
      <c r="K19" s="52">
        <v>49</v>
      </c>
      <c r="L19" s="52">
        <v>2</v>
      </c>
    </row>
    <row r="20" spans="1:15" x14ac:dyDescent="0.3">
      <c r="A20" s="10">
        <v>17</v>
      </c>
      <c r="B20" s="70">
        <v>10665</v>
      </c>
      <c r="C20" s="56">
        <v>1058</v>
      </c>
      <c r="D20" s="51">
        <v>58</v>
      </c>
      <c r="E20" s="57"/>
      <c r="F20" s="51">
        <v>6</v>
      </c>
      <c r="G20" s="62">
        <v>12</v>
      </c>
      <c r="H20" s="51">
        <v>12</v>
      </c>
      <c r="I20" s="57"/>
      <c r="J20" s="52">
        <v>116</v>
      </c>
      <c r="K20" s="52">
        <v>63</v>
      </c>
      <c r="L20" s="52">
        <v>0</v>
      </c>
    </row>
    <row r="21" spans="1:15" x14ac:dyDescent="0.3">
      <c r="A21" s="10">
        <v>18</v>
      </c>
      <c r="B21" s="70">
        <v>9820</v>
      </c>
      <c r="C21" s="56">
        <v>957</v>
      </c>
      <c r="D21" s="51">
        <v>59</v>
      </c>
      <c r="E21" s="57"/>
      <c r="F21" s="51">
        <v>9</v>
      </c>
      <c r="G21" s="62">
        <v>13</v>
      </c>
      <c r="H21" s="51">
        <v>13</v>
      </c>
      <c r="I21" s="57"/>
      <c r="J21" s="52">
        <v>110</v>
      </c>
      <c r="K21" s="52">
        <v>59</v>
      </c>
      <c r="L21" s="52">
        <v>0</v>
      </c>
      <c r="O21" s="11"/>
    </row>
    <row r="22" spans="1:15" x14ac:dyDescent="0.3">
      <c r="A22" s="10">
        <v>19</v>
      </c>
      <c r="B22" s="70">
        <v>10435</v>
      </c>
      <c r="C22" s="56">
        <v>1253</v>
      </c>
      <c r="D22" s="51">
        <v>70</v>
      </c>
      <c r="E22" s="57"/>
      <c r="F22" s="51">
        <v>1</v>
      </c>
      <c r="G22" s="62">
        <v>10</v>
      </c>
      <c r="H22" s="51">
        <v>10</v>
      </c>
      <c r="I22" s="57"/>
      <c r="J22" s="52">
        <v>89</v>
      </c>
      <c r="K22" s="52">
        <v>49</v>
      </c>
      <c r="L22" s="52">
        <v>1</v>
      </c>
    </row>
    <row r="23" spans="1:15" x14ac:dyDescent="0.3">
      <c r="A23" s="10">
        <v>20</v>
      </c>
      <c r="B23" s="70">
        <v>9343</v>
      </c>
      <c r="C23" s="56">
        <v>988</v>
      </c>
      <c r="D23" s="51">
        <v>43</v>
      </c>
      <c r="E23" s="57"/>
      <c r="F23" s="51">
        <v>1</v>
      </c>
      <c r="G23" s="62">
        <v>12</v>
      </c>
      <c r="H23" s="51">
        <v>11</v>
      </c>
      <c r="I23" s="57"/>
      <c r="J23" s="52">
        <v>75</v>
      </c>
      <c r="K23" s="52">
        <v>43</v>
      </c>
      <c r="L23" s="52">
        <v>0</v>
      </c>
    </row>
    <row r="24" spans="1:15" x14ac:dyDescent="0.3">
      <c r="A24" s="10">
        <v>21</v>
      </c>
      <c r="B24" s="70">
        <v>10023</v>
      </c>
      <c r="C24" s="52">
        <v>967</v>
      </c>
      <c r="D24" s="11">
        <v>50</v>
      </c>
      <c r="E24" s="52"/>
      <c r="F24" s="63">
        <v>7</v>
      </c>
      <c r="G24" s="52">
        <v>11</v>
      </c>
      <c r="H24" s="11">
        <v>12</v>
      </c>
      <c r="I24" s="52"/>
      <c r="J24" s="52">
        <v>57</v>
      </c>
      <c r="K24" s="52">
        <v>31</v>
      </c>
      <c r="L24" s="71">
        <v>1</v>
      </c>
    </row>
    <row r="25" spans="1:15" x14ac:dyDescent="0.3">
      <c r="A25" s="10">
        <v>22</v>
      </c>
      <c r="B25" s="70">
        <v>10315</v>
      </c>
      <c r="C25" s="53">
        <v>972</v>
      </c>
      <c r="D25" s="52">
        <v>49</v>
      </c>
      <c r="E25" s="11"/>
      <c r="F25" s="52">
        <v>5</v>
      </c>
      <c r="G25" s="63">
        <v>11</v>
      </c>
      <c r="H25" s="52">
        <v>12</v>
      </c>
      <c r="I25" s="11"/>
      <c r="J25" s="52">
        <v>96</v>
      </c>
      <c r="K25" s="52">
        <v>52</v>
      </c>
      <c r="L25" s="52">
        <v>1</v>
      </c>
    </row>
    <row r="26" spans="1:15" x14ac:dyDescent="0.3">
      <c r="A26" s="10">
        <v>23</v>
      </c>
      <c r="B26" s="55">
        <v>10471</v>
      </c>
      <c r="C26" s="69">
        <v>1055</v>
      </c>
      <c r="D26" s="52">
        <v>56</v>
      </c>
      <c r="E26" s="11"/>
      <c r="F26" s="52">
        <v>4</v>
      </c>
      <c r="G26" s="63">
        <v>12</v>
      </c>
      <c r="H26" s="52">
        <v>12</v>
      </c>
      <c r="I26" s="11"/>
      <c r="J26" s="52">
        <v>88</v>
      </c>
      <c r="K26" s="52">
        <v>43</v>
      </c>
      <c r="L26" s="52">
        <v>2</v>
      </c>
    </row>
    <row r="27" spans="1:15" x14ac:dyDescent="0.3">
      <c r="A27" s="10">
        <v>24</v>
      </c>
      <c r="B27" s="55">
        <v>10107</v>
      </c>
      <c r="C27" s="53">
        <v>1033</v>
      </c>
      <c r="D27" s="52">
        <v>52</v>
      </c>
      <c r="E27" s="11"/>
      <c r="F27" s="52">
        <v>4</v>
      </c>
      <c r="G27" s="63">
        <v>11</v>
      </c>
      <c r="H27" s="52">
        <v>10</v>
      </c>
      <c r="I27" s="11"/>
      <c r="J27" s="52">
        <v>74</v>
      </c>
      <c r="K27" s="52">
        <v>33</v>
      </c>
      <c r="L27" s="52">
        <v>2</v>
      </c>
    </row>
    <row r="28" spans="1:15" x14ac:dyDescent="0.3">
      <c r="A28" s="10">
        <v>25</v>
      </c>
      <c r="B28" s="55">
        <v>9449</v>
      </c>
      <c r="C28" s="53">
        <v>1303</v>
      </c>
      <c r="D28" s="54">
        <v>45</v>
      </c>
      <c r="E28" s="58"/>
      <c r="F28" s="54">
        <v>1</v>
      </c>
      <c r="G28" s="64">
        <v>4</v>
      </c>
      <c r="H28" s="54">
        <v>5</v>
      </c>
      <c r="I28" s="58"/>
      <c r="J28" s="52">
        <v>81</v>
      </c>
      <c r="K28" s="52">
        <v>41</v>
      </c>
      <c r="L28" s="52">
        <v>0</v>
      </c>
    </row>
    <row r="29" spans="1:15" x14ac:dyDescent="0.3">
      <c r="A29" s="10">
        <v>26</v>
      </c>
      <c r="B29" s="55">
        <v>9615</v>
      </c>
      <c r="C29" s="53">
        <v>1454</v>
      </c>
      <c r="D29" s="52">
        <v>47</v>
      </c>
      <c r="E29" s="11"/>
      <c r="F29" s="52">
        <v>-2</v>
      </c>
      <c r="G29" s="63">
        <v>2</v>
      </c>
      <c r="H29" s="52">
        <v>1</v>
      </c>
      <c r="I29" s="11"/>
      <c r="J29" s="52">
        <v>45</v>
      </c>
      <c r="K29" s="52">
        <v>43</v>
      </c>
      <c r="L29" s="52">
        <v>0</v>
      </c>
    </row>
    <row r="30" spans="1:15" x14ac:dyDescent="0.3">
      <c r="A30" s="9">
        <v>27</v>
      </c>
      <c r="B30" s="55">
        <v>11034</v>
      </c>
      <c r="C30" s="53">
        <v>1499</v>
      </c>
      <c r="D30" s="52">
        <v>50</v>
      </c>
      <c r="E30" s="11"/>
      <c r="F30" s="52">
        <v>-4</v>
      </c>
      <c r="G30" s="63">
        <v>3</v>
      </c>
      <c r="H30" s="52">
        <v>1</v>
      </c>
      <c r="I30" s="11"/>
      <c r="J30" s="52">
        <v>79</v>
      </c>
      <c r="K30" s="52">
        <v>49</v>
      </c>
      <c r="L30" s="52">
        <v>0</v>
      </c>
    </row>
    <row r="31" spans="1:15" x14ac:dyDescent="0.3">
      <c r="A31" s="30">
        <v>28</v>
      </c>
      <c r="B31" s="55">
        <v>10142</v>
      </c>
      <c r="C31" s="53">
        <v>1466</v>
      </c>
      <c r="D31" s="52">
        <v>52</v>
      </c>
      <c r="E31" s="11"/>
      <c r="F31" s="52">
        <v>-3</v>
      </c>
      <c r="G31" s="63">
        <v>3</v>
      </c>
      <c r="H31" s="52">
        <v>5</v>
      </c>
      <c r="I31" s="11"/>
      <c r="J31" s="52">
        <v>64</v>
      </c>
      <c r="K31" s="52">
        <v>43</v>
      </c>
      <c r="L31" s="52">
        <v>0</v>
      </c>
    </row>
    <row r="32" spans="1:15" x14ac:dyDescent="0.3">
      <c r="A32" s="30">
        <v>29</v>
      </c>
      <c r="B32" s="55"/>
      <c r="C32" s="53"/>
      <c r="D32" s="52"/>
      <c r="E32" s="11"/>
      <c r="F32" s="52"/>
      <c r="G32" s="63"/>
      <c r="H32" s="52"/>
      <c r="I32" s="11"/>
      <c r="J32" s="52"/>
      <c r="K32" s="52"/>
      <c r="L32" s="52"/>
    </row>
    <row r="33" spans="1:15" x14ac:dyDescent="0.3">
      <c r="A33" s="30">
        <v>30</v>
      </c>
      <c r="B33" s="55"/>
      <c r="C33" s="53"/>
      <c r="D33" s="52"/>
      <c r="E33" s="11"/>
      <c r="F33" s="52"/>
      <c r="G33" s="63"/>
      <c r="H33" s="52"/>
      <c r="I33" s="11"/>
      <c r="J33" s="52"/>
      <c r="K33" s="52"/>
      <c r="L33" s="52"/>
    </row>
    <row r="34" spans="1:15" ht="15" thickBot="1" x14ac:dyDescent="0.35">
      <c r="A34" s="31"/>
      <c r="B34" s="59"/>
      <c r="C34" s="60"/>
      <c r="D34" s="61"/>
      <c r="E34" s="11"/>
      <c r="F34" s="61"/>
      <c r="G34" s="65"/>
      <c r="H34" s="52"/>
      <c r="I34" s="11"/>
      <c r="J34" s="61"/>
      <c r="K34" s="61"/>
      <c r="L34" s="61"/>
      <c r="O34" t="s">
        <v>29</v>
      </c>
    </row>
    <row r="35" spans="1:15" ht="15" thickBot="1" x14ac:dyDescent="0.35">
      <c r="A35" s="26" t="s">
        <v>24</v>
      </c>
      <c r="B35" s="32">
        <f>SUM(B4:B34)</f>
        <v>290450</v>
      </c>
      <c r="C35" s="33">
        <f>SUM(C4:C34)</f>
        <v>38473</v>
      </c>
      <c r="D35" s="34">
        <f>SUM(D4:D34)</f>
        <v>1568</v>
      </c>
      <c r="E35" s="45"/>
      <c r="F35" s="47">
        <f>AVERAGE(F4:F34)</f>
        <v>-0.5</v>
      </c>
      <c r="G35" s="48">
        <f>AVERAGE(G4:G34)</f>
        <v>6.4642857142857144</v>
      </c>
      <c r="H35" s="49">
        <f>AVERAGE(H4:H34)</f>
        <v>6.5357142857142856</v>
      </c>
      <c r="I35" s="35"/>
      <c r="J35" s="36">
        <f>SUM(J4:J34)</f>
        <v>2066</v>
      </c>
      <c r="K35" s="36">
        <f>SUM(K4:K34)</f>
        <v>1156</v>
      </c>
      <c r="L35" s="37">
        <f>SUM(L4:L34)</f>
        <v>28</v>
      </c>
    </row>
    <row r="36" spans="1:15" ht="15" thickBot="1" x14ac:dyDescent="0.35">
      <c r="A36" s="12" t="s">
        <v>25</v>
      </c>
      <c r="B36" s="38">
        <f>AVERAGE(B4:B34)</f>
        <v>10373.214285714286</v>
      </c>
      <c r="C36" s="39">
        <f>AVERAGE(C4:C34)</f>
        <v>1374.0357142857142</v>
      </c>
      <c r="D36" s="40">
        <f>AVERAGE(D4:D34)</f>
        <v>56</v>
      </c>
      <c r="E36" s="35"/>
      <c r="F36" s="35"/>
      <c r="G36" s="35"/>
      <c r="H36" s="35"/>
      <c r="I36" s="35"/>
      <c r="J36" s="13"/>
      <c r="K36" s="5"/>
      <c r="L36" s="5"/>
    </row>
    <row r="37" spans="1:15" ht="15" thickBot="1" x14ac:dyDescent="0.35">
      <c r="A37" s="5"/>
      <c r="B37" s="14" t="s">
        <v>26</v>
      </c>
      <c r="C37" s="14"/>
      <c r="D37" s="14"/>
      <c r="E37" s="14"/>
      <c r="F37" s="14"/>
      <c r="G37" s="14"/>
      <c r="H37" s="14"/>
      <c r="I37" s="14"/>
      <c r="J37" s="14"/>
      <c r="K37" s="5"/>
      <c r="L37" s="5"/>
    </row>
    <row r="38" spans="1:15" ht="15" thickBot="1" x14ac:dyDescent="0.35">
      <c r="A38" s="5"/>
      <c r="B38" s="38">
        <f>B35/J35</f>
        <v>140.58567279767666</v>
      </c>
      <c r="C38" s="39">
        <f>C35/J35</f>
        <v>18.621974830590514</v>
      </c>
      <c r="D38" s="40">
        <f>D35/J35</f>
        <v>0.75895450145208132</v>
      </c>
      <c r="E38" s="35"/>
      <c r="F38" s="35"/>
      <c r="G38" s="35"/>
      <c r="H38" s="35"/>
      <c r="I38" s="35"/>
      <c r="J38" s="5"/>
      <c r="K38" s="5"/>
      <c r="L38" s="5"/>
    </row>
    <row r="39" spans="1:15" x14ac:dyDescent="0.3">
      <c r="A39" s="15"/>
      <c r="B39" s="14"/>
      <c r="C39" s="14"/>
      <c r="D39" s="14"/>
      <c r="E39" s="14"/>
      <c r="F39" s="14"/>
      <c r="G39" s="14"/>
      <c r="H39" s="14"/>
      <c r="I39" s="14"/>
      <c r="J39" s="15"/>
      <c r="K39" s="5"/>
      <c r="L39" s="5"/>
    </row>
    <row r="40" spans="1:15" x14ac:dyDescent="0.3">
      <c r="A40" s="15"/>
      <c r="B40" s="41"/>
      <c r="C40" s="41"/>
      <c r="D40" s="41"/>
      <c r="E40" s="41"/>
      <c r="F40" s="41"/>
      <c r="G40" s="41"/>
      <c r="H40" s="41"/>
      <c r="I40" s="41"/>
      <c r="J40" s="15"/>
      <c r="K40" s="5"/>
      <c r="L40" s="5"/>
    </row>
    <row r="41" spans="1:15" ht="15.6" x14ac:dyDescent="0.3">
      <c r="A41" s="42" t="s">
        <v>35</v>
      </c>
      <c r="B41" s="43">
        <v>810659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5" ht="15.6" x14ac:dyDescent="0.3">
      <c r="A42" s="42" t="s">
        <v>27</v>
      </c>
      <c r="B42" s="43">
        <v>22904</v>
      </c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mergeCells count="2">
    <mergeCell ref="A1:L1"/>
    <mergeCell ref="F2:H2"/>
  </mergeCells>
  <pageMargins left="0.25" right="0.25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February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Joe Khoury</cp:lastModifiedBy>
  <cp:revision/>
  <dcterms:created xsi:type="dcterms:W3CDTF">2017-05-03T09:23:30Z</dcterms:created>
  <dcterms:modified xsi:type="dcterms:W3CDTF">2023-03-02T17:52:00Z</dcterms:modified>
  <cp:category/>
  <cp:contentStatus/>
</cp:coreProperties>
</file>