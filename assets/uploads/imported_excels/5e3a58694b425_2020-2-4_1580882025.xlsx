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 calcMode="manual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E2" i="3" l="1"/>
  <c r="E2" i="2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L2" i="3"/>
  <c r="K2" i="3"/>
  <c r="I2" i="3"/>
  <c r="G2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J8" i="2"/>
  <c r="I8" i="2"/>
  <c r="H8" i="2"/>
  <c r="F8" i="2"/>
  <c r="E8" i="2"/>
  <c r="J2" i="2"/>
  <c r="I2" i="2"/>
  <c r="H2" i="2"/>
  <c r="F2" i="2"/>
  <c r="L19" i="3" l="1"/>
  <c r="K19" i="3"/>
  <c r="I19" i="3"/>
  <c r="G19" i="3"/>
  <c r="E19" i="3"/>
  <c r="J19" i="2"/>
  <c r="I19" i="2"/>
  <c r="H19" i="2"/>
  <c r="F19" i="2"/>
  <c r="E1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<sst xmlns="http://schemas.openxmlformats.org/spreadsheetml/2006/main" count="102" uniqueCount="37">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</sst>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M7" sqref="M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7">
        <f>'02 - 2020'!B7-'02 - 2020'!B6+'02 - 2020'!C7-'02 - 2020'!C6</f>
        <v>9865</v>
      </c>
      <c r="F2" s="25">
        <v>0.11799999999999999</v>
      </c>
      <c r="G2" s="27">
        <f>(('02 - 2020'!E7-'02 - 2020'!E6)+('02 - 2020'!F7-'02 - 2020'!F6)+('02 - 2020'!G7-'02 - 2020'!G6))*1.81</f>
        <v>147.35209999999728</v>
      </c>
      <c r="H2" s="25">
        <v>0.99</v>
      </c>
      <c r="I2" s="27">
        <f>'02 - 2020'!J7-'02 - 2020'!J6</f>
        <v>11154</v>
      </c>
      <c r="J2" s="25">
        <v>8.1000000000000003E-2</v>
      </c>
      <c r="K2" s="27">
        <f>'02 - 2020'!H7-'02 - 2020'!H6</f>
        <v>0</v>
      </c>
      <c r="L2" s="27">
        <f>'02 - 2020'!I7-'02 - 2020'!I6</f>
        <v>109</v>
      </c>
      <c r="M2" s="26">
        <v>4.393629424766913</v>
      </c>
      <c r="N2" s="6">
        <v>74</v>
      </c>
    </row>
    <row r="3" spans="1:15" x14ac:dyDescent="0.25">
      <c r="A3" t="s">
        <v>27</v>
      </c>
      <c r="B3">
        <f>B2+1</f>
        <v>2</v>
      </c>
      <c r="C3" s="25">
        <v>2</v>
      </c>
      <c r="D3" s="25">
        <v>2020</v>
      </c>
      <c r="E3" s="27">
        <f>'02 - 2020'!B8-'02 - 2020'!B7+'02 - 2020'!C8-'02 - 2020'!C7</f>
        <v>8431</v>
      </c>
      <c r="F3" s="25">
        <v>0.11799999999999999</v>
      </c>
      <c r="G3" s="27">
        <f>(('02 - 2020'!E8-'02 - 2020'!E7)+('02 - 2020'!F8-'02 - 2020'!F7)+('02 - 2020'!G8-'02 - 2020'!G7))*1.81</f>
        <v>114.0118999999992</v>
      </c>
      <c r="H3" s="25">
        <v>0.99</v>
      </c>
      <c r="I3" s="27">
        <f>'02 - 2020'!J8-'02 - 2020'!J7</f>
        <v>9392</v>
      </c>
      <c r="J3" s="25">
        <v>8.1000000000000003E-2</v>
      </c>
      <c r="K3" s="27">
        <f>'02 - 2020'!H8-'02 - 2020'!H7</f>
        <v>0</v>
      </c>
      <c r="L3" s="27">
        <f>'02 - 2020'!I8-'02 - 2020'!I7</f>
        <v>108</v>
      </c>
      <c r="M3" s="26">
        <v>4.393629424766913</v>
      </c>
      <c r="N3" s="6">
        <v>44</v>
      </c>
    </row>
    <row r="4" spans="1:15" x14ac:dyDescent="0.25">
      <c r="A4" t="s">
        <v>27</v>
      </c>
      <c r="B4">
        <f t="shared" ref="B4:B30" si="0">B3+1</f>
        <v>3</v>
      </c>
      <c r="C4" s="25">
        <v>2</v>
      </c>
      <c r="D4" s="25">
        <v>2020</v>
      </c>
      <c r="E4" s="27">
        <f>'02 - 2020'!B9-'02 - 2020'!B8+'02 - 2020'!C9-'02 - 2020'!C8</f>
        <v>8983</v>
      </c>
      <c r="F4" s="25">
        <v>0.11799999999999999</v>
      </c>
      <c r="G4" s="27">
        <f>(('02 - 2020'!E9-'02 - 2020'!E8)+('02 - 2020'!F9-'02 - 2020'!F8)+('02 - 2020'!G9-'02 - 2020'!G8))*1.81</f>
        <v>125.46920000000195</v>
      </c>
      <c r="H4" s="25">
        <v>0.99</v>
      </c>
      <c r="I4" s="27">
        <f>'02 - 2020'!J9-'02 - 2020'!J8</f>
        <v>10330</v>
      </c>
      <c r="J4" s="25">
        <v>8.1000000000000003E-2</v>
      </c>
      <c r="K4" s="27">
        <f>'02 - 2020'!H9-'02 - 2020'!H8</f>
        <v>0</v>
      </c>
      <c r="L4" s="27">
        <f>'02 - 2020'!I9-'02 - 2020'!I8</f>
        <v>81</v>
      </c>
      <c r="M4" s="26">
        <v>4.393629424766913</v>
      </c>
      <c r="N4" s="6">
        <v>61</v>
      </c>
    </row>
    <row r="5" spans="1:15" x14ac:dyDescent="0.25">
      <c r="A5" t="s">
        <v>27</v>
      </c>
      <c r="B5">
        <f t="shared" si="0"/>
        <v>4</v>
      </c>
      <c r="C5" s="25">
        <v>2</v>
      </c>
      <c r="D5" s="25">
        <v>2020</v>
      </c>
      <c r="E5" s="27">
        <f>'02 - 2020'!B10-'02 - 2020'!B9+'02 - 2020'!C10-'02 - 2020'!C9</f>
        <v>9756</v>
      </c>
      <c r="F5" s="25">
        <v>0.11799999999999999</v>
      </c>
      <c r="G5" s="27">
        <f>(('02 - 2020'!E10-'02 - 2020'!E9)+('02 - 2020'!F10-'02 - 2020'!F9)+('02 - 2020'!G10-'02 - 2020'!G9))*1.81</f>
        <v>131.40600000000066</v>
      </c>
      <c r="H5" s="25">
        <v>0.99</v>
      </c>
      <c r="I5" s="27">
        <f>'02 - 2020'!J10-'02 - 2020'!J9</f>
        <v>10612</v>
      </c>
      <c r="J5" s="25">
        <v>8.1000000000000003E-2</v>
      </c>
      <c r="K5" s="27">
        <f>'02 - 2020'!H10-'02 - 2020'!H9</f>
        <v>0</v>
      </c>
      <c r="L5" s="27">
        <f>'02 - 2020'!I10-'02 - 2020'!I9</f>
        <v>114</v>
      </c>
      <c r="M5" s="26">
        <v>4.393629424766913</v>
      </c>
      <c r="N5" s="6">
        <v>61</v>
      </c>
    </row>
    <row r="6" spans="1:15" x14ac:dyDescent="0.25">
      <c r="A6" t="s">
        <v>27</v>
      </c>
      <c r="B6">
        <f t="shared" si="0"/>
        <v>5</v>
      </c>
      <c r="C6" s="25">
        <v>2</v>
      </c>
      <c r="D6" s="25">
        <v>2020</v>
      </c>
      <c r="E6" s="27">
        <f>'02 - 2020'!B11-'02 - 2020'!B10+'02 - 2020'!C11-'02 - 2020'!C10</f>
        <v>9511</v>
      </c>
      <c r="F6" s="25">
        <v>0.11799999999999999</v>
      </c>
      <c r="G6" s="27">
        <f>(('02 - 2020'!E11-'02 - 2020'!E10)+('02 - 2020'!F11-'02 - 2020'!F10)+('02 - 2020'!G11-'02 - 2020'!G10))*1.81</f>
        <v>140.14830000000134</v>
      </c>
      <c r="H6" s="25">
        <v>0.99</v>
      </c>
      <c r="I6" s="27">
        <f>'02 - 2020'!J11-'02 - 2020'!J10</f>
        <v>10107</v>
      </c>
      <c r="J6" s="25">
        <v>8.1000000000000003E-2</v>
      </c>
      <c r="K6" s="27">
        <f>'02 - 2020'!H11-'02 - 2020'!H10</f>
        <v>0</v>
      </c>
      <c r="L6" s="27">
        <f>'02 - 2020'!I11-'02 - 2020'!I10</f>
        <v>102</v>
      </c>
      <c r="M6" s="26">
        <v>4.393629424766913</v>
      </c>
      <c r="N6" s="15">
        <v>68</v>
      </c>
    </row>
    <row r="7" spans="1:15" x14ac:dyDescent="0.25">
      <c r="A7" t="s">
        <v>27</v>
      </c>
      <c r="B7">
        <f t="shared" si="0"/>
        <v>6</v>
      </c>
      <c r="C7" s="25">
        <v>2</v>
      </c>
      <c r="D7" s="25">
        <v>2020</v>
      </c>
      <c r="E7" s="27">
        <v>0</v>
      </c>
      <c r="F7" s="25">
        <v>0.11799999999999999</v>
      </c>
      <c r="G7" s="27">
        <v>0</v>
      </c>
      <c r="H7" s="25">
        <v>0.99</v>
      </c>
      <c r="I7" s="27">
        <v>0</v>
      </c>
      <c r="J7" s="25">
        <v>8.1000000000000003E-2</v>
      </c>
      <c r="K7" s="27">
        <v>0</v>
      </c>
      <c r="L7" s="27">
        <v>0</v>
      </c>
      <c r="M7" s="26">
        <v>4.393629424766913</v>
      </c>
      <c r="N7" s="6"/>
    </row>
    <row r="8" spans="1:15" x14ac:dyDescent="0.25">
      <c r="A8" t="s">
        <v>27</v>
      </c>
      <c r="B8">
        <f t="shared" si="0"/>
        <v>7</v>
      </c>
      <c r="C8" s="25">
        <v>2</v>
      </c>
      <c r="D8" s="25">
        <v>2020</v>
      </c>
      <c r="E8" s="27">
        <f>'02 - 2020'!B13-'02 - 2020'!B12+'02 - 2020'!C13-'02 - 2020'!C12</f>
        <v>0</v>
      </c>
      <c r="F8" s="25">
        <v>0.11799999999999999</v>
      </c>
      <c r="G8" s="27">
        <f>(('02 - 2020'!E13-'02 - 2020'!E12)+('02 - 2020'!F13-'02 - 2020'!F12)+('02 - 2020'!G13-'02 - 2020'!G12))*1.81</f>
        <v>0</v>
      </c>
      <c r="H8" s="25">
        <v>0.99</v>
      </c>
      <c r="I8" s="27">
        <f>'02 - 2020'!J13-'02 - 2020'!J12</f>
        <v>0</v>
      </c>
      <c r="J8" s="25">
        <v>8.1000000000000003E-2</v>
      </c>
      <c r="K8" s="27">
        <f>'02 - 2020'!H13-'02 - 2020'!H12</f>
        <v>0</v>
      </c>
      <c r="L8" s="27">
        <f>'02 - 2020'!I13-'02 - 2020'!I12</f>
        <v>0</v>
      </c>
      <c r="M8" s="26">
        <v>4.393629424766913</v>
      </c>
      <c r="N8" s="6"/>
    </row>
    <row r="9" spans="1:15" x14ac:dyDescent="0.25">
      <c r="A9" t="s">
        <v>27</v>
      </c>
      <c r="B9">
        <f t="shared" si="0"/>
        <v>8</v>
      </c>
      <c r="C9" s="25">
        <v>2</v>
      </c>
      <c r="D9" s="25">
        <v>2020</v>
      </c>
      <c r="E9" s="27">
        <f>'02 - 2020'!B14-'02 - 2020'!B13+'02 - 2020'!C14-'02 - 2020'!C13</f>
        <v>0</v>
      </c>
      <c r="F9" s="25">
        <v>0.11799999999999999</v>
      </c>
      <c r="G9" s="27">
        <f>(('02 - 2020'!E14-'02 - 2020'!E13)+('02 - 2020'!F14-'02 - 2020'!F13)+('02 - 2020'!G14-'02 - 2020'!G13))*1.81</f>
        <v>0</v>
      </c>
      <c r="H9" s="25">
        <v>0.99</v>
      </c>
      <c r="I9" s="27">
        <f>'02 - 2020'!J14-'02 - 2020'!J13</f>
        <v>0</v>
      </c>
      <c r="J9" s="25">
        <v>8.1000000000000003E-2</v>
      </c>
      <c r="K9" s="27">
        <f>'02 - 2020'!H14-'02 - 2020'!H13</f>
        <v>0</v>
      </c>
      <c r="L9" s="27">
        <f>'02 - 2020'!I14-'02 - 2020'!I13</f>
        <v>0</v>
      </c>
      <c r="M9" s="26">
        <v>4.393629424766913</v>
      </c>
      <c r="N9" s="6"/>
    </row>
    <row r="10" spans="1:15" x14ac:dyDescent="0.25">
      <c r="A10" t="s">
        <v>27</v>
      </c>
      <c r="B10">
        <f t="shared" si="0"/>
        <v>9</v>
      </c>
      <c r="C10" s="25">
        <v>2</v>
      </c>
      <c r="D10" s="25">
        <v>2020</v>
      </c>
      <c r="E10" s="27">
        <f>'02 - 2020'!B15-'02 - 2020'!B14+'02 - 2020'!C15-'02 - 2020'!C14</f>
        <v>0</v>
      </c>
      <c r="F10" s="25">
        <v>0.11799999999999999</v>
      </c>
      <c r="G10" s="27">
        <f>(('02 - 2020'!E15-'02 - 2020'!E14)+('02 - 2020'!F15-'02 - 2020'!F14)+('02 - 2020'!G15-'02 - 2020'!G14))*1.81</f>
        <v>0</v>
      </c>
      <c r="H10" s="25">
        <v>0.99</v>
      </c>
      <c r="I10" s="27">
        <f>'02 - 2020'!J15-'02 - 2020'!J14</f>
        <v>0</v>
      </c>
      <c r="J10" s="25">
        <v>8.1000000000000003E-2</v>
      </c>
      <c r="K10" s="27">
        <f>'02 - 2020'!H15-'02 - 2020'!H14</f>
        <v>0</v>
      </c>
      <c r="L10" s="27">
        <f>'02 - 2020'!I15-'02 - 2020'!I14</f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2</v>
      </c>
      <c r="D11" s="25">
        <v>2020</v>
      </c>
      <c r="E11" s="27">
        <f>'02 - 2020'!B16-'02 - 2020'!B15+'02 - 2020'!C16-'02 - 2020'!C15</f>
        <v>0</v>
      </c>
      <c r="F11" s="25">
        <v>0.11799999999999999</v>
      </c>
      <c r="G11" s="27">
        <f>(('02 - 2020'!E16-'02 - 2020'!E15)+('02 - 2020'!F16-'02 - 2020'!F15)+('02 - 2020'!G16-'02 - 2020'!G15))*1.81</f>
        <v>0</v>
      </c>
      <c r="H11" s="25">
        <v>0.99</v>
      </c>
      <c r="I11" s="27">
        <f>'02 - 2020'!J16-'02 - 2020'!J15</f>
        <v>0</v>
      </c>
      <c r="J11" s="25">
        <v>8.1000000000000003E-2</v>
      </c>
      <c r="K11" s="27">
        <f>'02 - 2020'!H16-'02 - 2020'!H15</f>
        <v>0</v>
      </c>
      <c r="L11" s="27">
        <f>'02 - 2020'!I16-'02 - 2020'!I15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2</v>
      </c>
      <c r="D12" s="25">
        <v>2020</v>
      </c>
      <c r="E12" s="27">
        <f>'02 - 2020'!B17-'02 - 2020'!B16+'02 - 2020'!C17-'02 - 2020'!C16</f>
        <v>0</v>
      </c>
      <c r="F12" s="25">
        <v>0.11799999999999999</v>
      </c>
      <c r="G12" s="27">
        <f>(('02 - 2020'!E17-'02 - 2020'!E16)+('02 - 2020'!F17-'02 - 2020'!F16)+('02 - 2020'!G17-'02 - 2020'!G16))*1.81</f>
        <v>0</v>
      </c>
      <c r="H12" s="25">
        <v>0.99</v>
      </c>
      <c r="I12" s="27">
        <f>'02 - 2020'!J17-'02 - 2020'!J16</f>
        <v>0</v>
      </c>
      <c r="J12" s="25">
        <v>8.1000000000000003E-2</v>
      </c>
      <c r="K12" s="27">
        <f>'02 - 2020'!H17-'02 - 2020'!H16</f>
        <v>0</v>
      </c>
      <c r="L12" s="27">
        <f>'02 - 2020'!I17-'02 - 2020'!I16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2</v>
      </c>
      <c r="D13" s="25">
        <v>2020</v>
      </c>
      <c r="E13" s="27">
        <f>'02 - 2020'!B18-'02 - 2020'!B17+'02 - 2020'!C18-'02 - 2020'!C17</f>
        <v>0</v>
      </c>
      <c r="F13" s="25">
        <v>0.11799999999999999</v>
      </c>
      <c r="G13" s="27">
        <f>(('02 - 2020'!E18-'02 - 2020'!E17)+('02 - 2020'!F18-'02 - 2020'!F17)+('02 - 2020'!G18-'02 - 2020'!G17))*1.81</f>
        <v>0</v>
      </c>
      <c r="H13" s="25">
        <v>0.99</v>
      </c>
      <c r="I13" s="27">
        <f>'02 - 2020'!J18-'02 - 2020'!J17</f>
        <v>0</v>
      </c>
      <c r="J13" s="25">
        <v>8.1000000000000003E-2</v>
      </c>
      <c r="K13" s="27">
        <f>'02 - 2020'!H18-'02 - 2020'!H17</f>
        <v>0</v>
      </c>
      <c r="L13" s="27">
        <f>'02 - 2020'!I18-'02 - 2020'!I17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2</v>
      </c>
      <c r="D14" s="25">
        <v>2020</v>
      </c>
      <c r="E14" s="27">
        <f>'02 - 2020'!B19-'02 - 2020'!B18+'02 - 2020'!C19-'02 - 2020'!C18</f>
        <v>0</v>
      </c>
      <c r="F14" s="25">
        <v>0.11799999999999999</v>
      </c>
      <c r="G14" s="27">
        <f>(('02 - 2020'!E19-'02 - 2020'!E18)+('02 - 2020'!F19-'02 - 2020'!F18)+('02 - 2020'!G19-'02 - 2020'!G18))*1.81</f>
        <v>0</v>
      </c>
      <c r="H14" s="25">
        <v>0.99</v>
      </c>
      <c r="I14" s="27">
        <f>'02 - 2020'!J19-'02 - 2020'!J18</f>
        <v>0</v>
      </c>
      <c r="J14" s="25">
        <v>8.1000000000000003E-2</v>
      </c>
      <c r="K14" s="27">
        <f>'02 - 2020'!H19-'02 - 2020'!H18</f>
        <v>0</v>
      </c>
      <c r="L14" s="27">
        <f>'02 - 2020'!I19-'02 - 2020'!I18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2</v>
      </c>
      <c r="D15" s="25">
        <v>2020</v>
      </c>
      <c r="E15" s="27">
        <f>'02 - 2020'!B20-'02 - 2020'!B19+'02 - 2020'!C20-'02 - 2020'!C19</f>
        <v>0</v>
      </c>
      <c r="F15" s="25">
        <v>0.11799999999999999</v>
      </c>
      <c r="G15" s="27">
        <f>(('02 - 2020'!E20-'02 - 2020'!E19)+('02 - 2020'!F20-'02 - 2020'!F19)+('02 - 2020'!G20-'02 - 2020'!G19))*1.81</f>
        <v>0</v>
      </c>
      <c r="H15" s="25">
        <v>0.99</v>
      </c>
      <c r="I15" s="27">
        <f>'02 - 2020'!J20-'02 - 2020'!J19</f>
        <v>0</v>
      </c>
      <c r="J15" s="25">
        <v>8.1000000000000003E-2</v>
      </c>
      <c r="K15" s="27">
        <f>'02 - 2020'!H20-'02 - 2020'!H19</f>
        <v>0</v>
      </c>
      <c r="L15" s="27">
        <f>'02 - 2020'!I20-'02 - 2020'!I19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2</v>
      </c>
      <c r="D16" s="25">
        <v>2020</v>
      </c>
      <c r="E16" s="27">
        <f>'02 - 2020'!B21-'02 - 2020'!B20+'02 - 2020'!C21-'02 - 2020'!C20</f>
        <v>0</v>
      </c>
      <c r="F16" s="25">
        <v>0.11799999999999999</v>
      </c>
      <c r="G16" s="27">
        <f>(('02 - 2020'!E21-'02 - 2020'!E20)+('02 - 2020'!F21-'02 - 2020'!F20)+('02 - 2020'!G21-'02 - 2020'!G20))*1.81</f>
        <v>0</v>
      </c>
      <c r="H16" s="25">
        <v>0.99</v>
      </c>
      <c r="I16" s="27">
        <f>'02 - 2020'!J21-'02 - 2020'!J20</f>
        <v>0</v>
      </c>
      <c r="J16" s="25">
        <v>8.1000000000000003E-2</v>
      </c>
      <c r="K16" s="27">
        <f>'02 - 2020'!H21-'02 - 2020'!H20</f>
        <v>0</v>
      </c>
      <c r="L16" s="27">
        <f>'02 - 2020'!I21-'02 - 2020'!I20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2</v>
      </c>
      <c r="D17" s="25">
        <v>2020</v>
      </c>
      <c r="E17" s="27">
        <f>'02 - 2020'!B22-'02 - 2020'!B21+'02 - 2020'!C22-'02 - 2020'!C21</f>
        <v>0</v>
      </c>
      <c r="F17" s="25">
        <v>0.11799999999999999</v>
      </c>
      <c r="G17" s="27">
        <f>(('02 - 2020'!E22-'02 - 2020'!E21)+('02 - 2020'!F22-'02 - 2020'!F21)+('02 - 2020'!G22-'02 - 2020'!G21))*1.81</f>
        <v>0</v>
      </c>
      <c r="H17" s="25">
        <v>0.99</v>
      </c>
      <c r="I17" s="27">
        <f>'02 - 2020'!J22-'02 - 2020'!J21</f>
        <v>0</v>
      </c>
      <c r="J17" s="25">
        <v>8.1000000000000003E-2</v>
      </c>
      <c r="K17" s="27">
        <f>'02 - 2020'!H22-'02 - 2020'!H21</f>
        <v>0</v>
      </c>
      <c r="L17" s="27">
        <f>'02 - 2020'!I22-'02 - 2020'!I21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2</v>
      </c>
      <c r="D18" s="25">
        <v>2020</v>
      </c>
      <c r="E18" s="27">
        <f>'02 - 2020'!B23-'02 - 2020'!B22+'02 - 2020'!C23-'02 - 2020'!C22</f>
        <v>0</v>
      </c>
      <c r="F18" s="25">
        <v>0.11799999999999999</v>
      </c>
      <c r="G18" s="27">
        <f>(('02 - 2020'!E23-'02 - 2020'!E22)+('02 - 2020'!F23-'02 - 2020'!F22)+('02 - 2020'!G23-'02 - 2020'!G22))*1.81</f>
        <v>0</v>
      </c>
      <c r="H18" s="25">
        <v>0.99</v>
      </c>
      <c r="I18" s="27">
        <f>'02 - 2020'!J23-'02 - 2020'!J22</f>
        <v>0</v>
      </c>
      <c r="J18" s="25">
        <v>8.1000000000000003E-2</v>
      </c>
      <c r="K18" s="27">
        <f>'02 - 2020'!H23-'02 - 2020'!H22</f>
        <v>0</v>
      </c>
      <c r="L18" s="27">
        <f>'02 - 2020'!I23-'02 - 2020'!I22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2</v>
      </c>
      <c r="D19" s="25">
        <v>2020</v>
      </c>
      <c r="E19" s="27">
        <f>'02 - 2020'!B24-'02 - 2020'!B23+'02 - 2020'!C24-'02 - 2020'!C23</f>
        <v>0</v>
      </c>
      <c r="F19" s="25">
        <v>0.11799999999999999</v>
      </c>
      <c r="G19" s="27">
        <f>(('02 - 2020'!E24-'02 - 2020'!E23)+('02 - 2020'!F24-'02 - 2020'!F23)+('02 - 2020'!G24-'02 - 2020'!G23))*1.81</f>
        <v>0</v>
      </c>
      <c r="H19" s="25">
        <v>0.99</v>
      </c>
      <c r="I19" s="27">
        <f>'02 - 2020'!J24-'02 - 2020'!J23</f>
        <v>0</v>
      </c>
      <c r="J19" s="25">
        <v>8.1000000000000003E-2</v>
      </c>
      <c r="K19" s="27">
        <f>'02 - 2020'!H24-'02 - 2020'!H23</f>
        <v>0</v>
      </c>
      <c r="L19" s="27">
        <f>'02 - 2020'!I24-'02 - 2020'!I23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2</v>
      </c>
      <c r="D20" s="25">
        <v>2020</v>
      </c>
      <c r="E20" s="27">
        <f>'02 - 2020'!B25-'02 - 2020'!B24+'02 - 2020'!C25-'02 - 2020'!C24</f>
        <v>0</v>
      </c>
      <c r="F20" s="25">
        <v>0.11799999999999999</v>
      </c>
      <c r="G20" s="27">
        <f>(('02 - 2020'!E25-'02 - 2020'!E24)+('02 - 2020'!F25-'02 - 2020'!F24)+('02 - 2020'!G25-'02 - 2020'!G24))*1.81</f>
        <v>0</v>
      </c>
      <c r="H20" s="25">
        <v>0.99</v>
      </c>
      <c r="I20" s="27">
        <f>'02 - 2020'!J25-'02 - 2020'!J24</f>
        <v>0</v>
      </c>
      <c r="J20" s="25">
        <v>8.1000000000000003E-2</v>
      </c>
      <c r="K20" s="27">
        <f>'02 - 2020'!H25-'02 - 2020'!H24</f>
        <v>0</v>
      </c>
      <c r="L20" s="27">
        <f>'02 - 2020'!I25-'02 - 2020'!I24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2</v>
      </c>
      <c r="D21" s="25">
        <v>2020</v>
      </c>
      <c r="E21" s="27">
        <f>'02 - 2020'!B26-'02 - 2020'!B25+'02 - 2020'!C26-'02 - 2020'!C25</f>
        <v>0</v>
      </c>
      <c r="F21" s="25">
        <v>0.11799999999999999</v>
      </c>
      <c r="G21" s="27">
        <f>(('02 - 2020'!E26-'02 - 2020'!E25)+('02 - 2020'!F26-'02 - 2020'!F25)+('02 - 2020'!G26-'02 - 2020'!G25))*1.81</f>
        <v>0</v>
      </c>
      <c r="H21" s="25">
        <v>0.99</v>
      </c>
      <c r="I21" s="27">
        <f>'02 - 2020'!J26-'02 - 2020'!J25</f>
        <v>0</v>
      </c>
      <c r="J21" s="25">
        <v>8.1000000000000003E-2</v>
      </c>
      <c r="K21" s="27">
        <f>'02 - 2020'!H26-'02 - 2020'!H25</f>
        <v>0</v>
      </c>
      <c r="L21" s="27">
        <f>'02 - 2020'!I26-'02 - 2020'!I25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2</v>
      </c>
      <c r="D22" s="25">
        <v>2020</v>
      </c>
      <c r="E22" s="27">
        <f>'02 - 2020'!B27-'02 - 2020'!B26+'02 - 2020'!C27-'02 - 2020'!C26</f>
        <v>0</v>
      </c>
      <c r="F22" s="25">
        <v>0.11799999999999999</v>
      </c>
      <c r="G22" s="27">
        <f>(('02 - 2020'!E27-'02 - 2020'!E26)+('02 - 2020'!F27-'02 - 2020'!F26)+('02 - 2020'!G27-'02 - 2020'!G26))*1.81</f>
        <v>0</v>
      </c>
      <c r="H22" s="25">
        <v>0.99</v>
      </c>
      <c r="I22" s="27">
        <f>'02 - 2020'!J27-'02 - 2020'!J26</f>
        <v>0</v>
      </c>
      <c r="J22" s="25">
        <v>8.1000000000000003E-2</v>
      </c>
      <c r="K22" s="27">
        <f>'02 - 2020'!H27-'02 - 2020'!H26</f>
        <v>0</v>
      </c>
      <c r="L22" s="27">
        <f>'02 - 2020'!I27-'02 - 2020'!I26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2</v>
      </c>
      <c r="D23" s="25">
        <v>2020</v>
      </c>
      <c r="E23" s="27">
        <f>'02 - 2020'!B28-'02 - 2020'!B27+'02 - 2020'!C28-'02 - 2020'!C27</f>
        <v>0</v>
      </c>
      <c r="F23" s="25">
        <v>0.11799999999999999</v>
      </c>
      <c r="G23" s="27">
        <f>(('02 - 2020'!E28-'02 - 2020'!E27)+('02 - 2020'!F28-'02 - 2020'!F27)+('02 - 2020'!G28-'02 - 2020'!G27))*1.81</f>
        <v>0</v>
      </c>
      <c r="H23" s="25">
        <v>0.99</v>
      </c>
      <c r="I23" s="27">
        <f>'02 - 2020'!J28-'02 - 2020'!J27</f>
        <v>0</v>
      </c>
      <c r="J23" s="25">
        <v>8.1000000000000003E-2</v>
      </c>
      <c r="K23" s="27">
        <f>'02 - 2020'!H28-'02 - 2020'!H27</f>
        <v>0</v>
      </c>
      <c r="L23" s="27">
        <f>'02 - 2020'!I28-'02 - 2020'!I27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2</v>
      </c>
      <c r="D24" s="25">
        <v>2020</v>
      </c>
      <c r="E24" s="27">
        <f>'02 - 2020'!B29-'02 - 2020'!B28+'02 - 2020'!C29-'02 - 2020'!C28</f>
        <v>0</v>
      </c>
      <c r="F24" s="25">
        <v>0.11799999999999999</v>
      </c>
      <c r="G24" s="27">
        <f>(('02 - 2020'!E29-'02 - 2020'!E28)+('02 - 2020'!F29-'02 - 2020'!F28)+('02 - 2020'!G29-'02 - 2020'!G28))*1.81</f>
        <v>0</v>
      </c>
      <c r="H24" s="25">
        <v>0.99</v>
      </c>
      <c r="I24" s="27">
        <f>'02 - 2020'!J29-'02 - 2020'!J28</f>
        <v>0</v>
      </c>
      <c r="J24" s="25">
        <v>8.1000000000000003E-2</v>
      </c>
      <c r="K24" s="27">
        <f>'02 - 2020'!H29-'02 - 2020'!H28</f>
        <v>0</v>
      </c>
      <c r="L24" s="27">
        <f>'02 - 2020'!I29-'02 - 2020'!I28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2</v>
      </c>
      <c r="D25" s="25">
        <v>2020</v>
      </c>
      <c r="E25" s="27">
        <f>'02 - 2020'!B30-'02 - 2020'!B29+'02 - 2020'!C30-'02 - 2020'!C29</f>
        <v>0</v>
      </c>
      <c r="F25" s="25">
        <v>0.11799999999999999</v>
      </c>
      <c r="G25" s="27">
        <f>(('02 - 2020'!E30-'02 - 2020'!E29)+('02 - 2020'!F30-'02 - 2020'!F29)+('02 - 2020'!G30-'02 - 2020'!G29))*1.81</f>
        <v>0</v>
      </c>
      <c r="H25" s="25">
        <v>0.99</v>
      </c>
      <c r="I25" s="27">
        <f>'02 - 2020'!J30-'02 - 2020'!J29</f>
        <v>0</v>
      </c>
      <c r="J25" s="25">
        <v>8.1000000000000003E-2</v>
      </c>
      <c r="K25" s="27">
        <f>'02 - 2020'!H30-'02 - 2020'!H29</f>
        <v>0</v>
      </c>
      <c r="L25" s="27">
        <f>'02 - 2020'!I30-'02 - 2020'!I29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2</v>
      </c>
      <c r="D26" s="25">
        <v>2020</v>
      </c>
      <c r="E26" s="27">
        <f>'02 - 2020'!B31-'02 - 2020'!B30+'02 - 2020'!C31-'02 - 2020'!C30</f>
        <v>0</v>
      </c>
      <c r="F26" s="25">
        <v>0.11799999999999999</v>
      </c>
      <c r="G26" s="27">
        <f>(('02 - 2020'!E31-'02 - 2020'!E30)+('02 - 2020'!F31-'02 - 2020'!F30)+('02 - 2020'!G31-'02 - 2020'!G30))*1.81</f>
        <v>0</v>
      </c>
      <c r="H26" s="25">
        <v>0.99</v>
      </c>
      <c r="I26" s="27">
        <f>'02 - 2020'!J31-'02 - 2020'!J30</f>
        <v>0</v>
      </c>
      <c r="J26" s="25">
        <v>8.1000000000000003E-2</v>
      </c>
      <c r="K26" s="27">
        <f>'02 - 2020'!H31-'02 - 2020'!H30</f>
        <v>0</v>
      </c>
      <c r="L26" s="27">
        <f>'02 - 2020'!I31-'02 - 2020'!I30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2</v>
      </c>
      <c r="D27" s="25">
        <v>2020</v>
      </c>
      <c r="E27" s="27">
        <f>'02 - 2020'!B32-'02 - 2020'!B31+'02 - 2020'!C32-'02 - 2020'!C31</f>
        <v>0</v>
      </c>
      <c r="F27" s="25">
        <v>0.11799999999999999</v>
      </c>
      <c r="G27" s="27">
        <f>(('02 - 2020'!E32-'02 - 2020'!E31)+('02 - 2020'!F32-'02 - 2020'!F31)+('02 - 2020'!G32-'02 - 2020'!G31))*1.81</f>
        <v>0</v>
      </c>
      <c r="H27" s="25">
        <v>0.99</v>
      </c>
      <c r="I27" s="27">
        <f>'02 - 2020'!J32-'02 - 2020'!J31</f>
        <v>0</v>
      </c>
      <c r="J27" s="25">
        <v>8.1000000000000003E-2</v>
      </c>
      <c r="K27" s="27">
        <f>'02 - 2020'!H32-'02 - 2020'!H31</f>
        <v>0</v>
      </c>
      <c r="L27" s="27">
        <f>'02 - 2020'!I32-'02 - 2020'!I31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2</v>
      </c>
      <c r="D28" s="25">
        <v>2020</v>
      </c>
      <c r="E28" s="27">
        <f>'02 - 2020'!B33-'02 - 2020'!B32+'02 - 2020'!C33-'02 - 2020'!C32</f>
        <v>0</v>
      </c>
      <c r="F28" s="25">
        <v>0.11799999999999999</v>
      </c>
      <c r="G28" s="27">
        <f>(('02 - 2020'!E33-'02 - 2020'!E32)+('02 - 2020'!F33-'02 - 2020'!F32)+('02 - 2020'!G33-'02 - 2020'!G32))*1.81</f>
        <v>0</v>
      </c>
      <c r="H28" s="25">
        <v>0.99</v>
      </c>
      <c r="I28" s="27">
        <f>'02 - 2020'!J33-'02 - 2020'!J32</f>
        <v>0</v>
      </c>
      <c r="J28" s="25">
        <v>8.1000000000000003E-2</v>
      </c>
      <c r="K28" s="27">
        <f>'02 - 2020'!H33-'02 - 2020'!H32</f>
        <v>0</v>
      </c>
      <c r="L28" s="27">
        <f>'02 - 2020'!I33-'02 - 2020'!I32</f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2</v>
      </c>
      <c r="D29" s="25">
        <v>2020</v>
      </c>
      <c r="E29" s="27">
        <f>'02 - 2020'!B34-'02 - 2020'!B33+'02 - 2020'!C34-'02 - 2020'!C33</f>
        <v>0</v>
      </c>
      <c r="F29" s="25">
        <v>0.11799999999999999</v>
      </c>
      <c r="G29" s="27">
        <f>(('02 - 2020'!E34-'02 - 2020'!E33)+('02 - 2020'!F34-'02 - 2020'!F33)+('02 - 2020'!G34-'02 - 2020'!G33))*1.81</f>
        <v>0</v>
      </c>
      <c r="H29" s="25">
        <v>0.99</v>
      </c>
      <c r="I29" s="27">
        <f>'02 - 2020'!J34-'02 - 2020'!J33</f>
        <v>0</v>
      </c>
      <c r="J29" s="25">
        <v>8.1000000000000003E-2</v>
      </c>
      <c r="K29" s="27">
        <f>'02 - 2020'!H34-'02 - 2020'!H33</f>
        <v>0</v>
      </c>
      <c r="L29" s="27">
        <f>'02 - 2020'!I34-'02 - 2020'!I33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2</v>
      </c>
      <c r="D30" s="25">
        <v>2020</v>
      </c>
      <c r="E30" s="27">
        <f>'02 - 2020'!B35-'02 - 2020'!B34+'02 - 2020'!C35-'02 - 2020'!C34</f>
        <v>0</v>
      </c>
      <c r="F30" s="25">
        <v>0.11799999999999999</v>
      </c>
      <c r="G30" s="27">
        <f>(('02 - 2020'!E35-'02 - 2020'!E34)+('02 - 2020'!F35-'02 - 2020'!F34)+('02 - 2020'!G35-'02 - 2020'!G34))*1.81</f>
        <v>0</v>
      </c>
      <c r="H30" s="25">
        <v>0.99</v>
      </c>
      <c r="I30" s="27">
        <f>'02 - 2020'!J35-'02 - 2020'!J34</f>
        <v>0</v>
      </c>
      <c r="J30" s="25">
        <v>8.1000000000000003E-2</v>
      </c>
      <c r="K30" s="27">
        <f>'02 - 2020'!H35-'02 - 2020'!H34</f>
        <v>0</v>
      </c>
      <c r="L30" s="27">
        <f>'02 - 2020'!I35-'02 - 2020'!I34</f>
        <v>0</v>
      </c>
      <c r="M30" s="26">
        <v>4.393629424766913</v>
      </c>
      <c r="N30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P17" sqref="P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7">
        <f>'02 - 2020'!B7-'02 - 2020'!B6</f>
        <v>3957</v>
      </c>
      <c r="F2" s="27">
        <f>'02 - 2020'!C7-'02 - 2020'!C6</f>
        <v>5908</v>
      </c>
      <c r="G2" s="25">
        <v>0.11799999999999999</v>
      </c>
      <c r="H2" s="27">
        <f>'02 - 2020'!E7-'02 - 2020'!E6</f>
        <v>26.600000000000364</v>
      </c>
      <c r="I2" s="27">
        <f>'02 - 2020'!F7-'02 - 2020'!F6</f>
        <v>4.9800000000000182</v>
      </c>
      <c r="J2" s="27">
        <f>'02 - 2020'!G7-'02 - 2020'!G6</f>
        <v>49.829999999998108</v>
      </c>
      <c r="K2" s="25">
        <v>0.74</v>
      </c>
      <c r="L2" s="6">
        <v>74</v>
      </c>
      <c r="M2" s="12"/>
    </row>
    <row r="3" spans="1:13" x14ac:dyDescent="0.25">
      <c r="A3" t="s">
        <v>27</v>
      </c>
      <c r="B3">
        <f>B2+1</f>
        <v>2</v>
      </c>
      <c r="C3" s="25">
        <v>2</v>
      </c>
      <c r="D3" s="25">
        <v>2020</v>
      </c>
      <c r="E3" s="27">
        <f>'02 - 2020'!B8-'02 - 2020'!B7</f>
        <v>3429</v>
      </c>
      <c r="F3" s="27">
        <f>'02 - 2020'!C8-'02 - 2020'!C7</f>
        <v>5002</v>
      </c>
      <c r="G3" s="25">
        <v>0.11799999999999999</v>
      </c>
      <c r="H3" s="27">
        <f>'02 - 2020'!E8-'02 - 2020'!E7</f>
        <v>21.549999999999272</v>
      </c>
      <c r="I3" s="27">
        <f>'02 - 2020'!F8-'02 - 2020'!F7</f>
        <v>4.6699999999998454</v>
      </c>
      <c r="J3" s="27">
        <f>'02 - 2020'!G8-'02 - 2020'!G7</f>
        <v>36.770000000000437</v>
      </c>
      <c r="K3" s="25">
        <v>0.74</v>
      </c>
      <c r="L3" s="6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5">
        <v>2</v>
      </c>
      <c r="D4" s="25">
        <v>2020</v>
      </c>
      <c r="E4" s="27">
        <f>'02 - 2020'!B9-'02 - 2020'!B8</f>
        <v>3612</v>
      </c>
      <c r="F4" s="27">
        <f>'02 - 2020'!C9-'02 - 2020'!C8</f>
        <v>5371</v>
      </c>
      <c r="G4" s="25">
        <v>0.11799999999999999</v>
      </c>
      <c r="H4" s="27">
        <f>'02 - 2020'!E9-'02 - 2020'!E8</f>
        <v>24.819999999999709</v>
      </c>
      <c r="I4" s="27">
        <f>'02 - 2020'!F9-'02 - 2020'!F8</f>
        <v>6.1900000000000546</v>
      </c>
      <c r="J4" s="27">
        <f>'02 - 2020'!G9-'02 - 2020'!G8</f>
        <v>38.31000000000131</v>
      </c>
      <c r="K4" s="25">
        <v>0.74</v>
      </c>
      <c r="L4" s="6">
        <v>61</v>
      </c>
      <c r="M4" s="12"/>
    </row>
    <row r="5" spans="1:13" x14ac:dyDescent="0.25">
      <c r="A5" t="s">
        <v>27</v>
      </c>
      <c r="B5">
        <f t="shared" si="0"/>
        <v>4</v>
      </c>
      <c r="C5" s="25">
        <v>2</v>
      </c>
      <c r="D5" s="25">
        <v>2020</v>
      </c>
      <c r="E5" s="27">
        <f>'02 - 2020'!B10-'02 - 2020'!B9</f>
        <v>4149</v>
      </c>
      <c r="F5" s="27">
        <f>'02 - 2020'!C10-'02 - 2020'!C9</f>
        <v>5607</v>
      </c>
      <c r="G5" s="25">
        <v>0.11799999999999999</v>
      </c>
      <c r="H5" s="27">
        <f>'02 - 2020'!E10-'02 - 2020'!E9</f>
        <v>24.1200000000008</v>
      </c>
      <c r="I5" s="27">
        <f>'02 - 2020'!F10-'02 - 2020'!F9</f>
        <v>6</v>
      </c>
      <c r="J5" s="27">
        <f>'02 - 2020'!G10-'02 - 2020'!G9</f>
        <v>42.479999999999563</v>
      </c>
      <c r="K5" s="25">
        <v>0.74</v>
      </c>
      <c r="L5" s="6">
        <v>61</v>
      </c>
      <c r="M5" s="12"/>
    </row>
    <row r="6" spans="1:13" x14ac:dyDescent="0.25">
      <c r="A6" t="s">
        <v>27</v>
      </c>
      <c r="B6">
        <f t="shared" si="0"/>
        <v>5</v>
      </c>
      <c r="C6" s="25">
        <v>2</v>
      </c>
      <c r="D6" s="25">
        <v>2020</v>
      </c>
      <c r="E6" s="27">
        <f>'02 - 2020'!B11-'02 - 2020'!B10</f>
        <v>3878</v>
      </c>
      <c r="F6" s="27">
        <f>'02 - 2020'!C11-'02 - 2020'!C10</f>
        <v>5633</v>
      </c>
      <c r="G6" s="25">
        <v>0.11799999999999999</v>
      </c>
      <c r="H6" s="27">
        <f>'02 - 2020'!E11-'02 - 2020'!E10</f>
        <v>23.8799999999992</v>
      </c>
      <c r="I6" s="27">
        <f>'02 - 2020'!F11-'02 - 2020'!F10</f>
        <v>6.6500000000000909</v>
      </c>
      <c r="J6" s="27">
        <f>'02 - 2020'!G11-'02 - 2020'!G10</f>
        <v>46.900000000001455</v>
      </c>
      <c r="K6" s="25">
        <v>0.74</v>
      </c>
      <c r="L6" s="15">
        <v>68</v>
      </c>
      <c r="M6" s="13"/>
    </row>
    <row r="7" spans="1:13" x14ac:dyDescent="0.25">
      <c r="A7" t="s">
        <v>27</v>
      </c>
      <c r="B7">
        <f t="shared" si="0"/>
        <v>6</v>
      </c>
      <c r="C7" s="25">
        <v>2</v>
      </c>
      <c r="D7" s="25">
        <v>2020</v>
      </c>
      <c r="E7" s="27">
        <v>0</v>
      </c>
      <c r="F7" s="27">
        <v>0</v>
      </c>
      <c r="G7" s="25">
        <v>0.11799999999999999</v>
      </c>
      <c r="H7" s="27">
        <v>0</v>
      </c>
      <c r="I7" s="27">
        <v>0</v>
      </c>
      <c r="J7" s="27">
        <v>0</v>
      </c>
      <c r="K7" s="25">
        <v>0.74</v>
      </c>
      <c r="L7" s="6"/>
      <c r="M7" s="13"/>
    </row>
    <row r="8" spans="1:13" x14ac:dyDescent="0.25">
      <c r="A8" t="s">
        <v>27</v>
      </c>
      <c r="B8">
        <f t="shared" si="0"/>
        <v>7</v>
      </c>
      <c r="C8" s="25">
        <v>2</v>
      </c>
      <c r="D8" s="25">
        <v>2020</v>
      </c>
      <c r="E8" s="27">
        <f>'02 - 2020'!B13-'02 - 2020'!B12</f>
        <v>0</v>
      </c>
      <c r="F8" s="27">
        <f>'02 - 2020'!C13-'02 - 2020'!C12</f>
        <v>0</v>
      </c>
      <c r="G8" s="25">
        <v>0.11799999999999999</v>
      </c>
      <c r="H8" s="27">
        <f>'02 - 2020'!E13-'02 - 2020'!E12</f>
        <v>0</v>
      </c>
      <c r="I8" s="27">
        <f>'02 - 2020'!F13-'02 - 2020'!F12</f>
        <v>0</v>
      </c>
      <c r="J8" s="27">
        <f>'02 - 2020'!G13-'02 - 2020'!G12</f>
        <v>0</v>
      </c>
      <c r="K8" s="25">
        <v>0.74</v>
      </c>
      <c r="L8" s="6"/>
      <c r="M8" s="13"/>
    </row>
    <row r="9" spans="1:13" x14ac:dyDescent="0.25">
      <c r="A9" t="s">
        <v>27</v>
      </c>
      <c r="B9">
        <f t="shared" si="0"/>
        <v>8</v>
      </c>
      <c r="C9" s="25">
        <v>2</v>
      </c>
      <c r="D9" s="25">
        <v>2020</v>
      </c>
      <c r="E9" s="27">
        <f>'02 - 2020'!B14-'02 - 2020'!B13</f>
        <v>0</v>
      </c>
      <c r="F9" s="27">
        <f>'02 - 2020'!C14-'02 - 2020'!C13</f>
        <v>0</v>
      </c>
      <c r="G9" s="25">
        <v>0.11799999999999999</v>
      </c>
      <c r="H9" s="27">
        <f>'02 - 2020'!E14-'02 - 2020'!E13</f>
        <v>0</v>
      </c>
      <c r="I9" s="27">
        <f>'02 - 2020'!F14-'02 - 2020'!F13</f>
        <v>0</v>
      </c>
      <c r="J9" s="27">
        <f>'02 - 2020'!G14-'02 - 2020'!G13</f>
        <v>0</v>
      </c>
      <c r="K9" s="25">
        <v>0.74</v>
      </c>
      <c r="L9" s="6"/>
      <c r="M9" s="13"/>
    </row>
    <row r="10" spans="1:13" x14ac:dyDescent="0.25">
      <c r="A10" t="s">
        <v>27</v>
      </c>
      <c r="B10">
        <f t="shared" si="0"/>
        <v>9</v>
      </c>
      <c r="C10" s="25">
        <v>2</v>
      </c>
      <c r="D10" s="25">
        <v>2020</v>
      </c>
      <c r="E10" s="27">
        <f>'02 - 2020'!B15-'02 - 2020'!B14</f>
        <v>0</v>
      </c>
      <c r="F10" s="27">
        <f>'02 - 2020'!C15-'02 - 2020'!C14</f>
        <v>0</v>
      </c>
      <c r="G10" s="25">
        <v>0.11799999999999999</v>
      </c>
      <c r="H10" s="27">
        <f>'02 - 2020'!E15-'02 - 2020'!E14</f>
        <v>0</v>
      </c>
      <c r="I10" s="27">
        <f>'02 - 2020'!F15-'02 - 2020'!F14</f>
        <v>0</v>
      </c>
      <c r="J10" s="27">
        <f>'02 - 2020'!G15-'02 - 2020'!G14</f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2</v>
      </c>
      <c r="D11" s="25">
        <v>2020</v>
      </c>
      <c r="E11" s="27">
        <f>'02 - 2020'!B16-'02 - 2020'!B15</f>
        <v>0</v>
      </c>
      <c r="F11" s="27">
        <f>'02 - 2020'!C16-'02 - 2020'!C15</f>
        <v>0</v>
      </c>
      <c r="G11" s="25">
        <v>0.11799999999999999</v>
      </c>
      <c r="H11" s="27">
        <f>'02 - 2020'!E16-'02 - 2020'!E15</f>
        <v>0</v>
      </c>
      <c r="I11" s="27">
        <f>'02 - 2020'!F16-'02 - 2020'!F15</f>
        <v>0</v>
      </c>
      <c r="J11" s="27">
        <f>'02 - 2020'!G16-'02 - 2020'!G15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2</v>
      </c>
      <c r="D12" s="25">
        <v>2020</v>
      </c>
      <c r="E12" s="27">
        <f>'02 - 2020'!B17-'02 - 2020'!B16</f>
        <v>0</v>
      </c>
      <c r="F12" s="27">
        <f>'02 - 2020'!C17-'02 - 2020'!C16</f>
        <v>0</v>
      </c>
      <c r="G12" s="25">
        <v>0.11799999999999999</v>
      </c>
      <c r="H12" s="27">
        <f>'02 - 2020'!E17-'02 - 2020'!E16</f>
        <v>0</v>
      </c>
      <c r="I12" s="27">
        <f>'02 - 2020'!F17-'02 - 2020'!F16</f>
        <v>0</v>
      </c>
      <c r="J12" s="27">
        <f>'02 - 2020'!G17-'02 - 2020'!G16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2</v>
      </c>
      <c r="D13" s="25">
        <v>2020</v>
      </c>
      <c r="E13" s="27">
        <f>'02 - 2020'!B18-'02 - 2020'!B17</f>
        <v>0</v>
      </c>
      <c r="F13" s="27">
        <f>'02 - 2020'!C18-'02 - 2020'!C17</f>
        <v>0</v>
      </c>
      <c r="G13" s="25">
        <v>0.11799999999999999</v>
      </c>
      <c r="H13" s="27">
        <f>'02 - 2020'!E18-'02 - 2020'!E17</f>
        <v>0</v>
      </c>
      <c r="I13" s="27">
        <f>'02 - 2020'!F18-'02 - 2020'!F17</f>
        <v>0</v>
      </c>
      <c r="J13" s="27">
        <f>'02 - 2020'!G18-'02 - 2020'!G17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2</v>
      </c>
      <c r="D14" s="25">
        <v>2020</v>
      </c>
      <c r="E14" s="27">
        <f>'02 - 2020'!B19-'02 - 2020'!B18</f>
        <v>0</v>
      </c>
      <c r="F14" s="27">
        <f>'02 - 2020'!C19-'02 - 2020'!C18</f>
        <v>0</v>
      </c>
      <c r="G14" s="25">
        <v>0.11799999999999999</v>
      </c>
      <c r="H14" s="27">
        <f>'02 - 2020'!E19-'02 - 2020'!E18</f>
        <v>0</v>
      </c>
      <c r="I14" s="27">
        <f>'02 - 2020'!F19-'02 - 2020'!F18</f>
        <v>0</v>
      </c>
      <c r="J14" s="27">
        <f>'02 - 2020'!G19-'02 - 2020'!G18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2</v>
      </c>
      <c r="D15" s="25">
        <v>2020</v>
      </c>
      <c r="E15" s="27">
        <f>'02 - 2020'!B20-'02 - 2020'!B19</f>
        <v>0</v>
      </c>
      <c r="F15" s="27">
        <f>'02 - 2020'!C20-'02 - 2020'!C19</f>
        <v>0</v>
      </c>
      <c r="G15" s="25">
        <v>0.11799999999999999</v>
      </c>
      <c r="H15" s="27">
        <f>'02 - 2020'!E20-'02 - 2020'!E19</f>
        <v>0</v>
      </c>
      <c r="I15" s="27">
        <f>'02 - 2020'!F20-'02 - 2020'!F19</f>
        <v>0</v>
      </c>
      <c r="J15" s="27">
        <f>'02 - 2020'!G20-'02 - 2020'!G19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2</v>
      </c>
      <c r="D16" s="25">
        <v>2020</v>
      </c>
      <c r="E16" s="27">
        <f>'02 - 2020'!B21-'02 - 2020'!B20</f>
        <v>0</v>
      </c>
      <c r="F16" s="27">
        <f>'02 - 2020'!C21-'02 - 2020'!C20</f>
        <v>0</v>
      </c>
      <c r="G16" s="25">
        <v>0.11799999999999999</v>
      </c>
      <c r="H16" s="27">
        <f>'02 - 2020'!E21-'02 - 2020'!E20</f>
        <v>0</v>
      </c>
      <c r="I16" s="27">
        <f>'02 - 2020'!F21-'02 - 2020'!F20</f>
        <v>0</v>
      </c>
      <c r="J16" s="27">
        <f>'02 - 2020'!G21-'02 - 2020'!G20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2</v>
      </c>
      <c r="D17" s="25">
        <v>2020</v>
      </c>
      <c r="E17" s="27">
        <f>'02 - 2020'!B22-'02 - 2020'!B21</f>
        <v>0</v>
      </c>
      <c r="F17" s="27">
        <f>'02 - 2020'!C22-'02 - 2020'!C21</f>
        <v>0</v>
      </c>
      <c r="G17" s="25">
        <v>0.11799999999999999</v>
      </c>
      <c r="H17" s="27">
        <f>'02 - 2020'!E22-'02 - 2020'!E21</f>
        <v>0</v>
      </c>
      <c r="I17" s="27">
        <f>'02 - 2020'!F22-'02 - 2020'!F21</f>
        <v>0</v>
      </c>
      <c r="J17" s="27">
        <f>'02 - 2020'!G22-'02 - 2020'!G21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2</v>
      </c>
      <c r="D18" s="25">
        <v>2020</v>
      </c>
      <c r="E18" s="27">
        <f>'02 - 2020'!B23-'02 - 2020'!B22</f>
        <v>0</v>
      </c>
      <c r="F18" s="27">
        <f>'02 - 2020'!C23-'02 - 2020'!C22</f>
        <v>0</v>
      </c>
      <c r="G18" s="25">
        <v>0.11799999999999999</v>
      </c>
      <c r="H18" s="27">
        <f>'02 - 2020'!E23-'02 - 2020'!E22</f>
        <v>0</v>
      </c>
      <c r="I18" s="27">
        <f>'02 - 2020'!F23-'02 - 2020'!F22</f>
        <v>0</v>
      </c>
      <c r="J18" s="27">
        <f>'02 - 2020'!G23-'02 - 2020'!G22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2</v>
      </c>
      <c r="D19" s="25">
        <v>2020</v>
      </c>
      <c r="E19" s="27">
        <f>'02 - 2020'!B24-'02 - 2020'!B23</f>
        <v>0</v>
      </c>
      <c r="F19" s="27">
        <f>'02 - 2020'!C24-'02 - 2020'!C23</f>
        <v>0</v>
      </c>
      <c r="G19" s="25">
        <v>0.11799999999999999</v>
      </c>
      <c r="H19" s="27">
        <f>'02 - 2020'!E24-'02 - 2020'!E23</f>
        <v>0</v>
      </c>
      <c r="I19" s="27">
        <f>'02 - 2020'!F24-'02 - 2020'!F23</f>
        <v>0</v>
      </c>
      <c r="J19" s="27">
        <f>'02 - 2020'!G24-'02 - 2020'!G23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2</v>
      </c>
      <c r="D20" s="25">
        <v>2020</v>
      </c>
      <c r="E20" s="27">
        <f>'02 - 2020'!B25-'02 - 2020'!B24</f>
        <v>0</v>
      </c>
      <c r="F20" s="27">
        <f>'02 - 2020'!C25-'02 - 2020'!C24</f>
        <v>0</v>
      </c>
      <c r="G20" s="25">
        <v>0.11799999999999999</v>
      </c>
      <c r="H20" s="27">
        <f>'02 - 2020'!E25-'02 - 2020'!E24</f>
        <v>0</v>
      </c>
      <c r="I20" s="27">
        <f>'02 - 2020'!F25-'02 - 2020'!F24</f>
        <v>0</v>
      </c>
      <c r="J20" s="27">
        <f>'02 - 2020'!G25-'02 - 2020'!G24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2</v>
      </c>
      <c r="D21" s="25">
        <v>2020</v>
      </c>
      <c r="E21" s="27">
        <f>'02 - 2020'!B26-'02 - 2020'!B25</f>
        <v>0</v>
      </c>
      <c r="F21" s="27">
        <f>'02 - 2020'!C26-'02 - 2020'!C25</f>
        <v>0</v>
      </c>
      <c r="G21" s="25">
        <v>0.11799999999999999</v>
      </c>
      <c r="H21" s="27">
        <f>'02 - 2020'!E26-'02 - 2020'!E25</f>
        <v>0</v>
      </c>
      <c r="I21" s="27">
        <f>'02 - 2020'!F26-'02 - 2020'!F25</f>
        <v>0</v>
      </c>
      <c r="J21" s="27">
        <f>'02 - 2020'!G26-'02 - 2020'!G25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2</v>
      </c>
      <c r="D22" s="25">
        <v>2020</v>
      </c>
      <c r="E22" s="27">
        <f>'02 - 2020'!B27-'02 - 2020'!B26</f>
        <v>0</v>
      </c>
      <c r="F22" s="27">
        <f>'02 - 2020'!C27-'02 - 2020'!C26</f>
        <v>0</v>
      </c>
      <c r="G22" s="25">
        <v>0.11799999999999999</v>
      </c>
      <c r="H22" s="27">
        <f>'02 - 2020'!E27-'02 - 2020'!E26</f>
        <v>0</v>
      </c>
      <c r="I22" s="27">
        <f>'02 - 2020'!F27-'02 - 2020'!F26</f>
        <v>0</v>
      </c>
      <c r="J22" s="27">
        <f>'02 - 2020'!G27-'02 - 2020'!G26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2</v>
      </c>
      <c r="D23" s="25">
        <v>2020</v>
      </c>
      <c r="E23" s="27">
        <f>'02 - 2020'!B28-'02 - 2020'!B27</f>
        <v>0</v>
      </c>
      <c r="F23" s="27">
        <f>'02 - 2020'!C28-'02 - 2020'!C27</f>
        <v>0</v>
      </c>
      <c r="G23" s="25">
        <v>0.11799999999999999</v>
      </c>
      <c r="H23" s="27">
        <f>'02 - 2020'!E28-'02 - 2020'!E27</f>
        <v>0</v>
      </c>
      <c r="I23" s="27">
        <f>'02 - 2020'!F28-'02 - 2020'!F27</f>
        <v>0</v>
      </c>
      <c r="J23" s="27">
        <f>'02 - 2020'!G28-'02 - 2020'!G27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2</v>
      </c>
      <c r="D24" s="25">
        <v>2020</v>
      </c>
      <c r="E24" s="27">
        <f>'02 - 2020'!B29-'02 - 2020'!B28</f>
        <v>0</v>
      </c>
      <c r="F24" s="27">
        <f>'02 - 2020'!C29-'02 - 2020'!C28</f>
        <v>0</v>
      </c>
      <c r="G24" s="25">
        <v>0.11799999999999999</v>
      </c>
      <c r="H24" s="27">
        <f>'02 - 2020'!E29-'02 - 2020'!E28</f>
        <v>0</v>
      </c>
      <c r="I24" s="27">
        <f>'02 - 2020'!F29-'02 - 2020'!F28</f>
        <v>0</v>
      </c>
      <c r="J24" s="27">
        <f>'02 - 2020'!G29-'02 - 2020'!G28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2</v>
      </c>
      <c r="D25" s="25">
        <v>2020</v>
      </c>
      <c r="E25" s="27">
        <f>'02 - 2020'!B30-'02 - 2020'!B29</f>
        <v>0</v>
      </c>
      <c r="F25" s="27">
        <f>'02 - 2020'!C30-'02 - 2020'!C29</f>
        <v>0</v>
      </c>
      <c r="G25" s="25">
        <v>0.11799999999999999</v>
      </c>
      <c r="H25" s="27">
        <f>'02 - 2020'!E30-'02 - 2020'!E29</f>
        <v>0</v>
      </c>
      <c r="I25" s="27">
        <f>'02 - 2020'!F30-'02 - 2020'!F29</f>
        <v>0</v>
      </c>
      <c r="J25" s="27">
        <f>'02 - 2020'!G30-'02 - 2020'!G29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2</v>
      </c>
      <c r="D26" s="25">
        <v>2020</v>
      </c>
      <c r="E26" s="27">
        <f>'02 - 2020'!B31-'02 - 2020'!B30</f>
        <v>0</v>
      </c>
      <c r="F26" s="27">
        <f>'02 - 2020'!C31-'02 - 2020'!C30</f>
        <v>0</v>
      </c>
      <c r="G26" s="25">
        <v>0.11799999999999999</v>
      </c>
      <c r="H26" s="27">
        <f>'02 - 2020'!E31-'02 - 2020'!E30</f>
        <v>0</v>
      </c>
      <c r="I26" s="27">
        <f>'02 - 2020'!F31-'02 - 2020'!F30</f>
        <v>0</v>
      </c>
      <c r="J26" s="27">
        <f>'02 - 2020'!G31-'02 - 2020'!G30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2</v>
      </c>
      <c r="D27" s="25">
        <v>2020</v>
      </c>
      <c r="E27" s="27">
        <f>'02 - 2020'!B32-'02 - 2020'!B31</f>
        <v>0</v>
      </c>
      <c r="F27" s="27">
        <f>'02 - 2020'!C32-'02 - 2020'!C31</f>
        <v>0</v>
      </c>
      <c r="G27" s="25">
        <v>0.11799999999999999</v>
      </c>
      <c r="H27" s="27">
        <f>'02 - 2020'!E32-'02 - 2020'!E31</f>
        <v>0</v>
      </c>
      <c r="I27" s="27">
        <f>'02 - 2020'!F32-'02 - 2020'!F31</f>
        <v>0</v>
      </c>
      <c r="J27" s="27">
        <f>'02 - 2020'!G32-'02 - 2020'!G31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2</v>
      </c>
      <c r="D28" s="25">
        <v>2020</v>
      </c>
      <c r="E28" s="27">
        <f>'02 - 2020'!B33-'02 - 2020'!B32</f>
        <v>0</v>
      </c>
      <c r="F28" s="27">
        <f>'02 - 2020'!C33-'02 - 2020'!C32</f>
        <v>0</v>
      </c>
      <c r="G28" s="25">
        <v>0.11799999999999999</v>
      </c>
      <c r="H28" s="27">
        <f>'02 - 2020'!E33-'02 - 2020'!E32</f>
        <v>0</v>
      </c>
      <c r="I28" s="27">
        <f>'02 - 2020'!F33-'02 - 2020'!F32</f>
        <v>0</v>
      </c>
      <c r="J28" s="27">
        <f>'02 - 2020'!G33-'02 - 2020'!G32</f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2</v>
      </c>
      <c r="D29" s="25">
        <v>2020</v>
      </c>
      <c r="E29" s="27">
        <f>'02 - 2020'!B34-'02 - 2020'!B33</f>
        <v>0</v>
      </c>
      <c r="F29" s="27">
        <f>'02 - 2020'!C34-'02 - 2020'!C33</f>
        <v>0</v>
      </c>
      <c r="G29" s="25">
        <v>0.11799999999999999</v>
      </c>
      <c r="H29" s="27">
        <f>'02 - 2020'!E34-'02 - 2020'!E33</f>
        <v>0</v>
      </c>
      <c r="I29" s="27">
        <f>'02 - 2020'!F34-'02 - 2020'!F33</f>
        <v>0</v>
      </c>
      <c r="J29" s="27">
        <f>'02 - 2020'!G34-'02 - 2020'!G33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2</v>
      </c>
      <c r="D30" s="25">
        <v>2020</v>
      </c>
      <c r="E30" s="27">
        <f>'02 - 2020'!B35-'02 - 2020'!B34</f>
        <v>0</v>
      </c>
      <c r="F30" s="27">
        <f>'02 - 2020'!C35-'02 - 2020'!C34</f>
        <v>0</v>
      </c>
      <c r="G30" s="25">
        <v>0.11799999999999999</v>
      </c>
      <c r="H30" s="27">
        <f>'02 - 2020'!E35-'02 - 2020'!E34</f>
        <v>0</v>
      </c>
      <c r="I30" s="27">
        <f>'02 - 2020'!F35-'02 - 2020'!F34</f>
        <v>0</v>
      </c>
      <c r="J30" s="27">
        <f>'02 - 2020'!G35-'02 - 2020'!G34</f>
        <v>0</v>
      </c>
      <c r="K30" s="25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C20" sqref="C2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1:15" ht="16.5" thickBot="1" x14ac:dyDescent="0.3">
      <c r="A3" s="52" t="s">
        <v>36</v>
      </c>
      <c r="B3" s="52"/>
      <c r="C3" s="52"/>
      <c r="D3" s="52"/>
      <c r="E3" s="52"/>
      <c r="F3" s="52"/>
      <c r="G3" s="52"/>
      <c r="H3" s="52"/>
      <c r="I3" s="52"/>
      <c r="J3" s="52"/>
      <c r="K3" s="25"/>
      <c r="L3" s="25"/>
    </row>
    <row r="4" spans="1:15" ht="16.5" thickBot="1" x14ac:dyDescent="0.3">
      <c r="A4" s="2"/>
      <c r="B4" s="53">
        <v>19</v>
      </c>
      <c r="C4" s="54"/>
      <c r="D4" s="53" t="s">
        <v>0</v>
      </c>
      <c r="E4" s="55"/>
      <c r="F4" s="55"/>
      <c r="G4" s="56"/>
      <c r="H4" s="57" t="s">
        <v>1</v>
      </c>
      <c r="I4" s="58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49">
        <v>43861</v>
      </c>
      <c r="B6" s="16">
        <v>494110</v>
      </c>
      <c r="C6" s="16">
        <v>449121</v>
      </c>
      <c r="D6" s="17">
        <v>0.85</v>
      </c>
      <c r="E6" s="30">
        <v>9527.18</v>
      </c>
      <c r="F6" s="30">
        <v>1819.16</v>
      </c>
      <c r="G6" s="18">
        <v>16452.61</v>
      </c>
      <c r="H6" s="16">
        <v>14528</v>
      </c>
      <c r="I6" s="16">
        <v>87332</v>
      </c>
      <c r="J6" s="16">
        <v>37607686</v>
      </c>
      <c r="K6" s="19"/>
      <c r="L6" s="34"/>
    </row>
    <row r="7" spans="1:15" ht="12.75" customHeight="1" x14ac:dyDescent="0.25">
      <c r="A7" s="49">
        <v>43862</v>
      </c>
      <c r="B7" s="38">
        <v>498067</v>
      </c>
      <c r="C7" s="39">
        <v>455029</v>
      </c>
      <c r="D7" s="40">
        <v>0.78</v>
      </c>
      <c r="E7" s="41">
        <v>9553.7800000000007</v>
      </c>
      <c r="F7" s="41">
        <v>1824.14</v>
      </c>
      <c r="G7" s="41">
        <v>16502.439999999999</v>
      </c>
      <c r="H7" s="42">
        <v>14528</v>
      </c>
      <c r="I7" s="42">
        <v>87441</v>
      </c>
      <c r="J7" s="42">
        <v>37618840</v>
      </c>
      <c r="K7" s="43"/>
      <c r="L7" s="44"/>
    </row>
    <row r="8" spans="1:15" ht="12.75" customHeight="1" x14ac:dyDescent="0.25">
      <c r="A8" s="49">
        <v>43863</v>
      </c>
      <c r="B8" s="28">
        <v>501496</v>
      </c>
      <c r="C8" s="20">
        <v>460031</v>
      </c>
      <c r="D8" s="17">
        <v>0.7</v>
      </c>
      <c r="E8" s="24">
        <v>9575.33</v>
      </c>
      <c r="F8" s="24">
        <v>1828.81</v>
      </c>
      <c r="G8" s="24">
        <v>16539.21</v>
      </c>
      <c r="H8" s="20">
        <v>14528</v>
      </c>
      <c r="I8" s="16">
        <v>87549</v>
      </c>
      <c r="J8" s="16">
        <v>37628232</v>
      </c>
      <c r="K8" s="19"/>
      <c r="L8" s="34"/>
    </row>
    <row r="9" spans="1:15" ht="12.75" customHeight="1" x14ac:dyDescent="0.25">
      <c r="A9" s="49">
        <v>43864</v>
      </c>
      <c r="B9" s="16">
        <v>505108</v>
      </c>
      <c r="C9" s="16">
        <v>465402</v>
      </c>
      <c r="D9" s="17">
        <v>0.62</v>
      </c>
      <c r="E9" s="24">
        <v>9600.15</v>
      </c>
      <c r="F9" s="24">
        <v>1835</v>
      </c>
      <c r="G9" s="24">
        <v>16577.52</v>
      </c>
      <c r="H9" s="20">
        <v>14528</v>
      </c>
      <c r="I9" s="16">
        <v>87630</v>
      </c>
      <c r="J9" s="16">
        <v>37638562</v>
      </c>
      <c r="K9" s="19"/>
      <c r="L9" s="34"/>
    </row>
    <row r="10" spans="1:15" ht="12.75" customHeight="1" x14ac:dyDescent="0.25">
      <c r="A10" s="49">
        <v>43865</v>
      </c>
      <c r="B10" s="16">
        <v>509257</v>
      </c>
      <c r="C10" s="16">
        <v>471009</v>
      </c>
      <c r="D10" s="17">
        <v>0.54</v>
      </c>
      <c r="E10" s="24">
        <v>9624.27</v>
      </c>
      <c r="F10" s="24">
        <v>1841</v>
      </c>
      <c r="G10" s="24">
        <v>16620</v>
      </c>
      <c r="H10" s="20">
        <v>14528</v>
      </c>
      <c r="I10" s="16">
        <v>87744</v>
      </c>
      <c r="J10" s="16">
        <v>37649174</v>
      </c>
      <c r="K10" s="19"/>
      <c r="L10" s="34"/>
    </row>
    <row r="11" spans="1:15" ht="12.75" customHeight="1" x14ac:dyDescent="0.25">
      <c r="A11" s="49">
        <v>43866</v>
      </c>
      <c r="B11" s="16">
        <v>513135</v>
      </c>
      <c r="C11" s="16">
        <v>476642</v>
      </c>
      <c r="D11" s="17">
        <v>0.46</v>
      </c>
      <c r="E11" s="24">
        <v>9648.15</v>
      </c>
      <c r="F11" s="24">
        <v>1847.65</v>
      </c>
      <c r="G11" s="24">
        <v>16666.900000000001</v>
      </c>
      <c r="H11" s="16">
        <v>14528</v>
      </c>
      <c r="I11" s="16">
        <v>87846</v>
      </c>
      <c r="J11" s="16">
        <v>37659281</v>
      </c>
      <c r="K11" s="19"/>
      <c r="L11" s="34"/>
    </row>
    <row r="12" spans="1:15" ht="12.75" customHeight="1" x14ac:dyDescent="0.25">
      <c r="A12" s="49">
        <v>43867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49">
        <v>43868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49">
        <v>43869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49">
        <v>43870</v>
      </c>
      <c r="B15" s="50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43871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43872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43873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43843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43875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43876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43877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43878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43879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43880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43881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43882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43852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43884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43885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43886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43887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43888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43889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43890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/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/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1" t="s">
        <v>35</v>
      </c>
      <c r="B38" s="37">
        <f t="shared" ref="B38:I38" si="0">B37-B6</f>
        <v>-494110</v>
      </c>
      <c r="C38" s="37">
        <f t="shared" si="0"/>
        <v>-449121</v>
      </c>
      <c r="D38" s="37">
        <f t="shared" si="0"/>
        <v>-0.85</v>
      </c>
      <c r="E38" s="37">
        <f t="shared" si="0"/>
        <v>-9527.18</v>
      </c>
      <c r="F38" s="37">
        <f t="shared" si="0"/>
        <v>-1819.16</v>
      </c>
      <c r="G38" s="37">
        <f t="shared" si="0"/>
        <v>-16452.61</v>
      </c>
      <c r="H38" s="37">
        <f t="shared" si="0"/>
        <v>-14528</v>
      </c>
      <c r="I38" s="37">
        <f t="shared" si="0"/>
        <v>-87332</v>
      </c>
      <c r="J38" s="37">
        <f>J37-J6</f>
        <v>-37607686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-19210332.708000001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2020-02-05T05:53:43Z</dcterms:modified>
</cp:coreProperties>
</file>