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A20" i="5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I11" i="2"/>
  <c r="I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1" i="2" l="1"/>
  <c r="H11" i="2"/>
  <c r="F11" i="2"/>
  <c r="E11" i="2"/>
  <c r="J10" i="2" l="1"/>
  <c r="H10" i="2"/>
  <c r="F10" i="2"/>
  <c r="E10" i="2"/>
  <c r="L2" i="3" l="1"/>
  <c r="K2" i="3"/>
  <c r="I2" i="3"/>
  <c r="G2" i="3"/>
  <c r="E2" i="3"/>
  <c r="J2" i="2"/>
  <c r="I2" i="2"/>
  <c r="H2" i="2"/>
  <c r="F2" i="2"/>
  <c r="E2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<sst xmlns="http://schemas.openxmlformats.org/spreadsheetml/2006/main" count="107" uniqueCount="38">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</sst>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19" sqref="Q1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'01 - 2021'!B14-'01 - 2021'!B13+'01 - 2021'!C14-'01 - 2021'!C13</f>
        <v>9969.6999999999971</v>
      </c>
      <c r="F8" s="14">
        <v>0.11799999999999999</v>
      </c>
      <c r="G8" s="16">
        <f>'01 - 2021'!D14-'01 - 2021'!D13+'01 - 2021'!E14-'01 - 2021'!E13</f>
        <v>15.070000000000164</v>
      </c>
      <c r="H8" s="14">
        <v>0.99</v>
      </c>
      <c r="I8" s="16">
        <f>'01 - 2021'!J14-'01 - 2021'!J13</f>
        <v>10959</v>
      </c>
      <c r="J8" s="14">
        <v>8.1000000000000003E-2</v>
      </c>
      <c r="K8" s="23">
        <f>'01 - 2021'!H14-'01 - 2021'!H13</f>
        <v>0</v>
      </c>
      <c r="L8" s="16">
        <f>'01 - 2021'!I14-'01 - 2021'!I13</f>
        <v>112</v>
      </c>
      <c r="M8" s="15">
        <v>4.393629424766913</v>
      </c>
      <c r="N8" s="20">
        <v>97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9803</v>
      </c>
      <c r="F9" s="14">
        <v>0.11799999999999999</v>
      </c>
      <c r="G9" s="16">
        <f>'01 - 2021'!D15-'01 - 2021'!D14+'01 - 2021'!E15-'01 - 2021'!E14</f>
        <v>21.089999999999918</v>
      </c>
      <c r="H9" s="14">
        <v>0.99</v>
      </c>
      <c r="I9" s="16">
        <f>'01 - 2021'!J15-'01 - 2021'!J14</f>
        <v>10574</v>
      </c>
      <c r="J9" s="14">
        <v>8.1000000000000003E-2</v>
      </c>
      <c r="K9" s="23">
        <f>'01 - 2021'!H15-'01 - 2021'!H14</f>
        <v>0</v>
      </c>
      <c r="L9" s="16">
        <f>'01 - 2021'!I15-'01 - 2021'!I14</f>
        <v>111</v>
      </c>
      <c r="M9" s="15">
        <v>4.393629424766913</v>
      </c>
      <c r="N9" s="18">
        <v>90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9962</v>
      </c>
      <c r="F10" s="14">
        <v>0.11799999999999999</v>
      </c>
      <c r="G10" s="16">
        <f>'01 - 2021'!D16-'01 - 2021'!D15+'01 - 2021'!E16-'01 - 2021'!E15</f>
        <v>21.400000000000091</v>
      </c>
      <c r="H10" s="14">
        <v>0.99</v>
      </c>
      <c r="I10" s="16">
        <f>'01 - 2021'!J16-'01 - 2021'!J15</f>
        <v>11592</v>
      </c>
      <c r="J10" s="14">
        <v>8.1000000000000003E-2</v>
      </c>
      <c r="K10" s="23">
        <f>'01 - 2021'!H16-'01 - 2021'!H15</f>
        <v>0</v>
      </c>
      <c r="L10" s="16">
        <f>'01 - 2021'!I16-'01 - 2021'!I15</f>
        <v>106</v>
      </c>
      <c r="M10" s="15">
        <v>4.393629424766913</v>
      </c>
      <c r="N10" s="18">
        <v>84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9400</v>
      </c>
      <c r="F11" s="14">
        <v>0.11799999999999999</v>
      </c>
      <c r="G11" s="16">
        <f>'01 - 2021'!D17-'01 - 2021'!D16+'01 - 2021'!E17-'01 - 2021'!E16</f>
        <v>20.940000000000055</v>
      </c>
      <c r="H11" s="14">
        <v>0.99</v>
      </c>
      <c r="I11" s="16">
        <f>'01 - 2021'!J17-'01 - 2021'!J16</f>
        <v>9174</v>
      </c>
      <c r="J11" s="14">
        <v>8.1000000000000003E-2</v>
      </c>
      <c r="K11" s="23">
        <f>'01 - 2021'!H17-'01 - 2021'!H16</f>
        <v>0</v>
      </c>
      <c r="L11" s="16">
        <f>'01 - 2021'!I17-'01 - 2021'!I16</f>
        <v>96</v>
      </c>
      <c r="M11" s="15">
        <v>4.393629424766913</v>
      </c>
      <c r="N11" s="18">
        <v>75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9600</v>
      </c>
      <c r="F12" s="14">
        <v>0.11799999999999999</v>
      </c>
      <c r="G12" s="16">
        <f>'01 - 2021'!D18-'01 - 2021'!D17+'01 - 2021'!E18-'01 - 2021'!E17</f>
        <v>16.460000000000264</v>
      </c>
      <c r="H12" s="14">
        <v>0.99</v>
      </c>
      <c r="I12" s="16">
        <f>'01 - 2021'!J18-'01 - 2021'!J17</f>
        <v>11118</v>
      </c>
      <c r="J12" s="14">
        <v>8.1000000000000003E-2</v>
      </c>
      <c r="K12" s="23">
        <f>'01 - 2021'!H18-'01 - 2021'!H17</f>
        <v>0</v>
      </c>
      <c r="L12" s="16">
        <f>'01 - 2021'!I18-'01 - 2021'!I17</f>
        <v>103</v>
      </c>
      <c r="M12" s="15">
        <v>4.393629424766913</v>
      </c>
      <c r="N12" s="16">
        <v>76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9588</v>
      </c>
      <c r="F13" s="14">
        <v>0.11799999999999999</v>
      </c>
      <c r="G13" s="16">
        <f>'01 - 2021'!D19-'01 - 2021'!D18+'01 - 2021'!E19-'01 - 2021'!E18</f>
        <v>18.900000000000091</v>
      </c>
      <c r="H13" s="14">
        <v>0.99</v>
      </c>
      <c r="I13" s="16">
        <f>'01 - 2021'!J19-'01 - 2021'!J18</f>
        <v>11144</v>
      </c>
      <c r="J13" s="14">
        <v>8.1000000000000003E-2</v>
      </c>
      <c r="K13" s="23">
        <f>'01 - 2021'!H19-'01 - 2021'!H18</f>
        <v>0</v>
      </c>
      <c r="L13" s="16">
        <f>'01 - 2021'!I19-'01 - 2021'!I18</f>
        <v>99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9372</v>
      </c>
      <c r="F14" s="14">
        <v>0.11799999999999999</v>
      </c>
      <c r="G14" s="16">
        <f>'01 - 2021'!D20-'01 - 2021'!D19+'01 - 2021'!E20-'01 - 2021'!E19</f>
        <v>19.069999999999936</v>
      </c>
      <c r="H14" s="14">
        <v>0.99</v>
      </c>
      <c r="I14" s="16">
        <f>'01 - 2021'!J20-'01 - 2021'!J19</f>
        <v>11145</v>
      </c>
      <c r="J14" s="14">
        <v>8.1000000000000003E-2</v>
      </c>
      <c r="K14" s="23">
        <f>'01 - 2021'!H20-'01 - 2021'!H19</f>
        <v>0</v>
      </c>
      <c r="L14" s="16">
        <f>'01 - 2021'!I20-'01 - 2021'!I19</f>
        <v>107</v>
      </c>
      <c r="M14" s="15">
        <v>4.393629424766913</v>
      </c>
      <c r="N14" s="16">
        <v>72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9393</v>
      </c>
      <c r="F15" s="14">
        <v>0.11799999999999999</v>
      </c>
      <c r="G15" s="16">
        <f>'01 - 2021'!D21-'01 - 2021'!D20+'01 - 2021'!E21-'01 - 2021'!E20</f>
        <v>17.970000000000027</v>
      </c>
      <c r="H15" s="14">
        <v>0.99</v>
      </c>
      <c r="I15" s="16">
        <f>'01 - 2021'!J21-'01 - 2021'!J20</f>
        <v>11852</v>
      </c>
      <c r="J15" s="14">
        <v>8.1000000000000003E-2</v>
      </c>
      <c r="K15" s="23">
        <f>'01 - 2021'!H21-'01 - 2021'!H20</f>
        <v>0</v>
      </c>
      <c r="L15" s="16">
        <f>'01 - 2021'!I21-'01 - 2021'!I20</f>
        <v>103</v>
      </c>
      <c r="M15" s="15">
        <v>4.393629424766913</v>
      </c>
      <c r="N15" s="16">
        <v>74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v>0</v>
      </c>
      <c r="F16" s="14">
        <v>0.11799999999999999</v>
      </c>
      <c r="G16" s="16">
        <v>0</v>
      </c>
      <c r="H16" s="14">
        <v>0.99</v>
      </c>
      <c r="I16" s="16">
        <v>0</v>
      </c>
      <c r="J16" s="14">
        <v>8.1000000000000003E-2</v>
      </c>
      <c r="K16" s="23">
        <v>0</v>
      </c>
      <c r="L16" s="16"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0</v>
      </c>
      <c r="F17" s="14">
        <v>0.11799999999999999</v>
      </c>
      <c r="G17" s="16">
        <f>'01 - 2021'!D23-'01 - 2021'!D22+'01 - 2021'!E23-'01 - 2021'!E22</f>
        <v>0</v>
      </c>
      <c r="H17" s="14">
        <v>0.99</v>
      </c>
      <c r="I17" s="16">
        <f>'01 - 2021'!J23-'01 - 2021'!J22</f>
        <v>0</v>
      </c>
      <c r="J17" s="14">
        <v>8.1000000000000003E-2</v>
      </c>
      <c r="K17" s="23">
        <f>'01 - 2021'!H23-'01 - 2021'!H22</f>
        <v>0</v>
      </c>
      <c r="L17" s="16">
        <f>'01 - 2021'!I23-'01 - 2021'!I22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0</v>
      </c>
      <c r="F18" s="14">
        <v>0.11799999999999999</v>
      </c>
      <c r="G18" s="16">
        <f>'01 - 2021'!D24-'01 - 2021'!D23+'01 - 2021'!E24-'01 - 2021'!E23</f>
        <v>0</v>
      </c>
      <c r="H18" s="14">
        <v>0.99</v>
      </c>
      <c r="I18" s="16">
        <f>'01 - 2021'!J24-'01 - 2021'!J23</f>
        <v>0</v>
      </c>
      <c r="J18" s="14">
        <v>8.1000000000000003E-2</v>
      </c>
      <c r="K18" s="23">
        <f>'01 - 2021'!H24-'01 - 2021'!H23</f>
        <v>0</v>
      </c>
      <c r="L18" s="16">
        <f>'01 - 2021'!I24-'01 - 2021'!I23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0</v>
      </c>
      <c r="F19" s="14">
        <v>0.11799999999999999</v>
      </c>
      <c r="G19" s="16">
        <f>'01 - 2021'!D25-'01 - 2021'!D24+'01 - 2021'!E25-'01 - 2021'!E24</f>
        <v>0</v>
      </c>
      <c r="H19" s="14">
        <v>0.99</v>
      </c>
      <c r="I19" s="16">
        <f>'01 - 2021'!J25-'01 - 2021'!J24</f>
        <v>0</v>
      </c>
      <c r="J19" s="14">
        <v>8.1000000000000003E-2</v>
      </c>
      <c r="K19" s="23">
        <f>'01 - 2021'!H25-'01 - 2021'!H24</f>
        <v>0</v>
      </c>
      <c r="L19" s="16">
        <f>'01 - 2021'!I25-'01 - 2021'!I24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0</v>
      </c>
      <c r="F20" s="14">
        <v>0.11799999999999999</v>
      </c>
      <c r="G20" s="16">
        <f>'01 - 2021'!D26-'01 - 2021'!D25+'01 - 2021'!E26-'01 - 2021'!E25</f>
        <v>0</v>
      </c>
      <c r="H20" s="14">
        <v>0.99</v>
      </c>
      <c r="I20" s="16">
        <f>'01 - 2021'!J26-'01 - 2021'!J25</f>
        <v>0</v>
      </c>
      <c r="J20" s="14">
        <v>8.1000000000000003E-2</v>
      </c>
      <c r="K20" s="23">
        <f>'01 - 2021'!H26-'01 - 2021'!H25</f>
        <v>0</v>
      </c>
      <c r="L20" s="16">
        <f>'01 - 2021'!I26-'01 - 2021'!I25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0</v>
      </c>
      <c r="F21" s="14">
        <v>0.11799999999999999</v>
      </c>
      <c r="G21" s="16">
        <f>'01 - 2021'!D27-'01 - 2021'!D26+'01 - 2021'!E27-'01 - 2021'!E26</f>
        <v>0</v>
      </c>
      <c r="H21" s="14">
        <v>0.99</v>
      </c>
      <c r="I21" s="16">
        <f>'01 - 2021'!J27-'01 - 2021'!J26</f>
        <v>0</v>
      </c>
      <c r="J21" s="14">
        <v>8.1000000000000003E-2</v>
      </c>
      <c r="K21" s="23">
        <f>'01 - 2021'!H27-'01 - 2021'!H26</f>
        <v>0</v>
      </c>
      <c r="L21" s="16">
        <f>'01 - 2021'!I27-'01 - 2021'!I26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0</v>
      </c>
      <c r="F22" s="14">
        <v>0.11799999999999999</v>
      </c>
      <c r="G22" s="16">
        <f>'01 - 2021'!D28-'01 - 2021'!D27+'01 - 2021'!E28-'01 - 2021'!E27</f>
        <v>0</v>
      </c>
      <c r="H22" s="14">
        <v>0.99</v>
      </c>
      <c r="I22" s="16">
        <f>'01 - 2021'!J28-'01 - 2021'!J27</f>
        <v>0</v>
      </c>
      <c r="J22" s="14">
        <v>8.1000000000000003E-2</v>
      </c>
      <c r="K22" s="23">
        <f>'01 - 2021'!H28-'01 - 2021'!H27</f>
        <v>0</v>
      </c>
      <c r="L22" s="16">
        <f>'01 - 2021'!I28-'01 - 2021'!I27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0</v>
      </c>
      <c r="F23" s="14">
        <v>0.11799999999999999</v>
      </c>
      <c r="G23" s="16">
        <f>'01 - 2021'!D29-'01 - 2021'!D28+'01 - 2021'!E29-'01 - 2021'!E28</f>
        <v>0</v>
      </c>
      <c r="H23" s="14">
        <v>0.99</v>
      </c>
      <c r="I23" s="16">
        <f>'01 - 2021'!J29-'01 - 2021'!J28</f>
        <v>0</v>
      </c>
      <c r="J23" s="14">
        <v>8.1000000000000003E-2</v>
      </c>
      <c r="K23" s="23">
        <f>'01 - 2021'!H29-'01 - 2021'!H28</f>
        <v>0</v>
      </c>
      <c r="L23" s="16">
        <f>'01 - 2021'!I29-'01 - 2021'!I28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0</v>
      </c>
      <c r="F24" s="14">
        <v>0.11799999999999999</v>
      </c>
      <c r="G24" s="16">
        <f>'01 - 2021'!D30-'01 - 2021'!D29+'01 - 2021'!E30-'01 - 2021'!E29</f>
        <v>0</v>
      </c>
      <c r="H24" s="14">
        <v>0.99</v>
      </c>
      <c r="I24" s="16">
        <f>'01 - 2021'!J30-'01 - 2021'!J29</f>
        <v>0</v>
      </c>
      <c r="J24" s="14">
        <v>8.1000000000000003E-2</v>
      </c>
      <c r="K24" s="23">
        <f>'01 - 2021'!H30-'01 - 2021'!H29</f>
        <v>0</v>
      </c>
      <c r="L24" s="16">
        <f>'01 - 2021'!I30-'01 - 2021'!I29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0</v>
      </c>
      <c r="F25" s="14">
        <v>0.11799999999999999</v>
      </c>
      <c r="G25" s="16">
        <f>'01 - 2021'!D31-'01 - 2021'!D30+'01 - 2021'!E31-'01 - 2021'!E30</f>
        <v>0</v>
      </c>
      <c r="H25" s="14">
        <v>0.99</v>
      </c>
      <c r="I25" s="16">
        <f>'01 - 2021'!J31-'01 - 2021'!J30</f>
        <v>0</v>
      </c>
      <c r="J25" s="14">
        <v>8.1000000000000003E-2</v>
      </c>
      <c r="K25" s="23">
        <f>'01 - 2021'!H31-'01 - 2021'!H30</f>
        <v>0</v>
      </c>
      <c r="L25" s="16">
        <f>'01 - 2021'!I31-'01 - 2021'!I30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0</v>
      </c>
      <c r="F26" s="14">
        <v>0.11799999999999999</v>
      </c>
      <c r="G26" s="16">
        <f>'01 - 2021'!D32-'01 - 2021'!D31+'01 - 2021'!E32-'01 - 2021'!E31</f>
        <v>0</v>
      </c>
      <c r="H26" s="14">
        <v>0.99</v>
      </c>
      <c r="I26" s="16">
        <f>'01 - 2021'!J32-'01 - 2021'!J31</f>
        <v>0</v>
      </c>
      <c r="J26" s="14">
        <v>8.1000000000000003E-2</v>
      </c>
      <c r="K26" s="23">
        <f>'01 - 2021'!H32-'01 - 2021'!H31</f>
        <v>0</v>
      </c>
      <c r="L26" s="16">
        <f>'01 - 2021'!I32-'01 - 2021'!I31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16" sqref="L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'01 - 2021'!B14-'01 - 2021'!B13</f>
        <v>4264</v>
      </c>
      <c r="F8" s="16">
        <f>'01 - 2021'!C14-'01 - 2021'!C13</f>
        <v>5705.6999999999971</v>
      </c>
      <c r="G8" s="14">
        <v>0.11799999999999999</v>
      </c>
      <c r="H8" s="16">
        <f>'01 - 2021'!E14-'01 - 2021'!E13</f>
        <v>15.130000000000109</v>
      </c>
      <c r="I8" s="16">
        <f>'01 - 2021'!F14-'01 - 2021'!F13</f>
        <v>8.4199999999998454</v>
      </c>
      <c r="J8" s="16">
        <f>'01 - 2021'!G14-'01 - 2021'!G13</f>
        <v>41.900000000001455</v>
      </c>
      <c r="K8" s="14">
        <v>0.74</v>
      </c>
      <c r="L8" s="18">
        <v>97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4086</v>
      </c>
      <c r="F9" s="16">
        <f>'01 - 2021'!C15-'01 - 2021'!C14</f>
        <v>5717</v>
      </c>
      <c r="G9" s="14">
        <v>0.11799999999999999</v>
      </c>
      <c r="H9" s="16">
        <f>'01 - 2021'!E15-'01 - 2021'!E14</f>
        <v>21.169999999999845</v>
      </c>
      <c r="I9" s="16">
        <f>'01 - 2021'!F15-'01 - 2021'!F14</f>
        <v>8.8000000000001819</v>
      </c>
      <c r="J9" s="16">
        <f>'01 - 2021'!G15-'01 - 2021'!G14</f>
        <v>40.389999999999418</v>
      </c>
      <c r="K9" s="14">
        <v>0.74</v>
      </c>
      <c r="L9" s="18">
        <v>90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4097</v>
      </c>
      <c r="F10" s="16">
        <f>'01 - 2021'!C16-'01 - 2021'!C15</f>
        <v>5865</v>
      </c>
      <c r="G10" s="14">
        <v>0.11799999999999999</v>
      </c>
      <c r="H10" s="16">
        <f>'01 - 2021'!E16-'01 - 2021'!E15</f>
        <v>21.480000000000018</v>
      </c>
      <c r="I10" s="16">
        <f>'01 - 2021'!F16-'01 - 2021'!F15</f>
        <v>8.6799999999998363</v>
      </c>
      <c r="J10" s="16">
        <f>'01 - 2021'!G16-'01 - 2021'!G15</f>
        <v>35.809999999997672</v>
      </c>
      <c r="K10" s="14">
        <v>0.74</v>
      </c>
      <c r="L10" s="18">
        <v>84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3936</v>
      </c>
      <c r="F11" s="16">
        <f>'01 - 2021'!C17-'01 - 2021'!C16</f>
        <v>5464</v>
      </c>
      <c r="G11" s="14">
        <v>0.11799999999999999</v>
      </c>
      <c r="H11" s="16">
        <f>'01 - 2021'!E17-'01 - 2021'!E16</f>
        <v>21.009999999999991</v>
      </c>
      <c r="I11" s="16">
        <f>'01 - 2021'!F17-'01 - 2021'!F16</f>
        <v>7.5</v>
      </c>
      <c r="J11" s="16">
        <f>'01 - 2021'!G17-'01 - 2021'!G16</f>
        <v>36.30000000000291</v>
      </c>
      <c r="K11" s="14">
        <v>0.74</v>
      </c>
      <c r="L11" s="18">
        <v>75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3928</v>
      </c>
      <c r="F12" s="16">
        <f>'01 - 2021'!C18-'01 - 2021'!C17</f>
        <v>5672</v>
      </c>
      <c r="G12" s="14">
        <v>0.11799999999999999</v>
      </c>
      <c r="H12" s="16">
        <f>'01 - 2021'!E18-'01 - 2021'!E17</f>
        <v>16.550000000000182</v>
      </c>
      <c r="I12" s="16">
        <f>'01 - 2021'!F18-'01 - 2021'!F17</f>
        <v>8.3700000000001182</v>
      </c>
      <c r="J12" s="16">
        <f>'01 - 2021'!G18-'01 - 2021'!G17</f>
        <v>35.32999999999447</v>
      </c>
      <c r="K12" s="14">
        <v>0.74</v>
      </c>
      <c r="L12" s="16">
        <v>76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3955</v>
      </c>
      <c r="F13" s="16">
        <f>'01 - 2021'!C19-'01 - 2021'!C18</f>
        <v>5633</v>
      </c>
      <c r="G13" s="14">
        <v>0.11799999999999999</v>
      </c>
      <c r="H13" s="16">
        <f>'01 - 2021'!E19-'01 - 2021'!E18</f>
        <v>18.980000000000018</v>
      </c>
      <c r="I13" s="16">
        <f>'01 - 2021'!F19-'01 - 2021'!F18</f>
        <v>8.3799999999998818</v>
      </c>
      <c r="J13" s="16">
        <f>'01 - 2021'!G19-'01 - 2021'!G18</f>
        <v>34.5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3910</v>
      </c>
      <c r="F14" s="16">
        <f>'01 - 2021'!C20-'01 - 2021'!C19</f>
        <v>5462</v>
      </c>
      <c r="G14" s="14">
        <v>0.11799999999999999</v>
      </c>
      <c r="H14" s="16">
        <f>'01 - 2021'!E20-'01 - 2021'!E19</f>
        <v>18.529999999999973</v>
      </c>
      <c r="I14" s="16">
        <f>'01 - 2021'!F20-'01 - 2021'!F19</f>
        <v>7.7200000000000273</v>
      </c>
      <c r="J14" s="16">
        <f>'01 - 2021'!G20-'01 - 2021'!G19</f>
        <v>33.860000000000582</v>
      </c>
      <c r="K14" s="14">
        <v>0.74</v>
      </c>
      <c r="L14" s="16">
        <v>72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3808</v>
      </c>
      <c r="F15" s="16">
        <f>'01 - 2021'!C21-'01 - 2021'!C20</f>
        <v>5585</v>
      </c>
      <c r="G15" s="14">
        <v>0.11799999999999999</v>
      </c>
      <c r="H15" s="16">
        <f>'01 - 2021'!E21-'01 - 2021'!E20</f>
        <v>18.029999999999973</v>
      </c>
      <c r="I15" s="16">
        <f>'01 - 2021'!F21-'01 - 2021'!F20</f>
        <v>7.8800000000001091</v>
      </c>
      <c r="J15" s="16">
        <f>'01 - 2021'!G21-'01 - 2021'!G20</f>
        <v>35.980000000003201</v>
      </c>
      <c r="K15" s="14">
        <v>0.74</v>
      </c>
      <c r="L15" s="16">
        <v>74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v>0</v>
      </c>
      <c r="F16" s="16">
        <v>0</v>
      </c>
      <c r="G16" s="14">
        <v>0.11799999999999999</v>
      </c>
      <c r="H16" s="16">
        <v>0</v>
      </c>
      <c r="I16" s="16">
        <v>0</v>
      </c>
      <c r="J16" s="16"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0</v>
      </c>
      <c r="F17" s="16">
        <f>'01 - 2021'!C23-'01 - 2021'!C22</f>
        <v>0</v>
      </c>
      <c r="G17" s="14">
        <v>0.11799999999999999</v>
      </c>
      <c r="H17" s="16">
        <f>'01 - 2021'!E23-'01 - 2021'!E22</f>
        <v>0</v>
      </c>
      <c r="I17" s="16">
        <f>'01 - 2021'!F23-'01 - 2021'!F22</f>
        <v>0</v>
      </c>
      <c r="J17" s="16">
        <f>'01 - 2021'!G23-'01 - 2021'!G22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0</v>
      </c>
      <c r="F18" s="16">
        <f>'01 - 2021'!C24-'01 - 2021'!C23</f>
        <v>0</v>
      </c>
      <c r="G18" s="14">
        <v>0.11799999999999999</v>
      </c>
      <c r="H18" s="16">
        <f>'01 - 2021'!E24-'01 - 2021'!E23</f>
        <v>0</v>
      </c>
      <c r="I18" s="16">
        <f>'01 - 2021'!F24-'01 - 2021'!F23</f>
        <v>0</v>
      </c>
      <c r="J18" s="16">
        <f>'01 - 2021'!G24-'01 - 2021'!G23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0</v>
      </c>
      <c r="F19" s="16">
        <f>'01 - 2021'!C25-'01 - 2021'!C24</f>
        <v>0</v>
      </c>
      <c r="G19" s="14">
        <v>0.11799999999999999</v>
      </c>
      <c r="H19" s="16">
        <f>'01 - 2021'!E25-'01 - 2021'!E24</f>
        <v>0</v>
      </c>
      <c r="I19" s="16">
        <f>'01 - 2021'!F25-'01 - 2021'!F24</f>
        <v>0</v>
      </c>
      <c r="J19" s="16">
        <f>'01 - 2021'!G25-'01 - 2021'!G24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0</v>
      </c>
      <c r="F20" s="16">
        <f>'01 - 2021'!C26-'01 - 2021'!C25</f>
        <v>0</v>
      </c>
      <c r="G20" s="14">
        <v>0.11799999999999999</v>
      </c>
      <c r="H20" s="16">
        <f>'01 - 2021'!E26-'01 - 2021'!E25</f>
        <v>0</v>
      </c>
      <c r="I20" s="16">
        <f>'01 - 2021'!F26-'01 - 2021'!F25</f>
        <v>0</v>
      </c>
      <c r="J20" s="16">
        <f>'01 - 2021'!G26-'01 - 2021'!G25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0</v>
      </c>
      <c r="F21" s="16">
        <f>'01 - 2021'!C27-'01 - 2021'!C26</f>
        <v>0</v>
      </c>
      <c r="G21" s="14">
        <v>0.11799999999999999</v>
      </c>
      <c r="H21" s="16">
        <f>'01 - 2021'!E27-'01 - 2021'!E26</f>
        <v>0</v>
      </c>
      <c r="I21" s="16">
        <f>'01 - 2021'!F27-'01 - 2021'!F26</f>
        <v>0</v>
      </c>
      <c r="J21" s="16">
        <f>'01 - 2021'!G27-'01 - 2021'!G26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0</v>
      </c>
      <c r="F22" s="16">
        <f>'01 - 2021'!C28-'01 - 2021'!C27</f>
        <v>0</v>
      </c>
      <c r="G22" s="14">
        <v>0.11799999999999999</v>
      </c>
      <c r="H22" s="16">
        <f>'01 - 2021'!E28-'01 - 2021'!E27</f>
        <v>0</v>
      </c>
      <c r="I22" s="16">
        <f>'01 - 2021'!F28-'01 - 2021'!F27</f>
        <v>0</v>
      </c>
      <c r="J22" s="16">
        <f>'01 - 2021'!G28-'01 - 2021'!G27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0</v>
      </c>
      <c r="F23" s="16">
        <f>'01 - 2021'!C29-'01 - 2021'!C28</f>
        <v>0</v>
      </c>
      <c r="G23" s="14">
        <v>0.11799999999999999</v>
      </c>
      <c r="H23" s="16">
        <f>'01 - 2021'!E29-'01 - 2021'!E28</f>
        <v>0</v>
      </c>
      <c r="I23" s="16">
        <f>'01 - 2021'!F29-'01 - 2021'!F28</f>
        <v>0</v>
      </c>
      <c r="J23" s="16">
        <f>'01 - 2021'!G29-'01 - 2021'!G28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0</v>
      </c>
      <c r="F24" s="16">
        <f>'01 - 2021'!C30-'01 - 2021'!C29</f>
        <v>0</v>
      </c>
      <c r="G24" s="14">
        <v>0.11799999999999999</v>
      </c>
      <c r="H24" s="16">
        <f>'01 - 2021'!E30-'01 - 2021'!E29</f>
        <v>0</v>
      </c>
      <c r="I24" s="16">
        <f>'01 - 2021'!F30-'01 - 2021'!F29</f>
        <v>0</v>
      </c>
      <c r="J24" s="16">
        <f>'01 - 2021'!G30-'01 - 2021'!G29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0</v>
      </c>
      <c r="F25" s="16">
        <f>'01 - 2021'!C31-'01 - 2021'!C30</f>
        <v>0</v>
      </c>
      <c r="G25" s="14">
        <v>0.11799999999999999</v>
      </c>
      <c r="H25" s="16">
        <f>'01 - 2021'!E31-'01 - 2021'!E30</f>
        <v>0</v>
      </c>
      <c r="I25" s="16">
        <f>'01 - 2021'!F31-'01 - 2021'!F30</f>
        <v>0</v>
      </c>
      <c r="J25" s="16">
        <f>'01 - 2021'!G31-'01 - 2021'!G30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0</v>
      </c>
      <c r="F26" s="16">
        <f>'01 - 2021'!C32-'01 - 2021'!C31</f>
        <v>0</v>
      </c>
      <c r="G26" s="14">
        <v>0.11799999999999999</v>
      </c>
      <c r="H26" s="16">
        <f>'01 - 2021'!E32-'01 - 2021'!E31</f>
        <v>0</v>
      </c>
      <c r="I26" s="16">
        <f>'01 - 2021'!F32-'01 - 2021'!F31</f>
        <v>0</v>
      </c>
      <c r="J26" s="16">
        <f>'01 - 2021'!G32-'01 - 2021'!G31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zoomScaleNormal="100" workbookViewId="0">
      <selection activeCell="P26" sqref="P26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2" t="s">
        <v>30</v>
      </c>
      <c r="B3" s="82"/>
      <c r="C3" s="82"/>
      <c r="D3" s="82"/>
      <c r="E3" s="82"/>
      <c r="F3" s="82"/>
      <c r="G3" s="82"/>
      <c r="H3" s="82"/>
      <c r="I3" s="82"/>
      <c r="J3" s="82"/>
      <c r="K3" s="48"/>
      <c r="L3" s="48"/>
    </row>
    <row r="4" spans="1:17" ht="15.7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  <c r="K4" s="48"/>
      <c r="L4" s="48"/>
    </row>
    <row r="5" spans="1:17" ht="15.75" thickBot="1" x14ac:dyDescent="0.3">
      <c r="A5" s="50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>
        <v>560707</v>
      </c>
      <c r="C14" s="67">
        <v>104145</v>
      </c>
      <c r="D14" s="34">
        <v>0.68</v>
      </c>
      <c r="E14" s="41">
        <v>1831.95</v>
      </c>
      <c r="F14" s="26">
        <v>1204.6199999999999</v>
      </c>
      <c r="G14" s="66">
        <v>36889.910000000003</v>
      </c>
      <c r="H14" s="67">
        <v>14528</v>
      </c>
      <c r="I14" s="67">
        <v>143401</v>
      </c>
      <c r="J14" s="67">
        <v>53230402</v>
      </c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>
        <v>564793</v>
      </c>
      <c r="C15" s="67">
        <v>109862</v>
      </c>
      <c r="D15" s="34">
        <v>0.6</v>
      </c>
      <c r="E15" s="41">
        <v>1853.12</v>
      </c>
      <c r="F15" s="26">
        <v>1213.42</v>
      </c>
      <c r="G15" s="66">
        <v>36930.300000000003</v>
      </c>
      <c r="H15" s="67">
        <v>14528</v>
      </c>
      <c r="I15" s="67">
        <v>143512</v>
      </c>
      <c r="J15" s="67">
        <v>53240976</v>
      </c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>
        <v>568890</v>
      </c>
      <c r="C16" s="67">
        <v>115727</v>
      </c>
      <c r="D16" s="34">
        <v>0.52</v>
      </c>
      <c r="E16" s="41">
        <v>1874.6</v>
      </c>
      <c r="F16" s="26">
        <v>1222.0999999999999</v>
      </c>
      <c r="G16" s="66">
        <v>36966.11</v>
      </c>
      <c r="H16" s="67">
        <v>14528</v>
      </c>
      <c r="I16" s="67">
        <v>143618</v>
      </c>
      <c r="J16" s="67">
        <v>53252568</v>
      </c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>
        <v>572826</v>
      </c>
      <c r="C17" s="66">
        <v>121191</v>
      </c>
      <c r="D17" s="34">
        <v>0.45</v>
      </c>
      <c r="E17" s="41">
        <v>1895.61</v>
      </c>
      <c r="F17" s="26">
        <v>1229.5999999999999</v>
      </c>
      <c r="G17" s="66">
        <v>37002.410000000003</v>
      </c>
      <c r="H17" s="67">
        <v>14528</v>
      </c>
      <c r="I17" s="66">
        <v>143714</v>
      </c>
      <c r="J17" s="66">
        <v>53261742</v>
      </c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>
        <v>576754</v>
      </c>
      <c r="C18" s="67">
        <v>126863</v>
      </c>
      <c r="D18" s="34">
        <v>0.36</v>
      </c>
      <c r="E18" s="41">
        <v>1912.16</v>
      </c>
      <c r="F18" s="26">
        <v>1237.97</v>
      </c>
      <c r="G18" s="66">
        <v>37037.74</v>
      </c>
      <c r="H18" s="67">
        <v>14528</v>
      </c>
      <c r="I18" s="67">
        <v>143817</v>
      </c>
      <c r="J18" s="67">
        <v>53272860</v>
      </c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>
        <v>580709</v>
      </c>
      <c r="C19" s="28">
        <v>132496</v>
      </c>
      <c r="D19" s="34">
        <v>0.28000000000000003</v>
      </c>
      <c r="E19" s="29">
        <v>1931.14</v>
      </c>
      <c r="F19" s="26">
        <v>1246.3499999999999</v>
      </c>
      <c r="G19" s="27">
        <v>37072.239999999998</v>
      </c>
      <c r="H19" s="67">
        <v>14528</v>
      </c>
      <c r="I19" s="28">
        <v>143916</v>
      </c>
      <c r="J19" s="28">
        <v>53284004</v>
      </c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>
        <v>584619</v>
      </c>
      <c r="C20" s="28">
        <v>137958</v>
      </c>
      <c r="D20" s="34">
        <v>0.82</v>
      </c>
      <c r="E20" s="29">
        <v>1949.67</v>
      </c>
      <c r="F20" s="26">
        <v>1254.07</v>
      </c>
      <c r="G20" s="27">
        <v>37106.1</v>
      </c>
      <c r="H20" s="67">
        <v>14528</v>
      </c>
      <c r="I20" s="28">
        <v>144023</v>
      </c>
      <c r="J20" s="28">
        <v>53295149</v>
      </c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>
        <v>588427</v>
      </c>
      <c r="C21" s="28">
        <v>143543</v>
      </c>
      <c r="D21" s="34">
        <v>0.76</v>
      </c>
      <c r="E21" s="29">
        <v>1967.7</v>
      </c>
      <c r="F21" s="26">
        <v>1261.95</v>
      </c>
      <c r="G21" s="27">
        <v>37142.080000000002</v>
      </c>
      <c r="H21" s="67">
        <v>14528</v>
      </c>
      <c r="I21" s="28">
        <v>144126</v>
      </c>
      <c r="J21" s="28">
        <v>53307001</v>
      </c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/>
      <c r="C22" s="28"/>
      <c r="D22" s="34"/>
      <c r="E22" s="29"/>
      <c r="F22" s="26"/>
      <c r="G22" s="27"/>
      <c r="H22" s="67"/>
      <c r="I22" s="27"/>
      <c r="J22" s="28"/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/>
      <c r="C23" s="28"/>
      <c r="D23" s="34"/>
      <c r="E23" s="29"/>
      <c r="F23" s="26"/>
      <c r="G23" s="27"/>
      <c r="H23" s="67"/>
      <c r="I23" s="28"/>
      <c r="J23" s="28"/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/>
      <c r="C24" s="28"/>
      <c r="D24" s="34"/>
      <c r="E24" s="29"/>
      <c r="F24" s="26"/>
      <c r="G24" s="27"/>
      <c r="H24" s="67"/>
      <c r="I24" s="28"/>
      <c r="J24" s="28"/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/>
      <c r="C25" s="27"/>
      <c r="D25" s="34"/>
      <c r="E25" s="29"/>
      <c r="F25" s="26"/>
      <c r="G25" s="27"/>
      <c r="H25" s="67"/>
      <c r="I25" s="28"/>
      <c r="J25" s="28"/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/>
      <c r="C26" s="27"/>
      <c r="D26" s="34"/>
      <c r="E26" s="29"/>
      <c r="F26" s="26"/>
      <c r="G26" s="27"/>
      <c r="H26" s="67"/>
      <c r="I26" s="28"/>
      <c r="J26" s="28"/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/>
      <c r="C27" s="28"/>
      <c r="D27" s="34"/>
      <c r="E27" s="29"/>
      <c r="F27" s="26"/>
      <c r="G27" s="27"/>
      <c r="H27" s="67"/>
      <c r="I27" s="28"/>
      <c r="J27" s="28"/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/>
      <c r="C28" s="28"/>
      <c r="D28" s="34"/>
      <c r="E28" s="29"/>
      <c r="F28" s="26"/>
      <c r="G28" s="27"/>
      <c r="H28" s="67"/>
      <c r="I28" s="28"/>
      <c r="J28" s="28"/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/>
      <c r="C29" s="28"/>
      <c r="D29" s="34"/>
      <c r="E29" s="29"/>
      <c r="F29" s="26"/>
      <c r="G29" s="27"/>
      <c r="H29" s="67"/>
      <c r="I29" s="28"/>
      <c r="J29" s="28"/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/>
      <c r="C30" s="28"/>
      <c r="D30" s="34"/>
      <c r="E30" s="29"/>
      <c r="F30" s="26"/>
      <c r="G30" s="27"/>
      <c r="H30" s="67"/>
      <c r="I30" s="28"/>
      <c r="J30" s="28"/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/>
      <c r="C31" s="28"/>
      <c r="D31" s="34"/>
      <c r="E31" s="29"/>
      <c r="F31" s="26"/>
      <c r="G31" s="27"/>
      <c r="H31" s="67"/>
      <c r="I31" s="28"/>
      <c r="J31" s="28"/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/>
      <c r="C32" s="28"/>
      <c r="D32" s="34"/>
      <c r="E32" s="29"/>
      <c r="F32" s="26"/>
      <c r="G32" s="27"/>
      <c r="H32" s="67"/>
      <c r="I32" s="28"/>
      <c r="J32" s="28"/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/>
      <c r="C33" s="28"/>
      <c r="D33" s="34"/>
      <c r="E33" s="29"/>
      <c r="F33" s="26"/>
      <c r="G33" s="27"/>
      <c r="H33" s="67"/>
      <c r="I33" s="28"/>
      <c r="J33" s="28"/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/>
      <c r="C34" s="75"/>
      <c r="D34" s="34"/>
      <c r="E34" s="29"/>
      <c r="F34" s="26"/>
      <c r="G34" s="27"/>
      <c r="H34" s="67"/>
      <c r="I34" s="27"/>
      <c r="J34" s="27"/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2022-01-14T04:56:03Z</dcterms:modified>
</cp:coreProperties>
</file>