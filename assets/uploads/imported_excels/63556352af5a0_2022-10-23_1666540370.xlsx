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calcMode="manual" iterate="1" calcCompleted="0" calcOnSave="0" concurrentCalc="0"/>
</workbook>
</file>

<file path=xl/calcChain.xml><?xml version="1.0" encoding="utf-8"?>
<calcChain xmlns="http://schemas.openxmlformats.org/spreadsheetml/2006/main">
  <c r="E23" i="1" l="1"/>
  <c r="G23" i="1"/>
  <c r="I23" i="1"/>
  <c r="K23" i="1"/>
  <c r="M23" i="1"/>
  <c r="F23" i="3"/>
  <c r="E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K31" i="4"/>
  <c r="AL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M22" i="1"/>
  <c r="K22" i="1"/>
  <c r="I22" i="1"/>
  <c r="G22" i="1"/>
  <c r="E22" i="1"/>
  <c r="BL22" i="3"/>
  <c r="BK22" i="3"/>
  <c r="BJ22" i="3"/>
  <c r="BI22" i="3"/>
  <c r="BH22" i="3"/>
  <c r="BG22" i="3"/>
  <c r="BF22" i="3"/>
  <c r="BE22" i="3"/>
  <c r="BD22" i="3"/>
  <c r="BC22" i="3"/>
  <c r="BA22" i="3"/>
  <c r="AZ22" i="3"/>
  <c r="AY22" i="3"/>
  <c r="AX22" i="3"/>
  <c r="AW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BB22" i="3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22" i="3"/>
  <c r="E22" i="3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C29" i="4"/>
  <c r="G21" i="3"/>
  <c r="F29" i="4"/>
  <c r="H21" i="3"/>
  <c r="K29" i="4"/>
  <c r="I21" i="3"/>
  <c r="J21" i="3"/>
  <c r="O29" i="4"/>
  <c r="K21" i="3"/>
  <c r="R29" i="4"/>
  <c r="L21" i="3"/>
  <c r="U29" i="4"/>
  <c r="M21" i="3"/>
  <c r="X29" i="4"/>
  <c r="N21" i="3"/>
  <c r="AA29" i="4"/>
  <c r="O21" i="3"/>
  <c r="AD29" i="4"/>
  <c r="P21" i="3"/>
  <c r="AG29" i="4"/>
  <c r="Q21" i="3"/>
  <c r="AJ29" i="4"/>
  <c r="R21" i="3"/>
  <c r="AM29" i="4"/>
  <c r="S21" i="3"/>
  <c r="AP29" i="4"/>
  <c r="T21" i="3"/>
  <c r="AS29" i="4"/>
  <c r="U21" i="3"/>
  <c r="AV29" i="4"/>
  <c r="V21" i="3"/>
  <c r="AZ29" i="4"/>
  <c r="W21" i="3"/>
  <c r="BC29" i="4"/>
  <c r="X21" i="3"/>
  <c r="BF29" i="4"/>
  <c r="Y21" i="3"/>
  <c r="CK29" i="4"/>
  <c r="Z21" i="3"/>
  <c r="CN29" i="4"/>
  <c r="AA21" i="3"/>
  <c r="CQ29" i="4"/>
  <c r="AB21" i="3"/>
  <c r="CT29" i="4"/>
  <c r="AC21" i="3"/>
  <c r="BY29" i="4"/>
  <c r="AD21" i="3"/>
  <c r="CA29" i="4"/>
  <c r="AE21" i="3"/>
  <c r="CC29" i="4"/>
  <c r="AF21" i="3"/>
  <c r="CE29" i="4"/>
  <c r="AG21" i="3"/>
  <c r="CG29" i="4"/>
  <c r="AH21" i="3"/>
  <c r="CI29" i="4"/>
  <c r="AI21" i="3"/>
  <c r="CY29" i="4"/>
  <c r="AJ21" i="3"/>
  <c r="CW29" i="4"/>
  <c r="AK21" i="3"/>
  <c r="DC29" i="4"/>
  <c r="AL21" i="3"/>
  <c r="DA29" i="4"/>
  <c r="AM21" i="3"/>
  <c r="DG29" i="4"/>
  <c r="AN21" i="3"/>
  <c r="DE29" i="4"/>
  <c r="AO21" i="3"/>
  <c r="DK29" i="4"/>
  <c r="AP21" i="3"/>
  <c r="DI29" i="4"/>
  <c r="AQ21" i="3"/>
  <c r="DO29" i="4"/>
  <c r="AR21" i="3"/>
  <c r="DM29" i="4"/>
  <c r="AS21" i="3"/>
  <c r="DQ29" i="4"/>
  <c r="AT21" i="3"/>
  <c r="DT29" i="4"/>
  <c r="AU21" i="3"/>
  <c r="DX29" i="4"/>
  <c r="AW21" i="3"/>
  <c r="DZ29" i="4"/>
  <c r="AX21" i="3"/>
  <c r="EB29" i="4"/>
  <c r="AY21" i="3"/>
  <c r="ED29" i="4"/>
  <c r="AZ21" i="3"/>
  <c r="EG29" i="4"/>
  <c r="BA21" i="3"/>
  <c r="EI29" i="4"/>
  <c r="BB21" i="3"/>
  <c r="EQ29" i="4"/>
  <c r="BC21" i="3"/>
  <c r="EK29" i="4"/>
  <c r="BD21" i="3"/>
  <c r="EM29" i="4"/>
  <c r="BE21" i="3"/>
  <c r="EO29" i="4"/>
  <c r="BF21" i="3"/>
  <c r="ET29" i="4"/>
  <c r="BG21" i="3"/>
  <c r="EV29" i="4"/>
  <c r="BH21" i="3"/>
  <c r="EZ29" i="4"/>
  <c r="BI21" i="3"/>
  <c r="EX29" i="4"/>
  <c r="BJ21" i="3"/>
  <c r="FB29" i="4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<sst xmlns="http://schemas.openxmlformats.org/spreadsheetml/2006/main" count="413" uniqueCount="204">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</sst>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29940</v>
          </cell>
          <cell r="DS21">
            <v>8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S22">
            <v>106891</v>
          </cell>
          <cell r="T22">
            <v>182</v>
          </cell>
          <cell r="U22">
            <v>180.25</v>
          </cell>
          <cell r="V22">
            <v>5625</v>
          </cell>
          <cell r="W22">
            <v>13</v>
          </cell>
          <cell r="AC22">
            <v>8004208.7999999998</v>
          </cell>
          <cell r="AD22">
            <v>2923.2000000001863</v>
          </cell>
          <cell r="AF22">
            <v>15215645.76</v>
          </cell>
          <cell r="AG22">
            <v>4628.4000000003725</v>
          </cell>
          <cell r="AI22">
            <v>15508599.119999999</v>
          </cell>
          <cell r="AJ22">
            <v>12374.879999998957</v>
          </cell>
          <cell r="AL22">
            <v>18537472.800000001</v>
          </cell>
          <cell r="AM22">
            <v>5018.1600000038743</v>
          </cell>
          <cell r="AO22">
            <v>18813130.560000002</v>
          </cell>
          <cell r="AP22">
            <v>0</v>
          </cell>
          <cell r="AR22">
            <v>17240595.119999997</v>
          </cell>
          <cell r="AS22">
            <v>5846.3999999985099</v>
          </cell>
          <cell r="AU22">
            <v>14532542.640000001</v>
          </cell>
          <cell r="AV22">
            <v>4433.5200000014156</v>
          </cell>
          <cell r="AX22">
            <v>14045732.4</v>
          </cell>
          <cell r="AY22">
            <v>4677.1199999991804</v>
          </cell>
          <cell r="BA22">
            <v>11008673.76</v>
          </cell>
          <cell r="BB22">
            <v>4384.8000000007451</v>
          </cell>
          <cell r="BD22">
            <v>17372285.280000001</v>
          </cell>
          <cell r="BE22">
            <v>5846.4000000022352</v>
          </cell>
          <cell r="BK22">
            <v>76676900</v>
          </cell>
          <cell r="BL22">
            <v>61500</v>
          </cell>
          <cell r="BN22">
            <v>79112900</v>
          </cell>
          <cell r="BO22">
            <v>26300</v>
          </cell>
          <cell r="BQ22">
            <v>73064500</v>
          </cell>
          <cell r="BR22">
            <v>0</v>
          </cell>
          <cell r="BT22">
            <v>9777630</v>
          </cell>
          <cell r="BU22">
            <v>8550</v>
          </cell>
          <cell r="BW22">
            <v>0.51</v>
          </cell>
          <cell r="BX22">
            <v>5.9999999999999942E-2</v>
          </cell>
          <cell r="BZ22">
            <v>63138</v>
          </cell>
          <cell r="CA22">
            <v>19</v>
          </cell>
          <cell r="CB22">
            <v>54327</v>
          </cell>
          <cell r="CC22">
            <v>21</v>
          </cell>
          <cell r="CD22">
            <v>18383</v>
          </cell>
          <cell r="CE22">
            <v>6</v>
          </cell>
          <cell r="CF22">
            <v>24998</v>
          </cell>
          <cell r="CG22">
            <v>11</v>
          </cell>
          <cell r="CH22">
            <v>27667</v>
          </cell>
          <cell r="CI22">
            <v>13</v>
          </cell>
          <cell r="CJ22">
            <v>60520</v>
          </cell>
          <cell r="CK22">
            <v>33</v>
          </cell>
          <cell r="CL22">
            <v>263857</v>
          </cell>
          <cell r="CM22">
            <v>63</v>
          </cell>
          <cell r="CO22">
            <v>209482</v>
          </cell>
          <cell r="CP22">
            <v>92</v>
          </cell>
          <cell r="CR22">
            <v>349824</v>
          </cell>
          <cell r="CS22">
            <v>0</v>
          </cell>
          <cell r="CU22">
            <v>685042</v>
          </cell>
          <cell r="CV22">
            <v>164</v>
          </cell>
          <cell r="CX22">
            <v>8413</v>
          </cell>
          <cell r="CY22">
            <v>8</v>
          </cell>
          <cell r="CZ22">
            <v>5709</v>
          </cell>
          <cell r="DA22">
            <v>8</v>
          </cell>
          <cell r="DB22">
            <v>31259</v>
          </cell>
          <cell r="DC22">
            <v>16</v>
          </cell>
          <cell r="DD22">
            <v>31539</v>
          </cell>
          <cell r="DE22">
            <v>11</v>
          </cell>
          <cell r="DF22">
            <v>21281</v>
          </cell>
          <cell r="DG22">
            <v>8</v>
          </cell>
          <cell r="DH22">
            <v>23675</v>
          </cell>
          <cell r="DI22">
            <v>7</v>
          </cell>
          <cell r="DJ22">
            <v>6540</v>
          </cell>
          <cell r="DK22">
            <v>8</v>
          </cell>
          <cell r="DL22">
            <v>9305</v>
          </cell>
          <cell r="DM22">
            <v>8</v>
          </cell>
          <cell r="DN22">
            <v>3072</v>
          </cell>
          <cell r="DO22">
            <v>2</v>
          </cell>
          <cell r="DP22">
            <v>5915</v>
          </cell>
          <cell r="DQ22">
            <v>8</v>
          </cell>
          <cell r="DR22">
            <v>29941</v>
          </cell>
          <cell r="DS22">
            <v>1</v>
          </cell>
          <cell r="DU22">
            <v>5682.9</v>
          </cell>
          <cell r="DV22">
            <v>11.199999999999818</v>
          </cell>
          <cell r="DW22">
            <v>10804.5</v>
          </cell>
          <cell r="DX22">
            <v>8.7000000000007276</v>
          </cell>
          <cell r="DY22">
            <v>4408.7</v>
          </cell>
          <cell r="DZ22">
            <v>6.8000000000001819</v>
          </cell>
          <cell r="EA22">
            <v>4992.7</v>
          </cell>
          <cell r="EB22">
            <v>6.8999999999996362</v>
          </cell>
          <cell r="EC22">
            <v>1090407</v>
          </cell>
          <cell r="ED22">
            <v>661</v>
          </cell>
          <cell r="EG22">
            <v>223228.1</v>
          </cell>
          <cell r="EH22">
            <v>145.39999999999418</v>
          </cell>
          <cell r="EJ22">
            <v>11827800</v>
          </cell>
          <cell r="EK22">
            <v>6000</v>
          </cell>
          <cell r="EL22">
            <v>917530</v>
          </cell>
          <cell r="EM22">
            <v>300</v>
          </cell>
          <cell r="EN22">
            <v>7085400</v>
          </cell>
          <cell r="EO22">
            <v>2600</v>
          </cell>
          <cell r="EP22">
            <v>2467800</v>
          </cell>
          <cell r="EQ22">
            <v>600</v>
          </cell>
          <cell r="ER22">
            <v>1233820</v>
          </cell>
          <cell r="ES22">
            <v>800</v>
          </cell>
          <cell r="ET22">
            <v>16269000</v>
          </cell>
          <cell r="EU22">
            <v>6700</v>
          </cell>
          <cell r="EW22">
            <v>41210</v>
          </cell>
          <cell r="EX22">
            <v>15</v>
          </cell>
          <cell r="EY22">
            <v>36115</v>
          </cell>
          <cell r="EZ22">
            <v>13</v>
          </cell>
          <cell r="FA22">
            <v>6960</v>
          </cell>
          <cell r="FB22">
            <v>9</v>
          </cell>
          <cell r="FC22">
            <v>58444</v>
          </cell>
          <cell r="FD22">
            <v>16</v>
          </cell>
          <cell r="FE22">
            <v>47560</v>
          </cell>
          <cell r="FF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S23">
            <v>107071</v>
          </cell>
          <cell r="T23">
            <v>180</v>
          </cell>
          <cell r="U23">
            <v>211.02999999999884</v>
          </cell>
          <cell r="V23">
            <v>5635</v>
          </cell>
          <cell r="W23">
            <v>10</v>
          </cell>
          <cell r="AC23">
            <v>8007229.4400000004</v>
          </cell>
          <cell r="AD23">
            <v>3020.640000000596</v>
          </cell>
          <cell r="AF23">
            <v>15220322.880000001</v>
          </cell>
          <cell r="AG23">
            <v>4677.1200000010431</v>
          </cell>
          <cell r="AI23">
            <v>15521412.48</v>
          </cell>
          <cell r="AJ23">
            <v>12813.360000001267</v>
          </cell>
          <cell r="AL23">
            <v>18542637.119999997</v>
          </cell>
          <cell r="AM23">
            <v>5164.3199999965727</v>
          </cell>
          <cell r="AO23">
            <v>18813130.560000002</v>
          </cell>
          <cell r="AP23">
            <v>0</v>
          </cell>
          <cell r="AR23">
            <v>17246538.960000001</v>
          </cell>
          <cell r="AS23">
            <v>5943.8400000035763</v>
          </cell>
          <cell r="AU23">
            <v>14537122.319999998</v>
          </cell>
          <cell r="AV23">
            <v>4579.6799999978393</v>
          </cell>
          <cell r="AX23">
            <v>14050604.4</v>
          </cell>
          <cell r="AY23">
            <v>4872</v>
          </cell>
          <cell r="BA23">
            <v>11010281.52</v>
          </cell>
          <cell r="BB23">
            <v>1607.7599999997765</v>
          </cell>
          <cell r="BD23">
            <v>17378472.719999999</v>
          </cell>
          <cell r="BE23">
            <v>6187.4399999976158</v>
          </cell>
          <cell r="BK23">
            <v>76737800</v>
          </cell>
          <cell r="BL23">
            <v>60900</v>
          </cell>
          <cell r="BN23">
            <v>79139500</v>
          </cell>
          <cell r="BO23">
            <v>26600</v>
          </cell>
          <cell r="BQ23">
            <v>73064500</v>
          </cell>
          <cell r="BR23">
            <v>0</v>
          </cell>
          <cell r="BT23">
            <v>9786550</v>
          </cell>
          <cell r="BU23">
            <v>8920</v>
          </cell>
          <cell r="BW23">
            <v>0.48</v>
          </cell>
          <cell r="BX23">
            <v>3.0000000000000027E-2</v>
          </cell>
          <cell r="BZ23">
            <v>63158</v>
          </cell>
          <cell r="CA23">
            <v>20</v>
          </cell>
          <cell r="CB23">
            <v>54345</v>
          </cell>
          <cell r="CC23">
            <v>18</v>
          </cell>
          <cell r="CD23">
            <v>18390</v>
          </cell>
          <cell r="CE23">
            <v>7</v>
          </cell>
          <cell r="CF23">
            <v>25009</v>
          </cell>
          <cell r="CG23">
            <v>11</v>
          </cell>
          <cell r="CH23">
            <v>27683</v>
          </cell>
          <cell r="CI23">
            <v>16</v>
          </cell>
          <cell r="CJ23">
            <v>60551</v>
          </cell>
          <cell r="CK23">
            <v>31</v>
          </cell>
          <cell r="CL23">
            <v>263932</v>
          </cell>
          <cell r="CM23">
            <v>75</v>
          </cell>
          <cell r="CO23">
            <v>209580</v>
          </cell>
          <cell r="CP23">
            <v>98</v>
          </cell>
          <cell r="CR23">
            <v>349824</v>
          </cell>
          <cell r="CS23">
            <v>0</v>
          </cell>
          <cell r="CU23">
            <v>685213</v>
          </cell>
          <cell r="CV23">
            <v>171</v>
          </cell>
          <cell r="CX23">
            <v>8423</v>
          </cell>
          <cell r="CY23">
            <v>10</v>
          </cell>
          <cell r="CZ23">
            <v>5716</v>
          </cell>
          <cell r="DA23">
            <v>7</v>
          </cell>
          <cell r="DB23">
            <v>31274</v>
          </cell>
          <cell r="DC23">
            <v>15</v>
          </cell>
          <cell r="DD23">
            <v>31553</v>
          </cell>
          <cell r="DE23">
            <v>14</v>
          </cell>
          <cell r="DF23">
            <v>21291</v>
          </cell>
          <cell r="DG23">
            <v>10</v>
          </cell>
          <cell r="DH23">
            <v>23681</v>
          </cell>
          <cell r="DI23">
            <v>6</v>
          </cell>
          <cell r="DJ23">
            <v>6551</v>
          </cell>
          <cell r="DK23">
            <v>11</v>
          </cell>
          <cell r="DL23">
            <v>9315</v>
          </cell>
          <cell r="DM23">
            <v>10</v>
          </cell>
          <cell r="DN23">
            <v>3076</v>
          </cell>
          <cell r="DO23">
            <v>4</v>
          </cell>
          <cell r="DP23">
            <v>5925</v>
          </cell>
          <cell r="DQ23">
            <v>10</v>
          </cell>
          <cell r="DR23">
            <v>29950</v>
          </cell>
          <cell r="DS23">
            <v>9</v>
          </cell>
          <cell r="DU23">
            <v>5694.4</v>
          </cell>
          <cell r="DV23">
            <v>11.5</v>
          </cell>
          <cell r="DW23">
            <v>10813.8</v>
          </cell>
          <cell r="DX23">
            <v>9.2999999999992724</v>
          </cell>
          <cell r="DY23">
            <v>4415.5</v>
          </cell>
          <cell r="DZ23">
            <v>6.8000000000001819</v>
          </cell>
          <cell r="EA23">
            <v>5001.2</v>
          </cell>
          <cell r="EB23">
            <v>8.5</v>
          </cell>
          <cell r="EC23">
            <v>1091103</v>
          </cell>
          <cell r="ED23">
            <v>696</v>
          </cell>
          <cell r="EG23">
            <v>223382</v>
          </cell>
          <cell r="EH23">
            <v>153.89999999999418</v>
          </cell>
          <cell r="EJ23">
            <v>11833800</v>
          </cell>
          <cell r="EK23">
            <v>6000</v>
          </cell>
          <cell r="EL23">
            <v>917820</v>
          </cell>
          <cell r="EM23">
            <v>290</v>
          </cell>
          <cell r="EN23">
            <v>7087900</v>
          </cell>
          <cell r="EO23">
            <v>2500</v>
          </cell>
          <cell r="EP23">
            <v>2468400</v>
          </cell>
          <cell r="EQ23">
            <v>600</v>
          </cell>
          <cell r="ER23">
            <v>1234630</v>
          </cell>
          <cell r="ES23">
            <v>810</v>
          </cell>
          <cell r="ET23">
            <v>16276100</v>
          </cell>
          <cell r="EU23">
            <v>7100</v>
          </cell>
          <cell r="EW23">
            <v>41225</v>
          </cell>
          <cell r="EX23">
            <v>15</v>
          </cell>
          <cell r="EY23">
            <v>36128</v>
          </cell>
          <cell r="EZ23">
            <v>13</v>
          </cell>
          <cell r="FA23">
            <v>6972</v>
          </cell>
          <cell r="FB23">
            <v>12</v>
          </cell>
          <cell r="FC23">
            <v>58460</v>
          </cell>
          <cell r="FD23">
            <v>16</v>
          </cell>
          <cell r="FE23">
            <v>47599</v>
          </cell>
          <cell r="FF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S24">
            <v>107263</v>
          </cell>
          <cell r="T24">
            <v>192</v>
          </cell>
          <cell r="U24">
            <v>212.62000000000262</v>
          </cell>
          <cell r="V24">
            <v>5648</v>
          </cell>
          <cell r="W24">
            <v>13</v>
          </cell>
          <cell r="AC24">
            <v>8010542.3999999994</v>
          </cell>
          <cell r="AD24">
            <v>3312.9599999990314</v>
          </cell>
          <cell r="AF24">
            <v>15225000</v>
          </cell>
          <cell r="AG24">
            <v>4677.1199999991804</v>
          </cell>
          <cell r="AI24">
            <v>15526040.880000001</v>
          </cell>
          <cell r="AJ24">
            <v>4628.4000000003725</v>
          </cell>
          <cell r="AL24">
            <v>18543952.560000002</v>
          </cell>
          <cell r="AM24">
            <v>1315.4400000050664</v>
          </cell>
          <cell r="AO24">
            <v>18825895.199999999</v>
          </cell>
          <cell r="AP24">
            <v>12764.639999996871</v>
          </cell>
          <cell r="AR24">
            <v>17252482.800000001</v>
          </cell>
          <cell r="AS24">
            <v>5943.839999999851</v>
          </cell>
          <cell r="AU24">
            <v>14541896.880000001</v>
          </cell>
          <cell r="AV24">
            <v>4774.5600000023842</v>
          </cell>
          <cell r="AX24">
            <v>14055573.84</v>
          </cell>
          <cell r="AY24">
            <v>4969.4399999994785</v>
          </cell>
          <cell r="BA24">
            <v>11013497.040000001</v>
          </cell>
          <cell r="BB24">
            <v>3215.5200000014156</v>
          </cell>
          <cell r="BD24">
            <v>17384708.879999999</v>
          </cell>
          <cell r="BE24">
            <v>6236.160000000149</v>
          </cell>
          <cell r="BK24">
            <v>76764200</v>
          </cell>
          <cell r="BL24">
            <v>26400</v>
          </cell>
          <cell r="BN24">
            <v>79139500</v>
          </cell>
          <cell r="BO24">
            <v>0</v>
          </cell>
          <cell r="BQ24">
            <v>73129500</v>
          </cell>
          <cell r="BR24">
            <v>65000</v>
          </cell>
          <cell r="BT24">
            <v>9795710</v>
          </cell>
          <cell r="BU24">
            <v>9160</v>
          </cell>
          <cell r="BW24">
            <v>0.65</v>
          </cell>
          <cell r="BX24">
            <v>-0.17000000000000004</v>
          </cell>
          <cell r="BZ24">
            <v>63177</v>
          </cell>
          <cell r="CA24">
            <v>19</v>
          </cell>
          <cell r="CB24">
            <v>54366</v>
          </cell>
          <cell r="CC24">
            <v>21</v>
          </cell>
          <cell r="CD24">
            <v>18397</v>
          </cell>
          <cell r="CE24">
            <v>7</v>
          </cell>
          <cell r="CF24">
            <v>25020</v>
          </cell>
          <cell r="CG24">
            <v>11</v>
          </cell>
          <cell r="CH24">
            <v>27697</v>
          </cell>
          <cell r="CI24">
            <v>14</v>
          </cell>
          <cell r="CJ24">
            <v>60585</v>
          </cell>
          <cell r="CK24">
            <v>34</v>
          </cell>
          <cell r="CL24">
            <v>264006</v>
          </cell>
          <cell r="CM24">
            <v>74</v>
          </cell>
          <cell r="CO24">
            <v>209678</v>
          </cell>
          <cell r="CP24">
            <v>98</v>
          </cell>
          <cell r="CR24">
            <v>349824</v>
          </cell>
          <cell r="CS24">
            <v>0</v>
          </cell>
          <cell r="CU24">
            <v>685382</v>
          </cell>
          <cell r="CV24">
            <v>169</v>
          </cell>
          <cell r="CX24">
            <v>8432</v>
          </cell>
          <cell r="CY24">
            <v>9</v>
          </cell>
          <cell r="CZ24">
            <v>5721</v>
          </cell>
          <cell r="DA24">
            <v>5</v>
          </cell>
          <cell r="DB24">
            <v>31289</v>
          </cell>
          <cell r="DC24">
            <v>15</v>
          </cell>
          <cell r="DD24">
            <v>31566</v>
          </cell>
          <cell r="DE24">
            <v>13</v>
          </cell>
          <cell r="DF24">
            <v>21301</v>
          </cell>
          <cell r="DG24">
            <v>10</v>
          </cell>
          <cell r="DH24">
            <v>23687</v>
          </cell>
          <cell r="DI24">
            <v>6</v>
          </cell>
          <cell r="DJ24">
            <v>6561</v>
          </cell>
          <cell r="DK24">
            <v>10</v>
          </cell>
          <cell r="DL24">
            <v>9325</v>
          </cell>
          <cell r="DM24">
            <v>10</v>
          </cell>
          <cell r="DN24">
            <v>3080</v>
          </cell>
          <cell r="DO24">
            <v>4</v>
          </cell>
          <cell r="DP24">
            <v>5935</v>
          </cell>
          <cell r="DQ24">
            <v>10</v>
          </cell>
          <cell r="DR24">
            <v>29950</v>
          </cell>
          <cell r="DS24">
            <v>0</v>
          </cell>
          <cell r="DU24">
            <v>5707.4</v>
          </cell>
          <cell r="DV24">
            <v>13</v>
          </cell>
          <cell r="DW24">
            <v>10822.8</v>
          </cell>
          <cell r="DX24">
            <v>9</v>
          </cell>
          <cell r="DY24">
            <v>4422.8999999999996</v>
          </cell>
          <cell r="DZ24">
            <v>7.3999999999996362</v>
          </cell>
          <cell r="EA24">
            <v>5010</v>
          </cell>
          <cell r="EB24">
            <v>8.8000000000001819</v>
          </cell>
          <cell r="EC24">
            <v>1091853</v>
          </cell>
          <cell r="ED24">
            <v>750</v>
          </cell>
          <cell r="EG24">
            <v>223542.7</v>
          </cell>
          <cell r="EH24">
            <v>160.70000000001164</v>
          </cell>
          <cell r="EJ24">
            <v>11840900</v>
          </cell>
          <cell r="EK24">
            <v>7100</v>
          </cell>
          <cell r="EL24">
            <v>918120</v>
          </cell>
          <cell r="EM24">
            <v>300</v>
          </cell>
          <cell r="EN24">
            <v>7090700</v>
          </cell>
          <cell r="EO24">
            <v>2800</v>
          </cell>
          <cell r="EP24">
            <v>2469000</v>
          </cell>
          <cell r="EQ24">
            <v>600</v>
          </cell>
          <cell r="ER24">
            <v>1235510</v>
          </cell>
          <cell r="ES24">
            <v>880</v>
          </cell>
          <cell r="ET24">
            <v>16284200</v>
          </cell>
          <cell r="EU24">
            <v>8100</v>
          </cell>
          <cell r="EW24">
            <v>41240</v>
          </cell>
          <cell r="EX24">
            <v>15</v>
          </cell>
          <cell r="EY24">
            <v>36140</v>
          </cell>
          <cell r="EZ24">
            <v>12</v>
          </cell>
          <cell r="FA24">
            <v>6989</v>
          </cell>
          <cell r="FB24">
            <v>17</v>
          </cell>
          <cell r="FC24">
            <v>58479</v>
          </cell>
          <cell r="FD24">
            <v>19</v>
          </cell>
          <cell r="FE24">
            <v>47640</v>
          </cell>
          <cell r="FF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S25">
            <v>107472</v>
          </cell>
          <cell r="T25">
            <v>209</v>
          </cell>
          <cell r="U25">
            <v>223.30999999999767</v>
          </cell>
          <cell r="V25">
            <v>5667</v>
          </cell>
          <cell r="W25">
            <v>19</v>
          </cell>
          <cell r="AC25">
            <v>8013806.6400000006</v>
          </cell>
          <cell r="AD25">
            <v>3264.2400000011548</v>
          </cell>
          <cell r="AF25">
            <v>15229774.559999999</v>
          </cell>
          <cell r="AG25">
            <v>4774.5599999986589</v>
          </cell>
          <cell r="AI25">
            <v>15534859.199999999</v>
          </cell>
          <cell r="AJ25">
            <v>8818.3199999984354</v>
          </cell>
          <cell r="AL25">
            <v>18545414.16</v>
          </cell>
          <cell r="AM25">
            <v>1461.5999999977648</v>
          </cell>
          <cell r="AO25">
            <v>18836272.560000002</v>
          </cell>
          <cell r="AP25">
            <v>10377.360000003129</v>
          </cell>
          <cell r="AR25">
            <v>17258475.359999999</v>
          </cell>
          <cell r="AS25">
            <v>5992.5599999986589</v>
          </cell>
          <cell r="AU25">
            <v>14546379.119999999</v>
          </cell>
          <cell r="AV25">
            <v>4482.2399999983609</v>
          </cell>
          <cell r="AX25">
            <v>14060348.4</v>
          </cell>
          <cell r="AY25">
            <v>4774.5600000005215</v>
          </cell>
          <cell r="BA25">
            <v>11016517.68</v>
          </cell>
          <cell r="BB25">
            <v>3020.6399999987334</v>
          </cell>
          <cell r="BD25">
            <v>17390896.32</v>
          </cell>
          <cell r="BE25">
            <v>6187.4400000013411</v>
          </cell>
          <cell r="BK25">
            <v>76811800</v>
          </cell>
          <cell r="BL25">
            <v>47600</v>
          </cell>
          <cell r="BN25">
            <v>79139500</v>
          </cell>
          <cell r="BO25">
            <v>0</v>
          </cell>
          <cell r="BQ25">
            <v>73194550</v>
          </cell>
          <cell r="BR25">
            <v>65050</v>
          </cell>
          <cell r="BT25">
            <v>9803530</v>
          </cell>
          <cell r="BU25">
            <v>7820</v>
          </cell>
          <cell r="BW25">
            <v>0.64</v>
          </cell>
          <cell r="BX25">
            <v>1.0000000000000009E-2</v>
          </cell>
          <cell r="BZ25">
            <v>63200</v>
          </cell>
          <cell r="CA25">
            <v>23</v>
          </cell>
          <cell r="CB25">
            <v>54386</v>
          </cell>
          <cell r="CC25">
            <v>20</v>
          </cell>
          <cell r="CD25">
            <v>18402</v>
          </cell>
          <cell r="CE25">
            <v>5</v>
          </cell>
          <cell r="CF25">
            <v>25031</v>
          </cell>
          <cell r="CG25">
            <v>11</v>
          </cell>
          <cell r="CH25">
            <v>27711</v>
          </cell>
          <cell r="CI25">
            <v>14</v>
          </cell>
          <cell r="CJ25">
            <v>60619</v>
          </cell>
          <cell r="CK25">
            <v>34</v>
          </cell>
          <cell r="CL25">
            <v>264081</v>
          </cell>
          <cell r="CM25">
            <v>75</v>
          </cell>
          <cell r="CO25">
            <v>209763</v>
          </cell>
          <cell r="CP25">
            <v>85</v>
          </cell>
          <cell r="CR25">
            <v>349824</v>
          </cell>
          <cell r="CS25">
            <v>0</v>
          </cell>
          <cell r="CU25">
            <v>685552</v>
          </cell>
          <cell r="CV25">
            <v>170</v>
          </cell>
          <cell r="CX25">
            <v>8436</v>
          </cell>
          <cell r="CY25">
            <v>4</v>
          </cell>
          <cell r="CZ25">
            <v>5725</v>
          </cell>
          <cell r="DA25">
            <v>4</v>
          </cell>
          <cell r="DB25">
            <v>31307</v>
          </cell>
          <cell r="DC25">
            <v>18</v>
          </cell>
          <cell r="DD25">
            <v>31588</v>
          </cell>
          <cell r="DE25">
            <v>22</v>
          </cell>
          <cell r="DF25">
            <v>21308</v>
          </cell>
          <cell r="DG25">
            <v>7</v>
          </cell>
          <cell r="DH25">
            <v>23693</v>
          </cell>
          <cell r="DI25">
            <v>6</v>
          </cell>
          <cell r="DJ25">
            <v>6575</v>
          </cell>
          <cell r="DK25">
            <v>14</v>
          </cell>
          <cell r="DL25">
            <v>9336</v>
          </cell>
          <cell r="DM25">
            <v>11</v>
          </cell>
          <cell r="DN25">
            <v>3082</v>
          </cell>
          <cell r="DO25">
            <v>2</v>
          </cell>
          <cell r="DP25">
            <v>5943</v>
          </cell>
          <cell r="DQ25">
            <v>8</v>
          </cell>
          <cell r="DR25">
            <v>29954</v>
          </cell>
          <cell r="DS25">
            <v>4</v>
          </cell>
          <cell r="DU25">
            <v>5718.7</v>
          </cell>
          <cell r="DV25">
            <v>11.300000000000182</v>
          </cell>
          <cell r="DW25">
            <v>10831.4</v>
          </cell>
          <cell r="DX25">
            <v>8.6000000000003638</v>
          </cell>
          <cell r="DY25">
            <v>4429.3999999999996</v>
          </cell>
          <cell r="DZ25">
            <v>6.5</v>
          </cell>
          <cell r="EA25">
            <v>5018.3999999999996</v>
          </cell>
          <cell r="EB25">
            <v>8.3999999999996362</v>
          </cell>
          <cell r="EC25">
            <v>1092534</v>
          </cell>
          <cell r="ED25">
            <v>681</v>
          </cell>
          <cell r="EG25">
            <v>223687.2</v>
          </cell>
          <cell r="EH25">
            <v>144.5</v>
          </cell>
          <cell r="EJ25">
            <v>11848000</v>
          </cell>
          <cell r="EK25">
            <v>7100</v>
          </cell>
          <cell r="EL25">
            <v>918400</v>
          </cell>
          <cell r="EM25">
            <v>280</v>
          </cell>
          <cell r="EN25">
            <v>7093400</v>
          </cell>
          <cell r="EO25">
            <v>2700</v>
          </cell>
          <cell r="EP25">
            <v>2469500</v>
          </cell>
          <cell r="EQ25">
            <v>500</v>
          </cell>
          <cell r="ER25">
            <v>1236300</v>
          </cell>
          <cell r="ES25">
            <v>790</v>
          </cell>
          <cell r="ET25">
            <v>16292100</v>
          </cell>
          <cell r="EU25">
            <v>7900</v>
          </cell>
          <cell r="EW25">
            <v>41254</v>
          </cell>
          <cell r="EX25">
            <v>14</v>
          </cell>
          <cell r="EY25">
            <v>36150</v>
          </cell>
          <cell r="EZ25">
            <v>10</v>
          </cell>
          <cell r="FA25">
            <v>6998</v>
          </cell>
          <cell r="FB25">
            <v>9</v>
          </cell>
          <cell r="FC25">
            <v>58493</v>
          </cell>
          <cell r="FD25">
            <v>14</v>
          </cell>
          <cell r="FE25">
            <v>47675</v>
          </cell>
          <cell r="FF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S26">
            <v>107685</v>
          </cell>
          <cell r="T26">
            <v>213</v>
          </cell>
          <cell r="U26">
            <v>173.13999999999942</v>
          </cell>
          <cell r="V26">
            <v>5672</v>
          </cell>
          <cell r="W26">
            <v>5</v>
          </cell>
          <cell r="AC26">
            <v>8017801.6800000006</v>
          </cell>
          <cell r="AD26">
            <v>3995.0400000000373</v>
          </cell>
          <cell r="AF26">
            <v>15234451.68</v>
          </cell>
          <cell r="AG26">
            <v>4677.1200000010431</v>
          </cell>
          <cell r="AI26">
            <v>15544505.76</v>
          </cell>
          <cell r="AJ26">
            <v>9646.5600000005215</v>
          </cell>
          <cell r="AL26">
            <v>18546242.399999999</v>
          </cell>
          <cell r="AM26">
            <v>828.23999999836087</v>
          </cell>
          <cell r="AO26">
            <v>18846211.439999998</v>
          </cell>
          <cell r="AP26">
            <v>9938.8799999952316</v>
          </cell>
          <cell r="AR26">
            <v>17264467.919999998</v>
          </cell>
          <cell r="AS26">
            <v>5992.5599999986589</v>
          </cell>
          <cell r="AU26">
            <v>14550763.919999998</v>
          </cell>
          <cell r="AV26">
            <v>4384.7999999988824</v>
          </cell>
          <cell r="AX26">
            <v>14065171.68</v>
          </cell>
          <cell r="AY26">
            <v>4823.2799999993294</v>
          </cell>
          <cell r="BA26">
            <v>11019440.880000001</v>
          </cell>
          <cell r="BB26">
            <v>2923.2000000011176</v>
          </cell>
          <cell r="BD26">
            <v>17396840.16</v>
          </cell>
          <cell r="BE26">
            <v>5943.839999999851</v>
          </cell>
          <cell r="BK26">
            <v>76857400</v>
          </cell>
          <cell r="BL26">
            <v>45600</v>
          </cell>
          <cell r="BN26">
            <v>79139500</v>
          </cell>
          <cell r="BO26">
            <v>0</v>
          </cell>
          <cell r="BQ26">
            <v>73244900</v>
          </cell>
          <cell r="BR26">
            <v>50350</v>
          </cell>
          <cell r="BT26">
            <v>9811020</v>
          </cell>
          <cell r="BU26">
            <v>7490</v>
          </cell>
          <cell r="BW26">
            <v>0.6</v>
          </cell>
          <cell r="BX26">
            <v>4.0000000000000036E-2</v>
          </cell>
          <cell r="BZ26">
            <v>63224</v>
          </cell>
          <cell r="CA26">
            <v>24</v>
          </cell>
          <cell r="CB26">
            <v>54405</v>
          </cell>
          <cell r="CC26">
            <v>19</v>
          </cell>
          <cell r="CD26">
            <v>18408</v>
          </cell>
          <cell r="CE26">
            <v>6</v>
          </cell>
          <cell r="CF26">
            <v>25042</v>
          </cell>
          <cell r="CG26">
            <v>11</v>
          </cell>
          <cell r="CH26">
            <v>27726</v>
          </cell>
          <cell r="CI26">
            <v>15</v>
          </cell>
          <cell r="CJ26">
            <v>60651</v>
          </cell>
          <cell r="CK26">
            <v>32</v>
          </cell>
          <cell r="CL26">
            <v>264154</v>
          </cell>
          <cell r="CM26">
            <v>73</v>
          </cell>
          <cell r="CO26">
            <v>209848</v>
          </cell>
          <cell r="CP26">
            <v>85</v>
          </cell>
          <cell r="CR26">
            <v>349824</v>
          </cell>
          <cell r="CS26">
            <v>0</v>
          </cell>
          <cell r="CU26">
            <v>685718</v>
          </cell>
          <cell r="CV26">
            <v>166</v>
          </cell>
          <cell r="CX26">
            <v>8441</v>
          </cell>
          <cell r="CY26">
            <v>5</v>
          </cell>
          <cell r="CZ26">
            <v>5727</v>
          </cell>
          <cell r="DA26">
            <v>2</v>
          </cell>
          <cell r="DB26">
            <v>31322</v>
          </cell>
          <cell r="DC26">
            <v>15</v>
          </cell>
          <cell r="DD26">
            <v>31603</v>
          </cell>
          <cell r="DE26">
            <v>15</v>
          </cell>
          <cell r="DF26">
            <v>21315</v>
          </cell>
          <cell r="DG26">
            <v>7</v>
          </cell>
          <cell r="DH26">
            <v>23699</v>
          </cell>
          <cell r="DI26">
            <v>6</v>
          </cell>
          <cell r="DJ26">
            <v>6581</v>
          </cell>
          <cell r="DK26">
            <v>6</v>
          </cell>
          <cell r="DL26">
            <v>9343</v>
          </cell>
          <cell r="DM26">
            <v>7</v>
          </cell>
          <cell r="DN26">
            <v>3085</v>
          </cell>
          <cell r="DO26">
            <v>3</v>
          </cell>
          <cell r="DP26">
            <v>5949</v>
          </cell>
          <cell r="DQ26">
            <v>6</v>
          </cell>
          <cell r="DR26">
            <v>29970</v>
          </cell>
          <cell r="DS26">
            <v>16</v>
          </cell>
          <cell r="DU26">
            <v>5730.4</v>
          </cell>
          <cell r="DV26">
            <v>11.699999999999818</v>
          </cell>
          <cell r="DW26">
            <v>10840</v>
          </cell>
          <cell r="DX26">
            <v>8.6000000000003638</v>
          </cell>
          <cell r="DY26">
            <v>4436.3</v>
          </cell>
          <cell r="DZ26">
            <v>6.9000000000005457</v>
          </cell>
          <cell r="EA26">
            <v>5026</v>
          </cell>
          <cell r="EB26">
            <v>7.6000000000003638</v>
          </cell>
          <cell r="EC26">
            <v>1093232</v>
          </cell>
          <cell r="ED26">
            <v>698</v>
          </cell>
          <cell r="EG26">
            <v>223838.4</v>
          </cell>
          <cell r="EH26">
            <v>151.19999999998254</v>
          </cell>
          <cell r="EJ26">
            <v>11856000</v>
          </cell>
          <cell r="EK26">
            <v>8000</v>
          </cell>
          <cell r="EL26">
            <v>918700</v>
          </cell>
          <cell r="EM26">
            <v>300</v>
          </cell>
          <cell r="EN26">
            <v>7096400</v>
          </cell>
          <cell r="EO26">
            <v>3000</v>
          </cell>
          <cell r="EP26">
            <v>2470100</v>
          </cell>
          <cell r="EQ26">
            <v>600</v>
          </cell>
          <cell r="ER26">
            <v>1237160</v>
          </cell>
          <cell r="ES26">
            <v>860</v>
          </cell>
          <cell r="ET26">
            <v>16301400</v>
          </cell>
          <cell r="EU26">
            <v>9300</v>
          </cell>
          <cell r="EW26">
            <v>41267</v>
          </cell>
          <cell r="EX26">
            <v>13</v>
          </cell>
          <cell r="EY26">
            <v>36161</v>
          </cell>
          <cell r="EZ26">
            <v>11</v>
          </cell>
          <cell r="FA26">
            <v>7005</v>
          </cell>
          <cell r="FB26">
            <v>7</v>
          </cell>
          <cell r="FC26">
            <v>58505</v>
          </cell>
          <cell r="FD26">
            <v>12</v>
          </cell>
          <cell r="FE26">
            <v>47706</v>
          </cell>
          <cell r="FF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S27">
            <v>107880</v>
          </cell>
          <cell r="T27">
            <v>195</v>
          </cell>
          <cell r="U27">
            <v>201.02999999999884</v>
          </cell>
          <cell r="V27">
            <v>5686</v>
          </cell>
          <cell r="W27">
            <v>14</v>
          </cell>
          <cell r="AC27">
            <v>8020871.04</v>
          </cell>
          <cell r="AD27">
            <v>3069.359999999404</v>
          </cell>
          <cell r="AF27">
            <v>15239128.799999999</v>
          </cell>
          <cell r="AG27">
            <v>4677.1199999991804</v>
          </cell>
          <cell r="AI27">
            <v>15552739.439999999</v>
          </cell>
          <cell r="AJ27">
            <v>8233.679999999702</v>
          </cell>
          <cell r="AL27">
            <v>18546729.599999998</v>
          </cell>
          <cell r="AM27">
            <v>487.19999999925494</v>
          </cell>
          <cell r="AO27">
            <v>18858829.919999998</v>
          </cell>
          <cell r="AP27">
            <v>12618.480000000447</v>
          </cell>
          <cell r="AR27">
            <v>17270411.760000002</v>
          </cell>
          <cell r="AS27">
            <v>5943.8400000035763</v>
          </cell>
          <cell r="AU27">
            <v>14555197.439999999</v>
          </cell>
          <cell r="AV27">
            <v>4433.5200000014156</v>
          </cell>
          <cell r="AX27">
            <v>14070189.84</v>
          </cell>
          <cell r="AY27">
            <v>5018.160000000149</v>
          </cell>
          <cell r="BA27">
            <v>11022510.24</v>
          </cell>
          <cell r="BB27">
            <v>3069.359999999404</v>
          </cell>
          <cell r="BD27">
            <v>17402735.280000001</v>
          </cell>
          <cell r="BE27">
            <v>5895.1200000010431</v>
          </cell>
          <cell r="BK27">
            <v>76891800</v>
          </cell>
          <cell r="BL27">
            <v>34400</v>
          </cell>
          <cell r="BN27">
            <v>79139500</v>
          </cell>
          <cell r="BO27">
            <v>0</v>
          </cell>
          <cell r="BQ27">
            <v>73307500</v>
          </cell>
          <cell r="BR27">
            <v>62600</v>
          </cell>
          <cell r="BT27">
            <v>9816010</v>
          </cell>
          <cell r="BU27">
            <v>4990</v>
          </cell>
          <cell r="BW27">
            <v>0.53</v>
          </cell>
          <cell r="BX27">
            <v>6.9999999999999951E-2</v>
          </cell>
          <cell r="BZ27">
            <v>63246</v>
          </cell>
          <cell r="CA27">
            <v>22</v>
          </cell>
          <cell r="CB27">
            <v>54423</v>
          </cell>
          <cell r="CC27">
            <v>18</v>
          </cell>
          <cell r="CD27">
            <v>18413</v>
          </cell>
          <cell r="CE27">
            <v>5</v>
          </cell>
          <cell r="CF27">
            <v>25053</v>
          </cell>
          <cell r="CG27">
            <v>11</v>
          </cell>
          <cell r="CH27">
            <v>27740</v>
          </cell>
          <cell r="CI27">
            <v>14</v>
          </cell>
          <cell r="CJ27">
            <v>60685</v>
          </cell>
          <cell r="CK27">
            <v>34</v>
          </cell>
          <cell r="CL27">
            <v>264230</v>
          </cell>
          <cell r="CM27">
            <v>76</v>
          </cell>
          <cell r="CO27">
            <v>209938</v>
          </cell>
          <cell r="CP27">
            <v>90</v>
          </cell>
          <cell r="CR27">
            <v>349824</v>
          </cell>
          <cell r="CS27">
            <v>0</v>
          </cell>
          <cell r="CU27">
            <v>685888</v>
          </cell>
          <cell r="CV27">
            <v>170</v>
          </cell>
          <cell r="CX27">
            <v>8446</v>
          </cell>
          <cell r="CY27">
            <v>5</v>
          </cell>
          <cell r="CZ27">
            <v>5729</v>
          </cell>
          <cell r="DA27">
            <v>2</v>
          </cell>
          <cell r="DB27">
            <v>31333</v>
          </cell>
          <cell r="DC27">
            <v>11</v>
          </cell>
          <cell r="DD27">
            <v>31617</v>
          </cell>
          <cell r="DE27">
            <v>14</v>
          </cell>
          <cell r="DF27">
            <v>21323</v>
          </cell>
          <cell r="DG27">
            <v>8</v>
          </cell>
          <cell r="DH27">
            <v>23705</v>
          </cell>
          <cell r="DI27">
            <v>6</v>
          </cell>
          <cell r="DJ27">
            <v>6587</v>
          </cell>
          <cell r="DK27">
            <v>6</v>
          </cell>
          <cell r="DL27">
            <v>9350</v>
          </cell>
          <cell r="DM27">
            <v>7</v>
          </cell>
          <cell r="DN27">
            <v>3088</v>
          </cell>
          <cell r="DO27">
            <v>3</v>
          </cell>
          <cell r="DP27">
            <v>5955</v>
          </cell>
          <cell r="DQ27">
            <v>6</v>
          </cell>
          <cell r="DR27">
            <v>29974</v>
          </cell>
          <cell r="DS27">
            <v>4</v>
          </cell>
          <cell r="DU27">
            <v>5742.2</v>
          </cell>
          <cell r="DV27">
            <v>11.800000000000182</v>
          </cell>
          <cell r="DW27">
            <v>10848.6</v>
          </cell>
          <cell r="DX27">
            <v>8.6000000000003638</v>
          </cell>
          <cell r="DY27">
            <v>4443.3999999999996</v>
          </cell>
          <cell r="DZ27">
            <v>7.0999999999994543</v>
          </cell>
          <cell r="EA27">
            <v>5033.1000000000004</v>
          </cell>
          <cell r="EB27">
            <v>7.1000000000003638</v>
          </cell>
          <cell r="EC27">
            <v>1093930</v>
          </cell>
          <cell r="ED27">
            <v>698</v>
          </cell>
          <cell r="EG27">
            <v>223994.8</v>
          </cell>
          <cell r="EH27">
            <v>156.39999999999418</v>
          </cell>
          <cell r="EJ27">
            <v>11865900</v>
          </cell>
          <cell r="EK27">
            <v>9900</v>
          </cell>
          <cell r="EL27">
            <v>919090</v>
          </cell>
          <cell r="EM27">
            <v>390</v>
          </cell>
          <cell r="EN27">
            <v>7100400</v>
          </cell>
          <cell r="EO27">
            <v>4000</v>
          </cell>
          <cell r="EP27">
            <v>2470900</v>
          </cell>
          <cell r="EQ27">
            <v>800</v>
          </cell>
          <cell r="ER27">
            <v>1238280</v>
          </cell>
          <cell r="ES27">
            <v>1120</v>
          </cell>
          <cell r="ET27">
            <v>16312900</v>
          </cell>
          <cell r="EU27">
            <v>11500</v>
          </cell>
          <cell r="EW27">
            <v>41282</v>
          </cell>
          <cell r="EX27">
            <v>15</v>
          </cell>
          <cell r="EY27">
            <v>36173</v>
          </cell>
          <cell r="EZ27">
            <v>12</v>
          </cell>
          <cell r="FA27">
            <v>7013</v>
          </cell>
          <cell r="FB27">
            <v>8</v>
          </cell>
          <cell r="FC27">
            <v>58517</v>
          </cell>
          <cell r="FD27">
            <v>12</v>
          </cell>
          <cell r="FE27">
            <v>47743</v>
          </cell>
          <cell r="FF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S28">
            <v>108092</v>
          </cell>
          <cell r="T28">
            <v>212</v>
          </cell>
          <cell r="U28">
            <v>207.06999999999971</v>
          </cell>
          <cell r="V28">
            <v>5707</v>
          </cell>
          <cell r="W28">
            <v>21</v>
          </cell>
          <cell r="AC28">
            <v>8023794.2400000002</v>
          </cell>
          <cell r="AD28">
            <v>2923.2000000001863</v>
          </cell>
          <cell r="AF28">
            <v>15243513.6</v>
          </cell>
          <cell r="AG28">
            <v>4384.8000000007451</v>
          </cell>
          <cell r="AI28">
            <v>15562580.880000001</v>
          </cell>
          <cell r="AJ28">
            <v>9841.4400000013411</v>
          </cell>
          <cell r="AL28">
            <v>18547362.960000001</v>
          </cell>
          <cell r="AM28">
            <v>633.36000000312924</v>
          </cell>
          <cell r="AO28">
            <v>18870132.960000001</v>
          </cell>
          <cell r="AP28">
            <v>11303.040000002831</v>
          </cell>
          <cell r="AR28">
            <v>17276063.280000001</v>
          </cell>
          <cell r="AS28">
            <v>5651.519999999553</v>
          </cell>
          <cell r="AU28">
            <v>14559387.359999999</v>
          </cell>
          <cell r="AV28">
            <v>4189.9199999999255</v>
          </cell>
          <cell r="AX28">
            <v>14074623.359999999</v>
          </cell>
          <cell r="AY28">
            <v>4433.519999999553</v>
          </cell>
          <cell r="BA28">
            <v>11025287.280000001</v>
          </cell>
          <cell r="BB28">
            <v>2777.0400000009686</v>
          </cell>
          <cell r="BD28">
            <v>17408386.800000001</v>
          </cell>
          <cell r="BE28">
            <v>5651.519999999553</v>
          </cell>
          <cell r="BK28">
            <v>76939900</v>
          </cell>
          <cell r="BL28">
            <v>48100</v>
          </cell>
          <cell r="BN28">
            <v>79139500</v>
          </cell>
          <cell r="BO28">
            <v>0</v>
          </cell>
          <cell r="BQ28">
            <v>73367900</v>
          </cell>
          <cell r="BR28">
            <v>60400</v>
          </cell>
          <cell r="BT28">
            <v>9825960</v>
          </cell>
          <cell r="BU28">
            <v>9950</v>
          </cell>
          <cell r="BW28">
            <v>0.5</v>
          </cell>
          <cell r="BX28">
            <v>3.0000000000000027E-2</v>
          </cell>
          <cell r="BZ28">
            <v>63269</v>
          </cell>
          <cell r="CA28">
            <v>23</v>
          </cell>
          <cell r="CB28">
            <v>54442</v>
          </cell>
          <cell r="CC28">
            <v>19</v>
          </cell>
          <cell r="CD28">
            <v>18421</v>
          </cell>
          <cell r="CE28">
            <v>8</v>
          </cell>
          <cell r="CF28">
            <v>25063</v>
          </cell>
          <cell r="CG28">
            <v>10</v>
          </cell>
          <cell r="CH28">
            <v>27753</v>
          </cell>
          <cell r="CI28">
            <v>13</v>
          </cell>
          <cell r="CJ28">
            <v>60716</v>
          </cell>
          <cell r="CK28">
            <v>31</v>
          </cell>
          <cell r="CL28">
            <v>264300</v>
          </cell>
          <cell r="CM28">
            <v>70</v>
          </cell>
          <cell r="CO28">
            <v>210024</v>
          </cell>
          <cell r="CP28">
            <v>86</v>
          </cell>
          <cell r="CR28">
            <v>349824</v>
          </cell>
          <cell r="CS28">
            <v>0</v>
          </cell>
          <cell r="CU28">
            <v>686048</v>
          </cell>
          <cell r="CV28">
            <v>160</v>
          </cell>
          <cell r="CX28">
            <v>8456</v>
          </cell>
          <cell r="CY28">
            <v>10</v>
          </cell>
          <cell r="CZ28">
            <v>5736</v>
          </cell>
          <cell r="DA28">
            <v>7</v>
          </cell>
          <cell r="DB28">
            <v>31349</v>
          </cell>
          <cell r="DC28">
            <v>16</v>
          </cell>
          <cell r="DD28">
            <v>31631</v>
          </cell>
          <cell r="DE28">
            <v>14</v>
          </cell>
          <cell r="DF28">
            <v>21332</v>
          </cell>
          <cell r="DG28">
            <v>9</v>
          </cell>
          <cell r="DH28">
            <v>23712</v>
          </cell>
          <cell r="DI28">
            <v>7</v>
          </cell>
          <cell r="DJ28">
            <v>6598</v>
          </cell>
          <cell r="DK28">
            <v>11</v>
          </cell>
          <cell r="DL28">
            <v>9358</v>
          </cell>
          <cell r="DM28">
            <v>8</v>
          </cell>
          <cell r="DN28">
            <v>3091</v>
          </cell>
          <cell r="DO28">
            <v>3</v>
          </cell>
          <cell r="DP28">
            <v>5966</v>
          </cell>
          <cell r="DQ28">
            <v>11</v>
          </cell>
          <cell r="DR28">
            <v>29975</v>
          </cell>
          <cell r="DS28">
            <v>1</v>
          </cell>
          <cell r="DU28">
            <v>5753.6</v>
          </cell>
          <cell r="DV28">
            <v>11.400000000000546</v>
          </cell>
          <cell r="DW28">
            <v>10857</v>
          </cell>
          <cell r="DX28">
            <v>8.3999999999996362</v>
          </cell>
          <cell r="DY28">
            <v>4450.3999999999996</v>
          </cell>
          <cell r="DZ28">
            <v>7</v>
          </cell>
          <cell r="EA28">
            <v>5040</v>
          </cell>
          <cell r="EB28">
            <v>6.8999999999996362</v>
          </cell>
          <cell r="EC28">
            <v>1094593</v>
          </cell>
          <cell r="ED28">
            <v>663</v>
          </cell>
          <cell r="EG28">
            <v>224149</v>
          </cell>
          <cell r="EH28">
            <v>154.20000000001164</v>
          </cell>
          <cell r="EJ28">
            <v>11871300</v>
          </cell>
          <cell r="EK28">
            <v>5400</v>
          </cell>
          <cell r="EL28">
            <v>919320</v>
          </cell>
          <cell r="EM28">
            <v>230</v>
          </cell>
          <cell r="EN28">
            <v>7102400</v>
          </cell>
          <cell r="EO28">
            <v>2000</v>
          </cell>
          <cell r="EP28">
            <v>2471400</v>
          </cell>
          <cell r="EQ28">
            <v>500</v>
          </cell>
          <cell r="ER28">
            <v>1238930</v>
          </cell>
          <cell r="ES28">
            <v>650</v>
          </cell>
          <cell r="ET28">
            <v>16319400</v>
          </cell>
          <cell r="EU28">
            <v>6500</v>
          </cell>
          <cell r="EW28">
            <v>41296</v>
          </cell>
          <cell r="EX28">
            <v>14</v>
          </cell>
          <cell r="EY28">
            <v>36183</v>
          </cell>
          <cell r="EZ28">
            <v>10</v>
          </cell>
          <cell r="FA28">
            <v>7023</v>
          </cell>
          <cell r="FB28">
            <v>10</v>
          </cell>
          <cell r="FC28">
            <v>58533</v>
          </cell>
          <cell r="FD28">
            <v>16</v>
          </cell>
          <cell r="FE28">
            <v>47776</v>
          </cell>
          <cell r="FF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S29">
            <v>108301</v>
          </cell>
          <cell r="T29">
            <v>209</v>
          </cell>
          <cell r="U29">
            <v>195.75</v>
          </cell>
          <cell r="V29">
            <v>5721</v>
          </cell>
          <cell r="W29">
            <v>14</v>
          </cell>
          <cell r="AC29">
            <v>8026571.2800000003</v>
          </cell>
          <cell r="AD29">
            <v>2777.0400000000373</v>
          </cell>
          <cell r="AF29">
            <v>15248385.6</v>
          </cell>
          <cell r="AG29">
            <v>4872</v>
          </cell>
          <cell r="AI29">
            <v>15572276.16</v>
          </cell>
          <cell r="AJ29">
            <v>9695.2799999993294</v>
          </cell>
          <cell r="AL29">
            <v>18547947.599999998</v>
          </cell>
          <cell r="AM29">
            <v>584.63999999687076</v>
          </cell>
          <cell r="AO29">
            <v>18881630.879999999</v>
          </cell>
          <cell r="AP29">
            <v>11497.919999998063</v>
          </cell>
          <cell r="AR29">
            <v>17282055.84</v>
          </cell>
          <cell r="AS29">
            <v>5992.5599999986589</v>
          </cell>
          <cell r="AU29">
            <v>14563869.6</v>
          </cell>
          <cell r="AV29">
            <v>4482.2400000002235</v>
          </cell>
          <cell r="AX29">
            <v>14079349.199999999</v>
          </cell>
          <cell r="AY29">
            <v>4725.839999999851</v>
          </cell>
          <cell r="BA29">
            <v>11028259.199999999</v>
          </cell>
          <cell r="BB29">
            <v>2971.9199999980628</v>
          </cell>
          <cell r="BD29">
            <v>17414233.199999999</v>
          </cell>
          <cell r="BE29">
            <v>5846.3999999985099</v>
          </cell>
          <cell r="BK29">
            <v>76983600</v>
          </cell>
          <cell r="BL29">
            <v>43700</v>
          </cell>
          <cell r="BN29">
            <v>79139500</v>
          </cell>
          <cell r="BO29">
            <v>0</v>
          </cell>
          <cell r="BQ29">
            <v>73427000</v>
          </cell>
          <cell r="BR29">
            <v>59100</v>
          </cell>
          <cell r="BT29">
            <v>9834120</v>
          </cell>
          <cell r="BU29">
            <v>8160</v>
          </cell>
          <cell r="BW29">
            <v>0.48</v>
          </cell>
          <cell r="BX29">
            <v>2.0000000000000018E-2</v>
          </cell>
          <cell r="BZ29">
            <v>63293</v>
          </cell>
          <cell r="CA29">
            <v>24</v>
          </cell>
          <cell r="CB29">
            <v>54463</v>
          </cell>
          <cell r="CC29">
            <v>21</v>
          </cell>
          <cell r="CD29">
            <v>18428</v>
          </cell>
          <cell r="CE29">
            <v>7</v>
          </cell>
          <cell r="CF29">
            <v>25074</v>
          </cell>
          <cell r="CG29">
            <v>11</v>
          </cell>
          <cell r="CH29">
            <v>27769</v>
          </cell>
          <cell r="CI29">
            <v>16</v>
          </cell>
          <cell r="CJ29">
            <v>60751</v>
          </cell>
          <cell r="CK29">
            <v>35</v>
          </cell>
          <cell r="CL29">
            <v>264375</v>
          </cell>
          <cell r="CM29">
            <v>75</v>
          </cell>
          <cell r="CO29">
            <v>210116</v>
          </cell>
          <cell r="CP29">
            <v>92</v>
          </cell>
          <cell r="CR29">
            <v>349824</v>
          </cell>
          <cell r="CS29">
            <v>0</v>
          </cell>
          <cell r="CU29">
            <v>686219</v>
          </cell>
          <cell r="CV29">
            <v>171</v>
          </cell>
          <cell r="CX29">
            <v>8465</v>
          </cell>
          <cell r="CY29">
            <v>9</v>
          </cell>
          <cell r="CZ29">
            <v>5743</v>
          </cell>
          <cell r="DA29">
            <v>7</v>
          </cell>
          <cell r="DB29">
            <v>31365</v>
          </cell>
          <cell r="DC29">
            <v>16</v>
          </cell>
          <cell r="DD29">
            <v>31647</v>
          </cell>
          <cell r="DE29">
            <v>16</v>
          </cell>
          <cell r="DF29">
            <v>21342</v>
          </cell>
          <cell r="DG29">
            <v>10</v>
          </cell>
          <cell r="DH29">
            <v>23718</v>
          </cell>
          <cell r="DI29">
            <v>6</v>
          </cell>
          <cell r="DJ29">
            <v>6607</v>
          </cell>
          <cell r="DK29">
            <v>9</v>
          </cell>
          <cell r="DL29">
            <v>9366</v>
          </cell>
          <cell r="DM29">
            <v>8</v>
          </cell>
          <cell r="DN29">
            <v>3094</v>
          </cell>
          <cell r="DO29">
            <v>3</v>
          </cell>
          <cell r="DP29">
            <v>5974</v>
          </cell>
          <cell r="DQ29">
            <v>8</v>
          </cell>
          <cell r="DR29">
            <v>29986</v>
          </cell>
          <cell r="DS29">
            <v>11</v>
          </cell>
          <cell r="DU29">
            <v>5764.8</v>
          </cell>
          <cell r="DV29">
            <v>11.199999999999818</v>
          </cell>
          <cell r="DW29">
            <v>10865.9</v>
          </cell>
          <cell r="DX29">
            <v>8.8999999999996362</v>
          </cell>
          <cell r="DY29">
            <v>4457.2</v>
          </cell>
          <cell r="DZ29">
            <v>6.8000000000001819</v>
          </cell>
          <cell r="EA29">
            <v>5047.2</v>
          </cell>
          <cell r="EB29">
            <v>7.1999999999998181</v>
          </cell>
          <cell r="EC29">
            <v>1095301</v>
          </cell>
          <cell r="ED29">
            <v>708</v>
          </cell>
          <cell r="EG29">
            <v>224295.8</v>
          </cell>
          <cell r="EH29">
            <v>146.79999999998836</v>
          </cell>
          <cell r="EJ29">
            <v>11879100</v>
          </cell>
          <cell r="EK29">
            <v>7800</v>
          </cell>
          <cell r="EL29">
            <v>919650</v>
          </cell>
          <cell r="EM29">
            <v>330</v>
          </cell>
          <cell r="EN29">
            <v>7105400</v>
          </cell>
          <cell r="EO29">
            <v>3000</v>
          </cell>
          <cell r="EP29">
            <v>2471900</v>
          </cell>
          <cell r="EQ29">
            <v>500</v>
          </cell>
          <cell r="ER29">
            <v>1239800</v>
          </cell>
          <cell r="ES29">
            <v>870</v>
          </cell>
          <cell r="ET29">
            <v>16328600</v>
          </cell>
          <cell r="EU29">
            <v>9200</v>
          </cell>
          <cell r="EW29">
            <v>41312</v>
          </cell>
          <cell r="EX29">
            <v>16</v>
          </cell>
          <cell r="EY29">
            <v>36196</v>
          </cell>
          <cell r="EZ29">
            <v>13</v>
          </cell>
          <cell r="FA29">
            <v>7032</v>
          </cell>
          <cell r="FB29">
            <v>9</v>
          </cell>
          <cell r="FC29">
            <v>58550</v>
          </cell>
          <cell r="FD29">
            <v>17</v>
          </cell>
          <cell r="FE29">
            <v>47812</v>
          </cell>
          <cell r="FF29">
            <v>36</v>
          </cell>
        </row>
        <row r="30">
          <cell r="B30">
            <v>0.8</v>
          </cell>
          <cell r="E30">
            <v>262523</v>
          </cell>
          <cell r="F30">
            <v>-3977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S30">
            <v>108507</v>
          </cell>
          <cell r="T30">
            <v>206</v>
          </cell>
          <cell r="U30">
            <v>201.94000000000233</v>
          </cell>
          <cell r="V30">
            <v>5736</v>
          </cell>
          <cell r="W30">
            <v>15</v>
          </cell>
          <cell r="AC30">
            <v>8029591.919999999</v>
          </cell>
          <cell r="AD30">
            <v>3020.6399999987334</v>
          </cell>
          <cell r="AF30">
            <v>15253306.319999998</v>
          </cell>
          <cell r="AG30">
            <v>4920.7199999988079</v>
          </cell>
          <cell r="AI30">
            <v>15582897.119999999</v>
          </cell>
          <cell r="AJ30">
            <v>10620.959999999031</v>
          </cell>
          <cell r="AL30">
            <v>18548727.119999997</v>
          </cell>
          <cell r="AM30">
            <v>779.51999999955297</v>
          </cell>
          <cell r="AO30">
            <v>18892398</v>
          </cell>
          <cell r="AP30">
            <v>10767.120000001043</v>
          </cell>
          <cell r="AR30">
            <v>17288243.280000001</v>
          </cell>
          <cell r="AS30">
            <v>6187.4400000013411</v>
          </cell>
          <cell r="AU30">
            <v>14568546.719999999</v>
          </cell>
          <cell r="AV30">
            <v>4677.1199999991804</v>
          </cell>
          <cell r="AX30">
            <v>14084123.76</v>
          </cell>
          <cell r="AY30">
            <v>4774.5600000005215</v>
          </cell>
          <cell r="BA30">
            <v>11031279.84</v>
          </cell>
          <cell r="BB30">
            <v>3020.640000000596</v>
          </cell>
          <cell r="BD30">
            <v>17420469.359999999</v>
          </cell>
          <cell r="BE30">
            <v>6236.160000000149</v>
          </cell>
          <cell r="BK30">
            <v>77028200</v>
          </cell>
          <cell r="BL30">
            <v>44600</v>
          </cell>
          <cell r="BN30">
            <v>79139500</v>
          </cell>
          <cell r="BO30">
            <v>0</v>
          </cell>
          <cell r="BQ30">
            <v>73482500</v>
          </cell>
          <cell r="BR30">
            <v>55500</v>
          </cell>
          <cell r="BT30">
            <v>9842600</v>
          </cell>
          <cell r="BU30">
            <v>8480</v>
          </cell>
          <cell r="BW30">
            <v>0.55000000000000004</v>
          </cell>
          <cell r="BX30">
            <v>-7.0000000000000062E-2</v>
          </cell>
          <cell r="BZ30">
            <v>63317</v>
          </cell>
          <cell r="CA30">
            <v>24</v>
          </cell>
          <cell r="CB30">
            <v>54484</v>
          </cell>
          <cell r="CC30">
            <v>21</v>
          </cell>
          <cell r="CD30">
            <v>18434</v>
          </cell>
          <cell r="CE30">
            <v>6</v>
          </cell>
          <cell r="CF30">
            <v>25086</v>
          </cell>
          <cell r="CG30">
            <v>12</v>
          </cell>
          <cell r="CH30">
            <v>27783</v>
          </cell>
          <cell r="CI30">
            <v>14</v>
          </cell>
          <cell r="CJ30">
            <v>60788</v>
          </cell>
          <cell r="CK30">
            <v>37</v>
          </cell>
          <cell r="CL30">
            <v>264449</v>
          </cell>
          <cell r="CM30">
            <v>74</v>
          </cell>
          <cell r="CO30">
            <v>210192</v>
          </cell>
          <cell r="CP30">
            <v>76</v>
          </cell>
          <cell r="CR30">
            <v>349823</v>
          </cell>
          <cell r="CS30">
            <v>-1</v>
          </cell>
          <cell r="CU30">
            <v>686386</v>
          </cell>
          <cell r="CV30">
            <v>167</v>
          </cell>
          <cell r="CX30">
            <v>8474</v>
          </cell>
          <cell r="CY30">
            <v>9</v>
          </cell>
          <cell r="CZ30">
            <v>5749</v>
          </cell>
          <cell r="DA30">
            <v>6</v>
          </cell>
          <cell r="DB30">
            <v>31383</v>
          </cell>
          <cell r="DC30">
            <v>18</v>
          </cell>
          <cell r="DD30">
            <v>31665</v>
          </cell>
          <cell r="DE30">
            <v>18</v>
          </cell>
          <cell r="DF30">
            <v>21354</v>
          </cell>
          <cell r="DG30">
            <v>12</v>
          </cell>
          <cell r="DH30">
            <v>23725</v>
          </cell>
          <cell r="DI30">
            <v>7</v>
          </cell>
          <cell r="DJ30">
            <v>6618</v>
          </cell>
          <cell r="DK30">
            <v>11</v>
          </cell>
          <cell r="DL30">
            <v>9375</v>
          </cell>
          <cell r="DM30">
            <v>9</v>
          </cell>
          <cell r="DN30">
            <v>3097</v>
          </cell>
          <cell r="DO30">
            <v>3</v>
          </cell>
          <cell r="DP30">
            <v>5983</v>
          </cell>
          <cell r="DQ30">
            <v>9</v>
          </cell>
          <cell r="DR30">
            <v>29997</v>
          </cell>
          <cell r="DS30">
            <v>11</v>
          </cell>
          <cell r="DU30">
            <v>5777.2</v>
          </cell>
          <cell r="DV30">
            <v>12.399999999999636</v>
          </cell>
          <cell r="DW30">
            <v>10874.8</v>
          </cell>
          <cell r="DX30">
            <v>8.8999999999996362</v>
          </cell>
          <cell r="DY30">
            <v>4464.1000000000004</v>
          </cell>
          <cell r="DZ30">
            <v>6.9000000000005457</v>
          </cell>
          <cell r="EA30">
            <v>5055.7</v>
          </cell>
          <cell r="EB30">
            <v>8.5</v>
          </cell>
          <cell r="EC30">
            <v>1096039</v>
          </cell>
          <cell r="ED30">
            <v>738</v>
          </cell>
          <cell r="EG30">
            <v>224452.8</v>
          </cell>
          <cell r="EH30">
            <v>157</v>
          </cell>
          <cell r="EJ30">
            <v>11886400</v>
          </cell>
          <cell r="EK30">
            <v>7300</v>
          </cell>
          <cell r="EL30">
            <v>919990</v>
          </cell>
          <cell r="EM30">
            <v>340</v>
          </cell>
          <cell r="EN30">
            <v>7108300</v>
          </cell>
          <cell r="EO30">
            <v>2900</v>
          </cell>
          <cell r="EP30">
            <v>2472500</v>
          </cell>
          <cell r="EQ30">
            <v>600</v>
          </cell>
          <cell r="ER30">
            <v>1240680</v>
          </cell>
          <cell r="ES30">
            <v>880</v>
          </cell>
          <cell r="ET30">
            <v>16337200</v>
          </cell>
          <cell r="EU30">
            <v>8600</v>
          </cell>
          <cell r="EW30">
            <v>41327</v>
          </cell>
          <cell r="EX30">
            <v>15</v>
          </cell>
          <cell r="EY30">
            <v>36205</v>
          </cell>
          <cell r="EZ30">
            <v>9</v>
          </cell>
          <cell r="FA30">
            <v>7046</v>
          </cell>
          <cell r="FB30">
            <v>14</v>
          </cell>
          <cell r="FC30">
            <v>58563</v>
          </cell>
          <cell r="FD30">
            <v>13</v>
          </cell>
          <cell r="FE30">
            <v>47854</v>
          </cell>
          <cell r="FF30">
            <v>42</v>
          </cell>
        </row>
        <row r="31">
          <cell r="B31">
            <v>0.78</v>
          </cell>
          <cell r="E31">
            <v>265275</v>
          </cell>
          <cell r="F31">
            <v>2752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1021</v>
          </cell>
          <cell r="L31">
            <v>-46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S31">
            <v>108712</v>
          </cell>
          <cell r="T31">
            <v>205</v>
          </cell>
          <cell r="U31">
            <v>199.19000000000233</v>
          </cell>
          <cell r="V31">
            <v>5752</v>
          </cell>
          <cell r="W31">
            <v>16</v>
          </cell>
          <cell r="AC31">
            <v>8031540.7199999988</v>
          </cell>
          <cell r="AD31">
            <v>1948.7999999998137</v>
          </cell>
          <cell r="AF31">
            <v>15258129.6</v>
          </cell>
          <cell r="AG31">
            <v>4823.2800000011921</v>
          </cell>
          <cell r="AI31">
            <v>15581532.959999999</v>
          </cell>
          <cell r="AJ31">
            <v>-1364.160000000149</v>
          </cell>
          <cell r="AL31">
            <v>18561784.080000002</v>
          </cell>
          <cell r="AM31">
            <v>13056.960000004619</v>
          </cell>
          <cell r="AO31">
            <v>18900144.48</v>
          </cell>
          <cell r="AP31">
            <v>7746.480000000447</v>
          </cell>
          <cell r="AR31">
            <v>17294235.84</v>
          </cell>
          <cell r="AS31">
            <v>5992.5599999986589</v>
          </cell>
          <cell r="AU31">
            <v>14573077.68</v>
          </cell>
          <cell r="AV31">
            <v>4530.9600000008941</v>
          </cell>
          <cell r="AX31">
            <v>14088947.039999999</v>
          </cell>
          <cell r="AY31">
            <v>-4823.2799999993294</v>
          </cell>
          <cell r="BA31">
            <v>11034203.040000001</v>
          </cell>
          <cell r="BB31">
            <v>2923.2000000011176</v>
          </cell>
          <cell r="BD31">
            <v>17426656.800000001</v>
          </cell>
          <cell r="BE31">
            <v>6187.4400000013411</v>
          </cell>
          <cell r="BK31">
            <v>77028200</v>
          </cell>
          <cell r="BL31">
            <v>0</v>
          </cell>
          <cell r="BN31">
            <v>79198200</v>
          </cell>
          <cell r="BO31">
            <v>58700</v>
          </cell>
          <cell r="BQ31">
            <v>7352000</v>
          </cell>
          <cell r="BR31">
            <v>-66130500</v>
          </cell>
          <cell r="BT31">
            <v>9851100</v>
          </cell>
          <cell r="BU31">
            <v>8500</v>
          </cell>
          <cell r="BW31">
            <v>0.5</v>
          </cell>
          <cell r="BX31">
            <v>5.0000000000000044E-2</v>
          </cell>
          <cell r="BZ31">
            <v>63335</v>
          </cell>
          <cell r="CA31">
            <v>18</v>
          </cell>
          <cell r="CB31">
            <v>54503</v>
          </cell>
          <cell r="CC31">
            <v>19</v>
          </cell>
          <cell r="CD31">
            <v>18439</v>
          </cell>
          <cell r="CE31">
            <v>5</v>
          </cell>
          <cell r="CF31">
            <v>25096</v>
          </cell>
          <cell r="CG31">
            <v>10</v>
          </cell>
          <cell r="CH31">
            <v>27796</v>
          </cell>
          <cell r="CI31">
            <v>13</v>
          </cell>
          <cell r="CJ31">
            <v>60826</v>
          </cell>
          <cell r="CK31">
            <v>38</v>
          </cell>
          <cell r="CL31">
            <v>264542</v>
          </cell>
          <cell r="CM31">
            <v>93</v>
          </cell>
          <cell r="CO31">
            <v>210287</v>
          </cell>
          <cell r="CP31">
            <v>95</v>
          </cell>
          <cell r="CR31">
            <v>349823</v>
          </cell>
          <cell r="CS31">
            <v>0</v>
          </cell>
          <cell r="CU31">
            <v>686557</v>
          </cell>
          <cell r="CV31">
            <v>171</v>
          </cell>
          <cell r="CX31">
            <v>8483</v>
          </cell>
          <cell r="CY31">
            <v>9</v>
          </cell>
          <cell r="CZ31">
            <v>5755</v>
          </cell>
          <cell r="DA31">
            <v>6</v>
          </cell>
          <cell r="DB31">
            <v>31398</v>
          </cell>
          <cell r="DC31">
            <v>15</v>
          </cell>
          <cell r="DD31">
            <v>31678</v>
          </cell>
          <cell r="DE31">
            <v>13</v>
          </cell>
          <cell r="DF31">
            <v>21365</v>
          </cell>
          <cell r="DG31">
            <v>11</v>
          </cell>
          <cell r="DH31">
            <v>23732</v>
          </cell>
          <cell r="DI31">
            <v>7</v>
          </cell>
          <cell r="DJ31">
            <v>6638</v>
          </cell>
          <cell r="DK31">
            <v>20</v>
          </cell>
          <cell r="DL31">
            <v>9383</v>
          </cell>
          <cell r="DM31">
            <v>8</v>
          </cell>
          <cell r="DN31">
            <v>3100</v>
          </cell>
          <cell r="DO31">
            <v>3</v>
          </cell>
          <cell r="DP31">
            <v>5991</v>
          </cell>
          <cell r="DQ31">
            <v>8</v>
          </cell>
          <cell r="DR31">
            <v>30005</v>
          </cell>
          <cell r="DS31">
            <v>8</v>
          </cell>
          <cell r="DU31">
            <v>5789.6</v>
          </cell>
          <cell r="DV31">
            <v>12.400000000000546</v>
          </cell>
          <cell r="DW31">
            <v>10883.6</v>
          </cell>
          <cell r="DX31">
            <v>8.8000000000010914</v>
          </cell>
          <cell r="DY31">
            <v>4471</v>
          </cell>
          <cell r="DZ31">
            <v>6.8999999999996362</v>
          </cell>
          <cell r="EA31">
            <v>5064.3</v>
          </cell>
          <cell r="EB31">
            <v>8.6000000000003638</v>
          </cell>
          <cell r="EC31">
            <v>1096804</v>
          </cell>
          <cell r="ED31">
            <v>765</v>
          </cell>
          <cell r="EG31">
            <v>224611.7</v>
          </cell>
          <cell r="EH31">
            <v>158.90000000002328</v>
          </cell>
          <cell r="EJ31">
            <v>11896100</v>
          </cell>
          <cell r="EK31">
            <v>9700</v>
          </cell>
          <cell r="EL31">
            <v>920410</v>
          </cell>
          <cell r="EM31">
            <v>420</v>
          </cell>
          <cell r="EN31">
            <v>7112200</v>
          </cell>
          <cell r="EO31">
            <v>3900</v>
          </cell>
          <cell r="EP31">
            <v>2473700</v>
          </cell>
          <cell r="EQ31">
            <v>1200</v>
          </cell>
          <cell r="ER31">
            <v>1241820</v>
          </cell>
          <cell r="ES31">
            <v>1140</v>
          </cell>
          <cell r="ET31">
            <v>16348100</v>
          </cell>
          <cell r="EU31">
            <v>10900</v>
          </cell>
          <cell r="EW31">
            <v>41341</v>
          </cell>
          <cell r="EX31">
            <v>14</v>
          </cell>
          <cell r="EY31">
            <v>36222</v>
          </cell>
          <cell r="EZ31">
            <v>17</v>
          </cell>
          <cell r="FA31">
            <v>7058</v>
          </cell>
          <cell r="FB31">
            <v>12</v>
          </cell>
          <cell r="FC31">
            <v>58580</v>
          </cell>
          <cell r="FD31">
            <v>17</v>
          </cell>
          <cell r="FE31">
            <v>47895</v>
          </cell>
          <cell r="FF31">
            <v>41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24" sqref="E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 ca="1"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 ca="1">Submetering!Z2+Submetering!AA2+Submetering!AB2</f>
        <v>292.95</v>
      </c>
      <c r="H2" s="238">
        <f>1.74/0.52</f>
        <v>3.3461538461538458</v>
      </c>
      <c r="I2" s="3">
        <f ca="1">Submetering!G2</f>
        <v>798</v>
      </c>
      <c r="J2">
        <v>13.83</v>
      </c>
      <c r="K2" s="3">
        <f ca="1"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 ca="1"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 ca="1">Submetering!Z3+Submetering!AA3+Submetering!AB3</f>
        <v>294.84000000000003</v>
      </c>
      <c r="H3" s="238">
        <f t="shared" ref="H3:H32" si="0">1.74/0.52</f>
        <v>3.3461538461538458</v>
      </c>
      <c r="I3" s="3">
        <f ca="1">Submetering!G3</f>
        <v>859</v>
      </c>
      <c r="J3">
        <v>13.83</v>
      </c>
      <c r="K3" s="3">
        <f ca="1"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 ca="1"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 ca="1">Submetering!Z4+Submetering!AA4+Submetering!AB4</f>
        <v>289.16999999999996</v>
      </c>
      <c r="H4" s="238">
        <f t="shared" si="0"/>
        <v>3.3461538461538458</v>
      </c>
      <c r="I4" s="3">
        <f ca="1">Submetering!G4</f>
        <v>897</v>
      </c>
      <c r="J4">
        <v>13.83</v>
      </c>
      <c r="K4" s="3">
        <f ca="1"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 ca="1"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 ca="1">Submetering!Z5+Submetering!AA5+Submetering!AB5</f>
        <v>291.06</v>
      </c>
      <c r="H5" s="238">
        <f t="shared" si="0"/>
        <v>3.3461538461538458</v>
      </c>
      <c r="I5" s="3">
        <f ca="1">Submetering!G5</f>
        <v>929</v>
      </c>
      <c r="J5">
        <v>13.83</v>
      </c>
      <c r="K5" s="3">
        <f ca="1"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 ca="1"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 ca="1">Submetering!Z6+Submetering!AA6+Submetering!AB6</f>
        <v>302.39999999999998</v>
      </c>
      <c r="H6" s="238">
        <f t="shared" si="0"/>
        <v>3.3461538461538458</v>
      </c>
      <c r="I6" s="3">
        <f ca="1">Submetering!G6</f>
        <v>746</v>
      </c>
      <c r="J6">
        <v>13.83</v>
      </c>
      <c r="K6" s="3">
        <f ca="1"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 ca="1"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 ca="1">Submetering!Z7+Submetering!AA7+Submetering!AB7</f>
        <v>247.58999999999997</v>
      </c>
      <c r="H7" s="238">
        <f t="shared" si="0"/>
        <v>3.3461538461538458</v>
      </c>
      <c r="I7" s="3">
        <f ca="1">Submetering!G7</f>
        <v>590</v>
      </c>
      <c r="J7">
        <v>13.83</v>
      </c>
      <c r="K7" s="3">
        <f ca="1"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 ca="1"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 ca="1">Submetering!Z8+Submetering!AA8+Submetering!AB8</f>
        <v>274.04999999999995</v>
      </c>
      <c r="H8" s="238">
        <f t="shared" si="0"/>
        <v>3.3461538461538458</v>
      </c>
      <c r="I8" s="3">
        <f ca="1">Submetering!G8</f>
        <v>539</v>
      </c>
      <c r="J8">
        <v>13.83</v>
      </c>
      <c r="K8" s="3">
        <f ca="1"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 ca="1"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 ca="1">Submetering!Z9+Submetering!AA9+Submetering!AB9</f>
        <v>285.39</v>
      </c>
      <c r="H9" s="238">
        <f t="shared" si="0"/>
        <v>3.3461538461538458</v>
      </c>
      <c r="I9" s="3">
        <f ca="1">Submetering!G9</f>
        <v>752</v>
      </c>
      <c r="J9">
        <v>13.83</v>
      </c>
      <c r="K9" s="3">
        <f ca="1"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 ca="1"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 ca="1">Submetering!Z10+Submetering!AA10+Submetering!AB10</f>
        <v>253.26</v>
      </c>
      <c r="H10" s="238">
        <f t="shared" si="0"/>
        <v>3.3461538461538458</v>
      </c>
      <c r="I10" s="3">
        <f ca="1">Submetering!G10</f>
        <v>880</v>
      </c>
      <c r="J10">
        <v>13.83</v>
      </c>
      <c r="K10" s="3">
        <f ca="1"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 ca="1"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 ca="1">Submetering!Z11+Submetering!AA11+Submetering!AB11</f>
        <v>257.03999999999996</v>
      </c>
      <c r="H11" s="238">
        <f t="shared" si="0"/>
        <v>3.3461538461538458</v>
      </c>
      <c r="I11" s="3">
        <f ca="1">Submetering!G11</f>
        <v>841</v>
      </c>
      <c r="J11">
        <v>13.83</v>
      </c>
      <c r="K11" s="3">
        <f ca="1"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 ca="1"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 ca="1">Submetering!Z12+Submetering!AA12+Submetering!AB12</f>
        <v>289.16999999999996</v>
      </c>
      <c r="H12" s="238">
        <f t="shared" si="0"/>
        <v>3.3461538461538458</v>
      </c>
      <c r="I12" s="3">
        <f ca="1">Submetering!G12</f>
        <v>910</v>
      </c>
      <c r="J12">
        <v>13.83</v>
      </c>
      <c r="K12" s="3">
        <f ca="1"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 ca="1"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 ca="1">Submetering!Z13+Submetering!AA13+Submetering!AB13</f>
        <v>338.30999999999995</v>
      </c>
      <c r="H13" s="238">
        <f t="shared" si="0"/>
        <v>3.3461538461538458</v>
      </c>
      <c r="I13" s="3">
        <f ca="1">Submetering!G13</f>
        <v>915</v>
      </c>
      <c r="J13">
        <v>13.83</v>
      </c>
      <c r="K13" s="3">
        <f ca="1"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 ca="1"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 ca="1">Submetering!Z14+Submetering!AA14+Submetering!AB14</f>
        <v>292.95</v>
      </c>
      <c r="H14" s="238">
        <f t="shared" si="0"/>
        <v>3.3461538461538458</v>
      </c>
      <c r="I14" s="3">
        <f ca="1">Submetering!G14</f>
        <v>943</v>
      </c>
      <c r="J14">
        <v>13.83</v>
      </c>
      <c r="K14" s="3">
        <f ca="1"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 ca="1"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 ca="1">Submetering!Z15+Submetering!AA15+Submetering!AB15</f>
        <v>326.97000000000003</v>
      </c>
      <c r="H15" s="238">
        <f t="shared" si="0"/>
        <v>3.3461538461538458</v>
      </c>
      <c r="I15" s="3">
        <f ca="1">Submetering!G15</f>
        <v>934</v>
      </c>
      <c r="J15">
        <v>13.83</v>
      </c>
      <c r="K15" s="3">
        <f ca="1"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 ca="1"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 ca="1">Submetering!Z16+Submetering!AA16+Submetering!AB16</f>
        <v>325.08</v>
      </c>
      <c r="H16" s="238">
        <f t="shared" si="0"/>
        <v>3.3461538461538458</v>
      </c>
      <c r="I16" s="3">
        <f ca="1">Submetering!G16</f>
        <v>1011</v>
      </c>
      <c r="J16">
        <v>13.83</v>
      </c>
      <c r="K16" s="3">
        <f ca="1"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 ca="1"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 ca="1">Submetering!Z17+Submetering!AA17+Submetering!AB17</f>
        <v>302.39999999999998</v>
      </c>
      <c r="H17" s="238">
        <f t="shared" si="0"/>
        <v>3.3461538461538458</v>
      </c>
      <c r="I17" s="3">
        <f ca="1">Submetering!G17</f>
        <v>886</v>
      </c>
      <c r="J17">
        <v>13.83</v>
      </c>
      <c r="K17" s="3">
        <f ca="1"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 ca="1"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 ca="1">Submetering!Z18+Submetering!AA18+Submetering!AB18</f>
        <v>298.62</v>
      </c>
      <c r="H18" s="238">
        <f t="shared" si="0"/>
        <v>3.3461538461538458</v>
      </c>
      <c r="I18" s="3">
        <f ca="1">Submetering!G18</f>
        <v>799</v>
      </c>
      <c r="J18">
        <v>13.83</v>
      </c>
      <c r="K18" s="3">
        <f ca="1"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 ca="1"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 ca="1">Submetering!Z19+Submetering!AA19+Submetering!AB19</f>
        <v>313.74</v>
      </c>
      <c r="H19" s="238">
        <f t="shared" si="0"/>
        <v>3.3461538461538458</v>
      </c>
      <c r="I19" s="3">
        <f ca="1">Submetering!G19</f>
        <v>893</v>
      </c>
      <c r="J19">
        <v>13.83</v>
      </c>
      <c r="K19" s="3">
        <f ca="1"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 ca="1"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 ca="1">Submetering!Z20+Submetering!AA20+Submetering!AB20</f>
        <v>294.83999999999997</v>
      </c>
      <c r="H20" s="238">
        <f t="shared" si="0"/>
        <v>3.3461538461538458</v>
      </c>
      <c r="I20" s="3">
        <f ca="1">Submetering!G20</f>
        <v>863</v>
      </c>
      <c r="J20">
        <v>13.83</v>
      </c>
      <c r="K20" s="3">
        <f ca="1"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 ca="1"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 ca="1">Submetering!Z21+Submetering!AA21+Submetering!AB21</f>
        <v>315.63</v>
      </c>
      <c r="H21" s="238">
        <f t="shared" si="0"/>
        <v>3.3461538461538458</v>
      </c>
      <c r="I21" s="3">
        <f ca="1">Submetering!G21</f>
        <v>878</v>
      </c>
      <c r="J21">
        <v>13.83</v>
      </c>
      <c r="K21" s="3">
        <f ca="1"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 ca="1">Submetering!M22+Submetering!N22+Submetering!O22+Submetering!P22+Submetering!Q22+Submetering!R22+Submetering!S22+Submetering!T22+Submetering!U22+Submetering!V22</f>
        <v>55004.879999998957</v>
      </c>
      <c r="F22">
        <v>0.44447999999999999</v>
      </c>
      <c r="G22" s="3">
        <f ca="1">Submetering!Z22+Submetering!AA22+Submetering!AB22</f>
        <v>281.61</v>
      </c>
      <c r="H22" s="238">
        <f t="shared" si="0"/>
        <v>3.3461538461538458</v>
      </c>
      <c r="I22" s="3">
        <f ca="1">Submetering!G22</f>
        <v>-3977</v>
      </c>
      <c r="J22">
        <v>13.83</v>
      </c>
      <c r="K22" s="3">
        <f ca="1">Submetering!BL22</f>
        <v>114</v>
      </c>
      <c r="L22">
        <v>1.2</v>
      </c>
      <c r="M22" s="238">
        <f ca="1">Submetering!E22</f>
        <v>189.60000000000002</v>
      </c>
      <c r="N22">
        <f ca="1"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 ca="1">Submetering!M23+Submetering!N23+Submetering!O23+Submetering!P23+Submetering!Q23+Submetering!R23+Submetering!S23+Submetering!T23+Submetering!U23+Submetering!V23</f>
        <v>50668.800000007264</v>
      </c>
      <c r="F23">
        <v>0.44447999999999999</v>
      </c>
      <c r="G23" s="3">
        <f ca="1">Submetering!Z23+Submetering!AA23+Submetering!AB23</f>
        <v>355.31999999999994</v>
      </c>
      <c r="H23" s="238">
        <f t="shared" si="0"/>
        <v>3.3461538461538458</v>
      </c>
      <c r="I23" s="3">
        <f ca="1">Submetering!G23</f>
        <v>2752</v>
      </c>
      <c r="J23">
        <v>13.83</v>
      </c>
      <c r="K23" s="3">
        <f ca="1">Submetering!BL23</f>
        <v>0</v>
      </c>
      <c r="L23">
        <v>1.2</v>
      </c>
      <c r="M23" s="238">
        <f ca="1">Submetering!E23</f>
        <v>184.86</v>
      </c>
      <c r="N23">
        <f ca="1"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28" sqref="G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 ca="1">'DJB Daily Readings'!C10-'DJB Daily Readings'!C9</f>
        <v>798</v>
      </c>
      <c r="H2" s="3">
        <f ca="1">'DJB Daily Readings'!F10-'DJB Daily Readings'!F9</f>
        <v>482</v>
      </c>
      <c r="I2" s="3">
        <f ca="1">'DJB Daily Readings'!K10-'DJB Daily Readings'!K9</f>
        <v>251</v>
      </c>
      <c r="J2" s="3">
        <f ca="1">'DJB Daily Readings'!K10-'DJB Daily Readings'!K9</f>
        <v>251</v>
      </c>
      <c r="K2" s="3">
        <f ca="1">'DJB Daily Readings'!O10-'DJB Daily Readings'!O9</f>
        <v>250.58999999999651</v>
      </c>
      <c r="L2" s="3">
        <f ca="1">'DJB Daily Readings'!R10-'DJB Daily Readings'!R9</f>
        <v>16</v>
      </c>
      <c r="M2" s="3">
        <f ca="1">'DJB Daily Readings'!U10-'DJB Daily Readings'!U9</f>
        <v>3605.2800000002608</v>
      </c>
      <c r="N2" s="3">
        <f ca="1">'DJB Daily Readings'!X10-'DJB Daily Readings'!X9</f>
        <v>4677.1200000010431</v>
      </c>
      <c r="O2" s="3">
        <f ca="1">'DJB Daily Readings'!AA10-'DJB Daily Readings'!AA9</f>
        <v>10182.480000000447</v>
      </c>
      <c r="P2" s="3">
        <f ca="1">'DJB Daily Readings'!AD10-'DJB Daily Readings'!AD9</f>
        <v>779.51999999955297</v>
      </c>
      <c r="Q2" s="3">
        <f ca="1">'DJB Daily Readings'!AG10-'DJB Daily Readings'!AG9</f>
        <v>12472.320000000298</v>
      </c>
      <c r="R2" s="3">
        <f ca="1">'DJB Daily Readings'!AJ10-'DJB Daily Readings'!AJ9</f>
        <v>5992.5600000023842</v>
      </c>
      <c r="S2" s="3">
        <f ca="1">'DJB Daily Readings'!AM10-'DJB Daily Readings'!AM9</f>
        <v>4384.8000000007451</v>
      </c>
      <c r="T2" s="3">
        <f ca="1">'DJB Daily Readings'!AP10-'DJB Daily Readings'!AP9</f>
        <v>4920.7200000006706</v>
      </c>
      <c r="U2" s="3">
        <f ca="1">'DJB Daily Readings'!AS10-'DJB Daily Readings'!AS9</f>
        <v>3215.5199999976903</v>
      </c>
      <c r="V2" s="3">
        <f ca="1">'DJB Daily Readings'!AV10-'DJB Daily Readings'!AV9</f>
        <v>6382.320000000298</v>
      </c>
      <c r="W2" s="3">
        <f ca="1">'DJB Daily Readings'!AZ10-'DJB Daily Readings'!AZ9</f>
        <v>50100</v>
      </c>
      <c r="X2" s="3">
        <f ca="1">'DJB Daily Readings'!BC10-'DJB Daily Readings'!BC9</f>
        <v>2200</v>
      </c>
      <c r="Y2" s="3">
        <f ca="1">'DJB Daily Readings'!BF10-'DJB Daily Readings'!BF9</f>
        <v>61100</v>
      </c>
      <c r="Z2" s="3">
        <f ca="1">('DJB Daily Readings'!CK10-'DJB Daily Readings'!CK9)*1.89</f>
        <v>137.97</v>
      </c>
      <c r="AA2" s="3">
        <f ca="1">('DJB Daily Readings'!CN10-'DJB Daily Readings'!CN9)*1.89</f>
        <v>154.97999999999999</v>
      </c>
      <c r="AB2" s="3">
        <f ca="1">('DJB Daily Readings'!CQ10-'DJB Daily Readings'!CQ9)*1.89</f>
        <v>0</v>
      </c>
      <c r="AC2" s="3">
        <f ca="1">'DJB Daily Readings'!CT10-'DJB Daily Readings'!CT9</f>
        <v>165</v>
      </c>
      <c r="AD2" s="84">
        <f ca="1">('DJB Daily Readings'!BY10-'DJB Daily Readings'!BY9)*1.89</f>
        <v>35.909999999999997</v>
      </c>
      <c r="AE2" s="84">
        <f ca="1">('DJB Daily Readings'!CA10-'DJB Daily Readings'!CA9)*1.89</f>
        <v>34.019999999999996</v>
      </c>
      <c r="AF2" s="84">
        <f ca="1">('DJB Daily Readings'!CC10-'DJB Daily Readings'!CC9)*1.89</f>
        <v>11.34</v>
      </c>
      <c r="AG2" s="84">
        <f ca="1">('DJB Daily Readings'!CE10-'DJB Daily Readings'!CE9)*1.89</f>
        <v>15.12</v>
      </c>
      <c r="AH2" s="84">
        <f ca="1">('DJB Daily Readings'!CG10-'DJB Daily Readings'!CG9)*1.89</f>
        <v>28.349999999999998</v>
      </c>
      <c r="AI2" s="84">
        <f ca="1">('DJB Daily Readings'!CI10-'DJB Daily Readings'!CI9)*1.89</f>
        <v>56.699999999999996</v>
      </c>
      <c r="AJ2" s="81">
        <f ca="1">'DJB Daily Readings'!CY10-'DJB Daily Readings'!CY9</f>
        <v>6</v>
      </c>
      <c r="AK2" s="81">
        <f ca="1">'DJB Daily Readings'!CW10-'DJB Daily Readings'!CW9</f>
        <v>6</v>
      </c>
      <c r="AL2" s="82">
        <f ca="1">'DJB Daily Readings'!DC10-'DJB Daily Readings'!DC9</f>
        <v>11</v>
      </c>
      <c r="AM2" s="82">
        <f ca="1">'DJB Daily Readings'!DA10-'DJB Daily Readings'!DA9</f>
        <v>12</v>
      </c>
      <c r="AN2" s="82">
        <f ca="1">'DJB Daily Readings'!DG10-'DJB Daily Readings'!DG9</f>
        <v>5</v>
      </c>
      <c r="AO2" s="82">
        <f ca="1">'DJB Daily Readings'!DE10-'DJB Daily Readings'!DE9</f>
        <v>8</v>
      </c>
      <c r="AP2" s="82">
        <f ca="1">'DJB Daily Readings'!DK10-'DJB Daily Readings'!DK9</f>
        <v>8</v>
      </c>
      <c r="AQ2" s="82">
        <f ca="1">'DJB Daily Readings'!DI10-'DJB Daily Readings'!DI9</f>
        <v>3</v>
      </c>
      <c r="AR2" s="82">
        <f ca="1">'DJB Daily Readings'!DO10-'DJB Daily Readings'!DO9</f>
        <v>7</v>
      </c>
      <c r="AS2" s="82">
        <f ca="1">'DJB Daily Readings'!DM10-'DJB Daily Readings'!DM9</f>
        <v>3</v>
      </c>
      <c r="AT2" s="82">
        <f ca="1">'DJB Daily Readings'!DQ10-'DJB Daily Readings'!DQ9</f>
        <v>6</v>
      </c>
      <c r="AU2" s="82">
        <f ca="1">'DJB Daily Readings'!DT10-'DJB Daily Readings'!DT9</f>
        <v>12.599999999999454</v>
      </c>
      <c r="AW2" s="82">
        <f ca="1">'DJB Daily Readings'!DX10-'DJB Daily Readings'!DX9</f>
        <v>7</v>
      </c>
      <c r="AX2" s="82">
        <f ca="1">'DJB Daily Readings'!DZ10-'DJB Daily Readings'!DZ9</f>
        <v>15.300000000000182</v>
      </c>
      <c r="AY2" s="82">
        <f ca="1">'DJB Daily Readings'!EB10-'DJB Daily Readings'!EB9</f>
        <v>787</v>
      </c>
      <c r="AZ2" s="82">
        <f ca="1">'DJB Daily Readings'!ED10-'DJB Daily Readings'!ED9</f>
        <v>157.60000000000582</v>
      </c>
      <c r="BA2" s="82">
        <f ca="1">'DJB Daily Readings'!EG10-'DJB Daily Readings'!EG9</f>
        <v>7600</v>
      </c>
      <c r="BB2" s="82">
        <f ca="1">'DJB Daily Readings'!EI10-'DJB Daily Readings'!EI9</f>
        <v>390</v>
      </c>
      <c r="BC2" s="82">
        <f ca="1">'DJB Daily Readings'!EQ10-'DJB Daily Readings'!EQ9</f>
        <v>8400</v>
      </c>
      <c r="BD2" s="82">
        <f ca="1">'DJB Daily Readings'!EK10-'DJB Daily Readings'!EK9</f>
        <v>3100</v>
      </c>
      <c r="BE2" s="82">
        <f ca="1">'DJB Daily Readings'!EM10-'DJB Daily Readings'!EM9</f>
        <v>900</v>
      </c>
      <c r="BF2" s="82">
        <f ca="1">'DJB Daily Readings'!EO10-'DJB Daily Readings'!EO9</f>
        <v>810</v>
      </c>
      <c r="BG2" s="82">
        <f ca="1">('DJB Daily Readings'!ET10-'DJB Daily Readings'!ET9)*1.89</f>
        <v>28.349999999999998</v>
      </c>
      <c r="BH2" s="82">
        <f ca="1">('DJB Daily Readings'!EV10-'DJB Daily Readings'!EV9)*1.89</f>
        <v>24.57</v>
      </c>
      <c r="BI2" s="82">
        <f ca="1">('DJB Daily Readings'!EZ10-'DJB Daily Readings'!EZ9)*1.89</f>
        <v>22.68</v>
      </c>
      <c r="BJ2" s="82">
        <f ca="1">('DJB Daily Readings'!EX10-'DJB Daily Readings'!EX9)*1.89</f>
        <v>28.349999999999998</v>
      </c>
      <c r="BK2" s="82">
        <f ca="1">('DJB Daily Readings'!FB10-'DJB Daily Readings'!FB9)*1.89</f>
        <v>81.27</v>
      </c>
      <c r="BL2" s="82">
        <f ca="1"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 ca="1">'DJB Daily Readings'!C11-'DJB Daily Readings'!C10</f>
        <v>859</v>
      </c>
      <c r="H3" s="3">
        <f ca="1">'DJB Daily Readings'!F11-'DJB Daily Readings'!F10</f>
        <v>430</v>
      </c>
      <c r="I3" s="3">
        <f ca="1">'DJB Daily Readings'!K11-'DJB Daily Readings'!K10</f>
        <v>314</v>
      </c>
      <c r="J3" s="3">
        <f ca="1">'DJB Daily Readings'!K11-'DJB Daily Readings'!K10</f>
        <v>314</v>
      </c>
      <c r="K3" s="3">
        <f ca="1">'DJB Daily Readings'!O11-'DJB Daily Readings'!O10</f>
        <v>224.41000000000349</v>
      </c>
      <c r="L3" s="3">
        <f ca="1">'DJB Daily Readings'!R11-'DJB Daily Readings'!R10</f>
        <v>12</v>
      </c>
      <c r="M3" s="3">
        <f ca="1">'DJB Daily Readings'!U11-'DJB Daily Readings'!U10</f>
        <v>2971.9199999999255</v>
      </c>
      <c r="N3" s="3">
        <f ca="1">'DJB Daily Readings'!X11-'DJB Daily Readings'!X10</f>
        <v>4628.4000000003725</v>
      </c>
      <c r="O3" s="3">
        <f ca="1">'DJB Daily Readings'!AA11-'DJB Daily Readings'!AA10</f>
        <v>10426.080000000075</v>
      </c>
      <c r="P3" s="3">
        <f ca="1">'DJB Daily Readings'!AD11-'DJB Daily Readings'!AD10</f>
        <v>828.24000000208616</v>
      </c>
      <c r="Q3" s="3">
        <f ca="1">'DJB Daily Readings'!AG11-'DJB Daily Readings'!AG10</f>
        <v>12472.320000000298</v>
      </c>
      <c r="R3" s="3">
        <f ca="1">'DJB Daily Readings'!AJ11-'DJB Daily Readings'!AJ10</f>
        <v>5992.5600000023842</v>
      </c>
      <c r="S3" s="3">
        <f ca="1">'DJB Daily Readings'!AM11-'DJB Daily Readings'!AM10</f>
        <v>4433.519999999553</v>
      </c>
      <c r="T3" s="3">
        <f ca="1">'DJB Daily Readings'!AP11-'DJB Daily Readings'!AP10</f>
        <v>4823.2799999993294</v>
      </c>
      <c r="U3" s="3">
        <f ca="1">'DJB Daily Readings'!AS11-'DJB Daily Readings'!AS10</f>
        <v>3264.2400000002235</v>
      </c>
      <c r="V3" s="3">
        <f ca="1">'DJB Daily Readings'!AV11-'DJB Daily Readings'!AV10</f>
        <v>6138.7199999988079</v>
      </c>
      <c r="W3" s="3">
        <f ca="1">'DJB Daily Readings'!AZ11-'DJB Daily Readings'!AZ10</f>
        <v>51200</v>
      </c>
      <c r="X3" s="3">
        <f ca="1">'DJB Daily Readings'!BC11-'DJB Daily Readings'!BC10</f>
        <v>0</v>
      </c>
      <c r="Y3" s="3">
        <f ca="1">'DJB Daily Readings'!BF11-'DJB Daily Readings'!BF10</f>
        <v>60900</v>
      </c>
      <c r="Z3" s="3">
        <f ca="1">('DJB Daily Readings'!CK11-'DJB Daily Readings'!CK10)*1.89</f>
        <v>137.97</v>
      </c>
      <c r="AA3" s="3">
        <f ca="1">('DJB Daily Readings'!CN11-'DJB Daily Readings'!CN10)*1.89</f>
        <v>156.87</v>
      </c>
      <c r="AB3" s="3">
        <f ca="1">('DJB Daily Readings'!CQ11-'DJB Daily Readings'!CQ10)*1.89</f>
        <v>0</v>
      </c>
      <c r="AC3" s="3">
        <f ca="1">'DJB Daily Readings'!CT11-'DJB Daily Readings'!CT10</f>
        <v>165</v>
      </c>
      <c r="AD3" s="84">
        <f ca="1">('DJB Daily Readings'!BY11-'DJB Daily Readings'!BY10)*1.89</f>
        <v>47.25</v>
      </c>
      <c r="AE3" s="84">
        <f ca="1">('DJB Daily Readings'!CA11-'DJB Daily Readings'!CA10)*1.89</f>
        <v>37.799999999999997</v>
      </c>
      <c r="AF3" s="84">
        <f ca="1">('DJB Daily Readings'!CC11-'DJB Daily Readings'!CC10)*1.89</f>
        <v>9.4499999999999993</v>
      </c>
      <c r="AG3" s="84">
        <f ca="1">('DJB Daily Readings'!CE11-'DJB Daily Readings'!CE10)*1.89</f>
        <v>20.79</v>
      </c>
      <c r="AH3" s="84">
        <f ca="1">('DJB Daily Readings'!CG11-'DJB Daily Readings'!CG10)*1.89</f>
        <v>26.459999999999997</v>
      </c>
      <c r="AI3" s="84">
        <f ca="1">('DJB Daily Readings'!CI11-'DJB Daily Readings'!CI10)*1.89</f>
        <v>54.809999999999995</v>
      </c>
      <c r="AJ3" s="81">
        <f ca="1">'DJB Daily Readings'!CY11-'DJB Daily Readings'!CY10</f>
        <v>3</v>
      </c>
      <c r="AK3" s="81">
        <f ca="1">'DJB Daily Readings'!CW11-'DJB Daily Readings'!CW10</f>
        <v>4</v>
      </c>
      <c r="AL3" s="82">
        <f ca="1">'DJB Daily Readings'!DC11-'DJB Daily Readings'!DC10</f>
        <v>24</v>
      </c>
      <c r="AM3" s="82">
        <f ca="1">'DJB Daily Readings'!DA11-'DJB Daily Readings'!DA10</f>
        <v>18</v>
      </c>
      <c r="AN3" s="82">
        <f ca="1">'DJB Daily Readings'!DG11-'DJB Daily Readings'!DG10</f>
        <v>7</v>
      </c>
      <c r="AO3" s="82">
        <f ca="1">'DJB Daily Readings'!DE11-'DJB Daily Readings'!DE10</f>
        <v>8</v>
      </c>
      <c r="AP3" s="82">
        <f ca="1">'DJB Daily Readings'!DK11-'DJB Daily Readings'!DK10</f>
        <v>14</v>
      </c>
      <c r="AQ3" s="82">
        <f ca="1">'DJB Daily Readings'!DI11-'DJB Daily Readings'!DI10</f>
        <v>23</v>
      </c>
      <c r="AR3" s="82">
        <f ca="1">'DJB Daily Readings'!DO11-'DJB Daily Readings'!DO10</f>
        <v>13</v>
      </c>
      <c r="AS3" s="82">
        <f ca="1">'DJB Daily Readings'!DM11-'DJB Daily Readings'!DM10</f>
        <v>5</v>
      </c>
      <c r="AT3" s="82">
        <f ca="1">'DJB Daily Readings'!DQ11-'DJB Daily Readings'!DQ10</f>
        <v>0</v>
      </c>
      <c r="AU3" s="82">
        <f ca="1">'DJB Daily Readings'!DT11-'DJB Daily Readings'!DT10</f>
        <v>11.400000000000546</v>
      </c>
      <c r="AW3" s="82">
        <f ca="1">'DJB Daily Readings'!DX11-'DJB Daily Readings'!DX10</f>
        <v>6.6000000000003638</v>
      </c>
      <c r="AX3" s="82">
        <f ca="1">'DJB Daily Readings'!DZ11-'DJB Daily Readings'!DZ10</f>
        <v>2.6999999999998181</v>
      </c>
      <c r="AY3" s="82">
        <f ca="1">'DJB Daily Readings'!EB11-'DJB Daily Readings'!EB10</f>
        <v>717</v>
      </c>
      <c r="AZ3" s="82">
        <f ca="1">'DJB Daily Readings'!ED11-'DJB Daily Readings'!ED10</f>
        <v>146.89999999999418</v>
      </c>
      <c r="BA3" s="82">
        <f ca="1">'DJB Daily Readings'!EG11-'DJB Daily Readings'!EG10</f>
        <v>8900</v>
      </c>
      <c r="BB3" s="82">
        <f ca="1">'DJB Daily Readings'!EI11-'DJB Daily Readings'!EI10</f>
        <v>310</v>
      </c>
      <c r="BC3" s="82">
        <f ca="1">'DJB Daily Readings'!EQ11-'DJB Daily Readings'!EQ10</f>
        <v>10300</v>
      </c>
      <c r="BD3" s="82">
        <f ca="1">'DJB Daily Readings'!EK11-'DJB Daily Readings'!EK10</f>
        <v>3000</v>
      </c>
      <c r="BE3" s="82">
        <f ca="1">'DJB Daily Readings'!EM11-'DJB Daily Readings'!EM10</f>
        <v>1000</v>
      </c>
      <c r="BF3" s="82">
        <f ca="1">'DJB Daily Readings'!EO11-'DJB Daily Readings'!EO10</f>
        <v>900</v>
      </c>
      <c r="BG3" s="82">
        <f ca="1">('DJB Daily Readings'!ET11-'DJB Daily Readings'!ET10)*1.89</f>
        <v>24.57</v>
      </c>
      <c r="BH3" s="82">
        <f ca="1">('DJB Daily Readings'!EV11-'DJB Daily Readings'!EV10)*1.89</f>
        <v>18.899999999999999</v>
      </c>
      <c r="BI3" s="82">
        <f ca="1">('DJB Daily Readings'!EZ11-'DJB Daily Readings'!EZ10)*1.89</f>
        <v>18.899999999999999</v>
      </c>
      <c r="BJ3" s="82">
        <f ca="1">('DJB Daily Readings'!EX11-'DJB Daily Readings'!EX10)*1.89</f>
        <v>20.79</v>
      </c>
      <c r="BK3" s="82">
        <f ca="1">('DJB Daily Readings'!FB11-'DJB Daily Readings'!FB10)*1.89</f>
        <v>64.259999999999991</v>
      </c>
      <c r="BL3" s="82">
        <f ca="1"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 ca="1">'DJB Daily Readings'!C12-'DJB Daily Readings'!C11</f>
        <v>897</v>
      </c>
      <c r="H4" s="3">
        <f ca="1">'DJB Daily Readings'!F12-'DJB Daily Readings'!F11</f>
        <v>371</v>
      </c>
      <c r="I4" s="3">
        <f ca="1">'DJB Daily Readings'!K12-'DJB Daily Readings'!K11</f>
        <v>316</v>
      </c>
      <c r="J4" s="3">
        <f ca="1">'DJB Daily Readings'!K12-'DJB Daily Readings'!K11</f>
        <v>316</v>
      </c>
      <c r="K4" s="3">
        <f ca="1">'DJB Daily Readings'!O12-'DJB Daily Readings'!O11</f>
        <v>225</v>
      </c>
      <c r="L4" s="3">
        <f ca="1">'DJB Daily Readings'!R12-'DJB Daily Readings'!R11</f>
        <v>8</v>
      </c>
      <c r="M4" s="3">
        <f ca="1">'DJB Daily Readings'!U12-'DJB Daily Readings'!U11</f>
        <v>2923.2000000001863</v>
      </c>
      <c r="N4" s="3">
        <f ca="1">'DJB Daily Readings'!X12-'DJB Daily Readings'!X11</f>
        <v>4677.1199999991804</v>
      </c>
      <c r="O4" s="3">
        <f ca="1">'DJB Daily Readings'!AA12-'DJB Daily Readings'!AA11</f>
        <v>9159.359999999404</v>
      </c>
      <c r="P4" s="3">
        <f ca="1">'DJB Daily Readings'!AD12-'DJB Daily Readings'!AD11</f>
        <v>633.35999999567866</v>
      </c>
      <c r="Q4" s="3">
        <f ca="1">'DJB Daily Readings'!AG12-'DJB Daily Readings'!AG11</f>
        <v>11400.480000000447</v>
      </c>
      <c r="R4" s="3">
        <f ca="1">'DJB Daily Readings'!AJ12-'DJB Daily Readings'!AJ11</f>
        <v>5846.3999999985099</v>
      </c>
      <c r="S4" s="3">
        <f ca="1">'DJB Daily Readings'!AM12-'DJB Daily Readings'!AM11</f>
        <v>4238.640000000596</v>
      </c>
      <c r="T4" s="3">
        <f ca="1">'DJB Daily Readings'!AP12-'DJB Daily Readings'!AP11</f>
        <v>4384.8000000007451</v>
      </c>
      <c r="U4" s="3">
        <f ca="1">'DJB Daily Readings'!AS12-'DJB Daily Readings'!AS11</f>
        <v>2971.9199999999255</v>
      </c>
      <c r="V4" s="3">
        <f ca="1">'DJB Daily Readings'!AV12-'DJB Daily Readings'!AV11</f>
        <v>5797.679999999702</v>
      </c>
      <c r="W4" s="3">
        <f ca="1">'DJB Daily Readings'!AZ12-'DJB Daily Readings'!AZ11</f>
        <v>46900</v>
      </c>
      <c r="X4" s="3">
        <f ca="1">'DJB Daily Readings'!BC12-'DJB Daily Readings'!BC11</f>
        <v>0</v>
      </c>
      <c r="Y4" s="3">
        <f ca="1">'DJB Daily Readings'!BF12-'DJB Daily Readings'!BF11</f>
        <v>57900</v>
      </c>
      <c r="Z4" s="3">
        <f ca="1">('DJB Daily Readings'!CK12-'DJB Daily Readings'!CK11)*1.89</f>
        <v>137.97</v>
      </c>
      <c r="AA4" s="3">
        <f ca="1">('DJB Daily Readings'!CN12-'DJB Daily Readings'!CN11)*1.89</f>
        <v>151.19999999999999</v>
      </c>
      <c r="AB4" s="3">
        <f ca="1">('DJB Daily Readings'!CQ12-'DJB Daily Readings'!CQ11)*1.89</f>
        <v>0</v>
      </c>
      <c r="AC4" s="3">
        <f ca="1">'DJB Daily Readings'!CT12-'DJB Daily Readings'!CT11</f>
        <v>162</v>
      </c>
      <c r="AD4" s="84">
        <f ca="1">('DJB Daily Readings'!BY12-'DJB Daily Readings'!BY11)*1.89</f>
        <v>39.69</v>
      </c>
      <c r="AE4" s="84">
        <f ca="1">('DJB Daily Readings'!CA12-'DJB Daily Readings'!CA11)*1.89</f>
        <v>34.019999999999996</v>
      </c>
      <c r="AF4" s="84">
        <f ca="1">('DJB Daily Readings'!CC12-'DJB Daily Readings'!CC11)*1.89</f>
        <v>9.4499999999999993</v>
      </c>
      <c r="AG4" s="84">
        <f ca="1">('DJB Daily Readings'!CE12-'DJB Daily Readings'!CE11)*1.89</f>
        <v>18.899999999999999</v>
      </c>
      <c r="AH4" s="84">
        <f ca="1">('DJB Daily Readings'!CG12-'DJB Daily Readings'!CG11)*1.89</f>
        <v>26.459999999999997</v>
      </c>
      <c r="AI4" s="84">
        <f ca="1">('DJB Daily Readings'!CI12-'DJB Daily Readings'!CI11)*1.89</f>
        <v>54.809999999999995</v>
      </c>
      <c r="AJ4" s="81">
        <f ca="1">'DJB Daily Readings'!CY12-'DJB Daily Readings'!CY11</f>
        <v>3</v>
      </c>
      <c r="AK4" s="81">
        <f ca="1">'DJB Daily Readings'!CW12-'DJB Daily Readings'!CW11</f>
        <v>4</v>
      </c>
      <c r="AL4" s="82">
        <f ca="1">'DJB Daily Readings'!DC12-'DJB Daily Readings'!DC11</f>
        <v>15</v>
      </c>
      <c r="AM4" s="82">
        <f ca="1">'DJB Daily Readings'!DA12-'DJB Daily Readings'!DA11</f>
        <v>12</v>
      </c>
      <c r="AN4" s="82">
        <f ca="1">'DJB Daily Readings'!DG12-'DJB Daily Readings'!DG11</f>
        <v>5</v>
      </c>
      <c r="AO4" s="82">
        <f ca="1">'DJB Daily Readings'!DE12-'DJB Daily Readings'!DE11</f>
        <v>8</v>
      </c>
      <c r="AP4" s="82">
        <f ca="1">'DJB Daily Readings'!DK12-'DJB Daily Readings'!DK11</f>
        <v>7</v>
      </c>
      <c r="AQ4" s="82">
        <f ca="1">'DJB Daily Readings'!DI12-'DJB Daily Readings'!DI11</f>
        <v>7</v>
      </c>
      <c r="AR4" s="82">
        <f ca="1">'DJB Daily Readings'!DO12-'DJB Daily Readings'!DO11</f>
        <v>7</v>
      </c>
      <c r="AS4" s="82">
        <f ca="1">'DJB Daily Readings'!DM12-'DJB Daily Readings'!DM11</f>
        <v>3</v>
      </c>
      <c r="AT4" s="82">
        <f ca="1">'DJB Daily Readings'!DQ12-'DJB Daily Readings'!DQ11</f>
        <v>0</v>
      </c>
      <c r="AU4" s="82">
        <f ca="1">'DJB Daily Readings'!DT12-'DJB Daily Readings'!DT11</f>
        <v>11.799999999999272</v>
      </c>
      <c r="AW4" s="82">
        <f ca="1">'DJB Daily Readings'!DX12-'DJB Daily Readings'!DX11</f>
        <v>6.6999999999998181</v>
      </c>
      <c r="AX4" s="82">
        <f ca="1">'DJB Daily Readings'!DZ12-'DJB Daily Readings'!DZ11</f>
        <v>7.3000000000001819</v>
      </c>
      <c r="AY4" s="82">
        <f ca="1">'DJB Daily Readings'!EB12-'DJB Daily Readings'!EB11</f>
        <v>657</v>
      </c>
      <c r="AZ4" s="82">
        <f ca="1">'DJB Daily Readings'!ED12-'DJB Daily Readings'!ED11</f>
        <v>151.69999999998254</v>
      </c>
      <c r="BA4" s="82">
        <f ca="1">'DJB Daily Readings'!EG12-'DJB Daily Readings'!EG11</f>
        <v>8300</v>
      </c>
      <c r="BB4" s="82">
        <f ca="1">'DJB Daily Readings'!EI12-'DJB Daily Readings'!EI11</f>
        <v>350</v>
      </c>
      <c r="BC4" s="82">
        <f ca="1">'DJB Daily Readings'!EQ12-'DJB Daily Readings'!EQ11</f>
        <v>9300</v>
      </c>
      <c r="BD4" s="82">
        <f ca="1">'DJB Daily Readings'!EK12-'DJB Daily Readings'!EK11</f>
        <v>3100</v>
      </c>
      <c r="BE4" s="82">
        <f ca="1">'DJB Daily Readings'!EM12-'DJB Daily Readings'!EM11</f>
        <v>900</v>
      </c>
      <c r="BF4" s="82">
        <f ca="1">'DJB Daily Readings'!EO12-'DJB Daily Readings'!EO11</f>
        <v>860</v>
      </c>
      <c r="BG4" s="82">
        <f ca="1">('DJB Daily Readings'!ET12-'DJB Daily Readings'!ET11)*1.89</f>
        <v>26.459999999999997</v>
      </c>
      <c r="BH4" s="82">
        <f ca="1">('DJB Daily Readings'!EV12-'DJB Daily Readings'!EV11)*1.89</f>
        <v>22.68</v>
      </c>
      <c r="BI4" s="82">
        <f ca="1">('DJB Daily Readings'!EZ12-'DJB Daily Readings'!EZ11)*1.89</f>
        <v>20.79</v>
      </c>
      <c r="BJ4" s="82">
        <f ca="1">('DJB Daily Readings'!EX12-'DJB Daily Readings'!EX11)*1.89</f>
        <v>15.12</v>
      </c>
      <c r="BK4" s="82">
        <f ca="1">('DJB Daily Readings'!FB12-'DJB Daily Readings'!FB11)*1.89</f>
        <v>58.589999999999996</v>
      </c>
      <c r="BL4" s="82">
        <f ca="1"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 ca="1">'DJB Daily Readings'!C13-'DJB Daily Readings'!C12</f>
        <v>929</v>
      </c>
      <c r="H5" s="3">
        <f ca="1">'DJB Daily Readings'!F13-'DJB Daily Readings'!F12</f>
        <v>429</v>
      </c>
      <c r="I5" s="3">
        <f ca="1">'DJB Daily Readings'!K13-'DJB Daily Readings'!K12</f>
        <v>305</v>
      </c>
      <c r="J5" s="3">
        <f ca="1">'DJB Daily Readings'!K13-'DJB Daily Readings'!K12</f>
        <v>305</v>
      </c>
      <c r="K5" s="3">
        <f ca="1">'DJB Daily Readings'!O13-'DJB Daily Readings'!O12</f>
        <v>218</v>
      </c>
      <c r="L5" s="3">
        <f ca="1">'DJB Daily Readings'!R13-'DJB Daily Readings'!R12</f>
        <v>10</v>
      </c>
      <c r="M5" s="3">
        <f ca="1">'DJB Daily Readings'!U13-'DJB Daily Readings'!U12</f>
        <v>3020.6399999996647</v>
      </c>
      <c r="N5" s="3">
        <f ca="1">'DJB Daily Readings'!X13-'DJB Daily Readings'!X12</f>
        <v>4823.2800000011921</v>
      </c>
      <c r="O5" s="3">
        <f ca="1">'DJB Daily Readings'!AA13-'DJB Daily Readings'!AA12</f>
        <v>8087.519999999553</v>
      </c>
      <c r="P5" s="3">
        <f ca="1">'DJB Daily Readings'!AD13-'DJB Daily Readings'!AD12</f>
        <v>682.08000000193715</v>
      </c>
      <c r="Q5" s="3">
        <f ca="1">'DJB Daily Readings'!AG13-'DJB Daily Readings'!AG12</f>
        <v>12277.439999997616</v>
      </c>
      <c r="R5" s="3">
        <f ca="1">'DJB Daily Readings'!AJ13-'DJB Daily Readings'!AJ12</f>
        <v>5895.1200000010431</v>
      </c>
      <c r="S5" s="3">
        <f ca="1">'DJB Daily Readings'!AM13-'DJB Daily Readings'!AM12</f>
        <v>4482.2400000002235</v>
      </c>
      <c r="T5" s="3">
        <f ca="1">'DJB Daily Readings'!AP13-'DJB Daily Readings'!AP12</f>
        <v>4725.839999999851</v>
      </c>
      <c r="U5" s="3">
        <f ca="1">'DJB Daily Readings'!AS13-'DJB Daily Readings'!AS12</f>
        <v>3166.8000000007451</v>
      </c>
      <c r="V5" s="3">
        <f ca="1">'DJB Daily Readings'!AV13-'DJB Daily Readings'!AV12</f>
        <v>5895.1200000010431</v>
      </c>
      <c r="W5" s="3">
        <f ca="1">'DJB Daily Readings'!AZ13-'DJB Daily Readings'!AZ12</f>
        <v>40200</v>
      </c>
      <c r="X5" s="3">
        <f ca="1">'DJB Daily Readings'!BC13-'DJB Daily Readings'!BC12</f>
        <v>0</v>
      </c>
      <c r="Y5" s="3">
        <f ca="1">'DJB Daily Readings'!BF13-'DJB Daily Readings'!BF12</f>
        <v>61000</v>
      </c>
      <c r="Z5" s="3">
        <f ca="1">('DJB Daily Readings'!CK13-'DJB Daily Readings'!CK12)*1.89</f>
        <v>137.97</v>
      </c>
      <c r="AA5" s="3">
        <f ca="1">('DJB Daily Readings'!CN13-'DJB Daily Readings'!CN12)*1.89</f>
        <v>153.09</v>
      </c>
      <c r="AB5" s="3">
        <f ca="1">('DJB Daily Readings'!CQ13-'DJB Daily Readings'!CQ12)*1.89</f>
        <v>0</v>
      </c>
      <c r="AC5" s="3">
        <f ca="1">'DJB Daily Readings'!CT13-'DJB Daily Readings'!CT12</f>
        <v>162</v>
      </c>
      <c r="AD5" s="84">
        <f ca="1">('DJB Daily Readings'!BY13-'DJB Daily Readings'!BY12)*1.89</f>
        <v>39.69</v>
      </c>
      <c r="AE5" s="84">
        <f ca="1">('DJB Daily Readings'!CA13-'DJB Daily Readings'!CA12)*1.89</f>
        <v>35.909999999999997</v>
      </c>
      <c r="AF5" s="84">
        <f ca="1">('DJB Daily Readings'!CC13-'DJB Daily Readings'!CC12)*1.89</f>
        <v>11.34</v>
      </c>
      <c r="AG5" s="84">
        <f ca="1">('DJB Daily Readings'!CE13-'DJB Daily Readings'!CE12)*1.89</f>
        <v>18.899999999999999</v>
      </c>
      <c r="AH5" s="84">
        <f ca="1">('DJB Daily Readings'!CG13-'DJB Daily Readings'!CG12)*1.89</f>
        <v>28.349999999999998</v>
      </c>
      <c r="AI5" s="84">
        <f ca="1">('DJB Daily Readings'!CI13-'DJB Daily Readings'!CI12)*1.89</f>
        <v>58.589999999999996</v>
      </c>
      <c r="AJ5" s="81">
        <f ca="1">'DJB Daily Readings'!CY13-'DJB Daily Readings'!CY12</f>
        <v>3</v>
      </c>
      <c r="AK5" s="81">
        <f ca="1">'DJB Daily Readings'!CW13-'DJB Daily Readings'!CW12</f>
        <v>4</v>
      </c>
      <c r="AL5" s="82">
        <f ca="1">'DJB Daily Readings'!DC13-'DJB Daily Readings'!DC12</f>
        <v>15</v>
      </c>
      <c r="AM5" s="82">
        <f ca="1">'DJB Daily Readings'!DA13-'DJB Daily Readings'!DA12</f>
        <v>12</v>
      </c>
      <c r="AN5" s="82">
        <f ca="1">'DJB Daily Readings'!DG13-'DJB Daily Readings'!DG12</f>
        <v>7</v>
      </c>
      <c r="AO5" s="82">
        <f ca="1">'DJB Daily Readings'!DE13-'DJB Daily Readings'!DE12</f>
        <v>8</v>
      </c>
      <c r="AP5" s="82">
        <f ca="1">'DJB Daily Readings'!DK13-'DJB Daily Readings'!DK12</f>
        <v>5</v>
      </c>
      <c r="AQ5" s="82">
        <f ca="1">'DJB Daily Readings'!DI13-'DJB Daily Readings'!DI12</f>
        <v>11</v>
      </c>
      <c r="AR5" s="82">
        <f ca="1">'DJB Daily Readings'!DO13-'DJB Daily Readings'!DO12</f>
        <v>8</v>
      </c>
      <c r="AS5" s="82">
        <f ca="1">'DJB Daily Readings'!DM13-'DJB Daily Readings'!DM12</f>
        <v>3</v>
      </c>
      <c r="AT5" s="82">
        <f ca="1">'DJB Daily Readings'!DQ13-'DJB Daily Readings'!DQ12</f>
        <v>0</v>
      </c>
      <c r="AU5" s="82">
        <f ca="1">'DJB Daily Readings'!DT13-'DJB Daily Readings'!DT12</f>
        <v>11.200000000000728</v>
      </c>
      <c r="AW5" s="82">
        <f ca="1">'DJB Daily Readings'!DX13-'DJB Daily Readings'!DX12</f>
        <v>6.6999999999998181</v>
      </c>
      <c r="AX5" s="82">
        <f ca="1">'DJB Daily Readings'!DZ13-'DJB Daily Readings'!DZ12</f>
        <v>7.1000000000003638</v>
      </c>
      <c r="AY5" s="82">
        <f ca="1">'DJB Daily Readings'!EB13-'DJB Daily Readings'!EB12</f>
        <v>695</v>
      </c>
      <c r="AZ5" s="82">
        <f ca="1">'DJB Daily Readings'!ED13-'DJB Daily Readings'!ED12</f>
        <v>114</v>
      </c>
      <c r="BA5" s="82">
        <f ca="1">'DJB Daily Readings'!EG13-'DJB Daily Readings'!EG12</f>
        <v>7100</v>
      </c>
      <c r="BB5" s="82">
        <f ca="1">'DJB Daily Readings'!EI13-'DJB Daily Readings'!EI12</f>
        <v>300</v>
      </c>
      <c r="BC5" s="82">
        <f ca="1">'DJB Daily Readings'!EQ13-'DJB Daily Readings'!EQ12</f>
        <v>7800</v>
      </c>
      <c r="BD5" s="82">
        <f ca="1">'DJB Daily Readings'!EK13-'DJB Daily Readings'!EK12</f>
        <v>2700</v>
      </c>
      <c r="BE5" s="82">
        <f ca="1">'DJB Daily Readings'!EM13-'DJB Daily Readings'!EM12</f>
        <v>900</v>
      </c>
      <c r="BF5" s="82">
        <f ca="1">'DJB Daily Readings'!EO13-'DJB Daily Readings'!EO12</f>
        <v>780</v>
      </c>
      <c r="BG5" s="82">
        <f ca="1">('DJB Daily Readings'!ET13-'DJB Daily Readings'!ET12)*1.89</f>
        <v>28.349999999999998</v>
      </c>
      <c r="BH5" s="82">
        <f ca="1">('DJB Daily Readings'!EV13-'DJB Daily Readings'!EV12)*1.89</f>
        <v>20.79</v>
      </c>
      <c r="BI5" s="82">
        <f ca="1">('DJB Daily Readings'!EZ13-'DJB Daily Readings'!EZ12)*1.89</f>
        <v>17.009999999999998</v>
      </c>
      <c r="BJ5" s="82">
        <f ca="1">('DJB Daily Readings'!EX13-'DJB Daily Readings'!EX12)*1.89</f>
        <v>15.12</v>
      </c>
      <c r="BK5" s="82">
        <f ca="1">('DJB Daily Readings'!FB13-'DJB Daily Readings'!FB12)*1.89</f>
        <v>60.48</v>
      </c>
      <c r="BL5" s="82">
        <f ca="1"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 ca="1">'DJB Daily Readings'!C14-'DJB Daily Readings'!C13</f>
        <v>746</v>
      </c>
      <c r="H6" s="3">
        <f ca="1">'DJB Daily Readings'!F14-'DJB Daily Readings'!F13</f>
        <v>421</v>
      </c>
      <c r="I6" s="3">
        <f ca="1">'DJB Daily Readings'!K14-'DJB Daily Readings'!K13</f>
        <v>231</v>
      </c>
      <c r="J6" s="3">
        <f ca="1">'DJB Daily Readings'!K14-'DJB Daily Readings'!K13</f>
        <v>231</v>
      </c>
      <c r="K6" s="3">
        <f ca="1">'DJB Daily Readings'!O14-'DJB Daily Readings'!O13</f>
        <v>221</v>
      </c>
      <c r="L6" s="3">
        <f ca="1">'DJB Daily Readings'!R14-'DJB Daily Readings'!R13</f>
        <v>10</v>
      </c>
      <c r="M6" s="3">
        <f ca="1">'DJB Daily Readings'!U14-'DJB Daily Readings'!U13</f>
        <v>3118.0800000000745</v>
      </c>
      <c r="N6" s="3">
        <f ca="1">'DJB Daily Readings'!X14-'DJB Daily Readings'!X13</f>
        <v>4969.4399999976158</v>
      </c>
      <c r="O6" s="3">
        <f ca="1">'DJB Daily Readings'!AA14-'DJB Daily Readings'!AA13</f>
        <v>9987.6000000014901</v>
      </c>
      <c r="P6" s="3">
        <f ca="1">'DJB Daily Readings'!AD14-'DJB Daily Readings'!AD13</f>
        <v>876.96000000089407</v>
      </c>
      <c r="Q6" s="3">
        <f ca="1">'DJB Daily Readings'!AG14-'DJB Daily Readings'!AG13</f>
        <v>13495.440000001341</v>
      </c>
      <c r="R6" s="3">
        <f ca="1">'DJB Daily Readings'!AJ14-'DJB Daily Readings'!AJ13</f>
        <v>6236.1599999964237</v>
      </c>
      <c r="S6" s="3">
        <f ca="1">'DJB Daily Readings'!AM14-'DJB Daily Readings'!AM13</f>
        <v>4725.839999999851</v>
      </c>
      <c r="T6" s="3">
        <f ca="1">'DJB Daily Readings'!AP14-'DJB Daily Readings'!AP13</f>
        <v>4920.7199999988079</v>
      </c>
      <c r="U6" s="3">
        <f ca="1">'DJB Daily Readings'!AS14-'DJB Daily Readings'!AS13</f>
        <v>3459.1200000010431</v>
      </c>
      <c r="V6" s="3">
        <f ca="1">'DJB Daily Readings'!AV14-'DJB Daily Readings'!AV13</f>
        <v>6138.7200000025332</v>
      </c>
      <c r="W6" s="3">
        <f ca="1">'DJB Daily Readings'!AZ14-'DJB Daily Readings'!AZ13</f>
        <v>43100</v>
      </c>
      <c r="X6" s="3">
        <f ca="1">'DJB Daily Readings'!BC14-'DJB Daily Readings'!BC13</f>
        <v>0</v>
      </c>
      <c r="Y6" s="3">
        <f ca="1">'DJB Daily Readings'!BF14-'DJB Daily Readings'!BF13</f>
        <v>63600</v>
      </c>
      <c r="Z6" s="3">
        <f ca="1">('DJB Daily Readings'!CK14-'DJB Daily Readings'!CK13)*1.89</f>
        <v>145.53</v>
      </c>
      <c r="AA6" s="3">
        <f ca="1">('DJB Daily Readings'!CN14-'DJB Daily Readings'!CN13)*1.89</f>
        <v>156.87</v>
      </c>
      <c r="AB6" s="3">
        <f ca="1">('DJB Daily Readings'!CQ14-'DJB Daily Readings'!CQ13)*1.89</f>
        <v>0</v>
      </c>
      <c r="AC6" s="3">
        <f ca="1">'DJB Daily Readings'!CT14-'DJB Daily Readings'!CT13</f>
        <v>173</v>
      </c>
      <c r="AD6" s="84">
        <f ca="1">('DJB Daily Readings'!BY14-'DJB Daily Readings'!BY13)*1.89</f>
        <v>41.58</v>
      </c>
      <c r="AE6" s="84">
        <f ca="1">('DJB Daily Readings'!CA14-'DJB Daily Readings'!CA13)*1.89</f>
        <v>32.129999999999995</v>
      </c>
      <c r="AF6" s="84">
        <f ca="1">('DJB Daily Readings'!CC14-'DJB Daily Readings'!CC13)*1.89</f>
        <v>13.229999999999999</v>
      </c>
      <c r="AG6" s="84">
        <f ca="1">('DJB Daily Readings'!CE14-'DJB Daily Readings'!CE13)*1.89</f>
        <v>17.009999999999998</v>
      </c>
      <c r="AH6" s="84">
        <f ca="1">('DJB Daily Readings'!CG14-'DJB Daily Readings'!CG13)*1.89</f>
        <v>22.68</v>
      </c>
      <c r="AI6" s="84">
        <f ca="1">('DJB Daily Readings'!CI14-'DJB Daily Readings'!CI13)*1.89</f>
        <v>60.48</v>
      </c>
      <c r="AJ6" s="81">
        <f ca="1">'DJB Daily Readings'!CY14-'DJB Daily Readings'!CY13</f>
        <v>6</v>
      </c>
      <c r="AK6" s="81">
        <f ca="1">'DJB Daily Readings'!CW14-'DJB Daily Readings'!CW13</f>
        <v>6</v>
      </c>
      <c r="AL6" s="82">
        <f ca="1">'DJB Daily Readings'!DC14-'DJB Daily Readings'!DC13</f>
        <v>16</v>
      </c>
      <c r="AM6" s="82">
        <f ca="1">'DJB Daily Readings'!DA14-'DJB Daily Readings'!DA13</f>
        <v>12</v>
      </c>
      <c r="AN6" s="82">
        <f ca="1">'DJB Daily Readings'!DG14-'DJB Daily Readings'!DG13</f>
        <v>6</v>
      </c>
      <c r="AO6" s="82">
        <f ca="1">'DJB Daily Readings'!DE14-'DJB Daily Readings'!DE13</f>
        <v>9</v>
      </c>
      <c r="AP6" s="82">
        <f ca="1">'DJB Daily Readings'!DK14-'DJB Daily Readings'!DK13</f>
        <v>4</v>
      </c>
      <c r="AQ6" s="82">
        <f ca="1">'DJB Daily Readings'!DI14-'DJB Daily Readings'!DI13</f>
        <v>9</v>
      </c>
      <c r="AR6" s="82">
        <f ca="1">'DJB Daily Readings'!DO14-'DJB Daily Readings'!DO13</f>
        <v>7</v>
      </c>
      <c r="AS6" s="82">
        <f ca="1">'DJB Daily Readings'!DM14-'DJB Daily Readings'!DM13</f>
        <v>3</v>
      </c>
      <c r="AT6" s="82">
        <f ca="1">'DJB Daily Readings'!DQ14-'DJB Daily Readings'!DQ13</f>
        <v>6</v>
      </c>
      <c r="AU6" s="82">
        <f ca="1">'DJB Daily Readings'!DT14-'DJB Daily Readings'!DT13</f>
        <v>11.899999999999636</v>
      </c>
      <c r="AW6" s="82">
        <f ca="1">'DJB Daily Readings'!DX14-'DJB Daily Readings'!DX13</f>
        <v>7.1999999999998181</v>
      </c>
      <c r="AX6" s="82">
        <f ca="1">'DJB Daily Readings'!DZ14-'DJB Daily Readings'!DZ13</f>
        <v>7.0999999999994543</v>
      </c>
      <c r="AY6" s="82">
        <f ca="1">'DJB Daily Readings'!EB14-'DJB Daily Readings'!EB13</f>
        <v>686</v>
      </c>
      <c r="AZ6" s="82">
        <f ca="1">'DJB Daily Readings'!ED14-'DJB Daily Readings'!ED13</f>
        <v>108</v>
      </c>
      <c r="BA6" s="82">
        <f ca="1">'DJB Daily Readings'!EG14-'DJB Daily Readings'!EG13</f>
        <v>8100</v>
      </c>
      <c r="BB6" s="82">
        <f ca="1">'DJB Daily Readings'!EI14-'DJB Daily Readings'!EI13</f>
        <v>340</v>
      </c>
      <c r="BC6" s="82">
        <f ca="1">'DJB Daily Readings'!EQ14-'DJB Daily Readings'!EQ13</f>
        <v>9600</v>
      </c>
      <c r="BD6" s="82">
        <f ca="1">'DJB Daily Readings'!EK14-'DJB Daily Readings'!EK13</f>
        <v>3100</v>
      </c>
      <c r="BE6" s="82">
        <f ca="1">'DJB Daily Readings'!EM14-'DJB Daily Readings'!EM13</f>
        <v>1000</v>
      </c>
      <c r="BF6" s="82">
        <f ca="1">'DJB Daily Readings'!EO14-'DJB Daily Readings'!EO13</f>
        <v>900</v>
      </c>
      <c r="BG6" s="82">
        <f ca="1">('DJB Daily Readings'!ET14-'DJB Daily Readings'!ET13)*1.89</f>
        <v>26.459999999999997</v>
      </c>
      <c r="BH6" s="82">
        <f ca="1">('DJB Daily Readings'!EV14-'DJB Daily Readings'!EV13)*1.89</f>
        <v>22.68</v>
      </c>
      <c r="BI6" s="82">
        <f ca="1">('DJB Daily Readings'!EZ14-'DJB Daily Readings'!EZ13)*1.89</f>
        <v>20.79</v>
      </c>
      <c r="BJ6" s="82">
        <f ca="1">('DJB Daily Readings'!EX14-'DJB Daily Readings'!EX13)*1.89</f>
        <v>17.009999999999998</v>
      </c>
      <c r="BK6" s="82">
        <f ca="1">('DJB Daily Readings'!FB14-'DJB Daily Readings'!FB13)*1.89</f>
        <v>58.589999999999996</v>
      </c>
      <c r="BL6" s="82">
        <f ca="1"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 ca="1">'DJB Daily Readings'!C15-'DJB Daily Readings'!C14</f>
        <v>590</v>
      </c>
      <c r="H7" s="3">
        <f ca="1">'DJB Daily Readings'!F15-'DJB Daily Readings'!F14</f>
        <v>443</v>
      </c>
      <c r="I7" s="3">
        <f ca="1">'DJB Daily Readings'!K15-'DJB Daily Readings'!K14</f>
        <v>344</v>
      </c>
      <c r="J7" s="3">
        <f ca="1">'DJB Daily Readings'!K15-'DJB Daily Readings'!K14</f>
        <v>344</v>
      </c>
      <c r="K7" s="3">
        <f ca="1">'DJB Daily Readings'!O15-'DJB Daily Readings'!O14</f>
        <v>237</v>
      </c>
      <c r="L7" s="3">
        <f ca="1">'DJB Daily Readings'!R15-'DJB Daily Readings'!R14</f>
        <v>8</v>
      </c>
      <c r="M7" s="3">
        <f ca="1">'DJB Daily Readings'!U15-'DJB Daily Readings'!U14</f>
        <v>2923.2000000001863</v>
      </c>
      <c r="N7" s="3">
        <f ca="1">'DJB Daily Readings'!X15-'DJB Daily Readings'!X14</f>
        <v>4433.5200000014156</v>
      </c>
      <c r="O7" s="3">
        <f ca="1">'DJB Daily Readings'!AA15-'DJB Daily Readings'!AA14</f>
        <v>9987.5999999996275</v>
      </c>
      <c r="P7" s="3">
        <f ca="1">'DJB Daily Readings'!AD15-'DJB Daily Readings'!AD14</f>
        <v>828.23999999836087</v>
      </c>
      <c r="Q7" s="3">
        <f ca="1">'DJB Daily Readings'!AG15-'DJB Daily Readings'!AG14</f>
        <v>11887.679999999702</v>
      </c>
      <c r="R7" s="3">
        <f ca="1">'DJB Daily Readings'!AJ15-'DJB Daily Readings'!AJ14</f>
        <v>5554.0800000019372</v>
      </c>
      <c r="S7" s="3">
        <f ca="1">'DJB Daily Readings'!AM15-'DJB Daily Readings'!AM14</f>
        <v>4043.7599999997765</v>
      </c>
      <c r="T7" s="3">
        <f ca="1">'DJB Daily Readings'!AP15-'DJB Daily Readings'!AP14</f>
        <v>4384.8000000007451</v>
      </c>
      <c r="U7" s="3">
        <f ca="1">'DJB Daily Readings'!AS15-'DJB Daily Readings'!AS14</f>
        <v>2923.1999999992549</v>
      </c>
      <c r="V7" s="3">
        <f ca="1">'DJB Daily Readings'!AV15-'DJB Daily Readings'!AV14</f>
        <v>5748.9599999971688</v>
      </c>
      <c r="W7" s="3">
        <f ca="1">'DJB Daily Readings'!AZ15-'DJB Daily Readings'!AZ14</f>
        <v>53000</v>
      </c>
      <c r="X7" s="3">
        <f ca="1">'DJB Daily Readings'!BC15-'DJB Daily Readings'!BC14</f>
        <v>0</v>
      </c>
      <c r="Y7" s="3">
        <f ca="1">'DJB Daily Readings'!BF15-'DJB Daily Readings'!BF14</f>
        <v>61900</v>
      </c>
      <c r="Z7" s="3">
        <f ca="1">('DJB Daily Readings'!CK15-'DJB Daily Readings'!CK14)*1.89</f>
        <v>132.29999999999998</v>
      </c>
      <c r="AA7" s="3">
        <f ca="1">('DJB Daily Readings'!CN15-'DJB Daily Readings'!CN14)*1.89</f>
        <v>115.28999999999999</v>
      </c>
      <c r="AB7" s="3">
        <f ca="1">('DJB Daily Readings'!CQ15-'DJB Daily Readings'!CQ14)*1.89</f>
        <v>0</v>
      </c>
      <c r="AC7" s="3">
        <f ca="1">'DJB Daily Readings'!CT15-'DJB Daily Readings'!CT14</f>
        <v>157</v>
      </c>
      <c r="AD7" s="84">
        <f ca="1">('DJB Daily Readings'!BY15-'DJB Daily Readings'!BY14)*1.89</f>
        <v>43.47</v>
      </c>
      <c r="AE7" s="84">
        <f ca="1">('DJB Daily Readings'!CA15-'DJB Daily Readings'!CA14)*1.89</f>
        <v>39.69</v>
      </c>
      <c r="AF7" s="84">
        <f ca="1">('DJB Daily Readings'!CC15-'DJB Daily Readings'!CC14)*1.89</f>
        <v>15.12</v>
      </c>
      <c r="AG7" s="84">
        <f ca="1">('DJB Daily Readings'!CE15-'DJB Daily Readings'!CE14)*1.89</f>
        <v>17.009999999999998</v>
      </c>
      <c r="AH7" s="84">
        <f ca="1">('DJB Daily Readings'!CG15-'DJB Daily Readings'!CG14)*1.89</f>
        <v>32.129999999999995</v>
      </c>
      <c r="AI7" s="84">
        <f ca="1">('DJB Daily Readings'!CI15-'DJB Daily Readings'!CI14)*1.89</f>
        <v>56.699999999999996</v>
      </c>
      <c r="AJ7" s="81">
        <f ca="1">'DJB Daily Readings'!CY15-'DJB Daily Readings'!CY14</f>
        <v>7</v>
      </c>
      <c r="AK7" s="81">
        <f ca="1">'DJB Daily Readings'!CW15-'DJB Daily Readings'!CW14</f>
        <v>8</v>
      </c>
      <c r="AL7" s="82">
        <f ca="1">'DJB Daily Readings'!DC15-'DJB Daily Readings'!DC14</f>
        <v>12</v>
      </c>
      <c r="AM7" s="82">
        <f ca="1">'DJB Daily Readings'!DA15-'DJB Daily Readings'!DA14</f>
        <v>11</v>
      </c>
      <c r="AN7" s="82">
        <f ca="1">'DJB Daily Readings'!DG15-'DJB Daily Readings'!DG14</f>
        <v>6</v>
      </c>
      <c r="AO7" s="82">
        <f ca="1">'DJB Daily Readings'!DE15-'DJB Daily Readings'!DE14</f>
        <v>13</v>
      </c>
      <c r="AP7" s="82">
        <f ca="1">'DJB Daily Readings'!DK15-'DJB Daily Readings'!DK14</f>
        <v>4</v>
      </c>
      <c r="AQ7" s="82">
        <f ca="1">'DJB Daily Readings'!DI15-'DJB Daily Readings'!DI14</f>
        <v>8</v>
      </c>
      <c r="AR7" s="82">
        <f ca="1">'DJB Daily Readings'!DO15-'DJB Daily Readings'!DO14</f>
        <v>7</v>
      </c>
      <c r="AS7" s="82">
        <f ca="1">'DJB Daily Readings'!DM15-'DJB Daily Readings'!DM14</f>
        <v>3</v>
      </c>
      <c r="AT7" s="82">
        <f ca="1">'DJB Daily Readings'!DQ15-'DJB Daily Readings'!DQ14</f>
        <v>6</v>
      </c>
      <c r="AU7" s="82">
        <f ca="1">'DJB Daily Readings'!DT15-'DJB Daily Readings'!DT14</f>
        <v>11.300000000000182</v>
      </c>
      <c r="AW7" s="82">
        <f ca="1">'DJB Daily Readings'!DX15-'DJB Daily Readings'!DX14</f>
        <v>6.5</v>
      </c>
      <c r="AX7" s="82">
        <f ca="1">'DJB Daily Readings'!DZ15-'DJB Daily Readings'!DZ14</f>
        <v>7.6000000000003638</v>
      </c>
      <c r="AY7" s="82">
        <f ca="1">'DJB Daily Readings'!EB15-'DJB Daily Readings'!EB14</f>
        <v>747</v>
      </c>
      <c r="AZ7" s="82">
        <f ca="1">'DJB Daily Readings'!ED15-'DJB Daily Readings'!ED14</f>
        <v>101.20000000001164</v>
      </c>
      <c r="BA7" s="82">
        <f ca="1">'DJB Daily Readings'!EG15-'DJB Daily Readings'!EG14</f>
        <v>11000</v>
      </c>
      <c r="BB7" s="82">
        <f ca="1">'DJB Daily Readings'!EI15-'DJB Daily Readings'!EI14</f>
        <v>420</v>
      </c>
      <c r="BC7" s="82">
        <f ca="1">'DJB Daily Readings'!EQ15-'DJB Daily Readings'!EQ14</f>
        <v>13000</v>
      </c>
      <c r="BD7" s="82">
        <f ca="1">'DJB Daily Readings'!EK15-'DJB Daily Readings'!EK14</f>
        <v>4200</v>
      </c>
      <c r="BE7" s="82">
        <f ca="1">'DJB Daily Readings'!EM15-'DJB Daily Readings'!EM14</f>
        <v>1400</v>
      </c>
      <c r="BF7" s="82">
        <f ca="1">'DJB Daily Readings'!EO15-'DJB Daily Readings'!EO14</f>
        <v>1150</v>
      </c>
      <c r="BG7" s="82">
        <f ca="1">('DJB Daily Readings'!ET15-'DJB Daily Readings'!ET14)*1.89</f>
        <v>32.129999999999995</v>
      </c>
      <c r="BH7" s="82">
        <f ca="1">('DJB Daily Readings'!EV15-'DJB Daily Readings'!EV14)*1.89</f>
        <v>24.57</v>
      </c>
      <c r="BI7" s="82">
        <f ca="1">('DJB Daily Readings'!EZ15-'DJB Daily Readings'!EZ14)*1.89</f>
        <v>24.57</v>
      </c>
      <c r="BJ7" s="82">
        <f ca="1">('DJB Daily Readings'!EX15-'DJB Daily Readings'!EX14)*1.89</f>
        <v>17.009999999999998</v>
      </c>
      <c r="BK7" s="82">
        <f ca="1">('DJB Daily Readings'!FB15-'DJB Daily Readings'!FB14)*1.89</f>
        <v>77.489999999999995</v>
      </c>
      <c r="BL7" s="82">
        <f ca="1"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 ca="1">'DJB Daily Readings'!C16-'DJB Daily Readings'!C15</f>
        <v>539</v>
      </c>
      <c r="H8" s="3">
        <f ca="1">'DJB Daily Readings'!F16-'DJB Daily Readings'!F15</f>
        <v>469</v>
      </c>
      <c r="I8" s="3">
        <f ca="1">'DJB Daily Readings'!K16-'DJB Daily Readings'!K15</f>
        <v>317</v>
      </c>
      <c r="J8" s="3">
        <f ca="1">'DJB Daily Readings'!K16-'DJB Daily Readings'!K15</f>
        <v>317</v>
      </c>
      <c r="K8" s="3">
        <f ca="1">'DJB Daily Readings'!O16-'DJB Daily Readings'!O15</f>
        <v>194</v>
      </c>
      <c r="L8" s="3">
        <f ca="1">'DJB Daily Readings'!R16-'DJB Daily Readings'!R15</f>
        <v>9</v>
      </c>
      <c r="M8" s="3">
        <f ca="1">'DJB Daily Readings'!U16-'DJB Daily Readings'!U15</f>
        <v>4092.480000000447</v>
      </c>
      <c r="N8" s="3">
        <f ca="1">'DJB Daily Readings'!X16-'DJB Daily Readings'!X15</f>
        <v>4628.4000000003725</v>
      </c>
      <c r="O8" s="3">
        <f ca="1">'DJB Daily Readings'!AA16-'DJB Daily Readings'!AA15</f>
        <v>6820.7999999988824</v>
      </c>
      <c r="P8" s="3">
        <f ca="1">'DJB Daily Readings'!AD16-'DJB Daily Readings'!AD15</f>
        <v>292.32000000029802</v>
      </c>
      <c r="Q8" s="3">
        <f ca="1">'DJB Daily Readings'!AG16-'DJB Daily Readings'!AG15</f>
        <v>10085.040000002831</v>
      </c>
      <c r="R8" s="3">
        <f ca="1">'DJB Daily Readings'!AJ16-'DJB Daily Readings'!AJ15</f>
        <v>5943.839999999851</v>
      </c>
      <c r="S8" s="3">
        <f ca="1">'DJB Daily Readings'!AM16-'DJB Daily Readings'!AM15</f>
        <v>4384.8000000007451</v>
      </c>
      <c r="T8" s="3">
        <f ca="1">'DJB Daily Readings'!AP16-'DJB Daily Readings'!AP15</f>
        <v>4579.6800000015646</v>
      </c>
      <c r="U8" s="3">
        <f ca="1">'DJB Daily Readings'!AS16-'DJB Daily Readings'!AS15</f>
        <v>3069.359999999404</v>
      </c>
      <c r="V8" s="3">
        <f ca="1">'DJB Daily Readings'!AV16-'DJB Daily Readings'!AV15</f>
        <v>6090</v>
      </c>
      <c r="W8" s="3">
        <f ca="1">'DJB Daily Readings'!AZ16-'DJB Daily Readings'!AZ15</f>
        <v>33000</v>
      </c>
      <c r="X8" s="3">
        <f ca="1">'DJB Daily Readings'!BC16-'DJB Daily Readings'!BC15</f>
        <v>0</v>
      </c>
      <c r="Y8" s="3">
        <f ca="1">'DJB Daily Readings'!BF16-'DJB Daily Readings'!BF15</f>
        <v>50900</v>
      </c>
      <c r="Z8" s="3">
        <f ca="1">('DJB Daily Readings'!CK16-'DJB Daily Readings'!CK15)*1.89</f>
        <v>137.97</v>
      </c>
      <c r="AA8" s="3">
        <f ca="1">('DJB Daily Readings'!CN16-'DJB Daily Readings'!CN15)*1.89</f>
        <v>136.07999999999998</v>
      </c>
      <c r="AB8" s="3">
        <f ca="1">('DJB Daily Readings'!CQ16-'DJB Daily Readings'!CQ15)*1.89</f>
        <v>0</v>
      </c>
      <c r="AC8" s="3">
        <f ca="1">'DJB Daily Readings'!CT16-'DJB Daily Readings'!CT15</f>
        <v>162</v>
      </c>
      <c r="AD8" s="84">
        <f ca="1">('DJB Daily Readings'!BY16-'DJB Daily Readings'!BY15)*1.89</f>
        <v>39.69</v>
      </c>
      <c r="AE8" s="84">
        <f ca="1">('DJB Daily Readings'!CA16-'DJB Daily Readings'!CA15)*1.89</f>
        <v>34.019999999999996</v>
      </c>
      <c r="AF8" s="84">
        <f ca="1">('DJB Daily Readings'!CC16-'DJB Daily Readings'!CC15)*1.89</f>
        <v>7.56</v>
      </c>
      <c r="AG8" s="84">
        <f ca="1">('DJB Daily Readings'!CE16-'DJB Daily Readings'!CE15)*1.89</f>
        <v>18.899999999999999</v>
      </c>
      <c r="AH8" s="84">
        <f ca="1">('DJB Daily Readings'!CG16-'DJB Daily Readings'!CG15)*1.89</f>
        <v>24.57</v>
      </c>
      <c r="AI8" s="84">
        <f ca="1">('DJB Daily Readings'!CI16-'DJB Daily Readings'!CI15)*1.89</f>
        <v>58.589999999999996</v>
      </c>
      <c r="AJ8" s="81">
        <f ca="1">'DJB Daily Readings'!CY16-'DJB Daily Readings'!CY15</f>
        <v>7</v>
      </c>
      <c r="AK8" s="81">
        <f ca="1">'DJB Daily Readings'!CW16-'DJB Daily Readings'!CW15</f>
        <v>8</v>
      </c>
      <c r="AL8" s="82">
        <f ca="1">'DJB Daily Readings'!DC16-'DJB Daily Readings'!DC15</f>
        <v>11</v>
      </c>
      <c r="AM8" s="82">
        <f ca="1">'DJB Daily Readings'!DA16-'DJB Daily Readings'!DA15</f>
        <v>10</v>
      </c>
      <c r="AN8" s="82">
        <f ca="1">'DJB Daily Readings'!DG16-'DJB Daily Readings'!DG15</f>
        <v>6</v>
      </c>
      <c r="AO8" s="82">
        <f ca="1">'DJB Daily Readings'!DE16-'DJB Daily Readings'!DE15</f>
        <v>11</v>
      </c>
      <c r="AP8" s="82">
        <f ca="1">'DJB Daily Readings'!DK16-'DJB Daily Readings'!DK15</f>
        <v>4</v>
      </c>
      <c r="AQ8" s="82">
        <f ca="1">'DJB Daily Readings'!DI16-'DJB Daily Readings'!DI15</f>
        <v>8</v>
      </c>
      <c r="AR8" s="82">
        <f ca="1">'DJB Daily Readings'!DO16-'DJB Daily Readings'!DO15</f>
        <v>7</v>
      </c>
      <c r="AS8" s="82">
        <f ca="1">'DJB Daily Readings'!DM16-'DJB Daily Readings'!DM15</f>
        <v>3</v>
      </c>
      <c r="AT8" s="82">
        <f ca="1">'DJB Daily Readings'!DQ16-'DJB Daily Readings'!DQ15</f>
        <v>6</v>
      </c>
      <c r="AU8" s="82">
        <f ca="1">'DJB Daily Readings'!DT16-'DJB Daily Readings'!DT15</f>
        <v>11.899999999999636</v>
      </c>
      <c r="AW8" s="82">
        <f ca="1">'DJB Daily Readings'!DX16-'DJB Daily Readings'!DX15</f>
        <v>6.7000000000007276</v>
      </c>
      <c r="AX8" s="82">
        <f ca="1">'DJB Daily Readings'!DZ16-'DJB Daily Readings'!DZ15</f>
        <v>8.5999999999994543</v>
      </c>
      <c r="AY8" s="82">
        <f ca="1">'DJB Daily Readings'!EB16-'DJB Daily Readings'!EB15</f>
        <v>710</v>
      </c>
      <c r="AZ8" s="82">
        <f ca="1">'DJB Daily Readings'!ED16-'DJB Daily Readings'!ED15</f>
        <v>14.299999999988358</v>
      </c>
      <c r="BA8" s="82">
        <f ca="1">'DJB Daily Readings'!EG16-'DJB Daily Readings'!EG15</f>
        <v>4100</v>
      </c>
      <c r="BB8" s="82">
        <f ca="1">'DJB Daily Readings'!EI16-'DJB Daily Readings'!EI15</f>
        <v>240</v>
      </c>
      <c r="BC8" s="82">
        <f ca="1">'DJB Daily Readings'!EQ16-'DJB Daily Readings'!EQ15</f>
        <v>4500</v>
      </c>
      <c r="BD8" s="82">
        <f ca="1">'DJB Daily Readings'!EK16-'DJB Daily Readings'!EK15</f>
        <v>1900</v>
      </c>
      <c r="BE8" s="82">
        <f ca="1">'DJB Daily Readings'!EM16-'DJB Daily Readings'!EM15</f>
        <v>500</v>
      </c>
      <c r="BF8" s="82">
        <f ca="1">'DJB Daily Readings'!EO16-'DJB Daily Readings'!EO15</f>
        <v>680</v>
      </c>
      <c r="BG8" s="82">
        <f ca="1">('DJB Daily Readings'!ET16-'DJB Daily Readings'!ET15)*1.89</f>
        <v>26.459999999999997</v>
      </c>
      <c r="BH8" s="82">
        <f ca="1">('DJB Daily Readings'!EV16-'DJB Daily Readings'!EV15)*1.89</f>
        <v>24.57</v>
      </c>
      <c r="BI8" s="82">
        <f ca="1">('DJB Daily Readings'!EZ16-'DJB Daily Readings'!EZ15)*1.89</f>
        <v>26.459999999999997</v>
      </c>
      <c r="BJ8" s="82">
        <f ca="1">('DJB Daily Readings'!EX16-'DJB Daily Readings'!EX15)*1.89</f>
        <v>26.459999999999997</v>
      </c>
      <c r="BK8" s="82">
        <f ca="1">('DJB Daily Readings'!FB16-'DJB Daily Readings'!FB15)*1.89</f>
        <v>75.599999999999994</v>
      </c>
      <c r="BL8" s="82">
        <f ca="1"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 ca="1">'DJB Daily Readings'!C17-'DJB Daily Readings'!C16</f>
        <v>752</v>
      </c>
      <c r="H9" s="3">
        <f ca="1">'DJB Daily Readings'!F17-'DJB Daily Readings'!F16</f>
        <v>511</v>
      </c>
      <c r="I9" s="3">
        <f ca="1">'DJB Daily Readings'!K17-'DJB Daily Readings'!K16</f>
        <v>363</v>
      </c>
      <c r="J9" s="3">
        <f ca="1">'DJB Daily Readings'!K17-'DJB Daily Readings'!K16</f>
        <v>363</v>
      </c>
      <c r="K9" s="3">
        <f ca="1">'DJB Daily Readings'!O17-'DJB Daily Readings'!O16</f>
        <v>195</v>
      </c>
      <c r="L9" s="3">
        <f ca="1">'DJB Daily Readings'!R17-'DJB Daily Readings'!R16</f>
        <v>13</v>
      </c>
      <c r="M9" s="3">
        <f ca="1">'DJB Daily Readings'!U17-'DJB Daily Readings'!U16</f>
        <v>1948.7999999998137</v>
      </c>
      <c r="N9" s="3">
        <f ca="1">'DJB Daily Readings'!X17-'DJB Daily Readings'!X16</f>
        <v>5115.5999999996275</v>
      </c>
      <c r="O9" s="3">
        <f ca="1">'DJB Daily Readings'!AA17-'DJB Daily Readings'!AA16</f>
        <v>292.32000000216067</v>
      </c>
      <c r="P9" s="3">
        <f ca="1">'DJB Daily Readings'!AD17-'DJB Daily Readings'!AD16</f>
        <v>13836.480000000447</v>
      </c>
      <c r="Q9" s="3">
        <f ca="1">'DJB Daily Readings'!AG17-'DJB Daily Readings'!AG16</f>
        <v>5554.0799999982119</v>
      </c>
      <c r="R9" s="3">
        <f ca="1">'DJB Daily Readings'!AJ17-'DJB Daily Readings'!AJ16</f>
        <v>6528.480000000447</v>
      </c>
      <c r="S9" s="3">
        <f ca="1">'DJB Daily Readings'!AM17-'DJB Daily Readings'!AM16</f>
        <v>7746.480000000447</v>
      </c>
      <c r="T9" s="3">
        <f ca="1">'DJB Daily Readings'!AP17-'DJB Daily Readings'!AP16</f>
        <v>5505.359999999404</v>
      </c>
      <c r="U9" s="3">
        <f ca="1">'DJB Daily Readings'!AS17-'DJB Daily Readings'!AS16</f>
        <v>3507.8400000017136</v>
      </c>
      <c r="V9" s="3">
        <f ca="1">'DJB Daily Readings'!AV17-'DJB Daily Readings'!AV16</f>
        <v>6918.2400000020862</v>
      </c>
      <c r="W9" s="3">
        <f ca="1">'DJB Daily Readings'!AZ17-'DJB Daily Readings'!AZ16</f>
        <v>0</v>
      </c>
      <c r="X9" s="3">
        <f ca="1">'DJB Daily Readings'!BC17-'DJB Daily Readings'!BC16</f>
        <v>59100</v>
      </c>
      <c r="Y9" s="3">
        <f ca="1">'DJB Daily Readings'!BF17-'DJB Daily Readings'!BF16</f>
        <v>28300</v>
      </c>
      <c r="Z9" s="3">
        <f ca="1">('DJB Daily Readings'!CK17-'DJB Daily Readings'!CK16)*1.89</f>
        <v>147.41999999999999</v>
      </c>
      <c r="AA9" s="3">
        <f ca="1">('DJB Daily Readings'!CN17-'DJB Daily Readings'!CN16)*1.89</f>
        <v>137.97</v>
      </c>
      <c r="AB9" s="3">
        <f ca="1">('DJB Daily Readings'!CQ17-'DJB Daily Readings'!CQ16)*1.89</f>
        <v>0</v>
      </c>
      <c r="AC9" s="3">
        <f ca="1">'DJB Daily Readings'!CT17-'DJB Daily Readings'!CT16</f>
        <v>174</v>
      </c>
      <c r="AD9" s="84">
        <f ca="1">('DJB Daily Readings'!BY17-'DJB Daily Readings'!BY16)*1.89</f>
        <v>43.47</v>
      </c>
      <c r="AE9" s="84">
        <f ca="1">('DJB Daily Readings'!CA17-'DJB Daily Readings'!CA16)*1.89</f>
        <v>39.69</v>
      </c>
      <c r="AF9" s="84">
        <f ca="1">('DJB Daily Readings'!CC17-'DJB Daily Readings'!CC16)*1.89</f>
        <v>13.229999999999999</v>
      </c>
      <c r="AG9" s="84">
        <f ca="1">('DJB Daily Readings'!CE17-'DJB Daily Readings'!CE16)*1.89</f>
        <v>17.009999999999998</v>
      </c>
      <c r="AH9" s="84">
        <f ca="1">('DJB Daily Readings'!CG17-'DJB Daily Readings'!CG16)*1.89</f>
        <v>28.349999999999998</v>
      </c>
      <c r="AI9" s="84">
        <f ca="1">('DJB Daily Readings'!CI17-'DJB Daily Readings'!CI16)*1.89</f>
        <v>68.039999999999992</v>
      </c>
      <c r="AJ9" s="81">
        <f ca="1">'DJB Daily Readings'!CY17-'DJB Daily Readings'!CY16</f>
        <v>7</v>
      </c>
      <c r="AK9" s="81">
        <f ca="1">'DJB Daily Readings'!CW17-'DJB Daily Readings'!CW16</f>
        <v>7</v>
      </c>
      <c r="AL9" s="82">
        <f ca="1">'DJB Daily Readings'!DC17-'DJB Daily Readings'!DC16</f>
        <v>10</v>
      </c>
      <c r="AM9" s="82">
        <f ca="1">'DJB Daily Readings'!DA17-'DJB Daily Readings'!DA16</f>
        <v>10</v>
      </c>
      <c r="AN9" s="82">
        <f ca="1">'DJB Daily Readings'!DG17-'DJB Daily Readings'!DG16</f>
        <v>6</v>
      </c>
      <c r="AO9" s="82">
        <f ca="1">'DJB Daily Readings'!DE17-'DJB Daily Readings'!DE16</f>
        <v>9</v>
      </c>
      <c r="AP9" s="82">
        <f ca="1">'DJB Daily Readings'!DK17-'DJB Daily Readings'!DK16</f>
        <v>7</v>
      </c>
      <c r="AQ9" s="82">
        <f ca="1">'DJB Daily Readings'!DI17-'DJB Daily Readings'!DI16</f>
        <v>8</v>
      </c>
      <c r="AR9" s="82">
        <f ca="1">'DJB Daily Readings'!DO17-'DJB Daily Readings'!DO16</f>
        <v>7</v>
      </c>
      <c r="AS9" s="82">
        <f ca="1">'DJB Daily Readings'!DM17-'DJB Daily Readings'!DM16</f>
        <v>3</v>
      </c>
      <c r="AT9" s="82">
        <f ca="1">'DJB Daily Readings'!DQ17-'DJB Daily Readings'!DQ16</f>
        <v>1</v>
      </c>
      <c r="AU9" s="82">
        <f ca="1">'DJB Daily Readings'!DT17-'DJB Daily Readings'!DT16</f>
        <v>12.199999999999818</v>
      </c>
      <c r="AW9" s="82">
        <f ca="1">'DJB Daily Readings'!DX17-'DJB Daily Readings'!DX16</f>
        <v>7.0999999999994543</v>
      </c>
      <c r="AX9" s="82">
        <f ca="1">'DJB Daily Readings'!DZ17-'DJB Daily Readings'!DZ16</f>
        <v>8.3000000000001819</v>
      </c>
      <c r="AY9" s="82">
        <f ca="1">'DJB Daily Readings'!EB17-'DJB Daily Readings'!EB16</f>
        <v>789</v>
      </c>
      <c r="AZ9" s="82">
        <f ca="1">'DJB Daily Readings'!ED17-'DJB Daily Readings'!ED16</f>
        <v>235.60000000000582</v>
      </c>
      <c r="BA9" s="82">
        <f ca="1">'DJB Daily Readings'!EG17-'DJB Daily Readings'!EG16</f>
        <v>7100</v>
      </c>
      <c r="BB9" s="82">
        <f ca="1">'DJB Daily Readings'!EI17-'DJB Daily Readings'!EI16</f>
        <v>340</v>
      </c>
      <c r="BC9" s="82">
        <f ca="1">'DJB Daily Readings'!EQ17-'DJB Daily Readings'!EQ16</f>
        <v>8100</v>
      </c>
      <c r="BD9" s="82">
        <f ca="1">'DJB Daily Readings'!EK17-'DJB Daily Readings'!EK16</f>
        <v>3000</v>
      </c>
      <c r="BE9" s="82">
        <f ca="1">'DJB Daily Readings'!EM17-'DJB Daily Readings'!EM16</f>
        <v>1300</v>
      </c>
      <c r="BF9" s="82">
        <f ca="1">'DJB Daily Readings'!EO17-'DJB Daily Readings'!EO16</f>
        <v>990</v>
      </c>
      <c r="BG9" s="82">
        <f ca="1">('DJB Daily Readings'!ET17-'DJB Daily Readings'!ET16)*1.89</f>
        <v>30.24</v>
      </c>
      <c r="BH9" s="82">
        <f ca="1">('DJB Daily Readings'!EV17-'DJB Daily Readings'!EV16)*1.89</f>
        <v>26.459999999999997</v>
      </c>
      <c r="BI9" s="82">
        <f ca="1">('DJB Daily Readings'!EZ17-'DJB Daily Readings'!EZ16)*1.89</f>
        <v>32.129999999999995</v>
      </c>
      <c r="BJ9" s="82">
        <f ca="1">('DJB Daily Readings'!EX17-'DJB Daily Readings'!EX16)*1.89</f>
        <v>24.57</v>
      </c>
      <c r="BK9" s="82">
        <f ca="1">('DJB Daily Readings'!FB17-'DJB Daily Readings'!FB16)*1.89</f>
        <v>75.599999999999994</v>
      </c>
      <c r="BL9" s="82">
        <f ca="1"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 ca="1">'DJB Daily Readings'!C18-'DJB Daily Readings'!C17</f>
        <v>880</v>
      </c>
      <c r="H10" s="3">
        <f ca="1">'DJB Daily Readings'!F18-'DJB Daily Readings'!F17</f>
        <v>443</v>
      </c>
      <c r="I10" s="3">
        <f ca="1">'DJB Daily Readings'!K18-'DJB Daily Readings'!K17</f>
        <v>284</v>
      </c>
      <c r="J10" s="3">
        <f ca="1">'DJB Daily Readings'!K18-'DJB Daily Readings'!K17</f>
        <v>284</v>
      </c>
      <c r="K10" s="3">
        <f ca="1">'DJB Daily Readings'!O18-'DJB Daily Readings'!O17</f>
        <v>195</v>
      </c>
      <c r="L10" s="3">
        <f ca="1">'DJB Daily Readings'!R18-'DJB Daily Readings'!R17</f>
        <v>14</v>
      </c>
      <c r="M10" s="3">
        <f ca="1">'DJB Daily Readings'!U18-'DJB Daily Readings'!U17</f>
        <v>2679.6000000005588</v>
      </c>
      <c r="N10" s="3">
        <f ca="1">'DJB Daily Readings'!X18-'DJB Daily Readings'!X17</f>
        <v>4384.8000000007451</v>
      </c>
      <c r="O10" s="3">
        <f ca="1">'DJB Daily Readings'!AA18-'DJB Daily Readings'!AA17</f>
        <v>389.75999999977648</v>
      </c>
      <c r="P10" s="3">
        <f ca="1">'DJB Daily Readings'!AD18-'DJB Daily Readings'!AD17</f>
        <v>11449.199999999255</v>
      </c>
      <c r="Q10" s="3">
        <f ca="1">'DJB Daily Readings'!AG18-'DJB Daily Readings'!AG17</f>
        <v>6820.8000000007451</v>
      </c>
      <c r="R10" s="3">
        <f ca="1">'DJB Daily Readings'!AJ18-'DJB Daily Readings'!AJ17</f>
        <v>5407.9200000017881</v>
      </c>
      <c r="S10" s="3">
        <f ca="1">'DJB Daily Readings'!AM18-'DJB Daily Readings'!AM17</f>
        <v>1559.0399999972433</v>
      </c>
      <c r="T10" s="3">
        <f ca="1">'DJB Daily Readings'!AP18-'DJB Daily Readings'!AP17</f>
        <v>4287.359999999404</v>
      </c>
      <c r="U10" s="3">
        <f ca="1">'DJB Daily Readings'!AS18-'DJB Daily Readings'!AS17</f>
        <v>3215.5199999976903</v>
      </c>
      <c r="V10" s="3">
        <f ca="1">'DJB Daily Readings'!AV18-'DJB Daily Readings'!AV17</f>
        <v>5407.9200000017881</v>
      </c>
      <c r="W10" s="3">
        <f ca="1">'DJB Daily Readings'!AZ18-'DJB Daily Readings'!AZ17</f>
        <v>0</v>
      </c>
      <c r="X10" s="3">
        <f ca="1">'DJB Daily Readings'!BC18-'DJB Daily Readings'!BC17</f>
        <v>59000</v>
      </c>
      <c r="Y10" s="3">
        <f ca="1">'DJB Daily Readings'!BF18-'DJB Daily Readings'!BF17</f>
        <v>34400</v>
      </c>
      <c r="Z10" s="3">
        <f ca="1">('DJB Daily Readings'!CK18-'DJB Daily Readings'!CK17)*1.89</f>
        <v>132.29999999999998</v>
      </c>
      <c r="AA10" s="3">
        <f ca="1">('DJB Daily Readings'!CN18-'DJB Daily Readings'!CN17)*1.89</f>
        <v>120.96</v>
      </c>
      <c r="AB10" s="3">
        <f ca="1">('DJB Daily Readings'!CQ18-'DJB Daily Readings'!CQ17)*1.89</f>
        <v>0</v>
      </c>
      <c r="AC10" s="3">
        <f ca="1">'DJB Daily Readings'!CT18-'DJB Daily Readings'!CT17</f>
        <v>158</v>
      </c>
      <c r="AD10" s="84">
        <f ca="1">('DJB Daily Readings'!BY18-'DJB Daily Readings'!BY17)*1.89</f>
        <v>41.58</v>
      </c>
      <c r="AE10" s="84">
        <f ca="1">('DJB Daily Readings'!CA18-'DJB Daily Readings'!CA17)*1.89</f>
        <v>37.799999999999997</v>
      </c>
      <c r="AF10" s="84">
        <f ca="1">('DJB Daily Readings'!CC18-'DJB Daily Readings'!CC17)*1.89</f>
        <v>11.34</v>
      </c>
      <c r="AG10" s="84">
        <f ca="1">('DJB Daily Readings'!CE18-'DJB Daily Readings'!CE17)*1.89</f>
        <v>18.899999999999999</v>
      </c>
      <c r="AH10" s="84">
        <f ca="1">('DJB Daily Readings'!CG18-'DJB Daily Readings'!CG17)*1.89</f>
        <v>22.68</v>
      </c>
      <c r="AI10" s="84">
        <f ca="1">('DJB Daily Readings'!CI18-'DJB Daily Readings'!CI17)*1.89</f>
        <v>66.149999999999991</v>
      </c>
      <c r="AJ10" s="81">
        <f ca="1">'DJB Daily Readings'!CY18-'DJB Daily Readings'!CY17</f>
        <v>3</v>
      </c>
      <c r="AK10" s="81">
        <f ca="1">'DJB Daily Readings'!CW18-'DJB Daily Readings'!CW17</f>
        <v>4</v>
      </c>
      <c r="AL10" s="82">
        <f ca="1">'DJB Daily Readings'!DC18-'DJB Daily Readings'!DC17</f>
        <v>28</v>
      </c>
      <c r="AM10" s="82">
        <f ca="1">'DJB Daily Readings'!DA18-'DJB Daily Readings'!DA17</f>
        <v>34</v>
      </c>
      <c r="AN10" s="82">
        <f ca="1">'DJB Daily Readings'!DG18-'DJB Daily Readings'!DG17</f>
        <v>7</v>
      </c>
      <c r="AO10" s="82">
        <f ca="1">'DJB Daily Readings'!DE18-'DJB Daily Readings'!DE17</f>
        <v>0</v>
      </c>
      <c r="AP10" s="82">
        <f ca="1">'DJB Daily Readings'!DK18-'DJB Daily Readings'!DK17</f>
        <v>21</v>
      </c>
      <c r="AQ10" s="82">
        <f ca="1">'DJB Daily Readings'!DI18-'DJB Daily Readings'!DI17</f>
        <v>28</v>
      </c>
      <c r="AR10" s="82">
        <f ca="1">'DJB Daily Readings'!DO18-'DJB Daily Readings'!DO17</f>
        <v>15</v>
      </c>
      <c r="AS10" s="82">
        <f ca="1">'DJB Daily Readings'!DM18-'DJB Daily Readings'!DM17</f>
        <v>3</v>
      </c>
      <c r="AT10" s="82">
        <f ca="1">'DJB Daily Readings'!DQ18-'DJB Daily Readings'!DQ17</f>
        <v>1</v>
      </c>
      <c r="AU10" s="82">
        <f ca="1">'DJB Daily Readings'!DT18-'DJB Daily Readings'!DT17</f>
        <v>11.300000000000182</v>
      </c>
      <c r="AW10" s="82">
        <f ca="1">'DJB Daily Readings'!DX18-'DJB Daily Readings'!DX17</f>
        <v>6.4000000000005457</v>
      </c>
      <c r="AX10" s="82">
        <f ca="1">'DJB Daily Readings'!DZ18-'DJB Daily Readings'!DZ17</f>
        <v>8.4000000000005457</v>
      </c>
      <c r="AY10" s="82">
        <f ca="1">'DJB Daily Readings'!EB18-'DJB Daily Readings'!EB17</f>
        <v>681</v>
      </c>
      <c r="AZ10" s="82">
        <f ca="1">'DJB Daily Readings'!ED18-'DJB Daily Readings'!ED17</f>
        <v>144.30000000001746</v>
      </c>
      <c r="BA10" s="82">
        <f ca="1">'DJB Daily Readings'!EG18-'DJB Daily Readings'!EG17</f>
        <v>4600</v>
      </c>
      <c r="BB10" s="82">
        <f ca="1">'DJB Daily Readings'!EI18-'DJB Daily Readings'!EI17</f>
        <v>230</v>
      </c>
      <c r="BC10" s="82">
        <f ca="1">'DJB Daily Readings'!EQ18-'DJB Daily Readings'!EQ17</f>
        <v>5300</v>
      </c>
      <c r="BD10" s="82">
        <f ca="1">'DJB Daily Readings'!EK18-'DJB Daily Readings'!EK17</f>
        <v>2000</v>
      </c>
      <c r="BE10" s="82">
        <f ca="1">'DJB Daily Readings'!EM18-'DJB Daily Readings'!EM17</f>
        <v>400</v>
      </c>
      <c r="BF10" s="82">
        <f ca="1">'DJB Daily Readings'!EO18-'DJB Daily Readings'!EO17</f>
        <v>600</v>
      </c>
      <c r="BG10" s="82">
        <f ca="1">('DJB Daily Readings'!ET18-'DJB Daily Readings'!ET17)*1.89</f>
        <v>22.68</v>
      </c>
      <c r="BH10" s="82">
        <f ca="1">('DJB Daily Readings'!EV18-'DJB Daily Readings'!EV17)*1.89</f>
        <v>20.79</v>
      </c>
      <c r="BI10" s="82">
        <f ca="1">('DJB Daily Readings'!EZ18-'DJB Daily Readings'!EZ17)*1.89</f>
        <v>24.57</v>
      </c>
      <c r="BJ10" s="82">
        <f ca="1">('DJB Daily Readings'!EX18-'DJB Daily Readings'!EX17)*1.89</f>
        <v>22.68</v>
      </c>
      <c r="BK10" s="82">
        <f ca="1">('DJB Daily Readings'!FB18-'DJB Daily Readings'!FB17)*1.89</f>
        <v>60.48</v>
      </c>
      <c r="BL10" s="82">
        <f ca="1"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 ca="1">'DJB Daily Readings'!C19-'DJB Daily Readings'!C18</f>
        <v>841</v>
      </c>
      <c r="H11" s="3">
        <f ca="1">'DJB Daily Readings'!F19-'DJB Daily Readings'!F18</f>
        <v>452</v>
      </c>
      <c r="I11" s="3">
        <f ca="1">'DJB Daily Readings'!K19-'DJB Daily Readings'!K18</f>
        <v>203</v>
      </c>
      <c r="J11" s="3">
        <f ca="1">'DJB Daily Readings'!K19-'DJB Daily Readings'!K18</f>
        <v>203</v>
      </c>
      <c r="K11" s="3">
        <f ca="1">'DJB Daily Readings'!O19-'DJB Daily Readings'!O18</f>
        <v>199</v>
      </c>
      <c r="L11" s="3">
        <f ca="1">'DJB Daily Readings'!R19-'DJB Daily Readings'!R18</f>
        <v>9</v>
      </c>
      <c r="M11" s="3">
        <f ca="1">'DJB Daily Readings'!U19-'DJB Daily Readings'!U18</f>
        <v>2971.9199999989942</v>
      </c>
      <c r="N11" s="3">
        <f ca="1">'DJB Daily Readings'!X19-'DJB Daily Readings'!X18</f>
        <v>4872</v>
      </c>
      <c r="O11" s="3">
        <f ca="1">'DJB Daily Readings'!AA19-'DJB Daily Readings'!AA18</f>
        <v>438.47999999858439</v>
      </c>
      <c r="P11" s="3">
        <f ca="1">'DJB Daily Readings'!AD19-'DJB Daily Readings'!AD18</f>
        <v>12715.920000001788</v>
      </c>
      <c r="Q11" s="3">
        <f ca="1">'DJB Daily Readings'!AG19-'DJB Daily Readings'!AG18</f>
        <v>8233.6799999959767</v>
      </c>
      <c r="R11" s="3">
        <f ca="1">'DJB Daily Readings'!AJ19-'DJB Daily Readings'!AJ18</f>
        <v>6138.7199999988079</v>
      </c>
      <c r="S11" s="3">
        <f ca="1">'DJB Daily Readings'!AM19-'DJB Daily Readings'!AM18</f>
        <v>4823.2800000011921</v>
      </c>
      <c r="T11" s="3">
        <f ca="1">'DJB Daily Readings'!AP19-'DJB Daily Readings'!AP18</f>
        <v>5066.8800000008196</v>
      </c>
      <c r="U11" s="3">
        <f ca="1">'DJB Daily Readings'!AS19-'DJB Daily Readings'!AS18</f>
        <v>3848.8800000008196</v>
      </c>
      <c r="V11" s="3">
        <f ca="1">'DJB Daily Readings'!AV19-'DJB Daily Readings'!AV18</f>
        <v>6090</v>
      </c>
      <c r="W11" s="3">
        <f ca="1">'DJB Daily Readings'!AZ19-'DJB Daily Readings'!AZ18</f>
        <v>0</v>
      </c>
      <c r="X11" s="3">
        <f ca="1">'DJB Daily Readings'!BC19-'DJB Daily Readings'!BC18</f>
        <v>60500</v>
      </c>
      <c r="Y11" s="3">
        <f ca="1">'DJB Daily Readings'!BF19-'DJB Daily Readings'!BF18</f>
        <v>36900</v>
      </c>
      <c r="Z11" s="3">
        <f ca="1">('DJB Daily Readings'!CK19-'DJB Daily Readings'!CK18)*1.89</f>
        <v>141.75</v>
      </c>
      <c r="AA11" s="3">
        <f ca="1">('DJB Daily Readings'!CN19-'DJB Daily Readings'!CN18)*1.89</f>
        <v>115.28999999999999</v>
      </c>
      <c r="AB11" s="3">
        <f ca="1">('DJB Daily Readings'!CQ19-'DJB Daily Readings'!CQ18)*1.89</f>
        <v>0</v>
      </c>
      <c r="AC11" s="3">
        <f ca="1">'DJB Daily Readings'!CT19-'DJB Daily Readings'!CT18</f>
        <v>170</v>
      </c>
      <c r="AD11" s="84">
        <f ca="1">('DJB Daily Readings'!BY19-'DJB Daily Readings'!BY18)*1.89</f>
        <v>47.25</v>
      </c>
      <c r="AE11" s="84">
        <f ca="1">('DJB Daily Readings'!CA19-'DJB Daily Readings'!CA18)*1.89</f>
        <v>43.47</v>
      </c>
      <c r="AF11" s="84">
        <f ca="1">('DJB Daily Readings'!CC19-'DJB Daily Readings'!CC18)*1.89</f>
        <v>11.34</v>
      </c>
      <c r="AG11" s="84">
        <f ca="1">('DJB Daily Readings'!CE19-'DJB Daily Readings'!CE18)*1.89</f>
        <v>18.899999999999999</v>
      </c>
      <c r="AH11" s="84">
        <f ca="1">('DJB Daily Readings'!CG19-'DJB Daily Readings'!CG18)*1.89</f>
        <v>32.129999999999995</v>
      </c>
      <c r="AI11" s="84">
        <f ca="1">('DJB Daily Readings'!CI19-'DJB Daily Readings'!CI18)*1.89</f>
        <v>64.259999999999991</v>
      </c>
      <c r="AJ11" s="81">
        <f ca="1">'DJB Daily Readings'!CY19-'DJB Daily Readings'!CY18</f>
        <v>3</v>
      </c>
      <c r="AK11" s="81">
        <f ca="1">'DJB Daily Readings'!CW19-'DJB Daily Readings'!CW18</f>
        <v>5</v>
      </c>
      <c r="AL11" s="82">
        <f ca="1">'DJB Daily Readings'!DC19-'DJB Daily Readings'!DC18</f>
        <v>19</v>
      </c>
      <c r="AM11" s="82">
        <f ca="1">'DJB Daily Readings'!DA19-'DJB Daily Readings'!DA18</f>
        <v>13</v>
      </c>
      <c r="AN11" s="82">
        <f ca="1">'DJB Daily Readings'!DG19-'DJB Daily Readings'!DG18</f>
        <v>7</v>
      </c>
      <c r="AO11" s="82">
        <f ca="1">'DJB Daily Readings'!DE19-'DJB Daily Readings'!DE18</f>
        <v>7</v>
      </c>
      <c r="AP11" s="82">
        <f ca="1">'DJB Daily Readings'!DK19-'DJB Daily Readings'!DK18</f>
        <v>6</v>
      </c>
      <c r="AQ11" s="82">
        <f ca="1">'DJB Daily Readings'!DI19-'DJB Daily Readings'!DI18</f>
        <v>9</v>
      </c>
      <c r="AR11" s="82">
        <f ca="1">'DJB Daily Readings'!DO19-'DJB Daily Readings'!DO18</f>
        <v>8</v>
      </c>
      <c r="AS11" s="82">
        <f ca="1">'DJB Daily Readings'!DM19-'DJB Daily Readings'!DM18</f>
        <v>3</v>
      </c>
      <c r="AT11" s="82">
        <f ca="1">'DJB Daily Readings'!DQ19-'DJB Daily Readings'!DQ18</f>
        <v>9</v>
      </c>
      <c r="AU11" s="82">
        <f ca="1">'DJB Daily Readings'!DT19-'DJB Daily Readings'!DT18</f>
        <v>11.5</v>
      </c>
      <c r="AW11" s="82">
        <f ca="1">'DJB Daily Readings'!DX19-'DJB Daily Readings'!DX18</f>
        <v>7.0999999999994543</v>
      </c>
      <c r="AX11" s="82">
        <f ca="1">'DJB Daily Readings'!DZ19-'DJB Daily Readings'!DZ18</f>
        <v>7.5</v>
      </c>
      <c r="AY11" s="82">
        <f ca="1">'DJB Daily Readings'!EB19-'DJB Daily Readings'!EB18</f>
        <v>699</v>
      </c>
      <c r="AZ11" s="82">
        <f ca="1">'DJB Daily Readings'!ED19-'DJB Daily Readings'!ED18</f>
        <v>155.79999999998836</v>
      </c>
      <c r="BA11" s="82">
        <f ca="1">'DJB Daily Readings'!EG19-'DJB Daily Readings'!EG18</f>
        <v>7100</v>
      </c>
      <c r="BB11" s="82">
        <f ca="1">'DJB Daily Readings'!EI19-'DJB Daily Readings'!EI18</f>
        <v>300</v>
      </c>
      <c r="BC11" s="82">
        <f ca="1">'DJB Daily Readings'!EQ19-'DJB Daily Readings'!EQ18</f>
        <v>8400</v>
      </c>
      <c r="BD11" s="82">
        <f ca="1">'DJB Daily Readings'!EK19-'DJB Daily Readings'!EK18</f>
        <v>2800</v>
      </c>
      <c r="BE11" s="82">
        <f ca="1">'DJB Daily Readings'!EM19-'DJB Daily Readings'!EM18</f>
        <v>600</v>
      </c>
      <c r="BF11" s="82">
        <f ca="1">'DJB Daily Readings'!EO19-'DJB Daily Readings'!EO18</f>
        <v>800</v>
      </c>
      <c r="BG11" s="82">
        <f ca="1">('DJB Daily Readings'!ET19-'DJB Daily Readings'!ET18)*1.89</f>
        <v>34.019999999999996</v>
      </c>
      <c r="BH11" s="82">
        <f ca="1">('DJB Daily Readings'!EV19-'DJB Daily Readings'!EV18)*1.89</f>
        <v>24.57</v>
      </c>
      <c r="BI11" s="82">
        <f ca="1">('DJB Daily Readings'!EZ19-'DJB Daily Readings'!EZ18)*1.89</f>
        <v>24.57</v>
      </c>
      <c r="BJ11" s="82">
        <f ca="1">('DJB Daily Readings'!EX19-'DJB Daily Readings'!EX18)*1.89</f>
        <v>15.12</v>
      </c>
      <c r="BK11" s="82">
        <f ca="1">('DJB Daily Readings'!FB19-'DJB Daily Readings'!FB18)*1.89</f>
        <v>60.48</v>
      </c>
      <c r="BL11" s="82">
        <f ca="1"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 ca="1">'DJB Daily Readings'!C20-'DJB Daily Readings'!C19</f>
        <v>910</v>
      </c>
      <c r="H12" s="3">
        <f ca="1">'DJB Daily Readings'!F20-'DJB Daily Readings'!F19</f>
        <v>448</v>
      </c>
      <c r="I12" s="3">
        <f ca="1">'DJB Daily Readings'!K20-'DJB Daily Readings'!K19</f>
        <v>296</v>
      </c>
      <c r="J12" s="3">
        <f ca="1">'DJB Daily Readings'!K20-'DJB Daily Readings'!K19</f>
        <v>296</v>
      </c>
      <c r="K12" s="3">
        <f ca="1">'DJB Daily Readings'!O20-'DJB Daily Readings'!O19</f>
        <v>229</v>
      </c>
      <c r="L12" s="3">
        <f ca="1">'DJB Daily Readings'!R20-'DJB Daily Readings'!R19</f>
        <v>11</v>
      </c>
      <c r="M12" s="3">
        <f ca="1">'DJB Daily Readings'!U20-'DJB Daily Readings'!U19</f>
        <v>2874.480000000447</v>
      </c>
      <c r="N12" s="3">
        <f ca="1">'DJB Daily Readings'!X20-'DJB Daily Readings'!X19</f>
        <v>4579.6799999978393</v>
      </c>
      <c r="O12" s="3">
        <f ca="1">'DJB Daily Readings'!AA20-'DJB Daily Readings'!AA19</f>
        <v>633.3600000012666</v>
      </c>
      <c r="P12" s="3">
        <f ca="1">'DJB Daily Readings'!AD20-'DJB Daily Readings'!AD19</f>
        <v>8720.8799999989569</v>
      </c>
      <c r="Q12" s="3">
        <f ca="1">'DJB Daily Readings'!AG20-'DJB Daily Readings'!AG19</f>
        <v>9110.6400000043213</v>
      </c>
      <c r="R12" s="3">
        <f ca="1">'DJB Daily Readings'!AJ20-'DJB Daily Readings'!AJ19</f>
        <v>5651.519999999553</v>
      </c>
      <c r="S12" s="3">
        <f ca="1">'DJB Daily Readings'!AM20-'DJB Daily Readings'!AM19</f>
        <v>4336.0800000019372</v>
      </c>
      <c r="T12" s="3">
        <f ca="1">'DJB Daily Readings'!AP20-'DJB Daily Readings'!AP19</f>
        <v>4579.6799999978393</v>
      </c>
      <c r="U12" s="3">
        <f ca="1">'DJB Daily Readings'!AS20-'DJB Daily Readings'!AS19</f>
        <v>3361.679999999702</v>
      </c>
      <c r="V12" s="3">
        <f ca="1">'DJB Daily Readings'!AV20-'DJB Daily Readings'!AV19</f>
        <v>5554.0799999982119</v>
      </c>
      <c r="W12" s="3">
        <f ca="1">'DJB Daily Readings'!AZ20-'DJB Daily Readings'!AZ19</f>
        <v>0</v>
      </c>
      <c r="X12" s="3">
        <f ca="1">'DJB Daily Readings'!BC20-'DJB Daily Readings'!BC19</f>
        <v>62700</v>
      </c>
      <c r="Y12" s="3">
        <f ca="1">'DJB Daily Readings'!BF20-'DJB Daily Readings'!BF19</f>
        <v>50100</v>
      </c>
      <c r="Z12" s="3">
        <f ca="1">('DJB Daily Readings'!CK20-'DJB Daily Readings'!CK19)*1.89</f>
        <v>136.07999999999998</v>
      </c>
      <c r="AA12" s="3">
        <f ca="1">('DJB Daily Readings'!CN20-'DJB Daily Readings'!CN19)*1.89</f>
        <v>153.09</v>
      </c>
      <c r="AB12" s="3">
        <f ca="1">('DJB Daily Readings'!CQ20-'DJB Daily Readings'!CQ19)*1.89</f>
        <v>0</v>
      </c>
      <c r="AC12" s="3">
        <f ca="1">'DJB Daily Readings'!CT20-'DJB Daily Readings'!CT19</f>
        <v>161</v>
      </c>
      <c r="AD12" s="84">
        <f ca="1">('DJB Daily Readings'!BY20-'DJB Daily Readings'!BY19)*1.89</f>
        <v>35.909999999999997</v>
      </c>
      <c r="AE12" s="84">
        <f ca="1">('DJB Daily Readings'!CA20-'DJB Daily Readings'!CA19)*1.89</f>
        <v>32.129999999999995</v>
      </c>
      <c r="AF12" s="84">
        <f ca="1">('DJB Daily Readings'!CC20-'DJB Daily Readings'!CC19)*1.89</f>
        <v>11.34</v>
      </c>
      <c r="AG12" s="84">
        <f ca="1">('DJB Daily Readings'!CE20-'DJB Daily Readings'!CE19)*1.89</f>
        <v>18.899999999999999</v>
      </c>
      <c r="AH12" s="84">
        <f ca="1">('DJB Daily Readings'!CG20-'DJB Daily Readings'!CG19)*1.89</f>
        <v>30.24</v>
      </c>
      <c r="AI12" s="84">
        <f ca="1">('DJB Daily Readings'!CI20-'DJB Daily Readings'!CI19)*1.89</f>
        <v>68.039999999999992</v>
      </c>
      <c r="AJ12" s="81">
        <f ca="1">'DJB Daily Readings'!CY20-'DJB Daily Readings'!CY19</f>
        <v>5</v>
      </c>
      <c r="AK12" s="81">
        <f ca="1">'DJB Daily Readings'!CW20-'DJB Daily Readings'!CW19</f>
        <v>6</v>
      </c>
      <c r="AL12" s="82">
        <f ca="1">'DJB Daily Readings'!DC20-'DJB Daily Readings'!DC19</f>
        <v>14</v>
      </c>
      <c r="AM12" s="82">
        <f ca="1">'DJB Daily Readings'!DA20-'DJB Daily Readings'!DA19</f>
        <v>11</v>
      </c>
      <c r="AN12" s="82">
        <f ca="1">'DJB Daily Readings'!DG20-'DJB Daily Readings'!DG19</f>
        <v>6</v>
      </c>
      <c r="AO12" s="82">
        <f ca="1">'DJB Daily Readings'!DE20-'DJB Daily Readings'!DE19</f>
        <v>8</v>
      </c>
      <c r="AP12" s="82">
        <f ca="1">'DJB Daily Readings'!DK20-'DJB Daily Readings'!DK19</f>
        <v>7</v>
      </c>
      <c r="AQ12" s="82">
        <f ca="1">'DJB Daily Readings'!DI20-'DJB Daily Readings'!DI19</f>
        <v>9</v>
      </c>
      <c r="AR12" s="82">
        <f ca="1">'DJB Daily Readings'!DO20-'DJB Daily Readings'!DO19</f>
        <v>8</v>
      </c>
      <c r="AS12" s="82">
        <f ca="1">'DJB Daily Readings'!DM20-'DJB Daily Readings'!DM19</f>
        <v>3</v>
      </c>
      <c r="AT12" s="82">
        <f ca="1">'DJB Daily Readings'!DQ20-'DJB Daily Readings'!DQ19</f>
        <v>2</v>
      </c>
      <c r="AU12" s="82">
        <f ca="1">'DJB Daily Readings'!DT20-'DJB Daily Readings'!DT19</f>
        <v>10.900000000000546</v>
      </c>
      <c r="AW12" s="82">
        <f ca="1">'DJB Daily Readings'!DX20-'DJB Daily Readings'!DX19</f>
        <v>6.8000000000001819</v>
      </c>
      <c r="AX12" s="82">
        <f ca="1">'DJB Daily Readings'!DZ20-'DJB Daily Readings'!DZ19</f>
        <v>6.7999999999992724</v>
      </c>
      <c r="AY12" s="82">
        <f ca="1">'DJB Daily Readings'!EB20-'DJB Daily Readings'!EB19</f>
        <v>657</v>
      </c>
      <c r="AZ12" s="82">
        <f ca="1">'DJB Daily Readings'!ED20-'DJB Daily Readings'!ED19</f>
        <v>148.79999999998836</v>
      </c>
      <c r="BA12" s="82">
        <f ca="1">'DJB Daily Readings'!EG20-'DJB Daily Readings'!EG19</f>
        <v>7700</v>
      </c>
      <c r="BB12" s="82">
        <f ca="1">'DJB Daily Readings'!EI20-'DJB Daily Readings'!EI19</f>
        <v>300</v>
      </c>
      <c r="BC12" s="82">
        <f ca="1">'DJB Daily Readings'!EQ20-'DJB Daily Readings'!EQ19</f>
        <v>8800</v>
      </c>
      <c r="BD12" s="82">
        <f ca="1">'DJB Daily Readings'!EK20-'DJB Daily Readings'!EK19</f>
        <v>2900</v>
      </c>
      <c r="BE12" s="82">
        <f ca="1">'DJB Daily Readings'!EM20-'DJB Daily Readings'!EM19</f>
        <v>900</v>
      </c>
      <c r="BF12" s="82">
        <f ca="1">'DJB Daily Readings'!EO20-'DJB Daily Readings'!EO19</f>
        <v>830</v>
      </c>
      <c r="BG12" s="82">
        <f ca="1">('DJB Daily Readings'!ET20-'DJB Daily Readings'!ET19)*1.89</f>
        <v>20.79</v>
      </c>
      <c r="BH12" s="82">
        <f ca="1">('DJB Daily Readings'!EV20-'DJB Daily Readings'!EV19)*1.89</f>
        <v>20.79</v>
      </c>
      <c r="BI12" s="82">
        <f ca="1">('DJB Daily Readings'!EZ20-'DJB Daily Readings'!EZ19)*1.89</f>
        <v>22.68</v>
      </c>
      <c r="BJ12" s="82">
        <f ca="1">('DJB Daily Readings'!EX20-'DJB Daily Readings'!EX19)*1.89</f>
        <v>17.009999999999998</v>
      </c>
      <c r="BK12" s="82">
        <f ca="1">('DJB Daily Readings'!FB20-'DJB Daily Readings'!FB19)*1.89</f>
        <v>64.259999999999991</v>
      </c>
      <c r="BL12" s="82">
        <f ca="1"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 ca="1">'DJB Daily Readings'!C21-'DJB Daily Readings'!C20</f>
        <v>915</v>
      </c>
      <c r="H13" s="3">
        <f ca="1">'DJB Daily Readings'!F21-'DJB Daily Readings'!F20</f>
        <v>503</v>
      </c>
      <c r="I13" s="3">
        <f ca="1">'DJB Daily Readings'!K21-'DJB Daily Readings'!K20</f>
        <v>355</v>
      </c>
      <c r="J13" s="3">
        <f ca="1">'DJB Daily Readings'!K21-'DJB Daily Readings'!K20</f>
        <v>355</v>
      </c>
      <c r="K13" s="3">
        <f ca="1">'DJB Daily Readings'!O21-'DJB Daily Readings'!O20</f>
        <v>215</v>
      </c>
      <c r="L13" s="3">
        <f ca="1">'DJB Daily Readings'!R21-'DJB Daily Readings'!R20</f>
        <v>19</v>
      </c>
      <c r="M13" s="3">
        <f ca="1">'DJB Daily Readings'!U21-'DJB Daily Readings'!U20</f>
        <v>3215.519999999553</v>
      </c>
      <c r="N13" s="3">
        <f ca="1">'DJB Daily Readings'!X21-'DJB Daily Readings'!X20</f>
        <v>4969.4400000013411</v>
      </c>
      <c r="O13" s="3">
        <f ca="1">'DJB Daily Readings'!AA21-'DJB Daily Readings'!AA20</f>
        <v>11351.759999999776</v>
      </c>
      <c r="P13" s="3">
        <f ca="1">'DJB Daily Readings'!AD21-'DJB Daily Readings'!AD20</f>
        <v>12715.919999998063</v>
      </c>
      <c r="Q13" s="3">
        <f ca="1">'DJB Daily Readings'!AG21-'DJB Daily Readings'!AG20</f>
        <v>1169.2800000011921</v>
      </c>
      <c r="R13" s="3">
        <f ca="1">'DJB Daily Readings'!AJ21-'DJB Daily Readings'!AJ20</f>
        <v>6138.7199999988079</v>
      </c>
      <c r="S13" s="3">
        <f ca="1">'DJB Daily Readings'!AM21-'DJB Daily Readings'!AM20</f>
        <v>4725.8399999979883</v>
      </c>
      <c r="T13" s="3">
        <f ca="1">'DJB Daily Readings'!AP21-'DJB Daily Readings'!AP20</f>
        <v>4920.7200000025332</v>
      </c>
      <c r="U13" s="3">
        <f ca="1">'DJB Daily Readings'!AS21-'DJB Daily Readings'!AS20</f>
        <v>3507.839999999851</v>
      </c>
      <c r="V13" s="3">
        <f ca="1">'DJB Daily Readings'!AV21-'DJB Daily Readings'!AV20</f>
        <v>6138.7199999988079</v>
      </c>
      <c r="W13" s="3">
        <f ca="1">'DJB Daily Readings'!AZ21-'DJB Daily Readings'!AZ20</f>
        <v>51600</v>
      </c>
      <c r="X13" s="3">
        <f ca="1">'DJB Daily Readings'!BC21-'DJB Daily Readings'!BC20</f>
        <v>47200</v>
      </c>
      <c r="Y13" s="3">
        <f ca="1">'DJB Daily Readings'!BF21-'DJB Daily Readings'!BF20</f>
        <v>7200</v>
      </c>
      <c r="Z13" s="3">
        <f ca="1">('DJB Daily Readings'!CK21-'DJB Daily Readings'!CK20)*1.89</f>
        <v>158.76</v>
      </c>
      <c r="AA13" s="3">
        <f ca="1">('DJB Daily Readings'!CN21-'DJB Daily Readings'!CN20)*1.89</f>
        <v>179.54999999999998</v>
      </c>
      <c r="AB13" s="3">
        <f ca="1">('DJB Daily Readings'!CQ21-'DJB Daily Readings'!CQ20)*1.89</f>
        <v>0</v>
      </c>
      <c r="AC13" s="3">
        <f ca="1">'DJB Daily Readings'!CT21-'DJB Daily Readings'!CT20</f>
        <v>168</v>
      </c>
      <c r="AD13" s="84">
        <f ca="1">('DJB Daily Readings'!BY21-'DJB Daily Readings'!BY20)*1.89</f>
        <v>45.36</v>
      </c>
      <c r="AE13" s="84">
        <f ca="1">('DJB Daily Readings'!CA21-'DJB Daily Readings'!CA20)*1.89</f>
        <v>37.799999999999997</v>
      </c>
      <c r="AF13" s="84">
        <f ca="1">('DJB Daily Readings'!CC21-'DJB Daily Readings'!CC20)*1.89</f>
        <v>13.229999999999999</v>
      </c>
      <c r="AG13" s="84">
        <f ca="1">('DJB Daily Readings'!CE21-'DJB Daily Readings'!CE20)*1.89</f>
        <v>18.899999999999999</v>
      </c>
      <c r="AH13" s="84">
        <f ca="1">('DJB Daily Readings'!CG21-'DJB Daily Readings'!CG20)*1.89</f>
        <v>30.24</v>
      </c>
      <c r="AI13" s="84">
        <f ca="1">('DJB Daily Readings'!CI21-'DJB Daily Readings'!CI20)*1.89</f>
        <v>62.37</v>
      </c>
      <c r="AJ13" s="81">
        <f ca="1">'DJB Daily Readings'!CY21-'DJB Daily Readings'!CY20</f>
        <v>8</v>
      </c>
      <c r="AK13" s="81">
        <f ca="1">'DJB Daily Readings'!CW21-'DJB Daily Readings'!CW20</f>
        <v>10</v>
      </c>
      <c r="AL13" s="82">
        <f ca="1">'DJB Daily Readings'!DC21-'DJB Daily Readings'!DC20</f>
        <v>14</v>
      </c>
      <c r="AM13" s="82">
        <f ca="1">'DJB Daily Readings'!DA21-'DJB Daily Readings'!DA20</f>
        <v>15</v>
      </c>
      <c r="AN13" s="82">
        <f ca="1">'DJB Daily Readings'!DG21-'DJB Daily Readings'!DG20</f>
        <v>6</v>
      </c>
      <c r="AO13" s="82">
        <f ca="1">'DJB Daily Readings'!DE21-'DJB Daily Readings'!DE20</f>
        <v>8</v>
      </c>
      <c r="AP13" s="82">
        <f ca="1">'DJB Daily Readings'!DK21-'DJB Daily Readings'!DK20</f>
        <v>5</v>
      </c>
      <c r="AQ13" s="82">
        <f ca="1">'DJB Daily Readings'!DI21-'DJB Daily Readings'!DI20</f>
        <v>9</v>
      </c>
      <c r="AR13" s="82">
        <f ca="1">'DJB Daily Readings'!DO21-'DJB Daily Readings'!DO20</f>
        <v>9</v>
      </c>
      <c r="AS13" s="82">
        <f ca="1">'DJB Daily Readings'!DM21-'DJB Daily Readings'!DM20</f>
        <v>3</v>
      </c>
      <c r="AT13" s="82">
        <f ca="1">'DJB Daily Readings'!DQ21-'DJB Daily Readings'!DQ20</f>
        <v>8</v>
      </c>
      <c r="AU13" s="82">
        <f ca="1">'DJB Daily Readings'!DT21-'DJB Daily Readings'!DT20</f>
        <v>12.099999999999454</v>
      </c>
      <c r="AW13" s="82">
        <f ca="1">'DJB Daily Readings'!DX21-'DJB Daily Readings'!DX20</f>
        <v>7.3999999999996362</v>
      </c>
      <c r="AX13" s="82">
        <f ca="1">'DJB Daily Readings'!DZ21-'DJB Daily Readings'!DZ20</f>
        <v>7.4000000000005457</v>
      </c>
      <c r="AY13" s="82">
        <f ca="1">'DJB Daily Readings'!EB21-'DJB Daily Readings'!EB20</f>
        <v>699</v>
      </c>
      <c r="AZ13" s="82">
        <f ca="1">'DJB Daily Readings'!ED21-'DJB Daily Readings'!ED20</f>
        <v>159.90000000002328</v>
      </c>
      <c r="BA13" s="82">
        <f ca="1">'DJB Daily Readings'!EG21-'DJB Daily Readings'!EG20</f>
        <v>7500</v>
      </c>
      <c r="BB13" s="82">
        <f ca="1">'DJB Daily Readings'!EI21-'DJB Daily Readings'!EI20</f>
        <v>310</v>
      </c>
      <c r="BC13" s="82">
        <f ca="1">'DJB Daily Readings'!EQ21-'DJB Daily Readings'!EQ20</f>
        <v>8300</v>
      </c>
      <c r="BD13" s="82">
        <f ca="1">'DJB Daily Readings'!EK21-'DJB Daily Readings'!EK20</f>
        <v>2900</v>
      </c>
      <c r="BE13" s="82">
        <f ca="1">'DJB Daily Readings'!EM21-'DJB Daily Readings'!EM20</f>
        <v>800</v>
      </c>
      <c r="BF13" s="82">
        <f ca="1">'DJB Daily Readings'!EO21-'DJB Daily Readings'!EO20</f>
        <v>850</v>
      </c>
      <c r="BG13" s="82">
        <f ca="1">('DJB Daily Readings'!ET21-'DJB Daily Readings'!ET20)*1.89</f>
        <v>28.349999999999998</v>
      </c>
      <c r="BH13" s="82">
        <f ca="1">('DJB Daily Readings'!EV21-'DJB Daily Readings'!EV20)*1.89</f>
        <v>24.57</v>
      </c>
      <c r="BI13" s="82">
        <f ca="1">('DJB Daily Readings'!EZ21-'DJB Daily Readings'!EZ20)*1.89</f>
        <v>34.019999999999996</v>
      </c>
      <c r="BJ13" s="82">
        <f ca="1">('DJB Daily Readings'!EX21-'DJB Daily Readings'!EX20)*1.89</f>
        <v>18.899999999999999</v>
      </c>
      <c r="BK13" s="82">
        <f ca="1">('DJB Daily Readings'!FB21-'DJB Daily Readings'!FB20)*1.89</f>
        <v>66.149999999999991</v>
      </c>
      <c r="BL13" s="82">
        <f ca="1"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 ca="1">'DJB Daily Readings'!C22-'DJB Daily Readings'!C21</f>
        <v>943</v>
      </c>
      <c r="H14" s="3">
        <f ca="1">'DJB Daily Readings'!F22-'DJB Daily Readings'!F21</f>
        <v>445</v>
      </c>
      <c r="I14" s="3">
        <f ca="1">'DJB Daily Readings'!K22-'DJB Daily Readings'!K21</f>
        <v>323</v>
      </c>
      <c r="J14" s="3">
        <f ca="1">'DJB Daily Readings'!K22-'DJB Daily Readings'!K21</f>
        <v>323</v>
      </c>
      <c r="K14" s="3">
        <f ca="1">'DJB Daily Readings'!O22-'DJB Daily Readings'!O21</f>
        <v>182</v>
      </c>
      <c r="L14" s="3">
        <f ca="1">'DJB Daily Readings'!R22-'DJB Daily Readings'!R21</f>
        <v>13</v>
      </c>
      <c r="M14" s="3">
        <f ca="1">'DJB Daily Readings'!U22-'DJB Daily Readings'!U21</f>
        <v>2923.2000000001863</v>
      </c>
      <c r="N14" s="3">
        <f ca="1">'DJB Daily Readings'!X22-'DJB Daily Readings'!X21</f>
        <v>4628.4000000003725</v>
      </c>
      <c r="O14" s="3">
        <f ca="1">'DJB Daily Readings'!AA22-'DJB Daily Readings'!AA21</f>
        <v>12374.879999998957</v>
      </c>
      <c r="P14" s="3">
        <f ca="1">'DJB Daily Readings'!AD22-'DJB Daily Readings'!AD21</f>
        <v>5018.1600000038743</v>
      </c>
      <c r="Q14" s="3">
        <f ca="1">'DJB Daily Readings'!AG22-'DJB Daily Readings'!AG21</f>
        <v>0</v>
      </c>
      <c r="R14" s="3">
        <f ca="1">'DJB Daily Readings'!AJ22-'DJB Daily Readings'!AJ21</f>
        <v>5846.3999999985099</v>
      </c>
      <c r="S14" s="3">
        <f ca="1">'DJB Daily Readings'!AM22-'DJB Daily Readings'!AM21</f>
        <v>4433.5200000014156</v>
      </c>
      <c r="T14" s="3">
        <f ca="1">'DJB Daily Readings'!AP22-'DJB Daily Readings'!AP21</f>
        <v>4677.1199999991804</v>
      </c>
      <c r="U14" s="3">
        <f ca="1">'DJB Daily Readings'!AS22-'DJB Daily Readings'!AS21</f>
        <v>4384.8000000007451</v>
      </c>
      <c r="V14" s="3">
        <f ca="1">'DJB Daily Readings'!AV22-'DJB Daily Readings'!AV21</f>
        <v>5846.4000000022352</v>
      </c>
      <c r="W14" s="3">
        <f ca="1">'DJB Daily Readings'!AZ22-'DJB Daily Readings'!AZ21</f>
        <v>61500</v>
      </c>
      <c r="X14" s="3">
        <f ca="1">'DJB Daily Readings'!BC22-'DJB Daily Readings'!BC21</f>
        <v>26300</v>
      </c>
      <c r="Y14" s="3">
        <f ca="1">'DJB Daily Readings'!BF22-'DJB Daily Readings'!BF21</f>
        <v>0</v>
      </c>
      <c r="Z14" s="3">
        <f ca="1">('DJB Daily Readings'!CK22-'DJB Daily Readings'!CK21)*1.89</f>
        <v>119.07</v>
      </c>
      <c r="AA14" s="3">
        <f ca="1">('DJB Daily Readings'!CN22-'DJB Daily Readings'!CN21)*1.89</f>
        <v>173.88</v>
      </c>
      <c r="AB14" s="3">
        <f ca="1">('DJB Daily Readings'!CQ22-'DJB Daily Readings'!CQ21)*1.89</f>
        <v>0</v>
      </c>
      <c r="AC14" s="3">
        <f ca="1">'DJB Daily Readings'!CT22-'DJB Daily Readings'!CT21</f>
        <v>164</v>
      </c>
      <c r="AD14" s="84">
        <f ca="1">('DJB Daily Readings'!BY22-'DJB Daily Readings'!BY21)*1.89</f>
        <v>35.909999999999997</v>
      </c>
      <c r="AE14" s="84">
        <f ca="1">('DJB Daily Readings'!CA22-'DJB Daily Readings'!CA21)*1.89</f>
        <v>39.69</v>
      </c>
      <c r="AF14" s="84">
        <f ca="1">('DJB Daily Readings'!CC22-'DJB Daily Readings'!CC21)*1.89</f>
        <v>11.34</v>
      </c>
      <c r="AG14" s="84">
        <f ca="1">('DJB Daily Readings'!CE22-'DJB Daily Readings'!CE21)*1.89</f>
        <v>20.79</v>
      </c>
      <c r="AH14" s="84">
        <f ca="1">('DJB Daily Readings'!CG22-'DJB Daily Readings'!CG21)*1.89</f>
        <v>24.57</v>
      </c>
      <c r="AI14" s="84">
        <f ca="1">('DJB Daily Readings'!CI22-'DJB Daily Readings'!CI21)*1.89</f>
        <v>62.37</v>
      </c>
      <c r="AJ14" s="81">
        <f ca="1">'DJB Daily Readings'!CY22-'DJB Daily Readings'!CY21</f>
        <v>8</v>
      </c>
      <c r="AK14" s="81">
        <f ca="1">'DJB Daily Readings'!CW22-'DJB Daily Readings'!CW21</f>
        <v>8</v>
      </c>
      <c r="AL14" s="82">
        <f ca="1">'DJB Daily Readings'!DC22-'DJB Daily Readings'!DC21</f>
        <v>11</v>
      </c>
      <c r="AM14" s="82">
        <f ca="1">'DJB Daily Readings'!DA22-'DJB Daily Readings'!DA21</f>
        <v>16</v>
      </c>
      <c r="AN14" s="82">
        <f ca="1">'DJB Daily Readings'!DG22-'DJB Daily Readings'!DG21</f>
        <v>7</v>
      </c>
      <c r="AO14" s="82">
        <f ca="1">'DJB Daily Readings'!DE22-'DJB Daily Readings'!DE21</f>
        <v>8</v>
      </c>
      <c r="AP14" s="82">
        <f ca="1">'DJB Daily Readings'!DK22-'DJB Daily Readings'!DK21</f>
        <v>8</v>
      </c>
      <c r="AQ14" s="82">
        <f ca="1">'DJB Daily Readings'!DI22-'DJB Daily Readings'!DI21</f>
        <v>8</v>
      </c>
      <c r="AR14" s="82">
        <f ca="1">'DJB Daily Readings'!DO22-'DJB Daily Readings'!DO21</f>
        <v>8</v>
      </c>
      <c r="AS14" s="82">
        <f ca="1">'DJB Daily Readings'!DM22-'DJB Daily Readings'!DM21</f>
        <v>2</v>
      </c>
      <c r="AT14" s="82">
        <f ca="1">'DJB Daily Readings'!DQ22-'DJB Daily Readings'!DQ21</f>
        <v>1</v>
      </c>
      <c r="AU14" s="82">
        <f ca="1">'DJB Daily Readings'!DT22-'DJB Daily Readings'!DT21</f>
        <v>11.199999999999818</v>
      </c>
      <c r="AW14" s="82">
        <f ca="1">'DJB Daily Readings'!DX22-'DJB Daily Readings'!DX21</f>
        <v>6.8000000000001819</v>
      </c>
      <c r="AX14" s="82">
        <f ca="1">'DJB Daily Readings'!DZ22-'DJB Daily Readings'!DZ21</f>
        <v>6.8999999999996362</v>
      </c>
      <c r="AY14" s="82">
        <f ca="1">'DJB Daily Readings'!EB22-'DJB Daily Readings'!EB21</f>
        <v>661</v>
      </c>
      <c r="AZ14" s="82">
        <f ca="1">'DJB Daily Readings'!ED22-'DJB Daily Readings'!ED21</f>
        <v>145.39999999999418</v>
      </c>
      <c r="BA14" s="82">
        <f ca="1">'DJB Daily Readings'!EG22-'DJB Daily Readings'!EG21</f>
        <v>6000</v>
      </c>
      <c r="BB14" s="82">
        <f ca="1">'DJB Daily Readings'!EI22-'DJB Daily Readings'!EI21</f>
        <v>300</v>
      </c>
      <c r="BC14" s="82">
        <f ca="1">'DJB Daily Readings'!EQ22-'DJB Daily Readings'!EQ21</f>
        <v>6700</v>
      </c>
      <c r="BD14" s="82">
        <f ca="1">'DJB Daily Readings'!EK22-'DJB Daily Readings'!EK21</f>
        <v>2600</v>
      </c>
      <c r="BE14" s="82">
        <f ca="1">'DJB Daily Readings'!EM22-'DJB Daily Readings'!EM21</f>
        <v>600</v>
      </c>
      <c r="BF14" s="82">
        <f ca="1">'DJB Daily Readings'!EO22-'DJB Daily Readings'!EO21</f>
        <v>800</v>
      </c>
      <c r="BG14" s="82">
        <f ca="1">('DJB Daily Readings'!ET22-'DJB Daily Readings'!ET21)*1.89</f>
        <v>28.349999999999998</v>
      </c>
      <c r="BH14" s="82">
        <f ca="1">('DJB Daily Readings'!EV22-'DJB Daily Readings'!EV21)*1.89</f>
        <v>24.57</v>
      </c>
      <c r="BI14" s="82">
        <f ca="1">('DJB Daily Readings'!EZ22-'DJB Daily Readings'!EZ21)*1.89</f>
        <v>30.24</v>
      </c>
      <c r="BJ14" s="82">
        <f ca="1">('DJB Daily Readings'!EX22-'DJB Daily Readings'!EX21)*1.89</f>
        <v>17.009999999999998</v>
      </c>
      <c r="BK14" s="82">
        <f ca="1">('DJB Daily Readings'!FB22-'DJB Daily Readings'!FB21)*1.89</f>
        <v>68.039999999999992</v>
      </c>
      <c r="BL14" s="82">
        <f ca="1"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 ca="1">'DJB Daily Readings'!C23-'DJB Daily Readings'!C22</f>
        <v>934</v>
      </c>
      <c r="H15" s="3">
        <f ca="1">'DJB Daily Readings'!F23-'DJB Daily Readings'!F22</f>
        <v>514</v>
      </c>
      <c r="I15" s="3">
        <f ca="1">'DJB Daily Readings'!K23-'DJB Daily Readings'!K22</f>
        <v>320</v>
      </c>
      <c r="J15" s="3">
        <f ca="1">'DJB Daily Readings'!K23-'DJB Daily Readings'!K22</f>
        <v>320</v>
      </c>
      <c r="K15" s="3">
        <f ca="1">'DJB Daily Readings'!O23-'DJB Daily Readings'!O22</f>
        <v>180</v>
      </c>
      <c r="L15" s="3">
        <f ca="1">'DJB Daily Readings'!R23-'DJB Daily Readings'!R22</f>
        <v>10</v>
      </c>
      <c r="M15" s="3">
        <f ca="1">'DJB Daily Readings'!U23-'DJB Daily Readings'!U22</f>
        <v>3020.640000000596</v>
      </c>
      <c r="N15" s="3">
        <f ca="1">'DJB Daily Readings'!X23-'DJB Daily Readings'!X22</f>
        <v>4677.1200000010431</v>
      </c>
      <c r="O15" s="3">
        <f ca="1">'DJB Daily Readings'!AA23-'DJB Daily Readings'!AA22</f>
        <v>12813.360000001267</v>
      </c>
      <c r="P15" s="3">
        <f ca="1">'DJB Daily Readings'!AD23-'DJB Daily Readings'!AD22</f>
        <v>5164.3199999965727</v>
      </c>
      <c r="Q15" s="3">
        <f ca="1">'DJB Daily Readings'!AG23-'DJB Daily Readings'!AG22</f>
        <v>0</v>
      </c>
      <c r="R15" s="3">
        <f ca="1">'DJB Daily Readings'!AJ23-'DJB Daily Readings'!AJ22</f>
        <v>5943.8400000035763</v>
      </c>
      <c r="S15" s="3">
        <f ca="1">'DJB Daily Readings'!AM23-'DJB Daily Readings'!AM22</f>
        <v>4579.6799999978393</v>
      </c>
      <c r="T15" s="3">
        <f ca="1">'DJB Daily Readings'!AP23-'DJB Daily Readings'!AP22</f>
        <v>4872</v>
      </c>
      <c r="U15" s="3">
        <f ca="1">'DJB Daily Readings'!AS23-'DJB Daily Readings'!AS22</f>
        <v>1607.7599999997765</v>
      </c>
      <c r="V15" s="3">
        <f ca="1">'DJB Daily Readings'!AV23-'DJB Daily Readings'!AV22</f>
        <v>6187.4399999976158</v>
      </c>
      <c r="W15" s="3">
        <f ca="1">'DJB Daily Readings'!AZ23-'DJB Daily Readings'!AZ22</f>
        <v>60900</v>
      </c>
      <c r="X15" s="3">
        <f ca="1">'DJB Daily Readings'!BC23-'DJB Daily Readings'!BC22</f>
        <v>26600</v>
      </c>
      <c r="Y15" s="3">
        <f ca="1">'DJB Daily Readings'!BF23-'DJB Daily Readings'!BF22</f>
        <v>0</v>
      </c>
      <c r="Z15" s="3">
        <f ca="1">('DJB Daily Readings'!CK23-'DJB Daily Readings'!CK22)*1.89</f>
        <v>141.75</v>
      </c>
      <c r="AA15" s="3">
        <f ca="1">('DJB Daily Readings'!CN23-'DJB Daily Readings'!CN22)*1.89</f>
        <v>185.22</v>
      </c>
      <c r="AB15" s="3">
        <f ca="1">('DJB Daily Readings'!CQ23-'DJB Daily Readings'!CQ22)*1.89</f>
        <v>0</v>
      </c>
      <c r="AC15" s="3">
        <f ca="1">'DJB Daily Readings'!CT23-'DJB Daily Readings'!CT22</f>
        <v>171</v>
      </c>
      <c r="AD15" s="84">
        <f ca="1">('DJB Daily Readings'!BY23-'DJB Daily Readings'!BY22)*1.89</f>
        <v>37.799999999999997</v>
      </c>
      <c r="AE15" s="84">
        <f ca="1">('DJB Daily Readings'!CA23-'DJB Daily Readings'!CA22)*1.89</f>
        <v>34.019999999999996</v>
      </c>
      <c r="AF15" s="84">
        <f ca="1">('DJB Daily Readings'!CC23-'DJB Daily Readings'!CC22)*1.89</f>
        <v>13.229999999999999</v>
      </c>
      <c r="AG15" s="84">
        <f ca="1">('DJB Daily Readings'!CE23-'DJB Daily Readings'!CE22)*1.89</f>
        <v>20.79</v>
      </c>
      <c r="AH15" s="84">
        <f ca="1">('DJB Daily Readings'!CG23-'DJB Daily Readings'!CG22)*1.89</f>
        <v>30.24</v>
      </c>
      <c r="AI15" s="84">
        <f ca="1">('DJB Daily Readings'!CI23-'DJB Daily Readings'!CI22)*1.89</f>
        <v>58.589999999999996</v>
      </c>
      <c r="AJ15" s="81">
        <f ca="1">'DJB Daily Readings'!CY23-'DJB Daily Readings'!CY22</f>
        <v>7</v>
      </c>
      <c r="AK15" s="81">
        <f ca="1">'DJB Daily Readings'!CW23-'DJB Daily Readings'!CW22</f>
        <v>10</v>
      </c>
      <c r="AL15" s="82">
        <f ca="1">'DJB Daily Readings'!DC23-'DJB Daily Readings'!DC22</f>
        <v>14</v>
      </c>
      <c r="AM15" s="82">
        <f ca="1">'DJB Daily Readings'!DA23-'DJB Daily Readings'!DA22</f>
        <v>15</v>
      </c>
      <c r="AN15" s="82">
        <f ca="1">'DJB Daily Readings'!DG23-'DJB Daily Readings'!DG22</f>
        <v>6</v>
      </c>
      <c r="AO15" s="82">
        <f ca="1">'DJB Daily Readings'!DE23-'DJB Daily Readings'!DE22</f>
        <v>10</v>
      </c>
      <c r="AP15" s="82">
        <f ca="1">'DJB Daily Readings'!DK23-'DJB Daily Readings'!DK22</f>
        <v>10</v>
      </c>
      <c r="AQ15" s="82">
        <f ca="1">'DJB Daily Readings'!DI23-'DJB Daily Readings'!DI22</f>
        <v>11</v>
      </c>
      <c r="AR15" s="82">
        <f ca="1">'DJB Daily Readings'!DO23-'DJB Daily Readings'!DO22</f>
        <v>10</v>
      </c>
      <c r="AS15" s="82">
        <f ca="1">'DJB Daily Readings'!DM23-'DJB Daily Readings'!DM22</f>
        <v>4</v>
      </c>
      <c r="AT15" s="82">
        <f ca="1">'DJB Daily Readings'!DQ23-'DJB Daily Readings'!DQ22</f>
        <v>9</v>
      </c>
      <c r="AU15" s="82">
        <f ca="1">'DJB Daily Readings'!DT23-'DJB Daily Readings'!DT22</f>
        <v>11.5</v>
      </c>
      <c r="AW15" s="82">
        <f ca="1">'DJB Daily Readings'!DX23-'DJB Daily Readings'!DX22</f>
        <v>6.8000000000001819</v>
      </c>
      <c r="AX15" s="82">
        <f ca="1">'DJB Daily Readings'!DZ23-'DJB Daily Readings'!DZ22</f>
        <v>8.5</v>
      </c>
      <c r="AY15" s="82">
        <f ca="1">'DJB Daily Readings'!EB23-'DJB Daily Readings'!EB22</f>
        <v>696</v>
      </c>
      <c r="AZ15" s="82">
        <f ca="1">'DJB Daily Readings'!ED23-'DJB Daily Readings'!ED22</f>
        <v>153.89999999999418</v>
      </c>
      <c r="BA15" s="82">
        <f ca="1">'DJB Daily Readings'!EG23-'DJB Daily Readings'!EG22</f>
        <v>6000</v>
      </c>
      <c r="BB15" s="82">
        <f ca="1">'DJB Daily Readings'!EI23-'DJB Daily Readings'!EI22</f>
        <v>290</v>
      </c>
      <c r="BC15" s="82">
        <f ca="1">'DJB Daily Readings'!EQ23-'DJB Daily Readings'!EQ22</f>
        <v>7100</v>
      </c>
      <c r="BD15" s="82">
        <f ca="1">'DJB Daily Readings'!EK23-'DJB Daily Readings'!EK22</f>
        <v>2500</v>
      </c>
      <c r="BE15" s="82">
        <f ca="1">'DJB Daily Readings'!EM23-'DJB Daily Readings'!EM22</f>
        <v>600</v>
      </c>
      <c r="BF15" s="82">
        <f ca="1">'DJB Daily Readings'!EO23-'DJB Daily Readings'!EO22</f>
        <v>810</v>
      </c>
      <c r="BG15" s="82">
        <f ca="1">('DJB Daily Readings'!ET23-'DJB Daily Readings'!ET22)*1.89</f>
        <v>28.349999999999998</v>
      </c>
      <c r="BH15" s="82">
        <f ca="1">('DJB Daily Readings'!EV23-'DJB Daily Readings'!EV22)*1.89</f>
        <v>24.57</v>
      </c>
      <c r="BI15" s="82">
        <f ca="1">('DJB Daily Readings'!EZ23-'DJB Daily Readings'!EZ22)*1.89</f>
        <v>30.24</v>
      </c>
      <c r="BJ15" s="82">
        <f ca="1">('DJB Daily Readings'!EX23-'DJB Daily Readings'!EX22)*1.89</f>
        <v>22.68</v>
      </c>
      <c r="BK15" s="82">
        <f ca="1">('DJB Daily Readings'!FB23-'DJB Daily Readings'!FB22)*1.89</f>
        <v>73.709999999999994</v>
      </c>
      <c r="BL15" s="82">
        <f ca="1"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 ca="1">'DJB Daily Readings'!C24-'DJB Daily Readings'!C23</f>
        <v>1011</v>
      </c>
      <c r="H16" s="3">
        <f ca="1">'DJB Daily Readings'!F24-'DJB Daily Readings'!F23</f>
        <v>534</v>
      </c>
      <c r="I16" s="3">
        <f ca="1">'DJB Daily Readings'!K24-'DJB Daily Readings'!K23</f>
        <v>334</v>
      </c>
      <c r="J16" s="3">
        <f ca="1">'DJB Daily Readings'!K24-'DJB Daily Readings'!K23</f>
        <v>334</v>
      </c>
      <c r="K16" s="3">
        <f ca="1">'DJB Daily Readings'!O24-'DJB Daily Readings'!O23</f>
        <v>192</v>
      </c>
      <c r="L16" s="3">
        <f ca="1">'DJB Daily Readings'!R24-'DJB Daily Readings'!R23</f>
        <v>13</v>
      </c>
      <c r="M16" s="3">
        <f ca="1">'DJB Daily Readings'!U24-'DJB Daily Readings'!U23</f>
        <v>3312.9599999990314</v>
      </c>
      <c r="N16" s="3">
        <f ca="1">'DJB Daily Readings'!X24-'DJB Daily Readings'!X23</f>
        <v>4677.1199999991804</v>
      </c>
      <c r="O16" s="3">
        <f ca="1">'DJB Daily Readings'!AA24-'DJB Daily Readings'!AA23</f>
        <v>4628.4000000003725</v>
      </c>
      <c r="P16" s="3">
        <f ca="1">'DJB Daily Readings'!AD24-'DJB Daily Readings'!AD23</f>
        <v>1315.4400000050664</v>
      </c>
      <c r="Q16" s="3">
        <f ca="1">'DJB Daily Readings'!AG24-'DJB Daily Readings'!AG23</f>
        <v>12764.639999996871</v>
      </c>
      <c r="R16" s="3">
        <f ca="1">'DJB Daily Readings'!AJ24-'DJB Daily Readings'!AJ23</f>
        <v>5943.839999999851</v>
      </c>
      <c r="S16" s="3">
        <f ca="1">'DJB Daily Readings'!AM24-'DJB Daily Readings'!AM23</f>
        <v>4774.5600000023842</v>
      </c>
      <c r="T16" s="3">
        <f ca="1">'DJB Daily Readings'!AP24-'DJB Daily Readings'!AP23</f>
        <v>4969.4399999994785</v>
      </c>
      <c r="U16" s="3">
        <f ca="1">'DJB Daily Readings'!AS24-'DJB Daily Readings'!AS23</f>
        <v>3215.5200000014156</v>
      </c>
      <c r="V16" s="3">
        <f ca="1">'DJB Daily Readings'!AV24-'DJB Daily Readings'!AV23</f>
        <v>6236.160000000149</v>
      </c>
      <c r="W16" s="3">
        <f ca="1">'DJB Daily Readings'!AZ24-'DJB Daily Readings'!AZ23</f>
        <v>26400</v>
      </c>
      <c r="X16" s="3">
        <f ca="1">'DJB Daily Readings'!BC24-'DJB Daily Readings'!BC23</f>
        <v>0</v>
      </c>
      <c r="Y16" s="3">
        <f ca="1">'DJB Daily Readings'!BF24-'DJB Daily Readings'!BF23</f>
        <v>65000</v>
      </c>
      <c r="Z16" s="3">
        <f ca="1">('DJB Daily Readings'!CK24-'DJB Daily Readings'!CK23)*1.89</f>
        <v>139.85999999999999</v>
      </c>
      <c r="AA16" s="3">
        <f ca="1">('DJB Daily Readings'!CN24-'DJB Daily Readings'!CN23)*1.89</f>
        <v>185.22</v>
      </c>
      <c r="AB16" s="3">
        <f ca="1">('DJB Daily Readings'!CQ24-'DJB Daily Readings'!CQ23)*1.89</f>
        <v>0</v>
      </c>
      <c r="AC16" s="3">
        <f ca="1">'DJB Daily Readings'!CT24-'DJB Daily Readings'!CT23</f>
        <v>169</v>
      </c>
      <c r="AD16" s="84">
        <f ca="1">('DJB Daily Readings'!BY24-'DJB Daily Readings'!BY23)*1.89</f>
        <v>35.909999999999997</v>
      </c>
      <c r="AE16" s="84">
        <f ca="1">('DJB Daily Readings'!CA24-'DJB Daily Readings'!CA23)*1.89</f>
        <v>39.69</v>
      </c>
      <c r="AF16" s="84">
        <f ca="1">('DJB Daily Readings'!CC24-'DJB Daily Readings'!CC23)*1.89</f>
        <v>13.229999999999999</v>
      </c>
      <c r="AG16" s="84">
        <f ca="1">('DJB Daily Readings'!CE24-'DJB Daily Readings'!CE23)*1.89</f>
        <v>20.79</v>
      </c>
      <c r="AH16" s="84">
        <f ca="1">('DJB Daily Readings'!CG24-'DJB Daily Readings'!CG23)*1.89</f>
        <v>26.459999999999997</v>
      </c>
      <c r="AI16" s="84">
        <f ca="1">('DJB Daily Readings'!CI24-'DJB Daily Readings'!CI23)*1.89</f>
        <v>64.259999999999991</v>
      </c>
      <c r="AJ16" s="81">
        <f ca="1">'DJB Daily Readings'!CY24-'DJB Daily Readings'!CY23</f>
        <v>5</v>
      </c>
      <c r="AK16" s="81">
        <f ca="1">'DJB Daily Readings'!CW24-'DJB Daily Readings'!CW23</f>
        <v>9</v>
      </c>
      <c r="AL16" s="82">
        <f ca="1">'DJB Daily Readings'!DC24-'DJB Daily Readings'!DC23</f>
        <v>13</v>
      </c>
      <c r="AM16" s="82">
        <f ca="1">'DJB Daily Readings'!DA24-'DJB Daily Readings'!DA23</f>
        <v>15</v>
      </c>
      <c r="AN16" s="82">
        <f ca="1">'DJB Daily Readings'!DG24-'DJB Daily Readings'!DG23</f>
        <v>6</v>
      </c>
      <c r="AO16" s="82">
        <f ca="1">'DJB Daily Readings'!DE24-'DJB Daily Readings'!DE23</f>
        <v>10</v>
      </c>
      <c r="AP16" s="82">
        <f ca="1">'DJB Daily Readings'!DK24-'DJB Daily Readings'!DK23</f>
        <v>10</v>
      </c>
      <c r="AQ16" s="82">
        <f ca="1">'DJB Daily Readings'!DI24-'DJB Daily Readings'!DI23</f>
        <v>10</v>
      </c>
      <c r="AR16" s="82">
        <f ca="1">'DJB Daily Readings'!DO24-'DJB Daily Readings'!DO23</f>
        <v>10</v>
      </c>
      <c r="AS16" s="82">
        <f ca="1">'DJB Daily Readings'!DM24-'DJB Daily Readings'!DM23</f>
        <v>4</v>
      </c>
      <c r="AT16" s="82">
        <f ca="1">'DJB Daily Readings'!DQ24-'DJB Daily Readings'!DQ23</f>
        <v>0</v>
      </c>
      <c r="AU16" s="82">
        <f ca="1">'DJB Daily Readings'!DT24-'DJB Daily Readings'!DT23</f>
        <v>13</v>
      </c>
      <c r="AW16" s="82">
        <f ca="1">'DJB Daily Readings'!DX24-'DJB Daily Readings'!DX23</f>
        <v>7.3999999999996362</v>
      </c>
      <c r="AX16" s="82">
        <f ca="1">'DJB Daily Readings'!DZ24-'DJB Daily Readings'!DZ23</f>
        <v>8.8000000000001819</v>
      </c>
      <c r="AY16" s="82">
        <f ca="1">'DJB Daily Readings'!EB24-'DJB Daily Readings'!EB23</f>
        <v>750</v>
      </c>
      <c r="AZ16" s="82">
        <f ca="1">'DJB Daily Readings'!ED24-'DJB Daily Readings'!ED23</f>
        <v>160.70000000001164</v>
      </c>
      <c r="BA16" s="82">
        <f ca="1">'DJB Daily Readings'!EG24-'DJB Daily Readings'!EG23</f>
        <v>7100</v>
      </c>
      <c r="BB16" s="82">
        <f ca="1">'DJB Daily Readings'!EI24-'DJB Daily Readings'!EI23</f>
        <v>300</v>
      </c>
      <c r="BC16" s="82">
        <f ca="1">'DJB Daily Readings'!EQ24-'DJB Daily Readings'!EQ23</f>
        <v>8100</v>
      </c>
      <c r="BD16" s="82">
        <f ca="1">'DJB Daily Readings'!EK24-'DJB Daily Readings'!EK23</f>
        <v>2800</v>
      </c>
      <c r="BE16" s="82">
        <f ca="1">'DJB Daily Readings'!EM24-'DJB Daily Readings'!EM23</f>
        <v>600</v>
      </c>
      <c r="BF16" s="82">
        <f ca="1">'DJB Daily Readings'!EO24-'DJB Daily Readings'!EO23</f>
        <v>880</v>
      </c>
      <c r="BG16" s="82">
        <f ca="1">('DJB Daily Readings'!ET24-'DJB Daily Readings'!ET23)*1.89</f>
        <v>28.349999999999998</v>
      </c>
      <c r="BH16" s="82">
        <f ca="1">('DJB Daily Readings'!EV24-'DJB Daily Readings'!EV23)*1.89</f>
        <v>22.68</v>
      </c>
      <c r="BI16" s="82">
        <f ca="1">('DJB Daily Readings'!EZ24-'DJB Daily Readings'!EZ23)*1.89</f>
        <v>35.909999999999997</v>
      </c>
      <c r="BJ16" s="82">
        <f ca="1">('DJB Daily Readings'!EX24-'DJB Daily Readings'!EX23)*1.89</f>
        <v>32.129999999999995</v>
      </c>
      <c r="BK16" s="82">
        <f ca="1">('DJB Daily Readings'!FB24-'DJB Daily Readings'!FB23)*1.89</f>
        <v>77.489999999999995</v>
      </c>
      <c r="BL16" s="82">
        <f ca="1"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 ca="1">'DJB Daily Readings'!C25-'DJB Daily Readings'!C24</f>
        <v>886</v>
      </c>
      <c r="H17" s="3">
        <f ca="1">'DJB Daily Readings'!F25-'DJB Daily Readings'!F24</f>
        <v>416</v>
      </c>
      <c r="I17" s="3">
        <f ca="1">'DJB Daily Readings'!K25-'DJB Daily Readings'!K24</f>
        <v>289</v>
      </c>
      <c r="J17" s="3">
        <f ca="1">'DJB Daily Readings'!K25-'DJB Daily Readings'!K24</f>
        <v>289</v>
      </c>
      <c r="K17" s="3">
        <f ca="1">'DJB Daily Readings'!O25-'DJB Daily Readings'!O24</f>
        <v>209</v>
      </c>
      <c r="L17" s="3">
        <f ca="1">'DJB Daily Readings'!R25-'DJB Daily Readings'!R24</f>
        <v>19</v>
      </c>
      <c r="M17" s="3">
        <f ca="1">'DJB Daily Readings'!U25-'DJB Daily Readings'!U24</f>
        <v>3264.2400000011548</v>
      </c>
      <c r="N17" s="3">
        <f ca="1">'DJB Daily Readings'!X25-'DJB Daily Readings'!X24</f>
        <v>4774.5599999986589</v>
      </c>
      <c r="O17" s="3">
        <f ca="1">'DJB Daily Readings'!AA25-'DJB Daily Readings'!AA24</f>
        <v>8818.3199999984354</v>
      </c>
      <c r="P17" s="3">
        <f ca="1">'DJB Daily Readings'!AD25-'DJB Daily Readings'!AD24</f>
        <v>1461.5999999977648</v>
      </c>
      <c r="Q17" s="3">
        <f ca="1">'DJB Daily Readings'!AG25-'DJB Daily Readings'!AG24</f>
        <v>10377.360000003129</v>
      </c>
      <c r="R17" s="3">
        <f ca="1">'DJB Daily Readings'!AJ25-'DJB Daily Readings'!AJ24</f>
        <v>5992.5599999986589</v>
      </c>
      <c r="S17" s="3">
        <f ca="1">'DJB Daily Readings'!AM25-'DJB Daily Readings'!AM24</f>
        <v>4482.2399999983609</v>
      </c>
      <c r="T17" s="3">
        <f ca="1">'DJB Daily Readings'!AP25-'DJB Daily Readings'!AP24</f>
        <v>4774.5600000005215</v>
      </c>
      <c r="U17" s="3">
        <f ca="1">'DJB Daily Readings'!AS25-'DJB Daily Readings'!AS24</f>
        <v>3020.6399999987334</v>
      </c>
      <c r="V17" s="3">
        <f ca="1">'DJB Daily Readings'!AV25-'DJB Daily Readings'!AV24</f>
        <v>6187.4400000013411</v>
      </c>
      <c r="W17" s="3">
        <f ca="1">'DJB Daily Readings'!AZ25-'DJB Daily Readings'!AZ24</f>
        <v>47600</v>
      </c>
      <c r="X17" s="3">
        <f ca="1">'DJB Daily Readings'!BC25-'DJB Daily Readings'!BC24</f>
        <v>0</v>
      </c>
      <c r="Y17" s="3">
        <f ca="1">'DJB Daily Readings'!BF25-'DJB Daily Readings'!BF24</f>
        <v>65050</v>
      </c>
      <c r="Z17" s="3">
        <f ca="1">('DJB Daily Readings'!CK25-'DJB Daily Readings'!CK24)*1.89</f>
        <v>141.75</v>
      </c>
      <c r="AA17" s="3">
        <f ca="1">('DJB Daily Readings'!CN25-'DJB Daily Readings'!CN24)*1.89</f>
        <v>160.65</v>
      </c>
      <c r="AB17" s="3">
        <f ca="1">('DJB Daily Readings'!CQ25-'DJB Daily Readings'!CQ24)*1.89</f>
        <v>0</v>
      </c>
      <c r="AC17" s="3">
        <f ca="1">'DJB Daily Readings'!CT25-'DJB Daily Readings'!CT24</f>
        <v>170</v>
      </c>
      <c r="AD17" s="84">
        <f ca="1">('DJB Daily Readings'!BY25-'DJB Daily Readings'!BY24)*1.89</f>
        <v>43.47</v>
      </c>
      <c r="AE17" s="84">
        <f ca="1">('DJB Daily Readings'!CA25-'DJB Daily Readings'!CA24)*1.89</f>
        <v>37.799999999999997</v>
      </c>
      <c r="AF17" s="84">
        <f ca="1">('DJB Daily Readings'!CC25-'DJB Daily Readings'!CC24)*1.89</f>
        <v>9.4499999999999993</v>
      </c>
      <c r="AG17" s="84">
        <f ca="1">('DJB Daily Readings'!CE25-'DJB Daily Readings'!CE24)*1.89</f>
        <v>20.79</v>
      </c>
      <c r="AH17" s="84">
        <f ca="1">('DJB Daily Readings'!CG25-'DJB Daily Readings'!CG24)*1.89</f>
        <v>26.459999999999997</v>
      </c>
      <c r="AI17" s="84">
        <f ca="1">('DJB Daily Readings'!CI25-'DJB Daily Readings'!CI24)*1.89</f>
        <v>64.259999999999991</v>
      </c>
      <c r="AJ17" s="81">
        <f ca="1">'DJB Daily Readings'!CY25-'DJB Daily Readings'!CY24</f>
        <v>4</v>
      </c>
      <c r="AK17" s="81">
        <f ca="1">'DJB Daily Readings'!CW25-'DJB Daily Readings'!CW24</f>
        <v>4</v>
      </c>
      <c r="AL17" s="82">
        <f ca="1">'DJB Daily Readings'!DC25-'DJB Daily Readings'!DC24</f>
        <v>22</v>
      </c>
      <c r="AM17" s="82">
        <f ca="1">'DJB Daily Readings'!DA25-'DJB Daily Readings'!DA24</f>
        <v>18</v>
      </c>
      <c r="AN17" s="82">
        <f ca="1">'DJB Daily Readings'!DG25-'DJB Daily Readings'!DG24</f>
        <v>6</v>
      </c>
      <c r="AO17" s="82">
        <f ca="1">'DJB Daily Readings'!DE25-'DJB Daily Readings'!DE24</f>
        <v>7</v>
      </c>
      <c r="AP17" s="82">
        <f ca="1">'DJB Daily Readings'!DK25-'DJB Daily Readings'!DK24</f>
        <v>11</v>
      </c>
      <c r="AQ17" s="82">
        <f ca="1">'DJB Daily Readings'!DI25-'DJB Daily Readings'!DI24</f>
        <v>14</v>
      </c>
      <c r="AR17" s="82">
        <f ca="1">'DJB Daily Readings'!DO25-'DJB Daily Readings'!DO24</f>
        <v>8</v>
      </c>
      <c r="AS17" s="82">
        <f ca="1">'DJB Daily Readings'!DM25-'DJB Daily Readings'!DM24</f>
        <v>2</v>
      </c>
      <c r="AT17" s="82">
        <f ca="1">'DJB Daily Readings'!DQ25-'DJB Daily Readings'!DQ24</f>
        <v>4</v>
      </c>
      <c r="AU17" s="82">
        <f ca="1">'DJB Daily Readings'!DT25-'DJB Daily Readings'!DT24</f>
        <v>11.300000000000182</v>
      </c>
      <c r="AW17" s="82">
        <f ca="1">'DJB Daily Readings'!DX25-'DJB Daily Readings'!DX24</f>
        <v>6.5</v>
      </c>
      <c r="AX17" s="82">
        <f ca="1">'DJB Daily Readings'!DZ25-'DJB Daily Readings'!DZ24</f>
        <v>8.3999999999996362</v>
      </c>
      <c r="AY17" s="82">
        <f ca="1">'DJB Daily Readings'!EB25-'DJB Daily Readings'!EB24</f>
        <v>681</v>
      </c>
      <c r="AZ17" s="82">
        <f ca="1">'DJB Daily Readings'!ED25-'DJB Daily Readings'!ED24</f>
        <v>144.5</v>
      </c>
      <c r="BA17" s="82">
        <f ca="1">'DJB Daily Readings'!EG25-'DJB Daily Readings'!EG24</f>
        <v>7100</v>
      </c>
      <c r="BB17" s="82">
        <f ca="1">'DJB Daily Readings'!EI25-'DJB Daily Readings'!EI24</f>
        <v>280</v>
      </c>
      <c r="BC17" s="82">
        <f ca="1">'DJB Daily Readings'!EQ25-'DJB Daily Readings'!EQ24</f>
        <v>7900</v>
      </c>
      <c r="BD17" s="82">
        <f ca="1">'DJB Daily Readings'!EK25-'DJB Daily Readings'!EK24</f>
        <v>2700</v>
      </c>
      <c r="BE17" s="82">
        <f ca="1">'DJB Daily Readings'!EM25-'DJB Daily Readings'!EM24</f>
        <v>500</v>
      </c>
      <c r="BF17" s="82">
        <f ca="1">'DJB Daily Readings'!EO25-'DJB Daily Readings'!EO24</f>
        <v>790</v>
      </c>
      <c r="BG17" s="82">
        <f ca="1">('DJB Daily Readings'!ET25-'DJB Daily Readings'!ET24)*1.89</f>
        <v>26.459999999999997</v>
      </c>
      <c r="BH17" s="82">
        <f ca="1">('DJB Daily Readings'!EV25-'DJB Daily Readings'!EV24)*1.89</f>
        <v>18.899999999999999</v>
      </c>
      <c r="BI17" s="82">
        <f ca="1">('DJB Daily Readings'!EZ25-'DJB Daily Readings'!EZ24)*1.89</f>
        <v>26.459999999999997</v>
      </c>
      <c r="BJ17" s="82">
        <f ca="1">('DJB Daily Readings'!EX25-'DJB Daily Readings'!EX24)*1.89</f>
        <v>17.009999999999998</v>
      </c>
      <c r="BK17" s="82">
        <f ca="1">('DJB Daily Readings'!FB25-'DJB Daily Readings'!FB24)*1.89</f>
        <v>66.149999999999991</v>
      </c>
      <c r="BL17" s="82">
        <f ca="1"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 ca="1">'DJB Daily Readings'!C26-'DJB Daily Readings'!C25</f>
        <v>799</v>
      </c>
      <c r="H18" s="3">
        <f ca="1">'DJB Daily Readings'!F26-'DJB Daily Readings'!F25</f>
        <v>377</v>
      </c>
      <c r="I18" s="3">
        <f ca="1">'DJB Daily Readings'!K26-'DJB Daily Readings'!K25</f>
        <v>345</v>
      </c>
      <c r="J18" s="3">
        <f ca="1">'DJB Daily Readings'!K26-'DJB Daily Readings'!K25</f>
        <v>345</v>
      </c>
      <c r="K18" s="3">
        <f ca="1">'DJB Daily Readings'!O26-'DJB Daily Readings'!O25</f>
        <v>213</v>
      </c>
      <c r="L18" s="3">
        <f ca="1">'DJB Daily Readings'!R26-'DJB Daily Readings'!R25</f>
        <v>5</v>
      </c>
      <c r="M18" s="3">
        <f ca="1">'DJB Daily Readings'!U26-'DJB Daily Readings'!U25</f>
        <v>3995.0400000000373</v>
      </c>
      <c r="N18" s="3">
        <f ca="1">'DJB Daily Readings'!X26-'DJB Daily Readings'!X25</f>
        <v>4677.1200000010431</v>
      </c>
      <c r="O18" s="3">
        <f ca="1">'DJB Daily Readings'!AA26-'DJB Daily Readings'!AA25</f>
        <v>9646.5600000005215</v>
      </c>
      <c r="P18" s="3">
        <f ca="1">'DJB Daily Readings'!AD26-'DJB Daily Readings'!AD25</f>
        <v>828.23999999836087</v>
      </c>
      <c r="Q18" s="3">
        <f ca="1">'DJB Daily Readings'!AG26-'DJB Daily Readings'!AG25</f>
        <v>9938.8799999952316</v>
      </c>
      <c r="R18" s="3">
        <f ca="1">'DJB Daily Readings'!AJ26-'DJB Daily Readings'!AJ25</f>
        <v>5992.5599999986589</v>
      </c>
      <c r="S18" s="3">
        <f ca="1">'DJB Daily Readings'!AM26-'DJB Daily Readings'!AM25</f>
        <v>4384.7999999988824</v>
      </c>
      <c r="T18" s="3">
        <f ca="1">'DJB Daily Readings'!AP26-'DJB Daily Readings'!AP25</f>
        <v>4823.2799999993294</v>
      </c>
      <c r="U18" s="3">
        <f ca="1">'DJB Daily Readings'!AS26-'DJB Daily Readings'!AS25</f>
        <v>2923.2000000011176</v>
      </c>
      <c r="V18" s="3">
        <f ca="1">'DJB Daily Readings'!AV26-'DJB Daily Readings'!AV25</f>
        <v>5943.839999999851</v>
      </c>
      <c r="W18" s="3">
        <f ca="1">'DJB Daily Readings'!AZ26-'DJB Daily Readings'!AZ25</f>
        <v>45600</v>
      </c>
      <c r="X18" s="3">
        <f ca="1">'DJB Daily Readings'!BC26-'DJB Daily Readings'!BC25</f>
        <v>0</v>
      </c>
      <c r="Y18" s="3">
        <f ca="1">'DJB Daily Readings'!BF26-'DJB Daily Readings'!BF25</f>
        <v>50350</v>
      </c>
      <c r="Z18" s="3">
        <f ca="1">('DJB Daily Readings'!CK26-'DJB Daily Readings'!CK25)*1.89</f>
        <v>137.97</v>
      </c>
      <c r="AA18" s="3">
        <f ca="1">('DJB Daily Readings'!CN26-'DJB Daily Readings'!CN25)*1.89</f>
        <v>160.65</v>
      </c>
      <c r="AB18" s="3">
        <f ca="1">('DJB Daily Readings'!CQ26-'DJB Daily Readings'!CQ25)*1.89</f>
        <v>0</v>
      </c>
      <c r="AC18" s="3">
        <f ca="1">'DJB Daily Readings'!CT26-'DJB Daily Readings'!CT25</f>
        <v>166</v>
      </c>
      <c r="AD18" s="84">
        <f ca="1">('DJB Daily Readings'!BY26-'DJB Daily Readings'!BY25)*1.89</f>
        <v>45.36</v>
      </c>
      <c r="AE18" s="84">
        <f ca="1">('DJB Daily Readings'!CA26-'DJB Daily Readings'!CA25)*1.89</f>
        <v>35.909999999999997</v>
      </c>
      <c r="AF18" s="84">
        <f ca="1">('DJB Daily Readings'!CC26-'DJB Daily Readings'!CC25)*1.89</f>
        <v>11.34</v>
      </c>
      <c r="AG18" s="84">
        <f ca="1">('DJB Daily Readings'!CE26-'DJB Daily Readings'!CE25)*1.89</f>
        <v>20.79</v>
      </c>
      <c r="AH18" s="84">
        <f ca="1">('DJB Daily Readings'!CG26-'DJB Daily Readings'!CG25)*1.89</f>
        <v>28.349999999999998</v>
      </c>
      <c r="AI18" s="84">
        <f ca="1">('DJB Daily Readings'!CI26-'DJB Daily Readings'!CI25)*1.89</f>
        <v>60.48</v>
      </c>
      <c r="AJ18" s="81">
        <f ca="1">'DJB Daily Readings'!CY26-'DJB Daily Readings'!CY25</f>
        <v>2</v>
      </c>
      <c r="AK18" s="81">
        <f ca="1">'DJB Daily Readings'!CW26-'DJB Daily Readings'!CW25</f>
        <v>5</v>
      </c>
      <c r="AL18" s="82">
        <f ca="1">'DJB Daily Readings'!DC26-'DJB Daily Readings'!DC25</f>
        <v>15</v>
      </c>
      <c r="AM18" s="82">
        <f ca="1">'DJB Daily Readings'!DA26-'DJB Daily Readings'!DA25</f>
        <v>15</v>
      </c>
      <c r="AN18" s="82">
        <f ca="1">'DJB Daily Readings'!DG26-'DJB Daily Readings'!DG25</f>
        <v>6</v>
      </c>
      <c r="AO18" s="82">
        <f ca="1">'DJB Daily Readings'!DE26-'DJB Daily Readings'!DE25</f>
        <v>7</v>
      </c>
      <c r="AP18" s="82">
        <f ca="1">'DJB Daily Readings'!DK26-'DJB Daily Readings'!DK25</f>
        <v>7</v>
      </c>
      <c r="AQ18" s="82">
        <f ca="1">'DJB Daily Readings'!DI26-'DJB Daily Readings'!DI25</f>
        <v>6</v>
      </c>
      <c r="AR18" s="82">
        <f ca="1">'DJB Daily Readings'!DO26-'DJB Daily Readings'!DO25</f>
        <v>6</v>
      </c>
      <c r="AS18" s="82">
        <f ca="1">'DJB Daily Readings'!DM26-'DJB Daily Readings'!DM25</f>
        <v>3</v>
      </c>
      <c r="AT18" s="82">
        <f ca="1">'DJB Daily Readings'!DQ26-'DJB Daily Readings'!DQ25</f>
        <v>16</v>
      </c>
      <c r="AU18" s="82">
        <f ca="1">'DJB Daily Readings'!DT26-'DJB Daily Readings'!DT25</f>
        <v>11.699999999999818</v>
      </c>
      <c r="AW18" s="82">
        <f ca="1">'DJB Daily Readings'!DX26-'DJB Daily Readings'!DX25</f>
        <v>6.9000000000005457</v>
      </c>
      <c r="AX18" s="82">
        <f ca="1">'DJB Daily Readings'!DZ26-'DJB Daily Readings'!DZ25</f>
        <v>7.6000000000003638</v>
      </c>
      <c r="AY18" s="82">
        <f ca="1">'DJB Daily Readings'!EB26-'DJB Daily Readings'!EB25</f>
        <v>698</v>
      </c>
      <c r="AZ18" s="82">
        <f ca="1">'DJB Daily Readings'!ED26-'DJB Daily Readings'!ED25</f>
        <v>151.19999999998254</v>
      </c>
      <c r="BA18" s="82">
        <f ca="1">'DJB Daily Readings'!EG26-'DJB Daily Readings'!EG25</f>
        <v>8000</v>
      </c>
      <c r="BB18" s="82">
        <f ca="1">'DJB Daily Readings'!EI26-'DJB Daily Readings'!EI25</f>
        <v>300</v>
      </c>
      <c r="BC18" s="82">
        <f ca="1">'DJB Daily Readings'!EQ26-'DJB Daily Readings'!EQ25</f>
        <v>9300</v>
      </c>
      <c r="BD18" s="82">
        <f ca="1">'DJB Daily Readings'!EK26-'DJB Daily Readings'!EK25</f>
        <v>3000</v>
      </c>
      <c r="BE18" s="82">
        <f ca="1">'DJB Daily Readings'!EM26-'DJB Daily Readings'!EM25</f>
        <v>600</v>
      </c>
      <c r="BF18" s="82">
        <f ca="1">'DJB Daily Readings'!EO26-'DJB Daily Readings'!EO25</f>
        <v>860</v>
      </c>
      <c r="BG18" s="82">
        <f ca="1">('DJB Daily Readings'!ET26-'DJB Daily Readings'!ET25)*1.89</f>
        <v>24.57</v>
      </c>
      <c r="BH18" s="82">
        <f ca="1">('DJB Daily Readings'!EV26-'DJB Daily Readings'!EV25)*1.89</f>
        <v>20.79</v>
      </c>
      <c r="BI18" s="82">
        <f ca="1">('DJB Daily Readings'!EZ26-'DJB Daily Readings'!EZ25)*1.89</f>
        <v>22.68</v>
      </c>
      <c r="BJ18" s="82">
        <f ca="1">('DJB Daily Readings'!EX26-'DJB Daily Readings'!EX25)*1.89</f>
        <v>13.229999999999999</v>
      </c>
      <c r="BK18" s="82">
        <f ca="1">('DJB Daily Readings'!FB26-'DJB Daily Readings'!FB25)*1.89</f>
        <v>58.589999999999996</v>
      </c>
      <c r="BL18" s="82">
        <f ca="1"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 ca="1">'DJB Daily Readings'!C27-'DJB Daily Readings'!C26</f>
        <v>893</v>
      </c>
      <c r="H19" s="3">
        <f ca="1">'DJB Daily Readings'!F27-'DJB Daily Readings'!F26</f>
        <v>400</v>
      </c>
      <c r="I19" s="3">
        <f ca="1">'DJB Daily Readings'!K27-'DJB Daily Readings'!K26</f>
        <v>332</v>
      </c>
      <c r="J19" s="3">
        <f ca="1">'DJB Daily Readings'!K27-'DJB Daily Readings'!K26</f>
        <v>332</v>
      </c>
      <c r="K19" s="3">
        <f ca="1">'DJB Daily Readings'!O27-'DJB Daily Readings'!O26</f>
        <v>195</v>
      </c>
      <c r="L19" s="3">
        <f ca="1">'DJB Daily Readings'!R27-'DJB Daily Readings'!R26</f>
        <v>14</v>
      </c>
      <c r="M19" s="3">
        <f ca="1">'DJB Daily Readings'!U27-'DJB Daily Readings'!U26</f>
        <v>3069.359999999404</v>
      </c>
      <c r="N19" s="3">
        <f ca="1">'DJB Daily Readings'!X27-'DJB Daily Readings'!X26</f>
        <v>4677.1199999991804</v>
      </c>
      <c r="O19" s="3">
        <f ca="1">'DJB Daily Readings'!AA27-'DJB Daily Readings'!AA26</f>
        <v>8233.679999999702</v>
      </c>
      <c r="P19" s="3">
        <f ca="1">'DJB Daily Readings'!AD27-'DJB Daily Readings'!AD26</f>
        <v>487.19999999925494</v>
      </c>
      <c r="Q19" s="3">
        <f ca="1">'DJB Daily Readings'!AG27-'DJB Daily Readings'!AG26</f>
        <v>12618.480000000447</v>
      </c>
      <c r="R19" s="3">
        <f ca="1">'DJB Daily Readings'!AJ27-'DJB Daily Readings'!AJ26</f>
        <v>5943.8400000035763</v>
      </c>
      <c r="S19" s="3">
        <f ca="1">'DJB Daily Readings'!AM27-'DJB Daily Readings'!AM26</f>
        <v>4433.5200000014156</v>
      </c>
      <c r="T19" s="3">
        <f ca="1">'DJB Daily Readings'!AP27-'DJB Daily Readings'!AP26</f>
        <v>5018.160000000149</v>
      </c>
      <c r="U19" s="3">
        <f ca="1">'DJB Daily Readings'!AS27-'DJB Daily Readings'!AS26</f>
        <v>3069.359999999404</v>
      </c>
      <c r="V19" s="3">
        <f ca="1">'DJB Daily Readings'!AV27-'DJB Daily Readings'!AV26</f>
        <v>5895.1200000010431</v>
      </c>
      <c r="W19" s="3">
        <f ca="1">'DJB Daily Readings'!AZ27-'DJB Daily Readings'!AZ26</f>
        <v>34400</v>
      </c>
      <c r="X19" s="3">
        <f ca="1">'DJB Daily Readings'!BC27-'DJB Daily Readings'!BC26</f>
        <v>0</v>
      </c>
      <c r="Y19" s="3">
        <f ca="1">'DJB Daily Readings'!BF27-'DJB Daily Readings'!BF26</f>
        <v>62600</v>
      </c>
      <c r="Z19" s="3">
        <f ca="1">('DJB Daily Readings'!CK27-'DJB Daily Readings'!CK26)*1.89</f>
        <v>143.63999999999999</v>
      </c>
      <c r="AA19" s="3">
        <f ca="1">('DJB Daily Readings'!CN27-'DJB Daily Readings'!CN26)*1.89</f>
        <v>170.1</v>
      </c>
      <c r="AB19" s="3">
        <f ca="1">('DJB Daily Readings'!CQ27-'DJB Daily Readings'!CQ26)*1.89</f>
        <v>0</v>
      </c>
      <c r="AC19" s="3">
        <f ca="1">'DJB Daily Readings'!CT27-'DJB Daily Readings'!CT26</f>
        <v>170</v>
      </c>
      <c r="AD19" s="84">
        <f ca="1">('DJB Daily Readings'!BY27-'DJB Daily Readings'!BY26)*1.89</f>
        <v>41.58</v>
      </c>
      <c r="AE19" s="84">
        <f ca="1">('DJB Daily Readings'!CA27-'DJB Daily Readings'!CA26)*1.89</f>
        <v>34.019999999999996</v>
      </c>
      <c r="AF19" s="84">
        <f ca="1">('DJB Daily Readings'!CC27-'DJB Daily Readings'!CC26)*1.89</f>
        <v>9.4499999999999993</v>
      </c>
      <c r="AG19" s="84">
        <f ca="1">('DJB Daily Readings'!CE27-'DJB Daily Readings'!CE26)*1.89</f>
        <v>20.79</v>
      </c>
      <c r="AH19" s="84">
        <f ca="1">('DJB Daily Readings'!CG27-'DJB Daily Readings'!CG26)*1.89</f>
        <v>26.459999999999997</v>
      </c>
      <c r="AI19" s="84">
        <f ca="1">('DJB Daily Readings'!CI27-'DJB Daily Readings'!CI26)*1.89</f>
        <v>64.259999999999991</v>
      </c>
      <c r="AJ19" s="81">
        <f ca="1">'DJB Daily Readings'!CY27-'DJB Daily Readings'!CY26</f>
        <v>2</v>
      </c>
      <c r="AK19" s="81">
        <f ca="1">'DJB Daily Readings'!CW27-'DJB Daily Readings'!CW26</f>
        <v>5</v>
      </c>
      <c r="AL19" s="82">
        <f ca="1">'DJB Daily Readings'!DC27-'DJB Daily Readings'!DC26</f>
        <v>14</v>
      </c>
      <c r="AM19" s="82">
        <f ca="1">'DJB Daily Readings'!DA27-'DJB Daily Readings'!DA26</f>
        <v>11</v>
      </c>
      <c r="AN19" s="82">
        <f ca="1">'DJB Daily Readings'!DG27-'DJB Daily Readings'!DG26</f>
        <v>6</v>
      </c>
      <c r="AO19" s="82">
        <f ca="1">'DJB Daily Readings'!DE27-'DJB Daily Readings'!DE26</f>
        <v>8</v>
      </c>
      <c r="AP19" s="82">
        <f ca="1">'DJB Daily Readings'!DK27-'DJB Daily Readings'!DK26</f>
        <v>7</v>
      </c>
      <c r="AQ19" s="82">
        <f ca="1">'DJB Daily Readings'!DI27-'DJB Daily Readings'!DI26</f>
        <v>6</v>
      </c>
      <c r="AR19" s="82">
        <f ca="1">'DJB Daily Readings'!DO27-'DJB Daily Readings'!DO26</f>
        <v>6</v>
      </c>
      <c r="AS19" s="82">
        <f ca="1">'DJB Daily Readings'!DM27-'DJB Daily Readings'!DM26</f>
        <v>3</v>
      </c>
      <c r="AT19" s="82">
        <f ca="1">'DJB Daily Readings'!DQ27-'DJB Daily Readings'!DQ26</f>
        <v>4</v>
      </c>
      <c r="AU19" s="82">
        <f ca="1">'DJB Daily Readings'!DT27-'DJB Daily Readings'!DT26</f>
        <v>11.800000000000182</v>
      </c>
      <c r="AW19" s="82">
        <f ca="1">'DJB Daily Readings'!DX27-'DJB Daily Readings'!DX26</f>
        <v>7.0999999999994543</v>
      </c>
      <c r="AX19" s="82">
        <f ca="1">'DJB Daily Readings'!DZ27-'DJB Daily Readings'!DZ26</f>
        <v>7.1000000000003638</v>
      </c>
      <c r="AY19" s="82">
        <f ca="1">'DJB Daily Readings'!EB27-'DJB Daily Readings'!EB26</f>
        <v>698</v>
      </c>
      <c r="AZ19" s="82">
        <f ca="1">'DJB Daily Readings'!ED27-'DJB Daily Readings'!ED26</f>
        <v>156.39999999999418</v>
      </c>
      <c r="BA19" s="82">
        <f ca="1">'DJB Daily Readings'!EG27-'DJB Daily Readings'!EG26</f>
        <v>9900</v>
      </c>
      <c r="BB19" s="82">
        <f ca="1">'DJB Daily Readings'!EI27-'DJB Daily Readings'!EI26</f>
        <v>390</v>
      </c>
      <c r="BC19" s="82">
        <f ca="1">'DJB Daily Readings'!EQ27-'DJB Daily Readings'!EQ26</f>
        <v>11500</v>
      </c>
      <c r="BD19" s="82">
        <f ca="1">'DJB Daily Readings'!EK27-'DJB Daily Readings'!EK26</f>
        <v>4000</v>
      </c>
      <c r="BE19" s="82">
        <f ca="1">'DJB Daily Readings'!EM27-'DJB Daily Readings'!EM26</f>
        <v>800</v>
      </c>
      <c r="BF19" s="82">
        <f ca="1">'DJB Daily Readings'!EO27-'DJB Daily Readings'!EO26</f>
        <v>1120</v>
      </c>
      <c r="BG19" s="82">
        <f ca="1">('DJB Daily Readings'!ET27-'DJB Daily Readings'!ET26)*1.89</f>
        <v>28.349999999999998</v>
      </c>
      <c r="BH19" s="82">
        <f ca="1">('DJB Daily Readings'!EV27-'DJB Daily Readings'!EV26)*1.89</f>
        <v>22.68</v>
      </c>
      <c r="BI19" s="82">
        <f ca="1">('DJB Daily Readings'!EZ27-'DJB Daily Readings'!EZ26)*1.89</f>
        <v>22.68</v>
      </c>
      <c r="BJ19" s="82">
        <f ca="1">('DJB Daily Readings'!EX27-'DJB Daily Readings'!EX26)*1.89</f>
        <v>15.12</v>
      </c>
      <c r="BK19" s="82">
        <f ca="1">('DJB Daily Readings'!FB27-'DJB Daily Readings'!FB26)*1.89</f>
        <v>69.929999999999993</v>
      </c>
      <c r="BL19" s="82">
        <f ca="1"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 ca="1">'DJB Daily Readings'!C28-'DJB Daily Readings'!C27</f>
        <v>863</v>
      </c>
      <c r="H20" s="3">
        <f ca="1">'DJB Daily Readings'!F28-'DJB Daily Readings'!F27</f>
        <v>397</v>
      </c>
      <c r="I20" s="3">
        <f ca="1">'DJB Daily Readings'!K28-'DJB Daily Readings'!K27</f>
        <v>262</v>
      </c>
      <c r="J20" s="3">
        <f ca="1">'DJB Daily Readings'!K28-'DJB Daily Readings'!K27</f>
        <v>262</v>
      </c>
      <c r="K20" s="3">
        <f ca="1">'DJB Daily Readings'!O28-'DJB Daily Readings'!O27</f>
        <v>212</v>
      </c>
      <c r="L20" s="3">
        <f ca="1">'DJB Daily Readings'!R28-'DJB Daily Readings'!R27</f>
        <v>21</v>
      </c>
      <c r="M20" s="3">
        <f ca="1">'DJB Daily Readings'!U28-'DJB Daily Readings'!U27</f>
        <v>2923.2000000001863</v>
      </c>
      <c r="N20" s="3">
        <f ca="1">'DJB Daily Readings'!X28-'DJB Daily Readings'!X27</f>
        <v>4384.8000000007451</v>
      </c>
      <c r="O20" s="3">
        <f ca="1">'DJB Daily Readings'!AA28-'DJB Daily Readings'!AA27</f>
        <v>9841.4400000013411</v>
      </c>
      <c r="P20" s="3">
        <f ca="1">'DJB Daily Readings'!AD28-'DJB Daily Readings'!AD27</f>
        <v>633.36000000312924</v>
      </c>
      <c r="Q20" s="3">
        <f ca="1">'DJB Daily Readings'!AG28-'DJB Daily Readings'!AG27</f>
        <v>11303.040000002831</v>
      </c>
      <c r="R20" s="3">
        <f ca="1">'DJB Daily Readings'!AJ28-'DJB Daily Readings'!AJ27</f>
        <v>5651.519999999553</v>
      </c>
      <c r="S20" s="3">
        <f ca="1">'DJB Daily Readings'!AM28-'DJB Daily Readings'!AM27</f>
        <v>4189.9199999999255</v>
      </c>
      <c r="T20" s="3">
        <f ca="1">'DJB Daily Readings'!AP28-'DJB Daily Readings'!AP27</f>
        <v>4433.519999999553</v>
      </c>
      <c r="U20" s="3">
        <f ca="1">'DJB Daily Readings'!AS28-'DJB Daily Readings'!AS27</f>
        <v>2777.0400000009686</v>
      </c>
      <c r="V20" s="3">
        <f ca="1">'DJB Daily Readings'!AV28-'DJB Daily Readings'!AV27</f>
        <v>5651.519999999553</v>
      </c>
      <c r="W20" s="3">
        <f ca="1">'DJB Daily Readings'!AZ28-'DJB Daily Readings'!AZ27</f>
        <v>48100</v>
      </c>
      <c r="X20" s="3">
        <f ca="1">'DJB Daily Readings'!BC28-'DJB Daily Readings'!BC27</f>
        <v>0</v>
      </c>
      <c r="Y20" s="3">
        <f ca="1">'DJB Daily Readings'!BF28-'DJB Daily Readings'!BF27</f>
        <v>60400</v>
      </c>
      <c r="Z20" s="3">
        <f ca="1">('DJB Daily Readings'!CK28-'DJB Daily Readings'!CK27)*1.89</f>
        <v>132.29999999999998</v>
      </c>
      <c r="AA20" s="3">
        <f ca="1">('DJB Daily Readings'!CN28-'DJB Daily Readings'!CN27)*1.89</f>
        <v>162.54</v>
      </c>
      <c r="AB20" s="3">
        <f ca="1">('DJB Daily Readings'!CQ28-'DJB Daily Readings'!CQ27)*1.89</f>
        <v>0</v>
      </c>
      <c r="AC20" s="3">
        <f ca="1">'DJB Daily Readings'!CT28-'DJB Daily Readings'!CT27</f>
        <v>160</v>
      </c>
      <c r="AD20" s="84">
        <f ca="1">('DJB Daily Readings'!BY28-'DJB Daily Readings'!BY27)*1.89</f>
        <v>43.47</v>
      </c>
      <c r="AE20" s="84">
        <f ca="1">('DJB Daily Readings'!CA28-'DJB Daily Readings'!CA27)*1.89</f>
        <v>35.909999999999997</v>
      </c>
      <c r="AF20" s="84">
        <f ca="1">('DJB Daily Readings'!CC28-'DJB Daily Readings'!CC27)*1.89</f>
        <v>15.12</v>
      </c>
      <c r="AG20" s="84">
        <f ca="1">('DJB Daily Readings'!CE28-'DJB Daily Readings'!CE27)*1.89</f>
        <v>18.899999999999999</v>
      </c>
      <c r="AH20" s="84">
        <f ca="1">('DJB Daily Readings'!CG28-'DJB Daily Readings'!CG27)*1.89</f>
        <v>24.57</v>
      </c>
      <c r="AI20" s="84">
        <f ca="1">('DJB Daily Readings'!CI28-'DJB Daily Readings'!CI27)*1.89</f>
        <v>58.589999999999996</v>
      </c>
      <c r="AJ20" s="81">
        <f ca="1">'DJB Daily Readings'!CY28-'DJB Daily Readings'!CY27</f>
        <v>7</v>
      </c>
      <c r="AK20" s="81">
        <f ca="1">'DJB Daily Readings'!CW28-'DJB Daily Readings'!CW27</f>
        <v>10</v>
      </c>
      <c r="AL20" s="82">
        <f ca="1">'DJB Daily Readings'!DC28-'DJB Daily Readings'!DC27</f>
        <v>14</v>
      </c>
      <c r="AM20" s="82">
        <f ca="1">'DJB Daily Readings'!DA28-'DJB Daily Readings'!DA27</f>
        <v>16</v>
      </c>
      <c r="AN20" s="82">
        <f ca="1">'DJB Daily Readings'!DG28-'DJB Daily Readings'!DG27</f>
        <v>7</v>
      </c>
      <c r="AO20" s="82">
        <f ca="1">'DJB Daily Readings'!DE28-'DJB Daily Readings'!DE27</f>
        <v>9</v>
      </c>
      <c r="AP20" s="82">
        <f ca="1">'DJB Daily Readings'!DK28-'DJB Daily Readings'!DK27</f>
        <v>8</v>
      </c>
      <c r="AQ20" s="82">
        <f ca="1">'DJB Daily Readings'!DI28-'DJB Daily Readings'!DI27</f>
        <v>11</v>
      </c>
      <c r="AR20" s="82">
        <f ca="1">'DJB Daily Readings'!DO28-'DJB Daily Readings'!DO27</f>
        <v>11</v>
      </c>
      <c r="AS20" s="82">
        <f ca="1">'DJB Daily Readings'!DM28-'DJB Daily Readings'!DM27</f>
        <v>3</v>
      </c>
      <c r="AT20" s="82">
        <f ca="1">'DJB Daily Readings'!DQ28-'DJB Daily Readings'!DQ27</f>
        <v>1</v>
      </c>
      <c r="AU20" s="82">
        <f ca="1">'DJB Daily Readings'!DT28-'DJB Daily Readings'!DT27</f>
        <v>11.400000000000546</v>
      </c>
      <c r="AW20" s="82">
        <f ca="1">'DJB Daily Readings'!DX28-'DJB Daily Readings'!DX27</f>
        <v>7</v>
      </c>
      <c r="AX20" s="82">
        <f ca="1">'DJB Daily Readings'!DZ28-'DJB Daily Readings'!DZ27</f>
        <v>6.8999999999996362</v>
      </c>
      <c r="AY20" s="82">
        <f ca="1">'DJB Daily Readings'!EB28-'DJB Daily Readings'!EB27</f>
        <v>663</v>
      </c>
      <c r="AZ20" s="82">
        <f ca="1">'DJB Daily Readings'!ED28-'DJB Daily Readings'!ED27</f>
        <v>154.20000000001164</v>
      </c>
      <c r="BA20" s="82">
        <f ca="1">'DJB Daily Readings'!EG28-'DJB Daily Readings'!EG27</f>
        <v>5400</v>
      </c>
      <c r="BB20" s="82">
        <f ca="1">'DJB Daily Readings'!EI28-'DJB Daily Readings'!EI27</f>
        <v>230</v>
      </c>
      <c r="BC20" s="82">
        <f ca="1">'DJB Daily Readings'!EQ28-'DJB Daily Readings'!EQ27</f>
        <v>6500</v>
      </c>
      <c r="BD20" s="82">
        <f ca="1">'DJB Daily Readings'!EK28-'DJB Daily Readings'!EK27</f>
        <v>2000</v>
      </c>
      <c r="BE20" s="82">
        <f ca="1">'DJB Daily Readings'!EM28-'DJB Daily Readings'!EM27</f>
        <v>500</v>
      </c>
      <c r="BF20" s="82">
        <f ca="1">'DJB Daily Readings'!EO28-'DJB Daily Readings'!EO27</f>
        <v>650</v>
      </c>
      <c r="BG20" s="82">
        <f ca="1">('DJB Daily Readings'!ET28-'DJB Daily Readings'!ET27)*1.89</f>
        <v>26.459999999999997</v>
      </c>
      <c r="BH20" s="82">
        <f ca="1">('DJB Daily Readings'!EV28-'DJB Daily Readings'!EV27)*1.89</f>
        <v>18.899999999999999</v>
      </c>
      <c r="BI20" s="82">
        <f ca="1">('DJB Daily Readings'!EZ28-'DJB Daily Readings'!EZ27)*1.89</f>
        <v>30.24</v>
      </c>
      <c r="BJ20" s="82">
        <f ca="1">('DJB Daily Readings'!EX28-'DJB Daily Readings'!EX27)*1.89</f>
        <v>18.899999999999999</v>
      </c>
      <c r="BK20" s="82">
        <f ca="1">('DJB Daily Readings'!FB28-'DJB Daily Readings'!FB27)*1.89</f>
        <v>62.37</v>
      </c>
      <c r="BL20" s="82">
        <f ca="1"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 ca="1">'DJB Daily Readings'!C29-'DJB Daily Readings'!C28</f>
        <v>878</v>
      </c>
      <c r="H21" s="3">
        <f ca="1">'DJB Daily Readings'!F29-'DJB Daily Readings'!F28</f>
        <v>434</v>
      </c>
      <c r="I21" s="3">
        <f ca="1">'DJB Daily Readings'!K29-'DJB Daily Readings'!K28</f>
        <v>303</v>
      </c>
      <c r="J21" s="3">
        <f ca="1">'DJB Daily Readings'!K29-'DJB Daily Readings'!K28</f>
        <v>303</v>
      </c>
      <c r="K21" s="3">
        <f ca="1">'DJB Daily Readings'!O29-'DJB Daily Readings'!O28</f>
        <v>209</v>
      </c>
      <c r="L21" s="3">
        <f ca="1">'DJB Daily Readings'!R29-'DJB Daily Readings'!R28</f>
        <v>14</v>
      </c>
      <c r="M21" s="3">
        <f ca="1">'DJB Daily Readings'!U29-'DJB Daily Readings'!U28</f>
        <v>2777.0400000000373</v>
      </c>
      <c r="N21" s="3">
        <f ca="1">'DJB Daily Readings'!X29-'DJB Daily Readings'!X28</f>
        <v>4872</v>
      </c>
      <c r="O21" s="3">
        <f ca="1">'DJB Daily Readings'!AA29-'DJB Daily Readings'!AA28</f>
        <v>9695.2799999993294</v>
      </c>
      <c r="P21" s="3">
        <f ca="1">'DJB Daily Readings'!AD29-'DJB Daily Readings'!AD28</f>
        <v>584.63999999687076</v>
      </c>
      <c r="Q21" s="3">
        <f ca="1">'DJB Daily Readings'!AG29-'DJB Daily Readings'!AG28</f>
        <v>11497.919999998063</v>
      </c>
      <c r="R21" s="3">
        <f ca="1">'DJB Daily Readings'!AJ29-'DJB Daily Readings'!AJ28</f>
        <v>5992.5599999986589</v>
      </c>
      <c r="S21" s="3">
        <f ca="1">'DJB Daily Readings'!AM29-'DJB Daily Readings'!AM28</f>
        <v>4482.2400000002235</v>
      </c>
      <c r="T21" s="3">
        <f ca="1">'DJB Daily Readings'!AP29-'DJB Daily Readings'!AP28</f>
        <v>4725.839999999851</v>
      </c>
      <c r="U21" s="3">
        <f ca="1">'DJB Daily Readings'!AS29-'DJB Daily Readings'!AS28</f>
        <v>2971.9199999980628</v>
      </c>
      <c r="V21" s="3">
        <f ca="1">'DJB Daily Readings'!AV29-'DJB Daily Readings'!AV28</f>
        <v>5846.3999999985099</v>
      </c>
      <c r="W21" s="3">
        <f ca="1">'DJB Daily Readings'!AZ29-'DJB Daily Readings'!AZ28</f>
        <v>43700</v>
      </c>
      <c r="X21" s="3">
        <f ca="1">'DJB Daily Readings'!BC29-'DJB Daily Readings'!BC28</f>
        <v>0</v>
      </c>
      <c r="Y21" s="3">
        <f ca="1">'DJB Daily Readings'!BF29-'DJB Daily Readings'!BF28</f>
        <v>59100</v>
      </c>
      <c r="Z21" s="3">
        <f ca="1">('DJB Daily Readings'!CK29-'DJB Daily Readings'!CK28)*1.89</f>
        <v>141.75</v>
      </c>
      <c r="AA21" s="3">
        <f ca="1">('DJB Daily Readings'!CN29-'DJB Daily Readings'!CN28)*1.89</f>
        <v>173.88</v>
      </c>
      <c r="AB21" s="3">
        <f ca="1">('DJB Daily Readings'!CQ29-'DJB Daily Readings'!CQ28)*1.89</f>
        <v>0</v>
      </c>
      <c r="AC21" s="3">
        <f ca="1">'DJB Daily Readings'!CT29-'DJB Daily Readings'!CT28</f>
        <v>171</v>
      </c>
      <c r="AD21" s="84">
        <f ca="1">('DJB Daily Readings'!BY29-'DJB Daily Readings'!BY28)*1.89</f>
        <v>45.36</v>
      </c>
      <c r="AE21" s="84">
        <f ca="1">('DJB Daily Readings'!CA29-'DJB Daily Readings'!CA28)*1.89</f>
        <v>39.69</v>
      </c>
      <c r="AF21" s="84">
        <f ca="1">('DJB Daily Readings'!CC29-'DJB Daily Readings'!CC28)*1.89</f>
        <v>13.229999999999999</v>
      </c>
      <c r="AG21" s="84">
        <f ca="1">('DJB Daily Readings'!CE29-'DJB Daily Readings'!CE28)*1.89</f>
        <v>20.79</v>
      </c>
      <c r="AH21" s="84">
        <f ca="1">('DJB Daily Readings'!CG29-'DJB Daily Readings'!CG28)*1.89</f>
        <v>30.24</v>
      </c>
      <c r="AI21" s="84">
        <f ca="1">('DJB Daily Readings'!CI29-'DJB Daily Readings'!CI28)*1.89</f>
        <v>66.149999999999991</v>
      </c>
      <c r="AJ21" s="81">
        <f ca="1">'DJB Daily Readings'!CY29-'DJB Daily Readings'!CY28</f>
        <v>7</v>
      </c>
      <c r="AK21" s="81">
        <f ca="1">'DJB Daily Readings'!CW29-'DJB Daily Readings'!CW28</f>
        <v>9</v>
      </c>
      <c r="AL21" s="82">
        <f ca="1">'DJB Daily Readings'!DC29-'DJB Daily Readings'!DC28</f>
        <v>16</v>
      </c>
      <c r="AM21" s="82">
        <f ca="1">'DJB Daily Readings'!DA29-'DJB Daily Readings'!DA28</f>
        <v>16</v>
      </c>
      <c r="AN21" s="82">
        <f ca="1">'DJB Daily Readings'!DG29-'DJB Daily Readings'!DG28</f>
        <v>6</v>
      </c>
      <c r="AO21" s="82">
        <f ca="1">'DJB Daily Readings'!DE29-'DJB Daily Readings'!DE28</f>
        <v>10</v>
      </c>
      <c r="AP21" s="82">
        <f ca="1">'DJB Daily Readings'!DK29-'DJB Daily Readings'!DK28</f>
        <v>8</v>
      </c>
      <c r="AQ21" s="82">
        <f ca="1">'DJB Daily Readings'!DI29-'DJB Daily Readings'!DI28</f>
        <v>9</v>
      </c>
      <c r="AR21" s="82">
        <f ca="1">'DJB Daily Readings'!DO29-'DJB Daily Readings'!DO28</f>
        <v>8</v>
      </c>
      <c r="AS21" s="82">
        <f ca="1">'DJB Daily Readings'!DM29-'DJB Daily Readings'!DM28</f>
        <v>3</v>
      </c>
      <c r="AT21" s="82">
        <f ca="1">'DJB Daily Readings'!DQ29-'DJB Daily Readings'!DQ28</f>
        <v>11</v>
      </c>
      <c r="AU21" s="82">
        <f ca="1">'DJB Daily Readings'!DT29-'DJB Daily Readings'!DT28</f>
        <v>11.199999999999818</v>
      </c>
      <c r="AW21" s="82">
        <f ca="1">'DJB Daily Readings'!DX29-'DJB Daily Readings'!DX28</f>
        <v>6.8000000000001819</v>
      </c>
      <c r="AX21" s="82">
        <f ca="1">'DJB Daily Readings'!DZ29-'DJB Daily Readings'!DZ28</f>
        <v>7.1999999999998181</v>
      </c>
      <c r="AY21" s="82">
        <f ca="1">'DJB Daily Readings'!EB29-'DJB Daily Readings'!EB28</f>
        <v>708</v>
      </c>
      <c r="AZ21" s="82">
        <f ca="1">'DJB Daily Readings'!ED29-'DJB Daily Readings'!ED28</f>
        <v>146.79999999998836</v>
      </c>
      <c r="BA21" s="82">
        <f ca="1">'DJB Daily Readings'!EG29-'DJB Daily Readings'!EG28</f>
        <v>7800</v>
      </c>
      <c r="BB21" s="82">
        <f ca="1">'DJB Daily Readings'!EI29-'DJB Daily Readings'!EI28</f>
        <v>330</v>
      </c>
      <c r="BC21" s="82">
        <f ca="1">'DJB Daily Readings'!EQ29-'DJB Daily Readings'!EQ28</f>
        <v>9200</v>
      </c>
      <c r="BD21" s="82">
        <f ca="1">'DJB Daily Readings'!EK29-'DJB Daily Readings'!EK28</f>
        <v>3000</v>
      </c>
      <c r="BE21" s="82">
        <f ca="1">'DJB Daily Readings'!EM29-'DJB Daily Readings'!EM28</f>
        <v>500</v>
      </c>
      <c r="BF21" s="82">
        <f ca="1">'DJB Daily Readings'!EO29-'DJB Daily Readings'!EO28</f>
        <v>870</v>
      </c>
      <c r="BG21" s="82">
        <f ca="1">('DJB Daily Readings'!ET29-'DJB Daily Readings'!ET28)*1.89</f>
        <v>30.24</v>
      </c>
      <c r="BH21" s="82">
        <f ca="1">('DJB Daily Readings'!EV29-'DJB Daily Readings'!EV28)*1.89</f>
        <v>24.57</v>
      </c>
      <c r="BI21" s="82">
        <f ca="1">('DJB Daily Readings'!EZ29-'DJB Daily Readings'!EZ28)*1.89</f>
        <v>32.129999999999995</v>
      </c>
      <c r="BJ21" s="82">
        <f ca="1">('DJB Daily Readings'!EX29-'DJB Daily Readings'!EX28)*1.89</f>
        <v>17.009999999999998</v>
      </c>
      <c r="BK21" s="82">
        <f ca="1">('DJB Daily Readings'!FB29-'DJB Daily Readings'!FB28)*1.89</f>
        <v>68.039999999999992</v>
      </c>
      <c r="BL21" s="82">
        <f ca="1"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 ca="1">237*0.8</f>
        <v>189.60000000000002</v>
      </c>
      <c r="F22" s="79">
        <f ca="1">280+93</f>
        <v>373</v>
      </c>
      <c r="G22" s="3">
        <f ca="1">'DJB Daily Readings'!C30-'DJB Daily Readings'!C29</f>
        <v>-3977</v>
      </c>
      <c r="H22" s="3">
        <f ca="1">'DJB Daily Readings'!F30-'DJB Daily Readings'!F29</f>
        <v>475</v>
      </c>
      <c r="I22" s="3">
        <f ca="1">'DJB Daily Readings'!K30-'DJB Daily Readings'!K29</f>
        <v>126</v>
      </c>
      <c r="J22" s="3">
        <f ca="1">'DJB Daily Readings'!K30-'DJB Daily Readings'!K29</f>
        <v>126</v>
      </c>
      <c r="K22" s="3">
        <f ca="1">'DJB Daily Readings'!O30-'DJB Daily Readings'!O29</f>
        <v>206</v>
      </c>
      <c r="L22" s="3">
        <f ca="1">'DJB Daily Readings'!R30-'DJB Daily Readings'!R29</f>
        <v>15</v>
      </c>
      <c r="M22" s="3">
        <f ca="1">'DJB Daily Readings'!U30-'DJB Daily Readings'!U29</f>
        <v>3020.6399999987334</v>
      </c>
      <c r="N22" s="3">
        <f ca="1">'DJB Daily Readings'!X30-'DJB Daily Readings'!X29</f>
        <v>4920.7199999988079</v>
      </c>
      <c r="O22" s="3">
        <f ca="1">'DJB Daily Readings'!AA30-'DJB Daily Readings'!AA29</f>
        <v>10620.959999999031</v>
      </c>
      <c r="P22" s="3">
        <f ca="1">'DJB Daily Readings'!AD30-'DJB Daily Readings'!AD29</f>
        <v>779.51999999955297</v>
      </c>
      <c r="Q22" s="3">
        <f ca="1">'DJB Daily Readings'!AG30-'DJB Daily Readings'!AG29</f>
        <v>10767.120000001043</v>
      </c>
      <c r="R22" s="3">
        <f ca="1">'DJB Daily Readings'!AJ30-'DJB Daily Readings'!AJ29</f>
        <v>6187.4400000013411</v>
      </c>
      <c r="S22" s="3">
        <f ca="1">'DJB Daily Readings'!AM30-'DJB Daily Readings'!AM29</f>
        <v>4677.1199999991804</v>
      </c>
      <c r="T22" s="3">
        <f ca="1">'DJB Daily Readings'!AP30-'DJB Daily Readings'!AP29</f>
        <v>4774.5600000005215</v>
      </c>
      <c r="U22" s="3">
        <f ca="1">'DJB Daily Readings'!AS30-'DJB Daily Readings'!AS29</f>
        <v>3020.640000000596</v>
      </c>
      <c r="V22" s="3">
        <f ca="1">'DJB Daily Readings'!AV30-'DJB Daily Readings'!AV29</f>
        <v>6236.160000000149</v>
      </c>
      <c r="W22" s="3">
        <f ca="1">'DJB Daily Readings'!AZ30-'DJB Daily Readings'!AZ29</f>
        <v>44600</v>
      </c>
      <c r="X22" s="3">
        <f ca="1">'DJB Daily Readings'!BC30-'DJB Daily Readings'!BC29</f>
        <v>0</v>
      </c>
      <c r="Y22" s="3">
        <f ca="1">'DJB Daily Readings'!BF30-'DJB Daily Readings'!BF29</f>
        <v>55500</v>
      </c>
      <c r="Z22" s="3">
        <f ca="1">('DJB Daily Readings'!CK30-'DJB Daily Readings'!CK29)*1.89</f>
        <v>139.85999999999999</v>
      </c>
      <c r="AA22" s="3">
        <f ca="1">('DJB Daily Readings'!CN30-'DJB Daily Readings'!CN29)*1.89</f>
        <v>143.63999999999999</v>
      </c>
      <c r="AB22" s="3">
        <f ca="1">('DJB Daily Readings'!CQ30-'DJB Daily Readings'!CQ29)*1.89</f>
        <v>-1.89</v>
      </c>
      <c r="AC22" s="3">
        <f ca="1">'DJB Daily Readings'!CT30-'DJB Daily Readings'!CT29</f>
        <v>167</v>
      </c>
      <c r="AD22" s="84">
        <f ca="1">('DJB Daily Readings'!BY30-'DJB Daily Readings'!BY29)*1.89</f>
        <v>45.36</v>
      </c>
      <c r="AE22" s="84">
        <f ca="1">('DJB Daily Readings'!CA30-'DJB Daily Readings'!CA29)*1.89</f>
        <v>39.69</v>
      </c>
      <c r="AF22" s="84">
        <f ca="1">('DJB Daily Readings'!CC30-'DJB Daily Readings'!CC29)*1.89</f>
        <v>11.34</v>
      </c>
      <c r="AG22" s="84">
        <f ca="1">('DJB Daily Readings'!CE30-'DJB Daily Readings'!CE29)*1.89</f>
        <v>22.68</v>
      </c>
      <c r="AH22" s="84">
        <f ca="1">('DJB Daily Readings'!CG30-'DJB Daily Readings'!CG29)*1.89</f>
        <v>26.459999999999997</v>
      </c>
      <c r="AI22" s="84">
        <f ca="1">('DJB Daily Readings'!CI30-'DJB Daily Readings'!CI29)*1.89</f>
        <v>69.929999999999993</v>
      </c>
      <c r="AJ22" s="81">
        <f ca="1">'DJB Daily Readings'!CY30-'DJB Daily Readings'!CY29</f>
        <v>6</v>
      </c>
      <c r="AK22" s="81">
        <f ca="1">'DJB Daily Readings'!CW30-'DJB Daily Readings'!CW29</f>
        <v>9</v>
      </c>
      <c r="AL22" s="82">
        <f ca="1">'DJB Daily Readings'!DC30-'DJB Daily Readings'!DC29</f>
        <v>18</v>
      </c>
      <c r="AM22" s="82">
        <f ca="1">'DJB Daily Readings'!DA30-'DJB Daily Readings'!DA29</f>
        <v>18</v>
      </c>
      <c r="AN22" s="82">
        <f ca="1">'DJB Daily Readings'!DG30-'DJB Daily Readings'!DG29</f>
        <v>7</v>
      </c>
      <c r="AO22" s="82">
        <f ca="1">'DJB Daily Readings'!DE30-'DJB Daily Readings'!DE29</f>
        <v>12</v>
      </c>
      <c r="AP22" s="82">
        <f ca="1">'DJB Daily Readings'!DK30-'DJB Daily Readings'!DK29</f>
        <v>9</v>
      </c>
      <c r="AQ22" s="82">
        <f ca="1">'DJB Daily Readings'!DI30-'DJB Daily Readings'!DI29</f>
        <v>11</v>
      </c>
      <c r="AR22" s="82">
        <f ca="1">'DJB Daily Readings'!DO30-'DJB Daily Readings'!DO29</f>
        <v>9</v>
      </c>
      <c r="AS22" s="82">
        <f ca="1">'DJB Daily Readings'!DM30-'DJB Daily Readings'!DM29</f>
        <v>3</v>
      </c>
      <c r="AT22" s="82">
        <f ca="1">'DJB Daily Readings'!DQ30-'DJB Daily Readings'!DQ29</f>
        <v>11</v>
      </c>
      <c r="AU22" s="82">
        <f ca="1">'DJB Daily Readings'!DT30-'DJB Daily Readings'!DT29</f>
        <v>12.399999999999636</v>
      </c>
      <c r="AW22" s="82">
        <f ca="1">'DJB Daily Readings'!DX30-'DJB Daily Readings'!DX29</f>
        <v>6.9000000000005457</v>
      </c>
      <c r="AX22" s="82">
        <f ca="1">'DJB Daily Readings'!DZ30-'DJB Daily Readings'!DZ29</f>
        <v>8.5</v>
      </c>
      <c r="AY22" s="82">
        <f ca="1">'DJB Daily Readings'!EB30-'DJB Daily Readings'!EB29</f>
        <v>738</v>
      </c>
      <c r="AZ22" s="82">
        <f ca="1">'DJB Daily Readings'!ED30-'DJB Daily Readings'!ED29</f>
        <v>157</v>
      </c>
      <c r="BA22" s="82">
        <f ca="1">'DJB Daily Readings'!EG30-'DJB Daily Readings'!EG29</f>
        <v>7300</v>
      </c>
      <c r="BB22" s="82">
        <f ca="1">'DJB Daily Readings'!EI30-'DJB Daily Readings'!EI29</f>
        <v>330</v>
      </c>
      <c r="BC22" s="82">
        <f ca="1">'DJB Daily Readings'!EQ30-'DJB Daily Readings'!EQ29</f>
        <v>8600</v>
      </c>
      <c r="BD22" s="82">
        <f ca="1">'DJB Daily Readings'!EK30-'DJB Daily Readings'!EK29</f>
        <v>2900</v>
      </c>
      <c r="BE22" s="82">
        <f ca="1">'DJB Daily Readings'!EM30-'DJB Daily Readings'!EM29</f>
        <v>600</v>
      </c>
      <c r="BF22" s="82">
        <f ca="1">'DJB Daily Readings'!EO30-'DJB Daily Readings'!EO29</f>
        <v>880</v>
      </c>
      <c r="BG22" s="82">
        <f ca="1">('DJB Daily Readings'!ET30-'DJB Daily Readings'!ET29)*1.89</f>
        <v>28.349999999999998</v>
      </c>
      <c r="BH22" s="82">
        <f ca="1">('DJB Daily Readings'!EV30-'DJB Daily Readings'!EV29)*1.89</f>
        <v>17.009999999999998</v>
      </c>
      <c r="BI22" s="82">
        <f ca="1">('DJB Daily Readings'!EZ30-'DJB Daily Readings'!EZ29)*1.89</f>
        <v>24.57</v>
      </c>
      <c r="BJ22" s="82">
        <f ca="1">('DJB Daily Readings'!EX30-'DJB Daily Readings'!EX29)*1.89</f>
        <v>26.459999999999997</v>
      </c>
      <c r="BK22" s="82">
        <f ca="1">('DJB Daily Readings'!FB30-'DJB Daily Readings'!FB29)*1.89</f>
        <v>79.38</v>
      </c>
      <c r="BL22" s="82">
        <f ca="1"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 ca="1">237*0.78</f>
        <v>184.86</v>
      </c>
      <c r="F23" s="79">
        <f ca="1">273+83</f>
        <v>356</v>
      </c>
      <c r="G23" s="3">
        <f ca="1">'DJB Daily Readings'!C31-'DJB Daily Readings'!C30</f>
        <v>2752</v>
      </c>
      <c r="H23" s="3">
        <f ca="1">'DJB Daily Readings'!F31-'DJB Daily Readings'!F30</f>
        <v>459</v>
      </c>
      <c r="I23" s="3">
        <f ca="1">'DJB Daily Readings'!K31-'DJB Daily Readings'!K30</f>
        <v>375</v>
      </c>
      <c r="J23" s="3">
        <f ca="1">'DJB Daily Readings'!K31-'DJB Daily Readings'!K30</f>
        <v>375</v>
      </c>
      <c r="K23" s="3">
        <f ca="1">'DJB Daily Readings'!O31-'DJB Daily Readings'!O30</f>
        <v>205</v>
      </c>
      <c r="L23" s="3">
        <f ca="1">'DJB Daily Readings'!R31-'DJB Daily Readings'!R30</f>
        <v>16</v>
      </c>
      <c r="M23" s="3">
        <f ca="1">'DJB Daily Readings'!U31-'DJB Daily Readings'!U30</f>
        <v>1948.7999999998137</v>
      </c>
      <c r="N23" s="3">
        <f ca="1">'DJB Daily Readings'!X31-'DJB Daily Readings'!X30</f>
        <v>4823.2800000011921</v>
      </c>
      <c r="O23" s="3">
        <f ca="1">'DJB Daily Readings'!AA31-'DJB Daily Readings'!AA30</f>
        <v>-1364.160000000149</v>
      </c>
      <c r="P23" s="3">
        <f ca="1">'DJB Daily Readings'!AD31-'DJB Daily Readings'!AD30</f>
        <v>13056.960000004619</v>
      </c>
      <c r="Q23" s="3">
        <f ca="1">'DJB Daily Readings'!AG31-'DJB Daily Readings'!AG30</f>
        <v>7746.480000000447</v>
      </c>
      <c r="R23" s="3">
        <f ca="1">'DJB Daily Readings'!AJ31-'DJB Daily Readings'!AJ30</f>
        <v>5992.5599999986589</v>
      </c>
      <c r="S23" s="3">
        <f ca="1">'DJB Daily Readings'!AM31-'DJB Daily Readings'!AM30</f>
        <v>4530.9600000008941</v>
      </c>
      <c r="T23" s="3">
        <f ca="1">'DJB Daily Readings'!AP31-'DJB Daily Readings'!AP30</f>
        <v>4823.2799999993294</v>
      </c>
      <c r="U23" s="3">
        <f ca="1">'DJB Daily Readings'!AS31-'DJB Daily Readings'!AS30</f>
        <v>2923.2000000011176</v>
      </c>
      <c r="V23" s="3">
        <f ca="1">'DJB Daily Readings'!AV31-'DJB Daily Readings'!AV30</f>
        <v>6187.4400000013411</v>
      </c>
      <c r="W23" s="3">
        <f ca="1">'DJB Daily Readings'!AZ31-'DJB Daily Readings'!AZ30</f>
        <v>0</v>
      </c>
      <c r="X23" s="3">
        <f ca="1">'DJB Daily Readings'!BC31-'DJB Daily Readings'!BC30</f>
        <v>58700</v>
      </c>
      <c r="Y23" s="3">
        <f ca="1">'DJB Daily Readings'!BF31-'DJB Daily Readings'!BF30</f>
        <v>-66130500</v>
      </c>
      <c r="Z23" s="3">
        <f ca="1">('DJB Daily Readings'!CK31-'DJB Daily Readings'!CK30)*1.89</f>
        <v>175.76999999999998</v>
      </c>
      <c r="AA23" s="3">
        <f ca="1">('DJB Daily Readings'!CN31-'DJB Daily Readings'!CN30)*1.89</f>
        <v>179.54999999999998</v>
      </c>
      <c r="AB23" s="3">
        <f ca="1">('DJB Daily Readings'!CQ31-'DJB Daily Readings'!CQ30)*1.89</f>
        <v>0</v>
      </c>
      <c r="AC23" s="3">
        <f ca="1">'DJB Daily Readings'!CT31-'DJB Daily Readings'!CT30</f>
        <v>171</v>
      </c>
      <c r="AD23" s="84">
        <f ca="1">('DJB Daily Readings'!BY31-'DJB Daily Readings'!BY30)*1.89</f>
        <v>34.019999999999996</v>
      </c>
      <c r="AE23" s="84">
        <f ca="1">('DJB Daily Readings'!CA31-'DJB Daily Readings'!CA30)*1.89</f>
        <v>35.909999999999997</v>
      </c>
      <c r="AF23" s="84">
        <f ca="1">('DJB Daily Readings'!CC31-'DJB Daily Readings'!CC30)*1.89</f>
        <v>9.4499999999999993</v>
      </c>
      <c r="AG23" s="84">
        <f ca="1">('DJB Daily Readings'!CE31-'DJB Daily Readings'!CE30)*1.89</f>
        <v>18.899999999999999</v>
      </c>
      <c r="AH23" s="84">
        <f ca="1">('DJB Daily Readings'!CG31-'DJB Daily Readings'!CG30)*1.89</f>
        <v>24.57</v>
      </c>
      <c r="AI23" s="84">
        <f ca="1">('DJB Daily Readings'!CI31-'DJB Daily Readings'!CI30)*1.89</f>
        <v>71.819999999999993</v>
      </c>
      <c r="AJ23" s="81">
        <f ca="1">'DJB Daily Readings'!CY31-'DJB Daily Readings'!CY30</f>
        <v>6</v>
      </c>
      <c r="AK23" s="81">
        <f ca="1">'DJB Daily Readings'!CW31-'DJB Daily Readings'!CW30</f>
        <v>9</v>
      </c>
      <c r="AL23" s="82">
        <f ca="1">'DJB Daily Readings'!DC31-'DJB Daily Readings'!DC30</f>
        <v>13</v>
      </c>
      <c r="AM23" s="82">
        <f ca="1">'DJB Daily Readings'!DA31-'DJB Daily Readings'!DA30</f>
        <v>15</v>
      </c>
      <c r="AN23" s="82">
        <f ca="1">'DJB Daily Readings'!DG31-'DJB Daily Readings'!DG30</f>
        <v>7</v>
      </c>
      <c r="AO23" s="82">
        <f ca="1">'DJB Daily Readings'!DE31-'DJB Daily Readings'!DE30</f>
        <v>11</v>
      </c>
      <c r="AP23" s="82">
        <f ca="1">'DJB Daily Readings'!DK31-'DJB Daily Readings'!DK30</f>
        <v>8</v>
      </c>
      <c r="AQ23" s="82">
        <f ca="1">'DJB Daily Readings'!DI31-'DJB Daily Readings'!DI30</f>
        <v>20</v>
      </c>
      <c r="AR23" s="82">
        <f ca="1">'DJB Daily Readings'!DO31-'DJB Daily Readings'!DO30</f>
        <v>8</v>
      </c>
      <c r="AS23" s="82">
        <f ca="1">'DJB Daily Readings'!DM31-'DJB Daily Readings'!DM30</f>
        <v>3</v>
      </c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 ca="1">'[1]October - 2022'!B9</f>
        <v>0.73</v>
      </c>
      <c r="C9" s="263">
        <f ca="1">'[1]October - 2022'!E9</f>
        <v>249637</v>
      </c>
      <c r="D9" s="567">
        <f ca="1">C10-C9</f>
        <v>798</v>
      </c>
      <c r="E9" s="481">
        <f ca="1">'[1]October - 2022'!G9</f>
        <v>765</v>
      </c>
      <c r="F9" s="168">
        <f ca="1">'[1]October - 2022'!H9</f>
        <v>209695</v>
      </c>
      <c r="G9" s="479">
        <f ca="1">F10-F9</f>
        <v>482</v>
      </c>
      <c r="H9" s="481">
        <f ca="1">'[1]October - 2022'!J9</f>
        <v>417</v>
      </c>
      <c r="I9" s="264">
        <f ca="1">'[1]October - 2022'!K9</f>
        <v>164625</v>
      </c>
      <c r="J9" s="479">
        <f ca="1">I10-I9</f>
        <v>0</v>
      </c>
      <c r="K9" s="264">
        <f ca="1">'[1]October - 2022'!N9</f>
        <v>901152</v>
      </c>
      <c r="L9" s="478">
        <f ca="1">K10-K9</f>
        <v>251</v>
      </c>
      <c r="M9" s="264">
        <f ca="1">'[1]October - 2022'!Q9</f>
        <v>232884</v>
      </c>
      <c r="N9" s="478">
        <f ca="1">M10-M9</f>
        <v>169</v>
      </c>
      <c r="O9" s="264">
        <f ca="1">'[1]October - 2022'!S9</f>
        <v>104106</v>
      </c>
      <c r="P9" s="479">
        <f ca="1">O10-O9</f>
        <v>250.58999999999651</v>
      </c>
      <c r="Q9" s="481">
        <f ca="1">'[1]October - 2022'!U9</f>
        <v>271.20999999999913</v>
      </c>
      <c r="R9" s="264">
        <f ca="1">'[1]October - 2022'!V9</f>
        <v>5473</v>
      </c>
      <c r="S9" s="569">
        <f ca="1">R10-R9</f>
        <v>16</v>
      </c>
      <c r="T9" s="477"/>
      <c r="U9" s="269">
        <f ca="1">'[1]October - 2022'!AC9</f>
        <v>7964940.4799999995</v>
      </c>
      <c r="V9" s="571">
        <f ca="1">U10-U9</f>
        <v>3605.2800000002608</v>
      </c>
      <c r="W9" s="497">
        <f ca="1">'[1]October - 2022'!AD9</f>
        <v>3605.2800000002608</v>
      </c>
      <c r="X9" s="255">
        <f ca="1">'[1]October - 2022'!AF9</f>
        <v>15154258.559999999</v>
      </c>
      <c r="Y9" s="479">
        <f ca="1">X10-X9</f>
        <v>4677.1200000010431</v>
      </c>
      <c r="Z9" s="497">
        <f ca="1">'[1]October - 2022'!AG9</f>
        <v>4677.1200000010431</v>
      </c>
      <c r="AA9" s="255">
        <f ca="1">'[1]October - 2022'!AI9</f>
        <v>15418467.119999999</v>
      </c>
      <c r="AB9" s="479">
        <f ca="1">AA10-AA9</f>
        <v>10182.480000000447</v>
      </c>
      <c r="AC9" s="497">
        <f ca="1">'[1]October - 2022'!AJ9</f>
        <v>10182.480000000447</v>
      </c>
      <c r="AD9" s="255">
        <f ca="1">'[1]October - 2022'!AL9</f>
        <v>18468095.52</v>
      </c>
      <c r="AE9" s="479">
        <f ca="1">AD10-AD9</f>
        <v>779.51999999955297</v>
      </c>
      <c r="AF9" s="497">
        <f ca="1">'[1]October - 2022'!AM9</f>
        <v>779.51999999955297</v>
      </c>
      <c r="AG9" s="255">
        <f ca="1">'[1]October - 2022'!AO9</f>
        <v>18698151.359999999</v>
      </c>
      <c r="AH9" s="479">
        <f ca="1">AG10-AG9</f>
        <v>12472.320000000298</v>
      </c>
      <c r="AI9" s="497">
        <f ca="1">'[1]October - 2022'!AP9</f>
        <v>12472.320000000298</v>
      </c>
      <c r="AJ9" s="255">
        <f ca="1">'[1]October - 2022'!AR9</f>
        <v>17163422.639999997</v>
      </c>
      <c r="AK9" s="479">
        <f ca="1">AJ10-AJ9</f>
        <v>5992.5600000023842</v>
      </c>
      <c r="AL9" s="497">
        <f ca="1">'[1]October - 2022'!AS9</f>
        <v>5992.5600000023842</v>
      </c>
      <c r="AM9" s="255">
        <f ca="1">'[1]October - 2022'!AU9</f>
        <v>14474224.799999999</v>
      </c>
      <c r="AN9" s="479">
        <f ca="1">AM10-AM9</f>
        <v>4384.8000000007451</v>
      </c>
      <c r="AO9" s="497">
        <f ca="1">'[1]October - 2022'!AV9</f>
        <v>4384.8000000007451</v>
      </c>
      <c r="AP9" s="255">
        <f ca="1">'[1]October - 2022'!AX9</f>
        <v>13983955.439999999</v>
      </c>
      <c r="AQ9" s="479">
        <f ca="1">AP10-AP9</f>
        <v>4920.7200000006706</v>
      </c>
      <c r="AR9" s="497">
        <f ca="1">'[1]October - 2022'!AY9</f>
        <v>4920.7200000006706</v>
      </c>
      <c r="AS9" s="255">
        <f ca="1">'[1]October - 2022'!BA9</f>
        <v>10964777.040000001</v>
      </c>
      <c r="AT9" s="479">
        <f ca="1">AS10-AS9</f>
        <v>3215.5199999976903</v>
      </c>
      <c r="AU9" s="497">
        <f ca="1">'[1]October - 2022'!BB9</f>
        <v>3215.5199999976903</v>
      </c>
      <c r="AV9" s="255">
        <f ca="1">'[1]October - 2022'!BD9</f>
        <v>17294138.399999999</v>
      </c>
      <c r="AW9" s="479">
        <f ca="1">AV10-AV9</f>
        <v>6382.320000000298</v>
      </c>
      <c r="AX9" s="499">
        <f ca="1">'[1]October - 2022'!BE9</f>
        <v>6382.320000000298</v>
      </c>
      <c r="AY9" s="494"/>
      <c r="AZ9" s="272">
        <f ca="1">'[1]October - 2022'!BK9</f>
        <v>76246300</v>
      </c>
      <c r="BA9" s="501">
        <f ca="1">AZ10-AZ9</f>
        <v>50100</v>
      </c>
      <c r="BB9" s="495">
        <f ca="1">'[1]October - 2022'!BL9</f>
        <v>50100</v>
      </c>
      <c r="BC9" s="272">
        <f ca="1">'[1]October - 2022'!BN9</f>
        <v>78795900</v>
      </c>
      <c r="BD9" s="501">
        <f ca="1">BC10-BC9</f>
        <v>2200</v>
      </c>
      <c r="BE9" s="495">
        <f ca="1">'[1]October - 2022'!BO9</f>
        <v>2200</v>
      </c>
      <c r="BF9" s="272">
        <f ca="1">'[1]October - 2022'!BQ9</f>
        <v>72490300</v>
      </c>
      <c r="BG9" s="501">
        <f ca="1">BF10-BF9</f>
        <v>61100</v>
      </c>
      <c r="BH9" s="495">
        <f ca="1">'[1]October - 2022'!BR9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 ca="1">'[1]October - 2022'!BT9</f>
        <v>9666570</v>
      </c>
      <c r="BT9" s="574">
        <f ca="1">BS10-BS9</f>
        <v>9040</v>
      </c>
      <c r="BU9" s="590"/>
      <c r="BV9" s="88">
        <f ca="1">'[1]October - 2022'!BW9</f>
        <v>0.62</v>
      </c>
      <c r="BW9" s="585">
        <f ca="1">BV10-BV9</f>
        <v>9.9999999999999978E-2</v>
      </c>
      <c r="BX9" s="587">
        <f ca="1">'[1]October - 2022'!$BX$9:$BX$10</f>
        <v>-9.9999999999999978E-2</v>
      </c>
      <c r="BY9" s="89">
        <f ca="1">'[1]October - 2022'!BZ9</f>
        <v>62854</v>
      </c>
      <c r="BZ9" s="573">
        <f ca="1">BY10-BY9</f>
        <v>19</v>
      </c>
      <c r="CA9" s="89">
        <f ca="1">'[1]October - 2022'!CB9</f>
        <v>54074</v>
      </c>
      <c r="CB9" s="573">
        <f ca="1">CA10-CA9</f>
        <v>18</v>
      </c>
      <c r="CC9" s="89">
        <f ca="1">'[1]October - 2022'!CD9</f>
        <v>18304</v>
      </c>
      <c r="CD9" s="573">
        <f ca="1">CC10-CC9</f>
        <v>6</v>
      </c>
      <c r="CE9" s="89">
        <f ca="1">'[1]October - 2022'!CF9</f>
        <v>24871</v>
      </c>
      <c r="CF9" s="573">
        <f ca="1">CE10-CE9</f>
        <v>8</v>
      </c>
      <c r="CG9" s="89">
        <f ca="1">'[1]October - 2022'!CH9</f>
        <v>27478</v>
      </c>
      <c r="CH9" s="573">
        <f ca="1">CG10-CG9</f>
        <v>15</v>
      </c>
      <c r="CI9" s="89">
        <f ca="1">'[1]October - 2022'!CJ9</f>
        <v>60101</v>
      </c>
      <c r="CJ9" s="573">
        <f ca="1">CI10-CI9</f>
        <v>30</v>
      </c>
      <c r="CK9" s="89">
        <f ca="1">'[1]October - 2022'!CL9</f>
        <v>262903</v>
      </c>
      <c r="CL9" s="573">
        <f ca="1">CK10-CK9</f>
        <v>73</v>
      </c>
      <c r="CM9" s="525">
        <f ca="1">'[1]October - 2022'!CM9</f>
        <v>73</v>
      </c>
      <c r="CN9" s="89">
        <f ca="1">'[1]October - 2022'!CO9</f>
        <v>208474</v>
      </c>
      <c r="CO9" s="573">
        <f ca="1">CN10-CN9</f>
        <v>82</v>
      </c>
      <c r="CP9" s="525">
        <f ca="1">'[1]October - 2022'!CP9</f>
        <v>82</v>
      </c>
      <c r="CQ9" s="89">
        <f ca="1">'[1]October - 2022'!CR9</f>
        <v>349824</v>
      </c>
      <c r="CR9" s="573">
        <f ca="1">CQ10-CQ9</f>
        <v>0</v>
      </c>
      <c r="CS9" s="525">
        <f ca="1">'[1]October - 2022'!CS9</f>
        <v>0</v>
      </c>
      <c r="CT9" s="89">
        <f ca="1">'[1]October - 2022'!CU9</f>
        <v>682901</v>
      </c>
      <c r="CU9" s="527">
        <f ca="1">CT10-CT9</f>
        <v>165</v>
      </c>
      <c r="CV9" s="518"/>
      <c r="CW9" s="297">
        <f ca="1">'[1]October - 2022'!CX9</f>
        <v>8333</v>
      </c>
      <c r="CX9" s="529">
        <f ca="1">CW10-CW9</f>
        <v>6</v>
      </c>
      <c r="CY9" s="298">
        <f ca="1">'[1]October - 2022'!CZ9</f>
        <v>5640</v>
      </c>
      <c r="CZ9" s="529">
        <f ca="1">CY10-CY9</f>
        <v>6</v>
      </c>
      <c r="DA9" s="298">
        <f ca="1">'[1]October - 2022'!DB9</f>
        <v>31073</v>
      </c>
      <c r="DB9" s="529">
        <f ca="1">DA10-DA9</f>
        <v>12</v>
      </c>
      <c r="DC9" s="298">
        <f ca="1">'[1]October - 2022'!DD9</f>
        <v>31339</v>
      </c>
      <c r="DD9" s="529">
        <f ca="1">DC10-DC9</f>
        <v>11</v>
      </c>
      <c r="DE9" s="298">
        <f ca="1">'[1]October - 2022'!DF9</f>
        <v>21176</v>
      </c>
      <c r="DF9" s="529">
        <f ca="1">DE10-DE9</f>
        <v>8</v>
      </c>
      <c r="DG9" s="298">
        <f ca="1">'[1]October - 2022'!DH9</f>
        <v>23594</v>
      </c>
      <c r="DH9" s="529">
        <f ca="1">DG10-DG9</f>
        <v>5</v>
      </c>
      <c r="DI9" s="298">
        <f ca="1">'[1]October - 2022'!DJ9</f>
        <v>6400</v>
      </c>
      <c r="DJ9" s="529">
        <f ca="1">DI10-DI9</f>
        <v>3</v>
      </c>
      <c r="DK9" s="298">
        <f ca="1">'[1]October - 2022'!DL9</f>
        <v>9205</v>
      </c>
      <c r="DL9" s="529">
        <f ca="1">DK10-DK9</f>
        <v>8</v>
      </c>
      <c r="DM9" s="298">
        <f ca="1">'[1]October - 2022'!DN9</f>
        <v>3032</v>
      </c>
      <c r="DN9" s="529">
        <f ca="1">DM10-DM9</f>
        <v>3</v>
      </c>
      <c r="DO9" s="298">
        <f ca="1">'[1]October - 2022'!DP9</f>
        <v>5804</v>
      </c>
      <c r="DP9" s="529">
        <f ca="1">DO10-DO9</f>
        <v>7</v>
      </c>
      <c r="DQ9" s="298">
        <f ca="1">'[1]October - 2022'!DR9</f>
        <v>29895</v>
      </c>
      <c r="DR9" s="583">
        <f ca="1">DQ10-DQ9</f>
        <v>6</v>
      </c>
      <c r="DS9" s="534"/>
      <c r="DT9" s="210">
        <f ca="1">'[1]October - 2022'!DU9</f>
        <v>5531.6</v>
      </c>
      <c r="DU9" s="547">
        <f ca="1">DT10-DT9</f>
        <v>12.599999999999454</v>
      </c>
      <c r="DV9" s="91">
        <f ca="1">'[1]October - 2022'!DW9</f>
        <v>10690</v>
      </c>
      <c r="DW9" s="545">
        <f ca="1">DV10-DV9</f>
        <v>9.1000000000003638</v>
      </c>
      <c r="DX9" s="91">
        <f ca="1">'[1]October - 2022'!DY9</f>
        <v>4319.7</v>
      </c>
      <c r="DY9" s="547">
        <f ca="1">DX10-DX9</f>
        <v>7</v>
      </c>
      <c r="DZ9" s="91">
        <f ca="1">'[1]October - 2022'!EA9</f>
        <v>4891.7</v>
      </c>
      <c r="EA9" s="547">
        <f ca="1">DZ10-DZ9</f>
        <v>15.300000000000182</v>
      </c>
      <c r="EB9" s="91">
        <f ca="1">'[1]October - 2022'!EC9</f>
        <v>1081222</v>
      </c>
      <c r="EC9" s="547">
        <f ca="1">EB10-EB9</f>
        <v>787</v>
      </c>
      <c r="ED9" s="91">
        <f ca="1">'[1]October - 2022'!EG9</f>
        <v>221444.6</v>
      </c>
      <c r="EE9" s="549">
        <f ca="1">ED10-ED9</f>
        <v>157.60000000000582</v>
      </c>
      <c r="EF9" s="581"/>
      <c r="EG9" s="235">
        <f ca="1">'[1]October - 2022'!EJ9</f>
        <v>11732700</v>
      </c>
      <c r="EH9" s="558">
        <f ca="1">EG10-EG9</f>
        <v>7600</v>
      </c>
      <c r="EI9" s="90">
        <f ca="1">'[1]October - 2022'!EL9</f>
        <v>913400</v>
      </c>
      <c r="EJ9" s="558">
        <f ca="1">EI10-EI9</f>
        <v>390</v>
      </c>
      <c r="EK9" s="90">
        <f ca="1">'[1]October - 2022'!EN9</f>
        <v>7048100</v>
      </c>
      <c r="EL9" s="558">
        <f ca="1">EK10-EK9</f>
        <v>3100</v>
      </c>
      <c r="EM9" s="90">
        <f ca="1">'[1]October - 2022'!EP9</f>
        <v>2456600</v>
      </c>
      <c r="EN9" s="558">
        <f ca="1">EM10-EM9</f>
        <v>900</v>
      </c>
      <c r="EO9" s="90">
        <f ca="1">'[1]October - 2022'!ER9</f>
        <v>1222870</v>
      </c>
      <c r="EP9" s="558">
        <f ca="1">EO10-EO9</f>
        <v>810</v>
      </c>
      <c r="EQ9" s="90">
        <f ca="1">'[1]October - 2022'!ET9</f>
        <v>16160500</v>
      </c>
      <c r="ER9" s="565">
        <f ca="1">EQ10-EQ9</f>
        <v>8400</v>
      </c>
      <c r="ES9" s="556"/>
      <c r="ET9" s="281">
        <f ca="1">'[1]October - 2022'!EW9</f>
        <v>41021</v>
      </c>
      <c r="EU9" s="530">
        <f ca="1">ET10-ET9</f>
        <v>15</v>
      </c>
      <c r="EV9" s="282">
        <f ca="1">'[1]October - 2022'!EY9</f>
        <v>35956</v>
      </c>
      <c r="EW9" s="530">
        <f ca="1">EV10-EV9</f>
        <v>13</v>
      </c>
      <c r="EX9" s="282">
        <f ca="1">'[1]October - 2022'!FA9</f>
        <v>6825</v>
      </c>
      <c r="EY9" s="530">
        <v>0</v>
      </c>
      <c r="EZ9" s="282">
        <f ca="1">'[1]October - 2022'!FC9</f>
        <v>58275</v>
      </c>
      <c r="FA9" s="530">
        <f ca="1">EZ10-EZ9</f>
        <v>12</v>
      </c>
      <c r="FB9" s="282">
        <f ca="1">'[1]October - 2022'!FE9</f>
        <v>47099</v>
      </c>
      <c r="FC9" s="561">
        <f ca="1">FB10-FB9</f>
        <v>43</v>
      </c>
    </row>
    <row r="10" spans="1:159" ht="30" customHeight="1" x14ac:dyDescent="0.25">
      <c r="A10" s="207">
        <v>43831</v>
      </c>
      <c r="B10" s="209">
        <f ca="1">'[1]October - 2022'!B10</f>
        <v>0.56999999999999995</v>
      </c>
      <c r="C10" s="250">
        <f ca="1">'[1]October - 2022'!E10</f>
        <v>250435</v>
      </c>
      <c r="D10" s="568"/>
      <c r="E10" s="482"/>
      <c r="F10" s="168">
        <f ca="1">'[1]October - 2022'!H10</f>
        <v>210177</v>
      </c>
      <c r="G10" s="480"/>
      <c r="H10" s="482"/>
      <c r="I10" s="168">
        <f ca="1">'[1]October - 2022'!K10</f>
        <v>164625</v>
      </c>
      <c r="J10" s="480"/>
      <c r="K10" s="168">
        <f ca="1">'[1]October - 2022'!N10</f>
        <v>901403</v>
      </c>
      <c r="L10" s="479"/>
      <c r="M10" s="168">
        <f ca="1">'[1]October - 2022'!Q10</f>
        <v>233053</v>
      </c>
      <c r="N10" s="479"/>
      <c r="O10" s="168">
        <f ca="1">'[1]October - 2022'!S10</f>
        <v>104356.59</v>
      </c>
      <c r="P10" s="480"/>
      <c r="Q10" s="482"/>
      <c r="R10" s="168">
        <f ca="1">'[1]October - 2022'!V10</f>
        <v>5489</v>
      </c>
      <c r="S10" s="570"/>
      <c r="T10" s="477"/>
      <c r="U10" s="269">
        <f ca="1">'[1]October - 2022'!AC10</f>
        <v>7968545.7599999998</v>
      </c>
      <c r="V10" s="572"/>
      <c r="W10" s="498"/>
      <c r="X10" s="287">
        <f ca="1">'[1]October - 2022'!AF10</f>
        <v>15158935.68</v>
      </c>
      <c r="Y10" s="480"/>
      <c r="Z10" s="498"/>
      <c r="AA10" s="287">
        <f ca="1">'[1]October - 2022'!AI10</f>
        <v>15428649.6</v>
      </c>
      <c r="AB10" s="480"/>
      <c r="AC10" s="498"/>
      <c r="AD10" s="287">
        <f ca="1">'[1]October - 2022'!AL10</f>
        <v>18468875.039999999</v>
      </c>
      <c r="AE10" s="480"/>
      <c r="AF10" s="498"/>
      <c r="AG10" s="287">
        <f ca="1">'[1]October - 2022'!AO10</f>
        <v>18710623.68</v>
      </c>
      <c r="AH10" s="480"/>
      <c r="AI10" s="498"/>
      <c r="AJ10" s="287">
        <f ca="1">'[1]October - 2022'!AR10</f>
        <v>17169415.199999999</v>
      </c>
      <c r="AK10" s="480"/>
      <c r="AL10" s="498"/>
      <c r="AM10" s="287">
        <f ca="1">'[1]October - 2022'!AU10</f>
        <v>14478609.6</v>
      </c>
      <c r="AN10" s="480"/>
      <c r="AO10" s="498"/>
      <c r="AP10" s="287">
        <f ca="1">'[1]October - 2022'!AX10</f>
        <v>13988876.16</v>
      </c>
      <c r="AQ10" s="480"/>
      <c r="AR10" s="498"/>
      <c r="AS10" s="287">
        <f ca="1">'[1]October - 2022'!BA10</f>
        <v>10967992.559999999</v>
      </c>
      <c r="AT10" s="480"/>
      <c r="AU10" s="498"/>
      <c r="AV10" s="287">
        <f ca="1">'[1]October - 2022'!BD10</f>
        <v>17300520.719999999</v>
      </c>
      <c r="AW10" s="480"/>
      <c r="AX10" s="500"/>
      <c r="AY10" s="494"/>
      <c r="AZ10" s="272">
        <f ca="1">'[1]October - 2022'!BK10</f>
        <v>76296400</v>
      </c>
      <c r="BA10" s="502"/>
      <c r="BB10" s="496"/>
      <c r="BC10" s="272">
        <f ca="1">'[1]October - 2022'!BN10</f>
        <v>78798100</v>
      </c>
      <c r="BD10" s="502"/>
      <c r="BE10" s="496"/>
      <c r="BF10" s="272">
        <f ca="1">'[1]October - 2022'!BQ10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 ca="1">'[1]October - 2022'!BT10</f>
        <v>9675610</v>
      </c>
      <c r="BT10" s="584"/>
      <c r="BU10" s="590"/>
      <c r="BV10" s="88">
        <f ca="1">'[1]October - 2022'!BW10</f>
        <v>0.72</v>
      </c>
      <c r="BW10" s="586"/>
      <c r="BX10" s="588"/>
      <c r="BY10" s="89">
        <f ca="1">'[1]October - 2022'!BZ10</f>
        <v>62873</v>
      </c>
      <c r="BZ10" s="574"/>
      <c r="CA10" s="89">
        <f ca="1">'[1]October - 2022'!CB10</f>
        <v>54092</v>
      </c>
      <c r="CB10" s="574"/>
      <c r="CC10" s="89">
        <f ca="1">'[1]October - 2022'!CD10</f>
        <v>18310</v>
      </c>
      <c r="CD10" s="574"/>
      <c r="CE10" s="89">
        <f ca="1">'[1]October - 2022'!CF10</f>
        <v>24879</v>
      </c>
      <c r="CF10" s="574"/>
      <c r="CG10" s="89">
        <f ca="1">'[1]October - 2022'!CH10</f>
        <v>27493</v>
      </c>
      <c r="CH10" s="574"/>
      <c r="CI10" s="89">
        <f ca="1">'[1]October - 2022'!CJ10</f>
        <v>60131</v>
      </c>
      <c r="CJ10" s="574"/>
      <c r="CK10" s="89">
        <f ca="1">'[1]October - 2022'!CL10</f>
        <v>262976</v>
      </c>
      <c r="CL10" s="574"/>
      <c r="CM10" s="526"/>
      <c r="CN10" s="89">
        <f ca="1">'[1]October - 2022'!CO10</f>
        <v>208556</v>
      </c>
      <c r="CO10" s="574"/>
      <c r="CP10" s="526"/>
      <c r="CQ10" s="89">
        <f ca="1">'[1]October - 2022'!CR10</f>
        <v>349824</v>
      </c>
      <c r="CR10" s="574"/>
      <c r="CS10" s="526"/>
      <c r="CT10" s="89">
        <f ca="1">'[1]October - 2022'!CU10</f>
        <v>683066</v>
      </c>
      <c r="CU10" s="528"/>
      <c r="CV10" s="518"/>
      <c r="CW10" s="256">
        <f ca="1">'[1]October - 2022'!CX10</f>
        <v>8339</v>
      </c>
      <c r="CX10" s="530"/>
      <c r="CY10" s="257">
        <f ca="1">'[1]October - 2022'!CZ10</f>
        <v>5646</v>
      </c>
      <c r="CZ10" s="530"/>
      <c r="DA10" s="257">
        <f ca="1">'[1]October - 2022'!DB10</f>
        <v>31085</v>
      </c>
      <c r="DB10" s="530"/>
      <c r="DC10" s="257">
        <f ca="1">'[1]October - 2022'!DD10</f>
        <v>31350</v>
      </c>
      <c r="DD10" s="530"/>
      <c r="DE10" s="257">
        <f ca="1">'[1]October - 2022'!DF10</f>
        <v>21184</v>
      </c>
      <c r="DF10" s="530"/>
      <c r="DG10" s="257">
        <f ca="1">'[1]October - 2022'!DH10</f>
        <v>23599</v>
      </c>
      <c r="DH10" s="530"/>
      <c r="DI10" s="257">
        <f ca="1">'[1]October - 2022'!DJ10</f>
        <v>6403</v>
      </c>
      <c r="DJ10" s="530"/>
      <c r="DK10" s="257">
        <f ca="1">'[1]October - 2022'!DL10</f>
        <v>9213</v>
      </c>
      <c r="DL10" s="530"/>
      <c r="DM10" s="257">
        <f ca="1">'[1]October - 2022'!DN10</f>
        <v>3035</v>
      </c>
      <c r="DN10" s="530"/>
      <c r="DO10" s="257">
        <f ca="1">'[1]October - 2022'!DP10</f>
        <v>5811</v>
      </c>
      <c r="DP10" s="530"/>
      <c r="DQ10" s="298">
        <f ca="1">'[1]October - 2022'!DR10</f>
        <v>29901</v>
      </c>
      <c r="DR10" s="561"/>
      <c r="DS10" s="534"/>
      <c r="DT10" s="210">
        <f ca="1">'[1]October - 2022'!DU10</f>
        <v>5544.2</v>
      </c>
      <c r="DU10" s="548"/>
      <c r="DV10" s="91">
        <f ca="1">'[1]October - 2022'!DW10</f>
        <v>10699.1</v>
      </c>
      <c r="DW10" s="546"/>
      <c r="DX10" s="91">
        <f ca="1">'[1]October - 2022'!DY10</f>
        <v>4326.7</v>
      </c>
      <c r="DY10" s="548"/>
      <c r="DZ10" s="91">
        <f ca="1">'[1]October - 2022'!EA10</f>
        <v>4907</v>
      </c>
      <c r="EA10" s="548"/>
      <c r="EB10" s="91">
        <f ca="1">'[1]October - 2022'!EC10</f>
        <v>1082009</v>
      </c>
      <c r="EC10" s="548"/>
      <c r="ED10" s="91">
        <f ca="1">'[1]October - 2022'!EG10</f>
        <v>221602.2</v>
      </c>
      <c r="EE10" s="550"/>
      <c r="EF10" s="581"/>
      <c r="EG10" s="235">
        <f ca="1">'[1]October - 2022'!EJ10</f>
        <v>11740300</v>
      </c>
      <c r="EH10" s="559"/>
      <c r="EI10" s="90">
        <f ca="1">'[1]October - 2022'!EL10</f>
        <v>913790</v>
      </c>
      <c r="EJ10" s="559"/>
      <c r="EK10" s="90">
        <f ca="1">'[1]October - 2022'!EN10</f>
        <v>7051200</v>
      </c>
      <c r="EL10" s="559"/>
      <c r="EM10" s="90">
        <f ca="1">'[1]October - 2022'!EP10</f>
        <v>2457500</v>
      </c>
      <c r="EN10" s="559"/>
      <c r="EO10" s="90">
        <f ca="1">'[1]October - 2022'!ER10</f>
        <v>1223680</v>
      </c>
      <c r="EP10" s="559"/>
      <c r="EQ10" s="90">
        <f ca="1">'[1]October - 2022'!ET10</f>
        <v>16168900</v>
      </c>
      <c r="ER10" s="566"/>
      <c r="ES10" s="556"/>
      <c r="ET10" s="281">
        <f ca="1">'[1]October - 2022'!EW10</f>
        <v>41036</v>
      </c>
      <c r="EU10" s="560"/>
      <c r="EV10" s="282">
        <f ca="1">'[1]October - 2022'!EY10</f>
        <v>35969</v>
      </c>
      <c r="EW10" s="560"/>
      <c r="EX10" s="282">
        <f ca="1">'[1]October - 2022'!FA10</f>
        <v>6840</v>
      </c>
      <c r="EY10" s="560"/>
      <c r="EZ10" s="282">
        <f ca="1">'[1]October - 2022'!FC10</f>
        <v>58287</v>
      </c>
      <c r="FA10" s="560"/>
      <c r="FB10" s="282">
        <f ca="1">'[1]October - 2022'!FE10</f>
        <v>47142</v>
      </c>
      <c r="FC10" s="562"/>
    </row>
    <row r="11" spans="1:159" ht="30" customHeight="1" x14ac:dyDescent="0.25">
      <c r="A11" s="207">
        <v>43832</v>
      </c>
      <c r="B11" s="209">
        <f ca="1">'[1]October - 2022'!B11</f>
        <v>0.43</v>
      </c>
      <c r="C11" s="250">
        <f ca="1">'[1]October - 2022'!E11</f>
        <v>251294</v>
      </c>
      <c r="D11" s="170">
        <f ca="1">'[1]October - 2022'!F11</f>
        <v>859</v>
      </c>
      <c r="E11" s="168">
        <f ca="1">'[1]October - 2022'!G11</f>
        <v>697</v>
      </c>
      <c r="F11" s="168">
        <f ca="1">'[1]October - 2022'!H11</f>
        <v>210607</v>
      </c>
      <c r="G11" s="170">
        <f ca="1">'[1]October - 2022'!I11</f>
        <v>430</v>
      </c>
      <c r="H11" s="168">
        <f ca="1">'[1]October - 2022'!J11</f>
        <v>324</v>
      </c>
      <c r="I11" s="168">
        <f ca="1">'[1]October - 2022'!K11</f>
        <v>164625</v>
      </c>
      <c r="J11" s="170">
        <f ca="1">'[1]October - 2022'!L11</f>
        <v>0</v>
      </c>
      <c r="K11" s="168">
        <f ca="1">'[1]October - 2022'!N11</f>
        <v>901717</v>
      </c>
      <c r="L11" s="170">
        <f ca="1">'[1]October - 2022'!O11</f>
        <v>314</v>
      </c>
      <c r="M11" s="168">
        <f ca="1">'[1]October - 2022'!Q11</f>
        <v>233199</v>
      </c>
      <c r="N11" s="170">
        <f ca="1">'[1]October - 2022'!R11</f>
        <v>146</v>
      </c>
      <c r="O11" s="168">
        <f ca="1">'[1]October - 2022'!S11</f>
        <v>104581</v>
      </c>
      <c r="P11" s="170">
        <f ca="1">'[1]October - 2022'!T11</f>
        <v>224.41000000000349</v>
      </c>
      <c r="Q11" s="168">
        <f ca="1">'[1]October - 2022'!U11</f>
        <v>264.55000000000291</v>
      </c>
      <c r="R11" s="168">
        <f ca="1">'[1]October - 2022'!V11</f>
        <v>5501</v>
      </c>
      <c r="S11" s="208">
        <f ca="1">'[1]October - 2022'!W11</f>
        <v>12</v>
      </c>
      <c r="T11" s="477"/>
      <c r="U11" s="269">
        <f ca="1">'[1]October - 2022'!AC11</f>
        <v>7971517.6799999997</v>
      </c>
      <c r="V11" s="239">
        <f ca="1">'[1]October - 2022'!AD11</f>
        <v>2971.9199999999255</v>
      </c>
      <c r="W11" s="92">
        <f ca="1">'[1]October - 2022'!AD11</f>
        <v>2971.9199999999255</v>
      </c>
      <c r="X11" s="287">
        <f ca="1">'[1]October - 2022'!AF11</f>
        <v>15163564.08</v>
      </c>
      <c r="Y11" s="239">
        <f ca="1">'[1]October - 2022'!AG11</f>
        <v>4628.4000000003725</v>
      </c>
      <c r="Z11" s="92">
        <f ca="1">'[1]October - 2022'!AG11</f>
        <v>4628.4000000003725</v>
      </c>
      <c r="AA11" s="287">
        <f ca="1">'[1]October - 2022'!AI11</f>
        <v>15439075.68</v>
      </c>
      <c r="AB11" s="251">
        <f ca="1">'[1]October - 2022'!AJ11</f>
        <v>10426.080000000075</v>
      </c>
      <c r="AC11" s="92">
        <f ca="1">'[1]October - 2022'!AJ11</f>
        <v>10426.080000000075</v>
      </c>
      <c r="AD11" s="287">
        <f ca="1">'[1]October - 2022'!AL11</f>
        <v>18469703.280000001</v>
      </c>
      <c r="AE11" s="251">
        <f ca="1">'[1]October - 2022'!AM11</f>
        <v>828.24000000208616</v>
      </c>
      <c r="AF11" s="92">
        <f ca="1">'[1]October - 2022'!AM11</f>
        <v>828.24000000208616</v>
      </c>
      <c r="AG11" s="287">
        <f ca="1">'[1]October - 2022'!AO11</f>
        <v>18723096</v>
      </c>
      <c r="AH11" s="251">
        <f ca="1">'[1]October - 2022'!AP11</f>
        <v>12472.320000000298</v>
      </c>
      <c r="AI11" s="92">
        <f ca="1">'[1]October - 2022'!AP11</f>
        <v>12472.320000000298</v>
      </c>
      <c r="AJ11" s="287">
        <f ca="1">'[1]October - 2022'!AR11</f>
        <v>17175407.760000002</v>
      </c>
      <c r="AK11" s="251">
        <f ca="1">'[1]October - 2022'!AS11</f>
        <v>5992.5600000023842</v>
      </c>
      <c r="AL11" s="92">
        <f ca="1">'[1]October - 2022'!AS11</f>
        <v>5992.5600000023842</v>
      </c>
      <c r="AM11" s="287">
        <f ca="1">'[1]October - 2022'!AU11</f>
        <v>14483043.119999999</v>
      </c>
      <c r="AN11" s="251">
        <f ca="1">'[1]October - 2022'!AV11</f>
        <v>4433.519999999553</v>
      </c>
      <c r="AO11" s="92">
        <f ca="1">'[1]October - 2022'!AV11</f>
        <v>4433.519999999553</v>
      </c>
      <c r="AP11" s="287">
        <f ca="1">'[1]October - 2022'!AX11</f>
        <v>13993699.439999999</v>
      </c>
      <c r="AQ11" s="251">
        <f ca="1">'[1]October - 2022'!AY11</f>
        <v>4823.2799999993294</v>
      </c>
      <c r="AR11" s="92">
        <f ca="1">'[1]October - 2022'!AY11</f>
        <v>4823.2799999993294</v>
      </c>
      <c r="AS11" s="287">
        <f ca="1">'[1]October - 2022'!BA11</f>
        <v>10971256.799999999</v>
      </c>
      <c r="AT11" s="251">
        <f ca="1">'[1]October - 2022'!BB11</f>
        <v>3264.2400000002235</v>
      </c>
      <c r="AU11" s="92">
        <f ca="1">'[1]October - 2022'!BB11</f>
        <v>3264.2400000002235</v>
      </c>
      <c r="AV11" s="287">
        <f ca="1">'[1]October - 2022'!BD11</f>
        <v>17306659.439999998</v>
      </c>
      <c r="AW11" s="252">
        <f ca="1">'[1]October - 2022'!BE11</f>
        <v>6138.7199999988079</v>
      </c>
      <c r="AX11" s="253">
        <f ca="1">'[1]October - 2022'!BE11</f>
        <v>6138.7199999988079</v>
      </c>
      <c r="AY11" s="494"/>
      <c r="AZ11" s="272">
        <f ca="1">'[1]October - 2022'!BK11</f>
        <v>76347600</v>
      </c>
      <c r="BA11" s="179">
        <f ca="1">'[1]October - 2022'!BL11</f>
        <v>51200</v>
      </c>
      <c r="BB11" s="93">
        <f ca="1">'[1]October - 2022'!BL11</f>
        <v>51200</v>
      </c>
      <c r="BC11" s="272">
        <f ca="1">'[1]October - 2022'!BN11</f>
        <v>78798100</v>
      </c>
      <c r="BD11" s="245">
        <f ca="1">'[1]October - 2022'!BO11</f>
        <v>0</v>
      </c>
      <c r="BE11" s="93">
        <f ca="1">'[1]October - 2022'!BO11</f>
        <v>0</v>
      </c>
      <c r="BF11" s="272">
        <f ca="1">'[1]October - 2022'!BQ11</f>
        <v>72612300</v>
      </c>
      <c r="BG11" s="245">
        <f ca="1">'[1]October - 2022'!BR11</f>
        <v>60900</v>
      </c>
      <c r="BH11" s="93">
        <f ca="1"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 ca="1">'[1]October - 2022'!BT11</f>
        <v>9684000</v>
      </c>
      <c r="BT11" s="185">
        <f ca="1">'[1]October - 2022'!BU11</f>
        <v>8390</v>
      </c>
      <c r="BU11" s="590"/>
      <c r="BV11" s="88">
        <f ca="1">'[1]October - 2022'!BW11</f>
        <v>0.69</v>
      </c>
      <c r="BW11" s="241">
        <f ca="1">'[1]October - 2022'!BX11</f>
        <v>3.0000000000000027E-2</v>
      </c>
      <c r="BX11" s="88">
        <f ca="1">'[1]October - 2022'!BX11</f>
        <v>3.0000000000000027E-2</v>
      </c>
      <c r="BY11" s="89">
        <f ca="1">'[1]October - 2022'!BZ11</f>
        <v>62898</v>
      </c>
      <c r="BZ11" s="191">
        <f ca="1">'[1]October - 2022'!CA11</f>
        <v>25</v>
      </c>
      <c r="CA11" s="89">
        <f ca="1">'[1]October - 2022'!CB11</f>
        <v>54112</v>
      </c>
      <c r="CB11" s="191">
        <f ca="1">'[1]October - 2022'!CC11</f>
        <v>20</v>
      </c>
      <c r="CC11" s="89">
        <f ca="1">'[1]October - 2022'!CD11</f>
        <v>18315</v>
      </c>
      <c r="CD11" s="191">
        <f ca="1">'[1]October - 2022'!CE11</f>
        <v>5</v>
      </c>
      <c r="CE11" s="89">
        <f ca="1">'[1]October - 2022'!CF11</f>
        <v>24890</v>
      </c>
      <c r="CF11" s="191">
        <f ca="1">'[1]October - 2022'!CG11</f>
        <v>11</v>
      </c>
      <c r="CG11" s="89">
        <f ca="1">'[1]October - 2022'!CH11</f>
        <v>27507</v>
      </c>
      <c r="CH11" s="191">
        <f ca="1">'[1]October - 2022'!CI11</f>
        <v>14</v>
      </c>
      <c r="CI11" s="89">
        <f ca="1">'[1]October - 2022'!CJ11</f>
        <v>60160</v>
      </c>
      <c r="CJ11" s="191">
        <f ca="1">'[1]October - 2022'!CK11</f>
        <v>29</v>
      </c>
      <c r="CK11" s="89">
        <f ca="1">'[1]October - 2022'!CL11</f>
        <v>263049</v>
      </c>
      <c r="CL11" s="246">
        <f ca="1">'[1]October - 2022'!CM11</f>
        <v>73</v>
      </c>
      <c r="CM11" s="89">
        <f ca="1">'[1]October - 2022'!CM11</f>
        <v>73</v>
      </c>
      <c r="CN11" s="89">
        <f ca="1">'[1]October - 2022'!CO11</f>
        <v>208639</v>
      </c>
      <c r="CO11" s="246">
        <f ca="1">'[1]October - 2022'!CP11</f>
        <v>83</v>
      </c>
      <c r="CP11" s="89">
        <f ca="1">'[1]October - 2022'!CP11</f>
        <v>83</v>
      </c>
      <c r="CQ11" s="89">
        <f ca="1">'[1]October - 2022'!CR11</f>
        <v>349824</v>
      </c>
      <c r="CR11" s="246">
        <f ca="1">'[1]October - 2022'!CS11</f>
        <v>0</v>
      </c>
      <c r="CS11" s="89">
        <f ca="1">'[1]October - 2022'!CS11</f>
        <v>0</v>
      </c>
      <c r="CT11" s="89">
        <f ca="1">'[1]October - 2022'!CU11</f>
        <v>683231</v>
      </c>
      <c r="CU11" s="191">
        <f ca="1">'[1]October - 2022'!CV11</f>
        <v>165</v>
      </c>
      <c r="CV11" s="518"/>
      <c r="CW11" s="256">
        <f ca="1">'[1]October - 2022'!CX11</f>
        <v>8343</v>
      </c>
      <c r="CX11" s="198">
        <f ca="1">'[1]October - 2022'!CY11</f>
        <v>4</v>
      </c>
      <c r="CY11" s="257">
        <f ca="1">'[1]October - 2022'!CZ11</f>
        <v>5649</v>
      </c>
      <c r="CZ11" s="198">
        <f ca="1">'[1]October - 2022'!DA11</f>
        <v>3</v>
      </c>
      <c r="DA11" s="257">
        <f ca="1">'[1]October - 2022'!DB11</f>
        <v>31103</v>
      </c>
      <c r="DB11" s="198">
        <f ca="1">'[1]October - 2022'!DC11</f>
        <v>18</v>
      </c>
      <c r="DC11" s="257">
        <f ca="1">'[1]October - 2022'!DD11</f>
        <v>31374</v>
      </c>
      <c r="DD11" s="198">
        <f ca="1">'[1]October - 2022'!DE11</f>
        <v>24</v>
      </c>
      <c r="DE11" s="257">
        <f ca="1">'[1]October - 2022'!DF11</f>
        <v>21192</v>
      </c>
      <c r="DF11" s="198">
        <f ca="1">'[1]October - 2022'!DG11</f>
        <v>8</v>
      </c>
      <c r="DG11" s="257">
        <f ca="1">'[1]October - 2022'!DH11</f>
        <v>23606</v>
      </c>
      <c r="DH11" s="198">
        <f ca="1">'[1]October - 2022'!DI11</f>
        <v>7</v>
      </c>
      <c r="DI11" s="257">
        <f ca="1">'[1]October - 2022'!DJ11</f>
        <v>6426</v>
      </c>
      <c r="DJ11" s="198">
        <f ca="1">'[1]October - 2022'!DK11</f>
        <v>23</v>
      </c>
      <c r="DK11" s="257">
        <f ca="1">'[1]October - 2022'!DL11</f>
        <v>9227</v>
      </c>
      <c r="DL11" s="198">
        <f ca="1">'[1]October - 2022'!DM11</f>
        <v>14</v>
      </c>
      <c r="DM11" s="257">
        <f ca="1">'[1]October - 2022'!DN11</f>
        <v>3040</v>
      </c>
      <c r="DN11" s="198">
        <f ca="1">'[1]October - 2022'!DO11</f>
        <v>5</v>
      </c>
      <c r="DO11" s="257">
        <f ca="1">'[1]October - 2022'!DP11</f>
        <v>5824</v>
      </c>
      <c r="DP11" s="198">
        <f ca="1">'[1]October - 2022'!DQ11</f>
        <v>13</v>
      </c>
      <c r="DQ11" s="257">
        <f ca="1">'[1]October - 2022'!DR11</f>
        <v>29901</v>
      </c>
      <c r="DR11" s="206">
        <f ca="1">'[1]October - 2022'!DS11</f>
        <v>0</v>
      </c>
      <c r="DS11" s="534"/>
      <c r="DT11" s="210">
        <f ca="1">'[1]October - 2022'!DU11</f>
        <v>5555.6</v>
      </c>
      <c r="DU11" s="221">
        <f ca="1">'[1]October - 2022'!DV11</f>
        <v>11.400000000000546</v>
      </c>
      <c r="DV11" s="91">
        <f ca="1">'[1]October - 2022'!DW11</f>
        <v>10707.7</v>
      </c>
      <c r="DW11" s="215">
        <f ca="1">'[1]October - 2022'!DX11</f>
        <v>8.6000000000003638</v>
      </c>
      <c r="DX11" s="91">
        <f ca="1">'[1]October - 2022'!DY11</f>
        <v>4333.3</v>
      </c>
      <c r="DY11" s="215">
        <f ca="1">'[1]October - 2022'!DZ11</f>
        <v>6.6000000000003638</v>
      </c>
      <c r="DZ11" s="91">
        <f ca="1">'[1]October - 2022'!EA11</f>
        <v>4909.7</v>
      </c>
      <c r="EA11" s="215">
        <f ca="1">'[1]October - 2022'!EB11</f>
        <v>2.6999999999998181</v>
      </c>
      <c r="EB11" s="91">
        <f ca="1">'[1]October - 2022'!EC11</f>
        <v>1082726</v>
      </c>
      <c r="EC11" s="215">
        <f ca="1">'[1]October - 2022'!ED11</f>
        <v>717</v>
      </c>
      <c r="ED11" s="91">
        <f ca="1">'[1]October - 2022'!EG11</f>
        <v>221749.1</v>
      </c>
      <c r="EE11" s="229">
        <f ca="1">'[1]October - 2022'!EH11</f>
        <v>146.89999999999418</v>
      </c>
      <c r="EF11" s="581"/>
      <c r="EG11" s="235">
        <f ca="1">'[1]October - 2022'!EJ11</f>
        <v>11749200</v>
      </c>
      <c r="EH11" s="230">
        <f ca="1">'[1]October - 2022'!EK11</f>
        <v>8900</v>
      </c>
      <c r="EI11" s="90">
        <f ca="1">'[1]October - 2022'!EL11</f>
        <v>914100</v>
      </c>
      <c r="EJ11" s="230">
        <f ca="1">'[1]October - 2022'!EM11</f>
        <v>310</v>
      </c>
      <c r="EK11" s="90">
        <f ca="1">'[1]October - 2022'!EN11</f>
        <v>7054200</v>
      </c>
      <c r="EL11" s="230">
        <f ca="1">'[1]October - 2022'!EO11</f>
        <v>3000</v>
      </c>
      <c r="EM11" s="90">
        <f ca="1">'[1]October - 2022'!EP11</f>
        <v>2458500</v>
      </c>
      <c r="EN11" s="230">
        <f ca="1">'[1]October - 2022'!EQ11</f>
        <v>1000</v>
      </c>
      <c r="EO11" s="90">
        <f ca="1">'[1]October - 2022'!ER11</f>
        <v>1224580</v>
      </c>
      <c r="EP11" s="230">
        <f ca="1">'[1]October - 2022'!ES11</f>
        <v>900</v>
      </c>
      <c r="EQ11" s="90">
        <f ca="1">'[1]October - 2022'!ET11</f>
        <v>16179200</v>
      </c>
      <c r="ER11" s="230">
        <f ca="1">'[1]October - 2022'!EU11</f>
        <v>10300</v>
      </c>
      <c r="ES11" s="556"/>
      <c r="ET11" s="281">
        <f ca="1">'[1]October - 2022'!EW11</f>
        <v>41049</v>
      </c>
      <c r="EU11" s="275">
        <f ca="1">'[1]October - 2022'!EX11</f>
        <v>13</v>
      </c>
      <c r="EV11" s="282">
        <f ca="1">'[1]October - 2022'!EY11</f>
        <v>35979</v>
      </c>
      <c r="EW11" s="275">
        <f ca="1">'[1]October - 2022'!EZ11</f>
        <v>10</v>
      </c>
      <c r="EX11" s="282">
        <f ca="1">'[1]October - 2022'!FA11</f>
        <v>6851</v>
      </c>
      <c r="EY11" s="275">
        <f ca="1">'[1]October - 2022'!FB11</f>
        <v>11</v>
      </c>
      <c r="EZ11" s="282">
        <f ca="1">'[1]October - 2022'!FC11</f>
        <v>58297</v>
      </c>
      <c r="FA11" s="275">
        <f ca="1">'[1]October - 2022'!FD11</f>
        <v>10</v>
      </c>
      <c r="FB11" s="282">
        <f ca="1">'[1]October - 2022'!FE11</f>
        <v>47176</v>
      </c>
      <c r="FC11" s="276">
        <f ca="1">'[1]October - 2022'!FF11</f>
        <v>34</v>
      </c>
    </row>
    <row r="12" spans="1:159" ht="30" customHeight="1" x14ac:dyDescent="0.25">
      <c r="A12" s="207">
        <v>43833</v>
      </c>
      <c r="B12" s="209">
        <f ca="1">'[1]October - 2022'!B12</f>
        <v>0.49</v>
      </c>
      <c r="C12" s="250">
        <f ca="1">'[1]October - 2022'!E12</f>
        <v>252191</v>
      </c>
      <c r="D12" s="170">
        <f ca="1">'[1]October - 2022'!F12</f>
        <v>897</v>
      </c>
      <c r="E12" s="168">
        <f ca="1">'[1]October - 2022'!G12</f>
        <v>711</v>
      </c>
      <c r="F12" s="168">
        <f ca="1">'[1]October - 2022'!H12</f>
        <v>210978</v>
      </c>
      <c r="G12" s="170">
        <f ca="1">'[1]October - 2022'!I12</f>
        <v>371</v>
      </c>
      <c r="H12" s="168">
        <f ca="1">'[1]October - 2022'!J12</f>
        <v>314</v>
      </c>
      <c r="I12" s="168">
        <f ca="1">'[1]October - 2022'!K12</f>
        <v>164625</v>
      </c>
      <c r="J12" s="170">
        <f ca="1">'[1]October - 2022'!L12</f>
        <v>0</v>
      </c>
      <c r="K12" s="168">
        <f ca="1">'[1]October - 2022'!N12</f>
        <v>902033</v>
      </c>
      <c r="L12" s="170">
        <f ca="1">'[1]October - 2022'!O12</f>
        <v>316</v>
      </c>
      <c r="M12" s="168">
        <f ca="1">'[1]October - 2022'!Q12</f>
        <v>233414</v>
      </c>
      <c r="N12" s="170">
        <f ca="1">'[1]October - 2022'!R12</f>
        <v>215</v>
      </c>
      <c r="O12" s="168">
        <f ca="1">'[1]October - 2022'!S12</f>
        <v>104806</v>
      </c>
      <c r="P12" s="170">
        <f ca="1">'[1]October - 2022'!T12</f>
        <v>225</v>
      </c>
      <c r="Q12" s="168">
        <f ca="1">'[1]October - 2022'!U12</f>
        <v>234.08999999999651</v>
      </c>
      <c r="R12" s="168">
        <f ca="1">'[1]October - 2022'!V12</f>
        <v>5509</v>
      </c>
      <c r="S12" s="208">
        <f ca="1">'[1]October - 2022'!W12</f>
        <v>8</v>
      </c>
      <c r="T12" s="477"/>
      <c r="U12" s="269">
        <f ca="1">'[1]October - 2022'!AC12</f>
        <v>7974440.8799999999</v>
      </c>
      <c r="V12" s="288">
        <f ca="1">'[1]October - 2022'!AD12</f>
        <v>2923.2000000001863</v>
      </c>
      <c r="W12" s="92">
        <f ca="1">'[1]October - 2022'!AD12</f>
        <v>2923.2000000001863</v>
      </c>
      <c r="X12" s="287">
        <f ca="1">'[1]October - 2022'!AF12</f>
        <v>15168241.199999999</v>
      </c>
      <c r="Y12" s="288">
        <f ca="1">'[1]October - 2022'!AG12</f>
        <v>4677.1199999991804</v>
      </c>
      <c r="Z12" s="92">
        <f ca="1">'[1]October - 2022'!AG12</f>
        <v>4677.1199999991804</v>
      </c>
      <c r="AA12" s="287">
        <f ca="1">'[1]October - 2022'!AI12</f>
        <v>15448235.039999999</v>
      </c>
      <c r="AB12" s="288">
        <f ca="1">'[1]October - 2022'!AJ12</f>
        <v>9159.359999999404</v>
      </c>
      <c r="AC12" s="92">
        <f ca="1">'[1]October - 2022'!AJ12</f>
        <v>9159.359999999404</v>
      </c>
      <c r="AD12" s="287">
        <f ca="1">'[1]October - 2022'!AL12</f>
        <v>18470336.639999997</v>
      </c>
      <c r="AE12" s="288">
        <f ca="1">'[1]October - 2022'!AM12</f>
        <v>633.35999999567866</v>
      </c>
      <c r="AF12" s="92">
        <f ca="1">'[1]October - 2022'!AM12</f>
        <v>633.35999999567866</v>
      </c>
      <c r="AG12" s="287">
        <f ca="1">'[1]October - 2022'!AO12</f>
        <v>18734496.48</v>
      </c>
      <c r="AH12" s="288">
        <f ca="1">'[1]October - 2022'!AP12</f>
        <v>11400.480000000447</v>
      </c>
      <c r="AI12" s="92">
        <f ca="1">'[1]October - 2022'!AP12</f>
        <v>11400.480000000447</v>
      </c>
      <c r="AJ12" s="287">
        <f ca="1">'[1]October - 2022'!AR12</f>
        <v>17181254.16</v>
      </c>
      <c r="AK12" s="288">
        <f ca="1">'[1]October - 2022'!AS12</f>
        <v>5846.3999999985099</v>
      </c>
      <c r="AL12" s="92">
        <f ca="1">'[1]October - 2022'!AS12</f>
        <v>5846.3999999985099</v>
      </c>
      <c r="AM12" s="287">
        <f ca="1">'[1]October - 2022'!AU12</f>
        <v>14487281.76</v>
      </c>
      <c r="AN12" s="288">
        <f ca="1">'[1]October - 2022'!AV12</f>
        <v>4238.640000000596</v>
      </c>
      <c r="AO12" s="92">
        <f ca="1">'[1]October - 2022'!AV12</f>
        <v>4238.640000000596</v>
      </c>
      <c r="AP12" s="287">
        <f ca="1">'[1]October - 2022'!AX12</f>
        <v>13998084.24</v>
      </c>
      <c r="AQ12" s="288">
        <f ca="1">'[1]October - 2022'!AY12</f>
        <v>4384.8000000007451</v>
      </c>
      <c r="AR12" s="92">
        <f ca="1">'[1]October - 2022'!AY12</f>
        <v>4384.8000000007451</v>
      </c>
      <c r="AS12" s="287">
        <f ca="1">'[1]October - 2022'!BA12</f>
        <v>10974228.719999999</v>
      </c>
      <c r="AT12" s="288">
        <f ca="1">'[1]October - 2022'!BB12</f>
        <v>2971.9199999999255</v>
      </c>
      <c r="AU12" s="92">
        <f ca="1">'[1]October - 2022'!BB12</f>
        <v>2971.9199999999255</v>
      </c>
      <c r="AV12" s="287">
        <f ca="1">'[1]October - 2022'!BD12</f>
        <v>17312457.119999997</v>
      </c>
      <c r="AW12" s="252">
        <f ca="1">'[1]October - 2022'!BE12</f>
        <v>5797.679999999702</v>
      </c>
      <c r="AX12" s="253">
        <f ca="1">'[1]October - 2022'!BE12</f>
        <v>5797.679999999702</v>
      </c>
      <c r="AY12" s="494"/>
      <c r="AZ12" s="272">
        <f ca="1">'[1]October - 2022'!BK12</f>
        <v>76394500</v>
      </c>
      <c r="BA12" s="179">
        <f ca="1">'[1]October - 2022'!BL12</f>
        <v>46900</v>
      </c>
      <c r="BB12" s="93">
        <f ca="1">'[1]October - 2022'!BL12</f>
        <v>46900</v>
      </c>
      <c r="BC12" s="272">
        <f ca="1">'[1]October - 2022'!BN12</f>
        <v>78798100</v>
      </c>
      <c r="BD12" s="245">
        <f ca="1">'[1]October - 2022'!BO12</f>
        <v>0</v>
      </c>
      <c r="BE12" s="93">
        <f ca="1">'[1]October - 2022'!BO12</f>
        <v>0</v>
      </c>
      <c r="BF12" s="272">
        <f ca="1">'[1]October - 2022'!BQ12</f>
        <v>72670200</v>
      </c>
      <c r="BG12" s="245">
        <f ca="1">'[1]October - 2022'!BR12</f>
        <v>57900</v>
      </c>
      <c r="BH12" s="93">
        <f ca="1"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 ca="1">'[1]October - 2022'!BT12</f>
        <v>9691920</v>
      </c>
      <c r="BT12" s="185">
        <f ca="1">'[1]October - 2022'!BU12</f>
        <v>7920</v>
      </c>
      <c r="BU12" s="590"/>
      <c r="BV12" s="88">
        <f ca="1">'[1]October - 2022'!BW12</f>
        <v>0.66</v>
      </c>
      <c r="BW12" s="241">
        <f ca="1">'[1]October - 2022'!BX12</f>
        <v>2.9999999999999916E-2</v>
      </c>
      <c r="BX12" s="88">
        <f ca="1">'[1]October - 2022'!BX12</f>
        <v>2.9999999999999916E-2</v>
      </c>
      <c r="BY12" s="89">
        <f ca="1">'[1]October - 2022'!BZ12</f>
        <v>62919</v>
      </c>
      <c r="BZ12" s="191">
        <f ca="1">'[1]October - 2022'!CA12</f>
        <v>21</v>
      </c>
      <c r="CA12" s="89">
        <f ca="1">'[1]October - 2022'!CB12</f>
        <v>54130</v>
      </c>
      <c r="CB12" s="191">
        <f ca="1">'[1]October - 2022'!CC12</f>
        <v>18</v>
      </c>
      <c r="CC12" s="89">
        <f ca="1">'[1]October - 2022'!CD12</f>
        <v>18320</v>
      </c>
      <c r="CD12" s="191">
        <f ca="1">'[1]October - 2022'!CE12</f>
        <v>5</v>
      </c>
      <c r="CE12" s="89">
        <f ca="1">'[1]October - 2022'!CF12</f>
        <v>24900</v>
      </c>
      <c r="CF12" s="191">
        <f ca="1">'[1]October - 2022'!CG12</f>
        <v>10</v>
      </c>
      <c r="CG12" s="89">
        <f ca="1">'[1]October - 2022'!CH12</f>
        <v>27521</v>
      </c>
      <c r="CH12" s="191">
        <f ca="1">'[1]October - 2022'!CI12</f>
        <v>14</v>
      </c>
      <c r="CI12" s="89">
        <f ca="1">'[1]October - 2022'!CJ12</f>
        <v>60189</v>
      </c>
      <c r="CJ12" s="191">
        <f ca="1">'[1]October - 2022'!CK12</f>
        <v>29</v>
      </c>
      <c r="CK12" s="89">
        <f ca="1">'[1]October - 2022'!CL12</f>
        <v>263122</v>
      </c>
      <c r="CL12" s="246">
        <f ca="1">'[1]October - 2022'!CM12</f>
        <v>73</v>
      </c>
      <c r="CM12" s="89">
        <f ca="1">'[1]October - 2022'!CM12</f>
        <v>73</v>
      </c>
      <c r="CN12" s="89">
        <f ca="1">'[1]October - 2022'!CO12</f>
        <v>208719</v>
      </c>
      <c r="CO12" s="246">
        <f ca="1">'[1]October - 2022'!CP12</f>
        <v>80</v>
      </c>
      <c r="CP12" s="89">
        <f ca="1">'[1]October - 2022'!CP12</f>
        <v>80</v>
      </c>
      <c r="CQ12" s="89">
        <f ca="1">'[1]October - 2022'!CR12</f>
        <v>349824</v>
      </c>
      <c r="CR12" s="246">
        <f ca="1">'[1]October - 2022'!CS12</f>
        <v>0</v>
      </c>
      <c r="CS12" s="89">
        <f ca="1">'[1]October - 2022'!CS12</f>
        <v>0</v>
      </c>
      <c r="CT12" s="89">
        <f ca="1">'[1]October - 2022'!CU12</f>
        <v>683393</v>
      </c>
      <c r="CU12" s="191">
        <f ca="1">'[1]October - 2022'!CV12</f>
        <v>162</v>
      </c>
      <c r="CV12" s="518"/>
      <c r="CW12" s="256">
        <f ca="1">'[1]October - 2022'!CX12</f>
        <v>8347</v>
      </c>
      <c r="CX12" s="198">
        <f ca="1">'[1]October - 2022'!CY12</f>
        <v>4</v>
      </c>
      <c r="CY12" s="257">
        <f ca="1">'[1]October - 2022'!CZ12</f>
        <v>5652</v>
      </c>
      <c r="CZ12" s="198">
        <f ca="1">'[1]October - 2022'!DA12</f>
        <v>3</v>
      </c>
      <c r="DA12" s="257">
        <f ca="1">'[1]October - 2022'!DB12</f>
        <v>31115</v>
      </c>
      <c r="DB12" s="198">
        <f ca="1">'[1]October - 2022'!DC12</f>
        <v>12</v>
      </c>
      <c r="DC12" s="257">
        <f ca="1">'[1]October - 2022'!DD12</f>
        <v>31389</v>
      </c>
      <c r="DD12" s="198">
        <f ca="1">'[1]October - 2022'!DE12</f>
        <v>15</v>
      </c>
      <c r="DE12" s="257">
        <f ca="1">'[1]October - 2022'!DF12</f>
        <v>21200</v>
      </c>
      <c r="DF12" s="198">
        <f ca="1">'[1]October - 2022'!DG12</f>
        <v>8</v>
      </c>
      <c r="DG12" s="257">
        <f ca="1">'[1]October - 2022'!DH12</f>
        <v>23611</v>
      </c>
      <c r="DH12" s="198">
        <f ca="1">'[1]October - 2022'!DI12</f>
        <v>5</v>
      </c>
      <c r="DI12" s="257">
        <f ca="1">'[1]October - 2022'!DJ12</f>
        <v>6433</v>
      </c>
      <c r="DJ12" s="198">
        <f ca="1">'[1]October - 2022'!DK12</f>
        <v>7</v>
      </c>
      <c r="DK12" s="257">
        <f ca="1">'[1]October - 2022'!DL12</f>
        <v>9234</v>
      </c>
      <c r="DL12" s="198">
        <f ca="1">'[1]October - 2022'!DM12</f>
        <v>7</v>
      </c>
      <c r="DM12" s="257">
        <f ca="1">'[1]October - 2022'!DN12</f>
        <v>3043</v>
      </c>
      <c r="DN12" s="198">
        <f ca="1">'[1]October - 2022'!DO12</f>
        <v>3</v>
      </c>
      <c r="DO12" s="257">
        <f ca="1">'[1]October - 2022'!DP12</f>
        <v>5831</v>
      </c>
      <c r="DP12" s="198">
        <f ca="1">'[1]October - 2022'!DQ12</f>
        <v>7</v>
      </c>
      <c r="DQ12" s="257">
        <f ca="1">'[1]October - 2022'!DR12</f>
        <v>29901</v>
      </c>
      <c r="DR12" s="206">
        <f ca="1">'[1]October - 2022'!DS12</f>
        <v>0</v>
      </c>
      <c r="DS12" s="534"/>
      <c r="DT12" s="210">
        <f ca="1">'[1]October - 2022'!DU12</f>
        <v>5567.4</v>
      </c>
      <c r="DU12" s="221">
        <f ca="1">'[1]October - 2022'!DV12</f>
        <v>11.799999999999272</v>
      </c>
      <c r="DV12" s="91">
        <f ca="1">'[1]October - 2022'!DW12</f>
        <v>10716.1</v>
      </c>
      <c r="DW12" s="215">
        <f ca="1">'[1]October - 2022'!DX12</f>
        <v>8.3999999999996362</v>
      </c>
      <c r="DX12" s="91">
        <f ca="1">'[1]October - 2022'!DY12</f>
        <v>4340</v>
      </c>
      <c r="DY12" s="215">
        <f ca="1">'[1]October - 2022'!DZ12</f>
        <v>6.6999999999998181</v>
      </c>
      <c r="DZ12" s="91">
        <f ca="1">'[1]October - 2022'!EA12</f>
        <v>4917</v>
      </c>
      <c r="EA12" s="215">
        <f ca="1">'[1]October - 2022'!EB12</f>
        <v>7.3000000000001819</v>
      </c>
      <c r="EB12" s="91">
        <f ca="1">'[1]October - 2022'!EC12</f>
        <v>1083383</v>
      </c>
      <c r="EC12" s="215">
        <f ca="1">'[1]October - 2022'!ED12</f>
        <v>657</v>
      </c>
      <c r="ED12" s="91">
        <f ca="1">'[1]October - 2022'!EG12</f>
        <v>221900.79999999999</v>
      </c>
      <c r="EE12" s="229">
        <f ca="1">'[1]October - 2022'!EH12</f>
        <v>151.69999999998254</v>
      </c>
      <c r="EF12" s="581"/>
      <c r="EG12" s="235">
        <f ca="1">'[1]October - 2022'!EJ12</f>
        <v>11757500</v>
      </c>
      <c r="EH12" s="230">
        <f ca="1">'[1]October - 2022'!EK12</f>
        <v>8300</v>
      </c>
      <c r="EI12" s="90">
        <f ca="1">'[1]October - 2022'!EL12</f>
        <v>914450</v>
      </c>
      <c r="EJ12" s="230">
        <f ca="1">'[1]October - 2022'!EM12</f>
        <v>350</v>
      </c>
      <c r="EK12" s="90">
        <f ca="1">'[1]October - 2022'!EN12</f>
        <v>7057300</v>
      </c>
      <c r="EL12" s="230">
        <f ca="1">'[1]October - 2022'!EO12</f>
        <v>3100</v>
      </c>
      <c r="EM12" s="90">
        <f ca="1">'[1]October - 2022'!EP12</f>
        <v>2459400</v>
      </c>
      <c r="EN12" s="230">
        <f ca="1">'[1]October - 2022'!EQ12</f>
        <v>900</v>
      </c>
      <c r="EO12" s="90">
        <f ca="1">'[1]October - 2022'!ER12</f>
        <v>1225440</v>
      </c>
      <c r="EP12" s="230">
        <f ca="1">'[1]October - 2022'!ES12</f>
        <v>860</v>
      </c>
      <c r="EQ12" s="90">
        <f ca="1">'[1]October - 2022'!ET12</f>
        <v>16188500</v>
      </c>
      <c r="ER12" s="230">
        <f ca="1">'[1]October - 2022'!EU12</f>
        <v>9300</v>
      </c>
      <c r="ES12" s="556"/>
      <c r="ET12" s="281">
        <f ca="1">'[1]October - 2022'!EW12</f>
        <v>41063</v>
      </c>
      <c r="EU12" s="275">
        <f ca="1">'[1]October - 2022'!EX12</f>
        <v>14</v>
      </c>
      <c r="EV12" s="282">
        <f ca="1">'[1]October - 2022'!EY12</f>
        <v>35991</v>
      </c>
      <c r="EW12" s="275">
        <f ca="1">'[1]October - 2022'!EZ12</f>
        <v>12</v>
      </c>
      <c r="EX12" s="282">
        <f ca="1">'[1]October - 2022'!FA12</f>
        <v>6859</v>
      </c>
      <c r="EY12" s="275">
        <f ca="1">'[1]October - 2022'!FB12</f>
        <v>8</v>
      </c>
      <c r="EZ12" s="282">
        <f ca="1">'[1]October - 2022'!FC12</f>
        <v>58308</v>
      </c>
      <c r="FA12" s="275">
        <f ca="1">'[1]October - 2022'!FD12</f>
        <v>11</v>
      </c>
      <c r="FB12" s="282">
        <f ca="1">'[1]October - 2022'!FE12</f>
        <v>47207</v>
      </c>
      <c r="FC12" s="276">
        <f ca="1">'[1]October - 2022'!FF12</f>
        <v>31</v>
      </c>
    </row>
    <row r="13" spans="1:159" ht="30" customHeight="1" x14ac:dyDescent="0.25">
      <c r="A13" s="207">
        <v>43834</v>
      </c>
      <c r="B13" s="209">
        <f ca="1">'[1]October - 2022'!B13</f>
        <v>0.56999999999999995</v>
      </c>
      <c r="C13" s="250">
        <f ca="1">'[1]October - 2022'!E13</f>
        <v>253120</v>
      </c>
      <c r="D13" s="170">
        <f ca="1">'[1]October - 2022'!F13</f>
        <v>929</v>
      </c>
      <c r="E13" s="168">
        <f ca="1">'[1]October - 2022'!G13</f>
        <v>574</v>
      </c>
      <c r="F13" s="168">
        <f ca="1">'[1]October - 2022'!H13</f>
        <v>211407</v>
      </c>
      <c r="G13" s="170">
        <f ca="1">'[1]October - 2022'!I13</f>
        <v>429</v>
      </c>
      <c r="H13" s="168">
        <f ca="1">'[1]October - 2022'!J13</f>
        <v>298</v>
      </c>
      <c r="I13" s="168">
        <f ca="1">'[1]October - 2022'!K13</f>
        <v>164625</v>
      </c>
      <c r="J13" s="170">
        <f ca="1">'[1]October - 2022'!L13</f>
        <v>0</v>
      </c>
      <c r="K13" s="168">
        <f ca="1">'[1]October - 2022'!N13</f>
        <v>902338</v>
      </c>
      <c r="L13" s="170">
        <f ca="1">'[1]October - 2022'!O13</f>
        <v>305</v>
      </c>
      <c r="M13" s="168">
        <f ca="1">'[1]October - 2022'!Q13</f>
        <v>233638</v>
      </c>
      <c r="N13" s="170">
        <f ca="1">'[1]October - 2022'!R13</f>
        <v>224</v>
      </c>
      <c r="O13" s="168">
        <f ca="1">'[1]October - 2022'!S13</f>
        <v>105024</v>
      </c>
      <c r="P13" s="170">
        <f ca="1">'[1]October - 2022'!T13</f>
        <v>218</v>
      </c>
      <c r="Q13" s="168">
        <f ca="1">'[1]October - 2022'!U13</f>
        <v>221.29000000000087</v>
      </c>
      <c r="R13" s="168">
        <f ca="1">'[1]October - 2022'!V13</f>
        <v>5519</v>
      </c>
      <c r="S13" s="208">
        <f ca="1">'[1]October - 2022'!W13</f>
        <v>10</v>
      </c>
      <c r="T13" s="477"/>
      <c r="U13" s="269">
        <f ca="1">'[1]October - 2022'!AC13</f>
        <v>7977461.5199999996</v>
      </c>
      <c r="V13" s="288">
        <f ca="1">'[1]October - 2022'!AD13</f>
        <v>3020.6399999996647</v>
      </c>
      <c r="W13" s="92">
        <f ca="1">'[1]October - 2022'!AD13</f>
        <v>3020.6399999996647</v>
      </c>
      <c r="X13" s="287">
        <f ca="1">'[1]October - 2022'!AF13</f>
        <v>15173064.48</v>
      </c>
      <c r="Y13" s="288">
        <f ca="1">'[1]October - 2022'!AG13</f>
        <v>4823.2800000011921</v>
      </c>
      <c r="Z13" s="92">
        <f ca="1">'[1]October - 2022'!AG13</f>
        <v>4823.2800000011921</v>
      </c>
      <c r="AA13" s="287">
        <f ca="1">'[1]October - 2022'!AI13</f>
        <v>15456322.559999999</v>
      </c>
      <c r="AB13" s="288">
        <f ca="1">'[1]October - 2022'!AJ13</f>
        <v>8087.519999999553</v>
      </c>
      <c r="AC13" s="92">
        <f ca="1">'[1]October - 2022'!AJ13</f>
        <v>8087.519999999553</v>
      </c>
      <c r="AD13" s="287">
        <f ca="1">'[1]October - 2022'!AL13</f>
        <v>18471018.719999999</v>
      </c>
      <c r="AE13" s="288">
        <f ca="1">'[1]October - 2022'!AM13</f>
        <v>682.08000000193715</v>
      </c>
      <c r="AF13" s="92">
        <f ca="1">'[1]October - 2022'!AM13</f>
        <v>682.08000000193715</v>
      </c>
      <c r="AG13" s="287">
        <f ca="1">'[1]October - 2022'!AO13</f>
        <v>18746773.919999998</v>
      </c>
      <c r="AH13" s="288">
        <f ca="1">'[1]October - 2022'!AP13</f>
        <v>12277.439999997616</v>
      </c>
      <c r="AI13" s="92">
        <f ca="1">'[1]October - 2022'!AP13</f>
        <v>12277.439999997616</v>
      </c>
      <c r="AJ13" s="287">
        <f ca="1">'[1]October - 2022'!AR13</f>
        <v>17187149.280000001</v>
      </c>
      <c r="AK13" s="288">
        <f ca="1">'[1]October - 2022'!AS13</f>
        <v>5895.1200000010431</v>
      </c>
      <c r="AL13" s="92">
        <f ca="1">'[1]October - 2022'!AS13</f>
        <v>5895.1200000010431</v>
      </c>
      <c r="AM13" s="287">
        <f ca="1">'[1]October - 2022'!AU13</f>
        <v>14491764</v>
      </c>
      <c r="AN13" s="288">
        <f ca="1">'[1]October - 2022'!AV13</f>
        <v>4482.2400000002235</v>
      </c>
      <c r="AO13" s="92">
        <f ca="1">'[1]October - 2022'!AV13</f>
        <v>4482.2400000002235</v>
      </c>
      <c r="AP13" s="287">
        <f ca="1">'[1]October - 2022'!AX13</f>
        <v>14002810.08</v>
      </c>
      <c r="AQ13" s="288">
        <f ca="1">'[1]October - 2022'!AY13</f>
        <v>4725.839999999851</v>
      </c>
      <c r="AR13" s="92">
        <f ca="1">'[1]October - 2022'!AY13</f>
        <v>4725.839999999851</v>
      </c>
      <c r="AS13" s="287">
        <f ca="1">'[1]October - 2022'!BA13</f>
        <v>10977395.52</v>
      </c>
      <c r="AT13" s="288">
        <f ca="1">'[1]October - 2022'!BB13</f>
        <v>3166.8000000007451</v>
      </c>
      <c r="AU13" s="92">
        <f ca="1">'[1]October - 2022'!BB13</f>
        <v>3166.8000000007451</v>
      </c>
      <c r="AV13" s="287">
        <f ca="1">'[1]October - 2022'!BD13</f>
        <v>17318352.239999998</v>
      </c>
      <c r="AW13" s="252">
        <f ca="1">'[1]October - 2022'!BE13</f>
        <v>5895.1200000010431</v>
      </c>
      <c r="AX13" s="253">
        <f ca="1">'[1]October - 2022'!BE13</f>
        <v>5895.1200000010431</v>
      </c>
      <c r="AY13" s="494"/>
      <c r="AZ13" s="272">
        <f ca="1">'[1]October - 2022'!BK13</f>
        <v>76434700</v>
      </c>
      <c r="BA13" s="179">
        <f ca="1">'[1]October - 2022'!BL13</f>
        <v>40200</v>
      </c>
      <c r="BB13" s="93">
        <f ca="1">'[1]October - 2022'!BL13</f>
        <v>40200</v>
      </c>
      <c r="BC13" s="272">
        <f ca="1">'[1]October - 2022'!BN13</f>
        <v>78798100</v>
      </c>
      <c r="BD13" s="245">
        <f ca="1">'[1]October - 2022'!BO13</f>
        <v>0</v>
      </c>
      <c r="BE13" s="93">
        <f ca="1">'[1]October - 2022'!BO13</f>
        <v>0</v>
      </c>
      <c r="BF13" s="272">
        <f ca="1">'[1]October - 2022'!BQ13</f>
        <v>72731200</v>
      </c>
      <c r="BG13" s="245">
        <f ca="1">'[1]October - 2022'!BR13</f>
        <v>61000</v>
      </c>
      <c r="BH13" s="93">
        <f ca="1"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 ca="1">'[1]October - 2022'!BT13</f>
        <v>9700570</v>
      </c>
      <c r="BT13" s="185">
        <f ca="1">'[1]October - 2022'!BU13</f>
        <v>8650</v>
      </c>
      <c r="BU13" s="590"/>
      <c r="BV13" s="88">
        <f ca="1">'[1]October - 2022'!BW13</f>
        <v>0.63</v>
      </c>
      <c r="BW13" s="241">
        <f ca="1">'[1]October - 2022'!BX13</f>
        <v>3.0000000000000027E-2</v>
      </c>
      <c r="BX13" s="88">
        <f ca="1">'[1]October - 2022'!BX13</f>
        <v>3.0000000000000027E-2</v>
      </c>
      <c r="BY13" s="89">
        <f ca="1">'[1]October - 2022'!BZ13</f>
        <v>62940</v>
      </c>
      <c r="BZ13" s="191">
        <f ca="1">'[1]October - 2022'!CA13</f>
        <v>21</v>
      </c>
      <c r="CA13" s="89">
        <f ca="1">'[1]October - 2022'!CB13</f>
        <v>54149</v>
      </c>
      <c r="CB13" s="191">
        <f ca="1">'[1]October - 2022'!CC13</f>
        <v>19</v>
      </c>
      <c r="CC13" s="89">
        <f ca="1">'[1]October - 2022'!CD13</f>
        <v>18326</v>
      </c>
      <c r="CD13" s="191">
        <f ca="1">'[1]October - 2022'!CE13</f>
        <v>6</v>
      </c>
      <c r="CE13" s="89">
        <f ca="1">'[1]October - 2022'!CF13</f>
        <v>24910</v>
      </c>
      <c r="CF13" s="191">
        <f ca="1">'[1]October - 2022'!CG13</f>
        <v>10</v>
      </c>
      <c r="CG13" s="89">
        <f ca="1">'[1]October - 2022'!CH13</f>
        <v>27536</v>
      </c>
      <c r="CH13" s="191">
        <f ca="1">'[1]October - 2022'!CI13</f>
        <v>15</v>
      </c>
      <c r="CI13" s="89">
        <f ca="1">'[1]October - 2022'!CJ13</f>
        <v>60220</v>
      </c>
      <c r="CJ13" s="191">
        <f ca="1">'[1]October - 2022'!CK13</f>
        <v>31</v>
      </c>
      <c r="CK13" s="89">
        <f ca="1">'[1]October - 2022'!CL13</f>
        <v>263195</v>
      </c>
      <c r="CL13" s="246">
        <f ca="1">'[1]October - 2022'!CM13</f>
        <v>73</v>
      </c>
      <c r="CM13" s="89">
        <f ca="1">'[1]October - 2022'!CM13</f>
        <v>73</v>
      </c>
      <c r="CN13" s="89">
        <f ca="1">'[1]October - 2022'!CO13</f>
        <v>208800</v>
      </c>
      <c r="CO13" s="246">
        <f ca="1">'[1]October - 2022'!CP13</f>
        <v>81</v>
      </c>
      <c r="CP13" s="89">
        <f ca="1">'[1]October - 2022'!CP13</f>
        <v>81</v>
      </c>
      <c r="CQ13" s="89">
        <f ca="1">'[1]October - 2022'!CR13</f>
        <v>349824</v>
      </c>
      <c r="CR13" s="246">
        <f ca="1">'[1]October - 2022'!CS13</f>
        <v>0</v>
      </c>
      <c r="CS13" s="89">
        <f ca="1">'[1]October - 2022'!CS13</f>
        <v>0</v>
      </c>
      <c r="CT13" s="89">
        <f ca="1">'[1]October - 2022'!CU13</f>
        <v>683555</v>
      </c>
      <c r="CU13" s="191">
        <f ca="1">'[1]October - 2022'!CV13</f>
        <v>162</v>
      </c>
      <c r="CV13" s="518"/>
      <c r="CW13" s="256">
        <f ca="1">'[1]October - 2022'!CX13</f>
        <v>8351</v>
      </c>
      <c r="CX13" s="198">
        <f ca="1">'[1]October - 2022'!CY13</f>
        <v>4</v>
      </c>
      <c r="CY13" s="257">
        <f ca="1">'[1]October - 2022'!CZ13</f>
        <v>5655</v>
      </c>
      <c r="CZ13" s="198">
        <f ca="1">'[1]October - 2022'!DA13</f>
        <v>3</v>
      </c>
      <c r="DA13" s="257">
        <f ca="1">'[1]October - 2022'!DB13</f>
        <v>31127</v>
      </c>
      <c r="DB13" s="198">
        <f ca="1">'[1]October - 2022'!DC13</f>
        <v>12</v>
      </c>
      <c r="DC13" s="257">
        <f ca="1">'[1]October - 2022'!DD13</f>
        <v>31404</v>
      </c>
      <c r="DD13" s="198">
        <f ca="1">'[1]October - 2022'!DE13</f>
        <v>15</v>
      </c>
      <c r="DE13" s="257">
        <f ca="1">'[1]October - 2022'!DF13</f>
        <v>21208</v>
      </c>
      <c r="DF13" s="198">
        <f ca="1">'[1]October - 2022'!DG13</f>
        <v>8</v>
      </c>
      <c r="DG13" s="257">
        <f ca="1">'[1]October - 2022'!DH13</f>
        <v>23618</v>
      </c>
      <c r="DH13" s="198">
        <f ca="1">'[1]October - 2022'!DI13</f>
        <v>7</v>
      </c>
      <c r="DI13" s="257">
        <f ca="1">'[1]October - 2022'!DJ13</f>
        <v>6444</v>
      </c>
      <c r="DJ13" s="198">
        <f ca="1">'[1]October - 2022'!DK13</f>
        <v>11</v>
      </c>
      <c r="DK13" s="257">
        <f ca="1">'[1]October - 2022'!DL13</f>
        <v>9239</v>
      </c>
      <c r="DL13" s="198">
        <f ca="1">'[1]October - 2022'!DM13</f>
        <v>5</v>
      </c>
      <c r="DM13" s="257">
        <f ca="1">'[1]October - 2022'!DN13</f>
        <v>3046</v>
      </c>
      <c r="DN13" s="198">
        <f ca="1">'[1]October - 2022'!DO13</f>
        <v>3</v>
      </c>
      <c r="DO13" s="257">
        <f ca="1">'[1]October - 2022'!DP13</f>
        <v>5839</v>
      </c>
      <c r="DP13" s="198">
        <f ca="1">'[1]October - 2022'!DQ13</f>
        <v>8</v>
      </c>
      <c r="DQ13" s="257">
        <f ca="1">'[1]October - 2022'!DR13</f>
        <v>29901</v>
      </c>
      <c r="DR13" s="206">
        <f ca="1">'[1]October - 2022'!DS13</f>
        <v>0</v>
      </c>
      <c r="DS13" s="534"/>
      <c r="DT13" s="210">
        <f ca="1">'[1]October - 2022'!DU13</f>
        <v>5578.6</v>
      </c>
      <c r="DU13" s="221">
        <f ca="1">'[1]October - 2022'!DV13</f>
        <v>11.200000000000728</v>
      </c>
      <c r="DV13" s="91">
        <f ca="1">'[1]October - 2022'!DW13</f>
        <v>10724.5</v>
      </c>
      <c r="DW13" s="215">
        <f ca="1">'[1]October - 2022'!DX13</f>
        <v>8.3999999999996362</v>
      </c>
      <c r="DX13" s="91">
        <f ca="1">'[1]October - 2022'!DY13</f>
        <v>4346.7</v>
      </c>
      <c r="DY13" s="215">
        <f ca="1">'[1]October - 2022'!DZ13</f>
        <v>6.6999999999998181</v>
      </c>
      <c r="DZ13" s="91">
        <f ca="1">'[1]October - 2022'!EA13</f>
        <v>4924.1000000000004</v>
      </c>
      <c r="EA13" s="215">
        <f ca="1">'[1]October - 2022'!EB13</f>
        <v>7.1000000000003638</v>
      </c>
      <c r="EB13" s="91">
        <f ca="1">'[1]October - 2022'!EC13</f>
        <v>1084078</v>
      </c>
      <c r="EC13" s="215">
        <f ca="1">'[1]October - 2022'!ED13</f>
        <v>695</v>
      </c>
      <c r="ED13" s="91">
        <f ca="1">'[1]October - 2022'!EG13</f>
        <v>222014.8</v>
      </c>
      <c r="EE13" s="229">
        <f ca="1">'[1]October - 2022'!EH13</f>
        <v>114</v>
      </c>
      <c r="EF13" s="581"/>
      <c r="EG13" s="235">
        <f ca="1">'[1]October - 2022'!EJ13</f>
        <v>11764600</v>
      </c>
      <c r="EH13" s="230">
        <f ca="1">'[1]October - 2022'!EK13</f>
        <v>7100</v>
      </c>
      <c r="EI13" s="90">
        <f ca="1">'[1]October - 2022'!EL13</f>
        <v>914750</v>
      </c>
      <c r="EJ13" s="230">
        <f ca="1">'[1]October - 2022'!EM13</f>
        <v>300</v>
      </c>
      <c r="EK13" s="90">
        <f ca="1">'[1]October - 2022'!EN13</f>
        <v>7060000</v>
      </c>
      <c r="EL13" s="230">
        <f ca="1">'[1]October - 2022'!EO13</f>
        <v>2700</v>
      </c>
      <c r="EM13" s="90">
        <f ca="1">'[1]October - 2022'!EP13</f>
        <v>2460300</v>
      </c>
      <c r="EN13" s="230">
        <f ca="1">'[1]October - 2022'!EQ13</f>
        <v>900</v>
      </c>
      <c r="EO13" s="90">
        <f ca="1">'[1]October - 2022'!ER13</f>
        <v>1226220</v>
      </c>
      <c r="EP13" s="230">
        <f ca="1">'[1]October - 2022'!ES13</f>
        <v>780</v>
      </c>
      <c r="EQ13" s="90">
        <f ca="1">'[1]October - 2022'!ET13</f>
        <v>16196300</v>
      </c>
      <c r="ER13" s="230">
        <f ca="1">'[1]October - 2022'!EU13</f>
        <v>7800</v>
      </c>
      <c r="ES13" s="556"/>
      <c r="ET13" s="281">
        <f ca="1">'[1]October - 2022'!EW13</f>
        <v>41078</v>
      </c>
      <c r="EU13" s="275">
        <f ca="1">'[1]October - 2022'!EX13</f>
        <v>15</v>
      </c>
      <c r="EV13" s="282">
        <f ca="1">'[1]October - 2022'!EY13</f>
        <v>36002</v>
      </c>
      <c r="EW13" s="275">
        <f ca="1">'[1]October - 2022'!EZ13</f>
        <v>11</v>
      </c>
      <c r="EX13" s="282">
        <f ca="1">'[1]October - 2022'!FA13</f>
        <v>6867</v>
      </c>
      <c r="EY13" s="275">
        <f ca="1">'[1]October - 2022'!FB13</f>
        <v>8</v>
      </c>
      <c r="EZ13" s="282">
        <f ca="1">'[1]October - 2022'!FC13</f>
        <v>58317</v>
      </c>
      <c r="FA13" s="275">
        <f ca="1">'[1]October - 2022'!FD13</f>
        <v>9</v>
      </c>
      <c r="FB13" s="282">
        <f ca="1">'[1]October - 2022'!FE13</f>
        <v>47239</v>
      </c>
      <c r="FC13" s="276">
        <f ca="1">'[1]October - 2022'!FF13</f>
        <v>32</v>
      </c>
    </row>
    <row r="14" spans="1:159" ht="30" customHeight="1" x14ac:dyDescent="0.25">
      <c r="A14" s="207">
        <v>43835</v>
      </c>
      <c r="B14" s="209">
        <f ca="1">'[1]October - 2022'!B14</f>
        <v>0.66</v>
      </c>
      <c r="C14" s="250">
        <f ca="1">'[1]October - 2022'!E14</f>
        <v>253866</v>
      </c>
      <c r="D14" s="170">
        <f ca="1">'[1]October - 2022'!F14</f>
        <v>746</v>
      </c>
      <c r="E14" s="168">
        <f ca="1">'[1]October - 2022'!G14</f>
        <v>810</v>
      </c>
      <c r="F14" s="168">
        <f ca="1">'[1]October - 2022'!H14</f>
        <v>211828</v>
      </c>
      <c r="G14" s="170">
        <f ca="1">'[1]October - 2022'!I14</f>
        <v>421</v>
      </c>
      <c r="H14" s="168">
        <f ca="1">'[1]October - 2022'!J14</f>
        <v>306</v>
      </c>
      <c r="I14" s="168">
        <f ca="1">'[1]October - 2022'!K14</f>
        <v>164625</v>
      </c>
      <c r="J14" s="170">
        <f ca="1">'[1]October - 2022'!L14</f>
        <v>0</v>
      </c>
      <c r="K14" s="168">
        <f ca="1">'[1]October - 2022'!N14</f>
        <v>902569</v>
      </c>
      <c r="L14" s="170">
        <f ca="1">'[1]October - 2022'!O14</f>
        <v>231</v>
      </c>
      <c r="M14" s="168">
        <f ca="1">'[1]October - 2022'!Q14</f>
        <v>233744</v>
      </c>
      <c r="N14" s="170">
        <f ca="1">'[1]October - 2022'!R14</f>
        <v>106</v>
      </c>
      <c r="O14" s="168">
        <f ca="1">'[1]October - 2022'!S14</f>
        <v>105245</v>
      </c>
      <c r="P14" s="170">
        <f ca="1">'[1]October - 2022'!T14</f>
        <v>221</v>
      </c>
      <c r="Q14" s="168">
        <f ca="1">'[1]October - 2022'!U14</f>
        <v>221.84000000000378</v>
      </c>
      <c r="R14" s="168">
        <f ca="1">'[1]October - 2022'!V14</f>
        <v>5529</v>
      </c>
      <c r="S14" s="208">
        <f ca="1">'[1]October - 2022'!W14</f>
        <v>10</v>
      </c>
      <c r="T14" s="477"/>
      <c r="U14" s="269">
        <f ca="1">'[1]October - 2022'!AC14</f>
        <v>7980579.5999999996</v>
      </c>
      <c r="V14" s="288">
        <f ca="1">'[1]October - 2022'!AD14</f>
        <v>3118.0800000000745</v>
      </c>
      <c r="W14" s="92">
        <f ca="1">'[1]October - 2022'!AD14</f>
        <v>3118.0800000000745</v>
      </c>
      <c r="X14" s="287">
        <f ca="1">'[1]October - 2022'!AF14</f>
        <v>15178033.919999998</v>
      </c>
      <c r="Y14" s="288">
        <f ca="1">'[1]October - 2022'!AG14</f>
        <v>4969.4399999976158</v>
      </c>
      <c r="Z14" s="92">
        <f ca="1">'[1]October - 2022'!AG14</f>
        <v>4969.4399999976158</v>
      </c>
      <c r="AA14" s="287">
        <f ca="1">'[1]October - 2022'!AI14</f>
        <v>15466310.16</v>
      </c>
      <c r="AB14" s="288">
        <f ca="1">'[1]October - 2022'!AJ14</f>
        <v>9987.6000000014901</v>
      </c>
      <c r="AC14" s="92">
        <f ca="1">'[1]October - 2022'!AJ14</f>
        <v>9987.6000000014901</v>
      </c>
      <c r="AD14" s="287">
        <f ca="1">'[1]October - 2022'!AL14</f>
        <v>18471895.68</v>
      </c>
      <c r="AE14" s="288">
        <f ca="1">'[1]October - 2022'!AM14</f>
        <v>876.96000000089407</v>
      </c>
      <c r="AF14" s="92">
        <f ca="1">'[1]October - 2022'!AM14</f>
        <v>876.96000000089407</v>
      </c>
      <c r="AG14" s="287">
        <f ca="1">'[1]October - 2022'!AO14</f>
        <v>18760269.359999999</v>
      </c>
      <c r="AH14" s="288">
        <f ca="1">'[1]October - 2022'!AP14</f>
        <v>13495.440000001341</v>
      </c>
      <c r="AI14" s="92">
        <f ca="1">'[1]October - 2022'!AP14</f>
        <v>13495.440000001341</v>
      </c>
      <c r="AJ14" s="287">
        <f ca="1">'[1]October - 2022'!AR14</f>
        <v>17193385.439999998</v>
      </c>
      <c r="AK14" s="288">
        <f ca="1">'[1]October - 2022'!AS14</f>
        <v>6236.1599999964237</v>
      </c>
      <c r="AL14" s="92">
        <f ca="1">'[1]October - 2022'!AS14</f>
        <v>6236.1599999964237</v>
      </c>
      <c r="AM14" s="287">
        <f ca="1">'[1]October - 2022'!AU14</f>
        <v>14496489.84</v>
      </c>
      <c r="AN14" s="288">
        <f ca="1">'[1]October - 2022'!AV14</f>
        <v>4725.839999999851</v>
      </c>
      <c r="AO14" s="92">
        <f ca="1">'[1]October - 2022'!AV14</f>
        <v>4725.839999999851</v>
      </c>
      <c r="AP14" s="287">
        <f ca="1">'[1]October - 2022'!AX14</f>
        <v>14007730.799999999</v>
      </c>
      <c r="AQ14" s="288">
        <f ca="1">'[1]October - 2022'!AY14</f>
        <v>4920.7199999988079</v>
      </c>
      <c r="AR14" s="92">
        <f ca="1">'[1]October - 2022'!AY14</f>
        <v>4920.7199999988079</v>
      </c>
      <c r="AS14" s="287">
        <f ca="1">'[1]October - 2022'!BA14</f>
        <v>10980854.640000001</v>
      </c>
      <c r="AT14" s="288">
        <f ca="1">'[1]October - 2022'!BB14</f>
        <v>3459.1200000010431</v>
      </c>
      <c r="AU14" s="92">
        <f ca="1">'[1]October - 2022'!BB14</f>
        <v>3459.1200000010431</v>
      </c>
      <c r="AV14" s="287">
        <f ca="1">'[1]October - 2022'!BD14</f>
        <v>17324490.960000001</v>
      </c>
      <c r="AW14" s="252">
        <f ca="1">'[1]October - 2022'!BE14</f>
        <v>6138.7200000025332</v>
      </c>
      <c r="AX14" s="253">
        <f ca="1">'[1]October - 2022'!BE14</f>
        <v>6138.7200000025332</v>
      </c>
      <c r="AY14" s="494"/>
      <c r="AZ14" s="272">
        <f ca="1">'[1]October - 2022'!BK14</f>
        <v>76477800</v>
      </c>
      <c r="BA14" s="179">
        <f ca="1">'[1]October - 2022'!BL14</f>
        <v>43100</v>
      </c>
      <c r="BB14" s="93">
        <f ca="1">'[1]October - 2022'!BL14</f>
        <v>43100</v>
      </c>
      <c r="BC14" s="272">
        <f ca="1">'[1]October - 2022'!BN14</f>
        <v>78798100</v>
      </c>
      <c r="BD14" s="245">
        <f ca="1">'[1]October - 2022'!BO14</f>
        <v>0</v>
      </c>
      <c r="BE14" s="93">
        <f ca="1">'[1]October - 2022'!BO14</f>
        <v>0</v>
      </c>
      <c r="BF14" s="272">
        <f ca="1">'[1]October - 2022'!BQ14</f>
        <v>72794800</v>
      </c>
      <c r="BG14" s="245">
        <f ca="1">'[1]October - 2022'!BR14</f>
        <v>63600</v>
      </c>
      <c r="BH14" s="93">
        <f ca="1"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 ca="1">'[1]October - 2022'!BT14</f>
        <v>9709490</v>
      </c>
      <c r="BT14" s="185">
        <f ca="1">'[1]October - 2022'!BU14</f>
        <v>8920</v>
      </c>
      <c r="BU14" s="590"/>
      <c r="BV14" s="88">
        <f ca="1">'[1]October - 2022'!BW14</f>
        <v>0.6</v>
      </c>
      <c r="BW14" s="241">
        <f ca="1">'[1]October - 2022'!BX14</f>
        <v>3.0000000000000027E-2</v>
      </c>
      <c r="BX14" s="88">
        <f ca="1">'[1]October - 2022'!BX14</f>
        <v>3.0000000000000027E-2</v>
      </c>
      <c r="BY14" s="89">
        <f ca="1">'[1]October - 2022'!BZ14</f>
        <v>62962</v>
      </c>
      <c r="BZ14" s="191">
        <f ca="1">'[1]October - 2022'!CA14</f>
        <v>22</v>
      </c>
      <c r="CA14" s="89">
        <f ca="1">'[1]October - 2022'!CB14</f>
        <v>54166</v>
      </c>
      <c r="CB14" s="191">
        <f ca="1">'[1]October - 2022'!CC14</f>
        <v>17</v>
      </c>
      <c r="CC14" s="89">
        <f ca="1">'[1]October - 2022'!CD14</f>
        <v>18333</v>
      </c>
      <c r="CD14" s="191">
        <f ca="1">'[1]October - 2022'!CE14</f>
        <v>7</v>
      </c>
      <c r="CE14" s="89">
        <f ca="1">'[1]October - 2022'!CF14</f>
        <v>24919</v>
      </c>
      <c r="CF14" s="191">
        <f ca="1">'[1]October - 2022'!CG14</f>
        <v>9</v>
      </c>
      <c r="CG14" s="89">
        <f ca="1">'[1]October - 2022'!CH14</f>
        <v>27548</v>
      </c>
      <c r="CH14" s="191">
        <f ca="1">'[1]October - 2022'!CI14</f>
        <v>12</v>
      </c>
      <c r="CI14" s="89">
        <f ca="1">'[1]October - 2022'!CJ14</f>
        <v>60252</v>
      </c>
      <c r="CJ14" s="191">
        <f ca="1">'[1]October - 2022'!CK14</f>
        <v>32</v>
      </c>
      <c r="CK14" s="89">
        <f ca="1">'[1]October - 2022'!CL14</f>
        <v>263272</v>
      </c>
      <c r="CL14" s="246">
        <f ca="1">'[1]October - 2022'!CM14</f>
        <v>77</v>
      </c>
      <c r="CM14" s="89">
        <f ca="1">'[1]October - 2022'!CM14</f>
        <v>77</v>
      </c>
      <c r="CN14" s="89">
        <f ca="1">'[1]October - 2022'!CO14</f>
        <v>208883</v>
      </c>
      <c r="CO14" s="246">
        <f ca="1">'[1]October - 2022'!CP14</f>
        <v>83</v>
      </c>
      <c r="CP14" s="89">
        <f ca="1">'[1]October - 2022'!CP14</f>
        <v>83</v>
      </c>
      <c r="CQ14" s="89">
        <f ca="1">'[1]October - 2022'!CR14</f>
        <v>349824</v>
      </c>
      <c r="CR14" s="246">
        <f ca="1">'[1]October - 2022'!CS14</f>
        <v>0</v>
      </c>
      <c r="CS14" s="89">
        <f ca="1">'[1]October - 2022'!CS14</f>
        <v>0</v>
      </c>
      <c r="CT14" s="89">
        <f ca="1">'[1]October - 2022'!CU14</f>
        <v>683728</v>
      </c>
      <c r="CU14" s="191">
        <f ca="1">'[1]October - 2022'!CV14</f>
        <v>173</v>
      </c>
      <c r="CV14" s="518"/>
      <c r="CW14" s="256">
        <f ca="1">'[1]October - 2022'!CX14</f>
        <v>8357</v>
      </c>
      <c r="CX14" s="198">
        <f ca="1">'[1]October - 2022'!CY14</f>
        <v>6</v>
      </c>
      <c r="CY14" s="257">
        <f ca="1">'[1]October - 2022'!CZ14</f>
        <v>5661</v>
      </c>
      <c r="CZ14" s="198">
        <f ca="1">'[1]October - 2022'!DA14</f>
        <v>6</v>
      </c>
      <c r="DA14" s="257">
        <f ca="1">'[1]October - 2022'!DB14</f>
        <v>31139</v>
      </c>
      <c r="DB14" s="198">
        <f ca="1">'[1]October - 2022'!DC14</f>
        <v>12</v>
      </c>
      <c r="DC14" s="257">
        <f ca="1">'[1]October - 2022'!DD14</f>
        <v>31420</v>
      </c>
      <c r="DD14" s="198">
        <f ca="1">'[1]October - 2022'!DE14</f>
        <v>16</v>
      </c>
      <c r="DE14" s="257">
        <f ca="1">'[1]October - 2022'!DF14</f>
        <v>21217</v>
      </c>
      <c r="DF14" s="198">
        <f ca="1">'[1]October - 2022'!DG14</f>
        <v>9</v>
      </c>
      <c r="DG14" s="257">
        <f ca="1">'[1]October - 2022'!DH14</f>
        <v>23624</v>
      </c>
      <c r="DH14" s="198">
        <f ca="1">'[1]October - 2022'!DI14</f>
        <v>6</v>
      </c>
      <c r="DI14" s="257">
        <f ca="1">'[1]October - 2022'!DJ14</f>
        <v>6453</v>
      </c>
      <c r="DJ14" s="198">
        <f ca="1">'[1]October - 2022'!DK14</f>
        <v>9</v>
      </c>
      <c r="DK14" s="257">
        <f ca="1">'[1]October - 2022'!DL14</f>
        <v>9243</v>
      </c>
      <c r="DL14" s="198">
        <f ca="1">'[1]October - 2022'!DM14</f>
        <v>4</v>
      </c>
      <c r="DM14" s="257">
        <f ca="1">'[1]October - 2022'!DN14</f>
        <v>3049</v>
      </c>
      <c r="DN14" s="198">
        <f ca="1">'[1]October - 2022'!DO14</f>
        <v>3</v>
      </c>
      <c r="DO14" s="257">
        <f ca="1">'[1]October - 2022'!DP14</f>
        <v>5846</v>
      </c>
      <c r="DP14" s="198">
        <f ca="1">'[1]October - 2022'!DQ14</f>
        <v>7</v>
      </c>
      <c r="DQ14" s="257">
        <f ca="1">'[1]October - 2022'!DR14</f>
        <v>29907</v>
      </c>
      <c r="DR14" s="206">
        <f ca="1">'[1]October - 2022'!DS14</f>
        <v>6</v>
      </c>
      <c r="DS14" s="534"/>
      <c r="DT14" s="210">
        <f ca="1">'[1]October - 2022'!DU14</f>
        <v>5590.5</v>
      </c>
      <c r="DU14" s="221">
        <f ca="1">'[1]October - 2022'!DV14</f>
        <v>11.899999999999636</v>
      </c>
      <c r="DV14" s="91">
        <f ca="1">'[1]October - 2022'!DW14</f>
        <v>10734</v>
      </c>
      <c r="DW14" s="215">
        <f ca="1">'[1]October - 2022'!DX14</f>
        <v>9.5</v>
      </c>
      <c r="DX14" s="91">
        <f ca="1">'[1]October - 2022'!DY14</f>
        <v>4353.8999999999996</v>
      </c>
      <c r="DY14" s="215">
        <f ca="1">'[1]October - 2022'!DZ14</f>
        <v>7.1999999999998181</v>
      </c>
      <c r="DZ14" s="91">
        <f ca="1">'[1]October - 2022'!EA14</f>
        <v>4931.2</v>
      </c>
      <c r="EA14" s="215">
        <f ca="1">'[1]October - 2022'!EB14</f>
        <v>7.0999999999994543</v>
      </c>
      <c r="EB14" s="91">
        <f ca="1">'[1]October - 2022'!EC14</f>
        <v>1084764</v>
      </c>
      <c r="EC14" s="215">
        <f ca="1">'[1]October - 2022'!ED14</f>
        <v>686</v>
      </c>
      <c r="ED14" s="91">
        <f ca="1">'[1]October - 2022'!EG14</f>
        <v>222122.8</v>
      </c>
      <c r="EE14" s="229">
        <f ca="1">'[1]October - 2022'!EH14</f>
        <v>108</v>
      </c>
      <c r="EF14" s="581"/>
      <c r="EG14" s="235">
        <f ca="1">'[1]October - 2022'!EJ14</f>
        <v>11772700</v>
      </c>
      <c r="EH14" s="230">
        <f ca="1">'[1]October - 2022'!EK14</f>
        <v>8100</v>
      </c>
      <c r="EI14" s="90">
        <f ca="1">'[1]October - 2022'!EL14</f>
        <v>915090</v>
      </c>
      <c r="EJ14" s="230">
        <f ca="1">'[1]October - 2022'!EM14</f>
        <v>340</v>
      </c>
      <c r="EK14" s="90">
        <f ca="1">'[1]October - 2022'!EN14</f>
        <v>7063100</v>
      </c>
      <c r="EL14" s="230">
        <f ca="1">'[1]October - 2022'!EO14</f>
        <v>3100</v>
      </c>
      <c r="EM14" s="90">
        <f ca="1">'[1]October - 2022'!EP14</f>
        <v>2461300</v>
      </c>
      <c r="EN14" s="230">
        <f ca="1">'[1]October - 2022'!EQ14</f>
        <v>1000</v>
      </c>
      <c r="EO14" s="90">
        <f ca="1">'[1]October - 2022'!ER14</f>
        <v>1227120</v>
      </c>
      <c r="EP14" s="230">
        <f ca="1">'[1]October - 2022'!ES14</f>
        <v>900</v>
      </c>
      <c r="EQ14" s="90">
        <f ca="1">'[1]October - 2022'!ET14</f>
        <v>16205900</v>
      </c>
      <c r="ER14" s="230">
        <f ca="1">'[1]October - 2022'!EU14</f>
        <v>9600</v>
      </c>
      <c r="ES14" s="556"/>
      <c r="ET14" s="281">
        <f ca="1">'[1]October - 2022'!EW14</f>
        <v>41092</v>
      </c>
      <c r="EU14" s="275">
        <f ca="1">'[1]October - 2022'!EX14</f>
        <v>14</v>
      </c>
      <c r="EV14" s="282">
        <f ca="1">'[1]October - 2022'!EY14</f>
        <v>36014</v>
      </c>
      <c r="EW14" s="275">
        <f ca="1">'[1]October - 2022'!EZ14</f>
        <v>12</v>
      </c>
      <c r="EX14" s="282">
        <f ca="1">'[1]October - 2022'!FA14</f>
        <v>6876</v>
      </c>
      <c r="EY14" s="275">
        <f ca="1">'[1]October - 2022'!FB14</f>
        <v>9</v>
      </c>
      <c r="EZ14" s="282">
        <f ca="1">'[1]October - 2022'!FC14</f>
        <v>58328</v>
      </c>
      <c r="FA14" s="275">
        <f ca="1">'[1]October - 2022'!FD14</f>
        <v>11</v>
      </c>
      <c r="FB14" s="282">
        <f ca="1">'[1]October - 2022'!FE14</f>
        <v>47270</v>
      </c>
      <c r="FC14" s="276">
        <f ca="1">'[1]October - 2022'!FF14</f>
        <v>31</v>
      </c>
    </row>
    <row r="15" spans="1:159" ht="30" customHeight="1" x14ac:dyDescent="0.25">
      <c r="A15" s="207">
        <v>43836</v>
      </c>
      <c r="B15" s="209">
        <f ca="1">'[1]October - 2022'!B15</f>
        <v>0.7</v>
      </c>
      <c r="C15" s="250">
        <f ca="1">'[1]October - 2022'!E15</f>
        <v>254456</v>
      </c>
      <c r="D15" s="170">
        <f ca="1">'[1]October - 2022'!F15</f>
        <v>590</v>
      </c>
      <c r="E15" s="168">
        <f ca="1">'[1]October - 2022'!G15</f>
        <v>792</v>
      </c>
      <c r="F15" s="168">
        <f ca="1">'[1]October - 2022'!H15</f>
        <v>212271</v>
      </c>
      <c r="G15" s="170">
        <f ca="1">'[1]October - 2022'!I15</f>
        <v>443</v>
      </c>
      <c r="H15" s="168">
        <f ca="1">'[1]October - 2022'!J15</f>
        <v>330</v>
      </c>
      <c r="I15" s="168">
        <f ca="1">'[1]October - 2022'!K15</f>
        <v>164625</v>
      </c>
      <c r="J15" s="170">
        <f ca="1">'[1]October - 2022'!L15</f>
        <v>0</v>
      </c>
      <c r="K15" s="168">
        <f ca="1">'[1]October - 2022'!N15</f>
        <v>902913</v>
      </c>
      <c r="L15" s="170">
        <f ca="1">'[1]October - 2022'!O15</f>
        <v>344</v>
      </c>
      <c r="M15" s="168">
        <f ca="1">'[1]October - 2022'!Q15</f>
        <v>233980</v>
      </c>
      <c r="N15" s="170">
        <f ca="1">'[1]October - 2022'!R15</f>
        <v>236</v>
      </c>
      <c r="O15" s="168">
        <f ca="1">'[1]October - 2022'!S15</f>
        <v>105482</v>
      </c>
      <c r="P15" s="170">
        <f ca="1">'[1]October - 2022'!T15</f>
        <v>237</v>
      </c>
      <c r="Q15" s="168">
        <f ca="1">'[1]October - 2022'!U15</f>
        <v>224.27999999999884</v>
      </c>
      <c r="R15" s="168">
        <f ca="1">'[1]October - 2022'!V15</f>
        <v>5537</v>
      </c>
      <c r="S15" s="208">
        <f ca="1">'[1]October - 2022'!W15</f>
        <v>8</v>
      </c>
      <c r="T15" s="477"/>
      <c r="U15" s="269">
        <f ca="1">'[1]October - 2022'!AC15</f>
        <v>7983502.7999999998</v>
      </c>
      <c r="V15" s="288">
        <f ca="1">'[1]October - 2022'!AD15</f>
        <v>2923.2000000001863</v>
      </c>
      <c r="W15" s="92">
        <f ca="1">'[1]October - 2022'!AD15</f>
        <v>2923.2000000001863</v>
      </c>
      <c r="X15" s="287">
        <f ca="1">'[1]October - 2022'!AF15</f>
        <v>15182467.439999999</v>
      </c>
      <c r="Y15" s="288">
        <f ca="1">'[1]October - 2022'!AG15</f>
        <v>4433.5200000014156</v>
      </c>
      <c r="Z15" s="92">
        <f ca="1">'[1]October - 2022'!AG15</f>
        <v>4433.5200000014156</v>
      </c>
      <c r="AA15" s="287">
        <f ca="1">'[1]October - 2022'!AI15</f>
        <v>15476297.76</v>
      </c>
      <c r="AB15" s="288">
        <f ca="1">'[1]October - 2022'!AJ15</f>
        <v>9987.5999999996275</v>
      </c>
      <c r="AC15" s="92">
        <f ca="1">'[1]October - 2022'!AJ15</f>
        <v>9987.5999999996275</v>
      </c>
      <c r="AD15" s="287">
        <f ca="1">'[1]October - 2022'!AL15</f>
        <v>18472723.919999998</v>
      </c>
      <c r="AE15" s="288">
        <f ca="1">'[1]October - 2022'!AM15</f>
        <v>828.23999999836087</v>
      </c>
      <c r="AF15" s="92">
        <f ca="1">'[1]October - 2022'!AM15</f>
        <v>828.23999999836087</v>
      </c>
      <c r="AG15" s="287">
        <f ca="1">'[1]October - 2022'!AO15</f>
        <v>18772157.039999999</v>
      </c>
      <c r="AH15" s="288">
        <f ca="1">'[1]October - 2022'!AP15</f>
        <v>11887.679999999702</v>
      </c>
      <c r="AI15" s="92">
        <f ca="1">'[1]October - 2022'!AP15</f>
        <v>11887.679999999702</v>
      </c>
      <c r="AJ15" s="287">
        <f ca="1">'[1]October - 2022'!AR15</f>
        <v>17198939.52</v>
      </c>
      <c r="AK15" s="288">
        <f ca="1">'[1]October - 2022'!AS15</f>
        <v>5554.0800000019372</v>
      </c>
      <c r="AL15" s="92">
        <f ca="1">'[1]October - 2022'!AS15</f>
        <v>5554.0800000019372</v>
      </c>
      <c r="AM15" s="287">
        <f ca="1">'[1]October - 2022'!AU15</f>
        <v>14500533.6</v>
      </c>
      <c r="AN15" s="288">
        <f ca="1">'[1]October - 2022'!AV15</f>
        <v>4043.7599999997765</v>
      </c>
      <c r="AO15" s="92">
        <f ca="1">'[1]October - 2022'!AV15</f>
        <v>4043.7599999997765</v>
      </c>
      <c r="AP15" s="287">
        <f ca="1">'[1]October - 2022'!AX15</f>
        <v>14012115.6</v>
      </c>
      <c r="AQ15" s="288">
        <f ca="1">'[1]October - 2022'!AY15</f>
        <v>4384.8000000007451</v>
      </c>
      <c r="AR15" s="92">
        <f ca="1">'[1]October - 2022'!AY15</f>
        <v>4384.8000000007451</v>
      </c>
      <c r="AS15" s="287">
        <f ca="1">'[1]October - 2022'!BA15</f>
        <v>10983777.84</v>
      </c>
      <c r="AT15" s="288">
        <f ca="1">'[1]October - 2022'!BB15</f>
        <v>2923.1999999992549</v>
      </c>
      <c r="AU15" s="92">
        <f ca="1">'[1]October - 2022'!BB15</f>
        <v>2923.1999999992549</v>
      </c>
      <c r="AV15" s="287">
        <f ca="1">'[1]October - 2022'!BD15</f>
        <v>17330239.919999998</v>
      </c>
      <c r="AW15" s="252">
        <f ca="1">'[1]October - 2022'!BE15</f>
        <v>5748.9599999971688</v>
      </c>
      <c r="AX15" s="253">
        <f ca="1">'[1]October - 2022'!BE15</f>
        <v>5748.9599999971688</v>
      </c>
      <c r="AY15" s="494"/>
      <c r="AZ15" s="272">
        <f ca="1">'[1]October - 2022'!BK15</f>
        <v>76530800</v>
      </c>
      <c r="BA15" s="179">
        <f ca="1">'[1]October - 2022'!BL15</f>
        <v>53000</v>
      </c>
      <c r="BB15" s="93">
        <f ca="1">'[1]October - 2022'!BL15</f>
        <v>53000</v>
      </c>
      <c r="BC15" s="272">
        <f ca="1">'[1]October - 2022'!BN15</f>
        <v>78798100</v>
      </c>
      <c r="BD15" s="245">
        <f ca="1">'[1]October - 2022'!BO15</f>
        <v>0</v>
      </c>
      <c r="BE15" s="93">
        <f ca="1">'[1]October - 2022'!BO15</f>
        <v>0</v>
      </c>
      <c r="BF15" s="272">
        <f ca="1">'[1]October - 2022'!BQ15</f>
        <v>72856700</v>
      </c>
      <c r="BG15" s="245">
        <f ca="1">'[1]October - 2022'!BR15</f>
        <v>61900</v>
      </c>
      <c r="BH15" s="93">
        <f ca="1"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 ca="1">'[1]October - 2022'!BT15</f>
        <v>9718090</v>
      </c>
      <c r="BT15" s="185">
        <f ca="1">'[1]October - 2022'!BU15</f>
        <v>8600</v>
      </c>
      <c r="BU15" s="590"/>
      <c r="BV15" s="88">
        <f ca="1">'[1]October - 2022'!BW15</f>
        <v>0.57999999999999996</v>
      </c>
      <c r="BW15" s="241">
        <f ca="1">'[1]October - 2022'!BX15</f>
        <v>2.0000000000000018E-2</v>
      </c>
      <c r="BX15" s="88">
        <f ca="1">'[1]October - 2022'!BX15</f>
        <v>2.0000000000000018E-2</v>
      </c>
      <c r="BY15" s="89">
        <f ca="1">'[1]October - 2022'!BZ15</f>
        <v>62985</v>
      </c>
      <c r="BZ15" s="191">
        <f ca="1">'[1]October - 2022'!CA15</f>
        <v>23</v>
      </c>
      <c r="CA15" s="89">
        <f ca="1">'[1]October - 2022'!CB15</f>
        <v>54187</v>
      </c>
      <c r="CB15" s="191">
        <f ca="1">'[1]October - 2022'!CC15</f>
        <v>21</v>
      </c>
      <c r="CC15" s="89">
        <f ca="1">'[1]October - 2022'!CD15</f>
        <v>18341</v>
      </c>
      <c r="CD15" s="191">
        <f ca="1">'[1]October - 2022'!CE15</f>
        <v>8</v>
      </c>
      <c r="CE15" s="89">
        <f ca="1">'[1]October - 2022'!CF15</f>
        <v>24928</v>
      </c>
      <c r="CF15" s="191">
        <f ca="1">'[1]October - 2022'!CG15</f>
        <v>9</v>
      </c>
      <c r="CG15" s="89">
        <f ca="1">'[1]October - 2022'!CH15</f>
        <v>27565</v>
      </c>
      <c r="CH15" s="191">
        <f ca="1">'[1]October - 2022'!CI15</f>
        <v>17</v>
      </c>
      <c r="CI15" s="89">
        <f ca="1">'[1]October - 2022'!CJ15</f>
        <v>60282</v>
      </c>
      <c r="CJ15" s="191">
        <f ca="1">'[1]October - 2022'!CK15</f>
        <v>30</v>
      </c>
      <c r="CK15" s="89">
        <f ca="1">'[1]October - 2022'!CL15</f>
        <v>263342</v>
      </c>
      <c r="CL15" s="246">
        <f ca="1">'[1]October - 2022'!CM15</f>
        <v>70</v>
      </c>
      <c r="CM15" s="89">
        <f ca="1">'[1]October - 2022'!CM15</f>
        <v>70</v>
      </c>
      <c r="CN15" s="89">
        <f ca="1">'[1]October - 2022'!CO15</f>
        <v>208944</v>
      </c>
      <c r="CO15" s="246">
        <f ca="1">'[1]October - 2022'!CP15</f>
        <v>61</v>
      </c>
      <c r="CP15" s="89">
        <f ca="1">'[1]October - 2022'!CP15</f>
        <v>61</v>
      </c>
      <c r="CQ15" s="89">
        <f ca="1">'[1]October - 2022'!CR15</f>
        <v>349824</v>
      </c>
      <c r="CR15" s="246">
        <f ca="1">'[1]October - 2022'!CS15</f>
        <v>0</v>
      </c>
      <c r="CS15" s="89">
        <f ca="1">'[1]October - 2022'!CS15</f>
        <v>0</v>
      </c>
      <c r="CT15" s="89">
        <f ca="1">'[1]October - 2022'!CU15</f>
        <v>683885</v>
      </c>
      <c r="CU15" s="191">
        <f ca="1">'[1]October - 2022'!CV15</f>
        <v>157</v>
      </c>
      <c r="CV15" s="518"/>
      <c r="CW15" s="256">
        <f ca="1">'[1]October - 2022'!CX15</f>
        <v>8365</v>
      </c>
      <c r="CX15" s="198">
        <f ca="1">'[1]October - 2022'!CY15</f>
        <v>8</v>
      </c>
      <c r="CY15" s="257">
        <f ca="1">'[1]October - 2022'!CZ15</f>
        <v>5668</v>
      </c>
      <c r="CZ15" s="198">
        <f ca="1">'[1]October - 2022'!DA15</f>
        <v>7</v>
      </c>
      <c r="DA15" s="257">
        <f ca="1">'[1]October - 2022'!DB15</f>
        <v>31150</v>
      </c>
      <c r="DB15" s="198">
        <f ca="1">'[1]October - 2022'!DC15</f>
        <v>11</v>
      </c>
      <c r="DC15" s="257">
        <f ca="1">'[1]October - 2022'!DD15</f>
        <v>31432</v>
      </c>
      <c r="DD15" s="198">
        <f ca="1">'[1]October - 2022'!DE15</f>
        <v>12</v>
      </c>
      <c r="DE15" s="257">
        <f ca="1">'[1]October - 2022'!DF15</f>
        <v>21230</v>
      </c>
      <c r="DF15" s="198">
        <f ca="1">'[1]October - 2022'!DG15</f>
        <v>13</v>
      </c>
      <c r="DG15" s="257">
        <f ca="1">'[1]October - 2022'!DH15</f>
        <v>23630</v>
      </c>
      <c r="DH15" s="198">
        <f ca="1">'[1]October - 2022'!DI15</f>
        <v>6</v>
      </c>
      <c r="DI15" s="257">
        <f ca="1">'[1]October - 2022'!DJ15</f>
        <v>6461</v>
      </c>
      <c r="DJ15" s="198">
        <f ca="1">'[1]October - 2022'!DK15</f>
        <v>8</v>
      </c>
      <c r="DK15" s="257">
        <f ca="1">'[1]October - 2022'!DL15</f>
        <v>9247</v>
      </c>
      <c r="DL15" s="198">
        <f ca="1">'[1]October - 2022'!DM15</f>
        <v>4</v>
      </c>
      <c r="DM15" s="257">
        <f ca="1">'[1]October - 2022'!DN15</f>
        <v>3052</v>
      </c>
      <c r="DN15" s="198">
        <f ca="1">'[1]October - 2022'!DO15</f>
        <v>3</v>
      </c>
      <c r="DO15" s="257">
        <f ca="1">'[1]October - 2022'!DP15</f>
        <v>5853</v>
      </c>
      <c r="DP15" s="198">
        <f ca="1">'[1]October - 2022'!DQ15</f>
        <v>7</v>
      </c>
      <c r="DQ15" s="257">
        <f ca="1">'[1]October - 2022'!DR15</f>
        <v>29913</v>
      </c>
      <c r="DR15" s="206">
        <f ca="1">'[1]October - 2022'!DS15</f>
        <v>6</v>
      </c>
      <c r="DS15" s="534"/>
      <c r="DT15" s="210">
        <f ca="1">'[1]October - 2022'!DU15</f>
        <v>5601.8</v>
      </c>
      <c r="DU15" s="221">
        <f ca="1">'[1]October - 2022'!DV15</f>
        <v>11.300000000000182</v>
      </c>
      <c r="DV15" s="91">
        <f ca="1">'[1]October - 2022'!DW15</f>
        <v>10742.3</v>
      </c>
      <c r="DW15" s="215">
        <f ca="1">'[1]October - 2022'!DX15</f>
        <v>8.2999999999992724</v>
      </c>
      <c r="DX15" s="91">
        <f ca="1">'[1]October - 2022'!DY15</f>
        <v>4360.3999999999996</v>
      </c>
      <c r="DY15" s="215">
        <f ca="1">'[1]October - 2022'!DZ15</f>
        <v>6.5</v>
      </c>
      <c r="DZ15" s="91">
        <f ca="1">'[1]October - 2022'!EA15</f>
        <v>4938.8</v>
      </c>
      <c r="EA15" s="215">
        <f ca="1">'[1]October - 2022'!EB15</f>
        <v>7.6000000000003638</v>
      </c>
      <c r="EB15" s="91">
        <f ca="1">'[1]October - 2022'!EC15</f>
        <v>1085511</v>
      </c>
      <c r="EC15" s="215">
        <f ca="1">'[1]October - 2022'!ED15</f>
        <v>747</v>
      </c>
      <c r="ED15" s="91">
        <f ca="1">'[1]October - 2022'!EG15</f>
        <v>222224</v>
      </c>
      <c r="EE15" s="229">
        <f ca="1">'[1]October - 2022'!EH15</f>
        <v>101.20000000001164</v>
      </c>
      <c r="EF15" s="581"/>
      <c r="EG15" s="235">
        <f ca="1">'[1]October - 2022'!EJ15</f>
        <v>11783700</v>
      </c>
      <c r="EH15" s="230">
        <f ca="1">'[1]October - 2022'!EK15</f>
        <v>11000</v>
      </c>
      <c r="EI15" s="90">
        <f ca="1">'[1]October - 2022'!EL15</f>
        <v>915510</v>
      </c>
      <c r="EJ15" s="230">
        <f ca="1">'[1]October - 2022'!EM15</f>
        <v>420</v>
      </c>
      <c r="EK15" s="90">
        <f ca="1">'[1]October - 2022'!EN15</f>
        <v>7067300</v>
      </c>
      <c r="EL15" s="230">
        <f ca="1">'[1]October - 2022'!EO15</f>
        <v>4200</v>
      </c>
      <c r="EM15" s="90">
        <f ca="1">'[1]October - 2022'!EP15</f>
        <v>2462700</v>
      </c>
      <c r="EN15" s="230">
        <f ca="1">'[1]October - 2022'!EQ15</f>
        <v>1400</v>
      </c>
      <c r="EO15" s="90">
        <f ca="1">'[1]October - 2022'!ER15</f>
        <v>1228270</v>
      </c>
      <c r="EP15" s="230">
        <f ca="1">'[1]October - 2022'!ES15</f>
        <v>1150</v>
      </c>
      <c r="EQ15" s="90">
        <f ca="1">'[1]October - 2022'!ET15</f>
        <v>16218900</v>
      </c>
      <c r="ER15" s="230">
        <f ca="1">'[1]October - 2022'!EU15</f>
        <v>13000</v>
      </c>
      <c r="ES15" s="556"/>
      <c r="ET15" s="281">
        <f ca="1">'[1]October - 2022'!EW15</f>
        <v>41109</v>
      </c>
      <c r="EU15" s="275">
        <f ca="1">'[1]October - 2022'!EX15</f>
        <v>17</v>
      </c>
      <c r="EV15" s="282">
        <f ca="1">'[1]October - 2022'!EY15</f>
        <v>36027</v>
      </c>
      <c r="EW15" s="275">
        <f ca="1">'[1]October - 2022'!EZ15</f>
        <v>13</v>
      </c>
      <c r="EX15" s="282">
        <f ca="1">'[1]October - 2022'!FA15</f>
        <v>6885</v>
      </c>
      <c r="EY15" s="275">
        <f ca="1">'[1]October - 2022'!FB15</f>
        <v>9</v>
      </c>
      <c r="EZ15" s="282">
        <f ca="1">'[1]October - 2022'!FC15</f>
        <v>58341</v>
      </c>
      <c r="FA15" s="275">
        <f ca="1">'[1]October - 2022'!FD15</f>
        <v>13</v>
      </c>
      <c r="FB15" s="282">
        <f ca="1">'[1]October - 2022'!FE15</f>
        <v>47311</v>
      </c>
      <c r="FC15" s="276">
        <f ca="1">'[1]October - 2022'!FF15</f>
        <v>41</v>
      </c>
    </row>
    <row r="16" spans="1:159" ht="30" customHeight="1" x14ac:dyDescent="0.25">
      <c r="A16" s="207">
        <v>43837</v>
      </c>
      <c r="B16" s="209">
        <f ca="1">'[1]October - 2022'!B16</f>
        <v>0.73</v>
      </c>
      <c r="C16" s="250">
        <f ca="1">'[1]October - 2022'!E16</f>
        <v>254995</v>
      </c>
      <c r="D16" s="170">
        <f ca="1">'[1]October - 2022'!F16</f>
        <v>539</v>
      </c>
      <c r="E16" s="168">
        <f ca="1">'[1]October - 2022'!G16</f>
        <v>792</v>
      </c>
      <c r="F16" s="168">
        <f ca="1">'[1]October - 2022'!H16</f>
        <v>212740</v>
      </c>
      <c r="G16" s="170">
        <f ca="1">'[1]October - 2022'!I16</f>
        <v>469</v>
      </c>
      <c r="H16" s="168">
        <f ca="1">'[1]October - 2022'!J16</f>
        <v>401</v>
      </c>
      <c r="I16" s="168">
        <f ca="1">'[1]October - 2022'!K16</f>
        <v>164625</v>
      </c>
      <c r="J16" s="170">
        <f ca="1">'[1]October - 2022'!L16</f>
        <v>0</v>
      </c>
      <c r="K16" s="168">
        <f ca="1">'[1]October - 2022'!N16</f>
        <v>903230</v>
      </c>
      <c r="L16" s="170">
        <f ca="1">'[1]October - 2022'!O16</f>
        <v>317</v>
      </c>
      <c r="M16" s="168">
        <f ca="1">'[1]October - 2022'!Q16</f>
        <v>234222</v>
      </c>
      <c r="N16" s="170">
        <f ca="1">'[1]October - 2022'!R16</f>
        <v>242</v>
      </c>
      <c r="O16" s="168">
        <f ca="1">'[1]October - 2022'!S16</f>
        <v>105676</v>
      </c>
      <c r="P16" s="170">
        <f ca="1">'[1]October - 2022'!T16</f>
        <v>194</v>
      </c>
      <c r="Q16" s="168">
        <f ca="1">'[1]October - 2022'!U16</f>
        <v>234.36999999999534</v>
      </c>
      <c r="R16" s="168">
        <f ca="1">'[1]October - 2022'!V16</f>
        <v>5546</v>
      </c>
      <c r="S16" s="208">
        <f ca="1">'[1]October - 2022'!W16</f>
        <v>9</v>
      </c>
      <c r="T16" s="477"/>
      <c r="U16" s="269">
        <f ca="1">'[1]October - 2022'!AC16</f>
        <v>7987595.2800000003</v>
      </c>
      <c r="V16" s="288">
        <f ca="1">'[1]October - 2022'!AD16</f>
        <v>4092.480000000447</v>
      </c>
      <c r="W16" s="92">
        <f ca="1">'[1]October - 2022'!AD16</f>
        <v>4092.480000000447</v>
      </c>
      <c r="X16" s="287">
        <f ca="1">'[1]October - 2022'!AF16</f>
        <v>15187095.84</v>
      </c>
      <c r="Y16" s="288">
        <f ca="1">'[1]October - 2022'!AG16</f>
        <v>4628.4000000003725</v>
      </c>
      <c r="Z16" s="92">
        <f ca="1">'[1]October - 2022'!AG16</f>
        <v>4628.4000000003725</v>
      </c>
      <c r="AA16" s="287">
        <f ca="1">'[1]October - 2022'!AI16</f>
        <v>15483118.559999999</v>
      </c>
      <c r="AB16" s="288">
        <f ca="1">'[1]October - 2022'!AJ16</f>
        <v>6820.7999999988824</v>
      </c>
      <c r="AC16" s="92">
        <f ca="1">'[1]October - 2022'!AJ16</f>
        <v>6820.7999999988824</v>
      </c>
      <c r="AD16" s="287">
        <f ca="1">'[1]October - 2022'!AL16</f>
        <v>18473016.239999998</v>
      </c>
      <c r="AE16" s="288">
        <f ca="1">'[1]October - 2022'!AM16</f>
        <v>292.32000000029802</v>
      </c>
      <c r="AF16" s="92">
        <f ca="1">'[1]October - 2022'!AM16</f>
        <v>292.32000000029802</v>
      </c>
      <c r="AG16" s="287">
        <f ca="1">'[1]October - 2022'!AO16</f>
        <v>18782242.080000002</v>
      </c>
      <c r="AH16" s="288">
        <f ca="1">'[1]October - 2022'!AP16</f>
        <v>10085.040000002831</v>
      </c>
      <c r="AI16" s="92">
        <f ca="1">'[1]October - 2022'!AP16</f>
        <v>10085.040000002831</v>
      </c>
      <c r="AJ16" s="287">
        <f ca="1">'[1]October - 2022'!AR16</f>
        <v>17204883.359999999</v>
      </c>
      <c r="AK16" s="288">
        <f ca="1">'[1]October - 2022'!AS16</f>
        <v>5943.839999999851</v>
      </c>
      <c r="AL16" s="92">
        <f ca="1">'[1]October - 2022'!AS16</f>
        <v>5943.839999999851</v>
      </c>
      <c r="AM16" s="287">
        <f ca="1">'[1]October - 2022'!AU16</f>
        <v>14504918.4</v>
      </c>
      <c r="AN16" s="288">
        <f ca="1">'[1]October - 2022'!AV16</f>
        <v>4384.8000000007451</v>
      </c>
      <c r="AO16" s="92">
        <f ca="1">'[1]October - 2022'!AV16</f>
        <v>4384.8000000007451</v>
      </c>
      <c r="AP16" s="287">
        <f ca="1">'[1]October - 2022'!AX16</f>
        <v>14016695.280000001</v>
      </c>
      <c r="AQ16" s="288">
        <f ca="1">'[1]October - 2022'!AY16</f>
        <v>4579.6800000015646</v>
      </c>
      <c r="AR16" s="92">
        <f ca="1">'[1]October - 2022'!AY16</f>
        <v>4579.6800000015646</v>
      </c>
      <c r="AS16" s="287">
        <f ca="1">'[1]October - 2022'!BA16</f>
        <v>10986847.199999999</v>
      </c>
      <c r="AT16" s="288">
        <f ca="1">'[1]October - 2022'!BB16</f>
        <v>3069.359999999404</v>
      </c>
      <c r="AU16" s="92">
        <f ca="1">'[1]October - 2022'!BB16</f>
        <v>3069.359999999404</v>
      </c>
      <c r="AV16" s="287">
        <f ca="1">'[1]October - 2022'!BD16</f>
        <v>17336329.919999998</v>
      </c>
      <c r="AW16" s="252">
        <f ca="1">'[1]October - 2022'!BE16</f>
        <v>6090</v>
      </c>
      <c r="AX16" s="253">
        <f ca="1">'[1]October - 2022'!BE16</f>
        <v>6090</v>
      </c>
      <c r="AY16" s="494"/>
      <c r="AZ16" s="272">
        <f ca="1">'[1]October - 2022'!BK16</f>
        <v>76563800</v>
      </c>
      <c r="BA16" s="179">
        <f ca="1">'[1]October - 2022'!BL16</f>
        <v>33000</v>
      </c>
      <c r="BB16" s="93">
        <f ca="1">'[1]October - 2022'!BL16</f>
        <v>33000</v>
      </c>
      <c r="BC16" s="272">
        <f ca="1">'[1]October - 2022'!BN16</f>
        <v>78798100</v>
      </c>
      <c r="BD16" s="245">
        <f ca="1">'[1]October - 2022'!BO16</f>
        <v>0</v>
      </c>
      <c r="BE16" s="93">
        <f ca="1">'[1]October - 2022'!BO16</f>
        <v>0</v>
      </c>
      <c r="BF16" s="272">
        <f ca="1">'[1]October - 2022'!BQ16</f>
        <v>72907600</v>
      </c>
      <c r="BG16" s="245">
        <f ca="1">'[1]October - 2022'!BR16</f>
        <v>50900</v>
      </c>
      <c r="BH16" s="93">
        <f ca="1"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 ca="1">'[1]October - 2022'!BT16</f>
        <v>9726840</v>
      </c>
      <c r="BT16" s="185">
        <f ca="1">'[1]October - 2022'!BU16</f>
        <v>8750</v>
      </c>
      <c r="BU16" s="590"/>
      <c r="BV16" s="88">
        <f ca="1">'[1]October - 2022'!BW16</f>
        <v>0.51</v>
      </c>
      <c r="BW16" s="241">
        <f ca="1">'[1]October - 2022'!BX16</f>
        <v>6.9999999999999951E-2</v>
      </c>
      <c r="BX16" s="88">
        <f ca="1">'[1]October - 2022'!BX16</f>
        <v>6.9999999999999951E-2</v>
      </c>
      <c r="BY16" s="89">
        <f ca="1">'[1]October - 2022'!BZ16</f>
        <v>63006</v>
      </c>
      <c r="BZ16" s="191">
        <f ca="1">'[1]October - 2022'!CA16</f>
        <v>21</v>
      </c>
      <c r="CA16" s="89">
        <f ca="1">'[1]October - 2022'!CB16</f>
        <v>54205</v>
      </c>
      <c r="CB16" s="191">
        <f ca="1">'[1]October - 2022'!CC16</f>
        <v>18</v>
      </c>
      <c r="CC16" s="89">
        <f ca="1">'[1]October - 2022'!CD16</f>
        <v>18345</v>
      </c>
      <c r="CD16" s="191">
        <f ca="1">'[1]October - 2022'!CE16</f>
        <v>4</v>
      </c>
      <c r="CE16" s="89">
        <f ca="1">'[1]October - 2022'!CF16</f>
        <v>24938</v>
      </c>
      <c r="CF16" s="191">
        <f ca="1">'[1]October - 2022'!CG16</f>
        <v>10</v>
      </c>
      <c r="CG16" s="89">
        <f ca="1">'[1]October - 2022'!CH16</f>
        <v>27578</v>
      </c>
      <c r="CH16" s="191">
        <f ca="1">'[1]October - 2022'!CI16</f>
        <v>13</v>
      </c>
      <c r="CI16" s="89">
        <f ca="1">'[1]October - 2022'!CJ16</f>
        <v>60313</v>
      </c>
      <c r="CJ16" s="191">
        <f ca="1">'[1]October - 2022'!CK16</f>
        <v>31</v>
      </c>
      <c r="CK16" s="89">
        <f ca="1">'[1]October - 2022'!CL16</f>
        <v>263415</v>
      </c>
      <c r="CL16" s="246">
        <f ca="1">'[1]October - 2022'!CM16</f>
        <v>73</v>
      </c>
      <c r="CM16" s="89">
        <f ca="1">'[1]October - 2022'!CM16</f>
        <v>73</v>
      </c>
      <c r="CN16" s="89">
        <f ca="1">'[1]October - 2022'!CO16</f>
        <v>209016</v>
      </c>
      <c r="CO16" s="246">
        <f ca="1">'[1]October - 2022'!CP16</f>
        <v>72</v>
      </c>
      <c r="CP16" s="89">
        <f ca="1">'[1]October - 2022'!CP16</f>
        <v>72</v>
      </c>
      <c r="CQ16" s="89">
        <f ca="1">'[1]October - 2022'!CR16</f>
        <v>349824</v>
      </c>
      <c r="CR16" s="246">
        <f ca="1">'[1]October - 2022'!CS16</f>
        <v>0</v>
      </c>
      <c r="CS16" s="89">
        <f ca="1">'[1]October - 2022'!CS16</f>
        <v>0</v>
      </c>
      <c r="CT16" s="89">
        <f ca="1">'[1]October - 2022'!CU16</f>
        <v>684047</v>
      </c>
      <c r="CU16" s="191">
        <f ca="1">'[1]October - 2022'!CV16</f>
        <v>162</v>
      </c>
      <c r="CV16" s="518"/>
      <c r="CW16" s="256">
        <f ca="1">'[1]October - 2022'!CX16</f>
        <v>8373</v>
      </c>
      <c r="CX16" s="198">
        <f ca="1">'[1]October - 2022'!CY16</f>
        <v>8</v>
      </c>
      <c r="CY16" s="257">
        <f ca="1">'[1]October - 2022'!CZ16</f>
        <v>5675</v>
      </c>
      <c r="CZ16" s="198">
        <f ca="1">'[1]October - 2022'!DA16</f>
        <v>7</v>
      </c>
      <c r="DA16" s="257">
        <f ca="1">'[1]October - 2022'!DB16</f>
        <v>31160</v>
      </c>
      <c r="DB16" s="198">
        <f ca="1">'[1]October - 2022'!DC16</f>
        <v>10</v>
      </c>
      <c r="DC16" s="257">
        <f ca="1">'[1]October - 2022'!DD16</f>
        <v>31443</v>
      </c>
      <c r="DD16" s="198">
        <f ca="1">'[1]October - 2022'!DE16</f>
        <v>11</v>
      </c>
      <c r="DE16" s="257">
        <f ca="1">'[1]October - 2022'!DF16</f>
        <v>21241</v>
      </c>
      <c r="DF16" s="198">
        <f ca="1">'[1]October - 2022'!DG16</f>
        <v>11</v>
      </c>
      <c r="DG16" s="257">
        <f ca="1">'[1]October - 2022'!DH16</f>
        <v>23636</v>
      </c>
      <c r="DH16" s="198">
        <f ca="1">'[1]October - 2022'!DI16</f>
        <v>6</v>
      </c>
      <c r="DI16" s="257">
        <f ca="1">'[1]October - 2022'!DJ16</f>
        <v>6469</v>
      </c>
      <c r="DJ16" s="198">
        <f ca="1">'[1]October - 2022'!DK16</f>
        <v>8</v>
      </c>
      <c r="DK16" s="257">
        <f ca="1">'[1]October - 2022'!DL16</f>
        <v>9251</v>
      </c>
      <c r="DL16" s="198">
        <f ca="1">'[1]October - 2022'!DM16</f>
        <v>4</v>
      </c>
      <c r="DM16" s="257">
        <f ca="1">'[1]October - 2022'!DN16</f>
        <v>3055</v>
      </c>
      <c r="DN16" s="198">
        <f ca="1">'[1]October - 2022'!DO16</f>
        <v>3</v>
      </c>
      <c r="DO16" s="257">
        <f ca="1">'[1]October - 2022'!DP16</f>
        <v>5860</v>
      </c>
      <c r="DP16" s="198">
        <f ca="1">'[1]October - 2022'!DQ16</f>
        <v>7</v>
      </c>
      <c r="DQ16" s="257">
        <f ca="1">'[1]October - 2022'!DR16</f>
        <v>29919</v>
      </c>
      <c r="DR16" s="206">
        <f ca="1">'[1]October - 2022'!DS16</f>
        <v>6</v>
      </c>
      <c r="DS16" s="534"/>
      <c r="DT16" s="210">
        <f ca="1">'[1]October - 2022'!DU16</f>
        <v>5613.7</v>
      </c>
      <c r="DU16" s="221">
        <f ca="1">'[1]October - 2022'!DV16</f>
        <v>11.899999999999636</v>
      </c>
      <c r="DV16" s="91">
        <f ca="1">'[1]October - 2022'!DW16</f>
        <v>10751.4</v>
      </c>
      <c r="DW16" s="215">
        <f ca="1">'[1]October - 2022'!DX16</f>
        <v>9.1000000000003638</v>
      </c>
      <c r="DX16" s="91">
        <f ca="1">'[1]October - 2022'!DY16</f>
        <v>4367.1000000000004</v>
      </c>
      <c r="DY16" s="215">
        <f ca="1">'[1]October - 2022'!DZ16</f>
        <v>6.7000000000007276</v>
      </c>
      <c r="DZ16" s="91">
        <f ca="1">'[1]October - 2022'!EA16</f>
        <v>4947.3999999999996</v>
      </c>
      <c r="EA16" s="215">
        <f ca="1">'[1]October - 2022'!EB16</f>
        <v>8.5999999999994543</v>
      </c>
      <c r="EB16" s="91">
        <f ca="1">'[1]October - 2022'!EC16</f>
        <v>1086221</v>
      </c>
      <c r="EC16" s="215">
        <f ca="1">'[1]October - 2022'!ED16</f>
        <v>710</v>
      </c>
      <c r="ED16" s="91">
        <f ca="1">'[1]October - 2022'!EG16</f>
        <v>222238.3</v>
      </c>
      <c r="EE16" s="229">
        <f ca="1">'[1]October - 2022'!EH16</f>
        <v>14.299999999988358</v>
      </c>
      <c r="EF16" s="581"/>
      <c r="EG16" s="235">
        <f ca="1">'[1]October - 2022'!EJ16</f>
        <v>11787800</v>
      </c>
      <c r="EH16" s="230">
        <f ca="1">'[1]October - 2022'!EK16</f>
        <v>4100</v>
      </c>
      <c r="EI16" s="90">
        <f ca="1">'[1]October - 2022'!EL16</f>
        <v>915750</v>
      </c>
      <c r="EJ16" s="230">
        <f ca="1">'[1]October - 2022'!EM16</f>
        <v>240</v>
      </c>
      <c r="EK16" s="90">
        <f ca="1">'[1]October - 2022'!EN16</f>
        <v>7069200</v>
      </c>
      <c r="EL16" s="230">
        <f ca="1">'[1]October - 2022'!EO16</f>
        <v>1900</v>
      </c>
      <c r="EM16" s="90">
        <f ca="1">'[1]October - 2022'!EP16</f>
        <v>2463200</v>
      </c>
      <c r="EN16" s="230">
        <f ca="1">'[1]October - 2022'!EQ16</f>
        <v>500</v>
      </c>
      <c r="EO16" s="90">
        <f ca="1">'[1]October - 2022'!ER16</f>
        <v>1228950</v>
      </c>
      <c r="EP16" s="230">
        <f ca="1">'[1]October - 2022'!ES16</f>
        <v>680</v>
      </c>
      <c r="EQ16" s="90">
        <f ca="1">'[1]October - 2022'!ET16</f>
        <v>16223400</v>
      </c>
      <c r="ER16" s="230">
        <f ca="1">'[1]October - 2022'!EU16</f>
        <v>4500</v>
      </c>
      <c r="ES16" s="556"/>
      <c r="ET16" s="281">
        <f ca="1">'[1]October - 2022'!EW16</f>
        <v>41123</v>
      </c>
      <c r="EU16" s="275">
        <f ca="1">'[1]October - 2022'!EX16</f>
        <v>14</v>
      </c>
      <c r="EV16" s="282">
        <f ca="1">'[1]October - 2022'!EY16</f>
        <v>36040</v>
      </c>
      <c r="EW16" s="275">
        <f ca="1">'[1]October - 2022'!EZ16</f>
        <v>13</v>
      </c>
      <c r="EX16" s="282">
        <f ca="1">'[1]October - 2022'!FA16</f>
        <v>6899</v>
      </c>
      <c r="EY16" s="275">
        <f ca="1">'[1]October - 2022'!FB16</f>
        <v>14</v>
      </c>
      <c r="EZ16" s="282">
        <f ca="1">'[1]October - 2022'!FC16</f>
        <v>58355</v>
      </c>
      <c r="FA16" s="275">
        <f ca="1">'[1]October - 2022'!FD16</f>
        <v>14</v>
      </c>
      <c r="FB16" s="282">
        <f ca="1">'[1]October - 2022'!FE16</f>
        <v>47351</v>
      </c>
      <c r="FC16" s="276">
        <f ca="1">'[1]October - 2022'!FF16</f>
        <v>40</v>
      </c>
    </row>
    <row r="17" spans="1:159" ht="30" customHeight="1" x14ac:dyDescent="0.25">
      <c r="A17" s="207">
        <v>43838</v>
      </c>
      <c r="B17" s="209">
        <f ca="1">'[1]October - 2022'!B17</f>
        <v>0.66</v>
      </c>
      <c r="C17" s="250">
        <f ca="1">'[1]October - 2022'!E17</f>
        <v>255747</v>
      </c>
      <c r="D17" s="170">
        <f ca="1">'[1]October - 2022'!F17</f>
        <v>752</v>
      </c>
      <c r="E17" s="168">
        <f ca="1">'[1]October - 2022'!G17</f>
        <v>635</v>
      </c>
      <c r="F17" s="168">
        <f ca="1">'[1]October - 2022'!H17</f>
        <v>213251</v>
      </c>
      <c r="G17" s="170">
        <f ca="1">'[1]October - 2022'!I17</f>
        <v>511</v>
      </c>
      <c r="H17" s="168">
        <f ca="1">'[1]October - 2022'!J17</f>
        <v>376</v>
      </c>
      <c r="I17" s="168">
        <f ca="1">'[1]October - 2022'!K17</f>
        <v>164625</v>
      </c>
      <c r="J17" s="170">
        <f ca="1">'[1]October - 2022'!L17</f>
        <v>0</v>
      </c>
      <c r="K17" s="168">
        <f ca="1">'[1]October - 2022'!N17</f>
        <v>903593</v>
      </c>
      <c r="L17" s="170">
        <f ca="1">'[1]October - 2022'!O17</f>
        <v>363</v>
      </c>
      <c r="M17" s="168">
        <f ca="1">'[1]October - 2022'!Q17</f>
        <v>234411</v>
      </c>
      <c r="N17" s="170">
        <f ca="1">'[1]October - 2022'!R17</f>
        <v>189</v>
      </c>
      <c r="O17" s="168">
        <f ca="1">'[1]October - 2022'!S17</f>
        <v>105871</v>
      </c>
      <c r="P17" s="170">
        <f ca="1">'[1]October - 2022'!T17</f>
        <v>195</v>
      </c>
      <c r="Q17" s="168">
        <f ca="1">'[1]October - 2022'!U17</f>
        <v>245.13999999999942</v>
      </c>
      <c r="R17" s="168">
        <f ca="1">'[1]October - 2022'!V17</f>
        <v>5559</v>
      </c>
      <c r="S17" s="208">
        <f ca="1">'[1]October - 2022'!W17</f>
        <v>13</v>
      </c>
      <c r="T17" s="477"/>
      <c r="U17" s="269">
        <f ca="1">'[1]October - 2022'!AC17</f>
        <v>7989544.0800000001</v>
      </c>
      <c r="V17" s="288">
        <f ca="1">'[1]October - 2022'!AD17</f>
        <v>1948.7999999998137</v>
      </c>
      <c r="W17" s="92">
        <f ca="1">'[1]October - 2022'!AD17</f>
        <v>1948.7999999998137</v>
      </c>
      <c r="X17" s="287">
        <f ca="1">'[1]October - 2022'!AF17</f>
        <v>15192211.439999999</v>
      </c>
      <c r="Y17" s="288">
        <f ca="1">'[1]October - 2022'!AG17</f>
        <v>5115.5999999996275</v>
      </c>
      <c r="Z17" s="92">
        <f ca="1">'[1]October - 2022'!AG17</f>
        <v>5115.5999999996275</v>
      </c>
      <c r="AA17" s="287">
        <f ca="1">'[1]October - 2022'!AI17</f>
        <v>15483410.880000001</v>
      </c>
      <c r="AB17" s="288">
        <f ca="1">'[1]October - 2022'!AJ17</f>
        <v>292.32000000216067</v>
      </c>
      <c r="AC17" s="92">
        <f ca="1">'[1]October - 2022'!AJ17</f>
        <v>292.32000000216067</v>
      </c>
      <c r="AD17" s="287">
        <f ca="1">'[1]October - 2022'!AL17</f>
        <v>18486852.719999999</v>
      </c>
      <c r="AE17" s="288">
        <f ca="1">'[1]October - 2022'!AM17</f>
        <v>13836.480000000447</v>
      </c>
      <c r="AF17" s="92">
        <f ca="1">'[1]October - 2022'!AM17</f>
        <v>13836.480000000447</v>
      </c>
      <c r="AG17" s="287">
        <f ca="1">'[1]October - 2022'!AO17</f>
        <v>18787796.16</v>
      </c>
      <c r="AH17" s="288">
        <f ca="1">'[1]October - 2022'!AP17</f>
        <v>5554.0799999982119</v>
      </c>
      <c r="AI17" s="92">
        <f ca="1">'[1]October - 2022'!AP17</f>
        <v>5554.0799999982119</v>
      </c>
      <c r="AJ17" s="287">
        <f ca="1">'[1]October - 2022'!AR17</f>
        <v>17211411.84</v>
      </c>
      <c r="AK17" s="288">
        <f ca="1">'[1]October - 2022'!AS17</f>
        <v>6528.480000000447</v>
      </c>
      <c r="AL17" s="92">
        <f ca="1">'[1]October - 2022'!AS17</f>
        <v>6528.480000000447</v>
      </c>
      <c r="AM17" s="287">
        <f ca="1">'[1]October - 2022'!AU17</f>
        <v>14512664.880000001</v>
      </c>
      <c r="AN17" s="288">
        <f ca="1">'[1]October - 2022'!AV17</f>
        <v>7746.480000000447</v>
      </c>
      <c r="AO17" s="92">
        <f ca="1">'[1]October - 2022'!AV17</f>
        <v>7746.480000000447</v>
      </c>
      <c r="AP17" s="287">
        <f ca="1">'[1]October - 2022'!AX17</f>
        <v>14022200.640000001</v>
      </c>
      <c r="AQ17" s="288">
        <f ca="1">'[1]October - 2022'!AY17</f>
        <v>5505.359999999404</v>
      </c>
      <c r="AR17" s="92">
        <f ca="1">'[1]October - 2022'!AY17</f>
        <v>5505.359999999404</v>
      </c>
      <c r="AS17" s="287">
        <f ca="1">'[1]October - 2022'!BA17</f>
        <v>10990355.040000001</v>
      </c>
      <c r="AT17" s="288">
        <f ca="1">'[1]October - 2022'!BB17</f>
        <v>3507.8400000017136</v>
      </c>
      <c r="AU17" s="92">
        <f ca="1">'[1]October - 2022'!BB17</f>
        <v>3507.8400000017136</v>
      </c>
      <c r="AV17" s="287">
        <f ca="1">'[1]October - 2022'!BD17</f>
        <v>17343248.16</v>
      </c>
      <c r="AW17" s="252">
        <f ca="1">'[1]October - 2022'!BE17</f>
        <v>6918.2400000020862</v>
      </c>
      <c r="AX17" s="253">
        <f ca="1">'[1]October - 2022'!BE17</f>
        <v>6918.2400000020862</v>
      </c>
      <c r="AY17" s="494"/>
      <c r="AZ17" s="272">
        <f ca="1">'[1]October - 2022'!BK17</f>
        <v>76563800</v>
      </c>
      <c r="BA17" s="179">
        <f ca="1">'[1]October - 2022'!BL17</f>
        <v>0</v>
      </c>
      <c r="BB17" s="93">
        <f ca="1">'[1]October - 2022'!BL17</f>
        <v>0</v>
      </c>
      <c r="BC17" s="272">
        <f ca="1">'[1]October - 2022'!BN17</f>
        <v>78857200</v>
      </c>
      <c r="BD17" s="245">
        <f ca="1">'[1]October - 2022'!BO17</f>
        <v>59100</v>
      </c>
      <c r="BE17" s="93">
        <f ca="1">'[1]October - 2022'!BO17</f>
        <v>59100</v>
      </c>
      <c r="BF17" s="272">
        <f ca="1">'[1]October - 2022'!BQ17</f>
        <v>72935900</v>
      </c>
      <c r="BG17" s="245">
        <f ca="1">'[1]October - 2022'!BR17</f>
        <v>28300</v>
      </c>
      <c r="BH17" s="93">
        <f ca="1"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 ca="1">'[1]October - 2022'!BT17</f>
        <v>9736340</v>
      </c>
      <c r="BT17" s="185">
        <f ca="1">'[1]October - 2022'!BU17</f>
        <v>9500</v>
      </c>
      <c r="BU17" s="590"/>
      <c r="BV17" s="88">
        <f ca="1">'[1]October - 2022'!BW17</f>
        <v>0.69</v>
      </c>
      <c r="BW17" s="241">
        <f ca="1">'[1]October - 2022'!BX17</f>
        <v>-0.17999999999999994</v>
      </c>
      <c r="BX17" s="88">
        <f ca="1">'[1]October - 2022'!BX17</f>
        <v>-0.17999999999999994</v>
      </c>
      <c r="BY17" s="89">
        <f ca="1">'[1]October - 2022'!BZ17</f>
        <v>63029</v>
      </c>
      <c r="BZ17" s="191">
        <f ca="1">'[1]October - 2022'!CA17</f>
        <v>23</v>
      </c>
      <c r="CA17" s="89">
        <f ca="1">'[1]October - 2022'!CB17</f>
        <v>54226</v>
      </c>
      <c r="CB17" s="191">
        <f ca="1">'[1]October - 2022'!CC17</f>
        <v>21</v>
      </c>
      <c r="CC17" s="89">
        <f ca="1">'[1]October - 2022'!CD17</f>
        <v>18352</v>
      </c>
      <c r="CD17" s="191">
        <f ca="1">'[1]October - 2022'!CE17</f>
        <v>7</v>
      </c>
      <c r="CE17" s="89">
        <f ca="1">'[1]October - 2022'!CF17</f>
        <v>24947</v>
      </c>
      <c r="CF17" s="191">
        <f ca="1">'[1]October - 2022'!CG17</f>
        <v>9</v>
      </c>
      <c r="CG17" s="89">
        <f ca="1">'[1]October - 2022'!CH17</f>
        <v>27593</v>
      </c>
      <c r="CH17" s="191">
        <f ca="1">'[1]October - 2022'!CI17</f>
        <v>15</v>
      </c>
      <c r="CI17" s="89">
        <f ca="1">'[1]October - 2022'!CJ17</f>
        <v>60349</v>
      </c>
      <c r="CJ17" s="191">
        <f ca="1">'[1]October - 2022'!CK17</f>
        <v>36</v>
      </c>
      <c r="CK17" s="89">
        <f ca="1">'[1]October - 2022'!CL17</f>
        <v>263493</v>
      </c>
      <c r="CL17" s="246">
        <f ca="1">'[1]October - 2022'!CM17</f>
        <v>78</v>
      </c>
      <c r="CM17" s="89">
        <f ca="1">'[1]October - 2022'!CM17</f>
        <v>78</v>
      </c>
      <c r="CN17" s="89">
        <f ca="1">'[1]October - 2022'!CO17</f>
        <v>209089</v>
      </c>
      <c r="CO17" s="246">
        <f ca="1">'[1]October - 2022'!CP17</f>
        <v>73</v>
      </c>
      <c r="CP17" s="89">
        <f ca="1">'[1]October - 2022'!CP17</f>
        <v>73</v>
      </c>
      <c r="CQ17" s="89">
        <f ca="1">'[1]October - 2022'!CR17</f>
        <v>349824</v>
      </c>
      <c r="CR17" s="246">
        <f ca="1">'[1]October - 2022'!CS17</f>
        <v>0</v>
      </c>
      <c r="CS17" s="89">
        <f ca="1">'[1]October - 2022'!CS17</f>
        <v>0</v>
      </c>
      <c r="CT17" s="89">
        <f ca="1">'[1]October - 2022'!CU17</f>
        <v>684221</v>
      </c>
      <c r="CU17" s="191">
        <f ca="1">'[1]October - 2022'!CV17</f>
        <v>174</v>
      </c>
      <c r="CV17" s="518"/>
      <c r="CW17" s="256">
        <f ca="1">'[1]October - 2022'!CX17</f>
        <v>8380</v>
      </c>
      <c r="CX17" s="198">
        <f ca="1">'[1]October - 2022'!CY17</f>
        <v>7</v>
      </c>
      <c r="CY17" s="257">
        <f ca="1">'[1]October - 2022'!CZ17</f>
        <v>5682</v>
      </c>
      <c r="CZ17" s="198">
        <f ca="1">'[1]October - 2022'!DA17</f>
        <v>7</v>
      </c>
      <c r="DA17" s="257">
        <f ca="1">'[1]October - 2022'!DB17</f>
        <v>31170</v>
      </c>
      <c r="DB17" s="198">
        <f ca="1">'[1]October - 2022'!DC17</f>
        <v>10</v>
      </c>
      <c r="DC17" s="257">
        <f ca="1">'[1]October - 2022'!DD17</f>
        <v>31453</v>
      </c>
      <c r="DD17" s="198">
        <f ca="1">'[1]October - 2022'!DE17</f>
        <v>10</v>
      </c>
      <c r="DE17" s="257">
        <f ca="1">'[1]October - 2022'!DF17</f>
        <v>21250</v>
      </c>
      <c r="DF17" s="198">
        <f ca="1">'[1]October - 2022'!DG17</f>
        <v>9</v>
      </c>
      <c r="DG17" s="257">
        <f ca="1">'[1]October - 2022'!DH17</f>
        <v>23642</v>
      </c>
      <c r="DH17" s="198">
        <f ca="1">'[1]October - 2022'!DI17</f>
        <v>6</v>
      </c>
      <c r="DI17" s="257">
        <f ca="1">'[1]October - 2022'!DJ17</f>
        <v>6477</v>
      </c>
      <c r="DJ17" s="198">
        <f ca="1">'[1]October - 2022'!DK17</f>
        <v>8</v>
      </c>
      <c r="DK17" s="257">
        <f ca="1">'[1]October - 2022'!DL17</f>
        <v>9258</v>
      </c>
      <c r="DL17" s="198">
        <f ca="1">'[1]October - 2022'!DM17</f>
        <v>7</v>
      </c>
      <c r="DM17" s="257">
        <f ca="1">'[1]October - 2022'!DN17</f>
        <v>3058</v>
      </c>
      <c r="DN17" s="198">
        <f ca="1">'[1]October - 2022'!DO17</f>
        <v>3</v>
      </c>
      <c r="DO17" s="257">
        <f ca="1">'[1]October - 2022'!DP17</f>
        <v>5867</v>
      </c>
      <c r="DP17" s="198">
        <f ca="1">'[1]October - 2022'!DQ17</f>
        <v>7</v>
      </c>
      <c r="DQ17" s="257">
        <f ca="1">'[1]October - 2022'!DR17</f>
        <v>29920</v>
      </c>
      <c r="DR17" s="206">
        <f ca="1">'[1]October - 2022'!DS17</f>
        <v>1</v>
      </c>
      <c r="DS17" s="534"/>
      <c r="DT17" s="210">
        <f ca="1">'[1]October - 2022'!DU17</f>
        <v>5625.9</v>
      </c>
      <c r="DU17" s="221">
        <f ca="1">'[1]October - 2022'!DV17</f>
        <v>12.199999999999818</v>
      </c>
      <c r="DV17" s="91">
        <f ca="1">'[1]October - 2022'!DW17</f>
        <v>10761</v>
      </c>
      <c r="DW17" s="215">
        <f ca="1">'[1]October - 2022'!DX17</f>
        <v>9.6000000000003638</v>
      </c>
      <c r="DX17" s="91">
        <f ca="1">'[1]October - 2022'!DY17</f>
        <v>4374.2</v>
      </c>
      <c r="DY17" s="215">
        <f ca="1">'[1]October - 2022'!DZ17</f>
        <v>7.0999999999994543</v>
      </c>
      <c r="DZ17" s="91">
        <f ca="1">'[1]October - 2022'!EA17</f>
        <v>4955.7</v>
      </c>
      <c r="EA17" s="215">
        <f ca="1">'[1]October - 2022'!EB17</f>
        <v>8.3000000000001819</v>
      </c>
      <c r="EB17" s="91">
        <f ca="1">'[1]October - 2022'!EC17</f>
        <v>1087010</v>
      </c>
      <c r="EC17" s="215">
        <f ca="1">'[1]October - 2022'!ED17</f>
        <v>789</v>
      </c>
      <c r="ED17" s="91">
        <f ca="1">'[1]October - 2022'!EG17</f>
        <v>222473.9</v>
      </c>
      <c r="EE17" s="229">
        <f ca="1">'[1]October - 2022'!EH17</f>
        <v>235.60000000000582</v>
      </c>
      <c r="EF17" s="581"/>
      <c r="EG17" s="235">
        <f ca="1">'[1]October - 2022'!EJ17</f>
        <v>11794900</v>
      </c>
      <c r="EH17" s="230">
        <f ca="1">'[1]October - 2022'!EK17</f>
        <v>7100</v>
      </c>
      <c r="EI17" s="90">
        <f ca="1">'[1]October - 2022'!EL17</f>
        <v>916090</v>
      </c>
      <c r="EJ17" s="230">
        <f ca="1">'[1]October - 2022'!EM17</f>
        <v>340</v>
      </c>
      <c r="EK17" s="90">
        <f ca="1">'[1]October - 2022'!EN17</f>
        <v>7072200</v>
      </c>
      <c r="EL17" s="230">
        <f ca="1">'[1]October - 2022'!EO17</f>
        <v>3000</v>
      </c>
      <c r="EM17" s="90">
        <f ca="1">'[1]October - 2022'!EP17</f>
        <v>2464500</v>
      </c>
      <c r="EN17" s="230">
        <f ca="1">'[1]October - 2022'!EQ17</f>
        <v>1300</v>
      </c>
      <c r="EO17" s="90">
        <f ca="1">'[1]October - 2022'!ER17</f>
        <v>1229940</v>
      </c>
      <c r="EP17" s="230">
        <f ca="1">'[1]October - 2022'!ES17</f>
        <v>990</v>
      </c>
      <c r="EQ17" s="90">
        <f ca="1">'[1]October - 2022'!ET17</f>
        <v>16231500</v>
      </c>
      <c r="ER17" s="230">
        <f ca="1">'[1]October - 2022'!EU17</f>
        <v>8100</v>
      </c>
      <c r="ES17" s="556"/>
      <c r="ET17" s="281">
        <f ca="1">'[1]October - 2022'!EW17</f>
        <v>41139</v>
      </c>
      <c r="EU17" s="275">
        <f ca="1">'[1]October - 2022'!EX17</f>
        <v>16</v>
      </c>
      <c r="EV17" s="282">
        <f ca="1">'[1]October - 2022'!EY17</f>
        <v>36054</v>
      </c>
      <c r="EW17" s="275">
        <f ca="1">'[1]October - 2022'!EZ17</f>
        <v>14</v>
      </c>
      <c r="EX17" s="282">
        <f ca="1">'[1]October - 2022'!FA17</f>
        <v>6912</v>
      </c>
      <c r="EY17" s="275">
        <f ca="1">'[1]October - 2022'!FB17</f>
        <v>13</v>
      </c>
      <c r="EZ17" s="282">
        <f ca="1">'[1]October - 2022'!FC17</f>
        <v>58372</v>
      </c>
      <c r="FA17" s="275">
        <f ca="1">'[1]October - 2022'!FD17</f>
        <v>17</v>
      </c>
      <c r="FB17" s="282">
        <f ca="1">'[1]October - 2022'!FE17</f>
        <v>47391</v>
      </c>
      <c r="FC17" s="276">
        <f ca="1">'[1]October - 2022'!FF17</f>
        <v>40</v>
      </c>
    </row>
    <row r="18" spans="1:159" ht="30" customHeight="1" x14ac:dyDescent="0.25">
      <c r="A18" s="207">
        <v>43839</v>
      </c>
      <c r="B18" s="209">
        <f ca="1">'[1]October - 2022'!B18</f>
        <v>0.7</v>
      </c>
      <c r="C18" s="250">
        <f ca="1">'[1]October - 2022'!E18</f>
        <v>256627</v>
      </c>
      <c r="D18" s="170">
        <f ca="1">'[1]October - 2022'!F18</f>
        <v>880</v>
      </c>
      <c r="E18" s="168">
        <f ca="1">'[1]October - 2022'!G18</f>
        <v>627</v>
      </c>
      <c r="F18" s="168">
        <f ca="1">'[1]October - 2022'!H18</f>
        <v>213694</v>
      </c>
      <c r="G18" s="170">
        <f ca="1">'[1]October - 2022'!I18</f>
        <v>443</v>
      </c>
      <c r="H18" s="168">
        <f ca="1">'[1]October - 2022'!J18</f>
        <v>366</v>
      </c>
      <c r="I18" s="168">
        <f ca="1">'[1]October - 2022'!K18</f>
        <v>164625</v>
      </c>
      <c r="J18" s="170">
        <f ca="1">'[1]October - 2022'!L18</f>
        <v>0</v>
      </c>
      <c r="K18" s="168">
        <f ca="1">'[1]October - 2022'!N18</f>
        <v>903877</v>
      </c>
      <c r="L18" s="170">
        <f ca="1">'[1]October - 2022'!O18</f>
        <v>284</v>
      </c>
      <c r="M18" s="168">
        <f ca="1">'[1]October - 2022'!Q18</f>
        <v>234583</v>
      </c>
      <c r="N18" s="170">
        <f ca="1">'[1]October - 2022'!R18</f>
        <v>172</v>
      </c>
      <c r="O18" s="168">
        <f ca="1">'[1]October - 2022'!S18</f>
        <v>106066</v>
      </c>
      <c r="P18" s="170">
        <f ca="1">'[1]October - 2022'!T18</f>
        <v>195</v>
      </c>
      <c r="Q18" s="168">
        <f ca="1">'[1]October - 2022'!U18</f>
        <v>240.34000000000378</v>
      </c>
      <c r="R18" s="168">
        <f ca="1">'[1]October - 2022'!V18</f>
        <v>5573</v>
      </c>
      <c r="S18" s="208">
        <f ca="1">'[1]October - 2022'!W18</f>
        <v>14</v>
      </c>
      <c r="T18" s="477"/>
      <c r="U18" s="269">
        <f ca="1">'[1]October - 2022'!AC18</f>
        <v>7992223.6800000006</v>
      </c>
      <c r="V18" s="288">
        <f ca="1">'[1]October - 2022'!AD18</f>
        <v>2679.6000000005588</v>
      </c>
      <c r="W18" s="92">
        <f ca="1">'[1]October - 2022'!AD18</f>
        <v>2679.6000000005588</v>
      </c>
      <c r="X18" s="287">
        <f ca="1">'[1]October - 2022'!AF18</f>
        <v>15196596.24</v>
      </c>
      <c r="Y18" s="288">
        <f ca="1">'[1]October - 2022'!AG18</f>
        <v>4384.8000000007451</v>
      </c>
      <c r="Z18" s="92">
        <f ca="1">'[1]October - 2022'!AG18</f>
        <v>4384.8000000007451</v>
      </c>
      <c r="AA18" s="287">
        <f ca="1">'[1]October - 2022'!AI18</f>
        <v>15483800.640000001</v>
      </c>
      <c r="AB18" s="288">
        <f ca="1">'[1]October - 2022'!AJ18</f>
        <v>389.75999999977648</v>
      </c>
      <c r="AC18" s="92">
        <f ca="1">'[1]October - 2022'!AJ18</f>
        <v>389.75999999977648</v>
      </c>
      <c r="AD18" s="287">
        <f ca="1">'[1]October - 2022'!AL18</f>
        <v>18498301.919999998</v>
      </c>
      <c r="AE18" s="288">
        <f ca="1">'[1]October - 2022'!AM18</f>
        <v>11449.199999999255</v>
      </c>
      <c r="AF18" s="92">
        <f ca="1">'[1]October - 2022'!AM18</f>
        <v>11449.199999999255</v>
      </c>
      <c r="AG18" s="287">
        <f ca="1">'[1]October - 2022'!AO18</f>
        <v>18794616.960000001</v>
      </c>
      <c r="AH18" s="288">
        <f ca="1">'[1]October - 2022'!AP18</f>
        <v>6820.8000000007451</v>
      </c>
      <c r="AI18" s="92">
        <f ca="1">'[1]October - 2022'!AP18</f>
        <v>6820.8000000007451</v>
      </c>
      <c r="AJ18" s="287">
        <f ca="1">'[1]October - 2022'!AR18</f>
        <v>17216819.760000002</v>
      </c>
      <c r="AK18" s="288">
        <f ca="1">'[1]October - 2022'!AS18</f>
        <v>5407.9200000017881</v>
      </c>
      <c r="AL18" s="92">
        <f ca="1">'[1]October - 2022'!AS18</f>
        <v>5407.9200000017881</v>
      </c>
      <c r="AM18" s="287">
        <f ca="1">'[1]October - 2022'!AU18</f>
        <v>14514223.919999998</v>
      </c>
      <c r="AN18" s="288">
        <f ca="1">'[1]October - 2022'!AV18</f>
        <v>1559.0399999972433</v>
      </c>
      <c r="AO18" s="92">
        <f ca="1">'[1]October - 2022'!AV18</f>
        <v>1559.0399999972433</v>
      </c>
      <c r="AP18" s="287">
        <f ca="1">'[1]October - 2022'!AX18</f>
        <v>14026488</v>
      </c>
      <c r="AQ18" s="288">
        <f ca="1">'[1]October - 2022'!AY18</f>
        <v>4287.359999999404</v>
      </c>
      <c r="AR18" s="92">
        <f ca="1">'[1]October - 2022'!AY18</f>
        <v>4287.359999999404</v>
      </c>
      <c r="AS18" s="287">
        <f ca="1">'[1]October - 2022'!BA18</f>
        <v>10993570.559999999</v>
      </c>
      <c r="AT18" s="288">
        <f ca="1">'[1]October - 2022'!BB18</f>
        <v>3215.5199999976903</v>
      </c>
      <c r="AU18" s="92">
        <f ca="1">'[1]October - 2022'!BB18</f>
        <v>3215.5199999976903</v>
      </c>
      <c r="AV18" s="287">
        <f ca="1">'[1]October - 2022'!BD18</f>
        <v>17348656.080000002</v>
      </c>
      <c r="AW18" s="252">
        <f ca="1">'[1]October - 2022'!BE18</f>
        <v>5407.9200000017881</v>
      </c>
      <c r="AX18" s="253">
        <f ca="1">'[1]October - 2022'!BE18</f>
        <v>5407.9200000017881</v>
      </c>
      <c r="AY18" s="494"/>
      <c r="AZ18" s="272">
        <f ca="1">'[1]October - 2022'!BK18</f>
        <v>76563800</v>
      </c>
      <c r="BA18" s="179">
        <f ca="1">'[1]October - 2022'!BL18</f>
        <v>0</v>
      </c>
      <c r="BB18" s="93">
        <f ca="1">'[1]October - 2022'!BL18</f>
        <v>0</v>
      </c>
      <c r="BC18" s="272">
        <f ca="1">'[1]October - 2022'!BN18</f>
        <v>78916200</v>
      </c>
      <c r="BD18" s="245">
        <f ca="1">'[1]October - 2022'!BO18</f>
        <v>59000</v>
      </c>
      <c r="BE18" s="93">
        <f ca="1">'[1]October - 2022'!BO18</f>
        <v>59000</v>
      </c>
      <c r="BF18" s="272">
        <f ca="1">'[1]October - 2022'!BQ18</f>
        <v>72970300</v>
      </c>
      <c r="BG18" s="245">
        <f ca="1">'[1]October - 2022'!BR18</f>
        <v>34400</v>
      </c>
      <c r="BH18" s="93">
        <f ca="1"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 ca="1">'[1]October - 2022'!BT18</f>
        <v>9744560</v>
      </c>
      <c r="BT18" s="185">
        <f ca="1">'[1]October - 2022'!BU18</f>
        <v>8220</v>
      </c>
      <c r="BU18" s="590"/>
      <c r="BV18" s="88">
        <f ca="1">'[1]October - 2022'!BW18</f>
        <v>0.66</v>
      </c>
      <c r="BW18" s="241">
        <f ca="1">'[1]October - 2022'!BX18</f>
        <v>2.9999999999999916E-2</v>
      </c>
      <c r="BX18" s="88">
        <f ca="1">'[1]October - 2022'!BX18</f>
        <v>2.9999999999999916E-2</v>
      </c>
      <c r="BY18" s="89">
        <f ca="1">'[1]October - 2022'!BZ18</f>
        <v>63051</v>
      </c>
      <c r="BZ18" s="191">
        <f ca="1">'[1]October - 2022'!CA18</f>
        <v>22</v>
      </c>
      <c r="CA18" s="89">
        <f ca="1">'[1]October - 2022'!CB18</f>
        <v>54246</v>
      </c>
      <c r="CB18" s="191">
        <f ca="1">'[1]October - 2022'!CC18</f>
        <v>20</v>
      </c>
      <c r="CC18" s="89">
        <f ca="1">'[1]October - 2022'!CD18</f>
        <v>18358</v>
      </c>
      <c r="CD18" s="191">
        <f ca="1">'[1]October - 2022'!CE18</f>
        <v>6</v>
      </c>
      <c r="CE18" s="89">
        <f ca="1">'[1]October - 2022'!CF18</f>
        <v>24957</v>
      </c>
      <c r="CF18" s="191">
        <f ca="1">'[1]October - 2022'!CG18</f>
        <v>10</v>
      </c>
      <c r="CG18" s="89">
        <f ca="1">'[1]October - 2022'!CH18</f>
        <v>27605</v>
      </c>
      <c r="CH18" s="191">
        <f ca="1">'[1]October - 2022'!CI18</f>
        <v>12</v>
      </c>
      <c r="CI18" s="89">
        <f ca="1">'[1]October - 2022'!CJ18</f>
        <v>60384</v>
      </c>
      <c r="CJ18" s="191">
        <f ca="1">'[1]October - 2022'!CK18</f>
        <v>35</v>
      </c>
      <c r="CK18" s="89">
        <f ca="1">'[1]October - 2022'!CL18</f>
        <v>263563</v>
      </c>
      <c r="CL18" s="246">
        <f ca="1">'[1]October - 2022'!CM18</f>
        <v>70</v>
      </c>
      <c r="CM18" s="89">
        <f ca="1">'[1]October - 2022'!CM18</f>
        <v>70</v>
      </c>
      <c r="CN18" s="89">
        <f ca="1">'[1]October - 2022'!CO18</f>
        <v>209153</v>
      </c>
      <c r="CO18" s="246">
        <f ca="1">'[1]October - 2022'!CP18</f>
        <v>64</v>
      </c>
      <c r="CP18" s="89">
        <f ca="1">'[1]October - 2022'!CP18</f>
        <v>64</v>
      </c>
      <c r="CQ18" s="89">
        <f ca="1">'[1]October - 2022'!CR18</f>
        <v>349824</v>
      </c>
      <c r="CR18" s="246">
        <f ca="1">'[1]October - 2022'!CS18</f>
        <v>0</v>
      </c>
      <c r="CS18" s="89">
        <f ca="1">'[1]October - 2022'!CS18</f>
        <v>0</v>
      </c>
      <c r="CT18" s="89">
        <f ca="1">'[1]October - 2022'!CU18</f>
        <v>684379</v>
      </c>
      <c r="CU18" s="191">
        <f ca="1">'[1]October - 2022'!CV18</f>
        <v>158</v>
      </c>
      <c r="CV18" s="518"/>
      <c r="CW18" s="256">
        <f ca="1">'[1]October - 2022'!CX18</f>
        <v>8384</v>
      </c>
      <c r="CX18" s="198">
        <f ca="1">'[1]October - 2022'!CY18</f>
        <v>4</v>
      </c>
      <c r="CY18" s="257">
        <f ca="1">'[1]October - 2022'!CZ18</f>
        <v>5685</v>
      </c>
      <c r="CZ18" s="198">
        <f ca="1">'[1]October - 2022'!DA18</f>
        <v>3</v>
      </c>
      <c r="DA18" s="257">
        <f ca="1">'[1]October - 2022'!DB18</f>
        <v>31204</v>
      </c>
      <c r="DB18" s="198">
        <f ca="1">'[1]October - 2022'!DC18</f>
        <v>34</v>
      </c>
      <c r="DC18" s="257">
        <f ca="1">'[1]October - 2022'!DD18</f>
        <v>31481</v>
      </c>
      <c r="DD18" s="198">
        <f ca="1">'[1]October - 2022'!DE18</f>
        <v>28</v>
      </c>
      <c r="DE18" s="257">
        <f ca="1">'[1]October - 2022'!DF18</f>
        <v>21250</v>
      </c>
      <c r="DF18" s="198">
        <f ca="1">'[1]October - 2022'!DG18</f>
        <v>0</v>
      </c>
      <c r="DG18" s="257">
        <f ca="1">'[1]October - 2022'!DH18</f>
        <v>23649</v>
      </c>
      <c r="DH18" s="198">
        <f ca="1">'[1]October - 2022'!DI18</f>
        <v>7</v>
      </c>
      <c r="DI18" s="257">
        <f ca="1">'[1]October - 2022'!DJ18</f>
        <v>6505</v>
      </c>
      <c r="DJ18" s="198">
        <f ca="1">'[1]October - 2022'!DK18</f>
        <v>28</v>
      </c>
      <c r="DK18" s="257">
        <f ca="1">'[1]October - 2022'!DL18</f>
        <v>9279</v>
      </c>
      <c r="DL18" s="198">
        <f ca="1">'[1]October - 2022'!DM18</f>
        <v>21</v>
      </c>
      <c r="DM18" s="257">
        <f ca="1">'[1]October - 2022'!DN18</f>
        <v>3061</v>
      </c>
      <c r="DN18" s="198">
        <f ca="1">'[1]October - 2022'!DO18</f>
        <v>3</v>
      </c>
      <c r="DO18" s="257">
        <f ca="1">'[1]October - 2022'!DP18</f>
        <v>5882</v>
      </c>
      <c r="DP18" s="198">
        <f ca="1">'[1]October - 2022'!DQ18</f>
        <v>15</v>
      </c>
      <c r="DQ18" s="257">
        <f ca="1">'[1]October - 2022'!DR18</f>
        <v>29921</v>
      </c>
      <c r="DR18" s="206">
        <f ca="1">'[1]October - 2022'!DS18</f>
        <v>1</v>
      </c>
      <c r="DS18" s="534"/>
      <c r="DT18" s="210">
        <f ca="1">'[1]October - 2022'!DU18</f>
        <v>5637.2</v>
      </c>
      <c r="DU18" s="221">
        <f ca="1">'[1]October - 2022'!DV18</f>
        <v>11.300000000000182</v>
      </c>
      <c r="DV18" s="91">
        <f ca="1">'[1]October - 2022'!DW18</f>
        <v>10769.3</v>
      </c>
      <c r="DW18" s="215">
        <f ca="1">'[1]October - 2022'!DX18</f>
        <v>8.2999999999992724</v>
      </c>
      <c r="DX18" s="91">
        <f ca="1">'[1]October - 2022'!DY18</f>
        <v>4380.6000000000004</v>
      </c>
      <c r="DY18" s="215">
        <f ca="1">'[1]October - 2022'!DZ18</f>
        <v>6.4000000000005457</v>
      </c>
      <c r="DZ18" s="91">
        <f ca="1">'[1]October - 2022'!EA18</f>
        <v>4964.1000000000004</v>
      </c>
      <c r="EA18" s="215">
        <f ca="1">'[1]October - 2022'!EB18</f>
        <v>8.4000000000005457</v>
      </c>
      <c r="EB18" s="91">
        <f ca="1">'[1]October - 2022'!EC18</f>
        <v>1087691</v>
      </c>
      <c r="EC18" s="215">
        <f ca="1">'[1]October - 2022'!ED18</f>
        <v>681</v>
      </c>
      <c r="ED18" s="91">
        <f ca="1">'[1]October - 2022'!EG18</f>
        <v>222618.2</v>
      </c>
      <c r="EE18" s="229">
        <f ca="1">'[1]October - 2022'!EH18</f>
        <v>144.30000000001746</v>
      </c>
      <c r="EF18" s="581"/>
      <c r="EG18" s="235">
        <f ca="1">'[1]October - 2022'!EJ18</f>
        <v>11799500</v>
      </c>
      <c r="EH18" s="230">
        <f ca="1">'[1]October - 2022'!EK18</f>
        <v>4600</v>
      </c>
      <c r="EI18" s="90">
        <f ca="1">'[1]October - 2022'!EL18</f>
        <v>916320</v>
      </c>
      <c r="EJ18" s="230">
        <f ca="1">'[1]October - 2022'!EM18</f>
        <v>230</v>
      </c>
      <c r="EK18" s="90">
        <f ca="1">'[1]October - 2022'!EN18</f>
        <v>7074200</v>
      </c>
      <c r="EL18" s="230">
        <f ca="1">'[1]October - 2022'!EO18</f>
        <v>2000</v>
      </c>
      <c r="EM18" s="90">
        <f ca="1">'[1]October - 2022'!EP18</f>
        <v>2464900</v>
      </c>
      <c r="EN18" s="230">
        <f ca="1">'[1]October - 2022'!EQ18</f>
        <v>400</v>
      </c>
      <c r="EO18" s="90">
        <f ca="1">'[1]October - 2022'!ER18</f>
        <v>1230540</v>
      </c>
      <c r="EP18" s="230">
        <f ca="1">'[1]October - 2022'!ES18</f>
        <v>600</v>
      </c>
      <c r="EQ18" s="90">
        <f ca="1">'[1]October - 2022'!ET18</f>
        <v>16236800</v>
      </c>
      <c r="ER18" s="230">
        <f ca="1">'[1]October - 2022'!EU18</f>
        <v>5300</v>
      </c>
      <c r="ES18" s="556"/>
      <c r="ET18" s="281">
        <f ca="1">'[1]October - 2022'!EW18</f>
        <v>41151</v>
      </c>
      <c r="EU18" s="275">
        <f ca="1">'[1]October - 2022'!EX18</f>
        <v>12</v>
      </c>
      <c r="EV18" s="282">
        <f ca="1">'[1]October - 2022'!EY18</f>
        <v>36065</v>
      </c>
      <c r="EW18" s="275">
        <f ca="1">'[1]October - 2022'!EZ18</f>
        <v>11</v>
      </c>
      <c r="EX18" s="282">
        <f ca="1">'[1]October - 2022'!FA18</f>
        <v>6924</v>
      </c>
      <c r="EY18" s="275">
        <f ca="1">'[1]October - 2022'!FB18</f>
        <v>12</v>
      </c>
      <c r="EZ18" s="282">
        <f ca="1">'[1]October - 2022'!FC18</f>
        <v>58385</v>
      </c>
      <c r="FA18" s="275">
        <f ca="1">'[1]October - 2022'!FD18</f>
        <v>13</v>
      </c>
      <c r="FB18" s="282">
        <f ca="1">'[1]October - 2022'!FE18</f>
        <v>47423</v>
      </c>
      <c r="FC18" s="276">
        <f ca="1">'[1]October - 2022'!FF18</f>
        <v>32</v>
      </c>
    </row>
    <row r="19" spans="1:159" ht="30" customHeight="1" x14ac:dyDescent="0.25">
      <c r="A19" s="207">
        <v>43840</v>
      </c>
      <c r="B19" s="209">
        <f ca="1">'[1]October - 2022'!B19</f>
        <v>0.77</v>
      </c>
      <c r="C19" s="250">
        <f ca="1">'[1]October - 2022'!E19</f>
        <v>257468</v>
      </c>
      <c r="D19" s="170">
        <f ca="1">'[1]October - 2022'!F19</f>
        <v>841</v>
      </c>
      <c r="E19" s="168">
        <f ca="1">'[1]October - 2022'!G19</f>
        <v>736</v>
      </c>
      <c r="F19" s="168">
        <f ca="1">'[1]October - 2022'!H19</f>
        <v>214146</v>
      </c>
      <c r="G19" s="170">
        <f ca="1">'[1]October - 2022'!I19</f>
        <v>452</v>
      </c>
      <c r="H19" s="168">
        <f ca="1">'[1]October - 2022'!J19</f>
        <v>322</v>
      </c>
      <c r="I19" s="168">
        <f ca="1">'[1]October - 2022'!K19</f>
        <v>164625</v>
      </c>
      <c r="J19" s="170">
        <f ca="1">'[1]October - 2022'!L19</f>
        <v>0</v>
      </c>
      <c r="K19" s="168">
        <f ca="1">'[1]October - 2022'!N19</f>
        <v>904080</v>
      </c>
      <c r="L19" s="170">
        <f ca="1">'[1]October - 2022'!O19</f>
        <v>203</v>
      </c>
      <c r="M19" s="168">
        <f ca="1">'[1]October - 2022'!Q19</f>
        <v>234694</v>
      </c>
      <c r="N19" s="170">
        <f ca="1">'[1]October - 2022'!R19</f>
        <v>111</v>
      </c>
      <c r="O19" s="168">
        <f ca="1">'[1]October - 2022'!S19</f>
        <v>106265</v>
      </c>
      <c r="P19" s="170">
        <f ca="1">'[1]October - 2022'!T19</f>
        <v>199</v>
      </c>
      <c r="Q19" s="168">
        <f ca="1">'[1]October - 2022'!U19</f>
        <v>231.19999999999709</v>
      </c>
      <c r="R19" s="168">
        <f ca="1">'[1]October - 2022'!V19</f>
        <v>5582</v>
      </c>
      <c r="S19" s="208">
        <f ca="1">'[1]October - 2022'!W19</f>
        <v>9</v>
      </c>
      <c r="T19" s="477"/>
      <c r="U19" s="169">
        <f ca="1">'[1]October - 2022'!AC19</f>
        <v>7995195.5999999996</v>
      </c>
      <c r="V19" s="288">
        <f ca="1">'[1]October - 2022'!AD19</f>
        <v>2971.9199999989942</v>
      </c>
      <c r="W19" s="92">
        <f ca="1">'[1]October - 2022'!AD19</f>
        <v>2971.9199999989942</v>
      </c>
      <c r="X19" s="287">
        <f ca="1">'[1]October - 2022'!AF19</f>
        <v>15201468.24</v>
      </c>
      <c r="Y19" s="288">
        <f ca="1">'[1]October - 2022'!AG19</f>
        <v>4872</v>
      </c>
      <c r="Z19" s="92">
        <f ca="1">'[1]October - 2022'!AG19</f>
        <v>4872</v>
      </c>
      <c r="AA19" s="287">
        <f ca="1">'[1]October - 2022'!AI19</f>
        <v>15484239.119999999</v>
      </c>
      <c r="AB19" s="288">
        <f ca="1">'[1]October - 2022'!AJ19</f>
        <v>438.47999999858439</v>
      </c>
      <c r="AC19" s="92">
        <f ca="1">'[1]October - 2022'!AJ19</f>
        <v>438.47999999858439</v>
      </c>
      <c r="AD19" s="287">
        <f ca="1">'[1]October - 2022'!AL19</f>
        <v>18511017.84</v>
      </c>
      <c r="AE19" s="288">
        <f ca="1">'[1]October - 2022'!AM19</f>
        <v>12715.920000001788</v>
      </c>
      <c r="AF19" s="92">
        <f ca="1">'[1]October - 2022'!AM19</f>
        <v>12715.920000001788</v>
      </c>
      <c r="AG19" s="287">
        <f ca="1">'[1]October - 2022'!AO19</f>
        <v>18802850.639999997</v>
      </c>
      <c r="AH19" s="288">
        <f ca="1">'[1]October - 2022'!AP19</f>
        <v>8233.6799999959767</v>
      </c>
      <c r="AI19" s="92">
        <f ca="1">'[1]October - 2022'!AP19</f>
        <v>8233.6799999959767</v>
      </c>
      <c r="AJ19" s="287">
        <f ca="1">'[1]October - 2022'!AR19</f>
        <v>17222958.48</v>
      </c>
      <c r="AK19" s="288">
        <f ca="1">'[1]October - 2022'!AS19</f>
        <v>6138.7199999988079</v>
      </c>
      <c r="AL19" s="92">
        <f ca="1">'[1]October - 2022'!AS19</f>
        <v>6138.7199999988079</v>
      </c>
      <c r="AM19" s="287">
        <f ca="1">'[1]October - 2022'!AU19</f>
        <v>14519047.199999999</v>
      </c>
      <c r="AN19" s="288">
        <f ca="1">'[1]October - 2022'!AV19</f>
        <v>4823.2800000011921</v>
      </c>
      <c r="AO19" s="92">
        <f ca="1">'[1]October - 2022'!AV19</f>
        <v>4823.2800000011921</v>
      </c>
      <c r="AP19" s="287">
        <f ca="1">'[1]October - 2022'!AX19</f>
        <v>14031554.880000001</v>
      </c>
      <c r="AQ19" s="288">
        <f ca="1">'[1]October - 2022'!AY19</f>
        <v>5066.8800000008196</v>
      </c>
      <c r="AR19" s="92">
        <f ca="1">'[1]October - 2022'!AY19</f>
        <v>5066.8800000008196</v>
      </c>
      <c r="AS19" s="287">
        <f ca="1">'[1]October - 2022'!BA19</f>
        <v>10997419.439999999</v>
      </c>
      <c r="AT19" s="288">
        <f ca="1">'[1]October - 2022'!BB19</f>
        <v>3848.8800000008196</v>
      </c>
      <c r="AU19" s="92">
        <f ca="1">'[1]October - 2022'!BB19</f>
        <v>3848.8800000008196</v>
      </c>
      <c r="AV19" s="287">
        <f ca="1">'[1]October - 2022'!BD19</f>
        <v>17354746.080000002</v>
      </c>
      <c r="AW19" s="252">
        <f ca="1">'[1]October - 2022'!BE19</f>
        <v>6090</v>
      </c>
      <c r="AX19" s="253">
        <f ca="1">'[1]October - 2022'!BE19</f>
        <v>6090</v>
      </c>
      <c r="AY19" s="494"/>
      <c r="AZ19" s="272">
        <f ca="1">'[1]October - 2022'!BK19</f>
        <v>76563800</v>
      </c>
      <c r="BA19" s="179">
        <f ca="1">'[1]October - 2022'!BL19</f>
        <v>0</v>
      </c>
      <c r="BB19" s="93">
        <f ca="1">'[1]October - 2022'!BL19</f>
        <v>0</v>
      </c>
      <c r="BC19" s="272">
        <f ca="1">'[1]October - 2022'!BN19</f>
        <v>78976700</v>
      </c>
      <c r="BD19" s="245">
        <f ca="1">'[1]October - 2022'!BO19</f>
        <v>60500</v>
      </c>
      <c r="BE19" s="93">
        <f ca="1">'[1]October - 2022'!BO19</f>
        <v>60500</v>
      </c>
      <c r="BF19" s="272">
        <f ca="1">'[1]October - 2022'!BQ19</f>
        <v>73007200</v>
      </c>
      <c r="BG19" s="245">
        <f ca="1">'[1]October - 2022'!BR19</f>
        <v>36900</v>
      </c>
      <c r="BH19" s="93">
        <f ca="1"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 ca="1">'[1]October - 2022'!BT19</f>
        <v>9751180</v>
      </c>
      <c r="BT19" s="185">
        <f ca="1">'[1]October - 2022'!BU19</f>
        <v>6620</v>
      </c>
      <c r="BU19" s="590"/>
      <c r="BV19" s="88">
        <f ca="1">'[1]October - 2022'!BW19</f>
        <v>0.62</v>
      </c>
      <c r="BW19" s="241">
        <f ca="1">'[1]October - 2022'!BX19</f>
        <v>4.0000000000000036E-2</v>
      </c>
      <c r="BX19" s="88">
        <f ca="1">'[1]October - 2022'!BX19</f>
        <v>4.0000000000000036E-2</v>
      </c>
      <c r="BY19" s="89">
        <f ca="1">'[1]October - 2022'!BZ19</f>
        <v>63076</v>
      </c>
      <c r="BZ19" s="191">
        <f ca="1">'[1]October - 2022'!CA19</f>
        <v>25</v>
      </c>
      <c r="CA19" s="89">
        <f ca="1">'[1]October - 2022'!CB19</f>
        <v>54269</v>
      </c>
      <c r="CB19" s="191">
        <f ca="1">'[1]October - 2022'!CC19</f>
        <v>23</v>
      </c>
      <c r="CC19" s="89">
        <f ca="1">'[1]October - 2022'!CD19</f>
        <v>18364</v>
      </c>
      <c r="CD19" s="191">
        <f ca="1">'[1]October - 2022'!CE19</f>
        <v>6</v>
      </c>
      <c r="CE19" s="89">
        <f ca="1">'[1]October - 2022'!CF19</f>
        <v>24967</v>
      </c>
      <c r="CF19" s="191">
        <f ca="1">'[1]October - 2022'!CG19</f>
        <v>10</v>
      </c>
      <c r="CG19" s="89">
        <f ca="1">'[1]October - 2022'!CH19</f>
        <v>27622</v>
      </c>
      <c r="CH19" s="191">
        <f ca="1">'[1]October - 2022'!CI19</f>
        <v>17</v>
      </c>
      <c r="CI19" s="89">
        <f ca="1">'[1]October - 2022'!CJ19</f>
        <v>60418</v>
      </c>
      <c r="CJ19" s="191">
        <f ca="1">'[1]October - 2022'!CK19</f>
        <v>34</v>
      </c>
      <c r="CK19" s="89">
        <f ca="1">'[1]October - 2022'!CL19</f>
        <v>263638</v>
      </c>
      <c r="CL19" s="246">
        <f ca="1">'[1]October - 2022'!CM19</f>
        <v>75</v>
      </c>
      <c r="CM19" s="89">
        <f ca="1">'[1]October - 2022'!CM19</f>
        <v>75</v>
      </c>
      <c r="CN19" s="89">
        <f ca="1">'[1]October - 2022'!CO19</f>
        <v>209214</v>
      </c>
      <c r="CO19" s="246">
        <f ca="1">'[1]October - 2022'!CP19</f>
        <v>61</v>
      </c>
      <c r="CP19" s="89">
        <f ca="1">'[1]October - 2022'!CP19</f>
        <v>61</v>
      </c>
      <c r="CQ19" s="89">
        <f ca="1">'[1]October - 2022'!CR19</f>
        <v>349824</v>
      </c>
      <c r="CR19" s="246">
        <f ca="1">'[1]October - 2022'!CS19</f>
        <v>0</v>
      </c>
      <c r="CS19" s="89">
        <f ca="1">'[1]October - 2022'!CS19</f>
        <v>0</v>
      </c>
      <c r="CT19" s="89">
        <f ca="1">'[1]October - 2022'!CU19</f>
        <v>684549</v>
      </c>
      <c r="CU19" s="191">
        <f ca="1">'[1]October - 2022'!CV19</f>
        <v>170</v>
      </c>
      <c r="CV19" s="518"/>
      <c r="CW19" s="256">
        <f ca="1">'[1]October - 2022'!CX19</f>
        <v>8389</v>
      </c>
      <c r="CX19" s="198">
        <f ca="1">'[1]October - 2022'!CY19</f>
        <v>5</v>
      </c>
      <c r="CY19" s="257">
        <f ca="1">'[1]October - 2022'!CZ19</f>
        <v>5688</v>
      </c>
      <c r="CZ19" s="198">
        <f ca="1">'[1]October - 2022'!DA19</f>
        <v>3</v>
      </c>
      <c r="DA19" s="257">
        <f ca="1">'[1]October - 2022'!DB19</f>
        <v>31217</v>
      </c>
      <c r="DB19" s="198">
        <f ca="1">'[1]October - 2022'!DC19</f>
        <v>13</v>
      </c>
      <c r="DC19" s="257">
        <f ca="1">'[1]October - 2022'!DD19</f>
        <v>31500</v>
      </c>
      <c r="DD19" s="198">
        <f ca="1">'[1]October - 2022'!DE19</f>
        <v>19</v>
      </c>
      <c r="DE19" s="257">
        <f ca="1">'[1]October - 2022'!DF19</f>
        <v>21257</v>
      </c>
      <c r="DF19" s="198">
        <f ca="1">'[1]October - 2022'!DG19</f>
        <v>7</v>
      </c>
      <c r="DG19" s="257">
        <f ca="1">'[1]October - 2022'!DH19</f>
        <v>23656</v>
      </c>
      <c r="DH19" s="198">
        <f ca="1">'[1]October - 2022'!DI19</f>
        <v>7</v>
      </c>
      <c r="DI19" s="257">
        <f ca="1">'[1]October - 2022'!DJ19</f>
        <v>6514</v>
      </c>
      <c r="DJ19" s="198">
        <f ca="1">'[1]October - 2022'!DK19</f>
        <v>9</v>
      </c>
      <c r="DK19" s="257">
        <f ca="1">'[1]October - 2022'!DL19</f>
        <v>9285</v>
      </c>
      <c r="DL19" s="198">
        <f ca="1">'[1]October - 2022'!DM19</f>
        <v>6</v>
      </c>
      <c r="DM19" s="257">
        <f ca="1">'[1]October - 2022'!DN19</f>
        <v>3064</v>
      </c>
      <c r="DN19" s="198">
        <f ca="1">'[1]October - 2022'!DO19</f>
        <v>3</v>
      </c>
      <c r="DO19" s="257">
        <f ca="1">'[1]October - 2022'!DP19</f>
        <v>5890</v>
      </c>
      <c r="DP19" s="198">
        <f ca="1">'[1]October - 2022'!DQ19</f>
        <v>8</v>
      </c>
      <c r="DQ19" s="257">
        <f ca="1">'[1]October - 2022'!DR19</f>
        <v>29930</v>
      </c>
      <c r="DR19" s="206">
        <f ca="1">'[1]October - 2022'!DS19</f>
        <v>9</v>
      </c>
      <c r="DS19" s="534"/>
      <c r="DT19" s="210">
        <f ca="1">'[1]October - 2022'!DU19</f>
        <v>5648.7</v>
      </c>
      <c r="DU19" s="221">
        <f ca="1">'[1]October - 2022'!DV19</f>
        <v>11.5</v>
      </c>
      <c r="DV19" s="91">
        <f ca="1">'[1]October - 2022'!DW19</f>
        <v>10778.2</v>
      </c>
      <c r="DW19" s="215">
        <f ca="1">'[1]October - 2022'!DX19</f>
        <v>8.9000000000014552</v>
      </c>
      <c r="DX19" s="91">
        <f ca="1">'[1]October - 2022'!DY19</f>
        <v>4387.7</v>
      </c>
      <c r="DY19" s="215">
        <f ca="1">'[1]October - 2022'!DZ19</f>
        <v>7.0999999999994543</v>
      </c>
      <c r="DZ19" s="91">
        <f ca="1">'[1]October - 2022'!EA19</f>
        <v>4971.6000000000004</v>
      </c>
      <c r="EA19" s="215">
        <f ca="1">'[1]October - 2022'!EB19</f>
        <v>7.5</v>
      </c>
      <c r="EB19" s="91">
        <f ca="1">'[1]October - 2022'!EC19</f>
        <v>1088390</v>
      </c>
      <c r="EC19" s="215">
        <f ca="1">'[1]October - 2022'!ED19</f>
        <v>699</v>
      </c>
      <c r="ED19" s="91">
        <f ca="1">'[1]October - 2022'!EG19</f>
        <v>222774</v>
      </c>
      <c r="EE19" s="229">
        <f ca="1">'[1]October - 2022'!EH19</f>
        <v>155.79999999998836</v>
      </c>
      <c r="EF19" s="581"/>
      <c r="EG19" s="235">
        <f ca="1">'[1]October - 2022'!EJ19</f>
        <v>11806600</v>
      </c>
      <c r="EH19" s="230">
        <f ca="1">'[1]October - 2022'!EK19</f>
        <v>7100</v>
      </c>
      <c r="EI19" s="90">
        <f ca="1">'[1]October - 2022'!EL19</f>
        <v>916620</v>
      </c>
      <c r="EJ19" s="230">
        <f ca="1">'[1]October - 2022'!EM19</f>
        <v>300</v>
      </c>
      <c r="EK19" s="90">
        <f ca="1">'[1]October - 2022'!EN19</f>
        <v>7077000</v>
      </c>
      <c r="EL19" s="230">
        <f ca="1">'[1]October - 2022'!EO19</f>
        <v>2800</v>
      </c>
      <c r="EM19" s="90">
        <f ca="1">'[1]October - 2022'!EP19</f>
        <v>2465500</v>
      </c>
      <c r="EN19" s="230">
        <f ca="1">'[1]October - 2022'!EQ19</f>
        <v>600</v>
      </c>
      <c r="EO19" s="90">
        <f ca="1">'[1]October - 2022'!ER19</f>
        <v>1231340</v>
      </c>
      <c r="EP19" s="230">
        <f ca="1">'[1]October - 2022'!ES19</f>
        <v>800</v>
      </c>
      <c r="EQ19" s="90">
        <f ca="1">'[1]October - 2022'!ET19</f>
        <v>16245200</v>
      </c>
      <c r="ER19" s="230">
        <f ca="1">'[1]October - 2022'!EU19</f>
        <v>8400</v>
      </c>
      <c r="ES19" s="556"/>
      <c r="ET19" s="281">
        <f ca="1">'[1]October - 2022'!EW19</f>
        <v>41169</v>
      </c>
      <c r="EU19" s="275">
        <f ca="1">'[1]October - 2022'!EX19</f>
        <v>18</v>
      </c>
      <c r="EV19" s="282">
        <f ca="1">'[1]October - 2022'!EY19</f>
        <v>36078</v>
      </c>
      <c r="EW19" s="275">
        <f ca="1">'[1]October - 2022'!EZ19</f>
        <v>13</v>
      </c>
      <c r="EX19" s="282">
        <f ca="1">'[1]October - 2022'!FA19</f>
        <v>6932</v>
      </c>
      <c r="EY19" s="275">
        <f ca="1">'[1]October - 2022'!FB19</f>
        <v>8</v>
      </c>
      <c r="EZ19" s="282">
        <f ca="1">'[1]October - 2022'!FC19</f>
        <v>58398</v>
      </c>
      <c r="FA19" s="275">
        <f ca="1">'[1]October - 2022'!FD19</f>
        <v>13</v>
      </c>
      <c r="FB19" s="282">
        <f ca="1">'[1]October - 2022'!FE19</f>
        <v>47455</v>
      </c>
      <c r="FC19" s="276">
        <f ca="1">'[1]October - 2022'!FF19</f>
        <v>32</v>
      </c>
    </row>
    <row r="20" spans="1:159" ht="30" customHeight="1" x14ac:dyDescent="0.25">
      <c r="A20" s="207">
        <v>43841</v>
      </c>
      <c r="B20" s="209">
        <f ca="1">'[1]October - 2022'!B20</f>
        <v>0.79</v>
      </c>
      <c r="C20" s="250">
        <f ca="1">'[1]October - 2022'!E20</f>
        <v>258378</v>
      </c>
      <c r="D20" s="170">
        <f ca="1">'[1]October - 2022'!F20</f>
        <v>910</v>
      </c>
      <c r="E20" s="168">
        <f ca="1">'[1]October - 2022'!G20</f>
        <v>689</v>
      </c>
      <c r="F20" s="168">
        <f ca="1">'[1]October - 2022'!H20</f>
        <v>214594</v>
      </c>
      <c r="G20" s="170">
        <f ca="1">'[1]October - 2022'!I20</f>
        <v>448</v>
      </c>
      <c r="H20" s="168">
        <f ca="1">'[1]October - 2022'!J20</f>
        <v>334</v>
      </c>
      <c r="I20" s="168">
        <f ca="1">'[1]October - 2022'!K20</f>
        <v>0</v>
      </c>
      <c r="J20" s="170">
        <f ca="1">'[1]October - 2022'!L20</f>
        <v>0</v>
      </c>
      <c r="K20" s="168">
        <f ca="1">'[1]October - 2022'!N20</f>
        <v>904376</v>
      </c>
      <c r="L20" s="170">
        <f ca="1">'[1]October - 2022'!O20</f>
        <v>296</v>
      </c>
      <c r="M20" s="168">
        <f ca="1">'[1]October - 2022'!Q20</f>
        <v>234860</v>
      </c>
      <c r="N20" s="170">
        <f ca="1">'[1]October - 2022'!R20</f>
        <v>166</v>
      </c>
      <c r="O20" s="168">
        <f ca="1">'[1]October - 2022'!S20</f>
        <v>106494</v>
      </c>
      <c r="P20" s="170">
        <f ca="1">'[1]October - 2022'!T20</f>
        <v>229</v>
      </c>
      <c r="Q20" s="168">
        <f ca="1">'[1]October - 2022'!U20</f>
        <v>196.70000000000437</v>
      </c>
      <c r="R20" s="168">
        <f ca="1">'[1]October - 2022'!V20</f>
        <v>5593</v>
      </c>
      <c r="S20" s="208">
        <f ca="1">'[1]October - 2022'!W20</f>
        <v>11</v>
      </c>
      <c r="T20" s="477"/>
      <c r="U20" s="169">
        <f ca="1">'[1]October - 2022'!AC20</f>
        <v>7998070.0800000001</v>
      </c>
      <c r="V20" s="288">
        <f ca="1">'[1]October - 2022'!AD20</f>
        <v>2874.480000000447</v>
      </c>
      <c r="W20" s="92">
        <f ca="1">'[1]October - 2022'!AD20</f>
        <v>2874.480000000447</v>
      </c>
      <c r="X20" s="287">
        <f ca="1">'[1]October - 2022'!AF20</f>
        <v>15206047.919999998</v>
      </c>
      <c r="Y20" s="288">
        <f ca="1">'[1]October - 2022'!AG20</f>
        <v>4579.6799999978393</v>
      </c>
      <c r="Z20" s="92">
        <f ca="1">'[1]October - 2022'!AG20</f>
        <v>4579.6799999978393</v>
      </c>
      <c r="AA20" s="287">
        <f ca="1">'[1]October - 2022'!AI20</f>
        <v>15484872.48</v>
      </c>
      <c r="AB20" s="288">
        <f ca="1">'[1]October - 2022'!AJ20</f>
        <v>633.3600000012666</v>
      </c>
      <c r="AC20" s="92">
        <f ca="1">'[1]October - 2022'!AJ20</f>
        <v>633.3600000012666</v>
      </c>
      <c r="AD20" s="287">
        <f ca="1">'[1]October - 2022'!AL20</f>
        <v>18519738.719999999</v>
      </c>
      <c r="AE20" s="288">
        <f ca="1">'[1]October - 2022'!AM20</f>
        <v>8720.8799999989569</v>
      </c>
      <c r="AF20" s="92">
        <f ca="1">'[1]October - 2022'!AM20</f>
        <v>8720.8799999989569</v>
      </c>
      <c r="AG20" s="287">
        <f ca="1">'[1]October - 2022'!AO20</f>
        <v>18811961.280000001</v>
      </c>
      <c r="AH20" s="288">
        <f ca="1">'[1]October - 2022'!AP20</f>
        <v>9110.6400000043213</v>
      </c>
      <c r="AI20" s="92">
        <f ca="1">'[1]October - 2022'!AP20</f>
        <v>9110.6400000043213</v>
      </c>
      <c r="AJ20" s="287">
        <f ca="1">'[1]October - 2022'!AR20</f>
        <v>17228610</v>
      </c>
      <c r="AK20" s="288">
        <f ca="1">'[1]October - 2022'!AS20</f>
        <v>5651.519999999553</v>
      </c>
      <c r="AL20" s="92">
        <f ca="1">'[1]October - 2022'!AS20</f>
        <v>5651.519999999553</v>
      </c>
      <c r="AM20" s="287">
        <f ca="1">'[1]October - 2022'!AU20</f>
        <v>14523383.280000001</v>
      </c>
      <c r="AN20" s="288">
        <f ca="1">'[1]October - 2022'!AV20</f>
        <v>4336.0800000019372</v>
      </c>
      <c r="AO20" s="92">
        <f ca="1">'[1]October - 2022'!AV20</f>
        <v>4336.0800000019372</v>
      </c>
      <c r="AP20" s="287">
        <f ca="1">'[1]October - 2022'!AX20</f>
        <v>14036134.559999999</v>
      </c>
      <c r="AQ20" s="288">
        <f ca="1">'[1]October - 2022'!AY20</f>
        <v>4579.6799999978393</v>
      </c>
      <c r="AR20" s="92">
        <f ca="1">'[1]October - 2022'!AY20</f>
        <v>4579.6799999978393</v>
      </c>
      <c r="AS20" s="287">
        <f ca="1">'[1]October - 2022'!BA20</f>
        <v>11000781.119999999</v>
      </c>
      <c r="AT20" s="289">
        <f ca="1">'[1]October - 2022'!BB20</f>
        <v>3361.679999999702</v>
      </c>
      <c r="AU20" s="92">
        <f ca="1">'[1]October - 2022'!BB20</f>
        <v>3361.679999999702</v>
      </c>
      <c r="AV20" s="287">
        <f ca="1">'[1]October - 2022'!BD20</f>
        <v>17360300.16</v>
      </c>
      <c r="AW20" s="252">
        <f ca="1">'[1]October - 2022'!BE20</f>
        <v>5554.0799999982119</v>
      </c>
      <c r="AX20" s="253">
        <f ca="1">'[1]October - 2022'!BE20</f>
        <v>5554.0799999982119</v>
      </c>
      <c r="AY20" s="494"/>
      <c r="AZ20" s="272">
        <f ca="1">'[1]October - 2022'!BK20</f>
        <v>76563800</v>
      </c>
      <c r="BA20" s="179">
        <f ca="1">'[1]October - 2022'!BL20</f>
        <v>0</v>
      </c>
      <c r="BB20" s="93">
        <f ca="1">'[1]October - 2022'!BL20</f>
        <v>0</v>
      </c>
      <c r="BC20" s="272">
        <f ca="1">'[1]October - 2022'!BN20</f>
        <v>79039400</v>
      </c>
      <c r="BD20" s="245">
        <f ca="1">'[1]October - 2022'!BO20</f>
        <v>62700</v>
      </c>
      <c r="BE20" s="93">
        <f ca="1">'[1]October - 2022'!BO20</f>
        <v>62700</v>
      </c>
      <c r="BF20" s="272">
        <f ca="1">'[1]October - 2022'!BQ20</f>
        <v>73057300</v>
      </c>
      <c r="BG20" s="245">
        <f ca="1">'[1]October - 2022'!BR20</f>
        <v>50100</v>
      </c>
      <c r="BH20" s="93">
        <f ca="1"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 ca="1">'[1]October - 2022'!BT20</f>
        <v>9760090</v>
      </c>
      <c r="BT20" s="185">
        <f ca="1">'[1]October - 2022'!BU20</f>
        <v>8910</v>
      </c>
      <c r="BU20" s="590"/>
      <c r="BV20" s="88">
        <f ca="1">'[1]October - 2022'!BW20</f>
        <v>0.6</v>
      </c>
      <c r="BW20" s="241">
        <f ca="1">'[1]October - 2022'!BX20</f>
        <v>2.0000000000000018E-2</v>
      </c>
      <c r="BX20" s="88">
        <f ca="1">'[1]October - 2022'!BX20</f>
        <v>2.0000000000000018E-2</v>
      </c>
      <c r="BY20" s="89">
        <f ca="1">'[1]October - 2022'!BZ20</f>
        <v>63095</v>
      </c>
      <c r="BZ20" s="191">
        <f ca="1">'[1]October - 2022'!CA20</f>
        <v>19</v>
      </c>
      <c r="CA20" s="89">
        <f ca="1">'[1]October - 2022'!CB20</f>
        <v>54286</v>
      </c>
      <c r="CB20" s="191">
        <f ca="1">'[1]October - 2022'!CC20</f>
        <v>17</v>
      </c>
      <c r="CC20" s="89">
        <f ca="1">'[1]October - 2022'!CD20</f>
        <v>18370</v>
      </c>
      <c r="CD20" s="191">
        <f ca="1">'[1]October - 2022'!CE20</f>
        <v>6</v>
      </c>
      <c r="CE20" s="89">
        <f ca="1">'[1]October - 2022'!CF20</f>
        <v>24977</v>
      </c>
      <c r="CF20" s="191">
        <f ca="1">'[1]October - 2022'!CG20</f>
        <v>10</v>
      </c>
      <c r="CG20" s="89">
        <f ca="1">'[1]October - 2022'!CH20</f>
        <v>27638</v>
      </c>
      <c r="CH20" s="191">
        <f ca="1">'[1]October - 2022'!CI20</f>
        <v>16</v>
      </c>
      <c r="CI20" s="89">
        <f ca="1">'[1]October - 2022'!CJ20</f>
        <v>60454</v>
      </c>
      <c r="CJ20" s="191">
        <f ca="1">'[1]October - 2022'!CK20</f>
        <v>36</v>
      </c>
      <c r="CK20" s="89">
        <f ca="1">'[1]October - 2022'!CL20</f>
        <v>263710</v>
      </c>
      <c r="CL20" s="246">
        <f ca="1">'[1]October - 2022'!CM20</f>
        <v>72</v>
      </c>
      <c r="CM20" s="89">
        <f ca="1">'[1]October - 2022'!CM20</f>
        <v>72</v>
      </c>
      <c r="CN20" s="89">
        <f ca="1">'[1]October - 2022'!CO20</f>
        <v>209295</v>
      </c>
      <c r="CO20" s="246">
        <f ca="1">'[1]October - 2022'!CP20</f>
        <v>81</v>
      </c>
      <c r="CP20" s="89">
        <f ca="1">'[1]October - 2022'!CP20</f>
        <v>81</v>
      </c>
      <c r="CQ20" s="89">
        <f ca="1">'[1]October - 2022'!CR20</f>
        <v>349824</v>
      </c>
      <c r="CR20" s="246">
        <f ca="1">'[1]October - 2022'!CS20</f>
        <v>0</v>
      </c>
      <c r="CS20" s="89">
        <f ca="1">'[1]October - 2022'!CS20</f>
        <v>0</v>
      </c>
      <c r="CT20" s="89">
        <f ca="1">'[1]October - 2022'!CU20</f>
        <v>684710</v>
      </c>
      <c r="CU20" s="191">
        <f ca="1">'[1]October - 2022'!CV20</f>
        <v>161</v>
      </c>
      <c r="CV20" s="518"/>
      <c r="CW20" s="256">
        <f ca="1">'[1]October - 2022'!CX20</f>
        <v>8395</v>
      </c>
      <c r="CX20" s="198">
        <f ca="1">'[1]October - 2022'!CY20</f>
        <v>6</v>
      </c>
      <c r="CY20" s="257">
        <f ca="1">'[1]October - 2022'!CZ20</f>
        <v>5693</v>
      </c>
      <c r="CZ20" s="198">
        <f ca="1">'[1]October - 2022'!DA20</f>
        <v>5</v>
      </c>
      <c r="DA20" s="257">
        <f ca="1">'[1]October - 2022'!DB20</f>
        <v>31228</v>
      </c>
      <c r="DB20" s="198">
        <f ca="1">'[1]October - 2022'!DC20</f>
        <v>11</v>
      </c>
      <c r="DC20" s="257">
        <f ca="1">'[1]October - 2022'!DD20</f>
        <v>31514</v>
      </c>
      <c r="DD20" s="198">
        <f ca="1">'[1]October - 2022'!DE20</f>
        <v>14</v>
      </c>
      <c r="DE20" s="257">
        <f ca="1">'[1]October - 2022'!DF20</f>
        <v>21265</v>
      </c>
      <c r="DF20" s="198">
        <f ca="1">'[1]October - 2022'!DG20</f>
        <v>8</v>
      </c>
      <c r="DG20" s="257">
        <f ca="1">'[1]October - 2022'!DH20</f>
        <v>23662</v>
      </c>
      <c r="DH20" s="198">
        <f ca="1">'[1]October - 2022'!DI20</f>
        <v>6</v>
      </c>
      <c r="DI20" s="257">
        <f ca="1">'[1]October - 2022'!DJ20</f>
        <v>6523</v>
      </c>
      <c r="DJ20" s="198">
        <f ca="1">'[1]October - 2022'!DK20</f>
        <v>9</v>
      </c>
      <c r="DK20" s="257">
        <f ca="1">'[1]October - 2022'!DL20</f>
        <v>9292</v>
      </c>
      <c r="DL20" s="198">
        <f ca="1">'[1]October - 2022'!DM20</f>
        <v>7</v>
      </c>
      <c r="DM20" s="257">
        <f ca="1">'[1]October - 2022'!DN20</f>
        <v>3067</v>
      </c>
      <c r="DN20" s="198">
        <f ca="1">'[1]October - 2022'!DO20</f>
        <v>3</v>
      </c>
      <c r="DO20" s="257">
        <f ca="1">'[1]October - 2022'!DP20</f>
        <v>5898</v>
      </c>
      <c r="DP20" s="198">
        <f ca="1">'[1]October - 2022'!DQ20</f>
        <v>8</v>
      </c>
      <c r="DQ20" s="257">
        <f ca="1">'[1]October - 2022'!DR20</f>
        <v>29932</v>
      </c>
      <c r="DR20" s="206">
        <f ca="1">'[1]October - 2022'!DS20</f>
        <v>2</v>
      </c>
      <c r="DS20" s="534"/>
      <c r="DT20" s="210">
        <f ca="1">'[1]October - 2022'!DU20</f>
        <v>5659.6</v>
      </c>
      <c r="DU20" s="221">
        <f ca="1">'[1]October - 2022'!DV20</f>
        <v>10.900000000000546</v>
      </c>
      <c r="DV20" s="91">
        <f ca="1">'[1]October - 2022'!DW20</f>
        <v>10786.5</v>
      </c>
      <c r="DW20" s="215">
        <f ca="1">'[1]October - 2022'!DX20</f>
        <v>8.2999999999992724</v>
      </c>
      <c r="DX20" s="91">
        <f ca="1">'[1]October - 2022'!DY20</f>
        <v>4394.5</v>
      </c>
      <c r="DY20" s="215">
        <f ca="1">'[1]October - 2022'!DZ20</f>
        <v>6.8000000000001819</v>
      </c>
      <c r="DZ20" s="91">
        <f ca="1">'[1]October - 2022'!EA20</f>
        <v>4978.3999999999996</v>
      </c>
      <c r="EA20" s="215">
        <f ca="1">'[1]October - 2022'!EB20</f>
        <v>6.7999999999992724</v>
      </c>
      <c r="EB20" s="91">
        <f ca="1">'[1]October - 2022'!EC20</f>
        <v>1089047</v>
      </c>
      <c r="EC20" s="215">
        <f ca="1">'[1]October - 2022'!ED20</f>
        <v>657</v>
      </c>
      <c r="ED20" s="91">
        <f ca="1">'[1]October - 2022'!EG20</f>
        <v>222922.8</v>
      </c>
      <c r="EE20" s="229">
        <f ca="1">'[1]October - 2022'!EH20</f>
        <v>148.79999999998836</v>
      </c>
      <c r="EF20" s="581"/>
      <c r="EG20" s="235">
        <f ca="1">'[1]October - 2022'!EJ20</f>
        <v>11814300</v>
      </c>
      <c r="EH20" s="230">
        <f ca="1">'[1]October - 2022'!EK20</f>
        <v>7700</v>
      </c>
      <c r="EI20" s="90">
        <f ca="1">'[1]October - 2022'!EL20</f>
        <v>916920</v>
      </c>
      <c r="EJ20" s="230">
        <f ca="1">'[1]October - 2022'!EM20</f>
        <v>300</v>
      </c>
      <c r="EK20" s="90">
        <f ca="1">'[1]October - 2022'!EN20</f>
        <v>7079900</v>
      </c>
      <c r="EL20" s="230">
        <f ca="1">'[1]October - 2022'!EO20</f>
        <v>2900</v>
      </c>
      <c r="EM20" s="90">
        <f ca="1">'[1]October - 2022'!EP20</f>
        <v>2466400</v>
      </c>
      <c r="EN20" s="230">
        <f ca="1">'[1]October - 2022'!EQ20</f>
        <v>900</v>
      </c>
      <c r="EO20" s="90">
        <f ca="1">'[1]October - 2022'!ER20</f>
        <v>1232170</v>
      </c>
      <c r="EP20" s="230">
        <f ca="1">'[1]October - 2022'!ES20</f>
        <v>830</v>
      </c>
      <c r="EQ20" s="90">
        <f ca="1">'[1]October - 2022'!ET20</f>
        <v>16254000</v>
      </c>
      <c r="ER20" s="230">
        <f ca="1">'[1]October - 2022'!EU20</f>
        <v>8800</v>
      </c>
      <c r="ES20" s="556"/>
      <c r="ET20" s="281">
        <f ca="1">'[1]October - 2022'!EW20</f>
        <v>41180</v>
      </c>
      <c r="EU20" s="275">
        <f ca="1">'[1]October - 2022'!EX20</f>
        <v>11</v>
      </c>
      <c r="EV20" s="282">
        <f ca="1">'[1]October - 2022'!EY20</f>
        <v>36089</v>
      </c>
      <c r="EW20" s="275">
        <f ca="1">'[1]October - 2022'!EZ20</f>
        <v>11</v>
      </c>
      <c r="EX20" s="282">
        <f ca="1">'[1]October - 2022'!FA20</f>
        <v>6941</v>
      </c>
      <c r="EY20" s="275">
        <f ca="1">'[1]October - 2022'!FB20</f>
        <v>9</v>
      </c>
      <c r="EZ20" s="282">
        <f ca="1">'[1]October - 2022'!FC20</f>
        <v>58410</v>
      </c>
      <c r="FA20" s="275">
        <f ca="1">'[1]October - 2022'!FD20</f>
        <v>12</v>
      </c>
      <c r="FB20" s="282">
        <f ca="1">'[1]October - 2022'!FE20</f>
        <v>47489</v>
      </c>
      <c r="FC20" s="276">
        <f ca="1">'[1]October - 2022'!FF20</f>
        <v>34</v>
      </c>
    </row>
    <row r="21" spans="1:159" ht="30" customHeight="1" x14ac:dyDescent="0.25">
      <c r="A21" s="207">
        <v>43842</v>
      </c>
      <c r="B21" s="209">
        <f ca="1">'[1]October - 2022'!B21</f>
        <v>0.82</v>
      </c>
      <c r="C21" s="250">
        <f ca="1">'[1]October - 2022'!E21</f>
        <v>259293</v>
      </c>
      <c r="D21" s="170">
        <f ca="1">'[1]October - 2022'!F21</f>
        <v>915</v>
      </c>
      <c r="E21" s="168">
        <f ca="1">'[1]October - 2022'!G21</f>
        <v>741</v>
      </c>
      <c r="F21" s="168">
        <f ca="1">'[1]October - 2022'!H21</f>
        <v>215097</v>
      </c>
      <c r="G21" s="170">
        <f ca="1">'[1]October - 2022'!I21</f>
        <v>503</v>
      </c>
      <c r="H21" s="168">
        <f ca="1">'[1]October - 2022'!J21</f>
        <v>357</v>
      </c>
      <c r="I21" s="168">
        <f ca="1">'[1]October - 2022'!K21</f>
        <v>85</v>
      </c>
      <c r="J21" s="170">
        <f ca="1">'[1]October - 2022'!L21</f>
        <v>85</v>
      </c>
      <c r="K21" s="168">
        <f ca="1">'[1]October - 2022'!N21</f>
        <v>904731</v>
      </c>
      <c r="L21" s="170">
        <f ca="1">'[1]October - 2022'!O21</f>
        <v>355</v>
      </c>
      <c r="M21" s="168">
        <f ca="1">'[1]October - 2022'!Q21</f>
        <v>235098</v>
      </c>
      <c r="N21" s="170">
        <f ca="1">'[1]October - 2022'!R21</f>
        <v>238</v>
      </c>
      <c r="O21" s="168">
        <f ca="1">'[1]October - 2022'!S21</f>
        <v>106709</v>
      </c>
      <c r="P21" s="170">
        <f ca="1">'[1]October - 2022'!T21</f>
        <v>215</v>
      </c>
      <c r="Q21" s="168">
        <f ca="1">'[1]October - 2022'!U21</f>
        <v>178.63999999999942</v>
      </c>
      <c r="R21" s="168">
        <f ca="1">'[1]October - 2022'!V21</f>
        <v>5612</v>
      </c>
      <c r="S21" s="208">
        <f ca="1">'[1]October - 2022'!W21</f>
        <v>19</v>
      </c>
      <c r="T21" s="477"/>
      <c r="U21" s="169">
        <f ca="1">'[1]October - 2022'!AC21</f>
        <v>8001285.5999999996</v>
      </c>
      <c r="V21" s="288">
        <f ca="1">'[1]October - 2022'!AD21</f>
        <v>3215.519999999553</v>
      </c>
      <c r="W21" s="92">
        <f ca="1">'[1]October - 2022'!AD21</f>
        <v>3215.519999999553</v>
      </c>
      <c r="X21" s="287">
        <f ca="1">'[1]October - 2022'!AF21</f>
        <v>15211017.359999999</v>
      </c>
      <c r="Y21" s="288">
        <f ca="1">'[1]October - 2022'!AG21</f>
        <v>4969.4400000013411</v>
      </c>
      <c r="Z21" s="92">
        <f ca="1">'[1]October - 2022'!AG21</f>
        <v>4969.4400000013411</v>
      </c>
      <c r="AA21" s="287">
        <f ca="1">'[1]October - 2022'!AI21</f>
        <v>15496224.24</v>
      </c>
      <c r="AB21" s="288">
        <f ca="1">'[1]October - 2022'!AJ21</f>
        <v>11351.759999999776</v>
      </c>
      <c r="AC21" s="92">
        <f ca="1">'[1]October - 2022'!AJ21</f>
        <v>11351.759999999776</v>
      </c>
      <c r="AD21" s="287">
        <f ca="1">'[1]October - 2022'!AL21</f>
        <v>18532454.639999997</v>
      </c>
      <c r="AE21" s="288">
        <f ca="1">'[1]October - 2022'!AM21</f>
        <v>12715.919999998063</v>
      </c>
      <c r="AF21" s="92">
        <f ca="1">'[1]October - 2022'!AM21</f>
        <v>12715.919999998063</v>
      </c>
      <c r="AG21" s="287">
        <f ca="1">'[1]October - 2022'!AO21</f>
        <v>18813130.560000002</v>
      </c>
      <c r="AH21" s="288">
        <f ca="1">'[1]October - 2022'!AP21</f>
        <v>1169.2800000011921</v>
      </c>
      <c r="AI21" s="92">
        <f ca="1">'[1]October - 2022'!AP21</f>
        <v>1169.2800000011921</v>
      </c>
      <c r="AJ21" s="287">
        <f ca="1">'[1]October - 2022'!AR21</f>
        <v>17234748.719999999</v>
      </c>
      <c r="AK21" s="288">
        <f ca="1">'[1]October - 2022'!AS21</f>
        <v>6138.7199999988079</v>
      </c>
      <c r="AL21" s="92">
        <f ca="1">'[1]October - 2022'!AS21</f>
        <v>6138.7199999988079</v>
      </c>
      <c r="AM21" s="287">
        <f ca="1">'[1]October - 2022'!AU21</f>
        <v>14528109.119999999</v>
      </c>
      <c r="AN21" s="288">
        <f ca="1">'[1]October - 2022'!AV21</f>
        <v>4725.8399999979883</v>
      </c>
      <c r="AO21" s="283">
        <f ca="1">'[1]October - 2022'!AV21</f>
        <v>4725.8399999979883</v>
      </c>
      <c r="AP21" s="287">
        <f ca="1">'[1]October - 2022'!AX21</f>
        <v>14041055.280000001</v>
      </c>
      <c r="AQ21" s="288">
        <f ca="1">'[1]October - 2022'!AY21</f>
        <v>4920.7200000025332</v>
      </c>
      <c r="AR21" s="92">
        <f ca="1">'[1]October - 2022'!AY21</f>
        <v>4920.7200000025332</v>
      </c>
      <c r="AS21" s="290">
        <f ca="1">'[1]October - 2022'!BA21</f>
        <v>11004288.959999999</v>
      </c>
      <c r="AT21" s="289">
        <f ca="1">'[1]October - 2022'!BB21</f>
        <v>3507.839999999851</v>
      </c>
      <c r="AU21" s="92">
        <f ca="1">'[1]October - 2022'!BB21</f>
        <v>3507.839999999851</v>
      </c>
      <c r="AV21" s="287">
        <f ca="1">'[1]October - 2022'!BD21</f>
        <v>17366438.879999999</v>
      </c>
      <c r="AW21" s="252">
        <f ca="1">'[1]October - 2022'!BE21</f>
        <v>6138.7199999988079</v>
      </c>
      <c r="AX21" s="253">
        <f ca="1">'[1]October - 2022'!BE21</f>
        <v>6138.7199999988079</v>
      </c>
      <c r="AY21" s="494"/>
      <c r="AZ21" s="272">
        <f ca="1">'[1]October - 2022'!BK21</f>
        <v>76615400</v>
      </c>
      <c r="BA21" s="179">
        <f ca="1">'[1]October - 2022'!BL21</f>
        <v>51600</v>
      </c>
      <c r="BB21" s="93">
        <f ca="1">'[1]October - 2022'!BL21</f>
        <v>51600</v>
      </c>
      <c r="BC21" s="272">
        <f ca="1">'[1]October - 2022'!BN21</f>
        <v>79086600</v>
      </c>
      <c r="BD21" s="245">
        <f ca="1">'[1]October - 2022'!BO21</f>
        <v>47200</v>
      </c>
      <c r="BE21" s="93">
        <f ca="1">'[1]October - 2022'!BO21</f>
        <v>47200</v>
      </c>
      <c r="BF21" s="272">
        <f ca="1">'[1]October - 2022'!BQ21</f>
        <v>73064500</v>
      </c>
      <c r="BG21" s="245">
        <f ca="1">'[1]October - 2022'!BR21</f>
        <v>7200</v>
      </c>
      <c r="BH21" s="93">
        <f ca="1"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 ca="1">'[1]October - 2022'!BT21</f>
        <v>9769080</v>
      </c>
      <c r="BT21" s="185">
        <f ca="1">'[1]October - 2022'!BU21</f>
        <v>8990</v>
      </c>
      <c r="BU21" s="590"/>
      <c r="BV21" s="88">
        <f ca="1">'[1]October - 2022'!BW21</f>
        <v>0.56999999999999995</v>
      </c>
      <c r="BW21" s="241">
        <f ca="1">'[1]October - 2022'!BX21</f>
        <v>3.0000000000000027E-2</v>
      </c>
      <c r="BX21" s="88">
        <f ca="1">'[1]October - 2022'!BX21</f>
        <v>3.0000000000000027E-2</v>
      </c>
      <c r="BY21" s="89">
        <f ca="1">'[1]October - 2022'!BZ21</f>
        <v>63119</v>
      </c>
      <c r="BZ21" s="191">
        <f ca="1">'[1]October - 2022'!CA21</f>
        <v>24</v>
      </c>
      <c r="CA21" s="89">
        <f ca="1">'[1]October - 2022'!CB21</f>
        <v>54306</v>
      </c>
      <c r="CB21" s="191">
        <f ca="1">'[1]October - 2022'!CC21</f>
        <v>20</v>
      </c>
      <c r="CC21" s="89">
        <f ca="1">'[1]October - 2022'!CD21</f>
        <v>18377</v>
      </c>
      <c r="CD21" s="191">
        <f ca="1">'[1]October - 2022'!CE21</f>
        <v>7</v>
      </c>
      <c r="CE21" s="89">
        <f ca="1">'[1]October - 2022'!CF21</f>
        <v>24987</v>
      </c>
      <c r="CF21" s="191">
        <f ca="1">'[1]October - 2022'!CG21</f>
        <v>10</v>
      </c>
      <c r="CG21" s="89">
        <f ca="1">'[1]October - 2022'!CH21</f>
        <v>27654</v>
      </c>
      <c r="CH21" s="191">
        <f ca="1">'[1]October - 2022'!CI21</f>
        <v>16</v>
      </c>
      <c r="CI21" s="89">
        <f ca="1">'[1]October - 2022'!CJ21</f>
        <v>60487</v>
      </c>
      <c r="CJ21" s="191">
        <f ca="1">'[1]October - 2022'!CK21</f>
        <v>33</v>
      </c>
      <c r="CK21" s="89">
        <f ca="1">'[1]October - 2022'!CL21</f>
        <v>263794</v>
      </c>
      <c r="CL21" s="246">
        <f ca="1">'[1]October - 2022'!CM21</f>
        <v>84</v>
      </c>
      <c r="CM21" s="89">
        <f ca="1">'[1]October - 2022'!CM21</f>
        <v>84</v>
      </c>
      <c r="CN21" s="89">
        <f ca="1">'[1]October - 2022'!CO21</f>
        <v>209390</v>
      </c>
      <c r="CO21" s="246">
        <f ca="1">'[1]October - 2022'!CP21</f>
        <v>95</v>
      </c>
      <c r="CP21" s="89">
        <f ca="1">'[1]October - 2022'!CP21</f>
        <v>95</v>
      </c>
      <c r="CQ21" s="89">
        <f ca="1">'[1]October - 2022'!CR21</f>
        <v>349824</v>
      </c>
      <c r="CR21" s="246">
        <f ca="1">'[1]October - 2022'!CS21</f>
        <v>0</v>
      </c>
      <c r="CS21" s="89">
        <f ca="1">'[1]October - 2022'!CS21</f>
        <v>0</v>
      </c>
      <c r="CT21" s="89">
        <f ca="1">'[1]October - 2022'!CU21</f>
        <v>684878</v>
      </c>
      <c r="CU21" s="191">
        <f ca="1">'[1]October - 2022'!CV21</f>
        <v>168</v>
      </c>
      <c r="CV21" s="518"/>
      <c r="CW21" s="256">
        <f ca="1">'[1]October - 2022'!CX21</f>
        <v>8405</v>
      </c>
      <c r="CX21" s="198">
        <f ca="1">'[1]October - 2022'!CY21</f>
        <v>10</v>
      </c>
      <c r="CY21" s="257">
        <f ca="1">'[1]October - 2022'!CZ21</f>
        <v>5701</v>
      </c>
      <c r="CZ21" s="198">
        <f ca="1">'[1]October - 2022'!DA21</f>
        <v>8</v>
      </c>
      <c r="DA21" s="257">
        <f ca="1">'[1]October - 2022'!DB21</f>
        <v>31243</v>
      </c>
      <c r="DB21" s="198">
        <f ca="1">'[1]October - 2022'!DC21</f>
        <v>15</v>
      </c>
      <c r="DC21" s="257">
        <f ca="1">'[1]October - 2022'!DD21</f>
        <v>31528</v>
      </c>
      <c r="DD21" s="198">
        <f ca="1">'[1]October - 2022'!DE21</f>
        <v>14</v>
      </c>
      <c r="DE21" s="257">
        <f ca="1">'[1]October - 2022'!DF21</f>
        <v>21273</v>
      </c>
      <c r="DF21" s="198">
        <f ca="1">'[1]October - 2022'!DG21</f>
        <v>8</v>
      </c>
      <c r="DG21" s="257">
        <f ca="1">'[1]October - 2022'!DH21</f>
        <v>23668</v>
      </c>
      <c r="DH21" s="198">
        <f ca="1">'[1]October - 2022'!DI21</f>
        <v>6</v>
      </c>
      <c r="DI21" s="257">
        <f ca="1">'[1]October - 2022'!DJ21</f>
        <v>6532</v>
      </c>
      <c r="DJ21" s="198">
        <f ca="1">'[1]October - 2022'!DK21</f>
        <v>9</v>
      </c>
      <c r="DK21" s="257">
        <f ca="1">'[1]October - 2022'!DL21</f>
        <v>9297</v>
      </c>
      <c r="DL21" s="198">
        <f ca="1">'[1]October - 2022'!DM21</f>
        <v>5</v>
      </c>
      <c r="DM21" s="257">
        <f ca="1">'[1]October - 2022'!DN21</f>
        <v>3070</v>
      </c>
      <c r="DN21" s="198">
        <f ca="1">'[1]October - 2022'!DO21</f>
        <v>3</v>
      </c>
      <c r="DO21" s="257">
        <f ca="1">'[1]October - 2022'!DP21</f>
        <v>5907</v>
      </c>
      <c r="DP21" s="198">
        <f ca="1">'[1]October - 2022'!DQ21</f>
        <v>9</v>
      </c>
      <c r="DQ21" s="257">
        <f ca="1">'[1]October - 2022'!DR21</f>
        <v>29940</v>
      </c>
      <c r="DR21" s="206">
        <f ca="1">'[1]October - 2022'!DS21</f>
        <v>8</v>
      </c>
      <c r="DS21" s="534"/>
      <c r="DT21" s="210">
        <f ca="1">'[1]October - 2022'!DU21</f>
        <v>5671.7</v>
      </c>
      <c r="DU21" s="221">
        <f ca="1">'[1]October - 2022'!DV21</f>
        <v>12.099999999999454</v>
      </c>
      <c r="DV21" s="91">
        <f ca="1">'[1]October - 2022'!DW21</f>
        <v>10795.8</v>
      </c>
      <c r="DW21" s="215">
        <f ca="1">'[1]October - 2022'!DX21</f>
        <v>9.2999999999992724</v>
      </c>
      <c r="DX21" s="91">
        <f ca="1">'[1]October - 2022'!DY21</f>
        <v>4401.8999999999996</v>
      </c>
      <c r="DY21" s="215">
        <f ca="1">'[1]October - 2022'!DZ21</f>
        <v>7.3999999999996362</v>
      </c>
      <c r="DZ21" s="91">
        <f ca="1">'[1]October - 2022'!EA21</f>
        <v>4985.8</v>
      </c>
      <c r="EA21" s="215">
        <f ca="1">'[1]October - 2022'!EB21</f>
        <v>7.4000000000005457</v>
      </c>
      <c r="EB21" s="91">
        <f ca="1">'[1]October - 2022'!EC21</f>
        <v>1089746</v>
      </c>
      <c r="EC21" s="215">
        <f ca="1">'[1]October - 2022'!ED21</f>
        <v>699</v>
      </c>
      <c r="ED21" s="91">
        <f ca="1">'[1]October - 2022'!EG21</f>
        <v>223082.7</v>
      </c>
      <c r="EE21" s="229">
        <f ca="1">'[1]October - 2022'!EH21</f>
        <v>159.90000000002328</v>
      </c>
      <c r="EF21" s="581"/>
      <c r="EG21" s="235">
        <f ca="1">'[1]October - 2022'!EJ21</f>
        <v>11821800</v>
      </c>
      <c r="EH21" s="230">
        <f ca="1">'[1]October - 2022'!EK21</f>
        <v>7500</v>
      </c>
      <c r="EI21" s="90">
        <f ca="1">'[1]October - 2022'!EL21</f>
        <v>917230</v>
      </c>
      <c r="EJ21" s="230">
        <f ca="1">'[1]October - 2022'!EM21</f>
        <v>310</v>
      </c>
      <c r="EK21" s="90">
        <f ca="1">'[1]October - 2022'!EN21</f>
        <v>7082800</v>
      </c>
      <c r="EL21" s="230">
        <f ca="1">'[1]October - 2022'!EO21</f>
        <v>2900</v>
      </c>
      <c r="EM21" s="90">
        <f ca="1">'[1]October - 2022'!EP21</f>
        <v>2467200</v>
      </c>
      <c r="EN21" s="230">
        <f ca="1">'[1]October - 2022'!EQ21</f>
        <v>800</v>
      </c>
      <c r="EO21" s="90">
        <f ca="1">'[1]October - 2022'!ER21</f>
        <v>1233020</v>
      </c>
      <c r="EP21" s="230">
        <f ca="1">'[1]October - 2022'!ES21</f>
        <v>850</v>
      </c>
      <c r="EQ21" s="90">
        <f ca="1">'[1]October - 2022'!ET21</f>
        <v>16262300</v>
      </c>
      <c r="ER21" s="230">
        <f ca="1">'[1]October - 2022'!EU21</f>
        <v>8300</v>
      </c>
      <c r="ES21" s="556"/>
      <c r="ET21" s="281">
        <f ca="1">'[1]October - 2022'!EW21</f>
        <v>41195</v>
      </c>
      <c r="EU21" s="275">
        <f ca="1">'[1]October - 2022'!EX21</f>
        <v>15</v>
      </c>
      <c r="EV21" s="282">
        <f ca="1">'[1]October - 2022'!EY21</f>
        <v>36102</v>
      </c>
      <c r="EW21" s="275">
        <f ca="1">'[1]October - 2022'!EZ21</f>
        <v>13</v>
      </c>
      <c r="EX21" s="282">
        <f ca="1">'[1]October - 2022'!FA21</f>
        <v>6951</v>
      </c>
      <c r="EY21" s="275">
        <f ca="1">'[1]October - 2022'!FB21</f>
        <v>10</v>
      </c>
      <c r="EZ21" s="282">
        <f ca="1">'[1]October - 2022'!FC21</f>
        <v>58428</v>
      </c>
      <c r="FA21" s="275">
        <f ca="1">'[1]October - 2022'!FD21</f>
        <v>18</v>
      </c>
      <c r="FB21" s="282">
        <f ca="1">'[1]October - 2022'!FE21</f>
        <v>47524</v>
      </c>
      <c r="FC21" s="276">
        <f ca="1">'[1]October - 2022'!FF21</f>
        <v>35</v>
      </c>
    </row>
    <row r="22" spans="1:159" ht="30" customHeight="1" x14ac:dyDescent="0.25">
      <c r="A22" s="207">
        <v>43843</v>
      </c>
      <c r="B22" s="209">
        <f ca="1">'[1]October - 2022'!B22</f>
        <v>0.83</v>
      </c>
      <c r="C22" s="250">
        <f ca="1">'[1]October - 2022'!E22</f>
        <v>260236</v>
      </c>
      <c r="D22" s="170">
        <f ca="1">'[1]October - 2022'!F22</f>
        <v>943</v>
      </c>
      <c r="E22" s="168">
        <f ca="1">'[1]October - 2022'!G22</f>
        <v>879</v>
      </c>
      <c r="F22" s="168">
        <f ca="1">'[1]October - 2022'!H22</f>
        <v>215542</v>
      </c>
      <c r="G22" s="170">
        <f ca="1">'[1]October - 2022'!I22</f>
        <v>445</v>
      </c>
      <c r="H22" s="168">
        <f ca="1">'[1]October - 2022'!J22</f>
        <v>352</v>
      </c>
      <c r="I22" s="168">
        <f ca="1">'[1]October - 2022'!K22</f>
        <v>201</v>
      </c>
      <c r="J22" s="170">
        <f ca="1">'[1]October - 2022'!L22</f>
        <v>116</v>
      </c>
      <c r="K22" s="168">
        <f ca="1">'[1]October - 2022'!N22</f>
        <v>905054</v>
      </c>
      <c r="L22" s="170">
        <f ca="1">'[1]October - 2022'!O22</f>
        <v>323</v>
      </c>
      <c r="M22" s="168">
        <f ca="1">'[1]October - 2022'!Q22</f>
        <v>235321</v>
      </c>
      <c r="N22" s="170">
        <f ca="1">'[1]October - 2022'!R22</f>
        <v>223</v>
      </c>
      <c r="O22" s="168">
        <f ca="1">'[1]October - 2022'!S22</f>
        <v>106891</v>
      </c>
      <c r="P22" s="170">
        <f ca="1">'[1]October - 2022'!T22</f>
        <v>182</v>
      </c>
      <c r="Q22" s="168">
        <f ca="1">'[1]October - 2022'!U22</f>
        <v>180.25</v>
      </c>
      <c r="R22" s="168">
        <f ca="1">'[1]October - 2022'!V22</f>
        <v>5625</v>
      </c>
      <c r="S22" s="208">
        <f ca="1">'[1]October - 2022'!W22</f>
        <v>13</v>
      </c>
      <c r="T22" s="477"/>
      <c r="U22" s="169">
        <f ca="1">'[1]October - 2022'!AC22</f>
        <v>8004208.7999999998</v>
      </c>
      <c r="V22" s="288">
        <f ca="1">'[1]October - 2022'!AD22</f>
        <v>2923.2000000001863</v>
      </c>
      <c r="W22" s="92">
        <f ca="1">'[1]October - 2022'!AD22</f>
        <v>2923.2000000001863</v>
      </c>
      <c r="X22" s="287">
        <f ca="1">'[1]October - 2022'!AF22</f>
        <v>15215645.76</v>
      </c>
      <c r="Y22" s="288">
        <f ca="1">'[1]October - 2022'!AG22</f>
        <v>4628.4000000003725</v>
      </c>
      <c r="Z22" s="92">
        <f ca="1">'[1]October - 2022'!AG22</f>
        <v>4628.4000000003725</v>
      </c>
      <c r="AA22" s="287">
        <f ca="1">'[1]October - 2022'!AI22</f>
        <v>15508599.119999999</v>
      </c>
      <c r="AB22" s="288">
        <f ca="1">'[1]October - 2022'!AJ22</f>
        <v>12374.879999998957</v>
      </c>
      <c r="AC22" s="92">
        <f ca="1">'[1]October - 2022'!AJ22</f>
        <v>12374.879999998957</v>
      </c>
      <c r="AD22" s="287">
        <f ca="1">'[1]October - 2022'!AL22</f>
        <v>18537472.800000001</v>
      </c>
      <c r="AE22" s="288">
        <f ca="1">'[1]October - 2022'!AM22</f>
        <v>5018.1600000038743</v>
      </c>
      <c r="AF22" s="92">
        <f ca="1">'[1]October - 2022'!AM22</f>
        <v>5018.1600000038743</v>
      </c>
      <c r="AG22" s="287">
        <f ca="1">'[1]October - 2022'!AO22</f>
        <v>18813130.560000002</v>
      </c>
      <c r="AH22" s="288">
        <f ca="1">'[1]October - 2022'!AP22</f>
        <v>0</v>
      </c>
      <c r="AI22" s="92">
        <f ca="1">'[1]October - 2022'!AP22</f>
        <v>0</v>
      </c>
      <c r="AJ22" s="287">
        <f ca="1">'[1]October - 2022'!AR22</f>
        <v>17240595.119999997</v>
      </c>
      <c r="AK22" s="288">
        <f ca="1">'[1]October - 2022'!AS22</f>
        <v>5846.3999999985099</v>
      </c>
      <c r="AL22" s="92">
        <f ca="1">'[1]October - 2022'!AS22</f>
        <v>5846.3999999985099</v>
      </c>
      <c r="AM22" s="287">
        <f ca="1">'[1]October - 2022'!AU22</f>
        <v>14532542.640000001</v>
      </c>
      <c r="AN22" s="288">
        <f ca="1">'[1]October - 2022'!AV22</f>
        <v>4433.5200000014156</v>
      </c>
      <c r="AO22" s="283">
        <f ca="1">'[1]October - 2022'!AV22</f>
        <v>4433.5200000014156</v>
      </c>
      <c r="AP22" s="287">
        <f ca="1">'[1]October - 2022'!AX22</f>
        <v>14045732.4</v>
      </c>
      <c r="AQ22" s="288">
        <f ca="1">'[1]October - 2022'!AY22</f>
        <v>4677.1199999991804</v>
      </c>
      <c r="AR22" s="92">
        <f ca="1">'[1]October - 2022'!AY22</f>
        <v>4677.1199999991804</v>
      </c>
      <c r="AS22" s="287">
        <f ca="1">'[1]October - 2022'!BA22</f>
        <v>11008673.76</v>
      </c>
      <c r="AT22" s="289">
        <f ca="1">'[1]October - 2022'!BB22</f>
        <v>4384.8000000007451</v>
      </c>
      <c r="AU22" s="92">
        <f ca="1">'[1]October - 2022'!BB22</f>
        <v>4384.8000000007451</v>
      </c>
      <c r="AV22" s="287">
        <f ca="1">'[1]October - 2022'!BD22</f>
        <v>17372285.280000001</v>
      </c>
      <c r="AW22" s="252">
        <f ca="1">'[1]October - 2022'!BE22</f>
        <v>5846.4000000022352</v>
      </c>
      <c r="AX22" s="253">
        <f ca="1">'[1]October - 2022'!BE22</f>
        <v>5846.4000000022352</v>
      </c>
      <c r="AY22" s="494"/>
      <c r="AZ22" s="272">
        <f ca="1">'[1]October - 2022'!BK22</f>
        <v>76676900</v>
      </c>
      <c r="BA22" s="179">
        <f ca="1">'[1]October - 2022'!BL22</f>
        <v>61500</v>
      </c>
      <c r="BB22" s="93">
        <f ca="1">'[1]October - 2022'!BL22</f>
        <v>61500</v>
      </c>
      <c r="BC22" s="272">
        <f ca="1">'[1]October - 2022'!BN22</f>
        <v>79112900</v>
      </c>
      <c r="BD22" s="245">
        <f ca="1">'[1]October - 2022'!BO22</f>
        <v>26300</v>
      </c>
      <c r="BE22" s="93">
        <f ca="1">'[1]October - 2022'!BO22</f>
        <v>26300</v>
      </c>
      <c r="BF22" s="272">
        <f ca="1">'[1]October - 2022'!BQ22</f>
        <v>73064500</v>
      </c>
      <c r="BG22" s="245">
        <f ca="1">'[1]October - 2022'!BR22</f>
        <v>0</v>
      </c>
      <c r="BH22" s="93">
        <f ca="1"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 ca="1">'[1]October - 2022'!BT22</f>
        <v>9777630</v>
      </c>
      <c r="BT22" s="185">
        <f ca="1">'[1]October - 2022'!BU22</f>
        <v>8550</v>
      </c>
      <c r="BU22" s="590"/>
      <c r="BV22" s="88">
        <f ca="1">'[1]October - 2022'!BW22</f>
        <v>0.51</v>
      </c>
      <c r="BW22" s="241">
        <f ca="1">'[1]October - 2022'!BX22</f>
        <v>5.9999999999999942E-2</v>
      </c>
      <c r="BX22" s="88">
        <f ca="1">'[1]October - 2022'!BX22</f>
        <v>5.9999999999999942E-2</v>
      </c>
      <c r="BY22" s="89">
        <f ca="1">'[1]October - 2022'!BZ22</f>
        <v>63138</v>
      </c>
      <c r="BZ22" s="191">
        <f ca="1">'[1]October - 2022'!CA22</f>
        <v>19</v>
      </c>
      <c r="CA22" s="89">
        <f ca="1">'[1]October - 2022'!CB22</f>
        <v>54327</v>
      </c>
      <c r="CB22" s="191">
        <f ca="1">'[1]October - 2022'!CC22</f>
        <v>21</v>
      </c>
      <c r="CC22" s="89">
        <f ca="1">'[1]October - 2022'!CD22</f>
        <v>18383</v>
      </c>
      <c r="CD22" s="191">
        <f ca="1">'[1]October - 2022'!CE22</f>
        <v>6</v>
      </c>
      <c r="CE22" s="89">
        <f ca="1">'[1]October - 2022'!CF22</f>
        <v>24998</v>
      </c>
      <c r="CF22" s="191">
        <f ca="1">'[1]October - 2022'!CG22</f>
        <v>11</v>
      </c>
      <c r="CG22" s="89">
        <f ca="1">'[1]October - 2022'!CH22</f>
        <v>27667</v>
      </c>
      <c r="CH22" s="191">
        <f ca="1">'[1]October - 2022'!CI22</f>
        <v>13</v>
      </c>
      <c r="CI22" s="89">
        <f ca="1">'[1]October - 2022'!CJ22</f>
        <v>60520</v>
      </c>
      <c r="CJ22" s="191">
        <f ca="1">'[1]October - 2022'!CK22</f>
        <v>33</v>
      </c>
      <c r="CK22" s="89">
        <f ca="1">'[1]October - 2022'!CL22</f>
        <v>263857</v>
      </c>
      <c r="CL22" s="246">
        <f ca="1">'[1]October - 2022'!CM22</f>
        <v>63</v>
      </c>
      <c r="CM22" s="89">
        <f ca="1">'[1]October - 2022'!CM22</f>
        <v>63</v>
      </c>
      <c r="CN22" s="89">
        <f ca="1">'[1]October - 2022'!CO22</f>
        <v>209482</v>
      </c>
      <c r="CO22" s="246">
        <f ca="1">'[1]October - 2022'!CP22</f>
        <v>92</v>
      </c>
      <c r="CP22" s="89">
        <f ca="1">'[1]October - 2022'!CP22</f>
        <v>92</v>
      </c>
      <c r="CQ22" s="89">
        <f ca="1">'[1]October - 2022'!CR22</f>
        <v>349824</v>
      </c>
      <c r="CR22" s="246">
        <f ca="1">'[1]October - 2022'!CS22</f>
        <v>0</v>
      </c>
      <c r="CS22" s="89">
        <f ca="1">'[1]October - 2022'!CS22</f>
        <v>0</v>
      </c>
      <c r="CT22" s="89">
        <f ca="1">'[1]October - 2022'!CU22</f>
        <v>685042</v>
      </c>
      <c r="CU22" s="191">
        <f ca="1">'[1]October - 2022'!CV22</f>
        <v>164</v>
      </c>
      <c r="CV22" s="518"/>
      <c r="CW22" s="256">
        <f ca="1">'[1]October - 2022'!CX22</f>
        <v>8413</v>
      </c>
      <c r="CX22" s="198">
        <f ca="1">'[1]October - 2022'!CY22</f>
        <v>8</v>
      </c>
      <c r="CY22" s="257">
        <f ca="1">'[1]October - 2022'!CZ22</f>
        <v>5709</v>
      </c>
      <c r="CZ22" s="198">
        <f ca="1">'[1]October - 2022'!DA22</f>
        <v>8</v>
      </c>
      <c r="DA22" s="257">
        <f ca="1">'[1]October - 2022'!DB22</f>
        <v>31259</v>
      </c>
      <c r="DB22" s="198">
        <f ca="1">'[1]October - 2022'!DC22</f>
        <v>16</v>
      </c>
      <c r="DC22" s="257">
        <f ca="1">'[1]October - 2022'!DD22</f>
        <v>31539</v>
      </c>
      <c r="DD22" s="198">
        <f ca="1">'[1]October - 2022'!DE22</f>
        <v>11</v>
      </c>
      <c r="DE22" s="257">
        <f ca="1">'[1]October - 2022'!DF22</f>
        <v>21281</v>
      </c>
      <c r="DF22" s="198">
        <f ca="1">'[1]October - 2022'!DG22</f>
        <v>8</v>
      </c>
      <c r="DG22" s="257">
        <f ca="1">'[1]October - 2022'!DH22</f>
        <v>23675</v>
      </c>
      <c r="DH22" s="198">
        <f ca="1">'[1]October - 2022'!DI22</f>
        <v>7</v>
      </c>
      <c r="DI22" s="257">
        <f ca="1">'[1]October - 2022'!DJ22</f>
        <v>6540</v>
      </c>
      <c r="DJ22" s="198">
        <f ca="1">'[1]October - 2022'!DK22</f>
        <v>8</v>
      </c>
      <c r="DK22" s="257">
        <f ca="1">'[1]October - 2022'!DL22</f>
        <v>9305</v>
      </c>
      <c r="DL22" s="198">
        <f ca="1">'[1]October - 2022'!DM22</f>
        <v>8</v>
      </c>
      <c r="DM22" s="257">
        <f ca="1">'[1]October - 2022'!DN22</f>
        <v>3072</v>
      </c>
      <c r="DN22" s="198">
        <f ca="1">'[1]October - 2022'!DO22</f>
        <v>2</v>
      </c>
      <c r="DO22" s="257">
        <f ca="1">'[1]October - 2022'!DP22</f>
        <v>5915</v>
      </c>
      <c r="DP22" s="198">
        <f ca="1">'[1]October - 2022'!DQ22</f>
        <v>8</v>
      </c>
      <c r="DQ22" s="257">
        <f ca="1">'[1]October - 2022'!DR22</f>
        <v>29941</v>
      </c>
      <c r="DR22" s="206">
        <f ca="1">'[1]October - 2022'!DS22</f>
        <v>1</v>
      </c>
      <c r="DS22" s="534"/>
      <c r="DT22" s="210">
        <f ca="1">'[1]October - 2022'!DU22</f>
        <v>5682.9</v>
      </c>
      <c r="DU22" s="221">
        <f ca="1">'[1]October - 2022'!DV22</f>
        <v>11.199999999999818</v>
      </c>
      <c r="DV22" s="91">
        <f ca="1">'[1]October - 2022'!DW22</f>
        <v>10804.5</v>
      </c>
      <c r="DW22" s="215">
        <f ca="1">'[1]October - 2022'!DX22</f>
        <v>8.7000000000007276</v>
      </c>
      <c r="DX22" s="91">
        <f ca="1">'[1]October - 2022'!DY22</f>
        <v>4408.7</v>
      </c>
      <c r="DY22" s="215">
        <f ca="1">'[1]October - 2022'!DZ22</f>
        <v>6.8000000000001819</v>
      </c>
      <c r="DZ22" s="91">
        <f ca="1">'[1]October - 2022'!EA22</f>
        <v>4992.7</v>
      </c>
      <c r="EA22" s="215">
        <f ca="1">'[1]October - 2022'!EB22</f>
        <v>6.8999999999996362</v>
      </c>
      <c r="EB22" s="91">
        <f ca="1">'[1]October - 2022'!EC22</f>
        <v>1090407</v>
      </c>
      <c r="EC22" s="215">
        <f ca="1">'[1]October - 2022'!ED22</f>
        <v>661</v>
      </c>
      <c r="ED22" s="91">
        <f ca="1">'[1]October - 2022'!EG22</f>
        <v>223228.1</v>
      </c>
      <c r="EE22" s="229">
        <f ca="1">'[1]October - 2022'!EH22</f>
        <v>145.39999999999418</v>
      </c>
      <c r="EF22" s="581"/>
      <c r="EG22" s="235">
        <f ca="1">'[1]October - 2022'!EJ22</f>
        <v>11827800</v>
      </c>
      <c r="EH22" s="230">
        <f ca="1">'[1]October - 2022'!EK22</f>
        <v>6000</v>
      </c>
      <c r="EI22" s="90">
        <f ca="1">'[1]October - 2022'!EL22</f>
        <v>917530</v>
      </c>
      <c r="EJ22" s="230">
        <f ca="1">'[1]October - 2022'!EM22</f>
        <v>300</v>
      </c>
      <c r="EK22" s="90">
        <f ca="1">'[1]October - 2022'!EN22</f>
        <v>7085400</v>
      </c>
      <c r="EL22" s="230">
        <f ca="1">'[1]October - 2022'!EO22</f>
        <v>2600</v>
      </c>
      <c r="EM22" s="90">
        <f ca="1">'[1]October - 2022'!EP22</f>
        <v>2467800</v>
      </c>
      <c r="EN22" s="230">
        <f ca="1">'[1]October - 2022'!EQ22</f>
        <v>600</v>
      </c>
      <c r="EO22" s="90">
        <f ca="1">'[1]October - 2022'!ER22</f>
        <v>1233820</v>
      </c>
      <c r="EP22" s="230">
        <f ca="1">'[1]October - 2022'!ES22</f>
        <v>800</v>
      </c>
      <c r="EQ22" s="90">
        <f ca="1">'[1]October - 2022'!ET22</f>
        <v>16269000</v>
      </c>
      <c r="ER22" s="230">
        <f ca="1">'[1]October - 2022'!EU22</f>
        <v>6700</v>
      </c>
      <c r="ES22" s="556"/>
      <c r="ET22" s="281">
        <f ca="1">'[1]October - 2022'!EW22</f>
        <v>41210</v>
      </c>
      <c r="EU22" s="275">
        <f ca="1">'[1]October - 2022'!EX22</f>
        <v>15</v>
      </c>
      <c r="EV22" s="282">
        <f ca="1">'[1]October - 2022'!EY22</f>
        <v>36115</v>
      </c>
      <c r="EW22" s="275">
        <f ca="1">'[1]October - 2022'!EZ22</f>
        <v>13</v>
      </c>
      <c r="EX22" s="282">
        <f ca="1">'[1]October - 2022'!FA22</f>
        <v>6960</v>
      </c>
      <c r="EY22" s="275">
        <f ca="1">'[1]October - 2022'!FB22</f>
        <v>9</v>
      </c>
      <c r="EZ22" s="282">
        <f ca="1">'[1]October - 2022'!FC22</f>
        <v>58444</v>
      </c>
      <c r="FA22" s="275">
        <f ca="1">'[1]October - 2022'!FD22</f>
        <v>16</v>
      </c>
      <c r="FB22" s="282">
        <f ca="1">'[1]October - 2022'!FE22</f>
        <v>47560</v>
      </c>
      <c r="FC22" s="276">
        <f ca="1">'[1]October - 2022'!FF22</f>
        <v>36</v>
      </c>
    </row>
    <row r="23" spans="1:159" ht="30" customHeight="1" x14ac:dyDescent="0.25">
      <c r="A23" s="207">
        <v>43844</v>
      </c>
      <c r="B23" s="209">
        <f ca="1">'[1]October - 2022'!B23</f>
        <v>0.77</v>
      </c>
      <c r="C23" s="250">
        <f ca="1">'[1]October - 2022'!E23</f>
        <v>261170</v>
      </c>
      <c r="D23" s="170">
        <f ca="1">'[1]October - 2022'!F23</f>
        <v>934</v>
      </c>
      <c r="E23" s="168">
        <f ca="1">'[1]October - 2022'!G23</f>
        <v>657</v>
      </c>
      <c r="F23" s="168">
        <f ca="1">'[1]October - 2022'!H23</f>
        <v>216056</v>
      </c>
      <c r="G23" s="170">
        <f ca="1">'[1]October - 2022'!I23</f>
        <v>514</v>
      </c>
      <c r="H23" s="168">
        <f ca="1">'[1]October - 2022'!J23</f>
        <v>479</v>
      </c>
      <c r="I23" s="168">
        <f ca="1">'[1]October - 2022'!K23</f>
        <v>317</v>
      </c>
      <c r="J23" s="170">
        <f ca="1">'[1]October - 2022'!L23</f>
        <v>116</v>
      </c>
      <c r="K23" s="168">
        <f ca="1">'[1]October - 2022'!N23</f>
        <v>905374</v>
      </c>
      <c r="L23" s="170">
        <f ca="1">'[1]October - 2022'!O23</f>
        <v>320</v>
      </c>
      <c r="M23" s="168">
        <f ca="1">'[1]October - 2022'!Q23</f>
        <v>235513</v>
      </c>
      <c r="N23" s="170">
        <f ca="1">'[1]October - 2022'!R23</f>
        <v>192</v>
      </c>
      <c r="O23" s="168">
        <f ca="1">'[1]October - 2022'!S23</f>
        <v>107071</v>
      </c>
      <c r="P23" s="170">
        <f ca="1">'[1]October - 2022'!T23</f>
        <v>180</v>
      </c>
      <c r="Q23" s="168">
        <f ca="1">'[1]October - 2022'!U23</f>
        <v>211.02999999999884</v>
      </c>
      <c r="R23" s="168">
        <f ca="1">'[1]October - 2022'!V23</f>
        <v>5635</v>
      </c>
      <c r="S23" s="208">
        <f ca="1">'[1]October - 2022'!W23</f>
        <v>10</v>
      </c>
      <c r="T23" s="477"/>
      <c r="U23" s="169">
        <f ca="1">'[1]October - 2022'!AC23</f>
        <v>8007229.4400000004</v>
      </c>
      <c r="V23" s="288">
        <f ca="1">'[1]October - 2022'!AD23</f>
        <v>3020.640000000596</v>
      </c>
      <c r="W23" s="92">
        <f ca="1">'[1]October - 2022'!AD23</f>
        <v>3020.640000000596</v>
      </c>
      <c r="X23" s="287">
        <f ca="1">'[1]October - 2022'!AF23</f>
        <v>15220322.880000001</v>
      </c>
      <c r="Y23" s="288">
        <f ca="1">'[1]October - 2022'!AG23</f>
        <v>4677.1200000010431</v>
      </c>
      <c r="Z23" s="92">
        <f ca="1">'[1]October - 2022'!AG23</f>
        <v>4677.1200000010431</v>
      </c>
      <c r="AA23" s="287">
        <f ca="1">'[1]October - 2022'!AI23</f>
        <v>15521412.48</v>
      </c>
      <c r="AB23" s="288">
        <f ca="1">'[1]October - 2022'!AJ23</f>
        <v>12813.360000001267</v>
      </c>
      <c r="AC23" s="92">
        <f ca="1">'[1]October - 2022'!AJ23</f>
        <v>12813.360000001267</v>
      </c>
      <c r="AD23" s="287">
        <f ca="1">'[1]October - 2022'!AL23</f>
        <v>18542637.119999997</v>
      </c>
      <c r="AE23" s="288">
        <f ca="1">'[1]October - 2022'!AM23</f>
        <v>5164.3199999965727</v>
      </c>
      <c r="AF23" s="92">
        <f ca="1">'[1]October - 2022'!AM23</f>
        <v>5164.3199999965727</v>
      </c>
      <c r="AG23" s="287">
        <f ca="1">'[1]October - 2022'!AO23</f>
        <v>18813130.560000002</v>
      </c>
      <c r="AH23" s="288">
        <f ca="1">'[1]October - 2022'!AP23</f>
        <v>0</v>
      </c>
      <c r="AI23" s="92">
        <f ca="1">'[1]October - 2022'!AP23</f>
        <v>0</v>
      </c>
      <c r="AJ23" s="287">
        <f ca="1">'[1]October - 2022'!AR23</f>
        <v>17246538.960000001</v>
      </c>
      <c r="AK23" s="288">
        <f ca="1">'[1]October - 2022'!AS23</f>
        <v>5943.8400000035763</v>
      </c>
      <c r="AL23" s="92">
        <f ca="1">'[1]October - 2022'!AS23</f>
        <v>5943.8400000035763</v>
      </c>
      <c r="AM23" s="287">
        <f ca="1">'[1]October - 2022'!AU23</f>
        <v>14537122.319999998</v>
      </c>
      <c r="AN23" s="288">
        <f ca="1">'[1]October - 2022'!AV23</f>
        <v>4579.6799999978393</v>
      </c>
      <c r="AO23" s="92">
        <f ca="1">'[1]October - 2022'!AV23</f>
        <v>4579.6799999978393</v>
      </c>
      <c r="AP23" s="287">
        <f ca="1">'[1]October - 2022'!AX23</f>
        <v>14050604.4</v>
      </c>
      <c r="AQ23" s="288">
        <f ca="1">'[1]October - 2022'!AY23</f>
        <v>4872</v>
      </c>
      <c r="AR23" s="92">
        <f ca="1">'[1]October - 2022'!AY23</f>
        <v>4872</v>
      </c>
      <c r="AS23" s="287">
        <f ca="1">'[1]October - 2022'!BA23</f>
        <v>11010281.52</v>
      </c>
      <c r="AT23" s="288">
        <f ca="1">'[1]October - 2022'!BB23</f>
        <v>1607.7599999997765</v>
      </c>
      <c r="AU23" s="92">
        <f ca="1">'[1]October - 2022'!BB23</f>
        <v>1607.7599999997765</v>
      </c>
      <c r="AV23" s="287">
        <f ca="1">'[1]October - 2022'!BD23</f>
        <v>17378472.719999999</v>
      </c>
      <c r="AW23" s="252">
        <f ca="1">'[1]October - 2022'!BE23</f>
        <v>6187.4399999976158</v>
      </c>
      <c r="AX23" s="253">
        <f ca="1">'[1]October - 2022'!BE23</f>
        <v>6187.4399999976158</v>
      </c>
      <c r="AY23" s="494"/>
      <c r="AZ23" s="272">
        <f ca="1">'[1]October - 2022'!BK23</f>
        <v>76737800</v>
      </c>
      <c r="BA23" s="179">
        <f ca="1">'[1]October - 2022'!BL23</f>
        <v>60900</v>
      </c>
      <c r="BB23" s="93">
        <f ca="1">'[1]October - 2022'!BL23</f>
        <v>60900</v>
      </c>
      <c r="BC23" s="272">
        <f ca="1">'[1]October - 2022'!BN23</f>
        <v>79139500</v>
      </c>
      <c r="BD23" s="245">
        <f ca="1">'[1]October - 2022'!BO23</f>
        <v>26600</v>
      </c>
      <c r="BE23" s="93">
        <f ca="1">'[1]October - 2022'!BO23</f>
        <v>26600</v>
      </c>
      <c r="BF23" s="272">
        <f ca="1">'[1]October - 2022'!BQ23</f>
        <v>73064500</v>
      </c>
      <c r="BG23" s="245">
        <f ca="1">'[1]October - 2022'!BR23</f>
        <v>0</v>
      </c>
      <c r="BH23" s="93">
        <f ca="1"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 ca="1">'[1]October - 2022'!BT23</f>
        <v>9786550</v>
      </c>
      <c r="BT23" s="185">
        <f ca="1">'[1]October - 2022'!BU23</f>
        <v>8920</v>
      </c>
      <c r="BU23" s="590"/>
      <c r="BV23" s="88">
        <f ca="1">'[1]October - 2022'!BW23</f>
        <v>0.48</v>
      </c>
      <c r="BW23" s="241">
        <f ca="1">'[1]October - 2022'!BX23</f>
        <v>3.0000000000000027E-2</v>
      </c>
      <c r="BX23" s="88">
        <f ca="1">'[1]October - 2022'!BX23</f>
        <v>3.0000000000000027E-2</v>
      </c>
      <c r="BY23" s="89">
        <f ca="1">'[1]October - 2022'!BZ23</f>
        <v>63158</v>
      </c>
      <c r="BZ23" s="191">
        <f ca="1">'[1]October - 2022'!CA23</f>
        <v>20</v>
      </c>
      <c r="CA23" s="89">
        <f ca="1">'[1]October - 2022'!CB23</f>
        <v>54345</v>
      </c>
      <c r="CB23" s="191">
        <f ca="1">'[1]October - 2022'!CC23</f>
        <v>18</v>
      </c>
      <c r="CC23" s="89">
        <f ca="1">'[1]October - 2022'!CD23</f>
        <v>18390</v>
      </c>
      <c r="CD23" s="191">
        <f ca="1">'[1]October - 2022'!CE23</f>
        <v>7</v>
      </c>
      <c r="CE23" s="89">
        <f ca="1">'[1]October - 2022'!CF23</f>
        <v>25009</v>
      </c>
      <c r="CF23" s="191">
        <f ca="1">'[1]October - 2022'!CG23</f>
        <v>11</v>
      </c>
      <c r="CG23" s="89">
        <f ca="1">'[1]October - 2022'!CH23</f>
        <v>27683</v>
      </c>
      <c r="CH23" s="191">
        <f ca="1">'[1]October - 2022'!CI23</f>
        <v>16</v>
      </c>
      <c r="CI23" s="89">
        <f ca="1">'[1]October - 2022'!CJ23</f>
        <v>60551</v>
      </c>
      <c r="CJ23" s="191">
        <f ca="1">'[1]October - 2022'!CK23</f>
        <v>31</v>
      </c>
      <c r="CK23" s="89">
        <f ca="1">'[1]October - 2022'!CL23</f>
        <v>263932</v>
      </c>
      <c r="CL23" s="246">
        <f ca="1">'[1]October - 2022'!CM23</f>
        <v>75</v>
      </c>
      <c r="CM23" s="89">
        <f ca="1">'[1]October - 2022'!CM23</f>
        <v>75</v>
      </c>
      <c r="CN23" s="89">
        <f ca="1">'[1]October - 2022'!CO23</f>
        <v>209580</v>
      </c>
      <c r="CO23" s="246">
        <f ca="1">'[1]October - 2022'!CP23</f>
        <v>98</v>
      </c>
      <c r="CP23" s="89">
        <f ca="1">'[1]October - 2022'!CP23</f>
        <v>98</v>
      </c>
      <c r="CQ23" s="89">
        <f ca="1">'[1]October - 2022'!CR23</f>
        <v>349824</v>
      </c>
      <c r="CR23" s="246">
        <f ca="1">'[1]October - 2022'!CS23</f>
        <v>0</v>
      </c>
      <c r="CS23" s="89">
        <f ca="1">'[1]October - 2022'!CS23</f>
        <v>0</v>
      </c>
      <c r="CT23" s="89">
        <f ca="1">'[1]October - 2022'!CU23</f>
        <v>685213</v>
      </c>
      <c r="CU23" s="191">
        <f ca="1">'[1]October - 2022'!CV23</f>
        <v>171</v>
      </c>
      <c r="CV23" s="518"/>
      <c r="CW23" s="256">
        <f ca="1">'[1]October - 2022'!CX23</f>
        <v>8423</v>
      </c>
      <c r="CX23" s="198">
        <f ca="1">'[1]October - 2022'!CY23</f>
        <v>10</v>
      </c>
      <c r="CY23" s="257">
        <f ca="1">'[1]October - 2022'!CZ23</f>
        <v>5716</v>
      </c>
      <c r="CZ23" s="198">
        <f ca="1">'[1]October - 2022'!DA23</f>
        <v>7</v>
      </c>
      <c r="DA23" s="257">
        <f ca="1">'[1]October - 2022'!DB23</f>
        <v>31274</v>
      </c>
      <c r="DB23" s="198">
        <f ca="1">'[1]October - 2022'!DC23</f>
        <v>15</v>
      </c>
      <c r="DC23" s="257">
        <f ca="1">'[1]October - 2022'!DD23</f>
        <v>31553</v>
      </c>
      <c r="DD23" s="198">
        <f ca="1">'[1]October - 2022'!DE23</f>
        <v>14</v>
      </c>
      <c r="DE23" s="257">
        <f ca="1">'[1]October - 2022'!DF23</f>
        <v>21291</v>
      </c>
      <c r="DF23" s="198">
        <f ca="1">'[1]October - 2022'!DG23</f>
        <v>10</v>
      </c>
      <c r="DG23" s="257">
        <f ca="1">'[1]October - 2022'!DH23</f>
        <v>23681</v>
      </c>
      <c r="DH23" s="198">
        <f ca="1">'[1]October - 2022'!DI23</f>
        <v>6</v>
      </c>
      <c r="DI23" s="257">
        <f ca="1">'[1]October - 2022'!DJ23</f>
        <v>6551</v>
      </c>
      <c r="DJ23" s="198">
        <f ca="1">'[1]October - 2022'!DK23</f>
        <v>11</v>
      </c>
      <c r="DK23" s="257">
        <f ca="1">'[1]October - 2022'!DL23</f>
        <v>9315</v>
      </c>
      <c r="DL23" s="198">
        <f ca="1">'[1]October - 2022'!DM23</f>
        <v>10</v>
      </c>
      <c r="DM23" s="257">
        <f ca="1">'[1]October - 2022'!DN23</f>
        <v>3076</v>
      </c>
      <c r="DN23" s="198">
        <f ca="1">'[1]October - 2022'!DO23</f>
        <v>4</v>
      </c>
      <c r="DO23" s="257">
        <f ca="1">'[1]October - 2022'!DP23</f>
        <v>5925</v>
      </c>
      <c r="DP23" s="198">
        <f ca="1">'[1]October - 2022'!DQ23</f>
        <v>10</v>
      </c>
      <c r="DQ23" s="257">
        <f ca="1">'[1]October - 2022'!DR23</f>
        <v>29950</v>
      </c>
      <c r="DR23" s="206">
        <f ca="1">'[1]October - 2022'!DS23</f>
        <v>9</v>
      </c>
      <c r="DS23" s="534"/>
      <c r="DT23" s="210">
        <f ca="1">'[1]October - 2022'!DU23</f>
        <v>5694.4</v>
      </c>
      <c r="DU23" s="221">
        <f ca="1">'[1]October - 2022'!DV23</f>
        <v>11.5</v>
      </c>
      <c r="DV23" s="91">
        <f ca="1">'[1]October - 2022'!DW23</f>
        <v>10813.8</v>
      </c>
      <c r="DW23" s="215">
        <f ca="1">'[1]October - 2022'!DX23</f>
        <v>9.2999999999992724</v>
      </c>
      <c r="DX23" s="91">
        <f ca="1">'[1]October - 2022'!DY23</f>
        <v>4415.5</v>
      </c>
      <c r="DY23" s="215">
        <f ca="1">'[1]October - 2022'!DZ23</f>
        <v>6.8000000000001819</v>
      </c>
      <c r="DZ23" s="91">
        <f ca="1">'[1]October - 2022'!EA23</f>
        <v>5001.2</v>
      </c>
      <c r="EA23" s="215">
        <f ca="1">'[1]October - 2022'!EB23</f>
        <v>8.5</v>
      </c>
      <c r="EB23" s="91">
        <f ca="1">'[1]October - 2022'!EC23</f>
        <v>1091103</v>
      </c>
      <c r="EC23" s="215">
        <f ca="1">'[1]October - 2022'!ED23</f>
        <v>696</v>
      </c>
      <c r="ED23" s="91">
        <f ca="1">'[1]October - 2022'!EG23</f>
        <v>223382</v>
      </c>
      <c r="EE23" s="229">
        <f ca="1">'[1]October - 2022'!EH23</f>
        <v>153.89999999999418</v>
      </c>
      <c r="EF23" s="581"/>
      <c r="EG23" s="235">
        <f ca="1">'[1]October - 2022'!EJ23</f>
        <v>11833800</v>
      </c>
      <c r="EH23" s="230">
        <f ca="1">'[1]October - 2022'!EK23</f>
        <v>6000</v>
      </c>
      <c r="EI23" s="90">
        <f ca="1">'[1]October - 2022'!EL23</f>
        <v>917820</v>
      </c>
      <c r="EJ23" s="230">
        <f ca="1">'[1]October - 2022'!EM23</f>
        <v>290</v>
      </c>
      <c r="EK23" s="90">
        <f ca="1">'[1]October - 2022'!EN23</f>
        <v>7087900</v>
      </c>
      <c r="EL23" s="230">
        <f ca="1">'[1]October - 2022'!EO23</f>
        <v>2500</v>
      </c>
      <c r="EM23" s="90">
        <f ca="1">'[1]October - 2022'!EP23</f>
        <v>2468400</v>
      </c>
      <c r="EN23" s="230">
        <f ca="1">'[1]October - 2022'!EQ23</f>
        <v>600</v>
      </c>
      <c r="EO23" s="90">
        <f ca="1">'[1]October - 2022'!ER23</f>
        <v>1234630</v>
      </c>
      <c r="EP23" s="230">
        <f ca="1">'[1]October - 2022'!ES23</f>
        <v>810</v>
      </c>
      <c r="EQ23" s="90">
        <f ca="1">'[1]October - 2022'!ET23</f>
        <v>16276100</v>
      </c>
      <c r="ER23" s="230">
        <f ca="1">'[1]October - 2022'!EU23</f>
        <v>7100</v>
      </c>
      <c r="ES23" s="556"/>
      <c r="ET23" s="281">
        <f ca="1">'[1]October - 2022'!EW23</f>
        <v>41225</v>
      </c>
      <c r="EU23" s="275">
        <f ca="1">'[1]October - 2022'!EX23</f>
        <v>15</v>
      </c>
      <c r="EV23" s="282">
        <f ca="1">'[1]October - 2022'!EY23</f>
        <v>36128</v>
      </c>
      <c r="EW23" s="275">
        <f ca="1">'[1]October - 2022'!EZ23</f>
        <v>13</v>
      </c>
      <c r="EX23" s="282">
        <f ca="1">'[1]October - 2022'!FA23</f>
        <v>6972</v>
      </c>
      <c r="EY23" s="275">
        <f ca="1">'[1]October - 2022'!FB23</f>
        <v>12</v>
      </c>
      <c r="EZ23" s="282">
        <f ca="1">'[1]October - 2022'!FC23</f>
        <v>58460</v>
      </c>
      <c r="FA23" s="275">
        <f ca="1">'[1]October - 2022'!FD23</f>
        <v>16</v>
      </c>
      <c r="FB23" s="282">
        <f ca="1">'[1]October - 2022'!FE23</f>
        <v>47599</v>
      </c>
      <c r="FC23" s="276">
        <f ca="1">'[1]October - 2022'!FF23</f>
        <v>39</v>
      </c>
    </row>
    <row r="24" spans="1:159" ht="30" customHeight="1" x14ac:dyDescent="0.25">
      <c r="A24" s="207">
        <v>43845</v>
      </c>
      <c r="B24" s="209">
        <f ca="1">'[1]October - 2022'!B24</f>
        <v>0.78</v>
      </c>
      <c r="C24" s="250">
        <f ca="1">'[1]October - 2022'!E24</f>
        <v>262181</v>
      </c>
      <c r="D24" s="170">
        <f ca="1">'[1]October - 2022'!F24</f>
        <v>1011</v>
      </c>
      <c r="E24" s="168">
        <f ca="1">'[1]October - 2022'!G24</f>
        <v>804</v>
      </c>
      <c r="F24" s="168">
        <f ca="1">'[1]October - 2022'!H24</f>
        <v>216590</v>
      </c>
      <c r="G24" s="170">
        <f ca="1">'[1]October - 2022'!I24</f>
        <v>534</v>
      </c>
      <c r="H24" s="168">
        <f ca="1">'[1]October - 2022'!J24</f>
        <v>325</v>
      </c>
      <c r="I24" s="168">
        <f ca="1">'[1]October - 2022'!K24</f>
        <v>460</v>
      </c>
      <c r="J24" s="170">
        <f ca="1">'[1]October - 2022'!L24</f>
        <v>143</v>
      </c>
      <c r="K24" s="168">
        <f ca="1">'[1]October - 2022'!N24</f>
        <v>905708</v>
      </c>
      <c r="L24" s="170">
        <f ca="1">'[1]October - 2022'!O24</f>
        <v>334</v>
      </c>
      <c r="M24" s="168">
        <f ca="1">'[1]October - 2022'!Q24</f>
        <v>235710</v>
      </c>
      <c r="N24" s="170">
        <f ca="1">'[1]October - 2022'!R24</f>
        <v>197</v>
      </c>
      <c r="O24" s="168">
        <f ca="1">'[1]October - 2022'!S24</f>
        <v>107263</v>
      </c>
      <c r="P24" s="170">
        <f ca="1">'[1]October - 2022'!T24</f>
        <v>192</v>
      </c>
      <c r="Q24" s="168">
        <f ca="1">'[1]October - 2022'!U24</f>
        <v>212.62000000000262</v>
      </c>
      <c r="R24" s="168">
        <f ca="1">'[1]October - 2022'!V24</f>
        <v>5648</v>
      </c>
      <c r="S24" s="208">
        <f ca="1">'[1]October - 2022'!W24</f>
        <v>13</v>
      </c>
      <c r="T24" s="477"/>
      <c r="U24" s="169">
        <f ca="1">'[1]October - 2022'!AC24</f>
        <v>8010542.3999999994</v>
      </c>
      <c r="V24" s="288">
        <f ca="1">'[1]October - 2022'!AD24</f>
        <v>3312.9599999990314</v>
      </c>
      <c r="W24" s="92">
        <f ca="1">'[1]October - 2022'!AD24</f>
        <v>3312.9599999990314</v>
      </c>
      <c r="X24" s="287">
        <f ca="1">'[1]October - 2022'!AF24</f>
        <v>15225000</v>
      </c>
      <c r="Y24" s="288">
        <f ca="1">'[1]October - 2022'!AG24</f>
        <v>4677.1199999991804</v>
      </c>
      <c r="Z24" s="92">
        <f ca="1">'[1]October - 2022'!AG24</f>
        <v>4677.1199999991804</v>
      </c>
      <c r="AA24" s="287">
        <f ca="1">'[1]October - 2022'!AI24</f>
        <v>15526040.880000001</v>
      </c>
      <c r="AB24" s="288">
        <f ca="1">'[1]October - 2022'!AJ24</f>
        <v>4628.4000000003725</v>
      </c>
      <c r="AC24" s="92">
        <f ca="1">'[1]October - 2022'!AJ24</f>
        <v>4628.4000000003725</v>
      </c>
      <c r="AD24" s="287">
        <f ca="1">'[1]October - 2022'!AL24</f>
        <v>18543952.560000002</v>
      </c>
      <c r="AE24" s="288">
        <f ca="1">'[1]October - 2022'!AM24</f>
        <v>1315.4400000050664</v>
      </c>
      <c r="AF24" s="92">
        <f ca="1">'[1]October - 2022'!AM24</f>
        <v>1315.4400000050664</v>
      </c>
      <c r="AG24" s="287">
        <f ca="1">'[1]October - 2022'!AO24</f>
        <v>18825895.199999999</v>
      </c>
      <c r="AH24" s="288">
        <f ca="1">'[1]October - 2022'!AP24</f>
        <v>12764.639999996871</v>
      </c>
      <c r="AI24" s="92">
        <f ca="1">'[1]October - 2022'!AP24</f>
        <v>12764.639999996871</v>
      </c>
      <c r="AJ24" s="287">
        <f ca="1">'[1]October - 2022'!AR24</f>
        <v>17252482.800000001</v>
      </c>
      <c r="AK24" s="288">
        <f ca="1">'[1]October - 2022'!AS24</f>
        <v>5943.839999999851</v>
      </c>
      <c r="AL24" s="92">
        <f ca="1">'[1]October - 2022'!AS24</f>
        <v>5943.839999999851</v>
      </c>
      <c r="AM24" s="287">
        <f ca="1">'[1]October - 2022'!AU24</f>
        <v>14541896.880000001</v>
      </c>
      <c r="AN24" s="288">
        <f ca="1">'[1]October - 2022'!AV24</f>
        <v>4774.5600000023842</v>
      </c>
      <c r="AO24" s="92">
        <f ca="1">'[1]October - 2022'!AV24</f>
        <v>4774.5600000023842</v>
      </c>
      <c r="AP24" s="287">
        <f ca="1">'[1]October - 2022'!AX24</f>
        <v>14055573.84</v>
      </c>
      <c r="AQ24" s="288">
        <f ca="1">'[1]October - 2022'!AY24</f>
        <v>4969.4399999994785</v>
      </c>
      <c r="AR24" s="92">
        <f ca="1">'[1]October - 2022'!AY24</f>
        <v>4969.4399999994785</v>
      </c>
      <c r="AS24" s="287">
        <f ca="1">'[1]October - 2022'!BA24</f>
        <v>11013497.040000001</v>
      </c>
      <c r="AT24" s="288">
        <f ca="1">'[1]October - 2022'!BB24</f>
        <v>3215.5200000014156</v>
      </c>
      <c r="AU24" s="92">
        <f ca="1">'[1]October - 2022'!BB24</f>
        <v>3215.5200000014156</v>
      </c>
      <c r="AV24" s="287">
        <f ca="1">'[1]October - 2022'!BD24</f>
        <v>17384708.879999999</v>
      </c>
      <c r="AW24" s="252">
        <f ca="1">'[1]October - 2022'!BE24</f>
        <v>6236.160000000149</v>
      </c>
      <c r="AX24" s="253">
        <f ca="1">'[1]October - 2022'!BE24</f>
        <v>6236.160000000149</v>
      </c>
      <c r="AY24" s="494"/>
      <c r="AZ24" s="272">
        <f ca="1">'[1]October - 2022'!BK24</f>
        <v>76764200</v>
      </c>
      <c r="BA24" s="179">
        <f ca="1">'[1]October - 2022'!BL24</f>
        <v>26400</v>
      </c>
      <c r="BB24" s="93">
        <f ca="1">'[1]October - 2022'!BL24</f>
        <v>26400</v>
      </c>
      <c r="BC24" s="272">
        <f ca="1">'[1]October - 2022'!BN24</f>
        <v>79139500</v>
      </c>
      <c r="BD24" s="245">
        <f ca="1">'[1]October - 2022'!BO24</f>
        <v>0</v>
      </c>
      <c r="BE24" s="93">
        <f ca="1">'[1]October - 2022'!BO24</f>
        <v>0</v>
      </c>
      <c r="BF24" s="272">
        <f ca="1">'[1]October - 2022'!BQ24</f>
        <v>73129500</v>
      </c>
      <c r="BG24" s="245">
        <f ca="1">'[1]October - 2022'!BR24</f>
        <v>65000</v>
      </c>
      <c r="BH24" s="93">
        <f ca="1">'[1]October - 2022'!BR24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 ca="1">'[1]October - 2022'!BT24</f>
        <v>9795710</v>
      </c>
      <c r="BT24" s="185">
        <f ca="1">'[1]October - 2022'!BU24</f>
        <v>9160</v>
      </c>
      <c r="BU24" s="590"/>
      <c r="BV24" s="88">
        <f ca="1">'[1]October - 2022'!BW24</f>
        <v>0.65</v>
      </c>
      <c r="BW24" s="241">
        <f ca="1">'[1]October - 2022'!BX24</f>
        <v>-0.17000000000000004</v>
      </c>
      <c r="BX24" s="88">
        <f ca="1">'[1]October - 2022'!BX24</f>
        <v>-0.17000000000000004</v>
      </c>
      <c r="BY24" s="89">
        <f ca="1">'[1]October - 2022'!BZ24</f>
        <v>63177</v>
      </c>
      <c r="BZ24" s="191">
        <f ca="1">'[1]October - 2022'!CA24</f>
        <v>19</v>
      </c>
      <c r="CA24" s="89">
        <f ca="1">'[1]October - 2022'!CB24</f>
        <v>54366</v>
      </c>
      <c r="CB24" s="191">
        <f ca="1">'[1]October - 2022'!CC24</f>
        <v>21</v>
      </c>
      <c r="CC24" s="89">
        <f ca="1">'[1]October - 2022'!CD24</f>
        <v>18397</v>
      </c>
      <c r="CD24" s="191">
        <f ca="1">'[1]October - 2022'!CE24</f>
        <v>7</v>
      </c>
      <c r="CE24" s="89">
        <f ca="1">'[1]October - 2022'!CF24</f>
        <v>25020</v>
      </c>
      <c r="CF24" s="191">
        <f ca="1">'[1]October - 2022'!CG24</f>
        <v>11</v>
      </c>
      <c r="CG24" s="89">
        <f ca="1">'[1]October - 2022'!CH24</f>
        <v>27697</v>
      </c>
      <c r="CH24" s="191">
        <f ca="1">'[1]October - 2022'!CI24</f>
        <v>14</v>
      </c>
      <c r="CI24" s="89">
        <f ca="1">'[1]October - 2022'!CJ24</f>
        <v>60585</v>
      </c>
      <c r="CJ24" s="191">
        <f ca="1">'[1]October - 2022'!CK24</f>
        <v>34</v>
      </c>
      <c r="CK24" s="89">
        <f ca="1">'[1]October - 2022'!CL24</f>
        <v>264006</v>
      </c>
      <c r="CL24" s="246">
        <f ca="1">'[1]October - 2022'!CM24</f>
        <v>74</v>
      </c>
      <c r="CM24" s="89">
        <f ca="1">'[1]October - 2022'!CM24</f>
        <v>74</v>
      </c>
      <c r="CN24" s="89">
        <f ca="1">'[1]October - 2022'!CO24</f>
        <v>209678</v>
      </c>
      <c r="CO24" s="246">
        <f ca="1">'[1]October - 2022'!CP24</f>
        <v>98</v>
      </c>
      <c r="CP24" s="89">
        <f ca="1">'[1]October - 2022'!CP24</f>
        <v>98</v>
      </c>
      <c r="CQ24" s="89">
        <f ca="1">'[1]October - 2022'!CR24</f>
        <v>349824</v>
      </c>
      <c r="CR24" s="246">
        <f ca="1">'[1]October - 2022'!CS24</f>
        <v>0</v>
      </c>
      <c r="CS24" s="89">
        <f ca="1">'[1]October - 2022'!CS24</f>
        <v>0</v>
      </c>
      <c r="CT24" s="89">
        <f ca="1">'[1]October - 2022'!CU24</f>
        <v>685382</v>
      </c>
      <c r="CU24" s="191">
        <f ca="1">'[1]October - 2022'!CV24</f>
        <v>169</v>
      </c>
      <c r="CV24" s="518"/>
      <c r="CW24" s="256">
        <f ca="1">'[1]October - 2022'!CX24</f>
        <v>8432</v>
      </c>
      <c r="CX24" s="198">
        <f ca="1">'[1]October - 2022'!CY24</f>
        <v>9</v>
      </c>
      <c r="CY24" s="257">
        <f ca="1">'[1]October - 2022'!CZ24</f>
        <v>5721</v>
      </c>
      <c r="CZ24" s="198">
        <f ca="1">'[1]October - 2022'!DA24</f>
        <v>5</v>
      </c>
      <c r="DA24" s="257">
        <f ca="1">'[1]October - 2022'!DB24</f>
        <v>31289</v>
      </c>
      <c r="DB24" s="198">
        <f ca="1">'[1]October - 2022'!DC24</f>
        <v>15</v>
      </c>
      <c r="DC24" s="257">
        <f ca="1">'[1]October - 2022'!DD24</f>
        <v>31566</v>
      </c>
      <c r="DD24" s="198">
        <f ca="1">'[1]October - 2022'!DE24</f>
        <v>13</v>
      </c>
      <c r="DE24" s="257">
        <f ca="1">'[1]October - 2022'!DF24</f>
        <v>21301</v>
      </c>
      <c r="DF24" s="198">
        <f ca="1">'[1]October - 2022'!DG24</f>
        <v>10</v>
      </c>
      <c r="DG24" s="257">
        <f ca="1">'[1]October - 2022'!DH24</f>
        <v>23687</v>
      </c>
      <c r="DH24" s="198">
        <f ca="1">'[1]October - 2022'!DI24</f>
        <v>6</v>
      </c>
      <c r="DI24" s="257">
        <f ca="1">'[1]October - 2022'!DJ24</f>
        <v>6561</v>
      </c>
      <c r="DJ24" s="198">
        <f ca="1">'[1]October - 2022'!DK24</f>
        <v>10</v>
      </c>
      <c r="DK24" s="257">
        <f ca="1">'[1]October - 2022'!DL24</f>
        <v>9325</v>
      </c>
      <c r="DL24" s="198">
        <f ca="1">'[1]October - 2022'!DM24</f>
        <v>10</v>
      </c>
      <c r="DM24" s="257">
        <f ca="1">'[1]October - 2022'!DN24</f>
        <v>3080</v>
      </c>
      <c r="DN24" s="198">
        <f ca="1">'[1]October - 2022'!DO24</f>
        <v>4</v>
      </c>
      <c r="DO24" s="257">
        <f ca="1">'[1]October - 2022'!DP24</f>
        <v>5935</v>
      </c>
      <c r="DP24" s="198">
        <f ca="1">'[1]October - 2022'!DQ24</f>
        <v>10</v>
      </c>
      <c r="DQ24" s="257">
        <f ca="1">'[1]October - 2022'!DR24</f>
        <v>29950</v>
      </c>
      <c r="DR24" s="206">
        <f ca="1">'[1]October - 2022'!DS24</f>
        <v>0</v>
      </c>
      <c r="DS24" s="534"/>
      <c r="DT24" s="210">
        <f ca="1">'[1]October - 2022'!DU24</f>
        <v>5707.4</v>
      </c>
      <c r="DU24" s="221">
        <f ca="1">'[1]October - 2022'!DV24</f>
        <v>13</v>
      </c>
      <c r="DV24" s="91">
        <f ca="1">'[1]October - 2022'!DW24</f>
        <v>10822.8</v>
      </c>
      <c r="DW24" s="215">
        <f ca="1">'[1]October - 2022'!DX24</f>
        <v>9</v>
      </c>
      <c r="DX24" s="91">
        <f ca="1">'[1]October - 2022'!DY24</f>
        <v>4422.8999999999996</v>
      </c>
      <c r="DY24" s="215">
        <f ca="1">'[1]October - 2022'!DZ24</f>
        <v>7.3999999999996362</v>
      </c>
      <c r="DZ24" s="91">
        <f ca="1">'[1]October - 2022'!EA24</f>
        <v>5010</v>
      </c>
      <c r="EA24" s="215">
        <f ca="1">'[1]October - 2022'!EB24</f>
        <v>8.8000000000001819</v>
      </c>
      <c r="EB24" s="91">
        <f ca="1">'[1]October - 2022'!EC24</f>
        <v>1091853</v>
      </c>
      <c r="EC24" s="215">
        <f ca="1">'[1]October - 2022'!ED24</f>
        <v>750</v>
      </c>
      <c r="ED24" s="91">
        <f ca="1">'[1]October - 2022'!EG24</f>
        <v>223542.7</v>
      </c>
      <c r="EE24" s="229">
        <f ca="1">'[1]October - 2022'!EH24</f>
        <v>160.70000000001164</v>
      </c>
      <c r="EF24" s="581"/>
      <c r="EG24" s="235">
        <f ca="1">'[1]October - 2022'!EJ24</f>
        <v>11840900</v>
      </c>
      <c r="EH24" s="230">
        <f ca="1">'[1]October - 2022'!EK24</f>
        <v>7100</v>
      </c>
      <c r="EI24" s="90">
        <f ca="1">'[1]October - 2022'!EL24</f>
        <v>918120</v>
      </c>
      <c r="EJ24" s="230">
        <f ca="1">'[1]October - 2022'!EM24</f>
        <v>300</v>
      </c>
      <c r="EK24" s="90">
        <f ca="1">'[1]October - 2022'!EN24</f>
        <v>7090700</v>
      </c>
      <c r="EL24" s="230">
        <f ca="1">'[1]October - 2022'!EO24</f>
        <v>2800</v>
      </c>
      <c r="EM24" s="90">
        <f ca="1">'[1]October - 2022'!EP24</f>
        <v>2469000</v>
      </c>
      <c r="EN24" s="230">
        <f ca="1">'[1]October - 2022'!EQ24</f>
        <v>600</v>
      </c>
      <c r="EO24" s="90">
        <f ca="1">'[1]October - 2022'!ER24</f>
        <v>1235510</v>
      </c>
      <c r="EP24" s="230">
        <f ca="1">'[1]October - 2022'!ES24</f>
        <v>880</v>
      </c>
      <c r="EQ24" s="90">
        <f ca="1">'[1]October - 2022'!ET24</f>
        <v>16284200</v>
      </c>
      <c r="ER24" s="230">
        <f ca="1">'[1]October - 2022'!EU24</f>
        <v>8100</v>
      </c>
      <c r="ES24" s="556"/>
      <c r="ET24" s="281">
        <f ca="1">'[1]October - 2022'!EW24</f>
        <v>41240</v>
      </c>
      <c r="EU24" s="275">
        <f ca="1">'[1]October - 2022'!EX24</f>
        <v>15</v>
      </c>
      <c r="EV24" s="282">
        <f ca="1">'[1]October - 2022'!EY24</f>
        <v>36140</v>
      </c>
      <c r="EW24" s="275">
        <f ca="1">'[1]October - 2022'!EZ24</f>
        <v>12</v>
      </c>
      <c r="EX24" s="282">
        <f ca="1">'[1]October - 2022'!FA24</f>
        <v>6989</v>
      </c>
      <c r="EY24" s="275">
        <f ca="1">'[1]October - 2022'!FB24</f>
        <v>17</v>
      </c>
      <c r="EZ24" s="282">
        <f ca="1">'[1]October - 2022'!FC24</f>
        <v>58479</v>
      </c>
      <c r="FA24" s="275">
        <f ca="1">'[1]October - 2022'!FD24</f>
        <v>19</v>
      </c>
      <c r="FB24" s="282">
        <f ca="1">'[1]October - 2022'!FE24</f>
        <v>47640</v>
      </c>
      <c r="FC24" s="276">
        <f ca="1">'[1]October - 2022'!FF24</f>
        <v>41</v>
      </c>
    </row>
    <row r="25" spans="1:159" ht="30" customHeight="1" x14ac:dyDescent="0.25">
      <c r="A25" s="207">
        <v>43846</v>
      </c>
      <c r="B25" s="209">
        <f ca="1">'[1]October - 2022'!B25</f>
        <v>0.69</v>
      </c>
      <c r="C25" s="250">
        <f ca="1">'[1]October - 2022'!E25</f>
        <v>263067</v>
      </c>
      <c r="D25" s="170">
        <f ca="1">'[1]October - 2022'!F25</f>
        <v>886</v>
      </c>
      <c r="E25" s="168">
        <f ca="1">'[1]October - 2022'!G25</f>
        <v>637</v>
      </c>
      <c r="F25" s="168">
        <f ca="1">'[1]October - 2022'!H25</f>
        <v>217006</v>
      </c>
      <c r="G25" s="170">
        <f ca="1">'[1]October - 2022'!I25</f>
        <v>416</v>
      </c>
      <c r="H25" s="168">
        <f ca="1">'[1]October - 2022'!J25</f>
        <v>401</v>
      </c>
      <c r="I25" s="168">
        <f ca="1">'[1]October - 2022'!K25</f>
        <v>541</v>
      </c>
      <c r="J25" s="170">
        <f ca="1">'[1]October - 2022'!L25</f>
        <v>81</v>
      </c>
      <c r="K25" s="168">
        <f ca="1">'[1]October - 2022'!N25</f>
        <v>905997</v>
      </c>
      <c r="L25" s="170">
        <f ca="1">'[1]October - 2022'!O25</f>
        <v>289</v>
      </c>
      <c r="M25" s="168">
        <f ca="1">'[1]October - 2022'!Q25</f>
        <v>235931</v>
      </c>
      <c r="N25" s="170">
        <f ca="1">'[1]October - 2022'!R25</f>
        <v>221</v>
      </c>
      <c r="O25" s="168">
        <f ca="1">'[1]October - 2022'!S25</f>
        <v>107472</v>
      </c>
      <c r="P25" s="170">
        <f ca="1">'[1]October - 2022'!T25</f>
        <v>209</v>
      </c>
      <c r="Q25" s="168">
        <f ca="1">'[1]October - 2022'!U25</f>
        <v>223.30999999999767</v>
      </c>
      <c r="R25" s="168">
        <f ca="1">'[1]October - 2022'!V25</f>
        <v>5667</v>
      </c>
      <c r="S25" s="208">
        <f ca="1">'[1]October - 2022'!W25</f>
        <v>19</v>
      </c>
      <c r="T25" s="477"/>
      <c r="U25" s="169">
        <f ca="1">'[1]October - 2022'!AC25</f>
        <v>8013806.6400000006</v>
      </c>
      <c r="V25" s="288">
        <f ca="1">'[1]October - 2022'!AD25</f>
        <v>3264.2400000011548</v>
      </c>
      <c r="W25" s="92">
        <f ca="1">'[1]October - 2022'!AD25</f>
        <v>3264.2400000011548</v>
      </c>
      <c r="X25" s="287">
        <f ca="1">'[1]October - 2022'!AF25</f>
        <v>15229774.559999999</v>
      </c>
      <c r="Y25" s="288">
        <f ca="1">'[1]October - 2022'!AG25</f>
        <v>4774.5599999986589</v>
      </c>
      <c r="Z25" s="92">
        <f ca="1">'[1]October - 2022'!AG25</f>
        <v>4774.5599999986589</v>
      </c>
      <c r="AA25" s="287">
        <f ca="1">'[1]October - 2022'!AI25</f>
        <v>15534859.199999999</v>
      </c>
      <c r="AB25" s="288">
        <f ca="1">'[1]October - 2022'!AJ25</f>
        <v>8818.3199999984354</v>
      </c>
      <c r="AC25" s="92">
        <f ca="1">'[1]October - 2022'!AJ25</f>
        <v>8818.3199999984354</v>
      </c>
      <c r="AD25" s="287">
        <f ca="1">'[1]October - 2022'!AL25</f>
        <v>18545414.16</v>
      </c>
      <c r="AE25" s="288">
        <f ca="1">'[1]October - 2022'!AM25</f>
        <v>1461.5999999977648</v>
      </c>
      <c r="AF25" s="92">
        <f ca="1">'[1]October - 2022'!AM25</f>
        <v>1461.5999999977648</v>
      </c>
      <c r="AG25" s="287">
        <f ca="1">'[1]October - 2022'!AO25</f>
        <v>18836272.560000002</v>
      </c>
      <c r="AH25" s="288">
        <f ca="1">'[1]October - 2022'!AP25</f>
        <v>10377.360000003129</v>
      </c>
      <c r="AI25" s="92">
        <f ca="1">'[1]October - 2022'!AP25</f>
        <v>10377.360000003129</v>
      </c>
      <c r="AJ25" s="287">
        <f ca="1">'[1]October - 2022'!AR25</f>
        <v>17258475.359999999</v>
      </c>
      <c r="AK25" s="288">
        <f ca="1">'[1]October - 2022'!AS25</f>
        <v>5992.5599999986589</v>
      </c>
      <c r="AL25" s="92">
        <f ca="1">'[1]October - 2022'!AS25</f>
        <v>5992.5599999986589</v>
      </c>
      <c r="AM25" s="287">
        <f ca="1">'[1]October - 2022'!AU25</f>
        <v>14546379.119999999</v>
      </c>
      <c r="AN25" s="288">
        <f ca="1">'[1]October - 2022'!AV25</f>
        <v>4482.2399999983609</v>
      </c>
      <c r="AO25" s="92">
        <f ca="1">'[1]October - 2022'!AV25</f>
        <v>4482.2399999983609</v>
      </c>
      <c r="AP25" s="287">
        <f ca="1">'[1]October - 2022'!AX25</f>
        <v>14060348.4</v>
      </c>
      <c r="AQ25" s="288">
        <f ca="1">'[1]October - 2022'!AY25</f>
        <v>4774.5600000005215</v>
      </c>
      <c r="AR25" s="92">
        <f ca="1">'[1]October - 2022'!AY25</f>
        <v>4774.5600000005215</v>
      </c>
      <c r="AS25" s="287">
        <f ca="1">'[1]October - 2022'!BA25</f>
        <v>11016517.68</v>
      </c>
      <c r="AT25" s="288">
        <f ca="1">'[1]October - 2022'!BB25</f>
        <v>3020.6399999987334</v>
      </c>
      <c r="AU25" s="92">
        <f ca="1">'[1]October - 2022'!BB25</f>
        <v>3020.6399999987334</v>
      </c>
      <c r="AV25" s="287">
        <f ca="1">'[1]October - 2022'!BD25</f>
        <v>17390896.32</v>
      </c>
      <c r="AW25" s="252">
        <f ca="1">'[1]October - 2022'!BE25</f>
        <v>6187.4400000013411</v>
      </c>
      <c r="AX25" s="253">
        <f ca="1">'[1]October - 2022'!BE25</f>
        <v>6187.4400000013411</v>
      </c>
      <c r="AY25" s="494"/>
      <c r="AZ25" s="272">
        <f ca="1">'[1]October - 2022'!BK25</f>
        <v>76811800</v>
      </c>
      <c r="BA25" s="179">
        <f ca="1">'[1]October - 2022'!BL25</f>
        <v>47600</v>
      </c>
      <c r="BB25" s="93">
        <f ca="1">'[1]October - 2022'!BL25</f>
        <v>47600</v>
      </c>
      <c r="BC25" s="272">
        <f ca="1">'[1]October - 2022'!BN25</f>
        <v>79139500</v>
      </c>
      <c r="BD25" s="245">
        <f ca="1">'[1]October - 2022'!BO25</f>
        <v>0</v>
      </c>
      <c r="BE25" s="93">
        <f ca="1">'[1]October - 2022'!BO25</f>
        <v>0</v>
      </c>
      <c r="BF25" s="272">
        <f ca="1">'[1]October - 2022'!BQ25</f>
        <v>73194550</v>
      </c>
      <c r="BG25" s="245">
        <f ca="1">'[1]October - 2022'!BR25</f>
        <v>65050</v>
      </c>
      <c r="BH25" s="93">
        <f ca="1">'[1]October - 2022'!BR25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 ca="1">'[1]October - 2022'!BT25</f>
        <v>9803530</v>
      </c>
      <c r="BT25" s="185">
        <f ca="1">'[1]October - 2022'!BU25</f>
        <v>7820</v>
      </c>
      <c r="BU25" s="590"/>
      <c r="BV25" s="88">
        <f ca="1">'[1]October - 2022'!BW25</f>
        <v>0.64</v>
      </c>
      <c r="BW25" s="241">
        <f ca="1">'[1]October - 2022'!BX25</f>
        <v>1.0000000000000009E-2</v>
      </c>
      <c r="BX25" s="88">
        <f ca="1">'[1]October - 2022'!BX25</f>
        <v>1.0000000000000009E-2</v>
      </c>
      <c r="BY25" s="89">
        <f ca="1">'[1]October - 2022'!BZ25</f>
        <v>63200</v>
      </c>
      <c r="BZ25" s="191">
        <f ca="1">'[1]October - 2022'!CA25</f>
        <v>23</v>
      </c>
      <c r="CA25" s="89">
        <f ca="1">'[1]October - 2022'!CB25</f>
        <v>54386</v>
      </c>
      <c r="CB25" s="191">
        <f ca="1">'[1]October - 2022'!CC25</f>
        <v>20</v>
      </c>
      <c r="CC25" s="89">
        <f ca="1">'[1]October - 2022'!CD25</f>
        <v>18402</v>
      </c>
      <c r="CD25" s="191">
        <f ca="1">'[1]October - 2022'!CE25</f>
        <v>5</v>
      </c>
      <c r="CE25" s="89">
        <f ca="1">'[1]October - 2022'!CF25</f>
        <v>25031</v>
      </c>
      <c r="CF25" s="191">
        <f ca="1">'[1]October - 2022'!CG25</f>
        <v>11</v>
      </c>
      <c r="CG25" s="89">
        <f ca="1">'[1]October - 2022'!CH25</f>
        <v>27711</v>
      </c>
      <c r="CH25" s="191">
        <f ca="1">'[1]October - 2022'!CI25</f>
        <v>14</v>
      </c>
      <c r="CI25" s="89">
        <f ca="1">'[1]October - 2022'!CJ25</f>
        <v>60619</v>
      </c>
      <c r="CJ25" s="191">
        <f ca="1">'[1]October - 2022'!CK25</f>
        <v>34</v>
      </c>
      <c r="CK25" s="89">
        <f ca="1">'[1]October - 2022'!CL25</f>
        <v>264081</v>
      </c>
      <c r="CL25" s="246">
        <f ca="1">'[1]October - 2022'!CM25</f>
        <v>75</v>
      </c>
      <c r="CM25" s="89">
        <f ca="1">'[1]October - 2022'!CM25</f>
        <v>75</v>
      </c>
      <c r="CN25" s="89">
        <f ca="1">'[1]October - 2022'!CO25</f>
        <v>209763</v>
      </c>
      <c r="CO25" s="246">
        <f ca="1">'[1]October - 2022'!CP25</f>
        <v>85</v>
      </c>
      <c r="CP25" s="89">
        <f ca="1">'[1]October - 2022'!CP25</f>
        <v>85</v>
      </c>
      <c r="CQ25" s="89">
        <f ca="1">'[1]October - 2022'!CR25</f>
        <v>349824</v>
      </c>
      <c r="CR25" s="246">
        <f ca="1">'[1]October - 2022'!CS25</f>
        <v>0</v>
      </c>
      <c r="CS25" s="89">
        <f ca="1">'[1]October - 2022'!CS25</f>
        <v>0</v>
      </c>
      <c r="CT25" s="89">
        <f ca="1">'[1]October - 2022'!CU25</f>
        <v>685552</v>
      </c>
      <c r="CU25" s="191">
        <f ca="1">'[1]October - 2022'!CV25</f>
        <v>170</v>
      </c>
      <c r="CV25" s="518"/>
      <c r="CW25" s="256">
        <f ca="1">'[1]October - 2022'!CX25</f>
        <v>8436</v>
      </c>
      <c r="CX25" s="198">
        <f ca="1">'[1]October - 2022'!CY25</f>
        <v>4</v>
      </c>
      <c r="CY25" s="257">
        <f ca="1">'[1]October - 2022'!CZ25</f>
        <v>5725</v>
      </c>
      <c r="CZ25" s="198">
        <f ca="1">'[1]October - 2022'!DA25</f>
        <v>4</v>
      </c>
      <c r="DA25" s="257">
        <f ca="1">'[1]October - 2022'!DB25</f>
        <v>31307</v>
      </c>
      <c r="DB25" s="198">
        <f ca="1">'[1]October - 2022'!DC25</f>
        <v>18</v>
      </c>
      <c r="DC25" s="257">
        <f ca="1">'[1]October - 2022'!DD25</f>
        <v>31588</v>
      </c>
      <c r="DD25" s="198">
        <f ca="1">'[1]October - 2022'!DE25</f>
        <v>22</v>
      </c>
      <c r="DE25" s="257">
        <f ca="1">'[1]October - 2022'!DF25</f>
        <v>21308</v>
      </c>
      <c r="DF25" s="198">
        <f ca="1">'[1]October - 2022'!DG25</f>
        <v>7</v>
      </c>
      <c r="DG25" s="257">
        <f ca="1">'[1]October - 2022'!DH25</f>
        <v>23693</v>
      </c>
      <c r="DH25" s="198">
        <f ca="1">'[1]October - 2022'!DI25</f>
        <v>6</v>
      </c>
      <c r="DI25" s="257">
        <f ca="1">'[1]October - 2022'!DJ25</f>
        <v>6575</v>
      </c>
      <c r="DJ25" s="198">
        <f ca="1">'[1]October - 2022'!DK25</f>
        <v>14</v>
      </c>
      <c r="DK25" s="257">
        <f ca="1">'[1]October - 2022'!DL25</f>
        <v>9336</v>
      </c>
      <c r="DL25" s="198">
        <f ca="1">'[1]October - 2022'!DM25</f>
        <v>11</v>
      </c>
      <c r="DM25" s="257">
        <f ca="1">'[1]October - 2022'!DN25</f>
        <v>3082</v>
      </c>
      <c r="DN25" s="198">
        <f ca="1">'[1]October - 2022'!DO25</f>
        <v>2</v>
      </c>
      <c r="DO25" s="257">
        <f ca="1">'[1]October - 2022'!DP25</f>
        <v>5943</v>
      </c>
      <c r="DP25" s="198">
        <f ca="1">'[1]October - 2022'!DQ25</f>
        <v>8</v>
      </c>
      <c r="DQ25" s="257">
        <f ca="1">'[1]October - 2022'!DR25</f>
        <v>29954</v>
      </c>
      <c r="DR25" s="206">
        <f ca="1">'[1]October - 2022'!DS25</f>
        <v>4</v>
      </c>
      <c r="DS25" s="534"/>
      <c r="DT25" s="210">
        <f ca="1">'[1]October - 2022'!DU25</f>
        <v>5718.7</v>
      </c>
      <c r="DU25" s="221">
        <f ca="1">'[1]October - 2022'!DV25</f>
        <v>11.300000000000182</v>
      </c>
      <c r="DV25" s="91">
        <f ca="1">'[1]October - 2022'!DW25</f>
        <v>10831.4</v>
      </c>
      <c r="DW25" s="215">
        <f ca="1">'[1]October - 2022'!DX25</f>
        <v>8.6000000000003638</v>
      </c>
      <c r="DX25" s="91">
        <f ca="1">'[1]October - 2022'!DY25</f>
        <v>4429.3999999999996</v>
      </c>
      <c r="DY25" s="215">
        <f ca="1">'[1]October - 2022'!DZ25</f>
        <v>6.5</v>
      </c>
      <c r="DZ25" s="91">
        <f ca="1">'[1]October - 2022'!EA25</f>
        <v>5018.3999999999996</v>
      </c>
      <c r="EA25" s="215">
        <f ca="1">'[1]October - 2022'!EB25</f>
        <v>8.3999999999996362</v>
      </c>
      <c r="EB25" s="91">
        <f ca="1">'[1]October - 2022'!EC25</f>
        <v>1092534</v>
      </c>
      <c r="EC25" s="215">
        <f ca="1">'[1]October - 2022'!ED25</f>
        <v>681</v>
      </c>
      <c r="ED25" s="91">
        <f ca="1">'[1]October - 2022'!EG25</f>
        <v>223687.2</v>
      </c>
      <c r="EE25" s="229">
        <f ca="1">'[1]October - 2022'!EH25</f>
        <v>144.5</v>
      </c>
      <c r="EF25" s="581"/>
      <c r="EG25" s="235">
        <f ca="1">'[1]October - 2022'!EJ25</f>
        <v>11848000</v>
      </c>
      <c r="EH25" s="230">
        <f ca="1">'[1]October - 2022'!EK25</f>
        <v>7100</v>
      </c>
      <c r="EI25" s="90">
        <f ca="1">'[1]October - 2022'!EL25</f>
        <v>918400</v>
      </c>
      <c r="EJ25" s="230">
        <f ca="1">'[1]October - 2022'!EM25</f>
        <v>280</v>
      </c>
      <c r="EK25" s="90">
        <f ca="1">'[1]October - 2022'!EN25</f>
        <v>7093400</v>
      </c>
      <c r="EL25" s="230">
        <f ca="1">'[1]October - 2022'!EO25</f>
        <v>2700</v>
      </c>
      <c r="EM25" s="90">
        <f ca="1">'[1]October - 2022'!EP25</f>
        <v>2469500</v>
      </c>
      <c r="EN25" s="230">
        <f ca="1">'[1]October - 2022'!EQ25</f>
        <v>500</v>
      </c>
      <c r="EO25" s="90">
        <f ca="1">'[1]October - 2022'!ER25</f>
        <v>1236300</v>
      </c>
      <c r="EP25" s="230">
        <f ca="1">'[1]October - 2022'!ES25</f>
        <v>790</v>
      </c>
      <c r="EQ25" s="90">
        <f ca="1">'[1]October - 2022'!ET25</f>
        <v>16292100</v>
      </c>
      <c r="ER25" s="230">
        <f ca="1">'[1]October - 2022'!EU25</f>
        <v>7900</v>
      </c>
      <c r="ES25" s="556"/>
      <c r="ET25" s="281">
        <f ca="1">'[1]October - 2022'!EW25</f>
        <v>41254</v>
      </c>
      <c r="EU25" s="275">
        <f ca="1">'[1]October - 2022'!EX25</f>
        <v>14</v>
      </c>
      <c r="EV25" s="282">
        <f ca="1">'[1]October - 2022'!EY25</f>
        <v>36150</v>
      </c>
      <c r="EW25" s="275">
        <f ca="1">'[1]October - 2022'!EZ25</f>
        <v>10</v>
      </c>
      <c r="EX25" s="282">
        <f ca="1">'[1]October - 2022'!FA25</f>
        <v>6998</v>
      </c>
      <c r="EY25" s="275">
        <f ca="1">'[1]October - 2022'!FB25</f>
        <v>9</v>
      </c>
      <c r="EZ25" s="282">
        <f ca="1">'[1]October - 2022'!FC25</f>
        <v>58493</v>
      </c>
      <c r="FA25" s="275">
        <f ca="1">'[1]October - 2022'!FD25</f>
        <v>14</v>
      </c>
      <c r="FB25" s="282">
        <f ca="1">'[1]October - 2022'!FE25</f>
        <v>47675</v>
      </c>
      <c r="FC25" s="276">
        <f ca="1">'[1]October - 2022'!FF25</f>
        <v>35</v>
      </c>
    </row>
    <row r="26" spans="1:159" ht="30" customHeight="1" x14ac:dyDescent="0.25">
      <c r="A26" s="207">
        <v>43847</v>
      </c>
      <c r="B26" s="209">
        <f ca="1">'[1]October - 2022'!B26</f>
        <v>0.69</v>
      </c>
      <c r="C26" s="250">
        <f ca="1">'[1]October - 2022'!E26</f>
        <v>263866</v>
      </c>
      <c r="D26" s="170">
        <f ca="1">'[1]October - 2022'!F26</f>
        <v>799</v>
      </c>
      <c r="E26" s="168">
        <f ca="1">'[1]October - 2022'!G26</f>
        <v>601</v>
      </c>
      <c r="F26" s="168">
        <f ca="1">'[1]October - 2022'!H26</f>
        <v>217383</v>
      </c>
      <c r="G26" s="170">
        <f ca="1">'[1]October - 2022'!I26</f>
        <v>377</v>
      </c>
      <c r="H26" s="168">
        <f ca="1">'[1]October - 2022'!J26</f>
        <v>342</v>
      </c>
      <c r="I26" s="168">
        <f ca="1">'[1]October - 2022'!K26</f>
        <v>644</v>
      </c>
      <c r="J26" s="170">
        <f ca="1">'[1]October - 2022'!L26</f>
        <v>103</v>
      </c>
      <c r="K26" s="168">
        <f ca="1">'[1]October - 2022'!N26</f>
        <v>906342</v>
      </c>
      <c r="L26" s="170">
        <f ca="1">'[1]October - 2022'!O26</f>
        <v>345</v>
      </c>
      <c r="M26" s="168">
        <f ca="1">'[1]October - 2022'!Q26</f>
        <v>236165</v>
      </c>
      <c r="N26" s="170">
        <f ca="1">'[1]October - 2022'!R26</f>
        <v>234</v>
      </c>
      <c r="O26" s="168">
        <f ca="1">'[1]October - 2022'!S26</f>
        <v>107685</v>
      </c>
      <c r="P26" s="170">
        <f ca="1">'[1]October - 2022'!T26</f>
        <v>213</v>
      </c>
      <c r="Q26" s="168">
        <f ca="1">'[1]October - 2022'!U26</f>
        <v>173.13999999999942</v>
      </c>
      <c r="R26" s="168">
        <f ca="1">'[1]October - 2022'!V26</f>
        <v>5672</v>
      </c>
      <c r="S26" s="208">
        <f ca="1">'[1]October - 2022'!W26</f>
        <v>5</v>
      </c>
      <c r="T26" s="477"/>
      <c r="U26" s="169">
        <f ca="1">'[1]October - 2022'!AC26</f>
        <v>8017801.6800000006</v>
      </c>
      <c r="V26" s="288">
        <f ca="1">'[1]October - 2022'!AD26</f>
        <v>3995.0400000000373</v>
      </c>
      <c r="W26" s="92">
        <f ca="1">'[1]October - 2022'!AD26</f>
        <v>3995.0400000000373</v>
      </c>
      <c r="X26" s="287">
        <f ca="1">'[1]October - 2022'!AF26</f>
        <v>15234451.68</v>
      </c>
      <c r="Y26" s="288">
        <f ca="1">'[1]October - 2022'!AG26</f>
        <v>4677.1200000010431</v>
      </c>
      <c r="Z26" s="92">
        <f ca="1">'[1]October - 2022'!AG26</f>
        <v>4677.1200000010431</v>
      </c>
      <c r="AA26" s="287">
        <f ca="1">'[1]October - 2022'!AI26</f>
        <v>15544505.76</v>
      </c>
      <c r="AB26" s="288">
        <f ca="1">'[1]October - 2022'!AJ26</f>
        <v>9646.5600000005215</v>
      </c>
      <c r="AC26" s="92">
        <f ca="1">'[1]October - 2022'!AJ26</f>
        <v>9646.5600000005215</v>
      </c>
      <c r="AD26" s="287">
        <f ca="1">'[1]October - 2022'!AL26</f>
        <v>18546242.399999999</v>
      </c>
      <c r="AE26" s="288">
        <f ca="1">'[1]October - 2022'!AM26</f>
        <v>828.23999999836087</v>
      </c>
      <c r="AF26" s="92">
        <f ca="1">'[1]October - 2022'!AM26</f>
        <v>828.23999999836087</v>
      </c>
      <c r="AG26" s="287">
        <f ca="1">'[1]October - 2022'!AO26</f>
        <v>18846211.439999998</v>
      </c>
      <c r="AH26" s="288">
        <f ca="1">'[1]October - 2022'!AP26</f>
        <v>9938.8799999952316</v>
      </c>
      <c r="AI26" s="92">
        <f ca="1">'[1]October - 2022'!AP26</f>
        <v>9938.8799999952316</v>
      </c>
      <c r="AJ26" s="287">
        <f ca="1">'[1]October - 2022'!AR26</f>
        <v>17264467.919999998</v>
      </c>
      <c r="AK26" s="288">
        <f ca="1">'[1]October - 2022'!AS26</f>
        <v>5992.5599999986589</v>
      </c>
      <c r="AL26" s="92">
        <f ca="1">'[1]October - 2022'!AS26</f>
        <v>5992.5599999986589</v>
      </c>
      <c r="AM26" s="287">
        <f ca="1">'[1]October - 2022'!AU26</f>
        <v>14550763.919999998</v>
      </c>
      <c r="AN26" s="288">
        <f ca="1">'[1]October - 2022'!AV26</f>
        <v>4384.7999999988824</v>
      </c>
      <c r="AO26" s="92">
        <f ca="1">'[1]October - 2022'!AV26</f>
        <v>4384.7999999988824</v>
      </c>
      <c r="AP26" s="287">
        <f ca="1">'[1]October - 2022'!AX26</f>
        <v>14065171.68</v>
      </c>
      <c r="AQ26" s="288">
        <f ca="1">'[1]October - 2022'!AY26</f>
        <v>4823.2799999993294</v>
      </c>
      <c r="AR26" s="92">
        <f ca="1">'[1]October - 2022'!AY26</f>
        <v>4823.2799999993294</v>
      </c>
      <c r="AS26" s="287">
        <f ca="1">'[1]October - 2022'!BA26</f>
        <v>11019440.880000001</v>
      </c>
      <c r="AT26" s="288">
        <f ca="1">'[1]October - 2022'!BB26</f>
        <v>2923.2000000011176</v>
      </c>
      <c r="AU26" s="92">
        <f ca="1">'[1]October - 2022'!BB26</f>
        <v>2923.2000000011176</v>
      </c>
      <c r="AV26" s="287">
        <f ca="1">'[1]October - 2022'!BD26</f>
        <v>17396840.16</v>
      </c>
      <c r="AW26" s="252">
        <f ca="1">'[1]October - 2022'!BE26</f>
        <v>5943.839999999851</v>
      </c>
      <c r="AX26" s="253">
        <f ca="1">'[1]October - 2022'!BE26</f>
        <v>5943.839999999851</v>
      </c>
      <c r="AY26" s="494"/>
      <c r="AZ26" s="272">
        <f ca="1">'[1]October - 2022'!BK26</f>
        <v>76857400</v>
      </c>
      <c r="BA26" s="179">
        <f ca="1">'[1]October - 2022'!BL26</f>
        <v>45600</v>
      </c>
      <c r="BB26" s="93">
        <f ca="1">'[1]October - 2022'!BL26</f>
        <v>45600</v>
      </c>
      <c r="BC26" s="272">
        <f ca="1">'[1]October - 2022'!BN26</f>
        <v>79139500</v>
      </c>
      <c r="BD26" s="245">
        <f ca="1">'[1]October - 2022'!BO26</f>
        <v>0</v>
      </c>
      <c r="BE26" s="93">
        <f ca="1">'[1]October - 2022'!BO26</f>
        <v>0</v>
      </c>
      <c r="BF26" s="272">
        <f ca="1">'[1]October - 2022'!BQ26</f>
        <v>73244900</v>
      </c>
      <c r="BG26" s="245">
        <f ca="1">'[1]October - 2022'!BR26</f>
        <v>50350</v>
      </c>
      <c r="BH26" s="93">
        <f ca="1">'[1]October - 2022'!BR26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 ca="1">'[1]October - 2022'!BT26</f>
        <v>9811020</v>
      </c>
      <c r="BT26" s="185">
        <f ca="1">'[1]October - 2022'!BU26</f>
        <v>7490</v>
      </c>
      <c r="BU26" s="590"/>
      <c r="BV26" s="88">
        <f ca="1">'[1]October - 2022'!BW26</f>
        <v>0.6</v>
      </c>
      <c r="BW26" s="241">
        <f ca="1">'[1]October - 2022'!BX26</f>
        <v>4.0000000000000036E-2</v>
      </c>
      <c r="BX26" s="88">
        <f ca="1">'[1]October - 2022'!BX26</f>
        <v>4.0000000000000036E-2</v>
      </c>
      <c r="BY26" s="89">
        <f ca="1">'[1]October - 2022'!BZ26</f>
        <v>63224</v>
      </c>
      <c r="BZ26" s="191">
        <f ca="1">'[1]October - 2022'!CA26</f>
        <v>24</v>
      </c>
      <c r="CA26" s="89">
        <f ca="1">'[1]October - 2022'!CB26</f>
        <v>54405</v>
      </c>
      <c r="CB26" s="191">
        <f ca="1">'[1]October - 2022'!CC26</f>
        <v>19</v>
      </c>
      <c r="CC26" s="89">
        <f ca="1">'[1]October - 2022'!CD26</f>
        <v>18408</v>
      </c>
      <c r="CD26" s="191">
        <f ca="1">'[1]October - 2022'!CE26</f>
        <v>6</v>
      </c>
      <c r="CE26" s="89">
        <f ca="1">'[1]October - 2022'!CF26</f>
        <v>25042</v>
      </c>
      <c r="CF26" s="191">
        <f ca="1">'[1]October - 2022'!CG26</f>
        <v>11</v>
      </c>
      <c r="CG26" s="89">
        <f ca="1">'[1]October - 2022'!CH26</f>
        <v>27726</v>
      </c>
      <c r="CH26" s="191">
        <f ca="1">'[1]October - 2022'!CI26</f>
        <v>15</v>
      </c>
      <c r="CI26" s="89">
        <f ca="1">'[1]October - 2022'!CJ26</f>
        <v>60651</v>
      </c>
      <c r="CJ26" s="191">
        <f ca="1">'[1]October - 2022'!CK26</f>
        <v>32</v>
      </c>
      <c r="CK26" s="89">
        <f ca="1">'[1]October - 2022'!CL26</f>
        <v>264154</v>
      </c>
      <c r="CL26" s="246">
        <f ca="1">'[1]October - 2022'!CM26</f>
        <v>73</v>
      </c>
      <c r="CM26" s="89">
        <f ca="1">'[1]October - 2022'!CM26</f>
        <v>73</v>
      </c>
      <c r="CN26" s="89">
        <f ca="1">'[1]October - 2022'!CO26</f>
        <v>209848</v>
      </c>
      <c r="CO26" s="246">
        <f ca="1">'[1]October - 2022'!CP26</f>
        <v>85</v>
      </c>
      <c r="CP26" s="89">
        <f ca="1">'[1]October - 2022'!CP26</f>
        <v>85</v>
      </c>
      <c r="CQ26" s="89">
        <f ca="1">'[1]October - 2022'!CR26</f>
        <v>349824</v>
      </c>
      <c r="CR26" s="246">
        <f ca="1">'[1]October - 2022'!CS26</f>
        <v>0</v>
      </c>
      <c r="CS26" s="89">
        <f ca="1">'[1]October - 2022'!CS26</f>
        <v>0</v>
      </c>
      <c r="CT26" s="89">
        <f ca="1">'[1]October - 2022'!CU26</f>
        <v>685718</v>
      </c>
      <c r="CU26" s="191">
        <f ca="1">'[1]October - 2022'!CV26</f>
        <v>166</v>
      </c>
      <c r="CV26" s="518"/>
      <c r="CW26" s="256">
        <f ca="1">'[1]October - 2022'!CX26</f>
        <v>8441</v>
      </c>
      <c r="CX26" s="198">
        <f ca="1">'[1]October - 2022'!CY26</f>
        <v>5</v>
      </c>
      <c r="CY26" s="257">
        <f ca="1">'[1]October - 2022'!CZ26</f>
        <v>5727</v>
      </c>
      <c r="CZ26" s="198">
        <f ca="1">'[1]October - 2022'!DA26</f>
        <v>2</v>
      </c>
      <c r="DA26" s="257">
        <f ca="1">'[1]October - 2022'!DB26</f>
        <v>31322</v>
      </c>
      <c r="DB26" s="198">
        <f ca="1">'[1]October - 2022'!DC26</f>
        <v>15</v>
      </c>
      <c r="DC26" s="257">
        <f ca="1">'[1]October - 2022'!DD26</f>
        <v>31603</v>
      </c>
      <c r="DD26" s="198">
        <f ca="1">'[1]October - 2022'!DE26</f>
        <v>15</v>
      </c>
      <c r="DE26" s="257">
        <f ca="1">'[1]October - 2022'!DF26</f>
        <v>21315</v>
      </c>
      <c r="DF26" s="198">
        <f ca="1">'[1]October - 2022'!DG26</f>
        <v>7</v>
      </c>
      <c r="DG26" s="257">
        <f ca="1">'[1]October - 2022'!DH26</f>
        <v>23699</v>
      </c>
      <c r="DH26" s="198">
        <f ca="1">'[1]October - 2022'!DI26</f>
        <v>6</v>
      </c>
      <c r="DI26" s="257">
        <f ca="1">'[1]October - 2022'!DJ26</f>
        <v>6581</v>
      </c>
      <c r="DJ26" s="198">
        <f ca="1">'[1]October - 2022'!DK26</f>
        <v>6</v>
      </c>
      <c r="DK26" s="257">
        <f ca="1">'[1]October - 2022'!DL26</f>
        <v>9343</v>
      </c>
      <c r="DL26" s="198">
        <f ca="1">'[1]October - 2022'!DM26</f>
        <v>7</v>
      </c>
      <c r="DM26" s="257">
        <f ca="1">'[1]October - 2022'!DN26</f>
        <v>3085</v>
      </c>
      <c r="DN26" s="198">
        <f ca="1">'[1]October - 2022'!DO26</f>
        <v>3</v>
      </c>
      <c r="DO26" s="257">
        <f ca="1">'[1]October - 2022'!DP26</f>
        <v>5949</v>
      </c>
      <c r="DP26" s="198">
        <f ca="1">'[1]October - 2022'!DQ26</f>
        <v>6</v>
      </c>
      <c r="DQ26" s="257">
        <f ca="1">'[1]October - 2022'!DR26</f>
        <v>29970</v>
      </c>
      <c r="DR26" s="206">
        <f ca="1">'[1]October - 2022'!DS26</f>
        <v>16</v>
      </c>
      <c r="DS26" s="534"/>
      <c r="DT26" s="210">
        <f ca="1">'[1]October - 2022'!DU26</f>
        <v>5730.4</v>
      </c>
      <c r="DU26" s="221">
        <f ca="1">'[1]October - 2022'!DV26</f>
        <v>11.699999999999818</v>
      </c>
      <c r="DV26" s="91">
        <f ca="1">'[1]October - 2022'!DW26</f>
        <v>10840</v>
      </c>
      <c r="DW26" s="215">
        <f ca="1">'[1]October - 2022'!DX26</f>
        <v>8.6000000000003638</v>
      </c>
      <c r="DX26" s="91">
        <f ca="1">'[1]October - 2022'!DY26</f>
        <v>4436.3</v>
      </c>
      <c r="DY26" s="215">
        <f ca="1">'[1]October - 2022'!DZ26</f>
        <v>6.9000000000005457</v>
      </c>
      <c r="DZ26" s="91">
        <f ca="1">'[1]October - 2022'!EA26</f>
        <v>5026</v>
      </c>
      <c r="EA26" s="215">
        <f ca="1">'[1]October - 2022'!EB26</f>
        <v>7.6000000000003638</v>
      </c>
      <c r="EB26" s="91">
        <f ca="1">'[1]October - 2022'!EC26</f>
        <v>1093232</v>
      </c>
      <c r="EC26" s="215">
        <f ca="1">'[1]October - 2022'!ED26</f>
        <v>698</v>
      </c>
      <c r="ED26" s="91">
        <f ca="1">'[1]October - 2022'!EG26</f>
        <v>223838.4</v>
      </c>
      <c r="EE26" s="229">
        <f ca="1">'[1]October - 2022'!EH26</f>
        <v>151.19999999998254</v>
      </c>
      <c r="EF26" s="581"/>
      <c r="EG26" s="235">
        <f ca="1">'[1]October - 2022'!EJ26</f>
        <v>11856000</v>
      </c>
      <c r="EH26" s="230">
        <f ca="1">'[1]October - 2022'!EK26</f>
        <v>8000</v>
      </c>
      <c r="EI26" s="90">
        <f ca="1">'[1]October - 2022'!EL26</f>
        <v>918700</v>
      </c>
      <c r="EJ26" s="230">
        <f ca="1">'[1]October - 2022'!EM26</f>
        <v>300</v>
      </c>
      <c r="EK26" s="90">
        <f ca="1">'[1]October - 2022'!EN26</f>
        <v>7096400</v>
      </c>
      <c r="EL26" s="230">
        <f ca="1">'[1]October - 2022'!EO26</f>
        <v>3000</v>
      </c>
      <c r="EM26" s="90">
        <f ca="1">'[1]October - 2022'!EP26</f>
        <v>2470100</v>
      </c>
      <c r="EN26" s="230">
        <f ca="1">'[1]October - 2022'!EQ26</f>
        <v>600</v>
      </c>
      <c r="EO26" s="90">
        <f ca="1">'[1]October - 2022'!ER26</f>
        <v>1237160</v>
      </c>
      <c r="EP26" s="230">
        <f ca="1">'[1]October - 2022'!ES26</f>
        <v>860</v>
      </c>
      <c r="EQ26" s="90">
        <f ca="1">'[1]October - 2022'!ET26</f>
        <v>16301400</v>
      </c>
      <c r="ER26" s="230">
        <f ca="1">'[1]October - 2022'!EU26</f>
        <v>9300</v>
      </c>
      <c r="ES26" s="556"/>
      <c r="ET26" s="281">
        <f ca="1">'[1]October - 2022'!EW26</f>
        <v>41267</v>
      </c>
      <c r="EU26" s="275">
        <f ca="1">'[1]October - 2022'!EX26</f>
        <v>13</v>
      </c>
      <c r="EV26" s="282">
        <f ca="1">'[1]October - 2022'!EY26</f>
        <v>36161</v>
      </c>
      <c r="EW26" s="275">
        <f ca="1">'[1]October - 2022'!EZ26</f>
        <v>11</v>
      </c>
      <c r="EX26" s="282">
        <f ca="1">'[1]October - 2022'!FA26</f>
        <v>7005</v>
      </c>
      <c r="EY26" s="275">
        <f ca="1">'[1]October - 2022'!FB26</f>
        <v>7</v>
      </c>
      <c r="EZ26" s="282">
        <f ca="1">'[1]October - 2022'!FC26</f>
        <v>58505</v>
      </c>
      <c r="FA26" s="275">
        <f ca="1">'[1]October - 2022'!FD26</f>
        <v>12</v>
      </c>
      <c r="FB26" s="282">
        <f ca="1">'[1]October - 2022'!FE26</f>
        <v>47706</v>
      </c>
      <c r="FC26" s="276">
        <f ca="1">'[1]October - 2022'!FF26</f>
        <v>31</v>
      </c>
    </row>
    <row r="27" spans="1:159" ht="30" customHeight="1" x14ac:dyDescent="0.25">
      <c r="A27" s="207">
        <v>43848</v>
      </c>
      <c r="B27" s="209">
        <f ca="1">'[1]October - 2022'!B27</f>
        <v>0.66</v>
      </c>
      <c r="C27" s="250">
        <f ca="1">'[1]October - 2022'!E27</f>
        <v>264759</v>
      </c>
      <c r="D27" s="170">
        <f ca="1">'[1]October - 2022'!F27</f>
        <v>893</v>
      </c>
      <c r="E27" s="168">
        <f ca="1">'[1]October - 2022'!G27</f>
        <v>631</v>
      </c>
      <c r="F27" s="168">
        <f ca="1">'[1]October - 2022'!H27</f>
        <v>217783</v>
      </c>
      <c r="G27" s="170">
        <f ca="1">'[1]October - 2022'!I27</f>
        <v>400</v>
      </c>
      <c r="H27" s="168">
        <f ca="1">'[1]October - 2022'!J27</f>
        <v>400</v>
      </c>
      <c r="I27" s="168">
        <f ca="1">'[1]October - 2022'!K27</f>
        <v>770</v>
      </c>
      <c r="J27" s="170">
        <f ca="1">'[1]October - 2022'!L27</f>
        <v>126</v>
      </c>
      <c r="K27" s="168">
        <f ca="1">'[1]October - 2022'!N27</f>
        <v>906674</v>
      </c>
      <c r="L27" s="170">
        <f ca="1">'[1]October - 2022'!O27</f>
        <v>332</v>
      </c>
      <c r="M27" s="168">
        <f ca="1">'[1]October - 2022'!Q27</f>
        <v>236399</v>
      </c>
      <c r="N27" s="170">
        <f ca="1">'[1]October - 2022'!R27</f>
        <v>234</v>
      </c>
      <c r="O27" s="168">
        <f ca="1">'[1]October - 2022'!S27</f>
        <v>107880</v>
      </c>
      <c r="P27" s="170">
        <f ca="1">'[1]October - 2022'!T27</f>
        <v>195</v>
      </c>
      <c r="Q27" s="168">
        <f ca="1">'[1]October - 2022'!U27</f>
        <v>201.02999999999884</v>
      </c>
      <c r="R27" s="168">
        <f ca="1">'[1]October - 2022'!V27</f>
        <v>5686</v>
      </c>
      <c r="S27" s="208">
        <f ca="1">'[1]October - 2022'!W27</f>
        <v>14</v>
      </c>
      <c r="T27" s="477"/>
      <c r="U27" s="169">
        <f ca="1">'[1]October - 2022'!AC27</f>
        <v>8020871.04</v>
      </c>
      <c r="V27" s="288">
        <f ca="1">'[1]October - 2022'!AD27</f>
        <v>3069.359999999404</v>
      </c>
      <c r="W27" s="92">
        <f ca="1">'[1]October - 2022'!AD27</f>
        <v>3069.359999999404</v>
      </c>
      <c r="X27" s="287">
        <f ca="1">'[1]October - 2022'!AF27</f>
        <v>15239128.799999999</v>
      </c>
      <c r="Y27" s="288">
        <f ca="1">'[1]October - 2022'!AG27</f>
        <v>4677.1199999991804</v>
      </c>
      <c r="Z27" s="92">
        <f ca="1">'[1]October - 2022'!AG27</f>
        <v>4677.1199999991804</v>
      </c>
      <c r="AA27" s="287">
        <f ca="1">'[1]October - 2022'!AI27</f>
        <v>15552739.439999999</v>
      </c>
      <c r="AB27" s="288">
        <f ca="1">'[1]October - 2022'!AJ27</f>
        <v>8233.679999999702</v>
      </c>
      <c r="AC27" s="92">
        <f ca="1">'[1]October - 2022'!AJ27</f>
        <v>8233.679999999702</v>
      </c>
      <c r="AD27" s="287">
        <f ca="1">'[1]October - 2022'!AL27</f>
        <v>18546729.599999998</v>
      </c>
      <c r="AE27" s="288">
        <f ca="1">'[1]October - 2022'!AM27</f>
        <v>487.19999999925494</v>
      </c>
      <c r="AF27" s="92">
        <f ca="1">'[1]October - 2022'!AM27</f>
        <v>487.19999999925494</v>
      </c>
      <c r="AG27" s="287">
        <f ca="1">'[1]October - 2022'!AO27</f>
        <v>18858829.919999998</v>
      </c>
      <c r="AH27" s="288">
        <f ca="1">'[1]October - 2022'!AP27</f>
        <v>12618.480000000447</v>
      </c>
      <c r="AI27" s="92">
        <f ca="1">'[1]October - 2022'!AP27</f>
        <v>12618.480000000447</v>
      </c>
      <c r="AJ27" s="287">
        <f ca="1">'[1]October - 2022'!AR27</f>
        <v>17270411.760000002</v>
      </c>
      <c r="AK27" s="288">
        <f ca="1">'[1]October - 2022'!AS27</f>
        <v>5943.8400000035763</v>
      </c>
      <c r="AL27" s="92">
        <f ca="1">'[1]October - 2022'!AS27</f>
        <v>5943.8400000035763</v>
      </c>
      <c r="AM27" s="287">
        <f ca="1">'[1]October - 2022'!AU27</f>
        <v>14555197.439999999</v>
      </c>
      <c r="AN27" s="288">
        <f ca="1">'[1]October - 2022'!AV27</f>
        <v>4433.5200000014156</v>
      </c>
      <c r="AO27" s="92">
        <f ca="1">'[1]October - 2022'!AV27</f>
        <v>4433.5200000014156</v>
      </c>
      <c r="AP27" s="287">
        <f ca="1">'[1]October - 2022'!AX27</f>
        <v>14070189.84</v>
      </c>
      <c r="AQ27" s="288">
        <f ca="1">'[1]October - 2022'!AY27</f>
        <v>5018.160000000149</v>
      </c>
      <c r="AR27" s="92">
        <f ca="1">'[1]October - 2022'!AY27</f>
        <v>5018.160000000149</v>
      </c>
      <c r="AS27" s="287">
        <f ca="1">'[1]October - 2022'!BA27</f>
        <v>11022510.24</v>
      </c>
      <c r="AT27" s="288">
        <f ca="1">'[1]October - 2022'!BB27</f>
        <v>3069.359999999404</v>
      </c>
      <c r="AU27" s="92">
        <f ca="1">'[1]October - 2022'!BB27</f>
        <v>3069.359999999404</v>
      </c>
      <c r="AV27" s="287">
        <f ca="1">'[1]October - 2022'!BD27</f>
        <v>17402735.280000001</v>
      </c>
      <c r="AW27" s="252">
        <f ca="1">'[1]October - 2022'!BE27</f>
        <v>5895.1200000010431</v>
      </c>
      <c r="AX27" s="253">
        <f ca="1">'[1]October - 2022'!BE27</f>
        <v>5895.1200000010431</v>
      </c>
      <c r="AY27" s="494"/>
      <c r="AZ27" s="272">
        <f ca="1">'[1]October - 2022'!BK27</f>
        <v>76891800</v>
      </c>
      <c r="BA27" s="179">
        <f ca="1">'[1]October - 2022'!BL27</f>
        <v>34400</v>
      </c>
      <c r="BB27" s="93">
        <f ca="1">'[1]October - 2022'!BL27</f>
        <v>34400</v>
      </c>
      <c r="BC27" s="272">
        <f ca="1">'[1]October - 2022'!BN27</f>
        <v>79139500</v>
      </c>
      <c r="BD27" s="245">
        <f ca="1">'[1]October - 2022'!BO27</f>
        <v>0</v>
      </c>
      <c r="BE27" s="93">
        <f ca="1">'[1]October - 2022'!BO27</f>
        <v>0</v>
      </c>
      <c r="BF27" s="272">
        <f ca="1">'[1]October - 2022'!BQ27</f>
        <v>73307500</v>
      </c>
      <c r="BG27" s="245">
        <f ca="1">'[1]October - 2022'!BR27</f>
        <v>62600</v>
      </c>
      <c r="BH27" s="93">
        <f ca="1">'[1]October - 2022'!BR27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 ca="1">'[1]October - 2022'!BT27</f>
        <v>9816010</v>
      </c>
      <c r="BT27" s="185">
        <f ca="1">'[1]October - 2022'!BU27</f>
        <v>4990</v>
      </c>
      <c r="BU27" s="590"/>
      <c r="BV27" s="88">
        <f ca="1">'[1]October - 2022'!BW27</f>
        <v>0.53</v>
      </c>
      <c r="BW27" s="241">
        <f ca="1">'[1]October - 2022'!BX27</f>
        <v>6.9999999999999951E-2</v>
      </c>
      <c r="BX27" s="88">
        <f ca="1">'[1]October - 2022'!BX27</f>
        <v>6.9999999999999951E-2</v>
      </c>
      <c r="BY27" s="89">
        <f ca="1">'[1]October - 2022'!BZ27</f>
        <v>63246</v>
      </c>
      <c r="BZ27" s="191">
        <f ca="1">'[1]October - 2022'!CA27</f>
        <v>22</v>
      </c>
      <c r="CA27" s="89">
        <f ca="1">'[1]October - 2022'!CB27</f>
        <v>54423</v>
      </c>
      <c r="CB27" s="191">
        <f ca="1">'[1]October - 2022'!CC27</f>
        <v>18</v>
      </c>
      <c r="CC27" s="89">
        <f ca="1">'[1]October - 2022'!CD27</f>
        <v>18413</v>
      </c>
      <c r="CD27" s="191">
        <f ca="1">'[1]October - 2022'!CE27</f>
        <v>5</v>
      </c>
      <c r="CE27" s="89">
        <f ca="1">'[1]October - 2022'!CF27</f>
        <v>25053</v>
      </c>
      <c r="CF27" s="191">
        <f ca="1">'[1]October - 2022'!CG27</f>
        <v>11</v>
      </c>
      <c r="CG27" s="89">
        <f ca="1">'[1]October - 2022'!CH27</f>
        <v>27740</v>
      </c>
      <c r="CH27" s="191">
        <f ca="1">'[1]October - 2022'!CI27</f>
        <v>14</v>
      </c>
      <c r="CI27" s="89">
        <f ca="1">'[1]October - 2022'!CJ27</f>
        <v>60685</v>
      </c>
      <c r="CJ27" s="191">
        <f ca="1">'[1]October - 2022'!CK27</f>
        <v>34</v>
      </c>
      <c r="CK27" s="89">
        <f ca="1">'[1]October - 2022'!CL27</f>
        <v>264230</v>
      </c>
      <c r="CL27" s="246">
        <f ca="1">'[1]October - 2022'!CM27</f>
        <v>76</v>
      </c>
      <c r="CM27" s="89">
        <f ca="1">'[1]October - 2022'!CM27</f>
        <v>76</v>
      </c>
      <c r="CN27" s="89">
        <f ca="1">'[1]October - 2022'!CO27</f>
        <v>209938</v>
      </c>
      <c r="CO27" s="246">
        <f ca="1">'[1]October - 2022'!CP27</f>
        <v>90</v>
      </c>
      <c r="CP27" s="89">
        <f ca="1">'[1]October - 2022'!CP27</f>
        <v>90</v>
      </c>
      <c r="CQ27" s="89">
        <f ca="1">'[1]October - 2022'!CR27</f>
        <v>349824</v>
      </c>
      <c r="CR27" s="246">
        <f ca="1">'[1]October - 2022'!CS27</f>
        <v>0</v>
      </c>
      <c r="CS27" s="89">
        <f ca="1">'[1]October - 2022'!CS27</f>
        <v>0</v>
      </c>
      <c r="CT27" s="89">
        <f ca="1">'[1]October - 2022'!CU27</f>
        <v>685888</v>
      </c>
      <c r="CU27" s="191">
        <f ca="1">'[1]October - 2022'!CV27</f>
        <v>170</v>
      </c>
      <c r="CV27" s="518"/>
      <c r="CW27" s="256">
        <f ca="1">'[1]October - 2022'!CX27</f>
        <v>8446</v>
      </c>
      <c r="CX27" s="198">
        <f ca="1">'[1]October - 2022'!CY27</f>
        <v>5</v>
      </c>
      <c r="CY27" s="257">
        <f ca="1">'[1]October - 2022'!CZ27</f>
        <v>5729</v>
      </c>
      <c r="CZ27" s="198">
        <f ca="1">'[1]October - 2022'!DA27</f>
        <v>2</v>
      </c>
      <c r="DA27" s="257">
        <f ca="1">'[1]October - 2022'!DB27</f>
        <v>31333</v>
      </c>
      <c r="DB27" s="198">
        <f ca="1">'[1]October - 2022'!DC27</f>
        <v>11</v>
      </c>
      <c r="DC27" s="257">
        <f ca="1">'[1]October - 2022'!DD27</f>
        <v>31617</v>
      </c>
      <c r="DD27" s="198">
        <f ca="1">'[1]October - 2022'!DE27</f>
        <v>14</v>
      </c>
      <c r="DE27" s="257">
        <f ca="1">'[1]October - 2022'!DF27</f>
        <v>21323</v>
      </c>
      <c r="DF27" s="198">
        <f ca="1">'[1]October - 2022'!DG27</f>
        <v>8</v>
      </c>
      <c r="DG27" s="257">
        <f ca="1">'[1]October - 2022'!DH27</f>
        <v>23705</v>
      </c>
      <c r="DH27" s="198">
        <f ca="1">'[1]October - 2022'!DI27</f>
        <v>6</v>
      </c>
      <c r="DI27" s="257">
        <f ca="1">'[1]October - 2022'!DJ27</f>
        <v>6587</v>
      </c>
      <c r="DJ27" s="198">
        <f ca="1">'[1]October - 2022'!DK27</f>
        <v>6</v>
      </c>
      <c r="DK27" s="257">
        <f ca="1">'[1]October - 2022'!DL27</f>
        <v>9350</v>
      </c>
      <c r="DL27" s="198">
        <f ca="1">'[1]October - 2022'!DM27</f>
        <v>7</v>
      </c>
      <c r="DM27" s="257">
        <f ca="1">'[1]October - 2022'!DN27</f>
        <v>3088</v>
      </c>
      <c r="DN27" s="198">
        <f ca="1">'[1]October - 2022'!DO27</f>
        <v>3</v>
      </c>
      <c r="DO27" s="257">
        <f ca="1">'[1]October - 2022'!DP27</f>
        <v>5955</v>
      </c>
      <c r="DP27" s="198">
        <f ca="1">'[1]October - 2022'!DQ27</f>
        <v>6</v>
      </c>
      <c r="DQ27" s="257">
        <f ca="1">'[1]October - 2022'!DR27</f>
        <v>29974</v>
      </c>
      <c r="DR27" s="206">
        <f ca="1">'[1]October - 2022'!DS27</f>
        <v>4</v>
      </c>
      <c r="DS27" s="534"/>
      <c r="DT27" s="210">
        <f ca="1">'[1]October - 2022'!DU27</f>
        <v>5742.2</v>
      </c>
      <c r="DU27" s="221">
        <f ca="1">'[1]October - 2022'!DV27</f>
        <v>11.800000000000182</v>
      </c>
      <c r="DV27" s="91">
        <f ca="1">'[1]October - 2022'!DW27</f>
        <v>10848.6</v>
      </c>
      <c r="DW27" s="215">
        <f ca="1">'[1]October - 2022'!DX27</f>
        <v>8.6000000000003638</v>
      </c>
      <c r="DX27" s="91">
        <f ca="1">'[1]October - 2022'!DY27</f>
        <v>4443.3999999999996</v>
      </c>
      <c r="DY27" s="215">
        <f ca="1">'[1]October - 2022'!DZ27</f>
        <v>7.0999999999994543</v>
      </c>
      <c r="DZ27" s="91">
        <f ca="1">'[1]October - 2022'!EA27</f>
        <v>5033.1000000000004</v>
      </c>
      <c r="EA27" s="215">
        <f ca="1">'[1]October - 2022'!EB27</f>
        <v>7.1000000000003638</v>
      </c>
      <c r="EB27" s="91">
        <f ca="1">'[1]October - 2022'!EC27</f>
        <v>1093930</v>
      </c>
      <c r="EC27" s="215">
        <f ca="1">'[1]October - 2022'!ED27</f>
        <v>698</v>
      </c>
      <c r="ED27" s="91">
        <f ca="1">'[1]October - 2022'!EG27</f>
        <v>223994.8</v>
      </c>
      <c r="EE27" s="229">
        <f ca="1">'[1]October - 2022'!EH27</f>
        <v>156.39999999999418</v>
      </c>
      <c r="EF27" s="581"/>
      <c r="EG27" s="235">
        <f ca="1">'[1]October - 2022'!EJ27</f>
        <v>11865900</v>
      </c>
      <c r="EH27" s="230">
        <f ca="1">'[1]October - 2022'!EK27</f>
        <v>9900</v>
      </c>
      <c r="EI27" s="90">
        <f ca="1">'[1]October - 2022'!EL27</f>
        <v>919090</v>
      </c>
      <c r="EJ27" s="230">
        <f ca="1">'[1]October - 2022'!EM27</f>
        <v>390</v>
      </c>
      <c r="EK27" s="90">
        <f ca="1">'[1]October - 2022'!EN27</f>
        <v>7100400</v>
      </c>
      <c r="EL27" s="230">
        <f ca="1">'[1]October - 2022'!EO27</f>
        <v>4000</v>
      </c>
      <c r="EM27" s="90">
        <f ca="1">'[1]October - 2022'!EP27</f>
        <v>2470900</v>
      </c>
      <c r="EN27" s="230">
        <f ca="1">'[1]October - 2022'!EQ27</f>
        <v>800</v>
      </c>
      <c r="EO27" s="90">
        <f ca="1">'[1]October - 2022'!ER27</f>
        <v>1238280</v>
      </c>
      <c r="EP27" s="230">
        <f ca="1">'[1]October - 2022'!ES27</f>
        <v>1120</v>
      </c>
      <c r="EQ27" s="90">
        <f ca="1">'[1]October - 2022'!ET27</f>
        <v>16312900</v>
      </c>
      <c r="ER27" s="230">
        <f ca="1">'[1]October - 2022'!EU27</f>
        <v>11500</v>
      </c>
      <c r="ES27" s="556"/>
      <c r="ET27" s="281">
        <f ca="1">'[1]October - 2022'!EW27</f>
        <v>41282</v>
      </c>
      <c r="EU27" s="275">
        <f ca="1">'[1]October - 2022'!EX27</f>
        <v>15</v>
      </c>
      <c r="EV27" s="282">
        <f ca="1">'[1]October - 2022'!EY27</f>
        <v>36173</v>
      </c>
      <c r="EW27" s="275">
        <f ca="1">'[1]October - 2022'!EZ27</f>
        <v>12</v>
      </c>
      <c r="EX27" s="282">
        <f ca="1">'[1]October - 2022'!FA27</f>
        <v>7013</v>
      </c>
      <c r="EY27" s="275">
        <f ca="1">'[1]October - 2022'!FB27</f>
        <v>8</v>
      </c>
      <c r="EZ27" s="282">
        <f ca="1">'[1]October - 2022'!FC27</f>
        <v>58517</v>
      </c>
      <c r="FA27" s="275">
        <f ca="1">'[1]October - 2022'!FD27</f>
        <v>12</v>
      </c>
      <c r="FB27" s="282">
        <f ca="1">'[1]October - 2022'!FE27</f>
        <v>47743</v>
      </c>
      <c r="FC27" s="276">
        <f ca="1">'[1]October - 2022'!FF27</f>
        <v>37</v>
      </c>
    </row>
    <row r="28" spans="1:159" ht="30" customHeight="1" x14ac:dyDescent="0.25">
      <c r="A28" s="207">
        <v>43849</v>
      </c>
      <c r="B28" s="209">
        <f ca="1">'[1]October - 2022'!B28</f>
        <v>0.59</v>
      </c>
      <c r="C28" s="250">
        <f ca="1">'[1]October - 2022'!E28</f>
        <v>265622</v>
      </c>
      <c r="D28" s="170">
        <f ca="1">'[1]October - 2022'!F28</f>
        <v>863</v>
      </c>
      <c r="E28" s="168">
        <f ca="1">'[1]October - 2022'!G28</f>
        <v>689</v>
      </c>
      <c r="F28" s="168">
        <f ca="1">'[1]October - 2022'!H28</f>
        <v>218180</v>
      </c>
      <c r="G28" s="170">
        <f ca="1">'[1]October - 2022'!I28</f>
        <v>397</v>
      </c>
      <c r="H28" s="168">
        <f ca="1">'[1]October - 2022'!J28</f>
        <v>370</v>
      </c>
      <c r="I28" s="168">
        <f ca="1">'[1]October - 2022'!K28</f>
        <v>843</v>
      </c>
      <c r="J28" s="170">
        <f ca="1">'[1]October - 2022'!L28</f>
        <v>73</v>
      </c>
      <c r="K28" s="168">
        <f ca="1">'[1]October - 2022'!N28</f>
        <v>906936</v>
      </c>
      <c r="L28" s="170">
        <f ca="1">'[1]October - 2022'!O28</f>
        <v>262</v>
      </c>
      <c r="M28" s="168">
        <f ca="1">'[1]October - 2022'!Q28</f>
        <v>236596</v>
      </c>
      <c r="N28" s="170">
        <f ca="1">'[1]October - 2022'!R28</f>
        <v>197</v>
      </c>
      <c r="O28" s="168">
        <f ca="1">'[1]October - 2022'!S28</f>
        <v>108092</v>
      </c>
      <c r="P28" s="170">
        <f ca="1">'[1]October - 2022'!T28</f>
        <v>212</v>
      </c>
      <c r="Q28" s="168">
        <f ca="1">'[1]October - 2022'!U28</f>
        <v>207.06999999999971</v>
      </c>
      <c r="R28" s="168">
        <f ca="1">'[1]October - 2022'!V28</f>
        <v>5707</v>
      </c>
      <c r="S28" s="208">
        <f ca="1">'[1]October - 2022'!W28</f>
        <v>21</v>
      </c>
      <c r="T28" s="477"/>
      <c r="U28" s="169">
        <f ca="1">'[1]October - 2022'!AC28</f>
        <v>8023794.2400000002</v>
      </c>
      <c r="V28" s="288">
        <f ca="1">'[1]October - 2022'!AD28</f>
        <v>2923.2000000001863</v>
      </c>
      <c r="W28" s="92">
        <f ca="1">'[1]October - 2022'!AD28</f>
        <v>2923.2000000001863</v>
      </c>
      <c r="X28" s="287">
        <f ca="1">'[1]October - 2022'!AF28</f>
        <v>15243513.6</v>
      </c>
      <c r="Y28" s="288">
        <f ca="1">'[1]October - 2022'!AG28</f>
        <v>4384.8000000007451</v>
      </c>
      <c r="Z28" s="92">
        <f ca="1">'[1]October - 2022'!AG28</f>
        <v>4384.8000000007451</v>
      </c>
      <c r="AA28" s="287">
        <f ca="1">'[1]October - 2022'!AI28</f>
        <v>15562580.880000001</v>
      </c>
      <c r="AB28" s="288">
        <f ca="1">'[1]October - 2022'!AJ28</f>
        <v>9841.4400000013411</v>
      </c>
      <c r="AC28" s="92">
        <f ca="1">'[1]October - 2022'!AJ28</f>
        <v>9841.4400000013411</v>
      </c>
      <c r="AD28" s="287">
        <f ca="1">'[1]October - 2022'!AL28</f>
        <v>18547362.960000001</v>
      </c>
      <c r="AE28" s="288">
        <f ca="1">'[1]October - 2022'!AM28</f>
        <v>633.36000000312924</v>
      </c>
      <c r="AF28" s="92">
        <f ca="1">'[1]October - 2022'!AM28</f>
        <v>633.36000000312924</v>
      </c>
      <c r="AG28" s="287">
        <f ca="1">'[1]October - 2022'!AO28</f>
        <v>18870132.960000001</v>
      </c>
      <c r="AH28" s="288">
        <f ca="1">'[1]October - 2022'!AP28</f>
        <v>11303.040000002831</v>
      </c>
      <c r="AI28" s="92">
        <f ca="1">'[1]October - 2022'!AP28</f>
        <v>11303.040000002831</v>
      </c>
      <c r="AJ28" s="287">
        <f ca="1">'[1]October - 2022'!AR28</f>
        <v>17276063.280000001</v>
      </c>
      <c r="AK28" s="288">
        <f ca="1">'[1]October - 2022'!AS28</f>
        <v>5651.519999999553</v>
      </c>
      <c r="AL28" s="92">
        <f ca="1">'[1]October - 2022'!AS28</f>
        <v>5651.519999999553</v>
      </c>
      <c r="AM28" s="287">
        <f ca="1">'[1]October - 2022'!AU28</f>
        <v>14559387.359999999</v>
      </c>
      <c r="AN28" s="288">
        <f ca="1">'[1]October - 2022'!AV28</f>
        <v>4189.9199999999255</v>
      </c>
      <c r="AO28" s="92">
        <f ca="1">'[1]October - 2022'!AV28</f>
        <v>4189.9199999999255</v>
      </c>
      <c r="AP28" s="295">
        <f ca="1">'[1]October - 2022'!AX28</f>
        <v>14074623.359999999</v>
      </c>
      <c r="AQ28" s="288">
        <f ca="1">'[1]October - 2022'!AY28</f>
        <v>4433.519999999553</v>
      </c>
      <c r="AR28" s="92">
        <f ca="1">'[1]October - 2022'!AY28</f>
        <v>4433.519999999553</v>
      </c>
      <c r="AS28" s="287">
        <f ca="1">'[1]October - 2022'!BA28</f>
        <v>11025287.280000001</v>
      </c>
      <c r="AT28" s="288">
        <f ca="1">'[1]October - 2022'!BB28</f>
        <v>2777.0400000009686</v>
      </c>
      <c r="AU28" s="92">
        <f ca="1">'[1]October - 2022'!BB28</f>
        <v>2777.0400000009686</v>
      </c>
      <c r="AV28" s="287">
        <f ca="1">'[1]October - 2022'!BD28</f>
        <v>17408386.800000001</v>
      </c>
      <c r="AW28" s="252">
        <f ca="1">'[1]October - 2022'!BE28</f>
        <v>5651.519999999553</v>
      </c>
      <c r="AX28" s="253">
        <f ca="1">'[1]October - 2022'!BE28</f>
        <v>5651.519999999553</v>
      </c>
      <c r="AY28" s="494"/>
      <c r="AZ28" s="272">
        <f ca="1">'[1]October - 2022'!BK28</f>
        <v>76939900</v>
      </c>
      <c r="BA28" s="179">
        <f ca="1">'[1]October - 2022'!BL28</f>
        <v>48100</v>
      </c>
      <c r="BB28" s="93">
        <f ca="1">'[1]October - 2022'!BL28</f>
        <v>48100</v>
      </c>
      <c r="BC28" s="272">
        <f ca="1">'[1]October - 2022'!BN28</f>
        <v>79139500</v>
      </c>
      <c r="BD28" s="245">
        <f ca="1">'[1]October - 2022'!BO28</f>
        <v>0</v>
      </c>
      <c r="BE28" s="93">
        <f ca="1">'[1]October - 2022'!BO28</f>
        <v>0</v>
      </c>
      <c r="BF28" s="272">
        <f ca="1">'[1]October - 2022'!BQ28</f>
        <v>73367900</v>
      </c>
      <c r="BG28" s="245">
        <f ca="1">'[1]October - 2022'!BR28</f>
        <v>60400</v>
      </c>
      <c r="BH28" s="93">
        <f ca="1">'[1]October - 2022'!BR28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 ca="1">'[1]October - 2022'!BT28</f>
        <v>9825960</v>
      </c>
      <c r="BT28" s="185">
        <f ca="1">'[1]October - 2022'!BU28</f>
        <v>9950</v>
      </c>
      <c r="BU28" s="590"/>
      <c r="BV28" s="88">
        <f ca="1">'[1]October - 2022'!BW28</f>
        <v>0.5</v>
      </c>
      <c r="BW28" s="241">
        <f ca="1">'[1]October - 2022'!BX28</f>
        <v>3.0000000000000027E-2</v>
      </c>
      <c r="BX28" s="88">
        <f ca="1">'[1]October - 2022'!BX28</f>
        <v>3.0000000000000027E-2</v>
      </c>
      <c r="BY28" s="89">
        <f ca="1">'[1]October - 2022'!BZ28</f>
        <v>63269</v>
      </c>
      <c r="BZ28" s="191">
        <f ca="1">'[1]October - 2022'!CA28</f>
        <v>23</v>
      </c>
      <c r="CA28" s="89">
        <f ca="1">'[1]October - 2022'!CB28</f>
        <v>54442</v>
      </c>
      <c r="CB28" s="191">
        <f ca="1">'[1]October - 2022'!CC28</f>
        <v>19</v>
      </c>
      <c r="CC28" s="89">
        <f ca="1">'[1]October - 2022'!CD28</f>
        <v>18421</v>
      </c>
      <c r="CD28" s="191">
        <f ca="1">'[1]October - 2022'!CE28</f>
        <v>8</v>
      </c>
      <c r="CE28" s="89">
        <f ca="1">'[1]October - 2022'!CF28</f>
        <v>25063</v>
      </c>
      <c r="CF28" s="191">
        <f ca="1">'[1]October - 2022'!CG28</f>
        <v>10</v>
      </c>
      <c r="CG28" s="89">
        <f ca="1">'[1]October - 2022'!CH28</f>
        <v>27753</v>
      </c>
      <c r="CH28" s="191">
        <f ca="1">'[1]October - 2022'!CI28</f>
        <v>13</v>
      </c>
      <c r="CI28" s="89">
        <f ca="1">'[1]October - 2022'!CJ28</f>
        <v>60716</v>
      </c>
      <c r="CJ28" s="191">
        <f ca="1">'[1]October - 2022'!CK28</f>
        <v>31</v>
      </c>
      <c r="CK28" s="89">
        <f ca="1">'[1]October - 2022'!CL28</f>
        <v>264300</v>
      </c>
      <c r="CL28" s="246">
        <f ca="1">'[1]October - 2022'!CM28</f>
        <v>70</v>
      </c>
      <c r="CM28" s="89">
        <f ca="1">'[1]October - 2022'!CM28</f>
        <v>70</v>
      </c>
      <c r="CN28" s="89">
        <f ca="1">'[1]October - 2022'!CO28</f>
        <v>210024</v>
      </c>
      <c r="CO28" s="246">
        <f ca="1">'[1]October - 2022'!CP28</f>
        <v>86</v>
      </c>
      <c r="CP28" s="89">
        <f ca="1">'[1]October - 2022'!CP28</f>
        <v>86</v>
      </c>
      <c r="CQ28" s="89">
        <f ca="1">'[1]October - 2022'!CR28</f>
        <v>349824</v>
      </c>
      <c r="CR28" s="246">
        <f ca="1">'[1]October - 2022'!CS28</f>
        <v>0</v>
      </c>
      <c r="CS28" s="89">
        <f ca="1">'[1]October - 2022'!CS28</f>
        <v>0</v>
      </c>
      <c r="CT28" s="89">
        <f ca="1">'[1]October - 2022'!CU28</f>
        <v>686048</v>
      </c>
      <c r="CU28" s="191">
        <f ca="1">'[1]October - 2022'!CV28</f>
        <v>160</v>
      </c>
      <c r="CV28" s="518"/>
      <c r="CW28" s="256">
        <f ca="1">'[1]October - 2022'!CX28</f>
        <v>8456</v>
      </c>
      <c r="CX28" s="198">
        <f ca="1">'[1]October - 2022'!CY28</f>
        <v>10</v>
      </c>
      <c r="CY28" s="257">
        <f ca="1">'[1]October - 2022'!CZ28</f>
        <v>5736</v>
      </c>
      <c r="CZ28" s="198">
        <f ca="1">'[1]October - 2022'!DA28</f>
        <v>7</v>
      </c>
      <c r="DA28" s="257">
        <f ca="1">'[1]October - 2022'!DB28</f>
        <v>31349</v>
      </c>
      <c r="DB28" s="198">
        <f ca="1">'[1]October - 2022'!DC28</f>
        <v>16</v>
      </c>
      <c r="DC28" s="257">
        <f ca="1">'[1]October - 2022'!DD28</f>
        <v>31631</v>
      </c>
      <c r="DD28" s="198">
        <f ca="1">'[1]October - 2022'!DE28</f>
        <v>14</v>
      </c>
      <c r="DE28" s="257">
        <f ca="1">'[1]October - 2022'!DF28</f>
        <v>21332</v>
      </c>
      <c r="DF28" s="198">
        <f ca="1">'[1]October - 2022'!DG28</f>
        <v>9</v>
      </c>
      <c r="DG28" s="257">
        <f ca="1">'[1]October - 2022'!DH28</f>
        <v>23712</v>
      </c>
      <c r="DH28" s="198">
        <f ca="1">'[1]October - 2022'!DI28</f>
        <v>7</v>
      </c>
      <c r="DI28" s="257">
        <f ca="1">'[1]October - 2022'!DJ28</f>
        <v>6598</v>
      </c>
      <c r="DJ28" s="198">
        <f ca="1">'[1]October - 2022'!DK28</f>
        <v>11</v>
      </c>
      <c r="DK28" s="257">
        <f ca="1">'[1]October - 2022'!DL28</f>
        <v>9358</v>
      </c>
      <c r="DL28" s="198">
        <f ca="1">'[1]October - 2022'!DM28</f>
        <v>8</v>
      </c>
      <c r="DM28" s="257">
        <f ca="1">'[1]October - 2022'!DN28</f>
        <v>3091</v>
      </c>
      <c r="DN28" s="198">
        <f ca="1">'[1]October - 2022'!DO28</f>
        <v>3</v>
      </c>
      <c r="DO28" s="257">
        <f ca="1">'[1]October - 2022'!DP28</f>
        <v>5966</v>
      </c>
      <c r="DP28" s="198">
        <f ca="1">'[1]October - 2022'!DQ28</f>
        <v>11</v>
      </c>
      <c r="DQ28" s="257">
        <f ca="1">'[1]October - 2022'!DR28</f>
        <v>29975</v>
      </c>
      <c r="DR28" s="206">
        <f ca="1">'[1]October - 2022'!DS28</f>
        <v>1</v>
      </c>
      <c r="DS28" s="534"/>
      <c r="DT28" s="210">
        <f ca="1">'[1]October - 2022'!DU28</f>
        <v>5753.6</v>
      </c>
      <c r="DU28" s="221">
        <f ca="1">'[1]October - 2022'!DV28</f>
        <v>11.400000000000546</v>
      </c>
      <c r="DV28" s="91">
        <f ca="1">'[1]October - 2022'!DW28</f>
        <v>10857</v>
      </c>
      <c r="DW28" s="215">
        <f ca="1">'[1]October - 2022'!DX28</f>
        <v>8.3999999999996362</v>
      </c>
      <c r="DX28" s="91">
        <f ca="1">'[1]October - 2022'!DY28</f>
        <v>4450.3999999999996</v>
      </c>
      <c r="DY28" s="215">
        <f ca="1">'[1]October - 2022'!DZ28</f>
        <v>7</v>
      </c>
      <c r="DZ28" s="91">
        <f ca="1">'[1]October - 2022'!EA28</f>
        <v>5040</v>
      </c>
      <c r="EA28" s="215">
        <f ca="1">'[1]October - 2022'!EB28</f>
        <v>6.8999999999996362</v>
      </c>
      <c r="EB28" s="91">
        <f ca="1">'[1]October - 2022'!EC28</f>
        <v>1094593</v>
      </c>
      <c r="EC28" s="215">
        <f ca="1">'[1]October - 2022'!ED28</f>
        <v>663</v>
      </c>
      <c r="ED28" s="91">
        <f ca="1">'[1]October - 2022'!EG28</f>
        <v>224149</v>
      </c>
      <c r="EE28" s="229">
        <f ca="1">'[1]October - 2022'!EH28</f>
        <v>154.20000000001164</v>
      </c>
      <c r="EF28" s="581"/>
      <c r="EG28" s="235">
        <f ca="1">'[1]October - 2022'!EJ28</f>
        <v>11871300</v>
      </c>
      <c r="EH28" s="230">
        <f ca="1">'[1]October - 2022'!EK28</f>
        <v>5400</v>
      </c>
      <c r="EI28" s="90">
        <f ca="1">'[1]October - 2022'!EL28</f>
        <v>919320</v>
      </c>
      <c r="EJ28" s="230">
        <f ca="1">'[1]October - 2022'!EM28</f>
        <v>230</v>
      </c>
      <c r="EK28" s="90">
        <f ca="1">'[1]October - 2022'!EN28</f>
        <v>7102400</v>
      </c>
      <c r="EL28" s="230">
        <f ca="1">'[1]October - 2022'!EO28</f>
        <v>2000</v>
      </c>
      <c r="EM28" s="90">
        <f ca="1">'[1]October - 2022'!EP28</f>
        <v>2471400</v>
      </c>
      <c r="EN28" s="230">
        <f ca="1">'[1]October - 2022'!EQ28</f>
        <v>500</v>
      </c>
      <c r="EO28" s="90">
        <f ca="1">'[1]October - 2022'!ER28</f>
        <v>1238930</v>
      </c>
      <c r="EP28" s="230">
        <f ca="1">'[1]October - 2022'!ES28</f>
        <v>650</v>
      </c>
      <c r="EQ28" s="90">
        <f ca="1">'[1]October - 2022'!ET28</f>
        <v>16319400</v>
      </c>
      <c r="ER28" s="230">
        <f ca="1">'[1]October - 2022'!EU28</f>
        <v>6500</v>
      </c>
      <c r="ES28" s="556"/>
      <c r="ET28" s="281">
        <f ca="1">'[1]October - 2022'!EW28</f>
        <v>41296</v>
      </c>
      <c r="EU28" s="275">
        <f ca="1">'[1]October - 2022'!EX28</f>
        <v>14</v>
      </c>
      <c r="EV28" s="282">
        <f ca="1">'[1]October - 2022'!EY28</f>
        <v>36183</v>
      </c>
      <c r="EW28" s="275">
        <f ca="1">'[1]October - 2022'!EZ28</f>
        <v>10</v>
      </c>
      <c r="EX28" s="282">
        <f ca="1">'[1]October - 2022'!FA28</f>
        <v>7023</v>
      </c>
      <c r="EY28" s="275">
        <f ca="1">'[1]October - 2022'!FB28</f>
        <v>10</v>
      </c>
      <c r="EZ28" s="282">
        <f ca="1">'[1]October - 2022'!FC28</f>
        <v>58533</v>
      </c>
      <c r="FA28" s="275">
        <f ca="1">'[1]October - 2022'!FD28</f>
        <v>16</v>
      </c>
      <c r="FB28" s="282">
        <f ca="1">'[1]October - 2022'!FE28</f>
        <v>47776</v>
      </c>
      <c r="FC28" s="276">
        <f ca="1">'[1]October - 2022'!FF28</f>
        <v>33</v>
      </c>
    </row>
    <row r="29" spans="1:159" ht="30" customHeight="1" x14ac:dyDescent="0.25">
      <c r="A29" s="207">
        <v>43850</v>
      </c>
      <c r="B29" s="209">
        <f ca="1">'[1]October - 2022'!B29</f>
        <v>0.59</v>
      </c>
      <c r="C29" s="250">
        <f ca="1">'[1]October - 2022'!E29</f>
        <v>266500</v>
      </c>
      <c r="D29" s="170">
        <f ca="1">'[1]October - 2022'!F29</f>
        <v>878</v>
      </c>
      <c r="E29" s="168">
        <f ca="1">'[1]October - 2022'!G29</f>
        <v>629</v>
      </c>
      <c r="F29" s="168">
        <f ca="1">'[1]October - 2022'!H29</f>
        <v>218614</v>
      </c>
      <c r="G29" s="170">
        <f ca="1">'[1]October - 2022'!I29</f>
        <v>434</v>
      </c>
      <c r="H29" s="168">
        <f ca="1">'[1]October - 2022'!J29</f>
        <v>398</v>
      </c>
      <c r="I29" s="168">
        <f ca="1">'[1]October - 2022'!K29</f>
        <v>953</v>
      </c>
      <c r="J29" s="170">
        <f ca="1">'[1]October - 2022'!L29</f>
        <v>110</v>
      </c>
      <c r="K29" s="168">
        <f ca="1">'[1]October - 2022'!N29</f>
        <v>907239</v>
      </c>
      <c r="L29" s="170">
        <f ca="1">'[1]October - 2022'!O29</f>
        <v>303</v>
      </c>
      <c r="M29" s="168">
        <f ca="1">'[1]October - 2022'!Q29</f>
        <v>236777</v>
      </c>
      <c r="N29" s="170">
        <f ca="1">'[1]October - 2022'!R29</f>
        <v>181</v>
      </c>
      <c r="O29" s="168">
        <f ca="1">'[1]October - 2022'!S29</f>
        <v>108301</v>
      </c>
      <c r="P29" s="170">
        <f ca="1">'[1]October - 2022'!T29</f>
        <v>209</v>
      </c>
      <c r="Q29" s="168">
        <f ca="1">'[1]October - 2022'!U29</f>
        <v>195.75</v>
      </c>
      <c r="R29" s="168">
        <f ca="1">'[1]October - 2022'!V29</f>
        <v>5721</v>
      </c>
      <c r="S29" s="208">
        <f ca="1">'[1]October - 2022'!W29</f>
        <v>14</v>
      </c>
      <c r="T29" s="477"/>
      <c r="U29" s="169">
        <f ca="1">'[1]October - 2022'!AC29</f>
        <v>8026571.2800000003</v>
      </c>
      <c r="V29" s="288">
        <f ca="1">'[1]October - 2022'!AD29</f>
        <v>2777.0400000000373</v>
      </c>
      <c r="W29" s="92">
        <f ca="1">'[1]October - 2022'!AD29</f>
        <v>2777.0400000000373</v>
      </c>
      <c r="X29" s="287">
        <f ca="1">'[1]October - 2022'!AF29</f>
        <v>15248385.6</v>
      </c>
      <c r="Y29" s="288">
        <f ca="1">'[1]October - 2022'!AG29</f>
        <v>4872</v>
      </c>
      <c r="Z29" s="92">
        <f ca="1">'[1]October - 2022'!AG29</f>
        <v>4872</v>
      </c>
      <c r="AA29" s="287">
        <f ca="1">'[1]October - 2022'!AI29</f>
        <v>15572276.16</v>
      </c>
      <c r="AB29" s="288">
        <f ca="1">'[1]October - 2022'!AJ29</f>
        <v>9695.2799999993294</v>
      </c>
      <c r="AC29" s="92">
        <f ca="1">'[1]October - 2022'!AJ29</f>
        <v>9695.2799999993294</v>
      </c>
      <c r="AD29" s="287">
        <f ca="1">'[1]October - 2022'!AL29</f>
        <v>18547947.599999998</v>
      </c>
      <c r="AE29" s="288">
        <f ca="1">'[1]October - 2022'!AM29</f>
        <v>584.63999999687076</v>
      </c>
      <c r="AF29" s="92">
        <f ca="1">'[1]October - 2022'!AM29</f>
        <v>584.63999999687076</v>
      </c>
      <c r="AG29" s="287">
        <f ca="1">'[1]October - 2022'!AO29</f>
        <v>18881630.879999999</v>
      </c>
      <c r="AH29" s="288">
        <f ca="1">'[1]October - 2022'!AP29</f>
        <v>11497.919999998063</v>
      </c>
      <c r="AI29" s="92">
        <f ca="1">'[1]October - 2022'!AP29</f>
        <v>11497.919999998063</v>
      </c>
      <c r="AJ29" s="287">
        <f ca="1">'[1]October - 2022'!AR29</f>
        <v>17282055.84</v>
      </c>
      <c r="AK29" s="288">
        <f ca="1">'[1]October - 2022'!AS29</f>
        <v>5992.5599999986589</v>
      </c>
      <c r="AL29" s="92">
        <f ca="1">'[1]October - 2022'!AS29</f>
        <v>5992.5599999986589</v>
      </c>
      <c r="AM29" s="287">
        <f ca="1">'[1]October - 2022'!AU29</f>
        <v>14563869.6</v>
      </c>
      <c r="AN29" s="288">
        <f ca="1">'[1]October - 2022'!AV29</f>
        <v>4482.2400000002235</v>
      </c>
      <c r="AO29" s="92">
        <f ca="1">'[1]October - 2022'!AV29</f>
        <v>4482.2400000002235</v>
      </c>
      <c r="AP29" s="287">
        <f ca="1">'[1]October - 2022'!AX29</f>
        <v>14079349.199999999</v>
      </c>
      <c r="AQ29" s="288">
        <f ca="1">'[1]October - 2022'!AY29</f>
        <v>4725.839999999851</v>
      </c>
      <c r="AR29" s="92">
        <f ca="1">'[1]October - 2022'!AY29</f>
        <v>4725.839999999851</v>
      </c>
      <c r="AS29" s="287">
        <f ca="1">'[1]October - 2022'!BA29</f>
        <v>11028259.199999999</v>
      </c>
      <c r="AT29" s="288">
        <f ca="1">'[1]October - 2022'!BB29</f>
        <v>2971.9199999980628</v>
      </c>
      <c r="AU29" s="92">
        <f ca="1">'[1]October - 2022'!BB29</f>
        <v>2971.9199999980628</v>
      </c>
      <c r="AV29" s="287">
        <f ca="1">'[1]October - 2022'!BD29</f>
        <v>17414233.199999999</v>
      </c>
      <c r="AW29" s="252">
        <f ca="1">'[1]October - 2022'!BE29</f>
        <v>5846.3999999985099</v>
      </c>
      <c r="AX29" s="253">
        <f ca="1">'[1]October - 2022'!BE29</f>
        <v>5846.3999999985099</v>
      </c>
      <c r="AY29" s="494"/>
      <c r="AZ29" s="272">
        <f ca="1">'[1]October - 2022'!BK29</f>
        <v>76983600</v>
      </c>
      <c r="BA29" s="179">
        <f ca="1">'[1]October - 2022'!BL29</f>
        <v>43700</v>
      </c>
      <c r="BB29" s="93">
        <f ca="1">'[1]October - 2022'!BL29</f>
        <v>43700</v>
      </c>
      <c r="BC29" s="272">
        <f ca="1">'[1]October - 2022'!BN29</f>
        <v>79139500</v>
      </c>
      <c r="BD29" s="245">
        <f ca="1">'[1]October - 2022'!BO29</f>
        <v>0</v>
      </c>
      <c r="BE29" s="93">
        <f ca="1">'[1]October - 2022'!BO29</f>
        <v>0</v>
      </c>
      <c r="BF29" s="272">
        <f ca="1">'[1]October - 2022'!BQ29</f>
        <v>73427000</v>
      </c>
      <c r="BG29" s="245">
        <f ca="1">'[1]October - 2022'!BR29</f>
        <v>59100</v>
      </c>
      <c r="BH29" s="93">
        <f ca="1">'[1]October - 2022'!BR29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 ca="1">'[1]October - 2022'!BT29</f>
        <v>9834120</v>
      </c>
      <c r="BT29" s="185">
        <f ca="1">'[1]October - 2022'!BU29</f>
        <v>8160</v>
      </c>
      <c r="BU29" s="590"/>
      <c r="BV29" s="88">
        <f ca="1">'[1]October - 2022'!BW29</f>
        <v>0.48</v>
      </c>
      <c r="BW29" s="241">
        <f ca="1">'[1]October - 2022'!BX29</f>
        <v>2.0000000000000018E-2</v>
      </c>
      <c r="BX29" s="88">
        <f ca="1">'[1]October - 2022'!BX29</f>
        <v>2.0000000000000018E-2</v>
      </c>
      <c r="BY29" s="89">
        <f ca="1">'[1]October - 2022'!BZ29</f>
        <v>63293</v>
      </c>
      <c r="BZ29" s="191">
        <f ca="1">'[1]October - 2022'!CA29</f>
        <v>24</v>
      </c>
      <c r="CA29" s="89">
        <f ca="1">'[1]October - 2022'!CB29</f>
        <v>54463</v>
      </c>
      <c r="CB29" s="191">
        <f ca="1">'[1]October - 2022'!CC29</f>
        <v>21</v>
      </c>
      <c r="CC29" s="89">
        <f ca="1">'[1]October - 2022'!CD29</f>
        <v>18428</v>
      </c>
      <c r="CD29" s="191">
        <f ca="1">'[1]October - 2022'!CE29</f>
        <v>7</v>
      </c>
      <c r="CE29" s="89">
        <f ca="1">'[1]October - 2022'!CF29</f>
        <v>25074</v>
      </c>
      <c r="CF29" s="191">
        <f ca="1">'[1]October - 2022'!CG29</f>
        <v>11</v>
      </c>
      <c r="CG29" s="89">
        <f ca="1">'[1]October - 2022'!CH29</f>
        <v>27769</v>
      </c>
      <c r="CH29" s="191">
        <f ca="1">'[1]October - 2022'!CI29</f>
        <v>16</v>
      </c>
      <c r="CI29" s="89">
        <f ca="1">'[1]October - 2022'!CJ29</f>
        <v>60751</v>
      </c>
      <c r="CJ29" s="191">
        <f ca="1">'[1]October - 2022'!CK29</f>
        <v>35</v>
      </c>
      <c r="CK29" s="89">
        <f ca="1">'[1]October - 2022'!CL29</f>
        <v>264375</v>
      </c>
      <c r="CL29" s="246">
        <f ca="1">'[1]October - 2022'!CM29</f>
        <v>75</v>
      </c>
      <c r="CM29" s="89">
        <f ca="1">'[1]October - 2022'!CM29</f>
        <v>75</v>
      </c>
      <c r="CN29" s="89">
        <f ca="1">'[1]October - 2022'!CO29</f>
        <v>210116</v>
      </c>
      <c r="CO29" s="246">
        <f ca="1">'[1]October - 2022'!CP29</f>
        <v>92</v>
      </c>
      <c r="CP29" s="89">
        <f ca="1">'[1]October - 2022'!CP29</f>
        <v>92</v>
      </c>
      <c r="CQ29" s="89">
        <f ca="1">'[1]October - 2022'!CR29</f>
        <v>349824</v>
      </c>
      <c r="CR29" s="246">
        <f ca="1">'[1]October - 2022'!CS29</f>
        <v>0</v>
      </c>
      <c r="CS29" s="89">
        <f ca="1">'[1]October - 2022'!CS29</f>
        <v>0</v>
      </c>
      <c r="CT29" s="89">
        <f ca="1">'[1]October - 2022'!CU29</f>
        <v>686219</v>
      </c>
      <c r="CU29" s="191">
        <f ca="1">'[1]October - 2022'!CV29</f>
        <v>171</v>
      </c>
      <c r="CV29" s="518"/>
      <c r="CW29" s="256">
        <f ca="1">'[1]October - 2022'!CX29</f>
        <v>8465</v>
      </c>
      <c r="CX29" s="198">
        <f ca="1">'[1]October - 2022'!CY29</f>
        <v>9</v>
      </c>
      <c r="CY29" s="257">
        <f ca="1">'[1]October - 2022'!CZ29</f>
        <v>5743</v>
      </c>
      <c r="CZ29" s="198">
        <f ca="1">'[1]October - 2022'!DA29</f>
        <v>7</v>
      </c>
      <c r="DA29" s="257">
        <f ca="1">'[1]October - 2022'!DB29</f>
        <v>31365</v>
      </c>
      <c r="DB29" s="198">
        <f ca="1">'[1]October - 2022'!DC29</f>
        <v>16</v>
      </c>
      <c r="DC29" s="257">
        <f ca="1">'[1]October - 2022'!DD29</f>
        <v>31647</v>
      </c>
      <c r="DD29" s="198">
        <f ca="1">'[1]October - 2022'!DE29</f>
        <v>16</v>
      </c>
      <c r="DE29" s="257">
        <f ca="1">'[1]October - 2022'!DF29</f>
        <v>21342</v>
      </c>
      <c r="DF29" s="198">
        <f ca="1">'[1]October - 2022'!DG29</f>
        <v>10</v>
      </c>
      <c r="DG29" s="257">
        <f ca="1">'[1]October - 2022'!DH29</f>
        <v>23718</v>
      </c>
      <c r="DH29" s="198">
        <f ca="1">'[1]October - 2022'!DI29</f>
        <v>6</v>
      </c>
      <c r="DI29" s="257">
        <f ca="1">'[1]October - 2022'!DJ29</f>
        <v>6607</v>
      </c>
      <c r="DJ29" s="198">
        <f ca="1">'[1]October - 2022'!DK29</f>
        <v>9</v>
      </c>
      <c r="DK29" s="257">
        <f ca="1">'[1]October - 2022'!DL29</f>
        <v>9366</v>
      </c>
      <c r="DL29" s="198">
        <f ca="1">'[1]October - 2022'!DM29</f>
        <v>8</v>
      </c>
      <c r="DM29" s="257">
        <f ca="1">'[1]October - 2022'!DN29</f>
        <v>3094</v>
      </c>
      <c r="DN29" s="198">
        <f ca="1">'[1]October - 2022'!DO29</f>
        <v>3</v>
      </c>
      <c r="DO29" s="257">
        <f ca="1">'[1]October - 2022'!DP29</f>
        <v>5974</v>
      </c>
      <c r="DP29" s="198">
        <f ca="1">'[1]October - 2022'!DQ29</f>
        <v>8</v>
      </c>
      <c r="DQ29" s="257">
        <f ca="1">'[1]October - 2022'!DR29</f>
        <v>29986</v>
      </c>
      <c r="DR29" s="206">
        <f ca="1">'[1]October - 2022'!DS29</f>
        <v>11</v>
      </c>
      <c r="DS29" s="534"/>
      <c r="DT29" s="210">
        <f ca="1">'[1]October - 2022'!DU29</f>
        <v>5764.8</v>
      </c>
      <c r="DU29" s="221">
        <f ca="1">'[1]October - 2022'!DV29</f>
        <v>11.199999999999818</v>
      </c>
      <c r="DV29" s="91">
        <f ca="1">'[1]October - 2022'!DW29</f>
        <v>10865.9</v>
      </c>
      <c r="DW29" s="215">
        <f ca="1">'[1]October - 2022'!DX29</f>
        <v>8.8999999999996362</v>
      </c>
      <c r="DX29" s="91">
        <f ca="1">'[1]October - 2022'!DY29</f>
        <v>4457.2</v>
      </c>
      <c r="DY29" s="215">
        <f ca="1">'[1]October - 2022'!DZ29</f>
        <v>6.8000000000001819</v>
      </c>
      <c r="DZ29" s="91">
        <f ca="1">'[1]October - 2022'!EA29</f>
        <v>5047.2</v>
      </c>
      <c r="EA29" s="215">
        <f ca="1">'[1]October - 2022'!EB29</f>
        <v>7.1999999999998181</v>
      </c>
      <c r="EB29" s="91">
        <f ca="1">'[1]October - 2022'!EC29</f>
        <v>1095301</v>
      </c>
      <c r="EC29" s="215">
        <f ca="1">'[1]October - 2022'!ED29</f>
        <v>708</v>
      </c>
      <c r="ED29" s="91">
        <f ca="1">'[1]October - 2022'!EG29</f>
        <v>224295.8</v>
      </c>
      <c r="EE29" s="229">
        <f ca="1">'[1]October - 2022'!EH29</f>
        <v>146.79999999998836</v>
      </c>
      <c r="EF29" s="581"/>
      <c r="EG29" s="235">
        <f ca="1">'[1]October - 2022'!EJ29</f>
        <v>11879100</v>
      </c>
      <c r="EH29" s="230">
        <f ca="1">'[1]October - 2022'!EK29</f>
        <v>7800</v>
      </c>
      <c r="EI29" s="90">
        <f ca="1">'[1]October - 2022'!EL29</f>
        <v>919650</v>
      </c>
      <c r="EJ29" s="230">
        <f ca="1">'[1]October - 2022'!EM29</f>
        <v>330</v>
      </c>
      <c r="EK29" s="90">
        <f ca="1">'[1]October - 2022'!EN29</f>
        <v>7105400</v>
      </c>
      <c r="EL29" s="230">
        <f ca="1">'[1]October - 2022'!EO29</f>
        <v>3000</v>
      </c>
      <c r="EM29" s="90">
        <f ca="1">'[1]October - 2022'!EP29</f>
        <v>2471900</v>
      </c>
      <c r="EN29" s="230">
        <f ca="1">'[1]October - 2022'!EQ29</f>
        <v>500</v>
      </c>
      <c r="EO29" s="90">
        <f ca="1">'[1]October - 2022'!ER29</f>
        <v>1239800</v>
      </c>
      <c r="EP29" s="230">
        <f ca="1">'[1]October - 2022'!ES29</f>
        <v>870</v>
      </c>
      <c r="EQ29" s="90">
        <f ca="1">'[1]October - 2022'!ET29</f>
        <v>16328600</v>
      </c>
      <c r="ER29" s="230">
        <f ca="1">'[1]October - 2022'!EU29</f>
        <v>9200</v>
      </c>
      <c r="ES29" s="556"/>
      <c r="ET29" s="281">
        <f ca="1">'[1]October - 2022'!EW29</f>
        <v>41312</v>
      </c>
      <c r="EU29" s="275">
        <f ca="1">'[1]October - 2022'!EX29</f>
        <v>16</v>
      </c>
      <c r="EV29" s="282">
        <f ca="1">'[1]October - 2022'!EY29</f>
        <v>36196</v>
      </c>
      <c r="EW29" s="275">
        <f ca="1">'[1]October - 2022'!EZ29</f>
        <v>13</v>
      </c>
      <c r="EX29" s="282">
        <f ca="1">'[1]October - 2022'!FA29</f>
        <v>7032</v>
      </c>
      <c r="EY29" s="275">
        <f ca="1">'[1]October - 2022'!FB29</f>
        <v>9</v>
      </c>
      <c r="EZ29" s="282">
        <f ca="1">'[1]October - 2022'!FC29</f>
        <v>58550</v>
      </c>
      <c r="FA29" s="275">
        <f ca="1">'[1]October - 2022'!FD29</f>
        <v>17</v>
      </c>
      <c r="FB29" s="282">
        <f ca="1">'[1]October - 2022'!FE29</f>
        <v>47812</v>
      </c>
      <c r="FC29" s="276">
        <f ca="1">'[1]October - 2022'!FF29</f>
        <v>36</v>
      </c>
    </row>
    <row r="30" spans="1:159" ht="30" customHeight="1" x14ac:dyDescent="0.25">
      <c r="A30" s="207">
        <v>43851</v>
      </c>
      <c r="B30" s="209">
        <f ca="1">'[1]October - 2022'!B30</f>
        <v>0.8</v>
      </c>
      <c r="C30" s="250">
        <f ca="1">'[1]October - 2022'!E30</f>
        <v>262523</v>
      </c>
      <c r="D30" s="170">
        <f ca="1">'[1]October - 2022'!F30</f>
        <v>-3977</v>
      </c>
      <c r="E30" s="168">
        <f ca="1">'[1]October - 2022'!G30</f>
        <v>664</v>
      </c>
      <c r="F30" s="168">
        <f ca="1">'[1]October - 2022'!H30</f>
        <v>219089</v>
      </c>
      <c r="G30" s="170">
        <f ca="1">'[1]October - 2022'!I30</f>
        <v>475</v>
      </c>
      <c r="H30" s="168">
        <f ca="1">'[1]October - 2022'!J30</f>
        <v>428</v>
      </c>
      <c r="I30" s="168">
        <f ca="1">'[1]October - 2022'!K30</f>
        <v>1067</v>
      </c>
      <c r="J30" s="170">
        <f ca="1">'[1]October - 2022'!L30</f>
        <v>114</v>
      </c>
      <c r="K30" s="168">
        <f ca="1">'[1]October - 2022'!N30</f>
        <v>907365</v>
      </c>
      <c r="L30" s="170">
        <f ca="1">'[1]October - 2022'!O30</f>
        <v>126</v>
      </c>
      <c r="M30" s="168">
        <f ca="1">'[1]October - 2022'!Q30</f>
        <v>236980</v>
      </c>
      <c r="N30" s="170">
        <f ca="1">'[1]October - 2022'!R30</f>
        <v>203</v>
      </c>
      <c r="O30" s="168">
        <f ca="1">'[1]October - 2022'!S30</f>
        <v>108507</v>
      </c>
      <c r="P30" s="170">
        <f ca="1">'[1]October - 2022'!T30</f>
        <v>206</v>
      </c>
      <c r="Q30" s="168">
        <f ca="1">'[1]October - 2022'!U30</f>
        <v>201.94000000000233</v>
      </c>
      <c r="R30" s="168">
        <f ca="1">'[1]October - 2022'!V30</f>
        <v>5736</v>
      </c>
      <c r="S30" s="208">
        <f ca="1">'[1]October - 2022'!W30</f>
        <v>15</v>
      </c>
      <c r="T30" s="477"/>
      <c r="U30" s="169">
        <f ca="1">'[1]October - 2022'!AC30</f>
        <v>8029591.919999999</v>
      </c>
      <c r="V30" s="288">
        <f ca="1">'[1]October - 2022'!AD30</f>
        <v>3020.6399999987334</v>
      </c>
      <c r="W30" s="92">
        <f ca="1">'[1]October - 2022'!AD30</f>
        <v>3020.6399999987334</v>
      </c>
      <c r="X30" s="287">
        <f ca="1">'[1]October - 2022'!AF30</f>
        <v>15253306.319999998</v>
      </c>
      <c r="Y30" s="288">
        <f ca="1">'[1]October - 2022'!AG30</f>
        <v>4920.7199999988079</v>
      </c>
      <c r="Z30" s="92">
        <f ca="1">'[1]October - 2022'!AG30</f>
        <v>4920.7199999988079</v>
      </c>
      <c r="AA30" s="287">
        <f ca="1">'[1]October - 2022'!AI30</f>
        <v>15582897.119999999</v>
      </c>
      <c r="AB30" s="288">
        <f ca="1">'[1]October - 2022'!AJ30</f>
        <v>10620.959999999031</v>
      </c>
      <c r="AC30" s="92">
        <f ca="1">'[1]October - 2022'!AJ30</f>
        <v>10620.959999999031</v>
      </c>
      <c r="AD30" s="287">
        <f ca="1">'[1]October - 2022'!AL30</f>
        <v>18548727.119999997</v>
      </c>
      <c r="AE30" s="288">
        <f ca="1">'[1]October - 2022'!AM30</f>
        <v>779.51999999955297</v>
      </c>
      <c r="AF30" s="92">
        <f ca="1">'[1]October - 2022'!AM30</f>
        <v>779.51999999955297</v>
      </c>
      <c r="AG30" s="287">
        <f ca="1">'[1]October - 2022'!AO30</f>
        <v>18892398</v>
      </c>
      <c r="AH30" s="288">
        <f ca="1">'[1]October - 2022'!AP30</f>
        <v>10767.120000001043</v>
      </c>
      <c r="AI30" s="92">
        <f ca="1">'[1]October - 2022'!AP30</f>
        <v>10767.120000001043</v>
      </c>
      <c r="AJ30" s="287">
        <f ca="1">'[1]October - 2022'!AR30</f>
        <v>17288243.280000001</v>
      </c>
      <c r="AK30" s="288">
        <f ca="1">'[1]October - 2022'!AS30</f>
        <v>6187.4400000013411</v>
      </c>
      <c r="AL30" s="92">
        <f ca="1">'[1]October - 2022'!AS30</f>
        <v>6187.4400000013411</v>
      </c>
      <c r="AM30" s="287">
        <f ca="1">'[1]October - 2022'!AU30</f>
        <v>14568546.719999999</v>
      </c>
      <c r="AN30" s="288">
        <f ca="1">'[1]October - 2022'!AV30</f>
        <v>4677.1199999991804</v>
      </c>
      <c r="AO30" s="92">
        <f ca="1">'[1]October - 2022'!AV30</f>
        <v>4677.1199999991804</v>
      </c>
      <c r="AP30" s="287">
        <f ca="1">'[1]October - 2022'!AX30</f>
        <v>14084123.76</v>
      </c>
      <c r="AQ30" s="288">
        <f ca="1">'[1]October - 2022'!AY30</f>
        <v>4774.5600000005215</v>
      </c>
      <c r="AR30" s="92">
        <f ca="1">'[1]October - 2022'!AY30</f>
        <v>4774.5600000005215</v>
      </c>
      <c r="AS30" s="287">
        <f ca="1">'[1]October - 2022'!BA30</f>
        <v>11031279.84</v>
      </c>
      <c r="AT30" s="288">
        <f ca="1">'[1]October - 2022'!BB30</f>
        <v>3020.640000000596</v>
      </c>
      <c r="AU30" s="92">
        <f ca="1">'[1]October - 2022'!BB30</f>
        <v>3020.640000000596</v>
      </c>
      <c r="AV30" s="287">
        <f ca="1">'[1]October - 2022'!BD30</f>
        <v>17420469.359999999</v>
      </c>
      <c r="AW30" s="252">
        <f ca="1">'[1]October - 2022'!BE30</f>
        <v>6236.160000000149</v>
      </c>
      <c r="AX30" s="253">
        <f ca="1">'[1]October - 2022'!BE30</f>
        <v>6236.160000000149</v>
      </c>
      <c r="AY30" s="494"/>
      <c r="AZ30" s="272">
        <f ca="1">'[1]October - 2022'!BK30</f>
        <v>77028200</v>
      </c>
      <c r="BA30" s="179">
        <f ca="1">'[1]October - 2022'!BL30</f>
        <v>44600</v>
      </c>
      <c r="BB30" s="93">
        <f ca="1">'[1]October - 2022'!BL30</f>
        <v>44600</v>
      </c>
      <c r="BC30" s="272">
        <f ca="1">'[1]October - 2022'!BN30</f>
        <v>79139500</v>
      </c>
      <c r="BD30" s="245">
        <f ca="1">'[1]October - 2022'!BO30</f>
        <v>0</v>
      </c>
      <c r="BE30" s="93">
        <f ca="1">'[1]October - 2022'!BO30</f>
        <v>0</v>
      </c>
      <c r="BF30" s="272">
        <f ca="1">'[1]October - 2022'!BQ30</f>
        <v>73482500</v>
      </c>
      <c r="BG30" s="245">
        <f ca="1">'[1]October - 2022'!BR30</f>
        <v>55500</v>
      </c>
      <c r="BH30" s="93">
        <f ca="1">'[1]October - 2022'!BR30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 ca="1">'[1]October - 2022'!BT30</f>
        <v>9842600</v>
      </c>
      <c r="BT30" s="185">
        <f ca="1">'[1]October - 2022'!BU30</f>
        <v>8480</v>
      </c>
      <c r="BU30" s="590"/>
      <c r="BV30" s="88">
        <f ca="1">'[1]October - 2022'!BW30</f>
        <v>0.55000000000000004</v>
      </c>
      <c r="BW30" s="241">
        <f ca="1">'[1]October - 2022'!BX30</f>
        <v>-7.0000000000000062E-2</v>
      </c>
      <c r="BX30" s="88">
        <f ca="1">'[1]October - 2022'!BX30</f>
        <v>-7.0000000000000062E-2</v>
      </c>
      <c r="BY30" s="89">
        <f ca="1">'[1]October - 2022'!BZ30</f>
        <v>63317</v>
      </c>
      <c r="BZ30" s="191">
        <f ca="1">'[1]October - 2022'!CA30</f>
        <v>24</v>
      </c>
      <c r="CA30" s="89">
        <f ca="1">'[1]October - 2022'!CB30</f>
        <v>54484</v>
      </c>
      <c r="CB30" s="191">
        <f ca="1">'[1]October - 2022'!CC30</f>
        <v>21</v>
      </c>
      <c r="CC30" s="89">
        <f ca="1">'[1]October - 2022'!CD30</f>
        <v>18434</v>
      </c>
      <c r="CD30" s="191">
        <f ca="1">'[1]October - 2022'!CE30</f>
        <v>6</v>
      </c>
      <c r="CE30" s="89">
        <f ca="1">'[1]October - 2022'!CF30</f>
        <v>25086</v>
      </c>
      <c r="CF30" s="191">
        <f ca="1">'[1]October - 2022'!CG30</f>
        <v>12</v>
      </c>
      <c r="CG30" s="89">
        <f ca="1">'[1]October - 2022'!CH30</f>
        <v>27783</v>
      </c>
      <c r="CH30" s="191">
        <f ca="1">'[1]October - 2022'!CI30</f>
        <v>14</v>
      </c>
      <c r="CI30" s="89">
        <f ca="1">'[1]October - 2022'!CJ30</f>
        <v>60788</v>
      </c>
      <c r="CJ30" s="191">
        <f ca="1">'[1]October - 2022'!CK30</f>
        <v>37</v>
      </c>
      <c r="CK30" s="89">
        <f ca="1">'[1]October - 2022'!CL30</f>
        <v>264449</v>
      </c>
      <c r="CL30" s="246">
        <f ca="1">'[1]October - 2022'!CM30</f>
        <v>74</v>
      </c>
      <c r="CM30" s="89">
        <f ca="1">'[1]October - 2022'!CM30</f>
        <v>74</v>
      </c>
      <c r="CN30" s="89">
        <f ca="1">'[1]October - 2022'!CO30</f>
        <v>210192</v>
      </c>
      <c r="CO30" s="246">
        <f ca="1">'[1]October - 2022'!CP30</f>
        <v>76</v>
      </c>
      <c r="CP30" s="89">
        <f ca="1">'[1]October - 2022'!CP30</f>
        <v>76</v>
      </c>
      <c r="CQ30" s="89">
        <f ca="1">'[1]October - 2022'!CR30</f>
        <v>349823</v>
      </c>
      <c r="CR30" s="246">
        <f ca="1">'[1]October - 2022'!CS30</f>
        <v>-1</v>
      </c>
      <c r="CS30" s="89">
        <f ca="1">'[1]October - 2022'!CS30</f>
        <v>-1</v>
      </c>
      <c r="CT30" s="89">
        <f ca="1">'[1]October - 2022'!CU30</f>
        <v>686386</v>
      </c>
      <c r="CU30" s="191">
        <f ca="1">'[1]October - 2022'!CV30</f>
        <v>167</v>
      </c>
      <c r="CV30" s="518"/>
      <c r="CW30" s="256">
        <f ca="1">'[1]October - 2022'!CX30</f>
        <v>8474</v>
      </c>
      <c r="CX30" s="198">
        <f ca="1">'[1]October - 2022'!CY30</f>
        <v>9</v>
      </c>
      <c r="CY30" s="257">
        <f ca="1">'[1]October - 2022'!CZ30</f>
        <v>5749</v>
      </c>
      <c r="CZ30" s="198">
        <f ca="1">'[1]October - 2022'!DA30</f>
        <v>6</v>
      </c>
      <c r="DA30" s="257">
        <f ca="1">'[1]October - 2022'!DB30</f>
        <v>31383</v>
      </c>
      <c r="DB30" s="198">
        <f ca="1">'[1]October - 2022'!DC30</f>
        <v>18</v>
      </c>
      <c r="DC30" s="257">
        <f ca="1">'[1]October - 2022'!DD30</f>
        <v>31665</v>
      </c>
      <c r="DD30" s="198">
        <f ca="1">'[1]October - 2022'!DE30</f>
        <v>18</v>
      </c>
      <c r="DE30" s="257">
        <f ca="1">'[1]October - 2022'!DF30</f>
        <v>21354</v>
      </c>
      <c r="DF30" s="198">
        <f ca="1">'[1]October - 2022'!DG30</f>
        <v>12</v>
      </c>
      <c r="DG30" s="257">
        <f ca="1">'[1]October - 2022'!DH30</f>
        <v>23725</v>
      </c>
      <c r="DH30" s="198">
        <f ca="1">'[1]October - 2022'!DI30</f>
        <v>7</v>
      </c>
      <c r="DI30" s="257">
        <f ca="1">'[1]October - 2022'!DJ30</f>
        <v>6618</v>
      </c>
      <c r="DJ30" s="198">
        <f ca="1">'[1]October - 2022'!DK30</f>
        <v>11</v>
      </c>
      <c r="DK30" s="257">
        <f ca="1">'[1]October - 2022'!DL30</f>
        <v>9375</v>
      </c>
      <c r="DL30" s="198">
        <f ca="1">'[1]October - 2022'!DM30</f>
        <v>9</v>
      </c>
      <c r="DM30" s="257">
        <f ca="1">'[1]October - 2022'!DN30</f>
        <v>3097</v>
      </c>
      <c r="DN30" s="198">
        <f ca="1">'[1]October - 2022'!DO30</f>
        <v>3</v>
      </c>
      <c r="DO30" s="257">
        <f ca="1">'[1]October - 2022'!DP30</f>
        <v>5983</v>
      </c>
      <c r="DP30" s="198">
        <f ca="1">'[1]October - 2022'!DQ30</f>
        <v>9</v>
      </c>
      <c r="DQ30" s="257">
        <f ca="1">'[1]October - 2022'!DR30</f>
        <v>29997</v>
      </c>
      <c r="DR30" s="206">
        <f ca="1">'[1]October - 2022'!DS30</f>
        <v>11</v>
      </c>
      <c r="DS30" s="534"/>
      <c r="DT30" s="210">
        <f ca="1">'[1]October - 2022'!DU30</f>
        <v>5777.2</v>
      </c>
      <c r="DU30" s="221">
        <f ca="1">'[1]October - 2022'!DV30</f>
        <v>12.399999999999636</v>
      </c>
      <c r="DV30" s="91">
        <f ca="1">'[1]October - 2022'!DW30</f>
        <v>10874.8</v>
      </c>
      <c r="DW30" s="215">
        <f ca="1">'[1]October - 2022'!DX30</f>
        <v>8.8999999999996362</v>
      </c>
      <c r="DX30" s="91">
        <f ca="1">'[1]October - 2022'!DY30</f>
        <v>4464.1000000000004</v>
      </c>
      <c r="DY30" s="215">
        <f ca="1">'[1]October - 2022'!DZ30</f>
        <v>6.9000000000005457</v>
      </c>
      <c r="DZ30" s="91">
        <f ca="1">'[1]October - 2022'!EA30</f>
        <v>5055.7</v>
      </c>
      <c r="EA30" s="215">
        <f ca="1">'[1]October - 2022'!EB30</f>
        <v>8.5</v>
      </c>
      <c r="EB30" s="91">
        <f ca="1">'[1]October - 2022'!EC30</f>
        <v>1096039</v>
      </c>
      <c r="EC30" s="215">
        <f ca="1">'[1]October - 2022'!ED30</f>
        <v>738</v>
      </c>
      <c r="ED30" s="91">
        <f ca="1">'[1]October - 2022'!EG30</f>
        <v>224452.8</v>
      </c>
      <c r="EE30" s="229">
        <f ca="1">'[1]October - 2022'!EH30</f>
        <v>157</v>
      </c>
      <c r="EF30" s="581"/>
      <c r="EG30" s="235">
        <f ca="1">'[1]October - 2022'!EJ30</f>
        <v>11886400</v>
      </c>
      <c r="EH30" s="230">
        <f ca="1">'[1]October - 2022'!EK30</f>
        <v>7300</v>
      </c>
      <c r="EI30" s="90">
        <f ca="1">'[1]October - 2022'!EL30</f>
        <v>919990</v>
      </c>
      <c r="EJ30" s="230">
        <f ca="1">'[1]October - 2022'!EM30</f>
        <v>340</v>
      </c>
      <c r="EK30" s="90">
        <f ca="1">'[1]October - 2022'!EN30</f>
        <v>7108300</v>
      </c>
      <c r="EL30" s="230">
        <f ca="1">'[1]October - 2022'!EO30</f>
        <v>2900</v>
      </c>
      <c r="EM30" s="90">
        <f ca="1">'[1]October - 2022'!EP30</f>
        <v>2472500</v>
      </c>
      <c r="EN30" s="230">
        <f ca="1">'[1]October - 2022'!EQ30</f>
        <v>600</v>
      </c>
      <c r="EO30" s="90">
        <f ca="1">'[1]October - 2022'!ER30</f>
        <v>1240680</v>
      </c>
      <c r="EP30" s="230">
        <f ca="1">'[1]October - 2022'!ES30</f>
        <v>880</v>
      </c>
      <c r="EQ30" s="90">
        <f ca="1">'[1]October - 2022'!ET30</f>
        <v>16337200</v>
      </c>
      <c r="ER30" s="230">
        <f ca="1">'[1]October - 2022'!EU30</f>
        <v>8600</v>
      </c>
      <c r="ES30" s="556"/>
      <c r="ET30" s="281">
        <f ca="1">'[1]October - 2022'!EW30</f>
        <v>41327</v>
      </c>
      <c r="EU30" s="275">
        <f ca="1">'[1]October - 2022'!EX30</f>
        <v>15</v>
      </c>
      <c r="EV30" s="282">
        <f ca="1">'[1]October - 2022'!EY30</f>
        <v>36205</v>
      </c>
      <c r="EW30" s="275">
        <f ca="1">'[1]October - 2022'!EZ30</f>
        <v>9</v>
      </c>
      <c r="EX30" s="282">
        <f ca="1">'[1]October - 2022'!FA30</f>
        <v>7046</v>
      </c>
      <c r="EY30" s="275">
        <f ca="1">'[1]October - 2022'!FB30</f>
        <v>14</v>
      </c>
      <c r="EZ30" s="282">
        <f ca="1">'[1]October - 2022'!FC30</f>
        <v>58563</v>
      </c>
      <c r="FA30" s="275">
        <f ca="1">'[1]October - 2022'!FD30</f>
        <v>13</v>
      </c>
      <c r="FB30" s="282">
        <f ca="1">'[1]October - 2022'!FE30</f>
        <v>47854</v>
      </c>
      <c r="FC30" s="276">
        <f ca="1">'[1]October - 2022'!FF30</f>
        <v>42</v>
      </c>
    </row>
    <row r="31" spans="1:159" ht="30" customHeight="1" x14ac:dyDescent="0.25">
      <c r="A31" s="207">
        <v>43852</v>
      </c>
      <c r="B31" s="209">
        <f ca="1">'[1]October - 2022'!B31</f>
        <v>0.78</v>
      </c>
      <c r="C31" s="250">
        <f ca="1">'[1]October - 2022'!E31</f>
        <v>265275</v>
      </c>
      <c r="D31" s="170">
        <f ca="1">'[1]October - 2022'!F31</f>
        <v>2752</v>
      </c>
      <c r="E31" s="168">
        <f ca="1">'[1]October - 2022'!G31</f>
        <v>679</v>
      </c>
      <c r="F31" s="168">
        <f ca="1">'[1]October - 2022'!H31</f>
        <v>219548</v>
      </c>
      <c r="G31" s="170">
        <f ca="1">'[1]October - 2022'!I31</f>
        <v>459</v>
      </c>
      <c r="H31" s="168">
        <f ca="1">'[1]October - 2022'!J31</f>
        <v>444</v>
      </c>
      <c r="I31" s="168">
        <f ca="1">'[1]October - 2022'!K31</f>
        <v>1021</v>
      </c>
      <c r="J31" s="170">
        <f ca="1">'[1]October - 2022'!L31</f>
        <v>-46</v>
      </c>
      <c r="K31" s="168">
        <f ca="1">'[1]October - 2022'!N31</f>
        <v>907740</v>
      </c>
      <c r="L31" s="170">
        <f ca="1">'[1]October - 2022'!O31</f>
        <v>375</v>
      </c>
      <c r="M31" s="168">
        <f ca="1">'[1]October - 2022'!Q31</f>
        <v>237081</v>
      </c>
      <c r="N31" s="170">
        <f ca="1">'[1]October - 2022'!R31</f>
        <v>101</v>
      </c>
      <c r="O31" s="168">
        <f ca="1">'[1]October - 2022'!S31</f>
        <v>108712</v>
      </c>
      <c r="P31" s="170">
        <f ca="1">'[1]October - 2022'!T31</f>
        <v>205</v>
      </c>
      <c r="Q31" s="168">
        <f ca="1">'[1]October - 2022'!U31</f>
        <v>199.19000000000233</v>
      </c>
      <c r="R31" s="168">
        <f ca="1">'[1]October - 2022'!V31</f>
        <v>5752</v>
      </c>
      <c r="S31" s="208">
        <f ca="1">'[1]October - 2022'!W31</f>
        <v>16</v>
      </c>
      <c r="T31" s="477"/>
      <c r="U31" s="169">
        <f ca="1">'[1]October - 2022'!AC31</f>
        <v>8031540.7199999988</v>
      </c>
      <c r="V31" s="288">
        <f ca="1">'[1]October - 2022'!AD31</f>
        <v>1948.7999999998137</v>
      </c>
      <c r="W31" s="92">
        <f ca="1">'[1]October - 2022'!AD31</f>
        <v>1948.7999999998137</v>
      </c>
      <c r="X31" s="287">
        <f ca="1">'[1]October - 2022'!AF31</f>
        <v>15258129.6</v>
      </c>
      <c r="Y31" s="288">
        <f ca="1">'[1]October - 2022'!AG31</f>
        <v>4823.2800000011921</v>
      </c>
      <c r="Z31" s="92">
        <f ca="1">'[1]October - 2022'!AG31</f>
        <v>4823.2800000011921</v>
      </c>
      <c r="AA31" s="287">
        <f ca="1">'[1]October - 2022'!AI31</f>
        <v>15581532.959999999</v>
      </c>
      <c r="AB31" s="288">
        <f ca="1">'[1]October - 2022'!AJ31</f>
        <v>-1364.160000000149</v>
      </c>
      <c r="AC31" s="92">
        <f ca="1">'[1]October - 2022'!AJ31</f>
        <v>-1364.160000000149</v>
      </c>
      <c r="AD31" s="287">
        <f ca="1">'[1]October - 2022'!AL31</f>
        <v>18561784.080000002</v>
      </c>
      <c r="AE31" s="288">
        <f ca="1">'[1]October - 2022'!AM31</f>
        <v>13056.960000004619</v>
      </c>
      <c r="AF31" s="92">
        <f ca="1">'[1]October - 2022'!AM31</f>
        <v>13056.960000004619</v>
      </c>
      <c r="AG31" s="287">
        <f ca="1">'[1]October - 2022'!AO31</f>
        <v>18900144.48</v>
      </c>
      <c r="AH31" s="288">
        <f ca="1">'[1]October - 2022'!AP31</f>
        <v>7746.480000000447</v>
      </c>
      <c r="AI31" s="92">
        <f ca="1">'[1]October - 2022'!AP31</f>
        <v>7746.480000000447</v>
      </c>
      <c r="AJ31" s="287">
        <f ca="1">'[1]October - 2022'!AR31</f>
        <v>17294235.84</v>
      </c>
      <c r="AK31" s="288">
        <f ca="1">'[1]October - 2022'!AS31</f>
        <v>5992.5599999986589</v>
      </c>
      <c r="AL31" s="92">
        <f ca="1">'[1]October - 2022'!AS31</f>
        <v>5992.5599999986589</v>
      </c>
      <c r="AM31" s="287">
        <f ca="1">'[1]October - 2022'!AU31</f>
        <v>14573077.68</v>
      </c>
      <c r="AN31" s="288">
        <f ca="1">'[1]October - 2022'!AV31</f>
        <v>4530.9600000008941</v>
      </c>
      <c r="AO31" s="92">
        <f ca="1">'[1]October - 2022'!AV31</f>
        <v>4530.9600000008941</v>
      </c>
      <c r="AP31" s="287">
        <f ca="1">'[1]October - 2022'!AX31</f>
        <v>14088947.039999999</v>
      </c>
      <c r="AQ31" s="288">
        <f ca="1">'[1]October - 2022'!AY31</f>
        <v>-4823.2799999993294</v>
      </c>
      <c r="AR31" s="92">
        <f ca="1">'[1]October - 2022'!AY31</f>
        <v>-4823.2799999993294</v>
      </c>
      <c r="AS31" s="287">
        <f ca="1">'[1]October - 2022'!BA31</f>
        <v>11034203.040000001</v>
      </c>
      <c r="AT31" s="288">
        <f ca="1">'[1]October - 2022'!BB31</f>
        <v>2923.2000000011176</v>
      </c>
      <c r="AU31" s="92">
        <f ca="1">'[1]October - 2022'!BB31</f>
        <v>2923.2000000011176</v>
      </c>
      <c r="AV31" s="287">
        <f ca="1">'[1]October - 2022'!BD31</f>
        <v>17426656.800000001</v>
      </c>
      <c r="AW31" s="252">
        <f ca="1">'[1]October - 2022'!BE31</f>
        <v>6187.4400000013411</v>
      </c>
      <c r="AX31" s="253">
        <f ca="1">'[1]October - 2022'!BE31</f>
        <v>6187.4400000013411</v>
      </c>
      <c r="AY31" s="494"/>
      <c r="AZ31" s="272">
        <f ca="1">'[1]October - 2022'!BK31</f>
        <v>77028200</v>
      </c>
      <c r="BA31" s="179">
        <f ca="1">'[1]October - 2022'!BL31</f>
        <v>0</v>
      </c>
      <c r="BB31" s="93">
        <f ca="1">'[1]October - 2022'!BL31</f>
        <v>0</v>
      </c>
      <c r="BC31" s="272">
        <f ca="1">'[1]October - 2022'!BN31</f>
        <v>79198200</v>
      </c>
      <c r="BD31" s="245">
        <f ca="1">'[1]October - 2022'!BO31</f>
        <v>58700</v>
      </c>
      <c r="BE31" s="93">
        <f ca="1">'[1]October - 2022'!BO31</f>
        <v>58700</v>
      </c>
      <c r="BF31" s="272">
        <f ca="1">'[1]October - 2022'!BQ31</f>
        <v>7352000</v>
      </c>
      <c r="BG31" s="245">
        <f ca="1">'[1]October - 2022'!BR31</f>
        <v>-66130500</v>
      </c>
      <c r="BH31" s="93">
        <f ca="1">'[1]October - 2022'!BR31</f>
        <v>-66130500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 ca="1">'[1]October - 2022'!BT31</f>
        <v>9851100</v>
      </c>
      <c r="BT31" s="185">
        <f ca="1">'[1]October - 2022'!BU31</f>
        <v>8500</v>
      </c>
      <c r="BU31" s="590"/>
      <c r="BV31" s="88">
        <f ca="1">'[1]October - 2022'!BW31</f>
        <v>0.5</v>
      </c>
      <c r="BW31" s="241">
        <f ca="1">'[1]October - 2022'!BX31</f>
        <v>5.0000000000000044E-2</v>
      </c>
      <c r="BX31" s="88">
        <f ca="1">'[1]October - 2022'!BX31</f>
        <v>5.0000000000000044E-2</v>
      </c>
      <c r="BY31" s="89">
        <f ca="1">'[1]October - 2022'!BZ31</f>
        <v>63335</v>
      </c>
      <c r="BZ31" s="191">
        <f ca="1">'[1]October - 2022'!CA31</f>
        <v>18</v>
      </c>
      <c r="CA31" s="89">
        <f ca="1">'[1]October - 2022'!CB31</f>
        <v>54503</v>
      </c>
      <c r="CB31" s="191">
        <f ca="1">'[1]October - 2022'!CC31</f>
        <v>19</v>
      </c>
      <c r="CC31" s="89">
        <f ca="1">'[1]October - 2022'!CD31</f>
        <v>18439</v>
      </c>
      <c r="CD31" s="191">
        <f ca="1">'[1]October - 2022'!CE31</f>
        <v>5</v>
      </c>
      <c r="CE31" s="89">
        <f ca="1">'[1]October - 2022'!CF31</f>
        <v>25096</v>
      </c>
      <c r="CF31" s="191">
        <f ca="1">'[1]October - 2022'!CG31</f>
        <v>10</v>
      </c>
      <c r="CG31" s="89">
        <f ca="1">'[1]October - 2022'!CH31</f>
        <v>27796</v>
      </c>
      <c r="CH31" s="191">
        <f ca="1">'[1]October - 2022'!CI31</f>
        <v>13</v>
      </c>
      <c r="CI31" s="89">
        <f ca="1">'[1]October - 2022'!CJ31</f>
        <v>60826</v>
      </c>
      <c r="CJ31" s="191">
        <f ca="1">'[1]October - 2022'!CK31</f>
        <v>38</v>
      </c>
      <c r="CK31" s="89">
        <f ca="1">'[1]October - 2022'!CL31</f>
        <v>264542</v>
      </c>
      <c r="CL31" s="246">
        <f ca="1">'[1]October - 2022'!CM31</f>
        <v>93</v>
      </c>
      <c r="CM31" s="89">
        <f ca="1">'[1]October - 2022'!CM31</f>
        <v>93</v>
      </c>
      <c r="CN31" s="89">
        <f ca="1">'[1]October - 2022'!CO31</f>
        <v>210287</v>
      </c>
      <c r="CO31" s="246">
        <f ca="1">'[1]October - 2022'!CP31</f>
        <v>95</v>
      </c>
      <c r="CP31" s="89">
        <f ca="1">'[1]October - 2022'!CP31</f>
        <v>95</v>
      </c>
      <c r="CQ31" s="89">
        <f ca="1">'[1]October - 2022'!CR31</f>
        <v>349823</v>
      </c>
      <c r="CR31" s="246">
        <f ca="1">'[1]October - 2022'!CS31</f>
        <v>0</v>
      </c>
      <c r="CS31" s="89">
        <f ca="1">'[1]October - 2022'!CS31</f>
        <v>0</v>
      </c>
      <c r="CT31" s="89">
        <f ca="1">'[1]October - 2022'!CU31</f>
        <v>686557</v>
      </c>
      <c r="CU31" s="191">
        <f ca="1">'[1]October - 2022'!CV31</f>
        <v>171</v>
      </c>
      <c r="CV31" s="518"/>
      <c r="CW31" s="256">
        <f ca="1">'[1]October - 2022'!CX31</f>
        <v>8483</v>
      </c>
      <c r="CX31" s="198">
        <f ca="1">'[1]October - 2022'!CY31</f>
        <v>9</v>
      </c>
      <c r="CY31" s="257">
        <f ca="1">'[1]October - 2022'!CZ31</f>
        <v>5755</v>
      </c>
      <c r="CZ31" s="198">
        <f ca="1">'[1]October - 2022'!DA31</f>
        <v>6</v>
      </c>
      <c r="DA31" s="257">
        <f ca="1">'[1]October - 2022'!DB31</f>
        <v>31398</v>
      </c>
      <c r="DB31" s="198">
        <f ca="1">'[1]October - 2022'!DC31</f>
        <v>15</v>
      </c>
      <c r="DC31" s="257">
        <f ca="1">'[1]October - 2022'!DD31</f>
        <v>31678</v>
      </c>
      <c r="DD31" s="198">
        <f ca="1">'[1]October - 2022'!DE31</f>
        <v>13</v>
      </c>
      <c r="DE31" s="257">
        <f ca="1">'[1]October - 2022'!DF31</f>
        <v>21365</v>
      </c>
      <c r="DF31" s="198">
        <f ca="1">'[1]October - 2022'!DG31</f>
        <v>11</v>
      </c>
      <c r="DG31" s="257">
        <f ca="1">'[1]October - 2022'!DH31</f>
        <v>23732</v>
      </c>
      <c r="DH31" s="198">
        <f ca="1">'[1]October - 2022'!DI31</f>
        <v>7</v>
      </c>
      <c r="DI31" s="257">
        <f ca="1">'[1]October - 2022'!DJ31</f>
        <v>6638</v>
      </c>
      <c r="DJ31" s="198">
        <f ca="1">'[1]October - 2022'!DK31</f>
        <v>20</v>
      </c>
      <c r="DK31" s="257">
        <f ca="1">'[1]October - 2022'!DL31</f>
        <v>9383</v>
      </c>
      <c r="DL31" s="198">
        <f ca="1">'[1]October - 2022'!DM31</f>
        <v>8</v>
      </c>
      <c r="DM31" s="257">
        <f ca="1">'[1]October - 2022'!DN31</f>
        <v>3100</v>
      </c>
      <c r="DN31" s="198">
        <f ca="1">'[1]October - 2022'!DO31</f>
        <v>3</v>
      </c>
      <c r="DO31" s="257">
        <f ca="1">'[1]October - 2022'!DP31</f>
        <v>5991</v>
      </c>
      <c r="DP31" s="198">
        <f ca="1">'[1]October - 2022'!DQ31</f>
        <v>8</v>
      </c>
      <c r="DQ31" s="257">
        <f ca="1">'[1]October - 2022'!DR31</f>
        <v>30005</v>
      </c>
      <c r="DR31" s="206">
        <f ca="1">'[1]October - 2022'!DS31</f>
        <v>8</v>
      </c>
      <c r="DS31" s="534"/>
      <c r="DT31" s="210">
        <f ca="1">'[1]October - 2022'!DU31</f>
        <v>5789.6</v>
      </c>
      <c r="DU31" s="221">
        <f ca="1">'[1]October - 2022'!DV31</f>
        <v>12.400000000000546</v>
      </c>
      <c r="DV31" s="91">
        <f ca="1">'[1]October - 2022'!DW31</f>
        <v>10883.6</v>
      </c>
      <c r="DW31" s="215">
        <f ca="1">'[1]October - 2022'!DX31</f>
        <v>8.8000000000010914</v>
      </c>
      <c r="DX31" s="91">
        <f ca="1">'[1]October - 2022'!DY31</f>
        <v>4471</v>
      </c>
      <c r="DY31" s="215">
        <f ca="1">'[1]October - 2022'!DZ31</f>
        <v>6.8999999999996362</v>
      </c>
      <c r="DZ31" s="91">
        <f ca="1">'[1]October - 2022'!EA31</f>
        <v>5064.3</v>
      </c>
      <c r="EA31" s="215">
        <f ca="1">'[1]October - 2022'!EB31</f>
        <v>8.6000000000003638</v>
      </c>
      <c r="EB31" s="91">
        <f ca="1">'[1]October - 2022'!EC31</f>
        <v>1096804</v>
      </c>
      <c r="EC31" s="215">
        <f ca="1">'[1]October - 2022'!ED31</f>
        <v>765</v>
      </c>
      <c r="ED31" s="91">
        <f ca="1">'[1]October - 2022'!EG31</f>
        <v>224611.7</v>
      </c>
      <c r="EE31" s="229">
        <f ca="1">'[1]October - 2022'!EH31</f>
        <v>158.90000000002328</v>
      </c>
      <c r="EF31" s="581"/>
      <c r="EG31" s="235">
        <f ca="1">'[1]October - 2022'!EJ31</f>
        <v>11896100</v>
      </c>
      <c r="EH31" s="230">
        <f ca="1">'[1]October - 2022'!EK31</f>
        <v>9700</v>
      </c>
      <c r="EI31" s="90">
        <f ca="1">'[1]October - 2022'!EL31</f>
        <v>920410</v>
      </c>
      <c r="EJ31" s="230">
        <f ca="1">'[1]October - 2022'!EM31</f>
        <v>420</v>
      </c>
      <c r="EK31" s="90">
        <f ca="1">'[1]October - 2022'!EN31</f>
        <v>7112200</v>
      </c>
      <c r="EL31" s="230">
        <f ca="1">'[1]October - 2022'!EO31</f>
        <v>3900</v>
      </c>
      <c r="EM31" s="90">
        <f ca="1">'[1]October - 2022'!EP31</f>
        <v>2473700</v>
      </c>
      <c r="EN31" s="230">
        <f ca="1">'[1]October - 2022'!EQ31</f>
        <v>1200</v>
      </c>
      <c r="EO31" s="90">
        <f ca="1">'[1]October - 2022'!ER31</f>
        <v>1241820</v>
      </c>
      <c r="EP31" s="230">
        <f ca="1">'[1]October - 2022'!ES31</f>
        <v>1140</v>
      </c>
      <c r="EQ31" s="90">
        <f ca="1">'[1]October - 2022'!ET31</f>
        <v>16348100</v>
      </c>
      <c r="ER31" s="230">
        <f ca="1">'[1]October - 2022'!EU31</f>
        <v>10900</v>
      </c>
      <c r="ES31" s="556"/>
      <c r="ET31" s="281">
        <f ca="1">'[1]October - 2022'!EW31</f>
        <v>41341</v>
      </c>
      <c r="EU31" s="275">
        <f ca="1">'[1]October - 2022'!EX31</f>
        <v>14</v>
      </c>
      <c r="EV31" s="282">
        <f ca="1">'[1]October - 2022'!EY31</f>
        <v>36222</v>
      </c>
      <c r="EW31" s="275">
        <f ca="1">'[1]October - 2022'!EZ31</f>
        <v>17</v>
      </c>
      <c r="EX31" s="282">
        <f ca="1">'[1]October - 2022'!FA31</f>
        <v>7058</v>
      </c>
      <c r="EY31" s="275">
        <f ca="1">'[1]October - 2022'!FB31</f>
        <v>12</v>
      </c>
      <c r="EZ31" s="282">
        <f ca="1">'[1]October - 2022'!FC31</f>
        <v>58580</v>
      </c>
      <c r="FA31" s="275">
        <f ca="1">'[1]October - 2022'!FD31</f>
        <v>17</v>
      </c>
      <c r="FB31" s="282">
        <f ca="1">'[1]October - 2022'!FE31</f>
        <v>47895</v>
      </c>
      <c r="FC31" s="276">
        <f ca="1">'[1]October - 2022'!FF31</f>
        <v>41</v>
      </c>
    </row>
    <row r="32" spans="1:159" ht="30" customHeight="1" x14ac:dyDescent="0.25">
      <c r="A32" s="207">
        <v>43853</v>
      </c>
      <c r="B32" s="209">
        <f ca="1">'[1]October - 2022'!B32</f>
        <v>0</v>
      </c>
      <c r="C32" s="250">
        <f ca="1">'[1]October - 2022'!E32</f>
        <v>0</v>
      </c>
      <c r="D32" s="170">
        <f ca="1">'[1]October - 2022'!F32</f>
        <v>0</v>
      </c>
      <c r="E32" s="168">
        <f ca="1">'[1]October - 2022'!G32</f>
        <v>660</v>
      </c>
      <c r="F32" s="168">
        <f ca="1">'[1]October - 2022'!H32</f>
        <v>0</v>
      </c>
      <c r="G32" s="170">
        <f ca="1">'[1]October - 2022'!I32</f>
        <v>0</v>
      </c>
      <c r="H32" s="168">
        <f ca="1">'[1]October - 2022'!J32</f>
        <v>449</v>
      </c>
      <c r="I32" s="168">
        <f ca="1">'[1]October - 2022'!K32</f>
        <v>0</v>
      </c>
      <c r="J32" s="170">
        <f ca="1">'[1]October - 2022'!L32</f>
        <v>0</v>
      </c>
      <c r="K32" s="168">
        <f ca="1">'[1]October - 2022'!N32</f>
        <v>0</v>
      </c>
      <c r="L32" s="170">
        <f ca="1">'[1]October - 2022'!O32</f>
        <v>0</v>
      </c>
      <c r="M32" s="168">
        <f ca="1">'[1]October - 2022'!Q32</f>
        <v>0</v>
      </c>
      <c r="N32" s="170">
        <f ca="1">'[1]October - 2022'!R32</f>
        <v>0</v>
      </c>
      <c r="O32" s="168">
        <f ca="1">'[1]October - 2022'!S32</f>
        <v>0</v>
      </c>
      <c r="P32" s="170">
        <f ca="1">'[1]October - 2022'!T32</f>
        <v>0</v>
      </c>
      <c r="Q32" s="168">
        <f ca="1">'[1]October - 2022'!U32</f>
        <v>195.97999999999593</v>
      </c>
      <c r="R32" s="168">
        <f ca="1">'[1]October - 2022'!V32</f>
        <v>0</v>
      </c>
      <c r="S32" s="208">
        <f ca="1">'[1]October - 2022'!W32</f>
        <v>0</v>
      </c>
      <c r="T32" s="477"/>
      <c r="U32" s="169">
        <f ca="1">'[1]October - 2022'!AC32</f>
        <v>0</v>
      </c>
      <c r="V32" s="288">
        <f ca="1">'[1]October - 2022'!AD32</f>
        <v>0</v>
      </c>
      <c r="W32" s="92">
        <f ca="1">'[1]October - 2022'!AD32</f>
        <v>0</v>
      </c>
      <c r="X32" s="287">
        <f ca="1">'[1]October - 2022'!AF32</f>
        <v>0</v>
      </c>
      <c r="Y32" s="288">
        <f ca="1">'[1]October - 2022'!AG32</f>
        <v>0</v>
      </c>
      <c r="Z32" s="92">
        <f ca="1">'[1]October - 2022'!AG32</f>
        <v>0</v>
      </c>
      <c r="AA32" s="287">
        <f ca="1">'[1]October - 2022'!AI32</f>
        <v>0</v>
      </c>
      <c r="AB32" s="288">
        <f ca="1">'[1]October - 2022'!AJ32</f>
        <v>0</v>
      </c>
      <c r="AC32" s="92">
        <f ca="1">'[1]October - 2022'!AJ32</f>
        <v>0</v>
      </c>
      <c r="AD32" s="287">
        <f ca="1">'[1]October - 2022'!AL32</f>
        <v>0</v>
      </c>
      <c r="AE32" s="288">
        <f ca="1">'[1]October - 2022'!AM32</f>
        <v>0</v>
      </c>
      <c r="AF32" s="92">
        <f ca="1">'[1]October - 2022'!AM32</f>
        <v>0</v>
      </c>
      <c r="AG32" s="287">
        <f ca="1">'[1]October - 2022'!AO32</f>
        <v>0</v>
      </c>
      <c r="AH32" s="288">
        <f ca="1">'[1]October - 2022'!AP32</f>
        <v>0</v>
      </c>
      <c r="AI32" s="92">
        <f ca="1">'[1]October - 2022'!AP32</f>
        <v>0</v>
      </c>
      <c r="AJ32" s="287">
        <f ca="1">'[1]October - 2022'!AR32</f>
        <v>0</v>
      </c>
      <c r="AK32" s="288">
        <f ca="1">'[1]October - 2022'!AS32</f>
        <v>0</v>
      </c>
      <c r="AL32" s="92">
        <f ca="1">'[1]October - 2022'!AS32</f>
        <v>0</v>
      </c>
      <c r="AM32" s="287">
        <f ca="1">'[1]October - 2022'!AU32</f>
        <v>0</v>
      </c>
      <c r="AN32" s="288">
        <f ca="1">'[1]October - 2022'!AV32</f>
        <v>0</v>
      </c>
      <c r="AO32" s="92">
        <f ca="1">'[1]October - 2022'!AV32</f>
        <v>0</v>
      </c>
      <c r="AP32" s="287">
        <f ca="1">'[1]October - 2022'!AX32</f>
        <v>0</v>
      </c>
      <c r="AQ32" s="288">
        <f ca="1">'[1]October - 2022'!AY32</f>
        <v>0</v>
      </c>
      <c r="AR32" s="92">
        <f ca="1">'[1]October - 2022'!AY32</f>
        <v>0</v>
      </c>
      <c r="AS32" s="287">
        <f ca="1">'[1]October - 2022'!BA32</f>
        <v>0</v>
      </c>
      <c r="AT32" s="288">
        <f ca="1">'[1]October - 2022'!BB32</f>
        <v>0</v>
      </c>
      <c r="AU32" s="92">
        <f ca="1">'[1]October - 2022'!BB32</f>
        <v>0</v>
      </c>
      <c r="AV32" s="287">
        <f ca="1">'[1]October - 2022'!BD32</f>
        <v>0</v>
      </c>
      <c r="AW32" s="252">
        <f ca="1">'[1]October - 2022'!BE32</f>
        <v>0</v>
      </c>
      <c r="AX32" s="253">
        <f ca="1">'[1]October - 2022'!BE32</f>
        <v>0</v>
      </c>
      <c r="AY32" s="494"/>
      <c r="AZ32" s="272">
        <f ca="1">'[1]October - 2022'!BK32</f>
        <v>0</v>
      </c>
      <c r="BA32" s="179">
        <f ca="1">'[1]October - 2022'!BL32</f>
        <v>0</v>
      </c>
      <c r="BB32" s="93">
        <f ca="1">'[1]October - 2022'!BL32</f>
        <v>0</v>
      </c>
      <c r="BC32" s="272">
        <f ca="1">'[1]October - 2022'!BN32</f>
        <v>0</v>
      </c>
      <c r="BD32" s="245">
        <f ca="1">'[1]October - 2022'!BO32</f>
        <v>0</v>
      </c>
      <c r="BE32" s="93">
        <f ca="1">'[1]October - 2022'!BO32</f>
        <v>0</v>
      </c>
      <c r="BF32" s="272">
        <f ca="1">'[1]October - 2022'!BQ32</f>
        <v>0</v>
      </c>
      <c r="BG32" s="245">
        <f ca="1">'[1]October - 2022'!BR32</f>
        <v>0</v>
      </c>
      <c r="BH32" s="93">
        <f ca="1"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 ca="1">'[1]October - 2022'!BT32</f>
        <v>0</v>
      </c>
      <c r="BT32" s="185">
        <f ca="1">'[1]October - 2022'!BU32</f>
        <v>0</v>
      </c>
      <c r="BU32" s="590"/>
      <c r="BV32" s="88">
        <f ca="1">'[1]October - 2022'!BW32</f>
        <v>0</v>
      </c>
      <c r="BW32" s="241">
        <f ca="1">'[1]October - 2022'!BX32</f>
        <v>0</v>
      </c>
      <c r="BX32" s="88">
        <f ca="1">'[1]October - 2022'!BX32</f>
        <v>0</v>
      </c>
      <c r="BY32" s="89">
        <f ca="1">'[1]October - 2022'!BZ32</f>
        <v>0</v>
      </c>
      <c r="BZ32" s="191">
        <f ca="1">'[1]October - 2022'!CA32</f>
        <v>0</v>
      </c>
      <c r="CA32" s="89">
        <f ca="1">'[1]October - 2022'!CB32</f>
        <v>0</v>
      </c>
      <c r="CB32" s="191">
        <f ca="1">'[1]October - 2022'!CC32</f>
        <v>0</v>
      </c>
      <c r="CC32" s="89">
        <f ca="1">'[1]October - 2022'!CD32</f>
        <v>0</v>
      </c>
      <c r="CD32" s="191">
        <f ca="1">'[1]October - 2022'!CE32</f>
        <v>0</v>
      </c>
      <c r="CE32" s="89">
        <f ca="1">'[1]October - 2022'!CF32</f>
        <v>0</v>
      </c>
      <c r="CF32" s="191">
        <f ca="1">'[1]October - 2022'!CG32</f>
        <v>0</v>
      </c>
      <c r="CG32" s="89">
        <f ca="1">'[1]October - 2022'!CH32</f>
        <v>0</v>
      </c>
      <c r="CH32" s="191">
        <f ca="1">'[1]October - 2022'!CI32</f>
        <v>0</v>
      </c>
      <c r="CI32" s="89">
        <f ca="1">'[1]October - 2022'!CJ32</f>
        <v>0</v>
      </c>
      <c r="CJ32" s="191">
        <f ca="1">'[1]October - 2022'!CK32</f>
        <v>0</v>
      </c>
      <c r="CK32" s="89">
        <f ca="1">'[1]October - 2022'!CL32</f>
        <v>0</v>
      </c>
      <c r="CL32" s="246">
        <f ca="1">'[1]October - 2022'!CM32</f>
        <v>0</v>
      </c>
      <c r="CM32" s="89">
        <f ca="1">'[1]October - 2022'!CM32</f>
        <v>0</v>
      </c>
      <c r="CN32" s="89">
        <f ca="1">'[1]October - 2022'!CO32</f>
        <v>0</v>
      </c>
      <c r="CO32" s="246">
        <f ca="1">'[1]October - 2022'!CP32</f>
        <v>0</v>
      </c>
      <c r="CP32" s="89">
        <f ca="1">'[1]October - 2022'!CP32</f>
        <v>0</v>
      </c>
      <c r="CQ32" s="89">
        <f ca="1">'[1]October - 2022'!CR32</f>
        <v>0</v>
      </c>
      <c r="CR32" s="246">
        <f ca="1">'[1]October - 2022'!CS32</f>
        <v>0</v>
      </c>
      <c r="CS32" s="89">
        <f ca="1">'[1]October - 2022'!CS32</f>
        <v>0</v>
      </c>
      <c r="CT32" s="89">
        <f ca="1">'[1]October - 2022'!CU32</f>
        <v>0</v>
      </c>
      <c r="CU32" s="191">
        <f ca="1">'[1]October - 2022'!CV32</f>
        <v>0</v>
      </c>
      <c r="CV32" s="518"/>
      <c r="CW32" s="256">
        <f ca="1">'[1]October - 2022'!CX32</f>
        <v>0</v>
      </c>
      <c r="CX32" s="198">
        <f ca="1">'[1]October - 2022'!CY32</f>
        <v>0</v>
      </c>
      <c r="CY32" s="257">
        <f ca="1">'[1]October - 2022'!CZ32</f>
        <v>0</v>
      </c>
      <c r="CZ32" s="198">
        <f ca="1">'[1]October - 2022'!DA32</f>
        <v>0</v>
      </c>
      <c r="DA32" s="257">
        <f ca="1">'[1]October - 2022'!DB32</f>
        <v>0</v>
      </c>
      <c r="DB32" s="198">
        <f ca="1">'[1]October - 2022'!DC32</f>
        <v>0</v>
      </c>
      <c r="DC32" s="257">
        <f ca="1">'[1]October - 2022'!DD32</f>
        <v>0</v>
      </c>
      <c r="DD32" s="198">
        <f ca="1">'[1]October - 2022'!DE32</f>
        <v>0</v>
      </c>
      <c r="DE32" s="257">
        <f ca="1">'[1]October - 2022'!DF32</f>
        <v>0</v>
      </c>
      <c r="DF32" s="198">
        <f ca="1">'[1]October - 2022'!DG32</f>
        <v>0</v>
      </c>
      <c r="DG32" s="257">
        <f ca="1">'[1]October - 2022'!DH32</f>
        <v>0</v>
      </c>
      <c r="DH32" s="198">
        <f ca="1">'[1]October - 2022'!DI32</f>
        <v>0</v>
      </c>
      <c r="DI32" s="257">
        <f ca="1">'[1]October - 2022'!DJ32</f>
        <v>0</v>
      </c>
      <c r="DJ32" s="198">
        <f ca="1">'[1]October - 2022'!DK32</f>
        <v>0</v>
      </c>
      <c r="DK32" s="257">
        <f ca="1">'[1]October - 2022'!DL32</f>
        <v>0</v>
      </c>
      <c r="DL32" s="198">
        <f ca="1">'[1]October - 2022'!DM32</f>
        <v>0</v>
      </c>
      <c r="DM32" s="257">
        <f ca="1">'[1]October - 2022'!DN32</f>
        <v>0</v>
      </c>
      <c r="DN32" s="198">
        <f ca="1">'[1]October - 2022'!DO32</f>
        <v>0</v>
      </c>
      <c r="DO32" s="257">
        <f ca="1">'[1]October - 2022'!DP32</f>
        <v>0</v>
      </c>
      <c r="DP32" s="198">
        <f ca="1">'[1]October - 2022'!DQ32</f>
        <v>0</v>
      </c>
      <c r="DQ32" s="257">
        <f ca="1">'[1]October - 2022'!DR32</f>
        <v>0</v>
      </c>
      <c r="DR32" s="206">
        <f ca="1">'[1]October - 2022'!DS32</f>
        <v>0</v>
      </c>
      <c r="DS32" s="534"/>
      <c r="DT32" s="210">
        <f ca="1">'[1]October - 2022'!DU32</f>
        <v>0</v>
      </c>
      <c r="DU32" s="221">
        <f ca="1">'[1]October - 2022'!DV32</f>
        <v>0</v>
      </c>
      <c r="DV32" s="91">
        <f ca="1">'[1]October - 2022'!DW32</f>
        <v>0</v>
      </c>
      <c r="DW32" s="215">
        <f ca="1">'[1]October - 2022'!DX32</f>
        <v>0</v>
      </c>
      <c r="DX32" s="91">
        <f ca="1">'[1]October - 2022'!DY32</f>
        <v>0</v>
      </c>
      <c r="DY32" s="215">
        <f ca="1">'[1]October - 2022'!DZ32</f>
        <v>0</v>
      </c>
      <c r="DZ32" s="91">
        <f ca="1">'[1]October - 2022'!EA32</f>
        <v>0</v>
      </c>
      <c r="EA32" s="215">
        <f ca="1">'[1]October - 2022'!EB32</f>
        <v>0</v>
      </c>
      <c r="EB32" s="91">
        <f ca="1">'[1]October - 2022'!EC32</f>
        <v>0</v>
      </c>
      <c r="EC32" s="215">
        <f ca="1">'[1]October - 2022'!ED32</f>
        <v>0</v>
      </c>
      <c r="ED32" s="91">
        <f ca="1">'[1]October - 2022'!EG32</f>
        <v>0</v>
      </c>
      <c r="EE32" s="229">
        <f ca="1">'[1]October - 2022'!EH32</f>
        <v>0</v>
      </c>
      <c r="EF32" s="581"/>
      <c r="EG32" s="235">
        <f ca="1">'[1]October - 2022'!EJ32</f>
        <v>0</v>
      </c>
      <c r="EH32" s="230">
        <f ca="1">'[1]October - 2022'!EK32</f>
        <v>0</v>
      </c>
      <c r="EI32" s="90">
        <f ca="1">'[1]October - 2022'!EL32</f>
        <v>0</v>
      </c>
      <c r="EJ32" s="230">
        <f ca="1">'[1]October - 2022'!EM32</f>
        <v>0</v>
      </c>
      <c r="EK32" s="90">
        <f ca="1">'[1]October - 2022'!EN32</f>
        <v>0</v>
      </c>
      <c r="EL32" s="230">
        <f ca="1">'[1]October - 2022'!EO32</f>
        <v>0</v>
      </c>
      <c r="EM32" s="90">
        <f ca="1">'[1]October - 2022'!EP32</f>
        <v>0</v>
      </c>
      <c r="EN32" s="230">
        <f ca="1">'[1]October - 2022'!EQ32</f>
        <v>0</v>
      </c>
      <c r="EO32" s="90">
        <f ca="1">'[1]October - 2022'!ER32</f>
        <v>0</v>
      </c>
      <c r="EP32" s="230">
        <f ca="1">'[1]October - 2022'!ES32</f>
        <v>0</v>
      </c>
      <c r="EQ32" s="90">
        <f ca="1">'[1]October - 2022'!ET32</f>
        <v>0</v>
      </c>
      <c r="ER32" s="230">
        <f ca="1">'[1]October - 2022'!EU32</f>
        <v>0</v>
      </c>
      <c r="ES32" s="556"/>
      <c r="ET32" s="281">
        <f ca="1">'[1]October - 2022'!EW32</f>
        <v>0</v>
      </c>
      <c r="EU32" s="275">
        <f ca="1">'[1]October - 2022'!EX32</f>
        <v>0</v>
      </c>
      <c r="EV32" s="282">
        <f ca="1">'[1]October - 2022'!EY32</f>
        <v>0</v>
      </c>
      <c r="EW32" s="275">
        <f ca="1">'[1]October - 2022'!EZ32</f>
        <v>0</v>
      </c>
      <c r="EX32" s="282">
        <f ca="1">'[1]October - 2022'!FA32</f>
        <v>0</v>
      </c>
      <c r="EY32" s="275">
        <f ca="1">'[1]October - 2022'!FB32</f>
        <v>0</v>
      </c>
      <c r="EZ32" s="282">
        <f ca="1">'[1]October - 2022'!FC32</f>
        <v>0</v>
      </c>
      <c r="FA32" s="275">
        <f ca="1">'[1]October - 2022'!FD32</f>
        <v>0</v>
      </c>
      <c r="FB32" s="282">
        <f ca="1">'[1]October - 2022'!FE32</f>
        <v>0</v>
      </c>
      <c r="FC32" s="276">
        <f ca="1">'[1]October - 2022'!FF32</f>
        <v>0</v>
      </c>
    </row>
    <row r="33" spans="1:160" ht="30" customHeight="1" x14ac:dyDescent="0.25">
      <c r="A33" s="207">
        <v>43854</v>
      </c>
      <c r="B33" s="209">
        <f ca="1">'[1]October - 2022'!B33</f>
        <v>0</v>
      </c>
      <c r="C33" s="250">
        <f ca="1">'[1]October - 2022'!E33</f>
        <v>0</v>
      </c>
      <c r="D33" s="170">
        <f ca="1">'[1]October - 2022'!F33</f>
        <v>0</v>
      </c>
      <c r="E33" s="168">
        <f ca="1">'[1]October - 2022'!G33</f>
        <v>589</v>
      </c>
      <c r="F33" s="168">
        <f ca="1">'[1]October - 2022'!H33</f>
        <v>0</v>
      </c>
      <c r="G33" s="170">
        <f ca="1">'[1]October - 2022'!I33</f>
        <v>0</v>
      </c>
      <c r="H33" s="168">
        <f ca="1">'[1]October - 2022'!J33</f>
        <v>362</v>
      </c>
      <c r="I33" s="168">
        <f ca="1">'[1]October - 2022'!K33</f>
        <v>0</v>
      </c>
      <c r="J33" s="170">
        <f ca="1">'[1]October - 2022'!L33</f>
        <v>0</v>
      </c>
      <c r="K33" s="168">
        <f ca="1">'[1]October - 2022'!N33</f>
        <v>0</v>
      </c>
      <c r="L33" s="170">
        <f ca="1">'[1]October - 2022'!O33</f>
        <v>0</v>
      </c>
      <c r="M33" s="168">
        <f ca="1">'[1]October - 2022'!Q33</f>
        <v>0</v>
      </c>
      <c r="N33" s="170">
        <f ca="1">'[1]October - 2022'!R33</f>
        <v>0</v>
      </c>
      <c r="O33" s="168">
        <f ca="1">'[1]October - 2022'!S33</f>
        <v>0</v>
      </c>
      <c r="P33" s="170">
        <f ca="1">'[1]October - 2022'!T33</f>
        <v>0</v>
      </c>
      <c r="Q33" s="168">
        <f ca="1">'[1]October - 2022'!U33</f>
        <v>172.52999999999884</v>
      </c>
      <c r="R33" s="168">
        <f ca="1">'[1]October - 2022'!V33</f>
        <v>0</v>
      </c>
      <c r="S33" s="208">
        <f ca="1">'[1]October - 2022'!W33</f>
        <v>0</v>
      </c>
      <c r="T33" s="477"/>
      <c r="U33" s="169">
        <f ca="1">'[1]October - 2022'!AC33</f>
        <v>0</v>
      </c>
      <c r="V33" s="288">
        <f ca="1">'[1]October - 2022'!AD33</f>
        <v>0</v>
      </c>
      <c r="W33" s="92">
        <f ca="1">'[1]October - 2022'!AD33</f>
        <v>0</v>
      </c>
      <c r="X33" s="287">
        <f ca="1">'[1]October - 2022'!AF33</f>
        <v>0</v>
      </c>
      <c r="Y33" s="288">
        <f ca="1">'[1]October - 2022'!AG33</f>
        <v>0</v>
      </c>
      <c r="Z33" s="92">
        <f ca="1">'[1]October - 2022'!AG33</f>
        <v>0</v>
      </c>
      <c r="AA33" s="287">
        <f ca="1">'[1]October - 2022'!AI33</f>
        <v>0</v>
      </c>
      <c r="AB33" s="288">
        <f ca="1">'[1]October - 2022'!AJ33</f>
        <v>0</v>
      </c>
      <c r="AC33" s="92">
        <f ca="1">'[1]October - 2022'!AJ33</f>
        <v>0</v>
      </c>
      <c r="AD33" s="287">
        <f ca="1">'[1]October - 2022'!AL33</f>
        <v>0</v>
      </c>
      <c r="AE33" s="288">
        <f ca="1">'[1]October - 2022'!AM33</f>
        <v>0</v>
      </c>
      <c r="AF33" s="92">
        <f ca="1">'[1]October - 2022'!AM33</f>
        <v>0</v>
      </c>
      <c r="AG33" s="287">
        <f ca="1">'[1]October - 2022'!AO33</f>
        <v>0</v>
      </c>
      <c r="AH33" s="288">
        <f ca="1">'[1]October - 2022'!AP33</f>
        <v>0</v>
      </c>
      <c r="AI33" s="92">
        <f ca="1">'[1]October - 2022'!AP33</f>
        <v>0</v>
      </c>
      <c r="AJ33" s="287">
        <f ca="1">'[1]October - 2022'!AR33</f>
        <v>0</v>
      </c>
      <c r="AK33" s="288">
        <f ca="1">'[1]October - 2022'!AS33</f>
        <v>0</v>
      </c>
      <c r="AL33" s="92">
        <f ca="1">'[1]October - 2022'!AS33</f>
        <v>0</v>
      </c>
      <c r="AM33" s="287">
        <f ca="1">'[1]October - 2022'!AU33</f>
        <v>0</v>
      </c>
      <c r="AN33" s="288">
        <f ca="1">'[1]October - 2022'!AV33</f>
        <v>0</v>
      </c>
      <c r="AO33" s="92">
        <f ca="1">'[1]October - 2022'!AV33</f>
        <v>0</v>
      </c>
      <c r="AP33" s="287">
        <f ca="1">'[1]October - 2022'!AX33</f>
        <v>0</v>
      </c>
      <c r="AQ33" s="288">
        <f ca="1">'[1]October - 2022'!AY33</f>
        <v>0</v>
      </c>
      <c r="AR33" s="92">
        <f ca="1">'[1]October - 2022'!AY33</f>
        <v>0</v>
      </c>
      <c r="AS33" s="287">
        <f ca="1">'[1]October - 2022'!BA33</f>
        <v>0</v>
      </c>
      <c r="AT33" s="288">
        <f ca="1">'[1]October - 2022'!BB33</f>
        <v>0</v>
      </c>
      <c r="AU33" s="92">
        <f ca="1">'[1]October - 2022'!BB33</f>
        <v>0</v>
      </c>
      <c r="AV33" s="287">
        <f ca="1">'[1]October - 2022'!BD33</f>
        <v>0</v>
      </c>
      <c r="AW33" s="252">
        <f ca="1">'[1]October - 2022'!BE33</f>
        <v>0</v>
      </c>
      <c r="AX33" s="253">
        <f ca="1">'[1]October - 2022'!BE33</f>
        <v>0</v>
      </c>
      <c r="AY33" s="494"/>
      <c r="AZ33" s="272">
        <f ca="1">'[1]October - 2022'!BK33</f>
        <v>0</v>
      </c>
      <c r="BA33" s="179">
        <f ca="1">'[1]October - 2022'!BL33</f>
        <v>0</v>
      </c>
      <c r="BB33" s="93">
        <f ca="1">'[1]October - 2022'!BL33</f>
        <v>0</v>
      </c>
      <c r="BC33" s="272">
        <f ca="1">'[1]October - 2022'!BN33</f>
        <v>0</v>
      </c>
      <c r="BD33" s="245">
        <f ca="1">'[1]October - 2022'!BO33</f>
        <v>0</v>
      </c>
      <c r="BE33" s="93">
        <f ca="1">'[1]October - 2022'!BO33</f>
        <v>0</v>
      </c>
      <c r="BF33" s="272">
        <f ca="1">'[1]October - 2022'!BQ33</f>
        <v>0</v>
      </c>
      <c r="BG33" s="245">
        <f ca="1">'[1]October - 2022'!BR33</f>
        <v>0</v>
      </c>
      <c r="BH33" s="93">
        <f ca="1"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 ca="1">'[1]October - 2022'!BT33</f>
        <v>0</v>
      </c>
      <c r="BT33" s="185">
        <f ca="1">'[1]October - 2022'!BU33</f>
        <v>0</v>
      </c>
      <c r="BU33" s="590"/>
      <c r="BV33" s="88">
        <f ca="1">'[1]October - 2022'!BW33</f>
        <v>0</v>
      </c>
      <c r="BW33" s="241">
        <f ca="1">'[1]October - 2022'!BX33</f>
        <v>0</v>
      </c>
      <c r="BX33" s="88">
        <f ca="1">'[1]October - 2022'!BX33</f>
        <v>0</v>
      </c>
      <c r="BY33" s="89">
        <f ca="1">'[1]October - 2022'!BZ33</f>
        <v>0</v>
      </c>
      <c r="BZ33" s="191">
        <f ca="1">'[1]October - 2022'!CA33</f>
        <v>0</v>
      </c>
      <c r="CA33" s="89">
        <f ca="1">'[1]October - 2022'!CB33</f>
        <v>0</v>
      </c>
      <c r="CB33" s="191">
        <f ca="1">'[1]October - 2022'!CC33</f>
        <v>0</v>
      </c>
      <c r="CC33" s="89">
        <f ca="1">'[1]October - 2022'!CD33</f>
        <v>0</v>
      </c>
      <c r="CD33" s="191">
        <f ca="1">'[1]October - 2022'!CE33</f>
        <v>0</v>
      </c>
      <c r="CE33" s="89">
        <f ca="1">'[1]October - 2022'!CF33</f>
        <v>0</v>
      </c>
      <c r="CF33" s="191">
        <f ca="1">'[1]October - 2022'!CG33</f>
        <v>0</v>
      </c>
      <c r="CG33" s="89">
        <f ca="1">'[1]October - 2022'!CH33</f>
        <v>0</v>
      </c>
      <c r="CH33" s="191">
        <f ca="1">'[1]October - 2022'!CI33</f>
        <v>0</v>
      </c>
      <c r="CI33" s="89">
        <f ca="1">'[1]October - 2022'!CJ33</f>
        <v>0</v>
      </c>
      <c r="CJ33" s="191">
        <f ca="1">'[1]October - 2022'!CK33</f>
        <v>0</v>
      </c>
      <c r="CK33" s="89">
        <f ca="1">'[1]October - 2022'!CL33</f>
        <v>0</v>
      </c>
      <c r="CL33" s="246">
        <f ca="1">'[1]October - 2022'!CM33</f>
        <v>0</v>
      </c>
      <c r="CM33" s="89">
        <f ca="1">'[1]October - 2022'!CM33</f>
        <v>0</v>
      </c>
      <c r="CN33" s="89">
        <f ca="1">'[1]October - 2022'!CO33</f>
        <v>0</v>
      </c>
      <c r="CO33" s="246">
        <f ca="1">'[1]October - 2022'!CP33</f>
        <v>0</v>
      </c>
      <c r="CP33" s="89">
        <f ca="1">'[1]October - 2022'!CP33</f>
        <v>0</v>
      </c>
      <c r="CQ33" s="89">
        <f ca="1">'[1]October - 2022'!CR33</f>
        <v>0</v>
      </c>
      <c r="CR33" s="246">
        <f ca="1">'[1]October - 2022'!CS33</f>
        <v>0</v>
      </c>
      <c r="CS33" s="89">
        <f ca="1">'[1]October - 2022'!CS33</f>
        <v>0</v>
      </c>
      <c r="CT33" s="89">
        <f ca="1">'[1]October - 2022'!CU33</f>
        <v>0</v>
      </c>
      <c r="CU33" s="191">
        <f ca="1">'[1]October - 2022'!CV33</f>
        <v>0</v>
      </c>
      <c r="CV33" s="518"/>
      <c r="CW33" s="256">
        <f ca="1">'[1]October - 2022'!CX33</f>
        <v>0</v>
      </c>
      <c r="CX33" s="198">
        <f ca="1">'[1]October - 2022'!CY33</f>
        <v>0</v>
      </c>
      <c r="CY33" s="257">
        <f ca="1">'[1]October - 2022'!CZ33</f>
        <v>0</v>
      </c>
      <c r="CZ33" s="198">
        <f ca="1">'[1]October - 2022'!DA33</f>
        <v>0</v>
      </c>
      <c r="DA33" s="257">
        <f ca="1">'[1]October - 2022'!DB33</f>
        <v>0</v>
      </c>
      <c r="DB33" s="198">
        <f ca="1">'[1]October - 2022'!DC33</f>
        <v>0</v>
      </c>
      <c r="DC33" s="257">
        <f ca="1">'[1]October - 2022'!DD33</f>
        <v>0</v>
      </c>
      <c r="DD33" s="198">
        <f ca="1">'[1]October - 2022'!DE33</f>
        <v>0</v>
      </c>
      <c r="DE33" s="257">
        <f ca="1">'[1]October - 2022'!DF33</f>
        <v>0</v>
      </c>
      <c r="DF33" s="198">
        <f ca="1">'[1]October - 2022'!DG33</f>
        <v>0</v>
      </c>
      <c r="DG33" s="257">
        <f ca="1">'[1]October - 2022'!DH33</f>
        <v>0</v>
      </c>
      <c r="DH33" s="198">
        <f ca="1">'[1]October - 2022'!DI33</f>
        <v>0</v>
      </c>
      <c r="DI33" s="257">
        <f ca="1">'[1]October - 2022'!DJ33</f>
        <v>0</v>
      </c>
      <c r="DJ33" s="198">
        <f ca="1">'[1]October - 2022'!DK33</f>
        <v>0</v>
      </c>
      <c r="DK33" s="257">
        <f ca="1">'[1]October - 2022'!DL33</f>
        <v>0</v>
      </c>
      <c r="DL33" s="198">
        <f ca="1">'[1]October - 2022'!DM33</f>
        <v>0</v>
      </c>
      <c r="DM33" s="257">
        <f ca="1">'[1]October - 2022'!DN33</f>
        <v>0</v>
      </c>
      <c r="DN33" s="198">
        <f ca="1">'[1]October - 2022'!DO33</f>
        <v>0</v>
      </c>
      <c r="DO33" s="257">
        <f ca="1">'[1]October - 2022'!DP33</f>
        <v>0</v>
      </c>
      <c r="DP33" s="198">
        <f ca="1">'[1]October - 2022'!DQ33</f>
        <v>0</v>
      </c>
      <c r="DQ33" s="257">
        <f ca="1">'[1]October - 2022'!DR33</f>
        <v>0</v>
      </c>
      <c r="DR33" s="206">
        <f ca="1">'[1]October - 2022'!DS33</f>
        <v>0</v>
      </c>
      <c r="DS33" s="534"/>
      <c r="DT33" s="210">
        <f ca="1">'[1]October - 2022'!DU33</f>
        <v>0</v>
      </c>
      <c r="DU33" s="221">
        <f ca="1">'[1]October - 2022'!DV33</f>
        <v>0</v>
      </c>
      <c r="DV33" s="91">
        <f ca="1">'[1]October - 2022'!DW33</f>
        <v>0</v>
      </c>
      <c r="DW33" s="215">
        <f ca="1">'[1]October - 2022'!DX33</f>
        <v>0</v>
      </c>
      <c r="DX33" s="91">
        <f ca="1">'[1]October - 2022'!DY33</f>
        <v>0</v>
      </c>
      <c r="DY33" s="215">
        <f ca="1">'[1]October - 2022'!DZ33</f>
        <v>0</v>
      </c>
      <c r="DZ33" s="91">
        <f ca="1">'[1]October - 2022'!EA33</f>
        <v>0</v>
      </c>
      <c r="EA33" s="215">
        <f ca="1">'[1]October - 2022'!EB33</f>
        <v>0</v>
      </c>
      <c r="EB33" s="91">
        <f ca="1">'[1]October - 2022'!EC33</f>
        <v>0</v>
      </c>
      <c r="EC33" s="215">
        <f ca="1">'[1]October - 2022'!ED33</f>
        <v>0</v>
      </c>
      <c r="ED33" s="91">
        <f ca="1">'[1]October - 2022'!EG33</f>
        <v>0</v>
      </c>
      <c r="EE33" s="229">
        <f ca="1">'[1]October - 2022'!EH33</f>
        <v>0</v>
      </c>
      <c r="EF33" s="581"/>
      <c r="EG33" s="235">
        <f ca="1">'[1]October - 2022'!EJ33</f>
        <v>0</v>
      </c>
      <c r="EH33" s="230">
        <f ca="1">'[1]October - 2022'!EK33</f>
        <v>0</v>
      </c>
      <c r="EI33" s="90">
        <f ca="1">'[1]October - 2022'!EL33</f>
        <v>0</v>
      </c>
      <c r="EJ33" s="230">
        <f ca="1">'[1]October - 2022'!EM33</f>
        <v>0</v>
      </c>
      <c r="EK33" s="90">
        <f ca="1">'[1]October - 2022'!EN33</f>
        <v>0</v>
      </c>
      <c r="EL33" s="230">
        <f ca="1">'[1]October - 2022'!EO33</f>
        <v>0</v>
      </c>
      <c r="EM33" s="90">
        <f ca="1">'[1]October - 2022'!EP33</f>
        <v>0</v>
      </c>
      <c r="EN33" s="230">
        <f ca="1">'[1]October - 2022'!EQ33</f>
        <v>0</v>
      </c>
      <c r="EO33" s="90">
        <f ca="1">'[1]October - 2022'!ER33</f>
        <v>0</v>
      </c>
      <c r="EP33" s="230">
        <f ca="1">'[1]October - 2022'!ES33</f>
        <v>0</v>
      </c>
      <c r="EQ33" s="90">
        <f ca="1">'[1]October - 2022'!ET33</f>
        <v>0</v>
      </c>
      <c r="ER33" s="230">
        <f ca="1">'[1]October - 2022'!EU33</f>
        <v>0</v>
      </c>
      <c r="ES33" s="556"/>
      <c r="ET33" s="281">
        <f ca="1">'[1]October - 2022'!EW33</f>
        <v>0</v>
      </c>
      <c r="EU33" s="275">
        <f ca="1">'[1]October - 2022'!EX33</f>
        <v>0</v>
      </c>
      <c r="EV33" s="282">
        <f ca="1">'[1]October - 2022'!EY33</f>
        <v>0</v>
      </c>
      <c r="EW33" s="275">
        <f ca="1">'[1]October - 2022'!EZ33</f>
        <v>0</v>
      </c>
      <c r="EX33" s="282">
        <f ca="1">'[1]October - 2022'!FA33</f>
        <v>0</v>
      </c>
      <c r="EY33" s="275">
        <f ca="1">'[1]October - 2022'!FB33</f>
        <v>0</v>
      </c>
      <c r="EZ33" s="282">
        <f ca="1">'[1]October - 2022'!FC33</f>
        <v>0</v>
      </c>
      <c r="FA33" s="275">
        <f ca="1">'[1]October - 2022'!FD33</f>
        <v>0</v>
      </c>
      <c r="FB33" s="282">
        <f ca="1">'[1]October - 2022'!FE33</f>
        <v>0</v>
      </c>
      <c r="FC33" s="276">
        <f ca="1">'[1]October - 2022'!FF33</f>
        <v>0</v>
      </c>
    </row>
    <row r="34" spans="1:160" ht="30" customHeight="1" x14ac:dyDescent="0.25">
      <c r="A34" s="207">
        <v>43855</v>
      </c>
      <c r="B34" s="209">
        <f ca="1">'[1]October - 2022'!B34</f>
        <v>0</v>
      </c>
      <c r="C34" s="250">
        <f ca="1">'[1]October - 2022'!E34</f>
        <v>0</v>
      </c>
      <c r="D34" s="170">
        <f ca="1">'[1]October - 2022'!F34</f>
        <v>0</v>
      </c>
      <c r="E34" s="168">
        <f ca="1">'[1]October - 2022'!G34</f>
        <v>597</v>
      </c>
      <c r="F34" s="168">
        <f ca="1">'[1]October - 2022'!H34</f>
        <v>0</v>
      </c>
      <c r="G34" s="170">
        <f ca="1">'[1]October - 2022'!I34</f>
        <v>0</v>
      </c>
      <c r="H34" s="168">
        <f ca="1">'[1]October - 2022'!J34</f>
        <v>385</v>
      </c>
      <c r="I34" s="168">
        <f ca="1">'[1]October - 2022'!K34</f>
        <v>0</v>
      </c>
      <c r="J34" s="170">
        <f ca="1">'[1]October - 2022'!L34</f>
        <v>0</v>
      </c>
      <c r="K34" s="168">
        <f ca="1">'[1]October - 2022'!N34</f>
        <v>0</v>
      </c>
      <c r="L34" s="170">
        <f ca="1">'[1]October - 2022'!O34</f>
        <v>0</v>
      </c>
      <c r="M34" s="168">
        <f ca="1">'[1]October - 2022'!Q34</f>
        <v>0</v>
      </c>
      <c r="N34" s="170">
        <f ca="1">'[1]October - 2022'!R34</f>
        <v>0</v>
      </c>
      <c r="O34" s="168">
        <f ca="1">'[1]October - 2022'!S34</f>
        <v>0</v>
      </c>
      <c r="P34" s="170">
        <f ca="1">'[1]October - 2022'!T34</f>
        <v>0</v>
      </c>
      <c r="Q34" s="168">
        <f ca="1">'[1]October - 2022'!U34</f>
        <v>201.95999999999913</v>
      </c>
      <c r="R34" s="168">
        <f ca="1">'[1]October - 2022'!V34</f>
        <v>0</v>
      </c>
      <c r="S34" s="208">
        <f ca="1">'[1]October - 2022'!W34</f>
        <v>0</v>
      </c>
      <c r="T34" s="477"/>
      <c r="U34" s="169">
        <f ca="1">'[1]October - 2022'!AC34</f>
        <v>0</v>
      </c>
      <c r="V34" s="288">
        <f ca="1">'[1]October - 2022'!AD34</f>
        <v>0</v>
      </c>
      <c r="W34" s="92">
        <f ca="1">'[1]October - 2022'!AD34</f>
        <v>0</v>
      </c>
      <c r="X34" s="287">
        <f ca="1">'[1]October - 2022'!AF34</f>
        <v>0</v>
      </c>
      <c r="Y34" s="288">
        <f ca="1">'[1]October - 2022'!AG34</f>
        <v>0</v>
      </c>
      <c r="Z34" s="92">
        <f ca="1">'[1]October - 2022'!AG34</f>
        <v>0</v>
      </c>
      <c r="AA34" s="287">
        <f ca="1">'[1]October - 2022'!AI34</f>
        <v>0</v>
      </c>
      <c r="AB34" s="288">
        <f ca="1">'[1]October - 2022'!AJ34</f>
        <v>0</v>
      </c>
      <c r="AC34" s="92">
        <f ca="1">'[1]October - 2022'!AJ34</f>
        <v>0</v>
      </c>
      <c r="AD34" s="287">
        <f ca="1">'[1]October - 2022'!AL34</f>
        <v>0</v>
      </c>
      <c r="AE34" s="288">
        <f ca="1">'[1]October - 2022'!AM34</f>
        <v>0</v>
      </c>
      <c r="AF34" s="92">
        <f ca="1">'[1]October - 2022'!AM34</f>
        <v>0</v>
      </c>
      <c r="AG34" s="287">
        <f ca="1">'[1]October - 2022'!AO34</f>
        <v>0</v>
      </c>
      <c r="AH34" s="288">
        <f ca="1">'[1]October - 2022'!AP34</f>
        <v>0</v>
      </c>
      <c r="AI34" s="92">
        <f ca="1">'[1]October - 2022'!AP34</f>
        <v>0</v>
      </c>
      <c r="AJ34" s="287">
        <f ca="1">'[1]October - 2022'!AR34</f>
        <v>0</v>
      </c>
      <c r="AK34" s="288">
        <f ca="1">'[1]October - 2022'!AS34</f>
        <v>0</v>
      </c>
      <c r="AL34" s="92">
        <f ca="1">'[1]October - 2022'!AS34</f>
        <v>0</v>
      </c>
      <c r="AM34" s="287">
        <f ca="1">'[1]October - 2022'!AU34</f>
        <v>0</v>
      </c>
      <c r="AN34" s="288">
        <f ca="1">'[1]October - 2022'!AV34</f>
        <v>0</v>
      </c>
      <c r="AO34" s="92">
        <f ca="1">'[1]October - 2022'!AV34</f>
        <v>0</v>
      </c>
      <c r="AP34" s="287">
        <f ca="1">'[1]October - 2022'!AX34</f>
        <v>0</v>
      </c>
      <c r="AQ34" s="288">
        <f ca="1">'[1]October - 2022'!AY34</f>
        <v>0</v>
      </c>
      <c r="AR34" s="92">
        <f ca="1">'[1]October - 2022'!AY34</f>
        <v>0</v>
      </c>
      <c r="AS34" s="287">
        <f ca="1">'[1]October - 2022'!BA34</f>
        <v>0</v>
      </c>
      <c r="AT34" s="288">
        <f ca="1">'[1]October - 2022'!BB34</f>
        <v>0</v>
      </c>
      <c r="AU34" s="92">
        <f ca="1">'[1]October - 2022'!BB34</f>
        <v>0</v>
      </c>
      <c r="AV34" s="287">
        <f ca="1">'[1]October - 2022'!BD34</f>
        <v>0</v>
      </c>
      <c r="AW34" s="252">
        <f ca="1">'[1]October - 2022'!BE34</f>
        <v>0</v>
      </c>
      <c r="AX34" s="253">
        <f ca="1">'[1]October - 2022'!BE34</f>
        <v>0</v>
      </c>
      <c r="AY34" s="494"/>
      <c r="AZ34" s="272">
        <f ca="1">'[1]October - 2022'!BK34</f>
        <v>0</v>
      </c>
      <c r="BA34" s="179">
        <f ca="1">'[1]October - 2022'!BL34</f>
        <v>0</v>
      </c>
      <c r="BB34" s="93">
        <f ca="1">'[1]October - 2022'!BL34</f>
        <v>0</v>
      </c>
      <c r="BC34" s="272">
        <f ca="1">'[1]October - 2022'!BN34</f>
        <v>0</v>
      </c>
      <c r="BD34" s="245">
        <f ca="1">'[1]October - 2022'!BO34</f>
        <v>0</v>
      </c>
      <c r="BE34" s="93">
        <f ca="1">'[1]October - 2022'!BO34</f>
        <v>0</v>
      </c>
      <c r="BF34" s="272">
        <f ca="1">'[1]October - 2022'!BQ34</f>
        <v>0</v>
      </c>
      <c r="BG34" s="245">
        <f ca="1">'[1]October - 2022'!BR34</f>
        <v>0</v>
      </c>
      <c r="BH34" s="93">
        <f ca="1"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 ca="1">'[1]October - 2022'!BT34</f>
        <v>0</v>
      </c>
      <c r="BT34" s="185">
        <f ca="1">'[1]October - 2022'!BU34</f>
        <v>0</v>
      </c>
      <c r="BU34" s="590"/>
      <c r="BV34" s="88">
        <f ca="1">'[1]October - 2022'!BW34</f>
        <v>0</v>
      </c>
      <c r="BW34" s="241">
        <f ca="1">'[1]October - 2022'!BX34</f>
        <v>0</v>
      </c>
      <c r="BX34" s="88">
        <f ca="1">'[1]October - 2022'!BX34</f>
        <v>0</v>
      </c>
      <c r="BY34" s="89">
        <f ca="1">'[1]October - 2022'!BZ34</f>
        <v>0</v>
      </c>
      <c r="BZ34" s="191">
        <f ca="1">'[1]October - 2022'!CA34</f>
        <v>0</v>
      </c>
      <c r="CA34" s="89">
        <f ca="1">'[1]October - 2022'!CB34</f>
        <v>0</v>
      </c>
      <c r="CB34" s="191">
        <f ca="1">'[1]October - 2022'!CC34</f>
        <v>0</v>
      </c>
      <c r="CC34" s="89">
        <f ca="1">'[1]October - 2022'!CD34</f>
        <v>0</v>
      </c>
      <c r="CD34" s="191">
        <f ca="1">'[1]October - 2022'!CE34</f>
        <v>0</v>
      </c>
      <c r="CE34" s="89">
        <f ca="1">'[1]October - 2022'!CF34</f>
        <v>0</v>
      </c>
      <c r="CF34" s="191">
        <f ca="1">'[1]October - 2022'!CG34</f>
        <v>0</v>
      </c>
      <c r="CG34" s="89">
        <f ca="1">'[1]October - 2022'!CH34</f>
        <v>0</v>
      </c>
      <c r="CH34" s="191">
        <f ca="1">'[1]October - 2022'!CI34</f>
        <v>0</v>
      </c>
      <c r="CI34" s="89">
        <f ca="1">'[1]October - 2022'!CJ34</f>
        <v>0</v>
      </c>
      <c r="CJ34" s="191">
        <f ca="1">'[1]October - 2022'!CK34</f>
        <v>0</v>
      </c>
      <c r="CK34" s="89">
        <f ca="1">'[1]October - 2022'!CL34</f>
        <v>0</v>
      </c>
      <c r="CL34" s="246">
        <f ca="1">'[1]October - 2022'!CM34</f>
        <v>0</v>
      </c>
      <c r="CM34" s="89">
        <f ca="1">'[1]October - 2022'!CM34</f>
        <v>0</v>
      </c>
      <c r="CN34" s="89">
        <f ca="1">'[1]October - 2022'!CO34</f>
        <v>0</v>
      </c>
      <c r="CO34" s="246">
        <f ca="1">'[1]October - 2022'!CP34</f>
        <v>0</v>
      </c>
      <c r="CP34" s="89">
        <f ca="1">'[1]October - 2022'!CP34</f>
        <v>0</v>
      </c>
      <c r="CQ34" s="89">
        <f ca="1">'[1]October - 2022'!CR34</f>
        <v>0</v>
      </c>
      <c r="CR34" s="246">
        <f ca="1">'[1]October - 2022'!CS34</f>
        <v>0</v>
      </c>
      <c r="CS34" s="89">
        <f ca="1">'[1]October - 2022'!CS34</f>
        <v>0</v>
      </c>
      <c r="CT34" s="89">
        <f ca="1">'[1]October - 2022'!CU34</f>
        <v>0</v>
      </c>
      <c r="CU34" s="191">
        <f ca="1">'[1]October - 2022'!CV34</f>
        <v>0</v>
      </c>
      <c r="CV34" s="518"/>
      <c r="CW34" s="256">
        <f ca="1">'[1]October - 2022'!CX34</f>
        <v>0</v>
      </c>
      <c r="CX34" s="198">
        <f ca="1">'[1]October - 2022'!CY34</f>
        <v>0</v>
      </c>
      <c r="CY34" s="257">
        <f ca="1">'[1]October - 2022'!CZ34</f>
        <v>0</v>
      </c>
      <c r="CZ34" s="198">
        <f ca="1">'[1]October - 2022'!DA34</f>
        <v>0</v>
      </c>
      <c r="DA34" s="257">
        <f ca="1">'[1]October - 2022'!DB34</f>
        <v>0</v>
      </c>
      <c r="DB34" s="198">
        <f ca="1">'[1]October - 2022'!DC34</f>
        <v>0</v>
      </c>
      <c r="DC34" s="257">
        <f ca="1">'[1]October - 2022'!DD34</f>
        <v>0</v>
      </c>
      <c r="DD34" s="198">
        <f ca="1">'[1]October - 2022'!DE34</f>
        <v>0</v>
      </c>
      <c r="DE34" s="257">
        <f ca="1">'[1]October - 2022'!DF34</f>
        <v>0</v>
      </c>
      <c r="DF34" s="198">
        <f ca="1">'[1]October - 2022'!DG34</f>
        <v>0</v>
      </c>
      <c r="DG34" s="257">
        <f ca="1">'[1]October - 2022'!DH34</f>
        <v>0</v>
      </c>
      <c r="DH34" s="198">
        <f ca="1">'[1]October - 2022'!DI34</f>
        <v>0</v>
      </c>
      <c r="DI34" s="257">
        <f ca="1">'[1]October - 2022'!DJ34</f>
        <v>0</v>
      </c>
      <c r="DJ34" s="198">
        <f ca="1">'[1]October - 2022'!DK34</f>
        <v>0</v>
      </c>
      <c r="DK34" s="257">
        <f ca="1">'[1]October - 2022'!DL34</f>
        <v>0</v>
      </c>
      <c r="DL34" s="198">
        <f ca="1">'[1]October - 2022'!DM34</f>
        <v>0</v>
      </c>
      <c r="DM34" s="257">
        <f ca="1">'[1]October - 2022'!DN34</f>
        <v>0</v>
      </c>
      <c r="DN34" s="198">
        <f ca="1">'[1]October - 2022'!DO34</f>
        <v>0</v>
      </c>
      <c r="DO34" s="257">
        <f ca="1">'[1]October - 2022'!DP34</f>
        <v>0</v>
      </c>
      <c r="DP34" s="198">
        <f ca="1">'[1]October - 2022'!DQ34</f>
        <v>0</v>
      </c>
      <c r="DQ34" s="257">
        <f ca="1">'[1]October - 2022'!DR34</f>
        <v>0</v>
      </c>
      <c r="DR34" s="206">
        <f ca="1">'[1]October - 2022'!DS34</f>
        <v>0</v>
      </c>
      <c r="DS34" s="534"/>
      <c r="DT34" s="210">
        <f ca="1">'[1]October - 2022'!DU34</f>
        <v>0</v>
      </c>
      <c r="DU34" s="221">
        <f ca="1">'[1]October - 2022'!DV34</f>
        <v>0</v>
      </c>
      <c r="DV34" s="91">
        <f ca="1">'[1]October - 2022'!DW34</f>
        <v>0</v>
      </c>
      <c r="DW34" s="215">
        <f ca="1">'[1]October - 2022'!DX34</f>
        <v>0</v>
      </c>
      <c r="DX34" s="91">
        <f ca="1">'[1]October - 2022'!DY34</f>
        <v>0</v>
      </c>
      <c r="DY34" s="215">
        <f ca="1">'[1]October - 2022'!DZ34</f>
        <v>0</v>
      </c>
      <c r="DZ34" s="91">
        <f ca="1">'[1]October - 2022'!EA34</f>
        <v>0</v>
      </c>
      <c r="EA34" s="215">
        <f ca="1">'[1]October - 2022'!EB34</f>
        <v>0</v>
      </c>
      <c r="EB34" s="91">
        <f ca="1">'[1]October - 2022'!EC34</f>
        <v>0</v>
      </c>
      <c r="EC34" s="215">
        <f ca="1">'[1]October - 2022'!ED34</f>
        <v>0</v>
      </c>
      <c r="ED34" s="91">
        <f ca="1">'[1]October - 2022'!EG34</f>
        <v>0</v>
      </c>
      <c r="EE34" s="229">
        <f ca="1">'[1]October - 2022'!EH34</f>
        <v>0</v>
      </c>
      <c r="EF34" s="581"/>
      <c r="EG34" s="235">
        <f ca="1">'[1]October - 2022'!EJ34</f>
        <v>0</v>
      </c>
      <c r="EH34" s="230">
        <f ca="1">'[1]October - 2022'!EK34</f>
        <v>0</v>
      </c>
      <c r="EI34" s="90">
        <f ca="1">'[1]October - 2022'!EL34</f>
        <v>0</v>
      </c>
      <c r="EJ34" s="230">
        <f ca="1">'[1]October - 2022'!EM34</f>
        <v>0</v>
      </c>
      <c r="EK34" s="90">
        <f ca="1">'[1]October - 2022'!EN34</f>
        <v>0</v>
      </c>
      <c r="EL34" s="230">
        <f ca="1">'[1]October - 2022'!EO34</f>
        <v>0</v>
      </c>
      <c r="EM34" s="90">
        <f ca="1">'[1]October - 2022'!EP34</f>
        <v>0</v>
      </c>
      <c r="EN34" s="230">
        <f ca="1">'[1]October - 2022'!EQ34</f>
        <v>0</v>
      </c>
      <c r="EO34" s="90">
        <f ca="1">'[1]October - 2022'!ER34</f>
        <v>0</v>
      </c>
      <c r="EP34" s="230">
        <f ca="1">'[1]October - 2022'!ES34</f>
        <v>0</v>
      </c>
      <c r="EQ34" s="90">
        <f ca="1">'[1]October - 2022'!ET34</f>
        <v>0</v>
      </c>
      <c r="ER34" s="230">
        <f ca="1">'[1]October - 2022'!EU34</f>
        <v>0</v>
      </c>
      <c r="ES34" s="556"/>
      <c r="ET34" s="281">
        <f ca="1">'[1]October - 2022'!EW34</f>
        <v>0</v>
      </c>
      <c r="EU34" s="275">
        <f ca="1">'[1]October - 2022'!EX34</f>
        <v>0</v>
      </c>
      <c r="EV34" s="282">
        <f ca="1">'[1]October - 2022'!EY34</f>
        <v>0</v>
      </c>
      <c r="EW34" s="275">
        <f ca="1">'[1]October - 2022'!EZ34</f>
        <v>0</v>
      </c>
      <c r="EX34" s="282">
        <f ca="1">'[1]October - 2022'!FA34</f>
        <v>0</v>
      </c>
      <c r="EY34" s="275">
        <f ca="1">'[1]October - 2022'!FB34</f>
        <v>0</v>
      </c>
      <c r="EZ34" s="282">
        <f ca="1">'[1]October - 2022'!FC34</f>
        <v>0</v>
      </c>
      <c r="FA34" s="275">
        <f ca="1">'[1]October - 2022'!FD34</f>
        <v>0</v>
      </c>
      <c r="FB34" s="282">
        <f ca="1">'[1]October - 2022'!FE34</f>
        <v>0</v>
      </c>
      <c r="FC34" s="276">
        <f ca="1">'[1]October - 2022'!FF34</f>
        <v>0</v>
      </c>
    </row>
    <row r="35" spans="1:160" ht="30" customHeight="1" x14ac:dyDescent="0.25">
      <c r="A35" s="207">
        <v>43856</v>
      </c>
      <c r="B35" s="209">
        <f ca="1">'[1]October - 2022'!B35</f>
        <v>0</v>
      </c>
      <c r="C35" s="250">
        <f ca="1">'[1]October - 2022'!E35</f>
        <v>0</v>
      </c>
      <c r="D35" s="170">
        <f ca="1">'[1]October - 2022'!F35</f>
        <v>0</v>
      </c>
      <c r="E35" s="168">
        <f ca="1">'[1]October - 2022'!G35</f>
        <v>622</v>
      </c>
      <c r="F35" s="168">
        <f ca="1">'[1]October - 2022'!H35</f>
        <v>0</v>
      </c>
      <c r="G35" s="170">
        <f ca="1">'[1]October - 2022'!I35</f>
        <v>0</v>
      </c>
      <c r="H35" s="168">
        <f ca="1">'[1]October - 2022'!J35</f>
        <v>369</v>
      </c>
      <c r="I35" s="168">
        <f ca="1">'[1]October - 2022'!K35</f>
        <v>0</v>
      </c>
      <c r="J35" s="170">
        <f ca="1">'[1]October - 2022'!L35</f>
        <v>0</v>
      </c>
      <c r="K35" s="168">
        <f ca="1">'[1]October - 2022'!N35</f>
        <v>0</v>
      </c>
      <c r="L35" s="170">
        <f ca="1">'[1]October - 2022'!O35</f>
        <v>0</v>
      </c>
      <c r="M35" s="168">
        <f ca="1">'[1]October - 2022'!Q35</f>
        <v>0</v>
      </c>
      <c r="N35" s="170">
        <f ca="1">'[1]October - 2022'!R35</f>
        <v>0</v>
      </c>
      <c r="O35" s="168">
        <f ca="1">'[1]October - 2022'!S35</f>
        <v>0</v>
      </c>
      <c r="P35" s="170">
        <f ca="1">'[1]October - 2022'!T35</f>
        <v>0</v>
      </c>
      <c r="Q35" s="168">
        <f ca="1">'[1]October - 2022'!U35</f>
        <v>171.47000000000116</v>
      </c>
      <c r="R35" s="168">
        <f ca="1">'[1]October - 2022'!V35</f>
        <v>0</v>
      </c>
      <c r="S35" s="208">
        <f ca="1">'[1]October - 2022'!W35</f>
        <v>0</v>
      </c>
      <c r="T35" s="477"/>
      <c r="U35" s="169">
        <f ca="1">'[1]October - 2022'!AC35</f>
        <v>0</v>
      </c>
      <c r="V35" s="288">
        <f ca="1">'[1]October - 2022'!AD35</f>
        <v>0</v>
      </c>
      <c r="W35" s="92">
        <f ca="1">'[1]October - 2022'!AD35</f>
        <v>0</v>
      </c>
      <c r="X35" s="287">
        <f ca="1">'[1]October - 2022'!AF35</f>
        <v>0</v>
      </c>
      <c r="Y35" s="288">
        <f ca="1">'[1]October - 2022'!AG35</f>
        <v>0</v>
      </c>
      <c r="Z35" s="92">
        <f ca="1">'[1]October - 2022'!AG35</f>
        <v>0</v>
      </c>
      <c r="AA35" s="287">
        <f ca="1">'[1]October - 2022'!AI35</f>
        <v>0</v>
      </c>
      <c r="AB35" s="288">
        <f ca="1">'[1]October - 2022'!AJ35</f>
        <v>0</v>
      </c>
      <c r="AC35" s="92">
        <f ca="1">'[1]October - 2022'!AJ35</f>
        <v>0</v>
      </c>
      <c r="AD35" s="287">
        <f ca="1">'[1]October - 2022'!AL35</f>
        <v>0</v>
      </c>
      <c r="AE35" s="288">
        <f ca="1">'[1]October - 2022'!AM35</f>
        <v>0</v>
      </c>
      <c r="AF35" s="92">
        <f ca="1">'[1]October - 2022'!AM35</f>
        <v>0</v>
      </c>
      <c r="AG35" s="287">
        <f ca="1">'[1]October - 2022'!AO35</f>
        <v>0</v>
      </c>
      <c r="AH35" s="288">
        <f ca="1">'[1]October - 2022'!AP35</f>
        <v>0</v>
      </c>
      <c r="AI35" s="92">
        <f ca="1">'[1]October - 2022'!AP35</f>
        <v>0</v>
      </c>
      <c r="AJ35" s="287">
        <f ca="1">'[1]October - 2022'!AR35</f>
        <v>0</v>
      </c>
      <c r="AK35" s="288">
        <f ca="1">'[1]October - 2022'!AS35</f>
        <v>0</v>
      </c>
      <c r="AL35" s="92">
        <f ca="1">'[1]October - 2022'!AS35</f>
        <v>0</v>
      </c>
      <c r="AM35" s="287">
        <f ca="1">'[1]October - 2022'!AU35</f>
        <v>0</v>
      </c>
      <c r="AN35" s="288">
        <f ca="1">'[1]October - 2022'!AV35</f>
        <v>0</v>
      </c>
      <c r="AO35" s="92">
        <f ca="1">'[1]October - 2022'!AV35</f>
        <v>0</v>
      </c>
      <c r="AP35" s="287">
        <f ca="1">'[1]October - 2022'!AX35</f>
        <v>0</v>
      </c>
      <c r="AQ35" s="288">
        <f ca="1">'[1]October - 2022'!AY35</f>
        <v>0</v>
      </c>
      <c r="AR35" s="92">
        <f ca="1">'[1]October - 2022'!AY35</f>
        <v>0</v>
      </c>
      <c r="AS35" s="287">
        <f ca="1">'[1]October - 2022'!BA35</f>
        <v>0</v>
      </c>
      <c r="AT35" s="288">
        <f ca="1">'[1]October - 2022'!BB35</f>
        <v>0</v>
      </c>
      <c r="AU35" s="92">
        <f ca="1">'[1]October - 2022'!BB35</f>
        <v>0</v>
      </c>
      <c r="AV35" s="287">
        <f ca="1">'[1]October - 2022'!BD35</f>
        <v>0</v>
      </c>
      <c r="AW35" s="252">
        <f ca="1">'[1]October - 2022'!BE35</f>
        <v>0</v>
      </c>
      <c r="AX35" s="253">
        <f ca="1">'[1]October - 2022'!BE35</f>
        <v>0</v>
      </c>
      <c r="AY35" s="494"/>
      <c r="AZ35" s="272">
        <f ca="1">'[1]October - 2022'!BK35</f>
        <v>0</v>
      </c>
      <c r="BA35" s="179">
        <f ca="1">'[1]October - 2022'!BL35</f>
        <v>0</v>
      </c>
      <c r="BB35" s="93">
        <f ca="1">'[1]October - 2022'!BL35</f>
        <v>0</v>
      </c>
      <c r="BC35" s="272">
        <f ca="1">'[1]October - 2022'!BN35</f>
        <v>0</v>
      </c>
      <c r="BD35" s="245">
        <f ca="1">'[1]October - 2022'!BO35</f>
        <v>0</v>
      </c>
      <c r="BE35" s="93">
        <f ca="1">'[1]October - 2022'!BO35</f>
        <v>0</v>
      </c>
      <c r="BF35" s="272">
        <f ca="1">'[1]October - 2022'!BQ35</f>
        <v>0</v>
      </c>
      <c r="BG35" s="245">
        <f ca="1">'[1]October - 2022'!BR35</f>
        <v>0</v>
      </c>
      <c r="BH35" s="93">
        <f ca="1"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 ca="1">'[1]October - 2022'!BT35</f>
        <v>0</v>
      </c>
      <c r="BT35" s="185">
        <f ca="1">'[1]October - 2022'!BU35</f>
        <v>0</v>
      </c>
      <c r="BU35" s="590"/>
      <c r="BV35" s="88">
        <f ca="1">'[1]October - 2022'!BW35</f>
        <v>0</v>
      </c>
      <c r="BW35" s="241">
        <f ca="1">'[1]October - 2022'!BX35</f>
        <v>0</v>
      </c>
      <c r="BX35" s="88">
        <f ca="1">'[1]October - 2022'!BX35</f>
        <v>0</v>
      </c>
      <c r="BY35" s="89">
        <f ca="1">'[1]October - 2022'!BZ35</f>
        <v>0</v>
      </c>
      <c r="BZ35" s="191">
        <f ca="1">'[1]October - 2022'!CA35</f>
        <v>0</v>
      </c>
      <c r="CA35" s="89">
        <f ca="1">'[1]October - 2022'!CB35</f>
        <v>0</v>
      </c>
      <c r="CB35" s="191">
        <f ca="1">'[1]October - 2022'!CC35</f>
        <v>0</v>
      </c>
      <c r="CC35" s="89">
        <f ca="1">'[1]October - 2022'!CD35</f>
        <v>0</v>
      </c>
      <c r="CD35" s="191">
        <f ca="1">'[1]October - 2022'!CE35</f>
        <v>0</v>
      </c>
      <c r="CE35" s="89">
        <f ca="1">'[1]October - 2022'!CF35</f>
        <v>0</v>
      </c>
      <c r="CF35" s="191">
        <f ca="1">'[1]October - 2022'!CG35</f>
        <v>0</v>
      </c>
      <c r="CG35" s="89">
        <f ca="1">'[1]October - 2022'!CH35</f>
        <v>0</v>
      </c>
      <c r="CH35" s="191">
        <f ca="1">'[1]October - 2022'!CI35</f>
        <v>0</v>
      </c>
      <c r="CI35" s="89">
        <f ca="1">'[1]October - 2022'!CJ35</f>
        <v>0</v>
      </c>
      <c r="CJ35" s="191">
        <f ca="1">'[1]October - 2022'!CK35</f>
        <v>0</v>
      </c>
      <c r="CK35" s="89">
        <f ca="1">'[1]October - 2022'!CL35</f>
        <v>0</v>
      </c>
      <c r="CL35" s="246">
        <f ca="1">'[1]October - 2022'!CM35</f>
        <v>0</v>
      </c>
      <c r="CM35" s="89">
        <f ca="1">'[1]October - 2022'!CM35</f>
        <v>0</v>
      </c>
      <c r="CN35" s="89">
        <f ca="1">'[1]October - 2022'!CO35</f>
        <v>0</v>
      </c>
      <c r="CO35" s="246">
        <f ca="1">'[1]October - 2022'!CP35</f>
        <v>0</v>
      </c>
      <c r="CP35" s="89">
        <f ca="1">'[1]October - 2022'!CP35</f>
        <v>0</v>
      </c>
      <c r="CQ35" s="89">
        <f ca="1">'[1]October - 2022'!CR35</f>
        <v>0</v>
      </c>
      <c r="CR35" s="246">
        <f ca="1">'[1]October - 2022'!CS35</f>
        <v>0</v>
      </c>
      <c r="CS35" s="89">
        <f ca="1">'[1]October - 2022'!CS35</f>
        <v>0</v>
      </c>
      <c r="CT35" s="89">
        <f ca="1">'[1]October - 2022'!CU35</f>
        <v>0</v>
      </c>
      <c r="CU35" s="191">
        <f ca="1">'[1]October - 2022'!CV35</f>
        <v>0</v>
      </c>
      <c r="CV35" s="518"/>
      <c r="CW35" s="256">
        <f ca="1">'[1]October - 2022'!CX35</f>
        <v>0</v>
      </c>
      <c r="CX35" s="198">
        <f ca="1">'[1]October - 2022'!CY35</f>
        <v>0</v>
      </c>
      <c r="CY35" s="257">
        <f ca="1">'[1]October - 2022'!CZ35</f>
        <v>0</v>
      </c>
      <c r="CZ35" s="198">
        <f ca="1">'[1]October - 2022'!DA35</f>
        <v>0</v>
      </c>
      <c r="DA35" s="257">
        <f ca="1">'[1]October - 2022'!DB35</f>
        <v>0</v>
      </c>
      <c r="DB35" s="198">
        <f ca="1">'[1]October - 2022'!DC35</f>
        <v>0</v>
      </c>
      <c r="DC35" s="257">
        <f ca="1">'[1]October - 2022'!DD35</f>
        <v>0</v>
      </c>
      <c r="DD35" s="198">
        <f ca="1">'[1]October - 2022'!DE35</f>
        <v>0</v>
      </c>
      <c r="DE35" s="257">
        <f ca="1">'[1]October - 2022'!DF35</f>
        <v>0</v>
      </c>
      <c r="DF35" s="198">
        <f ca="1">'[1]October - 2022'!DG35</f>
        <v>0</v>
      </c>
      <c r="DG35" s="257">
        <f ca="1">'[1]October - 2022'!DH35</f>
        <v>0</v>
      </c>
      <c r="DH35" s="198">
        <f ca="1">'[1]October - 2022'!DI35</f>
        <v>0</v>
      </c>
      <c r="DI35" s="257">
        <f ca="1">'[1]October - 2022'!DJ35</f>
        <v>0</v>
      </c>
      <c r="DJ35" s="198">
        <f ca="1">'[1]October - 2022'!DK35</f>
        <v>0</v>
      </c>
      <c r="DK35" s="257">
        <f ca="1">'[1]October - 2022'!DL35</f>
        <v>0</v>
      </c>
      <c r="DL35" s="198">
        <f ca="1">'[1]October - 2022'!DM35</f>
        <v>0</v>
      </c>
      <c r="DM35" s="257">
        <f ca="1">'[1]October - 2022'!DN35</f>
        <v>0</v>
      </c>
      <c r="DN35" s="198">
        <f ca="1">'[1]October - 2022'!DO35</f>
        <v>0</v>
      </c>
      <c r="DO35" s="257">
        <f ca="1">'[1]October - 2022'!DP35</f>
        <v>0</v>
      </c>
      <c r="DP35" s="198">
        <f ca="1">'[1]October - 2022'!DQ35</f>
        <v>0</v>
      </c>
      <c r="DQ35" s="257">
        <f ca="1">'[1]October - 2022'!DR35</f>
        <v>0</v>
      </c>
      <c r="DR35" s="206">
        <f ca="1">'[1]October - 2022'!DS35</f>
        <v>0</v>
      </c>
      <c r="DS35" s="534"/>
      <c r="DT35" s="210">
        <f ca="1">'[1]October - 2022'!DU35</f>
        <v>0</v>
      </c>
      <c r="DU35" s="221">
        <f ca="1">'[1]October - 2022'!DV35</f>
        <v>0</v>
      </c>
      <c r="DV35" s="91">
        <f ca="1">'[1]October - 2022'!DW35</f>
        <v>0</v>
      </c>
      <c r="DW35" s="215">
        <f ca="1">'[1]October - 2022'!DX35</f>
        <v>0</v>
      </c>
      <c r="DX35" s="91">
        <f ca="1">'[1]October - 2022'!DY35</f>
        <v>0</v>
      </c>
      <c r="DY35" s="215">
        <f ca="1">'[1]October - 2022'!DZ35</f>
        <v>0</v>
      </c>
      <c r="DZ35" s="91">
        <f ca="1">'[1]October - 2022'!EA35</f>
        <v>0</v>
      </c>
      <c r="EA35" s="215">
        <f ca="1">'[1]October - 2022'!EB35</f>
        <v>0</v>
      </c>
      <c r="EB35" s="91">
        <f ca="1">'[1]October - 2022'!EC35</f>
        <v>0</v>
      </c>
      <c r="EC35" s="215">
        <f ca="1">'[1]October - 2022'!ED35</f>
        <v>0</v>
      </c>
      <c r="ED35" s="91">
        <f ca="1">'[1]October - 2022'!EG35</f>
        <v>0</v>
      </c>
      <c r="EE35" s="229">
        <f ca="1">'[1]October - 2022'!EH35</f>
        <v>0</v>
      </c>
      <c r="EF35" s="581"/>
      <c r="EG35" s="235">
        <f ca="1">'[1]October - 2022'!EJ35</f>
        <v>0</v>
      </c>
      <c r="EH35" s="230">
        <f ca="1">'[1]October - 2022'!EK35</f>
        <v>0</v>
      </c>
      <c r="EI35" s="90">
        <f ca="1">'[1]October - 2022'!EL35</f>
        <v>0</v>
      </c>
      <c r="EJ35" s="230">
        <f ca="1">'[1]October - 2022'!EM35</f>
        <v>0</v>
      </c>
      <c r="EK35" s="90">
        <f ca="1">'[1]October - 2022'!EN35</f>
        <v>0</v>
      </c>
      <c r="EL35" s="230">
        <f ca="1">'[1]October - 2022'!EO35</f>
        <v>0</v>
      </c>
      <c r="EM35" s="90">
        <f ca="1">'[1]October - 2022'!EP35</f>
        <v>0</v>
      </c>
      <c r="EN35" s="230">
        <f ca="1">'[1]October - 2022'!EQ35</f>
        <v>0</v>
      </c>
      <c r="EO35" s="90">
        <f ca="1">'[1]October - 2022'!ER35</f>
        <v>0</v>
      </c>
      <c r="EP35" s="230">
        <f ca="1">'[1]October - 2022'!ES35</f>
        <v>0</v>
      </c>
      <c r="EQ35" s="90">
        <f ca="1">'[1]October - 2022'!ET35</f>
        <v>0</v>
      </c>
      <c r="ER35" s="230">
        <f ca="1">'[1]October - 2022'!EU35</f>
        <v>0</v>
      </c>
      <c r="ES35" s="556"/>
      <c r="ET35" s="281">
        <f ca="1">'[1]October - 2022'!EW35</f>
        <v>0</v>
      </c>
      <c r="EU35" s="275">
        <f ca="1">'[1]October - 2022'!EX35</f>
        <v>0</v>
      </c>
      <c r="EV35" s="282">
        <f ca="1">'[1]October - 2022'!EY35</f>
        <v>0</v>
      </c>
      <c r="EW35" s="275">
        <f ca="1">'[1]October - 2022'!EZ35</f>
        <v>0</v>
      </c>
      <c r="EX35" s="282">
        <f ca="1">'[1]October - 2022'!FA35</f>
        <v>0</v>
      </c>
      <c r="EY35" s="275">
        <f ca="1">'[1]October - 2022'!FB35</f>
        <v>0</v>
      </c>
      <c r="EZ35" s="282">
        <f ca="1">'[1]October - 2022'!FC35</f>
        <v>0</v>
      </c>
      <c r="FA35" s="275">
        <f ca="1">'[1]October - 2022'!FD35</f>
        <v>0</v>
      </c>
      <c r="FB35" s="282">
        <f ca="1">'[1]October - 2022'!FE35</f>
        <v>0</v>
      </c>
      <c r="FC35" s="276">
        <f ca="1">'[1]October - 2022'!FF35</f>
        <v>0</v>
      </c>
    </row>
    <row r="36" spans="1:160" ht="30" customHeight="1" x14ac:dyDescent="0.25">
      <c r="A36" s="207">
        <v>43857</v>
      </c>
      <c r="B36" s="209">
        <f ca="1">'[1]October - 2022'!B36</f>
        <v>0</v>
      </c>
      <c r="C36" s="250">
        <f ca="1">'[1]October - 2022'!E36</f>
        <v>0</v>
      </c>
      <c r="D36" s="170">
        <f ca="1">'[1]October - 2022'!F36</f>
        <v>0</v>
      </c>
      <c r="E36" s="168">
        <f ca="1">'[1]October - 2022'!G36</f>
        <v>830</v>
      </c>
      <c r="F36" s="168">
        <f ca="1">'[1]October - 2022'!H36</f>
        <v>0</v>
      </c>
      <c r="G36" s="170">
        <f ca="1">'[1]October - 2022'!I36</f>
        <v>0</v>
      </c>
      <c r="H36" s="168">
        <f ca="1">'[1]October - 2022'!J36</f>
        <v>423</v>
      </c>
      <c r="I36" s="168">
        <f ca="1">'[1]October - 2022'!K36</f>
        <v>0</v>
      </c>
      <c r="J36" s="170">
        <f ca="1">'[1]October - 2022'!L36</f>
        <v>0</v>
      </c>
      <c r="K36" s="168">
        <f ca="1">'[1]October - 2022'!N36</f>
        <v>0</v>
      </c>
      <c r="L36" s="170">
        <f ca="1">'[1]October - 2022'!O36</f>
        <v>0</v>
      </c>
      <c r="M36" s="168">
        <f ca="1">'[1]October - 2022'!Q36</f>
        <v>0</v>
      </c>
      <c r="N36" s="170">
        <f ca="1">'[1]October - 2022'!R36</f>
        <v>0</v>
      </c>
      <c r="O36" s="168">
        <f ca="1">'[1]October - 2022'!S36</f>
        <v>0</v>
      </c>
      <c r="P36" s="170">
        <f ca="1">'[1]October - 2022'!T36</f>
        <v>0</v>
      </c>
      <c r="Q36" s="168">
        <f ca="1">'[1]October - 2022'!U36</f>
        <v>156.52000000000407</v>
      </c>
      <c r="R36" s="168">
        <f ca="1">'[1]October - 2022'!V36</f>
        <v>0</v>
      </c>
      <c r="S36" s="208">
        <f ca="1">'[1]October - 2022'!W36</f>
        <v>0</v>
      </c>
      <c r="T36" s="477"/>
      <c r="U36" s="169">
        <f ca="1">'[1]October - 2022'!AC36</f>
        <v>0</v>
      </c>
      <c r="V36" s="288">
        <f ca="1">'[1]October - 2022'!AD36</f>
        <v>0</v>
      </c>
      <c r="W36" s="92">
        <f ca="1">'[1]October - 2022'!AD36</f>
        <v>0</v>
      </c>
      <c r="X36" s="287">
        <f ca="1">'[1]October - 2022'!AF36</f>
        <v>0</v>
      </c>
      <c r="Y36" s="288">
        <f ca="1">'[1]October - 2022'!AG36</f>
        <v>0</v>
      </c>
      <c r="Z36" s="92">
        <f ca="1">'[1]October - 2022'!AG36</f>
        <v>0</v>
      </c>
      <c r="AA36" s="287">
        <f ca="1">'[1]October - 2022'!AI36</f>
        <v>0</v>
      </c>
      <c r="AB36" s="288">
        <f ca="1">'[1]October - 2022'!AJ36</f>
        <v>0</v>
      </c>
      <c r="AC36" s="92">
        <f ca="1">'[1]October - 2022'!AJ36</f>
        <v>0</v>
      </c>
      <c r="AD36" s="287">
        <f ca="1">'[1]October - 2022'!AL36</f>
        <v>0</v>
      </c>
      <c r="AE36" s="288">
        <f ca="1">'[1]October - 2022'!AM36</f>
        <v>0</v>
      </c>
      <c r="AF36" s="92">
        <f ca="1">'[1]October - 2022'!AM36</f>
        <v>0</v>
      </c>
      <c r="AG36" s="287">
        <f ca="1">'[1]October - 2022'!AO36</f>
        <v>0</v>
      </c>
      <c r="AH36" s="288">
        <f ca="1">'[1]October - 2022'!AP36</f>
        <v>0</v>
      </c>
      <c r="AI36" s="92">
        <f ca="1">'[1]October - 2022'!AP36</f>
        <v>0</v>
      </c>
      <c r="AJ36" s="287">
        <f ca="1">'[1]October - 2022'!AR36</f>
        <v>0</v>
      </c>
      <c r="AK36" s="288">
        <f ca="1">'[1]October - 2022'!AS36</f>
        <v>0</v>
      </c>
      <c r="AL36" s="92">
        <f ca="1">'[1]October - 2022'!AS36</f>
        <v>0</v>
      </c>
      <c r="AM36" s="287">
        <f ca="1">'[1]October - 2022'!AU36</f>
        <v>0</v>
      </c>
      <c r="AN36" s="288">
        <f ca="1">'[1]October - 2022'!AV36</f>
        <v>0</v>
      </c>
      <c r="AO36" s="92">
        <f ca="1">'[1]October - 2022'!AV36</f>
        <v>0</v>
      </c>
      <c r="AP36" s="287">
        <f ca="1">'[1]October - 2022'!AX36</f>
        <v>0</v>
      </c>
      <c r="AQ36" s="288">
        <f ca="1">'[1]October - 2022'!AY36</f>
        <v>0</v>
      </c>
      <c r="AR36" s="92">
        <f ca="1">'[1]October - 2022'!AY36</f>
        <v>0</v>
      </c>
      <c r="AS36" s="287">
        <f ca="1">'[1]October - 2022'!BA36</f>
        <v>0</v>
      </c>
      <c r="AT36" s="288">
        <f ca="1">'[1]October - 2022'!BB36</f>
        <v>0</v>
      </c>
      <c r="AU36" s="92">
        <f ca="1">'[1]October - 2022'!BB36</f>
        <v>0</v>
      </c>
      <c r="AV36" s="287">
        <f ca="1">'[1]October - 2022'!BD36</f>
        <v>0</v>
      </c>
      <c r="AW36" s="252">
        <f ca="1">'[1]October - 2022'!BE36</f>
        <v>0</v>
      </c>
      <c r="AX36" s="253">
        <f ca="1">'[1]October - 2022'!BE36</f>
        <v>0</v>
      </c>
      <c r="AY36" s="494"/>
      <c r="AZ36" s="272">
        <f ca="1">'[1]October - 2022'!BK36</f>
        <v>0</v>
      </c>
      <c r="BA36" s="179">
        <f ca="1">'[1]October - 2022'!BL36</f>
        <v>0</v>
      </c>
      <c r="BB36" s="93">
        <f ca="1">'[1]October - 2022'!BL36</f>
        <v>0</v>
      </c>
      <c r="BC36" s="272">
        <f ca="1">'[1]October - 2022'!BN36</f>
        <v>0</v>
      </c>
      <c r="BD36" s="245">
        <f ca="1">'[1]October - 2022'!BO36</f>
        <v>0</v>
      </c>
      <c r="BE36" s="93">
        <f ca="1">'[1]October - 2022'!BO36</f>
        <v>0</v>
      </c>
      <c r="BF36" s="272">
        <f ca="1">'[1]October - 2022'!BQ36</f>
        <v>0</v>
      </c>
      <c r="BG36" s="245">
        <f ca="1">'[1]October - 2022'!BR36</f>
        <v>0</v>
      </c>
      <c r="BH36" s="93">
        <f ca="1"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 ca="1">'[1]October - 2022'!BT36</f>
        <v>0</v>
      </c>
      <c r="BT36" s="185">
        <f ca="1">'[1]October - 2022'!BU36</f>
        <v>0</v>
      </c>
      <c r="BU36" s="590"/>
      <c r="BV36" s="88">
        <f ca="1">'[1]October - 2022'!BW36</f>
        <v>0</v>
      </c>
      <c r="BW36" s="241">
        <f ca="1">'[1]October - 2022'!BX36</f>
        <v>0</v>
      </c>
      <c r="BX36" s="88">
        <f ca="1">'[1]October - 2022'!BX36</f>
        <v>0</v>
      </c>
      <c r="BY36" s="89">
        <f ca="1">'[1]October - 2022'!BZ36</f>
        <v>0</v>
      </c>
      <c r="BZ36" s="191">
        <f ca="1">'[1]October - 2022'!CA36</f>
        <v>0</v>
      </c>
      <c r="CA36" s="89">
        <f ca="1">'[1]October - 2022'!CB36</f>
        <v>0</v>
      </c>
      <c r="CB36" s="191">
        <f ca="1">'[1]October - 2022'!CC36</f>
        <v>0</v>
      </c>
      <c r="CC36" s="89">
        <f ca="1">'[1]October - 2022'!CD36</f>
        <v>0</v>
      </c>
      <c r="CD36" s="191">
        <f ca="1">'[1]October - 2022'!CE36</f>
        <v>0</v>
      </c>
      <c r="CE36" s="89">
        <f ca="1">'[1]October - 2022'!CF36</f>
        <v>0</v>
      </c>
      <c r="CF36" s="191">
        <f ca="1">'[1]October - 2022'!CG36</f>
        <v>0</v>
      </c>
      <c r="CG36" s="89">
        <f ca="1">'[1]October - 2022'!CH36</f>
        <v>0</v>
      </c>
      <c r="CH36" s="191">
        <f ca="1">'[1]October - 2022'!CI36</f>
        <v>0</v>
      </c>
      <c r="CI36" s="89">
        <f ca="1">'[1]October - 2022'!CJ36</f>
        <v>0</v>
      </c>
      <c r="CJ36" s="191">
        <f ca="1">'[1]October - 2022'!CK36</f>
        <v>0</v>
      </c>
      <c r="CK36" s="89">
        <f ca="1">'[1]October - 2022'!CL36</f>
        <v>0</v>
      </c>
      <c r="CL36" s="246">
        <f ca="1">'[1]October - 2022'!CM36</f>
        <v>0</v>
      </c>
      <c r="CM36" s="89">
        <f ca="1">'[1]October - 2022'!CM36</f>
        <v>0</v>
      </c>
      <c r="CN36" s="89">
        <f ca="1">'[1]October - 2022'!CO36</f>
        <v>0</v>
      </c>
      <c r="CO36" s="246">
        <f ca="1">'[1]October - 2022'!CP36</f>
        <v>0</v>
      </c>
      <c r="CP36" s="89">
        <f ca="1">'[1]October - 2022'!CP36</f>
        <v>0</v>
      </c>
      <c r="CQ36" s="89">
        <f ca="1">'[1]October - 2022'!CR36</f>
        <v>0</v>
      </c>
      <c r="CR36" s="246">
        <f ca="1">'[1]October - 2022'!CS36</f>
        <v>0</v>
      </c>
      <c r="CS36" s="89">
        <f ca="1">'[1]October - 2022'!CS36</f>
        <v>0</v>
      </c>
      <c r="CT36" s="89">
        <f ca="1">'[1]October - 2022'!CU36</f>
        <v>0</v>
      </c>
      <c r="CU36" s="191">
        <f ca="1">'[1]October - 2022'!CV36</f>
        <v>0</v>
      </c>
      <c r="CV36" s="518"/>
      <c r="CW36" s="256">
        <f ca="1">'[1]October - 2022'!CX36</f>
        <v>0</v>
      </c>
      <c r="CX36" s="198">
        <f ca="1">'[1]October - 2022'!CY36</f>
        <v>0</v>
      </c>
      <c r="CY36" s="257">
        <f ca="1">'[1]October - 2022'!CZ36</f>
        <v>0</v>
      </c>
      <c r="CZ36" s="198">
        <f ca="1">'[1]October - 2022'!DA36</f>
        <v>0</v>
      </c>
      <c r="DA36" s="257">
        <f ca="1">'[1]October - 2022'!DB36</f>
        <v>0</v>
      </c>
      <c r="DB36" s="198">
        <f ca="1">'[1]October - 2022'!DC36</f>
        <v>0</v>
      </c>
      <c r="DC36" s="257">
        <f ca="1">'[1]October - 2022'!DD36</f>
        <v>0</v>
      </c>
      <c r="DD36" s="198">
        <f ca="1">'[1]October - 2022'!DE36</f>
        <v>0</v>
      </c>
      <c r="DE36" s="257">
        <f ca="1">'[1]October - 2022'!DF36</f>
        <v>0</v>
      </c>
      <c r="DF36" s="198">
        <f ca="1">'[1]October - 2022'!DG36</f>
        <v>0</v>
      </c>
      <c r="DG36" s="257">
        <f ca="1">'[1]October - 2022'!DH36</f>
        <v>0</v>
      </c>
      <c r="DH36" s="198">
        <f ca="1">'[1]October - 2022'!DI36</f>
        <v>0</v>
      </c>
      <c r="DI36" s="257">
        <f ca="1">'[1]October - 2022'!DJ36</f>
        <v>0</v>
      </c>
      <c r="DJ36" s="198">
        <f ca="1">'[1]October - 2022'!DK36</f>
        <v>0</v>
      </c>
      <c r="DK36" s="257">
        <f ca="1">'[1]October - 2022'!DL36</f>
        <v>0</v>
      </c>
      <c r="DL36" s="198">
        <f ca="1">'[1]October - 2022'!DM36</f>
        <v>0</v>
      </c>
      <c r="DM36" s="257">
        <f ca="1">'[1]October - 2022'!DN36</f>
        <v>0</v>
      </c>
      <c r="DN36" s="198">
        <f ca="1">'[1]October - 2022'!DO36</f>
        <v>0</v>
      </c>
      <c r="DO36" s="257">
        <f ca="1">'[1]October - 2022'!DP36</f>
        <v>0</v>
      </c>
      <c r="DP36" s="198">
        <f ca="1">'[1]October - 2022'!DQ36</f>
        <v>0</v>
      </c>
      <c r="DQ36" s="257">
        <f ca="1">'[1]October - 2022'!DR36</f>
        <v>0</v>
      </c>
      <c r="DR36" s="206">
        <f ca="1">'[1]October - 2022'!DS36</f>
        <v>0</v>
      </c>
      <c r="DS36" s="534"/>
      <c r="DT36" s="210">
        <f ca="1">'[1]October - 2022'!DU36</f>
        <v>0</v>
      </c>
      <c r="DU36" s="221">
        <f ca="1">'[1]October - 2022'!DV36</f>
        <v>0</v>
      </c>
      <c r="DV36" s="91">
        <f ca="1">'[1]October - 2022'!DW36</f>
        <v>0</v>
      </c>
      <c r="DW36" s="215">
        <f ca="1">'[1]October - 2022'!DX36</f>
        <v>0</v>
      </c>
      <c r="DX36" s="91">
        <f ca="1">'[1]October - 2022'!DY36</f>
        <v>0</v>
      </c>
      <c r="DY36" s="215">
        <f ca="1">'[1]October - 2022'!DZ36</f>
        <v>0</v>
      </c>
      <c r="DZ36" s="91">
        <f ca="1">'[1]October - 2022'!EA36</f>
        <v>0</v>
      </c>
      <c r="EA36" s="215">
        <f ca="1">'[1]October - 2022'!EB36</f>
        <v>0</v>
      </c>
      <c r="EB36" s="91">
        <f ca="1">'[1]October - 2022'!EC36</f>
        <v>0</v>
      </c>
      <c r="EC36" s="215">
        <f ca="1">'[1]October - 2022'!ED36</f>
        <v>0</v>
      </c>
      <c r="ED36" s="91">
        <f ca="1">'[1]October - 2022'!EG36</f>
        <v>0</v>
      </c>
      <c r="EE36" s="229">
        <f ca="1">'[1]October - 2022'!EH36</f>
        <v>0</v>
      </c>
      <c r="EF36" s="581"/>
      <c r="EG36" s="235">
        <f ca="1">'[1]October - 2022'!EJ36</f>
        <v>0</v>
      </c>
      <c r="EH36" s="230">
        <f ca="1">'[1]October - 2022'!EK36</f>
        <v>0</v>
      </c>
      <c r="EI36" s="90">
        <f ca="1">'[1]October - 2022'!EL36</f>
        <v>0</v>
      </c>
      <c r="EJ36" s="230">
        <f ca="1">'[1]October - 2022'!EM36</f>
        <v>0</v>
      </c>
      <c r="EK36" s="90">
        <f ca="1">'[1]October - 2022'!EN36</f>
        <v>0</v>
      </c>
      <c r="EL36" s="230">
        <f ca="1">'[1]October - 2022'!EO36</f>
        <v>0</v>
      </c>
      <c r="EM36" s="90">
        <f ca="1">'[1]October - 2022'!EP36</f>
        <v>0</v>
      </c>
      <c r="EN36" s="230">
        <f ca="1">'[1]October - 2022'!EQ36</f>
        <v>0</v>
      </c>
      <c r="EO36" s="90">
        <f ca="1">'[1]October - 2022'!ER36</f>
        <v>0</v>
      </c>
      <c r="EP36" s="230">
        <f ca="1">'[1]October - 2022'!ES36</f>
        <v>0</v>
      </c>
      <c r="EQ36" s="90">
        <f ca="1">'[1]October - 2022'!ET36</f>
        <v>0</v>
      </c>
      <c r="ER36" s="230">
        <f ca="1">'[1]October - 2022'!EU36</f>
        <v>0</v>
      </c>
      <c r="ES36" s="556"/>
      <c r="ET36" s="281">
        <f ca="1">'[1]October - 2022'!EW36</f>
        <v>0</v>
      </c>
      <c r="EU36" s="275">
        <f ca="1">'[1]October - 2022'!EX36</f>
        <v>0</v>
      </c>
      <c r="EV36" s="282">
        <f ca="1">'[1]October - 2022'!EY36</f>
        <v>0</v>
      </c>
      <c r="EW36" s="275">
        <f ca="1">'[1]October - 2022'!EZ36</f>
        <v>0</v>
      </c>
      <c r="EX36" s="282">
        <f ca="1">'[1]October - 2022'!FA36</f>
        <v>0</v>
      </c>
      <c r="EY36" s="275">
        <f ca="1">'[1]October - 2022'!FB36</f>
        <v>0</v>
      </c>
      <c r="EZ36" s="282">
        <f ca="1">'[1]October - 2022'!FC36</f>
        <v>0</v>
      </c>
      <c r="FA36" s="275">
        <f ca="1">'[1]October - 2022'!FD36</f>
        <v>0</v>
      </c>
      <c r="FB36" s="282">
        <f ca="1">'[1]October - 2022'!FE36</f>
        <v>0</v>
      </c>
      <c r="FC36" s="276">
        <f ca="1">'[1]October - 2022'!FF36</f>
        <v>0</v>
      </c>
    </row>
    <row r="37" spans="1:160" ht="30" customHeight="1" x14ac:dyDescent="0.25">
      <c r="A37" s="207">
        <v>43858</v>
      </c>
      <c r="B37" s="209">
        <f ca="1">'[1]October - 2022'!B37</f>
        <v>0</v>
      </c>
      <c r="C37" s="250">
        <f ca="1">'[1]October - 2022'!E37</f>
        <v>0</v>
      </c>
      <c r="D37" s="170">
        <f ca="1">'[1]October - 2022'!F37</f>
        <v>0</v>
      </c>
      <c r="E37" s="168">
        <f ca="1">'[1]October - 2022'!G37</f>
        <v>693</v>
      </c>
      <c r="F37" s="168">
        <f ca="1">'[1]October - 2022'!H37</f>
        <v>0</v>
      </c>
      <c r="G37" s="170">
        <f ca="1">'[1]October - 2022'!I37</f>
        <v>0</v>
      </c>
      <c r="H37" s="168">
        <f ca="1">'[1]October - 2022'!J37</f>
        <v>427</v>
      </c>
      <c r="I37" s="168">
        <f ca="1">'[1]October - 2022'!K37</f>
        <v>0</v>
      </c>
      <c r="J37" s="170">
        <f ca="1">'[1]October - 2022'!L37</f>
        <v>0</v>
      </c>
      <c r="K37" s="168">
        <f ca="1">'[1]October - 2022'!N37</f>
        <v>0</v>
      </c>
      <c r="L37" s="170">
        <f ca="1">'[1]October - 2022'!O37</f>
        <v>0</v>
      </c>
      <c r="M37" s="168">
        <f ca="1">'[1]October - 2022'!Q37</f>
        <v>0</v>
      </c>
      <c r="N37" s="170">
        <f ca="1">'[1]October - 2022'!R37</f>
        <v>0</v>
      </c>
      <c r="O37" s="168">
        <f ca="1">'[1]October - 2022'!S37</f>
        <v>0</v>
      </c>
      <c r="P37" s="170">
        <f ca="1">'[1]October - 2022'!T37</f>
        <v>0</v>
      </c>
      <c r="Q37" s="168">
        <f ca="1">'[1]October - 2022'!U37</f>
        <v>169.5</v>
      </c>
      <c r="R37" s="168">
        <f ca="1">'[1]October - 2022'!V37</f>
        <v>0</v>
      </c>
      <c r="S37" s="208">
        <f ca="1">'[1]October - 2022'!W37</f>
        <v>0</v>
      </c>
      <c r="T37" s="477"/>
      <c r="U37" s="169">
        <f ca="1">'[1]October - 2022'!AC37</f>
        <v>0</v>
      </c>
      <c r="V37" s="288">
        <f ca="1">'[1]October - 2022'!AD37</f>
        <v>0</v>
      </c>
      <c r="W37" s="92">
        <f ca="1">'[1]October - 2022'!AD37</f>
        <v>0</v>
      </c>
      <c r="X37" s="287">
        <f ca="1">'[1]October - 2022'!AF37</f>
        <v>0</v>
      </c>
      <c r="Y37" s="288">
        <f ca="1">'[1]October - 2022'!AG37</f>
        <v>0</v>
      </c>
      <c r="Z37" s="92">
        <f ca="1">'[1]October - 2022'!AG37</f>
        <v>0</v>
      </c>
      <c r="AA37" s="287">
        <f ca="1">'[1]October - 2022'!AI37</f>
        <v>0</v>
      </c>
      <c r="AB37" s="288">
        <f ca="1">'[1]October - 2022'!AJ37</f>
        <v>0</v>
      </c>
      <c r="AC37" s="92">
        <f ca="1">'[1]October - 2022'!AJ37</f>
        <v>0</v>
      </c>
      <c r="AD37" s="287">
        <f ca="1">'[1]October - 2022'!AL37</f>
        <v>0</v>
      </c>
      <c r="AE37" s="288">
        <f ca="1">'[1]October - 2022'!AM37</f>
        <v>0</v>
      </c>
      <c r="AF37" s="92">
        <f ca="1">'[1]October - 2022'!AM37</f>
        <v>0</v>
      </c>
      <c r="AG37" s="287">
        <f ca="1">'[1]October - 2022'!AO37</f>
        <v>0</v>
      </c>
      <c r="AH37" s="288">
        <f ca="1">'[1]October - 2022'!AP37</f>
        <v>0</v>
      </c>
      <c r="AI37" s="92">
        <f ca="1">'[1]October - 2022'!AP37</f>
        <v>0</v>
      </c>
      <c r="AJ37" s="287">
        <f ca="1">'[1]October - 2022'!AR37</f>
        <v>0</v>
      </c>
      <c r="AK37" s="288">
        <f ca="1">'[1]October - 2022'!AS37</f>
        <v>0</v>
      </c>
      <c r="AL37" s="92">
        <f ca="1">'[1]October - 2022'!AS37</f>
        <v>0</v>
      </c>
      <c r="AM37" s="287">
        <f ca="1">'[1]October - 2022'!AU37</f>
        <v>0</v>
      </c>
      <c r="AN37" s="288">
        <f ca="1">'[1]October - 2022'!AV37</f>
        <v>0</v>
      </c>
      <c r="AO37" s="92">
        <f ca="1">'[1]October - 2022'!AV37</f>
        <v>0</v>
      </c>
      <c r="AP37" s="287">
        <f ca="1">'[1]October - 2022'!AX37</f>
        <v>0</v>
      </c>
      <c r="AQ37" s="288">
        <f ca="1">'[1]October - 2022'!AY37</f>
        <v>0</v>
      </c>
      <c r="AR37" s="92">
        <f ca="1">'[1]October - 2022'!AY37</f>
        <v>0</v>
      </c>
      <c r="AS37" s="287">
        <f ca="1">'[1]October - 2022'!BA37</f>
        <v>0</v>
      </c>
      <c r="AT37" s="288">
        <f ca="1">'[1]October - 2022'!BB37</f>
        <v>0</v>
      </c>
      <c r="AU37" s="92">
        <f ca="1">'[1]October - 2022'!BB37</f>
        <v>0</v>
      </c>
      <c r="AV37" s="287">
        <f ca="1">'[1]October - 2022'!BD37</f>
        <v>0</v>
      </c>
      <c r="AW37" s="252">
        <f ca="1">'[1]October - 2022'!BE37</f>
        <v>0</v>
      </c>
      <c r="AX37" s="253">
        <f ca="1">'[1]October - 2022'!BE37</f>
        <v>0</v>
      </c>
      <c r="AY37" s="494"/>
      <c r="AZ37" s="272">
        <f ca="1">'[1]October - 2022'!BK37</f>
        <v>0</v>
      </c>
      <c r="BA37" s="179">
        <f ca="1">'[1]October - 2022'!BL37</f>
        <v>0</v>
      </c>
      <c r="BB37" s="93">
        <f ca="1">'[1]October - 2022'!BL37</f>
        <v>0</v>
      </c>
      <c r="BC37" s="272">
        <f ca="1">'[1]October - 2022'!BN37</f>
        <v>0</v>
      </c>
      <c r="BD37" s="245">
        <f ca="1">'[1]October - 2022'!BO37</f>
        <v>0</v>
      </c>
      <c r="BE37" s="93">
        <f ca="1">'[1]October - 2022'!BO37</f>
        <v>0</v>
      </c>
      <c r="BF37" s="272">
        <f ca="1">'[1]October - 2022'!BQ37</f>
        <v>0</v>
      </c>
      <c r="BG37" s="245">
        <f ca="1">'[1]October - 2022'!BR37</f>
        <v>0</v>
      </c>
      <c r="BH37" s="93">
        <f ca="1"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 ca="1">'[1]October - 2022'!BT37</f>
        <v>0</v>
      </c>
      <c r="BT37" s="185">
        <f ca="1">'[1]October - 2022'!BU37</f>
        <v>0</v>
      </c>
      <c r="BU37" s="590"/>
      <c r="BV37" s="88">
        <f ca="1">'[1]October - 2022'!BW37</f>
        <v>0</v>
      </c>
      <c r="BW37" s="241">
        <f ca="1">'[1]October - 2022'!BX37</f>
        <v>0</v>
      </c>
      <c r="BX37" s="88">
        <f ca="1">'[1]October - 2022'!BX37</f>
        <v>0</v>
      </c>
      <c r="BY37" s="89">
        <f ca="1">'[1]October - 2022'!BZ37</f>
        <v>0</v>
      </c>
      <c r="BZ37" s="191">
        <f ca="1">'[1]October - 2022'!CA37</f>
        <v>0</v>
      </c>
      <c r="CA37" s="89">
        <f ca="1">'[1]October - 2022'!CB37</f>
        <v>0</v>
      </c>
      <c r="CB37" s="191">
        <f ca="1">'[1]October - 2022'!CC37</f>
        <v>0</v>
      </c>
      <c r="CC37" s="89">
        <f ca="1">'[1]October - 2022'!CD37</f>
        <v>0</v>
      </c>
      <c r="CD37" s="191">
        <f ca="1">'[1]October - 2022'!CE37</f>
        <v>0</v>
      </c>
      <c r="CE37" s="89">
        <f ca="1">'[1]October - 2022'!CF37</f>
        <v>0</v>
      </c>
      <c r="CF37" s="191">
        <f ca="1">'[1]October - 2022'!CG37</f>
        <v>0</v>
      </c>
      <c r="CG37" s="89">
        <f ca="1">'[1]October - 2022'!CH37</f>
        <v>0</v>
      </c>
      <c r="CH37" s="191">
        <f ca="1">'[1]October - 2022'!CI37</f>
        <v>0</v>
      </c>
      <c r="CI37" s="89">
        <f ca="1">'[1]October - 2022'!CJ37</f>
        <v>0</v>
      </c>
      <c r="CJ37" s="191">
        <f ca="1">'[1]October - 2022'!CK37</f>
        <v>0</v>
      </c>
      <c r="CK37" s="89">
        <f ca="1">'[1]October - 2022'!CL37</f>
        <v>0</v>
      </c>
      <c r="CL37" s="246">
        <f ca="1">'[1]October - 2022'!CM37</f>
        <v>0</v>
      </c>
      <c r="CM37" s="89">
        <f ca="1">'[1]October - 2022'!CM37</f>
        <v>0</v>
      </c>
      <c r="CN37" s="89">
        <f ca="1">'[1]October - 2022'!CO37</f>
        <v>0</v>
      </c>
      <c r="CO37" s="246">
        <f ca="1">'[1]October - 2022'!CP37</f>
        <v>0</v>
      </c>
      <c r="CP37" s="89">
        <f ca="1">'[1]October - 2022'!CP37</f>
        <v>0</v>
      </c>
      <c r="CQ37" s="89">
        <f ca="1">'[1]October - 2022'!CR37</f>
        <v>0</v>
      </c>
      <c r="CR37" s="246">
        <f ca="1">'[1]October - 2022'!CS37</f>
        <v>0</v>
      </c>
      <c r="CS37" s="89">
        <f ca="1">'[1]October - 2022'!CS37</f>
        <v>0</v>
      </c>
      <c r="CT37" s="89">
        <f ca="1">'[1]October - 2022'!CU37</f>
        <v>0</v>
      </c>
      <c r="CU37" s="191">
        <f ca="1">'[1]October - 2022'!CV37</f>
        <v>0</v>
      </c>
      <c r="CV37" s="518"/>
      <c r="CW37" s="256">
        <f ca="1">'[1]October - 2022'!CX37</f>
        <v>0</v>
      </c>
      <c r="CX37" s="198">
        <f ca="1">'[1]October - 2022'!CY37</f>
        <v>0</v>
      </c>
      <c r="CY37" s="257">
        <f ca="1">'[1]October - 2022'!CZ37</f>
        <v>0</v>
      </c>
      <c r="CZ37" s="198">
        <f ca="1">'[1]October - 2022'!DA37</f>
        <v>0</v>
      </c>
      <c r="DA37" s="257">
        <f ca="1">'[1]October - 2022'!DB37</f>
        <v>0</v>
      </c>
      <c r="DB37" s="198">
        <f ca="1">'[1]October - 2022'!DC37</f>
        <v>0</v>
      </c>
      <c r="DC37" s="257">
        <f ca="1">'[1]October - 2022'!DD37</f>
        <v>0</v>
      </c>
      <c r="DD37" s="198">
        <f ca="1">'[1]October - 2022'!DE37</f>
        <v>0</v>
      </c>
      <c r="DE37" s="257">
        <f ca="1">'[1]October - 2022'!DF37</f>
        <v>0</v>
      </c>
      <c r="DF37" s="198">
        <f ca="1">'[1]October - 2022'!DG37</f>
        <v>0</v>
      </c>
      <c r="DG37" s="257">
        <f ca="1">'[1]October - 2022'!DH37</f>
        <v>0</v>
      </c>
      <c r="DH37" s="198">
        <f ca="1">'[1]October - 2022'!DI37</f>
        <v>0</v>
      </c>
      <c r="DI37" s="257">
        <f ca="1">'[1]October - 2022'!DJ37</f>
        <v>0</v>
      </c>
      <c r="DJ37" s="198">
        <f ca="1">'[1]October - 2022'!DK37</f>
        <v>0</v>
      </c>
      <c r="DK37" s="257">
        <f ca="1">'[1]October - 2022'!DL37</f>
        <v>0</v>
      </c>
      <c r="DL37" s="198">
        <f ca="1">'[1]October - 2022'!DM37</f>
        <v>0</v>
      </c>
      <c r="DM37" s="257">
        <f ca="1">'[1]October - 2022'!DN37</f>
        <v>0</v>
      </c>
      <c r="DN37" s="198">
        <f ca="1">'[1]October - 2022'!DO37</f>
        <v>0</v>
      </c>
      <c r="DO37" s="257">
        <f ca="1">'[1]October - 2022'!DP37</f>
        <v>0</v>
      </c>
      <c r="DP37" s="198">
        <f ca="1">'[1]October - 2022'!DQ37</f>
        <v>0</v>
      </c>
      <c r="DQ37" s="257">
        <f ca="1">'[1]October - 2022'!DR37</f>
        <v>0</v>
      </c>
      <c r="DR37" s="206">
        <f ca="1">'[1]October - 2022'!DS37</f>
        <v>0</v>
      </c>
      <c r="DS37" s="534"/>
      <c r="DT37" s="210">
        <f ca="1">'[1]October - 2022'!DU37</f>
        <v>0</v>
      </c>
      <c r="DU37" s="221">
        <f ca="1">'[1]October - 2022'!DV37</f>
        <v>0</v>
      </c>
      <c r="DV37" s="91">
        <f ca="1">'[1]October - 2022'!DW37</f>
        <v>0</v>
      </c>
      <c r="DW37" s="215">
        <f ca="1">'[1]October - 2022'!DX37</f>
        <v>0</v>
      </c>
      <c r="DX37" s="91">
        <f ca="1">'[1]October - 2022'!DY37</f>
        <v>0</v>
      </c>
      <c r="DY37" s="215">
        <f ca="1">'[1]October - 2022'!DZ37</f>
        <v>0</v>
      </c>
      <c r="DZ37" s="91">
        <f ca="1">'[1]October - 2022'!EA37</f>
        <v>0</v>
      </c>
      <c r="EA37" s="215">
        <f ca="1">'[1]October - 2022'!EB37</f>
        <v>0</v>
      </c>
      <c r="EB37" s="91">
        <f ca="1">'[1]October - 2022'!EC37</f>
        <v>0</v>
      </c>
      <c r="EC37" s="215">
        <f ca="1">'[1]October - 2022'!ED37</f>
        <v>0</v>
      </c>
      <c r="ED37" s="91">
        <f ca="1">'[1]October - 2022'!EG37</f>
        <v>0</v>
      </c>
      <c r="EE37" s="229">
        <f ca="1">'[1]October - 2022'!EH37</f>
        <v>0</v>
      </c>
      <c r="EF37" s="581"/>
      <c r="EG37" s="235">
        <f ca="1">'[1]October - 2022'!EJ37</f>
        <v>0</v>
      </c>
      <c r="EH37" s="230">
        <f ca="1">'[1]October - 2022'!EK37</f>
        <v>0</v>
      </c>
      <c r="EI37" s="90">
        <f ca="1">'[1]October - 2022'!EL37</f>
        <v>0</v>
      </c>
      <c r="EJ37" s="230">
        <f ca="1">'[1]October - 2022'!EM37</f>
        <v>0</v>
      </c>
      <c r="EK37" s="90">
        <f ca="1">'[1]October - 2022'!EN37</f>
        <v>0</v>
      </c>
      <c r="EL37" s="230">
        <f ca="1">'[1]October - 2022'!EO37</f>
        <v>0</v>
      </c>
      <c r="EM37" s="90">
        <f ca="1">'[1]October - 2022'!EP37</f>
        <v>0</v>
      </c>
      <c r="EN37" s="230">
        <f ca="1">'[1]October - 2022'!EQ37</f>
        <v>0</v>
      </c>
      <c r="EO37" s="90">
        <f ca="1">'[1]October - 2022'!ER37</f>
        <v>0</v>
      </c>
      <c r="EP37" s="230">
        <f ca="1">'[1]October - 2022'!ES37</f>
        <v>0</v>
      </c>
      <c r="EQ37" s="90">
        <f ca="1">'[1]October - 2022'!ET37</f>
        <v>0</v>
      </c>
      <c r="ER37" s="230">
        <f ca="1">'[1]October - 2022'!EU37</f>
        <v>0</v>
      </c>
      <c r="ES37" s="556"/>
      <c r="ET37" s="281">
        <f ca="1">'[1]October - 2022'!EW37</f>
        <v>0</v>
      </c>
      <c r="EU37" s="275">
        <f ca="1">'[1]October - 2022'!EX37</f>
        <v>0</v>
      </c>
      <c r="EV37" s="282">
        <f ca="1">'[1]October - 2022'!EY37</f>
        <v>0</v>
      </c>
      <c r="EW37" s="275">
        <f ca="1">'[1]October - 2022'!EZ37</f>
        <v>0</v>
      </c>
      <c r="EX37" s="282">
        <f ca="1">'[1]October - 2022'!FA37</f>
        <v>0</v>
      </c>
      <c r="EY37" s="275">
        <f ca="1">'[1]October - 2022'!FB37</f>
        <v>0</v>
      </c>
      <c r="EZ37" s="282">
        <f ca="1">'[1]October - 2022'!FC37</f>
        <v>0</v>
      </c>
      <c r="FA37" s="275">
        <f ca="1">'[1]October - 2022'!FD37</f>
        <v>0</v>
      </c>
      <c r="FB37" s="282">
        <f ca="1">'[1]October - 2022'!FE37</f>
        <v>0</v>
      </c>
      <c r="FC37" s="276">
        <f ca="1">'[1]October - 2022'!FF37</f>
        <v>0</v>
      </c>
    </row>
    <row r="38" spans="1:160" ht="30" customHeight="1" x14ac:dyDescent="0.25">
      <c r="A38" s="207">
        <v>43859</v>
      </c>
      <c r="B38" s="209">
        <f ca="1">'[1]October - 2022'!B38</f>
        <v>0</v>
      </c>
      <c r="C38" s="250">
        <f ca="1">'[1]October - 2022'!E38</f>
        <v>0</v>
      </c>
      <c r="D38" s="170">
        <f ca="1">'[1]October - 2022'!F38</f>
        <v>0</v>
      </c>
      <c r="E38" s="168">
        <f ca="1">'[1]October - 2022'!G38</f>
        <v>660</v>
      </c>
      <c r="F38" s="168">
        <f ca="1">'[1]October - 2022'!H38</f>
        <v>0</v>
      </c>
      <c r="G38" s="170">
        <f ca="1">'[1]October - 2022'!I38</f>
        <v>0</v>
      </c>
      <c r="H38" s="168">
        <f ca="1">'[1]October - 2022'!J38</f>
        <v>464</v>
      </c>
      <c r="I38" s="168">
        <f ca="1">'[1]October - 2022'!K38</f>
        <v>0</v>
      </c>
      <c r="J38" s="170">
        <f ca="1">'[1]October - 2022'!L38</f>
        <v>0</v>
      </c>
      <c r="K38" s="168">
        <f ca="1">'[1]October - 2022'!N38</f>
        <v>0</v>
      </c>
      <c r="L38" s="170">
        <f ca="1">'[1]October - 2022'!O38</f>
        <v>0</v>
      </c>
      <c r="M38" s="168">
        <f ca="1">'[1]October - 2022'!Q38</f>
        <v>0</v>
      </c>
      <c r="N38" s="170">
        <f ca="1">'[1]October - 2022'!R38</f>
        <v>0</v>
      </c>
      <c r="O38" s="168">
        <f ca="1">'[1]October - 2022'!S38</f>
        <v>0</v>
      </c>
      <c r="P38" s="170">
        <f ca="1">'[1]October - 2022'!T38</f>
        <v>0</v>
      </c>
      <c r="Q38" s="168">
        <f ca="1">'[1]October - 2022'!U38</f>
        <v>150.72000000000116</v>
      </c>
      <c r="R38" s="168">
        <f ca="1">'[1]October - 2022'!V38</f>
        <v>0</v>
      </c>
      <c r="S38" s="208">
        <f ca="1">'[1]October - 2022'!W38</f>
        <v>0</v>
      </c>
      <c r="T38" s="477"/>
      <c r="U38" s="169">
        <f ca="1">'[1]October - 2022'!AC38</f>
        <v>0</v>
      </c>
      <c r="V38" s="288">
        <f ca="1">'[1]October - 2022'!AD38</f>
        <v>0</v>
      </c>
      <c r="W38" s="92">
        <f ca="1">'[1]October - 2022'!AD38</f>
        <v>0</v>
      </c>
      <c r="X38" s="287">
        <f ca="1">'[1]October - 2022'!AF38</f>
        <v>0</v>
      </c>
      <c r="Y38" s="288">
        <f ca="1">'[1]October - 2022'!AG38</f>
        <v>0</v>
      </c>
      <c r="Z38" s="92">
        <f ca="1">'[1]October - 2022'!AG38</f>
        <v>0</v>
      </c>
      <c r="AA38" s="287">
        <f ca="1">'[1]October - 2022'!AI38</f>
        <v>0</v>
      </c>
      <c r="AB38" s="288">
        <f ca="1">'[1]October - 2022'!AJ38</f>
        <v>0</v>
      </c>
      <c r="AC38" s="92">
        <f ca="1">'[1]October - 2022'!AJ38</f>
        <v>0</v>
      </c>
      <c r="AD38" s="287">
        <f ca="1">'[1]October - 2022'!AL38</f>
        <v>0</v>
      </c>
      <c r="AE38" s="288">
        <f ca="1">'[1]October - 2022'!AM38</f>
        <v>0</v>
      </c>
      <c r="AF38" s="92">
        <f ca="1">'[1]October - 2022'!AM38</f>
        <v>0</v>
      </c>
      <c r="AG38" s="287">
        <f ca="1">'[1]October - 2022'!AO38</f>
        <v>0</v>
      </c>
      <c r="AH38" s="288">
        <f ca="1">'[1]October - 2022'!AP38</f>
        <v>0</v>
      </c>
      <c r="AI38" s="92">
        <f ca="1">'[1]October - 2022'!AP38</f>
        <v>0</v>
      </c>
      <c r="AJ38" s="287">
        <f ca="1">'[1]October - 2022'!AR38</f>
        <v>0</v>
      </c>
      <c r="AK38" s="288">
        <f ca="1">'[1]October - 2022'!AS38</f>
        <v>0</v>
      </c>
      <c r="AL38" s="92">
        <f ca="1">'[1]October - 2022'!AS38</f>
        <v>0</v>
      </c>
      <c r="AM38" s="287">
        <f ca="1">'[1]October - 2022'!AU38</f>
        <v>0</v>
      </c>
      <c r="AN38" s="288">
        <f ca="1">'[1]October - 2022'!AV38</f>
        <v>0</v>
      </c>
      <c r="AO38" s="92">
        <f ca="1">'[1]October - 2022'!AV38</f>
        <v>0</v>
      </c>
      <c r="AP38" s="299">
        <f ca="1">'[1]October - 2022'!AX38</f>
        <v>0</v>
      </c>
      <c r="AQ38" s="288">
        <f ca="1">'[1]October - 2022'!AY38</f>
        <v>0</v>
      </c>
      <c r="AR38" s="92">
        <f ca="1">'[1]October - 2022'!AY38</f>
        <v>0</v>
      </c>
      <c r="AS38" s="287">
        <f ca="1">'[1]October - 2022'!BA38</f>
        <v>0</v>
      </c>
      <c r="AT38" s="288">
        <f ca="1">'[1]October - 2022'!BB38</f>
        <v>0</v>
      </c>
      <c r="AU38" s="92">
        <f ca="1">'[1]October - 2022'!BB38</f>
        <v>0</v>
      </c>
      <c r="AV38" s="287">
        <f ca="1">'[1]October - 2022'!BD38</f>
        <v>0</v>
      </c>
      <c r="AW38" s="252">
        <f ca="1">'[1]October - 2022'!BE38</f>
        <v>0</v>
      </c>
      <c r="AX38" s="253">
        <f ca="1">'[1]October - 2022'!BE38</f>
        <v>0</v>
      </c>
      <c r="AY38" s="494"/>
      <c r="AZ38" s="272">
        <f ca="1">'[1]October - 2022'!BK38</f>
        <v>0</v>
      </c>
      <c r="BA38" s="179">
        <f ca="1">'[1]October - 2022'!BL38</f>
        <v>0</v>
      </c>
      <c r="BB38" s="93">
        <f ca="1">'[1]October - 2022'!BL38</f>
        <v>0</v>
      </c>
      <c r="BC38" s="272">
        <f ca="1">'[1]October - 2022'!BN38</f>
        <v>0</v>
      </c>
      <c r="BD38" s="245">
        <f ca="1">'[1]October - 2022'!BO38</f>
        <v>0</v>
      </c>
      <c r="BE38" s="93">
        <f ca="1">'[1]October - 2022'!BO38</f>
        <v>0</v>
      </c>
      <c r="BF38" s="272">
        <f ca="1">'[1]October - 2022'!BQ38</f>
        <v>0</v>
      </c>
      <c r="BG38" s="245">
        <f ca="1">'[1]October - 2022'!BR38</f>
        <v>0</v>
      </c>
      <c r="BH38" s="93">
        <f ca="1"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 ca="1">'[1]October - 2022'!BT38</f>
        <v>0</v>
      </c>
      <c r="BT38" s="185">
        <f ca="1">'[1]October - 2022'!BU38</f>
        <v>0</v>
      </c>
      <c r="BU38" s="590"/>
      <c r="BV38" s="88">
        <f ca="1">'[1]October - 2022'!BW38</f>
        <v>0</v>
      </c>
      <c r="BW38" s="241">
        <f ca="1">'[1]October - 2022'!BX38</f>
        <v>0</v>
      </c>
      <c r="BX38" s="88">
        <f ca="1">'[1]October - 2022'!BX38</f>
        <v>0</v>
      </c>
      <c r="BY38" s="89">
        <f ca="1">'[1]October - 2022'!BZ38</f>
        <v>0</v>
      </c>
      <c r="BZ38" s="191">
        <f ca="1">'[1]October - 2022'!CA38</f>
        <v>0</v>
      </c>
      <c r="CA38" s="89">
        <f ca="1">'[1]October - 2022'!CB38</f>
        <v>0</v>
      </c>
      <c r="CB38" s="191">
        <f ca="1">'[1]October - 2022'!CC38</f>
        <v>0</v>
      </c>
      <c r="CC38" s="89">
        <f ca="1">'[1]October - 2022'!CD38</f>
        <v>0</v>
      </c>
      <c r="CD38" s="191">
        <f ca="1">'[1]October - 2022'!CE38</f>
        <v>0</v>
      </c>
      <c r="CE38" s="89">
        <f ca="1">'[1]October - 2022'!CF38</f>
        <v>0</v>
      </c>
      <c r="CF38" s="191">
        <f ca="1">'[1]October - 2022'!CG38</f>
        <v>0</v>
      </c>
      <c r="CG38" s="89">
        <f ca="1">'[1]October - 2022'!CH38</f>
        <v>0</v>
      </c>
      <c r="CH38" s="191">
        <f ca="1">'[1]October - 2022'!CI38</f>
        <v>0</v>
      </c>
      <c r="CI38" s="89">
        <f ca="1">'[1]October - 2022'!CJ38</f>
        <v>0</v>
      </c>
      <c r="CJ38" s="191">
        <f ca="1">'[1]October - 2022'!CK38</f>
        <v>0</v>
      </c>
      <c r="CK38" s="89">
        <f ca="1">'[1]October - 2022'!CL38</f>
        <v>0</v>
      </c>
      <c r="CL38" s="246">
        <f ca="1">'[1]October - 2022'!CM38</f>
        <v>0</v>
      </c>
      <c r="CM38" s="89">
        <f ca="1">'[1]October - 2022'!CM38</f>
        <v>0</v>
      </c>
      <c r="CN38" s="89">
        <f ca="1">'[1]October - 2022'!CO38</f>
        <v>0</v>
      </c>
      <c r="CO38" s="246">
        <f ca="1">'[1]October - 2022'!CP38</f>
        <v>0</v>
      </c>
      <c r="CP38" s="89">
        <f ca="1">'[1]October - 2022'!CP38</f>
        <v>0</v>
      </c>
      <c r="CQ38" s="89">
        <f ca="1">'[1]October - 2022'!CR38</f>
        <v>0</v>
      </c>
      <c r="CR38" s="246">
        <f ca="1">'[1]October - 2022'!CS38</f>
        <v>0</v>
      </c>
      <c r="CS38" s="89">
        <f ca="1">'[1]October - 2022'!CS38</f>
        <v>0</v>
      </c>
      <c r="CT38" s="89">
        <f ca="1">'[1]October - 2022'!CU38</f>
        <v>0</v>
      </c>
      <c r="CU38" s="191">
        <f ca="1">'[1]October - 2022'!CV38</f>
        <v>0</v>
      </c>
      <c r="CV38" s="518"/>
      <c r="CW38" s="256">
        <f ca="1">'[1]October - 2022'!CX38</f>
        <v>0</v>
      </c>
      <c r="CX38" s="198">
        <f ca="1">'[1]October - 2022'!CY38</f>
        <v>0</v>
      </c>
      <c r="CY38" s="257">
        <f ca="1">'[1]October - 2022'!CZ38</f>
        <v>0</v>
      </c>
      <c r="CZ38" s="198">
        <f ca="1">'[1]October - 2022'!DA38</f>
        <v>0</v>
      </c>
      <c r="DA38" s="257">
        <f ca="1">'[1]October - 2022'!DB38</f>
        <v>0</v>
      </c>
      <c r="DB38" s="198">
        <f ca="1">'[1]October - 2022'!DC38</f>
        <v>0</v>
      </c>
      <c r="DC38" s="257">
        <f ca="1">'[1]October - 2022'!DD38</f>
        <v>0</v>
      </c>
      <c r="DD38" s="198">
        <f ca="1">'[1]October - 2022'!DE38</f>
        <v>0</v>
      </c>
      <c r="DE38" s="257">
        <f ca="1">'[1]October - 2022'!DF38</f>
        <v>0</v>
      </c>
      <c r="DF38" s="198">
        <f ca="1">'[1]October - 2022'!DG38</f>
        <v>0</v>
      </c>
      <c r="DG38" s="257">
        <f ca="1">'[1]October - 2022'!DH38</f>
        <v>0</v>
      </c>
      <c r="DH38" s="198">
        <f ca="1">'[1]October - 2022'!DI38</f>
        <v>0</v>
      </c>
      <c r="DI38" s="257">
        <f ca="1">'[1]October - 2022'!DJ38</f>
        <v>0</v>
      </c>
      <c r="DJ38" s="198">
        <f ca="1">'[1]October - 2022'!DK38</f>
        <v>0</v>
      </c>
      <c r="DK38" s="257">
        <f ca="1">'[1]October - 2022'!DL38</f>
        <v>0</v>
      </c>
      <c r="DL38" s="198">
        <f ca="1">'[1]October - 2022'!DM38</f>
        <v>0</v>
      </c>
      <c r="DM38" s="257">
        <f ca="1">'[1]October - 2022'!DN38</f>
        <v>0</v>
      </c>
      <c r="DN38" s="198">
        <f ca="1">'[1]October - 2022'!DO38</f>
        <v>0</v>
      </c>
      <c r="DO38" s="257">
        <f ca="1">'[1]October - 2022'!DP38</f>
        <v>0</v>
      </c>
      <c r="DP38" s="198">
        <f ca="1">'[1]October - 2022'!DQ38</f>
        <v>0</v>
      </c>
      <c r="DQ38" s="257">
        <f ca="1">'[1]October - 2022'!DR38</f>
        <v>0</v>
      </c>
      <c r="DR38" s="206">
        <f ca="1">'[1]October - 2022'!DS38</f>
        <v>0</v>
      </c>
      <c r="DS38" s="534"/>
      <c r="DT38" s="210">
        <f ca="1">'[1]October - 2022'!DU38</f>
        <v>0</v>
      </c>
      <c r="DU38" s="221">
        <f ca="1">'[1]October - 2022'!DV38</f>
        <v>0</v>
      </c>
      <c r="DV38" s="91">
        <f ca="1">'[1]October - 2022'!DW38</f>
        <v>0</v>
      </c>
      <c r="DW38" s="215">
        <f ca="1">'[1]October - 2022'!DX38</f>
        <v>0</v>
      </c>
      <c r="DX38" s="91">
        <f ca="1">'[1]October - 2022'!DY38</f>
        <v>0</v>
      </c>
      <c r="DY38" s="215">
        <f ca="1">'[1]October - 2022'!DZ38</f>
        <v>0</v>
      </c>
      <c r="DZ38" s="91">
        <f ca="1">'[1]October - 2022'!EA38</f>
        <v>0</v>
      </c>
      <c r="EA38" s="215">
        <f ca="1">'[1]October - 2022'!EB38</f>
        <v>0</v>
      </c>
      <c r="EB38" s="91">
        <f ca="1">'[1]October - 2022'!EC38</f>
        <v>0</v>
      </c>
      <c r="EC38" s="215">
        <f ca="1">'[1]October - 2022'!ED38</f>
        <v>0</v>
      </c>
      <c r="ED38" s="91">
        <f ca="1">'[1]October - 2022'!EG38</f>
        <v>0</v>
      </c>
      <c r="EE38" s="229">
        <f ca="1">'[1]October - 2022'!EH38</f>
        <v>0</v>
      </c>
      <c r="EF38" s="581"/>
      <c r="EG38" s="235">
        <f ca="1">'[1]October - 2022'!EJ38</f>
        <v>0</v>
      </c>
      <c r="EH38" s="230">
        <f ca="1">'[1]October - 2022'!EK38</f>
        <v>0</v>
      </c>
      <c r="EI38" s="90">
        <f ca="1">'[1]October - 2022'!EL38</f>
        <v>0</v>
      </c>
      <c r="EJ38" s="230">
        <f ca="1">'[1]October - 2022'!EM38</f>
        <v>0</v>
      </c>
      <c r="EK38" s="90">
        <f ca="1">'[1]October - 2022'!EN38</f>
        <v>0</v>
      </c>
      <c r="EL38" s="230">
        <f ca="1">'[1]October - 2022'!EO38</f>
        <v>0</v>
      </c>
      <c r="EM38" s="90">
        <f ca="1">'[1]October - 2022'!EP38</f>
        <v>0</v>
      </c>
      <c r="EN38" s="230">
        <f ca="1">'[1]October - 2022'!EQ38</f>
        <v>0</v>
      </c>
      <c r="EO38" s="90">
        <f ca="1">'[1]October - 2022'!ER38</f>
        <v>0</v>
      </c>
      <c r="EP38" s="230">
        <f ca="1">'[1]October - 2022'!ES38</f>
        <v>0</v>
      </c>
      <c r="EQ38" s="90">
        <f ca="1">'[1]October - 2022'!ET38</f>
        <v>0</v>
      </c>
      <c r="ER38" s="230">
        <f ca="1">'[1]October - 2022'!EU38</f>
        <v>0</v>
      </c>
      <c r="ES38" s="556"/>
      <c r="ET38" s="281">
        <f ca="1">'[1]October - 2022'!EW38</f>
        <v>0</v>
      </c>
      <c r="EU38" s="275">
        <f ca="1">'[1]October - 2022'!EX38</f>
        <v>0</v>
      </c>
      <c r="EV38" s="282">
        <f ca="1">'[1]October - 2022'!EY38</f>
        <v>0</v>
      </c>
      <c r="EW38" s="275">
        <f ca="1">'[1]October - 2022'!EZ38</f>
        <v>0</v>
      </c>
      <c r="EX38" s="282">
        <f ca="1">'[1]October - 2022'!FA38</f>
        <v>0</v>
      </c>
      <c r="EY38" s="275">
        <f ca="1">'[1]October - 2022'!FB38</f>
        <v>0</v>
      </c>
      <c r="EZ38" s="282">
        <f ca="1">'[1]October - 2022'!FC38</f>
        <v>0</v>
      </c>
      <c r="FA38" s="275">
        <f ca="1">'[1]October - 2022'!FD38</f>
        <v>0</v>
      </c>
      <c r="FB38" s="282">
        <f ca="1">'[1]October - 2022'!FE38</f>
        <v>0</v>
      </c>
      <c r="FC38" s="276">
        <f ca="1">'[1]October - 2022'!FF38</f>
        <v>0</v>
      </c>
    </row>
    <row r="39" spans="1:160" ht="30" customHeight="1" x14ac:dyDescent="0.25">
      <c r="A39" s="207">
        <v>43860</v>
      </c>
      <c r="B39" s="209">
        <f ca="1">'[1]October - 2022'!B39</f>
        <v>0</v>
      </c>
      <c r="C39" s="250">
        <f ca="1">'[1]October - 2022'!E39</f>
        <v>0</v>
      </c>
      <c r="D39" s="170">
        <f ca="1">'[1]October - 2022'!F39</f>
        <v>0</v>
      </c>
      <c r="E39" s="168">
        <f ca="1">'[1]October - 2022'!G39</f>
        <v>670</v>
      </c>
      <c r="F39" s="168">
        <f ca="1">'[1]October - 2022'!H39</f>
        <v>0</v>
      </c>
      <c r="G39" s="170">
        <f ca="1">'[1]October - 2022'!I39</f>
        <v>0</v>
      </c>
      <c r="H39" s="168">
        <f ca="1">'[1]October - 2022'!J39</f>
        <v>465</v>
      </c>
      <c r="I39" s="168">
        <f ca="1">'[1]October - 2022'!K39</f>
        <v>0</v>
      </c>
      <c r="J39" s="170">
        <f ca="1">'[1]October - 2022'!L39</f>
        <v>0</v>
      </c>
      <c r="K39" s="168">
        <f ca="1">'[1]October - 2022'!N39</f>
        <v>0</v>
      </c>
      <c r="L39" s="170">
        <f ca="1">'[1]October - 2022'!O39</f>
        <v>0</v>
      </c>
      <c r="M39" s="168">
        <f ca="1">'[1]October - 2022'!Q39</f>
        <v>0</v>
      </c>
      <c r="N39" s="170">
        <f ca="1">'[1]October - 2022'!R39</f>
        <v>0</v>
      </c>
      <c r="O39" s="168">
        <f ca="1">'[1]October - 2022'!S39</f>
        <v>0</v>
      </c>
      <c r="P39" s="170">
        <f ca="1">'[1]October - 2022'!T39</f>
        <v>0</v>
      </c>
      <c r="Q39" s="168">
        <f ca="1">'[1]October - 2022'!U39</f>
        <v>154.68000000000029</v>
      </c>
      <c r="R39" s="168">
        <f ca="1">'[1]October - 2022'!V39</f>
        <v>0</v>
      </c>
      <c r="S39" s="208">
        <f ca="1">'[1]October - 2022'!W39</f>
        <v>0</v>
      </c>
      <c r="T39" s="477"/>
      <c r="U39" s="169">
        <f ca="1">'[1]October - 2022'!AC39</f>
        <v>0</v>
      </c>
      <c r="V39" s="288">
        <f ca="1">'[1]October - 2022'!AD39</f>
        <v>0</v>
      </c>
      <c r="W39" s="92">
        <f ca="1">'[1]October - 2022'!AD39</f>
        <v>0</v>
      </c>
      <c r="X39" s="287">
        <f ca="1">'[1]October - 2022'!AF39</f>
        <v>0</v>
      </c>
      <c r="Y39" s="288">
        <f ca="1">'[1]October - 2022'!AG39</f>
        <v>0</v>
      </c>
      <c r="Z39" s="92">
        <f ca="1">'[1]October - 2022'!AG39</f>
        <v>0</v>
      </c>
      <c r="AA39" s="287">
        <f ca="1">'[1]October - 2022'!AI39</f>
        <v>0</v>
      </c>
      <c r="AB39" s="288">
        <f ca="1">'[1]October - 2022'!AJ39</f>
        <v>0</v>
      </c>
      <c r="AC39" s="92">
        <f ca="1">'[1]October - 2022'!AJ39</f>
        <v>0</v>
      </c>
      <c r="AD39" s="287">
        <f ca="1">'[1]October - 2022'!AL39</f>
        <v>0</v>
      </c>
      <c r="AE39" s="288">
        <f ca="1">'[1]October - 2022'!AM39</f>
        <v>0</v>
      </c>
      <c r="AF39" s="92">
        <f ca="1">'[1]October - 2022'!AM39</f>
        <v>0</v>
      </c>
      <c r="AG39" s="287">
        <f ca="1">'[1]October - 2022'!AO39</f>
        <v>0</v>
      </c>
      <c r="AH39" s="288">
        <f ca="1">'[1]October - 2022'!AP39</f>
        <v>0</v>
      </c>
      <c r="AI39" s="92">
        <f ca="1">'[1]October - 2022'!AP39</f>
        <v>0</v>
      </c>
      <c r="AJ39" s="287">
        <f ca="1">'[1]October - 2022'!AR39</f>
        <v>0</v>
      </c>
      <c r="AK39" s="288">
        <f ca="1">'[1]October - 2022'!AS39</f>
        <v>0</v>
      </c>
      <c r="AL39" s="92">
        <f ca="1">'[1]October - 2022'!AS39</f>
        <v>0</v>
      </c>
      <c r="AM39" s="287">
        <f ca="1">'[1]October - 2022'!AU39</f>
        <v>0</v>
      </c>
      <c r="AN39" s="288">
        <f ca="1">'[1]October - 2022'!AV39</f>
        <v>0</v>
      </c>
      <c r="AO39" s="92">
        <f ca="1">'[1]October - 2022'!AV39</f>
        <v>0</v>
      </c>
      <c r="AP39" s="287">
        <f ca="1">'[1]October - 2022'!AX39</f>
        <v>0</v>
      </c>
      <c r="AQ39" s="288">
        <f ca="1">'[1]October - 2022'!AY39</f>
        <v>0</v>
      </c>
      <c r="AR39" s="92">
        <f ca="1">'[1]October - 2022'!AY39</f>
        <v>0</v>
      </c>
      <c r="AS39" s="287">
        <f ca="1">'[1]October - 2022'!BA39</f>
        <v>0</v>
      </c>
      <c r="AT39" s="288">
        <f ca="1">'[1]October - 2022'!BB39</f>
        <v>0</v>
      </c>
      <c r="AU39" s="92">
        <f ca="1">'[1]October - 2022'!BB39</f>
        <v>0</v>
      </c>
      <c r="AV39" s="287">
        <f ca="1">'[1]October - 2022'!BD39</f>
        <v>0</v>
      </c>
      <c r="AW39" s="252">
        <f ca="1">'[1]October - 2022'!BE39</f>
        <v>0</v>
      </c>
      <c r="AX39" s="253">
        <f ca="1">'[1]October - 2022'!BE39</f>
        <v>0</v>
      </c>
      <c r="AY39" s="494"/>
      <c r="AZ39" s="272">
        <f ca="1">'[1]October - 2022'!BK39</f>
        <v>0</v>
      </c>
      <c r="BA39" s="179">
        <f ca="1">'[1]October - 2022'!BL39</f>
        <v>0</v>
      </c>
      <c r="BB39" s="93">
        <f ca="1">'[1]October - 2022'!BL39</f>
        <v>0</v>
      </c>
      <c r="BC39" s="272">
        <f ca="1">'[1]October - 2022'!BN39</f>
        <v>0</v>
      </c>
      <c r="BD39" s="245">
        <f ca="1">'[1]October - 2022'!BO39</f>
        <v>0</v>
      </c>
      <c r="BE39" s="93">
        <f ca="1">'[1]October - 2022'!BO39</f>
        <v>0</v>
      </c>
      <c r="BF39" s="272">
        <f ca="1">'[1]October - 2022'!BQ39</f>
        <v>0</v>
      </c>
      <c r="BG39" s="245">
        <f ca="1">'[1]October - 2022'!BR39</f>
        <v>0</v>
      </c>
      <c r="BH39" s="93">
        <f ca="1"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 ca="1">'[1]October - 2022'!BT39</f>
        <v>0</v>
      </c>
      <c r="BT39" s="185">
        <f ca="1">'[1]October - 2022'!BU39</f>
        <v>0</v>
      </c>
      <c r="BU39" s="591"/>
      <c r="BV39" s="88">
        <f ca="1">'[1]October - 2022'!BW39</f>
        <v>0</v>
      </c>
      <c r="BW39" s="241">
        <f ca="1">'[1]October - 2022'!BX39</f>
        <v>0</v>
      </c>
      <c r="BX39" s="88">
        <f ca="1">'[1]October - 2022'!BX39</f>
        <v>0</v>
      </c>
      <c r="BY39" s="89">
        <f ca="1">'[1]October - 2022'!BZ39</f>
        <v>0</v>
      </c>
      <c r="BZ39" s="191">
        <f ca="1">'[1]October - 2022'!CA39</f>
        <v>0</v>
      </c>
      <c r="CA39" s="89">
        <f ca="1">'[1]October - 2022'!CB39</f>
        <v>0</v>
      </c>
      <c r="CB39" s="191">
        <f ca="1">'[1]October - 2022'!CC39</f>
        <v>0</v>
      </c>
      <c r="CC39" s="89">
        <f ca="1">'[1]October - 2022'!CD39</f>
        <v>0</v>
      </c>
      <c r="CD39" s="191">
        <f ca="1">'[1]October - 2022'!CE39</f>
        <v>0</v>
      </c>
      <c r="CE39" s="89">
        <f ca="1">'[1]October - 2022'!CF39</f>
        <v>0</v>
      </c>
      <c r="CF39" s="191">
        <f ca="1">'[1]October - 2022'!CG39</f>
        <v>0</v>
      </c>
      <c r="CG39" s="89">
        <f ca="1">'[1]October - 2022'!CH39</f>
        <v>0</v>
      </c>
      <c r="CH39" s="191">
        <f ca="1">'[1]October - 2022'!CI39</f>
        <v>0</v>
      </c>
      <c r="CI39" s="89">
        <f ca="1">'[1]October - 2022'!CJ39</f>
        <v>0</v>
      </c>
      <c r="CJ39" s="191">
        <f ca="1">'[1]October - 2022'!CK39</f>
        <v>0</v>
      </c>
      <c r="CK39" s="89">
        <f ca="1">'[1]October - 2022'!CL39</f>
        <v>0</v>
      </c>
      <c r="CL39" s="246">
        <f ca="1">'[1]October - 2022'!CM39</f>
        <v>0</v>
      </c>
      <c r="CM39" s="89">
        <f ca="1">'[1]October - 2022'!CM39</f>
        <v>0</v>
      </c>
      <c r="CN39" s="89">
        <f ca="1">'[1]October - 2022'!CO39</f>
        <v>0</v>
      </c>
      <c r="CO39" s="246">
        <f ca="1">'[1]October - 2022'!CP39</f>
        <v>0</v>
      </c>
      <c r="CP39" s="89">
        <f ca="1">'[1]October - 2022'!CP39</f>
        <v>0</v>
      </c>
      <c r="CQ39" s="89">
        <f ca="1">'[1]October - 2022'!CR39</f>
        <v>0</v>
      </c>
      <c r="CR39" s="246">
        <f ca="1">'[1]October - 2022'!CS39</f>
        <v>0</v>
      </c>
      <c r="CS39" s="89">
        <f ca="1">'[1]October - 2022'!CS39</f>
        <v>0</v>
      </c>
      <c r="CT39" s="89">
        <f ca="1">'[1]October - 2022'!CU39</f>
        <v>0</v>
      </c>
      <c r="CU39" s="191">
        <f ca="1">'[1]October - 2022'!CV39</f>
        <v>0</v>
      </c>
      <c r="CV39" s="518"/>
      <c r="CW39" s="256">
        <f ca="1">'[1]October - 2022'!CX39</f>
        <v>0</v>
      </c>
      <c r="CX39" s="198">
        <f ca="1">'[1]October - 2022'!CY39</f>
        <v>0</v>
      </c>
      <c r="CY39" s="257">
        <f ca="1">'[1]October - 2022'!CZ39</f>
        <v>0</v>
      </c>
      <c r="CZ39" s="198">
        <f ca="1">'[1]October - 2022'!DA39</f>
        <v>0</v>
      </c>
      <c r="DA39" s="257">
        <f ca="1">'[1]October - 2022'!DB39</f>
        <v>0</v>
      </c>
      <c r="DB39" s="198">
        <f ca="1">'[1]October - 2022'!DC39</f>
        <v>0</v>
      </c>
      <c r="DC39" s="257">
        <f ca="1">'[1]October - 2022'!DD39</f>
        <v>0</v>
      </c>
      <c r="DD39" s="198">
        <f ca="1">'[1]October - 2022'!DE39</f>
        <v>0</v>
      </c>
      <c r="DE39" s="257">
        <f ca="1">'[1]October - 2022'!DF39</f>
        <v>0</v>
      </c>
      <c r="DF39" s="198">
        <f ca="1">'[1]October - 2022'!DG39</f>
        <v>0</v>
      </c>
      <c r="DG39" s="257">
        <f ca="1">'[1]October - 2022'!DH39</f>
        <v>0</v>
      </c>
      <c r="DH39" s="198">
        <f ca="1">'[1]October - 2022'!DI39</f>
        <v>0</v>
      </c>
      <c r="DI39" s="257">
        <f ca="1">'[1]October - 2022'!DJ39</f>
        <v>0</v>
      </c>
      <c r="DJ39" s="198">
        <f ca="1">'[1]October - 2022'!DK39</f>
        <v>0</v>
      </c>
      <c r="DK39" s="257">
        <f ca="1">'[1]October - 2022'!DL39</f>
        <v>0</v>
      </c>
      <c r="DL39" s="198">
        <f ca="1">'[1]October - 2022'!DM39</f>
        <v>0</v>
      </c>
      <c r="DM39" s="257">
        <f ca="1">'[1]October - 2022'!DN39</f>
        <v>0</v>
      </c>
      <c r="DN39" s="198">
        <f ca="1">'[1]October - 2022'!DO39</f>
        <v>0</v>
      </c>
      <c r="DO39" s="257">
        <f ca="1">'[1]October - 2022'!DP39</f>
        <v>0</v>
      </c>
      <c r="DP39" s="198">
        <f ca="1">'[1]October - 2022'!DQ39</f>
        <v>0</v>
      </c>
      <c r="DQ39" s="257">
        <f ca="1">'[1]October - 2022'!DR39</f>
        <v>0</v>
      </c>
      <c r="DR39" s="206">
        <f ca="1">'[1]October - 2022'!DS39</f>
        <v>0</v>
      </c>
      <c r="DS39" s="534"/>
      <c r="DT39" s="210">
        <f ca="1">'[1]October - 2022'!DU39</f>
        <v>0</v>
      </c>
      <c r="DU39" s="221">
        <f ca="1">'[1]October - 2022'!DV39</f>
        <v>0</v>
      </c>
      <c r="DV39" s="91">
        <f ca="1">'[1]October - 2022'!DW39</f>
        <v>0</v>
      </c>
      <c r="DW39" s="215">
        <f ca="1">'[1]October - 2022'!DX39</f>
        <v>0</v>
      </c>
      <c r="DX39" s="91">
        <f ca="1">'[1]October - 2022'!DY39</f>
        <v>0</v>
      </c>
      <c r="DY39" s="215">
        <f ca="1">'[1]October - 2022'!DZ39</f>
        <v>0</v>
      </c>
      <c r="DZ39" s="91">
        <f ca="1">'[1]October - 2022'!EA39</f>
        <v>0</v>
      </c>
      <c r="EA39" s="215">
        <f ca="1">'[1]October - 2022'!EB39</f>
        <v>0</v>
      </c>
      <c r="EB39" s="91">
        <f ca="1">'[1]October - 2022'!EC39</f>
        <v>0</v>
      </c>
      <c r="EC39" s="215">
        <f ca="1">'[1]October - 2022'!ED39</f>
        <v>0</v>
      </c>
      <c r="ED39" s="91">
        <f ca="1">'[1]October - 2022'!EG39</f>
        <v>0</v>
      </c>
      <c r="EE39" s="229">
        <f ca="1">'[1]October - 2022'!EH39</f>
        <v>0</v>
      </c>
      <c r="EF39" s="581"/>
      <c r="EG39" s="235">
        <f ca="1">'[1]October - 2022'!EJ39</f>
        <v>0</v>
      </c>
      <c r="EH39" s="230">
        <f ca="1">'[1]October - 2022'!EK39</f>
        <v>0</v>
      </c>
      <c r="EI39" s="90">
        <f ca="1">'[1]October - 2022'!EL39</f>
        <v>0</v>
      </c>
      <c r="EJ39" s="230">
        <f ca="1">'[1]October - 2022'!EM39</f>
        <v>0</v>
      </c>
      <c r="EK39" s="90">
        <f ca="1">'[1]October - 2022'!EN39</f>
        <v>0</v>
      </c>
      <c r="EL39" s="230">
        <f ca="1">'[1]October - 2022'!EO39</f>
        <v>0</v>
      </c>
      <c r="EM39" s="90">
        <f ca="1">'[1]October - 2022'!EP39</f>
        <v>0</v>
      </c>
      <c r="EN39" s="230">
        <f ca="1">'[1]October - 2022'!EQ39</f>
        <v>0</v>
      </c>
      <c r="EO39" s="90">
        <f ca="1">'[1]October - 2022'!ER39</f>
        <v>0</v>
      </c>
      <c r="EP39" s="230">
        <f ca="1">'[1]October - 2022'!ES39</f>
        <v>0</v>
      </c>
      <c r="EQ39" s="90">
        <f ca="1">'[1]October - 2022'!ET39</f>
        <v>0</v>
      </c>
      <c r="ER39" s="230">
        <f ca="1">'[1]October - 2022'!EU39</f>
        <v>0</v>
      </c>
      <c r="ES39" s="556"/>
      <c r="ET39" s="281">
        <f ca="1">'[1]October - 2022'!EW39</f>
        <v>0</v>
      </c>
      <c r="EU39" s="275">
        <f ca="1">'[1]October - 2022'!EX39</f>
        <v>0</v>
      </c>
      <c r="EV39" s="282">
        <f ca="1">'[1]October - 2022'!EY39</f>
        <v>0</v>
      </c>
      <c r="EW39" s="275">
        <f ca="1">'[1]October - 2022'!EZ39</f>
        <v>0</v>
      </c>
      <c r="EX39" s="282">
        <f ca="1">'[1]October - 2022'!FA39</f>
        <v>0</v>
      </c>
      <c r="EY39" s="275">
        <f ca="1">'[1]October - 2022'!FB39</f>
        <v>0</v>
      </c>
      <c r="EZ39" s="282">
        <f ca="1">'[1]October - 2022'!FC39</f>
        <v>0</v>
      </c>
      <c r="FA39" s="275">
        <f ca="1">'[1]October - 2022'!FD39</f>
        <v>0</v>
      </c>
      <c r="FB39" s="282">
        <f ca="1">'[1]October - 2022'!FE39</f>
        <v>0</v>
      </c>
      <c r="FC39" s="276">
        <f ca="1">'[1]October - 2022'!FF39</f>
        <v>0</v>
      </c>
    </row>
    <row r="40" spans="1:160" ht="30" customHeight="1" thickBot="1" x14ac:dyDescent="0.45">
      <c r="A40" s="207">
        <v>43861</v>
      </c>
      <c r="B40" s="296">
        <f ca="1">'[1]October - 2022'!B40</f>
        <v>0</v>
      </c>
      <c r="C40" s="250">
        <f ca="1">'[1]October - 2022'!E40</f>
        <v>0</v>
      </c>
      <c r="D40" s="170">
        <f ca="1">'[1]October - 2022'!F40</f>
        <v>0</v>
      </c>
      <c r="E40" s="168">
        <f ca="1">'[1]October - 2022'!G40</f>
        <v>659</v>
      </c>
      <c r="F40" s="168">
        <f ca="1">'[1]October - 2022'!H40</f>
        <v>0</v>
      </c>
      <c r="G40" s="170">
        <f ca="1">'[1]October - 2022'!I40</f>
        <v>0</v>
      </c>
      <c r="H40" s="168">
        <f ca="1">'[1]October - 2022'!J40</f>
        <v>438</v>
      </c>
      <c r="I40" s="168">
        <f ca="1">'[1]October - 2022'!K40</f>
        <v>0</v>
      </c>
      <c r="J40" s="170">
        <f ca="1">'[1]October - 2022'!L40</f>
        <v>0</v>
      </c>
      <c r="K40" s="168">
        <f ca="1">'[1]October - 2022'!N40</f>
        <v>0</v>
      </c>
      <c r="L40" s="170">
        <f ca="1">'[1]October - 2022'!O40</f>
        <v>0</v>
      </c>
      <c r="M40" s="168">
        <f ca="1">'[1]October - 2022'!Q40</f>
        <v>0</v>
      </c>
      <c r="N40" s="170">
        <f ca="1">'[1]October - 2022'!R40</f>
        <v>0</v>
      </c>
      <c r="O40" s="168">
        <f ca="1">'[1]October - 2022'!S40</f>
        <v>0</v>
      </c>
      <c r="P40" s="170">
        <f ca="1">'[1]October - 2022'!T40</f>
        <v>0</v>
      </c>
      <c r="Q40" s="168">
        <f ca="1">'[1]October - 2022'!U40</f>
        <v>187.29999999999563</v>
      </c>
      <c r="R40" s="168">
        <f ca="1">'[1]October - 2022'!V40</f>
        <v>0</v>
      </c>
      <c r="S40" s="208">
        <f ca="1">'[1]October - 2022'!W40</f>
        <v>0</v>
      </c>
      <c r="T40" s="284"/>
      <c r="U40" s="291">
        <f ca="1">'[1]October - 2022'!AC40</f>
        <v>0</v>
      </c>
      <c r="V40" s="292">
        <f ca="1">'[1]October - 2022'!AD40</f>
        <v>0</v>
      </c>
      <c r="W40" s="293">
        <f ca="1">'[1]October - 2022'!AD40</f>
        <v>0</v>
      </c>
      <c r="X40" s="294">
        <f ca="1">'[1]October - 2022'!AF40</f>
        <v>0</v>
      </c>
      <c r="Y40" s="292">
        <f ca="1">'[1]October - 2022'!AG40</f>
        <v>0</v>
      </c>
      <c r="Z40" s="293">
        <f ca="1">'[1]October - 2022'!AG40</f>
        <v>0</v>
      </c>
      <c r="AA40" s="294">
        <f ca="1">'[1]October - 2022'!AI40</f>
        <v>0</v>
      </c>
      <c r="AB40" s="292">
        <f ca="1">'[1]October - 2022'!AJ40</f>
        <v>0</v>
      </c>
      <c r="AC40" s="293">
        <f ca="1">'[1]October - 2022'!AJ40</f>
        <v>0</v>
      </c>
      <c r="AD40" s="294">
        <f ca="1">'[1]October - 2022'!AL40</f>
        <v>0</v>
      </c>
      <c r="AE40" s="292">
        <f ca="1">'[1]October - 2022'!AM40</f>
        <v>0</v>
      </c>
      <c r="AF40" s="293">
        <f ca="1">'[1]October - 2022'!AM40</f>
        <v>0</v>
      </c>
      <c r="AG40" s="294">
        <f ca="1">'[1]October - 2022'!AO40</f>
        <v>0</v>
      </c>
      <c r="AH40" s="292">
        <f ca="1">'[1]October - 2022'!AP40</f>
        <v>0</v>
      </c>
      <c r="AI40" s="293">
        <f ca="1">'[1]October - 2022'!AP40</f>
        <v>0</v>
      </c>
      <c r="AJ40" s="294">
        <f ca="1">'[1]October - 2022'!AR40</f>
        <v>0</v>
      </c>
      <c r="AK40" s="292">
        <f ca="1">'[1]October - 2022'!AS40</f>
        <v>0</v>
      </c>
      <c r="AL40" s="293">
        <f ca="1">'[1]October - 2022'!AS40</f>
        <v>0</v>
      </c>
      <c r="AM40" s="294">
        <f ca="1">'[1]October - 2022'!AU40</f>
        <v>0</v>
      </c>
      <c r="AN40" s="292">
        <f ca="1">'[1]October - 2022'!AV40</f>
        <v>0</v>
      </c>
      <c r="AO40" s="293">
        <f ca="1">'[1]October - 2022'!AV40</f>
        <v>0</v>
      </c>
      <c r="AP40" s="294">
        <f ca="1">'[1]October - 2022'!AX40</f>
        <v>0</v>
      </c>
      <c r="AQ40" s="292">
        <f ca="1">'[1]October - 2022'!AY40</f>
        <v>0</v>
      </c>
      <c r="AR40" s="293">
        <f ca="1">'[1]October - 2022'!AY40</f>
        <v>0</v>
      </c>
      <c r="AS40" s="294">
        <f ca="1">'[1]October - 2022'!BA40</f>
        <v>0</v>
      </c>
      <c r="AT40" s="292">
        <f ca="1">'[1]October - 2022'!BB40</f>
        <v>0</v>
      </c>
      <c r="AU40" s="293">
        <f ca="1">'[1]October - 2022'!BB40</f>
        <v>0</v>
      </c>
      <c r="AV40" s="294">
        <f ca="1">'[1]October - 2022'!BD40</f>
        <v>0</v>
      </c>
      <c r="AW40" s="252">
        <f ca="1">'[1]October - 2022'!BE40</f>
        <v>0</v>
      </c>
      <c r="AX40" s="253">
        <f ca="1">'[1]October - 2022'!BE40</f>
        <v>0</v>
      </c>
      <c r="AY40" s="285"/>
      <c r="AZ40" s="272">
        <f ca="1">'[1]October - 2022'!BK40</f>
        <v>0</v>
      </c>
      <c r="BA40" s="179">
        <f ca="1">'[1]October - 2022'!BL40</f>
        <v>0</v>
      </c>
      <c r="BB40" s="93">
        <f ca="1">'[1]October - 2022'!BL40</f>
        <v>0</v>
      </c>
      <c r="BC40" s="272">
        <f ca="1">'[1]October - 2022'!BN40</f>
        <v>0</v>
      </c>
      <c r="BD40" s="245">
        <f ca="1">'[1]October - 2022'!BO40</f>
        <v>0</v>
      </c>
      <c r="BE40" s="93">
        <f ca="1">'[1]October - 2022'!BO40</f>
        <v>0</v>
      </c>
      <c r="BF40" s="272">
        <f ca="1">'[1]October - 2022'!BQ40</f>
        <v>0</v>
      </c>
      <c r="BG40" s="245">
        <f ca="1">'[1]October - 2022'!BR40</f>
        <v>0</v>
      </c>
      <c r="BH40" s="93">
        <f ca="1"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 ca="1">'[1]October - 2022'!BT40</f>
        <v>0</v>
      </c>
      <c r="BT40" s="185">
        <f ca="1">'[1]October - 2022'!BU40</f>
        <v>0</v>
      </c>
      <c r="BU40" s="286"/>
      <c r="BV40" s="88">
        <f ca="1">'[1]October - 2022'!BW40</f>
        <v>0</v>
      </c>
      <c r="BW40" s="241">
        <f ca="1">'[1]October - 2022'!BX40</f>
        <v>0</v>
      </c>
      <c r="BX40" s="88">
        <f ca="1">'[1]October - 2022'!BX40</f>
        <v>0</v>
      </c>
      <c r="BY40" s="89">
        <f ca="1">'[1]October - 2022'!BZ40</f>
        <v>0</v>
      </c>
      <c r="BZ40" s="191">
        <f ca="1">'[1]October - 2022'!CA40</f>
        <v>0</v>
      </c>
      <c r="CA40" s="89">
        <f ca="1">'[1]October - 2022'!CB40</f>
        <v>0</v>
      </c>
      <c r="CB40" s="191">
        <f ca="1">'[1]October - 2022'!CC40</f>
        <v>0</v>
      </c>
      <c r="CC40" s="89">
        <f ca="1">'[1]October - 2022'!CD40</f>
        <v>0</v>
      </c>
      <c r="CD40" s="191">
        <f ca="1">'[1]October - 2022'!CE40</f>
        <v>0</v>
      </c>
      <c r="CE40" s="89">
        <f ca="1">'[1]October - 2022'!CF40</f>
        <v>0</v>
      </c>
      <c r="CF40" s="191">
        <f ca="1">'[1]October - 2022'!CG40</f>
        <v>0</v>
      </c>
      <c r="CG40" s="89">
        <f ca="1">'[1]October - 2022'!CH40</f>
        <v>0</v>
      </c>
      <c r="CH40" s="191">
        <f ca="1">'[1]October - 2022'!CI40</f>
        <v>0</v>
      </c>
      <c r="CI40" s="89">
        <f ca="1">'[1]October - 2022'!CJ40</f>
        <v>0</v>
      </c>
      <c r="CJ40" s="191">
        <f ca="1">'[1]October - 2022'!CK40</f>
        <v>0</v>
      </c>
      <c r="CK40" s="89">
        <f ca="1">'[1]October - 2022'!CL40</f>
        <v>0</v>
      </c>
      <c r="CL40" s="246">
        <f ca="1">'[1]October - 2022'!CM40</f>
        <v>0</v>
      </c>
      <c r="CM40" s="89">
        <f ca="1">'[1]October - 2022'!CM40</f>
        <v>0</v>
      </c>
      <c r="CN40" s="89">
        <f ca="1">'[1]October - 2022'!CO40</f>
        <v>0</v>
      </c>
      <c r="CO40" s="246">
        <f ca="1">'[1]October - 2022'!CP40</f>
        <v>0</v>
      </c>
      <c r="CP40" s="89">
        <f ca="1">'[1]October - 2022'!CP40</f>
        <v>0</v>
      </c>
      <c r="CQ40" s="89">
        <f ca="1">'[1]October - 2022'!CR40</f>
        <v>0</v>
      </c>
      <c r="CR40" s="246">
        <f ca="1">'[1]October - 2022'!CS40</f>
        <v>0</v>
      </c>
      <c r="CS40" s="89">
        <f ca="1">'[1]October - 2022'!CS40</f>
        <v>0</v>
      </c>
      <c r="CT40" s="89">
        <f ca="1">'[1]October - 2022'!CU40</f>
        <v>0</v>
      </c>
      <c r="CU40" s="191">
        <f ca="1">'[1]October - 2022'!CV40</f>
        <v>0</v>
      </c>
      <c r="CV40" s="518"/>
      <c r="CW40" s="256">
        <f ca="1">'[1]October - 2022'!CX40</f>
        <v>0</v>
      </c>
      <c r="CX40" s="198">
        <f ca="1">'[1]October - 2022'!CY40</f>
        <v>0</v>
      </c>
      <c r="CY40" s="257">
        <f ca="1">'[1]October - 2022'!CZ40</f>
        <v>0</v>
      </c>
      <c r="CZ40" s="198">
        <f ca="1">'[1]October - 2022'!DA40</f>
        <v>0</v>
      </c>
      <c r="DA40" s="257">
        <f ca="1">'[1]October - 2022'!DB40</f>
        <v>0</v>
      </c>
      <c r="DB40" s="198">
        <f ca="1">'[1]October - 2022'!DC40</f>
        <v>0</v>
      </c>
      <c r="DC40" s="257">
        <f ca="1">'[1]October - 2022'!DD40</f>
        <v>0</v>
      </c>
      <c r="DD40" s="198">
        <f ca="1">'[1]October - 2022'!DE40</f>
        <v>0</v>
      </c>
      <c r="DE40" s="257">
        <f ca="1">'[1]October - 2022'!DF40</f>
        <v>0</v>
      </c>
      <c r="DF40" s="198">
        <f ca="1">'[1]October - 2022'!DG40</f>
        <v>0</v>
      </c>
      <c r="DG40" s="257">
        <f ca="1">'[1]October - 2022'!DH40</f>
        <v>0</v>
      </c>
      <c r="DH40" s="198">
        <f ca="1">'[1]October - 2022'!DI40</f>
        <v>0</v>
      </c>
      <c r="DI40" s="257">
        <f ca="1">'[1]October - 2022'!DJ40</f>
        <v>0</v>
      </c>
      <c r="DJ40" s="198">
        <f ca="1">'[1]October - 2022'!DK40</f>
        <v>0</v>
      </c>
      <c r="DK40" s="257">
        <f ca="1">'[1]October - 2022'!DL40</f>
        <v>0</v>
      </c>
      <c r="DL40" s="198">
        <f ca="1">'[1]October - 2022'!DM40</f>
        <v>0</v>
      </c>
      <c r="DM40" s="257">
        <f ca="1">'[1]October - 2022'!DN40</f>
        <v>0</v>
      </c>
      <c r="DN40" s="198">
        <f ca="1">'[1]October - 2022'!DO40</f>
        <v>0</v>
      </c>
      <c r="DO40" s="257">
        <f ca="1">'[1]October - 2022'!DP40</f>
        <v>0</v>
      </c>
      <c r="DP40" s="198">
        <f ca="1">'[1]October - 2022'!DQ40</f>
        <v>0</v>
      </c>
      <c r="DQ40" s="257">
        <f ca="1">'[1]October - 2022'!DR40</f>
        <v>0</v>
      </c>
      <c r="DR40" s="206">
        <f ca="1">'[1]October - 2022'!DS40</f>
        <v>0</v>
      </c>
      <c r="DS40" s="534"/>
      <c r="DT40" s="210">
        <f ca="1">'[1]October - 2022'!DU40</f>
        <v>0</v>
      </c>
      <c r="DU40" s="221">
        <f ca="1">'[1]October - 2022'!DV40</f>
        <v>0</v>
      </c>
      <c r="DV40" s="91">
        <f ca="1">'[1]October - 2022'!DW40</f>
        <v>0</v>
      </c>
      <c r="DW40" s="215">
        <f ca="1">'[1]October - 2022'!DX40</f>
        <v>0</v>
      </c>
      <c r="DX40" s="91">
        <f ca="1">'[1]October - 2022'!DY40</f>
        <v>0</v>
      </c>
      <c r="DY40" s="215">
        <f ca="1">'[1]October - 2022'!DZ40</f>
        <v>0</v>
      </c>
      <c r="DZ40" s="91">
        <f ca="1">'[1]October - 2022'!EA40</f>
        <v>0</v>
      </c>
      <c r="EA40" s="215">
        <f ca="1">'[1]October - 2022'!EB40</f>
        <v>0</v>
      </c>
      <c r="EB40" s="91">
        <f ca="1">'[1]October - 2022'!EC40</f>
        <v>0</v>
      </c>
      <c r="EC40" s="215">
        <f ca="1">'[1]October - 2022'!ED40</f>
        <v>0</v>
      </c>
      <c r="ED40" s="91">
        <f ca="1">'[1]October - 2022'!EG40</f>
        <v>0</v>
      </c>
      <c r="EE40" s="229">
        <f ca="1">'[1]October - 2022'!EH40</f>
        <v>0</v>
      </c>
      <c r="EF40" s="581"/>
      <c r="EG40" s="235">
        <f ca="1">'[1]October - 2022'!EJ40</f>
        <v>0</v>
      </c>
      <c r="EH40" s="230">
        <f ca="1">'[1]October - 2022'!EK40</f>
        <v>0</v>
      </c>
      <c r="EI40" s="90">
        <f ca="1">'[1]October - 2022'!EL40</f>
        <v>0</v>
      </c>
      <c r="EJ40" s="230">
        <f ca="1">'[1]October - 2022'!EM40</f>
        <v>0</v>
      </c>
      <c r="EK40" s="90">
        <f ca="1">'[1]October - 2022'!EN40</f>
        <v>0</v>
      </c>
      <c r="EL40" s="230">
        <f ca="1">'[1]October - 2022'!EO40</f>
        <v>0</v>
      </c>
      <c r="EM40" s="90">
        <f ca="1">'[1]October - 2022'!EP40</f>
        <v>0</v>
      </c>
      <c r="EN40" s="230">
        <f ca="1">'[1]October - 2022'!EQ40</f>
        <v>0</v>
      </c>
      <c r="EO40" s="90">
        <f ca="1">'[1]October - 2022'!ER40</f>
        <v>0</v>
      </c>
      <c r="EP40" s="230">
        <f ca="1">'[1]October - 2022'!ES40</f>
        <v>0</v>
      </c>
      <c r="EQ40" s="90">
        <f ca="1">'[1]October - 2022'!ET40</f>
        <v>0</v>
      </c>
      <c r="ER40" s="230">
        <f ca="1">'[1]October - 2022'!EU40</f>
        <v>0</v>
      </c>
      <c r="ES40" s="557"/>
      <c r="ET40" s="281">
        <f ca="1">'[1]October - 2022'!EW40</f>
        <v>0</v>
      </c>
      <c r="EU40" s="275">
        <f ca="1">'[1]October - 2022'!EX40</f>
        <v>0</v>
      </c>
      <c r="EV40" s="282">
        <f ca="1">'[1]October - 2022'!EY40</f>
        <v>0</v>
      </c>
      <c r="EW40" s="275">
        <f ca="1">'[1]October - 2022'!EZ40</f>
        <v>0</v>
      </c>
      <c r="EX40" s="282">
        <f ca="1">'[1]October - 2022'!FA40</f>
        <v>0</v>
      </c>
      <c r="EY40" s="275">
        <f ca="1">'[1]October - 2022'!FB40</f>
        <v>0</v>
      </c>
      <c r="EZ40" s="282">
        <f ca="1">'[1]October - 2022'!FC40</f>
        <v>0</v>
      </c>
      <c r="FA40" s="275">
        <f ca="1">'[1]October - 2022'!FD40</f>
        <v>0</v>
      </c>
      <c r="FB40" s="282">
        <f ca="1">'[1]October - 2022'!FE40</f>
        <v>0</v>
      </c>
      <c r="FC40" s="276">
        <f ca="1">'[1]October - 2022'!FF40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 ca="1">SUM(E9:E24)</f>
        <v>10909</v>
      </c>
      <c r="D44" s="435"/>
      <c r="E44" s="436"/>
      <c r="F44" s="437">
        <f ca="1"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 ca="1">SUM(Q9:Q24)</f>
        <v>3367.5500000000029</v>
      </c>
      <c r="P44" s="438"/>
      <c r="Q44" s="439"/>
      <c r="R44" s="443"/>
      <c r="S44" s="444"/>
      <c r="T44" s="412"/>
      <c r="U44" s="381">
        <f ca="1">SUM(W9:W24)</f>
        <v>45601.919999999925</v>
      </c>
      <c r="V44" s="382"/>
      <c r="W44" s="383"/>
      <c r="X44" s="381">
        <f ca="1">SUM(Z9:Z24)</f>
        <v>70741.440000001341</v>
      </c>
      <c r="Y44" s="382"/>
      <c r="Z44" s="383"/>
      <c r="AA44" s="381">
        <f ca="1">SUM(AC9:AC24)</f>
        <v>107573.76000000164</v>
      </c>
      <c r="AB44" s="382"/>
      <c r="AC44" s="383"/>
      <c r="AD44" s="381">
        <f ca="1">SUM(AF9:AF24)</f>
        <v>75857.040000002831</v>
      </c>
      <c r="AE44" s="382"/>
      <c r="AF44" s="383"/>
      <c r="AG44" s="381">
        <f ca="1">SUM(AI9:AI24)</f>
        <v>127743.83999999985</v>
      </c>
      <c r="AH44" s="382"/>
      <c r="AI44" s="383"/>
      <c r="AJ44" s="381">
        <f ca="1">SUM(AL9:AL24)</f>
        <v>89060.160000003874</v>
      </c>
      <c r="AK44" s="382"/>
      <c r="AL44" s="383"/>
      <c r="AM44" s="381">
        <f ca="1">SUM(AO9:AO24)</f>
        <v>67672.080000001937</v>
      </c>
      <c r="AN44" s="382"/>
      <c r="AO44" s="383"/>
      <c r="AP44" s="381">
        <f ca="1">SUM(AR9:AR24)</f>
        <v>71618.400000000373</v>
      </c>
      <c r="AQ44" s="382"/>
      <c r="AR44" s="383"/>
      <c r="AS44" s="381">
        <f ca="1">SUM(AU9:AU24)</f>
        <v>48720</v>
      </c>
      <c r="AT44" s="382"/>
      <c r="AU44" s="383"/>
      <c r="AV44" s="381">
        <f ca="1">SUM(AX9:AX24)</f>
        <v>90570.480000000447</v>
      </c>
      <c r="AW44" s="382"/>
      <c r="AX44" s="382"/>
      <c r="AY44" s="387"/>
      <c r="AZ44" s="382">
        <f ca="1">SUM(BB9:BB24)</f>
        <v>517900</v>
      </c>
      <c r="BA44" s="382"/>
      <c r="BB44" s="382"/>
      <c r="BC44" s="381">
        <f ca="1">SUM(BE9:BE24)</f>
        <v>343600</v>
      </c>
      <c r="BD44" s="382"/>
      <c r="BE44" s="382"/>
      <c r="BF44" s="377">
        <f ca="1">SUM(BH9:BH24)</f>
        <v>639200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 ca="1">SUM(CM9:CM24)</f>
        <v>1103</v>
      </c>
      <c r="CL44" s="377"/>
      <c r="CM44" s="377"/>
      <c r="CN44" s="377">
        <f ca="1">SUM(CP9:CP24)</f>
        <v>1204</v>
      </c>
      <c r="CO44" s="377"/>
      <c r="CP44" s="377"/>
      <c r="CQ44" s="377">
        <f ca="1"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 ca="1">SUM(D9:D24)</f>
        <v>12544</v>
      </c>
      <c r="D45" s="595"/>
      <c r="E45" s="596"/>
      <c r="F45" s="595">
        <f ca="1">SUM(G9:G24)</f>
        <v>6895</v>
      </c>
      <c r="G45" s="595"/>
      <c r="H45" s="596"/>
      <c r="I45" s="597"/>
      <c r="J45" s="597"/>
      <c r="K45" s="597"/>
      <c r="L45" s="597"/>
      <c r="M45" s="597"/>
      <c r="N45" s="597"/>
      <c r="O45" s="595">
        <f ca="1">SUM(P9:P24)</f>
        <v>3157</v>
      </c>
      <c r="P45" s="595"/>
      <c r="Q45" s="596"/>
      <c r="R45" s="598"/>
      <c r="S45" s="599"/>
      <c r="T45" s="413"/>
      <c r="U45" s="366">
        <f ca="1">SUM(V9:V24)</f>
        <v>45601.919999999925</v>
      </c>
      <c r="V45" s="366"/>
      <c r="W45" s="367"/>
      <c r="X45" s="366">
        <f ca="1">SUM(Y9:Y24)</f>
        <v>70741.440000001341</v>
      </c>
      <c r="Y45" s="366"/>
      <c r="Z45" s="367"/>
      <c r="AA45" s="366">
        <f ca="1">SUM(AB9:AB24)</f>
        <v>107573.76000000164</v>
      </c>
      <c r="AB45" s="366"/>
      <c r="AC45" s="367"/>
      <c r="AD45" s="366">
        <f ca="1">SUM(AE9:AE24)</f>
        <v>75857.040000002831</v>
      </c>
      <c r="AE45" s="366"/>
      <c r="AF45" s="367"/>
      <c r="AG45" s="366">
        <f ca="1">SUM(AH9:AH24)</f>
        <v>127743.83999999985</v>
      </c>
      <c r="AH45" s="366"/>
      <c r="AI45" s="367"/>
      <c r="AJ45" s="366">
        <f ca="1">SUM(AK9:AK24)</f>
        <v>89060.160000003874</v>
      </c>
      <c r="AK45" s="366"/>
      <c r="AL45" s="367"/>
      <c r="AM45" s="366">
        <f ca="1">SUM(AN9:AN24)</f>
        <v>67672.080000001937</v>
      </c>
      <c r="AN45" s="366"/>
      <c r="AO45" s="367"/>
      <c r="AP45" s="366">
        <f ca="1">SUM(AQ9:AQ24)</f>
        <v>71618.400000000373</v>
      </c>
      <c r="AQ45" s="366"/>
      <c r="AR45" s="367"/>
      <c r="AS45" s="366">
        <f ca="1">SUM(AT9:AT24)</f>
        <v>48720</v>
      </c>
      <c r="AT45" s="366"/>
      <c r="AU45" s="367"/>
      <c r="AV45" s="366">
        <f ca="1">SUM(AW9:AW24)</f>
        <v>90570.480000000447</v>
      </c>
      <c r="AW45" s="366"/>
      <c r="AX45" s="366"/>
      <c r="AY45" s="387"/>
      <c r="AZ45" s="367">
        <f ca="1">SUM(BA9:BA24)</f>
        <v>517900</v>
      </c>
      <c r="BA45" s="377"/>
      <c r="BB45" s="377"/>
      <c r="BC45" s="377">
        <f ca="1">SUM(BD9:BD24)</f>
        <v>343600</v>
      </c>
      <c r="BD45" s="377"/>
      <c r="BE45" s="377"/>
      <c r="BF45" s="377">
        <f ca="1">SUM(BG9:BG24)</f>
        <v>639200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 ca="1">SUM(CL9:CL24)</f>
        <v>1103</v>
      </c>
      <c r="CL45" s="377"/>
      <c r="CM45" s="377"/>
      <c r="CN45" s="377">
        <f ca="1">SUM(CO9:CO24)</f>
        <v>1204</v>
      </c>
      <c r="CO45" s="377"/>
      <c r="CP45" s="377"/>
      <c r="CQ45" s="377">
        <f ca="1"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 ca="1">AZ44-AZ45</f>
        <v>0</v>
      </c>
      <c r="BA46" s="407"/>
      <c r="BB46" s="407"/>
      <c r="BC46" s="406">
        <f ca="1">BC45-BC44</f>
        <v>0</v>
      </c>
      <c r="BD46" s="407"/>
      <c r="BE46" s="407"/>
      <c r="BF46" s="406">
        <f ca="1"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 ca="1">SUM(E9:E39)</f>
        <v>20760</v>
      </c>
      <c r="D47" s="363"/>
      <c r="E47" s="364"/>
      <c r="F47" s="362">
        <f ca="1"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 ca="1">SUM(Q9:Q39)</f>
        <v>6142.3400000000038</v>
      </c>
      <c r="P47" s="368"/>
      <c r="Q47" s="368"/>
      <c r="R47" s="362">
        <v>476</v>
      </c>
      <c r="S47" s="363"/>
      <c r="T47" s="369"/>
      <c r="U47" s="365">
        <f ca="1">SUM(W9:W39)</f>
        <v>-7964940.4799999995</v>
      </c>
      <c r="V47" s="366"/>
      <c r="W47" s="367"/>
      <c r="X47" s="365">
        <f ca="1">SUM(Z9:Z39)</f>
        <v>-15154258.559999999</v>
      </c>
      <c r="Y47" s="366"/>
      <c r="Z47" s="367"/>
      <c r="AA47" s="365">
        <f ca="1">SUM(AC9:AC39)</f>
        <v>-15418467.119999999</v>
      </c>
      <c r="AB47" s="366"/>
      <c r="AC47" s="367"/>
      <c r="AD47" s="365">
        <f ca="1">SUM(AF9:AF39)</f>
        <v>-18468095.52</v>
      </c>
      <c r="AE47" s="366"/>
      <c r="AF47" s="367"/>
      <c r="AG47" s="365">
        <f ca="1">SUM(AI9:AI39)</f>
        <v>-18698151.359999999</v>
      </c>
      <c r="AH47" s="366"/>
      <c r="AI47" s="367"/>
      <c r="AJ47" s="365">
        <f ca="1">SUM(AL9:AL39)</f>
        <v>-17163422.639999997</v>
      </c>
      <c r="AK47" s="366"/>
      <c r="AL47" s="367"/>
      <c r="AM47" s="365">
        <f ca="1">SUM(AO9:AO39)</f>
        <v>-14474224.799999999</v>
      </c>
      <c r="AN47" s="366"/>
      <c r="AO47" s="367"/>
      <c r="AP47" s="365">
        <f ca="1">SUM(AR9:AR39)</f>
        <v>-13983955.439999999</v>
      </c>
      <c r="AQ47" s="366"/>
      <c r="AR47" s="367"/>
      <c r="AS47" s="365">
        <f ca="1">SUM(AU9:AU39)</f>
        <v>-10964777.040000001</v>
      </c>
      <c r="AT47" s="366"/>
      <c r="AU47" s="367"/>
      <c r="AV47" s="365">
        <f ca="1"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 ca="1">SUM(CM9:CM39)</f>
        <v>-262903</v>
      </c>
      <c r="CL47" s="366"/>
      <c r="CM47" s="367"/>
      <c r="CN47" s="365">
        <f ca="1">SUM(CP9:CP39)</f>
        <v>-208474</v>
      </c>
      <c r="CO47" s="366"/>
      <c r="CP47" s="367"/>
      <c r="CQ47" s="365">
        <f ca="1"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 ca="1">SUM(D10:D39)</f>
        <v>-250435</v>
      </c>
      <c r="D48" s="363"/>
      <c r="E48" s="364"/>
      <c r="F48" s="362">
        <f ca="1">SUM(G9:G39)</f>
        <v>-209695</v>
      </c>
      <c r="G48" s="363"/>
      <c r="H48" s="364"/>
      <c r="I48" s="362">
        <f ca="1">SUM(J10:J39)</f>
        <v>0</v>
      </c>
      <c r="J48" s="364"/>
      <c r="K48" s="362">
        <f ca="1">SUM(L9:L39)</f>
        <v>-901152</v>
      </c>
      <c r="L48" s="364"/>
      <c r="M48" s="362"/>
      <c r="N48" s="364"/>
      <c r="O48" s="362">
        <f ca="1">SUM(P9:P39)</f>
        <v>-104106</v>
      </c>
      <c r="P48" s="363"/>
      <c r="Q48" s="364"/>
      <c r="R48" s="362">
        <f ca="1">SUM(S9:S39)</f>
        <v>-5473</v>
      </c>
      <c r="S48" s="363"/>
      <c r="T48" s="369"/>
      <c r="U48" s="370">
        <f ca="1">SUM(V9:V39)</f>
        <v>-7964940.4799999995</v>
      </c>
      <c r="V48" s="371"/>
      <c r="W48" s="372"/>
      <c r="X48" s="370">
        <f ca="1">SUM(Y9:Y39)</f>
        <v>-15154258.559999999</v>
      </c>
      <c r="Y48" s="371"/>
      <c r="Z48" s="372"/>
      <c r="AA48" s="359">
        <f ca="1">SUM(AB9:AB39)</f>
        <v>-15418467.119999999</v>
      </c>
      <c r="AB48" s="360"/>
      <c r="AC48" s="361"/>
      <c r="AD48" s="359">
        <f ca="1">SUM(AE9:AE39)</f>
        <v>-18468095.52</v>
      </c>
      <c r="AE48" s="360"/>
      <c r="AF48" s="361"/>
      <c r="AG48" s="359">
        <f ca="1">SUM(AH9:AH39)</f>
        <v>-18698151.359999999</v>
      </c>
      <c r="AH48" s="360"/>
      <c r="AI48" s="361"/>
      <c r="AJ48" s="359">
        <f ca="1">SUM(AK9:AK39)</f>
        <v>-17163422.639999997</v>
      </c>
      <c r="AK48" s="360"/>
      <c r="AL48" s="361"/>
      <c r="AM48" s="359">
        <f ca="1">SUM(AN9:AN39)</f>
        <v>-14474224.799999999</v>
      </c>
      <c r="AN48" s="360"/>
      <c r="AO48" s="361"/>
      <c r="AP48" s="359">
        <f ca="1">SUM(AQ9:AQ39)</f>
        <v>-13983955.439999999</v>
      </c>
      <c r="AQ48" s="360"/>
      <c r="AR48" s="361"/>
      <c r="AS48" s="359">
        <f ca="1">SUM(AT9:AT39)</f>
        <v>-10964777.040000001</v>
      </c>
      <c r="AT48" s="360"/>
      <c r="AU48" s="361"/>
      <c r="AV48" s="359">
        <f ca="1">SUM(AW9:AW39)</f>
        <v>-17294138.399999999</v>
      </c>
      <c r="AW48" s="360"/>
      <c r="AX48" s="360"/>
      <c r="AY48" s="387"/>
      <c r="AZ48" s="350">
        <f ca="1">SUM(BA9:BA40)</f>
        <v>-76246300</v>
      </c>
      <c r="BA48" s="350"/>
      <c r="BB48" s="351"/>
      <c r="BC48" s="350">
        <f t="shared" ref="BC48" ca="1" si="0">SUM(BD9:BD40)</f>
        <v>-78795900</v>
      </c>
      <c r="BD48" s="350"/>
      <c r="BE48" s="351"/>
      <c r="BF48" s="350">
        <f t="shared" ref="BF48" ca="1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 ca="1">SUM(BT9:BT39)</f>
        <v>-9666570</v>
      </c>
      <c r="BT48" s="602"/>
      <c r="BU48" s="394"/>
      <c r="BV48" s="606"/>
      <c r="BW48" s="607"/>
      <c r="BX48" s="117"/>
      <c r="BY48" s="347">
        <f ca="1">SUM(BZ9:BZ39)</f>
        <v>-62854</v>
      </c>
      <c r="BZ48" s="348"/>
      <c r="CA48" s="347">
        <f ca="1">SUM(CB9:CB39)</f>
        <v>-54074</v>
      </c>
      <c r="CB48" s="348"/>
      <c r="CC48" s="347">
        <f ca="1">SUM(CD9:CD39)</f>
        <v>-18304</v>
      </c>
      <c r="CD48" s="348"/>
      <c r="CE48" s="347">
        <f ca="1">SUM(CF9:CF39)</f>
        <v>-24871</v>
      </c>
      <c r="CF48" s="348"/>
      <c r="CG48" s="347">
        <f ca="1">SUM(CH9:CH39)</f>
        <v>-27478</v>
      </c>
      <c r="CH48" s="348"/>
      <c r="CI48" s="347">
        <f ca="1">SUM(CJ9:CJ39)</f>
        <v>-60101</v>
      </c>
      <c r="CJ48" s="348"/>
      <c r="CK48" s="347">
        <f ca="1">SUM(CL9:CL39)</f>
        <v>-262903</v>
      </c>
      <c r="CL48" s="349"/>
      <c r="CM48" s="348"/>
      <c r="CN48" s="347">
        <f ca="1">SUM(CO9:CO39)</f>
        <v>-208474</v>
      </c>
      <c r="CO48" s="349"/>
      <c r="CP48" s="348"/>
      <c r="CQ48" s="347">
        <f ca="1">SUM(CR9:CR39)</f>
        <v>-349824</v>
      </c>
      <c r="CR48" s="349"/>
      <c r="CS48" s="348"/>
      <c r="CT48" s="347">
        <f ca="1"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 ca="1">C47-C48</f>
        <v>271195</v>
      </c>
      <c r="D49" s="343"/>
      <c r="E49" s="358"/>
      <c r="F49" s="342">
        <f ca="1">F47-F48</f>
        <v>221123</v>
      </c>
      <c r="G49" s="343"/>
      <c r="H49" s="358"/>
      <c r="I49" s="342">
        <f ca="1">I47-I48</f>
        <v>7048.9</v>
      </c>
      <c r="J49" s="358"/>
      <c r="K49" s="342">
        <f ca="1">K47-K48</f>
        <v>908854.2</v>
      </c>
      <c r="L49" s="358"/>
      <c r="M49" s="342"/>
      <c r="N49" s="358"/>
      <c r="O49" s="373">
        <f ca="1">O47-O48</f>
        <v>110248.34</v>
      </c>
      <c r="P49" s="373"/>
      <c r="Q49" s="373"/>
      <c r="R49" s="342">
        <f ca="1">R47-R48</f>
        <v>5949</v>
      </c>
      <c r="S49" s="343"/>
      <c r="T49" s="369"/>
      <c r="U49" s="344">
        <f ca="1">U48-U47</f>
        <v>0</v>
      </c>
      <c r="V49" s="345"/>
      <c r="W49" s="346"/>
      <c r="X49" s="344">
        <f ca="1">X47-X48</f>
        <v>0</v>
      </c>
      <c r="Y49" s="345"/>
      <c r="Z49" s="346"/>
      <c r="AA49" s="344">
        <f ca="1">AA47-AA48</f>
        <v>0</v>
      </c>
      <c r="AB49" s="345"/>
      <c r="AC49" s="346"/>
      <c r="AD49" s="344">
        <f ca="1">AD47-AD48</f>
        <v>0</v>
      </c>
      <c r="AE49" s="345"/>
      <c r="AF49" s="346"/>
      <c r="AG49" s="344">
        <f ca="1">AG47-AG48</f>
        <v>0</v>
      </c>
      <c r="AH49" s="345"/>
      <c r="AI49" s="346"/>
      <c r="AJ49" s="344">
        <f ca="1">AJ47-AJ48</f>
        <v>0</v>
      </c>
      <c r="AK49" s="345"/>
      <c r="AL49" s="346"/>
      <c r="AM49" s="344">
        <f ca="1">AM47-AM48</f>
        <v>0</v>
      </c>
      <c r="AN49" s="345"/>
      <c r="AO49" s="346"/>
      <c r="AP49" s="344">
        <f ca="1">AP47-AP48</f>
        <v>0</v>
      </c>
      <c r="AQ49" s="345"/>
      <c r="AR49" s="346"/>
      <c r="AS49" s="344">
        <f ca="1">AS47-AS48</f>
        <v>0</v>
      </c>
      <c r="AT49" s="345"/>
      <c r="AU49" s="346"/>
      <c r="AV49" s="344">
        <f ca="1">AV47-AV48</f>
        <v>0</v>
      </c>
      <c r="AW49" s="345"/>
      <c r="AX49" s="345"/>
      <c r="AY49" s="387"/>
      <c r="AZ49" s="350">
        <f ca="1">AZ48-AZ47</f>
        <v>-76593600</v>
      </c>
      <c r="BA49" s="350"/>
      <c r="BB49" s="351"/>
      <c r="BC49" s="350">
        <f t="shared" ref="BC49" ca="1" si="2">BC48-BC47</f>
        <v>-79157000</v>
      </c>
      <c r="BD49" s="350"/>
      <c r="BE49" s="351"/>
      <c r="BF49" s="350">
        <f t="shared" ref="BF49" ca="1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 ca="1">CK47-CK48</f>
        <v>0</v>
      </c>
      <c r="CL49" s="356"/>
      <c r="CM49" s="357"/>
      <c r="CN49" s="355">
        <f ca="1">CN47-CN48</f>
        <v>0</v>
      </c>
      <c r="CO49" s="356"/>
      <c r="CP49" s="357"/>
      <c r="CQ49" s="355">
        <f ca="1">CQ47-CQ48</f>
        <v>0</v>
      </c>
      <c r="CR49" s="356"/>
      <c r="CS49" s="357"/>
      <c r="CT49" s="609">
        <f ca="1"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 ca="1"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 ca="1"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 ca="1"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 ca="1">SUM(U44:AX44)</f>
        <v>795159.12000001222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 ca="1">SUM(U45:AX45)</f>
        <v>795159.12000001222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 ca="1">AA51-AM51</f>
        <v>0</v>
      </c>
      <c r="AW51" s="338"/>
      <c r="AX51" s="339"/>
      <c r="AY51" s="387"/>
      <c r="AZ51" s="311">
        <f ca="1">SUM(AZ47,BC47,BF47)</f>
        <v>1267242</v>
      </c>
      <c r="BA51" s="312"/>
      <c r="BB51" s="340"/>
      <c r="BC51" s="311">
        <f ca="1"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2022-10-23T15:51:45Z</dcterms:modified>
</cp:coreProperties>
</file>