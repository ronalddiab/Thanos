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E30" i="1"/>
  <c r="G30" i="1"/>
  <c r="I30" i="1"/>
  <c r="K30" i="1"/>
  <c r="B31" i="1"/>
  <c r="B32" i="1" s="1"/>
  <c r="E31" i="1"/>
  <c r="G31" i="1"/>
  <c r="I31" i="1"/>
  <c r="K31" i="1"/>
  <c r="E32" i="1"/>
  <c r="G32" i="1"/>
  <c r="I32" i="1"/>
  <c r="K32" i="1"/>
  <c r="B30" i="2"/>
  <c r="E30" i="2"/>
  <c r="F30" i="2"/>
  <c r="G30" i="2"/>
  <c r="H30" i="2"/>
  <c r="I30" i="2"/>
  <c r="J30" i="2"/>
  <c r="K30" i="2"/>
  <c r="B31" i="2"/>
  <c r="E31" i="2"/>
  <c r="F31" i="2"/>
  <c r="G31" i="2"/>
  <c r="H31" i="2"/>
  <c r="I31" i="2"/>
  <c r="J31" i="2"/>
  <c r="K31" i="2"/>
  <c r="B32" i="2"/>
  <c r="E32" i="2"/>
  <c r="F32" i="2"/>
  <c r="G32" i="2"/>
  <c r="H32" i="2"/>
  <c r="I32" i="2"/>
  <c r="J32" i="2"/>
  <c r="K32" i="2"/>
  <c r="K40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9" i="3"/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Q37" i="3"/>
  <c r="I37" i="3"/>
  <c r="I38" i="3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K27" i="2"/>
  <c r="K28" i="2"/>
  <c r="K29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E9" i="1"/>
  <c r="E5" i="1"/>
  <c r="V36" i="3"/>
  <c r="I30" i="3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E28" i="1"/>
  <c r="I35" i="3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J24" i="2"/>
  <c r="I24" i="1" s="1"/>
  <c r="J8" i="2"/>
  <c r="I8" i="1" s="1"/>
  <c r="J4" i="2"/>
  <c r="I4" i="1" s="1"/>
  <c r="I33" i="3"/>
  <c r="E29" i="1"/>
  <c r="I36" i="3"/>
  <c r="G12" i="1"/>
  <c r="G16" i="1"/>
  <c r="Q24" i="3"/>
  <c r="G20" i="1"/>
  <c r="Q28" i="3"/>
  <c r="E27" i="1"/>
  <c r="I34" i="3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E20" i="1"/>
  <c r="E16" i="1"/>
  <c r="E12" i="1"/>
  <c r="E19" i="1"/>
  <c r="E15" i="1"/>
  <c r="E22" i="1"/>
  <c r="E14" i="1"/>
  <c r="E18" i="1"/>
  <c r="I28" i="3"/>
  <c r="I24" i="3"/>
  <c r="I20" i="3"/>
  <c r="E21" i="1"/>
  <c r="E17" i="2"/>
  <c r="E17" i="1" s="1"/>
  <c r="E13" i="2"/>
  <c r="E13" i="1" s="1"/>
  <c r="Q14" i="3"/>
  <c r="Q18" i="3"/>
  <c r="I16" i="3"/>
  <c r="I12" i="3"/>
  <c r="I13" i="3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I15" i="3"/>
  <c r="I11" i="3"/>
  <c r="I26" i="3"/>
  <c r="I22" i="3"/>
  <c r="I18" i="3"/>
  <c r="I14" i="3"/>
  <c r="I25" i="3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R17" i="3"/>
  <c r="I23" i="3"/>
  <c r="Q6" i="3"/>
  <c r="R6" i="3" s="1"/>
  <c r="I19" i="3"/>
  <c r="R19" i="3"/>
  <c r="I21" i="3"/>
  <c r="R21" i="3"/>
  <c r="R9" i="3"/>
  <c r="G2" i="1" l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<sst xmlns="http://schemas.openxmlformats.org/spreadsheetml/2006/main" count="310" uniqueCount="123">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</sst>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4" workbookViewId="0">
      <selection activeCell="K32" sqref="K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5</v>
      </c>
      <c r="D2" s="6">
        <v>2022</v>
      </c>
      <c r="E2" s="8">
        <f>Submetring!E2+Submetring!F2+Submetring!G2</f>
        <v>9521</v>
      </c>
      <c r="F2" s="6">
        <v>0.25700000000000001</v>
      </c>
      <c r="G2" s="8">
        <f>Submetring!H2+Submetring!I2</f>
        <v>1942</v>
      </c>
      <c r="H2" s="6">
        <v>0.56711199999999995</v>
      </c>
      <c r="I2" s="8">
        <f>Submetring!J2</f>
        <v>175</v>
      </c>
      <c r="J2" s="6">
        <v>3.03</v>
      </c>
      <c r="K2" s="8">
        <f>Hotel!Y9</f>
        <v>73</v>
      </c>
    </row>
    <row r="3" spans="1:11" x14ac:dyDescent="0.25">
      <c r="A3" s="6" t="s">
        <v>11</v>
      </c>
      <c r="B3" s="9">
        <f>B2+1</f>
        <v>2</v>
      </c>
      <c r="C3" s="7">
        <v>5</v>
      </c>
      <c r="D3" s="6">
        <v>2022</v>
      </c>
      <c r="E3" s="8">
        <f>Submetring!E3+Submetring!F3+Submetring!G3</f>
        <v>9220</v>
      </c>
      <c r="F3" s="6">
        <v>0.25700000000000001</v>
      </c>
      <c r="G3" s="8">
        <f>Submetring!H3+Submetring!I3</f>
        <v>1812</v>
      </c>
      <c r="H3" s="6">
        <v>0.56711199999999995</v>
      </c>
      <c r="I3" s="8">
        <f>Submetring!J3</f>
        <v>172</v>
      </c>
      <c r="J3" s="6">
        <v>3.03</v>
      </c>
      <c r="K3" s="8">
        <f>Hotel!Y10</f>
        <v>77</v>
      </c>
    </row>
    <row r="4" spans="1:11" x14ac:dyDescent="0.25">
      <c r="A4" s="6" t="s">
        <v>11</v>
      </c>
      <c r="B4" s="9">
        <f t="shared" ref="B4:B32" si="0">B3+1</f>
        <v>3</v>
      </c>
      <c r="C4" s="7">
        <v>5</v>
      </c>
      <c r="D4" s="6">
        <v>2022</v>
      </c>
      <c r="E4" s="8">
        <f>Submetring!E4+Submetring!F4+Submetring!G4</f>
        <v>9155</v>
      </c>
      <c r="F4" s="6">
        <v>0.25700000000000001</v>
      </c>
      <c r="G4" s="8">
        <f>Submetring!H4+Submetring!I4</f>
        <v>1718</v>
      </c>
      <c r="H4" s="6">
        <v>0.56711199999999995</v>
      </c>
      <c r="I4" s="8">
        <f>Submetring!J4</f>
        <v>190</v>
      </c>
      <c r="J4" s="6">
        <v>3.03</v>
      </c>
      <c r="K4" s="8">
        <f>Hotel!Y11</f>
        <v>82</v>
      </c>
    </row>
    <row r="5" spans="1:11" x14ac:dyDescent="0.25">
      <c r="A5" s="6" t="s">
        <v>11</v>
      </c>
      <c r="B5" s="9">
        <f t="shared" si="0"/>
        <v>4</v>
      </c>
      <c r="C5" s="7">
        <v>5</v>
      </c>
      <c r="D5" s="6">
        <v>2022</v>
      </c>
      <c r="E5" s="8">
        <f>Submetring!E5+Submetring!F5+Submetring!G5</f>
        <v>9055</v>
      </c>
      <c r="F5" s="6">
        <v>0.25700000000000001</v>
      </c>
      <c r="G5" s="8">
        <f>Submetring!H5+Submetring!I5</f>
        <v>1720</v>
      </c>
      <c r="H5" s="6">
        <v>0.56711199999999995</v>
      </c>
      <c r="I5" s="8">
        <f>Submetring!J5</f>
        <v>202</v>
      </c>
      <c r="J5" s="6">
        <v>3.03</v>
      </c>
      <c r="K5" s="8">
        <f>Hotel!Y12</f>
        <v>126</v>
      </c>
    </row>
    <row r="6" spans="1:11" x14ac:dyDescent="0.25">
      <c r="A6" s="6" t="s">
        <v>11</v>
      </c>
      <c r="B6" s="9">
        <f t="shared" si="0"/>
        <v>5</v>
      </c>
      <c r="C6" s="7">
        <v>5</v>
      </c>
      <c r="D6" s="6">
        <v>2022</v>
      </c>
      <c r="E6" s="8">
        <f>Submetring!E6+Submetring!F6+Submetring!G6</f>
        <v>9605</v>
      </c>
      <c r="F6" s="6">
        <v>0.25700000000000001</v>
      </c>
      <c r="G6" s="8">
        <f>Submetring!H6+Submetring!I6</f>
        <v>1596</v>
      </c>
      <c r="H6" s="6">
        <v>0.56711199999999995</v>
      </c>
      <c r="I6" s="8">
        <f>Submetring!J6</f>
        <v>244</v>
      </c>
      <c r="J6" s="6">
        <v>3.03</v>
      </c>
      <c r="K6" s="8">
        <f>Hotel!Y13</f>
        <v>143</v>
      </c>
    </row>
    <row r="7" spans="1:11" x14ac:dyDescent="0.25">
      <c r="A7" s="6" t="s">
        <v>11</v>
      </c>
      <c r="B7" s="9">
        <f t="shared" si="0"/>
        <v>6</v>
      </c>
      <c r="C7" s="7">
        <v>5</v>
      </c>
      <c r="D7" s="6">
        <v>2022</v>
      </c>
      <c r="E7" s="8">
        <f>Submetring!E7+Submetring!F7+Submetring!G7</f>
        <v>10923</v>
      </c>
      <c r="F7" s="6">
        <v>0.25700000000000001</v>
      </c>
      <c r="G7" s="8">
        <f>Submetring!H7+Submetring!I7</f>
        <v>1614</v>
      </c>
      <c r="H7" s="6">
        <v>0.56711199999999995</v>
      </c>
      <c r="I7" s="8">
        <f>Submetring!J7</f>
        <v>330</v>
      </c>
      <c r="J7" s="6">
        <v>3.03</v>
      </c>
      <c r="K7" s="8">
        <f>Hotel!Y14</f>
        <v>167</v>
      </c>
    </row>
    <row r="8" spans="1:11" x14ac:dyDescent="0.25">
      <c r="A8" s="6" t="s">
        <v>11</v>
      </c>
      <c r="B8" s="9">
        <f t="shared" si="0"/>
        <v>7</v>
      </c>
      <c r="C8" s="7">
        <v>5</v>
      </c>
      <c r="D8" s="6">
        <v>2022</v>
      </c>
      <c r="E8" s="8">
        <f>Submetring!E8+Submetring!F8+Submetring!G8</f>
        <v>10431</v>
      </c>
      <c r="F8" s="6">
        <v>0.25700000000000001</v>
      </c>
      <c r="G8" s="8">
        <f>Submetring!H8+Submetring!I8</f>
        <v>1775</v>
      </c>
      <c r="H8" s="6">
        <v>0.56711199999999995</v>
      </c>
      <c r="I8" s="8">
        <f>Submetring!J8</f>
        <v>335</v>
      </c>
      <c r="J8" s="6">
        <v>3.03</v>
      </c>
      <c r="K8" s="8">
        <f>Hotel!Y15</f>
        <v>176</v>
      </c>
    </row>
    <row r="9" spans="1:11" x14ac:dyDescent="0.25">
      <c r="A9" s="6" t="s">
        <v>11</v>
      </c>
      <c r="B9" s="9">
        <f t="shared" si="0"/>
        <v>8</v>
      </c>
      <c r="C9" s="7">
        <v>5</v>
      </c>
      <c r="D9" s="6">
        <v>2022</v>
      </c>
      <c r="E9" s="8">
        <f>Submetring!E9+Submetring!F9+Submetring!G9</f>
        <v>10610</v>
      </c>
      <c r="F9" s="6">
        <v>0.25700000000000001</v>
      </c>
      <c r="G9" s="8">
        <f>Submetring!H9+Submetring!I9</f>
        <v>1964</v>
      </c>
      <c r="H9" s="6">
        <v>0.56711199999999995</v>
      </c>
      <c r="I9" s="8">
        <f>Submetring!J9</f>
        <v>218</v>
      </c>
      <c r="J9" s="6">
        <v>3.03</v>
      </c>
      <c r="K9" s="8">
        <f>Hotel!Y16</f>
        <v>148</v>
      </c>
    </row>
    <row r="10" spans="1:11" x14ac:dyDescent="0.25">
      <c r="A10" s="6" t="s">
        <v>11</v>
      </c>
      <c r="B10" s="9">
        <f t="shared" si="0"/>
        <v>9</v>
      </c>
      <c r="C10" s="7">
        <v>5</v>
      </c>
      <c r="D10" s="6">
        <v>2022</v>
      </c>
      <c r="E10" s="8">
        <f>Submetring!E10+Submetring!F10+Submetring!G10</f>
        <v>10416</v>
      </c>
      <c r="F10" s="6">
        <v>0.25700000000000001</v>
      </c>
      <c r="G10" s="8">
        <f>Submetring!H10+Submetring!I10</f>
        <v>1768</v>
      </c>
      <c r="H10" s="6">
        <v>0.56711199999999995</v>
      </c>
      <c r="I10" s="8">
        <f>Submetring!J10</f>
        <v>243</v>
      </c>
      <c r="J10" s="6">
        <v>3.03</v>
      </c>
      <c r="K10" s="8">
        <f>Hotel!Y17</f>
        <v>135</v>
      </c>
    </row>
    <row r="11" spans="1:11" x14ac:dyDescent="0.25">
      <c r="A11" s="6" t="s">
        <v>11</v>
      </c>
      <c r="B11" s="9">
        <f t="shared" si="0"/>
        <v>10</v>
      </c>
      <c r="C11" s="7">
        <v>5</v>
      </c>
      <c r="D11" s="6">
        <v>2022</v>
      </c>
      <c r="E11" s="8">
        <f>Submetring!E11+Submetring!F11+Submetring!G11</f>
        <v>10344</v>
      </c>
      <c r="F11" s="6">
        <v>0.25700000000000001</v>
      </c>
      <c r="G11" s="8">
        <f>Submetring!H11+Submetring!I11</f>
        <v>1748</v>
      </c>
      <c r="H11" s="6">
        <v>0.56711199999999995</v>
      </c>
      <c r="I11" s="8">
        <f>Submetring!J11</f>
        <v>211</v>
      </c>
      <c r="J11" s="6">
        <v>3.03</v>
      </c>
      <c r="K11" s="8">
        <f>Hotel!Y18</f>
        <v>146</v>
      </c>
    </row>
    <row r="12" spans="1:11" x14ac:dyDescent="0.25">
      <c r="A12" s="6" t="s">
        <v>11</v>
      </c>
      <c r="B12" s="9">
        <f t="shared" si="0"/>
        <v>11</v>
      </c>
      <c r="C12" s="7">
        <v>5</v>
      </c>
      <c r="D12" s="6">
        <v>2022</v>
      </c>
      <c r="E12" s="8">
        <f>Submetring!E12+Submetring!F12+Submetring!G12</f>
        <v>10511</v>
      </c>
      <c r="F12" s="6">
        <v>0.25700000000000001</v>
      </c>
      <c r="G12" s="8">
        <f>Submetring!H12+Submetring!I12</f>
        <v>1730</v>
      </c>
      <c r="H12" s="6">
        <v>0.56711199999999995</v>
      </c>
      <c r="I12" s="8">
        <f>Submetring!J12</f>
        <v>353</v>
      </c>
      <c r="J12" s="6">
        <v>3.03</v>
      </c>
      <c r="K12" s="8">
        <f>Hotel!Y19</f>
        <v>151</v>
      </c>
    </row>
    <row r="13" spans="1:11" x14ac:dyDescent="0.25">
      <c r="A13" s="6" t="s">
        <v>11</v>
      </c>
      <c r="B13" s="9">
        <f t="shared" si="0"/>
        <v>12</v>
      </c>
      <c r="C13" s="7">
        <v>5</v>
      </c>
      <c r="D13" s="6">
        <v>2022</v>
      </c>
      <c r="E13" s="8">
        <f>Submetring!E13+Submetring!F13+Submetring!G13</f>
        <v>10799</v>
      </c>
      <c r="F13" s="6">
        <v>0.25700000000000001</v>
      </c>
      <c r="G13" s="8">
        <f>Submetring!H13+Submetring!I13</f>
        <v>1989</v>
      </c>
      <c r="H13" s="6">
        <v>0.56711199999999995</v>
      </c>
      <c r="I13" s="8">
        <f>Submetring!J13</f>
        <v>336</v>
      </c>
      <c r="J13" s="6">
        <v>3.03</v>
      </c>
      <c r="K13" s="8">
        <f>Hotel!Y20</f>
        <v>165</v>
      </c>
    </row>
    <row r="14" spans="1:11" x14ac:dyDescent="0.25">
      <c r="A14" s="6" t="s">
        <v>11</v>
      </c>
      <c r="B14" s="9">
        <f t="shared" si="0"/>
        <v>13</v>
      </c>
      <c r="C14" s="7">
        <v>5</v>
      </c>
      <c r="D14" s="6">
        <v>2022</v>
      </c>
      <c r="E14" s="8">
        <f>Submetring!E14+Submetring!F14+Submetring!G14</f>
        <v>10981</v>
      </c>
      <c r="F14" s="6">
        <v>0.25700000000000001</v>
      </c>
      <c r="G14" s="8">
        <f>Submetring!H14+Submetring!I14</f>
        <v>1870</v>
      </c>
      <c r="H14" s="6">
        <v>0.56711199999999995</v>
      </c>
      <c r="I14" s="8">
        <f>Submetring!J14</f>
        <v>236</v>
      </c>
      <c r="J14" s="6">
        <v>3.03</v>
      </c>
      <c r="K14" s="8">
        <f>Hotel!Y21</f>
        <v>164</v>
      </c>
    </row>
    <row r="15" spans="1:11" x14ac:dyDescent="0.25">
      <c r="A15" s="6" t="s">
        <v>11</v>
      </c>
      <c r="B15" s="9">
        <f t="shared" si="0"/>
        <v>14</v>
      </c>
      <c r="C15" s="7">
        <v>5</v>
      </c>
      <c r="D15" s="6">
        <v>2022</v>
      </c>
      <c r="E15" s="8">
        <f>Submetring!E15+Submetring!F15+Submetring!G15</f>
        <v>11023</v>
      </c>
      <c r="F15" s="6">
        <v>0.25700000000000001</v>
      </c>
      <c r="G15" s="8">
        <f>Submetring!H15+Submetring!I15</f>
        <v>1562</v>
      </c>
      <c r="H15" s="6">
        <v>0.56711199999999995</v>
      </c>
      <c r="I15" s="8">
        <f>Submetring!J15</f>
        <v>331</v>
      </c>
      <c r="J15" s="6">
        <v>3.03</v>
      </c>
      <c r="K15" s="8">
        <f>Hotel!Y22</f>
        <v>153</v>
      </c>
    </row>
    <row r="16" spans="1:11" x14ac:dyDescent="0.25">
      <c r="A16" s="6" t="s">
        <v>11</v>
      </c>
      <c r="B16" s="9">
        <f t="shared" si="0"/>
        <v>15</v>
      </c>
      <c r="C16" s="7">
        <v>5</v>
      </c>
      <c r="D16" s="6">
        <v>2022</v>
      </c>
      <c r="E16" s="8">
        <f>Submetring!E16+Submetring!F16+Submetring!G16</f>
        <v>11449</v>
      </c>
      <c r="F16" s="6">
        <v>0.25700000000000001</v>
      </c>
      <c r="G16" s="8">
        <f>Submetring!H16+Submetring!I16</f>
        <v>1569</v>
      </c>
      <c r="H16" s="6">
        <v>0.56711199999999995</v>
      </c>
      <c r="I16" s="8">
        <f>Submetring!J16</f>
        <v>436</v>
      </c>
      <c r="J16" s="6">
        <v>3.03</v>
      </c>
      <c r="K16" s="8">
        <f>Hotel!Y23</f>
        <v>127</v>
      </c>
    </row>
    <row r="17" spans="1:11" x14ac:dyDescent="0.25">
      <c r="A17" s="6" t="s">
        <v>11</v>
      </c>
      <c r="B17" s="9">
        <f t="shared" si="0"/>
        <v>16</v>
      </c>
      <c r="C17" s="7">
        <v>5</v>
      </c>
      <c r="D17" s="6">
        <v>2022</v>
      </c>
      <c r="E17" s="8">
        <f>Submetring!E17+Submetring!F17+Submetring!G17</f>
        <v>10847</v>
      </c>
      <c r="F17" s="6">
        <v>0.25700000000000001</v>
      </c>
      <c r="G17" s="8">
        <f>Submetring!H17+Submetring!I17</f>
        <v>1167</v>
      </c>
      <c r="H17" s="6">
        <v>0.56711199999999995</v>
      </c>
      <c r="I17" s="8">
        <f>Submetring!J17</f>
        <v>313</v>
      </c>
      <c r="J17" s="6">
        <v>3.03</v>
      </c>
      <c r="K17" s="8">
        <f>Hotel!Y24</f>
        <v>117</v>
      </c>
    </row>
    <row r="18" spans="1:11" x14ac:dyDescent="0.25">
      <c r="A18" s="6" t="s">
        <v>11</v>
      </c>
      <c r="B18" s="9">
        <f t="shared" si="0"/>
        <v>17</v>
      </c>
      <c r="C18" s="7">
        <v>5</v>
      </c>
      <c r="D18" s="6">
        <v>2022</v>
      </c>
      <c r="E18" s="8">
        <f>Submetring!E18+Submetring!F18+Submetring!G18</f>
        <v>10657</v>
      </c>
      <c r="F18" s="6">
        <v>0.25700000000000001</v>
      </c>
      <c r="G18" s="8">
        <f>Submetring!H18+Submetring!I18</f>
        <v>1164</v>
      </c>
      <c r="H18" s="6">
        <v>0.56711199999999995</v>
      </c>
      <c r="I18" s="8">
        <f>Submetring!J18</f>
        <v>378</v>
      </c>
      <c r="J18" s="6">
        <v>3.03</v>
      </c>
      <c r="K18" s="8">
        <f>Hotel!Y25</f>
        <v>133</v>
      </c>
    </row>
    <row r="19" spans="1:11" x14ac:dyDescent="0.25">
      <c r="A19" s="6" t="s">
        <v>11</v>
      </c>
      <c r="B19" s="9">
        <f t="shared" si="0"/>
        <v>18</v>
      </c>
      <c r="C19" s="7">
        <v>5</v>
      </c>
      <c r="D19" s="6">
        <v>2022</v>
      </c>
      <c r="E19" s="8">
        <f>Submetring!E19+Submetring!F19+Submetring!G19</f>
        <v>10417</v>
      </c>
      <c r="F19" s="6">
        <v>0.25700000000000001</v>
      </c>
      <c r="G19" s="8">
        <f>Submetring!H19+Submetring!I19</f>
        <v>1022</v>
      </c>
      <c r="H19" s="6">
        <v>0.56711199999999995</v>
      </c>
      <c r="I19" s="8">
        <f>Submetring!J19</f>
        <v>250</v>
      </c>
      <c r="J19" s="6">
        <v>3.03</v>
      </c>
      <c r="K19" s="8">
        <f>Hotel!Y26</f>
        <v>147</v>
      </c>
    </row>
    <row r="20" spans="1:11" x14ac:dyDescent="0.25">
      <c r="A20" s="6" t="s">
        <v>11</v>
      </c>
      <c r="B20" s="9">
        <f t="shared" si="0"/>
        <v>19</v>
      </c>
      <c r="C20" s="7">
        <v>5</v>
      </c>
      <c r="D20" s="6">
        <v>2022</v>
      </c>
      <c r="E20" s="8">
        <f>Submetring!E20+Submetring!F20+Submetring!G20</f>
        <v>10885</v>
      </c>
      <c r="F20" s="6">
        <v>0.25700000000000001</v>
      </c>
      <c r="G20" s="8">
        <f>Submetring!H20+Submetring!I20</f>
        <v>967</v>
      </c>
      <c r="H20" s="6">
        <v>0.56711199999999995</v>
      </c>
      <c r="I20" s="8">
        <f>Submetring!J20</f>
        <v>192</v>
      </c>
      <c r="J20" s="6">
        <v>3.03</v>
      </c>
      <c r="K20" s="8">
        <f>Hotel!Y27</f>
        <v>153</v>
      </c>
    </row>
    <row r="21" spans="1:11" x14ac:dyDescent="0.25">
      <c r="A21" s="6" t="s">
        <v>11</v>
      </c>
      <c r="B21" s="9">
        <f t="shared" si="0"/>
        <v>20</v>
      </c>
      <c r="C21" s="7">
        <v>5</v>
      </c>
      <c r="D21" s="6">
        <v>2022</v>
      </c>
      <c r="E21" s="8">
        <f>Submetring!E21+Submetring!F21+Submetring!G21</f>
        <v>11340</v>
      </c>
      <c r="F21" s="6">
        <v>0.25700000000000001</v>
      </c>
      <c r="G21" s="8">
        <f>Submetring!H21+Submetring!I21</f>
        <v>1084</v>
      </c>
      <c r="H21" s="6">
        <v>0.56711199999999995</v>
      </c>
      <c r="I21" s="8">
        <f>Submetring!J21</f>
        <v>260</v>
      </c>
      <c r="J21" s="6">
        <v>3.03</v>
      </c>
      <c r="K21" s="8">
        <f>Hotel!Y28</f>
        <v>191</v>
      </c>
    </row>
    <row r="22" spans="1:11" x14ac:dyDescent="0.25">
      <c r="A22" s="6" t="s">
        <v>11</v>
      </c>
      <c r="B22" s="9">
        <f t="shared" si="0"/>
        <v>21</v>
      </c>
      <c r="C22" s="7">
        <v>5</v>
      </c>
      <c r="D22" s="6">
        <v>2022</v>
      </c>
      <c r="E22" s="8">
        <f>Submetring!E22+Submetring!F22+Submetring!G22</f>
        <v>11578</v>
      </c>
      <c r="F22" s="6">
        <v>0.25700000000000001</v>
      </c>
      <c r="G22" s="8">
        <f>Submetring!H22+Submetring!I22</f>
        <v>1062</v>
      </c>
      <c r="H22" s="6">
        <v>0.56711199999999995</v>
      </c>
      <c r="I22" s="8">
        <f>Submetring!J22</f>
        <v>375</v>
      </c>
      <c r="J22" s="6">
        <v>3.03</v>
      </c>
      <c r="K22" s="8">
        <f>Hotel!Y29</f>
        <v>171</v>
      </c>
    </row>
    <row r="23" spans="1:11" x14ac:dyDescent="0.25">
      <c r="A23" s="6" t="s">
        <v>11</v>
      </c>
      <c r="B23" s="9">
        <f t="shared" si="0"/>
        <v>22</v>
      </c>
      <c r="C23" s="7">
        <v>5</v>
      </c>
      <c r="D23" s="6">
        <v>2022</v>
      </c>
      <c r="E23" s="8">
        <f>Submetring!E23+Submetring!F23+Submetring!G23</f>
        <v>11961</v>
      </c>
      <c r="F23" s="6">
        <v>0.25700000000000001</v>
      </c>
      <c r="G23" s="8">
        <f>Submetring!H23+Submetring!I23</f>
        <v>1152</v>
      </c>
      <c r="H23" s="6">
        <v>0.56711199999999995</v>
      </c>
      <c r="I23" s="8">
        <f>Submetring!J23</f>
        <v>292</v>
      </c>
      <c r="J23" s="6">
        <v>3.03</v>
      </c>
      <c r="K23" s="8">
        <f>Hotel!Y30</f>
        <v>147</v>
      </c>
    </row>
    <row r="24" spans="1:11" x14ac:dyDescent="0.25">
      <c r="A24" s="6" t="s">
        <v>11</v>
      </c>
      <c r="B24" s="9">
        <f t="shared" si="0"/>
        <v>23</v>
      </c>
      <c r="C24" s="7">
        <v>5</v>
      </c>
      <c r="D24" s="6">
        <v>2022</v>
      </c>
      <c r="E24" s="8">
        <f>Submetring!E24+Submetring!F24+Submetring!G24</f>
        <v>11443</v>
      </c>
      <c r="F24" s="6">
        <v>0.25700000000000001</v>
      </c>
      <c r="G24" s="8">
        <f>Submetring!H24+Submetring!I24</f>
        <v>1116</v>
      </c>
      <c r="H24" s="6">
        <v>0.56711199999999995</v>
      </c>
      <c r="I24" s="8">
        <f>Submetring!J24</f>
        <v>395</v>
      </c>
      <c r="J24" s="6">
        <v>3.03</v>
      </c>
      <c r="K24" s="8">
        <f>Hotel!Y31</f>
        <v>144</v>
      </c>
    </row>
    <row r="25" spans="1:11" x14ac:dyDescent="0.25">
      <c r="A25" s="6" t="s">
        <v>11</v>
      </c>
      <c r="B25" s="9">
        <f t="shared" si="0"/>
        <v>24</v>
      </c>
      <c r="C25" s="7">
        <v>5</v>
      </c>
      <c r="D25" s="6">
        <v>2022</v>
      </c>
      <c r="E25" s="8">
        <f>Submetring!E25+Submetring!F25+Submetring!G25</f>
        <v>11987</v>
      </c>
      <c r="F25" s="6">
        <v>0.25700000000000001</v>
      </c>
      <c r="G25" s="8">
        <f>Submetring!H25+Submetring!I25</f>
        <v>1014</v>
      </c>
      <c r="H25" s="6">
        <v>0.56711199999999995</v>
      </c>
      <c r="I25" s="8">
        <f>Submetring!J25</f>
        <v>396</v>
      </c>
      <c r="J25" s="6">
        <v>3.03</v>
      </c>
      <c r="K25" s="8">
        <f>Hotel!Y32</f>
        <v>172</v>
      </c>
    </row>
    <row r="26" spans="1:11" x14ac:dyDescent="0.25">
      <c r="A26" s="6" t="s">
        <v>11</v>
      </c>
      <c r="B26" s="9">
        <f>B25+1</f>
        <v>25</v>
      </c>
      <c r="C26" s="7">
        <v>5</v>
      </c>
      <c r="D26" s="6">
        <v>2022</v>
      </c>
      <c r="E26" s="8">
        <f>Submetring!E26+Submetring!F26+Submetring!G26</f>
        <v>12623</v>
      </c>
      <c r="F26" s="6">
        <v>0.25700000000000001</v>
      </c>
      <c r="G26" s="8">
        <f>Submetring!H26+Submetring!I26</f>
        <v>1101</v>
      </c>
      <c r="H26" s="6">
        <v>0.56711199999999995</v>
      </c>
      <c r="I26" s="8">
        <f>Submetring!J26</f>
        <v>375</v>
      </c>
      <c r="J26" s="6">
        <v>3.03</v>
      </c>
      <c r="K26" s="8">
        <f>Hotel!Y33</f>
        <v>168</v>
      </c>
    </row>
    <row r="27" spans="1:11" x14ac:dyDescent="0.25">
      <c r="A27" s="6" t="s">
        <v>11</v>
      </c>
      <c r="B27" s="9">
        <f t="shared" si="0"/>
        <v>26</v>
      </c>
      <c r="C27" s="7">
        <v>5</v>
      </c>
      <c r="D27" s="6">
        <v>2022</v>
      </c>
      <c r="E27" s="8">
        <f>Submetring!E27+Submetring!F27+Submetring!G27</f>
        <v>12885</v>
      </c>
      <c r="F27" s="6">
        <v>0.25700000000000001</v>
      </c>
      <c r="G27" s="8">
        <f>Submetring!H27+Submetring!I27</f>
        <v>1113</v>
      </c>
      <c r="H27" s="6">
        <v>0.56711199999999995</v>
      </c>
      <c r="I27" s="8">
        <f>Submetring!J27</f>
        <v>453</v>
      </c>
      <c r="J27" s="6">
        <v>3.03</v>
      </c>
      <c r="K27" s="8">
        <f>Hotel!Y34</f>
        <v>153</v>
      </c>
    </row>
    <row r="28" spans="1:11" x14ac:dyDescent="0.25">
      <c r="A28" s="6" t="s">
        <v>11</v>
      </c>
      <c r="B28" s="9">
        <f t="shared" si="0"/>
        <v>27</v>
      </c>
      <c r="C28" s="7">
        <v>5</v>
      </c>
      <c r="D28" s="6">
        <v>2022</v>
      </c>
      <c r="E28" s="8">
        <f>Submetring!E28+Submetring!F28+Submetring!G28</f>
        <v>13103</v>
      </c>
      <c r="F28" s="6">
        <v>0.25700000000000001</v>
      </c>
      <c r="G28" s="8">
        <f>Submetring!H28+Submetring!I28</f>
        <v>1255</v>
      </c>
      <c r="H28" s="6">
        <v>0.56711199999999995</v>
      </c>
      <c r="I28" s="8">
        <f>Submetring!J28</f>
        <v>465</v>
      </c>
      <c r="J28" s="6">
        <v>3.03</v>
      </c>
      <c r="K28" s="8">
        <f>Hotel!Y35</f>
        <v>175</v>
      </c>
    </row>
    <row r="29" spans="1:11" x14ac:dyDescent="0.25">
      <c r="A29" s="6" t="s">
        <v>11</v>
      </c>
      <c r="B29" s="9">
        <f t="shared" si="0"/>
        <v>28</v>
      </c>
      <c r="C29" s="7">
        <v>5</v>
      </c>
      <c r="D29" s="6">
        <v>2022</v>
      </c>
      <c r="E29" s="8">
        <f>Submetring!E29+Submetring!F29+Submetring!G29</f>
        <v>11955</v>
      </c>
      <c r="F29" s="6">
        <v>0.25700000000000001</v>
      </c>
      <c r="G29" s="8">
        <f>Submetring!H29+Submetring!I29</f>
        <v>1329</v>
      </c>
      <c r="H29" s="6">
        <v>0.56711199999999995</v>
      </c>
      <c r="I29" s="8">
        <f>Submetring!J29</f>
        <v>433</v>
      </c>
      <c r="J29" s="6">
        <v>3.03</v>
      </c>
      <c r="K29" s="8">
        <f>Hotel!Y36</f>
        <v>187</v>
      </c>
    </row>
    <row r="30" spans="1:11" x14ac:dyDescent="0.25">
      <c r="A30" s="6" t="s">
        <v>11</v>
      </c>
      <c r="B30" s="9">
        <f t="shared" si="0"/>
        <v>29</v>
      </c>
      <c r="C30" s="7">
        <v>5</v>
      </c>
      <c r="D30" s="6">
        <v>2022</v>
      </c>
      <c r="E30" s="8">
        <f>Submetring!E30+Submetring!F30+Submetring!G30</f>
        <v>11302</v>
      </c>
      <c r="F30" s="6">
        <v>0.25700000000000001</v>
      </c>
      <c r="G30" s="8">
        <f>Submetring!H30+Submetring!I30</f>
        <v>1189</v>
      </c>
      <c r="H30" s="6">
        <v>0.56711199999999995</v>
      </c>
      <c r="I30" s="8">
        <f>Submetring!J30</f>
        <v>297</v>
      </c>
      <c r="J30" s="6">
        <v>3.03</v>
      </c>
      <c r="K30" s="8">
        <f>Hotel!Y37</f>
        <v>172</v>
      </c>
    </row>
    <row r="31" spans="1:11" x14ac:dyDescent="0.25">
      <c r="A31" s="6" t="s">
        <v>11</v>
      </c>
      <c r="B31" s="9">
        <f t="shared" si="0"/>
        <v>30</v>
      </c>
      <c r="C31" s="7">
        <v>5</v>
      </c>
      <c r="D31" s="6">
        <v>2022</v>
      </c>
      <c r="E31" s="8">
        <f>Submetring!E31+Submetring!F31+Submetring!G31</f>
        <v>10131</v>
      </c>
      <c r="F31" s="6">
        <v>0.25700000000000001</v>
      </c>
      <c r="G31" s="8">
        <f>Submetring!H31+Submetring!I31</f>
        <v>1160</v>
      </c>
      <c r="H31" s="6">
        <v>0.56711199999999995</v>
      </c>
      <c r="I31" s="8">
        <f>Submetring!J31</f>
        <v>417</v>
      </c>
      <c r="J31" s="6">
        <v>3.03</v>
      </c>
      <c r="K31" s="8">
        <f>Hotel!Y38</f>
        <v>141</v>
      </c>
    </row>
    <row r="32" spans="1:11" x14ac:dyDescent="0.25">
      <c r="A32" s="6" t="s">
        <v>11</v>
      </c>
      <c r="B32" s="9">
        <f t="shared" si="0"/>
        <v>31</v>
      </c>
      <c r="C32" s="7">
        <v>5</v>
      </c>
      <c r="D32" s="6">
        <v>2022</v>
      </c>
      <c r="E32" s="8">
        <f>Submetring!E32+Submetring!F32+Submetring!G32</f>
        <v>12897</v>
      </c>
      <c r="F32" s="6">
        <v>0.25700000000000001</v>
      </c>
      <c r="G32" s="8">
        <f>Submetring!H32+Submetring!I32</f>
        <v>1115</v>
      </c>
      <c r="H32" s="6">
        <v>0.56711199999999995</v>
      </c>
      <c r="I32" s="8">
        <f>Submetring!J32</f>
        <v>452</v>
      </c>
      <c r="J32" s="6">
        <v>3.03</v>
      </c>
      <c r="K32" s="8">
        <f>Hotel!Y39</f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4" workbookViewId="0">
      <selection activeCell="B34" sqref="B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2022</v>
      </c>
      <c r="E2" s="11">
        <f>Hotel!D9</f>
        <v>3264</v>
      </c>
      <c r="F2" s="11">
        <f>Hotel!F9</f>
        <v>3218</v>
      </c>
      <c r="G2" s="11">
        <f>Hotel!H9</f>
        <v>3039</v>
      </c>
      <c r="H2" s="11">
        <f>Hotel!N9</f>
        <v>120</v>
      </c>
      <c r="I2" s="11">
        <f>Hotel!P9</f>
        <v>1822</v>
      </c>
      <c r="J2" s="11">
        <f>Hotel!U9</f>
        <v>175</v>
      </c>
      <c r="K2" s="11">
        <f>Hotel!Y9</f>
        <v>73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2022</v>
      </c>
      <c r="E3" s="11">
        <f>Hotel!D10</f>
        <v>3159</v>
      </c>
      <c r="F3" s="11">
        <f>Hotel!F10</f>
        <v>3104</v>
      </c>
      <c r="G3" s="11">
        <f>Hotel!H10</f>
        <v>2957</v>
      </c>
      <c r="H3" s="11">
        <f>Hotel!N10</f>
        <v>120</v>
      </c>
      <c r="I3" s="11">
        <f>Hotel!P10</f>
        <v>1692</v>
      </c>
      <c r="J3" s="11">
        <f>Hotel!U10</f>
        <v>172</v>
      </c>
      <c r="K3" s="11">
        <f>Hotel!Y10</f>
        <v>77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2022</v>
      </c>
      <c r="E4" s="11">
        <f>Hotel!D11</f>
        <v>3098</v>
      </c>
      <c r="F4" s="11">
        <f>Hotel!F11</f>
        <v>3037</v>
      </c>
      <c r="G4" s="11">
        <f>Hotel!H11</f>
        <v>3020</v>
      </c>
      <c r="H4" s="11">
        <f>Hotel!N11</f>
        <v>121</v>
      </c>
      <c r="I4" s="11">
        <f>Hotel!P11</f>
        <v>1597</v>
      </c>
      <c r="J4" s="11">
        <f>Hotel!U11</f>
        <v>190</v>
      </c>
      <c r="K4" s="11">
        <f>Hotel!Y11</f>
        <v>82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2022</v>
      </c>
      <c r="E5" s="11">
        <f>Hotel!D12</f>
        <v>3145</v>
      </c>
      <c r="F5" s="11">
        <f>Hotel!F12</f>
        <v>3096</v>
      </c>
      <c r="G5" s="11">
        <f>Hotel!H12</f>
        <v>2814</v>
      </c>
      <c r="H5" s="11">
        <f>Hotel!N12</f>
        <v>122</v>
      </c>
      <c r="I5" s="11">
        <f>Hotel!P12</f>
        <v>1598</v>
      </c>
      <c r="J5" s="11">
        <f>Hotel!U12</f>
        <v>202</v>
      </c>
      <c r="K5" s="11">
        <f>Hotel!Y12</f>
        <v>126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2022</v>
      </c>
      <c r="E6" s="11">
        <f>Hotel!D13</f>
        <v>3286</v>
      </c>
      <c r="F6" s="11">
        <f>Hotel!F13</f>
        <v>3238</v>
      </c>
      <c r="G6" s="11">
        <f>Hotel!H13</f>
        <v>3081</v>
      </c>
      <c r="H6" s="11">
        <f>Hotel!N13</f>
        <v>103</v>
      </c>
      <c r="I6" s="11">
        <f>Hotel!P13</f>
        <v>1493</v>
      </c>
      <c r="J6" s="11">
        <f>Hotel!U13</f>
        <v>244</v>
      </c>
      <c r="K6" s="11">
        <f>Hotel!Y13</f>
        <v>143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2022</v>
      </c>
      <c r="E7" s="11">
        <f>Hotel!D14</f>
        <v>3739</v>
      </c>
      <c r="F7" s="11">
        <f>Hotel!F14</f>
        <v>3672</v>
      </c>
      <c r="G7" s="11">
        <f>Hotel!H14</f>
        <v>3512</v>
      </c>
      <c r="H7" s="11">
        <f>Hotel!N14</f>
        <v>135</v>
      </c>
      <c r="I7" s="11">
        <f>Hotel!P14</f>
        <v>1479</v>
      </c>
      <c r="J7" s="11">
        <f>Hotel!U14</f>
        <v>330</v>
      </c>
      <c r="K7" s="11">
        <f>Hotel!Y14</f>
        <v>167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2022</v>
      </c>
      <c r="E8" s="11">
        <f>Hotel!D15</f>
        <v>3542</v>
      </c>
      <c r="F8" s="11">
        <f>Hotel!F15</f>
        <v>3533</v>
      </c>
      <c r="G8" s="11">
        <f>Hotel!H15</f>
        <v>3356</v>
      </c>
      <c r="H8" s="11">
        <f>Hotel!N15</f>
        <v>133</v>
      </c>
      <c r="I8" s="11">
        <f>Hotel!P15</f>
        <v>1642</v>
      </c>
      <c r="J8" s="11">
        <f>Hotel!U15</f>
        <v>335</v>
      </c>
      <c r="K8" s="11">
        <f>Hotel!Y15</f>
        <v>176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2022</v>
      </c>
      <c r="E9" s="11">
        <f>Hotel!D16</f>
        <v>3610</v>
      </c>
      <c r="F9" s="11">
        <f>Hotel!F16</f>
        <v>3577</v>
      </c>
      <c r="G9" s="11">
        <f>Hotel!H16</f>
        <v>3423</v>
      </c>
      <c r="H9" s="11">
        <f>Hotel!N16</f>
        <v>131</v>
      </c>
      <c r="I9" s="11">
        <f>Hotel!P16</f>
        <v>1833</v>
      </c>
      <c r="J9" s="11">
        <f>Hotel!U16</f>
        <v>218</v>
      </c>
      <c r="K9" s="11">
        <f>Hotel!Y16</f>
        <v>148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2022</v>
      </c>
      <c r="E10" s="11">
        <f>Hotel!D17</f>
        <v>3566</v>
      </c>
      <c r="F10" s="11">
        <f>Hotel!F17</f>
        <v>3509</v>
      </c>
      <c r="G10" s="11">
        <f>Hotel!H17</f>
        <v>3341</v>
      </c>
      <c r="H10" s="11">
        <f>Hotel!N17</f>
        <v>120</v>
      </c>
      <c r="I10" s="11">
        <f>Hotel!P17</f>
        <v>1648</v>
      </c>
      <c r="J10" s="11">
        <f>Hotel!U17</f>
        <v>243</v>
      </c>
      <c r="K10" s="11">
        <f>Hotel!Y17</f>
        <v>135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2022</v>
      </c>
      <c r="E11" s="11">
        <f>Hotel!D18</f>
        <v>3523</v>
      </c>
      <c r="F11" s="11">
        <f>Hotel!F18</f>
        <v>3494</v>
      </c>
      <c r="G11" s="11">
        <f>Hotel!H18</f>
        <v>3327</v>
      </c>
      <c r="H11" s="11">
        <f>Hotel!N18</f>
        <v>115</v>
      </c>
      <c r="I11" s="11">
        <f>Hotel!P18</f>
        <v>1633</v>
      </c>
      <c r="J11" s="11">
        <f>Hotel!U18</f>
        <v>211</v>
      </c>
      <c r="K11" s="11">
        <f>Hotel!Y18</f>
        <v>146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2022</v>
      </c>
      <c r="E12" s="11">
        <f>Hotel!D19</f>
        <v>3571</v>
      </c>
      <c r="F12" s="11">
        <f>Hotel!F19</f>
        <v>3548</v>
      </c>
      <c r="G12" s="11">
        <f>Hotel!H19</f>
        <v>3392</v>
      </c>
      <c r="H12" s="11">
        <f>Hotel!N19</f>
        <v>143</v>
      </c>
      <c r="I12" s="11">
        <f>Hotel!P19</f>
        <v>1587</v>
      </c>
      <c r="J12" s="11">
        <f>Hotel!U19</f>
        <v>353</v>
      </c>
      <c r="K12" s="11">
        <f>Hotel!Y19</f>
        <v>151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2022</v>
      </c>
      <c r="E13" s="11">
        <f>Hotel!D20</f>
        <v>3672</v>
      </c>
      <c r="F13" s="11">
        <f>Hotel!F20</f>
        <v>3646</v>
      </c>
      <c r="G13" s="11">
        <f>Hotel!H20</f>
        <v>3481</v>
      </c>
      <c r="H13" s="11">
        <f>Hotel!N20</f>
        <v>141</v>
      </c>
      <c r="I13" s="11">
        <f>Hotel!P20</f>
        <v>1848</v>
      </c>
      <c r="J13" s="11">
        <f>Hotel!U20</f>
        <v>336</v>
      </c>
      <c r="K13" s="11">
        <f>Hotel!Y20</f>
        <v>165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2022</v>
      </c>
      <c r="E14" s="11">
        <f>Hotel!D21</f>
        <v>3738</v>
      </c>
      <c r="F14" s="11">
        <f>Hotel!F21</f>
        <v>3705</v>
      </c>
      <c r="G14" s="11">
        <f>Hotel!H21</f>
        <v>3538</v>
      </c>
      <c r="H14" s="11">
        <f>Hotel!N21</f>
        <v>116</v>
      </c>
      <c r="I14" s="11">
        <f>Hotel!P21</f>
        <v>1754</v>
      </c>
      <c r="J14" s="11">
        <f>Hotel!U21</f>
        <v>236</v>
      </c>
      <c r="K14" s="11">
        <f>Hotel!Y21</f>
        <v>164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2022</v>
      </c>
      <c r="E15" s="11">
        <f>Hotel!D22</f>
        <v>3759</v>
      </c>
      <c r="F15" s="11">
        <f>Hotel!F22</f>
        <v>3719</v>
      </c>
      <c r="G15" s="11">
        <f>Hotel!H22</f>
        <v>3545</v>
      </c>
      <c r="H15" s="11">
        <f>Hotel!N22</f>
        <v>134</v>
      </c>
      <c r="I15" s="11">
        <f>Hotel!P22</f>
        <v>1428</v>
      </c>
      <c r="J15" s="11">
        <f>Hotel!U22</f>
        <v>331</v>
      </c>
      <c r="K15" s="11">
        <f>Hotel!Y22</f>
        <v>153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2022</v>
      </c>
      <c r="E16" s="11">
        <f>Hotel!D23</f>
        <v>3915</v>
      </c>
      <c r="F16" s="11">
        <f>Hotel!F23</f>
        <v>3869</v>
      </c>
      <c r="G16" s="11">
        <f>Hotel!H23</f>
        <v>3665</v>
      </c>
      <c r="H16" s="11">
        <f>Hotel!N23</f>
        <v>133</v>
      </c>
      <c r="I16" s="11">
        <f>Hotel!P23</f>
        <v>1436</v>
      </c>
      <c r="J16" s="11">
        <f>Hotel!U23</f>
        <v>436</v>
      </c>
      <c r="K16" s="11">
        <f>Hotel!Y23</f>
        <v>127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2022</v>
      </c>
      <c r="E17" s="11">
        <f>Hotel!D24</f>
        <v>3702</v>
      </c>
      <c r="F17" s="11">
        <f>Hotel!F24</f>
        <v>3661</v>
      </c>
      <c r="G17" s="11">
        <f>Hotel!H24</f>
        <v>3484</v>
      </c>
      <c r="H17" s="11">
        <f>Hotel!N24</f>
        <v>132</v>
      </c>
      <c r="I17" s="11">
        <f>Hotel!P24</f>
        <v>1035</v>
      </c>
      <c r="J17" s="11">
        <f>Hotel!U24</f>
        <v>313</v>
      </c>
      <c r="K17" s="11">
        <f>Hotel!Y24</f>
        <v>117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2022</v>
      </c>
      <c r="E18" s="11">
        <f>Hotel!D25</f>
        <v>3639</v>
      </c>
      <c r="F18" s="11">
        <f>Hotel!F25</f>
        <v>3595</v>
      </c>
      <c r="G18" s="11">
        <f>Hotel!H25</f>
        <v>3423</v>
      </c>
      <c r="H18" s="11">
        <f>Hotel!N25</f>
        <v>123</v>
      </c>
      <c r="I18" s="11">
        <f>Hotel!P25</f>
        <v>1041</v>
      </c>
      <c r="J18" s="11">
        <f>Hotel!U25</f>
        <v>378</v>
      </c>
      <c r="K18" s="11">
        <f>Hotel!Y25</f>
        <v>133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2022</v>
      </c>
      <c r="E19" s="11">
        <f>Hotel!D26</f>
        <v>3546</v>
      </c>
      <c r="F19" s="11">
        <f>Hotel!F26</f>
        <v>3524</v>
      </c>
      <c r="G19" s="11">
        <f>Hotel!H26</f>
        <v>3347</v>
      </c>
      <c r="H19" s="11">
        <f>Hotel!N26</f>
        <v>109</v>
      </c>
      <c r="I19" s="11">
        <f>Hotel!P26</f>
        <v>913</v>
      </c>
      <c r="J19" s="11">
        <f>Hotel!U26</f>
        <v>250</v>
      </c>
      <c r="K19" s="11">
        <f>Hotel!Y26</f>
        <v>147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2022</v>
      </c>
      <c r="E20" s="11">
        <f>Hotel!D27</f>
        <v>3710</v>
      </c>
      <c r="F20" s="11">
        <f>Hotel!F27</f>
        <v>3675</v>
      </c>
      <c r="G20" s="11">
        <f>Hotel!H27</f>
        <v>3500</v>
      </c>
      <c r="H20" s="11">
        <f>Hotel!N27</f>
        <v>139</v>
      </c>
      <c r="I20" s="11">
        <f>Hotel!P27</f>
        <v>828</v>
      </c>
      <c r="J20" s="11">
        <f>Hotel!U27</f>
        <v>192</v>
      </c>
      <c r="K20" s="11">
        <f>Hotel!Y27</f>
        <v>153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2022</v>
      </c>
      <c r="E21" s="11">
        <f>Hotel!D28</f>
        <v>3869</v>
      </c>
      <c r="F21" s="11">
        <f>Hotel!F28</f>
        <v>3833</v>
      </c>
      <c r="G21" s="11">
        <f>Hotel!H28</f>
        <v>3638</v>
      </c>
      <c r="H21" s="11">
        <f>Hotel!N28</f>
        <v>155</v>
      </c>
      <c r="I21" s="11">
        <f>Hotel!P28</f>
        <v>929</v>
      </c>
      <c r="J21" s="11">
        <f>Hotel!U28</f>
        <v>260</v>
      </c>
      <c r="K21" s="11">
        <f>Hotel!Y28</f>
        <v>191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2022</v>
      </c>
      <c r="E22" s="11">
        <f>Hotel!D29</f>
        <v>3928</v>
      </c>
      <c r="F22" s="11">
        <f>Hotel!F29</f>
        <v>3937</v>
      </c>
      <c r="G22" s="11">
        <f>Hotel!H29</f>
        <v>3713</v>
      </c>
      <c r="H22" s="11">
        <f>Hotel!N29</f>
        <v>141</v>
      </c>
      <c r="I22" s="11">
        <f>Hotel!P29</f>
        <v>921</v>
      </c>
      <c r="J22" s="11">
        <f>Hotel!U29</f>
        <v>375</v>
      </c>
      <c r="K22" s="11">
        <f>Hotel!Y29</f>
        <v>171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2022</v>
      </c>
      <c r="E23" s="11">
        <f>Hotel!D30</f>
        <v>4080</v>
      </c>
      <c r="F23" s="11">
        <f>Hotel!F30</f>
        <v>4005</v>
      </c>
      <c r="G23" s="11">
        <f>Hotel!H30</f>
        <v>3876</v>
      </c>
      <c r="H23" s="11">
        <f>Hotel!N30</f>
        <v>141</v>
      </c>
      <c r="I23" s="11">
        <f>Hotel!P30</f>
        <v>1011</v>
      </c>
      <c r="J23" s="11">
        <f>Hotel!U30</f>
        <v>292</v>
      </c>
      <c r="K23" s="11">
        <f>Hotel!Y30</f>
        <v>147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2022</v>
      </c>
      <c r="E24" s="11">
        <f>Hotel!D31</f>
        <v>3899</v>
      </c>
      <c r="F24" s="11">
        <f>Hotel!F31</f>
        <v>3843</v>
      </c>
      <c r="G24" s="11">
        <f>Hotel!H31</f>
        <v>3701</v>
      </c>
      <c r="H24" s="11">
        <f>Hotel!N31</f>
        <v>129</v>
      </c>
      <c r="I24" s="11">
        <f>Hotel!P31</f>
        <v>987</v>
      </c>
      <c r="J24" s="11">
        <f>Hotel!U31</f>
        <v>395</v>
      </c>
      <c r="K24" s="11">
        <f>Hotel!Y31</f>
        <v>144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2022</v>
      </c>
      <c r="E25" s="11">
        <f>Hotel!D32</f>
        <v>4076</v>
      </c>
      <c r="F25" s="11">
        <f>Hotel!F32</f>
        <v>4031</v>
      </c>
      <c r="G25" s="11">
        <f>Hotel!H32</f>
        <v>3880</v>
      </c>
      <c r="H25" s="11">
        <f>Hotel!N32</f>
        <v>129</v>
      </c>
      <c r="I25" s="11">
        <f>Hotel!P32</f>
        <v>885</v>
      </c>
      <c r="J25" s="11">
        <f>Hotel!U32</f>
        <v>396</v>
      </c>
      <c r="K25" s="11">
        <f>Hotel!Y32</f>
        <v>172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2022</v>
      </c>
      <c r="E26" s="11">
        <f>Hotel!D33</f>
        <v>4283</v>
      </c>
      <c r="F26" s="11">
        <f>Hotel!F33</f>
        <v>4233</v>
      </c>
      <c r="G26" s="11">
        <f>Hotel!H33</f>
        <v>4107</v>
      </c>
      <c r="H26" s="11">
        <f>Hotel!N33</f>
        <v>141</v>
      </c>
      <c r="I26" s="11">
        <f>Hotel!P33</f>
        <v>960</v>
      </c>
      <c r="J26" s="11">
        <f>Hotel!U33</f>
        <v>375</v>
      </c>
      <c r="K26" s="11">
        <f>Hotel!Y33</f>
        <v>168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2022</v>
      </c>
      <c r="E27" s="11">
        <f>Hotel!D34</f>
        <v>4387</v>
      </c>
      <c r="F27" s="11">
        <f>Hotel!F34</f>
        <v>4313</v>
      </c>
      <c r="G27" s="11">
        <f>Hotel!H34</f>
        <v>4185</v>
      </c>
      <c r="H27" s="11">
        <f>Hotel!N34</f>
        <v>129</v>
      </c>
      <c r="I27" s="11">
        <f>Hotel!P34</f>
        <v>984</v>
      </c>
      <c r="J27" s="11">
        <f>Hotel!U34</f>
        <v>453</v>
      </c>
      <c r="K27" s="11">
        <f>Hotel!Y34</f>
        <v>153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2022</v>
      </c>
      <c r="E28" s="11">
        <f>Hotel!D35</f>
        <v>4443</v>
      </c>
      <c r="F28" s="11">
        <f>Hotel!F35</f>
        <v>4408</v>
      </c>
      <c r="G28" s="11">
        <f>Hotel!H35</f>
        <v>4252</v>
      </c>
      <c r="H28" s="11">
        <f>Hotel!N35</f>
        <v>159</v>
      </c>
      <c r="I28" s="11">
        <f>Hotel!P35</f>
        <v>1096</v>
      </c>
      <c r="J28" s="11">
        <f>Hotel!U35</f>
        <v>465</v>
      </c>
      <c r="K28" s="11">
        <f>Hotel!Y35</f>
        <v>175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2022</v>
      </c>
      <c r="E29" s="11">
        <f>Hotel!D36</f>
        <v>4067</v>
      </c>
      <c r="F29" s="11">
        <f>Hotel!F36</f>
        <v>4027</v>
      </c>
      <c r="G29" s="11">
        <f>Hotel!H36</f>
        <v>3861</v>
      </c>
      <c r="H29" s="11">
        <f>Hotel!N36</f>
        <v>158</v>
      </c>
      <c r="I29" s="11">
        <f>Hotel!P36</f>
        <v>1171</v>
      </c>
      <c r="J29" s="11">
        <f>Hotel!U36</f>
        <v>433</v>
      </c>
      <c r="K29" s="11">
        <f>Hotel!Y36</f>
        <v>187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2022</v>
      </c>
      <c r="E30" s="11">
        <f>Hotel!D37</f>
        <v>3849</v>
      </c>
      <c r="F30" s="11">
        <f>Hotel!F37</f>
        <v>3807</v>
      </c>
      <c r="G30" s="11">
        <f>Hotel!H37</f>
        <v>3646</v>
      </c>
      <c r="H30" s="11">
        <f>Hotel!N37</f>
        <v>171</v>
      </c>
      <c r="I30" s="11">
        <f>Hotel!P37</f>
        <v>1018</v>
      </c>
      <c r="J30" s="11">
        <f>Hotel!U37</f>
        <v>297</v>
      </c>
      <c r="K30" s="11">
        <f>Hotel!Y37</f>
        <v>172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2022</v>
      </c>
      <c r="E31" s="11">
        <f>Hotel!D38</f>
        <v>3466</v>
      </c>
      <c r="F31" s="11">
        <f>Hotel!F38</f>
        <v>3411</v>
      </c>
      <c r="G31" s="11">
        <f>Hotel!H38</f>
        <v>3254</v>
      </c>
      <c r="H31" s="11">
        <f>Hotel!N38</f>
        <v>123</v>
      </c>
      <c r="I31" s="11">
        <f>Hotel!P38</f>
        <v>1037</v>
      </c>
      <c r="J31" s="11">
        <f>Hotel!U38</f>
        <v>417</v>
      </c>
      <c r="K31" s="11">
        <f>Hotel!Y38</f>
        <v>141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2022</v>
      </c>
      <c r="E32" s="11">
        <f>Hotel!D39</f>
        <v>4389</v>
      </c>
      <c r="F32" s="11">
        <f>Hotel!F39</f>
        <v>4319</v>
      </c>
      <c r="G32" s="11">
        <f>Hotel!H39</f>
        <v>4189</v>
      </c>
      <c r="H32" s="11">
        <f>Hotel!N39</f>
        <v>125</v>
      </c>
      <c r="I32" s="11">
        <f>Hotel!P39</f>
        <v>990</v>
      </c>
      <c r="J32" s="11">
        <f>Hotel!U39</f>
        <v>452</v>
      </c>
      <c r="K32" s="11">
        <f>Hotel!Y39</f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zoomScale="91" zoomScaleNormal="91" workbookViewId="0">
      <selection activeCell="U31" sqref="U31"/>
    </sheetView>
  </sheetViews>
  <sheetFormatPr defaultRowHeight="15" x14ac:dyDescent="0.25"/>
  <cols>
    <col min="4" max="4" width="9.28515625" bestFit="1" customWidth="1"/>
    <col min="11" max="11" width="10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2022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6601839</v>
      </c>
      <c r="D6" s="28"/>
      <c r="E6" s="29">
        <v>6549726</v>
      </c>
      <c r="F6" s="30"/>
      <c r="G6" s="122">
        <v>6184796</v>
      </c>
      <c r="H6" s="31">
        <f>G6-G5</f>
        <v>6184796</v>
      </c>
      <c r="I6" s="32"/>
      <c r="J6" s="33">
        <f>D6+F6+H6</f>
        <v>6184796</v>
      </c>
      <c r="K6" s="33" t="e">
        <f>D6*0.152+F6*0.238+H6*0.115+#REF!*0.218</f>
        <v>#REF!</v>
      </c>
      <c r="L6" s="34"/>
      <c r="M6" s="35">
        <v>181845</v>
      </c>
      <c r="N6" s="31" t="e">
        <f>M6-#REF!</f>
        <v>#REF!</v>
      </c>
      <c r="O6" s="36">
        <v>2727034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358349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6605103</v>
      </c>
      <c r="D9" s="61">
        <f>IF((C9-C6&lt;0), "0",C9-C6)</f>
        <v>3264</v>
      </c>
      <c r="E9" s="62">
        <v>6552944</v>
      </c>
      <c r="F9" s="61">
        <f>IF((E9-E6&lt;0), "0",E9-E6)</f>
        <v>3218</v>
      </c>
      <c r="G9" s="63">
        <v>6187835</v>
      </c>
      <c r="H9" s="61">
        <f>IF((G9-G6&lt;0), "0",G9-G6)</f>
        <v>3039</v>
      </c>
      <c r="I9" s="60">
        <f>H9+F9+D9</f>
        <v>9521</v>
      </c>
      <c r="J9" s="64">
        <v>0.99</v>
      </c>
      <c r="K9" s="65">
        <f>I9*0.257</f>
        <v>2446.8969999999999</v>
      </c>
      <c r="L9" s="66"/>
      <c r="M9" s="60">
        <v>181965</v>
      </c>
      <c r="N9" s="61">
        <f>IF((M9-M6&lt;0), "0",M9-M6)</f>
        <v>120</v>
      </c>
      <c r="O9" s="60">
        <v>2728856</v>
      </c>
      <c r="P9" s="61">
        <f>IF((O9-O6&lt;0), "0",O9-O6)</f>
        <v>1822</v>
      </c>
      <c r="Q9" s="67">
        <f t="shared" ref="Q9:Q39" si="0">N9+P9</f>
        <v>1942</v>
      </c>
      <c r="R9" s="68">
        <f>(P9+N9*1.2285)*0.056*10.127</f>
        <v>1116.88171504</v>
      </c>
      <c r="S9" s="69"/>
      <c r="T9" s="70">
        <v>358524</v>
      </c>
      <c r="U9" s="61">
        <f>IF((T9-T6&lt;0), "0",T9-T6)</f>
        <v>175</v>
      </c>
      <c r="V9" s="71">
        <f>U9*(1.315+1.54)</f>
        <v>499.625</v>
      </c>
      <c r="W9" s="72"/>
      <c r="X9" s="73">
        <f t="shared" ref="X9:X39" si="1">K9+R9+V9</f>
        <v>4063.40371504</v>
      </c>
      <c r="Y9" s="74">
        <v>73</v>
      </c>
      <c r="Z9" s="75">
        <f>X9/Y9</f>
        <v>55.663064589589041</v>
      </c>
    </row>
    <row r="10" spans="1:27" x14ac:dyDescent="0.25">
      <c r="A10" s="10" t="s">
        <v>120</v>
      </c>
      <c r="B10" s="59">
        <f>B9+1</f>
        <v>2</v>
      </c>
      <c r="C10" s="62">
        <v>6608262</v>
      </c>
      <c r="D10" s="61">
        <f t="shared" ref="D10:D39" si="2">IF((C10-C9&lt;0), "0",C10-C9)</f>
        <v>3159</v>
      </c>
      <c r="E10" s="62">
        <v>6556048</v>
      </c>
      <c r="F10" s="61">
        <f>IF((E10-E9&lt;0), "0",E10-E9)</f>
        <v>3104</v>
      </c>
      <c r="G10" s="63">
        <v>6190792</v>
      </c>
      <c r="H10" s="61">
        <f t="shared" ref="H10:H39" si="3">IF((G10-G9&lt;0), "0",G10-G9)</f>
        <v>2957</v>
      </c>
      <c r="I10" s="60">
        <f t="shared" ref="I10:I39" si="4">H10+F10+D10</f>
        <v>9220</v>
      </c>
      <c r="J10" s="64">
        <v>0.99</v>
      </c>
      <c r="K10" s="65">
        <f t="shared" ref="K10:K39" si="5">I10*0.257</f>
        <v>2369.54</v>
      </c>
      <c r="L10" s="66"/>
      <c r="M10" s="60">
        <v>182085</v>
      </c>
      <c r="N10" s="61">
        <f>IF((M10-M9&lt;0), "0",M10-M9)</f>
        <v>120</v>
      </c>
      <c r="O10" s="60">
        <v>2730548</v>
      </c>
      <c r="P10" s="61">
        <f>IF((O10-O9&lt;0), "0",O10-O9)</f>
        <v>1692</v>
      </c>
      <c r="Q10" s="67">
        <f t="shared" si="0"/>
        <v>1812</v>
      </c>
      <c r="R10" s="68">
        <f t="shared" ref="R10:R39" si="6">(P10+N10*1.2285)*0.056*10.127</f>
        <v>1043.1571550400001</v>
      </c>
      <c r="S10" s="69"/>
      <c r="T10" s="70">
        <v>358696</v>
      </c>
      <c r="U10" s="61">
        <f>IF((T10-T9&lt;0), "0",T10-T9)</f>
        <v>172</v>
      </c>
      <c r="V10" s="71">
        <f t="shared" ref="V10:V39" si="7">U10*(1.315+1.54)</f>
        <v>491.06</v>
      </c>
      <c r="W10" s="72"/>
      <c r="X10" s="77">
        <f t="shared" si="1"/>
        <v>3903.7571550400003</v>
      </c>
      <c r="Y10" s="78">
        <v>77</v>
      </c>
      <c r="Z10" s="79">
        <f t="shared" ref="Z10:Z39" si="8">X10/Y10</f>
        <v>50.698144870649351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6611360</v>
      </c>
      <c r="D11" s="61">
        <f t="shared" si="2"/>
        <v>3098</v>
      </c>
      <c r="E11" s="62">
        <v>6559085</v>
      </c>
      <c r="F11" s="61">
        <f t="shared" ref="F11:F39" si="10">IF((E11-E10&lt;0), "0",E11-E10)</f>
        <v>3037</v>
      </c>
      <c r="G11" s="63">
        <v>6193812</v>
      </c>
      <c r="H11" s="61">
        <f t="shared" si="3"/>
        <v>3020</v>
      </c>
      <c r="I11" s="60">
        <f t="shared" si="4"/>
        <v>9155</v>
      </c>
      <c r="J11" s="64">
        <v>0.99</v>
      </c>
      <c r="K11" s="65">
        <f t="shared" si="5"/>
        <v>2352.835</v>
      </c>
      <c r="L11" s="66"/>
      <c r="M11" s="60">
        <v>182206</v>
      </c>
      <c r="N11" s="61">
        <f t="shared" ref="N11:N39" si="11">IF((M11-M10&lt;0), "0",M11-M10)</f>
        <v>121</v>
      </c>
      <c r="O11" s="60">
        <v>2732145</v>
      </c>
      <c r="P11" s="61">
        <f t="shared" ref="P11:P39" si="12">IF((O11-O10&lt;0), "0",O11-O10)</f>
        <v>1597</v>
      </c>
      <c r="Q11" s="67">
        <f t="shared" si="0"/>
        <v>1718</v>
      </c>
      <c r="R11" s="68">
        <f t="shared" si="6"/>
        <v>989.97821213200007</v>
      </c>
      <c r="S11" s="69"/>
      <c r="T11" s="70">
        <v>358886</v>
      </c>
      <c r="U11" s="61">
        <f t="shared" ref="U11:U39" si="13">IF((T11-T10&lt;0), "0",T11-T10)</f>
        <v>190</v>
      </c>
      <c r="V11" s="71">
        <f t="shared" si="7"/>
        <v>542.45000000000005</v>
      </c>
      <c r="W11" s="72"/>
      <c r="X11" s="77">
        <f t="shared" si="1"/>
        <v>3885.2632121320003</v>
      </c>
      <c r="Y11" s="78">
        <v>82</v>
      </c>
      <c r="Z11" s="79">
        <f t="shared" si="8"/>
        <v>47.38125868453659</v>
      </c>
    </row>
    <row r="12" spans="1:27" x14ac:dyDescent="0.25">
      <c r="A12" s="10" t="s">
        <v>96</v>
      </c>
      <c r="B12" s="59">
        <f t="shared" si="9"/>
        <v>4</v>
      </c>
      <c r="C12" s="62">
        <v>6614505</v>
      </c>
      <c r="D12" s="61">
        <f t="shared" si="2"/>
        <v>3145</v>
      </c>
      <c r="E12" s="62">
        <v>6562181</v>
      </c>
      <c r="F12" s="61">
        <f t="shared" si="10"/>
        <v>3096</v>
      </c>
      <c r="G12" s="63">
        <v>6196626</v>
      </c>
      <c r="H12" s="61">
        <f t="shared" si="3"/>
        <v>2814</v>
      </c>
      <c r="I12" s="60">
        <f t="shared" si="4"/>
        <v>9055</v>
      </c>
      <c r="J12" s="64">
        <v>0.99</v>
      </c>
      <c r="K12" s="65">
        <f t="shared" si="5"/>
        <v>2327.1350000000002</v>
      </c>
      <c r="L12" s="66"/>
      <c r="M12" s="60">
        <v>182328</v>
      </c>
      <c r="N12" s="61">
        <f t="shared" si="11"/>
        <v>122</v>
      </c>
      <c r="O12" s="60">
        <v>2733743</v>
      </c>
      <c r="P12" s="61">
        <f t="shared" si="12"/>
        <v>1598</v>
      </c>
      <c r="Q12" s="67">
        <f t="shared" si="0"/>
        <v>1720</v>
      </c>
      <c r="R12" s="68">
        <f t="shared" si="6"/>
        <v>991.24202122400004</v>
      </c>
      <c r="S12" s="69"/>
      <c r="T12" s="70">
        <v>359088</v>
      </c>
      <c r="U12" s="61">
        <f t="shared" si="13"/>
        <v>202</v>
      </c>
      <c r="V12" s="71">
        <f t="shared" si="7"/>
        <v>576.71</v>
      </c>
      <c r="W12" s="72"/>
      <c r="X12" s="77">
        <f t="shared" si="1"/>
        <v>3895.0870212240002</v>
      </c>
      <c r="Y12" s="78">
        <v>126</v>
      </c>
      <c r="Z12" s="79">
        <f t="shared" si="8"/>
        <v>30.913389057333333</v>
      </c>
    </row>
    <row r="13" spans="1:27" x14ac:dyDescent="0.25">
      <c r="A13" s="10" t="s">
        <v>116</v>
      </c>
      <c r="B13" s="59">
        <f t="shared" si="9"/>
        <v>5</v>
      </c>
      <c r="C13" s="62">
        <v>6617791</v>
      </c>
      <c r="D13" s="61">
        <f t="shared" si="2"/>
        <v>3286</v>
      </c>
      <c r="E13" s="62">
        <v>6565419</v>
      </c>
      <c r="F13" s="61">
        <f t="shared" si="10"/>
        <v>3238</v>
      </c>
      <c r="G13" s="63">
        <v>6199707</v>
      </c>
      <c r="H13" s="61">
        <f t="shared" si="3"/>
        <v>3081</v>
      </c>
      <c r="I13" s="60">
        <f t="shared" si="4"/>
        <v>9605</v>
      </c>
      <c r="J13" s="64">
        <v>0.99</v>
      </c>
      <c r="K13" s="65">
        <f t="shared" si="5"/>
        <v>2468.4850000000001</v>
      </c>
      <c r="L13" s="66"/>
      <c r="M13" s="60">
        <v>182431</v>
      </c>
      <c r="N13" s="61">
        <f t="shared" si="11"/>
        <v>103</v>
      </c>
      <c r="O13" s="60">
        <v>2735236</v>
      </c>
      <c r="P13" s="61">
        <f t="shared" si="12"/>
        <v>1493</v>
      </c>
      <c r="Q13" s="67">
        <f t="shared" si="0"/>
        <v>1596</v>
      </c>
      <c r="R13" s="68">
        <f t="shared" si="6"/>
        <v>918.45801647600013</v>
      </c>
      <c r="S13" s="69"/>
      <c r="T13" s="70">
        <v>359332</v>
      </c>
      <c r="U13" s="61">
        <f t="shared" si="13"/>
        <v>244</v>
      </c>
      <c r="V13" s="71">
        <f t="shared" si="7"/>
        <v>696.62</v>
      </c>
      <c r="W13" s="72"/>
      <c r="X13" s="77">
        <f t="shared" si="1"/>
        <v>4083.563016476</v>
      </c>
      <c r="Y13" s="78">
        <v>143</v>
      </c>
      <c r="Z13" s="79">
        <f t="shared" si="8"/>
        <v>28.556384730601398</v>
      </c>
    </row>
    <row r="14" spans="1:27" x14ac:dyDescent="0.25">
      <c r="A14" s="10" t="s">
        <v>117</v>
      </c>
      <c r="B14" s="59">
        <f t="shared" si="9"/>
        <v>6</v>
      </c>
      <c r="C14" s="62">
        <v>6621530</v>
      </c>
      <c r="D14" s="61">
        <f t="shared" si="2"/>
        <v>3739</v>
      </c>
      <c r="E14" s="62">
        <v>6569091</v>
      </c>
      <c r="F14" s="61">
        <f t="shared" si="10"/>
        <v>3672</v>
      </c>
      <c r="G14" s="63">
        <v>6203219</v>
      </c>
      <c r="H14" s="61">
        <f t="shared" si="3"/>
        <v>3512</v>
      </c>
      <c r="I14" s="60">
        <f t="shared" si="4"/>
        <v>10923</v>
      </c>
      <c r="J14" s="64">
        <v>0.99</v>
      </c>
      <c r="K14" s="65">
        <f t="shared" si="5"/>
        <v>2807.2110000000002</v>
      </c>
      <c r="L14" s="66"/>
      <c r="M14" s="60">
        <v>182566</v>
      </c>
      <c r="N14" s="61">
        <f t="shared" si="11"/>
        <v>135</v>
      </c>
      <c r="O14" s="60">
        <v>2736715</v>
      </c>
      <c r="P14" s="61">
        <f t="shared" si="12"/>
        <v>1479</v>
      </c>
      <c r="Q14" s="67">
        <f t="shared" si="0"/>
        <v>1614</v>
      </c>
      <c r="R14" s="68">
        <f t="shared" si="6"/>
        <v>932.81275542000014</v>
      </c>
      <c r="S14" s="69"/>
      <c r="T14" s="70">
        <v>359662</v>
      </c>
      <c r="U14" s="61">
        <f t="shared" si="13"/>
        <v>330</v>
      </c>
      <c r="V14" s="71">
        <f t="shared" si="7"/>
        <v>942.15</v>
      </c>
      <c r="W14" s="72"/>
      <c r="X14" s="77">
        <f t="shared" si="1"/>
        <v>4682.1737554199999</v>
      </c>
      <c r="Y14" s="78">
        <v>167</v>
      </c>
      <c r="Z14" s="79">
        <f t="shared" si="8"/>
        <v>28.036968595329341</v>
      </c>
    </row>
    <row r="15" spans="1:27" x14ac:dyDescent="0.25">
      <c r="A15" s="10" t="s">
        <v>118</v>
      </c>
      <c r="B15" s="59">
        <f t="shared" si="9"/>
        <v>7</v>
      </c>
      <c r="C15" s="62">
        <v>6625072</v>
      </c>
      <c r="D15" s="61">
        <f t="shared" si="2"/>
        <v>3542</v>
      </c>
      <c r="E15" s="62">
        <v>6572624</v>
      </c>
      <c r="F15" s="61">
        <f t="shared" si="10"/>
        <v>3533</v>
      </c>
      <c r="G15" s="63">
        <v>6206575</v>
      </c>
      <c r="H15" s="61">
        <f t="shared" si="3"/>
        <v>3356</v>
      </c>
      <c r="I15" s="60">
        <f t="shared" si="4"/>
        <v>10431</v>
      </c>
      <c r="J15" s="64">
        <v>0.99</v>
      </c>
      <c r="K15" s="65">
        <f t="shared" si="5"/>
        <v>2680.7670000000003</v>
      </c>
      <c r="L15" s="66"/>
      <c r="M15" s="60">
        <v>182699</v>
      </c>
      <c r="N15" s="61">
        <f t="shared" si="11"/>
        <v>133</v>
      </c>
      <c r="O15" s="60">
        <v>2738357</v>
      </c>
      <c r="P15" s="61">
        <f t="shared" si="12"/>
        <v>1642</v>
      </c>
      <c r="Q15" s="67">
        <f t="shared" si="0"/>
        <v>1775</v>
      </c>
      <c r="R15" s="68">
        <f t="shared" si="6"/>
        <v>1023.858617236</v>
      </c>
      <c r="S15" s="69"/>
      <c r="T15" s="70">
        <v>359997</v>
      </c>
      <c r="U15" s="61">
        <f t="shared" si="13"/>
        <v>335</v>
      </c>
      <c r="V15" s="71">
        <f t="shared" si="7"/>
        <v>956.42499999999995</v>
      </c>
      <c r="W15" s="72"/>
      <c r="X15" s="77">
        <f t="shared" si="1"/>
        <v>4661.0506172360001</v>
      </c>
      <c r="Y15" s="78">
        <v>176</v>
      </c>
      <c r="Z15" s="79">
        <f t="shared" si="8"/>
        <v>26.483242143386363</v>
      </c>
    </row>
    <row r="16" spans="1:27" x14ac:dyDescent="0.25">
      <c r="A16" s="10" t="s">
        <v>119</v>
      </c>
      <c r="B16" s="59">
        <f t="shared" si="9"/>
        <v>8</v>
      </c>
      <c r="C16" s="62">
        <v>6628682</v>
      </c>
      <c r="D16" s="61">
        <f t="shared" si="2"/>
        <v>3610</v>
      </c>
      <c r="E16" s="62">
        <v>6576201</v>
      </c>
      <c r="F16" s="61">
        <f t="shared" si="10"/>
        <v>3577</v>
      </c>
      <c r="G16" s="63">
        <v>6209998</v>
      </c>
      <c r="H16" s="61">
        <f t="shared" si="3"/>
        <v>3423</v>
      </c>
      <c r="I16" s="60">
        <f t="shared" si="4"/>
        <v>10610</v>
      </c>
      <c r="J16" s="64">
        <v>0.99</v>
      </c>
      <c r="K16" s="65">
        <f t="shared" si="5"/>
        <v>2726.77</v>
      </c>
      <c r="L16" s="66"/>
      <c r="M16" s="60">
        <v>182830</v>
      </c>
      <c r="N16" s="61">
        <f t="shared" si="11"/>
        <v>131</v>
      </c>
      <c r="O16" s="60">
        <v>2740190</v>
      </c>
      <c r="P16" s="61">
        <f t="shared" si="12"/>
        <v>1833</v>
      </c>
      <c r="Q16" s="67">
        <f t="shared" si="0"/>
        <v>1964</v>
      </c>
      <c r="R16" s="68">
        <f t="shared" si="6"/>
        <v>1130.7836150520002</v>
      </c>
      <c r="S16" s="69"/>
      <c r="T16" s="70">
        <v>360215</v>
      </c>
      <c r="U16" s="61">
        <f t="shared" si="13"/>
        <v>218</v>
      </c>
      <c r="V16" s="71">
        <f t="shared" si="7"/>
        <v>622.39</v>
      </c>
      <c r="W16" s="72"/>
      <c r="X16" s="77">
        <f t="shared" si="1"/>
        <v>4479.9436150520005</v>
      </c>
      <c r="Y16" s="78">
        <v>148</v>
      </c>
      <c r="Z16" s="79">
        <f t="shared" si="8"/>
        <v>30.269889290891896</v>
      </c>
    </row>
    <row r="17" spans="1:26" x14ac:dyDescent="0.25">
      <c r="A17" s="10" t="s">
        <v>120</v>
      </c>
      <c r="B17" s="59">
        <v>9</v>
      </c>
      <c r="C17" s="62">
        <v>6632248</v>
      </c>
      <c r="D17" s="61">
        <f t="shared" si="2"/>
        <v>3566</v>
      </c>
      <c r="E17" s="62">
        <v>6579710</v>
      </c>
      <c r="F17" s="61">
        <f t="shared" si="10"/>
        <v>3509</v>
      </c>
      <c r="G17" s="63">
        <v>6213339</v>
      </c>
      <c r="H17" s="61">
        <f t="shared" si="3"/>
        <v>3341</v>
      </c>
      <c r="I17" s="60">
        <f t="shared" si="4"/>
        <v>10416</v>
      </c>
      <c r="J17" s="64">
        <v>0.99</v>
      </c>
      <c r="K17" s="65">
        <f t="shared" si="5"/>
        <v>2676.9120000000003</v>
      </c>
      <c r="L17" s="66"/>
      <c r="M17" s="60">
        <v>182950</v>
      </c>
      <c r="N17" s="61">
        <f t="shared" si="11"/>
        <v>120</v>
      </c>
      <c r="O17" s="60">
        <v>2741838</v>
      </c>
      <c r="P17" s="61">
        <f t="shared" si="12"/>
        <v>1648</v>
      </c>
      <c r="Q17" s="67">
        <f t="shared" si="0"/>
        <v>1768</v>
      </c>
      <c r="R17" s="68">
        <f t="shared" si="6"/>
        <v>1018.2042270400001</v>
      </c>
      <c r="S17" s="69"/>
      <c r="T17" s="70">
        <v>360458</v>
      </c>
      <c r="U17" s="61">
        <f t="shared" si="13"/>
        <v>243</v>
      </c>
      <c r="V17" s="71">
        <f t="shared" si="7"/>
        <v>693.76499999999999</v>
      </c>
      <c r="W17" s="72"/>
      <c r="X17" s="77">
        <f t="shared" si="1"/>
        <v>4388.8812270400003</v>
      </c>
      <c r="Y17" s="78">
        <v>135</v>
      </c>
      <c r="Z17" s="79">
        <f t="shared" si="8"/>
        <v>32.510231311407409</v>
      </c>
    </row>
    <row r="18" spans="1:26" x14ac:dyDescent="0.25">
      <c r="A18" s="10" t="s">
        <v>121</v>
      </c>
      <c r="B18" s="80">
        <f t="shared" si="9"/>
        <v>10</v>
      </c>
      <c r="C18" s="62">
        <v>6635771</v>
      </c>
      <c r="D18" s="61">
        <f t="shared" si="2"/>
        <v>3523</v>
      </c>
      <c r="E18" s="62">
        <v>6583204</v>
      </c>
      <c r="F18" s="61">
        <f t="shared" si="10"/>
        <v>3494</v>
      </c>
      <c r="G18" s="63">
        <v>6216666</v>
      </c>
      <c r="H18" s="61">
        <f t="shared" si="3"/>
        <v>3327</v>
      </c>
      <c r="I18" s="60">
        <f t="shared" si="4"/>
        <v>10344</v>
      </c>
      <c r="J18" s="64">
        <v>0.99</v>
      </c>
      <c r="K18" s="65">
        <f t="shared" si="5"/>
        <v>2658.4079999999999</v>
      </c>
      <c r="L18" s="81"/>
      <c r="M18" s="60">
        <v>183065</v>
      </c>
      <c r="N18" s="61">
        <f t="shared" si="11"/>
        <v>115</v>
      </c>
      <c r="O18" s="60">
        <v>2743471</v>
      </c>
      <c r="P18" s="61">
        <f t="shared" si="12"/>
        <v>1633</v>
      </c>
      <c r="Q18" s="67">
        <f t="shared" si="0"/>
        <v>1748</v>
      </c>
      <c r="R18" s="68">
        <f t="shared" si="6"/>
        <v>1006.21406158</v>
      </c>
      <c r="S18" s="82"/>
      <c r="T18" s="70">
        <v>360669</v>
      </c>
      <c r="U18" s="61">
        <f t="shared" si="13"/>
        <v>211</v>
      </c>
      <c r="V18" s="71">
        <f t="shared" si="7"/>
        <v>602.40499999999997</v>
      </c>
      <c r="W18" s="72"/>
      <c r="X18" s="77">
        <f t="shared" si="1"/>
        <v>4267.02706158</v>
      </c>
      <c r="Y18" s="78">
        <v>146</v>
      </c>
      <c r="Z18" s="83">
        <f t="shared" si="8"/>
        <v>29.226212750547944</v>
      </c>
    </row>
    <row r="19" spans="1:26" x14ac:dyDescent="0.25">
      <c r="A19" s="10" t="s">
        <v>96</v>
      </c>
      <c r="B19" s="84">
        <f t="shared" si="9"/>
        <v>11</v>
      </c>
      <c r="C19" s="62">
        <v>6639342</v>
      </c>
      <c r="D19" s="61">
        <f t="shared" si="2"/>
        <v>3571</v>
      </c>
      <c r="E19" s="62">
        <v>6586752</v>
      </c>
      <c r="F19" s="61">
        <f t="shared" si="10"/>
        <v>3548</v>
      </c>
      <c r="G19" s="63">
        <v>6220058</v>
      </c>
      <c r="H19" s="61">
        <f t="shared" si="3"/>
        <v>3392</v>
      </c>
      <c r="I19" s="60">
        <f t="shared" si="4"/>
        <v>10511</v>
      </c>
      <c r="J19" s="64">
        <v>0.99</v>
      </c>
      <c r="K19" s="65">
        <f t="shared" si="5"/>
        <v>2701.3270000000002</v>
      </c>
      <c r="L19" s="66"/>
      <c r="M19" s="60">
        <v>183208</v>
      </c>
      <c r="N19" s="61">
        <f t="shared" si="11"/>
        <v>143</v>
      </c>
      <c r="O19" s="60">
        <v>2745058</v>
      </c>
      <c r="P19" s="61">
        <f t="shared" si="12"/>
        <v>1587</v>
      </c>
      <c r="Q19" s="67">
        <f t="shared" si="0"/>
        <v>1730</v>
      </c>
      <c r="R19" s="68">
        <f t="shared" si="6"/>
        <v>999.63442815600013</v>
      </c>
      <c r="S19" s="69"/>
      <c r="T19" s="70">
        <v>361022</v>
      </c>
      <c r="U19" s="61">
        <f t="shared" si="13"/>
        <v>353</v>
      </c>
      <c r="V19" s="71">
        <f t="shared" si="7"/>
        <v>1007.8149999999999</v>
      </c>
      <c r="W19" s="72"/>
      <c r="X19" s="77">
        <f t="shared" si="1"/>
        <v>4708.7764281560003</v>
      </c>
      <c r="Y19" s="78">
        <v>151</v>
      </c>
      <c r="Z19" s="75">
        <f t="shared" si="8"/>
        <v>31.183949855337751</v>
      </c>
    </row>
    <row r="20" spans="1:26" x14ac:dyDescent="0.25">
      <c r="A20" s="10" t="s">
        <v>116</v>
      </c>
      <c r="B20" s="59">
        <f t="shared" si="9"/>
        <v>12</v>
      </c>
      <c r="C20" s="62">
        <v>6643014</v>
      </c>
      <c r="D20" s="61">
        <f t="shared" si="2"/>
        <v>3672</v>
      </c>
      <c r="E20" s="62">
        <v>6590398</v>
      </c>
      <c r="F20" s="61">
        <f t="shared" si="10"/>
        <v>3646</v>
      </c>
      <c r="G20" s="63">
        <v>6223539</v>
      </c>
      <c r="H20" s="61">
        <f t="shared" si="3"/>
        <v>3481</v>
      </c>
      <c r="I20" s="60">
        <f t="shared" si="4"/>
        <v>10799</v>
      </c>
      <c r="J20" s="64">
        <v>0.99</v>
      </c>
      <c r="K20" s="65">
        <f t="shared" si="5"/>
        <v>2775.3429999999998</v>
      </c>
      <c r="L20" s="66"/>
      <c r="M20" s="60">
        <v>183349</v>
      </c>
      <c r="N20" s="61">
        <f t="shared" si="11"/>
        <v>141</v>
      </c>
      <c r="O20" s="60">
        <v>2746906</v>
      </c>
      <c r="P20" s="61">
        <f t="shared" si="12"/>
        <v>1848</v>
      </c>
      <c r="Q20" s="67">
        <f t="shared" si="0"/>
        <v>1989</v>
      </c>
      <c r="R20" s="68">
        <f t="shared" si="6"/>
        <v>1146.2572659720001</v>
      </c>
      <c r="S20" s="69"/>
      <c r="T20" s="70">
        <v>361358</v>
      </c>
      <c r="U20" s="61">
        <f t="shared" si="13"/>
        <v>336</v>
      </c>
      <c r="V20" s="71">
        <f t="shared" si="7"/>
        <v>959.28</v>
      </c>
      <c r="W20" s="72"/>
      <c r="X20" s="77">
        <f t="shared" si="1"/>
        <v>4880.8802659719995</v>
      </c>
      <c r="Y20" s="78">
        <v>165</v>
      </c>
      <c r="Z20" s="79">
        <f t="shared" si="8"/>
        <v>29.581092521042422</v>
      </c>
    </row>
    <row r="21" spans="1:26" x14ac:dyDescent="0.25">
      <c r="A21" s="10" t="s">
        <v>117</v>
      </c>
      <c r="B21" s="59">
        <f t="shared" si="9"/>
        <v>13</v>
      </c>
      <c r="C21" s="62">
        <v>6646752</v>
      </c>
      <c r="D21" s="61">
        <f t="shared" si="2"/>
        <v>3738</v>
      </c>
      <c r="E21" s="62">
        <v>6594103</v>
      </c>
      <c r="F21" s="61">
        <f t="shared" si="10"/>
        <v>3705</v>
      </c>
      <c r="G21" s="63">
        <v>6227077</v>
      </c>
      <c r="H21" s="61">
        <f t="shared" si="3"/>
        <v>3538</v>
      </c>
      <c r="I21" s="60">
        <f t="shared" si="4"/>
        <v>10981</v>
      </c>
      <c r="J21" s="64">
        <v>0.99</v>
      </c>
      <c r="K21" s="65">
        <f t="shared" si="5"/>
        <v>2822.1170000000002</v>
      </c>
      <c r="L21" s="66"/>
      <c r="M21" s="60">
        <v>183465</v>
      </c>
      <c r="N21" s="61">
        <f t="shared" si="11"/>
        <v>116</v>
      </c>
      <c r="O21" s="60">
        <v>2748660</v>
      </c>
      <c r="P21" s="61">
        <f t="shared" si="12"/>
        <v>1754</v>
      </c>
      <c r="Q21" s="67">
        <f t="shared" si="0"/>
        <v>1870</v>
      </c>
      <c r="R21" s="68">
        <f t="shared" si="6"/>
        <v>1075.5313106720002</v>
      </c>
      <c r="S21" s="69"/>
      <c r="T21" s="70">
        <v>361594</v>
      </c>
      <c r="U21" s="61">
        <f t="shared" si="13"/>
        <v>236</v>
      </c>
      <c r="V21" s="71">
        <f t="shared" si="7"/>
        <v>673.78</v>
      </c>
      <c r="W21" s="72"/>
      <c r="X21" s="77">
        <f t="shared" si="1"/>
        <v>4571.4283106720004</v>
      </c>
      <c r="Y21" s="78">
        <v>164</v>
      </c>
      <c r="Z21" s="79">
        <f t="shared" si="8"/>
        <v>27.874562869951223</v>
      </c>
    </row>
    <row r="22" spans="1:26" x14ac:dyDescent="0.25">
      <c r="A22" s="10" t="s">
        <v>118</v>
      </c>
      <c r="B22" s="59">
        <f t="shared" si="9"/>
        <v>14</v>
      </c>
      <c r="C22" s="62">
        <v>6650511</v>
      </c>
      <c r="D22" s="61">
        <f t="shared" si="2"/>
        <v>3759</v>
      </c>
      <c r="E22" s="62">
        <v>6597822</v>
      </c>
      <c r="F22" s="61">
        <f t="shared" si="10"/>
        <v>3719</v>
      </c>
      <c r="G22" s="63">
        <v>6230622</v>
      </c>
      <c r="H22" s="61">
        <f t="shared" si="3"/>
        <v>3545</v>
      </c>
      <c r="I22" s="60">
        <f t="shared" si="4"/>
        <v>11023</v>
      </c>
      <c r="J22" s="64">
        <v>0.99</v>
      </c>
      <c r="K22" s="65">
        <f t="shared" si="5"/>
        <v>2832.9110000000001</v>
      </c>
      <c r="L22" s="66"/>
      <c r="M22" s="60">
        <v>183599</v>
      </c>
      <c r="N22" s="61">
        <f t="shared" si="11"/>
        <v>134</v>
      </c>
      <c r="O22" s="60">
        <v>2750088</v>
      </c>
      <c r="P22" s="61">
        <f t="shared" si="12"/>
        <v>1428</v>
      </c>
      <c r="Q22" s="67">
        <f t="shared" si="0"/>
        <v>1562</v>
      </c>
      <c r="R22" s="68">
        <f t="shared" si="6"/>
        <v>903.19334632799996</v>
      </c>
      <c r="S22" s="69"/>
      <c r="T22" s="70">
        <v>361925</v>
      </c>
      <c r="U22" s="61">
        <f t="shared" si="13"/>
        <v>331</v>
      </c>
      <c r="V22" s="71">
        <f t="shared" si="7"/>
        <v>945.005</v>
      </c>
      <c r="W22" s="72"/>
      <c r="X22" s="77">
        <f t="shared" si="1"/>
        <v>4681.1093463280004</v>
      </c>
      <c r="Y22" s="78">
        <v>153</v>
      </c>
      <c r="Z22" s="79">
        <f t="shared" si="8"/>
        <v>30.59548592371242</v>
      </c>
    </row>
    <row r="23" spans="1:26" x14ac:dyDescent="0.25">
      <c r="A23" s="10" t="s">
        <v>119</v>
      </c>
      <c r="B23" s="59">
        <f t="shared" si="9"/>
        <v>15</v>
      </c>
      <c r="C23" s="62">
        <v>6654426</v>
      </c>
      <c r="D23" s="61">
        <f t="shared" si="2"/>
        <v>3915</v>
      </c>
      <c r="E23" s="62">
        <v>6601691</v>
      </c>
      <c r="F23" s="61">
        <f t="shared" si="10"/>
        <v>3869</v>
      </c>
      <c r="G23" s="63">
        <v>6234287</v>
      </c>
      <c r="H23" s="61">
        <f t="shared" si="3"/>
        <v>3665</v>
      </c>
      <c r="I23" s="60">
        <f t="shared" si="4"/>
        <v>11449</v>
      </c>
      <c r="J23" s="64">
        <v>0.99</v>
      </c>
      <c r="K23" s="65">
        <f t="shared" si="5"/>
        <v>2942.393</v>
      </c>
      <c r="L23" s="66"/>
      <c r="M23" s="60">
        <v>183732</v>
      </c>
      <c r="N23" s="61">
        <f t="shared" si="11"/>
        <v>133</v>
      </c>
      <c r="O23" s="60">
        <v>2751524</v>
      </c>
      <c r="P23" s="61">
        <f t="shared" si="12"/>
        <v>1436</v>
      </c>
      <c r="Q23" s="67">
        <f t="shared" si="0"/>
        <v>1569</v>
      </c>
      <c r="R23" s="68">
        <f t="shared" si="6"/>
        <v>907.03354523600001</v>
      </c>
      <c r="S23" s="69"/>
      <c r="T23" s="70">
        <v>362361</v>
      </c>
      <c r="U23" s="61">
        <f t="shared" si="13"/>
        <v>436</v>
      </c>
      <c r="V23" s="71">
        <f t="shared" si="7"/>
        <v>1244.78</v>
      </c>
      <c r="W23" s="72"/>
      <c r="X23" s="77">
        <f t="shared" si="1"/>
        <v>5094.2065452360002</v>
      </c>
      <c r="Y23" s="78">
        <v>127</v>
      </c>
      <c r="Z23" s="79">
        <f t="shared" si="8"/>
        <v>40.111862560913387</v>
      </c>
    </row>
    <row r="24" spans="1:26" x14ac:dyDescent="0.25">
      <c r="A24" s="10" t="s">
        <v>120</v>
      </c>
      <c r="B24" s="59">
        <f t="shared" si="9"/>
        <v>16</v>
      </c>
      <c r="C24" s="62">
        <v>6658128</v>
      </c>
      <c r="D24" s="61">
        <f t="shared" si="2"/>
        <v>3702</v>
      </c>
      <c r="E24" s="62">
        <v>6605352</v>
      </c>
      <c r="F24" s="61">
        <f t="shared" si="10"/>
        <v>3661</v>
      </c>
      <c r="G24" s="63">
        <v>6237771</v>
      </c>
      <c r="H24" s="61">
        <f t="shared" si="3"/>
        <v>3484</v>
      </c>
      <c r="I24" s="60">
        <f t="shared" si="4"/>
        <v>10847</v>
      </c>
      <c r="J24" s="64">
        <v>0.99</v>
      </c>
      <c r="K24" s="65">
        <f t="shared" si="5"/>
        <v>2787.6790000000001</v>
      </c>
      <c r="L24" s="66"/>
      <c r="M24" s="60">
        <v>183864</v>
      </c>
      <c r="N24" s="61">
        <f t="shared" si="11"/>
        <v>132</v>
      </c>
      <c r="O24" s="60">
        <v>2752559</v>
      </c>
      <c r="P24" s="61">
        <f t="shared" si="12"/>
        <v>1035</v>
      </c>
      <c r="Q24" s="67">
        <f t="shared" si="0"/>
        <v>1167</v>
      </c>
      <c r="R24" s="68">
        <f t="shared" si="6"/>
        <v>678.92493614400007</v>
      </c>
      <c r="S24" s="69"/>
      <c r="T24" s="70">
        <v>362674</v>
      </c>
      <c r="U24" s="61">
        <f t="shared" si="13"/>
        <v>313</v>
      </c>
      <c r="V24" s="71">
        <f t="shared" si="7"/>
        <v>893.61500000000001</v>
      </c>
      <c r="W24" s="72"/>
      <c r="X24" s="77">
        <f t="shared" si="1"/>
        <v>4360.2189361440005</v>
      </c>
      <c r="Y24" s="78">
        <v>117</v>
      </c>
      <c r="Z24" s="79">
        <f t="shared" si="8"/>
        <v>37.266828514051284</v>
      </c>
    </row>
    <row r="25" spans="1:26" x14ac:dyDescent="0.25">
      <c r="A25" s="10" t="s">
        <v>121</v>
      </c>
      <c r="B25" s="59">
        <f t="shared" si="9"/>
        <v>17</v>
      </c>
      <c r="C25" s="62">
        <v>6661767</v>
      </c>
      <c r="D25" s="61">
        <f t="shared" si="2"/>
        <v>3639</v>
      </c>
      <c r="E25" s="62">
        <v>6608947</v>
      </c>
      <c r="F25" s="61">
        <f t="shared" si="10"/>
        <v>3595</v>
      </c>
      <c r="G25" s="63">
        <v>6241194</v>
      </c>
      <c r="H25" s="61">
        <f t="shared" si="3"/>
        <v>3423</v>
      </c>
      <c r="I25" s="60">
        <f t="shared" si="4"/>
        <v>10657</v>
      </c>
      <c r="J25" s="64">
        <v>0.99</v>
      </c>
      <c r="K25" s="65">
        <f t="shared" si="5"/>
        <v>2738.8490000000002</v>
      </c>
      <c r="L25" s="66"/>
      <c r="M25" s="60">
        <v>183987</v>
      </c>
      <c r="N25" s="61">
        <f t="shared" si="11"/>
        <v>123</v>
      </c>
      <c r="O25" s="60">
        <v>2753600</v>
      </c>
      <c r="P25" s="61">
        <f t="shared" si="12"/>
        <v>1041</v>
      </c>
      <c r="Q25" s="67">
        <f t="shared" si="0"/>
        <v>1164</v>
      </c>
      <c r="R25" s="68">
        <f t="shared" si="6"/>
        <v>676.05733431600004</v>
      </c>
      <c r="S25" s="69"/>
      <c r="T25" s="70">
        <v>363052</v>
      </c>
      <c r="U25" s="61">
        <f t="shared" si="13"/>
        <v>378</v>
      </c>
      <c r="V25" s="71">
        <f t="shared" si="7"/>
        <v>1079.19</v>
      </c>
      <c r="W25" s="72"/>
      <c r="X25" s="77">
        <f t="shared" si="1"/>
        <v>4494.0963343160001</v>
      </c>
      <c r="Y25" s="78">
        <v>133</v>
      </c>
      <c r="Z25" s="79">
        <f t="shared" si="8"/>
        <v>33.790198002375938</v>
      </c>
    </row>
    <row r="26" spans="1:26" x14ac:dyDescent="0.25">
      <c r="A26" s="10" t="s">
        <v>96</v>
      </c>
      <c r="B26" s="59">
        <f t="shared" si="9"/>
        <v>18</v>
      </c>
      <c r="C26" s="62">
        <v>6665313</v>
      </c>
      <c r="D26" s="61">
        <f t="shared" si="2"/>
        <v>3546</v>
      </c>
      <c r="E26" s="62">
        <v>6612471</v>
      </c>
      <c r="F26" s="61">
        <f t="shared" si="10"/>
        <v>3524</v>
      </c>
      <c r="G26" s="63">
        <v>6244541</v>
      </c>
      <c r="H26" s="61">
        <f t="shared" si="3"/>
        <v>3347</v>
      </c>
      <c r="I26" s="60">
        <f t="shared" si="4"/>
        <v>10417</v>
      </c>
      <c r="J26" s="64">
        <v>0.99</v>
      </c>
      <c r="K26" s="65">
        <f t="shared" si="5"/>
        <v>2677.1689999999999</v>
      </c>
      <c r="L26" s="66"/>
      <c r="M26" s="60">
        <v>184096</v>
      </c>
      <c r="N26" s="61">
        <f t="shared" si="11"/>
        <v>109</v>
      </c>
      <c r="O26" s="60">
        <v>2754513</v>
      </c>
      <c r="P26" s="61">
        <f t="shared" si="12"/>
        <v>913</v>
      </c>
      <c r="Q26" s="67">
        <f t="shared" si="0"/>
        <v>1022</v>
      </c>
      <c r="R26" s="68">
        <f t="shared" si="6"/>
        <v>593.71323902800009</v>
      </c>
      <c r="S26" s="69"/>
      <c r="T26" s="70">
        <v>363302</v>
      </c>
      <c r="U26" s="61">
        <f t="shared" si="13"/>
        <v>250</v>
      </c>
      <c r="V26" s="71">
        <f t="shared" si="7"/>
        <v>713.75</v>
      </c>
      <c r="W26" s="72"/>
      <c r="X26" s="77">
        <f t="shared" si="1"/>
        <v>3984.6322390280002</v>
      </c>
      <c r="Y26" s="78">
        <v>147</v>
      </c>
      <c r="Z26" s="79">
        <f t="shared" si="8"/>
        <v>27.106341762095241</v>
      </c>
    </row>
    <row r="27" spans="1:26" x14ac:dyDescent="0.25">
      <c r="A27" s="10" t="s">
        <v>116</v>
      </c>
      <c r="B27" s="59">
        <f t="shared" si="9"/>
        <v>19</v>
      </c>
      <c r="C27" s="62">
        <v>6669023</v>
      </c>
      <c r="D27" s="61">
        <f t="shared" si="2"/>
        <v>3710</v>
      </c>
      <c r="E27" s="62">
        <v>6616146</v>
      </c>
      <c r="F27" s="61">
        <f t="shared" si="10"/>
        <v>3675</v>
      </c>
      <c r="G27" s="63">
        <v>6248041</v>
      </c>
      <c r="H27" s="61">
        <f t="shared" si="3"/>
        <v>3500</v>
      </c>
      <c r="I27" s="60">
        <f t="shared" si="4"/>
        <v>10885</v>
      </c>
      <c r="J27" s="64">
        <v>0.99</v>
      </c>
      <c r="K27" s="65">
        <f t="shared" si="5"/>
        <v>2797.4450000000002</v>
      </c>
      <c r="L27" s="85"/>
      <c r="M27" s="60">
        <v>184235</v>
      </c>
      <c r="N27" s="61">
        <f t="shared" si="11"/>
        <v>139</v>
      </c>
      <c r="O27" s="60">
        <v>2755341</v>
      </c>
      <c r="P27" s="61">
        <f t="shared" si="12"/>
        <v>828</v>
      </c>
      <c r="Q27" s="67">
        <f t="shared" si="0"/>
        <v>967</v>
      </c>
      <c r="R27" s="68">
        <f t="shared" si="6"/>
        <v>566.40963178800007</v>
      </c>
      <c r="S27" s="69"/>
      <c r="T27" s="70">
        <v>363494</v>
      </c>
      <c r="U27" s="61">
        <f t="shared" si="13"/>
        <v>192</v>
      </c>
      <c r="V27" s="71">
        <f t="shared" si="7"/>
        <v>548.16</v>
      </c>
      <c r="W27" s="72"/>
      <c r="X27" s="77">
        <f t="shared" si="1"/>
        <v>3912.0146317879999</v>
      </c>
      <c r="Y27" s="78">
        <v>153</v>
      </c>
      <c r="Z27" s="79">
        <f t="shared" si="8"/>
        <v>25.568723083581698</v>
      </c>
    </row>
    <row r="28" spans="1:26" x14ac:dyDescent="0.25">
      <c r="A28" s="10" t="s">
        <v>117</v>
      </c>
      <c r="B28" s="80">
        <f t="shared" si="9"/>
        <v>20</v>
      </c>
      <c r="C28" s="62">
        <v>6672892</v>
      </c>
      <c r="D28" s="61">
        <f t="shared" si="2"/>
        <v>3869</v>
      </c>
      <c r="E28" s="62">
        <v>6619979</v>
      </c>
      <c r="F28" s="61">
        <f t="shared" si="10"/>
        <v>3833</v>
      </c>
      <c r="G28" s="63">
        <v>6251679</v>
      </c>
      <c r="H28" s="61">
        <f t="shared" si="3"/>
        <v>3638</v>
      </c>
      <c r="I28" s="60">
        <f t="shared" si="4"/>
        <v>11340</v>
      </c>
      <c r="J28" s="64">
        <v>0.99</v>
      </c>
      <c r="K28" s="65">
        <f t="shared" si="5"/>
        <v>2914.38</v>
      </c>
      <c r="L28" s="86"/>
      <c r="M28" s="60">
        <v>184390</v>
      </c>
      <c r="N28" s="61">
        <f t="shared" si="11"/>
        <v>155</v>
      </c>
      <c r="O28" s="60">
        <v>2756270</v>
      </c>
      <c r="P28" s="61">
        <f t="shared" si="12"/>
        <v>929</v>
      </c>
      <c r="Q28" s="67">
        <f t="shared" si="0"/>
        <v>1084</v>
      </c>
      <c r="R28" s="68">
        <f t="shared" si="6"/>
        <v>634.83509726000011</v>
      </c>
      <c r="S28" s="76"/>
      <c r="T28" s="70">
        <v>363754</v>
      </c>
      <c r="U28" s="61">
        <f t="shared" si="13"/>
        <v>260</v>
      </c>
      <c r="V28" s="71">
        <f t="shared" si="7"/>
        <v>742.3</v>
      </c>
      <c r="W28" s="72"/>
      <c r="X28" s="87">
        <f t="shared" si="1"/>
        <v>4291.5150972600004</v>
      </c>
      <c r="Y28" s="78">
        <v>191</v>
      </c>
      <c r="Z28" s="83">
        <f t="shared" si="8"/>
        <v>22.46866543068063</v>
      </c>
    </row>
    <row r="29" spans="1:26" x14ac:dyDescent="0.25">
      <c r="A29" s="10" t="s">
        <v>118</v>
      </c>
      <c r="B29" s="84">
        <f t="shared" si="9"/>
        <v>21</v>
      </c>
      <c r="C29" s="62">
        <v>6676820</v>
      </c>
      <c r="D29" s="61">
        <f t="shared" si="2"/>
        <v>3928</v>
      </c>
      <c r="E29" s="62">
        <v>6623916</v>
      </c>
      <c r="F29" s="61">
        <f t="shared" si="10"/>
        <v>3937</v>
      </c>
      <c r="G29" s="63">
        <v>6255392</v>
      </c>
      <c r="H29" s="61">
        <f t="shared" si="3"/>
        <v>3713</v>
      </c>
      <c r="I29" s="60">
        <f t="shared" si="4"/>
        <v>11578</v>
      </c>
      <c r="J29" s="64">
        <v>0.99</v>
      </c>
      <c r="K29" s="65">
        <f t="shared" si="5"/>
        <v>2975.5460000000003</v>
      </c>
      <c r="L29" s="66"/>
      <c r="M29" s="60">
        <v>184531</v>
      </c>
      <c r="N29" s="61">
        <f t="shared" si="11"/>
        <v>141</v>
      </c>
      <c r="O29" s="60">
        <v>2757191</v>
      </c>
      <c r="P29" s="61">
        <f t="shared" si="12"/>
        <v>921</v>
      </c>
      <c r="Q29" s="67">
        <f t="shared" si="0"/>
        <v>1062</v>
      </c>
      <c r="R29" s="68">
        <f t="shared" si="6"/>
        <v>620.54444197199996</v>
      </c>
      <c r="S29" s="69"/>
      <c r="T29" s="70">
        <v>364129</v>
      </c>
      <c r="U29" s="61">
        <f t="shared" si="13"/>
        <v>375</v>
      </c>
      <c r="V29" s="71">
        <f t="shared" si="7"/>
        <v>1070.625</v>
      </c>
      <c r="W29" s="72"/>
      <c r="X29" s="73">
        <f t="shared" si="1"/>
        <v>4666.715441972</v>
      </c>
      <c r="Y29" s="78">
        <v>171</v>
      </c>
      <c r="Z29" s="75">
        <f t="shared" si="8"/>
        <v>27.290733578783627</v>
      </c>
    </row>
    <row r="30" spans="1:26" x14ac:dyDescent="0.25">
      <c r="A30" s="10" t="s">
        <v>119</v>
      </c>
      <c r="B30" s="59">
        <f t="shared" si="9"/>
        <v>22</v>
      </c>
      <c r="C30" s="62">
        <v>6680900</v>
      </c>
      <c r="D30" s="61">
        <f t="shared" si="2"/>
        <v>4080</v>
      </c>
      <c r="E30" s="62">
        <v>6627921</v>
      </c>
      <c r="F30" s="61">
        <f t="shared" si="10"/>
        <v>4005</v>
      </c>
      <c r="G30" s="63">
        <v>6259268</v>
      </c>
      <c r="H30" s="61">
        <f t="shared" si="3"/>
        <v>3876</v>
      </c>
      <c r="I30" s="60">
        <f t="shared" si="4"/>
        <v>11961</v>
      </c>
      <c r="J30" s="64">
        <v>0.99</v>
      </c>
      <c r="K30" s="65">
        <f t="shared" si="5"/>
        <v>3073.9769999999999</v>
      </c>
      <c r="L30" s="66"/>
      <c r="M30" s="60">
        <v>184672</v>
      </c>
      <c r="N30" s="61">
        <f t="shared" si="11"/>
        <v>141</v>
      </c>
      <c r="O30" s="60">
        <v>2758202</v>
      </c>
      <c r="P30" s="61">
        <f t="shared" si="12"/>
        <v>1011</v>
      </c>
      <c r="Q30" s="67">
        <f t="shared" si="0"/>
        <v>1152</v>
      </c>
      <c r="R30" s="68">
        <f t="shared" si="6"/>
        <v>671.58452197200006</v>
      </c>
      <c r="S30" s="69"/>
      <c r="T30" s="70">
        <v>364421</v>
      </c>
      <c r="U30" s="61">
        <f t="shared" si="13"/>
        <v>292</v>
      </c>
      <c r="V30" s="71">
        <f t="shared" si="7"/>
        <v>833.66</v>
      </c>
      <c r="W30" s="72"/>
      <c r="X30" s="77">
        <f t="shared" si="1"/>
        <v>4579.2215219720001</v>
      </c>
      <c r="Y30" s="78">
        <v>147</v>
      </c>
      <c r="Z30" s="79">
        <f t="shared" si="8"/>
        <v>31.151166816136055</v>
      </c>
    </row>
    <row r="31" spans="1:26" x14ac:dyDescent="0.25">
      <c r="A31" s="10" t="s">
        <v>120</v>
      </c>
      <c r="B31" s="59">
        <f t="shared" si="9"/>
        <v>23</v>
      </c>
      <c r="C31" s="62">
        <v>6684799</v>
      </c>
      <c r="D31" s="61">
        <f t="shared" si="2"/>
        <v>3899</v>
      </c>
      <c r="E31" s="62">
        <v>6631764</v>
      </c>
      <c r="F31" s="61">
        <f t="shared" si="10"/>
        <v>3843</v>
      </c>
      <c r="G31" s="63">
        <v>6262969</v>
      </c>
      <c r="H31" s="61">
        <f t="shared" si="3"/>
        <v>3701</v>
      </c>
      <c r="I31" s="60">
        <f t="shared" si="4"/>
        <v>11443</v>
      </c>
      <c r="J31" s="64">
        <v>0.99</v>
      </c>
      <c r="K31" s="65">
        <f t="shared" si="5"/>
        <v>2940.8510000000001</v>
      </c>
      <c r="L31" s="66"/>
      <c r="M31" s="60">
        <v>184801</v>
      </c>
      <c r="N31" s="61">
        <f t="shared" si="11"/>
        <v>129</v>
      </c>
      <c r="O31" s="60">
        <v>2759189</v>
      </c>
      <c r="P31" s="61">
        <f t="shared" si="12"/>
        <v>987</v>
      </c>
      <c r="Q31" s="67">
        <f t="shared" si="0"/>
        <v>1116</v>
      </c>
      <c r="R31" s="68">
        <f t="shared" si="6"/>
        <v>649.61346886800015</v>
      </c>
      <c r="S31" s="69"/>
      <c r="T31" s="70">
        <v>364816</v>
      </c>
      <c r="U31" s="61">
        <f t="shared" si="13"/>
        <v>395</v>
      </c>
      <c r="V31" s="71">
        <f t="shared" si="7"/>
        <v>1127.7249999999999</v>
      </c>
      <c r="W31" s="72"/>
      <c r="X31" s="88">
        <f t="shared" si="1"/>
        <v>4718.1894688680004</v>
      </c>
      <c r="Y31" s="78">
        <v>144</v>
      </c>
      <c r="Z31" s="79">
        <f t="shared" si="8"/>
        <v>32.765204644916672</v>
      </c>
    </row>
    <row r="32" spans="1:26" x14ac:dyDescent="0.25">
      <c r="A32" s="10" t="s">
        <v>121</v>
      </c>
      <c r="B32" s="59">
        <f t="shared" si="9"/>
        <v>24</v>
      </c>
      <c r="C32" s="62">
        <v>6688875</v>
      </c>
      <c r="D32" s="61">
        <f t="shared" si="2"/>
        <v>4076</v>
      </c>
      <c r="E32" s="62">
        <v>6635795</v>
      </c>
      <c r="F32" s="61">
        <f t="shared" si="10"/>
        <v>4031</v>
      </c>
      <c r="G32" s="63">
        <v>6266849</v>
      </c>
      <c r="H32" s="61">
        <f t="shared" si="3"/>
        <v>3880</v>
      </c>
      <c r="I32" s="60">
        <f t="shared" si="4"/>
        <v>11987</v>
      </c>
      <c r="J32" s="64">
        <v>0.99</v>
      </c>
      <c r="K32" s="65">
        <f t="shared" si="5"/>
        <v>3080.6590000000001</v>
      </c>
      <c r="L32" s="66"/>
      <c r="M32" s="60">
        <v>184930</v>
      </c>
      <c r="N32" s="61">
        <f t="shared" si="11"/>
        <v>129</v>
      </c>
      <c r="O32" s="60">
        <v>2760074</v>
      </c>
      <c r="P32" s="61">
        <f t="shared" si="12"/>
        <v>885</v>
      </c>
      <c r="Q32" s="67">
        <f t="shared" si="0"/>
        <v>1014</v>
      </c>
      <c r="R32" s="68">
        <f t="shared" si="6"/>
        <v>591.76804486800006</v>
      </c>
      <c r="S32" s="69"/>
      <c r="T32" s="70">
        <v>365212</v>
      </c>
      <c r="U32" s="61">
        <f t="shared" si="13"/>
        <v>396</v>
      </c>
      <c r="V32" s="71">
        <f t="shared" si="7"/>
        <v>1130.58</v>
      </c>
      <c r="W32" s="72"/>
      <c r="X32" s="88">
        <f t="shared" si="1"/>
        <v>4803.0070448679999</v>
      </c>
      <c r="Y32" s="78">
        <v>172</v>
      </c>
      <c r="Z32" s="79">
        <f t="shared" si="8"/>
        <v>27.924459563186044</v>
      </c>
    </row>
    <row r="33" spans="1:26" x14ac:dyDescent="0.25">
      <c r="A33" s="10" t="s">
        <v>96</v>
      </c>
      <c r="B33" s="59">
        <f t="shared" si="9"/>
        <v>25</v>
      </c>
      <c r="C33" s="62">
        <v>6693158</v>
      </c>
      <c r="D33" s="61">
        <f t="shared" si="2"/>
        <v>4283</v>
      </c>
      <c r="E33" s="62">
        <v>6640028</v>
      </c>
      <c r="F33" s="61">
        <f t="shared" si="10"/>
        <v>4233</v>
      </c>
      <c r="G33" s="63">
        <v>6270956</v>
      </c>
      <c r="H33" s="61">
        <f t="shared" si="3"/>
        <v>4107</v>
      </c>
      <c r="I33" s="60">
        <f t="shared" si="4"/>
        <v>12623</v>
      </c>
      <c r="J33" s="64">
        <v>0.99</v>
      </c>
      <c r="K33" s="65">
        <f t="shared" si="5"/>
        <v>3244.1109999999999</v>
      </c>
      <c r="L33" s="66"/>
      <c r="M33" s="60">
        <v>185071</v>
      </c>
      <c r="N33" s="61">
        <f t="shared" si="11"/>
        <v>141</v>
      </c>
      <c r="O33" s="60">
        <v>2761034</v>
      </c>
      <c r="P33" s="61">
        <f t="shared" si="12"/>
        <v>960</v>
      </c>
      <c r="Q33" s="67">
        <f t="shared" si="0"/>
        <v>1101</v>
      </c>
      <c r="R33" s="68">
        <f t="shared" si="6"/>
        <v>642.66180997200001</v>
      </c>
      <c r="S33" s="69"/>
      <c r="T33" s="70">
        <v>365587</v>
      </c>
      <c r="U33" s="61">
        <f t="shared" si="13"/>
        <v>375</v>
      </c>
      <c r="V33" s="71">
        <f t="shared" si="7"/>
        <v>1070.625</v>
      </c>
      <c r="W33" s="72"/>
      <c r="X33" s="88">
        <f t="shared" si="1"/>
        <v>4957.3978099719998</v>
      </c>
      <c r="Y33" s="78">
        <v>168</v>
      </c>
      <c r="Z33" s="79">
        <f t="shared" si="8"/>
        <v>29.508320297452379</v>
      </c>
    </row>
    <row r="34" spans="1:26" x14ac:dyDescent="0.25">
      <c r="A34" s="10" t="s">
        <v>116</v>
      </c>
      <c r="B34" s="59">
        <f t="shared" si="9"/>
        <v>26</v>
      </c>
      <c r="C34" s="62">
        <v>6697545</v>
      </c>
      <c r="D34" s="61">
        <f t="shared" si="2"/>
        <v>4387</v>
      </c>
      <c r="E34" s="62">
        <v>6644341</v>
      </c>
      <c r="F34" s="61">
        <f t="shared" si="10"/>
        <v>4313</v>
      </c>
      <c r="G34" s="63">
        <v>6275141</v>
      </c>
      <c r="H34" s="61">
        <f t="shared" si="3"/>
        <v>4185</v>
      </c>
      <c r="I34" s="60">
        <f t="shared" si="4"/>
        <v>12885</v>
      </c>
      <c r="J34" s="64">
        <v>0.99</v>
      </c>
      <c r="K34" s="65">
        <f t="shared" si="5"/>
        <v>3311.4450000000002</v>
      </c>
      <c r="L34" s="66"/>
      <c r="M34" s="60">
        <v>185200</v>
      </c>
      <c r="N34" s="61">
        <f t="shared" si="11"/>
        <v>129</v>
      </c>
      <c r="O34" s="60">
        <v>2762018</v>
      </c>
      <c r="P34" s="61">
        <f t="shared" si="12"/>
        <v>984</v>
      </c>
      <c r="Q34" s="67">
        <f t="shared" si="0"/>
        <v>1113</v>
      </c>
      <c r="R34" s="68">
        <f t="shared" si="6"/>
        <v>647.91213286800007</v>
      </c>
      <c r="S34" s="69"/>
      <c r="T34" s="70">
        <v>366040</v>
      </c>
      <c r="U34" s="61">
        <f t="shared" si="13"/>
        <v>453</v>
      </c>
      <c r="V34" s="71">
        <f t="shared" si="7"/>
        <v>1293.3150000000001</v>
      </c>
      <c r="W34" s="72"/>
      <c r="X34" s="88">
        <f t="shared" si="1"/>
        <v>5252.6721328679996</v>
      </c>
      <c r="Y34" s="78">
        <v>153</v>
      </c>
      <c r="Z34" s="79">
        <f t="shared" si="8"/>
        <v>34.331190410901961</v>
      </c>
    </row>
    <row r="35" spans="1:26" x14ac:dyDescent="0.25">
      <c r="A35" s="10" t="s">
        <v>117</v>
      </c>
      <c r="B35" s="59">
        <f t="shared" si="9"/>
        <v>27</v>
      </c>
      <c r="C35" s="62">
        <v>6701988</v>
      </c>
      <c r="D35" s="61">
        <f t="shared" si="2"/>
        <v>4443</v>
      </c>
      <c r="E35" s="62">
        <v>6648749</v>
      </c>
      <c r="F35" s="61">
        <f t="shared" si="10"/>
        <v>4408</v>
      </c>
      <c r="G35" s="63">
        <v>6279393</v>
      </c>
      <c r="H35" s="61">
        <f t="shared" si="3"/>
        <v>4252</v>
      </c>
      <c r="I35" s="60">
        <f t="shared" si="4"/>
        <v>13103</v>
      </c>
      <c r="J35" s="64">
        <v>0.99</v>
      </c>
      <c r="K35" s="65">
        <f t="shared" si="5"/>
        <v>3367.471</v>
      </c>
      <c r="L35" s="66"/>
      <c r="M35" s="60">
        <v>185359</v>
      </c>
      <c r="N35" s="61">
        <f t="shared" si="11"/>
        <v>159</v>
      </c>
      <c r="O35" s="60">
        <v>2763114</v>
      </c>
      <c r="P35" s="61">
        <f t="shared" si="12"/>
        <v>1096</v>
      </c>
      <c r="Q35" s="67">
        <f t="shared" si="0"/>
        <v>1255</v>
      </c>
      <c r="R35" s="68">
        <f t="shared" si="6"/>
        <v>732.32958962800012</v>
      </c>
      <c r="S35" s="69"/>
      <c r="T35" s="70">
        <v>366505</v>
      </c>
      <c r="U35" s="61">
        <f t="shared" si="13"/>
        <v>465</v>
      </c>
      <c r="V35" s="71">
        <f t="shared" si="7"/>
        <v>1327.575</v>
      </c>
      <c r="W35" s="72"/>
      <c r="X35" s="88">
        <f t="shared" si="1"/>
        <v>5427.3755896279999</v>
      </c>
      <c r="Y35" s="78">
        <v>175</v>
      </c>
      <c r="Z35" s="79">
        <f t="shared" si="8"/>
        <v>31.013574797874284</v>
      </c>
    </row>
    <row r="36" spans="1:26" x14ac:dyDescent="0.25">
      <c r="A36" s="10" t="s">
        <v>118</v>
      </c>
      <c r="B36" s="59">
        <f t="shared" si="9"/>
        <v>28</v>
      </c>
      <c r="C36" s="62">
        <v>6706055</v>
      </c>
      <c r="D36" s="61">
        <f t="shared" si="2"/>
        <v>4067</v>
      </c>
      <c r="E36" s="62">
        <v>6652776</v>
      </c>
      <c r="F36" s="61">
        <f t="shared" si="10"/>
        <v>4027</v>
      </c>
      <c r="G36" s="63">
        <v>6283254</v>
      </c>
      <c r="H36" s="61">
        <f t="shared" si="3"/>
        <v>3861</v>
      </c>
      <c r="I36" s="60">
        <f t="shared" si="4"/>
        <v>11955</v>
      </c>
      <c r="J36" s="64">
        <v>0.99</v>
      </c>
      <c r="K36" s="65">
        <f t="shared" si="5"/>
        <v>3072.4349999999999</v>
      </c>
      <c r="L36" s="66"/>
      <c r="M36" s="60">
        <v>185517</v>
      </c>
      <c r="N36" s="61">
        <f t="shared" si="11"/>
        <v>158</v>
      </c>
      <c r="O36" s="60">
        <v>2764285</v>
      </c>
      <c r="P36" s="61">
        <f t="shared" si="12"/>
        <v>1171</v>
      </c>
      <c r="Q36" s="67">
        <f t="shared" si="0"/>
        <v>1329</v>
      </c>
      <c r="R36" s="68">
        <f t="shared" si="6"/>
        <v>774.16629253600001</v>
      </c>
      <c r="S36" s="69"/>
      <c r="T36" s="70">
        <v>366938</v>
      </c>
      <c r="U36" s="61">
        <f t="shared" si="13"/>
        <v>433</v>
      </c>
      <c r="V36" s="71">
        <f t="shared" si="7"/>
        <v>1236.2149999999999</v>
      </c>
      <c r="W36" s="72"/>
      <c r="X36" s="88">
        <f t="shared" si="1"/>
        <v>5082.8162925360002</v>
      </c>
      <c r="Y36" s="78">
        <v>187</v>
      </c>
      <c r="Z36" s="79">
        <f t="shared" si="8"/>
        <v>27.180835788962568</v>
      </c>
    </row>
    <row r="37" spans="1:26" x14ac:dyDescent="0.25">
      <c r="A37" s="10" t="s">
        <v>119</v>
      </c>
      <c r="B37" s="59">
        <f t="shared" si="9"/>
        <v>29</v>
      </c>
      <c r="C37" s="62">
        <v>6709904</v>
      </c>
      <c r="D37" s="61">
        <f t="shared" si="2"/>
        <v>3849</v>
      </c>
      <c r="E37" s="62">
        <v>6656583</v>
      </c>
      <c r="F37" s="61">
        <f t="shared" si="10"/>
        <v>3807</v>
      </c>
      <c r="G37" s="63">
        <v>6286900</v>
      </c>
      <c r="H37" s="61">
        <f t="shared" si="3"/>
        <v>3646</v>
      </c>
      <c r="I37" s="60">
        <f t="shared" si="4"/>
        <v>11302</v>
      </c>
      <c r="J37" s="64">
        <v>0.99</v>
      </c>
      <c r="K37" s="65">
        <f t="shared" si="5"/>
        <v>2904.614</v>
      </c>
      <c r="L37" s="66"/>
      <c r="M37" s="60">
        <v>185688</v>
      </c>
      <c r="N37" s="61">
        <f t="shared" si="11"/>
        <v>171</v>
      </c>
      <c r="O37" s="60">
        <v>2765303</v>
      </c>
      <c r="P37" s="61">
        <f t="shared" si="12"/>
        <v>1018</v>
      </c>
      <c r="Q37" s="67">
        <f t="shared" si="0"/>
        <v>1189</v>
      </c>
      <c r="R37" s="68">
        <f t="shared" si="6"/>
        <v>696.45521873200005</v>
      </c>
      <c r="S37" s="69"/>
      <c r="T37" s="70">
        <v>367235</v>
      </c>
      <c r="U37" s="61">
        <f t="shared" si="13"/>
        <v>297</v>
      </c>
      <c r="V37" s="71">
        <f t="shared" si="7"/>
        <v>847.93499999999995</v>
      </c>
      <c r="W37" s="72"/>
      <c r="X37" s="88">
        <f t="shared" si="1"/>
        <v>4449.0042187319996</v>
      </c>
      <c r="Y37" s="101">
        <v>172</v>
      </c>
      <c r="Z37" s="79">
        <f t="shared" si="8"/>
        <v>25.866303597279067</v>
      </c>
    </row>
    <row r="38" spans="1:26" x14ac:dyDescent="0.25">
      <c r="A38" s="10" t="s">
        <v>120</v>
      </c>
      <c r="B38" s="59">
        <f t="shared" si="9"/>
        <v>30</v>
      </c>
      <c r="C38" s="62">
        <v>6713370</v>
      </c>
      <c r="D38" s="61">
        <f t="shared" si="2"/>
        <v>3466</v>
      </c>
      <c r="E38" s="62">
        <v>6659994</v>
      </c>
      <c r="F38" s="61">
        <f t="shared" si="10"/>
        <v>3411</v>
      </c>
      <c r="G38" s="63">
        <v>6290154</v>
      </c>
      <c r="H38" s="61">
        <f t="shared" si="3"/>
        <v>3254</v>
      </c>
      <c r="I38" s="60">
        <f t="shared" si="4"/>
        <v>10131</v>
      </c>
      <c r="J38" s="64">
        <v>0.99</v>
      </c>
      <c r="K38" s="65">
        <f t="shared" si="5"/>
        <v>2603.6669999999999</v>
      </c>
      <c r="L38" s="66"/>
      <c r="M38" s="60">
        <v>185811</v>
      </c>
      <c r="N38" s="61">
        <f t="shared" si="11"/>
        <v>123</v>
      </c>
      <c r="O38" s="60">
        <v>2766340</v>
      </c>
      <c r="P38" s="61">
        <f t="shared" si="12"/>
        <v>1037</v>
      </c>
      <c r="Q38" s="67">
        <f t="shared" si="0"/>
        <v>1160</v>
      </c>
      <c r="R38" s="68">
        <f t="shared" si="6"/>
        <v>673.788886316</v>
      </c>
      <c r="S38" s="69"/>
      <c r="T38" s="70">
        <v>367652</v>
      </c>
      <c r="U38" s="61">
        <f t="shared" si="13"/>
        <v>417</v>
      </c>
      <c r="V38" s="71">
        <f t="shared" si="7"/>
        <v>1190.5350000000001</v>
      </c>
      <c r="W38" s="72"/>
      <c r="X38" s="88">
        <f t="shared" si="1"/>
        <v>4467.9908863159999</v>
      </c>
      <c r="Y38" s="101">
        <v>141</v>
      </c>
      <c r="Z38" s="79">
        <f t="shared" si="8"/>
        <v>31.68787862635461</v>
      </c>
    </row>
    <row r="39" spans="1:26" x14ac:dyDescent="0.25">
      <c r="A39" s="10" t="s">
        <v>121</v>
      </c>
      <c r="B39" s="59">
        <f t="shared" si="9"/>
        <v>31</v>
      </c>
      <c r="C39" s="62">
        <v>6717759</v>
      </c>
      <c r="D39" s="61">
        <f t="shared" si="2"/>
        <v>4389</v>
      </c>
      <c r="E39" s="62">
        <v>6664313</v>
      </c>
      <c r="F39" s="61">
        <f t="shared" si="10"/>
        <v>4319</v>
      </c>
      <c r="G39" s="63">
        <v>6294343</v>
      </c>
      <c r="H39" s="61">
        <f t="shared" si="3"/>
        <v>4189</v>
      </c>
      <c r="I39" s="60">
        <f t="shared" si="4"/>
        <v>12897</v>
      </c>
      <c r="J39" s="64">
        <v>0.99</v>
      </c>
      <c r="K39" s="65">
        <f t="shared" si="5"/>
        <v>3314.529</v>
      </c>
      <c r="L39" s="66"/>
      <c r="M39" s="60">
        <v>185936</v>
      </c>
      <c r="N39" s="61">
        <f t="shared" si="11"/>
        <v>125</v>
      </c>
      <c r="O39" s="60">
        <v>2767330</v>
      </c>
      <c r="P39" s="61">
        <f t="shared" si="12"/>
        <v>990</v>
      </c>
      <c r="Q39" s="67">
        <f t="shared" si="0"/>
        <v>1115</v>
      </c>
      <c r="R39" s="68">
        <f t="shared" si="6"/>
        <v>648.52801650000004</v>
      </c>
      <c r="S39" s="69"/>
      <c r="T39" s="70">
        <v>368104</v>
      </c>
      <c r="U39" s="61">
        <f t="shared" si="13"/>
        <v>452</v>
      </c>
      <c r="V39" s="71">
        <f t="shared" si="7"/>
        <v>1290.46</v>
      </c>
      <c r="W39" s="72"/>
      <c r="X39" s="88">
        <f t="shared" si="1"/>
        <v>5253.5170165</v>
      </c>
      <c r="Y39" s="101">
        <v>157</v>
      </c>
      <c r="Z39" s="79">
        <f t="shared" si="8"/>
        <v>33.461891824840762</v>
      </c>
    </row>
    <row r="40" spans="1:26" x14ac:dyDescent="0.25">
      <c r="A40" s="10"/>
      <c r="B40" s="89"/>
      <c r="C40" s="90">
        <f>SUMIF(D9:D36,"&gt;0")</f>
        <v>104216</v>
      </c>
      <c r="D40" s="91"/>
      <c r="E40" s="140">
        <f>SUMIF(F9:F36,"&gt;0")</f>
        <v>103050</v>
      </c>
      <c r="F40" s="141"/>
      <c r="G40" s="142">
        <f>SUMIF(H9:H36,"&gt;0")</f>
        <v>98458</v>
      </c>
      <c r="H40" s="141"/>
      <c r="I40" s="92">
        <f>SUMIF(I9:I36,"&gt;0")</f>
        <v>305724</v>
      </c>
      <c r="J40" s="93"/>
      <c r="K40" s="94">
        <f>SUMIF(K9:K39,"&gt;0")</f>
        <v>87393.878000000026</v>
      </c>
      <c r="L40" s="92"/>
      <c r="M40" s="142">
        <f>SUMIF(N9:N36,"&gt;0")</f>
        <v>3672</v>
      </c>
      <c r="N40" s="141"/>
      <c r="O40" s="142">
        <f>SUMIF(P9:P36,"&gt;0")</f>
        <v>37251</v>
      </c>
      <c r="P40" s="141"/>
      <c r="Q40" s="93">
        <f>SUMIF(Q9:Q36,"&gt;0")</f>
        <v>40923</v>
      </c>
      <c r="R40" s="94">
        <f>SUMIF(R9:R36,"&gt;0")</f>
        <v>23683.760833824002</v>
      </c>
      <c r="S40" s="95"/>
      <c r="T40" s="143">
        <f>SUMIF(U9:U36,"&gt;0")</f>
        <v>8589</v>
      </c>
      <c r="U40" s="144"/>
      <c r="V40" s="96">
        <f>SUMIF(V9:V36,"&gt;0")</f>
        <v>24521.594999999998</v>
      </c>
      <c r="W40" s="97"/>
      <c r="X40" s="98">
        <f>SUMIF(X9:X36,"&gt;0")</f>
        <v>126776.423833824</v>
      </c>
      <c r="Y40" s="99">
        <f>SUM(Y9:Y39)</f>
        <v>4561</v>
      </c>
      <c r="Z40" s="100">
        <f>(SUMIF(Z9:Z36,"&gt;0")/31)</f>
        <v>29.240386530523502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68" zoomScaleNormal="68" workbookViewId="0">
      <selection activeCell="J41" sqref="J41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2022-06-01T13:59:14Z</dcterms:modified>
</cp:coreProperties>
</file>