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38" i="7" l="1"/>
  <c r="R29" i="9" l="1"/>
  <c r="R30" i="9"/>
  <c r="R31" i="9"/>
  <c r="R32" i="9"/>
  <c r="Q29" i="9"/>
  <c r="Q30" i="9"/>
  <c r="Q31" i="9"/>
  <c r="Q32" i="9"/>
  <c r="P29" i="9"/>
  <c r="P30" i="9"/>
  <c r="P31" i="9"/>
  <c r="P32" i="9"/>
  <c r="O29" i="9"/>
  <c r="O30" i="9"/>
  <c r="O31" i="9"/>
  <c r="O32" i="9"/>
  <c r="N29" i="9"/>
  <c r="N30" i="9"/>
  <c r="N31" i="9"/>
  <c r="M29" i="9"/>
  <c r="M30" i="9"/>
  <c r="M31" i="9"/>
  <c r="M32" i="9"/>
  <c r="L29" i="9"/>
  <c r="L30" i="9"/>
  <c r="L31" i="9"/>
  <c r="L32" i="9"/>
  <c r="K29" i="9"/>
  <c r="K30" i="9"/>
  <c r="K31" i="9"/>
  <c r="K32" i="9"/>
  <c r="J29" i="9"/>
  <c r="J30" i="9"/>
  <c r="J31" i="9"/>
  <c r="J32" i="9"/>
  <c r="I29" i="9"/>
  <c r="I30" i="9"/>
  <c r="I31" i="9"/>
  <c r="I32" i="9"/>
  <c r="H30" i="9"/>
  <c r="H31" i="9"/>
  <c r="H32" i="9"/>
  <c r="G29" i="9"/>
  <c r="G30" i="9"/>
  <c r="G31" i="9"/>
  <c r="G32" i="9"/>
  <c r="F29" i="9"/>
  <c r="F30" i="9"/>
  <c r="F31" i="9"/>
  <c r="F32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AC35" i="7"/>
  <c r="AC36" i="7"/>
  <c r="AC37" i="7"/>
  <c r="I29" i="5" l="1"/>
  <c r="S29" i="9"/>
  <c r="Q35" i="7" l="1"/>
  <c r="Q34" i="7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3" i="7" l="1"/>
  <c r="R28" i="9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<sst xmlns="http://schemas.openxmlformats.org/spreadsheetml/2006/main" count="128" uniqueCount="49">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</sst>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Submetering!R27</f>
        <v>1152.278804</v>
      </c>
      <c r="H27" s="11">
        <v>0.52800000000000002</v>
      </c>
      <c r="I27" s="12">
        <f>Hotel!B32</f>
        <v>81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Hotel!AV32*0.00378541*100</f>
        <v>1152.278804</v>
      </c>
      <c r="S27" s="4">
        <f>Hotel!B32</f>
        <v>81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C1" zoomScale="93" zoomScaleNormal="93" workbookViewId="0">
      <selection activeCell="D38" sqref="D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17"/>
        <v>15180</v>
      </c>
      <c r="S32" s="37">
        <f t="shared" si="15"/>
        <v>4190</v>
      </c>
      <c r="T32" s="37">
        <f t="shared" si="18"/>
        <v>1740</v>
      </c>
      <c r="U32" s="37">
        <f t="shared" si="19"/>
        <v>4380</v>
      </c>
      <c r="V32" s="37">
        <f t="shared" si="20"/>
        <v>3630</v>
      </c>
      <c r="W32" s="37">
        <f t="shared" si="21"/>
        <v>2450</v>
      </c>
      <c r="X32" s="37">
        <f t="shared" si="22"/>
        <v>3750</v>
      </c>
      <c r="Y32" s="37">
        <f t="shared" si="23"/>
        <v>5770</v>
      </c>
      <c r="Z32" s="37">
        <f t="shared" si="24"/>
        <v>2670</v>
      </c>
      <c r="AA32" s="37">
        <f t="shared" si="25"/>
        <v>2980</v>
      </c>
      <c r="AB32" s="37">
        <f t="shared" si="26"/>
        <v>7420</v>
      </c>
      <c r="AC32" s="37">
        <f t="shared" si="27"/>
        <v>9530</v>
      </c>
      <c r="AD32" s="35">
        <f t="shared" si="28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29"/>
        <v>323.64999999999998</v>
      </c>
      <c r="AU32" s="47">
        <v>96484</v>
      </c>
      <c r="AV32" s="37">
        <f t="shared" si="34"/>
        <v>3044</v>
      </c>
      <c r="AW32" s="35">
        <f t="shared" si="30"/>
        <v>6.0880000000000001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84620</v>
      </c>
      <c r="R38" s="38">
        <f t="shared" ref="R38:AD38" si="62">SUM(R7:R37)</f>
        <v>371020</v>
      </c>
      <c r="S38" s="38">
        <f t="shared" si="62"/>
        <v>97720</v>
      </c>
      <c r="T38" s="38">
        <f t="shared" si="62"/>
        <v>44570</v>
      </c>
      <c r="U38" s="38">
        <f t="shared" si="62"/>
        <v>115490</v>
      </c>
      <c r="V38" s="38">
        <f t="shared" si="62"/>
        <v>89840</v>
      </c>
      <c r="W38" s="38">
        <f t="shared" si="62"/>
        <v>60810</v>
      </c>
      <c r="X38" s="38">
        <f t="shared" si="62"/>
        <v>101220</v>
      </c>
      <c r="Y38" s="38">
        <f t="shared" si="62"/>
        <v>139150</v>
      </c>
      <c r="Z38" s="38">
        <f t="shared" si="62"/>
        <v>69580</v>
      </c>
      <c r="AA38" s="38">
        <f t="shared" si="62"/>
        <v>83820</v>
      </c>
      <c r="AB38" s="38">
        <f t="shared" si="62"/>
        <v>188490</v>
      </c>
      <c r="AC38" s="38">
        <f t="shared" si="62"/>
        <v>233610</v>
      </c>
      <c r="AD38" s="38">
        <f t="shared" si="62"/>
        <v>1679940</v>
      </c>
      <c r="AF38" s="35">
        <f>SUM(AF7:AF37)</f>
        <v>423.10000000000008</v>
      </c>
      <c r="AG38" s="35">
        <f t="shared" ref="AG38:AS38" si="63">SUM(AG7:AG37)</f>
        <v>1855.1000000000004</v>
      </c>
      <c r="AH38" s="35">
        <f t="shared" si="63"/>
        <v>488.59999999999997</v>
      </c>
      <c r="AI38" s="35">
        <f t="shared" si="63"/>
        <v>222.85</v>
      </c>
      <c r="AJ38" s="35">
        <f t="shared" si="63"/>
        <v>577.44999999999982</v>
      </c>
      <c r="AK38" s="35">
        <f t="shared" si="63"/>
        <v>449.19999999999993</v>
      </c>
      <c r="AL38" s="35">
        <f t="shared" si="63"/>
        <v>304.04999999999995</v>
      </c>
      <c r="AM38" s="35">
        <f t="shared" si="63"/>
        <v>506.09999999999991</v>
      </c>
      <c r="AN38" s="35">
        <f t="shared" si="63"/>
        <v>695.75</v>
      </c>
      <c r="AO38" s="35">
        <f t="shared" si="63"/>
        <v>347.90000000000003</v>
      </c>
      <c r="AP38" s="35">
        <f t="shared" si="63"/>
        <v>419.09999999999997</v>
      </c>
      <c r="AQ38" s="35">
        <f t="shared" si="63"/>
        <v>942.45</v>
      </c>
      <c r="AR38" s="35">
        <f t="shared" si="63"/>
        <v>1168.0500000000004</v>
      </c>
      <c r="AS38" s="35">
        <f t="shared" si="63"/>
        <v>8399.7000000000007</v>
      </c>
      <c r="AT38" s="35"/>
      <c r="AU38" s="48"/>
      <c r="AV38" s="34">
        <f>SUM(AV7:AV37)</f>
        <v>74756</v>
      </c>
      <c r="AW38" s="34">
        <f>SUM(AW7:AW37)</f>
        <v>137.91400000000002</v>
      </c>
    </row>
    <row r="39" spans="1:49" x14ac:dyDescent="0.25">
      <c r="D39">
        <v>5.0000000000000001E-3</v>
      </c>
      <c r="AV39" s="36">
        <f>AV38*0.00378541*1000</f>
        <v>282982.10996000003</v>
      </c>
    </row>
    <row r="40" spans="1:49" x14ac:dyDescent="0.25">
      <c r="D40">
        <v>2E-3</v>
      </c>
      <c r="AV40">
        <f>AV39/31</f>
        <v>9128.4551600000013</v>
      </c>
    </row>
    <row r="41" spans="1:49" x14ac:dyDescent="0.25">
      <c r="AV41">
        <f>AV38*0.00378541</f>
        <v>282.98210996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2021-07-27T04:32:35Z</dcterms:modified>
</cp:coreProperties>
</file>