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1"/>
  </bookViews>
  <sheets>
    <sheet name="Total Daily " sheetId="3" r:id="rId1"/>
    <sheet name="Submetering Daily " sheetId="2" r:id="rId2"/>
    <sheet name="03 - 2022" sheetId="5" r:id="rId3"/>
  </sheets>
  <definedNames>
    <definedName name="_xlnm.Print_Area" localSheetId="2">'03 - 2022'!$A$1:$J$35</definedName>
  </definedNames>
  <calcPr calcId="162913"/>
</workbook>
</file>

<file path=xl/calcChain.xml><?xml version="1.0" encoding="utf-8"?>
<calcChain xmlns="http://schemas.openxmlformats.org/spreadsheetml/2006/main">
  <c r="L19" i="3" l="1"/>
  <c r="K19" i="3"/>
  <c r="I19" i="3"/>
  <c r="G19" i="3"/>
  <c r="E19" i="3"/>
  <c r="J19" i="2"/>
  <c r="I19" i="2"/>
  <c r="H19" i="2"/>
  <c r="F19" i="2"/>
  <c r="E19" i="2"/>
  <c r="E25" i="5"/>
  <c r="L18" i="3" l="1"/>
  <c r="K18" i="3"/>
  <c r="I18" i="3"/>
  <c r="G18" i="3"/>
  <c r="E18" i="3"/>
  <c r="J18" i="2"/>
  <c r="I18" i="2"/>
  <c r="H18" i="2"/>
  <c r="F18" i="2"/>
  <c r="E18" i="2"/>
  <c r="E24" i="5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B30" i="3"/>
  <c r="B31" i="3"/>
  <c r="B3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B32" i="2"/>
  <c r="B30" i="2"/>
  <c r="B31" i="2"/>
  <c r="A36" i="5" l="1"/>
  <c r="A37" i="5"/>
  <c r="A38" i="5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K39" i="5" l="1"/>
  <c r="J39" i="5"/>
  <c r="I39" i="5"/>
  <c r="I40" i="5" s="1"/>
  <c r="H39" i="5"/>
  <c r="H40" i="5" s="1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l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<sst xmlns="http://schemas.openxmlformats.org/spreadsheetml/2006/main" count="109" uniqueCount="40">
  <si>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</si>
  <si>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</si>
  <si>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</si>
  <si>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</si>
  <si>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</si>
  <si>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</si>
  <si>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</si>
  <si>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</si>
  <si>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</si>
  <si>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</si>
  <si>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</si>
  <si>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</si>
  <si>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</si>
  <si>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</si>
  <si>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</si>
  <si>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</si>
  <si>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</si>
  <si>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</si>
  <si>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</si>
  <si>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</si>
  <si>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</si>
  <si>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</si>
  <si>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</si>
  <si>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</si>
  <si>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</si>
  <si>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</si>
  <si>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</si>
  <si>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</si>
  <si>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</si>
  <si>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</si>
  <si>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</si>
  <si>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</si>
  <si>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</si>
  <si>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</si>
  <si>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</si>
  <si>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</si>
  <si>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</si>
  <si>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2022</t>
  </si>
  <si>
    <t>4000 liters</t>
  </si>
  <si>
    <t>Main kitchen new Gas meter fixed.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</si>
</sst>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dashed">
        <color auto="1"/>
      </top>
      <bottom style="dashed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0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9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8" xfId="2" applyFont="1" applyBorder="1" applyAlignment="1">
      <alignment horizontal="center" vertical="center"/>
    </xf>
    <xf numFmtId="43" fontId="4" fillId="2" borderId="8" xfId="2" applyFont="1" applyFill="1" applyBorder="1" applyAlignment="1">
      <alignment horizontal="center" vertical="center"/>
    </xf>
    <xf numFmtId="43" fontId="4" fillId="0" borderId="8" xfId="2" applyFont="1" applyFill="1" applyBorder="1" applyAlignment="1">
      <alignment horizontal="center" vertical="center"/>
    </xf>
    <xf numFmtId="43" fontId="5" fillId="0" borderId="1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0" xfId="2" applyFont="1" applyBorder="1" applyAlignment="1" applyProtection="1">
      <alignment horizontal="center" vertical="center"/>
      <protection locked="0"/>
    </xf>
    <xf numFmtId="43" fontId="4" fillId="2" borderId="1" xfId="2" applyFont="1" applyFill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1" fontId="4" fillId="0" borderId="13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43" fontId="5" fillId="0" borderId="16" xfId="2" applyFont="1" applyFill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16" xfId="2" applyFont="1" applyBorder="1" applyAlignment="1">
      <alignment horizontal="center"/>
    </xf>
    <xf numFmtId="9" fontId="5" fillId="0" borderId="16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5" fillId="0" borderId="1" xfId="2" applyFont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8" xfId="2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Q25" sqref="Q25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3</v>
      </c>
      <c r="D2" s="14">
        <v>2022</v>
      </c>
      <c r="E2" s="16">
        <f>'03 - 2022'!B8-'03 - 2022'!B7+'03 - 2022'!C8-'03 - 2022'!C7</f>
        <v>9696</v>
      </c>
      <c r="F2" s="14">
        <v>0.11799999999999999</v>
      </c>
      <c r="G2" s="16">
        <f>'03 - 2022'!D8-'03 - 2022'!D7+'03 - 2022'!E8-'03 - 2022'!E7</f>
        <v>18.739999999999782</v>
      </c>
      <c r="H2" s="14">
        <v>0.99</v>
      </c>
      <c r="I2" s="16">
        <f>'03 - 2022'!J8-'03 - 2022'!J7</f>
        <v>14806</v>
      </c>
      <c r="J2" s="14">
        <v>8.1000000000000003E-2</v>
      </c>
      <c r="K2" s="23">
        <f>'03 - 2022'!H8-'03 - 2022'!H7</f>
        <v>0</v>
      </c>
      <c r="L2" s="16">
        <f>'03 - 2022'!I8-'03 - 2022'!I7</f>
        <v>111</v>
      </c>
      <c r="M2" s="15">
        <v>4.393629424766913</v>
      </c>
      <c r="N2" s="16">
        <v>93</v>
      </c>
    </row>
    <row r="3" spans="1:21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'03 - 2022'!B9-'03 - 2022'!B8+'03 - 2022'!C9-'03 - 2022'!C8</f>
        <v>9407</v>
      </c>
      <c r="F3" s="14">
        <v>0.11799999999999999</v>
      </c>
      <c r="G3" s="16">
        <f>'03 - 2022'!D9-'03 - 2022'!D8+'03 - 2022'!E9-'03 - 2022'!E8</f>
        <v>16.9399999999996</v>
      </c>
      <c r="H3" s="14">
        <v>0.99</v>
      </c>
      <c r="I3" s="16">
        <f>'03 - 2022'!J9-'03 - 2022'!J8</f>
        <v>14012</v>
      </c>
      <c r="J3" s="14">
        <v>8.1000000000000003E-2</v>
      </c>
      <c r="K3" s="23">
        <f>'03 - 2022'!H9-'03 - 2022'!H8</f>
        <v>0</v>
      </c>
      <c r="L3" s="16">
        <f>'03 - 2022'!I9-'03 - 2022'!I8</f>
        <v>103</v>
      </c>
      <c r="M3" s="15">
        <v>4.393629424766913</v>
      </c>
      <c r="N3" s="18">
        <v>97</v>
      </c>
    </row>
    <row r="4" spans="1:21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'03 - 2022'!B10-'03 - 2022'!B9+'03 - 2022'!C10-'03 - 2022'!C9</f>
        <v>9491</v>
      </c>
      <c r="F4" s="14">
        <v>0.11799999999999999</v>
      </c>
      <c r="G4" s="16">
        <f>'03 - 2022'!D10-'03 - 2022'!D9+'03 - 2022'!E10-'03 - 2022'!E9</f>
        <v>21.610000000000127</v>
      </c>
      <c r="H4" s="14">
        <v>0.99</v>
      </c>
      <c r="I4" s="16">
        <f>'03 - 2022'!J10-'03 - 2022'!J9</f>
        <v>12986</v>
      </c>
      <c r="J4" s="14">
        <v>8.1000000000000003E-2</v>
      </c>
      <c r="K4" s="23">
        <f>'03 - 2022'!H10-'03 - 2022'!H9</f>
        <v>0</v>
      </c>
      <c r="L4" s="16">
        <f>'03 - 2022'!I10-'03 - 2022'!I9</f>
        <v>112</v>
      </c>
      <c r="M4" s="15">
        <v>4.393629424766913</v>
      </c>
      <c r="N4" s="18">
        <v>99</v>
      </c>
    </row>
    <row r="5" spans="1:21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'03 - 2022'!B11-'03 - 2022'!B10+'03 - 2022'!C11-'03 - 2022'!C10</f>
        <v>9607</v>
      </c>
      <c r="F5" s="14">
        <v>0.11799999999999999</v>
      </c>
      <c r="G5" s="16">
        <f>'03 - 2022'!D11-'03 - 2022'!D10+'03 - 2022'!E11-'03 - 2022'!E10</f>
        <v>19.829999999999927</v>
      </c>
      <c r="H5" s="14">
        <v>0.99</v>
      </c>
      <c r="I5" s="16">
        <f>'03 - 2022'!J11-'03 - 2022'!J10</f>
        <v>13996</v>
      </c>
      <c r="J5" s="14">
        <v>8.1000000000000003E-2</v>
      </c>
      <c r="K5" s="23">
        <f>'03 - 2022'!H11-'03 - 2022'!H10</f>
        <v>0</v>
      </c>
      <c r="L5" s="16">
        <f>'03 - 2022'!I11-'03 - 2022'!I10</f>
        <v>109</v>
      </c>
      <c r="M5" s="15">
        <v>4.393629424766913</v>
      </c>
      <c r="N5" s="18">
        <v>100</v>
      </c>
      <c r="R5" s="14"/>
    </row>
    <row r="6" spans="1:21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'03 - 2022'!B12-'03 - 2022'!B11+'03 - 2022'!C12-'03 - 2022'!C11</f>
        <v>9818</v>
      </c>
      <c r="F6" s="14">
        <v>0.11799999999999999</v>
      </c>
      <c r="G6" s="16">
        <f>'03 - 2022'!D12-'03 - 2022'!D11+'03 - 2022'!E12-'03 - 2022'!E11</f>
        <v>21.2199999999998</v>
      </c>
      <c r="H6" s="14">
        <v>0.99</v>
      </c>
      <c r="I6" s="16">
        <f>'03 - 2022'!J12-'03 - 2022'!J11</f>
        <v>15942</v>
      </c>
      <c r="J6" s="14">
        <v>8.1000000000000003E-2</v>
      </c>
      <c r="K6" s="23">
        <f>'03 - 2022'!H12-'03 - 2022'!H11</f>
        <v>0</v>
      </c>
      <c r="L6" s="16">
        <f>'03 - 2022'!I12-'03 - 2022'!I11</f>
        <v>116</v>
      </c>
      <c r="M6" s="15">
        <v>4.393629424766913</v>
      </c>
      <c r="N6" s="18">
        <v>101</v>
      </c>
    </row>
    <row r="7" spans="1:21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'03 - 2022'!B13-'03 - 2022'!B12+'03 - 2022'!C13-'03 - 2022'!C12</f>
        <v>9939</v>
      </c>
      <c r="F7" s="14">
        <v>0.11799999999999999</v>
      </c>
      <c r="G7" s="16">
        <f>'03 - 2022'!D13-'03 - 2022'!D12+'03 - 2022'!E13-'03 - 2022'!E12</f>
        <v>16.659999999999854</v>
      </c>
      <c r="H7" s="14">
        <v>0.99</v>
      </c>
      <c r="I7" s="16">
        <f>'03 - 2022'!J13-'03 - 2022'!J12</f>
        <v>15907</v>
      </c>
      <c r="J7" s="14">
        <v>8.1000000000000003E-2</v>
      </c>
      <c r="K7" s="23">
        <f>'03 - 2022'!H13-'03 - 2022'!H12</f>
        <v>0</v>
      </c>
      <c r="L7" s="16">
        <f>'03 - 2022'!I13-'03 - 2022'!I12</f>
        <v>106</v>
      </c>
      <c r="M7" s="15">
        <v>4.393629424766913</v>
      </c>
      <c r="N7" s="18">
        <v>98</v>
      </c>
    </row>
    <row r="8" spans="1:21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'03 - 2022'!B14-'03 - 2022'!B13+'03 - 2022'!C14-'03 - 2022'!C13</f>
        <v>9194</v>
      </c>
      <c r="F8" s="14">
        <v>0.11799999999999999</v>
      </c>
      <c r="G8" s="16">
        <f>'03 - 2022'!D14-'03 - 2022'!D13+'03 - 2022'!E14-'03 - 2022'!E13</f>
        <v>18.090000000000146</v>
      </c>
      <c r="H8" s="14">
        <v>0.99</v>
      </c>
      <c r="I8" s="16">
        <f>'03 - 2022'!J14-'03 - 2022'!J13</f>
        <v>16171</v>
      </c>
      <c r="J8" s="14">
        <v>8.1000000000000003E-2</v>
      </c>
      <c r="K8" s="23">
        <f>'03 - 2022'!H14-'03 - 2022'!H13</f>
        <v>0</v>
      </c>
      <c r="L8" s="16">
        <f>'03 - 2022'!I14-'03 - 2022'!I13</f>
        <v>112</v>
      </c>
      <c r="M8" s="15">
        <v>4.393629424766913</v>
      </c>
      <c r="N8" s="18">
        <v>76</v>
      </c>
      <c r="O8" s="16"/>
    </row>
    <row r="9" spans="1:21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'03 - 2022'!B15-'03 - 2022'!B14+'03 - 2022'!C15-'03 - 2022'!C14</f>
        <v>10066</v>
      </c>
      <c r="F9" s="14">
        <v>0.11799999999999999</v>
      </c>
      <c r="G9" s="16">
        <f>'03 - 2022'!D15-'03 - 2022'!D14+'03 - 2022'!E15-'03 - 2022'!E14</f>
        <v>16.009999999999764</v>
      </c>
      <c r="H9" s="14">
        <v>0.99</v>
      </c>
      <c r="I9" s="16">
        <f>'03 - 2022'!J15-'03 - 2022'!J14</f>
        <v>16158</v>
      </c>
      <c r="J9" s="14">
        <v>8.1000000000000003E-2</v>
      </c>
      <c r="K9" s="23">
        <f>'03 - 2022'!H15-'03 - 2022'!H14</f>
        <v>0</v>
      </c>
      <c r="L9" s="16">
        <f>'03 - 2022'!I15-'03 - 2022'!I14</f>
        <v>111</v>
      </c>
      <c r="M9" s="15">
        <v>4.393629424766913</v>
      </c>
      <c r="N9" s="18">
        <v>98</v>
      </c>
    </row>
    <row r="10" spans="1:21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'03 - 2022'!B16-'03 - 2022'!B15+'03 - 2022'!C16-'03 - 2022'!C15</f>
        <v>9045</v>
      </c>
      <c r="F10" s="14">
        <v>0.11799999999999999</v>
      </c>
      <c r="G10" s="16">
        <f>'03 - 2022'!D16-'03 - 2022'!D15+'03 - 2022'!E16-'03 - 2022'!E15</f>
        <v>17.379999999999654</v>
      </c>
      <c r="H10" s="14">
        <v>0.99</v>
      </c>
      <c r="I10" s="16">
        <f>'03 - 2022'!J16-'03 - 2022'!J15</f>
        <v>16872</v>
      </c>
      <c r="J10" s="14">
        <v>8.1000000000000003E-2</v>
      </c>
      <c r="K10" s="23">
        <f>'03 - 2022'!H16-'03 - 2022'!H15</f>
        <v>0</v>
      </c>
      <c r="L10" s="16">
        <f>'03 - 2022'!I16-'03 - 2022'!I15</f>
        <v>108</v>
      </c>
      <c r="M10" s="15">
        <v>4.393629424766913</v>
      </c>
      <c r="N10" s="18">
        <v>100</v>
      </c>
    </row>
    <row r="11" spans="1:21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'03 - 2022'!B17-'03 - 2022'!B16+'03 - 2022'!C17-'03 - 2022'!C16</f>
        <v>9387</v>
      </c>
      <c r="F11" s="14">
        <v>0.11799999999999999</v>
      </c>
      <c r="G11" s="16">
        <f>'03 - 2022'!D17-'03 - 2022'!D16+'03 - 2022'!E17-'03 - 2022'!E16</f>
        <v>20.860000000000127</v>
      </c>
      <c r="H11" s="14">
        <v>0.99</v>
      </c>
      <c r="I11" s="16">
        <f>'03 - 2022'!J17-'03 - 2022'!J16</f>
        <v>18197</v>
      </c>
      <c r="J11" s="14">
        <v>8.1000000000000003E-2</v>
      </c>
      <c r="K11" s="23">
        <f>'03 - 2022'!H17-'03 - 2022'!H16</f>
        <v>0</v>
      </c>
      <c r="L11" s="16">
        <f>'03 - 2022'!I17-'03 - 2022'!I16</f>
        <v>106</v>
      </c>
      <c r="M11" s="15">
        <v>4.393629424766913</v>
      </c>
      <c r="N11" s="18">
        <v>99</v>
      </c>
    </row>
    <row r="12" spans="1:21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'03 - 2022'!B18-'03 - 2022'!B17+'03 - 2022'!C18-'03 - 2022'!C17</f>
        <v>9673</v>
      </c>
      <c r="F12" s="14">
        <v>0.11799999999999999</v>
      </c>
      <c r="G12" s="16">
        <f>'03 - 2022'!D18-'03 - 2022'!D17+'03 - 2022'!E18-'03 - 2022'!E17</f>
        <v>20.979999999999563</v>
      </c>
      <c r="H12" s="14">
        <v>0.99</v>
      </c>
      <c r="I12" s="16">
        <f>'03 - 2022'!J18-'03 - 2022'!J17</f>
        <v>19527</v>
      </c>
      <c r="J12" s="14">
        <v>8.1000000000000003E-2</v>
      </c>
      <c r="K12" s="23">
        <f>'03 - 2022'!H18-'03 - 2022'!H17</f>
        <v>0</v>
      </c>
      <c r="L12" s="16">
        <f>'03 - 2022'!I18-'03 - 2022'!I17</f>
        <v>121</v>
      </c>
      <c r="M12" s="15">
        <v>4.393629424766913</v>
      </c>
      <c r="N12" s="16">
        <v>103</v>
      </c>
    </row>
    <row r="13" spans="1:21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'03 - 2022'!B19-'03 - 2022'!B18+'03 - 2022'!C19-'03 - 2022'!C18</f>
        <v>9781</v>
      </c>
      <c r="F13" s="14">
        <v>0.11799999999999999</v>
      </c>
      <c r="G13" s="16">
        <f>'03 - 2022'!D19-'03 - 2022'!D18+'03 - 2022'!E19-'03 - 2022'!E18</f>
        <v>19.980000000000018</v>
      </c>
      <c r="H13" s="14">
        <v>0.99</v>
      </c>
      <c r="I13" s="16">
        <f>'03 - 2022'!J19-'03 - 2022'!J18</f>
        <v>20112</v>
      </c>
      <c r="J13" s="14">
        <v>8.1000000000000003E-2</v>
      </c>
      <c r="K13" s="23">
        <f>'03 - 2022'!H19-'03 - 2022'!H18</f>
        <v>0</v>
      </c>
      <c r="L13" s="16">
        <f>'03 - 2022'!I19-'03 - 2022'!I18</f>
        <v>115</v>
      </c>
      <c r="M13" s="15">
        <v>4.393629424766913</v>
      </c>
      <c r="N13" s="16">
        <v>92</v>
      </c>
    </row>
    <row r="14" spans="1:21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'03 - 2022'!B20-'03 - 2022'!B19+'03 - 2022'!C20-'03 - 2022'!C19</f>
        <v>9719</v>
      </c>
      <c r="F14" s="14">
        <v>0.11799999999999999</v>
      </c>
      <c r="G14" s="16">
        <f>'03 - 2022'!D20-'03 - 2022'!D19+'03 - 2022'!E20-'03 - 2022'!E19</f>
        <v>20.099999999999909</v>
      </c>
      <c r="H14" s="14">
        <v>0.99</v>
      </c>
      <c r="I14" s="16">
        <f>'03 - 2022'!J20-'03 - 2022'!J19</f>
        <v>19448</v>
      </c>
      <c r="J14" s="14">
        <v>8.1000000000000003E-2</v>
      </c>
      <c r="K14" s="23">
        <f>'03 - 2022'!H20-'03 - 2022'!H19</f>
        <v>0</v>
      </c>
      <c r="L14" s="16">
        <f>'03 - 2022'!I20-'03 - 2022'!I19</f>
        <v>110</v>
      </c>
      <c r="M14" s="15">
        <v>4.393629424766913</v>
      </c>
      <c r="N14" s="16">
        <v>81</v>
      </c>
      <c r="O14" s="16"/>
    </row>
    <row r="15" spans="1:21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'03 - 2022'!B21-'03 - 2022'!B20+'03 - 2022'!C21-'03 - 2022'!C20</f>
        <v>9569</v>
      </c>
      <c r="F15" s="14">
        <v>0.11799999999999999</v>
      </c>
      <c r="G15" s="16">
        <f>'03 - 2022'!D21-'03 - 2022'!D20+'03 - 2022'!E21-'03 - 2022'!E20</f>
        <v>16.139999999999873</v>
      </c>
      <c r="H15" s="14">
        <v>0.99</v>
      </c>
      <c r="I15" s="16">
        <f>'03 - 2022'!J21-'03 - 2022'!J20</f>
        <v>17716</v>
      </c>
      <c r="J15" s="14">
        <v>8.1000000000000003E-2</v>
      </c>
      <c r="K15" s="23">
        <f>'03 - 2022'!H21-'03 - 2022'!H20</f>
        <v>0</v>
      </c>
      <c r="L15" s="16">
        <f>'03 - 2022'!I21-'03 - 2022'!I20</f>
        <v>99</v>
      </c>
      <c r="M15" s="15">
        <v>4.393629424766913</v>
      </c>
      <c r="N15" s="16">
        <v>91</v>
      </c>
      <c r="R15" s="14"/>
    </row>
    <row r="16" spans="1:21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'03 - 2022'!B22-'03 - 2022'!B21+'03 - 2022'!C22-'03 - 2022'!C21</f>
        <v>9220</v>
      </c>
      <c r="F16" s="14">
        <v>0.11799999999999999</v>
      </c>
      <c r="G16" s="16">
        <f>'03 - 2022'!D22-'03 - 2022'!D21+'03 - 2022'!E22-'03 - 2022'!E21</f>
        <v>14.860000000000127</v>
      </c>
      <c r="H16" s="14">
        <v>0.99</v>
      </c>
      <c r="I16" s="16">
        <f>'03 - 2022'!J22-'03 - 2022'!J21</f>
        <v>18240</v>
      </c>
      <c r="J16" s="14">
        <v>8.1000000000000003E-2</v>
      </c>
      <c r="K16" s="23">
        <f>'03 - 2022'!H22-'03 - 2022'!H21</f>
        <v>0</v>
      </c>
      <c r="L16" s="16">
        <f>'03 - 2022'!I22-'03 - 2022'!I21</f>
        <v>105</v>
      </c>
      <c r="M16" s="15">
        <v>4.393629424766913</v>
      </c>
      <c r="N16" s="16">
        <v>99</v>
      </c>
      <c r="U16" s="14"/>
    </row>
    <row r="17" spans="1:17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'03 - 2022'!B23-'03 - 2022'!B22+'03 - 2022'!C23-'03 - 2022'!C22</f>
        <v>9769</v>
      </c>
      <c r="F17" s="14">
        <v>0.11799999999999999</v>
      </c>
      <c r="G17" s="16">
        <f>'03 - 2022'!D23-'03 - 2022'!D22+'03 - 2022'!E23-'03 - 2022'!E22</f>
        <v>15.159999999999854</v>
      </c>
      <c r="H17" s="14">
        <v>0.99</v>
      </c>
      <c r="I17" s="16">
        <f>'03 - 2022'!J23-'03 - 2022'!J22</f>
        <v>21048</v>
      </c>
      <c r="J17" s="14">
        <v>8.1000000000000003E-2</v>
      </c>
      <c r="K17" s="23">
        <f>'03 - 2022'!H23-'03 - 2022'!H22</f>
        <v>0</v>
      </c>
      <c r="L17" s="16">
        <f>'03 - 2022'!I23-'03 - 2022'!I22</f>
        <v>113</v>
      </c>
      <c r="M17" s="15">
        <v>4.393629424766913</v>
      </c>
      <c r="N17" s="16">
        <v>98</v>
      </c>
      <c r="O17" s="14"/>
    </row>
    <row r="18" spans="1:17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'03 - 2022'!B24-'03 - 2022'!B23+'03 - 2022'!C24-'03 - 2022'!C23</f>
        <v>9165</v>
      </c>
      <c r="F18" s="14">
        <v>0.11799999999999999</v>
      </c>
      <c r="G18" s="16">
        <f>'03 - 2022'!D24-'03 - 2022'!D23+'03 - 2022'!E24-'03 - 2022'!E23</f>
        <v>19.150000000000091</v>
      </c>
      <c r="H18" s="14">
        <v>0.99</v>
      </c>
      <c r="I18" s="16">
        <f>'03 - 2022'!J24-'03 - 2022'!J23</f>
        <v>19246</v>
      </c>
      <c r="J18" s="14">
        <v>8.1000000000000003E-2</v>
      </c>
      <c r="K18" s="23">
        <f>'03 - 2022'!H24-'03 - 2022'!H23</f>
        <v>0</v>
      </c>
      <c r="L18" s="16">
        <f>'03 - 2022'!I24-'03 - 2022'!I23</f>
        <v>112</v>
      </c>
      <c r="M18" s="15">
        <v>4.393629424766913</v>
      </c>
      <c r="N18" s="16">
        <v>102</v>
      </c>
      <c r="Q18" s="14"/>
    </row>
    <row r="19" spans="1:17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'03 - 2022'!B25-'03 - 2022'!B24+'03 - 2022'!C25-'03 - 2022'!C24</f>
        <v>9973</v>
      </c>
      <c r="F19" s="14">
        <v>0.11799999999999999</v>
      </c>
      <c r="G19" s="16">
        <f>'03 - 2022'!D25-'03 - 2022'!D24+'03 - 2022'!E25-'03 - 2022'!E24</f>
        <v>27.880000000000109</v>
      </c>
      <c r="H19" s="14">
        <v>0.99</v>
      </c>
      <c r="I19" s="16">
        <f>'03 - 2022'!J25-'03 - 2022'!J24</f>
        <v>18138</v>
      </c>
      <c r="J19" s="14">
        <v>8.1000000000000003E-2</v>
      </c>
      <c r="K19" s="23">
        <f>'03 - 2022'!H25-'03 - 2022'!H24</f>
        <v>0</v>
      </c>
      <c r="L19" s="16">
        <f>'03 - 2022'!I25-'03 - 2022'!I24</f>
        <v>119</v>
      </c>
      <c r="M19" s="15">
        <v>4.393629424766913</v>
      </c>
      <c r="N19" s="16">
        <v>100</v>
      </c>
    </row>
    <row r="20" spans="1:17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v>0</v>
      </c>
      <c r="F20" s="14">
        <v>0.11799999999999999</v>
      </c>
      <c r="G20" s="16">
        <v>0</v>
      </c>
      <c r="H20" s="14">
        <v>0.99</v>
      </c>
      <c r="I20" s="16">
        <v>0</v>
      </c>
      <c r="J20" s="14">
        <v>8.1000000000000003E-2</v>
      </c>
      <c r="K20" s="23">
        <v>0</v>
      </c>
      <c r="L20" s="16"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'03 - 2022'!B27-'03 - 2022'!B26+'03 - 2022'!C27-'03 - 2022'!C26</f>
        <v>0</v>
      </c>
      <c r="F21" s="14">
        <v>0.11799999999999999</v>
      </c>
      <c r="G21" s="16">
        <f>'03 - 2022'!D27-'03 - 2022'!D26+'03 - 2022'!E27-'03 - 2022'!E26</f>
        <v>0</v>
      </c>
      <c r="H21" s="14">
        <v>0.99</v>
      </c>
      <c r="I21" s="16">
        <f>'03 - 2022'!J27-'03 - 2022'!J26</f>
        <v>0</v>
      </c>
      <c r="J21" s="14">
        <v>8.1000000000000003E-2</v>
      </c>
      <c r="K21" s="23">
        <f>'03 - 2022'!H27-'03 - 2022'!H26</f>
        <v>0</v>
      </c>
      <c r="L21" s="16">
        <f>'03 - 2022'!I27-'03 - 2022'!I26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'03 - 2022'!B28-'03 - 2022'!B27+'03 - 2022'!C28-'03 - 2022'!C27</f>
        <v>0</v>
      </c>
      <c r="F22" s="14">
        <v>0.11799999999999999</v>
      </c>
      <c r="G22" s="16">
        <f>'03 - 2022'!D28-'03 - 2022'!D27+'03 - 2022'!E28-'03 - 2022'!E27</f>
        <v>0</v>
      </c>
      <c r="H22" s="14">
        <v>0.99</v>
      </c>
      <c r="I22" s="16">
        <f>'03 - 2022'!J28-'03 - 2022'!J27</f>
        <v>0</v>
      </c>
      <c r="J22" s="14">
        <v>8.1000000000000003E-2</v>
      </c>
      <c r="K22" s="23">
        <f>'03 - 2022'!H28-'03 - 2022'!H27</f>
        <v>0</v>
      </c>
      <c r="L22" s="16">
        <f>'03 - 2022'!I28-'03 - 2022'!I27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'03 - 2022'!B29-'03 - 2022'!B28+'03 - 2022'!C29-'03 - 2022'!C28</f>
        <v>0</v>
      </c>
      <c r="F23" s="14">
        <v>0.11799999999999999</v>
      </c>
      <c r="G23" s="16">
        <f>'03 - 2022'!D29-'03 - 2022'!D28+'03 - 2022'!E29-'03 - 2022'!E28</f>
        <v>0</v>
      </c>
      <c r="H23" s="14">
        <v>0.99</v>
      </c>
      <c r="I23" s="16">
        <f>'03 - 2022'!J29-'03 - 2022'!J28</f>
        <v>0</v>
      </c>
      <c r="J23" s="14">
        <v>8.1000000000000003E-2</v>
      </c>
      <c r="K23" s="23">
        <f>'03 - 2022'!H29-'03 - 2022'!H28</f>
        <v>0</v>
      </c>
      <c r="L23" s="16">
        <f>'03 - 2022'!I29-'03 - 2022'!I28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'03 - 2022'!B30-'03 - 2022'!B29+'03 - 2022'!C30-'03 - 2022'!C29</f>
        <v>0</v>
      </c>
      <c r="F24" s="14">
        <v>0.11799999999999999</v>
      </c>
      <c r="G24" s="16">
        <f>'03 - 2022'!D30-'03 - 2022'!D29+'03 - 2022'!E30-'03 - 2022'!E29</f>
        <v>0</v>
      </c>
      <c r="H24" s="14">
        <v>0.99</v>
      </c>
      <c r="I24" s="16">
        <f>'03 - 2022'!J30-'03 - 2022'!J29</f>
        <v>0</v>
      </c>
      <c r="J24" s="14">
        <v>8.1000000000000003E-2</v>
      </c>
      <c r="K24" s="23">
        <f>'03 - 2022'!H30-'03 - 2022'!H29</f>
        <v>0</v>
      </c>
      <c r="L24" s="16">
        <f>'03 - 2022'!I30-'03 - 2022'!I29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'03 - 2022'!B31-'03 - 2022'!B30+'03 - 2022'!C31-'03 - 2022'!C30</f>
        <v>0</v>
      </c>
      <c r="F25" s="14">
        <v>0.11799999999999999</v>
      </c>
      <c r="G25" s="16">
        <f>'03 - 2022'!D31-'03 - 2022'!D30+'03 - 2022'!E31-'03 - 2022'!E30</f>
        <v>0</v>
      </c>
      <c r="H25" s="14">
        <v>0.99</v>
      </c>
      <c r="I25" s="16">
        <f>'03 - 2022'!J31-'03 - 2022'!J30</f>
        <v>0</v>
      </c>
      <c r="J25" s="14">
        <v>8.1000000000000003E-2</v>
      </c>
      <c r="K25" s="23">
        <f>'03 - 2022'!H31-'03 - 2022'!H30</f>
        <v>0</v>
      </c>
      <c r="L25" s="16">
        <f>'03 - 2022'!I31-'03 - 2022'!I30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'03 - 2022'!B32-'03 - 2022'!B31+'03 - 2022'!C32-'03 - 2022'!C31</f>
        <v>0</v>
      </c>
      <c r="F26" s="14">
        <v>0.11799999999999999</v>
      </c>
      <c r="G26" s="16">
        <f>'03 - 2022'!D32-'03 - 2022'!D31+'03 - 2022'!E32-'03 - 2022'!E31</f>
        <v>0</v>
      </c>
      <c r="H26" s="14">
        <v>0.99</v>
      </c>
      <c r="I26" s="16">
        <f>'03 - 2022'!J32-'03 - 2022'!J31</f>
        <v>0</v>
      </c>
      <c r="J26" s="14">
        <v>8.1000000000000003E-2</v>
      </c>
      <c r="K26" s="23">
        <f>'03 - 2022'!H32-'03 - 2022'!H31</f>
        <v>0</v>
      </c>
      <c r="L26" s="16">
        <f>'03 - 2022'!I32-'03 - 2022'!I31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'03 - 2022'!B33-'03 - 2022'!B32+'03 - 2022'!C33-'03 - 2022'!C32</f>
        <v>0</v>
      </c>
      <c r="F27" s="14">
        <v>0.11799999999999999</v>
      </c>
      <c r="G27" s="16">
        <f>'03 - 2022'!D33-'03 - 2022'!D32+'03 - 2022'!E33-'03 - 2022'!E32</f>
        <v>0</v>
      </c>
      <c r="H27" s="14">
        <v>0.99</v>
      </c>
      <c r="I27" s="16">
        <f>'03 - 2022'!J33-'03 - 2022'!J32</f>
        <v>0</v>
      </c>
      <c r="J27" s="14">
        <v>8.1000000000000003E-2</v>
      </c>
      <c r="K27" s="23">
        <f>'03 - 2022'!H33-'03 - 2022'!H32</f>
        <v>0</v>
      </c>
      <c r="L27" s="16">
        <f>'03 - 2022'!I33-'03 - 2022'!I32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'03 - 2022'!B34-'03 - 2022'!B33+'03 - 2022'!C34-'03 - 2022'!C33</f>
        <v>0</v>
      </c>
      <c r="F28" s="14">
        <v>0.11799999999999999</v>
      </c>
      <c r="G28" s="16">
        <f>'03 - 2022'!D34-'03 - 2022'!D33+'03 - 2022'!E34-'03 - 2022'!E33</f>
        <v>0</v>
      </c>
      <c r="H28" s="14">
        <v>0.99</v>
      </c>
      <c r="I28" s="16">
        <f>'03 - 2022'!J34-'03 - 2022'!J33</f>
        <v>0</v>
      </c>
      <c r="J28" s="14">
        <v>8.1000000000000003E-2</v>
      </c>
      <c r="K28" s="23">
        <f>'03 - 2022'!H34-'03 - 2022'!H33</f>
        <v>0</v>
      </c>
      <c r="L28" s="16">
        <f>'03 - 2022'!I34-'03 - 2022'!I33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'03 - 2022'!B35-'03 - 2022'!B34+'03 - 2022'!C35-'03 - 2022'!C34</f>
        <v>0</v>
      </c>
      <c r="F29" s="14">
        <v>0.11799999999999999</v>
      </c>
      <c r="G29" s="16">
        <f>'03 - 2022'!D35-'03 - 2022'!D34+'03 - 2022'!E35-'03 - 2022'!E34</f>
        <v>0</v>
      </c>
      <c r="H29" s="14">
        <v>0.99</v>
      </c>
      <c r="I29" s="16">
        <f>'03 - 2022'!J35-'03 - 2022'!J34</f>
        <v>0</v>
      </c>
      <c r="J29" s="14">
        <v>8.1000000000000003E-2</v>
      </c>
      <c r="K29" s="23">
        <f>'03 - 2022'!H35-'03 - 2022'!H34</f>
        <v>0</v>
      </c>
      <c r="L29" s="16">
        <f>'03 - 2022'!I35-'03 - 2022'!I34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'03 - 2022'!B36-'03 - 2022'!B35+'03 - 2022'!C36-'03 - 2022'!C35</f>
        <v>0</v>
      </c>
      <c r="F30" s="14">
        <v>0.11799999999999999</v>
      </c>
      <c r="G30" s="16">
        <f>'03 - 2022'!D36-'03 - 2022'!D35+'03 - 2022'!E36-'03 - 2022'!E35</f>
        <v>0</v>
      </c>
      <c r="H30" s="14">
        <v>0.99</v>
      </c>
      <c r="I30" s="16">
        <f>'03 - 2022'!J36-'03 - 2022'!J35</f>
        <v>0</v>
      </c>
      <c r="J30" s="14">
        <v>8.1000000000000003E-2</v>
      </c>
      <c r="K30" s="23">
        <f>'03 - 2022'!H36-'03 - 2022'!H35</f>
        <v>0</v>
      </c>
      <c r="L30" s="16">
        <f>'03 - 2022'!I36-'03 - 2022'!I35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'03 - 2022'!B37-'03 - 2022'!B36+'03 - 2022'!C37-'03 - 2022'!C36</f>
        <v>0</v>
      </c>
      <c r="F31" s="14">
        <v>0.11799999999999999</v>
      </c>
      <c r="G31" s="16">
        <f>'03 - 2022'!D37-'03 - 2022'!D36+'03 - 2022'!E37-'03 - 2022'!E36</f>
        <v>0</v>
      </c>
      <c r="H31" s="14">
        <v>0.99</v>
      </c>
      <c r="I31" s="16">
        <f>'03 - 2022'!J37-'03 - 2022'!J36</f>
        <v>0</v>
      </c>
      <c r="J31" s="14">
        <v>8.1000000000000003E-2</v>
      </c>
      <c r="K31" s="23">
        <f>'03 - 2022'!H37-'03 - 2022'!H36</f>
        <v>0</v>
      </c>
      <c r="L31" s="16">
        <f>'03 - 2022'!I37-'03 - 2022'!I36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f>'03 - 2022'!B38-'03 - 2022'!B37+'03 - 2022'!C38-'03 - 2022'!C37</f>
        <v>0</v>
      </c>
      <c r="F32" s="14">
        <v>0.11799999999999999</v>
      </c>
      <c r="G32" s="16">
        <f>'03 - 2022'!D38-'03 - 2022'!D37+'03 - 2022'!E38-'03 - 2022'!E37</f>
        <v>0</v>
      </c>
      <c r="H32" s="14">
        <v>0.99</v>
      </c>
      <c r="I32" s="16">
        <f>'03 - 2022'!J38-'03 - 2022'!J37</f>
        <v>0</v>
      </c>
      <c r="J32" s="14">
        <v>8.1000000000000003E-2</v>
      </c>
      <c r="K32" s="23">
        <f>'03 - 2022'!H38-'03 - 2022'!H37</f>
        <v>0</v>
      </c>
      <c r="L32" s="16">
        <f>'03 - 2022'!I38-'03 - 2022'!I37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O28" sqref="O2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3</v>
      </c>
      <c r="D2">
        <v>2022</v>
      </c>
      <c r="E2" s="16">
        <f>'03 - 2022'!B8-'03 - 2022'!B7</f>
        <v>4020</v>
      </c>
      <c r="F2" s="16">
        <f>'03 - 2022'!C8-'03 - 2022'!C7</f>
        <v>5676</v>
      </c>
      <c r="G2" s="14">
        <v>0.11799999999999999</v>
      </c>
      <c r="H2" s="16">
        <f>'03 - 2022'!E8-'03 - 2022'!E7</f>
        <v>18.809999999999945</v>
      </c>
      <c r="I2" s="16">
        <f>'03 - 2022'!F8-'03 - 2022'!F7</f>
        <v>8.0499999999999545</v>
      </c>
      <c r="J2" s="16">
        <f>'03 - 2022'!G8-'03 - 2022'!G7</f>
        <v>36.860000000000582</v>
      </c>
      <c r="K2" s="14">
        <v>0.74</v>
      </c>
      <c r="L2" s="16">
        <v>93</v>
      </c>
      <c r="M2" s="10"/>
    </row>
    <row r="3" spans="1:13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</f>
        <v>3888</v>
      </c>
      <c r="F3" s="16">
        <f>'03 - 2022'!C9-'03 - 2022'!C8</f>
        <v>5519</v>
      </c>
      <c r="G3" s="14">
        <v>0.11799999999999999</v>
      </c>
      <c r="H3" s="16">
        <f>'03 - 2022'!E9-'03 - 2022'!E8</f>
        <v>17.009999999999764</v>
      </c>
      <c r="I3" s="16">
        <f>'03 - 2022'!F9-'03 - 2022'!F8</f>
        <v>8.2999999999999545</v>
      </c>
      <c r="J3" s="16">
        <f>'03 - 2022'!G9-'03 - 2022'!G8</f>
        <v>37.269999999996799</v>
      </c>
      <c r="K3" s="14">
        <v>0.74</v>
      </c>
      <c r="L3" s="18">
        <v>97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'03 - 2022'!B10-'03 - 2022'!B9</f>
        <v>3933</v>
      </c>
      <c r="F4" s="16">
        <f>'03 - 2022'!C10-'03 - 2022'!C9</f>
        <v>5558</v>
      </c>
      <c r="G4" s="14">
        <v>0.11799999999999999</v>
      </c>
      <c r="H4" s="16">
        <f>'03 - 2022'!E10-'03 - 2022'!E9</f>
        <v>21.140000000000327</v>
      </c>
      <c r="I4" s="16">
        <f>'03 - 2022'!F10-'03 - 2022'!F9</f>
        <v>8.3799999999998818</v>
      </c>
      <c r="J4" s="16">
        <f>'03 - 2022'!G10-'03 - 2022'!G9</f>
        <v>38.309999999997672</v>
      </c>
      <c r="K4" s="14">
        <v>0.74</v>
      </c>
      <c r="L4" s="18">
        <v>99</v>
      </c>
      <c r="M4" s="10"/>
    </row>
    <row r="5" spans="1:13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</f>
        <v>3902</v>
      </c>
      <c r="F5" s="16">
        <f>'03 - 2022'!C11-'03 - 2022'!C10</f>
        <v>5705</v>
      </c>
      <c r="G5" s="14">
        <v>0.11799999999999999</v>
      </c>
      <c r="H5" s="16">
        <f>'03 - 2022'!E11-'03 - 2022'!E10</f>
        <v>19.909999999999854</v>
      </c>
      <c r="I5" s="16">
        <f>'03 - 2022'!F11-'03 - 2022'!F10</f>
        <v>8.9400000000000546</v>
      </c>
      <c r="J5" s="16">
        <f>'03 - 2022'!G11-'03 - 2022'!G10</f>
        <v>42.5</v>
      </c>
      <c r="K5" s="14">
        <v>0.74</v>
      </c>
      <c r="L5" s="18">
        <v>100</v>
      </c>
      <c r="M5" s="10"/>
    </row>
    <row r="6" spans="1:13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'03 - 2022'!B12-'03 - 2022'!B11</f>
        <v>3921</v>
      </c>
      <c r="F6" s="16">
        <f>'03 - 2022'!C12-'03 - 2022'!C11</f>
        <v>5897</v>
      </c>
      <c r="G6" s="14">
        <v>0.11799999999999999</v>
      </c>
      <c r="H6" s="16">
        <f>'03 - 2022'!E12-'03 - 2022'!E11</f>
        <v>21.309999999999945</v>
      </c>
      <c r="I6" s="16">
        <f>'03 - 2022'!F12-'03 - 2022'!F11</f>
        <v>7.9500000000000455</v>
      </c>
      <c r="J6" s="16">
        <f>'03 - 2022'!G12-'03 - 2022'!G11</f>
        <v>45.610000000000582</v>
      </c>
      <c r="K6" s="14">
        <v>0.74</v>
      </c>
      <c r="L6" s="18">
        <v>101</v>
      </c>
      <c r="M6" s="11"/>
    </row>
    <row r="7" spans="1:13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</f>
        <v>4021</v>
      </c>
      <c r="F7" s="16">
        <f>'03 - 2022'!C13-'03 - 2022'!C12</f>
        <v>5918</v>
      </c>
      <c r="G7" s="14">
        <v>0.11799999999999999</v>
      </c>
      <c r="H7" s="16">
        <f>'03 - 2022'!E13-'03 - 2022'!E12</f>
        <v>16.730000000000018</v>
      </c>
      <c r="I7" s="16">
        <f>'03 - 2022'!F13-'03 - 2022'!F12</f>
        <v>8.7799999999999727</v>
      </c>
      <c r="J7" s="16">
        <f>'03 - 2022'!G13-'03 - 2022'!G12</f>
        <v>44.080000000001746</v>
      </c>
      <c r="K7" s="14">
        <v>0.74</v>
      </c>
      <c r="L7" s="18">
        <v>98</v>
      </c>
      <c r="M7" s="11"/>
    </row>
    <row r="8" spans="1:13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</f>
        <v>3698</v>
      </c>
      <c r="F8" s="16">
        <f>'03 - 2022'!C14-'03 - 2022'!C13</f>
        <v>5496</v>
      </c>
      <c r="G8" s="14">
        <v>0.11799999999999999</v>
      </c>
      <c r="H8" s="16">
        <f>'03 - 2022'!E14-'03 - 2022'!E13</f>
        <v>18.190000000000055</v>
      </c>
      <c r="I8" s="16">
        <f>'03 - 2022'!F14-'03 - 2022'!F13</f>
        <v>8.1500000000000909</v>
      </c>
      <c r="J8" s="16">
        <f>'03 - 2022'!G14-'03 - 2022'!G13</f>
        <v>43.239999999997963</v>
      </c>
      <c r="K8" s="14">
        <v>0.74</v>
      </c>
      <c r="L8" s="18">
        <v>76</v>
      </c>
      <c r="M8" s="11"/>
    </row>
    <row r="9" spans="1:13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'03 - 2022'!B15-'03 - 2022'!B14</f>
        <v>4383</v>
      </c>
      <c r="F9" s="16">
        <f>'03 - 2022'!C15-'03 - 2022'!C14</f>
        <v>5683</v>
      </c>
      <c r="G9" s="14">
        <v>0.11799999999999999</v>
      </c>
      <c r="H9" s="16">
        <f>'03 - 2022'!E15-'03 - 2022'!E14</f>
        <v>16.079999999999927</v>
      </c>
      <c r="I9" s="16">
        <f>'03 - 2022'!F15-'03 - 2022'!F14</f>
        <v>8.5099999999999909</v>
      </c>
      <c r="J9" s="16">
        <f>'03 - 2022'!G15-'03 - 2022'!G14</f>
        <v>39.80000000000291</v>
      </c>
      <c r="K9" s="14">
        <v>0.74</v>
      </c>
      <c r="L9" s="18">
        <v>98</v>
      </c>
      <c r="M9" s="11"/>
    </row>
    <row r="10" spans="1:13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</f>
        <v>3356</v>
      </c>
      <c r="F10" s="16">
        <f>'03 - 2022'!C16-'03 - 2022'!C15</f>
        <v>5689</v>
      </c>
      <c r="G10" s="14">
        <v>0.11799999999999999</v>
      </c>
      <c r="H10" s="16">
        <f>'03 - 2022'!E16-'03 - 2022'!E15</f>
        <v>17.449999999999818</v>
      </c>
      <c r="I10" s="16">
        <f>'03 - 2022'!F16-'03 - 2022'!F15</f>
        <v>7.3699999999998909</v>
      </c>
      <c r="J10" s="16">
        <f>'03 - 2022'!G16-'03 - 2022'!G15</f>
        <v>40.69999999999709</v>
      </c>
      <c r="K10" s="14">
        <v>0.74</v>
      </c>
      <c r="L10" s="18">
        <v>100</v>
      </c>
      <c r="M10" s="11"/>
    </row>
    <row r="11" spans="1:13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'03 - 2022'!B17-'03 - 2022'!B16</f>
        <v>3829</v>
      </c>
      <c r="F11" s="16">
        <f>'03 - 2022'!C17-'03 - 2022'!C16</f>
        <v>5558</v>
      </c>
      <c r="G11" s="14">
        <v>0.11799999999999999</v>
      </c>
      <c r="H11" s="16">
        <f>'03 - 2022'!E17-'03 - 2022'!E16</f>
        <v>20.370000000000346</v>
      </c>
      <c r="I11" s="16">
        <f>'03 - 2022'!F17-'03 - 2022'!F16</f>
        <v>7.0499999999999545</v>
      </c>
      <c r="J11" s="16">
        <f>'03 - 2022'!G17-'03 - 2022'!G16</f>
        <v>37.069999999999709</v>
      </c>
      <c r="K11" s="14">
        <v>0.74</v>
      </c>
      <c r="L11" s="18">
        <v>99</v>
      </c>
      <c r="M11" s="11"/>
    </row>
    <row r="12" spans="1:13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</f>
        <v>3833</v>
      </c>
      <c r="F12" s="16">
        <f>'03 - 2022'!C18-'03 - 2022'!C17</f>
        <v>5840</v>
      </c>
      <c r="G12" s="14">
        <v>0.11799999999999999</v>
      </c>
      <c r="H12" s="16">
        <f>'03 - 2022'!E18-'03 - 2022'!E17</f>
        <v>21.069999999999709</v>
      </c>
      <c r="I12" s="16">
        <f>'03 - 2022'!F18-'03 - 2022'!F17</f>
        <v>7.7600000000002183</v>
      </c>
      <c r="J12" s="16">
        <f>'03 - 2022'!G18-'03 - 2022'!G17</f>
        <v>42.010000000002037</v>
      </c>
      <c r="K12" s="14">
        <v>0.74</v>
      </c>
      <c r="L12" s="16">
        <v>103</v>
      </c>
      <c r="M12" s="11"/>
    </row>
    <row r="13" spans="1:13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'03 - 2022'!B19-'03 - 2022'!B18</f>
        <v>3899</v>
      </c>
      <c r="F13" s="16">
        <f>'03 - 2022'!C19-'03 - 2022'!C18</f>
        <v>5882</v>
      </c>
      <c r="G13" s="14">
        <v>0.11799999999999999</v>
      </c>
      <c r="H13" s="16">
        <f>'03 - 2022'!E19-'03 - 2022'!E18</f>
        <v>20.070000000000164</v>
      </c>
      <c r="I13" s="16">
        <f>'03 - 2022'!F19-'03 - 2022'!F18</f>
        <v>8.2899999999999636</v>
      </c>
      <c r="J13" s="16">
        <f>'03 - 2022'!G19-'03 - 2022'!G18</f>
        <v>40.30000000000291</v>
      </c>
      <c r="K13" s="14">
        <v>0.74</v>
      </c>
      <c r="L13" s="16">
        <v>92</v>
      </c>
      <c r="M13" s="11"/>
    </row>
    <row r="14" spans="1:13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</f>
        <v>3897</v>
      </c>
      <c r="F14" s="16">
        <f>'03 - 2022'!C20-'03 - 2022'!C19</f>
        <v>5822</v>
      </c>
      <c r="G14" s="14">
        <v>0.11799999999999999</v>
      </c>
      <c r="H14" s="16">
        <f>'03 - 2022'!E20-'03 - 2022'!E19</f>
        <v>20.179999999999836</v>
      </c>
      <c r="I14" s="16">
        <f>'03 - 2022'!F20-'03 - 2022'!F19</f>
        <v>8.3199999999999363</v>
      </c>
      <c r="J14" s="16">
        <f>'03 - 2022'!G20-'03 - 2022'!G19</f>
        <v>38.009999999994761</v>
      </c>
      <c r="K14" s="14">
        <v>0.74</v>
      </c>
      <c r="L14" s="16">
        <v>81</v>
      </c>
      <c r="M14" s="11"/>
    </row>
    <row r="15" spans="1:13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</f>
        <v>3820</v>
      </c>
      <c r="F15" s="16">
        <f>'03 - 2022'!C21-'03 - 2022'!C20</f>
        <v>5749</v>
      </c>
      <c r="G15" s="14">
        <v>0.11799999999999999</v>
      </c>
      <c r="H15" s="16">
        <f>'03 - 2022'!E21-'03 - 2022'!E20</f>
        <v>16.230000000000018</v>
      </c>
      <c r="I15" s="16">
        <f>'03 - 2022'!F21-'03 - 2022'!F20</f>
        <v>7.4900000000000091</v>
      </c>
      <c r="J15" s="16">
        <f>'03 - 2022'!G21-'03 - 2022'!G20</f>
        <v>40.660000000003492</v>
      </c>
      <c r="K15" s="14">
        <v>0.74</v>
      </c>
      <c r="L15" s="16">
        <v>91</v>
      </c>
      <c r="M15" s="11"/>
    </row>
    <row r="16" spans="1:13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</f>
        <v>3664</v>
      </c>
      <c r="F16" s="16">
        <f>'03 - 2022'!C22-'03 - 2022'!C21</f>
        <v>5556</v>
      </c>
      <c r="G16" s="14">
        <v>0.11799999999999999</v>
      </c>
      <c r="H16" s="16">
        <f>'03 - 2022'!E22-'03 - 2022'!E21</f>
        <v>14.930000000000291</v>
      </c>
      <c r="I16" s="16">
        <f>'03 - 2022'!F22-'03 - 2022'!F21</f>
        <v>8.2300000000000182</v>
      </c>
      <c r="J16" s="16">
        <f>'03 - 2022'!G22-'03 - 2022'!G21</f>
        <v>37.330000000001746</v>
      </c>
      <c r="K16" s="14">
        <v>0.74</v>
      </c>
      <c r="L16" s="16">
        <v>99</v>
      </c>
      <c r="M16" s="11"/>
    </row>
    <row r="17" spans="1:13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</f>
        <v>3833</v>
      </c>
      <c r="F17" s="16">
        <f>'03 - 2022'!C23-'03 - 2022'!C22</f>
        <v>5936</v>
      </c>
      <c r="G17" s="14">
        <v>0.11799999999999999</v>
      </c>
      <c r="H17" s="16">
        <f>'03 - 2022'!E23-'03 - 2022'!E22</f>
        <v>15.239999999999782</v>
      </c>
      <c r="I17" s="16">
        <f>'03 - 2022'!F23-'03 - 2022'!F22</f>
        <v>9.0499999999999545</v>
      </c>
      <c r="J17" s="16">
        <f>'03 - 2022'!G23-'03 - 2022'!G22</f>
        <v>38.349999999998545</v>
      </c>
      <c r="K17" s="14">
        <v>0.74</v>
      </c>
      <c r="L17" s="16">
        <v>98</v>
      </c>
      <c r="M17" s="11"/>
    </row>
    <row r="18" spans="1:13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'03 - 2022'!B24-'03 - 2022'!B23</f>
        <v>3562</v>
      </c>
      <c r="F18" s="16">
        <f>'03 - 2022'!C24-'03 - 2022'!C23</f>
        <v>5603</v>
      </c>
      <c r="G18" s="14">
        <v>0.11799999999999999</v>
      </c>
      <c r="H18" s="16">
        <f>'03 - 2022'!E24-'03 - 2022'!E23</f>
        <v>18.619999999999891</v>
      </c>
      <c r="I18" s="16">
        <f>'03 - 2022'!F24-'03 - 2022'!F23</f>
        <v>7.1099999999999</v>
      </c>
      <c r="J18" s="16">
        <f>'03 - 2022'!G24-'03 - 2022'!G23</f>
        <v>38.220000000001164</v>
      </c>
      <c r="K18" s="14">
        <v>0.74</v>
      </c>
      <c r="L18" s="16">
        <v>102</v>
      </c>
      <c r="M18" s="11"/>
    </row>
    <row r="19" spans="1:13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</f>
        <v>4152</v>
      </c>
      <c r="F19" s="16">
        <f>'03 - 2022'!C25-'03 - 2022'!C24</f>
        <v>5821</v>
      </c>
      <c r="G19" s="14">
        <v>0.11799999999999999</v>
      </c>
      <c r="H19" s="16">
        <f>'03 - 2022'!E25-'03 - 2022'!E24</f>
        <v>27.980000000000018</v>
      </c>
      <c r="I19" s="16">
        <f>'03 - 2022'!F25-'03 - 2022'!F24</f>
        <v>8.4200000000000728</v>
      </c>
      <c r="J19" s="16">
        <f>'03 - 2022'!G25-'03 - 2022'!G24</f>
        <v>43.57999999999447</v>
      </c>
      <c r="K19" s="14">
        <v>0.74</v>
      </c>
      <c r="L19" s="16">
        <v>100</v>
      </c>
      <c r="M19" s="11"/>
    </row>
    <row r="20" spans="1:13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v>0</v>
      </c>
      <c r="F20" s="16">
        <v>0</v>
      </c>
      <c r="G20" s="14">
        <v>0.11799999999999999</v>
      </c>
      <c r="H20" s="16">
        <v>0</v>
      </c>
      <c r="I20" s="16">
        <v>0</v>
      </c>
      <c r="J20" s="16"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</f>
        <v>0</v>
      </c>
      <c r="F21" s="16">
        <f>'03 - 2022'!C27-'03 - 2022'!C26</f>
        <v>0</v>
      </c>
      <c r="G21" s="14">
        <v>0.11799999999999999</v>
      </c>
      <c r="H21" s="16">
        <f>'03 - 2022'!E27-'03 - 2022'!E26</f>
        <v>0</v>
      </c>
      <c r="I21" s="16">
        <f>'03 - 2022'!F27-'03 - 2022'!F26</f>
        <v>0</v>
      </c>
      <c r="J21" s="16">
        <f>'03 - 2022'!G27-'03 - 2022'!G26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</f>
        <v>0</v>
      </c>
      <c r="F22" s="16">
        <f>'03 - 2022'!C28-'03 - 2022'!C27</f>
        <v>0</v>
      </c>
      <c r="G22" s="14">
        <v>0.11799999999999999</v>
      </c>
      <c r="H22" s="16">
        <f>'03 - 2022'!E28-'03 - 2022'!E27</f>
        <v>0</v>
      </c>
      <c r="I22" s="16">
        <f>'03 - 2022'!F28-'03 - 2022'!F27</f>
        <v>0</v>
      </c>
      <c r="J22" s="16">
        <f>'03 - 2022'!G28-'03 - 2022'!G27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</f>
        <v>0</v>
      </c>
      <c r="F23" s="16">
        <f>'03 - 2022'!C29-'03 - 2022'!C28</f>
        <v>0</v>
      </c>
      <c r="G23" s="14">
        <v>0.11799999999999999</v>
      </c>
      <c r="H23" s="16">
        <f>'03 - 2022'!E29-'03 - 2022'!E28</f>
        <v>0</v>
      </c>
      <c r="I23" s="16">
        <f>'03 - 2022'!F29-'03 - 2022'!F28</f>
        <v>0</v>
      </c>
      <c r="J23" s="16">
        <f>'03 - 2022'!G29-'03 - 2022'!G28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'03 - 2022'!B30-'03 - 2022'!B29</f>
        <v>0</v>
      </c>
      <c r="F24" s="16">
        <f>'03 - 2022'!C30-'03 - 2022'!C29</f>
        <v>0</v>
      </c>
      <c r="G24" s="14">
        <v>0.11799999999999999</v>
      </c>
      <c r="H24" s="16">
        <f>'03 - 2022'!E30-'03 - 2022'!E29</f>
        <v>0</v>
      </c>
      <c r="I24" s="16">
        <f>'03 - 2022'!F30-'03 - 2022'!F29</f>
        <v>0</v>
      </c>
      <c r="J24" s="16">
        <f>'03 - 2022'!G30-'03 - 2022'!G29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</f>
        <v>0</v>
      </c>
      <c r="F25" s="16">
        <f>'03 - 2022'!C31-'03 - 2022'!C30</f>
        <v>0</v>
      </c>
      <c r="G25" s="14">
        <v>0.11799999999999999</v>
      </c>
      <c r="H25" s="16">
        <f>'03 - 2022'!E31-'03 - 2022'!E30</f>
        <v>0</v>
      </c>
      <c r="I25" s="16">
        <f>'03 - 2022'!F31-'03 - 2022'!F30</f>
        <v>0</v>
      </c>
      <c r="J25" s="16">
        <f>'03 - 2022'!G31-'03 - 2022'!G30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</f>
        <v>0</v>
      </c>
      <c r="F26" s="16">
        <f>'03 - 2022'!C32-'03 - 2022'!C31</f>
        <v>0</v>
      </c>
      <c r="G26" s="14">
        <v>0.11799999999999999</v>
      </c>
      <c r="H26" s="16">
        <f>'03 - 2022'!E32-'03 - 2022'!E31</f>
        <v>0</v>
      </c>
      <c r="I26" s="16">
        <f>'03 - 2022'!F32-'03 - 2022'!F31</f>
        <v>0</v>
      </c>
      <c r="J26" s="16">
        <f>'03 - 2022'!G32-'03 - 2022'!G31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'03 - 2022'!B33-'03 - 2022'!B32</f>
        <v>0</v>
      </c>
      <c r="F27" s="16">
        <f>'03 - 2022'!C33-'03 - 2022'!C32</f>
        <v>0</v>
      </c>
      <c r="G27" s="14">
        <v>0.11799999999999999</v>
      </c>
      <c r="H27" s="16">
        <f>'03 - 2022'!E33-'03 - 2022'!E32</f>
        <v>0</v>
      </c>
      <c r="I27" s="16">
        <f>'03 - 2022'!F33-'03 - 2022'!F32</f>
        <v>0</v>
      </c>
      <c r="J27" s="16">
        <f>'03 - 2022'!G33-'03 - 2022'!G32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</f>
        <v>0</v>
      </c>
      <c r="F28" s="16">
        <f>'03 - 2022'!C34-'03 - 2022'!C33</f>
        <v>0</v>
      </c>
      <c r="G28" s="14">
        <v>0.11799999999999999</v>
      </c>
      <c r="H28" s="16">
        <f>'03 - 2022'!E34-'03 - 2022'!E33</f>
        <v>0</v>
      </c>
      <c r="I28" s="16">
        <f>'03 - 2022'!F34-'03 - 2022'!F33</f>
        <v>0</v>
      </c>
      <c r="J28" s="16">
        <f>'03 - 2022'!G34-'03 - 2022'!G33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</f>
        <v>0</v>
      </c>
      <c r="F29" s="16">
        <f>'03 - 2022'!C35-'03 - 2022'!C34</f>
        <v>0</v>
      </c>
      <c r="G29" s="14">
        <v>0.11799999999999999</v>
      </c>
      <c r="H29" s="16">
        <f>'03 - 2022'!E35-'03 - 2022'!E34</f>
        <v>0</v>
      </c>
      <c r="I29" s="16">
        <f>'03 - 2022'!F35-'03 - 2022'!F34</f>
        <v>0</v>
      </c>
      <c r="J29" s="16">
        <f>'03 - 2022'!G35-'03 - 2022'!G34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</f>
        <v>0</v>
      </c>
      <c r="F30" s="16">
        <f>'03 - 2022'!C36-'03 - 2022'!C35</f>
        <v>0</v>
      </c>
      <c r="G30" s="14">
        <v>0.11799999999999999</v>
      </c>
      <c r="H30" s="16">
        <f>'03 - 2022'!E36-'03 - 2022'!E35</f>
        <v>0</v>
      </c>
      <c r="I30" s="16">
        <f>'03 - 2022'!F36-'03 - 2022'!F35</f>
        <v>0</v>
      </c>
      <c r="J30" s="16">
        <f>'03 - 2022'!G36-'03 - 2022'!G35</f>
        <v>0</v>
      </c>
      <c r="K30" s="14">
        <v>0.74</v>
      </c>
    </row>
    <row r="31" spans="1:13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'03 - 2022'!B37-'03 - 2022'!B36</f>
        <v>0</v>
      </c>
      <c r="F31" s="16">
        <f>'03 - 2022'!C37-'03 - 2022'!C36</f>
        <v>0</v>
      </c>
      <c r="G31" s="14">
        <v>0.11799999999999999</v>
      </c>
      <c r="H31" s="16">
        <f>'03 - 2022'!E37-'03 - 2022'!E36</f>
        <v>0</v>
      </c>
      <c r="I31" s="16">
        <f>'03 - 2022'!F37-'03 - 2022'!F36</f>
        <v>0</v>
      </c>
      <c r="J31" s="16">
        <f>'03 - 2022'!G37-'03 - 2022'!G36</f>
        <v>0</v>
      </c>
      <c r="K31" s="14">
        <v>0.74</v>
      </c>
    </row>
    <row r="32" spans="1:13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f>'03 - 2022'!B38-'03 - 2022'!B37</f>
        <v>0</v>
      </c>
      <c r="F32" s="16">
        <f>'03 - 2022'!C38-'03 - 2022'!C37</f>
        <v>0</v>
      </c>
      <c r="G32" s="14">
        <v>0.11799999999999999</v>
      </c>
      <c r="H32" s="16">
        <f>'03 - 2022'!E38-'03 - 2022'!E37</f>
        <v>0</v>
      </c>
      <c r="I32" s="16">
        <f>'03 - 2022'!F38-'03 - 2022'!F37</f>
        <v>0</v>
      </c>
      <c r="J32" s="16">
        <f>'03 - 2022'!G38-'03 - 2022'!G37</f>
        <v>0</v>
      </c>
      <c r="K32" s="14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N14" sqref="N14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85" t="s">
        <v>30</v>
      </c>
      <c r="B3" s="85"/>
      <c r="C3" s="85"/>
      <c r="D3" s="85"/>
      <c r="E3" s="85"/>
      <c r="F3" s="85"/>
      <c r="G3" s="85"/>
      <c r="H3" s="85"/>
      <c r="I3" s="85"/>
      <c r="J3" s="85"/>
    </row>
    <row r="4" spans="1:17" ht="16.5" thickBot="1" x14ac:dyDescent="0.3">
      <c r="A4" s="86" t="s">
        <v>37</v>
      </c>
      <c r="B4" s="86"/>
      <c r="C4" s="86"/>
      <c r="D4" s="86"/>
      <c r="E4" s="86"/>
      <c r="F4" s="86"/>
      <c r="G4" s="86"/>
      <c r="H4" s="86"/>
      <c r="I4" s="86"/>
      <c r="J4" s="86"/>
    </row>
    <row r="5" spans="1:17" ht="16.5" thickBot="1" x14ac:dyDescent="0.3">
      <c r="A5" s="40"/>
      <c r="B5" s="87" t="s">
        <v>36</v>
      </c>
      <c r="C5" s="87"/>
      <c r="D5" s="87" t="s">
        <v>0</v>
      </c>
      <c r="E5" s="87"/>
      <c r="F5" s="87"/>
      <c r="G5" s="87"/>
      <c r="H5" s="87" t="s">
        <v>1</v>
      </c>
      <c r="I5" s="87"/>
      <c r="J5" s="41" t="s">
        <v>2</v>
      </c>
      <c r="K5" s="42"/>
    </row>
    <row r="6" spans="1:17" ht="12" customHeight="1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47" t="s">
        <v>31</v>
      </c>
      <c r="L6" s="66" t="s">
        <v>32</v>
      </c>
    </row>
    <row r="7" spans="1:17" s="12" customFormat="1" ht="12.95" customHeight="1" x14ac:dyDescent="0.25">
      <c r="A7" s="74">
        <v>44620</v>
      </c>
      <c r="B7" s="75">
        <v>766849</v>
      </c>
      <c r="C7" s="76">
        <v>396625</v>
      </c>
      <c r="D7" s="77">
        <v>0.43</v>
      </c>
      <c r="E7" s="62">
        <v>2836.86</v>
      </c>
      <c r="F7" s="62">
        <v>1639.39</v>
      </c>
      <c r="G7" s="62">
        <v>38892.370000000003</v>
      </c>
      <c r="H7" s="75">
        <v>14528</v>
      </c>
      <c r="I7" s="75">
        <v>148993</v>
      </c>
      <c r="J7" s="75">
        <v>53864590</v>
      </c>
      <c r="K7" s="49"/>
      <c r="L7" s="67"/>
      <c r="M7" s="17"/>
    </row>
    <row r="8" spans="1:17" s="28" customFormat="1" ht="12.95" customHeight="1" x14ac:dyDescent="0.25">
      <c r="A8" s="48">
        <f>A7+1</f>
        <v>44621</v>
      </c>
      <c r="B8" s="78">
        <v>770869</v>
      </c>
      <c r="C8" s="78">
        <v>402301</v>
      </c>
      <c r="D8" s="79">
        <v>0.36</v>
      </c>
      <c r="E8" s="73">
        <v>2855.67</v>
      </c>
      <c r="F8" s="73">
        <v>1647.44</v>
      </c>
      <c r="G8" s="78">
        <v>38929.230000000003</v>
      </c>
      <c r="H8" s="78">
        <v>14528</v>
      </c>
      <c r="I8" s="78">
        <v>149104</v>
      </c>
      <c r="J8" s="78">
        <v>53879396</v>
      </c>
      <c r="K8" s="38"/>
      <c r="L8" s="68"/>
      <c r="M8" s="27"/>
    </row>
    <row r="9" spans="1:17" s="28" customFormat="1" ht="12.95" customHeight="1" x14ac:dyDescent="0.25">
      <c r="A9" s="48">
        <f t="shared" ref="A9:A38" si="0">A8+1</f>
        <v>44622</v>
      </c>
      <c r="B9" s="35">
        <v>774757</v>
      </c>
      <c r="C9" s="36">
        <v>407820</v>
      </c>
      <c r="D9" s="29">
        <v>0.28999999999999998</v>
      </c>
      <c r="E9" s="26">
        <v>2872.68</v>
      </c>
      <c r="F9" s="26">
        <v>1655.74</v>
      </c>
      <c r="G9" s="26">
        <v>38966.5</v>
      </c>
      <c r="H9" s="35">
        <v>14528</v>
      </c>
      <c r="I9" s="37">
        <v>149207</v>
      </c>
      <c r="J9" s="37">
        <v>53893408</v>
      </c>
      <c r="K9" s="38"/>
      <c r="L9" s="69"/>
      <c r="M9" s="27"/>
    </row>
    <row r="10" spans="1:17" s="28" customFormat="1" ht="12.95" customHeight="1" x14ac:dyDescent="0.25">
      <c r="A10" s="48">
        <f t="shared" si="0"/>
        <v>44623</v>
      </c>
      <c r="B10" s="37">
        <v>778690</v>
      </c>
      <c r="C10" s="37">
        <v>413378</v>
      </c>
      <c r="D10" s="80">
        <v>0.76</v>
      </c>
      <c r="E10" s="26">
        <v>2893.82</v>
      </c>
      <c r="F10" s="26">
        <v>1664.12</v>
      </c>
      <c r="G10" s="26">
        <v>39004.81</v>
      </c>
      <c r="H10" s="35">
        <v>14528</v>
      </c>
      <c r="I10" s="37">
        <v>149319</v>
      </c>
      <c r="J10" s="81">
        <v>53906394</v>
      </c>
      <c r="K10" s="38"/>
      <c r="L10" s="69"/>
      <c r="M10" s="27"/>
    </row>
    <row r="11" spans="1:17" s="28" customFormat="1" ht="12.95" customHeight="1" x14ac:dyDescent="0.25">
      <c r="A11" s="48">
        <f t="shared" si="0"/>
        <v>44624</v>
      </c>
      <c r="B11" s="37">
        <v>782592</v>
      </c>
      <c r="C11" s="37">
        <v>419083</v>
      </c>
      <c r="D11" s="80">
        <v>0.68</v>
      </c>
      <c r="E11" s="26">
        <v>2913.73</v>
      </c>
      <c r="F11" s="26">
        <v>1673.06</v>
      </c>
      <c r="G11" s="26">
        <v>39047.31</v>
      </c>
      <c r="H11" s="35">
        <v>14528</v>
      </c>
      <c r="I11" s="37">
        <v>149428</v>
      </c>
      <c r="J11" s="37">
        <v>53920390</v>
      </c>
      <c r="K11" s="38"/>
      <c r="L11" s="69"/>
      <c r="M11" s="27"/>
    </row>
    <row r="12" spans="1:17" s="28" customFormat="1" ht="12.95" customHeight="1" x14ac:dyDescent="0.25">
      <c r="A12" s="48">
        <f t="shared" si="0"/>
        <v>44625</v>
      </c>
      <c r="B12" s="35">
        <v>786513</v>
      </c>
      <c r="C12" s="35">
        <v>424980</v>
      </c>
      <c r="D12" s="80">
        <v>0.59</v>
      </c>
      <c r="E12" s="83">
        <v>2935.04</v>
      </c>
      <c r="F12" s="35">
        <v>1681.01</v>
      </c>
      <c r="G12" s="35">
        <v>39092.92</v>
      </c>
      <c r="H12" s="35">
        <v>14528</v>
      </c>
      <c r="I12" s="35">
        <v>149544</v>
      </c>
      <c r="J12" s="35">
        <v>53936332</v>
      </c>
      <c r="K12" s="38"/>
      <c r="L12" s="69"/>
      <c r="M12" s="27"/>
      <c r="N12" s="27"/>
    </row>
    <row r="13" spans="1:17" s="28" customFormat="1" ht="12.95" customHeight="1" x14ac:dyDescent="0.25">
      <c r="A13" s="48">
        <f t="shared" si="0"/>
        <v>44626</v>
      </c>
      <c r="B13" s="53">
        <v>790534</v>
      </c>
      <c r="C13" s="36">
        <v>430898</v>
      </c>
      <c r="D13" s="80">
        <v>0.52</v>
      </c>
      <c r="E13" s="26">
        <v>2951.77</v>
      </c>
      <c r="F13" s="26">
        <v>1689.79</v>
      </c>
      <c r="G13" s="26">
        <v>39137</v>
      </c>
      <c r="H13" s="37">
        <v>14528</v>
      </c>
      <c r="I13" s="36">
        <v>149650</v>
      </c>
      <c r="J13" s="36">
        <v>53952239</v>
      </c>
      <c r="K13" s="38"/>
      <c r="L13" s="69"/>
      <c r="M13" s="27"/>
      <c r="N13" s="30"/>
      <c r="O13" s="30"/>
      <c r="P13" s="30"/>
      <c r="Q13" s="30"/>
    </row>
    <row r="14" spans="1:17" s="28" customFormat="1" ht="12.95" customHeight="1" x14ac:dyDescent="0.25">
      <c r="A14" s="48">
        <f t="shared" si="0"/>
        <v>44627</v>
      </c>
      <c r="B14" s="37">
        <v>794232</v>
      </c>
      <c r="C14" s="37">
        <v>436394</v>
      </c>
      <c r="D14" s="80">
        <v>0.42</v>
      </c>
      <c r="E14" s="26">
        <v>2969.96</v>
      </c>
      <c r="F14" s="26">
        <v>1697.94</v>
      </c>
      <c r="G14" s="36">
        <v>39180.239999999998</v>
      </c>
      <c r="H14" s="37">
        <v>14528</v>
      </c>
      <c r="I14" s="37">
        <v>149762</v>
      </c>
      <c r="J14" s="37">
        <v>53968410</v>
      </c>
      <c r="K14" s="38"/>
      <c r="L14" s="69"/>
      <c r="M14" s="27"/>
      <c r="N14" s="30"/>
      <c r="O14" s="30"/>
      <c r="P14" s="30"/>
      <c r="Q14" s="30"/>
    </row>
    <row r="15" spans="1:17" s="28" customFormat="1" ht="12.95" customHeight="1" x14ac:dyDescent="0.25">
      <c r="A15" s="48">
        <f t="shared" si="0"/>
        <v>44628</v>
      </c>
      <c r="B15" s="37">
        <v>798615</v>
      </c>
      <c r="C15" s="37">
        <v>442077</v>
      </c>
      <c r="D15" s="29">
        <v>0.35</v>
      </c>
      <c r="E15" s="26">
        <v>2986.04</v>
      </c>
      <c r="F15" s="26">
        <v>1706.45</v>
      </c>
      <c r="G15" s="36">
        <v>39220.04</v>
      </c>
      <c r="H15" s="37">
        <v>14528</v>
      </c>
      <c r="I15" s="37">
        <v>149873</v>
      </c>
      <c r="J15" s="37">
        <v>53984568</v>
      </c>
      <c r="K15" s="38"/>
      <c r="L15" s="69"/>
      <c r="M15" s="27"/>
      <c r="N15" s="30"/>
      <c r="O15" s="30"/>
      <c r="P15" s="30"/>
      <c r="Q15" s="30"/>
    </row>
    <row r="16" spans="1:17" s="28" customFormat="1" ht="12.95" customHeight="1" x14ac:dyDescent="0.25">
      <c r="A16" s="48">
        <f t="shared" si="0"/>
        <v>44629</v>
      </c>
      <c r="B16" s="35">
        <v>801971</v>
      </c>
      <c r="C16" s="37">
        <v>447766</v>
      </c>
      <c r="D16" s="29">
        <v>0.28000000000000003</v>
      </c>
      <c r="E16" s="26">
        <v>3003.49</v>
      </c>
      <c r="F16" s="26">
        <v>1713.82</v>
      </c>
      <c r="G16" s="36">
        <v>39260.74</v>
      </c>
      <c r="H16" s="37">
        <v>14528</v>
      </c>
      <c r="I16" s="37">
        <v>149981</v>
      </c>
      <c r="J16" s="37">
        <v>54001440</v>
      </c>
      <c r="K16" s="38"/>
      <c r="L16" s="69"/>
      <c r="M16" s="27"/>
      <c r="N16" s="30"/>
      <c r="O16" s="30"/>
      <c r="P16" s="30"/>
      <c r="Q16" s="30"/>
    </row>
    <row r="17" spans="1:19" s="28" customFormat="1" ht="12.95" customHeight="1" x14ac:dyDescent="0.25">
      <c r="A17" s="48">
        <f t="shared" si="0"/>
        <v>44630</v>
      </c>
      <c r="B17" s="36">
        <v>805800</v>
      </c>
      <c r="C17" s="36">
        <v>453324</v>
      </c>
      <c r="D17" s="82">
        <v>0.77</v>
      </c>
      <c r="E17" s="26">
        <v>3023.86</v>
      </c>
      <c r="F17" s="26">
        <v>1720.87</v>
      </c>
      <c r="G17" s="36">
        <v>39297.81</v>
      </c>
      <c r="H17" s="37">
        <v>14528</v>
      </c>
      <c r="I17" s="36">
        <v>150087</v>
      </c>
      <c r="J17" s="36">
        <v>54019637</v>
      </c>
      <c r="K17" s="38"/>
      <c r="L17" s="69"/>
      <c r="M17" s="27"/>
      <c r="N17" s="30"/>
      <c r="O17" s="30"/>
      <c r="P17" s="30"/>
      <c r="Q17" s="30"/>
    </row>
    <row r="18" spans="1:19" s="28" customFormat="1" ht="12.95" customHeight="1" x14ac:dyDescent="0.25">
      <c r="A18" s="48">
        <f t="shared" si="0"/>
        <v>44631</v>
      </c>
      <c r="B18" s="37">
        <v>809633</v>
      </c>
      <c r="C18" s="37">
        <v>459164</v>
      </c>
      <c r="D18" s="80">
        <v>0.68</v>
      </c>
      <c r="E18" s="26">
        <v>3044.93</v>
      </c>
      <c r="F18" s="26">
        <v>1728.63</v>
      </c>
      <c r="G18" s="36">
        <v>39339.82</v>
      </c>
      <c r="H18" s="37">
        <v>14528</v>
      </c>
      <c r="I18" s="37">
        <v>150208</v>
      </c>
      <c r="J18" s="37">
        <v>54039164</v>
      </c>
      <c r="K18" s="38"/>
      <c r="L18" s="69"/>
      <c r="M18" s="27"/>
      <c r="N18" s="30"/>
      <c r="O18" s="31"/>
      <c r="P18" s="30"/>
      <c r="Q18" s="30"/>
    </row>
    <row r="19" spans="1:19" s="28" customFormat="1" ht="12.95" customHeight="1" x14ac:dyDescent="0.25">
      <c r="A19" s="48">
        <f t="shared" si="0"/>
        <v>44632</v>
      </c>
      <c r="B19" s="54">
        <v>813532</v>
      </c>
      <c r="C19" s="54">
        <v>465046</v>
      </c>
      <c r="D19" s="80">
        <v>0.59</v>
      </c>
      <c r="E19" s="55">
        <v>3065</v>
      </c>
      <c r="F19" s="26">
        <v>1736.92</v>
      </c>
      <c r="G19" s="55">
        <v>39380.120000000003</v>
      </c>
      <c r="H19" s="37">
        <v>14528</v>
      </c>
      <c r="I19" s="54">
        <v>150323</v>
      </c>
      <c r="J19" s="54">
        <v>54059276</v>
      </c>
      <c r="K19" s="38"/>
      <c r="L19" s="69"/>
      <c r="M19" s="27"/>
      <c r="N19" s="30"/>
      <c r="O19" s="31"/>
      <c r="P19" s="30"/>
      <c r="Q19" s="30"/>
    </row>
    <row r="20" spans="1:19" s="28" customFormat="1" ht="12.95" customHeight="1" x14ac:dyDescent="0.25">
      <c r="A20" s="48">
        <f t="shared" si="0"/>
        <v>44633</v>
      </c>
      <c r="B20" s="54">
        <v>817429</v>
      </c>
      <c r="C20" s="54">
        <v>470868</v>
      </c>
      <c r="D20" s="80">
        <v>0.51</v>
      </c>
      <c r="E20" s="55">
        <v>3085.18</v>
      </c>
      <c r="F20" s="26">
        <v>1745.24</v>
      </c>
      <c r="G20" s="55">
        <v>39418.129999999997</v>
      </c>
      <c r="H20" s="37">
        <v>14528</v>
      </c>
      <c r="I20" s="54">
        <v>150433</v>
      </c>
      <c r="J20" s="54">
        <v>54078724</v>
      </c>
      <c r="K20" s="38"/>
      <c r="L20" s="69"/>
      <c r="M20" s="27"/>
      <c r="N20" s="32"/>
      <c r="O20" s="30"/>
      <c r="P20" s="30"/>
      <c r="Q20" s="30"/>
    </row>
    <row r="21" spans="1:19" s="28" customFormat="1" ht="12.95" customHeight="1" x14ac:dyDescent="0.25">
      <c r="A21" s="48">
        <f t="shared" si="0"/>
        <v>44634</v>
      </c>
      <c r="B21" s="54">
        <v>821249</v>
      </c>
      <c r="C21" s="54">
        <v>476617</v>
      </c>
      <c r="D21" s="80">
        <v>0.42</v>
      </c>
      <c r="E21" s="55">
        <v>3101.41</v>
      </c>
      <c r="F21" s="26">
        <v>1752.73</v>
      </c>
      <c r="G21" s="55">
        <v>39458.79</v>
      </c>
      <c r="H21" s="37">
        <v>14528</v>
      </c>
      <c r="I21" s="54">
        <v>150532</v>
      </c>
      <c r="J21" s="54">
        <v>54096440</v>
      </c>
      <c r="K21" s="38"/>
      <c r="L21" s="69"/>
      <c r="M21" s="27"/>
      <c r="N21" s="32"/>
      <c r="O21" s="32"/>
      <c r="P21" s="33"/>
      <c r="Q21" s="33"/>
      <c r="S21" s="27"/>
    </row>
    <row r="22" spans="1:19" s="28" customFormat="1" ht="12.95" customHeight="1" x14ac:dyDescent="0.25">
      <c r="A22" s="48">
        <f t="shared" si="0"/>
        <v>44635</v>
      </c>
      <c r="B22" s="54">
        <v>824913</v>
      </c>
      <c r="C22" s="54">
        <v>482173</v>
      </c>
      <c r="D22" s="29">
        <v>0.35</v>
      </c>
      <c r="E22" s="55">
        <v>3116.34</v>
      </c>
      <c r="F22" s="26">
        <v>1760.96</v>
      </c>
      <c r="G22" s="55">
        <v>39496.120000000003</v>
      </c>
      <c r="H22" s="37">
        <v>14528</v>
      </c>
      <c r="I22" s="55">
        <v>150637</v>
      </c>
      <c r="J22" s="54">
        <v>54114680</v>
      </c>
      <c r="K22" s="38"/>
      <c r="L22" s="69"/>
      <c r="M22" s="27"/>
      <c r="N22" s="32"/>
      <c r="O22" s="32"/>
      <c r="P22" s="30"/>
      <c r="Q22" s="30"/>
    </row>
    <row r="23" spans="1:19" s="28" customFormat="1" ht="12.95" customHeight="1" x14ac:dyDescent="0.25">
      <c r="A23" s="48">
        <f t="shared" si="0"/>
        <v>44636</v>
      </c>
      <c r="B23" s="54">
        <v>828746</v>
      </c>
      <c r="C23" s="54">
        <v>488109</v>
      </c>
      <c r="D23" s="29">
        <v>0.27</v>
      </c>
      <c r="E23" s="55">
        <v>3131.58</v>
      </c>
      <c r="F23" s="26">
        <v>1770.01</v>
      </c>
      <c r="G23" s="55">
        <v>39534.47</v>
      </c>
      <c r="H23" s="37">
        <v>14528</v>
      </c>
      <c r="I23" s="54">
        <v>150750</v>
      </c>
      <c r="J23" s="54">
        <v>54135728</v>
      </c>
      <c r="K23" s="38"/>
      <c r="L23" s="84" t="s">
        <v>39</v>
      </c>
      <c r="M23" s="27"/>
      <c r="N23" s="32"/>
      <c r="O23" s="30"/>
      <c r="P23" s="30"/>
      <c r="Q23" s="30"/>
    </row>
    <row r="24" spans="1:19" s="28" customFormat="1" ht="12.95" customHeight="1" x14ac:dyDescent="0.25">
      <c r="A24" s="48">
        <f t="shared" si="0"/>
        <v>44637</v>
      </c>
      <c r="B24" s="54">
        <v>832308</v>
      </c>
      <c r="C24" s="54">
        <v>493712</v>
      </c>
      <c r="D24" s="80">
        <v>0.8</v>
      </c>
      <c r="E24" s="62">
        <f>E23+18.62</f>
        <v>3150.2</v>
      </c>
      <c r="F24" s="26">
        <v>1777.12</v>
      </c>
      <c r="G24" s="55">
        <v>39572.69</v>
      </c>
      <c r="H24" s="37">
        <v>14528</v>
      </c>
      <c r="I24" s="54">
        <v>150862</v>
      </c>
      <c r="J24" s="54">
        <v>54154974</v>
      </c>
      <c r="K24" s="38" t="s">
        <v>38</v>
      </c>
      <c r="L24" s="70"/>
      <c r="M24" s="27"/>
      <c r="N24" s="32"/>
      <c r="O24" s="32"/>
      <c r="P24" s="30"/>
      <c r="Q24" s="30"/>
    </row>
    <row r="25" spans="1:19" s="28" customFormat="1" ht="12.95" customHeight="1" x14ac:dyDescent="0.25">
      <c r="A25" s="48">
        <f t="shared" si="0"/>
        <v>44638</v>
      </c>
      <c r="B25" s="55">
        <v>836460</v>
      </c>
      <c r="C25" s="55">
        <v>499533</v>
      </c>
      <c r="D25" s="82">
        <v>0.7</v>
      </c>
      <c r="E25" s="88">
        <f>E24+27.98</f>
        <v>3178.18</v>
      </c>
      <c r="F25" s="26">
        <v>1785.54</v>
      </c>
      <c r="G25" s="55">
        <v>39616.269999999997</v>
      </c>
      <c r="H25" s="37">
        <v>14528</v>
      </c>
      <c r="I25" s="54">
        <v>150981</v>
      </c>
      <c r="J25" s="54">
        <v>54173112</v>
      </c>
      <c r="K25" s="39"/>
      <c r="L25" s="70"/>
      <c r="M25" s="27"/>
      <c r="N25" s="32"/>
      <c r="O25" s="32"/>
      <c r="P25" s="30"/>
      <c r="Q25" s="30"/>
    </row>
    <row r="26" spans="1:19" s="28" customFormat="1" ht="12.95" customHeight="1" x14ac:dyDescent="0.25">
      <c r="A26" s="48">
        <f t="shared" si="0"/>
        <v>44639</v>
      </c>
      <c r="B26" s="55"/>
      <c r="C26" s="55"/>
      <c r="D26" s="29"/>
      <c r="E26" s="88"/>
      <c r="F26" s="62"/>
      <c r="G26" s="55"/>
      <c r="H26" s="35"/>
      <c r="I26" s="61"/>
      <c r="J26" s="61"/>
      <c r="K26" s="38"/>
      <c r="L26" s="70"/>
      <c r="M26" s="27"/>
      <c r="N26" s="32"/>
      <c r="O26" s="32"/>
      <c r="P26" s="30"/>
      <c r="Q26" s="30"/>
    </row>
    <row r="27" spans="1:19" s="28" customFormat="1" ht="12.95" customHeight="1" x14ac:dyDescent="0.25">
      <c r="A27" s="48">
        <f t="shared" si="0"/>
        <v>44640</v>
      </c>
      <c r="B27" s="54"/>
      <c r="C27" s="54"/>
      <c r="D27" s="29"/>
      <c r="E27" s="88"/>
      <c r="F27" s="62"/>
      <c r="G27" s="55"/>
      <c r="H27" s="35"/>
      <c r="I27" s="61"/>
      <c r="J27" s="63"/>
      <c r="K27" s="38"/>
      <c r="L27" s="69"/>
      <c r="M27" s="27"/>
    </row>
    <row r="28" spans="1:19" s="28" customFormat="1" ht="12.95" customHeight="1" x14ac:dyDescent="0.25">
      <c r="A28" s="48">
        <f t="shared" si="0"/>
        <v>44641</v>
      </c>
      <c r="B28" s="56"/>
      <c r="C28" s="54"/>
      <c r="D28" s="29"/>
      <c r="E28" s="88"/>
      <c r="F28" s="26"/>
      <c r="G28" s="55"/>
      <c r="H28" s="35"/>
      <c r="I28" s="54"/>
      <c r="J28" s="54"/>
      <c r="K28" s="38"/>
      <c r="L28" s="69"/>
      <c r="M28" s="27"/>
    </row>
    <row r="29" spans="1:19" s="28" customFormat="1" ht="12.95" customHeight="1" x14ac:dyDescent="0.25">
      <c r="A29" s="48">
        <f t="shared" si="0"/>
        <v>44642</v>
      </c>
      <c r="B29" s="54"/>
      <c r="C29" s="54"/>
      <c r="D29" s="29"/>
      <c r="E29" s="88"/>
      <c r="F29" s="26"/>
      <c r="G29" s="55"/>
      <c r="H29" s="37"/>
      <c r="I29" s="54"/>
      <c r="J29" s="54"/>
      <c r="K29" s="38"/>
      <c r="L29" s="69"/>
      <c r="M29" s="27"/>
      <c r="N29" s="27"/>
    </row>
    <row r="30" spans="1:19" s="28" customFormat="1" ht="12.95" customHeight="1" x14ac:dyDescent="0.25">
      <c r="A30" s="48">
        <f t="shared" si="0"/>
        <v>44643</v>
      </c>
      <c r="B30" s="54"/>
      <c r="C30" s="54"/>
      <c r="D30" s="29"/>
      <c r="E30" s="88"/>
      <c r="F30" s="26"/>
      <c r="G30" s="55"/>
      <c r="H30" s="37"/>
      <c r="I30" s="54"/>
      <c r="J30" s="54"/>
      <c r="K30" s="38"/>
      <c r="L30" s="69"/>
      <c r="M30" s="27"/>
    </row>
    <row r="31" spans="1:19" s="28" customFormat="1" ht="12.95" customHeight="1" x14ac:dyDescent="0.25">
      <c r="A31" s="48">
        <f t="shared" si="0"/>
        <v>44644</v>
      </c>
      <c r="B31" s="54"/>
      <c r="C31" s="54"/>
      <c r="D31" s="29"/>
      <c r="E31" s="88"/>
      <c r="F31" s="26"/>
      <c r="G31" s="55"/>
      <c r="H31" s="35"/>
      <c r="I31" s="54"/>
      <c r="J31" s="54"/>
      <c r="K31" s="38"/>
      <c r="L31" s="71"/>
      <c r="M31" s="27"/>
      <c r="N31" s="27"/>
      <c r="O31" s="27"/>
    </row>
    <row r="32" spans="1:19" s="28" customFormat="1" ht="12.95" customHeight="1" x14ac:dyDescent="0.25">
      <c r="A32" s="48">
        <f t="shared" si="0"/>
        <v>44645</v>
      </c>
      <c r="B32" s="54"/>
      <c r="C32" s="54"/>
      <c r="D32" s="29"/>
      <c r="E32" s="88"/>
      <c r="F32" s="26"/>
      <c r="G32" s="55"/>
      <c r="H32" s="35"/>
      <c r="I32" s="54"/>
      <c r="J32" s="54"/>
      <c r="K32" s="38"/>
      <c r="L32" s="71"/>
      <c r="M32" s="27"/>
      <c r="N32" s="27"/>
      <c r="O32" s="27"/>
    </row>
    <row r="33" spans="1:16" s="28" customFormat="1" ht="12.95" customHeight="1" x14ac:dyDescent="0.25">
      <c r="A33" s="48">
        <f t="shared" si="0"/>
        <v>44646</v>
      </c>
      <c r="B33" s="54"/>
      <c r="C33" s="54"/>
      <c r="D33" s="29"/>
      <c r="E33" s="88"/>
      <c r="F33" s="26"/>
      <c r="G33" s="55"/>
      <c r="H33" s="35"/>
      <c r="I33" s="61"/>
      <c r="J33" s="61"/>
      <c r="K33" s="38"/>
      <c r="L33" s="69"/>
      <c r="N33" s="27"/>
      <c r="O33" s="27"/>
    </row>
    <row r="34" spans="1:16" s="28" customFormat="1" ht="12.95" customHeight="1" x14ac:dyDescent="0.25">
      <c r="A34" s="48">
        <f t="shared" si="0"/>
        <v>44647</v>
      </c>
      <c r="B34" s="55"/>
      <c r="C34" s="57"/>
      <c r="D34" s="29"/>
      <c r="E34" s="88"/>
      <c r="F34" s="26"/>
      <c r="G34" s="55"/>
      <c r="H34" s="37"/>
      <c r="I34" s="55"/>
      <c r="J34" s="55"/>
      <c r="K34" s="38"/>
      <c r="L34" s="69"/>
      <c r="N34" s="27"/>
      <c r="P34" s="27"/>
    </row>
    <row r="35" spans="1:16" s="28" customFormat="1" ht="12.95" customHeight="1" x14ac:dyDescent="0.25">
      <c r="A35" s="48">
        <f t="shared" si="0"/>
        <v>44648</v>
      </c>
      <c r="B35" s="37"/>
      <c r="C35" s="64"/>
      <c r="D35" s="29"/>
      <c r="E35" s="62"/>
      <c r="F35" s="36"/>
      <c r="G35" s="36"/>
      <c r="H35" s="37"/>
      <c r="I35" s="37"/>
      <c r="J35" s="37"/>
      <c r="K35" s="38"/>
      <c r="L35" s="69"/>
      <c r="M35" s="27"/>
      <c r="N35" s="27"/>
      <c r="O35" s="27"/>
    </row>
    <row r="36" spans="1:16" s="28" customFormat="1" ht="12.95" customHeight="1" x14ac:dyDescent="0.25">
      <c r="A36" s="48">
        <f t="shared" si="0"/>
        <v>44649</v>
      </c>
      <c r="B36" s="37"/>
      <c r="C36" s="64"/>
      <c r="D36" s="29"/>
      <c r="E36" s="62"/>
      <c r="F36" s="36"/>
      <c r="G36" s="36"/>
      <c r="H36" s="37"/>
      <c r="I36" s="37"/>
      <c r="J36" s="37"/>
      <c r="K36" s="38"/>
      <c r="L36" s="69"/>
      <c r="M36" s="27"/>
      <c r="N36" s="27"/>
      <c r="O36" s="27"/>
    </row>
    <row r="37" spans="1:16" s="28" customFormat="1" ht="12.95" customHeight="1" x14ac:dyDescent="0.25">
      <c r="A37" s="48">
        <f t="shared" si="0"/>
        <v>44650</v>
      </c>
      <c r="B37" s="37"/>
      <c r="C37" s="64"/>
      <c r="D37" s="29"/>
      <c r="E37" s="62"/>
      <c r="F37" s="36"/>
      <c r="G37" s="36"/>
      <c r="H37" s="37"/>
      <c r="I37" s="37"/>
      <c r="J37" s="37"/>
      <c r="K37" s="38"/>
      <c r="L37" s="69"/>
      <c r="M37" s="27"/>
      <c r="N37" s="27"/>
      <c r="O37" s="27"/>
    </row>
    <row r="38" spans="1:16" s="28" customFormat="1" ht="12.95" customHeight="1" thickBot="1" x14ac:dyDescent="0.3">
      <c r="A38" s="48">
        <f t="shared" si="0"/>
        <v>44651</v>
      </c>
      <c r="B38" s="58"/>
      <c r="C38" s="59"/>
      <c r="D38" s="65"/>
      <c r="E38" s="89"/>
      <c r="F38" s="60"/>
      <c r="G38" s="60"/>
      <c r="H38" s="58"/>
      <c r="I38" s="58"/>
      <c r="J38" s="58"/>
      <c r="K38" s="50"/>
      <c r="L38" s="72"/>
      <c r="M38" s="27"/>
      <c r="N38" s="27"/>
      <c r="O38" s="27"/>
    </row>
    <row r="39" spans="1:16" s="34" customFormat="1" x14ac:dyDescent="0.25">
      <c r="A39" s="51" t="s">
        <v>35</v>
      </c>
      <c r="B39" s="52">
        <f>B35-B7</f>
        <v>-766849</v>
      </c>
      <c r="C39" s="52">
        <f>C35-C7</f>
        <v>-396625</v>
      </c>
      <c r="D39" s="52">
        <f t="shared" ref="D39:I39" si="1">D35-D7</f>
        <v>-0.43</v>
      </c>
      <c r="E39" s="52">
        <f>E35-E7</f>
        <v>-2836.86</v>
      </c>
      <c r="F39" s="52">
        <f t="shared" si="1"/>
        <v>-1639.39</v>
      </c>
      <c r="G39" s="52">
        <f>G35-G7</f>
        <v>-38892.370000000003</v>
      </c>
      <c r="H39" s="52">
        <f t="shared" si="1"/>
        <v>-14528</v>
      </c>
      <c r="I39" s="52">
        <f t="shared" si="1"/>
        <v>-148993</v>
      </c>
      <c r="J39" s="52">
        <f>J35-J7</f>
        <v>-53864590</v>
      </c>
      <c r="K39" s="52">
        <f>SUM(K7:K35)</f>
        <v>0</v>
      </c>
      <c r="L39" s="14"/>
    </row>
    <row r="40" spans="1:16" s="34" customFormat="1" x14ac:dyDescent="0.25">
      <c r="A40" s="14"/>
      <c r="B40" s="14"/>
      <c r="C40" s="52"/>
      <c r="D40" s="14"/>
      <c r="E40" s="16"/>
      <c r="F40" s="16"/>
      <c r="G40" s="16"/>
      <c r="H40" s="13">
        <f>H39*219.969</f>
        <v>-3195709.6319999998</v>
      </c>
      <c r="I40" s="52">
        <f>I39*219.969</f>
        <v>-32773841.217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03 - 2022</vt:lpstr>
      <vt:lpstr>'03 - 2022'!Print_Area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2022-03-18T02:33:10Z</dcterms:modified>
</cp:coreProperties>
</file>