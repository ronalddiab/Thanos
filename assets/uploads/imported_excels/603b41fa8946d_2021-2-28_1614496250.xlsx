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Feb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W7" i="7" l="1"/>
  <c r="AW8" i="7"/>
  <c r="R30" i="9" l="1"/>
  <c r="R31" i="9"/>
  <c r="R32" i="9"/>
  <c r="Q30" i="9"/>
  <c r="Q31" i="9"/>
  <c r="Q32" i="9"/>
  <c r="P29" i="9"/>
  <c r="P30" i="9"/>
  <c r="P31" i="9"/>
  <c r="P32" i="9"/>
  <c r="O30" i="9"/>
  <c r="O31" i="9"/>
  <c r="O32" i="9"/>
  <c r="N30" i="9"/>
  <c r="N31" i="9"/>
  <c r="M30" i="9"/>
  <c r="M31" i="9"/>
  <c r="M32" i="9"/>
  <c r="L30" i="9"/>
  <c r="L31" i="9"/>
  <c r="L32" i="9"/>
  <c r="K30" i="9"/>
  <c r="K31" i="9"/>
  <c r="K32" i="9"/>
  <c r="J30" i="9"/>
  <c r="J31" i="9"/>
  <c r="J32" i="9"/>
  <c r="I30" i="9"/>
  <c r="I31" i="9"/>
  <c r="I32" i="9"/>
  <c r="H30" i="9"/>
  <c r="H31" i="9"/>
  <c r="H32" i="9"/>
  <c r="G30" i="9"/>
  <c r="G31" i="9"/>
  <c r="G32" i="9"/>
  <c r="F30" i="9"/>
  <c r="F31" i="9"/>
  <c r="F32" i="9"/>
  <c r="E30" i="9"/>
  <c r="E31" i="9"/>
  <c r="S15" i="9"/>
  <c r="S18" i="9"/>
  <c r="S19" i="9"/>
  <c r="AB8" i="7" l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AB36" i="7"/>
  <c r="AB37" i="7"/>
  <c r="P3" i="9" l="1"/>
  <c r="AB38" i="7"/>
  <c r="AC31" i="7"/>
  <c r="Q26" i="9" s="1"/>
  <c r="AC32" i="7"/>
  <c r="Q27" i="9" s="1"/>
  <c r="AC33" i="7"/>
  <c r="Q28" i="9" s="1"/>
  <c r="AC34" i="7"/>
  <c r="Q29" i="9" s="1"/>
  <c r="AC35" i="7"/>
  <c r="AC36" i="7"/>
  <c r="AC37" i="7"/>
  <c r="I29" i="5" l="1"/>
  <c r="S29" i="9"/>
  <c r="Q35" i="7" l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AV31" i="7"/>
  <c r="AV32" i="7"/>
  <c r="AV33" i="7"/>
  <c r="AV34" i="7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F27" i="9" s="1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R33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R34" i="7"/>
  <c r="F29" i="9" s="1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T8" i="7"/>
  <c r="U8" i="7"/>
  <c r="V8" i="7"/>
  <c r="W8" i="7"/>
  <c r="X8" i="7"/>
  <c r="Y8" i="7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W34" i="7" l="1"/>
  <c r="R29" i="9"/>
  <c r="G29" i="5" s="1"/>
  <c r="AW33" i="7"/>
  <c r="R28" i="9"/>
  <c r="AW32" i="7"/>
  <c r="R27" i="9"/>
  <c r="G27" i="5" s="1"/>
  <c r="AW31" i="7"/>
  <c r="R26" i="9"/>
  <c r="AO34" i="7"/>
  <c r="N29" i="9"/>
  <c r="AM34" i="7"/>
  <c r="L29" i="9"/>
  <c r="AL34" i="7"/>
  <c r="K29" i="9"/>
  <c r="AK34" i="7"/>
  <c r="J29" i="9"/>
  <c r="AJ34" i="7"/>
  <c r="I29" i="9"/>
  <c r="AH34" i="7"/>
  <c r="G29" i="9"/>
  <c r="AO33" i="7"/>
  <c r="N28" i="9"/>
  <c r="AN33" i="7"/>
  <c r="M28" i="9"/>
  <c r="AM33" i="7"/>
  <c r="L28" i="9"/>
  <c r="AG33" i="7"/>
  <c r="F28" i="9"/>
  <c r="AO32" i="7"/>
  <c r="N27" i="9"/>
  <c r="AN32" i="7"/>
  <c r="M27" i="9"/>
  <c r="AJ32" i="7"/>
  <c r="I27" i="9"/>
  <c r="AL31" i="7"/>
  <c r="K26" i="9"/>
  <c r="AK31" i="7"/>
  <c r="J26" i="9"/>
  <c r="AI32" i="7"/>
  <c r="H27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W28" i="7"/>
  <c r="R23" i="9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AW26" i="7"/>
  <c r="R21" i="9"/>
  <c r="G21" i="5" s="1"/>
  <c r="R20" i="9"/>
  <c r="G20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R26" i="7"/>
  <c r="Q21" i="9"/>
  <c r="AO26" i="7"/>
  <c r="N21" i="9"/>
  <c r="AL26" i="7"/>
  <c r="K21" i="9"/>
  <c r="AK26" i="7"/>
  <c r="J21" i="9"/>
  <c r="AH26" i="7"/>
  <c r="G21" i="9"/>
  <c r="AG26" i="7"/>
  <c r="F21" i="9"/>
  <c r="AR25" i="7"/>
  <c r="Q20" i="9"/>
  <c r="AL25" i="7"/>
  <c r="K20" i="9"/>
  <c r="AJ25" i="7"/>
  <c r="I20" i="9"/>
  <c r="AG25" i="7"/>
  <c r="F20" i="9"/>
  <c r="AC38" i="7"/>
  <c r="AA38" i="7"/>
  <c r="X38" i="7"/>
  <c r="T38" i="7"/>
  <c r="Z38" i="7"/>
  <c r="M3" i="9"/>
  <c r="Y38" i="7"/>
  <c r="K3" i="9"/>
  <c r="W38" i="7"/>
  <c r="V38" i="7"/>
  <c r="I3" i="9"/>
  <c r="U38" i="7"/>
  <c r="G3" i="9"/>
  <c r="S38" i="7"/>
  <c r="F3" i="9"/>
  <c r="R38" i="7"/>
  <c r="E3" i="9"/>
  <c r="Q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D38" i="7" l="1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<sst xmlns="http://schemas.openxmlformats.org/spreadsheetml/2006/main" count="128" uniqueCount="49">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</sst>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2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49140</v>
      </c>
      <c r="F2" s="11">
        <v>5.0000000000000001E-3</v>
      </c>
      <c r="G2" s="12">
        <f>Submetering!R2</f>
        <v>620.42869900000005</v>
      </c>
      <c r="H2" s="11">
        <v>0.52800000000000002</v>
      </c>
      <c r="I2" s="12">
        <f>Hotel!B7</f>
        <v>60</v>
      </c>
    </row>
    <row r="3" spans="1:9" s="15" customFormat="1" x14ac:dyDescent="0.25">
      <c r="A3" s="21" t="s">
        <v>31</v>
      </c>
      <c r="B3" s="14">
        <f>B2+1</f>
        <v>2</v>
      </c>
      <c r="C3" s="3">
        <v>2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51210</v>
      </c>
      <c r="F3" s="11">
        <v>5.0000000000000001E-3</v>
      </c>
      <c r="G3" s="12">
        <f>Submetering!R3</f>
        <v>683.64504599999998</v>
      </c>
      <c r="H3" s="11">
        <v>0.52800000000000002</v>
      </c>
      <c r="I3" s="12">
        <f>Hotel!B8</f>
        <v>80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2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50390</v>
      </c>
      <c r="F4" s="11">
        <v>5.0000000000000001E-3</v>
      </c>
      <c r="G4" s="12">
        <f>Submetering!R4</f>
        <v>636.32742099999996</v>
      </c>
      <c r="H4" s="11">
        <v>0.52800000000000002</v>
      </c>
      <c r="I4" s="12">
        <f>Hotel!B9</f>
        <v>82</v>
      </c>
    </row>
    <row r="5" spans="1:9" s="15" customFormat="1" x14ac:dyDescent="0.25">
      <c r="A5" s="21" t="s">
        <v>31</v>
      </c>
      <c r="B5" s="14">
        <f t="shared" si="0"/>
        <v>4</v>
      </c>
      <c r="C5" s="3">
        <v>2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52200</v>
      </c>
      <c r="F5" s="11">
        <v>5.0000000000000001E-3</v>
      </c>
      <c r="G5" s="12">
        <f>Submetering!R5</f>
        <v>752.53950799999996</v>
      </c>
      <c r="H5" s="11">
        <v>0.52800000000000002</v>
      </c>
      <c r="I5" s="12">
        <f>Hotel!B10</f>
        <v>119</v>
      </c>
    </row>
    <row r="6" spans="1:9" s="15" customFormat="1" x14ac:dyDescent="0.25">
      <c r="A6" s="21" t="s">
        <v>31</v>
      </c>
      <c r="B6" s="14">
        <f t="shared" si="0"/>
        <v>5</v>
      </c>
      <c r="C6" s="3">
        <v>2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51700</v>
      </c>
      <c r="F6" s="11">
        <v>5.0000000000000001E-3</v>
      </c>
      <c r="G6" s="12">
        <f>Submetering!R6</f>
        <v>608.31538699999999</v>
      </c>
      <c r="H6" s="11">
        <v>0.52800000000000002</v>
      </c>
      <c r="I6" s="12">
        <f>Hotel!B11</f>
        <v>141</v>
      </c>
    </row>
    <row r="7" spans="1:9" s="15" customFormat="1" x14ac:dyDescent="0.25">
      <c r="A7" s="21" t="s">
        <v>31</v>
      </c>
      <c r="B7" s="14">
        <f t="shared" si="0"/>
        <v>6</v>
      </c>
      <c r="C7" s="3">
        <v>2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53240</v>
      </c>
      <c r="F7" s="11">
        <v>5.0000000000000001E-3</v>
      </c>
      <c r="G7" s="12">
        <f>Submetering!R7</f>
        <v>770.709476</v>
      </c>
      <c r="H7" s="11">
        <v>0.52800000000000002</v>
      </c>
      <c r="I7" s="12">
        <f>Hotel!B12</f>
        <v>88</v>
      </c>
    </row>
    <row r="8" spans="1:9" s="15" customFormat="1" x14ac:dyDescent="0.25">
      <c r="A8" s="21" t="s">
        <v>31</v>
      </c>
      <c r="B8" s="14">
        <f t="shared" si="0"/>
        <v>7</v>
      </c>
      <c r="C8" s="3">
        <v>2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50660</v>
      </c>
      <c r="F8" s="11">
        <v>5.0000000000000001E-3</v>
      </c>
      <c r="G8" s="12">
        <f>Submetering!R8</f>
        <v>593.17374699999993</v>
      </c>
      <c r="H8" s="11">
        <v>0.52800000000000002</v>
      </c>
      <c r="I8" s="12">
        <f>Hotel!B13</f>
        <v>59</v>
      </c>
    </row>
    <row r="9" spans="1:9" s="15" customFormat="1" x14ac:dyDescent="0.25">
      <c r="A9" s="21" t="s">
        <v>31</v>
      </c>
      <c r="B9" s="14">
        <f t="shared" si="0"/>
        <v>8</v>
      </c>
      <c r="C9" s="3">
        <v>2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50460</v>
      </c>
      <c r="F9" s="11">
        <v>5.0000000000000001E-3</v>
      </c>
      <c r="G9" s="12">
        <f>Submetering!R9</f>
        <v>589.76687800000002</v>
      </c>
      <c r="H9" s="11">
        <v>0.52800000000000002</v>
      </c>
      <c r="I9" s="12">
        <f>Hotel!B14</f>
        <v>43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2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50821</v>
      </c>
      <c r="F10" s="11">
        <v>5.0000000000000001E-3</v>
      </c>
      <c r="G10" s="12">
        <f>Submetering!R10</f>
        <v>640.869913</v>
      </c>
      <c r="H10" s="11">
        <v>0.52800000000000002</v>
      </c>
      <c r="I10" s="12">
        <f>Hotel!B15</f>
        <v>44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2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51559</v>
      </c>
      <c r="F11" s="11">
        <v>5.0000000000000001E-3</v>
      </c>
      <c r="G11" s="12">
        <f>Submetering!R11</f>
        <v>561.37630299999989</v>
      </c>
      <c r="H11" s="11">
        <v>0.52800000000000002</v>
      </c>
      <c r="I11" s="12">
        <f>Hotel!B16</f>
        <v>67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2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50680</v>
      </c>
      <c r="F12" s="11">
        <v>5.0000000000000001E-3</v>
      </c>
      <c r="G12" s="12">
        <f>Submetering!R12</f>
        <v>480.74706999999995</v>
      </c>
      <c r="H12" s="11">
        <v>0.52800000000000002</v>
      </c>
      <c r="I12" s="12">
        <f>Hotel!B17</f>
        <v>99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2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50980</v>
      </c>
      <c r="F13" s="11">
        <v>5.0000000000000001E-3</v>
      </c>
      <c r="G13" s="12">
        <f>Submetering!R13</f>
        <v>874.05116899999996</v>
      </c>
      <c r="H13" s="11">
        <v>0.52800000000000002</v>
      </c>
      <c r="I13" s="12">
        <f>Hotel!B18</f>
        <v>130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2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51450</v>
      </c>
      <c r="F14" s="11">
        <v>5.0000000000000001E-3</v>
      </c>
      <c r="G14" s="12">
        <f>Submetering!R14</f>
        <v>624.97119099999998</v>
      </c>
      <c r="H14" s="11">
        <v>0.52800000000000002</v>
      </c>
      <c r="I14" s="12">
        <f>Hotel!B19</f>
        <v>127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2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53980</v>
      </c>
      <c r="F15" s="11">
        <v>5.0000000000000001E-3</v>
      </c>
      <c r="G15" s="12">
        <f>Submetering!R15</f>
        <v>657.52571699999999</v>
      </c>
      <c r="H15" s="11">
        <v>0.52800000000000002</v>
      </c>
      <c r="I15" s="12">
        <f>Hotel!B20</f>
        <v>181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2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49960</v>
      </c>
      <c r="F16" s="11">
        <v>5.0000000000000001E-3</v>
      </c>
      <c r="G16" s="12">
        <f>Submetering!R16</f>
        <v>934.99626999999987</v>
      </c>
      <c r="H16" s="11">
        <v>0.52800000000000002</v>
      </c>
      <c r="I16" s="12">
        <f>Hotel!B21</f>
        <v>76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2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48326</v>
      </c>
      <c r="F17" s="11">
        <v>5.0000000000000001E-3</v>
      </c>
      <c r="G17" s="12">
        <f>Submetering!R17</f>
        <v>633.67763400000001</v>
      </c>
      <c r="H17" s="11">
        <v>0.52800000000000002</v>
      </c>
      <c r="I17" s="12">
        <f>Hotel!B22</f>
        <v>68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2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55474</v>
      </c>
      <c r="F18" s="11">
        <v>5.0000000000000001E-3</v>
      </c>
      <c r="G18" s="12">
        <f>Submetering!R18</f>
        <v>649.19781499999999</v>
      </c>
      <c r="H18" s="11">
        <v>0.52800000000000002</v>
      </c>
      <c r="I18" s="12">
        <f>Hotel!B23</f>
        <v>78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2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47616</v>
      </c>
      <c r="F19" s="11">
        <v>5.0000000000000001E-3</v>
      </c>
      <c r="G19" s="12">
        <f>Submetering!R19</f>
        <v>515.194301</v>
      </c>
      <c r="H19" s="11">
        <v>0.52800000000000002</v>
      </c>
      <c r="I19" s="12">
        <f>Hotel!B24</f>
        <v>106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2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49824</v>
      </c>
      <c r="F20" s="11">
        <v>5.0000000000000001E-3</v>
      </c>
      <c r="G20" s="12">
        <f>Submetering!R20</f>
        <v>690.45878399999992</v>
      </c>
      <c r="H20" s="11">
        <v>0.52800000000000002</v>
      </c>
      <c r="I20" s="12">
        <f>Hotel!B25</f>
        <v>135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2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47890</v>
      </c>
      <c r="F21" s="11">
        <v>5.0000000000000001E-3</v>
      </c>
      <c r="G21" s="12">
        <f>Submetering!R21</f>
        <v>634.81325700000002</v>
      </c>
      <c r="H21" s="11">
        <v>0.52800000000000002</v>
      </c>
      <c r="I21" s="12">
        <f>Hotel!B26</f>
        <v>93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2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50010</v>
      </c>
      <c r="F22" s="11">
        <v>5.0000000000000001E-3</v>
      </c>
      <c r="G22" s="12">
        <f>Submetering!R22</f>
        <v>888.81426799999997</v>
      </c>
      <c r="H22" s="11">
        <v>0.52800000000000002</v>
      </c>
      <c r="I22" s="12">
        <f>Hotel!B27</f>
        <v>85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2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50660</v>
      </c>
      <c r="F23" s="11">
        <v>5.0000000000000001E-3</v>
      </c>
      <c r="G23" s="12">
        <f>Submetering!R23</f>
        <v>372.48434399999996</v>
      </c>
      <c r="H23" s="11">
        <v>0.52800000000000002</v>
      </c>
      <c r="I23" s="12">
        <f>Hotel!B28</f>
        <v>78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2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43770</v>
      </c>
      <c r="F24" s="11">
        <v>5.0000000000000001E-3</v>
      </c>
      <c r="G24" s="12">
        <f>Submetering!R24</f>
        <v>598.85186199999998</v>
      </c>
      <c r="H24" s="11">
        <v>0.52800000000000002</v>
      </c>
      <c r="I24" s="12">
        <f>Hotel!B29</f>
        <v>64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2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50770</v>
      </c>
      <c r="F25" s="11">
        <v>5.0000000000000001E-3</v>
      </c>
      <c r="G25" s="12">
        <f>Submetering!R25</f>
        <v>559.86213899999996</v>
      </c>
      <c r="H25" s="11">
        <v>0.52800000000000002</v>
      </c>
      <c r="I25" s="12">
        <f>Hotel!B30</f>
        <v>78</v>
      </c>
    </row>
    <row r="26" spans="1:9" s="15" customFormat="1" x14ac:dyDescent="0.25">
      <c r="A26" s="21" t="s">
        <v>31</v>
      </c>
      <c r="B26" s="14">
        <f>B25+1</f>
        <v>25</v>
      </c>
      <c r="C26" s="3">
        <v>2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47190</v>
      </c>
      <c r="F26" s="11">
        <v>5.0000000000000001E-3</v>
      </c>
      <c r="G26" s="12">
        <f>Submetering!R26</f>
        <v>298.66884900000002</v>
      </c>
      <c r="H26" s="11">
        <v>0.52800000000000002</v>
      </c>
      <c r="I26" s="12">
        <f>Hotel!B31</f>
        <v>85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2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45540</v>
      </c>
      <c r="F27" s="11">
        <v>5.0000000000000001E-3</v>
      </c>
      <c r="G27" s="12">
        <f>Submetering!R27</f>
        <v>567.81150000000002</v>
      </c>
      <c r="H27" s="11">
        <v>0.52800000000000002</v>
      </c>
      <c r="I27" s="12">
        <f>Hotel!B32</f>
        <v>77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2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44451</v>
      </c>
      <c r="F28" s="11">
        <v>5.0000000000000001E-3</v>
      </c>
      <c r="G28" s="12">
        <f>Submetering!R28</f>
        <v>540.17800699999998</v>
      </c>
      <c r="H28" s="11">
        <v>0.52800000000000002</v>
      </c>
      <c r="I28" s="12">
        <f>Hotel!B33</f>
        <v>81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2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2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2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2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D3" sqref="D3:D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2</v>
      </c>
      <c r="D2" s="2">
        <v>2021</v>
      </c>
      <c r="E2" s="4">
        <f>Hotel!Q7</f>
        <v>540</v>
      </c>
      <c r="F2" s="4">
        <f>Hotel!R7</f>
        <v>1850</v>
      </c>
      <c r="G2" s="4">
        <f>Hotel!S7</f>
        <v>2580</v>
      </c>
      <c r="H2" s="4">
        <f>Hotel!T7</f>
        <v>1430</v>
      </c>
      <c r="I2" s="4">
        <f>Hotel!U7</f>
        <v>5070</v>
      </c>
      <c r="J2" s="4">
        <f>Hotel!V7</f>
        <v>3370</v>
      </c>
      <c r="K2" s="4">
        <f>Hotel!W7</f>
        <v>2330</v>
      </c>
      <c r="L2" s="4">
        <f>Hotel!X7</f>
        <v>3970</v>
      </c>
      <c r="M2" s="4">
        <f>Hotel!Y7</f>
        <v>4650</v>
      </c>
      <c r="N2" s="4">
        <f>Hotel!Z7</f>
        <v>2500</v>
      </c>
      <c r="O2" s="4">
        <f>Hotel!AA7</f>
        <v>2960</v>
      </c>
      <c r="P2" s="4">
        <f>Hotel!AB7</f>
        <v>6890</v>
      </c>
      <c r="Q2" s="4">
        <f>Hotel!AC7</f>
        <v>11000</v>
      </c>
      <c r="R2" s="4">
        <f>Hotel!AV7*0.00378541*100</f>
        <v>620.42869900000005</v>
      </c>
      <c r="S2" s="4">
        <f>Hotel!B7</f>
        <v>60</v>
      </c>
    </row>
    <row r="3" spans="1:19" x14ac:dyDescent="0.25">
      <c r="A3" s="21" t="s">
        <v>31</v>
      </c>
      <c r="B3" s="2">
        <f>B2+1</f>
        <v>2</v>
      </c>
      <c r="C3" s="10">
        <v>2</v>
      </c>
      <c r="D3" s="2">
        <v>2021</v>
      </c>
      <c r="E3" s="4">
        <f>Hotel!Q8</f>
        <v>540</v>
      </c>
      <c r="F3" s="4">
        <f>Hotel!R8</f>
        <v>1900</v>
      </c>
      <c r="G3" s="4">
        <f>Hotel!S8</f>
        <v>2720</v>
      </c>
      <c r="H3" s="4">
        <f>Hotel!T8</f>
        <v>1470</v>
      </c>
      <c r="I3" s="4">
        <f>Hotel!U8</f>
        <v>5270</v>
      </c>
      <c r="J3" s="4">
        <f>Hotel!V8</f>
        <v>3450</v>
      </c>
      <c r="K3" s="4">
        <f>Hotel!W8</f>
        <v>2460</v>
      </c>
      <c r="L3" s="4">
        <f>Hotel!X8</f>
        <v>3840</v>
      </c>
      <c r="M3" s="4">
        <f>Hotel!Y8</f>
        <v>5000</v>
      </c>
      <c r="N3" s="4">
        <f>Hotel!Z8</f>
        <v>2490</v>
      </c>
      <c r="O3" s="4">
        <f>Hotel!AA8</f>
        <v>3330</v>
      </c>
      <c r="P3" s="4">
        <f>Hotel!AB8</f>
        <v>7060</v>
      </c>
      <c r="Q3" s="4">
        <f>Hotel!AC8</f>
        <v>11680</v>
      </c>
      <c r="R3" s="4">
        <f>Hotel!AV8*0.00378541*100</f>
        <v>683.64504599999998</v>
      </c>
      <c r="S3" s="4">
        <f>Hotel!B8</f>
        <v>80</v>
      </c>
    </row>
    <row r="4" spans="1:19" x14ac:dyDescent="0.25">
      <c r="A4" s="21" t="s">
        <v>31</v>
      </c>
      <c r="B4" s="2">
        <f t="shared" ref="B4:B29" si="0">B3+1</f>
        <v>3</v>
      </c>
      <c r="C4" s="10">
        <v>2</v>
      </c>
      <c r="D4" s="2">
        <v>2021</v>
      </c>
      <c r="E4" s="4">
        <f>Hotel!Q9</f>
        <v>550</v>
      </c>
      <c r="F4" s="4">
        <f>Hotel!R9</f>
        <v>1880</v>
      </c>
      <c r="G4" s="4">
        <f>Hotel!S9</f>
        <v>2670</v>
      </c>
      <c r="H4" s="4">
        <f>Hotel!T9</f>
        <v>1450</v>
      </c>
      <c r="I4" s="4">
        <f>Hotel!U9</f>
        <v>5200</v>
      </c>
      <c r="J4" s="4">
        <f>Hotel!V9</f>
        <v>3430</v>
      </c>
      <c r="K4" s="4">
        <f>Hotel!W9</f>
        <v>2520</v>
      </c>
      <c r="L4" s="4">
        <f>Hotel!X9</f>
        <v>3830</v>
      </c>
      <c r="M4" s="4">
        <f>Hotel!Y9</f>
        <v>5140</v>
      </c>
      <c r="N4" s="4">
        <f>Hotel!Z9</f>
        <v>2500</v>
      </c>
      <c r="O4" s="4">
        <f>Hotel!AA9</f>
        <v>3260</v>
      </c>
      <c r="P4" s="4">
        <f>Hotel!AB9</f>
        <v>6970</v>
      </c>
      <c r="Q4" s="4">
        <f>Hotel!AC9</f>
        <v>10990</v>
      </c>
      <c r="R4" s="4">
        <f>Hotel!AV9*0.00378541*100</f>
        <v>636.32742099999996</v>
      </c>
      <c r="S4" s="4">
        <f>Hotel!B9</f>
        <v>82</v>
      </c>
    </row>
    <row r="5" spans="1:19" x14ac:dyDescent="0.25">
      <c r="A5" s="21" t="s">
        <v>31</v>
      </c>
      <c r="B5" s="2">
        <f t="shared" si="0"/>
        <v>4</v>
      </c>
      <c r="C5" s="10">
        <v>2</v>
      </c>
      <c r="D5" s="2">
        <v>2021</v>
      </c>
      <c r="E5" s="4">
        <f>Hotel!Q10</f>
        <v>550</v>
      </c>
      <c r="F5" s="4">
        <f>Hotel!R10</f>
        <v>1930</v>
      </c>
      <c r="G5" s="4">
        <f>Hotel!S10</f>
        <v>2860</v>
      </c>
      <c r="H5" s="4">
        <f>Hotel!T10</f>
        <v>1500</v>
      </c>
      <c r="I5" s="4">
        <f>Hotel!U10</f>
        <v>5550</v>
      </c>
      <c r="J5" s="4">
        <f>Hotel!V10</f>
        <v>3570</v>
      </c>
      <c r="K5" s="4">
        <f>Hotel!W10</f>
        <v>2550</v>
      </c>
      <c r="L5" s="4">
        <f>Hotel!X10</f>
        <v>3940</v>
      </c>
      <c r="M5" s="4">
        <f>Hotel!Y10</f>
        <v>5360</v>
      </c>
      <c r="N5" s="4">
        <f>Hotel!Z10</f>
        <v>2680</v>
      </c>
      <c r="O5" s="4">
        <f>Hotel!AA10</f>
        <v>3570</v>
      </c>
      <c r="P5" s="4">
        <f>Hotel!AB10</f>
        <v>7200</v>
      </c>
      <c r="Q5" s="4">
        <f>Hotel!AC10</f>
        <v>10940</v>
      </c>
      <c r="R5" s="4">
        <f>Hotel!AV10*0.00378541*100</f>
        <v>752.53950799999996</v>
      </c>
      <c r="S5" s="4">
        <f>Hotel!B10</f>
        <v>119</v>
      </c>
    </row>
    <row r="6" spans="1:19" x14ac:dyDescent="0.25">
      <c r="A6" s="21" t="s">
        <v>31</v>
      </c>
      <c r="B6" s="2">
        <f t="shared" si="0"/>
        <v>5</v>
      </c>
      <c r="C6" s="10">
        <v>2</v>
      </c>
      <c r="D6" s="2">
        <v>2021</v>
      </c>
      <c r="E6" s="4">
        <f>Hotel!Q11</f>
        <v>530</v>
      </c>
      <c r="F6" s="4">
        <f>Hotel!R11</f>
        <v>1850</v>
      </c>
      <c r="G6" s="4">
        <f>Hotel!S11</f>
        <v>3010</v>
      </c>
      <c r="H6" s="4">
        <f>Hotel!T11</f>
        <v>1450</v>
      </c>
      <c r="I6" s="4">
        <f>Hotel!U11</f>
        <v>5470</v>
      </c>
      <c r="J6" s="4">
        <f>Hotel!V11</f>
        <v>3490</v>
      </c>
      <c r="K6" s="4">
        <f>Hotel!W11</f>
        <v>2340</v>
      </c>
      <c r="L6" s="4">
        <f>Hotel!X11</f>
        <v>4060</v>
      </c>
      <c r="M6" s="4">
        <f>Hotel!Y11</f>
        <v>5250</v>
      </c>
      <c r="N6" s="4">
        <f>Hotel!Z11</f>
        <v>2620</v>
      </c>
      <c r="O6" s="4">
        <f>Hotel!AA11</f>
        <v>3720</v>
      </c>
      <c r="P6" s="4">
        <f>Hotel!AB11</f>
        <v>6710</v>
      </c>
      <c r="Q6" s="4">
        <f>Hotel!AC11</f>
        <v>11200</v>
      </c>
      <c r="R6" s="4">
        <f>Hotel!AV11*0.00378541*100</f>
        <v>608.31538699999999</v>
      </c>
      <c r="S6" s="4">
        <f>Hotel!B11</f>
        <v>141</v>
      </c>
    </row>
    <row r="7" spans="1:19" x14ac:dyDescent="0.25">
      <c r="A7" s="21" t="s">
        <v>31</v>
      </c>
      <c r="B7" s="2">
        <f t="shared" si="0"/>
        <v>6</v>
      </c>
      <c r="C7" s="10">
        <v>2</v>
      </c>
      <c r="D7" s="2">
        <v>2021</v>
      </c>
      <c r="E7" s="4">
        <f>Hotel!Q12</f>
        <v>550</v>
      </c>
      <c r="F7" s="4">
        <f>Hotel!R12</f>
        <v>1880</v>
      </c>
      <c r="G7" s="4">
        <f>Hotel!S12</f>
        <v>3080</v>
      </c>
      <c r="H7" s="4">
        <f>Hotel!T12</f>
        <v>1480</v>
      </c>
      <c r="I7" s="4">
        <f>Hotel!U12</f>
        <v>5320</v>
      </c>
      <c r="J7" s="4">
        <f>Hotel!V12</f>
        <v>3540</v>
      </c>
      <c r="K7" s="4">
        <f>Hotel!W12</f>
        <v>2440</v>
      </c>
      <c r="L7" s="4">
        <f>Hotel!X12</f>
        <v>4070</v>
      </c>
      <c r="M7" s="4">
        <f>Hotel!Y12</f>
        <v>5440</v>
      </c>
      <c r="N7" s="4">
        <f>Hotel!Z12</f>
        <v>2610</v>
      </c>
      <c r="O7" s="4">
        <f>Hotel!AA12</f>
        <v>3580</v>
      </c>
      <c r="P7" s="4">
        <f>Hotel!AB12</f>
        <v>6830</v>
      </c>
      <c r="Q7" s="4">
        <f>Hotel!AC12</f>
        <v>12420</v>
      </c>
      <c r="R7" s="4">
        <f>Hotel!AV12*0.00378541*100</f>
        <v>770.709476</v>
      </c>
      <c r="S7" s="4">
        <f>Hotel!B12</f>
        <v>88</v>
      </c>
    </row>
    <row r="8" spans="1:19" x14ac:dyDescent="0.25">
      <c r="A8" s="21" t="s">
        <v>31</v>
      </c>
      <c r="B8" s="2">
        <f t="shared" si="0"/>
        <v>7</v>
      </c>
      <c r="C8" s="10">
        <v>2</v>
      </c>
      <c r="D8" s="2">
        <v>2021</v>
      </c>
      <c r="E8" s="4">
        <f>Hotel!Q13</f>
        <v>540</v>
      </c>
      <c r="F8" s="4">
        <f>Hotel!R13</f>
        <v>1880</v>
      </c>
      <c r="G8" s="4">
        <f>Hotel!S13</f>
        <v>2580</v>
      </c>
      <c r="H8" s="4">
        <f>Hotel!T13</f>
        <v>1480</v>
      </c>
      <c r="I8" s="4">
        <f>Hotel!U13</f>
        <v>5040</v>
      </c>
      <c r="J8" s="4">
        <f>Hotel!V13</f>
        <v>3310</v>
      </c>
      <c r="K8" s="4">
        <f>Hotel!W13</f>
        <v>2440</v>
      </c>
      <c r="L8" s="4">
        <f>Hotel!X13</f>
        <v>3620</v>
      </c>
      <c r="M8" s="4">
        <f>Hotel!Y13</f>
        <v>4970</v>
      </c>
      <c r="N8" s="4">
        <f>Hotel!Z13</f>
        <v>2500</v>
      </c>
      <c r="O8" s="4">
        <f>Hotel!AA13</f>
        <v>3400</v>
      </c>
      <c r="P8" s="4">
        <f>Hotel!AB13</f>
        <v>6990</v>
      </c>
      <c r="Q8" s="4">
        <f>Hotel!AC13</f>
        <v>11910</v>
      </c>
      <c r="R8" s="4">
        <f>Hotel!AV13*0.00378541*100</f>
        <v>593.17374699999993</v>
      </c>
      <c r="S8" s="4">
        <f>Hotel!B13</f>
        <v>59</v>
      </c>
    </row>
    <row r="9" spans="1:19" x14ac:dyDescent="0.25">
      <c r="A9" s="21" t="s">
        <v>31</v>
      </c>
      <c r="B9" s="2">
        <f t="shared" si="0"/>
        <v>8</v>
      </c>
      <c r="C9" s="10">
        <v>2</v>
      </c>
      <c r="D9" s="2">
        <v>2021</v>
      </c>
      <c r="E9" s="4">
        <f>Hotel!Q14</f>
        <v>530</v>
      </c>
      <c r="F9" s="4">
        <f>Hotel!R14</f>
        <v>1830</v>
      </c>
      <c r="G9" s="4">
        <f>Hotel!S14</f>
        <v>3000</v>
      </c>
      <c r="H9" s="4">
        <f>Hotel!T14</f>
        <v>1450</v>
      </c>
      <c r="I9" s="4">
        <f>Hotel!U14</f>
        <v>4870</v>
      </c>
      <c r="J9" s="4">
        <f>Hotel!V14</f>
        <v>3310</v>
      </c>
      <c r="K9" s="4">
        <f>Hotel!W14</f>
        <v>2390</v>
      </c>
      <c r="L9" s="4">
        <f>Hotel!X14</f>
        <v>3490</v>
      </c>
      <c r="M9" s="4">
        <f>Hotel!Y14</f>
        <v>4840</v>
      </c>
      <c r="N9" s="4">
        <f>Hotel!Z14</f>
        <v>2350</v>
      </c>
      <c r="O9" s="4">
        <f>Hotel!AA14</f>
        <v>3410</v>
      </c>
      <c r="P9" s="4">
        <f>Hotel!AB14</f>
        <v>6700</v>
      </c>
      <c r="Q9" s="4">
        <f>Hotel!AC14</f>
        <v>12290</v>
      </c>
      <c r="R9" s="4">
        <f>Hotel!AV14*0.00378541*100</f>
        <v>589.76687800000002</v>
      </c>
      <c r="S9" s="4">
        <f>Hotel!B14</f>
        <v>43</v>
      </c>
    </row>
    <row r="10" spans="1:19" x14ac:dyDescent="0.25">
      <c r="A10" s="21" t="s">
        <v>31</v>
      </c>
      <c r="B10" s="2">
        <f t="shared" si="0"/>
        <v>9</v>
      </c>
      <c r="C10" s="10">
        <v>2</v>
      </c>
      <c r="D10" s="2">
        <v>2021</v>
      </c>
      <c r="E10" s="4">
        <f>Hotel!Q15</f>
        <v>611</v>
      </c>
      <c r="F10" s="4">
        <f>Hotel!R15</f>
        <v>1870</v>
      </c>
      <c r="G10" s="4">
        <f>Hotel!S15</f>
        <v>2780</v>
      </c>
      <c r="H10" s="4">
        <f>Hotel!T15</f>
        <v>1470</v>
      </c>
      <c r="I10" s="4">
        <f>Hotel!U15</f>
        <v>4700</v>
      </c>
      <c r="J10" s="4">
        <f>Hotel!V15</f>
        <v>3430</v>
      </c>
      <c r="K10" s="4">
        <f>Hotel!W15</f>
        <v>2430</v>
      </c>
      <c r="L10" s="4">
        <f>Hotel!X15</f>
        <v>3540</v>
      </c>
      <c r="M10" s="4">
        <f>Hotel!Y15</f>
        <v>5240</v>
      </c>
      <c r="N10" s="4">
        <f>Hotel!Z15</f>
        <v>2340</v>
      </c>
      <c r="O10" s="4">
        <f>Hotel!AA15</f>
        <v>3370</v>
      </c>
      <c r="P10" s="4">
        <f>Hotel!AB15</f>
        <v>6670</v>
      </c>
      <c r="Q10" s="4">
        <f>Hotel!AC15</f>
        <v>12370</v>
      </c>
      <c r="R10" s="4">
        <f>Hotel!AV15*0.00378541*100</f>
        <v>640.869913</v>
      </c>
      <c r="S10" s="4">
        <f>Hotel!B15</f>
        <v>44</v>
      </c>
    </row>
    <row r="11" spans="1:19" x14ac:dyDescent="0.25">
      <c r="A11" s="21" t="s">
        <v>31</v>
      </c>
      <c r="B11" s="2">
        <f t="shared" si="0"/>
        <v>10</v>
      </c>
      <c r="C11" s="10">
        <v>2</v>
      </c>
      <c r="D11" s="2">
        <v>2021</v>
      </c>
      <c r="E11" s="4">
        <f>Hotel!Q16</f>
        <v>489</v>
      </c>
      <c r="F11" s="4">
        <f>Hotel!R16</f>
        <v>1900</v>
      </c>
      <c r="G11" s="4">
        <f>Hotel!S16</f>
        <v>2870</v>
      </c>
      <c r="H11" s="4">
        <f>Hotel!T16</f>
        <v>1310</v>
      </c>
      <c r="I11" s="4">
        <f>Hotel!U16</f>
        <v>4770</v>
      </c>
      <c r="J11" s="4">
        <f>Hotel!V16</f>
        <v>3480</v>
      </c>
      <c r="K11" s="4">
        <f>Hotel!W16</f>
        <v>2570</v>
      </c>
      <c r="L11" s="4">
        <f>Hotel!X16</f>
        <v>3590</v>
      </c>
      <c r="M11" s="4">
        <f>Hotel!Y16</f>
        <v>5250</v>
      </c>
      <c r="N11" s="4">
        <f>Hotel!Z16</f>
        <v>2440</v>
      </c>
      <c r="O11" s="4">
        <f>Hotel!AA16</f>
        <v>3370</v>
      </c>
      <c r="P11" s="4">
        <f>Hotel!AB16</f>
        <v>6680</v>
      </c>
      <c r="Q11" s="4">
        <f>Hotel!AC16</f>
        <v>12840</v>
      </c>
      <c r="R11" s="4">
        <f>Hotel!AV16*0.00378541*100</f>
        <v>561.37630299999989</v>
      </c>
      <c r="S11" s="4">
        <f>Hotel!B16</f>
        <v>67</v>
      </c>
    </row>
    <row r="12" spans="1:19" x14ac:dyDescent="0.25">
      <c r="A12" s="21" t="s">
        <v>31</v>
      </c>
      <c r="B12" s="2">
        <f t="shared" si="0"/>
        <v>11</v>
      </c>
      <c r="C12" s="10">
        <v>2</v>
      </c>
      <c r="D12" s="2">
        <v>2021</v>
      </c>
      <c r="E12" s="4">
        <f>Hotel!Q17</f>
        <v>470</v>
      </c>
      <c r="F12" s="4">
        <f>Hotel!R17</f>
        <v>1850</v>
      </c>
      <c r="G12" s="4">
        <f>Hotel!S17</f>
        <v>2920</v>
      </c>
      <c r="H12" s="4">
        <f>Hotel!T17</f>
        <v>1670</v>
      </c>
      <c r="I12" s="4">
        <f>Hotel!U17</f>
        <v>4930</v>
      </c>
      <c r="J12" s="4">
        <f>Hotel!V17</f>
        <v>3360</v>
      </c>
      <c r="K12" s="4">
        <f>Hotel!W17</f>
        <v>2430</v>
      </c>
      <c r="L12" s="4">
        <f>Hotel!X17</f>
        <v>3660</v>
      </c>
      <c r="M12" s="4">
        <f>Hotel!Y17</f>
        <v>4980</v>
      </c>
      <c r="N12" s="4">
        <f>Hotel!Z17</f>
        <v>2510</v>
      </c>
      <c r="O12" s="4">
        <f>Hotel!AA17</f>
        <v>3440</v>
      </c>
      <c r="P12" s="4">
        <f>Hotel!AB17</f>
        <v>6760</v>
      </c>
      <c r="Q12" s="4">
        <f>Hotel!AC17</f>
        <v>11700</v>
      </c>
      <c r="R12" s="4">
        <f>Hotel!AV17*0.00378541*100</f>
        <v>480.74706999999995</v>
      </c>
      <c r="S12" s="4">
        <f>Hotel!B17</f>
        <v>99</v>
      </c>
    </row>
    <row r="13" spans="1:19" x14ac:dyDescent="0.25">
      <c r="A13" s="21" t="s">
        <v>31</v>
      </c>
      <c r="B13" s="2">
        <f t="shared" si="0"/>
        <v>12</v>
      </c>
      <c r="C13" s="10">
        <v>2</v>
      </c>
      <c r="D13" s="2">
        <v>2021</v>
      </c>
      <c r="E13" s="4">
        <f>Hotel!Q18</f>
        <v>610</v>
      </c>
      <c r="F13" s="4">
        <f>Hotel!R18</f>
        <v>1820</v>
      </c>
      <c r="G13" s="4">
        <f>Hotel!S18</f>
        <v>2950</v>
      </c>
      <c r="H13" s="4">
        <f>Hotel!T18</f>
        <v>1440</v>
      </c>
      <c r="I13" s="4">
        <f>Hotel!U18</f>
        <v>5090</v>
      </c>
      <c r="J13" s="4">
        <f>Hotel!V18</f>
        <v>3400</v>
      </c>
      <c r="K13" s="4">
        <f>Hotel!W18</f>
        <v>2370</v>
      </c>
      <c r="L13" s="4">
        <f>Hotel!X18</f>
        <v>3960</v>
      </c>
      <c r="M13" s="4">
        <f>Hotel!Y18</f>
        <v>5180</v>
      </c>
      <c r="N13" s="4">
        <f>Hotel!Z18</f>
        <v>2600</v>
      </c>
      <c r="O13" s="4">
        <f>Hotel!AA18</f>
        <v>3410</v>
      </c>
      <c r="P13" s="4">
        <f>Hotel!AB18</f>
        <v>6760</v>
      </c>
      <c r="Q13" s="4">
        <f>Hotel!AC18</f>
        <v>11390</v>
      </c>
      <c r="R13" s="4">
        <f>Hotel!AV18*0.00378541*100</f>
        <v>874.05116899999996</v>
      </c>
      <c r="S13" s="4">
        <f>Hotel!B18</f>
        <v>130</v>
      </c>
    </row>
    <row r="14" spans="1:19" x14ac:dyDescent="0.25">
      <c r="A14" s="21" t="s">
        <v>31</v>
      </c>
      <c r="B14" s="2">
        <f t="shared" si="0"/>
        <v>13</v>
      </c>
      <c r="C14" s="10">
        <v>2</v>
      </c>
      <c r="D14" s="2">
        <v>2021</v>
      </c>
      <c r="E14" s="4">
        <f>Hotel!Q19</f>
        <v>530</v>
      </c>
      <c r="F14" s="4">
        <f>Hotel!R19</f>
        <v>1890</v>
      </c>
      <c r="G14" s="4">
        <f>Hotel!S19</f>
        <v>3140</v>
      </c>
      <c r="H14" s="4">
        <f>Hotel!T19</f>
        <v>1500</v>
      </c>
      <c r="I14" s="4">
        <f>Hotel!U19</f>
        <v>5330</v>
      </c>
      <c r="J14" s="4">
        <f>Hotel!V19</f>
        <v>3500</v>
      </c>
      <c r="K14" s="4">
        <f>Hotel!W19</f>
        <v>2360</v>
      </c>
      <c r="L14" s="4">
        <f>Hotel!X19</f>
        <v>4180</v>
      </c>
      <c r="M14" s="4">
        <f>Hotel!Y19</f>
        <v>5680</v>
      </c>
      <c r="N14" s="4">
        <f>Hotel!Z19</f>
        <v>2740</v>
      </c>
      <c r="O14" s="4">
        <f>Hotel!AA19</f>
        <v>3550</v>
      </c>
      <c r="P14" s="4">
        <f>Hotel!AB19</f>
        <v>7140</v>
      </c>
      <c r="Q14" s="4">
        <f>Hotel!AC19</f>
        <v>9910</v>
      </c>
      <c r="R14" s="4">
        <f>Hotel!AV19*0.00378541*100</f>
        <v>624.97119099999998</v>
      </c>
      <c r="S14" s="4">
        <f>Hotel!B19</f>
        <v>127</v>
      </c>
    </row>
    <row r="15" spans="1:19" x14ac:dyDescent="0.25">
      <c r="A15" s="21" t="s">
        <v>31</v>
      </c>
      <c r="B15" s="2">
        <f t="shared" si="0"/>
        <v>14</v>
      </c>
      <c r="C15" s="10">
        <v>2</v>
      </c>
      <c r="D15" s="2">
        <v>2021</v>
      </c>
      <c r="E15" s="4">
        <f>Hotel!Q20</f>
        <v>560</v>
      </c>
      <c r="F15" s="4">
        <f>Hotel!R20</f>
        <v>1920</v>
      </c>
      <c r="G15" s="4">
        <f>Hotel!S20</f>
        <v>3360</v>
      </c>
      <c r="H15" s="4">
        <f>Hotel!T20</f>
        <v>1530</v>
      </c>
      <c r="I15" s="4">
        <f>Hotel!U20</f>
        <v>6120</v>
      </c>
      <c r="J15" s="4">
        <f>Hotel!V20</f>
        <v>3540</v>
      </c>
      <c r="K15" s="4">
        <f>Hotel!W20</f>
        <v>2530</v>
      </c>
      <c r="L15" s="4">
        <f>Hotel!X20</f>
        <v>4180</v>
      </c>
      <c r="M15" s="4">
        <f>Hotel!Y20</f>
        <v>6160</v>
      </c>
      <c r="N15" s="4">
        <f>Hotel!Z20</f>
        <v>3020</v>
      </c>
      <c r="O15" s="4">
        <f>Hotel!AA20</f>
        <v>3920</v>
      </c>
      <c r="P15" s="4">
        <f>Hotel!AB20</f>
        <v>7390</v>
      </c>
      <c r="Q15" s="4">
        <f>Hotel!AC20</f>
        <v>9750</v>
      </c>
      <c r="R15" s="4">
        <f>Hotel!AV20*0.00378541*100</f>
        <v>657.52571699999999</v>
      </c>
      <c r="S15" s="4">
        <f>Hotel!B20</f>
        <v>181</v>
      </c>
    </row>
    <row r="16" spans="1:19" x14ac:dyDescent="0.25">
      <c r="A16" s="21" t="s">
        <v>31</v>
      </c>
      <c r="B16" s="2">
        <f t="shared" si="0"/>
        <v>15</v>
      </c>
      <c r="C16" s="10">
        <v>2</v>
      </c>
      <c r="D16" s="2">
        <v>2021</v>
      </c>
      <c r="E16" s="4">
        <f>Hotel!Q21</f>
        <v>530</v>
      </c>
      <c r="F16" s="4">
        <f>Hotel!R21</f>
        <v>1890</v>
      </c>
      <c r="G16" s="4">
        <f>Hotel!S21</f>
        <v>3240</v>
      </c>
      <c r="H16" s="4">
        <f>Hotel!T21</f>
        <v>1520</v>
      </c>
      <c r="I16" s="4">
        <f>Hotel!U21</f>
        <v>5520</v>
      </c>
      <c r="J16" s="4">
        <f>Hotel!V21</f>
        <v>3270</v>
      </c>
      <c r="K16" s="4">
        <f>Hotel!W21</f>
        <v>2380</v>
      </c>
      <c r="L16" s="4">
        <f>Hotel!X21</f>
        <v>3070</v>
      </c>
      <c r="M16" s="4">
        <f>Hotel!Y21</f>
        <v>5690</v>
      </c>
      <c r="N16" s="4">
        <f>Hotel!Z21</f>
        <v>2640</v>
      </c>
      <c r="O16" s="4">
        <f>Hotel!AA21</f>
        <v>3750</v>
      </c>
      <c r="P16" s="4">
        <f>Hotel!AB21</f>
        <v>6990</v>
      </c>
      <c r="Q16" s="4">
        <f>Hotel!AC21</f>
        <v>9470</v>
      </c>
      <c r="R16" s="4">
        <f>Hotel!AV21*0.00378541*100</f>
        <v>934.99626999999987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2</v>
      </c>
      <c r="D17" s="2">
        <v>2021</v>
      </c>
      <c r="E17" s="4">
        <f>Hotel!Q22</f>
        <v>530</v>
      </c>
      <c r="F17" s="4">
        <f>Hotel!R22</f>
        <v>1700</v>
      </c>
      <c r="G17" s="4">
        <f>Hotel!S22</f>
        <v>3080</v>
      </c>
      <c r="H17" s="4">
        <f>Hotel!T22</f>
        <v>1420</v>
      </c>
      <c r="I17" s="4">
        <f>Hotel!U22</f>
        <v>4800</v>
      </c>
      <c r="J17" s="4">
        <f>Hotel!V22</f>
        <v>3380</v>
      </c>
      <c r="K17" s="4">
        <f>Hotel!W22</f>
        <v>2240</v>
      </c>
      <c r="L17" s="4">
        <f>Hotel!X22</f>
        <v>4880</v>
      </c>
      <c r="M17" s="4">
        <f>Hotel!Y22</f>
        <v>5310</v>
      </c>
      <c r="N17" s="4">
        <f>Hotel!Z22</f>
        <v>2310</v>
      </c>
      <c r="O17" s="4">
        <f>Hotel!AA22</f>
        <v>3250</v>
      </c>
      <c r="P17" s="4">
        <f>Hotel!AB22</f>
        <v>6630</v>
      </c>
      <c r="Q17" s="4">
        <f>Hotel!AC22</f>
        <v>8796</v>
      </c>
      <c r="R17" s="4">
        <f>Hotel!AV22*0.00378541*100</f>
        <v>633.67763400000001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2</v>
      </c>
      <c r="D18" s="2">
        <v>2021</v>
      </c>
      <c r="E18" s="4">
        <f>Hotel!Q23</f>
        <v>570</v>
      </c>
      <c r="F18" s="4">
        <f>Hotel!R23</f>
        <v>2080</v>
      </c>
      <c r="G18" s="4">
        <f>Hotel!S23</f>
        <v>3340</v>
      </c>
      <c r="H18" s="4">
        <f>Hotel!T23</f>
        <v>1570</v>
      </c>
      <c r="I18" s="4">
        <f>Hotel!U23</f>
        <v>8420</v>
      </c>
      <c r="J18" s="4">
        <f>Hotel!V23</f>
        <v>3460</v>
      </c>
      <c r="K18" s="4">
        <f>Hotel!W23</f>
        <v>2500</v>
      </c>
      <c r="L18" s="4">
        <f>Hotel!X23</f>
        <v>4270</v>
      </c>
      <c r="M18" s="4">
        <f>Hotel!Y23</f>
        <v>5570</v>
      </c>
      <c r="N18" s="4">
        <f>Hotel!Z23</f>
        <v>3160</v>
      </c>
      <c r="O18" s="4">
        <f>Hotel!AA23</f>
        <v>3400</v>
      </c>
      <c r="P18" s="4">
        <f>Hotel!AB23</f>
        <v>7280</v>
      </c>
      <c r="Q18" s="4">
        <f>Hotel!AC23</f>
        <v>9854</v>
      </c>
      <c r="R18" s="4">
        <f>Hotel!AV23*0.00378541*100</f>
        <v>649.19781499999999</v>
      </c>
      <c r="S18" s="4">
        <f>Hotel!B23</f>
        <v>78</v>
      </c>
    </row>
    <row r="19" spans="1:19" x14ac:dyDescent="0.25">
      <c r="A19" s="21" t="s">
        <v>31</v>
      </c>
      <c r="B19" s="2">
        <f t="shared" si="0"/>
        <v>18</v>
      </c>
      <c r="C19" s="10">
        <v>2</v>
      </c>
      <c r="D19" s="2">
        <v>2021</v>
      </c>
      <c r="E19" s="4">
        <f>Hotel!Q24</f>
        <v>560</v>
      </c>
      <c r="F19" s="4">
        <f>Hotel!R24</f>
        <v>1940</v>
      </c>
      <c r="G19" s="4">
        <f>Hotel!S24</f>
        <v>2866</v>
      </c>
      <c r="H19" s="4">
        <f>Hotel!T24</f>
        <v>1530</v>
      </c>
      <c r="I19" s="4">
        <f>Hotel!U24</f>
        <v>2250</v>
      </c>
      <c r="J19" s="4">
        <f>Hotel!V24</f>
        <v>3550</v>
      </c>
      <c r="K19" s="4">
        <f>Hotel!W24</f>
        <v>2480</v>
      </c>
      <c r="L19" s="4">
        <f>Hotel!X24</f>
        <v>4300</v>
      </c>
      <c r="M19" s="4">
        <f>Hotel!Y24</f>
        <v>5610</v>
      </c>
      <c r="N19" s="4">
        <f>Hotel!Z24</f>
        <v>2140</v>
      </c>
      <c r="O19" s="4">
        <f>Hotel!AA24</f>
        <v>3420</v>
      </c>
      <c r="P19" s="4">
        <f>Hotel!AB24</f>
        <v>7220</v>
      </c>
      <c r="Q19" s="4">
        <f>Hotel!AC24</f>
        <v>9750</v>
      </c>
      <c r="R19" s="4">
        <f>Hotel!AV24*0.00378541*100</f>
        <v>515.194301</v>
      </c>
      <c r="S19" s="4">
        <f>Hotel!B24</f>
        <v>106</v>
      </c>
    </row>
    <row r="20" spans="1:19" x14ac:dyDescent="0.25">
      <c r="A20" s="21" t="s">
        <v>31</v>
      </c>
      <c r="B20" s="2">
        <f t="shared" si="0"/>
        <v>19</v>
      </c>
      <c r="C20" s="10">
        <v>2</v>
      </c>
      <c r="D20" s="2">
        <v>2021</v>
      </c>
      <c r="E20" s="4">
        <f>Hotel!Q25</f>
        <v>530</v>
      </c>
      <c r="F20" s="4">
        <f>Hotel!R25</f>
        <v>1820</v>
      </c>
      <c r="G20" s="4">
        <f>Hotel!S25</f>
        <v>2564</v>
      </c>
      <c r="H20" s="4">
        <f>Hotel!T25</f>
        <v>1440</v>
      </c>
      <c r="I20" s="4">
        <f>Hotel!U25</f>
        <v>5610</v>
      </c>
      <c r="J20" s="4">
        <f>Hotel!V25</f>
        <v>3420</v>
      </c>
      <c r="K20" s="4">
        <f>Hotel!W25</f>
        <v>2290</v>
      </c>
      <c r="L20" s="4">
        <f>Hotel!X25</f>
        <v>4060</v>
      </c>
      <c r="M20" s="4">
        <f>Hotel!Y25</f>
        <v>5660</v>
      </c>
      <c r="N20" s="4">
        <f>Hotel!Z25</f>
        <v>2660</v>
      </c>
      <c r="O20" s="4">
        <f>Hotel!AA25</f>
        <v>3570</v>
      </c>
      <c r="P20" s="4">
        <f>Hotel!AB25</f>
        <v>6940</v>
      </c>
      <c r="Q20" s="4">
        <f>Hotel!AC25</f>
        <v>9260</v>
      </c>
      <c r="R20" s="4">
        <f>Hotel!AV25*0.00378541*100</f>
        <v>690.45878399999992</v>
      </c>
      <c r="S20" s="4">
        <f>Hotel!B25</f>
        <v>135</v>
      </c>
    </row>
    <row r="21" spans="1:19" x14ac:dyDescent="0.25">
      <c r="A21" s="21" t="s">
        <v>31</v>
      </c>
      <c r="B21" s="2">
        <f t="shared" si="0"/>
        <v>20</v>
      </c>
      <c r="C21" s="10">
        <v>2</v>
      </c>
      <c r="D21" s="2">
        <v>2021</v>
      </c>
      <c r="E21" s="4">
        <f>Hotel!Q26</f>
        <v>520</v>
      </c>
      <c r="F21" s="4">
        <f>Hotel!R26</f>
        <v>1780</v>
      </c>
      <c r="G21" s="4">
        <f>Hotel!S26</f>
        <v>2540</v>
      </c>
      <c r="H21" s="4">
        <f>Hotel!T26</f>
        <v>1400</v>
      </c>
      <c r="I21" s="4">
        <f>Hotel!U26</f>
        <v>4890</v>
      </c>
      <c r="J21" s="4">
        <f>Hotel!V26</f>
        <v>3310</v>
      </c>
      <c r="K21" s="4">
        <f>Hotel!W26</f>
        <v>2240</v>
      </c>
      <c r="L21" s="4">
        <f>Hotel!X26</f>
        <v>3960</v>
      </c>
      <c r="M21" s="4">
        <f>Hotel!Y26</f>
        <v>5480</v>
      </c>
      <c r="N21" s="4">
        <f>Hotel!Z26</f>
        <v>2550</v>
      </c>
      <c r="O21" s="4">
        <f>Hotel!AA26</f>
        <v>3470</v>
      </c>
      <c r="P21" s="4">
        <f>Hotel!AB26</f>
        <v>6720</v>
      </c>
      <c r="Q21" s="4">
        <f>Hotel!AC26</f>
        <v>9030</v>
      </c>
      <c r="R21" s="4">
        <f>Hotel!AV26*0.00378541*100</f>
        <v>634.81325700000002</v>
      </c>
      <c r="S21" s="4">
        <f>Hotel!B26</f>
        <v>93</v>
      </c>
    </row>
    <row r="22" spans="1:19" x14ac:dyDescent="0.25">
      <c r="A22" s="21" t="s">
        <v>31</v>
      </c>
      <c r="B22" s="2">
        <f t="shared" si="0"/>
        <v>21</v>
      </c>
      <c r="C22" s="10">
        <v>2</v>
      </c>
      <c r="D22" s="2">
        <v>2021</v>
      </c>
      <c r="E22" s="4">
        <f>Hotel!Q27</f>
        <v>550</v>
      </c>
      <c r="F22" s="4">
        <f>Hotel!R27</f>
        <v>1890</v>
      </c>
      <c r="G22" s="4">
        <f>Hotel!S27</f>
        <v>2680</v>
      </c>
      <c r="H22" s="4">
        <f>Hotel!T27</f>
        <v>1490</v>
      </c>
      <c r="I22" s="4">
        <f>Hotel!U27</f>
        <v>5140</v>
      </c>
      <c r="J22" s="4">
        <f>Hotel!V27</f>
        <v>3420</v>
      </c>
      <c r="K22" s="4">
        <f>Hotel!W27</f>
        <v>2390</v>
      </c>
      <c r="L22" s="4">
        <f>Hotel!X27</f>
        <v>3890</v>
      </c>
      <c r="M22" s="4">
        <f>Hotel!Y27</f>
        <v>5520</v>
      </c>
      <c r="N22" s="4">
        <f>Hotel!Z27</f>
        <v>2550</v>
      </c>
      <c r="O22" s="4">
        <f>Hotel!AA27</f>
        <v>3700</v>
      </c>
      <c r="P22" s="4">
        <f>Hotel!AB27</f>
        <v>7050</v>
      </c>
      <c r="Q22" s="4">
        <f>Hotel!AC27</f>
        <v>9740</v>
      </c>
      <c r="R22" s="4">
        <f>Hotel!AV27*0.00378541*100</f>
        <v>888.81426799999997</v>
      </c>
      <c r="S22" s="4">
        <f>Hotel!B27</f>
        <v>85</v>
      </c>
    </row>
    <row r="23" spans="1:19" x14ac:dyDescent="0.25">
      <c r="A23" s="21" t="s">
        <v>31</v>
      </c>
      <c r="B23" s="2">
        <f t="shared" si="0"/>
        <v>22</v>
      </c>
      <c r="C23" s="10">
        <v>2</v>
      </c>
      <c r="D23" s="2">
        <v>2021</v>
      </c>
      <c r="E23" s="4">
        <f>Hotel!Q28</f>
        <v>570</v>
      </c>
      <c r="F23" s="4">
        <f>Hotel!R28</f>
        <v>1950</v>
      </c>
      <c r="G23" s="4">
        <f>Hotel!S28</f>
        <v>2720</v>
      </c>
      <c r="H23" s="4">
        <f>Hotel!T28</f>
        <v>1530</v>
      </c>
      <c r="I23" s="4">
        <f>Hotel!U28</f>
        <v>5160</v>
      </c>
      <c r="J23" s="4">
        <f>Hotel!V28</f>
        <v>3550</v>
      </c>
      <c r="K23" s="4">
        <f>Hotel!W28</f>
        <v>2460</v>
      </c>
      <c r="L23" s="4">
        <f>Hotel!X28</f>
        <v>4220</v>
      </c>
      <c r="M23" s="4">
        <f>Hotel!Y28</f>
        <v>5610</v>
      </c>
      <c r="N23" s="4">
        <f>Hotel!Z28</f>
        <v>2540</v>
      </c>
      <c r="O23" s="4">
        <f>Hotel!AA28</f>
        <v>3400</v>
      </c>
      <c r="P23" s="4">
        <f>Hotel!AB28</f>
        <v>7200</v>
      </c>
      <c r="Q23" s="4">
        <f>Hotel!AC28</f>
        <v>9750</v>
      </c>
      <c r="R23" s="4">
        <f>Hotel!AV28*0.00378541*100</f>
        <v>372.48434399999996</v>
      </c>
      <c r="S23" s="4">
        <f>Hotel!B28</f>
        <v>78</v>
      </c>
    </row>
    <row r="24" spans="1:19" x14ac:dyDescent="0.25">
      <c r="A24" s="21" t="s">
        <v>31</v>
      </c>
      <c r="B24" s="2">
        <f t="shared" si="0"/>
        <v>23</v>
      </c>
      <c r="C24" s="10">
        <v>2</v>
      </c>
      <c r="D24" s="2">
        <v>2021</v>
      </c>
      <c r="E24" s="4">
        <f>Hotel!Q29</f>
        <v>480</v>
      </c>
      <c r="F24" s="4">
        <f>Hotel!R29</f>
        <v>1680</v>
      </c>
      <c r="G24" s="4">
        <f>Hotel!S29</f>
        <v>2240</v>
      </c>
      <c r="H24" s="4">
        <f>Hotel!T29</f>
        <v>1320</v>
      </c>
      <c r="I24" s="4">
        <f>Hotel!U29</f>
        <v>4430</v>
      </c>
      <c r="J24" s="4">
        <f>Hotel!V29</f>
        <v>3080</v>
      </c>
      <c r="K24" s="4">
        <f>Hotel!W29</f>
        <v>2130</v>
      </c>
      <c r="L24" s="4">
        <f>Hotel!X29</f>
        <v>3740</v>
      </c>
      <c r="M24" s="4">
        <f>Hotel!Y29</f>
        <v>4850</v>
      </c>
      <c r="N24" s="4">
        <f>Hotel!Z29</f>
        <v>2200</v>
      </c>
      <c r="O24" s="4">
        <f>Hotel!AA29</f>
        <v>2920</v>
      </c>
      <c r="P24" s="4">
        <f>Hotel!AB29</f>
        <v>6230</v>
      </c>
      <c r="Q24" s="4">
        <f>Hotel!AC29</f>
        <v>8470</v>
      </c>
      <c r="R24" s="4">
        <f>Hotel!AV29*0.00378541*100</f>
        <v>598.85186199999998</v>
      </c>
      <c r="S24" s="4">
        <f>Hotel!B29</f>
        <v>64</v>
      </c>
    </row>
    <row r="25" spans="1:19" x14ac:dyDescent="0.25">
      <c r="A25" s="21" t="s">
        <v>31</v>
      </c>
      <c r="B25" s="2">
        <f t="shared" si="0"/>
        <v>24</v>
      </c>
      <c r="C25" s="10">
        <v>2</v>
      </c>
      <c r="D25" s="2">
        <v>2021</v>
      </c>
      <c r="E25" s="4">
        <f>Hotel!Q30</f>
        <v>590</v>
      </c>
      <c r="F25" s="4">
        <f>Hotel!R30</f>
        <v>2020</v>
      </c>
      <c r="G25" s="4">
        <f>Hotel!S30</f>
        <v>2600</v>
      </c>
      <c r="H25" s="4">
        <f>Hotel!T30</f>
        <v>1590</v>
      </c>
      <c r="I25" s="4">
        <f>Hotel!U30</f>
        <v>4900</v>
      </c>
      <c r="J25" s="4">
        <f>Hotel!V30</f>
        <v>3460</v>
      </c>
      <c r="K25" s="4">
        <f>Hotel!W30</f>
        <v>2530</v>
      </c>
      <c r="L25" s="4">
        <f>Hotel!X30</f>
        <v>4310</v>
      </c>
      <c r="M25" s="4">
        <f>Hotel!Y30</f>
        <v>5230</v>
      </c>
      <c r="N25" s="4">
        <f>Hotel!Z30</f>
        <v>2620</v>
      </c>
      <c r="O25" s="4">
        <f>Hotel!AA30</f>
        <v>3750</v>
      </c>
      <c r="P25" s="4">
        <f>Hotel!AB30</f>
        <v>7180</v>
      </c>
      <c r="Q25" s="4">
        <f>Hotel!AC30</f>
        <v>9990</v>
      </c>
      <c r="R25" s="4">
        <f>Hotel!AV30*0.00378541*100</f>
        <v>559.86213899999996</v>
      </c>
      <c r="S25" s="4">
        <f>Hotel!B30</f>
        <v>78</v>
      </c>
    </row>
    <row r="26" spans="1:19" x14ac:dyDescent="0.25">
      <c r="A26" s="21" t="s">
        <v>31</v>
      </c>
      <c r="B26" s="2">
        <f>B25+1</f>
        <v>25</v>
      </c>
      <c r="C26" s="10">
        <v>2</v>
      </c>
      <c r="D26" s="2">
        <v>2021</v>
      </c>
      <c r="E26" s="4">
        <f>Hotel!Q31</f>
        <v>550</v>
      </c>
      <c r="F26" s="4">
        <f>Hotel!R31</f>
        <v>1910</v>
      </c>
      <c r="G26" s="4">
        <f>Hotel!S31</f>
        <v>2420</v>
      </c>
      <c r="H26" s="4">
        <f>Hotel!T31</f>
        <v>1490</v>
      </c>
      <c r="I26" s="4">
        <f>Hotel!U31</f>
        <v>4340</v>
      </c>
      <c r="J26" s="4">
        <f>Hotel!V31</f>
        <v>3260</v>
      </c>
      <c r="K26" s="4">
        <f>Hotel!W31</f>
        <v>2480</v>
      </c>
      <c r="L26" s="4">
        <f>Hotel!X31</f>
        <v>3790</v>
      </c>
      <c r="M26" s="4">
        <f>Hotel!Y31</f>
        <v>4980</v>
      </c>
      <c r="N26" s="4">
        <f>Hotel!Z31</f>
        <v>2260</v>
      </c>
      <c r="O26" s="4">
        <f>Hotel!AA31</f>
        <v>3760</v>
      </c>
      <c r="P26" s="4">
        <f>Hotel!AB31</f>
        <v>6750</v>
      </c>
      <c r="Q26" s="4">
        <f>Hotel!AC31</f>
        <v>9200</v>
      </c>
      <c r="R26" s="4">
        <f>Hotel!AV31*0.00378541*100</f>
        <v>298.66884900000002</v>
      </c>
      <c r="S26" s="4">
        <f>Hotel!B31</f>
        <v>85</v>
      </c>
    </row>
    <row r="27" spans="1:19" x14ac:dyDescent="0.25">
      <c r="A27" s="21" t="s">
        <v>31</v>
      </c>
      <c r="B27" s="2">
        <f t="shared" si="0"/>
        <v>26</v>
      </c>
      <c r="C27" s="10">
        <v>2</v>
      </c>
      <c r="D27" s="2">
        <v>2021</v>
      </c>
      <c r="E27" s="4">
        <f>Hotel!Q32</f>
        <v>540</v>
      </c>
      <c r="F27" s="4">
        <f>Hotel!R32</f>
        <v>1840</v>
      </c>
      <c r="G27" s="4">
        <f>Hotel!S32</f>
        <v>2420</v>
      </c>
      <c r="H27" s="4">
        <f>Hotel!T32</f>
        <v>1440</v>
      </c>
      <c r="I27" s="4">
        <f>Hotel!U32</f>
        <v>4080</v>
      </c>
      <c r="J27" s="4">
        <f>Hotel!V32</f>
        <v>3000</v>
      </c>
      <c r="K27" s="4">
        <f>Hotel!W32</f>
        <v>2290</v>
      </c>
      <c r="L27" s="4">
        <f>Hotel!X32</f>
        <v>3520</v>
      </c>
      <c r="M27" s="4">
        <f>Hotel!Y32</f>
        <v>4680</v>
      </c>
      <c r="N27" s="4">
        <f>Hotel!Z32</f>
        <v>2750</v>
      </c>
      <c r="O27" s="4">
        <f>Hotel!AA32</f>
        <v>3530</v>
      </c>
      <c r="P27" s="4">
        <f>Hotel!AB32</f>
        <v>6650</v>
      </c>
      <c r="Q27" s="4">
        <f>Hotel!AC32</f>
        <v>8800</v>
      </c>
      <c r="R27" s="4">
        <f>Hotel!AV32*0.00378541*100</f>
        <v>567.81150000000002</v>
      </c>
      <c r="S27" s="4">
        <f>Hotel!B32</f>
        <v>77</v>
      </c>
    </row>
    <row r="28" spans="1:19" x14ac:dyDescent="0.25">
      <c r="A28" s="21" t="s">
        <v>31</v>
      </c>
      <c r="B28" s="2">
        <f t="shared" si="0"/>
        <v>27</v>
      </c>
      <c r="C28" s="10">
        <v>2</v>
      </c>
      <c r="D28" s="2">
        <v>2021</v>
      </c>
      <c r="E28" s="4">
        <f>Hotel!Q33</f>
        <v>530</v>
      </c>
      <c r="F28" s="4">
        <f>Hotel!R33</f>
        <v>1840</v>
      </c>
      <c r="G28" s="4">
        <f>Hotel!S33</f>
        <v>2460</v>
      </c>
      <c r="H28" s="4">
        <f>Hotel!T33</f>
        <v>1430</v>
      </c>
      <c r="I28" s="4">
        <f>Hotel!U33</f>
        <v>3900</v>
      </c>
      <c r="J28" s="4">
        <f>Hotel!V33</f>
        <v>3001</v>
      </c>
      <c r="K28" s="4">
        <f>Hotel!W33</f>
        <v>2280</v>
      </c>
      <c r="L28" s="4">
        <f>Hotel!X33</f>
        <v>3470</v>
      </c>
      <c r="M28" s="4">
        <f>Hotel!Y33</f>
        <v>4640</v>
      </c>
      <c r="N28" s="4">
        <f>Hotel!Z33</f>
        <v>2460</v>
      </c>
      <c r="O28" s="4">
        <f>Hotel!AA33</f>
        <v>3190</v>
      </c>
      <c r="P28" s="4">
        <f>Hotel!AB33</f>
        <v>6360</v>
      </c>
      <c r="Q28" s="4">
        <f>Hotel!AC33</f>
        <v>8890</v>
      </c>
      <c r="R28" s="4">
        <f>Hotel!AV33*0.00378541*100</f>
        <v>540.17800699999998</v>
      </c>
      <c r="S28" s="4">
        <f>Hotel!B33</f>
        <v>81</v>
      </c>
    </row>
    <row r="29" spans="1:19" x14ac:dyDescent="0.25">
      <c r="A29" s="21" t="s">
        <v>31</v>
      </c>
      <c r="B29" s="2">
        <f t="shared" si="0"/>
        <v>28</v>
      </c>
      <c r="C29" s="10">
        <v>2</v>
      </c>
      <c r="D29" s="2">
        <v>2021</v>
      </c>
      <c r="E29" s="4" t="str">
        <f>Hotel!Q34</f>
        <v>0</v>
      </c>
      <c r="F29" s="4" t="str">
        <f>Hotel!R34</f>
        <v>0</v>
      </c>
      <c r="G29" s="4" t="str">
        <f>Hotel!S34</f>
        <v>0</v>
      </c>
      <c r="H29" s="4" t="str">
        <f>Hotel!T34</f>
        <v>0</v>
      </c>
      <c r="I29" s="4" t="str">
        <f>Hotel!U34</f>
        <v>0</v>
      </c>
      <c r="J29" s="4" t="str">
        <f>Hotel!V34</f>
        <v>0</v>
      </c>
      <c r="K29" s="4" t="str">
        <f>Hotel!W34</f>
        <v>0</v>
      </c>
      <c r="L29" s="4" t="str">
        <f>Hotel!X34</f>
        <v>0</v>
      </c>
      <c r="M29" s="4" t="str">
        <f>Hotel!Y34</f>
        <v>0</v>
      </c>
      <c r="N29" s="4" t="str">
        <f>Hotel!Z34</f>
        <v>0</v>
      </c>
      <c r="O29" s="4" t="str">
        <f>Hotel!AA34</f>
        <v>0</v>
      </c>
      <c r="P29" s="4">
        <f>Hotel!AB34</f>
        <v>0</v>
      </c>
      <c r="Q29" s="4" t="str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2</v>
      </c>
      <c r="D30" s="2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2</v>
      </c>
      <c r="D31" s="2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2</v>
      </c>
      <c r="D32" s="2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T1" zoomScale="93" zoomScaleNormal="93" workbookViewId="0">
      <selection activeCell="AU30" sqref="AU30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44227</v>
      </c>
      <c r="B2" s="40">
        <v>76</v>
      </c>
      <c r="C2" s="24">
        <v>6524330</v>
      </c>
      <c r="D2" s="24">
        <v>15093160</v>
      </c>
      <c r="E2" s="24">
        <v>2338850</v>
      </c>
      <c r="F2" s="24">
        <v>3280260</v>
      </c>
      <c r="G2" s="24">
        <v>9867370</v>
      </c>
      <c r="H2" s="24">
        <v>5123880</v>
      </c>
      <c r="I2" s="24">
        <v>4784270</v>
      </c>
      <c r="J2" s="24">
        <v>5508500</v>
      </c>
      <c r="K2" s="24">
        <v>8610450</v>
      </c>
      <c r="L2" s="24">
        <v>3522960</v>
      </c>
      <c r="M2" s="24">
        <v>7490070</v>
      </c>
      <c r="N2" s="24">
        <v>11174740</v>
      </c>
      <c r="O2" s="24">
        <v>15361480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436465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436465</v>
      </c>
    </row>
    <row r="7" spans="1:49" x14ac:dyDescent="0.25">
      <c r="A7" s="23">
        <v>44228</v>
      </c>
      <c r="B7" s="40">
        <v>60</v>
      </c>
      <c r="C7" s="24">
        <v>6524870</v>
      </c>
      <c r="D7" s="24">
        <v>15095010</v>
      </c>
      <c r="E7" s="24">
        <v>2341430</v>
      </c>
      <c r="F7" s="24">
        <v>3281690</v>
      </c>
      <c r="G7" s="24">
        <v>9872440</v>
      </c>
      <c r="H7" s="24">
        <v>5127250</v>
      </c>
      <c r="I7" s="24">
        <v>4786600</v>
      </c>
      <c r="J7" s="24">
        <v>5512470</v>
      </c>
      <c r="K7" s="24">
        <v>8615100</v>
      </c>
      <c r="L7" s="24">
        <v>3525460</v>
      </c>
      <c r="M7" s="24">
        <v>7493030</v>
      </c>
      <c r="N7" s="24">
        <v>11181630</v>
      </c>
      <c r="O7" s="24">
        <v>15372480</v>
      </c>
      <c r="Q7" s="37">
        <f>IF((C7-C2&lt;0), "0",C7-C2)</f>
        <v>540</v>
      </c>
      <c r="R7" s="37">
        <f t="shared" ref="R7:AC7" si="0">IF((D7-D2&lt;0), "0",D7-D2)</f>
        <v>1850</v>
      </c>
      <c r="S7" s="37">
        <f>IF((E7-E2&lt;0), "0",E7-E2)</f>
        <v>2580</v>
      </c>
      <c r="T7" s="37">
        <f t="shared" si="0"/>
        <v>1430</v>
      </c>
      <c r="U7" s="37">
        <f t="shared" si="0"/>
        <v>5070</v>
      </c>
      <c r="V7" s="37">
        <f t="shared" si="0"/>
        <v>3370</v>
      </c>
      <c r="W7" s="37">
        <f t="shared" si="0"/>
        <v>2330</v>
      </c>
      <c r="X7" s="37">
        <f t="shared" si="0"/>
        <v>3970</v>
      </c>
      <c r="Y7" s="37">
        <f t="shared" si="0"/>
        <v>4650</v>
      </c>
      <c r="Z7" s="37">
        <f t="shared" si="0"/>
        <v>2500</v>
      </c>
      <c r="AA7" s="37">
        <f t="shared" si="0"/>
        <v>2960</v>
      </c>
      <c r="AB7" s="37">
        <f t="shared" si="0"/>
        <v>6890</v>
      </c>
      <c r="AC7" s="37">
        <f t="shared" si="0"/>
        <v>11000</v>
      </c>
      <c r="AD7" s="34">
        <f>SUM(Q7:AC7)</f>
        <v>49140</v>
      </c>
      <c r="AF7" s="20">
        <f t="shared" ref="AF7:AF36" si="1">Q7*$D$39</f>
        <v>2.7</v>
      </c>
      <c r="AG7" s="20">
        <f t="shared" ref="AG7:AG36" si="2">R7*$D$39</f>
        <v>9.25</v>
      </c>
      <c r="AH7" s="20">
        <f t="shared" ref="AH7:AH36" si="3">S7*$D$39</f>
        <v>12.9</v>
      </c>
      <c r="AI7" s="20">
        <f t="shared" ref="AI7:AI36" si="4">T7*$D$39</f>
        <v>7.15</v>
      </c>
      <c r="AJ7" s="20">
        <f t="shared" ref="AJ7:AJ36" si="5">U7*$D$39</f>
        <v>25.35</v>
      </c>
      <c r="AK7" s="20">
        <f t="shared" ref="AK7:AK36" si="6">V7*$D$39</f>
        <v>16.850000000000001</v>
      </c>
      <c r="AL7" s="20">
        <f t="shared" ref="AL7:AL36" si="7">W7*$D$39</f>
        <v>11.65</v>
      </c>
      <c r="AM7" s="20">
        <f t="shared" ref="AM7:AM36" si="8">X7*$D$39</f>
        <v>19.850000000000001</v>
      </c>
      <c r="AN7" s="20">
        <f t="shared" ref="AN7:AN36" si="9">Y7*$D$39</f>
        <v>23.25</v>
      </c>
      <c r="AO7" s="20">
        <f t="shared" ref="AO7:AO36" si="10">Z7*$D$39</f>
        <v>12.5</v>
      </c>
      <c r="AP7" s="20">
        <f t="shared" ref="AP7:AP36" si="11">AA7*$D$39</f>
        <v>14.8</v>
      </c>
      <c r="AQ7" s="20">
        <f t="shared" ref="AQ7:AQ36" si="12">AB7*$D$39</f>
        <v>34.450000000000003</v>
      </c>
      <c r="AR7" s="20">
        <f t="shared" ref="AR7:AR36" si="13">AC7*$D$39</f>
        <v>55</v>
      </c>
      <c r="AS7" s="35">
        <f>SUM(AF7:AR7)</f>
        <v>245.70000000000005</v>
      </c>
      <c r="AU7" s="47">
        <v>438104</v>
      </c>
      <c r="AV7" s="37">
        <f>IF((AU7-AU6&lt;0),"0",AU7-AU6)</f>
        <v>1639</v>
      </c>
      <c r="AW7" s="35">
        <f t="shared" ref="AW7:AW35" si="14">AV7*$D$40</f>
        <v>3.278</v>
      </c>
    </row>
    <row r="8" spans="1:49" x14ac:dyDescent="0.25">
      <c r="A8" s="23">
        <v>44229</v>
      </c>
      <c r="B8" s="40">
        <v>80</v>
      </c>
      <c r="C8" s="24">
        <v>6525410</v>
      </c>
      <c r="D8" s="24">
        <v>15096910</v>
      </c>
      <c r="E8" s="24">
        <v>2344150</v>
      </c>
      <c r="F8" s="24">
        <v>3283160</v>
      </c>
      <c r="G8" s="24">
        <v>9877710</v>
      </c>
      <c r="H8" s="24">
        <v>5130700</v>
      </c>
      <c r="I8" s="24">
        <v>4789060</v>
      </c>
      <c r="J8" s="24">
        <v>5516310</v>
      </c>
      <c r="K8" s="24">
        <v>8620100</v>
      </c>
      <c r="L8" s="24">
        <v>3527950</v>
      </c>
      <c r="M8" s="24">
        <v>7496360</v>
      </c>
      <c r="N8" s="24">
        <v>11188690</v>
      </c>
      <c r="O8" s="24">
        <v>15384160</v>
      </c>
      <c r="Q8" s="37">
        <f>IF((C8-C7&lt;0), "0",C8-C7)</f>
        <v>540</v>
      </c>
      <c r="R8" s="37">
        <f t="shared" ref="R8:AC8" si="15">IF((D8-D7&lt;0), "0",D8-D7)</f>
        <v>1900</v>
      </c>
      <c r="S8" s="37">
        <f t="shared" ref="S8:S35" si="16">IF((E8-E7&lt;0), "0",E8-E7)</f>
        <v>2720</v>
      </c>
      <c r="T8" s="37">
        <f t="shared" si="15"/>
        <v>1470</v>
      </c>
      <c r="U8" s="37">
        <f t="shared" si="15"/>
        <v>5270</v>
      </c>
      <c r="V8" s="37">
        <f t="shared" si="15"/>
        <v>3450</v>
      </c>
      <c r="W8" s="37">
        <f t="shared" si="15"/>
        <v>2460</v>
      </c>
      <c r="X8" s="37">
        <f t="shared" si="15"/>
        <v>3840</v>
      </c>
      <c r="Y8" s="37">
        <f t="shared" si="15"/>
        <v>5000</v>
      </c>
      <c r="Z8" s="37">
        <f t="shared" si="15"/>
        <v>2490</v>
      </c>
      <c r="AA8" s="37">
        <f t="shared" si="15"/>
        <v>3330</v>
      </c>
      <c r="AB8" s="37">
        <f t="shared" si="15"/>
        <v>7060</v>
      </c>
      <c r="AC8" s="37">
        <f t="shared" si="15"/>
        <v>11680</v>
      </c>
      <c r="AD8" s="35">
        <f>SUM(Q8:AC8)</f>
        <v>51210</v>
      </c>
      <c r="AF8" s="20">
        <f t="shared" si="1"/>
        <v>2.7</v>
      </c>
      <c r="AG8" s="20">
        <f t="shared" si="2"/>
        <v>9.5</v>
      </c>
      <c r="AH8" s="20">
        <f t="shared" si="3"/>
        <v>13.6</v>
      </c>
      <c r="AI8" s="20">
        <f t="shared" si="4"/>
        <v>7.3500000000000005</v>
      </c>
      <c r="AJ8" s="20">
        <f t="shared" si="5"/>
        <v>26.35</v>
      </c>
      <c r="AK8" s="20">
        <f t="shared" si="6"/>
        <v>17.25</v>
      </c>
      <c r="AL8" s="20">
        <f t="shared" si="7"/>
        <v>12.3</v>
      </c>
      <c r="AM8" s="20">
        <f t="shared" si="8"/>
        <v>19.2</v>
      </c>
      <c r="AN8" s="20">
        <f t="shared" si="9"/>
        <v>25</v>
      </c>
      <c r="AO8" s="20">
        <f t="shared" si="10"/>
        <v>12.450000000000001</v>
      </c>
      <c r="AP8" s="20">
        <f t="shared" si="11"/>
        <v>16.649999999999999</v>
      </c>
      <c r="AQ8" s="20">
        <f t="shared" si="12"/>
        <v>35.300000000000004</v>
      </c>
      <c r="AR8" s="20">
        <f t="shared" si="13"/>
        <v>58.4</v>
      </c>
      <c r="AS8" s="35">
        <f>SUM(AF8:AR8)</f>
        <v>256.05</v>
      </c>
      <c r="AU8" s="47">
        <v>439910</v>
      </c>
      <c r="AV8" s="37">
        <f>IF((AU8-AU7&lt;0),"0",AU8-AU7)</f>
        <v>1806</v>
      </c>
      <c r="AW8" s="35">
        <f t="shared" si="14"/>
        <v>3.6120000000000001</v>
      </c>
    </row>
    <row r="9" spans="1:49" x14ac:dyDescent="0.25">
      <c r="A9" s="23">
        <v>44230</v>
      </c>
      <c r="B9" s="40">
        <v>82</v>
      </c>
      <c r="C9" s="24">
        <v>6525960</v>
      </c>
      <c r="D9" s="24">
        <v>15098790</v>
      </c>
      <c r="E9" s="24">
        <v>2346820</v>
      </c>
      <c r="F9" s="24">
        <v>3284610</v>
      </c>
      <c r="G9" s="24">
        <v>9882910</v>
      </c>
      <c r="H9" s="24">
        <v>5134130</v>
      </c>
      <c r="I9" s="24">
        <v>4791580</v>
      </c>
      <c r="J9" s="24">
        <v>5520140</v>
      </c>
      <c r="K9" s="24">
        <v>8625240</v>
      </c>
      <c r="L9" s="24">
        <v>3530450</v>
      </c>
      <c r="M9" s="24">
        <v>7499620</v>
      </c>
      <c r="N9" s="24">
        <v>11195660</v>
      </c>
      <c r="O9" s="24">
        <v>15395150</v>
      </c>
      <c r="Q9" s="37">
        <f t="shared" ref="Q9:Q30" si="17">IF((C9-C8&lt;0), "0",C9-C8)</f>
        <v>550</v>
      </c>
      <c r="R9" s="37">
        <f t="shared" ref="R9:R35" si="18">IF((D9-D8&lt;0), "0",D9-D8)</f>
        <v>1880</v>
      </c>
      <c r="S9" s="37">
        <f t="shared" si="16"/>
        <v>2670</v>
      </c>
      <c r="T9" s="37">
        <f t="shared" ref="T9:T35" si="19">IF((F9-F8&lt;0), "0",F9-F8)</f>
        <v>1450</v>
      </c>
      <c r="U9" s="37">
        <f t="shared" ref="U9:U35" si="20">IF((G9-G8&lt;0), "0",G9-G8)</f>
        <v>5200</v>
      </c>
      <c r="V9" s="37">
        <f t="shared" ref="V9:V35" si="21">IF((H9-H8&lt;0), "0",H9-H8)</f>
        <v>3430</v>
      </c>
      <c r="W9" s="37">
        <f t="shared" ref="W9:W35" si="22">IF((I9-I8&lt;0), "0",I9-I8)</f>
        <v>2520</v>
      </c>
      <c r="X9" s="37">
        <f t="shared" ref="X9:X35" si="23">IF((J9-J8&lt;0), "0",J9-J8)</f>
        <v>3830</v>
      </c>
      <c r="Y9" s="37">
        <f t="shared" ref="Y9:Y35" si="24">IF((K9-K8&lt;0), "0",K9-K8)</f>
        <v>5140</v>
      </c>
      <c r="Z9" s="37">
        <f t="shared" ref="Z9:Z35" si="25">IF((L9-L8&lt;0), "0",L9-L8)</f>
        <v>2500</v>
      </c>
      <c r="AA9" s="37">
        <f t="shared" ref="AA9:AA35" si="26">IF((M9-M8&lt;0), "0",M9-M8)</f>
        <v>3260</v>
      </c>
      <c r="AB9" s="37">
        <f t="shared" ref="AB9:AB37" si="27">IF((N9-N8&lt;0), "0",N9-N8)</f>
        <v>6970</v>
      </c>
      <c r="AC9" s="37">
        <f t="shared" ref="AC9:AC37" si="28">IF((O9-O8&lt;0), "0",O9-O8)</f>
        <v>10990</v>
      </c>
      <c r="AD9" s="35">
        <f t="shared" ref="AD9:AD37" si="29">SUM(Q9:AC9)</f>
        <v>50390</v>
      </c>
      <c r="AF9" s="20">
        <f t="shared" si="1"/>
        <v>2.75</v>
      </c>
      <c r="AG9" s="20">
        <f t="shared" si="2"/>
        <v>9.4</v>
      </c>
      <c r="AH9" s="20">
        <f t="shared" si="3"/>
        <v>13.35</v>
      </c>
      <c r="AI9" s="20">
        <f t="shared" si="4"/>
        <v>7.25</v>
      </c>
      <c r="AJ9" s="20">
        <f t="shared" si="5"/>
        <v>26</v>
      </c>
      <c r="AK9" s="20">
        <f t="shared" si="6"/>
        <v>17.150000000000002</v>
      </c>
      <c r="AL9" s="20">
        <f t="shared" si="7"/>
        <v>12.6</v>
      </c>
      <c r="AM9" s="20">
        <f t="shared" si="8"/>
        <v>19.150000000000002</v>
      </c>
      <c r="AN9" s="20">
        <f t="shared" si="9"/>
        <v>25.7</v>
      </c>
      <c r="AO9" s="20">
        <f t="shared" si="10"/>
        <v>12.5</v>
      </c>
      <c r="AP9" s="20">
        <f t="shared" si="11"/>
        <v>16.3</v>
      </c>
      <c r="AQ9" s="20">
        <f t="shared" si="12"/>
        <v>34.85</v>
      </c>
      <c r="AR9" s="20">
        <f t="shared" si="13"/>
        <v>54.95</v>
      </c>
      <c r="AS9" s="35">
        <f t="shared" ref="AS9:AS33" si="30">SUM(AF9:AR9)</f>
        <v>251.95</v>
      </c>
      <c r="AU9" s="47">
        <v>441591</v>
      </c>
      <c r="AV9" s="37">
        <f>IF((AU9-AU8&lt;0),"0",AU9-AU8)</f>
        <v>1681</v>
      </c>
      <c r="AW9" s="35">
        <f t="shared" si="14"/>
        <v>3.3620000000000001</v>
      </c>
    </row>
    <row r="10" spans="1:49" x14ac:dyDescent="0.25">
      <c r="A10" s="23">
        <v>44231</v>
      </c>
      <c r="B10" s="40">
        <v>119</v>
      </c>
      <c r="C10" s="24">
        <v>6526510</v>
      </c>
      <c r="D10" s="24">
        <v>15100720</v>
      </c>
      <c r="E10" s="24">
        <v>2349680</v>
      </c>
      <c r="F10" s="24">
        <v>3286110</v>
      </c>
      <c r="G10" s="24">
        <v>9888460</v>
      </c>
      <c r="H10" s="24">
        <v>5137700</v>
      </c>
      <c r="I10" s="24">
        <v>4794130</v>
      </c>
      <c r="J10" s="24">
        <v>5524080</v>
      </c>
      <c r="K10" s="24">
        <v>8630600</v>
      </c>
      <c r="L10" s="24">
        <v>3533130</v>
      </c>
      <c r="M10" s="24">
        <v>7503190</v>
      </c>
      <c r="N10" s="24">
        <v>11202860</v>
      </c>
      <c r="O10" s="24">
        <v>15406090</v>
      </c>
      <c r="Q10" s="37">
        <f t="shared" si="17"/>
        <v>550</v>
      </c>
      <c r="R10" s="37">
        <f t="shared" si="18"/>
        <v>1930</v>
      </c>
      <c r="S10" s="37">
        <f t="shared" si="16"/>
        <v>2860</v>
      </c>
      <c r="T10" s="37">
        <f t="shared" si="19"/>
        <v>1500</v>
      </c>
      <c r="U10" s="37">
        <f t="shared" si="20"/>
        <v>5550</v>
      </c>
      <c r="V10" s="37">
        <f t="shared" si="21"/>
        <v>3570</v>
      </c>
      <c r="W10" s="37">
        <f t="shared" si="22"/>
        <v>2550</v>
      </c>
      <c r="X10" s="37">
        <f t="shared" si="23"/>
        <v>3940</v>
      </c>
      <c r="Y10" s="37">
        <f t="shared" si="24"/>
        <v>5360</v>
      </c>
      <c r="Z10" s="37">
        <f t="shared" si="25"/>
        <v>2680</v>
      </c>
      <c r="AA10" s="37">
        <f t="shared" si="26"/>
        <v>3570</v>
      </c>
      <c r="AB10" s="37">
        <f t="shared" si="27"/>
        <v>7200</v>
      </c>
      <c r="AC10" s="37">
        <f t="shared" si="28"/>
        <v>10940</v>
      </c>
      <c r="AD10" s="35">
        <f t="shared" si="29"/>
        <v>52200</v>
      </c>
      <c r="AF10" s="20">
        <f t="shared" si="1"/>
        <v>2.75</v>
      </c>
      <c r="AG10" s="20">
        <f t="shared" si="2"/>
        <v>9.65</v>
      </c>
      <c r="AH10" s="20">
        <f t="shared" si="3"/>
        <v>14.3</v>
      </c>
      <c r="AI10" s="20">
        <f t="shared" si="4"/>
        <v>7.5</v>
      </c>
      <c r="AJ10" s="20">
        <f t="shared" si="5"/>
        <v>27.75</v>
      </c>
      <c r="AK10" s="20">
        <f t="shared" si="6"/>
        <v>17.850000000000001</v>
      </c>
      <c r="AL10" s="20">
        <f t="shared" si="7"/>
        <v>12.75</v>
      </c>
      <c r="AM10" s="20">
        <f t="shared" si="8"/>
        <v>19.7</v>
      </c>
      <c r="AN10" s="20">
        <f t="shared" si="9"/>
        <v>26.8</v>
      </c>
      <c r="AO10" s="20">
        <f t="shared" si="10"/>
        <v>13.4</v>
      </c>
      <c r="AP10" s="20">
        <f t="shared" si="11"/>
        <v>17.850000000000001</v>
      </c>
      <c r="AQ10" s="20">
        <f t="shared" si="12"/>
        <v>36</v>
      </c>
      <c r="AR10" s="20">
        <f t="shared" si="13"/>
        <v>54.7</v>
      </c>
      <c r="AS10" s="35">
        <f t="shared" si="30"/>
        <v>261</v>
      </c>
      <c r="AU10" s="47">
        <v>443579</v>
      </c>
      <c r="AV10" s="37">
        <f t="shared" ref="AV10:AV26" si="31">IF((AU10-AU9&lt;0),"0",AU10-AU9)</f>
        <v>1988</v>
      </c>
      <c r="AW10" s="35">
        <f t="shared" si="14"/>
        <v>3.976</v>
      </c>
    </row>
    <row r="11" spans="1:49" x14ac:dyDescent="0.25">
      <c r="A11" s="23">
        <v>44232</v>
      </c>
      <c r="B11" s="40">
        <v>141</v>
      </c>
      <c r="C11" s="24">
        <v>6527040</v>
      </c>
      <c r="D11" s="24">
        <v>15102570</v>
      </c>
      <c r="E11" s="24">
        <v>2352690</v>
      </c>
      <c r="F11" s="24">
        <v>3287560</v>
      </c>
      <c r="G11" s="24">
        <v>9893930</v>
      </c>
      <c r="H11" s="24">
        <v>5141190</v>
      </c>
      <c r="I11" s="24">
        <v>4796470</v>
      </c>
      <c r="J11" s="24">
        <v>5528140</v>
      </c>
      <c r="K11" s="24">
        <v>8635850</v>
      </c>
      <c r="L11" s="24">
        <v>3535750</v>
      </c>
      <c r="M11" s="24">
        <v>7506910</v>
      </c>
      <c r="N11" s="24">
        <v>11209570</v>
      </c>
      <c r="O11" s="24">
        <v>15417290</v>
      </c>
      <c r="Q11" s="37">
        <f t="shared" si="17"/>
        <v>530</v>
      </c>
      <c r="R11" s="37">
        <f t="shared" si="18"/>
        <v>1850</v>
      </c>
      <c r="S11" s="37">
        <f t="shared" si="16"/>
        <v>3010</v>
      </c>
      <c r="T11" s="37">
        <f t="shared" si="19"/>
        <v>1450</v>
      </c>
      <c r="U11" s="37">
        <f t="shared" si="20"/>
        <v>5470</v>
      </c>
      <c r="V11" s="37">
        <f t="shared" si="21"/>
        <v>3490</v>
      </c>
      <c r="W11" s="37">
        <f t="shared" si="22"/>
        <v>2340</v>
      </c>
      <c r="X11" s="37">
        <f t="shared" si="23"/>
        <v>4060</v>
      </c>
      <c r="Y11" s="37">
        <f t="shared" si="24"/>
        <v>5250</v>
      </c>
      <c r="Z11" s="37">
        <f t="shared" si="25"/>
        <v>2620</v>
      </c>
      <c r="AA11" s="37">
        <f t="shared" si="26"/>
        <v>3720</v>
      </c>
      <c r="AB11" s="37">
        <f t="shared" si="27"/>
        <v>6710</v>
      </c>
      <c r="AC11" s="37">
        <f t="shared" si="28"/>
        <v>11200</v>
      </c>
      <c r="AD11" s="35">
        <f t="shared" si="29"/>
        <v>51700</v>
      </c>
      <c r="AF11" s="20">
        <f t="shared" si="1"/>
        <v>2.65</v>
      </c>
      <c r="AG11" s="20">
        <f t="shared" si="2"/>
        <v>9.25</v>
      </c>
      <c r="AH11" s="20">
        <f t="shared" si="3"/>
        <v>15.05</v>
      </c>
      <c r="AI11" s="20">
        <f t="shared" si="4"/>
        <v>7.25</v>
      </c>
      <c r="AJ11" s="20">
        <f t="shared" si="5"/>
        <v>27.35</v>
      </c>
      <c r="AK11" s="20">
        <f t="shared" si="6"/>
        <v>17.45</v>
      </c>
      <c r="AL11" s="20">
        <f t="shared" si="7"/>
        <v>11.700000000000001</v>
      </c>
      <c r="AM11" s="20">
        <f t="shared" si="8"/>
        <v>20.3</v>
      </c>
      <c r="AN11" s="20">
        <f t="shared" si="9"/>
        <v>26.25</v>
      </c>
      <c r="AO11" s="20">
        <f t="shared" si="10"/>
        <v>13.1</v>
      </c>
      <c r="AP11" s="20">
        <f t="shared" si="11"/>
        <v>18.600000000000001</v>
      </c>
      <c r="AQ11" s="20">
        <f t="shared" si="12"/>
        <v>33.549999999999997</v>
      </c>
      <c r="AR11" s="20">
        <f t="shared" si="13"/>
        <v>56</v>
      </c>
      <c r="AS11" s="35">
        <f t="shared" si="30"/>
        <v>258.5</v>
      </c>
      <c r="AU11" s="47">
        <v>445186</v>
      </c>
      <c r="AV11" s="37">
        <f t="shared" si="31"/>
        <v>1607</v>
      </c>
      <c r="AW11" s="35">
        <f t="shared" si="14"/>
        <v>3.214</v>
      </c>
    </row>
    <row r="12" spans="1:49" x14ac:dyDescent="0.25">
      <c r="A12" s="23">
        <v>44233</v>
      </c>
      <c r="B12" s="40">
        <v>88</v>
      </c>
      <c r="C12" s="49">
        <v>6527590</v>
      </c>
      <c r="D12" s="24">
        <v>15104450</v>
      </c>
      <c r="E12" s="24">
        <v>2355770</v>
      </c>
      <c r="F12" s="24">
        <v>3289040</v>
      </c>
      <c r="G12" s="24">
        <v>9899250</v>
      </c>
      <c r="H12" s="24">
        <v>5144730</v>
      </c>
      <c r="I12" s="24">
        <v>4798910</v>
      </c>
      <c r="J12" s="24">
        <v>5532210</v>
      </c>
      <c r="K12" s="24">
        <v>8641290</v>
      </c>
      <c r="L12" s="24">
        <v>3538360</v>
      </c>
      <c r="M12" s="24">
        <v>7510490</v>
      </c>
      <c r="N12" s="24">
        <v>11216400</v>
      </c>
      <c r="O12" s="24">
        <v>15429710</v>
      </c>
      <c r="Q12" s="37">
        <f t="shared" si="17"/>
        <v>550</v>
      </c>
      <c r="R12" s="37">
        <f t="shared" si="18"/>
        <v>1880</v>
      </c>
      <c r="S12" s="37">
        <f t="shared" si="16"/>
        <v>3080</v>
      </c>
      <c r="T12" s="37">
        <f t="shared" ref="T12:W14" si="32">IF((F12-F11&lt;0), "0",F12-F11)</f>
        <v>1480</v>
      </c>
      <c r="U12" s="37">
        <f t="shared" si="32"/>
        <v>5320</v>
      </c>
      <c r="V12" s="37">
        <f t="shared" si="32"/>
        <v>3540</v>
      </c>
      <c r="W12" s="37">
        <f t="shared" si="32"/>
        <v>2440</v>
      </c>
      <c r="X12" s="37">
        <f t="shared" si="23"/>
        <v>4070</v>
      </c>
      <c r="Y12" s="37">
        <f t="shared" si="24"/>
        <v>5440</v>
      </c>
      <c r="Z12" s="37">
        <f>IF((L12-L11&lt;0), "0",L12-L11)</f>
        <v>2610</v>
      </c>
      <c r="AA12" s="37">
        <f t="shared" si="26"/>
        <v>3580</v>
      </c>
      <c r="AB12" s="37">
        <f t="shared" si="27"/>
        <v>6830</v>
      </c>
      <c r="AC12" s="37">
        <f t="shared" si="28"/>
        <v>12420</v>
      </c>
      <c r="AD12" s="35">
        <f t="shared" si="29"/>
        <v>53240</v>
      </c>
      <c r="AF12" s="20">
        <f t="shared" si="1"/>
        <v>2.75</v>
      </c>
      <c r="AG12" s="20">
        <f t="shared" si="2"/>
        <v>9.4</v>
      </c>
      <c r="AH12" s="20">
        <f t="shared" si="3"/>
        <v>15.4</v>
      </c>
      <c r="AI12" s="20">
        <f t="shared" si="4"/>
        <v>7.4</v>
      </c>
      <c r="AJ12" s="20">
        <f t="shared" si="5"/>
        <v>26.6</v>
      </c>
      <c r="AK12" s="20">
        <f t="shared" si="6"/>
        <v>17.7</v>
      </c>
      <c r="AL12" s="20">
        <f t="shared" si="7"/>
        <v>12.200000000000001</v>
      </c>
      <c r="AM12" s="20">
        <f t="shared" si="8"/>
        <v>20.350000000000001</v>
      </c>
      <c r="AN12" s="20">
        <f t="shared" si="9"/>
        <v>27.2</v>
      </c>
      <c r="AO12" s="20">
        <f t="shared" si="10"/>
        <v>13.05</v>
      </c>
      <c r="AP12" s="20">
        <f t="shared" si="11"/>
        <v>17.900000000000002</v>
      </c>
      <c r="AQ12" s="20">
        <f t="shared" si="12"/>
        <v>34.15</v>
      </c>
      <c r="AR12" s="20">
        <f t="shared" si="13"/>
        <v>62.1</v>
      </c>
      <c r="AS12" s="35">
        <f t="shared" si="30"/>
        <v>266.20000000000005</v>
      </c>
      <c r="AU12" s="47">
        <v>447222</v>
      </c>
      <c r="AV12" s="37">
        <f t="shared" si="31"/>
        <v>2036</v>
      </c>
      <c r="AW12" s="35">
        <f t="shared" si="14"/>
        <v>4.0720000000000001</v>
      </c>
    </row>
    <row r="13" spans="1:49" x14ac:dyDescent="0.25">
      <c r="A13" s="23">
        <v>44234</v>
      </c>
      <c r="B13" s="40">
        <v>59</v>
      </c>
      <c r="C13" s="24">
        <v>6528130</v>
      </c>
      <c r="D13" s="24">
        <v>15106330</v>
      </c>
      <c r="E13" s="24">
        <v>2358350</v>
      </c>
      <c r="F13" s="24">
        <v>3290520</v>
      </c>
      <c r="G13" s="24">
        <v>9904290</v>
      </c>
      <c r="H13" s="24">
        <v>5148040</v>
      </c>
      <c r="I13" s="24">
        <v>4801350</v>
      </c>
      <c r="J13" s="24">
        <v>5535830</v>
      </c>
      <c r="K13" s="24">
        <v>8646260</v>
      </c>
      <c r="L13" s="24">
        <v>3540860</v>
      </c>
      <c r="M13" s="24">
        <v>7513890</v>
      </c>
      <c r="N13" s="24">
        <v>11223390</v>
      </c>
      <c r="O13" s="24">
        <v>15441620</v>
      </c>
      <c r="Q13" s="37">
        <f t="shared" si="17"/>
        <v>540</v>
      </c>
      <c r="R13" s="37">
        <f t="shared" si="18"/>
        <v>1880</v>
      </c>
      <c r="S13" s="37">
        <f t="shared" si="16"/>
        <v>2580</v>
      </c>
      <c r="T13" s="37">
        <f t="shared" si="32"/>
        <v>1480</v>
      </c>
      <c r="U13" s="37">
        <f t="shared" si="32"/>
        <v>5040</v>
      </c>
      <c r="V13" s="37">
        <f t="shared" si="32"/>
        <v>3310</v>
      </c>
      <c r="W13" s="37">
        <f t="shared" si="32"/>
        <v>2440</v>
      </c>
      <c r="X13" s="37">
        <f t="shared" si="23"/>
        <v>3620</v>
      </c>
      <c r="Y13" s="37">
        <f t="shared" si="24"/>
        <v>4970</v>
      </c>
      <c r="Z13" s="37">
        <f>IF((L13-L12&lt;0), "0",L13-L12)</f>
        <v>2500</v>
      </c>
      <c r="AA13" s="37">
        <f t="shared" si="26"/>
        <v>3400</v>
      </c>
      <c r="AB13" s="37">
        <f t="shared" si="27"/>
        <v>6990</v>
      </c>
      <c r="AC13" s="37">
        <f t="shared" si="28"/>
        <v>11910</v>
      </c>
      <c r="AD13" s="35">
        <f t="shared" si="29"/>
        <v>50660</v>
      </c>
      <c r="AF13" s="20">
        <f t="shared" si="1"/>
        <v>2.7</v>
      </c>
      <c r="AG13" s="20">
        <f t="shared" si="2"/>
        <v>9.4</v>
      </c>
      <c r="AH13" s="20">
        <f t="shared" si="3"/>
        <v>12.9</v>
      </c>
      <c r="AI13" s="20">
        <f t="shared" si="4"/>
        <v>7.4</v>
      </c>
      <c r="AJ13" s="20">
        <f t="shared" si="5"/>
        <v>25.2</v>
      </c>
      <c r="AK13" s="20">
        <f t="shared" si="6"/>
        <v>16.55</v>
      </c>
      <c r="AL13" s="20">
        <f t="shared" si="7"/>
        <v>12.200000000000001</v>
      </c>
      <c r="AM13" s="20">
        <f t="shared" si="8"/>
        <v>18.100000000000001</v>
      </c>
      <c r="AN13" s="20">
        <f t="shared" si="9"/>
        <v>24.85</v>
      </c>
      <c r="AO13" s="20">
        <f t="shared" si="10"/>
        <v>12.5</v>
      </c>
      <c r="AP13" s="20">
        <f t="shared" si="11"/>
        <v>17</v>
      </c>
      <c r="AQ13" s="20">
        <f t="shared" si="12"/>
        <v>34.950000000000003</v>
      </c>
      <c r="AR13" s="20">
        <f t="shared" si="13"/>
        <v>59.550000000000004</v>
      </c>
      <c r="AS13" s="35">
        <f t="shared" si="30"/>
        <v>253.3</v>
      </c>
      <c r="AU13" s="47">
        <v>448789</v>
      </c>
      <c r="AV13" s="37">
        <f t="shared" si="31"/>
        <v>1567</v>
      </c>
      <c r="AW13" s="35">
        <f t="shared" si="14"/>
        <v>3.1339999999999999</v>
      </c>
    </row>
    <row r="14" spans="1:49" x14ac:dyDescent="0.25">
      <c r="A14" s="23">
        <v>44235</v>
      </c>
      <c r="B14" s="40">
        <v>43</v>
      </c>
      <c r="C14" s="24">
        <v>6528660</v>
      </c>
      <c r="D14" s="24">
        <v>15108160</v>
      </c>
      <c r="E14" s="24">
        <v>2361350</v>
      </c>
      <c r="F14" s="24">
        <v>3291970</v>
      </c>
      <c r="G14" s="24">
        <v>9909160</v>
      </c>
      <c r="H14" s="24">
        <v>5151350</v>
      </c>
      <c r="I14" s="24">
        <v>4803740</v>
      </c>
      <c r="J14" s="24">
        <v>5539320</v>
      </c>
      <c r="K14" s="24">
        <v>8651100</v>
      </c>
      <c r="L14" s="24">
        <v>3543210</v>
      </c>
      <c r="M14" s="24">
        <v>7517300</v>
      </c>
      <c r="N14" s="24">
        <v>11230090</v>
      </c>
      <c r="O14" s="24">
        <v>15453910</v>
      </c>
      <c r="P14" s="53"/>
      <c r="Q14" s="37">
        <f t="shared" si="17"/>
        <v>530</v>
      </c>
      <c r="R14" s="37">
        <f t="shared" si="18"/>
        <v>1830</v>
      </c>
      <c r="S14" s="37">
        <f t="shared" si="16"/>
        <v>3000</v>
      </c>
      <c r="T14" s="37">
        <f t="shared" si="32"/>
        <v>1450</v>
      </c>
      <c r="U14" s="37">
        <f t="shared" si="32"/>
        <v>4870</v>
      </c>
      <c r="V14" s="37">
        <f t="shared" si="32"/>
        <v>3310</v>
      </c>
      <c r="W14" s="37">
        <f t="shared" si="32"/>
        <v>2390</v>
      </c>
      <c r="X14" s="37">
        <f t="shared" si="23"/>
        <v>3490</v>
      </c>
      <c r="Y14" s="37">
        <f t="shared" si="24"/>
        <v>4840</v>
      </c>
      <c r="Z14" s="37">
        <f>IF((L14-L13&lt;0), "0",L14-L13)</f>
        <v>2350</v>
      </c>
      <c r="AA14" s="37">
        <f t="shared" si="26"/>
        <v>3410</v>
      </c>
      <c r="AB14" s="37">
        <f t="shared" si="27"/>
        <v>6700</v>
      </c>
      <c r="AC14" s="37">
        <f t="shared" si="28"/>
        <v>12290</v>
      </c>
      <c r="AD14" s="35">
        <f t="shared" si="29"/>
        <v>50460</v>
      </c>
      <c r="AF14" s="20">
        <f t="shared" si="1"/>
        <v>2.65</v>
      </c>
      <c r="AG14" s="20">
        <f t="shared" si="2"/>
        <v>9.15</v>
      </c>
      <c r="AH14" s="20">
        <f t="shared" si="3"/>
        <v>15</v>
      </c>
      <c r="AI14" s="20">
        <f t="shared" si="4"/>
        <v>7.25</v>
      </c>
      <c r="AJ14" s="20">
        <f t="shared" si="5"/>
        <v>24.35</v>
      </c>
      <c r="AK14" s="20">
        <f t="shared" si="6"/>
        <v>16.55</v>
      </c>
      <c r="AL14" s="20">
        <f t="shared" si="7"/>
        <v>11.950000000000001</v>
      </c>
      <c r="AM14" s="20">
        <f t="shared" si="8"/>
        <v>17.45</v>
      </c>
      <c r="AN14" s="20">
        <f t="shared" si="9"/>
        <v>24.2</v>
      </c>
      <c r="AO14" s="20">
        <f t="shared" si="10"/>
        <v>11.75</v>
      </c>
      <c r="AP14" s="20">
        <f t="shared" si="11"/>
        <v>17.05</v>
      </c>
      <c r="AQ14" s="20">
        <f t="shared" si="12"/>
        <v>33.5</v>
      </c>
      <c r="AR14" s="20">
        <f t="shared" si="13"/>
        <v>61.45</v>
      </c>
      <c r="AS14" s="35">
        <f t="shared" si="30"/>
        <v>252.3</v>
      </c>
      <c r="AU14" s="47">
        <v>450347</v>
      </c>
      <c r="AV14" s="37">
        <f t="shared" si="31"/>
        <v>1558</v>
      </c>
      <c r="AW14" s="35">
        <f t="shared" si="14"/>
        <v>3.1160000000000001</v>
      </c>
    </row>
    <row r="15" spans="1:49" x14ac:dyDescent="0.25">
      <c r="A15" s="23">
        <v>44236</v>
      </c>
      <c r="B15" s="40">
        <v>44</v>
      </c>
      <c r="C15" s="24">
        <v>6529271</v>
      </c>
      <c r="D15" s="24">
        <v>15110030</v>
      </c>
      <c r="E15" s="24">
        <v>2364130</v>
      </c>
      <c r="F15" s="24">
        <v>3293440</v>
      </c>
      <c r="G15" s="24">
        <v>9913860</v>
      </c>
      <c r="H15" s="24">
        <v>5154780</v>
      </c>
      <c r="I15" s="24">
        <v>4806170</v>
      </c>
      <c r="J15" s="24">
        <v>5542860</v>
      </c>
      <c r="K15" s="24">
        <v>8656340</v>
      </c>
      <c r="L15" s="24">
        <v>3545550</v>
      </c>
      <c r="M15" s="24">
        <v>7520670</v>
      </c>
      <c r="N15" s="24">
        <v>11236760</v>
      </c>
      <c r="O15" s="24">
        <v>15466280</v>
      </c>
      <c r="Q15" s="37">
        <f t="shared" si="17"/>
        <v>611</v>
      </c>
      <c r="R15" s="37">
        <f t="shared" si="18"/>
        <v>1870</v>
      </c>
      <c r="S15" s="37">
        <f t="shared" si="16"/>
        <v>2780</v>
      </c>
      <c r="T15" s="37">
        <f t="shared" si="19"/>
        <v>1470</v>
      </c>
      <c r="U15" s="37">
        <f t="shared" si="20"/>
        <v>4700</v>
      </c>
      <c r="V15" s="37">
        <f t="shared" si="21"/>
        <v>3430</v>
      </c>
      <c r="W15" s="37">
        <f t="shared" si="22"/>
        <v>2430</v>
      </c>
      <c r="X15" s="37">
        <f t="shared" si="23"/>
        <v>3540</v>
      </c>
      <c r="Y15" s="37">
        <f t="shared" si="24"/>
        <v>5240</v>
      </c>
      <c r="Z15" s="37">
        <f t="shared" si="25"/>
        <v>2340</v>
      </c>
      <c r="AA15" s="37">
        <f t="shared" si="26"/>
        <v>3370</v>
      </c>
      <c r="AB15" s="37">
        <f t="shared" si="27"/>
        <v>6670</v>
      </c>
      <c r="AC15" s="37">
        <f t="shared" si="28"/>
        <v>12370</v>
      </c>
      <c r="AD15" s="35">
        <f t="shared" si="29"/>
        <v>50821</v>
      </c>
      <c r="AF15" s="20">
        <f t="shared" si="1"/>
        <v>3.0550000000000002</v>
      </c>
      <c r="AG15" s="20">
        <f t="shared" si="2"/>
        <v>9.35</v>
      </c>
      <c r="AH15" s="20">
        <f t="shared" si="3"/>
        <v>13.9</v>
      </c>
      <c r="AI15" s="20">
        <f t="shared" si="4"/>
        <v>7.3500000000000005</v>
      </c>
      <c r="AJ15" s="20">
        <f t="shared" si="5"/>
        <v>23.5</v>
      </c>
      <c r="AK15" s="20">
        <f t="shared" si="6"/>
        <v>17.150000000000002</v>
      </c>
      <c r="AL15" s="20">
        <f t="shared" si="7"/>
        <v>12.15</v>
      </c>
      <c r="AM15" s="20">
        <f t="shared" si="8"/>
        <v>17.7</v>
      </c>
      <c r="AN15" s="20">
        <f t="shared" si="9"/>
        <v>26.2</v>
      </c>
      <c r="AO15" s="20">
        <f t="shared" si="10"/>
        <v>11.700000000000001</v>
      </c>
      <c r="AP15" s="20">
        <f t="shared" si="11"/>
        <v>16.850000000000001</v>
      </c>
      <c r="AQ15" s="20">
        <f t="shared" si="12"/>
        <v>33.35</v>
      </c>
      <c r="AR15" s="20">
        <f t="shared" si="13"/>
        <v>61.85</v>
      </c>
      <c r="AS15" s="35">
        <f t="shared" si="30"/>
        <v>254.10499999999999</v>
      </c>
      <c r="AU15" s="47">
        <v>452040</v>
      </c>
      <c r="AV15" s="37">
        <f t="shared" si="31"/>
        <v>1693</v>
      </c>
      <c r="AW15" s="35">
        <f t="shared" si="14"/>
        <v>3.3860000000000001</v>
      </c>
    </row>
    <row r="16" spans="1:49" x14ac:dyDescent="0.25">
      <c r="A16" s="23">
        <v>44237</v>
      </c>
      <c r="B16" s="40">
        <v>67</v>
      </c>
      <c r="C16" s="24">
        <v>6529760</v>
      </c>
      <c r="D16" s="24">
        <v>15111930</v>
      </c>
      <c r="E16" s="24">
        <v>2367000</v>
      </c>
      <c r="F16" s="24">
        <v>3294750</v>
      </c>
      <c r="G16" s="24">
        <v>9918630</v>
      </c>
      <c r="H16" s="24">
        <v>5158260</v>
      </c>
      <c r="I16" s="24">
        <v>4808740</v>
      </c>
      <c r="J16" s="24">
        <v>5546450</v>
      </c>
      <c r="K16" s="24">
        <v>8661590</v>
      </c>
      <c r="L16" s="24">
        <v>3547990</v>
      </c>
      <c r="M16" s="24">
        <v>7524040</v>
      </c>
      <c r="N16" s="24">
        <v>11243440</v>
      </c>
      <c r="O16" s="24">
        <v>15479120</v>
      </c>
      <c r="Q16" s="37">
        <f t="shared" si="17"/>
        <v>489</v>
      </c>
      <c r="R16" s="37">
        <f t="shared" si="18"/>
        <v>1900</v>
      </c>
      <c r="S16" s="37">
        <f t="shared" si="16"/>
        <v>2870</v>
      </c>
      <c r="T16" s="37">
        <f t="shared" si="19"/>
        <v>1310</v>
      </c>
      <c r="U16" s="37">
        <f t="shared" si="20"/>
        <v>4770</v>
      </c>
      <c r="V16" s="37">
        <f t="shared" si="21"/>
        <v>3480</v>
      </c>
      <c r="W16" s="37">
        <f t="shared" si="22"/>
        <v>2570</v>
      </c>
      <c r="X16" s="37">
        <f t="shared" si="23"/>
        <v>3590</v>
      </c>
      <c r="Y16" s="37">
        <f t="shared" si="24"/>
        <v>5250</v>
      </c>
      <c r="Z16" s="37">
        <f t="shared" si="25"/>
        <v>2440</v>
      </c>
      <c r="AA16" s="37">
        <f t="shared" si="26"/>
        <v>3370</v>
      </c>
      <c r="AB16" s="37">
        <f t="shared" si="27"/>
        <v>6680</v>
      </c>
      <c r="AC16" s="37">
        <f t="shared" si="28"/>
        <v>12840</v>
      </c>
      <c r="AD16" s="35">
        <f t="shared" si="29"/>
        <v>51559</v>
      </c>
      <c r="AF16" s="20">
        <f t="shared" si="1"/>
        <v>2.4449999999999998</v>
      </c>
      <c r="AG16" s="20">
        <f t="shared" si="2"/>
        <v>9.5</v>
      </c>
      <c r="AH16" s="20">
        <f t="shared" si="3"/>
        <v>14.35</v>
      </c>
      <c r="AI16" s="20">
        <f t="shared" si="4"/>
        <v>6.55</v>
      </c>
      <c r="AJ16" s="20">
        <f t="shared" si="5"/>
        <v>23.85</v>
      </c>
      <c r="AK16" s="20">
        <f t="shared" si="6"/>
        <v>17.400000000000002</v>
      </c>
      <c r="AL16" s="20">
        <f t="shared" si="7"/>
        <v>12.85</v>
      </c>
      <c r="AM16" s="20">
        <f t="shared" si="8"/>
        <v>17.95</v>
      </c>
      <c r="AN16" s="20">
        <f t="shared" si="9"/>
        <v>26.25</v>
      </c>
      <c r="AO16" s="20">
        <f t="shared" si="10"/>
        <v>12.200000000000001</v>
      </c>
      <c r="AP16" s="20">
        <f t="shared" si="11"/>
        <v>16.850000000000001</v>
      </c>
      <c r="AQ16" s="20">
        <f t="shared" si="12"/>
        <v>33.4</v>
      </c>
      <c r="AR16" s="20">
        <f t="shared" si="13"/>
        <v>64.2</v>
      </c>
      <c r="AS16" s="35">
        <f t="shared" si="30"/>
        <v>257.79499999999996</v>
      </c>
      <c r="AU16" s="47">
        <v>453523</v>
      </c>
      <c r="AV16" s="37">
        <f t="shared" si="31"/>
        <v>1483</v>
      </c>
      <c r="AW16" s="35">
        <f t="shared" si="14"/>
        <v>2.9660000000000002</v>
      </c>
    </row>
    <row r="17" spans="1:49" x14ac:dyDescent="0.25">
      <c r="A17" s="23">
        <v>44238</v>
      </c>
      <c r="B17" s="40">
        <v>99</v>
      </c>
      <c r="C17" s="24">
        <v>6530230</v>
      </c>
      <c r="D17" s="24">
        <v>15113780</v>
      </c>
      <c r="E17" s="24">
        <v>2369920</v>
      </c>
      <c r="F17" s="24">
        <v>3296420</v>
      </c>
      <c r="G17" s="24">
        <v>9923560</v>
      </c>
      <c r="H17" s="24">
        <v>5161620</v>
      </c>
      <c r="I17" s="24">
        <v>4811170</v>
      </c>
      <c r="J17" s="24">
        <v>5550110</v>
      </c>
      <c r="K17" s="24">
        <v>8666570</v>
      </c>
      <c r="L17" s="24">
        <v>3550500</v>
      </c>
      <c r="M17" s="24">
        <v>7527480</v>
      </c>
      <c r="N17" s="24">
        <v>11250200</v>
      </c>
      <c r="O17" s="24">
        <v>15490820</v>
      </c>
      <c r="Q17" s="37">
        <f t="shared" si="17"/>
        <v>470</v>
      </c>
      <c r="R17" s="37">
        <f t="shared" si="18"/>
        <v>1850</v>
      </c>
      <c r="S17" s="37">
        <f t="shared" si="16"/>
        <v>2920</v>
      </c>
      <c r="T17" s="37">
        <f t="shared" si="19"/>
        <v>1670</v>
      </c>
      <c r="U17" s="37">
        <f t="shared" si="20"/>
        <v>4930</v>
      </c>
      <c r="V17" s="37">
        <f t="shared" si="21"/>
        <v>3360</v>
      </c>
      <c r="W17" s="37">
        <f t="shared" si="22"/>
        <v>2430</v>
      </c>
      <c r="X17" s="37">
        <f t="shared" si="23"/>
        <v>3660</v>
      </c>
      <c r="Y17" s="37">
        <f t="shared" si="24"/>
        <v>4980</v>
      </c>
      <c r="Z17" s="37">
        <f t="shared" si="25"/>
        <v>2510</v>
      </c>
      <c r="AA17" s="37">
        <f t="shared" si="26"/>
        <v>3440</v>
      </c>
      <c r="AB17" s="37">
        <f t="shared" si="27"/>
        <v>6760</v>
      </c>
      <c r="AC17" s="37">
        <f t="shared" si="28"/>
        <v>11700</v>
      </c>
      <c r="AD17" s="35">
        <f t="shared" si="29"/>
        <v>50680</v>
      </c>
      <c r="AF17" s="20">
        <f t="shared" si="1"/>
        <v>2.35</v>
      </c>
      <c r="AG17" s="20">
        <f t="shared" si="2"/>
        <v>9.25</v>
      </c>
      <c r="AH17" s="20">
        <f t="shared" si="3"/>
        <v>14.6</v>
      </c>
      <c r="AI17" s="20">
        <f t="shared" si="4"/>
        <v>8.35</v>
      </c>
      <c r="AJ17" s="20">
        <f t="shared" si="5"/>
        <v>24.650000000000002</v>
      </c>
      <c r="AK17" s="20">
        <f t="shared" si="6"/>
        <v>16.8</v>
      </c>
      <c r="AL17" s="20">
        <f t="shared" si="7"/>
        <v>12.15</v>
      </c>
      <c r="AM17" s="20">
        <f t="shared" si="8"/>
        <v>18.3</v>
      </c>
      <c r="AN17" s="20">
        <f t="shared" si="9"/>
        <v>24.900000000000002</v>
      </c>
      <c r="AO17" s="20">
        <f t="shared" si="10"/>
        <v>12.55</v>
      </c>
      <c r="AP17" s="20">
        <f t="shared" si="11"/>
        <v>17.2</v>
      </c>
      <c r="AQ17" s="20">
        <f t="shared" si="12"/>
        <v>33.799999999999997</v>
      </c>
      <c r="AR17" s="20">
        <f t="shared" si="13"/>
        <v>58.5</v>
      </c>
      <c r="AS17" s="35">
        <f t="shared" si="30"/>
        <v>253.39999999999998</v>
      </c>
      <c r="AU17" s="47">
        <v>454793</v>
      </c>
      <c r="AV17" s="37">
        <f t="shared" si="31"/>
        <v>1270</v>
      </c>
      <c r="AW17" s="35">
        <f t="shared" si="14"/>
        <v>2.54</v>
      </c>
    </row>
    <row r="18" spans="1:49" x14ac:dyDescent="0.25">
      <c r="A18" s="23">
        <v>44239</v>
      </c>
      <c r="B18" s="40">
        <v>130</v>
      </c>
      <c r="C18" s="24">
        <v>6530840</v>
      </c>
      <c r="D18" s="24">
        <v>15115600</v>
      </c>
      <c r="E18" s="24">
        <v>2372870</v>
      </c>
      <c r="F18" s="24">
        <v>3297860</v>
      </c>
      <c r="G18" s="24">
        <v>9928650</v>
      </c>
      <c r="H18" s="24">
        <v>5165020</v>
      </c>
      <c r="I18" s="24">
        <v>4813540</v>
      </c>
      <c r="J18" s="24">
        <v>5554070</v>
      </c>
      <c r="K18" s="24">
        <v>8671750</v>
      </c>
      <c r="L18" s="24">
        <v>3553100</v>
      </c>
      <c r="M18" s="24">
        <v>7530890</v>
      </c>
      <c r="N18" s="24">
        <v>11256960</v>
      </c>
      <c r="O18" s="24">
        <v>15502210</v>
      </c>
      <c r="Q18" s="37">
        <f t="shared" si="17"/>
        <v>610</v>
      </c>
      <c r="R18" s="37">
        <f t="shared" si="18"/>
        <v>1820</v>
      </c>
      <c r="S18" s="37">
        <f t="shared" si="16"/>
        <v>2950</v>
      </c>
      <c r="T18" s="37">
        <f t="shared" si="19"/>
        <v>1440</v>
      </c>
      <c r="U18" s="37">
        <f t="shared" si="20"/>
        <v>5090</v>
      </c>
      <c r="V18" s="37">
        <f t="shared" si="21"/>
        <v>3400</v>
      </c>
      <c r="W18" s="37">
        <f t="shared" si="22"/>
        <v>2370</v>
      </c>
      <c r="X18" s="37">
        <f t="shared" si="23"/>
        <v>3960</v>
      </c>
      <c r="Y18" s="37">
        <f t="shared" si="24"/>
        <v>5180</v>
      </c>
      <c r="Z18" s="37">
        <f t="shared" si="25"/>
        <v>2600</v>
      </c>
      <c r="AA18" s="37">
        <f t="shared" si="26"/>
        <v>3410</v>
      </c>
      <c r="AB18" s="37">
        <f t="shared" si="27"/>
        <v>6760</v>
      </c>
      <c r="AC18" s="37">
        <f t="shared" si="28"/>
        <v>11390</v>
      </c>
      <c r="AD18" s="35">
        <f t="shared" si="29"/>
        <v>50980</v>
      </c>
      <c r="AF18" s="20">
        <f t="shared" si="1"/>
        <v>3.0500000000000003</v>
      </c>
      <c r="AG18" s="20">
        <f t="shared" si="2"/>
        <v>9.1</v>
      </c>
      <c r="AH18" s="20">
        <f t="shared" si="3"/>
        <v>14.75</v>
      </c>
      <c r="AI18" s="20">
        <f t="shared" si="4"/>
        <v>7.2</v>
      </c>
      <c r="AJ18" s="20">
        <f t="shared" si="5"/>
        <v>25.45</v>
      </c>
      <c r="AK18" s="20">
        <f t="shared" si="6"/>
        <v>17</v>
      </c>
      <c r="AL18" s="20">
        <f t="shared" si="7"/>
        <v>11.85</v>
      </c>
      <c r="AM18" s="20">
        <f t="shared" si="8"/>
        <v>19.8</v>
      </c>
      <c r="AN18" s="20">
        <f t="shared" si="9"/>
        <v>25.900000000000002</v>
      </c>
      <c r="AO18" s="20">
        <f t="shared" si="10"/>
        <v>13</v>
      </c>
      <c r="AP18" s="20">
        <f t="shared" si="11"/>
        <v>17.05</v>
      </c>
      <c r="AQ18" s="20">
        <f t="shared" si="12"/>
        <v>33.799999999999997</v>
      </c>
      <c r="AR18" s="20">
        <f t="shared" si="13"/>
        <v>56.95</v>
      </c>
      <c r="AS18" s="35">
        <f t="shared" si="30"/>
        <v>254.89999999999998</v>
      </c>
      <c r="AU18" s="47">
        <v>457102</v>
      </c>
      <c r="AV18" s="37">
        <f t="shared" si="31"/>
        <v>2309</v>
      </c>
      <c r="AW18" s="35">
        <f t="shared" si="14"/>
        <v>4.6180000000000003</v>
      </c>
    </row>
    <row r="19" spans="1:49" x14ac:dyDescent="0.25">
      <c r="A19" s="23">
        <v>44240</v>
      </c>
      <c r="B19" s="40">
        <v>127</v>
      </c>
      <c r="C19" s="24">
        <v>6531370</v>
      </c>
      <c r="D19" s="24">
        <v>15117490</v>
      </c>
      <c r="E19" s="24">
        <v>2376010</v>
      </c>
      <c r="F19" s="24">
        <v>3299360</v>
      </c>
      <c r="G19" s="24">
        <v>9933980</v>
      </c>
      <c r="H19" s="24">
        <v>5168520</v>
      </c>
      <c r="I19" s="24">
        <v>4815900</v>
      </c>
      <c r="J19" s="24">
        <v>5558250</v>
      </c>
      <c r="K19" s="24">
        <v>8677430</v>
      </c>
      <c r="L19" s="24">
        <v>3555840</v>
      </c>
      <c r="M19" s="24">
        <v>7534440</v>
      </c>
      <c r="N19" s="24">
        <v>11264100</v>
      </c>
      <c r="O19" s="24">
        <v>15512120</v>
      </c>
      <c r="Q19" s="37">
        <f t="shared" si="17"/>
        <v>530</v>
      </c>
      <c r="R19" s="37">
        <f t="shared" si="18"/>
        <v>1890</v>
      </c>
      <c r="S19" s="37">
        <f t="shared" si="16"/>
        <v>3140</v>
      </c>
      <c r="T19" s="37">
        <f t="shared" si="19"/>
        <v>1500</v>
      </c>
      <c r="U19" s="37">
        <f t="shared" si="20"/>
        <v>5330</v>
      </c>
      <c r="V19" s="37">
        <f t="shared" si="21"/>
        <v>3500</v>
      </c>
      <c r="W19" s="37">
        <f t="shared" si="22"/>
        <v>2360</v>
      </c>
      <c r="X19" s="37">
        <f t="shared" si="23"/>
        <v>4180</v>
      </c>
      <c r="Y19" s="37">
        <f t="shared" si="24"/>
        <v>5680</v>
      </c>
      <c r="Z19" s="37">
        <f t="shared" si="25"/>
        <v>2740</v>
      </c>
      <c r="AA19" s="37">
        <f t="shared" si="26"/>
        <v>3550</v>
      </c>
      <c r="AB19" s="37">
        <f t="shared" si="27"/>
        <v>7140</v>
      </c>
      <c r="AC19" s="37">
        <f t="shared" si="28"/>
        <v>9910</v>
      </c>
      <c r="AD19" s="35">
        <f t="shared" si="29"/>
        <v>51450</v>
      </c>
      <c r="AF19" s="20">
        <f t="shared" si="1"/>
        <v>2.65</v>
      </c>
      <c r="AG19" s="20">
        <f t="shared" si="2"/>
        <v>9.4500000000000011</v>
      </c>
      <c r="AH19" s="20">
        <f t="shared" si="3"/>
        <v>15.700000000000001</v>
      </c>
      <c r="AI19" s="20">
        <f t="shared" si="4"/>
        <v>7.5</v>
      </c>
      <c r="AJ19" s="20">
        <f t="shared" si="5"/>
        <v>26.650000000000002</v>
      </c>
      <c r="AK19" s="20">
        <f t="shared" si="6"/>
        <v>17.5</v>
      </c>
      <c r="AL19" s="20">
        <f t="shared" si="7"/>
        <v>11.8</v>
      </c>
      <c r="AM19" s="20">
        <f t="shared" si="8"/>
        <v>20.900000000000002</v>
      </c>
      <c r="AN19" s="20">
        <f t="shared" si="9"/>
        <v>28.400000000000002</v>
      </c>
      <c r="AO19" s="20">
        <f t="shared" si="10"/>
        <v>13.700000000000001</v>
      </c>
      <c r="AP19" s="20">
        <f t="shared" si="11"/>
        <v>17.75</v>
      </c>
      <c r="AQ19" s="20">
        <f t="shared" si="12"/>
        <v>35.700000000000003</v>
      </c>
      <c r="AR19" s="20">
        <f t="shared" si="13"/>
        <v>49.550000000000004</v>
      </c>
      <c r="AS19" s="35">
        <f t="shared" si="30"/>
        <v>257.25</v>
      </c>
      <c r="AU19" s="47">
        <v>458753</v>
      </c>
      <c r="AV19" s="37">
        <f t="shared" si="31"/>
        <v>1651</v>
      </c>
      <c r="AW19" s="35">
        <f t="shared" si="14"/>
        <v>3.302</v>
      </c>
    </row>
    <row r="20" spans="1:49" x14ac:dyDescent="0.25">
      <c r="A20" s="23">
        <v>44241</v>
      </c>
      <c r="B20" s="40">
        <v>181</v>
      </c>
      <c r="C20" s="24">
        <v>6531930</v>
      </c>
      <c r="D20" s="24">
        <v>15119410</v>
      </c>
      <c r="E20" s="24">
        <v>2379370</v>
      </c>
      <c r="F20" s="24">
        <v>3300890</v>
      </c>
      <c r="G20" s="24">
        <v>9940100</v>
      </c>
      <c r="H20" s="24">
        <v>5172060</v>
      </c>
      <c r="I20" s="24">
        <v>4818430</v>
      </c>
      <c r="J20" s="24">
        <v>5562430</v>
      </c>
      <c r="K20" s="24">
        <v>8683590</v>
      </c>
      <c r="L20" s="24">
        <v>3558860</v>
      </c>
      <c r="M20" s="24">
        <v>7538360</v>
      </c>
      <c r="N20" s="24">
        <v>11271490</v>
      </c>
      <c r="O20" s="24">
        <v>15521870</v>
      </c>
      <c r="Q20" s="37">
        <f t="shared" si="17"/>
        <v>560</v>
      </c>
      <c r="R20" s="37">
        <f t="shared" si="18"/>
        <v>1920</v>
      </c>
      <c r="S20" s="37">
        <f t="shared" si="16"/>
        <v>3360</v>
      </c>
      <c r="T20" s="37">
        <f t="shared" si="19"/>
        <v>1530</v>
      </c>
      <c r="U20" s="37">
        <f t="shared" si="20"/>
        <v>6120</v>
      </c>
      <c r="V20" s="37">
        <f t="shared" si="21"/>
        <v>3540</v>
      </c>
      <c r="W20" s="37">
        <f t="shared" si="22"/>
        <v>2530</v>
      </c>
      <c r="X20" s="37">
        <f t="shared" si="23"/>
        <v>4180</v>
      </c>
      <c r="Y20" s="37">
        <f t="shared" si="24"/>
        <v>6160</v>
      </c>
      <c r="Z20" s="37">
        <f t="shared" si="25"/>
        <v>3020</v>
      </c>
      <c r="AA20" s="37">
        <f t="shared" si="26"/>
        <v>3920</v>
      </c>
      <c r="AB20" s="37">
        <f t="shared" si="27"/>
        <v>7390</v>
      </c>
      <c r="AC20" s="37">
        <f t="shared" si="28"/>
        <v>9750</v>
      </c>
      <c r="AD20" s="35">
        <f t="shared" si="29"/>
        <v>53980</v>
      </c>
      <c r="AF20" s="20">
        <f t="shared" si="1"/>
        <v>2.8000000000000003</v>
      </c>
      <c r="AG20" s="20">
        <f t="shared" si="2"/>
        <v>9.6</v>
      </c>
      <c r="AH20" s="20">
        <f t="shared" si="3"/>
        <v>16.8</v>
      </c>
      <c r="AI20" s="20">
        <f t="shared" si="4"/>
        <v>7.65</v>
      </c>
      <c r="AJ20" s="20">
        <f t="shared" si="5"/>
        <v>30.6</v>
      </c>
      <c r="AK20" s="20">
        <f t="shared" si="6"/>
        <v>17.7</v>
      </c>
      <c r="AL20" s="20">
        <f t="shared" si="7"/>
        <v>12.65</v>
      </c>
      <c r="AM20" s="20">
        <f t="shared" si="8"/>
        <v>20.900000000000002</v>
      </c>
      <c r="AN20" s="20">
        <f t="shared" si="9"/>
        <v>30.8</v>
      </c>
      <c r="AO20" s="20">
        <f t="shared" si="10"/>
        <v>15.1</v>
      </c>
      <c r="AP20" s="20">
        <f t="shared" si="11"/>
        <v>19.600000000000001</v>
      </c>
      <c r="AQ20" s="20">
        <f t="shared" si="12"/>
        <v>36.950000000000003</v>
      </c>
      <c r="AR20" s="20">
        <f t="shared" si="13"/>
        <v>48.75</v>
      </c>
      <c r="AS20" s="35">
        <f t="shared" si="30"/>
        <v>269.90000000000003</v>
      </c>
      <c r="AU20" s="47">
        <v>460490</v>
      </c>
      <c r="AV20" s="37">
        <f t="shared" si="31"/>
        <v>1737</v>
      </c>
      <c r="AW20" s="35">
        <f t="shared" si="14"/>
        <v>3.4740000000000002</v>
      </c>
    </row>
    <row r="21" spans="1:49" x14ac:dyDescent="0.25">
      <c r="A21" s="23">
        <v>44242</v>
      </c>
      <c r="B21" s="40">
        <v>76</v>
      </c>
      <c r="C21" s="24">
        <v>6532460</v>
      </c>
      <c r="D21" s="24">
        <v>15121300</v>
      </c>
      <c r="E21" s="24">
        <v>2382610</v>
      </c>
      <c r="F21" s="24">
        <v>3302410</v>
      </c>
      <c r="G21" s="24">
        <v>9945620</v>
      </c>
      <c r="H21" s="24">
        <v>5175330</v>
      </c>
      <c r="I21" s="24">
        <v>4820810</v>
      </c>
      <c r="J21" s="24">
        <v>5565500</v>
      </c>
      <c r="K21" s="24">
        <v>8689280</v>
      </c>
      <c r="L21" s="24">
        <v>3561500</v>
      </c>
      <c r="M21" s="24">
        <v>7542110</v>
      </c>
      <c r="N21" s="24">
        <v>11278480</v>
      </c>
      <c r="O21" s="24">
        <v>15531340</v>
      </c>
      <c r="Q21" s="37">
        <f t="shared" si="17"/>
        <v>530</v>
      </c>
      <c r="R21" s="37">
        <f t="shared" si="18"/>
        <v>1890</v>
      </c>
      <c r="S21" s="37">
        <f t="shared" si="16"/>
        <v>3240</v>
      </c>
      <c r="T21" s="37">
        <f t="shared" si="19"/>
        <v>1520</v>
      </c>
      <c r="U21" s="37">
        <f t="shared" si="20"/>
        <v>5520</v>
      </c>
      <c r="V21" s="37">
        <f t="shared" si="21"/>
        <v>3270</v>
      </c>
      <c r="W21" s="37">
        <f t="shared" si="22"/>
        <v>2380</v>
      </c>
      <c r="X21" s="37">
        <f t="shared" si="23"/>
        <v>3070</v>
      </c>
      <c r="Y21" s="37">
        <f t="shared" si="24"/>
        <v>5690</v>
      </c>
      <c r="Z21" s="37">
        <f t="shared" si="25"/>
        <v>2640</v>
      </c>
      <c r="AA21" s="37">
        <f t="shared" si="26"/>
        <v>3750</v>
      </c>
      <c r="AB21" s="37">
        <f t="shared" si="27"/>
        <v>6990</v>
      </c>
      <c r="AC21" s="37">
        <f t="shared" si="28"/>
        <v>9470</v>
      </c>
      <c r="AD21" s="35">
        <f t="shared" si="29"/>
        <v>49960</v>
      </c>
      <c r="AF21" s="20">
        <f t="shared" si="1"/>
        <v>2.65</v>
      </c>
      <c r="AG21" s="20">
        <f t="shared" si="2"/>
        <v>9.4500000000000011</v>
      </c>
      <c r="AH21" s="20">
        <f t="shared" si="3"/>
        <v>16.2</v>
      </c>
      <c r="AI21" s="20">
        <f t="shared" si="4"/>
        <v>7.6000000000000005</v>
      </c>
      <c r="AJ21" s="20">
        <f t="shared" si="5"/>
        <v>27.6</v>
      </c>
      <c r="AK21" s="20">
        <f t="shared" si="6"/>
        <v>16.350000000000001</v>
      </c>
      <c r="AL21" s="20">
        <f t="shared" si="7"/>
        <v>11.9</v>
      </c>
      <c r="AM21" s="20">
        <f t="shared" si="8"/>
        <v>15.35</v>
      </c>
      <c r="AN21" s="20">
        <f t="shared" si="9"/>
        <v>28.45</v>
      </c>
      <c r="AO21" s="20">
        <f t="shared" si="10"/>
        <v>13.200000000000001</v>
      </c>
      <c r="AP21" s="20">
        <f t="shared" si="11"/>
        <v>18.75</v>
      </c>
      <c r="AQ21" s="20">
        <f t="shared" si="12"/>
        <v>34.950000000000003</v>
      </c>
      <c r="AR21" s="20">
        <f t="shared" si="13"/>
        <v>47.35</v>
      </c>
      <c r="AS21" s="35">
        <f t="shared" si="30"/>
        <v>249.79999999999998</v>
      </c>
      <c r="AU21" s="47">
        <v>462960</v>
      </c>
      <c r="AV21" s="37">
        <f t="shared" si="31"/>
        <v>2470</v>
      </c>
      <c r="AW21" s="35">
        <f t="shared" si="14"/>
        <v>4.9400000000000004</v>
      </c>
    </row>
    <row r="22" spans="1:49" x14ac:dyDescent="0.25">
      <c r="A22" s="23">
        <v>44243</v>
      </c>
      <c r="B22" s="40">
        <v>68</v>
      </c>
      <c r="C22" s="24">
        <v>6532990</v>
      </c>
      <c r="D22" s="24">
        <v>15123000</v>
      </c>
      <c r="E22" s="24">
        <v>2385690</v>
      </c>
      <c r="F22" s="24">
        <v>3303830</v>
      </c>
      <c r="G22" s="24">
        <v>9950420</v>
      </c>
      <c r="H22" s="24">
        <v>5178710</v>
      </c>
      <c r="I22" s="24">
        <v>4823050</v>
      </c>
      <c r="J22" s="44">
        <v>5570380</v>
      </c>
      <c r="K22" s="24">
        <v>8694590</v>
      </c>
      <c r="L22" s="24">
        <v>3563810</v>
      </c>
      <c r="M22" s="24">
        <v>7545360</v>
      </c>
      <c r="N22" s="24">
        <v>11285110</v>
      </c>
      <c r="O22" s="44">
        <v>15540136</v>
      </c>
      <c r="Q22" s="37">
        <f t="shared" si="17"/>
        <v>530</v>
      </c>
      <c r="R22" s="37">
        <f t="shared" si="18"/>
        <v>1700</v>
      </c>
      <c r="S22" s="37">
        <f t="shared" si="16"/>
        <v>3080</v>
      </c>
      <c r="T22" s="37">
        <f t="shared" si="19"/>
        <v>1420</v>
      </c>
      <c r="U22" s="37">
        <f t="shared" si="20"/>
        <v>4800</v>
      </c>
      <c r="V22" s="37">
        <f t="shared" si="21"/>
        <v>3380</v>
      </c>
      <c r="W22" s="37">
        <f t="shared" si="22"/>
        <v>2240</v>
      </c>
      <c r="X22" s="37">
        <f t="shared" si="23"/>
        <v>4880</v>
      </c>
      <c r="Y22" s="37">
        <f t="shared" si="24"/>
        <v>5310</v>
      </c>
      <c r="Z22" s="37">
        <f t="shared" si="25"/>
        <v>2310</v>
      </c>
      <c r="AA22" s="37">
        <f t="shared" si="26"/>
        <v>3250</v>
      </c>
      <c r="AB22" s="37">
        <f t="shared" si="27"/>
        <v>6630</v>
      </c>
      <c r="AC22" s="37">
        <f t="shared" si="28"/>
        <v>8796</v>
      </c>
      <c r="AD22" s="35">
        <f t="shared" si="29"/>
        <v>48326</v>
      </c>
      <c r="AF22" s="20">
        <f t="shared" si="1"/>
        <v>2.65</v>
      </c>
      <c r="AG22" s="20">
        <f t="shared" si="2"/>
        <v>8.5</v>
      </c>
      <c r="AH22" s="20">
        <f t="shared" si="3"/>
        <v>15.4</v>
      </c>
      <c r="AI22" s="20">
        <f t="shared" si="4"/>
        <v>7.1000000000000005</v>
      </c>
      <c r="AJ22" s="20">
        <f t="shared" si="5"/>
        <v>24</v>
      </c>
      <c r="AK22" s="20">
        <f t="shared" si="6"/>
        <v>16.899999999999999</v>
      </c>
      <c r="AL22" s="20">
        <f t="shared" si="7"/>
        <v>11.200000000000001</v>
      </c>
      <c r="AM22" s="20">
        <f t="shared" si="8"/>
        <v>24.400000000000002</v>
      </c>
      <c r="AN22" s="20">
        <f t="shared" si="9"/>
        <v>26.55</v>
      </c>
      <c r="AO22" s="20">
        <f t="shared" si="10"/>
        <v>11.55</v>
      </c>
      <c r="AP22" s="20">
        <f t="shared" si="11"/>
        <v>16.25</v>
      </c>
      <c r="AQ22" s="20">
        <f t="shared" si="12"/>
        <v>33.15</v>
      </c>
      <c r="AR22" s="20">
        <f t="shared" si="13"/>
        <v>43.980000000000004</v>
      </c>
      <c r="AS22" s="35">
        <f t="shared" si="30"/>
        <v>241.63000000000005</v>
      </c>
      <c r="AU22" s="47">
        <v>464634</v>
      </c>
      <c r="AV22" s="37">
        <f t="shared" si="31"/>
        <v>1674</v>
      </c>
      <c r="AW22" s="35">
        <f t="shared" si="14"/>
        <v>3.3479999999999999</v>
      </c>
    </row>
    <row r="23" spans="1:49" x14ac:dyDescent="0.25">
      <c r="A23" s="23">
        <v>44244</v>
      </c>
      <c r="B23" s="40">
        <v>78</v>
      </c>
      <c r="C23" s="24">
        <v>6533560</v>
      </c>
      <c r="D23" s="24">
        <v>15125080</v>
      </c>
      <c r="E23" s="24">
        <v>2389030</v>
      </c>
      <c r="F23" s="24">
        <v>3305400</v>
      </c>
      <c r="G23" s="24">
        <v>9958840</v>
      </c>
      <c r="H23" s="24">
        <v>5182170</v>
      </c>
      <c r="I23" s="24">
        <v>4825550</v>
      </c>
      <c r="J23" s="24">
        <v>5574650</v>
      </c>
      <c r="K23" s="24">
        <v>8700160</v>
      </c>
      <c r="L23" s="24">
        <v>3566970</v>
      </c>
      <c r="M23" s="24">
        <v>7548760</v>
      </c>
      <c r="N23" s="24">
        <v>11292390</v>
      </c>
      <c r="O23" s="24">
        <v>15549990</v>
      </c>
      <c r="Q23" s="37">
        <f t="shared" si="17"/>
        <v>570</v>
      </c>
      <c r="R23" s="37">
        <f t="shared" si="18"/>
        <v>2080</v>
      </c>
      <c r="S23" s="37">
        <f t="shared" si="16"/>
        <v>3340</v>
      </c>
      <c r="T23" s="37">
        <f t="shared" si="19"/>
        <v>1570</v>
      </c>
      <c r="U23" s="37">
        <f t="shared" si="20"/>
        <v>8420</v>
      </c>
      <c r="V23" s="37">
        <f t="shared" si="21"/>
        <v>3460</v>
      </c>
      <c r="W23" s="37">
        <f t="shared" si="22"/>
        <v>2500</v>
      </c>
      <c r="X23" s="37">
        <f t="shared" si="23"/>
        <v>4270</v>
      </c>
      <c r="Y23" s="37">
        <f t="shared" si="24"/>
        <v>5570</v>
      </c>
      <c r="Z23" s="37">
        <f t="shared" si="25"/>
        <v>3160</v>
      </c>
      <c r="AA23" s="37">
        <f t="shared" si="26"/>
        <v>3400</v>
      </c>
      <c r="AB23" s="37">
        <f t="shared" si="27"/>
        <v>7280</v>
      </c>
      <c r="AC23" s="37">
        <f t="shared" si="28"/>
        <v>9854</v>
      </c>
      <c r="AD23" s="35">
        <f t="shared" si="29"/>
        <v>55474</v>
      </c>
      <c r="AF23" s="20">
        <f t="shared" si="1"/>
        <v>2.85</v>
      </c>
      <c r="AG23" s="20">
        <f t="shared" si="2"/>
        <v>10.4</v>
      </c>
      <c r="AH23" s="20">
        <f t="shared" si="3"/>
        <v>16.7</v>
      </c>
      <c r="AI23" s="20">
        <f t="shared" si="4"/>
        <v>7.8500000000000005</v>
      </c>
      <c r="AJ23" s="20">
        <f t="shared" si="5"/>
        <v>42.1</v>
      </c>
      <c r="AK23" s="20">
        <f t="shared" si="6"/>
        <v>17.3</v>
      </c>
      <c r="AL23" s="20">
        <f t="shared" si="7"/>
        <v>12.5</v>
      </c>
      <c r="AM23" s="20">
        <f t="shared" si="8"/>
        <v>21.35</v>
      </c>
      <c r="AN23" s="20">
        <f t="shared" si="9"/>
        <v>27.85</v>
      </c>
      <c r="AO23" s="20">
        <f t="shared" si="10"/>
        <v>15.8</v>
      </c>
      <c r="AP23" s="20">
        <f t="shared" si="11"/>
        <v>17</v>
      </c>
      <c r="AQ23" s="20">
        <f t="shared" si="12"/>
        <v>36.4</v>
      </c>
      <c r="AR23" s="20">
        <f t="shared" si="13"/>
        <v>49.27</v>
      </c>
      <c r="AS23" s="35">
        <f t="shared" si="30"/>
        <v>277.37</v>
      </c>
      <c r="AU23" s="47">
        <v>466349</v>
      </c>
      <c r="AV23" s="37">
        <f t="shared" si="31"/>
        <v>1715</v>
      </c>
      <c r="AW23" s="35">
        <f t="shared" si="14"/>
        <v>3.43</v>
      </c>
    </row>
    <row r="24" spans="1:49" x14ac:dyDescent="0.25">
      <c r="A24" s="23">
        <v>44245</v>
      </c>
      <c r="B24" s="40">
        <v>106</v>
      </c>
      <c r="C24" s="24">
        <v>6534120</v>
      </c>
      <c r="D24" s="24">
        <v>15127020</v>
      </c>
      <c r="E24" s="24">
        <v>2391896</v>
      </c>
      <c r="F24" s="24">
        <v>3306930</v>
      </c>
      <c r="G24" s="24">
        <v>9961090</v>
      </c>
      <c r="H24" s="24">
        <v>5185720</v>
      </c>
      <c r="I24" s="24">
        <v>4828030</v>
      </c>
      <c r="J24" s="24">
        <v>5578950</v>
      </c>
      <c r="K24" s="24">
        <v>8705770</v>
      </c>
      <c r="L24" s="24">
        <v>3569110</v>
      </c>
      <c r="M24" s="24">
        <v>7552180</v>
      </c>
      <c r="N24" s="24">
        <v>11299610</v>
      </c>
      <c r="O24" s="24">
        <v>15559740</v>
      </c>
      <c r="Q24" s="37">
        <f t="shared" si="17"/>
        <v>560</v>
      </c>
      <c r="R24" s="37">
        <f t="shared" si="18"/>
        <v>1940</v>
      </c>
      <c r="S24" s="37">
        <f t="shared" si="16"/>
        <v>2866</v>
      </c>
      <c r="T24" s="37">
        <f t="shared" si="19"/>
        <v>1530</v>
      </c>
      <c r="U24" s="37">
        <f t="shared" si="20"/>
        <v>2250</v>
      </c>
      <c r="V24" s="37">
        <f t="shared" si="21"/>
        <v>3550</v>
      </c>
      <c r="W24" s="37">
        <f t="shared" si="22"/>
        <v>2480</v>
      </c>
      <c r="X24" s="37">
        <f t="shared" si="23"/>
        <v>4300</v>
      </c>
      <c r="Y24" s="37">
        <f t="shared" si="24"/>
        <v>5610</v>
      </c>
      <c r="Z24" s="37">
        <f t="shared" si="25"/>
        <v>2140</v>
      </c>
      <c r="AA24" s="37">
        <f t="shared" si="26"/>
        <v>3420</v>
      </c>
      <c r="AB24" s="37">
        <f t="shared" si="27"/>
        <v>7220</v>
      </c>
      <c r="AC24" s="37">
        <f t="shared" si="28"/>
        <v>9750</v>
      </c>
      <c r="AD24" s="35">
        <f t="shared" si="29"/>
        <v>47616</v>
      </c>
      <c r="AF24" s="20">
        <f t="shared" si="1"/>
        <v>2.8000000000000003</v>
      </c>
      <c r="AG24" s="20">
        <f t="shared" si="2"/>
        <v>9.7000000000000011</v>
      </c>
      <c r="AH24" s="20">
        <f t="shared" si="3"/>
        <v>14.33</v>
      </c>
      <c r="AI24" s="20">
        <f t="shared" si="4"/>
        <v>7.65</v>
      </c>
      <c r="AJ24" s="20">
        <f t="shared" si="5"/>
        <v>11.25</v>
      </c>
      <c r="AK24" s="20">
        <f t="shared" si="6"/>
        <v>17.75</v>
      </c>
      <c r="AL24" s="20">
        <f t="shared" si="7"/>
        <v>12.4</v>
      </c>
      <c r="AM24" s="20">
        <f t="shared" si="8"/>
        <v>21.5</v>
      </c>
      <c r="AN24" s="20">
        <f t="shared" si="9"/>
        <v>28.05</v>
      </c>
      <c r="AO24" s="20">
        <f t="shared" si="10"/>
        <v>10.700000000000001</v>
      </c>
      <c r="AP24" s="20">
        <f t="shared" si="11"/>
        <v>17.100000000000001</v>
      </c>
      <c r="AQ24" s="20">
        <f t="shared" si="12"/>
        <v>36.1</v>
      </c>
      <c r="AR24" s="20">
        <f t="shared" si="13"/>
        <v>48.75</v>
      </c>
      <c r="AS24" s="35">
        <f t="shared" si="30"/>
        <v>238.07999999999998</v>
      </c>
      <c r="AU24" s="47">
        <v>467710</v>
      </c>
      <c r="AV24" s="37">
        <f t="shared" si="31"/>
        <v>1361</v>
      </c>
      <c r="AW24" s="35">
        <f t="shared" si="14"/>
        <v>2.722</v>
      </c>
    </row>
    <row r="25" spans="1:49" x14ac:dyDescent="0.25">
      <c r="A25" s="23">
        <v>44246</v>
      </c>
      <c r="B25" s="40">
        <v>135</v>
      </c>
      <c r="C25" s="24">
        <v>6534650</v>
      </c>
      <c r="D25" s="24">
        <v>15128840</v>
      </c>
      <c r="E25" s="24">
        <v>2394460</v>
      </c>
      <c r="F25" s="24">
        <v>3308370</v>
      </c>
      <c r="G25" s="24">
        <v>9966700</v>
      </c>
      <c r="H25" s="24">
        <v>5189140</v>
      </c>
      <c r="I25" s="24">
        <v>4830320</v>
      </c>
      <c r="J25" s="24">
        <v>5583010</v>
      </c>
      <c r="K25" s="24">
        <v>8711430</v>
      </c>
      <c r="L25" s="24">
        <v>3571770</v>
      </c>
      <c r="M25" s="24">
        <v>7555750</v>
      </c>
      <c r="N25" s="24">
        <v>11306550</v>
      </c>
      <c r="O25" s="24">
        <v>15569000</v>
      </c>
      <c r="Q25" s="37">
        <f t="shared" ref="Q25:AC27" si="33">IF((C25-C24&lt;0), "0",C25-C24)</f>
        <v>530</v>
      </c>
      <c r="R25" s="37">
        <f t="shared" si="33"/>
        <v>1820</v>
      </c>
      <c r="S25" s="37">
        <f t="shared" si="33"/>
        <v>2564</v>
      </c>
      <c r="T25" s="37">
        <f t="shared" si="33"/>
        <v>1440</v>
      </c>
      <c r="U25" s="37">
        <f t="shared" si="33"/>
        <v>5610</v>
      </c>
      <c r="V25" s="37">
        <f t="shared" si="33"/>
        <v>3420</v>
      </c>
      <c r="W25" s="37">
        <f t="shared" si="33"/>
        <v>2290</v>
      </c>
      <c r="X25" s="37">
        <f t="shared" si="33"/>
        <v>4060</v>
      </c>
      <c r="Y25" s="37">
        <f t="shared" si="33"/>
        <v>5660</v>
      </c>
      <c r="Z25" s="37">
        <f t="shared" si="33"/>
        <v>2660</v>
      </c>
      <c r="AA25" s="37">
        <f t="shared" si="33"/>
        <v>3570</v>
      </c>
      <c r="AB25" s="37">
        <f t="shared" si="33"/>
        <v>6940</v>
      </c>
      <c r="AC25" s="37">
        <f t="shared" si="33"/>
        <v>9260</v>
      </c>
      <c r="AD25" s="35">
        <f t="shared" si="29"/>
        <v>49824</v>
      </c>
      <c r="AF25" s="20">
        <f t="shared" si="1"/>
        <v>2.65</v>
      </c>
      <c r="AG25" s="20">
        <f t="shared" si="2"/>
        <v>9.1</v>
      </c>
      <c r="AH25" s="20">
        <f t="shared" si="3"/>
        <v>12.82</v>
      </c>
      <c r="AI25" s="20">
        <f t="shared" si="4"/>
        <v>7.2</v>
      </c>
      <c r="AJ25" s="20">
        <f t="shared" si="5"/>
        <v>28.05</v>
      </c>
      <c r="AK25" s="20">
        <f t="shared" si="6"/>
        <v>17.100000000000001</v>
      </c>
      <c r="AL25" s="20">
        <f t="shared" si="7"/>
        <v>11.450000000000001</v>
      </c>
      <c r="AM25" s="20">
        <f t="shared" si="8"/>
        <v>20.3</v>
      </c>
      <c r="AN25" s="20">
        <f t="shared" si="9"/>
        <v>28.3</v>
      </c>
      <c r="AO25" s="20">
        <f t="shared" si="10"/>
        <v>13.3</v>
      </c>
      <c r="AP25" s="20">
        <f t="shared" si="11"/>
        <v>17.850000000000001</v>
      </c>
      <c r="AQ25" s="20">
        <f t="shared" si="12"/>
        <v>34.700000000000003</v>
      </c>
      <c r="AR25" s="20">
        <f t="shared" si="13"/>
        <v>46.300000000000004</v>
      </c>
      <c r="AS25" s="35">
        <f t="shared" si="30"/>
        <v>249.12</v>
      </c>
      <c r="AU25" s="47">
        <v>469534</v>
      </c>
      <c r="AV25" s="37">
        <f t="shared" si="31"/>
        <v>1824</v>
      </c>
      <c r="AW25" s="35">
        <f t="shared" si="14"/>
        <v>3.6480000000000001</v>
      </c>
    </row>
    <row r="26" spans="1:49" x14ac:dyDescent="0.25">
      <c r="A26" s="23">
        <v>44247</v>
      </c>
      <c r="B26" s="40">
        <v>93</v>
      </c>
      <c r="C26" s="24">
        <v>6535170</v>
      </c>
      <c r="D26" s="24">
        <v>15130620</v>
      </c>
      <c r="E26" s="24">
        <v>2397000</v>
      </c>
      <c r="F26" s="24">
        <v>3309770</v>
      </c>
      <c r="G26" s="24">
        <v>9971590</v>
      </c>
      <c r="H26" s="24">
        <v>5192450</v>
      </c>
      <c r="I26" s="24">
        <v>4832560</v>
      </c>
      <c r="J26" s="24">
        <v>5586970</v>
      </c>
      <c r="K26" s="24">
        <v>8716910</v>
      </c>
      <c r="L26" s="24">
        <v>3574320</v>
      </c>
      <c r="M26" s="24">
        <v>7559220</v>
      </c>
      <c r="N26" s="24">
        <v>11313270</v>
      </c>
      <c r="O26" s="24">
        <v>15578030</v>
      </c>
      <c r="Q26" s="37">
        <f t="shared" si="33"/>
        <v>520</v>
      </c>
      <c r="R26" s="37">
        <f t="shared" si="33"/>
        <v>1780</v>
      </c>
      <c r="S26" s="37">
        <f t="shared" si="33"/>
        <v>2540</v>
      </c>
      <c r="T26" s="37">
        <f t="shared" si="33"/>
        <v>1400</v>
      </c>
      <c r="U26" s="37">
        <f t="shared" si="33"/>
        <v>4890</v>
      </c>
      <c r="V26" s="37">
        <f t="shared" si="33"/>
        <v>3310</v>
      </c>
      <c r="W26" s="37">
        <f t="shared" si="33"/>
        <v>2240</v>
      </c>
      <c r="X26" s="37">
        <f t="shared" si="33"/>
        <v>3960</v>
      </c>
      <c r="Y26" s="37">
        <f t="shared" si="33"/>
        <v>5480</v>
      </c>
      <c r="Z26" s="37">
        <f t="shared" si="33"/>
        <v>2550</v>
      </c>
      <c r="AA26" s="37">
        <f t="shared" si="33"/>
        <v>3470</v>
      </c>
      <c r="AB26" s="37">
        <f t="shared" si="33"/>
        <v>6720</v>
      </c>
      <c r="AC26" s="37">
        <f t="shared" si="33"/>
        <v>9030</v>
      </c>
      <c r="AD26" s="35">
        <f t="shared" si="29"/>
        <v>47890</v>
      </c>
      <c r="AF26" s="20">
        <f t="shared" si="1"/>
        <v>2.6</v>
      </c>
      <c r="AG26" s="20">
        <f t="shared" si="2"/>
        <v>8.9</v>
      </c>
      <c r="AH26" s="20">
        <f t="shared" si="3"/>
        <v>12.700000000000001</v>
      </c>
      <c r="AI26" s="20">
        <f t="shared" si="4"/>
        <v>7</v>
      </c>
      <c r="AJ26" s="20">
        <f t="shared" si="5"/>
        <v>24.45</v>
      </c>
      <c r="AK26" s="20">
        <f t="shared" si="6"/>
        <v>16.55</v>
      </c>
      <c r="AL26" s="20">
        <f t="shared" si="7"/>
        <v>11.200000000000001</v>
      </c>
      <c r="AM26" s="20">
        <f t="shared" si="8"/>
        <v>19.8</v>
      </c>
      <c r="AN26" s="20">
        <f t="shared" si="9"/>
        <v>27.400000000000002</v>
      </c>
      <c r="AO26" s="20">
        <f t="shared" si="10"/>
        <v>12.75</v>
      </c>
      <c r="AP26" s="20">
        <f t="shared" si="11"/>
        <v>17.350000000000001</v>
      </c>
      <c r="AQ26" s="20">
        <f t="shared" si="12"/>
        <v>33.6</v>
      </c>
      <c r="AR26" s="20">
        <f t="shared" si="13"/>
        <v>45.15</v>
      </c>
      <c r="AS26" s="35">
        <f t="shared" si="30"/>
        <v>239.45</v>
      </c>
      <c r="AU26" s="47">
        <v>471211</v>
      </c>
      <c r="AV26" s="37">
        <f t="shared" si="31"/>
        <v>1677</v>
      </c>
      <c r="AW26" s="35">
        <f t="shared" si="14"/>
        <v>3.3540000000000001</v>
      </c>
    </row>
    <row r="27" spans="1:49" x14ac:dyDescent="0.25">
      <c r="A27" s="23">
        <v>44248</v>
      </c>
      <c r="B27" s="40">
        <v>85</v>
      </c>
      <c r="C27" s="24">
        <v>6535720</v>
      </c>
      <c r="D27" s="24">
        <v>15132510</v>
      </c>
      <c r="E27" s="24">
        <v>2399680</v>
      </c>
      <c r="F27" s="24">
        <v>3311260</v>
      </c>
      <c r="G27" s="24">
        <v>9976730</v>
      </c>
      <c r="H27" s="24">
        <v>5195870</v>
      </c>
      <c r="I27" s="24">
        <v>4834950</v>
      </c>
      <c r="J27" s="24">
        <v>5590860</v>
      </c>
      <c r="K27" s="24">
        <v>8722430</v>
      </c>
      <c r="L27" s="24">
        <v>3576870</v>
      </c>
      <c r="M27" s="24">
        <v>7562920</v>
      </c>
      <c r="N27" s="24">
        <v>11320320</v>
      </c>
      <c r="O27" s="24">
        <v>15587770</v>
      </c>
      <c r="Q27" s="37">
        <f t="shared" si="33"/>
        <v>550</v>
      </c>
      <c r="R27" s="37">
        <f t="shared" si="33"/>
        <v>1890</v>
      </c>
      <c r="S27" s="37">
        <f t="shared" si="33"/>
        <v>2680</v>
      </c>
      <c r="T27" s="37">
        <f t="shared" si="33"/>
        <v>1490</v>
      </c>
      <c r="U27" s="37">
        <f t="shared" si="33"/>
        <v>5140</v>
      </c>
      <c r="V27" s="37">
        <f t="shared" si="33"/>
        <v>3420</v>
      </c>
      <c r="W27" s="37">
        <f t="shared" si="33"/>
        <v>2390</v>
      </c>
      <c r="X27" s="37">
        <f t="shared" si="33"/>
        <v>3890</v>
      </c>
      <c r="Y27" s="37">
        <f t="shared" si="33"/>
        <v>5520</v>
      </c>
      <c r="Z27" s="37">
        <f t="shared" si="33"/>
        <v>2550</v>
      </c>
      <c r="AA27" s="37">
        <f t="shared" si="33"/>
        <v>3700</v>
      </c>
      <c r="AB27" s="37">
        <f t="shared" si="33"/>
        <v>7050</v>
      </c>
      <c r="AC27" s="37">
        <f t="shared" si="33"/>
        <v>9740</v>
      </c>
      <c r="AD27" s="35">
        <f t="shared" si="29"/>
        <v>50010</v>
      </c>
      <c r="AF27" s="20">
        <f t="shared" si="1"/>
        <v>2.75</v>
      </c>
      <c r="AG27" s="20">
        <f t="shared" si="2"/>
        <v>9.4500000000000011</v>
      </c>
      <c r="AH27" s="20">
        <f t="shared" si="3"/>
        <v>13.4</v>
      </c>
      <c r="AI27" s="20">
        <f t="shared" si="4"/>
        <v>7.45</v>
      </c>
      <c r="AJ27" s="20">
        <f t="shared" si="5"/>
        <v>25.7</v>
      </c>
      <c r="AK27" s="20">
        <f t="shared" si="6"/>
        <v>17.100000000000001</v>
      </c>
      <c r="AL27" s="20">
        <f t="shared" si="7"/>
        <v>11.950000000000001</v>
      </c>
      <c r="AM27" s="20">
        <f t="shared" si="8"/>
        <v>19.45</v>
      </c>
      <c r="AN27" s="20">
        <f t="shared" si="9"/>
        <v>27.6</v>
      </c>
      <c r="AO27" s="20">
        <f t="shared" si="10"/>
        <v>12.75</v>
      </c>
      <c r="AP27" s="20">
        <f t="shared" si="11"/>
        <v>18.5</v>
      </c>
      <c r="AQ27" s="20">
        <f t="shared" si="12"/>
        <v>35.25</v>
      </c>
      <c r="AR27" s="20">
        <f t="shared" si="13"/>
        <v>48.7</v>
      </c>
      <c r="AS27" s="35">
        <f t="shared" si="30"/>
        <v>250.05</v>
      </c>
      <c r="AU27" s="47">
        <v>473559</v>
      </c>
      <c r="AV27" s="37">
        <f>IF((AU27-AU26&lt;0),"0",AU27-AU26)</f>
        <v>2348</v>
      </c>
      <c r="AW27" s="35">
        <f t="shared" si="14"/>
        <v>4.6959999999999997</v>
      </c>
    </row>
    <row r="28" spans="1:49" x14ac:dyDescent="0.25">
      <c r="A28" s="23">
        <v>44249</v>
      </c>
      <c r="B28" s="40">
        <v>78</v>
      </c>
      <c r="C28" s="24">
        <v>6536290</v>
      </c>
      <c r="D28" s="24">
        <v>15134460</v>
      </c>
      <c r="E28" s="24">
        <v>2402400</v>
      </c>
      <c r="F28" s="24">
        <v>3312790</v>
      </c>
      <c r="G28" s="24">
        <v>9981890</v>
      </c>
      <c r="H28" s="24">
        <v>5199420</v>
      </c>
      <c r="I28" s="24">
        <v>4837410</v>
      </c>
      <c r="J28" s="24">
        <v>5595080</v>
      </c>
      <c r="K28" s="24">
        <v>8728040</v>
      </c>
      <c r="L28" s="24">
        <v>3579410</v>
      </c>
      <c r="M28" s="24">
        <v>7566320</v>
      </c>
      <c r="N28" s="24">
        <v>11327520</v>
      </c>
      <c r="O28" s="24">
        <v>15597520</v>
      </c>
      <c r="Q28" s="37">
        <f t="shared" si="17"/>
        <v>570</v>
      </c>
      <c r="R28" s="37">
        <f t="shared" si="18"/>
        <v>1950</v>
      </c>
      <c r="S28" s="37">
        <f t="shared" si="16"/>
        <v>2720</v>
      </c>
      <c r="T28" s="37">
        <f t="shared" si="19"/>
        <v>1530</v>
      </c>
      <c r="U28" s="37">
        <f t="shared" si="20"/>
        <v>5160</v>
      </c>
      <c r="V28" s="37">
        <f t="shared" si="21"/>
        <v>3550</v>
      </c>
      <c r="W28" s="37">
        <f t="shared" si="22"/>
        <v>2460</v>
      </c>
      <c r="X28" s="37">
        <f t="shared" si="23"/>
        <v>4220</v>
      </c>
      <c r="Y28" s="37">
        <f t="shared" si="24"/>
        <v>5610</v>
      </c>
      <c r="Z28" s="37">
        <f t="shared" si="25"/>
        <v>2540</v>
      </c>
      <c r="AA28" s="37">
        <f t="shared" si="26"/>
        <v>3400</v>
      </c>
      <c r="AB28" s="37">
        <f t="shared" si="27"/>
        <v>7200</v>
      </c>
      <c r="AC28" s="37">
        <f t="shared" si="28"/>
        <v>9750</v>
      </c>
      <c r="AD28" s="35">
        <f t="shared" si="29"/>
        <v>50660</v>
      </c>
      <c r="AF28" s="20">
        <f t="shared" si="1"/>
        <v>2.85</v>
      </c>
      <c r="AG28" s="20">
        <f t="shared" si="2"/>
        <v>9.75</v>
      </c>
      <c r="AH28" s="20">
        <f t="shared" si="3"/>
        <v>13.6</v>
      </c>
      <c r="AI28" s="20">
        <f t="shared" si="4"/>
        <v>7.65</v>
      </c>
      <c r="AJ28" s="20">
        <f t="shared" si="5"/>
        <v>25.8</v>
      </c>
      <c r="AK28" s="20">
        <f t="shared" si="6"/>
        <v>17.75</v>
      </c>
      <c r="AL28" s="20">
        <f t="shared" si="7"/>
        <v>12.3</v>
      </c>
      <c r="AM28" s="20">
        <f t="shared" si="8"/>
        <v>21.1</v>
      </c>
      <c r="AN28" s="20">
        <f t="shared" si="9"/>
        <v>28.05</v>
      </c>
      <c r="AO28" s="20">
        <f t="shared" si="10"/>
        <v>12.700000000000001</v>
      </c>
      <c r="AP28" s="20">
        <f t="shared" si="11"/>
        <v>17</v>
      </c>
      <c r="AQ28" s="20">
        <f t="shared" si="12"/>
        <v>36</v>
      </c>
      <c r="AR28" s="20">
        <f t="shared" si="13"/>
        <v>48.75</v>
      </c>
      <c r="AS28" s="35">
        <f t="shared" si="30"/>
        <v>253.3</v>
      </c>
      <c r="AU28" s="47">
        <v>474543</v>
      </c>
      <c r="AV28" s="37">
        <f>IF((AU28-AU27&lt;0),"0",AU28-AU27)</f>
        <v>984</v>
      </c>
      <c r="AW28" s="35">
        <f t="shared" si="14"/>
        <v>1.968</v>
      </c>
    </row>
    <row r="29" spans="1:49" x14ac:dyDescent="0.25">
      <c r="A29" s="23">
        <v>44250</v>
      </c>
      <c r="B29" s="40">
        <v>64</v>
      </c>
      <c r="C29" s="24">
        <v>6536770</v>
      </c>
      <c r="D29" s="24">
        <v>15136140</v>
      </c>
      <c r="E29" s="24">
        <v>2404640</v>
      </c>
      <c r="F29" s="24">
        <v>3314110</v>
      </c>
      <c r="G29" s="24">
        <v>9986320</v>
      </c>
      <c r="H29" s="24">
        <v>5202500</v>
      </c>
      <c r="I29" s="24">
        <v>4839540</v>
      </c>
      <c r="J29" s="24">
        <v>5598820</v>
      </c>
      <c r="K29" s="24">
        <v>8732890</v>
      </c>
      <c r="L29" s="24">
        <v>3581610</v>
      </c>
      <c r="M29" s="24">
        <v>7569240</v>
      </c>
      <c r="N29" s="24">
        <v>11333750</v>
      </c>
      <c r="O29" s="24">
        <v>15605990</v>
      </c>
      <c r="Q29" s="37">
        <f t="shared" si="17"/>
        <v>480</v>
      </c>
      <c r="R29" s="37">
        <f t="shared" si="18"/>
        <v>1680</v>
      </c>
      <c r="S29" s="37">
        <f t="shared" si="16"/>
        <v>2240</v>
      </c>
      <c r="T29" s="37">
        <f t="shared" si="19"/>
        <v>1320</v>
      </c>
      <c r="U29" s="37">
        <f t="shared" si="20"/>
        <v>4430</v>
      </c>
      <c r="V29" s="37">
        <f t="shared" si="21"/>
        <v>3080</v>
      </c>
      <c r="W29" s="37">
        <f t="shared" si="22"/>
        <v>2130</v>
      </c>
      <c r="X29" s="37">
        <f t="shared" si="23"/>
        <v>3740</v>
      </c>
      <c r="Y29" s="37">
        <f t="shared" si="24"/>
        <v>4850</v>
      </c>
      <c r="Z29" s="37">
        <f t="shared" si="25"/>
        <v>2200</v>
      </c>
      <c r="AA29" s="37">
        <f t="shared" si="26"/>
        <v>2920</v>
      </c>
      <c r="AB29" s="37">
        <f t="shared" si="27"/>
        <v>6230</v>
      </c>
      <c r="AC29" s="37">
        <f t="shared" si="28"/>
        <v>8470</v>
      </c>
      <c r="AD29" s="35">
        <f t="shared" si="29"/>
        <v>43770</v>
      </c>
      <c r="AF29" s="20">
        <f t="shared" si="1"/>
        <v>2.4</v>
      </c>
      <c r="AG29" s="20">
        <f t="shared" si="2"/>
        <v>8.4</v>
      </c>
      <c r="AH29" s="20">
        <f t="shared" si="3"/>
        <v>11.200000000000001</v>
      </c>
      <c r="AI29" s="20">
        <f t="shared" si="4"/>
        <v>6.6000000000000005</v>
      </c>
      <c r="AJ29" s="20">
        <f t="shared" si="5"/>
        <v>22.150000000000002</v>
      </c>
      <c r="AK29" s="20">
        <f t="shared" si="6"/>
        <v>15.4</v>
      </c>
      <c r="AL29" s="20">
        <f t="shared" si="7"/>
        <v>10.65</v>
      </c>
      <c r="AM29" s="20">
        <f t="shared" si="8"/>
        <v>18.7</v>
      </c>
      <c r="AN29" s="20">
        <f t="shared" si="9"/>
        <v>24.25</v>
      </c>
      <c r="AO29" s="20">
        <f t="shared" si="10"/>
        <v>11</v>
      </c>
      <c r="AP29" s="20">
        <f t="shared" si="11"/>
        <v>14.6</v>
      </c>
      <c r="AQ29" s="20">
        <f t="shared" si="12"/>
        <v>31.150000000000002</v>
      </c>
      <c r="AR29" s="20">
        <f t="shared" si="13"/>
        <v>42.35</v>
      </c>
      <c r="AS29" s="35">
        <f t="shared" si="30"/>
        <v>218.85</v>
      </c>
      <c r="AU29" s="47">
        <v>476125</v>
      </c>
      <c r="AV29" s="37">
        <f t="shared" ref="AV29:AV35" si="34">IF((AU29-AU28&lt;0),"0",AU29-AU28)</f>
        <v>1582</v>
      </c>
      <c r="AW29" s="35">
        <f t="shared" si="14"/>
        <v>3.1640000000000001</v>
      </c>
    </row>
    <row r="30" spans="1:49" x14ac:dyDescent="0.25">
      <c r="A30" s="23">
        <v>44251</v>
      </c>
      <c r="B30" s="40">
        <v>78</v>
      </c>
      <c r="C30" s="24">
        <v>6537360</v>
      </c>
      <c r="D30" s="24">
        <v>15138160</v>
      </c>
      <c r="E30" s="24">
        <v>2407240</v>
      </c>
      <c r="F30" s="24">
        <v>3315700</v>
      </c>
      <c r="G30" s="24">
        <v>9991220</v>
      </c>
      <c r="H30" s="24">
        <v>5205960</v>
      </c>
      <c r="I30" s="24">
        <v>4842070</v>
      </c>
      <c r="J30" s="24">
        <v>5603130</v>
      </c>
      <c r="K30" s="24">
        <v>8738120</v>
      </c>
      <c r="L30" s="24">
        <v>3584230</v>
      </c>
      <c r="M30" s="24">
        <v>7572990</v>
      </c>
      <c r="N30" s="24">
        <v>11340930</v>
      </c>
      <c r="O30" s="24">
        <v>15615980</v>
      </c>
      <c r="Q30" s="37">
        <f t="shared" si="17"/>
        <v>590</v>
      </c>
      <c r="R30" s="37">
        <f t="shared" si="18"/>
        <v>2020</v>
      </c>
      <c r="S30" s="37">
        <f t="shared" si="16"/>
        <v>2600</v>
      </c>
      <c r="T30" s="37">
        <f t="shared" si="19"/>
        <v>1590</v>
      </c>
      <c r="U30" s="37">
        <f t="shared" si="20"/>
        <v>4900</v>
      </c>
      <c r="V30" s="37">
        <f t="shared" si="21"/>
        <v>3460</v>
      </c>
      <c r="W30" s="37">
        <f t="shared" si="22"/>
        <v>2530</v>
      </c>
      <c r="X30" s="37">
        <f t="shared" si="23"/>
        <v>4310</v>
      </c>
      <c r="Y30" s="37">
        <f t="shared" si="24"/>
        <v>5230</v>
      </c>
      <c r="Z30" s="37">
        <f t="shared" si="25"/>
        <v>2620</v>
      </c>
      <c r="AA30" s="37">
        <f t="shared" si="26"/>
        <v>3750</v>
      </c>
      <c r="AB30" s="37">
        <f t="shared" si="27"/>
        <v>7180</v>
      </c>
      <c r="AC30" s="37">
        <f t="shared" si="28"/>
        <v>9990</v>
      </c>
      <c r="AD30" s="35">
        <f t="shared" si="29"/>
        <v>50770</v>
      </c>
      <c r="AF30" s="20">
        <f t="shared" si="1"/>
        <v>2.95</v>
      </c>
      <c r="AG30" s="20">
        <f t="shared" si="2"/>
        <v>10.1</v>
      </c>
      <c r="AH30" s="20">
        <f t="shared" si="3"/>
        <v>13</v>
      </c>
      <c r="AI30" s="20">
        <f t="shared" si="4"/>
        <v>7.95</v>
      </c>
      <c r="AJ30" s="20">
        <f t="shared" si="5"/>
        <v>24.5</v>
      </c>
      <c r="AK30" s="20">
        <f t="shared" si="6"/>
        <v>17.3</v>
      </c>
      <c r="AL30" s="20">
        <f t="shared" si="7"/>
        <v>12.65</v>
      </c>
      <c r="AM30" s="20">
        <f t="shared" si="8"/>
        <v>21.55</v>
      </c>
      <c r="AN30" s="20">
        <f t="shared" si="9"/>
        <v>26.150000000000002</v>
      </c>
      <c r="AO30" s="20">
        <f t="shared" si="10"/>
        <v>13.1</v>
      </c>
      <c r="AP30" s="20">
        <f t="shared" si="11"/>
        <v>18.75</v>
      </c>
      <c r="AQ30" s="20">
        <f t="shared" si="12"/>
        <v>35.9</v>
      </c>
      <c r="AR30" s="20">
        <f t="shared" si="13"/>
        <v>49.95</v>
      </c>
      <c r="AS30" s="35">
        <f t="shared" si="30"/>
        <v>253.85000000000002</v>
      </c>
      <c r="AU30" s="47">
        <v>477604</v>
      </c>
      <c r="AV30" s="37">
        <f t="shared" si="34"/>
        <v>1479</v>
      </c>
      <c r="AW30" s="35">
        <f t="shared" si="14"/>
        <v>2.9580000000000002</v>
      </c>
    </row>
    <row r="31" spans="1:49" x14ac:dyDescent="0.25">
      <c r="A31" s="23">
        <v>44252</v>
      </c>
      <c r="B31" s="40">
        <v>85</v>
      </c>
      <c r="C31" s="24">
        <v>6537910</v>
      </c>
      <c r="D31" s="24">
        <v>15140070</v>
      </c>
      <c r="E31" s="24">
        <v>2409660</v>
      </c>
      <c r="F31" s="24">
        <v>3317190</v>
      </c>
      <c r="G31" s="24">
        <v>9995560</v>
      </c>
      <c r="H31" s="24">
        <v>5209220</v>
      </c>
      <c r="I31" s="24">
        <v>4844550</v>
      </c>
      <c r="J31" s="24">
        <v>5606920</v>
      </c>
      <c r="K31" s="24">
        <v>8743100</v>
      </c>
      <c r="L31" s="24">
        <v>3586490</v>
      </c>
      <c r="M31" s="24">
        <v>7576750</v>
      </c>
      <c r="N31" s="24">
        <v>11347680</v>
      </c>
      <c r="O31" s="24">
        <v>15625180</v>
      </c>
      <c r="Q31" s="37">
        <f>IF((C31-C30&lt;0), "0",C31-C30)</f>
        <v>550</v>
      </c>
      <c r="R31" s="37">
        <f t="shared" si="18"/>
        <v>1910</v>
      </c>
      <c r="S31" s="37">
        <f t="shared" si="16"/>
        <v>2420</v>
      </c>
      <c r="T31" s="37">
        <f t="shared" si="19"/>
        <v>1490</v>
      </c>
      <c r="U31" s="37">
        <f t="shared" si="20"/>
        <v>4340</v>
      </c>
      <c r="V31" s="37">
        <f t="shared" si="21"/>
        <v>3260</v>
      </c>
      <c r="W31" s="37">
        <f t="shared" si="22"/>
        <v>2480</v>
      </c>
      <c r="X31" s="37">
        <f t="shared" si="23"/>
        <v>3790</v>
      </c>
      <c r="Y31" s="37">
        <f t="shared" si="24"/>
        <v>4980</v>
      </c>
      <c r="Z31" s="37">
        <f t="shared" si="25"/>
        <v>2260</v>
      </c>
      <c r="AA31" s="37">
        <f t="shared" si="26"/>
        <v>3760</v>
      </c>
      <c r="AB31" s="37">
        <f t="shared" si="27"/>
        <v>6750</v>
      </c>
      <c r="AC31" s="37">
        <f t="shared" si="28"/>
        <v>9200</v>
      </c>
      <c r="AD31" s="35">
        <f t="shared" si="29"/>
        <v>47190</v>
      </c>
      <c r="AF31" s="20">
        <f t="shared" si="1"/>
        <v>2.75</v>
      </c>
      <c r="AG31" s="20">
        <f t="shared" si="2"/>
        <v>9.5500000000000007</v>
      </c>
      <c r="AH31" s="20">
        <f t="shared" si="3"/>
        <v>12.1</v>
      </c>
      <c r="AI31" s="20">
        <f t="shared" si="4"/>
        <v>7.45</v>
      </c>
      <c r="AJ31" s="20">
        <f t="shared" si="5"/>
        <v>21.7</v>
      </c>
      <c r="AK31" s="20">
        <f t="shared" si="6"/>
        <v>16.3</v>
      </c>
      <c r="AL31" s="20">
        <f t="shared" si="7"/>
        <v>12.4</v>
      </c>
      <c r="AM31" s="20">
        <f t="shared" si="8"/>
        <v>18.95</v>
      </c>
      <c r="AN31" s="20">
        <f t="shared" si="9"/>
        <v>24.900000000000002</v>
      </c>
      <c r="AO31" s="20">
        <f t="shared" si="10"/>
        <v>11.3</v>
      </c>
      <c r="AP31" s="20">
        <f t="shared" si="11"/>
        <v>18.8</v>
      </c>
      <c r="AQ31" s="20">
        <f t="shared" si="12"/>
        <v>33.75</v>
      </c>
      <c r="AR31" s="20">
        <f t="shared" si="13"/>
        <v>46</v>
      </c>
      <c r="AS31" s="35">
        <f t="shared" si="30"/>
        <v>235.95000000000002</v>
      </c>
      <c r="AU31" s="47">
        <v>478393</v>
      </c>
      <c r="AV31" s="37">
        <f t="shared" si="34"/>
        <v>789</v>
      </c>
      <c r="AW31" s="35">
        <f t="shared" si="14"/>
        <v>1.5780000000000001</v>
      </c>
    </row>
    <row r="32" spans="1:49" x14ac:dyDescent="0.25">
      <c r="A32" s="23">
        <v>44253</v>
      </c>
      <c r="B32" s="40">
        <v>77</v>
      </c>
      <c r="C32" s="24">
        <v>6538450</v>
      </c>
      <c r="D32" s="24">
        <v>15141910</v>
      </c>
      <c r="E32" s="24">
        <v>2412080</v>
      </c>
      <c r="F32" s="24">
        <v>3318630</v>
      </c>
      <c r="G32" s="24">
        <v>9999640</v>
      </c>
      <c r="H32" s="24">
        <v>5212220</v>
      </c>
      <c r="I32" s="24">
        <v>4846840</v>
      </c>
      <c r="J32" s="24">
        <v>5610440</v>
      </c>
      <c r="K32" s="24">
        <v>8747780</v>
      </c>
      <c r="L32" s="24">
        <v>3589240</v>
      </c>
      <c r="M32" s="24">
        <v>7580280</v>
      </c>
      <c r="N32" s="24">
        <v>11354330</v>
      </c>
      <c r="O32" s="24">
        <v>15633980</v>
      </c>
      <c r="Q32" s="37">
        <f>IF((C32-C31&lt;0), "0",C32-C31)</f>
        <v>540</v>
      </c>
      <c r="R32" s="37">
        <f t="shared" si="18"/>
        <v>1840</v>
      </c>
      <c r="S32" s="37">
        <f t="shared" si="16"/>
        <v>2420</v>
      </c>
      <c r="T32" s="37">
        <f t="shared" si="19"/>
        <v>1440</v>
      </c>
      <c r="U32" s="37">
        <f t="shared" si="20"/>
        <v>4080</v>
      </c>
      <c r="V32" s="37">
        <f t="shared" si="21"/>
        <v>3000</v>
      </c>
      <c r="W32" s="37">
        <f t="shared" si="22"/>
        <v>2290</v>
      </c>
      <c r="X32" s="37">
        <f t="shared" si="23"/>
        <v>3520</v>
      </c>
      <c r="Y32" s="37">
        <f t="shared" si="24"/>
        <v>4680</v>
      </c>
      <c r="Z32" s="37">
        <f t="shared" si="25"/>
        <v>2750</v>
      </c>
      <c r="AA32" s="37">
        <f t="shared" si="26"/>
        <v>3530</v>
      </c>
      <c r="AB32" s="37">
        <f t="shared" si="27"/>
        <v>6650</v>
      </c>
      <c r="AC32" s="37">
        <f t="shared" si="28"/>
        <v>8800</v>
      </c>
      <c r="AD32" s="35">
        <f t="shared" si="29"/>
        <v>45540</v>
      </c>
      <c r="AF32" s="20">
        <f t="shared" si="1"/>
        <v>2.7</v>
      </c>
      <c r="AG32" s="20">
        <f t="shared" si="2"/>
        <v>9.2000000000000011</v>
      </c>
      <c r="AH32" s="20">
        <f t="shared" si="3"/>
        <v>12.1</v>
      </c>
      <c r="AI32" s="20">
        <f t="shared" si="4"/>
        <v>7.2</v>
      </c>
      <c r="AJ32" s="20">
        <f t="shared" si="5"/>
        <v>20.400000000000002</v>
      </c>
      <c r="AK32" s="20">
        <f t="shared" si="6"/>
        <v>15</v>
      </c>
      <c r="AL32" s="20">
        <f t="shared" si="7"/>
        <v>11.450000000000001</v>
      </c>
      <c r="AM32" s="20">
        <f t="shared" si="8"/>
        <v>17.600000000000001</v>
      </c>
      <c r="AN32" s="20">
        <f t="shared" si="9"/>
        <v>23.400000000000002</v>
      </c>
      <c r="AO32" s="20">
        <f t="shared" si="10"/>
        <v>13.75</v>
      </c>
      <c r="AP32" s="20">
        <f t="shared" si="11"/>
        <v>17.650000000000002</v>
      </c>
      <c r="AQ32" s="20">
        <f t="shared" si="12"/>
        <v>33.25</v>
      </c>
      <c r="AR32" s="20">
        <f t="shared" si="13"/>
        <v>44</v>
      </c>
      <c r="AS32" s="35">
        <f t="shared" si="30"/>
        <v>227.70000000000002</v>
      </c>
      <c r="AU32" s="47">
        <v>479893</v>
      </c>
      <c r="AV32" s="37">
        <f t="shared" si="34"/>
        <v>1500</v>
      </c>
      <c r="AW32" s="35">
        <f t="shared" si="14"/>
        <v>3</v>
      </c>
    </row>
    <row r="33" spans="1:49" x14ac:dyDescent="0.25">
      <c r="A33" s="23">
        <v>44254</v>
      </c>
      <c r="B33" s="40">
        <v>81</v>
      </c>
      <c r="C33" s="24">
        <v>6538980</v>
      </c>
      <c r="D33" s="24">
        <v>15143750</v>
      </c>
      <c r="E33" s="24">
        <v>2414540</v>
      </c>
      <c r="F33" s="24">
        <v>3320060</v>
      </c>
      <c r="G33" s="24">
        <v>10003540</v>
      </c>
      <c r="H33" s="24">
        <v>5215221</v>
      </c>
      <c r="I33" s="24">
        <v>4849120</v>
      </c>
      <c r="J33" s="24">
        <v>5613910</v>
      </c>
      <c r="K33" s="24">
        <v>8752420</v>
      </c>
      <c r="L33" s="24">
        <v>3591700</v>
      </c>
      <c r="M33" s="24">
        <v>7583470</v>
      </c>
      <c r="N33" s="24">
        <v>11360690</v>
      </c>
      <c r="O33" s="24">
        <v>15642870</v>
      </c>
      <c r="Q33" s="37">
        <f>IF((C33-C32&lt;0), "0",C33-C32)</f>
        <v>530</v>
      </c>
      <c r="R33" s="37">
        <f t="shared" si="18"/>
        <v>1840</v>
      </c>
      <c r="S33" s="37">
        <f t="shared" si="16"/>
        <v>2460</v>
      </c>
      <c r="T33" s="37">
        <f t="shared" si="19"/>
        <v>1430</v>
      </c>
      <c r="U33" s="37">
        <f t="shared" si="20"/>
        <v>3900</v>
      </c>
      <c r="V33" s="37">
        <f t="shared" si="21"/>
        <v>3001</v>
      </c>
      <c r="W33" s="37">
        <f t="shared" si="22"/>
        <v>2280</v>
      </c>
      <c r="X33" s="37">
        <f t="shared" si="23"/>
        <v>3470</v>
      </c>
      <c r="Y33" s="37">
        <f t="shared" si="24"/>
        <v>4640</v>
      </c>
      <c r="Z33" s="37">
        <f t="shared" si="25"/>
        <v>2460</v>
      </c>
      <c r="AA33" s="37">
        <f t="shared" si="26"/>
        <v>3190</v>
      </c>
      <c r="AB33" s="37">
        <f t="shared" si="27"/>
        <v>6360</v>
      </c>
      <c r="AC33" s="37">
        <f t="shared" si="28"/>
        <v>8890</v>
      </c>
      <c r="AD33" s="35">
        <f t="shared" si="29"/>
        <v>44451</v>
      </c>
      <c r="AF33" s="20">
        <f t="shared" si="1"/>
        <v>2.65</v>
      </c>
      <c r="AG33" s="20">
        <f t="shared" si="2"/>
        <v>9.2000000000000011</v>
      </c>
      <c r="AH33" s="20">
        <f t="shared" si="3"/>
        <v>12.3</v>
      </c>
      <c r="AI33" s="20">
        <f t="shared" si="4"/>
        <v>7.15</v>
      </c>
      <c r="AJ33" s="20">
        <f t="shared" si="5"/>
        <v>19.5</v>
      </c>
      <c r="AK33" s="20">
        <f t="shared" si="6"/>
        <v>15.005000000000001</v>
      </c>
      <c r="AL33" s="20">
        <f t="shared" si="7"/>
        <v>11.4</v>
      </c>
      <c r="AM33" s="20">
        <f t="shared" si="8"/>
        <v>17.350000000000001</v>
      </c>
      <c r="AN33" s="20">
        <f t="shared" si="9"/>
        <v>23.2</v>
      </c>
      <c r="AO33" s="20">
        <f t="shared" si="10"/>
        <v>12.3</v>
      </c>
      <c r="AP33" s="20">
        <f t="shared" si="11"/>
        <v>15.950000000000001</v>
      </c>
      <c r="AQ33" s="20">
        <f t="shared" si="12"/>
        <v>31.8</v>
      </c>
      <c r="AR33" s="20">
        <f t="shared" si="13"/>
        <v>44.45</v>
      </c>
      <c r="AS33" s="35">
        <f t="shared" si="30"/>
        <v>222.255</v>
      </c>
      <c r="AU33" s="47">
        <v>481320</v>
      </c>
      <c r="AV33" s="37">
        <f t="shared" si="34"/>
        <v>1427</v>
      </c>
      <c r="AW33" s="35">
        <f t="shared" si="14"/>
        <v>2.8540000000000001</v>
      </c>
    </row>
    <row r="34" spans="1:49" x14ac:dyDescent="0.25">
      <c r="A34" s="23">
        <v>44255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 t="str">
        <f>IF((C34-C33&lt;0), "0",C34-C33)</f>
        <v>0</v>
      </c>
      <c r="R34" s="37" t="str">
        <f t="shared" si="18"/>
        <v>0</v>
      </c>
      <c r="S34" s="37" t="str">
        <f t="shared" si="16"/>
        <v>0</v>
      </c>
      <c r="T34" s="37" t="str">
        <f t="shared" si="19"/>
        <v>0</v>
      </c>
      <c r="U34" s="37" t="str">
        <f t="shared" si="20"/>
        <v>0</v>
      </c>
      <c r="V34" s="37" t="str">
        <f t="shared" si="21"/>
        <v>0</v>
      </c>
      <c r="W34" s="37" t="str">
        <f t="shared" si="22"/>
        <v>0</v>
      </c>
      <c r="X34" s="37" t="str">
        <f t="shared" si="23"/>
        <v>0</v>
      </c>
      <c r="Y34" s="37" t="str">
        <f t="shared" si="24"/>
        <v>0</v>
      </c>
      <c r="Z34" s="37" t="str">
        <f t="shared" si="25"/>
        <v>0</v>
      </c>
      <c r="AA34" s="37" t="str">
        <f t="shared" si="26"/>
        <v>0</v>
      </c>
      <c r="AB34" s="37">
        <v>0</v>
      </c>
      <c r="AC34" s="37" t="str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 t="str">
        <f t="shared" si="34"/>
        <v>0</v>
      </c>
      <c r="AW34" s="35">
        <f t="shared" si="14"/>
        <v>0</v>
      </c>
    </row>
    <row r="35" spans="1:49" x14ac:dyDescent="0.25">
      <c r="A35" s="23"/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14"/>
        <v>0</v>
      </c>
    </row>
    <row r="36" spans="1:49" x14ac:dyDescent="0.25">
      <c r="A36" s="23"/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14650</v>
      </c>
      <c r="R38" s="38">
        <f t="shared" ref="R38:AD38" si="62">SUM(R7:R37)</f>
        <v>50590</v>
      </c>
      <c r="S38" s="38">
        <f t="shared" si="62"/>
        <v>75690</v>
      </c>
      <c r="T38" s="38">
        <f t="shared" si="62"/>
        <v>39800</v>
      </c>
      <c r="U38" s="38">
        <f t="shared" si="62"/>
        <v>136170</v>
      </c>
      <c r="V38" s="38">
        <f t="shared" si="62"/>
        <v>91341</v>
      </c>
      <c r="W38" s="38">
        <f t="shared" si="62"/>
        <v>64850</v>
      </c>
      <c r="X38" s="38">
        <f t="shared" si="62"/>
        <v>105410</v>
      </c>
      <c r="Y38" s="38">
        <f t="shared" si="62"/>
        <v>141970</v>
      </c>
      <c r="Z38" s="38">
        <f t="shared" si="62"/>
        <v>68740</v>
      </c>
      <c r="AA38" s="38">
        <f t="shared" si="62"/>
        <v>93400</v>
      </c>
      <c r="AB38" s="38">
        <f t="shared" si="62"/>
        <v>185950</v>
      </c>
      <c r="AC38" s="38">
        <f t="shared" si="62"/>
        <v>281390</v>
      </c>
      <c r="AD38" s="38">
        <f t="shared" si="62"/>
        <v>1349951</v>
      </c>
      <c r="AF38" s="35">
        <f t="shared" ref="AF38:AS38" si="63">SUM(AF7:AF34)</f>
        <v>73.25</v>
      </c>
      <c r="AG38" s="35">
        <f t="shared" si="63"/>
        <v>252.94999999999996</v>
      </c>
      <c r="AH38" s="35">
        <f t="shared" si="63"/>
        <v>378.45000000000005</v>
      </c>
      <c r="AI38" s="35">
        <f t="shared" si="63"/>
        <v>198.99999999999991</v>
      </c>
      <c r="AJ38" s="35">
        <f t="shared" si="63"/>
        <v>680.85</v>
      </c>
      <c r="AK38" s="35">
        <f t="shared" si="63"/>
        <v>456.70500000000004</v>
      </c>
      <c r="AL38" s="35">
        <f t="shared" si="63"/>
        <v>324.24999999999989</v>
      </c>
      <c r="AM38" s="35">
        <f t="shared" si="63"/>
        <v>527.05000000000007</v>
      </c>
      <c r="AN38" s="35">
        <f t="shared" si="63"/>
        <v>709.84999999999991</v>
      </c>
      <c r="AO38" s="35">
        <f t="shared" si="63"/>
        <v>343.70000000000005</v>
      </c>
      <c r="AP38" s="35">
        <f t="shared" si="63"/>
        <v>467.00000000000006</v>
      </c>
      <c r="AQ38" s="35">
        <f t="shared" si="63"/>
        <v>929.75</v>
      </c>
      <c r="AR38" s="35">
        <f t="shared" si="63"/>
        <v>1406.9500000000003</v>
      </c>
      <c r="AS38" s="35">
        <f t="shared" si="63"/>
        <v>6749.755000000001</v>
      </c>
      <c r="AU38" s="48"/>
      <c r="AV38" s="35">
        <f>SUM(AV7:AV34)</f>
        <v>44855</v>
      </c>
      <c r="AW38" s="35">
        <f>SUM(AW7:AW34)</f>
        <v>89.71</v>
      </c>
    </row>
    <row r="39" spans="1:49" x14ac:dyDescent="0.25">
      <c r="D39">
        <v>5.0000000000000001E-3</v>
      </c>
      <c r="AV39" s="36">
        <f>AV38*0.00378541*1000</f>
        <v>169794.56555</v>
      </c>
    </row>
    <row r="40" spans="1:49" x14ac:dyDescent="0.25">
      <c r="D40">
        <v>2E-3</v>
      </c>
      <c r="AV40">
        <f>AV39/31</f>
        <v>5477.2440500000002</v>
      </c>
    </row>
    <row r="41" spans="1:49" x14ac:dyDescent="0.25">
      <c r="AV41">
        <f>AV38*0.00378541</f>
        <v>169.79456554999999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2021-02-28T07:10:14Z</dcterms:modified>
</cp:coreProperties>
</file>