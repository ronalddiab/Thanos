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1 - 2020" sheetId="1" r:id="rId3"/>
  </sheets>
  <externalReferences>
    <externalReference r:id="rId4"/>
  </externalReferences>
  <definedNames>
    <definedName name="_xlnm.Print_Area" localSheetId="2">'01 - 2020'!$A$1:$J$37</definedName>
  </definedNames>
  <calcPr calcId="162913" calcMode="manual"/>
</workbook>
</file>

<file path=xl/calcChain.xml><?xml version="1.0" encoding="utf-8"?>
<calcChain xmlns="http://schemas.openxmlformats.org/spreadsheetml/2006/main">
  <c r="L13" i="3" l="1"/>
  <c r="I13" i="3"/>
  <c r="G13" i="3"/>
  <c r="E13" i="3"/>
  <c r="K13" i="3"/>
  <c r="J13" i="2"/>
  <c r="H13" i="2"/>
  <c r="F13" i="2"/>
  <c r="E13" i="2"/>
  <c r="L12" i="3"/>
  <c r="I12" i="3"/>
  <c r="G12" i="3"/>
  <c r="E12" i="3"/>
  <c r="K12" i="3"/>
  <c r="I13" i="2"/>
  <c r="J12" i="2"/>
  <c r="I12" i="2"/>
  <c r="H12" i="2"/>
  <c r="F12" i="2"/>
  <c r="E12" i="2"/>
  <c r="K11" i="3" l="1"/>
  <c r="L11" i="3"/>
  <c r="I11" i="3"/>
  <c r="G11" i="3"/>
  <c r="E11" i="3"/>
  <c r="J11" i="2"/>
  <c r="I11" i="2"/>
  <c r="H11" i="2"/>
  <c r="F11" i="2"/>
  <c r="E11" i="2"/>
  <c r="L10" i="3" l="1"/>
  <c r="I10" i="3"/>
  <c r="G10" i="3"/>
  <c r="E10" i="3"/>
  <c r="K10" i="3"/>
  <c r="J10" i="2"/>
  <c r="I10" i="2"/>
  <c r="H10" i="2"/>
  <c r="F10" i="2"/>
  <c r="E10" i="2"/>
  <c r="L9" i="3" l="1"/>
  <c r="I9" i="3"/>
  <c r="G9" i="3"/>
  <c r="E9" i="3"/>
  <c r="K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I6" i="3"/>
  <c r="G6" i="3"/>
  <c r="E6" i="3"/>
  <c r="K6" i="3"/>
  <c r="J6" i="2"/>
  <c r="I6" i="2"/>
  <c r="H6" i="2"/>
  <c r="F6" i="2"/>
  <c r="E6" i="2"/>
  <c r="L5" i="3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I3" i="2"/>
  <c r="J4" i="2"/>
  <c r="I4" i="2"/>
  <c r="H4" i="2"/>
  <c r="F4" i="2"/>
  <c r="E4" i="2"/>
  <c r="L3" i="3" l="1"/>
  <c r="I3" i="3"/>
  <c r="G3" i="3"/>
  <c r="E3" i="3"/>
  <c r="K3" i="3"/>
  <c r="J3" i="2"/>
  <c r="H3" i="2"/>
  <c r="F3" i="2"/>
  <c r="E3" i="2"/>
  <c r="L2" i="3" l="1"/>
  <c r="K2" i="3"/>
  <c r="I2" i="3"/>
  <c r="G2" i="3"/>
  <c r="E2" i="3"/>
  <c r="J2" i="2"/>
  <c r="I2" i="2"/>
  <c r="H2" i="2"/>
  <c r="F2" i="2"/>
  <c r="E2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E25" i="2"/>
  <c r="F25" i="2"/>
  <c r="H25" i="2"/>
  <c r="I25" i="2"/>
  <c r="J25" i="2"/>
  <c r="L24" i="3" l="1"/>
  <c r="K24" i="3"/>
  <c r="I24" i="3"/>
  <c r="G24" i="3"/>
  <c r="E24" i="3"/>
  <c r="J24" i="2"/>
  <c r="I24" i="2"/>
  <c r="H24" i="2"/>
  <c r="F24" i="2"/>
  <c r="E24" i="2"/>
  <c r="J23" i="2" l="1"/>
  <c r="I23" i="2"/>
  <c r="H23" i="2"/>
  <c r="F23" i="2"/>
  <c r="E23" i="2"/>
  <c r="L23" i="3" l="1"/>
  <c r="K23" i="3"/>
  <c r="I23" i="3"/>
  <c r="G23" i="3"/>
  <c r="E23" i="3"/>
  <c r="J22" i="2" l="1"/>
  <c r="I22" i="2"/>
  <c r="H22" i="2"/>
  <c r="F22" i="2"/>
  <c r="E22" i="2"/>
  <c r="J21" i="2"/>
  <c r="I21" i="2"/>
  <c r="H21" i="2"/>
  <c r="F21" i="2"/>
  <c r="E21" i="2"/>
  <c r="L22" i="3"/>
  <c r="K22" i="3"/>
  <c r="I22" i="3"/>
  <c r="G22" i="3"/>
  <c r="E22" i="3"/>
  <c r="L21" i="3"/>
  <c r="K21" i="3"/>
  <c r="I21" i="3"/>
  <c r="G21" i="3"/>
  <c r="E21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E18" i="2"/>
  <c r="F18" i="2"/>
  <c r="H18" i="2"/>
  <c r="I18" i="2"/>
  <c r="J18" i="2"/>
  <c r="L18" i="3" l="1"/>
  <c r="K18" i="3"/>
  <c r="I18" i="3"/>
  <c r="G18" i="3"/>
  <c r="E18" i="3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J15" i="2" l="1"/>
  <c r="I15" i="2"/>
  <c r="H15" i="2"/>
  <c r="F15" i="2"/>
  <c r="E15" i="2"/>
  <c r="K38" i="1" l="1"/>
  <c r="J38" i="1" l="1"/>
  <c r="I38" i="1"/>
  <c r="I39" i="1" s="1"/>
  <c r="H38" i="1"/>
  <c r="H39" i="1" s="1"/>
  <c r="G38" i="1"/>
  <c r="F38" i="1"/>
  <c r="E38" i="1"/>
  <c r="D38" i="1"/>
  <c r="C38" i="1"/>
  <c r="B38" i="1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L15" i="3" l="1"/>
  <c r="K15" i="3"/>
  <c r="I15" i="3"/>
  <c r="G15" i="3"/>
  <c r="E15" i="3"/>
  <c r="J32" i="2" l="1"/>
  <c r="I32" i="2"/>
  <c r="H32" i="2"/>
  <c r="F32" i="2"/>
  <c r="E32" i="2"/>
  <c r="E31" i="3" l="1"/>
  <c r="L31" i="3"/>
  <c r="K31" i="3"/>
  <c r="I31" i="3"/>
  <c r="G31" i="3"/>
  <c r="J31" i="2"/>
  <c r="I31" i="2"/>
  <c r="H31" i="2"/>
  <c r="F31" i="2"/>
  <c r="E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<sst xmlns="http://schemas.openxmlformats.org/spreadsheetml/2006/main" count="106" uniqueCount="37">
  <si>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</si>
  <si>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</si>
  <si>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</si>
  <si>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</si>
  <si>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</si>
  <si>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</si>
  <si>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</si>
  <si>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</si>
  <si>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</si>
  <si>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</si>
  <si>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</si>
  <si>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</si>
  <si>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</si>
  <si>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</si>
  <si>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</si>
  <si>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</si>
  <si>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</si>
  <si>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</si>
  <si>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</si>
  <si>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</si>
  <si>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</si>
  <si>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</si>
  <si>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</si>
  <si>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</si>
  <si>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</si>
  <si>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</si>
  <si>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</si>
  <si>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</si>
  <si>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</si>
  <si>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</si>
  <si>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</si>
  <si>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</si>
  <si>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</si>
  <si>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</si>
  <si>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</si>
  <si>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</si>
  <si>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JANUARY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</si>
</sst>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December%202019%20DIF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Daily "/>
      <sheetName val="Submetering Daily "/>
      <sheetName val="12 - 2019"/>
    </sheetNames>
    <sheetDataSet>
      <sheetData sheetId="0"/>
      <sheetData sheetId="1"/>
      <sheetData sheetId="2">
        <row r="6">
          <cell r="B6">
            <v>253727</v>
          </cell>
          <cell r="C6">
            <v>74657.899999999994</v>
          </cell>
          <cell r="E6">
            <v>7954</v>
          </cell>
          <cell r="F6">
            <v>1477.18</v>
          </cell>
          <cell r="G6">
            <v>13927.81</v>
          </cell>
          <cell r="H6">
            <v>14528</v>
          </cell>
          <cell r="I6">
            <v>80180</v>
          </cell>
          <cell r="J6">
            <v>36766524</v>
          </cell>
        </row>
        <row r="7">
          <cell r="B7">
            <v>256978</v>
          </cell>
          <cell r="C7">
            <v>79818.600000000006</v>
          </cell>
          <cell r="E7">
            <v>7977.7</v>
          </cell>
          <cell r="F7">
            <v>1482.12</v>
          </cell>
          <cell r="G7">
            <v>13958.73</v>
          </cell>
          <cell r="H7">
            <v>14528</v>
          </cell>
          <cell r="I7">
            <v>80271</v>
          </cell>
          <cell r="J7">
            <v>36782939</v>
          </cell>
        </row>
        <row r="8">
          <cell r="B8">
            <v>260286</v>
          </cell>
          <cell r="C8">
            <v>85147</v>
          </cell>
          <cell r="E8">
            <v>7999</v>
          </cell>
          <cell r="F8">
            <v>1487</v>
          </cell>
          <cell r="G8">
            <v>13989</v>
          </cell>
          <cell r="H8">
            <v>14528</v>
          </cell>
          <cell r="I8">
            <v>80344</v>
          </cell>
          <cell r="J8">
            <v>36795051</v>
          </cell>
        </row>
        <row r="9">
          <cell r="B9">
            <v>263947</v>
          </cell>
          <cell r="C9">
            <v>91038</v>
          </cell>
          <cell r="E9">
            <v>8026</v>
          </cell>
          <cell r="F9">
            <v>1491</v>
          </cell>
          <cell r="G9">
            <v>14023</v>
          </cell>
          <cell r="H9">
            <v>14528</v>
          </cell>
          <cell r="I9">
            <v>80434</v>
          </cell>
          <cell r="J9">
            <v>36809493</v>
          </cell>
        </row>
        <row r="10">
          <cell r="B10">
            <v>267656</v>
          </cell>
          <cell r="C10">
            <v>97011</v>
          </cell>
          <cell r="E10">
            <v>8054</v>
          </cell>
          <cell r="F10">
            <v>1497</v>
          </cell>
          <cell r="G10">
            <v>14060</v>
          </cell>
          <cell r="H10">
            <v>14528</v>
          </cell>
          <cell r="I10">
            <v>80547</v>
          </cell>
          <cell r="J10">
            <v>36824187</v>
          </cell>
        </row>
        <row r="11">
          <cell r="B11">
            <v>271449</v>
          </cell>
          <cell r="C11">
            <v>103303</v>
          </cell>
          <cell r="E11">
            <v>8080.63</v>
          </cell>
          <cell r="F11">
            <v>1501</v>
          </cell>
          <cell r="G11">
            <v>14096</v>
          </cell>
          <cell r="H11">
            <v>14528</v>
          </cell>
          <cell r="I11">
            <v>80653</v>
          </cell>
          <cell r="J11">
            <v>36840675</v>
          </cell>
        </row>
        <row r="12">
          <cell r="B12">
            <v>275293</v>
          </cell>
          <cell r="C12">
            <v>109425</v>
          </cell>
          <cell r="E12">
            <v>8107.79</v>
          </cell>
          <cell r="F12">
            <v>1507.09</v>
          </cell>
          <cell r="G12">
            <v>14140</v>
          </cell>
          <cell r="H12">
            <v>14528</v>
          </cell>
          <cell r="I12">
            <v>80767</v>
          </cell>
          <cell r="J12">
            <v>36857012</v>
          </cell>
        </row>
        <row r="13">
          <cell r="B13">
            <v>279006</v>
          </cell>
          <cell r="C13">
            <v>116022</v>
          </cell>
          <cell r="E13">
            <v>8133.66</v>
          </cell>
          <cell r="F13">
            <v>1512.46</v>
          </cell>
          <cell r="G13">
            <v>14181</v>
          </cell>
          <cell r="H13">
            <v>14528</v>
          </cell>
          <cell r="I13">
            <v>80872</v>
          </cell>
          <cell r="J13">
            <v>36873363</v>
          </cell>
        </row>
        <row r="14">
          <cell r="B14">
            <v>282727</v>
          </cell>
          <cell r="C14">
            <v>121690</v>
          </cell>
          <cell r="E14">
            <v>8159.74</v>
          </cell>
          <cell r="F14">
            <v>1516.79</v>
          </cell>
          <cell r="G14">
            <v>14218</v>
          </cell>
          <cell r="H14">
            <v>14528</v>
          </cell>
          <cell r="I14">
            <v>80979</v>
          </cell>
          <cell r="J14">
            <v>36888880</v>
          </cell>
        </row>
        <row r="15">
          <cell r="B15">
            <v>286385</v>
          </cell>
          <cell r="C15">
            <v>127765</v>
          </cell>
          <cell r="E15">
            <v>8191.06</v>
          </cell>
          <cell r="F15">
            <v>1523.61</v>
          </cell>
          <cell r="G15">
            <v>14258.54</v>
          </cell>
          <cell r="H15">
            <v>14528</v>
          </cell>
          <cell r="I15">
            <v>81102</v>
          </cell>
          <cell r="J15">
            <v>36904364</v>
          </cell>
        </row>
        <row r="16">
          <cell r="B16">
            <v>290039</v>
          </cell>
          <cell r="C16">
            <v>133767</v>
          </cell>
          <cell r="E16">
            <v>8213.32</v>
          </cell>
          <cell r="F16">
            <v>1529.07</v>
          </cell>
          <cell r="G16">
            <v>14298</v>
          </cell>
          <cell r="H16">
            <v>14528</v>
          </cell>
          <cell r="I16">
            <v>81230</v>
          </cell>
          <cell r="J16">
            <v>36920415</v>
          </cell>
        </row>
        <row r="17">
          <cell r="B17">
            <v>294055</v>
          </cell>
          <cell r="C17">
            <v>140504</v>
          </cell>
          <cell r="E17">
            <v>8242</v>
          </cell>
          <cell r="F17">
            <v>1535.48</v>
          </cell>
          <cell r="G17">
            <v>14341</v>
          </cell>
          <cell r="H17">
            <v>14528</v>
          </cell>
          <cell r="I17">
            <v>81339</v>
          </cell>
          <cell r="J17">
            <v>36937855</v>
          </cell>
        </row>
        <row r="18">
          <cell r="B18">
            <v>298068</v>
          </cell>
          <cell r="C18">
            <v>147099</v>
          </cell>
          <cell r="E18">
            <v>8269.1</v>
          </cell>
          <cell r="F18">
            <v>1541.26</v>
          </cell>
          <cell r="G18">
            <v>14385</v>
          </cell>
          <cell r="H18">
            <v>14528</v>
          </cell>
          <cell r="I18">
            <v>81451</v>
          </cell>
          <cell r="J18">
            <v>36955626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T20" sqref="T20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1</v>
      </c>
      <c r="D2">
        <v>2020</v>
      </c>
      <c r="E2" s="27">
        <f>'[1]12 - 2019'!B7-'[1]12 - 2019'!B6+'[1]12 - 2019'!C7-'[1]12 - 2019'!C6</f>
        <v>8411.7000000000116</v>
      </c>
      <c r="F2" s="25">
        <v>0.11799999999999999</v>
      </c>
      <c r="G2" s="27">
        <f>(('[1]12 - 2019'!E7-'[1]12 - 2019'!E6)+('[1]12 - 2019'!F7-'[1]12 - 2019'!F6)+('[1]12 - 2019'!G7-'[1]12 - 2019'!G6))*1.81</f>
        <v>107.80359999999949</v>
      </c>
      <c r="H2" s="25">
        <v>0.99</v>
      </c>
      <c r="I2" s="27">
        <f>'[1]12 - 2019'!J7-'[1]12 - 2019'!J6</f>
        <v>16415</v>
      </c>
      <c r="J2" s="25">
        <v>8.1000000000000003E-2</v>
      </c>
      <c r="K2" s="27">
        <f>'[1]12 - 2019'!H7-'[1]12 - 2019'!H6</f>
        <v>0</v>
      </c>
      <c r="L2" s="27">
        <f>'[1]12 - 2019'!I7-'[1]12 - 2019'!I6</f>
        <v>91</v>
      </c>
      <c r="M2" s="26">
        <v>4.3936294247669103</v>
      </c>
      <c r="N2" s="6">
        <v>102</v>
      </c>
    </row>
    <row r="3" spans="1:15" x14ac:dyDescent="0.25">
      <c r="A3" t="s">
        <v>27</v>
      </c>
      <c r="B3">
        <f>B2+1</f>
        <v>2</v>
      </c>
      <c r="C3" s="25">
        <v>1</v>
      </c>
      <c r="D3" s="25">
        <v>2020</v>
      </c>
      <c r="E3" s="27">
        <f>'[1]12 - 2019'!B8-'[1]12 - 2019'!B7+'[1]12 - 2019'!C8-'[1]12 - 2019'!C7</f>
        <v>8636.3999999999942</v>
      </c>
      <c r="F3" s="25">
        <v>0.11799999999999999</v>
      </c>
      <c r="G3" s="27">
        <f>(('[1]12 - 2019'!E8-'[1]12 - 2019'!E7)+('[1]12 - 2019'!F8-'[1]12 - 2019'!F7)+('[1]12 - 2019'!G8-'[1]12 - 2019'!G7))*1.81</f>
        <v>102.17450000000132</v>
      </c>
      <c r="H3" s="25">
        <v>0.99</v>
      </c>
      <c r="I3" s="27">
        <f>'[1]12 - 2019'!J8-'[1]12 - 2019'!J7</f>
        <v>12112</v>
      </c>
      <c r="J3" s="25">
        <v>8.1000000000000003E-2</v>
      </c>
      <c r="K3" s="27">
        <f>'[1]12 - 2019'!H8-'[1]12 - 2019'!H7</f>
        <v>0</v>
      </c>
      <c r="L3" s="27">
        <f>'[1]12 - 2019'!I8-'[1]12 - 2019'!I7</f>
        <v>73</v>
      </c>
      <c r="M3" s="26">
        <v>4.3936294247669103</v>
      </c>
      <c r="N3" s="6">
        <v>95</v>
      </c>
    </row>
    <row r="4" spans="1:15" x14ac:dyDescent="0.25">
      <c r="A4" t="s">
        <v>27</v>
      </c>
      <c r="B4">
        <f t="shared" ref="B4:B31" si="0">B3+1</f>
        <v>3</v>
      </c>
      <c r="C4" s="25">
        <v>1</v>
      </c>
      <c r="D4" s="25">
        <v>2020</v>
      </c>
      <c r="E4" s="27">
        <f>'[1]12 - 2019'!B9-'[1]12 - 2019'!B8+'[1]12 - 2019'!C9-'[1]12 - 2019'!C8</f>
        <v>9552</v>
      </c>
      <c r="F4" s="25">
        <v>0.11799999999999999</v>
      </c>
      <c r="G4" s="27">
        <f>(('[1]12 - 2019'!E9-'[1]12 - 2019'!E8)+('[1]12 - 2019'!F9-'[1]12 - 2019'!F8)+('[1]12 - 2019'!G9-'[1]12 - 2019'!G8))*1.81</f>
        <v>117.65</v>
      </c>
      <c r="H4" s="25">
        <v>0.99</v>
      </c>
      <c r="I4" s="27">
        <f>'[1]12 - 2019'!J9-'[1]12 - 2019'!J8</f>
        <v>14442</v>
      </c>
      <c r="J4" s="25">
        <v>8.1000000000000003E-2</v>
      </c>
      <c r="K4" s="27">
        <f>'[1]12 - 2019'!H9-'[1]12 - 2019'!H8</f>
        <v>0</v>
      </c>
      <c r="L4" s="27">
        <f>'[1]12 - 2019'!I9-'[1]12 - 2019'!I8</f>
        <v>90</v>
      </c>
      <c r="M4" s="26">
        <v>4.3936294247669103</v>
      </c>
      <c r="N4" s="6">
        <v>98</v>
      </c>
    </row>
    <row r="5" spans="1:15" x14ac:dyDescent="0.25">
      <c r="A5" t="s">
        <v>27</v>
      </c>
      <c r="B5">
        <f t="shared" si="0"/>
        <v>4</v>
      </c>
      <c r="C5" s="25">
        <v>1</v>
      </c>
      <c r="D5" s="25">
        <v>2020</v>
      </c>
      <c r="E5" s="27">
        <f>'[1]12 - 2019'!B10-'[1]12 - 2019'!B9+'[1]12 - 2019'!C10-'[1]12 - 2019'!C9</f>
        <v>9682</v>
      </c>
      <c r="F5" s="25">
        <v>0.11799999999999999</v>
      </c>
      <c r="G5" s="27">
        <f>(('[1]12 - 2019'!E10-'[1]12 - 2019'!E9)+('[1]12 - 2019'!F10-'[1]12 - 2019'!F9)+('[1]12 - 2019'!G10-'[1]12 - 2019'!G9))*1.81</f>
        <v>128.51</v>
      </c>
      <c r="H5" s="25">
        <v>0.99</v>
      </c>
      <c r="I5" s="27">
        <f>'[1]12 - 2019'!J10-'[1]12 - 2019'!J9</f>
        <v>14694</v>
      </c>
      <c r="J5" s="25">
        <v>8.1000000000000003E-2</v>
      </c>
      <c r="K5" s="27">
        <f>'[1]12 - 2019'!H10-'[1]12 - 2019'!H9</f>
        <v>0</v>
      </c>
      <c r="L5" s="27">
        <f>'[1]12 - 2019'!I10-'[1]12 - 2019'!I9</f>
        <v>113</v>
      </c>
      <c r="M5" s="26">
        <v>4.3936294247669103</v>
      </c>
      <c r="N5" s="6">
        <v>98</v>
      </c>
    </row>
    <row r="6" spans="1:15" x14ac:dyDescent="0.25">
      <c r="A6" t="s">
        <v>27</v>
      </c>
      <c r="B6">
        <f t="shared" si="0"/>
        <v>5</v>
      </c>
      <c r="C6" s="25">
        <v>1</v>
      </c>
      <c r="D6" s="25">
        <v>2020</v>
      </c>
      <c r="E6" s="27">
        <f>'[1]12 - 2019'!B11-'[1]12 - 2019'!B10+'[1]12 - 2019'!C11-'[1]12 - 2019'!C10</f>
        <v>10085</v>
      </c>
      <c r="F6" s="25">
        <v>0.11799999999999999</v>
      </c>
      <c r="G6" s="27">
        <f>(('[1]12 - 2019'!E11-'[1]12 - 2019'!E10)+('[1]12 - 2019'!F11-'[1]12 - 2019'!F10)+('[1]12 - 2019'!G11-'[1]12 - 2019'!G10))*1.81</f>
        <v>120.6003000000002</v>
      </c>
      <c r="H6" s="25">
        <v>0.99</v>
      </c>
      <c r="I6" s="27">
        <f>'[1]12 - 2019'!J11-'[1]12 - 2019'!J10</f>
        <v>16488</v>
      </c>
      <c r="J6" s="25">
        <v>8.1000000000000003E-2</v>
      </c>
      <c r="K6" s="27">
        <f>'[1]12 - 2019'!H11-'[1]12 - 2019'!H10</f>
        <v>0</v>
      </c>
      <c r="L6" s="27">
        <f>'[1]12 - 2019'!I11-'[1]12 - 2019'!I10</f>
        <v>106</v>
      </c>
      <c r="M6" s="26">
        <v>4.3936294247669103</v>
      </c>
      <c r="N6" s="15">
        <v>93</v>
      </c>
    </row>
    <row r="7" spans="1:15" x14ac:dyDescent="0.25">
      <c r="A7" t="s">
        <v>27</v>
      </c>
      <c r="B7">
        <f t="shared" si="0"/>
        <v>6</v>
      </c>
      <c r="C7" s="25">
        <v>1</v>
      </c>
      <c r="D7" s="25">
        <v>2020</v>
      </c>
      <c r="E7" s="27">
        <f>'[1]12 - 2019'!B12-'[1]12 - 2019'!B11+'[1]12 - 2019'!C12-'[1]12 - 2019'!C11</f>
        <v>9966</v>
      </c>
      <c r="F7" s="25">
        <v>0.11799999999999999</v>
      </c>
      <c r="G7" s="27">
        <f>(('[1]12 - 2019'!E12-'[1]12 - 2019'!E11)+('[1]12 - 2019'!F12-'[1]12 - 2019'!F11)+('[1]12 - 2019'!G12-'[1]12 - 2019'!G11))*1.81</f>
        <v>139.82249999999959</v>
      </c>
      <c r="H7" s="25">
        <v>0.99</v>
      </c>
      <c r="I7" s="27">
        <f>'[1]12 - 2019'!J12-'[1]12 - 2019'!J11</f>
        <v>16337</v>
      </c>
      <c r="J7" s="25">
        <v>8.1000000000000003E-2</v>
      </c>
      <c r="K7" s="27">
        <f>'[1]12 - 2019'!H12-'[1]12 - 2019'!H11</f>
        <v>0</v>
      </c>
      <c r="L7" s="27">
        <f>'[1]12 - 2019'!I12-'[1]12 - 2019'!I11</f>
        <v>114</v>
      </c>
      <c r="M7" s="26">
        <v>4.3936294247669103</v>
      </c>
      <c r="N7" s="6">
        <v>92</v>
      </c>
    </row>
    <row r="8" spans="1:15" x14ac:dyDescent="0.25">
      <c r="A8" t="s">
        <v>27</v>
      </c>
      <c r="B8">
        <f t="shared" si="0"/>
        <v>7</v>
      </c>
      <c r="C8" s="25">
        <v>1</v>
      </c>
      <c r="D8" s="25">
        <v>2020</v>
      </c>
      <c r="E8" s="27">
        <f>'[1]12 - 2019'!B13-'[1]12 - 2019'!B12+'[1]12 - 2019'!C13-'[1]12 - 2019'!C12</f>
        <v>10310</v>
      </c>
      <c r="F8" s="25">
        <v>0.11799999999999999</v>
      </c>
      <c r="G8" s="27">
        <f>(('[1]12 - 2019'!E13-'[1]12 - 2019'!E12)+('[1]12 - 2019'!F13-'[1]12 - 2019'!F12)+('[1]12 - 2019'!G13-'[1]12 - 2019'!G12))*1.81</f>
        <v>130.75440000000003</v>
      </c>
      <c r="H8" s="25">
        <v>0.99</v>
      </c>
      <c r="I8" s="27">
        <f>'[1]12 - 2019'!J13-'[1]12 - 2019'!J12</f>
        <v>16351</v>
      </c>
      <c r="J8" s="25">
        <v>8.1000000000000003E-2</v>
      </c>
      <c r="K8" s="27">
        <f>'[1]12 - 2019'!H13-'[1]12 - 2019'!H12</f>
        <v>0</v>
      </c>
      <c r="L8" s="27">
        <f>'[1]12 - 2019'!I13-'[1]12 - 2019'!I12</f>
        <v>105</v>
      </c>
      <c r="M8" s="26">
        <v>4.3936294247669103</v>
      </c>
      <c r="N8" s="6">
        <v>82</v>
      </c>
    </row>
    <row r="9" spans="1:15" x14ac:dyDescent="0.25">
      <c r="A9" t="s">
        <v>27</v>
      </c>
      <c r="B9">
        <f t="shared" si="0"/>
        <v>8</v>
      </c>
      <c r="C9" s="25">
        <v>1</v>
      </c>
      <c r="D9" s="25">
        <v>2020</v>
      </c>
      <c r="E9" s="27">
        <f>'[1]12 - 2019'!B14-'[1]12 - 2019'!B13+'[1]12 - 2019'!C14-'[1]12 - 2019'!C13</f>
        <v>9389</v>
      </c>
      <c r="F9" s="25">
        <v>0.11799999999999999</v>
      </c>
      <c r="G9" s="27">
        <f>(('[1]12 - 2019'!E14-'[1]12 - 2019'!E13)+('[1]12 - 2019'!F14-'[1]12 - 2019'!F13)+('[1]12 - 2019'!G14-'[1]12 - 2019'!G13))*1.81</f>
        <v>122.01209999999973</v>
      </c>
      <c r="H9" s="25">
        <v>0.99</v>
      </c>
      <c r="I9" s="27">
        <f>'[1]12 - 2019'!J14-'[1]12 - 2019'!J13</f>
        <v>15517</v>
      </c>
      <c r="J9" s="25">
        <v>8.1000000000000003E-2</v>
      </c>
      <c r="K9" s="27">
        <f>'[1]12 - 2019'!H14-'[1]12 - 2019'!H13</f>
        <v>0</v>
      </c>
      <c r="L9" s="27">
        <f>'[1]12 - 2019'!I14-'[1]12 - 2019'!I13</f>
        <v>107</v>
      </c>
      <c r="M9" s="26">
        <v>4.3936294247669103</v>
      </c>
      <c r="N9" s="6">
        <v>90</v>
      </c>
    </row>
    <row r="10" spans="1:15" x14ac:dyDescent="0.25">
      <c r="A10" t="s">
        <v>27</v>
      </c>
      <c r="B10">
        <f t="shared" si="0"/>
        <v>9</v>
      </c>
      <c r="C10" s="25">
        <v>1</v>
      </c>
      <c r="D10" s="25">
        <v>2020</v>
      </c>
      <c r="E10" s="27">
        <f>'[1]12 - 2019'!B15-'[1]12 - 2019'!B14+'[1]12 - 2019'!C15-'[1]12 - 2019'!C14</f>
        <v>9733</v>
      </c>
      <c r="F10" s="25">
        <v>0.11799999999999999</v>
      </c>
      <c r="G10" s="27">
        <f>(('[1]12 - 2019'!E15-'[1]12 - 2019'!E14)+('[1]12 - 2019'!F15-'[1]12 - 2019'!F14)+('[1]12 - 2019'!G15-'[1]12 - 2019'!G14))*1.81</f>
        <v>142.41080000000258</v>
      </c>
      <c r="H10" s="25">
        <v>0.99</v>
      </c>
      <c r="I10" s="27">
        <f>'[1]12 - 2019'!J15-'[1]12 - 2019'!J14</f>
        <v>15484</v>
      </c>
      <c r="J10" s="25">
        <v>8.1000000000000003E-2</v>
      </c>
      <c r="K10" s="27">
        <f>'[1]12 - 2019'!H15-'[1]12 - 2019'!H14</f>
        <v>0</v>
      </c>
      <c r="L10" s="27">
        <f>'[1]12 - 2019'!I15-'[1]12 - 2019'!I14</f>
        <v>123</v>
      </c>
      <c r="M10" s="26">
        <v>4.3936294247669103</v>
      </c>
      <c r="N10" s="6">
        <v>97</v>
      </c>
    </row>
    <row r="11" spans="1:15" x14ac:dyDescent="0.25">
      <c r="A11" t="s">
        <v>27</v>
      </c>
      <c r="B11">
        <f t="shared" si="0"/>
        <v>10</v>
      </c>
      <c r="C11" s="25">
        <v>1</v>
      </c>
      <c r="D11" s="25">
        <v>2020</v>
      </c>
      <c r="E11" s="27">
        <f>'[1]12 - 2019'!B16-'[1]12 - 2019'!B15+'[1]12 - 2019'!C16-'[1]12 - 2019'!C15</f>
        <v>9656</v>
      </c>
      <c r="F11" s="25">
        <v>0.11799999999999999</v>
      </c>
      <c r="G11" s="27">
        <f>(('[1]12 - 2019'!E16-'[1]12 - 2019'!E15)+('[1]12 - 2019'!F16-'[1]12 - 2019'!F15)+('[1]12 - 2019'!G16-'[1]12 - 2019'!G15))*1.81</f>
        <v>121.59579999999724</v>
      </c>
      <c r="H11" s="25">
        <v>0.99</v>
      </c>
      <c r="I11" s="27">
        <f>'[1]12 - 2019'!J16-'[1]12 - 2019'!J15</f>
        <v>16051</v>
      </c>
      <c r="J11" s="25">
        <v>8.1000000000000003E-2</v>
      </c>
      <c r="K11" s="27">
        <f>'[1]12 - 2019'!H16-'[1]12 - 2019'!H15</f>
        <v>0</v>
      </c>
      <c r="L11" s="27">
        <f>'[1]12 - 2019'!I16-'[1]12 - 2019'!I15</f>
        <v>128</v>
      </c>
      <c r="M11" s="26">
        <v>4.3936294247669103</v>
      </c>
      <c r="N11" s="6">
        <v>103</v>
      </c>
    </row>
    <row r="12" spans="1:15" x14ac:dyDescent="0.25">
      <c r="A12" t="s">
        <v>27</v>
      </c>
      <c r="B12">
        <f t="shared" si="0"/>
        <v>11</v>
      </c>
      <c r="C12" s="25">
        <v>1</v>
      </c>
      <c r="D12" s="25">
        <v>2020</v>
      </c>
      <c r="E12" s="27">
        <f>'[1]12 - 2019'!B17-'[1]12 - 2019'!B16+'[1]12 - 2019'!C17-'[1]12 - 2019'!C16</f>
        <v>10753</v>
      </c>
      <c r="F12" s="25">
        <v>0.11799999999999999</v>
      </c>
      <c r="G12" s="27">
        <f>(('[1]12 - 2019'!E17-'[1]12 - 2019'!E16)+('[1]12 - 2019'!F17-'[1]12 - 2019'!F16)+('[1]12 - 2019'!G17-'[1]12 - 2019'!G16))*1.81</f>
        <v>141.34290000000067</v>
      </c>
      <c r="H12" s="25">
        <v>0.99</v>
      </c>
      <c r="I12" s="27">
        <f>'[1]12 - 2019'!J17-'[1]12 - 2019'!J16</f>
        <v>17440</v>
      </c>
      <c r="J12" s="25">
        <v>8.1000000000000003E-2</v>
      </c>
      <c r="K12" s="27">
        <f>'[1]12 - 2019'!H17-'[1]12 - 2019'!H16</f>
        <v>0</v>
      </c>
      <c r="L12" s="27">
        <f>'[1]12 - 2019'!I17-'[1]12 - 2019'!I16</f>
        <v>109</v>
      </c>
      <c r="M12" s="26">
        <v>4.3936294247669103</v>
      </c>
      <c r="N12" s="6">
        <v>92</v>
      </c>
    </row>
    <row r="13" spans="1:15" x14ac:dyDescent="0.25">
      <c r="A13" t="s">
        <v>27</v>
      </c>
      <c r="B13">
        <f t="shared" si="0"/>
        <v>12</v>
      </c>
      <c r="C13" s="25">
        <v>1</v>
      </c>
      <c r="D13" s="25">
        <v>2020</v>
      </c>
      <c r="E13" s="27">
        <f>'[1]12 - 2019'!B18-'[1]12 - 2019'!B17+'[1]12 - 2019'!C18-'[1]12 - 2019'!C17</f>
        <v>10608</v>
      </c>
      <c r="F13" s="25">
        <v>0.11799999999999999</v>
      </c>
      <c r="G13" s="27">
        <f>(('[1]12 - 2019'!E18-'[1]12 - 2019'!E17)+('[1]12 - 2019'!F18-'[1]12 - 2019'!F17)+('[1]12 - 2019'!G18-'[1]12 - 2019'!G17))*1.81</f>
        <v>139.15280000000061</v>
      </c>
      <c r="H13" s="25">
        <v>0.99</v>
      </c>
      <c r="I13" s="27">
        <f>'[1]12 - 2019'!J18-'[1]12 - 2019'!J17</f>
        <v>17771</v>
      </c>
      <c r="J13" s="25">
        <v>8.1000000000000003E-2</v>
      </c>
      <c r="K13" s="27">
        <f>'[1]12 - 2019'!H18-'[1]12 - 2019'!H17</f>
        <v>0</v>
      </c>
      <c r="L13" s="27">
        <f>'[1]12 - 2019'!I18-'[1]12 - 2019'!I17</f>
        <v>112</v>
      </c>
      <c r="M13" s="26">
        <v>4.3936294247669103</v>
      </c>
      <c r="N13" s="6">
        <v>93</v>
      </c>
    </row>
    <row r="14" spans="1:15" x14ac:dyDescent="0.25">
      <c r="A14" t="s">
        <v>27</v>
      </c>
      <c r="B14">
        <f t="shared" si="0"/>
        <v>13</v>
      </c>
      <c r="C14" s="25">
        <v>1</v>
      </c>
      <c r="D14" s="25">
        <v>2020</v>
      </c>
      <c r="E14" s="27">
        <v>0</v>
      </c>
      <c r="F14" s="25">
        <v>0.11799999999999999</v>
      </c>
      <c r="G14" s="27">
        <v>0</v>
      </c>
      <c r="H14" s="25">
        <v>0.99</v>
      </c>
      <c r="I14" s="27">
        <v>0</v>
      </c>
      <c r="J14" s="25">
        <v>8.1000000000000003E-2</v>
      </c>
      <c r="K14" s="27">
        <v>0</v>
      </c>
      <c r="L14" s="27">
        <v>0</v>
      </c>
      <c r="M14" s="26">
        <v>4.393629424766913</v>
      </c>
      <c r="N14" s="6"/>
      <c r="O14" s="27"/>
    </row>
    <row r="15" spans="1:15" x14ac:dyDescent="0.25">
      <c r="A15" t="s">
        <v>27</v>
      </c>
      <c r="B15">
        <f t="shared" si="0"/>
        <v>14</v>
      </c>
      <c r="C15" s="25">
        <v>1</v>
      </c>
      <c r="D15" s="25">
        <v>2020</v>
      </c>
      <c r="E15" s="27">
        <f>'01 - 2020'!B20-'01 - 2020'!B19+'01 - 2020'!C20-'01 - 2020'!C19</f>
        <v>0</v>
      </c>
      <c r="F15" s="25">
        <v>0.11799999999999999</v>
      </c>
      <c r="G15" s="27">
        <f>(('01 - 2020'!E20-'01 - 2020'!E19)+('01 - 2020'!F20-'01 - 2020'!F19)+('01 - 2020'!G20-'01 - 2020'!G19))*1.81</f>
        <v>0</v>
      </c>
      <c r="H15" s="25">
        <v>0.99</v>
      </c>
      <c r="I15" s="27">
        <f>'01 - 2020'!J20-'01 - 2020'!J19</f>
        <v>0</v>
      </c>
      <c r="J15" s="25">
        <v>8.1000000000000003E-2</v>
      </c>
      <c r="K15" s="27">
        <f>'01 - 2020'!H20-'01 - 2020'!H19</f>
        <v>0</v>
      </c>
      <c r="L15" s="27">
        <f>'01 - 2020'!I20-'01 - 2020'!I19</f>
        <v>0</v>
      </c>
      <c r="M15" s="26">
        <v>4.393629424766913</v>
      </c>
      <c r="N15" s="6"/>
    </row>
    <row r="16" spans="1:15" x14ac:dyDescent="0.25">
      <c r="A16" t="s">
        <v>27</v>
      </c>
      <c r="B16">
        <f t="shared" si="0"/>
        <v>15</v>
      </c>
      <c r="C16" s="25">
        <v>1</v>
      </c>
      <c r="D16" s="25">
        <v>2020</v>
      </c>
      <c r="E16" s="27">
        <f>'01 - 2020'!B21-'01 - 2020'!B20+'01 - 2020'!C21-'01 - 2020'!C20</f>
        <v>0</v>
      </c>
      <c r="F16" s="25">
        <v>0.11799999999999999</v>
      </c>
      <c r="G16" s="27">
        <f>(('01 - 2020'!E21-'01 - 2020'!E20)+('01 - 2020'!F21-'01 - 2020'!F20)+('01 - 2020'!G21-'01 - 2020'!G20))*1.81</f>
        <v>0</v>
      </c>
      <c r="H16" s="25">
        <v>0.99</v>
      </c>
      <c r="I16" s="27">
        <f>'01 - 2020'!J21-'01 - 2020'!J20</f>
        <v>0</v>
      </c>
      <c r="J16" s="25">
        <v>8.1000000000000003E-2</v>
      </c>
      <c r="K16" s="27">
        <f>'01 - 2020'!H21-'01 - 2020'!H20</f>
        <v>0</v>
      </c>
      <c r="L16" s="27">
        <f>'01 - 2020'!I21-'01 - 2020'!I20</f>
        <v>0</v>
      </c>
      <c r="M16" s="26">
        <v>4.393629424766913</v>
      </c>
      <c r="N16" s="6"/>
    </row>
    <row r="17" spans="1:16" x14ac:dyDescent="0.25">
      <c r="A17" t="s">
        <v>27</v>
      </c>
      <c r="B17">
        <f t="shared" si="0"/>
        <v>16</v>
      </c>
      <c r="C17" s="25">
        <v>1</v>
      </c>
      <c r="D17" s="25">
        <v>2020</v>
      </c>
      <c r="E17" s="27">
        <f>'01 - 2020'!B22-'01 - 2020'!B21+'01 - 2020'!C22-'01 - 2020'!C21</f>
        <v>0</v>
      </c>
      <c r="F17" s="25">
        <v>0.11799999999999999</v>
      </c>
      <c r="G17" s="27">
        <f>(('01 - 2020'!E22-'01 - 2020'!E21)+('01 - 2020'!F22-'01 - 2020'!F21)+('01 - 2020'!G22-'01 - 2020'!G21))*1.81</f>
        <v>0</v>
      </c>
      <c r="H17" s="25">
        <v>0.99</v>
      </c>
      <c r="I17" s="27">
        <f>'01 - 2020'!J22-'01 - 2020'!J21</f>
        <v>0</v>
      </c>
      <c r="J17" s="25">
        <v>8.1000000000000003E-2</v>
      </c>
      <c r="K17" s="27">
        <f>'01 - 2020'!H22-'01 - 2020'!H21</f>
        <v>0</v>
      </c>
      <c r="L17" s="27">
        <f>'01 - 2020'!I22-'01 - 2020'!I21</f>
        <v>0</v>
      </c>
      <c r="M17" s="26">
        <v>4.393629424766913</v>
      </c>
      <c r="N17" s="27"/>
    </row>
    <row r="18" spans="1:16" x14ac:dyDescent="0.25">
      <c r="A18" t="s">
        <v>27</v>
      </c>
      <c r="B18">
        <f t="shared" si="0"/>
        <v>17</v>
      </c>
      <c r="C18" s="25">
        <v>1</v>
      </c>
      <c r="D18" s="25">
        <v>2020</v>
      </c>
      <c r="E18" s="27">
        <f>'01 - 2020'!B23-'01 - 2020'!B22+'01 - 2020'!C23-'01 - 2020'!C22</f>
        <v>0</v>
      </c>
      <c r="F18" s="25">
        <v>0.11799999999999999</v>
      </c>
      <c r="G18" s="27">
        <f>(('01 - 2020'!E23-'01 - 2020'!E22)+('01 - 2020'!F23-'01 - 2020'!F22)+('01 - 2020'!G23-'01 - 2020'!G22))*1.81</f>
        <v>0</v>
      </c>
      <c r="H18" s="25">
        <v>0.99</v>
      </c>
      <c r="I18" s="27">
        <f>'01 - 2020'!J23-'01 - 2020'!J22</f>
        <v>0</v>
      </c>
      <c r="J18" s="25">
        <v>8.1000000000000003E-2</v>
      </c>
      <c r="K18" s="27">
        <f>'01 - 2020'!H23-'01 - 2020'!H22</f>
        <v>0</v>
      </c>
      <c r="L18" s="27">
        <f>'01 - 2020'!I23-'01 - 2020'!I22</f>
        <v>0</v>
      </c>
      <c r="M18" s="26">
        <v>4.393629424766913</v>
      </c>
      <c r="N18" s="27"/>
    </row>
    <row r="19" spans="1:16" x14ac:dyDescent="0.25">
      <c r="A19" t="s">
        <v>27</v>
      </c>
      <c r="B19">
        <f>B18+1</f>
        <v>18</v>
      </c>
      <c r="C19" s="25">
        <v>1</v>
      </c>
      <c r="D19" s="25">
        <v>2020</v>
      </c>
      <c r="E19" s="27">
        <f>'01 - 2020'!B24-'01 - 2020'!B23+'01 - 2020'!C24-'01 - 2020'!C23</f>
        <v>0</v>
      </c>
      <c r="F19" s="25">
        <v>0.11799999999999999</v>
      </c>
      <c r="G19" s="27">
        <f>(('01 - 2020'!E24-'01 - 2020'!E23)+('01 - 2020'!F24-'01 - 2020'!F23)+('01 - 2020'!G24-'01 - 2020'!G23))*1.81</f>
        <v>0</v>
      </c>
      <c r="H19" s="25">
        <v>0.99</v>
      </c>
      <c r="I19" s="27">
        <f>'01 - 2020'!J24-'01 - 2020'!J23</f>
        <v>0</v>
      </c>
      <c r="J19" s="25">
        <v>8.1000000000000003E-2</v>
      </c>
      <c r="K19" s="27">
        <f>'01 - 2020'!H24-'01 - 2020'!H23</f>
        <v>0</v>
      </c>
      <c r="L19" s="27">
        <f>'01 - 2020'!I24-'01 - 2020'!I23</f>
        <v>0</v>
      </c>
      <c r="M19" s="26">
        <v>4.393629424766913</v>
      </c>
      <c r="N19" s="27"/>
    </row>
    <row r="20" spans="1:16" x14ac:dyDescent="0.25">
      <c r="A20" t="s">
        <v>27</v>
      </c>
      <c r="B20">
        <f t="shared" si="0"/>
        <v>19</v>
      </c>
      <c r="C20" s="25">
        <v>1</v>
      </c>
      <c r="D20" s="25">
        <v>2020</v>
      </c>
      <c r="E20" s="27">
        <f>'01 - 2020'!B25-'01 - 2020'!B24+'01 - 2020'!C25-'01 - 2020'!C24</f>
        <v>0</v>
      </c>
      <c r="F20" s="25">
        <v>0.11799999999999999</v>
      </c>
      <c r="G20" s="27">
        <f>(('01 - 2020'!E25-'01 - 2020'!E24)+('01 - 2020'!F25-'01 - 2020'!F24)+('01 - 2020'!G25-'01 - 2020'!G24))*1.81</f>
        <v>0</v>
      </c>
      <c r="H20" s="25">
        <v>0.99</v>
      </c>
      <c r="I20" s="27">
        <f>'01 - 2020'!J25-'01 - 2020'!J24</f>
        <v>0</v>
      </c>
      <c r="J20" s="25">
        <v>8.1000000000000003E-2</v>
      </c>
      <c r="K20" s="27">
        <f>'01 - 2020'!H25-'01 - 2020'!H24</f>
        <v>0</v>
      </c>
      <c r="L20" s="27">
        <f>'01 - 2020'!I25-'01 - 2020'!I24</f>
        <v>0</v>
      </c>
      <c r="M20" s="26">
        <v>4.393629424766913</v>
      </c>
      <c r="N20" s="27"/>
    </row>
    <row r="21" spans="1:16" x14ac:dyDescent="0.25">
      <c r="A21" t="s">
        <v>27</v>
      </c>
      <c r="B21">
        <f t="shared" si="0"/>
        <v>20</v>
      </c>
      <c r="C21" s="25">
        <v>1</v>
      </c>
      <c r="D21" s="25">
        <v>2020</v>
      </c>
      <c r="E21" s="27">
        <f>'01 - 2020'!B26-'01 - 2020'!B25+'01 - 2020'!C26-'01 - 2020'!C25</f>
        <v>0</v>
      </c>
      <c r="F21" s="25">
        <v>0.11799999999999999</v>
      </c>
      <c r="G21" s="27">
        <f>(('01 - 2020'!E26-'01 - 2020'!E25)+('01 - 2020'!F26-'01 - 2020'!F25)+('01 - 2020'!G26-'01 - 2020'!G25))*1.81</f>
        <v>0</v>
      </c>
      <c r="H21" s="25">
        <v>0.99</v>
      </c>
      <c r="I21" s="27">
        <f>'01 - 2020'!J26-'01 - 2020'!J25</f>
        <v>0</v>
      </c>
      <c r="J21" s="25">
        <v>8.1000000000000003E-2</v>
      </c>
      <c r="K21" s="27">
        <f>'01 - 2020'!H26-'01 - 2020'!H25</f>
        <v>0</v>
      </c>
      <c r="L21" s="27">
        <f>'01 - 2020'!I26-'01 - 2020'!I25</f>
        <v>0</v>
      </c>
      <c r="M21" s="26">
        <v>4.393629424766913</v>
      </c>
      <c r="N21" s="6"/>
    </row>
    <row r="22" spans="1:16" x14ac:dyDescent="0.25">
      <c r="A22" t="s">
        <v>27</v>
      </c>
      <c r="B22">
        <f t="shared" si="0"/>
        <v>21</v>
      </c>
      <c r="C22" s="25">
        <v>1</v>
      </c>
      <c r="D22" s="25">
        <v>2020</v>
      </c>
      <c r="E22" s="27">
        <f>'01 - 2020'!B27-'01 - 2020'!B26+'01 - 2020'!C27-'01 - 2020'!C26</f>
        <v>0</v>
      </c>
      <c r="F22" s="25">
        <v>0.11799999999999999</v>
      </c>
      <c r="G22" s="27">
        <f>(('01 - 2020'!E27-'01 - 2020'!E26)+('01 - 2020'!F27-'01 - 2020'!F26)+('01 - 2020'!G27-'01 - 2020'!G26))*1.81</f>
        <v>0</v>
      </c>
      <c r="H22" s="25">
        <v>0.99</v>
      </c>
      <c r="I22" s="27">
        <f>'01 - 2020'!J27-'01 - 2020'!J26</f>
        <v>0</v>
      </c>
      <c r="J22" s="25">
        <v>8.1000000000000003E-2</v>
      </c>
      <c r="K22" s="27">
        <f>'01 - 2020'!H27-'01 - 2020'!H26</f>
        <v>0</v>
      </c>
      <c r="L22" s="27">
        <f>'01 - 2020'!I27-'01 - 2020'!I26</f>
        <v>0</v>
      </c>
      <c r="M22" s="26">
        <v>4.393629424766913</v>
      </c>
      <c r="N22" s="6"/>
    </row>
    <row r="23" spans="1:16" x14ac:dyDescent="0.25">
      <c r="A23" t="s">
        <v>27</v>
      </c>
      <c r="B23">
        <f t="shared" si="0"/>
        <v>22</v>
      </c>
      <c r="C23" s="25">
        <v>1</v>
      </c>
      <c r="D23" s="25">
        <v>2020</v>
      </c>
      <c r="E23" s="27">
        <f>'01 - 2020'!B28-'01 - 2020'!B27+'01 - 2020'!C28-'01 - 2020'!C27</f>
        <v>0</v>
      </c>
      <c r="F23" s="25">
        <v>0.11799999999999999</v>
      </c>
      <c r="G23" s="27">
        <f>(('01 - 2020'!E28-'01 - 2020'!E27)+('01 - 2020'!F28-'01 - 2020'!F27)+('01 - 2020'!G28-'01 - 2020'!G27))*1.81</f>
        <v>0</v>
      </c>
      <c r="H23" s="25">
        <v>0.99</v>
      </c>
      <c r="I23" s="27">
        <f>'01 - 2020'!J28-'01 - 2020'!J27</f>
        <v>0</v>
      </c>
      <c r="J23" s="25">
        <v>8.1000000000000003E-2</v>
      </c>
      <c r="K23" s="27">
        <f>'01 - 2020'!H28-'01 - 2020'!H27</f>
        <v>0</v>
      </c>
      <c r="L23" s="27">
        <f>'01 - 2020'!I28-'01 - 2020'!I27</f>
        <v>0</v>
      </c>
      <c r="M23" s="26">
        <v>4.393629424766913</v>
      </c>
      <c r="N23" s="6"/>
    </row>
    <row r="24" spans="1:16" x14ac:dyDescent="0.25">
      <c r="A24" t="s">
        <v>27</v>
      </c>
      <c r="B24">
        <f t="shared" si="0"/>
        <v>23</v>
      </c>
      <c r="C24" s="25">
        <v>1</v>
      </c>
      <c r="D24" s="25">
        <v>2020</v>
      </c>
      <c r="E24" s="27">
        <f>'01 - 2020'!B29-'01 - 2020'!B28+'01 - 2020'!C29-'01 - 2020'!C28</f>
        <v>0</v>
      </c>
      <c r="F24" s="25">
        <v>0.11799999999999999</v>
      </c>
      <c r="G24" s="27">
        <f>(('01 - 2020'!E29-'01 - 2020'!E28)+('01 - 2020'!F29-'01 - 2020'!F28)+('01 - 2020'!G29-'01 - 2020'!G28))*1.81</f>
        <v>0</v>
      </c>
      <c r="H24" s="25">
        <v>0.99</v>
      </c>
      <c r="I24" s="27">
        <f>'01 - 2020'!J29-'01 - 2020'!J28</f>
        <v>0</v>
      </c>
      <c r="J24" s="25">
        <v>8.1000000000000003E-2</v>
      </c>
      <c r="K24" s="27">
        <f>'01 - 2020'!H29-'01 - 2020'!H28</f>
        <v>0</v>
      </c>
      <c r="L24" s="27">
        <f>'01 - 2020'!I29-'01 - 2020'!I28</f>
        <v>0</v>
      </c>
      <c r="M24" s="26">
        <v>4.393629424766913</v>
      </c>
      <c r="N24" s="6"/>
    </row>
    <row r="25" spans="1:16" x14ac:dyDescent="0.25">
      <c r="A25" t="s">
        <v>27</v>
      </c>
      <c r="B25">
        <f t="shared" si="0"/>
        <v>24</v>
      </c>
      <c r="C25" s="25">
        <v>1</v>
      </c>
      <c r="D25" s="25">
        <v>2020</v>
      </c>
      <c r="E25" s="27">
        <f>'01 - 2020'!B30-'01 - 2020'!B29+'01 - 2020'!C30-'01 - 2020'!C29</f>
        <v>0</v>
      </c>
      <c r="F25" s="25">
        <v>0.11799999999999999</v>
      </c>
      <c r="G25" s="27">
        <f>(('01 - 2020'!E30-'01 - 2020'!E29)+('01 - 2020'!F30-'01 - 2020'!F29)+('01 - 2020'!G30-'01 - 2020'!G29))*1.81</f>
        <v>0</v>
      </c>
      <c r="H25" s="25">
        <v>0.99</v>
      </c>
      <c r="I25" s="27">
        <f>'01 - 2020'!J30-'01 - 2020'!J29</f>
        <v>0</v>
      </c>
      <c r="J25" s="25">
        <v>8.1000000000000003E-2</v>
      </c>
      <c r="K25" s="27">
        <f>'01 - 2020'!H30-'01 - 2020'!H29</f>
        <v>0</v>
      </c>
      <c r="L25" s="27">
        <f>'01 - 2020'!I30-'01 - 2020'!I29</f>
        <v>0</v>
      </c>
      <c r="M25" s="26">
        <v>4.393629424766913</v>
      </c>
      <c r="N25" s="6"/>
      <c r="P25" s="14"/>
    </row>
    <row r="26" spans="1:16" x14ac:dyDescent="0.25">
      <c r="A26" t="s">
        <v>27</v>
      </c>
      <c r="B26">
        <f>B25+1</f>
        <v>25</v>
      </c>
      <c r="C26" s="25">
        <v>1</v>
      </c>
      <c r="D26" s="25">
        <v>2020</v>
      </c>
      <c r="E26" s="27">
        <f>'01 - 2020'!B31-'01 - 2020'!B30+'01 - 2020'!C31-'01 - 2020'!C30</f>
        <v>0</v>
      </c>
      <c r="F26" s="25">
        <v>0.11799999999999999</v>
      </c>
      <c r="G26" s="27">
        <f>(('01 - 2020'!E31-'01 - 2020'!E30)+('01 - 2020'!F31-'01 - 2020'!F30)+('01 - 2020'!G31-'01 - 2020'!G30))*1.81</f>
        <v>0</v>
      </c>
      <c r="H26" s="25">
        <v>0.99</v>
      </c>
      <c r="I26" s="27">
        <f>'01 - 2020'!J31-'01 - 2020'!J30</f>
        <v>0</v>
      </c>
      <c r="J26" s="25">
        <v>8.1000000000000003E-2</v>
      </c>
      <c r="K26" s="27">
        <f>'01 - 2020'!H31-'01 - 2020'!H30</f>
        <v>0</v>
      </c>
      <c r="L26" s="27">
        <f>'01 - 2020'!I31-'01 - 2020'!I30</f>
        <v>0</v>
      </c>
      <c r="M26" s="26">
        <v>4.393629424766913</v>
      </c>
      <c r="N26" s="6"/>
    </row>
    <row r="27" spans="1:16" x14ac:dyDescent="0.25">
      <c r="A27" t="s">
        <v>27</v>
      </c>
      <c r="B27">
        <f t="shared" si="0"/>
        <v>26</v>
      </c>
      <c r="C27" s="25">
        <v>1</v>
      </c>
      <c r="D27" s="25">
        <v>2020</v>
      </c>
      <c r="E27" s="27">
        <f>'01 - 2020'!B32-'01 - 2020'!B31+'01 - 2020'!C32-'01 - 2020'!C31</f>
        <v>0</v>
      </c>
      <c r="F27" s="25">
        <v>0.11799999999999999</v>
      </c>
      <c r="G27" s="27">
        <f>(('01 - 2020'!E32-'01 - 2020'!E31)+('01 - 2020'!F32-'01 - 2020'!F31)+('01 - 2020'!G32-'01 - 2020'!G31))*1.81</f>
        <v>0</v>
      </c>
      <c r="H27" s="25">
        <v>0.99</v>
      </c>
      <c r="I27" s="27">
        <f>'01 - 2020'!J32-'01 - 2020'!J31</f>
        <v>0</v>
      </c>
      <c r="J27" s="25">
        <v>8.1000000000000003E-2</v>
      </c>
      <c r="K27" s="27">
        <f>'01 - 2020'!H32-'01 - 2020'!H31</f>
        <v>0</v>
      </c>
      <c r="L27" s="27">
        <f>'01 - 2020'!I32-'01 - 2020'!I31</f>
        <v>0</v>
      </c>
      <c r="M27" s="26">
        <v>4.393629424766913</v>
      </c>
      <c r="N27" s="6"/>
    </row>
    <row r="28" spans="1:16" x14ac:dyDescent="0.25">
      <c r="A28" t="s">
        <v>27</v>
      </c>
      <c r="B28">
        <f t="shared" si="0"/>
        <v>27</v>
      </c>
      <c r="C28" s="25">
        <v>1</v>
      </c>
      <c r="D28" s="25">
        <v>2020</v>
      </c>
      <c r="E28" s="27">
        <v>0</v>
      </c>
      <c r="F28" s="25">
        <v>0.11799999999999999</v>
      </c>
      <c r="G28" s="27">
        <v>0</v>
      </c>
      <c r="H28" s="25">
        <v>0.99</v>
      </c>
      <c r="I28" s="27">
        <v>0</v>
      </c>
      <c r="J28" s="25">
        <v>8.1000000000000003E-2</v>
      </c>
      <c r="K28" s="27">
        <v>0</v>
      </c>
      <c r="L28" s="27">
        <v>0</v>
      </c>
      <c r="M28" s="26">
        <v>4.393629424766913</v>
      </c>
      <c r="N28" s="6"/>
    </row>
    <row r="29" spans="1:16" x14ac:dyDescent="0.25">
      <c r="A29" t="s">
        <v>27</v>
      </c>
      <c r="B29">
        <f t="shared" si="0"/>
        <v>28</v>
      </c>
      <c r="C29" s="25">
        <v>1</v>
      </c>
      <c r="D29" s="25">
        <v>2020</v>
      </c>
      <c r="E29" s="27">
        <f>'01 - 2020'!B34-'01 - 2020'!B33+'01 - 2020'!C34-'01 - 2020'!C33</f>
        <v>0</v>
      </c>
      <c r="F29" s="25">
        <v>0.11799999999999999</v>
      </c>
      <c r="G29" s="27">
        <f>(('01 - 2020'!E34-'01 - 2020'!E33)+('01 - 2020'!F34-'01 - 2020'!F33)+('01 - 2020'!G34-'01 - 2020'!G33))*1.81</f>
        <v>0</v>
      </c>
      <c r="H29" s="25">
        <v>0.99</v>
      </c>
      <c r="I29" s="27">
        <f>'01 - 2020'!J34-'01 - 2020'!J33</f>
        <v>0</v>
      </c>
      <c r="J29" s="25">
        <v>8.1000000000000003E-2</v>
      </c>
      <c r="K29" s="27">
        <f>'01 - 2020'!H34-'01 - 2020'!H33</f>
        <v>0</v>
      </c>
      <c r="L29" s="27">
        <f>'01 - 2020'!I34-'01 - 2020'!I33</f>
        <v>0</v>
      </c>
      <c r="M29" s="26">
        <v>4.393629424766913</v>
      </c>
      <c r="N29" s="6"/>
    </row>
    <row r="30" spans="1:16" x14ac:dyDescent="0.25">
      <c r="A30" t="s">
        <v>27</v>
      </c>
      <c r="B30">
        <f t="shared" si="0"/>
        <v>29</v>
      </c>
      <c r="C30" s="25">
        <v>1</v>
      </c>
      <c r="D30" s="25">
        <v>2020</v>
      </c>
      <c r="E30" s="27">
        <v>0</v>
      </c>
      <c r="F30" s="25">
        <v>0.11799999999999999</v>
      </c>
      <c r="G30" s="27">
        <v>0</v>
      </c>
      <c r="H30" s="25">
        <v>0.99</v>
      </c>
      <c r="I30" s="27">
        <v>0</v>
      </c>
      <c r="J30" s="25">
        <v>8.1000000000000003E-2</v>
      </c>
      <c r="K30" s="27">
        <v>0</v>
      </c>
      <c r="L30" s="27">
        <v>0</v>
      </c>
      <c r="M30" s="26">
        <v>4.393629424766913</v>
      </c>
      <c r="N30" s="6"/>
    </row>
    <row r="31" spans="1:16" x14ac:dyDescent="0.25">
      <c r="A31" t="s">
        <v>27</v>
      </c>
      <c r="B31">
        <f t="shared" si="0"/>
        <v>30</v>
      </c>
      <c r="C31" s="25">
        <v>1</v>
      </c>
      <c r="D31" s="25">
        <v>2020</v>
      </c>
      <c r="E31" s="27">
        <f>'01 - 2020'!B36-'01 - 2020'!B35+'01 - 2020'!C36-'01 - 2020'!C35</f>
        <v>0</v>
      </c>
      <c r="F31" s="25">
        <v>0.11799999999999999</v>
      </c>
      <c r="G31" s="27">
        <f>(('01 - 2020'!E36-'01 - 2020'!E35)+('01 - 2020'!F36-'01 - 2020'!F35)+('01 - 2020'!G36-'01 - 2020'!G35))*1.81</f>
        <v>0</v>
      </c>
      <c r="H31" s="25">
        <v>0.99</v>
      </c>
      <c r="I31" s="27">
        <f>'01 - 2020'!J36-'01 - 2020'!J35</f>
        <v>0</v>
      </c>
      <c r="J31" s="25">
        <v>8.1000000000000003E-2</v>
      </c>
      <c r="K31" s="27">
        <f>'01 - 2020'!H36-'01 - 2020'!H35</f>
        <v>0</v>
      </c>
      <c r="L31" s="27">
        <f>'01 - 2020'!I36-'01 - 2020'!I35</f>
        <v>0</v>
      </c>
      <c r="M31" s="26">
        <v>4.393629424766913</v>
      </c>
      <c r="N31" s="6"/>
    </row>
    <row r="32" spans="1:16" x14ac:dyDescent="0.25">
      <c r="A32" s="25" t="s">
        <v>27</v>
      </c>
      <c r="B32">
        <v>31</v>
      </c>
      <c r="C32" s="25">
        <v>1</v>
      </c>
      <c r="D32" s="25">
        <v>2020</v>
      </c>
      <c r="E32" s="27">
        <v>0</v>
      </c>
      <c r="F32" s="25">
        <v>0.11799999999999999</v>
      </c>
      <c r="G32" s="27">
        <v>0</v>
      </c>
      <c r="H32" s="25">
        <v>0.99</v>
      </c>
      <c r="I32" s="27">
        <v>0</v>
      </c>
      <c r="J32" s="25">
        <v>8.1000000000000003E-2</v>
      </c>
      <c r="K32" s="27">
        <v>0</v>
      </c>
      <c r="L32" s="27">
        <v>0</v>
      </c>
      <c r="M32" s="26">
        <v>4.393629424766913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P17" sqref="P1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</v>
      </c>
      <c r="D2">
        <v>2020</v>
      </c>
      <c r="E2" s="27">
        <f>'[1]12 - 2019'!B7-'[1]12 - 2019'!B6</f>
        <v>3251</v>
      </c>
      <c r="F2" s="27">
        <f>'[1]12 - 2019'!C7-'[1]12 - 2019'!C6</f>
        <v>5160.7000000000116</v>
      </c>
      <c r="G2" s="25">
        <v>0.11799999999999999</v>
      </c>
      <c r="H2" s="27">
        <f>'[1]12 - 2019'!E7-'[1]12 - 2019'!E6</f>
        <v>23.699999999999818</v>
      </c>
      <c r="I2" s="27">
        <f>'[1]12 - 2019'!F7-'[1]12 - 2019'!F6</f>
        <v>4.9399999999998272</v>
      </c>
      <c r="J2" s="27">
        <f>'[1]12 - 2019'!G7-'[1]12 - 2019'!G6</f>
        <v>30.920000000000073</v>
      </c>
      <c r="K2" s="25">
        <v>0.74</v>
      </c>
      <c r="L2" s="6">
        <v>102</v>
      </c>
      <c r="M2" s="12"/>
    </row>
    <row r="3" spans="1:13" x14ac:dyDescent="0.25">
      <c r="A3" t="s">
        <v>27</v>
      </c>
      <c r="B3">
        <f>B2+1</f>
        <v>2</v>
      </c>
      <c r="C3" s="25">
        <v>1</v>
      </c>
      <c r="D3" s="25">
        <v>2020</v>
      </c>
      <c r="E3" s="27">
        <f>'[1]12 - 2019'!B8-'[1]12 - 2019'!B7</f>
        <v>3308</v>
      </c>
      <c r="F3" s="27">
        <f>'[1]12 - 2019'!C8-'[1]12 - 2019'!C7</f>
        <v>5328.3999999999942</v>
      </c>
      <c r="G3" s="25">
        <v>0.11799999999999999</v>
      </c>
      <c r="H3" s="27">
        <f>'[1]12 - 2019'!E8-'[1]12 - 2019'!E7</f>
        <v>21.300000000000182</v>
      </c>
      <c r="I3" s="27">
        <f>'[1]12 - 2019'!F8-'[1]12 - 2019'!F7</f>
        <v>4.8800000000001091</v>
      </c>
      <c r="J3" s="27">
        <f>'[1]12 - 2019'!G8-'[1]12 - 2019'!G7</f>
        <v>30.270000000000437</v>
      </c>
      <c r="K3" s="25">
        <v>0.74</v>
      </c>
      <c r="L3" s="6">
        <v>95</v>
      </c>
      <c r="M3" s="12"/>
    </row>
    <row r="4" spans="1:13" x14ac:dyDescent="0.25">
      <c r="A4" t="s">
        <v>27</v>
      </c>
      <c r="B4">
        <f t="shared" ref="B4:B31" si="0">B3+1</f>
        <v>3</v>
      </c>
      <c r="C4" s="25">
        <v>1</v>
      </c>
      <c r="D4" s="25">
        <v>2020</v>
      </c>
      <c r="E4" s="27">
        <f>'[1]12 - 2019'!B9-'[1]12 - 2019'!B8</f>
        <v>3661</v>
      </c>
      <c r="F4" s="27">
        <f>'[1]12 - 2019'!C9-'[1]12 - 2019'!C8</f>
        <v>5891</v>
      </c>
      <c r="G4" s="25">
        <v>0.11799999999999999</v>
      </c>
      <c r="H4" s="27">
        <f>'[1]12 - 2019'!E9-'[1]12 - 2019'!E8</f>
        <v>27</v>
      </c>
      <c r="I4" s="27">
        <f>'[1]12 - 2019'!F9-'[1]12 - 2019'!F8</f>
        <v>4</v>
      </c>
      <c r="J4" s="27">
        <f>'[1]12 - 2019'!G9-'[1]12 - 2019'!G8</f>
        <v>34</v>
      </c>
      <c r="K4" s="25">
        <v>0.74</v>
      </c>
      <c r="L4" s="6">
        <v>98</v>
      </c>
      <c r="M4" s="12"/>
    </row>
    <row r="5" spans="1:13" x14ac:dyDescent="0.25">
      <c r="A5" t="s">
        <v>27</v>
      </c>
      <c r="B5">
        <f t="shared" si="0"/>
        <v>4</v>
      </c>
      <c r="C5" s="25">
        <v>1</v>
      </c>
      <c r="D5" s="25">
        <v>2020</v>
      </c>
      <c r="E5" s="27">
        <f>'[1]12 - 2019'!B10-'[1]12 - 2019'!B9</f>
        <v>3709</v>
      </c>
      <c r="F5" s="27">
        <f>'[1]12 - 2019'!C10-'[1]12 - 2019'!C9</f>
        <v>5973</v>
      </c>
      <c r="G5" s="25">
        <v>0.11799999999999999</v>
      </c>
      <c r="H5" s="27">
        <f>'[1]12 - 2019'!E10-'[1]12 - 2019'!E9</f>
        <v>28</v>
      </c>
      <c r="I5" s="27">
        <f>'[1]12 - 2019'!F10-'[1]12 - 2019'!F9</f>
        <v>6</v>
      </c>
      <c r="J5" s="27">
        <f>'[1]12 - 2019'!G10-'[1]12 - 2019'!G9</f>
        <v>37</v>
      </c>
      <c r="K5" s="25">
        <v>0.74</v>
      </c>
      <c r="L5" s="6">
        <v>98</v>
      </c>
      <c r="M5" s="12"/>
    </row>
    <row r="6" spans="1:13" x14ac:dyDescent="0.25">
      <c r="A6" t="s">
        <v>27</v>
      </c>
      <c r="B6">
        <f t="shared" si="0"/>
        <v>5</v>
      </c>
      <c r="C6" s="25">
        <v>1</v>
      </c>
      <c r="D6" s="25">
        <v>2020</v>
      </c>
      <c r="E6" s="27">
        <f>'[1]12 - 2019'!B11-'[1]12 - 2019'!B10</f>
        <v>3793</v>
      </c>
      <c r="F6" s="27">
        <f>'[1]12 - 2019'!C11-'[1]12 - 2019'!C10</f>
        <v>6292</v>
      </c>
      <c r="G6" s="25">
        <v>0.11799999999999999</v>
      </c>
      <c r="H6" s="27">
        <f>'[1]12 - 2019'!E11-'[1]12 - 2019'!E10</f>
        <v>26.630000000000109</v>
      </c>
      <c r="I6" s="27">
        <f>'[1]12 - 2019'!F11-'[1]12 - 2019'!F10</f>
        <v>4</v>
      </c>
      <c r="J6" s="27">
        <f>'[1]12 - 2019'!G11-'[1]12 - 2019'!G10</f>
        <v>36</v>
      </c>
      <c r="K6" s="25">
        <v>0.74</v>
      </c>
      <c r="L6" s="15">
        <v>93</v>
      </c>
      <c r="M6" s="13"/>
    </row>
    <row r="7" spans="1:13" x14ac:dyDescent="0.25">
      <c r="A7" t="s">
        <v>27</v>
      </c>
      <c r="B7">
        <f t="shared" si="0"/>
        <v>6</v>
      </c>
      <c r="C7" s="25">
        <v>1</v>
      </c>
      <c r="D7" s="25">
        <v>2020</v>
      </c>
      <c r="E7" s="27">
        <f>'[1]12 - 2019'!B12-'[1]12 - 2019'!B11</f>
        <v>3844</v>
      </c>
      <c r="F7" s="27">
        <f>'[1]12 - 2019'!C12-'[1]12 - 2019'!C11</f>
        <v>6122</v>
      </c>
      <c r="G7" s="25">
        <v>0.11799999999999999</v>
      </c>
      <c r="H7" s="27">
        <f>'[1]12 - 2019'!E12-'[1]12 - 2019'!E11</f>
        <v>27.159999999999854</v>
      </c>
      <c r="I7" s="27">
        <f>'[1]12 - 2019'!F12-'[1]12 - 2019'!F11</f>
        <v>6.0899999999999181</v>
      </c>
      <c r="J7" s="27">
        <f>'[1]12 - 2019'!G12-'[1]12 - 2019'!G11</f>
        <v>44</v>
      </c>
      <c r="K7" s="25">
        <v>0.74</v>
      </c>
      <c r="L7" s="6">
        <v>92</v>
      </c>
      <c r="M7" s="13"/>
    </row>
    <row r="8" spans="1:13" x14ac:dyDescent="0.25">
      <c r="A8" t="s">
        <v>27</v>
      </c>
      <c r="B8">
        <f t="shared" si="0"/>
        <v>7</v>
      </c>
      <c r="C8" s="25">
        <v>1</v>
      </c>
      <c r="D8" s="25">
        <v>2020</v>
      </c>
      <c r="E8" s="27">
        <f>'[1]12 - 2019'!B13-'[1]12 - 2019'!B12</f>
        <v>3713</v>
      </c>
      <c r="F8" s="27">
        <f>'[1]12 - 2019'!C13-'[1]12 - 2019'!C12</f>
        <v>6597</v>
      </c>
      <c r="G8" s="25">
        <v>0.11799999999999999</v>
      </c>
      <c r="H8" s="27">
        <f>'[1]12 - 2019'!E13-'[1]12 - 2019'!E12</f>
        <v>25.869999999999891</v>
      </c>
      <c r="I8" s="27">
        <f>'[1]12 - 2019'!F13-'[1]12 - 2019'!F12</f>
        <v>5.3700000000001182</v>
      </c>
      <c r="J8" s="27">
        <f>'[1]12 - 2019'!G13-'[1]12 - 2019'!G12</f>
        <v>41</v>
      </c>
      <c r="K8" s="25">
        <v>0.74</v>
      </c>
      <c r="L8" s="6">
        <v>82</v>
      </c>
      <c r="M8" s="13"/>
    </row>
    <row r="9" spans="1:13" x14ac:dyDescent="0.25">
      <c r="A9" t="s">
        <v>27</v>
      </c>
      <c r="B9">
        <f t="shared" si="0"/>
        <v>8</v>
      </c>
      <c r="C9" s="25">
        <v>1</v>
      </c>
      <c r="D9" s="25">
        <v>2020</v>
      </c>
      <c r="E9" s="27">
        <f>'[1]12 - 2019'!B14-'[1]12 - 2019'!B13</f>
        <v>3721</v>
      </c>
      <c r="F9" s="27">
        <f>'[1]12 - 2019'!C14-'[1]12 - 2019'!C13</f>
        <v>5668</v>
      </c>
      <c r="G9" s="25">
        <v>0.11799999999999999</v>
      </c>
      <c r="H9" s="27">
        <f>'[1]12 - 2019'!E14-'[1]12 - 2019'!E13</f>
        <v>26.079999999999927</v>
      </c>
      <c r="I9" s="27">
        <f>'[1]12 - 2019'!F14-'[1]12 - 2019'!F13</f>
        <v>4.3299999999999272</v>
      </c>
      <c r="J9" s="27">
        <f>'[1]12 - 2019'!G14-'[1]12 - 2019'!G13</f>
        <v>37</v>
      </c>
      <c r="K9" s="25">
        <v>0.74</v>
      </c>
      <c r="L9" s="6">
        <v>90</v>
      </c>
      <c r="M9" s="13"/>
    </row>
    <row r="10" spans="1:13" x14ac:dyDescent="0.25">
      <c r="A10" t="s">
        <v>27</v>
      </c>
      <c r="B10">
        <f t="shared" si="0"/>
        <v>9</v>
      </c>
      <c r="C10" s="25">
        <v>1</v>
      </c>
      <c r="D10" s="25">
        <v>2020</v>
      </c>
      <c r="E10" s="27">
        <f>'[1]12 - 2019'!B15-'[1]12 - 2019'!B14</f>
        <v>3658</v>
      </c>
      <c r="F10" s="27">
        <f>'[1]12 - 2019'!C15-'[1]12 - 2019'!C14</f>
        <v>6075</v>
      </c>
      <c r="G10" s="25">
        <v>0.11799999999999999</v>
      </c>
      <c r="H10" s="27">
        <f>'[1]12 - 2019'!E15-'[1]12 - 2019'!E14</f>
        <v>31.320000000000618</v>
      </c>
      <c r="I10" s="27">
        <f>'[1]12 - 2019'!F15-'[1]12 - 2019'!F14</f>
        <v>6.8199999999999363</v>
      </c>
      <c r="J10" s="27">
        <f>'[1]12 - 2019'!G15-'[1]12 - 2019'!G14</f>
        <v>40.540000000000873</v>
      </c>
      <c r="K10" s="25">
        <v>0.74</v>
      </c>
      <c r="L10" s="27">
        <v>97</v>
      </c>
      <c r="M10" s="13"/>
    </row>
    <row r="11" spans="1:13" x14ac:dyDescent="0.25">
      <c r="A11" t="s">
        <v>27</v>
      </c>
      <c r="B11">
        <f t="shared" si="0"/>
        <v>10</v>
      </c>
      <c r="C11" s="25">
        <v>1</v>
      </c>
      <c r="D11" s="25">
        <v>2020</v>
      </c>
      <c r="E11" s="27">
        <f>'[1]12 - 2019'!B16-'[1]12 - 2019'!B15</f>
        <v>3654</v>
      </c>
      <c r="F11" s="27">
        <f>'[1]12 - 2019'!C16-'[1]12 - 2019'!C15</f>
        <v>6002</v>
      </c>
      <c r="G11" s="25">
        <v>0.11799999999999999</v>
      </c>
      <c r="H11" s="27">
        <f>'[1]12 - 2019'!E16-'[1]12 - 2019'!E15</f>
        <v>22.259999999999309</v>
      </c>
      <c r="I11" s="27">
        <f>'[1]12 - 2019'!F16-'[1]12 - 2019'!F15</f>
        <v>5.4600000000000364</v>
      </c>
      <c r="J11" s="27">
        <f>'[1]12 - 2019'!G16-'[1]12 - 2019'!G15</f>
        <v>39.459999999999127</v>
      </c>
      <c r="K11" s="25">
        <v>0.74</v>
      </c>
      <c r="L11" s="27">
        <v>103</v>
      </c>
      <c r="M11" s="13"/>
    </row>
    <row r="12" spans="1:13" x14ac:dyDescent="0.25">
      <c r="A12" t="s">
        <v>27</v>
      </c>
      <c r="B12">
        <f t="shared" si="0"/>
        <v>11</v>
      </c>
      <c r="C12" s="25">
        <v>1</v>
      </c>
      <c r="D12" s="25">
        <v>2020</v>
      </c>
      <c r="E12" s="27">
        <f>'[1]12 - 2019'!B17-'[1]12 - 2019'!B16</f>
        <v>4016</v>
      </c>
      <c r="F12" s="27">
        <f>'[1]12 - 2019'!C17-'[1]12 - 2019'!C16</f>
        <v>6737</v>
      </c>
      <c r="G12" s="25">
        <v>0.11799999999999999</v>
      </c>
      <c r="H12" s="27">
        <f>'[1]12 - 2019'!E17-'[1]12 - 2019'!E16</f>
        <v>28.680000000000291</v>
      </c>
      <c r="I12" s="27">
        <f>'[1]12 - 2019'!F17-'[1]12 - 2019'!F16</f>
        <v>6.4100000000000819</v>
      </c>
      <c r="J12" s="27">
        <f>'[1]12 - 2019'!G17-'[1]12 - 2019'!G16</f>
        <v>43</v>
      </c>
      <c r="K12" s="25">
        <v>0.74</v>
      </c>
      <c r="L12" s="27">
        <v>92</v>
      </c>
      <c r="M12" s="13"/>
    </row>
    <row r="13" spans="1:13" x14ac:dyDescent="0.25">
      <c r="A13" t="s">
        <v>27</v>
      </c>
      <c r="B13">
        <f t="shared" si="0"/>
        <v>12</v>
      </c>
      <c r="C13" s="25">
        <v>1</v>
      </c>
      <c r="D13" s="25">
        <v>2020</v>
      </c>
      <c r="E13" s="27">
        <f>'[1]12 - 2019'!B18-'[1]12 - 2019'!B17</f>
        <v>4013</v>
      </c>
      <c r="F13" s="27">
        <f>'[1]12 - 2019'!C18-'[1]12 - 2019'!C17</f>
        <v>6595</v>
      </c>
      <c r="G13" s="25">
        <v>0.11799999999999999</v>
      </c>
      <c r="H13" s="27">
        <f>'[1]12 - 2019'!E18-'[1]12 - 2019'!E17</f>
        <v>27.100000000000364</v>
      </c>
      <c r="I13" s="27">
        <f>'[1]12 - 2019'!F18-'[1]12 - 2019'!F17</f>
        <v>5.7799999999999727</v>
      </c>
      <c r="J13" s="27">
        <f>'[1]12 - 2019'!G18-'[1]12 - 2019'!G17</f>
        <v>44</v>
      </c>
      <c r="K13" s="25">
        <v>0.74</v>
      </c>
      <c r="L13" s="27">
        <v>93</v>
      </c>
      <c r="M13" s="13"/>
    </row>
    <row r="14" spans="1:13" x14ac:dyDescent="0.25">
      <c r="A14" t="s">
        <v>27</v>
      </c>
      <c r="B14">
        <f t="shared" si="0"/>
        <v>13</v>
      </c>
      <c r="C14" s="25">
        <v>1</v>
      </c>
      <c r="D14" s="25">
        <v>2020</v>
      </c>
      <c r="E14" s="27">
        <v>0</v>
      </c>
      <c r="F14" s="27">
        <v>0</v>
      </c>
      <c r="G14" s="25">
        <v>0.11799999999999999</v>
      </c>
      <c r="H14" s="27">
        <v>0</v>
      </c>
      <c r="I14" s="27">
        <v>0</v>
      </c>
      <c r="J14" s="27">
        <v>0</v>
      </c>
      <c r="K14" s="25">
        <v>0.74</v>
      </c>
      <c r="L14" s="6"/>
      <c r="M14" s="13"/>
    </row>
    <row r="15" spans="1:13" x14ac:dyDescent="0.25">
      <c r="A15" t="s">
        <v>27</v>
      </c>
      <c r="B15">
        <f t="shared" si="0"/>
        <v>14</v>
      </c>
      <c r="C15" s="25">
        <v>1</v>
      </c>
      <c r="D15" s="25">
        <v>2020</v>
      </c>
      <c r="E15" s="27">
        <f>'01 - 2020'!B20-'01 - 2020'!B19</f>
        <v>0</v>
      </c>
      <c r="F15" s="27">
        <f>'01 - 2020'!C20-'01 - 2020'!C19</f>
        <v>0</v>
      </c>
      <c r="G15" s="25">
        <v>0.11799999999999999</v>
      </c>
      <c r="H15" s="27">
        <f>'01 - 2020'!E20-'01 - 2020'!E19</f>
        <v>0</v>
      </c>
      <c r="I15" s="27">
        <f>'01 - 2020'!F20-'01 - 2020'!F19</f>
        <v>0</v>
      </c>
      <c r="J15" s="27">
        <f>'01 - 2020'!G20-'01 - 2020'!G19</f>
        <v>0</v>
      </c>
      <c r="K15" s="25">
        <v>0.74</v>
      </c>
      <c r="L15" s="6"/>
      <c r="M15" s="13"/>
    </row>
    <row r="16" spans="1:13" x14ac:dyDescent="0.25">
      <c r="A16" t="s">
        <v>27</v>
      </c>
      <c r="B16">
        <f t="shared" si="0"/>
        <v>15</v>
      </c>
      <c r="C16" s="25">
        <v>1</v>
      </c>
      <c r="D16" s="25">
        <v>2020</v>
      </c>
      <c r="E16" s="27">
        <f>'01 - 2020'!B21-'01 - 2020'!B20</f>
        <v>0</v>
      </c>
      <c r="F16" s="27">
        <f>'01 - 2020'!C21-'01 - 2020'!C20</f>
        <v>0</v>
      </c>
      <c r="G16" s="25">
        <v>0.11799999999999999</v>
      </c>
      <c r="H16" s="27">
        <f>'01 - 2020'!E21-'01 - 2020'!E20</f>
        <v>0</v>
      </c>
      <c r="I16" s="27">
        <f>'01 - 2020'!F21-'01 - 2020'!F20</f>
        <v>0</v>
      </c>
      <c r="J16" s="27">
        <f>'01 - 2020'!G21-'01 - 2020'!G20</f>
        <v>0</v>
      </c>
      <c r="K16" s="25">
        <v>0.74</v>
      </c>
      <c r="L16" s="27"/>
      <c r="M16" s="13"/>
    </row>
    <row r="17" spans="1:13" x14ac:dyDescent="0.25">
      <c r="A17" t="s">
        <v>27</v>
      </c>
      <c r="B17">
        <f t="shared" si="0"/>
        <v>16</v>
      </c>
      <c r="C17" s="25">
        <v>1</v>
      </c>
      <c r="D17" s="25">
        <v>2020</v>
      </c>
      <c r="E17" s="27">
        <f>'01 - 2020'!B22-'01 - 2020'!B21</f>
        <v>0</v>
      </c>
      <c r="F17" s="27">
        <f>'01 - 2020'!C22-'01 - 2020'!C21</f>
        <v>0</v>
      </c>
      <c r="G17" s="25">
        <v>0.11799999999999999</v>
      </c>
      <c r="H17" s="27">
        <f>'01 - 2020'!E22-'01 - 2020'!E21</f>
        <v>0</v>
      </c>
      <c r="I17" s="27">
        <f>'01 - 2020'!F22-'01 - 2020'!F21</f>
        <v>0</v>
      </c>
      <c r="J17" s="27">
        <f>'01 - 2020'!G22-'01 - 2020'!G21</f>
        <v>0</v>
      </c>
      <c r="K17" s="25">
        <v>0.74</v>
      </c>
      <c r="L17" s="27"/>
      <c r="M17" s="13"/>
    </row>
    <row r="18" spans="1:13" x14ac:dyDescent="0.25">
      <c r="A18" t="s">
        <v>27</v>
      </c>
      <c r="B18">
        <f t="shared" si="0"/>
        <v>17</v>
      </c>
      <c r="C18" s="25">
        <v>1</v>
      </c>
      <c r="D18" s="25">
        <v>2020</v>
      </c>
      <c r="E18" s="27">
        <f>'01 - 2020'!B23-'01 - 2020'!B22</f>
        <v>0</v>
      </c>
      <c r="F18" s="27">
        <f>'01 - 2020'!C23-'01 - 2020'!C22</f>
        <v>0</v>
      </c>
      <c r="G18" s="25">
        <v>0.11799999999999999</v>
      </c>
      <c r="H18" s="27">
        <f>'01 - 2020'!E23-'01 - 2020'!E22</f>
        <v>0</v>
      </c>
      <c r="I18" s="27">
        <f>'01 - 2020'!F23-'01 - 2020'!F22</f>
        <v>0</v>
      </c>
      <c r="J18" s="27">
        <f>'01 - 2020'!G23-'01 - 2020'!G22</f>
        <v>0</v>
      </c>
      <c r="K18" s="25">
        <v>0.74</v>
      </c>
      <c r="L18" s="27"/>
      <c r="M18" s="13"/>
    </row>
    <row r="19" spans="1:13" x14ac:dyDescent="0.25">
      <c r="A19" t="s">
        <v>27</v>
      </c>
      <c r="B19">
        <f>B18+1</f>
        <v>18</v>
      </c>
      <c r="C19" s="25">
        <v>1</v>
      </c>
      <c r="D19" s="25">
        <v>2020</v>
      </c>
      <c r="E19" s="27">
        <f>'01 - 2020'!B24-'01 - 2020'!B23</f>
        <v>0</v>
      </c>
      <c r="F19" s="27">
        <f>'01 - 2020'!C24-'01 - 2020'!C23</f>
        <v>0</v>
      </c>
      <c r="G19" s="25">
        <v>0.11799999999999999</v>
      </c>
      <c r="H19" s="27">
        <f>'01 - 2020'!E24-'01 - 2020'!E23</f>
        <v>0</v>
      </c>
      <c r="I19" s="27">
        <f>'01 - 2020'!F24-'01 - 2020'!F23</f>
        <v>0</v>
      </c>
      <c r="J19" s="27">
        <f>'01 - 2020'!G24-'01 - 2020'!G23</f>
        <v>0</v>
      </c>
      <c r="K19" s="25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5">
        <v>1</v>
      </c>
      <c r="D20" s="25">
        <v>2020</v>
      </c>
      <c r="E20" s="27">
        <f>'01 - 2020'!B25-'01 - 2020'!B24</f>
        <v>0</v>
      </c>
      <c r="F20" s="27">
        <f>'01 - 2020'!C25-'01 - 2020'!C24</f>
        <v>0</v>
      </c>
      <c r="G20" s="25">
        <v>0.11799999999999999</v>
      </c>
      <c r="H20" s="27">
        <f>'01 - 2020'!E25-'01 - 2020'!E24</f>
        <v>0</v>
      </c>
      <c r="I20" s="27">
        <f>'01 - 2020'!F25-'01 - 2020'!F24</f>
        <v>0</v>
      </c>
      <c r="J20" s="27">
        <f>'01 - 2020'!G25-'01 - 2020'!G24</f>
        <v>0</v>
      </c>
      <c r="K20" s="25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5">
        <v>1</v>
      </c>
      <c r="D21" s="25">
        <v>2020</v>
      </c>
      <c r="E21" s="27">
        <f>'01 - 2020'!B26-'01 - 2020'!B25</f>
        <v>0</v>
      </c>
      <c r="F21" s="27">
        <f>'01 - 2020'!C26-'01 - 2020'!C25</f>
        <v>0</v>
      </c>
      <c r="G21" s="25">
        <v>0.11799999999999999</v>
      </c>
      <c r="H21" s="27">
        <f>'01 - 2020'!E26-'01 - 2020'!E25</f>
        <v>0</v>
      </c>
      <c r="I21" s="27">
        <f>'01 - 2020'!F26-'01 - 2020'!F25</f>
        <v>0</v>
      </c>
      <c r="J21" s="27">
        <f>'01 - 2020'!G26-'01 - 2020'!G25</f>
        <v>0</v>
      </c>
      <c r="K21" s="25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5">
        <v>1</v>
      </c>
      <c r="D22" s="25">
        <v>2020</v>
      </c>
      <c r="E22" s="27">
        <f>'01 - 2020'!B27-'01 - 2020'!B26</f>
        <v>0</v>
      </c>
      <c r="F22" s="27">
        <f>'01 - 2020'!C27-'01 - 2020'!C26</f>
        <v>0</v>
      </c>
      <c r="G22" s="25">
        <v>0.11799999999999999</v>
      </c>
      <c r="H22" s="27">
        <f>'01 - 2020'!E27-'01 - 2020'!E26</f>
        <v>0</v>
      </c>
      <c r="I22" s="27">
        <f>'01 - 2020'!F27-'01 - 2020'!F26</f>
        <v>0</v>
      </c>
      <c r="J22" s="27">
        <f>'01 - 2020'!G27-'01 - 2020'!G26</f>
        <v>0</v>
      </c>
      <c r="K22" s="25">
        <v>0.74</v>
      </c>
      <c r="L22" s="27"/>
      <c r="M22" s="13"/>
    </row>
    <row r="23" spans="1:13" x14ac:dyDescent="0.25">
      <c r="A23" t="s">
        <v>27</v>
      </c>
      <c r="B23">
        <f t="shared" si="0"/>
        <v>22</v>
      </c>
      <c r="C23" s="25">
        <v>1</v>
      </c>
      <c r="D23" s="25">
        <v>2020</v>
      </c>
      <c r="E23" s="27">
        <f>'01 - 2020'!B28-'01 - 2020'!B27</f>
        <v>0</v>
      </c>
      <c r="F23" s="27">
        <f>'01 - 2020'!C28-'01 - 2020'!C27</f>
        <v>0</v>
      </c>
      <c r="G23" s="25">
        <v>0.11799999999999999</v>
      </c>
      <c r="H23" s="27">
        <f>'01 - 2020'!E28-'01 - 2020'!E27</f>
        <v>0</v>
      </c>
      <c r="I23" s="27">
        <f>'01 - 2020'!F28-'01 - 2020'!F27</f>
        <v>0</v>
      </c>
      <c r="J23" s="27">
        <f>'01 - 2020'!G28-'01 - 2020'!G27</f>
        <v>0</v>
      </c>
      <c r="K23" s="25">
        <v>0.74</v>
      </c>
      <c r="L23" s="27"/>
      <c r="M23" s="13"/>
    </row>
    <row r="24" spans="1:13" x14ac:dyDescent="0.25">
      <c r="A24" t="s">
        <v>27</v>
      </c>
      <c r="B24">
        <f t="shared" si="0"/>
        <v>23</v>
      </c>
      <c r="C24" s="25">
        <v>1</v>
      </c>
      <c r="D24" s="25">
        <v>2020</v>
      </c>
      <c r="E24" s="27">
        <f>'01 - 2020'!B29-'01 - 2020'!B28</f>
        <v>0</v>
      </c>
      <c r="F24" s="27">
        <f>'01 - 2020'!C29-'01 - 2020'!C28</f>
        <v>0</v>
      </c>
      <c r="G24" s="25">
        <v>0.11799999999999999</v>
      </c>
      <c r="H24" s="27">
        <f>'01 - 2020'!E29-'01 - 2020'!E28</f>
        <v>0</v>
      </c>
      <c r="I24" s="27">
        <f>'01 - 2020'!F29-'01 - 2020'!F28</f>
        <v>0</v>
      </c>
      <c r="J24" s="27">
        <f>'01 - 2020'!G29-'01 - 2020'!G28</f>
        <v>0</v>
      </c>
      <c r="K24" s="25">
        <v>0.74</v>
      </c>
      <c r="L24" s="27"/>
      <c r="M24" s="13"/>
    </row>
    <row r="25" spans="1:13" x14ac:dyDescent="0.25">
      <c r="A25" t="s">
        <v>27</v>
      </c>
      <c r="B25">
        <f t="shared" si="0"/>
        <v>24</v>
      </c>
      <c r="C25" s="25">
        <v>1</v>
      </c>
      <c r="D25" s="25">
        <v>2020</v>
      </c>
      <c r="E25" s="27">
        <f>'01 - 2020'!B30-'01 - 2020'!B29</f>
        <v>0</v>
      </c>
      <c r="F25" s="27">
        <f>'01 - 2020'!C30-'01 - 2020'!C29</f>
        <v>0</v>
      </c>
      <c r="G25" s="25">
        <v>0.11799999999999999</v>
      </c>
      <c r="H25" s="27">
        <f>'01 - 2020'!E30-'01 - 2020'!E29</f>
        <v>0</v>
      </c>
      <c r="I25" s="27">
        <f>'01 - 2020'!F30-'01 - 2020'!F29</f>
        <v>0</v>
      </c>
      <c r="J25" s="27">
        <f>'01 - 2020'!G30-'01 - 2020'!G29</f>
        <v>0</v>
      </c>
      <c r="K25" s="25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5">
        <v>1</v>
      </c>
      <c r="D26" s="25">
        <v>2020</v>
      </c>
      <c r="E26" s="27">
        <f>'01 - 2020'!B31-'01 - 2020'!B30</f>
        <v>0</v>
      </c>
      <c r="F26" s="27">
        <f>'01 - 2020'!C31-'01 - 2020'!C30</f>
        <v>0</v>
      </c>
      <c r="G26" s="25">
        <v>0.11799999999999999</v>
      </c>
      <c r="H26" s="27">
        <f>'01 - 2020'!E31-'01 - 2020'!E30</f>
        <v>0</v>
      </c>
      <c r="I26" s="27">
        <f>'01 - 2020'!F31-'01 - 2020'!F30</f>
        <v>0</v>
      </c>
      <c r="J26" s="27">
        <f>'01 - 2020'!G31-'01 - 2020'!G30</f>
        <v>0</v>
      </c>
      <c r="K26" s="25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5">
        <v>1</v>
      </c>
      <c r="D27" s="25">
        <v>2020</v>
      </c>
      <c r="E27" s="27">
        <f>'01 - 2020'!B32-'01 - 2020'!B31</f>
        <v>0</v>
      </c>
      <c r="F27" s="27">
        <f>'01 - 2020'!C32-'01 - 2020'!C31</f>
        <v>0</v>
      </c>
      <c r="G27" s="25">
        <v>0.11799999999999999</v>
      </c>
      <c r="H27" s="27">
        <f>'01 - 2020'!E32-'01 - 2020'!E31</f>
        <v>0</v>
      </c>
      <c r="I27" s="27">
        <f>'01 - 2020'!F32-'01 - 2020'!F31</f>
        <v>0</v>
      </c>
      <c r="J27" s="27">
        <f>'01 - 2020'!G32-'01 - 2020'!G31</f>
        <v>0</v>
      </c>
      <c r="K27" s="25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5">
        <v>1</v>
      </c>
      <c r="D28" s="25">
        <v>2020</v>
      </c>
      <c r="E28" s="27">
        <v>0</v>
      </c>
      <c r="F28" s="27">
        <v>0</v>
      </c>
      <c r="G28" s="25">
        <v>0.11799999999999999</v>
      </c>
      <c r="H28" s="27">
        <v>0</v>
      </c>
      <c r="I28" s="27">
        <v>0</v>
      </c>
      <c r="J28" s="27">
        <v>0</v>
      </c>
      <c r="K28" s="25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5">
        <v>1</v>
      </c>
      <c r="D29" s="25">
        <v>2020</v>
      </c>
      <c r="E29" s="27">
        <f>'01 - 2020'!B34-'01 - 2020'!B33</f>
        <v>0</v>
      </c>
      <c r="F29" s="27">
        <f>'01 - 2020'!C34-'01 - 2020'!C33</f>
        <v>0</v>
      </c>
      <c r="G29" s="25">
        <v>0.11799999999999999</v>
      </c>
      <c r="H29" s="27">
        <f>'01 - 2020'!E34-'01 - 2020'!E33</f>
        <v>0</v>
      </c>
      <c r="I29" s="27">
        <f>'01 - 2020'!F34-'01 - 2020'!F33</f>
        <v>0</v>
      </c>
      <c r="J29" s="27">
        <f>'01 - 2020'!G34-'01 - 2020'!G33</f>
        <v>0</v>
      </c>
      <c r="K29" s="25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5">
        <v>1</v>
      </c>
      <c r="D30" s="25">
        <v>2020</v>
      </c>
      <c r="E30" s="27">
        <v>0</v>
      </c>
      <c r="F30" s="27">
        <v>0</v>
      </c>
      <c r="G30" s="25">
        <v>0.11799999999999999</v>
      </c>
      <c r="H30" s="27">
        <v>0</v>
      </c>
      <c r="I30" s="27">
        <v>0</v>
      </c>
      <c r="J30" s="27">
        <v>0</v>
      </c>
      <c r="K30" s="25">
        <v>0.74</v>
      </c>
      <c r="L30" s="6"/>
    </row>
    <row r="31" spans="1:13" x14ac:dyDescent="0.25">
      <c r="A31" t="s">
        <v>27</v>
      </c>
      <c r="B31">
        <f t="shared" si="0"/>
        <v>30</v>
      </c>
      <c r="C31" s="25">
        <v>1</v>
      </c>
      <c r="D31" s="25">
        <v>2020</v>
      </c>
      <c r="E31" s="27">
        <f>'01 - 2020'!B36-'01 - 2020'!B35</f>
        <v>0</v>
      </c>
      <c r="F31" s="27">
        <f>'01 - 2020'!C36-'01 - 2020'!C35</f>
        <v>0</v>
      </c>
      <c r="G31" s="25">
        <v>0.11799999999999999</v>
      </c>
      <c r="H31" s="27">
        <f>'01 - 2020'!E36-'01 - 2020'!E35</f>
        <v>0</v>
      </c>
      <c r="I31" s="27">
        <f>'01 - 2020'!F36-'01 - 2020'!F35</f>
        <v>0</v>
      </c>
      <c r="J31" s="27">
        <f>'01 - 2020'!G36-'01 - 2020'!G35</f>
        <v>0</v>
      </c>
      <c r="K31" s="25">
        <v>0.74</v>
      </c>
      <c r="L31" s="6"/>
    </row>
    <row r="32" spans="1:13" x14ac:dyDescent="0.25">
      <c r="A32" s="25" t="s">
        <v>27</v>
      </c>
      <c r="B32">
        <v>31</v>
      </c>
      <c r="C32" s="25">
        <v>1</v>
      </c>
      <c r="D32" s="25">
        <v>2020</v>
      </c>
      <c r="E32" s="27">
        <f>'01 - 2020'!B37-'01 - 2020'!B36</f>
        <v>0</v>
      </c>
      <c r="F32" s="27">
        <f>'01 - 2020'!C37-'01 - 2020'!C36</f>
        <v>0</v>
      </c>
      <c r="G32" s="25">
        <v>0.11799999999999999</v>
      </c>
      <c r="H32" s="27">
        <f>'01 - 2020'!E37-'01 - 2020'!E36</f>
        <v>0</v>
      </c>
      <c r="I32" s="27">
        <f>'01 - 2020'!F37-'01 - 2020'!F36</f>
        <v>0</v>
      </c>
      <c r="J32" s="27">
        <f>'01 - 2020'!G37-'01 - 2020'!G36</f>
        <v>0</v>
      </c>
      <c r="K32" s="25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L27" sqref="L27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0" t="s">
        <v>30</v>
      </c>
      <c r="B2" s="60"/>
      <c r="C2" s="60"/>
      <c r="D2" s="60"/>
      <c r="E2" s="60"/>
      <c r="F2" s="60"/>
      <c r="G2" s="60"/>
      <c r="H2" s="60"/>
      <c r="I2" s="60"/>
      <c r="J2" s="60"/>
      <c r="K2" s="25"/>
      <c r="L2" s="25"/>
    </row>
    <row r="3" spans="1:15" ht="16.5" thickBot="1" x14ac:dyDescent="0.3">
      <c r="A3" s="53" t="s">
        <v>36</v>
      </c>
      <c r="B3" s="53"/>
      <c r="C3" s="53"/>
      <c r="D3" s="53"/>
      <c r="E3" s="53"/>
      <c r="F3" s="53"/>
      <c r="G3" s="53"/>
      <c r="H3" s="53"/>
      <c r="I3" s="53"/>
      <c r="J3" s="53"/>
      <c r="K3" s="25"/>
      <c r="L3" s="25"/>
    </row>
    <row r="4" spans="1:15" ht="16.5" thickBot="1" x14ac:dyDescent="0.3">
      <c r="A4" s="2"/>
      <c r="B4" s="54">
        <v>19</v>
      </c>
      <c r="C4" s="55"/>
      <c r="D4" s="54" t="s">
        <v>0</v>
      </c>
      <c r="E4" s="56"/>
      <c r="F4" s="56"/>
      <c r="G4" s="57"/>
      <c r="H4" s="58" t="s">
        <v>1</v>
      </c>
      <c r="I4" s="59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50">
        <v>43830</v>
      </c>
      <c r="B6" s="16">
        <v>371020</v>
      </c>
      <c r="C6" s="16">
        <v>262903</v>
      </c>
      <c r="D6" s="17">
        <v>0.5</v>
      </c>
      <c r="E6" s="30">
        <v>8752.6200000000008</v>
      </c>
      <c r="F6" s="30">
        <v>1649.89</v>
      </c>
      <c r="G6" s="18">
        <v>15141.97</v>
      </c>
      <c r="H6" s="16">
        <v>14528</v>
      </c>
      <c r="I6" s="16">
        <v>83575</v>
      </c>
      <c r="J6" s="16">
        <v>37225210</v>
      </c>
      <c r="K6" s="19"/>
      <c r="L6" s="34"/>
    </row>
    <row r="7" spans="1:15" ht="12.75" customHeight="1" x14ac:dyDescent="0.25">
      <c r="A7" s="49">
        <v>43466</v>
      </c>
      <c r="B7" s="38">
        <v>375325</v>
      </c>
      <c r="C7" s="39">
        <v>269487</v>
      </c>
      <c r="D7" s="40">
        <v>0.43</v>
      </c>
      <c r="E7" s="41">
        <v>8777.69</v>
      </c>
      <c r="F7" s="41">
        <v>1656.4</v>
      </c>
      <c r="G7" s="41">
        <v>15184.92</v>
      </c>
      <c r="H7" s="42">
        <v>14528</v>
      </c>
      <c r="I7" s="42">
        <v>83709</v>
      </c>
      <c r="J7" s="42">
        <v>37241070</v>
      </c>
      <c r="K7" s="43"/>
      <c r="L7" s="44"/>
    </row>
    <row r="8" spans="1:15" ht="12.75" customHeight="1" x14ac:dyDescent="0.25">
      <c r="A8" s="49">
        <v>43467</v>
      </c>
      <c r="B8" s="28">
        <v>379100</v>
      </c>
      <c r="C8" s="20">
        <v>275467</v>
      </c>
      <c r="D8" s="17">
        <v>0.36</v>
      </c>
      <c r="E8" s="24">
        <v>8801.2800000000007</v>
      </c>
      <c r="F8" s="24">
        <v>1661.81</v>
      </c>
      <c r="G8" s="24">
        <v>15221.18</v>
      </c>
      <c r="H8" s="20">
        <v>14528</v>
      </c>
      <c r="I8" s="16">
        <v>83811</v>
      </c>
      <c r="J8" s="16">
        <v>37254084</v>
      </c>
      <c r="K8" s="19"/>
      <c r="L8" s="34"/>
    </row>
    <row r="9" spans="1:15" ht="12.75" customHeight="1" x14ac:dyDescent="0.25">
      <c r="A9" s="49">
        <v>43468</v>
      </c>
      <c r="B9" s="16">
        <v>383172</v>
      </c>
      <c r="C9" s="16">
        <v>281953</v>
      </c>
      <c r="D9" s="17">
        <v>0.85</v>
      </c>
      <c r="E9" s="24">
        <v>8825</v>
      </c>
      <c r="F9" s="24">
        <v>1668.1</v>
      </c>
      <c r="G9" s="24">
        <v>15261.71</v>
      </c>
      <c r="H9" s="20">
        <v>14528</v>
      </c>
      <c r="I9" s="16">
        <v>83932</v>
      </c>
      <c r="J9" s="16">
        <v>37269901</v>
      </c>
      <c r="K9" s="19"/>
      <c r="L9" s="34"/>
    </row>
    <row r="10" spans="1:15" ht="12.75" customHeight="1" x14ac:dyDescent="0.25">
      <c r="A10" s="49">
        <v>43469</v>
      </c>
      <c r="B10" s="16">
        <v>386677</v>
      </c>
      <c r="C10" s="16">
        <v>287581</v>
      </c>
      <c r="D10" s="17">
        <v>0.78</v>
      </c>
      <c r="E10" s="24">
        <v>8848.18</v>
      </c>
      <c r="F10" s="24">
        <v>1674.1</v>
      </c>
      <c r="G10" s="24">
        <v>15299.18</v>
      </c>
      <c r="H10" s="20">
        <v>14528</v>
      </c>
      <c r="I10" s="16">
        <v>84063</v>
      </c>
      <c r="J10" s="16">
        <v>37283729</v>
      </c>
      <c r="K10" s="19"/>
      <c r="L10" s="34"/>
    </row>
    <row r="11" spans="1:15" ht="12.75" customHeight="1" x14ac:dyDescent="0.25">
      <c r="A11" s="49">
        <v>43470</v>
      </c>
      <c r="B11" s="16">
        <v>390917</v>
      </c>
      <c r="C11" s="16">
        <v>294379</v>
      </c>
      <c r="D11" s="17">
        <v>0.7</v>
      </c>
      <c r="E11" s="24">
        <v>8871.18</v>
      </c>
      <c r="F11" s="24">
        <v>1680.18</v>
      </c>
      <c r="G11" s="24">
        <v>15344.8</v>
      </c>
      <c r="H11" s="16">
        <v>14528</v>
      </c>
      <c r="I11" s="16">
        <v>84177</v>
      </c>
      <c r="J11" s="16">
        <v>37299559</v>
      </c>
      <c r="K11" s="19"/>
      <c r="L11" s="34"/>
    </row>
    <row r="12" spans="1:15" ht="12.75" customHeight="1" x14ac:dyDescent="0.25">
      <c r="A12" s="49">
        <v>43471</v>
      </c>
      <c r="B12" s="16">
        <v>394057</v>
      </c>
      <c r="C12" s="16">
        <v>299244</v>
      </c>
      <c r="D12" s="17">
        <v>0.63</v>
      </c>
      <c r="E12" s="24">
        <v>8893.51</v>
      </c>
      <c r="F12" s="24">
        <v>1686.06</v>
      </c>
      <c r="G12" s="24">
        <v>15376.52</v>
      </c>
      <c r="H12" s="16">
        <v>14528</v>
      </c>
      <c r="I12" s="18">
        <v>84263</v>
      </c>
      <c r="J12" s="18">
        <v>37312092</v>
      </c>
      <c r="K12" s="19"/>
      <c r="L12" s="34"/>
    </row>
    <row r="13" spans="1:15" ht="12.75" customHeight="1" x14ac:dyDescent="0.25">
      <c r="A13" s="49">
        <v>43472</v>
      </c>
      <c r="B13" s="16">
        <v>398263</v>
      </c>
      <c r="C13" s="16">
        <v>305376</v>
      </c>
      <c r="D13" s="17">
        <v>0.55000000000000004</v>
      </c>
      <c r="E13" s="24">
        <v>8919.77</v>
      </c>
      <c r="F13" s="24">
        <v>1692.26</v>
      </c>
      <c r="G13" s="18">
        <v>15413.97</v>
      </c>
      <c r="H13" s="16">
        <v>14528</v>
      </c>
      <c r="I13" s="16">
        <v>84367</v>
      </c>
      <c r="J13" s="16">
        <v>37325840</v>
      </c>
      <c r="K13" s="28"/>
      <c r="L13" s="34"/>
      <c r="O13" s="27"/>
    </row>
    <row r="14" spans="1:15" ht="12.75" customHeight="1" x14ac:dyDescent="0.25">
      <c r="A14" s="49">
        <v>43473</v>
      </c>
      <c r="B14" s="20">
        <v>402611</v>
      </c>
      <c r="C14" s="16">
        <v>311983</v>
      </c>
      <c r="D14" s="17">
        <v>0.47</v>
      </c>
      <c r="E14" s="24">
        <v>8947.18</v>
      </c>
      <c r="F14" s="24">
        <v>1698.29</v>
      </c>
      <c r="G14" s="18">
        <v>15458.18</v>
      </c>
      <c r="H14" s="16">
        <v>14528</v>
      </c>
      <c r="I14" s="16">
        <v>84510</v>
      </c>
      <c r="J14" s="16">
        <v>37339390</v>
      </c>
      <c r="K14" s="19"/>
      <c r="L14" s="34"/>
      <c r="O14" s="27"/>
    </row>
    <row r="15" spans="1:15" ht="12.75" customHeight="1" x14ac:dyDescent="0.25">
      <c r="A15" s="49">
        <v>43474</v>
      </c>
      <c r="B15" s="51">
        <v>406292</v>
      </c>
      <c r="C15" s="16">
        <v>317579</v>
      </c>
      <c r="D15" s="17">
        <v>0.4</v>
      </c>
      <c r="E15" s="24">
        <v>8970.07</v>
      </c>
      <c r="F15" s="24">
        <v>1704.02</v>
      </c>
      <c r="G15" s="18">
        <v>15489.91</v>
      </c>
      <c r="H15" s="16">
        <v>14528</v>
      </c>
      <c r="I15" s="16">
        <v>84639</v>
      </c>
      <c r="J15" s="16">
        <v>37352016</v>
      </c>
      <c r="K15" s="19"/>
      <c r="L15" s="34"/>
    </row>
    <row r="16" spans="1:15" ht="12.75" customHeight="1" x14ac:dyDescent="0.25">
      <c r="A16" s="49">
        <v>43475</v>
      </c>
      <c r="B16" s="18">
        <v>410312</v>
      </c>
      <c r="C16" s="18">
        <v>323899</v>
      </c>
      <c r="D16" s="29">
        <v>0.85</v>
      </c>
      <c r="E16" s="24">
        <v>8994.8799999999992</v>
      </c>
      <c r="F16" s="24">
        <v>1710.66</v>
      </c>
      <c r="G16" s="18">
        <v>15528.17</v>
      </c>
      <c r="H16" s="16">
        <v>14528</v>
      </c>
      <c r="I16" s="18">
        <v>86747</v>
      </c>
      <c r="J16" s="18">
        <v>37365352</v>
      </c>
      <c r="K16" s="19"/>
      <c r="L16" s="34"/>
    </row>
    <row r="17" spans="1:16" ht="12.75" customHeight="1" x14ac:dyDescent="0.25">
      <c r="A17" s="49">
        <v>43476</v>
      </c>
      <c r="B17" s="16">
        <v>414350</v>
      </c>
      <c r="C17" s="16">
        <v>330019</v>
      </c>
      <c r="D17" s="17">
        <v>0.79</v>
      </c>
      <c r="E17" s="24">
        <v>9034</v>
      </c>
      <c r="F17" s="24">
        <v>1716</v>
      </c>
      <c r="G17" s="18">
        <v>15557</v>
      </c>
      <c r="H17" s="16">
        <v>14528</v>
      </c>
      <c r="I17" s="16">
        <v>84851</v>
      </c>
      <c r="J17" s="16">
        <v>37376804</v>
      </c>
      <c r="K17" s="19"/>
      <c r="L17" s="34"/>
      <c r="P17" s="27"/>
    </row>
    <row r="18" spans="1:16" ht="12.75" customHeight="1" x14ac:dyDescent="0.25">
      <c r="A18" s="49">
        <v>43477</v>
      </c>
      <c r="B18" s="16">
        <v>418026</v>
      </c>
      <c r="C18" s="16">
        <v>335397</v>
      </c>
      <c r="D18" s="17">
        <v>0.72</v>
      </c>
      <c r="E18" s="24">
        <v>9069.67</v>
      </c>
      <c r="F18" s="24">
        <v>1720.46</v>
      </c>
      <c r="G18" s="18">
        <v>15612.21</v>
      </c>
      <c r="H18" s="16">
        <v>14528</v>
      </c>
      <c r="I18" s="16">
        <v>84996</v>
      </c>
      <c r="J18" s="16">
        <v>37389748</v>
      </c>
      <c r="K18" s="19"/>
      <c r="L18" s="34"/>
      <c r="P18" s="27"/>
    </row>
    <row r="19" spans="1:16" ht="12.75" customHeight="1" x14ac:dyDescent="0.25">
      <c r="A19" s="49">
        <v>43478</v>
      </c>
      <c r="B19" s="16"/>
      <c r="C19" s="16"/>
      <c r="D19" s="17"/>
      <c r="E19" s="24"/>
      <c r="F19" s="24"/>
      <c r="G19" s="18"/>
      <c r="H19" s="16"/>
      <c r="I19" s="16"/>
      <c r="J19" s="16"/>
      <c r="K19" s="19"/>
      <c r="L19" s="34"/>
    </row>
    <row r="20" spans="1:16" ht="12.75" customHeight="1" x14ac:dyDescent="0.25">
      <c r="A20" s="49">
        <v>43479</v>
      </c>
      <c r="B20" s="16"/>
      <c r="C20" s="16"/>
      <c r="D20" s="17"/>
      <c r="E20" s="24"/>
      <c r="F20" s="24"/>
      <c r="G20" s="18"/>
      <c r="H20" s="16"/>
      <c r="I20" s="16"/>
      <c r="J20" s="16"/>
      <c r="K20" s="19"/>
      <c r="L20" s="34"/>
    </row>
    <row r="21" spans="1:16" ht="12.75" customHeight="1" x14ac:dyDescent="0.25">
      <c r="A21" s="49">
        <v>43480</v>
      </c>
      <c r="B21" s="16"/>
      <c r="C21" s="16"/>
      <c r="D21" s="17"/>
      <c r="E21" s="24"/>
      <c r="F21" s="24"/>
      <c r="G21" s="18"/>
      <c r="H21" s="16"/>
      <c r="I21" s="18"/>
      <c r="J21" s="16"/>
      <c r="K21" s="28"/>
      <c r="L21" s="34"/>
    </row>
    <row r="22" spans="1:16" ht="12.75" customHeight="1" x14ac:dyDescent="0.25">
      <c r="A22" s="49">
        <v>43481</v>
      </c>
      <c r="B22" s="22"/>
      <c r="C22" s="22"/>
      <c r="D22" s="17"/>
      <c r="E22" s="30"/>
      <c r="F22" s="30"/>
      <c r="G22" s="18"/>
      <c r="H22" s="16"/>
      <c r="I22" s="16"/>
      <c r="J22" s="16"/>
      <c r="K22" s="28"/>
      <c r="L22" s="34"/>
    </row>
    <row r="23" spans="1:16" ht="12.75" customHeight="1" x14ac:dyDescent="0.25">
      <c r="A23" s="49">
        <v>43482</v>
      </c>
      <c r="B23" s="22"/>
      <c r="C23" s="22"/>
      <c r="D23" s="17"/>
      <c r="E23" s="30"/>
      <c r="F23" s="30"/>
      <c r="G23" s="18"/>
      <c r="H23" s="16"/>
      <c r="I23" s="16"/>
      <c r="J23" s="16"/>
      <c r="K23" s="19"/>
      <c r="L23" s="35"/>
    </row>
    <row r="24" spans="1:16" ht="12.75" customHeight="1" x14ac:dyDescent="0.25">
      <c r="A24" s="49">
        <v>43483</v>
      </c>
      <c r="B24" s="18"/>
      <c r="C24" s="18"/>
      <c r="D24" s="29"/>
      <c r="E24" s="30"/>
      <c r="F24" s="30"/>
      <c r="G24" s="18"/>
      <c r="H24" s="16"/>
      <c r="I24" s="16"/>
      <c r="J24" s="16"/>
      <c r="K24" s="28"/>
      <c r="L24" s="35"/>
    </row>
    <row r="25" spans="1:16" ht="12.75" customHeight="1" x14ac:dyDescent="0.25">
      <c r="A25" s="49">
        <v>43484</v>
      </c>
      <c r="B25" s="18"/>
      <c r="C25" s="18"/>
      <c r="D25" s="29"/>
      <c r="E25" s="30"/>
      <c r="F25" s="30"/>
      <c r="G25" s="18"/>
      <c r="H25" s="16"/>
      <c r="I25" s="16"/>
      <c r="J25" s="16"/>
      <c r="K25" s="28"/>
      <c r="L25" s="35"/>
    </row>
    <row r="26" spans="1:16" ht="12.75" customHeight="1" x14ac:dyDescent="0.25">
      <c r="A26" s="49">
        <v>43485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49">
        <v>43486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49">
        <v>43487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49">
        <v>43488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4"/>
      <c r="P29" s="6"/>
    </row>
    <row r="30" spans="1:16" ht="12.75" customHeight="1" x14ac:dyDescent="0.25">
      <c r="A30" s="49">
        <v>43489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49">
        <v>43490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6"/>
      <c r="P31" s="6"/>
    </row>
    <row r="32" spans="1:16" ht="12.75" customHeight="1" x14ac:dyDescent="0.25">
      <c r="A32" s="49">
        <v>43491</v>
      </c>
      <c r="B32" s="16"/>
      <c r="C32" s="16"/>
      <c r="D32" s="17"/>
      <c r="E32" s="30"/>
      <c r="F32" s="30"/>
      <c r="G32" s="18"/>
      <c r="H32" s="16"/>
      <c r="I32" s="16"/>
      <c r="J32" s="16"/>
      <c r="K32" s="19"/>
      <c r="L32" s="34"/>
      <c r="P32" s="6"/>
    </row>
    <row r="33" spans="1:12" ht="12.75" customHeight="1" x14ac:dyDescent="0.25">
      <c r="A33" s="49">
        <v>43492</v>
      </c>
      <c r="B33" s="18"/>
      <c r="C33" s="21"/>
      <c r="D33" s="29"/>
      <c r="E33" s="30"/>
      <c r="F33" s="30"/>
      <c r="G33" s="18"/>
      <c r="H33" s="16"/>
      <c r="I33" s="18"/>
      <c r="J33" s="18"/>
      <c r="K33" s="19"/>
      <c r="L33" s="34"/>
    </row>
    <row r="34" spans="1:12" ht="12.75" customHeight="1" x14ac:dyDescent="0.25">
      <c r="A34" s="49">
        <v>43493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49">
        <v>43494</v>
      </c>
      <c r="B35" s="16"/>
      <c r="C35" s="21"/>
      <c r="D35" s="17"/>
      <c r="E35" s="30"/>
      <c r="F35" s="30"/>
      <c r="G35" s="18"/>
      <c r="H35" s="18"/>
      <c r="I35" s="16"/>
      <c r="J35" s="16"/>
      <c r="K35" s="19"/>
      <c r="L35" s="34"/>
    </row>
    <row r="36" spans="1:12" ht="12.75" customHeight="1" x14ac:dyDescent="0.25">
      <c r="A36" s="49">
        <v>43495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49">
        <v>43496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52" t="s">
        <v>35</v>
      </c>
      <c r="B38" s="37">
        <f t="shared" ref="B38:H38" si="0">B37-B6</f>
        <v>-371020</v>
      </c>
      <c r="C38" s="37">
        <f t="shared" si="0"/>
        <v>-262903</v>
      </c>
      <c r="D38" s="37">
        <f t="shared" si="0"/>
        <v>-0.5</v>
      </c>
      <c r="E38" s="37">
        <f t="shared" si="0"/>
        <v>-8752.6200000000008</v>
      </c>
      <c r="F38" s="37">
        <f t="shared" si="0"/>
        <v>-1649.89</v>
      </c>
      <c r="G38" s="37">
        <f t="shared" si="0"/>
        <v>-15141.97</v>
      </c>
      <c r="H38" s="37">
        <f t="shared" si="0"/>
        <v>-14528</v>
      </c>
      <c r="I38" s="37">
        <f t="shared" ref="I38" si="1">I37-I6</f>
        <v>-83575</v>
      </c>
      <c r="J38" s="37">
        <f>J37-J6</f>
        <v>-37225210</v>
      </c>
      <c r="K38" s="37">
        <f>SUM(K6:K37)</f>
        <v>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-3195709.6319999998</v>
      </c>
      <c r="I39" s="37">
        <f>I38*219.969</f>
        <v>-18383909.175000001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01 - 2020</vt:lpstr>
      <vt:lpstr>'01 - 2020'!Print_Area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Loueen Delolmo</cp:lastModifiedBy>
  <dcterms:created xsi:type="dcterms:W3CDTF">2017-04-26T09:20:12Z</dcterms:created>
  <dcterms:modified xsi:type="dcterms:W3CDTF">2020-01-12T06:15:38Z</dcterms:modified>
</cp:coreProperties>
</file>