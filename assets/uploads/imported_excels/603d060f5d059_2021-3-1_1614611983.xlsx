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ustomProperty7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shr-my.sharepoint.com/personal/tom_wuebben_fourseasons_com/Documents/Utilities/HEP/2021/"/>
    </mc:Choice>
  </mc:AlternateContent>
  <xr:revisionPtr revIDLastSave="19" documentId="8_{9729B5A7-AA10-4BC9-A0BD-6E12BE4DE1A6}" xr6:coauthVersionLast="46" xr6:coauthVersionMax="46" xr10:uidLastSave="{786CC813-CC21-45B3-B35B-759F27E14A77}"/>
  <bookViews>
    <workbookView xWindow="28680" yWindow="-120" windowWidth="29040" windowHeight="15840" firstSheet="1" activeTab="9" xr2:uid="{00000000-000D-0000-FFFF-FFFF00000000}"/>
  </bookViews>
  <sheets>
    <sheet name="TOTAL" sheetId="1" r:id="rId1"/>
    <sheet name="Submetering" sheetId="3" r:id="rId2"/>
    <sheet name="Info" sheetId="7" r:id="rId3"/>
    <sheet name="Logsheet" sheetId="8" r:id="rId4"/>
    <sheet name="Golf Logsheet" sheetId="9" r:id="rId5"/>
    <sheet name="Graphs" sheetId="10" r:id="rId6"/>
    <sheet name="Drawing" sheetId="11" r:id="rId7"/>
    <sheet name="Occupancy" sheetId="12" r:id="rId8"/>
    <sheet name="Elect" sheetId="5" r:id="rId9"/>
    <sheet name="Wtr-Gas" sheetId="6" r:id="rId10"/>
    <sheet name="Essbase" sheetId="13" r:id="rId11"/>
  </sheets>
  <externalReferences>
    <externalReference r:id="rId1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" i="5" l="1"/>
  <c r="C16" i="5"/>
  <c r="C15" i="5"/>
  <c r="C14" i="5"/>
  <c r="C13" i="5"/>
  <c r="C12" i="5"/>
  <c r="C11" i="5"/>
  <c r="K10" i="6"/>
  <c r="C9" i="5"/>
  <c r="C10" i="5"/>
  <c r="C8" i="5" l="1"/>
  <c r="C7" i="5"/>
  <c r="C6" i="5"/>
  <c r="C5" i="5"/>
  <c r="B61" i="6" l="1"/>
  <c r="B62" i="6" s="1"/>
  <c r="B63" i="6" s="1"/>
  <c r="B55" i="6"/>
  <c r="B56" i="6" s="1"/>
  <c r="B57" i="6" s="1"/>
  <c r="B58" i="6" s="1"/>
  <c r="B50" i="6"/>
  <c r="B51" i="6" s="1"/>
  <c r="B52" i="6" s="1"/>
  <c r="B45" i="6"/>
  <c r="B46" i="6" s="1"/>
  <c r="B47" i="6" s="1"/>
  <c r="AZ28" i="5" l="1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31" i="5"/>
  <c r="U32" i="5"/>
  <c r="U33" i="5"/>
  <c r="U34" i="5"/>
  <c r="U35" i="5"/>
  <c r="U36" i="5"/>
  <c r="U37" i="5"/>
  <c r="U38" i="5"/>
  <c r="U39" i="5"/>
  <c r="U40" i="5"/>
  <c r="U41" i="5"/>
  <c r="U42" i="5"/>
  <c r="U43" i="5"/>
  <c r="U44" i="5"/>
  <c r="U45" i="5"/>
  <c r="U46" i="5"/>
  <c r="U47" i="5"/>
  <c r="U48" i="5"/>
  <c r="U49" i="5"/>
  <c r="U50" i="5"/>
  <c r="U51" i="5"/>
  <c r="H12" i="12"/>
  <c r="Q306" i="12" l="1"/>
  <c r="Q305" i="12"/>
  <c r="Q304" i="12"/>
  <c r="Q303" i="12"/>
  <c r="Q302" i="12"/>
  <c r="Q301" i="12"/>
  <c r="Q300" i="12"/>
  <c r="Q299" i="12"/>
  <c r="Q298" i="12"/>
  <c r="Q297" i="12"/>
  <c r="Q296" i="12"/>
  <c r="Q295" i="12"/>
  <c r="Q294" i="12"/>
  <c r="Q293" i="12"/>
  <c r="Q292" i="12"/>
  <c r="Q291" i="12"/>
  <c r="Q290" i="12"/>
  <c r="Q289" i="12"/>
  <c r="Q288" i="12"/>
  <c r="Q287" i="12"/>
  <c r="Q286" i="12"/>
  <c r="Q285" i="12"/>
  <c r="Q284" i="12"/>
  <c r="Q283" i="12"/>
  <c r="Q282" i="12"/>
  <c r="Q281" i="12"/>
  <c r="Q280" i="12"/>
  <c r="Q279" i="12"/>
  <c r="Q278" i="12"/>
  <c r="Q277" i="12"/>
  <c r="Q276" i="12"/>
  <c r="Q275" i="12"/>
  <c r="Q274" i="12"/>
  <c r="Q273" i="12"/>
  <c r="Q272" i="12"/>
  <c r="Q271" i="12"/>
  <c r="Q270" i="12"/>
  <c r="Q269" i="12"/>
  <c r="Q268" i="12"/>
  <c r="Q267" i="12"/>
  <c r="Q266" i="12"/>
  <c r="Q265" i="12"/>
  <c r="Q264" i="12"/>
  <c r="Q263" i="12"/>
  <c r="Q262" i="12"/>
  <c r="Q261" i="12"/>
  <c r="Q260" i="12"/>
  <c r="Q259" i="12"/>
  <c r="Q258" i="12"/>
  <c r="Q257" i="12"/>
  <c r="Q256" i="12"/>
  <c r="Q255" i="12"/>
  <c r="Q254" i="12"/>
  <c r="Q253" i="12"/>
  <c r="Q252" i="12"/>
  <c r="Q251" i="12"/>
  <c r="Q250" i="12"/>
  <c r="Q249" i="12"/>
  <c r="Q248" i="12"/>
  <c r="Q247" i="12"/>
  <c r="Q246" i="12"/>
  <c r="Q245" i="12"/>
  <c r="Q244" i="12"/>
  <c r="Q243" i="12"/>
  <c r="Q242" i="12"/>
  <c r="Q241" i="12"/>
  <c r="Q240" i="12"/>
  <c r="Q239" i="12"/>
  <c r="Q238" i="12"/>
  <c r="Q237" i="12"/>
  <c r="Q236" i="12"/>
  <c r="Q235" i="12"/>
  <c r="Q234" i="12"/>
  <c r="Q233" i="12"/>
  <c r="Q232" i="12"/>
  <c r="Q231" i="12"/>
  <c r="Q230" i="12"/>
  <c r="Q229" i="12"/>
  <c r="Q228" i="12"/>
  <c r="Q227" i="12"/>
  <c r="Q226" i="12"/>
  <c r="Q225" i="12"/>
  <c r="Q224" i="12"/>
  <c r="Q223" i="12"/>
  <c r="Q222" i="12"/>
  <c r="Q221" i="12"/>
  <c r="Q220" i="12"/>
  <c r="Q219" i="12"/>
  <c r="Q218" i="12"/>
  <c r="Q217" i="12"/>
  <c r="Q216" i="12"/>
  <c r="Q215" i="12"/>
  <c r="Q214" i="12"/>
  <c r="Q213" i="12"/>
  <c r="Q212" i="12"/>
  <c r="Q211" i="12"/>
  <c r="Q210" i="12"/>
  <c r="Q209" i="12"/>
  <c r="Q208" i="12"/>
  <c r="Q207" i="12"/>
  <c r="Q206" i="12"/>
  <c r="Q205" i="12"/>
  <c r="Q204" i="12"/>
  <c r="Q203" i="12"/>
  <c r="Q202" i="12"/>
  <c r="Q201" i="12"/>
  <c r="Q200" i="12"/>
  <c r="Q199" i="12"/>
  <c r="Q198" i="12"/>
  <c r="Q197" i="12"/>
  <c r="Q196" i="12"/>
  <c r="Q195" i="12"/>
  <c r="Q194" i="12"/>
  <c r="Q193" i="12"/>
  <c r="Q192" i="12"/>
  <c r="Q191" i="12"/>
  <c r="Q190" i="12"/>
  <c r="Q189" i="12"/>
  <c r="Q188" i="12"/>
  <c r="Q187" i="12"/>
  <c r="Q186" i="12"/>
  <c r="Q185" i="12"/>
  <c r="Q184" i="12"/>
  <c r="Q183" i="12"/>
  <c r="Q182" i="12"/>
  <c r="Q181" i="12"/>
  <c r="Q180" i="12"/>
  <c r="Q179" i="12"/>
  <c r="Q178" i="12"/>
  <c r="Q177" i="12"/>
  <c r="Q176" i="12"/>
  <c r="Q175" i="12"/>
  <c r="Q174" i="12"/>
  <c r="Q173" i="12"/>
  <c r="Q172" i="12"/>
  <c r="Q171" i="12"/>
  <c r="Q170" i="12"/>
  <c r="Q169" i="12"/>
  <c r="Q168" i="12"/>
  <c r="Q167" i="12"/>
  <c r="Q166" i="12"/>
  <c r="Q165" i="12"/>
  <c r="Q164" i="12"/>
  <c r="Q163" i="12"/>
  <c r="Q162" i="12"/>
  <c r="Q161" i="12"/>
  <c r="Q160" i="12"/>
  <c r="Q159" i="12"/>
  <c r="Q158" i="12"/>
  <c r="Q157" i="12"/>
  <c r="Q156" i="12"/>
  <c r="Q155" i="12"/>
  <c r="Q154" i="12"/>
  <c r="Q153" i="12"/>
  <c r="Q152" i="12"/>
  <c r="Q151" i="12"/>
  <c r="Q150" i="12"/>
  <c r="Q149" i="12"/>
  <c r="Q148" i="12"/>
  <c r="Q147" i="12"/>
  <c r="Q146" i="12"/>
  <c r="Q145" i="12"/>
  <c r="Q144" i="12"/>
  <c r="Q143" i="12"/>
  <c r="Q142" i="12"/>
  <c r="Q141" i="12"/>
  <c r="Q140" i="12"/>
  <c r="Q139" i="12"/>
  <c r="Q138" i="12"/>
  <c r="Q137" i="12"/>
  <c r="Q136" i="12"/>
  <c r="Q135" i="12"/>
  <c r="Q134" i="12"/>
  <c r="Q133" i="12"/>
  <c r="Q132" i="12"/>
  <c r="Q131" i="12"/>
  <c r="Q130" i="12"/>
  <c r="Q129" i="12"/>
  <c r="Q128" i="12"/>
  <c r="Q127" i="12"/>
  <c r="Q126" i="12"/>
  <c r="Q125" i="12"/>
  <c r="Q124" i="12"/>
  <c r="Q123" i="12"/>
  <c r="Q122" i="12"/>
  <c r="Q121" i="12"/>
  <c r="Q120" i="12"/>
  <c r="Q119" i="12"/>
  <c r="Q118" i="12"/>
  <c r="Q117" i="12"/>
  <c r="Q116" i="12"/>
  <c r="Q115" i="12"/>
  <c r="Q114" i="12"/>
  <c r="Q113" i="12"/>
  <c r="Q112" i="12"/>
  <c r="Q111" i="12"/>
  <c r="Q110" i="12"/>
  <c r="Q109" i="12"/>
  <c r="Q108" i="12"/>
  <c r="Q107" i="12"/>
  <c r="Q106" i="12"/>
  <c r="Q105" i="12"/>
  <c r="Q104" i="12"/>
  <c r="Q103" i="12"/>
  <c r="Q102" i="12"/>
  <c r="Q101" i="12"/>
  <c r="Q100" i="12"/>
  <c r="Q99" i="12"/>
  <c r="Q98" i="12"/>
  <c r="Q97" i="12"/>
  <c r="Q96" i="12"/>
  <c r="Q95" i="12"/>
  <c r="Q94" i="12"/>
  <c r="Q93" i="12"/>
  <c r="Q92" i="12"/>
  <c r="Q91" i="12"/>
  <c r="Q90" i="12"/>
  <c r="Q89" i="12"/>
  <c r="Q88" i="12"/>
  <c r="Q87" i="12"/>
  <c r="Q86" i="12"/>
  <c r="Q85" i="12"/>
  <c r="Q84" i="12"/>
  <c r="Q83" i="12"/>
  <c r="Q82" i="12"/>
  <c r="Q81" i="12"/>
  <c r="Q80" i="12"/>
  <c r="Q79" i="12"/>
  <c r="Q78" i="12"/>
  <c r="Q77" i="12"/>
  <c r="Q76" i="12"/>
  <c r="Q75" i="12"/>
  <c r="Q74" i="12"/>
  <c r="Q73" i="12"/>
  <c r="Q72" i="12"/>
  <c r="Q71" i="12"/>
  <c r="Q70" i="12"/>
  <c r="Q69" i="12"/>
  <c r="Q68" i="12"/>
  <c r="Q67" i="12"/>
  <c r="Q66" i="12"/>
  <c r="Q65" i="12"/>
  <c r="Q64" i="12"/>
  <c r="Q63" i="12"/>
  <c r="Q62" i="12"/>
  <c r="Q61" i="12"/>
  <c r="Q60" i="12"/>
  <c r="Q59" i="12"/>
  <c r="Q58" i="12"/>
  <c r="Q57" i="12"/>
  <c r="Q56" i="12"/>
  <c r="Q55" i="12"/>
  <c r="Q54" i="12"/>
  <c r="Q53" i="12"/>
  <c r="Q52" i="12"/>
  <c r="Q51" i="12"/>
  <c r="Q50" i="12"/>
  <c r="Q49" i="12"/>
  <c r="Q48" i="12"/>
  <c r="Q47" i="12"/>
  <c r="Q46" i="12"/>
  <c r="Q45" i="12"/>
  <c r="Q44" i="12"/>
  <c r="Q43" i="12"/>
  <c r="Q42" i="12"/>
  <c r="Q41" i="12"/>
  <c r="Q40" i="12"/>
  <c r="Q39" i="12"/>
  <c r="Q38" i="12"/>
  <c r="Q37" i="12"/>
  <c r="Q36" i="12"/>
  <c r="Q35" i="12"/>
  <c r="Q34" i="12"/>
  <c r="Q33" i="12"/>
  <c r="Q32" i="12"/>
  <c r="Q31" i="12"/>
  <c r="Q30" i="12"/>
  <c r="Q29" i="12"/>
  <c r="Q28" i="12"/>
  <c r="Q27" i="12"/>
  <c r="Q26" i="12"/>
  <c r="Q25" i="12"/>
  <c r="Q24" i="12"/>
  <c r="Q23" i="12"/>
  <c r="Q22" i="12"/>
  <c r="Q21" i="12"/>
  <c r="Q20" i="12"/>
  <c r="Q19" i="12"/>
  <c r="Q18" i="12"/>
  <c r="Q17" i="12"/>
  <c r="Q16" i="12"/>
  <c r="Q15" i="12"/>
  <c r="Q14" i="12"/>
  <c r="Q13" i="12"/>
  <c r="Q12" i="12"/>
  <c r="Q11" i="12"/>
  <c r="Q10" i="12"/>
  <c r="Q9" i="12"/>
  <c r="Q8" i="12"/>
  <c r="Q7" i="12"/>
  <c r="Q6" i="12"/>
  <c r="Q5" i="12"/>
  <c r="Q4" i="12"/>
  <c r="Q3" i="12"/>
  <c r="E62" i="3" l="1"/>
  <c r="F62" i="3"/>
  <c r="G62" i="3"/>
  <c r="H62" i="3"/>
  <c r="I62" i="3"/>
  <c r="J62" i="3"/>
  <c r="K62" i="3"/>
  <c r="L62" i="3"/>
  <c r="M62" i="3"/>
  <c r="N62" i="3"/>
  <c r="O62" i="3"/>
  <c r="P62" i="3"/>
  <c r="Q62" i="3"/>
  <c r="R62" i="3"/>
  <c r="S62" i="3"/>
  <c r="T62" i="3"/>
  <c r="U62" i="3"/>
  <c r="V62" i="3"/>
  <c r="W62" i="3"/>
  <c r="X62" i="3"/>
  <c r="Y62" i="3"/>
  <c r="Z62" i="3"/>
  <c r="AA62" i="3"/>
  <c r="AB62" i="3"/>
  <c r="AC62" i="3"/>
  <c r="AD62" i="3"/>
  <c r="AE62" i="3"/>
  <c r="AF62" i="3"/>
  <c r="AG62" i="3"/>
  <c r="AH62" i="3"/>
  <c r="AI62" i="3"/>
  <c r="AJ62" i="3"/>
  <c r="AK62" i="3"/>
  <c r="AL62" i="3"/>
  <c r="AM62" i="3"/>
  <c r="AN62" i="3"/>
  <c r="AO62" i="3"/>
  <c r="AP62" i="3"/>
  <c r="AQ62" i="3"/>
  <c r="AR62" i="3"/>
  <c r="AS62" i="3"/>
  <c r="AT62" i="3"/>
  <c r="AU62" i="3"/>
  <c r="AV62" i="3"/>
  <c r="AW62" i="3"/>
  <c r="AX62" i="3"/>
  <c r="AY62" i="3"/>
  <c r="AZ62" i="3"/>
  <c r="BA62" i="3"/>
  <c r="BF45" i="6" l="1"/>
  <c r="BA43" i="3" s="1"/>
  <c r="BF46" i="6"/>
  <c r="BA44" i="3" s="1"/>
  <c r="BF47" i="6"/>
  <c r="BA45" i="3" s="1"/>
  <c r="BF48" i="6"/>
  <c r="BA46" i="3" s="1"/>
  <c r="BF49" i="6"/>
  <c r="BF50" i="6"/>
  <c r="BA48" i="3" s="1"/>
  <c r="BF51" i="6"/>
  <c r="BA49" i="3" s="1"/>
  <c r="BD45" i="6"/>
  <c r="AZ43" i="3" s="1"/>
  <c r="BD46" i="6"/>
  <c r="AZ44" i="3" s="1"/>
  <c r="BD47" i="6"/>
  <c r="AZ45" i="3" s="1"/>
  <c r="BD48" i="6"/>
  <c r="AZ46" i="3" s="1"/>
  <c r="BD49" i="6"/>
  <c r="AZ47" i="3" s="1"/>
  <c r="BD50" i="6"/>
  <c r="BD51" i="6"/>
  <c r="AZ49" i="3" s="1"/>
  <c r="BB45" i="6"/>
  <c r="AY43" i="3" s="1"/>
  <c r="BB46" i="6"/>
  <c r="AY44" i="3" s="1"/>
  <c r="BB47" i="6"/>
  <c r="AY45" i="3" s="1"/>
  <c r="BB48" i="6"/>
  <c r="AY46" i="3" s="1"/>
  <c r="BB49" i="6"/>
  <c r="AY47" i="3" s="1"/>
  <c r="BB50" i="6"/>
  <c r="AY48" i="3" s="1"/>
  <c r="BB51" i="6"/>
  <c r="AY45" i="6"/>
  <c r="AW43" i="3" s="1"/>
  <c r="AY46" i="6"/>
  <c r="AW44" i="3" s="1"/>
  <c r="AY47" i="6"/>
  <c r="AW45" i="3" s="1"/>
  <c r="AY48" i="6"/>
  <c r="AW46" i="3" s="1"/>
  <c r="AY49" i="6"/>
  <c r="AW47" i="3" s="1"/>
  <c r="AY50" i="6"/>
  <c r="AW48" i="3" s="1"/>
  <c r="AY51" i="6"/>
  <c r="AW49" i="3" s="1"/>
  <c r="AW45" i="6"/>
  <c r="AV43" i="3" s="1"/>
  <c r="AW46" i="6"/>
  <c r="AW47" i="6"/>
  <c r="AW48" i="6"/>
  <c r="AV46" i="3" s="1"/>
  <c r="AW49" i="6"/>
  <c r="AV47" i="3" s="1"/>
  <c r="AW50" i="6"/>
  <c r="AW51" i="6"/>
  <c r="AT45" i="6"/>
  <c r="AU43" i="3" s="1"/>
  <c r="AT46" i="6"/>
  <c r="AU44" i="3" s="1"/>
  <c r="AT47" i="6"/>
  <c r="AT48" i="6"/>
  <c r="AU46" i="3" s="1"/>
  <c r="AT49" i="6"/>
  <c r="AU47" i="3" s="1"/>
  <c r="AT50" i="6"/>
  <c r="AT51" i="6"/>
  <c r="AU49" i="3" s="1"/>
  <c r="AP45" i="6"/>
  <c r="AT43" i="3" s="1"/>
  <c r="AP46" i="6"/>
  <c r="AT44" i="3" s="1"/>
  <c r="AP47" i="6"/>
  <c r="AT45" i="3" s="1"/>
  <c r="AP48" i="6"/>
  <c r="AT46" i="3" s="1"/>
  <c r="AP49" i="6"/>
  <c r="AT47" i="3" s="1"/>
  <c r="AP50" i="6"/>
  <c r="AT48" i="3" s="1"/>
  <c r="AP51" i="6"/>
  <c r="AT49" i="3" s="1"/>
  <c r="AN45" i="6"/>
  <c r="AN46" i="6"/>
  <c r="AS44" i="3" s="1"/>
  <c r="AN47" i="6"/>
  <c r="AS45" i="3" s="1"/>
  <c r="AN48" i="6"/>
  <c r="AS46" i="3" s="1"/>
  <c r="AN49" i="6"/>
  <c r="AS47" i="3" s="1"/>
  <c r="AN50" i="6"/>
  <c r="AS48" i="3" s="1"/>
  <c r="AN51" i="6"/>
  <c r="AS49" i="3" s="1"/>
  <c r="AL45" i="6"/>
  <c r="AR43" i="3" s="1"/>
  <c r="AL46" i="6"/>
  <c r="AR44" i="3" s="1"/>
  <c r="AL47" i="6"/>
  <c r="AR45" i="3" s="1"/>
  <c r="AL48" i="6"/>
  <c r="AR46" i="3" s="1"/>
  <c r="AL49" i="6"/>
  <c r="AR47" i="3" s="1"/>
  <c r="AL50" i="6"/>
  <c r="AR48" i="3" s="1"/>
  <c r="AL51" i="6"/>
  <c r="AR49" i="3" s="1"/>
  <c r="AJ45" i="6"/>
  <c r="AQ43" i="3" s="1"/>
  <c r="AJ46" i="6"/>
  <c r="AQ44" i="3" s="1"/>
  <c r="AJ47" i="6"/>
  <c r="AQ45" i="3" s="1"/>
  <c r="AJ48" i="6"/>
  <c r="AQ46" i="3" s="1"/>
  <c r="AJ49" i="6"/>
  <c r="AQ47" i="3" s="1"/>
  <c r="AJ50" i="6"/>
  <c r="AQ48" i="3" s="1"/>
  <c r="AJ51" i="6"/>
  <c r="AQ49" i="3" s="1"/>
  <c r="AH45" i="6"/>
  <c r="AP43" i="3" s="1"/>
  <c r="AH46" i="6"/>
  <c r="AP44" i="3" s="1"/>
  <c r="AH47" i="6"/>
  <c r="AP45" i="3" s="1"/>
  <c r="AH48" i="6"/>
  <c r="AP46" i="3" s="1"/>
  <c r="AH49" i="6"/>
  <c r="AP47" i="3" s="1"/>
  <c r="AH50" i="6"/>
  <c r="AP48" i="3" s="1"/>
  <c r="AH51" i="6"/>
  <c r="AP49" i="3" s="1"/>
  <c r="AF45" i="6"/>
  <c r="AO43" i="3" s="1"/>
  <c r="AF46" i="6"/>
  <c r="AO44" i="3" s="1"/>
  <c r="AF47" i="6"/>
  <c r="AO45" i="3" s="1"/>
  <c r="AF48" i="6"/>
  <c r="AO46" i="3" s="1"/>
  <c r="AF49" i="6"/>
  <c r="AF50" i="6"/>
  <c r="AO48" i="3" s="1"/>
  <c r="AF51" i="6"/>
  <c r="AO49" i="3" s="1"/>
  <c r="AD45" i="6"/>
  <c r="AN43" i="3" s="1"/>
  <c r="AD46" i="6"/>
  <c r="AN44" i="3" s="1"/>
  <c r="AD47" i="6"/>
  <c r="AN45" i="3" s="1"/>
  <c r="AD48" i="6"/>
  <c r="AN46" i="3" s="1"/>
  <c r="AD49" i="6"/>
  <c r="AN47" i="3" s="1"/>
  <c r="AD50" i="6"/>
  <c r="AN48" i="3" s="1"/>
  <c r="AD51" i="6"/>
  <c r="AB45" i="6"/>
  <c r="AM43" i="3" s="1"/>
  <c r="AB46" i="6"/>
  <c r="AM44" i="3" s="1"/>
  <c r="AB47" i="6"/>
  <c r="AM45" i="3" s="1"/>
  <c r="AB48" i="6"/>
  <c r="AM46" i="3" s="1"/>
  <c r="AB49" i="6"/>
  <c r="AM47" i="3" s="1"/>
  <c r="AB50" i="6"/>
  <c r="AB51" i="6"/>
  <c r="X45" i="6"/>
  <c r="AL43" i="3" s="1"/>
  <c r="X46" i="6"/>
  <c r="AL44" i="3" s="1"/>
  <c r="X47" i="6"/>
  <c r="AL45" i="3" s="1"/>
  <c r="X48" i="6"/>
  <c r="AL46" i="3" s="1"/>
  <c r="X49" i="6"/>
  <c r="AL47" i="3" s="1"/>
  <c r="X50" i="6"/>
  <c r="AL48" i="3" s="1"/>
  <c r="X51" i="6"/>
  <c r="U45" i="6"/>
  <c r="U46" i="6"/>
  <c r="AK44" i="3" s="1"/>
  <c r="U47" i="6"/>
  <c r="U48" i="6"/>
  <c r="AK46" i="3" s="1"/>
  <c r="U49" i="6"/>
  <c r="AK47" i="3" s="1"/>
  <c r="U50" i="6"/>
  <c r="U51" i="6"/>
  <c r="AK49" i="3" s="1"/>
  <c r="AR62" i="6"/>
  <c r="AR63" i="6" s="1"/>
  <c r="AR64" i="6" s="1"/>
  <c r="AR56" i="6"/>
  <c r="AR57" i="6" s="1"/>
  <c r="AR58" i="6" s="1"/>
  <c r="AR59" i="6" s="1"/>
  <c r="AR51" i="6"/>
  <c r="AR52" i="6" s="1"/>
  <c r="AR53" i="6" s="1"/>
  <c r="AR46" i="6"/>
  <c r="AR47" i="6" s="1"/>
  <c r="AR48" i="6" s="1"/>
  <c r="Q45" i="6"/>
  <c r="AJ43" i="3" s="1"/>
  <c r="Q46" i="6"/>
  <c r="AJ44" i="3" s="1"/>
  <c r="Q47" i="6"/>
  <c r="AJ45" i="3" s="1"/>
  <c r="Q48" i="6"/>
  <c r="Q49" i="6"/>
  <c r="AJ47" i="3" s="1"/>
  <c r="Q50" i="6"/>
  <c r="AJ48" i="3" s="1"/>
  <c r="Q51" i="6"/>
  <c r="AJ49" i="3" s="1"/>
  <c r="N45" i="6"/>
  <c r="N46" i="6"/>
  <c r="N47" i="6"/>
  <c r="AI45" i="3" s="1"/>
  <c r="N48" i="6"/>
  <c r="AI46" i="3" s="1"/>
  <c r="N49" i="6"/>
  <c r="AI47" i="3" s="1"/>
  <c r="N50" i="6"/>
  <c r="AI48" i="3" s="1"/>
  <c r="N51" i="6"/>
  <c r="AI49" i="3" s="1"/>
  <c r="K45" i="6"/>
  <c r="AH43" i="3" s="1"/>
  <c r="K46" i="6"/>
  <c r="K47" i="6"/>
  <c r="AH45" i="3" s="1"/>
  <c r="K48" i="6"/>
  <c r="AH46" i="3" s="1"/>
  <c r="K49" i="6"/>
  <c r="AH47" i="3" s="1"/>
  <c r="K50" i="6"/>
  <c r="AH48" i="3" s="1"/>
  <c r="K51" i="6"/>
  <c r="H45" i="6"/>
  <c r="AG43" i="3" s="1"/>
  <c r="H46" i="6"/>
  <c r="AG44" i="3" s="1"/>
  <c r="H47" i="6"/>
  <c r="H48" i="6"/>
  <c r="AG46" i="3" s="1"/>
  <c r="H49" i="6"/>
  <c r="AG47" i="3" s="1"/>
  <c r="H50" i="6"/>
  <c r="AG48" i="3" s="1"/>
  <c r="H51" i="6"/>
  <c r="E45" i="6"/>
  <c r="AF43" i="3" s="1"/>
  <c r="E46" i="6"/>
  <c r="AF44" i="3" s="1"/>
  <c r="E47" i="6"/>
  <c r="AF45" i="3" s="1"/>
  <c r="E48" i="6"/>
  <c r="AF46" i="3" s="1"/>
  <c r="E49" i="6"/>
  <c r="AF47" i="3" s="1"/>
  <c r="E50" i="6"/>
  <c r="AF48" i="3" s="1"/>
  <c r="E51" i="6"/>
  <c r="AF49" i="3" s="1"/>
  <c r="BB45" i="5"/>
  <c r="AE43" i="3" s="1"/>
  <c r="BB46" i="5"/>
  <c r="AE44" i="3" s="1"/>
  <c r="BB47" i="5"/>
  <c r="AE45" i="3" s="1"/>
  <c r="BB48" i="5"/>
  <c r="AE46" i="3" s="1"/>
  <c r="BB49" i="5"/>
  <c r="AE47" i="3" s="1"/>
  <c r="BB50" i="5"/>
  <c r="AE48" i="3" s="1"/>
  <c r="BB51" i="5"/>
  <c r="AE49" i="3" s="1"/>
  <c r="AZ45" i="5"/>
  <c r="AD43" i="3" s="1"/>
  <c r="AZ46" i="5"/>
  <c r="AD44" i="3" s="1"/>
  <c r="AZ47" i="5"/>
  <c r="AD45" i="3" s="1"/>
  <c r="AZ48" i="5"/>
  <c r="AD46" i="3" s="1"/>
  <c r="AZ49" i="5"/>
  <c r="AD47" i="3" s="1"/>
  <c r="AZ50" i="5"/>
  <c r="AD48" i="3" s="1"/>
  <c r="AZ51" i="5"/>
  <c r="AD49" i="3" s="1"/>
  <c r="AX45" i="5"/>
  <c r="AB43" i="3" s="1"/>
  <c r="AX46" i="5"/>
  <c r="AB44" i="3" s="1"/>
  <c r="AX47" i="5"/>
  <c r="AB45" i="3" s="1"/>
  <c r="AX48" i="5"/>
  <c r="AX49" i="5"/>
  <c r="AB47" i="3" s="1"/>
  <c r="AX50" i="5"/>
  <c r="AB48" i="3" s="1"/>
  <c r="AX51" i="5"/>
  <c r="AB49" i="3" s="1"/>
  <c r="AV45" i="5"/>
  <c r="AC43" i="3" s="1"/>
  <c r="AV46" i="5"/>
  <c r="AC44" i="3" s="1"/>
  <c r="AV47" i="5"/>
  <c r="AC45" i="3" s="1"/>
  <c r="AV48" i="5"/>
  <c r="AC46" i="3" s="1"/>
  <c r="AV49" i="5"/>
  <c r="AC47" i="3" s="1"/>
  <c r="AV50" i="5"/>
  <c r="AC48" i="3" s="1"/>
  <c r="AV51" i="5"/>
  <c r="AC49" i="3" s="1"/>
  <c r="AT61" i="5"/>
  <c r="AT62" i="5" s="1"/>
  <c r="AT63" i="5" s="1"/>
  <c r="AT55" i="5"/>
  <c r="AT56" i="5" s="1"/>
  <c r="AT57" i="5" s="1"/>
  <c r="AT58" i="5" s="1"/>
  <c r="AT50" i="5"/>
  <c r="AT51" i="5" s="1"/>
  <c r="AT52" i="5" s="1"/>
  <c r="AM45" i="5"/>
  <c r="E43" i="3" s="1"/>
  <c r="AM46" i="5"/>
  <c r="E44" i="3" s="1"/>
  <c r="AM47" i="5"/>
  <c r="E45" i="3" s="1"/>
  <c r="AM48" i="5"/>
  <c r="E46" i="3" s="1"/>
  <c r="AM49" i="5"/>
  <c r="E47" i="3" s="1"/>
  <c r="AM50" i="5"/>
  <c r="E48" i="3" s="1"/>
  <c r="AM51" i="5"/>
  <c r="E49" i="3" s="1"/>
  <c r="AJ45" i="5"/>
  <c r="L43" i="3" s="1"/>
  <c r="AJ46" i="5"/>
  <c r="L44" i="3" s="1"/>
  <c r="AJ47" i="5"/>
  <c r="AJ48" i="5"/>
  <c r="L46" i="3" s="1"/>
  <c r="AJ49" i="5"/>
  <c r="L47" i="3" s="1"/>
  <c r="AJ50" i="5"/>
  <c r="L48" i="3" s="1"/>
  <c r="AJ51" i="5"/>
  <c r="L49" i="3" s="1"/>
  <c r="AG45" i="5"/>
  <c r="Z43" i="3" s="1"/>
  <c r="AG46" i="5"/>
  <c r="Z44" i="3" s="1"/>
  <c r="AG47" i="5"/>
  <c r="AG48" i="5"/>
  <c r="AG49" i="5"/>
  <c r="AG50" i="5"/>
  <c r="Z48" i="3" s="1"/>
  <c r="AG51" i="5"/>
  <c r="Z49" i="3" s="1"/>
  <c r="AD45" i="5"/>
  <c r="X43" i="3" s="1"/>
  <c r="AD46" i="5"/>
  <c r="X44" i="3" s="1"/>
  <c r="AD47" i="5"/>
  <c r="X45" i="3" s="1"/>
  <c r="AD48" i="5"/>
  <c r="X46" i="3" s="1"/>
  <c r="AD49" i="5"/>
  <c r="X47" i="3" s="1"/>
  <c r="AD50" i="5"/>
  <c r="X48" i="3" s="1"/>
  <c r="AD51" i="5"/>
  <c r="X49" i="3" s="1"/>
  <c r="AA45" i="5"/>
  <c r="V43" i="3" s="1"/>
  <c r="AA46" i="5"/>
  <c r="V44" i="3" s="1"/>
  <c r="AA47" i="5"/>
  <c r="V45" i="3" s="1"/>
  <c r="AA48" i="5"/>
  <c r="V46" i="3" s="1"/>
  <c r="AA49" i="5"/>
  <c r="V47" i="3" s="1"/>
  <c r="AA50" i="5"/>
  <c r="V48" i="3" s="1"/>
  <c r="AA51" i="5"/>
  <c r="V49" i="3" s="1"/>
  <c r="X45" i="5"/>
  <c r="N43" i="3" s="1"/>
  <c r="X46" i="5"/>
  <c r="N44" i="3" s="1"/>
  <c r="X47" i="5"/>
  <c r="N45" i="3" s="1"/>
  <c r="X48" i="5"/>
  <c r="N46" i="3" s="1"/>
  <c r="X49" i="5"/>
  <c r="N47" i="3" s="1"/>
  <c r="X50" i="5"/>
  <c r="N48" i="3" s="1"/>
  <c r="X51" i="5"/>
  <c r="N49" i="3" s="1"/>
  <c r="J43" i="3"/>
  <c r="J44" i="3"/>
  <c r="J45" i="3"/>
  <c r="J47" i="3"/>
  <c r="J48" i="3"/>
  <c r="R45" i="5"/>
  <c r="T43" i="3" s="1"/>
  <c r="R46" i="5"/>
  <c r="T44" i="3" s="1"/>
  <c r="R47" i="5"/>
  <c r="T45" i="3" s="1"/>
  <c r="R48" i="5"/>
  <c r="T46" i="3" s="1"/>
  <c r="R49" i="5"/>
  <c r="T47" i="3" s="1"/>
  <c r="R50" i="5"/>
  <c r="T48" i="3" s="1"/>
  <c r="R51" i="5"/>
  <c r="T49" i="3" s="1"/>
  <c r="O45" i="5"/>
  <c r="P43" i="3" s="1"/>
  <c r="O46" i="5"/>
  <c r="P44" i="3" s="1"/>
  <c r="O47" i="5"/>
  <c r="P45" i="3" s="1"/>
  <c r="O48" i="5"/>
  <c r="P46" i="3" s="1"/>
  <c r="O49" i="5"/>
  <c r="P47" i="3" s="1"/>
  <c r="O50" i="5"/>
  <c r="P48" i="3" s="1"/>
  <c r="O51" i="5"/>
  <c r="P49" i="3" s="1"/>
  <c r="L45" i="5"/>
  <c r="R43" i="3" s="1"/>
  <c r="L46" i="5"/>
  <c r="R44" i="3" s="1"/>
  <c r="L47" i="5"/>
  <c r="R45" i="3" s="1"/>
  <c r="L48" i="5"/>
  <c r="R46" i="3" s="1"/>
  <c r="L49" i="5"/>
  <c r="R47" i="3" s="1"/>
  <c r="L50" i="5"/>
  <c r="R48" i="3" s="1"/>
  <c r="L51" i="5"/>
  <c r="R49" i="3" s="1"/>
  <c r="I45" i="5"/>
  <c r="F43" i="3" s="1"/>
  <c r="I46" i="5"/>
  <c r="F44" i="3" s="1"/>
  <c r="I47" i="5"/>
  <c r="F45" i="3" s="1"/>
  <c r="I48" i="5"/>
  <c r="F46" i="3" s="1"/>
  <c r="I49" i="5"/>
  <c r="F47" i="3" s="1"/>
  <c r="I50" i="5"/>
  <c r="I51" i="5"/>
  <c r="F49" i="3" s="1"/>
  <c r="F45" i="5"/>
  <c r="H43" i="3" s="1"/>
  <c r="F46" i="5"/>
  <c r="H44" i="3" s="1"/>
  <c r="F47" i="5"/>
  <c r="H45" i="3" s="1"/>
  <c r="F48" i="5"/>
  <c r="H46" i="3" s="1"/>
  <c r="F49" i="5"/>
  <c r="H47" i="3" s="1"/>
  <c r="F50" i="5"/>
  <c r="H48" i="3" s="1"/>
  <c r="F51" i="5"/>
  <c r="H49" i="3" s="1"/>
  <c r="AM44" i="5"/>
  <c r="E42" i="3" s="1"/>
  <c r="I44" i="5"/>
  <c r="F42" i="3" s="1"/>
  <c r="G42" i="3"/>
  <c r="F44" i="5"/>
  <c r="H42" i="3" s="1"/>
  <c r="I42" i="3"/>
  <c r="J42" i="3"/>
  <c r="K42" i="3"/>
  <c r="AJ44" i="5"/>
  <c r="L42" i="3" s="1"/>
  <c r="M42" i="3"/>
  <c r="X44" i="5"/>
  <c r="N42" i="3" s="1"/>
  <c r="O42" i="3"/>
  <c r="O44" i="5"/>
  <c r="P42" i="3" s="1"/>
  <c r="Q42" i="3"/>
  <c r="L44" i="5"/>
  <c r="R42" i="3" s="1"/>
  <c r="S42" i="3"/>
  <c r="R44" i="5"/>
  <c r="T42" i="3" s="1"/>
  <c r="U42" i="3"/>
  <c r="AA44" i="5"/>
  <c r="V42" i="3" s="1"/>
  <c r="W42" i="3"/>
  <c r="AD44" i="5"/>
  <c r="X42" i="3" s="1"/>
  <c r="Y42" i="3"/>
  <c r="AG44" i="5"/>
  <c r="Z42" i="3" s="1"/>
  <c r="AA42" i="3"/>
  <c r="AX44" i="5"/>
  <c r="AB42" i="3" s="1"/>
  <c r="AV44" i="5"/>
  <c r="AC42" i="3" s="1"/>
  <c r="AZ44" i="5"/>
  <c r="AD42" i="3" s="1"/>
  <c r="BB44" i="5"/>
  <c r="AE42" i="3" s="1"/>
  <c r="E44" i="6"/>
  <c r="AF42" i="3" s="1"/>
  <c r="H44" i="6"/>
  <c r="AG42" i="3" s="1"/>
  <c r="K44" i="6"/>
  <c r="AH42" i="3" s="1"/>
  <c r="N44" i="6"/>
  <c r="AI42" i="3" s="1"/>
  <c r="Q44" i="6"/>
  <c r="AJ42" i="3" s="1"/>
  <c r="U44" i="6"/>
  <c r="AK42" i="3" s="1"/>
  <c r="X44" i="6"/>
  <c r="AL42" i="3" s="1"/>
  <c r="AB44" i="6"/>
  <c r="AM42" i="3" s="1"/>
  <c r="AD44" i="6"/>
  <c r="AN42" i="3" s="1"/>
  <c r="AF44" i="6"/>
  <c r="AO42" i="3" s="1"/>
  <c r="AH44" i="6"/>
  <c r="AP42" i="3" s="1"/>
  <c r="AJ44" i="6"/>
  <c r="AQ42" i="3" s="1"/>
  <c r="AL44" i="6"/>
  <c r="AR42" i="3" s="1"/>
  <c r="AN44" i="6"/>
  <c r="AS42" i="3" s="1"/>
  <c r="AP44" i="6"/>
  <c r="AT42" i="3" s="1"/>
  <c r="AT44" i="6"/>
  <c r="AU42" i="3" s="1"/>
  <c r="AW44" i="6"/>
  <c r="AV42" i="3" s="1"/>
  <c r="AY44" i="6"/>
  <c r="AW42" i="3" s="1"/>
  <c r="BB44" i="6"/>
  <c r="AY42" i="3" s="1"/>
  <c r="BD44" i="6"/>
  <c r="AZ42" i="3" s="1"/>
  <c r="BF44" i="6"/>
  <c r="BA42" i="3" s="1"/>
  <c r="G43" i="3"/>
  <c r="I43" i="3"/>
  <c r="K43" i="3"/>
  <c r="M43" i="3"/>
  <c r="O43" i="3"/>
  <c r="Q43" i="3"/>
  <c r="S43" i="3"/>
  <c r="U43" i="3"/>
  <c r="W43" i="3"/>
  <c r="Y43" i="3"/>
  <c r="AA43" i="3"/>
  <c r="AI43" i="3"/>
  <c r="AS43" i="3"/>
  <c r="G44" i="3"/>
  <c r="I44" i="3"/>
  <c r="K44" i="3"/>
  <c r="M44" i="3"/>
  <c r="O44" i="3"/>
  <c r="Q44" i="3"/>
  <c r="S44" i="3"/>
  <c r="U44" i="3"/>
  <c r="W44" i="3"/>
  <c r="Y44" i="3"/>
  <c r="AA44" i="3"/>
  <c r="AH44" i="3"/>
  <c r="AI44" i="3"/>
  <c r="AV44" i="3"/>
  <c r="G45" i="3"/>
  <c r="I45" i="3"/>
  <c r="K45" i="3"/>
  <c r="L45" i="3"/>
  <c r="M45" i="3"/>
  <c r="O45" i="3"/>
  <c r="Q45" i="3"/>
  <c r="S45" i="3"/>
  <c r="U45" i="3"/>
  <c r="W45" i="3"/>
  <c r="Y45" i="3"/>
  <c r="AA45" i="3"/>
  <c r="AG45" i="3"/>
  <c r="AU45" i="3"/>
  <c r="G46" i="3"/>
  <c r="I46" i="3"/>
  <c r="J46" i="3"/>
  <c r="K46" i="3"/>
  <c r="M46" i="3"/>
  <c r="O46" i="3"/>
  <c r="Q46" i="3"/>
  <c r="S46" i="3"/>
  <c r="U46" i="3"/>
  <c r="W46" i="3"/>
  <c r="Y46" i="3"/>
  <c r="AA46" i="3"/>
  <c r="AB46" i="3"/>
  <c r="AJ46" i="3"/>
  <c r="G47" i="3"/>
  <c r="I47" i="3"/>
  <c r="K47" i="3"/>
  <c r="M47" i="3"/>
  <c r="O47" i="3"/>
  <c r="Q47" i="3"/>
  <c r="S47" i="3"/>
  <c r="U47" i="3"/>
  <c r="W47" i="3"/>
  <c r="Y47" i="3"/>
  <c r="AA47" i="3"/>
  <c r="AO47" i="3"/>
  <c r="BA47" i="3"/>
  <c r="F48" i="3"/>
  <c r="G48" i="3"/>
  <c r="I48" i="3"/>
  <c r="K48" i="3"/>
  <c r="M48" i="3"/>
  <c r="O48" i="3"/>
  <c r="Q48" i="3"/>
  <c r="S48" i="3"/>
  <c r="U48" i="3"/>
  <c r="W48" i="3"/>
  <c r="Y48" i="3"/>
  <c r="AA48" i="3"/>
  <c r="AM48" i="3"/>
  <c r="AU48" i="3"/>
  <c r="AV48" i="3"/>
  <c r="AZ48" i="3"/>
  <c r="G49" i="3"/>
  <c r="I49" i="3"/>
  <c r="J49" i="3"/>
  <c r="K49" i="3"/>
  <c r="M49" i="3"/>
  <c r="O49" i="3"/>
  <c r="Q49" i="3"/>
  <c r="S49" i="3"/>
  <c r="U49" i="3"/>
  <c r="W49" i="3"/>
  <c r="Y49" i="3"/>
  <c r="AA49" i="3"/>
  <c r="AG49" i="3"/>
  <c r="AH49" i="3"/>
  <c r="AL49" i="3"/>
  <c r="AM49" i="3"/>
  <c r="AN49" i="3"/>
  <c r="AY49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U50" i="3"/>
  <c r="V50" i="3"/>
  <c r="W50" i="3"/>
  <c r="X50" i="3"/>
  <c r="Y50" i="3"/>
  <c r="Z50" i="3"/>
  <c r="AA50" i="3"/>
  <c r="AB50" i="3"/>
  <c r="AC50" i="3"/>
  <c r="AD50" i="3"/>
  <c r="AE50" i="3"/>
  <c r="AF50" i="3"/>
  <c r="AG50" i="3"/>
  <c r="AH50" i="3"/>
  <c r="AI50" i="3"/>
  <c r="AJ50" i="3"/>
  <c r="AK50" i="3"/>
  <c r="AL50" i="3"/>
  <c r="AM50" i="3"/>
  <c r="AN50" i="3"/>
  <c r="AO50" i="3"/>
  <c r="AP50" i="3"/>
  <c r="AQ50" i="3"/>
  <c r="AR50" i="3"/>
  <c r="AS50" i="3"/>
  <c r="AT50" i="3"/>
  <c r="AU50" i="3"/>
  <c r="AV50" i="3"/>
  <c r="AW50" i="3"/>
  <c r="AX50" i="3"/>
  <c r="AY50" i="3"/>
  <c r="AZ50" i="3"/>
  <c r="BA50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R51" i="3"/>
  <c r="S51" i="3"/>
  <c r="T51" i="3"/>
  <c r="U51" i="3"/>
  <c r="V51" i="3"/>
  <c r="W51" i="3"/>
  <c r="X51" i="3"/>
  <c r="Y51" i="3"/>
  <c r="Z51" i="3"/>
  <c r="AA51" i="3"/>
  <c r="AB51" i="3"/>
  <c r="AC51" i="3"/>
  <c r="AD51" i="3"/>
  <c r="AE51" i="3"/>
  <c r="AF51" i="3"/>
  <c r="AG51" i="3"/>
  <c r="AH51" i="3"/>
  <c r="AI51" i="3"/>
  <c r="AJ51" i="3"/>
  <c r="AK51" i="3"/>
  <c r="AL51" i="3"/>
  <c r="AM51" i="3"/>
  <c r="AN51" i="3"/>
  <c r="AO51" i="3"/>
  <c r="AP51" i="3"/>
  <c r="AQ51" i="3"/>
  <c r="AR51" i="3"/>
  <c r="AS51" i="3"/>
  <c r="AT51" i="3"/>
  <c r="AU51" i="3"/>
  <c r="AV51" i="3"/>
  <c r="AW51" i="3"/>
  <c r="AX51" i="3"/>
  <c r="AY51" i="3"/>
  <c r="AZ51" i="3"/>
  <c r="BA51" i="3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R52" i="3"/>
  <c r="S52" i="3"/>
  <c r="T52" i="3"/>
  <c r="U52" i="3"/>
  <c r="V52" i="3"/>
  <c r="W52" i="3"/>
  <c r="X52" i="3"/>
  <c r="Y52" i="3"/>
  <c r="Z52" i="3"/>
  <c r="AA52" i="3"/>
  <c r="AB52" i="3"/>
  <c r="AC52" i="3"/>
  <c r="AD52" i="3"/>
  <c r="AE52" i="3"/>
  <c r="AF52" i="3"/>
  <c r="AG52" i="3"/>
  <c r="AH52" i="3"/>
  <c r="AI52" i="3"/>
  <c r="AJ52" i="3"/>
  <c r="AK52" i="3"/>
  <c r="AL52" i="3"/>
  <c r="AM52" i="3"/>
  <c r="AN52" i="3"/>
  <c r="AO52" i="3"/>
  <c r="AP52" i="3"/>
  <c r="AQ52" i="3"/>
  <c r="AR52" i="3"/>
  <c r="AS52" i="3"/>
  <c r="AT52" i="3"/>
  <c r="AU52" i="3"/>
  <c r="AV52" i="3"/>
  <c r="AW52" i="3"/>
  <c r="AX52" i="3"/>
  <c r="AY52" i="3"/>
  <c r="AZ52" i="3"/>
  <c r="BA52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S53" i="3"/>
  <c r="T53" i="3"/>
  <c r="U53" i="3"/>
  <c r="V53" i="3"/>
  <c r="W53" i="3"/>
  <c r="X53" i="3"/>
  <c r="Y53" i="3"/>
  <c r="Z53" i="3"/>
  <c r="AA53" i="3"/>
  <c r="AB53" i="3"/>
  <c r="AC53" i="3"/>
  <c r="AD53" i="3"/>
  <c r="AE53" i="3"/>
  <c r="AF53" i="3"/>
  <c r="AG53" i="3"/>
  <c r="AH53" i="3"/>
  <c r="AI53" i="3"/>
  <c r="AJ53" i="3"/>
  <c r="AK53" i="3"/>
  <c r="AL53" i="3"/>
  <c r="AM53" i="3"/>
  <c r="AN53" i="3"/>
  <c r="AO53" i="3"/>
  <c r="AP53" i="3"/>
  <c r="AQ53" i="3"/>
  <c r="AR53" i="3"/>
  <c r="AS53" i="3"/>
  <c r="AT53" i="3"/>
  <c r="AU53" i="3"/>
  <c r="AV53" i="3"/>
  <c r="AW53" i="3"/>
  <c r="AX53" i="3"/>
  <c r="AY53" i="3"/>
  <c r="AZ53" i="3"/>
  <c r="BA53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R54" i="3"/>
  <c r="S54" i="3"/>
  <c r="T54" i="3"/>
  <c r="U54" i="3"/>
  <c r="V54" i="3"/>
  <c r="W54" i="3"/>
  <c r="X54" i="3"/>
  <c r="Y54" i="3"/>
  <c r="Z54" i="3"/>
  <c r="AA54" i="3"/>
  <c r="AB54" i="3"/>
  <c r="AC54" i="3"/>
  <c r="AD54" i="3"/>
  <c r="AE54" i="3"/>
  <c r="AF54" i="3"/>
  <c r="AG54" i="3"/>
  <c r="AH54" i="3"/>
  <c r="AI54" i="3"/>
  <c r="AJ54" i="3"/>
  <c r="AK54" i="3"/>
  <c r="AL54" i="3"/>
  <c r="AM54" i="3"/>
  <c r="AN54" i="3"/>
  <c r="AO54" i="3"/>
  <c r="AP54" i="3"/>
  <c r="AQ54" i="3"/>
  <c r="AR54" i="3"/>
  <c r="AS54" i="3"/>
  <c r="AT54" i="3"/>
  <c r="AU54" i="3"/>
  <c r="AV54" i="3"/>
  <c r="AW54" i="3"/>
  <c r="AX54" i="3"/>
  <c r="AY54" i="3"/>
  <c r="AZ54" i="3"/>
  <c r="BA54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R55" i="3"/>
  <c r="S55" i="3"/>
  <c r="T55" i="3"/>
  <c r="U55" i="3"/>
  <c r="V55" i="3"/>
  <c r="W55" i="3"/>
  <c r="X55" i="3"/>
  <c r="Y55" i="3"/>
  <c r="Z55" i="3"/>
  <c r="AA55" i="3"/>
  <c r="AB55" i="3"/>
  <c r="AC55" i="3"/>
  <c r="AD55" i="3"/>
  <c r="AE55" i="3"/>
  <c r="AF55" i="3"/>
  <c r="AG55" i="3"/>
  <c r="AH55" i="3"/>
  <c r="AI55" i="3"/>
  <c r="AJ55" i="3"/>
  <c r="AK55" i="3"/>
  <c r="AL55" i="3"/>
  <c r="AM55" i="3"/>
  <c r="AN55" i="3"/>
  <c r="AO55" i="3"/>
  <c r="AP55" i="3"/>
  <c r="AQ55" i="3"/>
  <c r="AR55" i="3"/>
  <c r="AS55" i="3"/>
  <c r="AT55" i="3"/>
  <c r="AU55" i="3"/>
  <c r="AV55" i="3"/>
  <c r="AW55" i="3"/>
  <c r="AX55" i="3"/>
  <c r="AY55" i="3"/>
  <c r="AZ55" i="3"/>
  <c r="BA55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R56" i="3"/>
  <c r="S56" i="3"/>
  <c r="T56" i="3"/>
  <c r="U56" i="3"/>
  <c r="V56" i="3"/>
  <c r="W56" i="3"/>
  <c r="X56" i="3"/>
  <c r="Y56" i="3"/>
  <c r="Z56" i="3"/>
  <c r="AA56" i="3"/>
  <c r="AB56" i="3"/>
  <c r="AC56" i="3"/>
  <c r="AD56" i="3"/>
  <c r="AE56" i="3"/>
  <c r="AF56" i="3"/>
  <c r="AG56" i="3"/>
  <c r="AH56" i="3"/>
  <c r="AI56" i="3"/>
  <c r="AJ56" i="3"/>
  <c r="AK56" i="3"/>
  <c r="AL56" i="3"/>
  <c r="AM56" i="3"/>
  <c r="AN56" i="3"/>
  <c r="AO56" i="3"/>
  <c r="AP56" i="3"/>
  <c r="AQ56" i="3"/>
  <c r="AR56" i="3"/>
  <c r="AS56" i="3"/>
  <c r="AT56" i="3"/>
  <c r="AU56" i="3"/>
  <c r="AV56" i="3"/>
  <c r="AW56" i="3"/>
  <c r="AX56" i="3"/>
  <c r="AY56" i="3"/>
  <c r="AZ56" i="3"/>
  <c r="BA56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R57" i="3"/>
  <c r="S57" i="3"/>
  <c r="T57" i="3"/>
  <c r="U57" i="3"/>
  <c r="V57" i="3"/>
  <c r="W57" i="3"/>
  <c r="X57" i="3"/>
  <c r="Y57" i="3"/>
  <c r="Z57" i="3"/>
  <c r="AA57" i="3"/>
  <c r="AB57" i="3"/>
  <c r="AC57" i="3"/>
  <c r="AD57" i="3"/>
  <c r="AE57" i="3"/>
  <c r="AF57" i="3"/>
  <c r="AG57" i="3"/>
  <c r="AH57" i="3"/>
  <c r="AI57" i="3"/>
  <c r="AJ57" i="3"/>
  <c r="AK57" i="3"/>
  <c r="AL57" i="3"/>
  <c r="AM57" i="3"/>
  <c r="AN57" i="3"/>
  <c r="AO57" i="3"/>
  <c r="AP57" i="3"/>
  <c r="AQ57" i="3"/>
  <c r="AR57" i="3"/>
  <c r="AS57" i="3"/>
  <c r="AT57" i="3"/>
  <c r="AU57" i="3"/>
  <c r="AV57" i="3"/>
  <c r="AW57" i="3"/>
  <c r="AX57" i="3"/>
  <c r="AY57" i="3"/>
  <c r="AZ57" i="3"/>
  <c r="BA57" i="3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R58" i="3"/>
  <c r="S58" i="3"/>
  <c r="T58" i="3"/>
  <c r="U58" i="3"/>
  <c r="V58" i="3"/>
  <c r="W58" i="3"/>
  <c r="X58" i="3"/>
  <c r="Y58" i="3"/>
  <c r="Z58" i="3"/>
  <c r="AA58" i="3"/>
  <c r="AB58" i="3"/>
  <c r="AC58" i="3"/>
  <c r="AD58" i="3"/>
  <c r="AE58" i="3"/>
  <c r="AF58" i="3"/>
  <c r="AG58" i="3"/>
  <c r="AH58" i="3"/>
  <c r="AI58" i="3"/>
  <c r="AJ58" i="3"/>
  <c r="AK58" i="3"/>
  <c r="AL58" i="3"/>
  <c r="AM58" i="3"/>
  <c r="AN58" i="3"/>
  <c r="AO58" i="3"/>
  <c r="AP58" i="3"/>
  <c r="AQ58" i="3"/>
  <c r="AR58" i="3"/>
  <c r="AS58" i="3"/>
  <c r="AT58" i="3"/>
  <c r="AU58" i="3"/>
  <c r="AV58" i="3"/>
  <c r="AW58" i="3"/>
  <c r="AX58" i="3"/>
  <c r="AY58" i="3"/>
  <c r="AZ58" i="3"/>
  <c r="BA58" i="3"/>
  <c r="E59" i="3"/>
  <c r="F59" i="3"/>
  <c r="G59" i="3"/>
  <c r="H59" i="3"/>
  <c r="I59" i="3"/>
  <c r="J59" i="3"/>
  <c r="K59" i="3"/>
  <c r="L59" i="3"/>
  <c r="M59" i="3"/>
  <c r="N59" i="3"/>
  <c r="O59" i="3"/>
  <c r="P59" i="3"/>
  <c r="Q59" i="3"/>
  <c r="R59" i="3"/>
  <c r="S59" i="3"/>
  <c r="T59" i="3"/>
  <c r="U59" i="3"/>
  <c r="V59" i="3"/>
  <c r="W59" i="3"/>
  <c r="X59" i="3"/>
  <c r="Y59" i="3"/>
  <c r="Z59" i="3"/>
  <c r="AA59" i="3"/>
  <c r="AB59" i="3"/>
  <c r="AC59" i="3"/>
  <c r="AD59" i="3"/>
  <c r="AE59" i="3"/>
  <c r="AF59" i="3"/>
  <c r="AG59" i="3"/>
  <c r="AH59" i="3"/>
  <c r="AI59" i="3"/>
  <c r="AJ59" i="3"/>
  <c r="AK59" i="3"/>
  <c r="AL59" i="3"/>
  <c r="AM59" i="3"/>
  <c r="AN59" i="3"/>
  <c r="AO59" i="3"/>
  <c r="AP59" i="3"/>
  <c r="AQ59" i="3"/>
  <c r="AR59" i="3"/>
  <c r="AS59" i="3"/>
  <c r="AT59" i="3"/>
  <c r="AU59" i="3"/>
  <c r="AV59" i="3"/>
  <c r="AW59" i="3"/>
  <c r="AX59" i="3"/>
  <c r="AY59" i="3"/>
  <c r="AZ59" i="3"/>
  <c r="BA59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R60" i="3"/>
  <c r="S60" i="3"/>
  <c r="T60" i="3"/>
  <c r="U60" i="3"/>
  <c r="V60" i="3"/>
  <c r="W60" i="3"/>
  <c r="X60" i="3"/>
  <c r="Y60" i="3"/>
  <c r="Z60" i="3"/>
  <c r="AA60" i="3"/>
  <c r="AB60" i="3"/>
  <c r="AC60" i="3"/>
  <c r="AD60" i="3"/>
  <c r="AE60" i="3"/>
  <c r="AF60" i="3"/>
  <c r="AG60" i="3"/>
  <c r="AH60" i="3"/>
  <c r="AI60" i="3"/>
  <c r="AJ60" i="3"/>
  <c r="AK60" i="3"/>
  <c r="AL60" i="3"/>
  <c r="AM60" i="3"/>
  <c r="AN60" i="3"/>
  <c r="AO60" i="3"/>
  <c r="AP60" i="3"/>
  <c r="AQ60" i="3"/>
  <c r="AR60" i="3"/>
  <c r="AS60" i="3"/>
  <c r="AT60" i="3"/>
  <c r="AU60" i="3"/>
  <c r="AV60" i="3"/>
  <c r="AW60" i="3"/>
  <c r="AX60" i="3"/>
  <c r="AY60" i="3"/>
  <c r="AZ60" i="3"/>
  <c r="BA60" i="3"/>
  <c r="E61" i="3"/>
  <c r="F61" i="3"/>
  <c r="G61" i="3"/>
  <c r="H61" i="3"/>
  <c r="I61" i="3"/>
  <c r="J61" i="3"/>
  <c r="K61" i="3"/>
  <c r="L61" i="3"/>
  <c r="M61" i="3"/>
  <c r="N61" i="3"/>
  <c r="O61" i="3"/>
  <c r="P61" i="3"/>
  <c r="Q61" i="3"/>
  <c r="R61" i="3"/>
  <c r="S61" i="3"/>
  <c r="T61" i="3"/>
  <c r="U61" i="3"/>
  <c r="V61" i="3"/>
  <c r="W61" i="3"/>
  <c r="X61" i="3"/>
  <c r="Y61" i="3"/>
  <c r="Z61" i="3"/>
  <c r="AA61" i="3"/>
  <c r="AB61" i="3"/>
  <c r="AC61" i="3"/>
  <c r="AD61" i="3"/>
  <c r="AE61" i="3"/>
  <c r="AF61" i="3"/>
  <c r="AG61" i="3"/>
  <c r="AH61" i="3"/>
  <c r="AI61" i="3"/>
  <c r="AJ61" i="3"/>
  <c r="AK61" i="3"/>
  <c r="AL61" i="3"/>
  <c r="AM61" i="3"/>
  <c r="AN61" i="3"/>
  <c r="AO61" i="3"/>
  <c r="AP61" i="3"/>
  <c r="AQ61" i="3"/>
  <c r="AR61" i="3"/>
  <c r="AS61" i="3"/>
  <c r="AT61" i="3"/>
  <c r="AU61" i="3"/>
  <c r="AV61" i="3"/>
  <c r="AW61" i="3"/>
  <c r="AX61" i="3"/>
  <c r="AY61" i="3"/>
  <c r="AZ61" i="3"/>
  <c r="BA61" i="3"/>
  <c r="H15" i="12"/>
  <c r="H14" i="12"/>
  <c r="K56" i="1" s="1"/>
  <c r="H13" i="12"/>
  <c r="K50" i="1" s="1"/>
  <c r="H8" i="12"/>
  <c r="K25" i="1" s="1"/>
  <c r="AM34" i="5"/>
  <c r="E32" i="3" s="1"/>
  <c r="I34" i="5"/>
  <c r="F32" i="3" s="1"/>
  <c r="G32" i="3"/>
  <c r="F34" i="5"/>
  <c r="H32" i="3" s="1"/>
  <c r="I32" i="3"/>
  <c r="J32" i="3"/>
  <c r="K32" i="3"/>
  <c r="AJ34" i="5"/>
  <c r="L32" i="3" s="1"/>
  <c r="M32" i="3"/>
  <c r="X34" i="5"/>
  <c r="N32" i="3" s="1"/>
  <c r="O32" i="3"/>
  <c r="O34" i="5"/>
  <c r="P32" i="3" s="1"/>
  <c r="Q32" i="3"/>
  <c r="L34" i="5"/>
  <c r="R32" i="3" s="1"/>
  <c r="S32" i="3"/>
  <c r="R34" i="5"/>
  <c r="T32" i="3" s="1"/>
  <c r="U32" i="3"/>
  <c r="AA34" i="5"/>
  <c r="V32" i="3" s="1"/>
  <c r="W32" i="3"/>
  <c r="AD34" i="5"/>
  <c r="X32" i="3" s="1"/>
  <c r="Y32" i="3"/>
  <c r="AG34" i="5"/>
  <c r="Z32" i="3" s="1"/>
  <c r="AA32" i="3"/>
  <c r="AX34" i="5"/>
  <c r="AB32" i="3" s="1"/>
  <c r="AV34" i="5"/>
  <c r="AC32" i="3" s="1"/>
  <c r="AZ34" i="5"/>
  <c r="AD32" i="3" s="1"/>
  <c r="BB34" i="5"/>
  <c r="AE32" i="3" s="1"/>
  <c r="E34" i="6"/>
  <c r="AF32" i="3" s="1"/>
  <c r="H34" i="6"/>
  <c r="AG32" i="3" s="1"/>
  <c r="K34" i="6"/>
  <c r="AH32" i="3" s="1"/>
  <c r="N34" i="6"/>
  <c r="AI32" i="3" s="1"/>
  <c r="Q34" i="6"/>
  <c r="AJ32" i="3" s="1"/>
  <c r="U34" i="6"/>
  <c r="AK32" i="3" s="1"/>
  <c r="X34" i="6"/>
  <c r="AL32" i="3" s="1"/>
  <c r="AB34" i="6"/>
  <c r="AM32" i="3" s="1"/>
  <c r="AD34" i="6"/>
  <c r="AN32" i="3" s="1"/>
  <c r="AF34" i="6"/>
  <c r="AO32" i="3" s="1"/>
  <c r="AH34" i="6"/>
  <c r="AP32" i="3" s="1"/>
  <c r="AJ34" i="6"/>
  <c r="AQ32" i="3" s="1"/>
  <c r="AL34" i="6"/>
  <c r="AR32" i="3" s="1"/>
  <c r="AN34" i="6"/>
  <c r="AS32" i="3" s="1"/>
  <c r="AP34" i="6"/>
  <c r="AT32" i="3" s="1"/>
  <c r="AT34" i="6"/>
  <c r="AU32" i="3"/>
  <c r="AW34" i="6"/>
  <c r="AV32" i="3" s="1"/>
  <c r="AY34" i="6"/>
  <c r="AW32" i="3" s="1"/>
  <c r="BB34" i="6"/>
  <c r="AY32" i="3" s="1"/>
  <c r="BD34" i="6"/>
  <c r="AZ32" i="3" s="1"/>
  <c r="BF34" i="6"/>
  <c r="BA32" i="3" s="1"/>
  <c r="AM35" i="5"/>
  <c r="E33" i="3" s="1"/>
  <c r="I35" i="5"/>
  <c r="F33" i="3" s="1"/>
  <c r="G33" i="3"/>
  <c r="F35" i="5"/>
  <c r="H33" i="3" s="1"/>
  <c r="I33" i="3"/>
  <c r="J33" i="3"/>
  <c r="K33" i="3"/>
  <c r="AJ35" i="5"/>
  <c r="L33" i="3" s="1"/>
  <c r="M33" i="3"/>
  <c r="X35" i="5"/>
  <c r="N33" i="3" s="1"/>
  <c r="O33" i="3"/>
  <c r="O35" i="5"/>
  <c r="P33" i="3" s="1"/>
  <c r="Q33" i="3"/>
  <c r="L35" i="5"/>
  <c r="R33" i="3" s="1"/>
  <c r="S33" i="3"/>
  <c r="R35" i="5"/>
  <c r="T33" i="3" s="1"/>
  <c r="U33" i="3"/>
  <c r="AA35" i="5"/>
  <c r="V33" i="3" s="1"/>
  <c r="W33" i="3"/>
  <c r="AD35" i="5"/>
  <c r="X33" i="3" s="1"/>
  <c r="Y33" i="3"/>
  <c r="AG35" i="5"/>
  <c r="Z33" i="3" s="1"/>
  <c r="AA33" i="3"/>
  <c r="AX35" i="5"/>
  <c r="AB33" i="3" s="1"/>
  <c r="AV35" i="5"/>
  <c r="AC33" i="3" s="1"/>
  <c r="AZ35" i="5"/>
  <c r="AD33" i="3" s="1"/>
  <c r="BB35" i="5"/>
  <c r="AE33" i="3" s="1"/>
  <c r="E35" i="6"/>
  <c r="AF33" i="3" s="1"/>
  <c r="H35" i="6"/>
  <c r="AG33" i="3" s="1"/>
  <c r="K35" i="6"/>
  <c r="AH33" i="3" s="1"/>
  <c r="N35" i="6"/>
  <c r="AI33" i="3" s="1"/>
  <c r="Q35" i="6"/>
  <c r="AJ33" i="3" s="1"/>
  <c r="U35" i="6"/>
  <c r="AK33" i="3" s="1"/>
  <c r="X35" i="6"/>
  <c r="AL33" i="3" s="1"/>
  <c r="AB35" i="6"/>
  <c r="AM33" i="3" s="1"/>
  <c r="AD35" i="6"/>
  <c r="AN33" i="3" s="1"/>
  <c r="AF35" i="6"/>
  <c r="AO33" i="3" s="1"/>
  <c r="AH35" i="6"/>
  <c r="AP33" i="3" s="1"/>
  <c r="AJ35" i="6"/>
  <c r="AQ33" i="3" s="1"/>
  <c r="AL35" i="6"/>
  <c r="AR33" i="3" s="1"/>
  <c r="AN35" i="6"/>
  <c r="AS33" i="3" s="1"/>
  <c r="AP35" i="6"/>
  <c r="AT33" i="3" s="1"/>
  <c r="AT35" i="6"/>
  <c r="AU33" i="3" s="1"/>
  <c r="AW35" i="6"/>
  <c r="AY35" i="6"/>
  <c r="AW33" i="3" s="1"/>
  <c r="BB35" i="6"/>
  <c r="AY33" i="3" s="1"/>
  <c r="BD35" i="6"/>
  <c r="AZ33" i="3" s="1"/>
  <c r="BF35" i="6"/>
  <c r="BA33" i="3" s="1"/>
  <c r="AM36" i="5"/>
  <c r="E34" i="3" s="1"/>
  <c r="I36" i="5"/>
  <c r="F34" i="3" s="1"/>
  <c r="G34" i="3"/>
  <c r="F36" i="5"/>
  <c r="H34" i="3" s="1"/>
  <c r="I34" i="3"/>
  <c r="J34" i="3"/>
  <c r="K34" i="3"/>
  <c r="AJ36" i="5"/>
  <c r="L34" i="3" s="1"/>
  <c r="M34" i="3"/>
  <c r="X36" i="5"/>
  <c r="N34" i="3" s="1"/>
  <c r="O34" i="3"/>
  <c r="O36" i="5"/>
  <c r="P34" i="3" s="1"/>
  <c r="Q34" i="3"/>
  <c r="L36" i="5"/>
  <c r="R34" i="3" s="1"/>
  <c r="S34" i="3"/>
  <c r="R36" i="5"/>
  <c r="T34" i="3" s="1"/>
  <c r="U34" i="3"/>
  <c r="AA36" i="5"/>
  <c r="V34" i="3" s="1"/>
  <c r="W34" i="3"/>
  <c r="AD36" i="5"/>
  <c r="X34" i="3" s="1"/>
  <c r="Y34" i="3"/>
  <c r="AG36" i="5"/>
  <c r="Z34" i="3" s="1"/>
  <c r="AA34" i="3"/>
  <c r="AX36" i="5"/>
  <c r="AB34" i="3" s="1"/>
  <c r="AV36" i="5"/>
  <c r="AC34" i="3" s="1"/>
  <c r="AZ36" i="5"/>
  <c r="AD34" i="3" s="1"/>
  <c r="BB36" i="5"/>
  <c r="AE34" i="3" s="1"/>
  <c r="E36" i="6"/>
  <c r="AF34" i="3" s="1"/>
  <c r="H36" i="6"/>
  <c r="AG34" i="3" s="1"/>
  <c r="K36" i="6"/>
  <c r="AH34" i="3" s="1"/>
  <c r="N36" i="6"/>
  <c r="AI34" i="3" s="1"/>
  <c r="Q36" i="6"/>
  <c r="AJ34" i="3" s="1"/>
  <c r="U36" i="6"/>
  <c r="AK34" i="3" s="1"/>
  <c r="X36" i="6"/>
  <c r="AB36" i="6"/>
  <c r="AM34" i="3" s="1"/>
  <c r="AD36" i="6"/>
  <c r="AN34" i="3" s="1"/>
  <c r="AF36" i="6"/>
  <c r="AO34" i="3" s="1"/>
  <c r="AH36" i="6"/>
  <c r="AP34" i="3" s="1"/>
  <c r="AJ36" i="6"/>
  <c r="AQ34" i="3" s="1"/>
  <c r="AL36" i="6"/>
  <c r="AR34" i="3" s="1"/>
  <c r="AN36" i="6"/>
  <c r="AS34" i="3" s="1"/>
  <c r="AP36" i="6"/>
  <c r="AT34" i="3" s="1"/>
  <c r="AT36" i="6"/>
  <c r="AU34" i="3" s="1"/>
  <c r="AW36" i="6"/>
  <c r="AY36" i="6"/>
  <c r="AW34" i="3" s="1"/>
  <c r="BB36" i="6"/>
  <c r="AY34" i="3" s="1"/>
  <c r="BD36" i="6"/>
  <c r="AZ34" i="3" s="1"/>
  <c r="BF36" i="6"/>
  <c r="BA34" i="3" s="1"/>
  <c r="AM37" i="5"/>
  <c r="E35" i="3" s="1"/>
  <c r="I37" i="5"/>
  <c r="F35" i="3" s="1"/>
  <c r="G35" i="3"/>
  <c r="F37" i="5"/>
  <c r="H35" i="3" s="1"/>
  <c r="I35" i="3"/>
  <c r="J35" i="3"/>
  <c r="K35" i="3"/>
  <c r="AJ37" i="5"/>
  <c r="L35" i="3" s="1"/>
  <c r="M35" i="3"/>
  <c r="X37" i="5"/>
  <c r="N35" i="3" s="1"/>
  <c r="O35" i="3"/>
  <c r="O37" i="5"/>
  <c r="P35" i="3" s="1"/>
  <c r="Q35" i="3"/>
  <c r="L37" i="5"/>
  <c r="R35" i="3" s="1"/>
  <c r="S35" i="3"/>
  <c r="R37" i="5"/>
  <c r="T35" i="3" s="1"/>
  <c r="U35" i="3"/>
  <c r="AA37" i="5"/>
  <c r="V35" i="3" s="1"/>
  <c r="W35" i="3"/>
  <c r="AD37" i="5"/>
  <c r="X35" i="3" s="1"/>
  <c r="Y35" i="3"/>
  <c r="AG37" i="5"/>
  <c r="Z35" i="3" s="1"/>
  <c r="AA35" i="3"/>
  <c r="AX37" i="5"/>
  <c r="AB35" i="3" s="1"/>
  <c r="AV37" i="5"/>
  <c r="AZ37" i="5"/>
  <c r="AD35" i="3" s="1"/>
  <c r="BB37" i="5"/>
  <c r="AE35" i="3" s="1"/>
  <c r="E37" i="6"/>
  <c r="AF35" i="3" s="1"/>
  <c r="H37" i="6"/>
  <c r="AG35" i="3" s="1"/>
  <c r="K37" i="6"/>
  <c r="AH35" i="3" s="1"/>
  <c r="N37" i="6"/>
  <c r="AI35" i="3" s="1"/>
  <c r="Q37" i="6"/>
  <c r="AJ35" i="3" s="1"/>
  <c r="U37" i="6"/>
  <c r="AK35" i="3" s="1"/>
  <c r="X37" i="6"/>
  <c r="AL35" i="3" s="1"/>
  <c r="AB37" i="6"/>
  <c r="AM35" i="3" s="1"/>
  <c r="AD37" i="6"/>
  <c r="AN35" i="3" s="1"/>
  <c r="AF37" i="6"/>
  <c r="AO35" i="3" s="1"/>
  <c r="AH37" i="6"/>
  <c r="AP35" i="3" s="1"/>
  <c r="AJ37" i="6"/>
  <c r="AQ35" i="3" s="1"/>
  <c r="AL37" i="6"/>
  <c r="AR35" i="3" s="1"/>
  <c r="AN37" i="6"/>
  <c r="AS35" i="3" s="1"/>
  <c r="AP37" i="6"/>
  <c r="AT35" i="3" s="1"/>
  <c r="AT37" i="6"/>
  <c r="AU35" i="3" s="1"/>
  <c r="AW37" i="6"/>
  <c r="AY37" i="6"/>
  <c r="AW35" i="3" s="1"/>
  <c r="BB37" i="6"/>
  <c r="AY35" i="3" s="1"/>
  <c r="BD37" i="6"/>
  <c r="AZ35" i="3" s="1"/>
  <c r="BF37" i="6"/>
  <c r="BA35" i="3" s="1"/>
  <c r="AM38" i="5"/>
  <c r="E36" i="3" s="1"/>
  <c r="I38" i="5"/>
  <c r="F36" i="3" s="1"/>
  <c r="G36" i="3"/>
  <c r="F38" i="5"/>
  <c r="H36" i="3" s="1"/>
  <c r="I36" i="3"/>
  <c r="J36" i="3"/>
  <c r="K36" i="3"/>
  <c r="AJ38" i="5"/>
  <c r="L36" i="3" s="1"/>
  <c r="M36" i="3"/>
  <c r="X38" i="5"/>
  <c r="N36" i="3" s="1"/>
  <c r="O36" i="3"/>
  <c r="O38" i="5"/>
  <c r="P36" i="3" s="1"/>
  <c r="Q36" i="3"/>
  <c r="L38" i="5"/>
  <c r="R36" i="3" s="1"/>
  <c r="S36" i="3"/>
  <c r="R38" i="5"/>
  <c r="T36" i="3" s="1"/>
  <c r="U36" i="3"/>
  <c r="AA38" i="5"/>
  <c r="V36" i="3" s="1"/>
  <c r="W36" i="3"/>
  <c r="AD38" i="5"/>
  <c r="X36" i="3" s="1"/>
  <c r="Y36" i="3"/>
  <c r="AG38" i="5"/>
  <c r="Z36" i="3" s="1"/>
  <c r="AA36" i="3"/>
  <c r="AX38" i="5"/>
  <c r="AB36" i="3" s="1"/>
  <c r="AV38" i="5"/>
  <c r="AC36" i="3" s="1"/>
  <c r="AZ38" i="5"/>
  <c r="AD36" i="3" s="1"/>
  <c r="BB38" i="5"/>
  <c r="AE36" i="3" s="1"/>
  <c r="E38" i="6"/>
  <c r="AF36" i="3" s="1"/>
  <c r="H38" i="6"/>
  <c r="AG36" i="3" s="1"/>
  <c r="K38" i="6"/>
  <c r="AH36" i="3" s="1"/>
  <c r="N38" i="6"/>
  <c r="AI36" i="3" s="1"/>
  <c r="Q38" i="6"/>
  <c r="AJ36" i="3" s="1"/>
  <c r="U38" i="6"/>
  <c r="AK36" i="3" s="1"/>
  <c r="X38" i="6"/>
  <c r="AL36" i="3" s="1"/>
  <c r="AB38" i="6"/>
  <c r="AM36" i="3" s="1"/>
  <c r="AD38" i="6"/>
  <c r="AN36" i="3" s="1"/>
  <c r="AF38" i="6"/>
  <c r="AO36" i="3" s="1"/>
  <c r="AH38" i="6"/>
  <c r="AP36" i="3" s="1"/>
  <c r="AJ38" i="6"/>
  <c r="AQ36" i="3" s="1"/>
  <c r="AL38" i="6"/>
  <c r="AR36" i="3" s="1"/>
  <c r="AN38" i="6"/>
  <c r="AS36" i="3" s="1"/>
  <c r="AP38" i="6"/>
  <c r="AT36" i="3" s="1"/>
  <c r="AT38" i="6"/>
  <c r="AU36" i="3" s="1"/>
  <c r="AW38" i="6"/>
  <c r="AV36" i="3" s="1"/>
  <c r="AY38" i="6"/>
  <c r="BB38" i="6"/>
  <c r="AY36" i="3" s="1"/>
  <c r="BD38" i="6"/>
  <c r="AZ36" i="3" s="1"/>
  <c r="BF38" i="6"/>
  <c r="BA36" i="3" s="1"/>
  <c r="AM39" i="5"/>
  <c r="E37" i="3" s="1"/>
  <c r="I39" i="5"/>
  <c r="F37" i="3" s="1"/>
  <c r="G37" i="3"/>
  <c r="F39" i="5"/>
  <c r="H37" i="3" s="1"/>
  <c r="I37" i="3"/>
  <c r="J37" i="3"/>
  <c r="K37" i="3"/>
  <c r="AJ39" i="5"/>
  <c r="L37" i="3" s="1"/>
  <c r="M37" i="3"/>
  <c r="X39" i="5"/>
  <c r="N37" i="3" s="1"/>
  <c r="O37" i="3"/>
  <c r="O39" i="5"/>
  <c r="P37" i="3" s="1"/>
  <c r="Q37" i="3"/>
  <c r="L39" i="5"/>
  <c r="R37" i="3" s="1"/>
  <c r="S37" i="3"/>
  <c r="R39" i="5"/>
  <c r="T37" i="3" s="1"/>
  <c r="U37" i="3"/>
  <c r="AA39" i="5"/>
  <c r="V37" i="3" s="1"/>
  <c r="W37" i="3"/>
  <c r="AD39" i="5"/>
  <c r="X37" i="3" s="1"/>
  <c r="Y37" i="3"/>
  <c r="AG39" i="5"/>
  <c r="Z37" i="3" s="1"/>
  <c r="AA37" i="3"/>
  <c r="AX39" i="5"/>
  <c r="AB37" i="3" s="1"/>
  <c r="AV39" i="5"/>
  <c r="AC37" i="3" s="1"/>
  <c r="AZ39" i="5"/>
  <c r="AD37" i="3" s="1"/>
  <c r="BB39" i="5"/>
  <c r="AE37" i="3" s="1"/>
  <c r="E39" i="6"/>
  <c r="AF37" i="3" s="1"/>
  <c r="H39" i="6"/>
  <c r="AG37" i="3" s="1"/>
  <c r="K39" i="6"/>
  <c r="AH37" i="3" s="1"/>
  <c r="N39" i="6"/>
  <c r="AI37" i="3" s="1"/>
  <c r="Q39" i="6"/>
  <c r="AJ37" i="3" s="1"/>
  <c r="U39" i="6"/>
  <c r="AK37" i="3" s="1"/>
  <c r="X39" i="6"/>
  <c r="AL37" i="3" s="1"/>
  <c r="AB39" i="6"/>
  <c r="AM37" i="3" s="1"/>
  <c r="AD39" i="6"/>
  <c r="AN37" i="3" s="1"/>
  <c r="AF39" i="6"/>
  <c r="AO37" i="3" s="1"/>
  <c r="AH39" i="6"/>
  <c r="AP37" i="3" s="1"/>
  <c r="AJ39" i="6"/>
  <c r="AQ37" i="3" s="1"/>
  <c r="AL39" i="6"/>
  <c r="AR37" i="3" s="1"/>
  <c r="AN39" i="6"/>
  <c r="AS37" i="3" s="1"/>
  <c r="AP39" i="6"/>
  <c r="AT37" i="3" s="1"/>
  <c r="AT39" i="6"/>
  <c r="AU37" i="3" s="1"/>
  <c r="AW39" i="6"/>
  <c r="AV37" i="3" s="1"/>
  <c r="AY39" i="6"/>
  <c r="AW37" i="3" s="1"/>
  <c r="BB39" i="6"/>
  <c r="AY37" i="3" s="1"/>
  <c r="BD39" i="6"/>
  <c r="AZ37" i="3" s="1"/>
  <c r="BF39" i="6"/>
  <c r="BA37" i="3" s="1"/>
  <c r="AM40" i="5"/>
  <c r="E38" i="3" s="1"/>
  <c r="I40" i="5"/>
  <c r="F38" i="3" s="1"/>
  <c r="G38" i="3"/>
  <c r="F40" i="5"/>
  <c r="H38" i="3" s="1"/>
  <c r="I38" i="3"/>
  <c r="J38" i="3"/>
  <c r="K38" i="3"/>
  <c r="AJ40" i="5"/>
  <c r="L38" i="3" s="1"/>
  <c r="M38" i="3"/>
  <c r="X40" i="5"/>
  <c r="O38" i="3"/>
  <c r="O40" i="5"/>
  <c r="P38" i="3" s="1"/>
  <c r="Q38" i="3"/>
  <c r="L40" i="5"/>
  <c r="R38" i="3" s="1"/>
  <c r="S38" i="3"/>
  <c r="R40" i="5"/>
  <c r="T38" i="3" s="1"/>
  <c r="U38" i="3"/>
  <c r="AA40" i="5"/>
  <c r="V38" i="3" s="1"/>
  <c r="W38" i="3"/>
  <c r="AD40" i="5"/>
  <c r="X38" i="3" s="1"/>
  <c r="Y38" i="3"/>
  <c r="AG40" i="5"/>
  <c r="Z38" i="3" s="1"/>
  <c r="AA38" i="3"/>
  <c r="AX40" i="5"/>
  <c r="AB38" i="3" s="1"/>
  <c r="AV40" i="5"/>
  <c r="AC38" i="3" s="1"/>
  <c r="AZ40" i="5"/>
  <c r="AD38" i="3" s="1"/>
  <c r="BB40" i="5"/>
  <c r="AE38" i="3" s="1"/>
  <c r="E40" i="6"/>
  <c r="AF38" i="3" s="1"/>
  <c r="H40" i="6"/>
  <c r="AG38" i="3" s="1"/>
  <c r="K40" i="6"/>
  <c r="AH38" i="3" s="1"/>
  <c r="N40" i="6"/>
  <c r="AI38" i="3" s="1"/>
  <c r="Q40" i="6"/>
  <c r="AJ38" i="3" s="1"/>
  <c r="U40" i="6"/>
  <c r="AK38" i="3" s="1"/>
  <c r="X40" i="6"/>
  <c r="AL38" i="3" s="1"/>
  <c r="AB40" i="6"/>
  <c r="AM38" i="3" s="1"/>
  <c r="AD40" i="6"/>
  <c r="AN38" i="3" s="1"/>
  <c r="AF40" i="6"/>
  <c r="AO38" i="3" s="1"/>
  <c r="AH40" i="6"/>
  <c r="AP38" i="3" s="1"/>
  <c r="AJ40" i="6"/>
  <c r="AQ38" i="3" s="1"/>
  <c r="AL40" i="6"/>
  <c r="AR38" i="3" s="1"/>
  <c r="AN40" i="6"/>
  <c r="AS38" i="3" s="1"/>
  <c r="AP40" i="6"/>
  <c r="AT38" i="3" s="1"/>
  <c r="AT40" i="6"/>
  <c r="AU38" i="3" s="1"/>
  <c r="AW40" i="6"/>
  <c r="AY40" i="6"/>
  <c r="AW38" i="3" s="1"/>
  <c r="BB40" i="6"/>
  <c r="AY38" i="3" s="1"/>
  <c r="BD40" i="6"/>
  <c r="AZ38" i="3" s="1"/>
  <c r="BF40" i="6"/>
  <c r="BA38" i="3" s="1"/>
  <c r="AM41" i="5"/>
  <c r="E39" i="3" s="1"/>
  <c r="I41" i="5"/>
  <c r="F39" i="3" s="1"/>
  <c r="G39" i="3"/>
  <c r="F41" i="5"/>
  <c r="H39" i="3" s="1"/>
  <c r="I39" i="3"/>
  <c r="J39" i="3"/>
  <c r="K39" i="3"/>
  <c r="AJ41" i="5"/>
  <c r="L39" i="3" s="1"/>
  <c r="M39" i="3"/>
  <c r="X41" i="5"/>
  <c r="N39" i="3" s="1"/>
  <c r="O39" i="3"/>
  <c r="O41" i="5"/>
  <c r="P39" i="3" s="1"/>
  <c r="Q39" i="3"/>
  <c r="L41" i="5"/>
  <c r="R39" i="3" s="1"/>
  <c r="S39" i="3"/>
  <c r="R41" i="5"/>
  <c r="T39" i="3" s="1"/>
  <c r="U39" i="3"/>
  <c r="AA41" i="5"/>
  <c r="V39" i="3" s="1"/>
  <c r="W39" i="3"/>
  <c r="AD41" i="5"/>
  <c r="X39" i="3" s="1"/>
  <c r="Y39" i="3"/>
  <c r="AG41" i="5"/>
  <c r="Z39" i="3" s="1"/>
  <c r="AA39" i="3"/>
  <c r="AX41" i="5"/>
  <c r="AB39" i="3" s="1"/>
  <c r="AV41" i="5"/>
  <c r="AC39" i="3" s="1"/>
  <c r="AZ41" i="5"/>
  <c r="AD39" i="3" s="1"/>
  <c r="BB41" i="5"/>
  <c r="AE39" i="3" s="1"/>
  <c r="E41" i="6"/>
  <c r="AF39" i="3" s="1"/>
  <c r="H41" i="6"/>
  <c r="AG39" i="3" s="1"/>
  <c r="K41" i="6"/>
  <c r="AH39" i="3" s="1"/>
  <c r="N41" i="6"/>
  <c r="AI39" i="3" s="1"/>
  <c r="Q41" i="6"/>
  <c r="AJ39" i="3" s="1"/>
  <c r="U41" i="6"/>
  <c r="AK39" i="3" s="1"/>
  <c r="X41" i="6"/>
  <c r="AL39" i="3" s="1"/>
  <c r="AB41" i="6"/>
  <c r="AM39" i="3" s="1"/>
  <c r="AD41" i="6"/>
  <c r="AN39" i="3" s="1"/>
  <c r="AF41" i="6"/>
  <c r="AO39" i="3" s="1"/>
  <c r="AH41" i="6"/>
  <c r="AP39" i="3" s="1"/>
  <c r="AJ41" i="6"/>
  <c r="AQ39" i="3" s="1"/>
  <c r="AL41" i="6"/>
  <c r="AR39" i="3" s="1"/>
  <c r="AN41" i="6"/>
  <c r="AS39" i="3" s="1"/>
  <c r="AP41" i="6"/>
  <c r="AT39" i="3" s="1"/>
  <c r="AT41" i="6"/>
  <c r="AU39" i="3" s="1"/>
  <c r="AW41" i="6"/>
  <c r="AY41" i="6"/>
  <c r="AW39" i="3" s="1"/>
  <c r="BB41" i="6"/>
  <c r="AY39" i="3" s="1"/>
  <c r="BD41" i="6"/>
  <c r="AZ39" i="3" s="1"/>
  <c r="BF41" i="6"/>
  <c r="BA39" i="3" s="1"/>
  <c r="AM42" i="5"/>
  <c r="E40" i="3" s="1"/>
  <c r="I42" i="5"/>
  <c r="F40" i="3" s="1"/>
  <c r="G40" i="3"/>
  <c r="F42" i="5"/>
  <c r="H40" i="3" s="1"/>
  <c r="I40" i="3"/>
  <c r="J40" i="3"/>
  <c r="K40" i="3"/>
  <c r="AJ42" i="5"/>
  <c r="L40" i="3" s="1"/>
  <c r="M40" i="3"/>
  <c r="X42" i="5"/>
  <c r="N40" i="3" s="1"/>
  <c r="O40" i="3"/>
  <c r="O42" i="5"/>
  <c r="P40" i="3" s="1"/>
  <c r="Q40" i="3"/>
  <c r="L42" i="5"/>
  <c r="R40" i="3" s="1"/>
  <c r="S40" i="3"/>
  <c r="R42" i="5"/>
  <c r="T40" i="3" s="1"/>
  <c r="U40" i="3"/>
  <c r="AA42" i="5"/>
  <c r="V40" i="3" s="1"/>
  <c r="W40" i="3"/>
  <c r="AD42" i="5"/>
  <c r="X40" i="3" s="1"/>
  <c r="Y40" i="3"/>
  <c r="AG42" i="5"/>
  <c r="Z40" i="3" s="1"/>
  <c r="AA40" i="3"/>
  <c r="AX42" i="5"/>
  <c r="AB40" i="3" s="1"/>
  <c r="AV42" i="5"/>
  <c r="AC40" i="3" s="1"/>
  <c r="AZ42" i="5"/>
  <c r="AD40" i="3" s="1"/>
  <c r="BB42" i="5"/>
  <c r="AE40" i="3" s="1"/>
  <c r="E42" i="6"/>
  <c r="AF40" i="3"/>
  <c r="H42" i="6"/>
  <c r="AG40" i="3" s="1"/>
  <c r="K42" i="6"/>
  <c r="AH40" i="3" s="1"/>
  <c r="N42" i="6"/>
  <c r="AI40" i="3" s="1"/>
  <c r="Q42" i="6"/>
  <c r="AJ40" i="3" s="1"/>
  <c r="U42" i="6"/>
  <c r="AK40" i="3" s="1"/>
  <c r="X42" i="6"/>
  <c r="AL40" i="3" s="1"/>
  <c r="AB42" i="6"/>
  <c r="AM40" i="3" s="1"/>
  <c r="AD42" i="6"/>
  <c r="AN40" i="3" s="1"/>
  <c r="AF42" i="6"/>
  <c r="AO40" i="3" s="1"/>
  <c r="AH42" i="6"/>
  <c r="AP40" i="3" s="1"/>
  <c r="AJ42" i="6"/>
  <c r="AQ40" i="3" s="1"/>
  <c r="AL42" i="6"/>
  <c r="AR40" i="3" s="1"/>
  <c r="AN42" i="6"/>
  <c r="AS40" i="3" s="1"/>
  <c r="AP42" i="6"/>
  <c r="AT40" i="3" s="1"/>
  <c r="AT42" i="6"/>
  <c r="AU40" i="3" s="1"/>
  <c r="AW42" i="6"/>
  <c r="AV40" i="3"/>
  <c r="AY42" i="6"/>
  <c r="BB42" i="6"/>
  <c r="AY40" i="3" s="1"/>
  <c r="BD42" i="6"/>
  <c r="AZ40" i="3"/>
  <c r="BF42" i="6"/>
  <c r="BA40" i="3" s="1"/>
  <c r="AM43" i="5"/>
  <c r="E41" i="3" s="1"/>
  <c r="I43" i="5"/>
  <c r="F41" i="3" s="1"/>
  <c r="G41" i="3"/>
  <c r="F43" i="5"/>
  <c r="H41" i="3" s="1"/>
  <c r="I41" i="3"/>
  <c r="J41" i="3"/>
  <c r="K41" i="3"/>
  <c r="AJ43" i="5"/>
  <c r="L41" i="3" s="1"/>
  <c r="M41" i="3"/>
  <c r="X43" i="5"/>
  <c r="N41" i="3" s="1"/>
  <c r="O41" i="3"/>
  <c r="O43" i="5"/>
  <c r="P41" i="3" s="1"/>
  <c r="Q41" i="3"/>
  <c r="L43" i="5"/>
  <c r="R41" i="3" s="1"/>
  <c r="S41" i="3"/>
  <c r="R43" i="5"/>
  <c r="T41" i="3" s="1"/>
  <c r="U41" i="3"/>
  <c r="AA43" i="5"/>
  <c r="V41" i="3" s="1"/>
  <c r="W41" i="3"/>
  <c r="AD43" i="5"/>
  <c r="Y41" i="3"/>
  <c r="AG43" i="5"/>
  <c r="Z41" i="3" s="1"/>
  <c r="AA41" i="3"/>
  <c r="AX43" i="5"/>
  <c r="AV43" i="5"/>
  <c r="AC41" i="3" s="1"/>
  <c r="AZ43" i="5"/>
  <c r="AD41" i="3" s="1"/>
  <c r="BB43" i="5"/>
  <c r="AE41" i="3" s="1"/>
  <c r="E43" i="6"/>
  <c r="AF41" i="3" s="1"/>
  <c r="H43" i="6"/>
  <c r="AG41" i="3" s="1"/>
  <c r="K43" i="6"/>
  <c r="AH41" i="3" s="1"/>
  <c r="N43" i="6"/>
  <c r="AI41" i="3" s="1"/>
  <c r="Q43" i="6"/>
  <c r="AJ41" i="3" s="1"/>
  <c r="U43" i="6"/>
  <c r="AK41" i="3" s="1"/>
  <c r="X43" i="6"/>
  <c r="AL41" i="3" s="1"/>
  <c r="AB43" i="6"/>
  <c r="AM41" i="3" s="1"/>
  <c r="AD43" i="6"/>
  <c r="AN41" i="3" s="1"/>
  <c r="AF43" i="6"/>
  <c r="AO41" i="3" s="1"/>
  <c r="AH43" i="6"/>
  <c r="AP41" i="3" s="1"/>
  <c r="AJ43" i="6"/>
  <c r="AQ41" i="3" s="1"/>
  <c r="AL43" i="6"/>
  <c r="AR41" i="3" s="1"/>
  <c r="AN43" i="6"/>
  <c r="AS41" i="3" s="1"/>
  <c r="AP43" i="6"/>
  <c r="AT41" i="3" s="1"/>
  <c r="AT43" i="6"/>
  <c r="AU41" i="3" s="1"/>
  <c r="AW43" i="6"/>
  <c r="AV41" i="3" s="1"/>
  <c r="AY43" i="6"/>
  <c r="AW41" i="3" s="1"/>
  <c r="BB43" i="6"/>
  <c r="AY41" i="3" s="1"/>
  <c r="BD43" i="6"/>
  <c r="AZ41" i="3" s="1"/>
  <c r="BF43" i="6"/>
  <c r="BA41" i="3" s="1"/>
  <c r="H11" i="12"/>
  <c r="K41" i="1" s="1"/>
  <c r="H10" i="12"/>
  <c r="K35" i="1" s="1"/>
  <c r="H9" i="12"/>
  <c r="K30" i="1" s="1"/>
  <c r="H7" i="12"/>
  <c r="K20" i="1" s="1"/>
  <c r="H6" i="12"/>
  <c r="K15" i="1" s="1"/>
  <c r="H5" i="12"/>
  <c r="K10" i="1" s="1"/>
  <c r="H4" i="12"/>
  <c r="K6" i="1" s="1"/>
  <c r="X6" i="6"/>
  <c r="AL4" i="3" s="1"/>
  <c r="X7" i="6"/>
  <c r="AL5" i="3" s="1"/>
  <c r="X8" i="6"/>
  <c r="AL6" i="3" s="1"/>
  <c r="X9" i="6"/>
  <c r="AL7" i="3" s="1"/>
  <c r="X10" i="6"/>
  <c r="AL8" i="3" s="1"/>
  <c r="X11" i="6"/>
  <c r="AL9" i="3" s="1"/>
  <c r="X12" i="6"/>
  <c r="AL10" i="3" s="1"/>
  <c r="X13" i="6"/>
  <c r="AL11" i="3" s="1"/>
  <c r="X14" i="6"/>
  <c r="AL12" i="3" s="1"/>
  <c r="X15" i="6"/>
  <c r="X16" i="6"/>
  <c r="AL14" i="3" s="1"/>
  <c r="G13" i="1" s="1"/>
  <c r="X17" i="6"/>
  <c r="AL15" i="3" s="1"/>
  <c r="X18" i="6"/>
  <c r="AL16" i="3" s="1"/>
  <c r="X19" i="6"/>
  <c r="X20" i="6"/>
  <c r="AL18" i="3" s="1"/>
  <c r="X21" i="6"/>
  <c r="AL19" i="3" s="1"/>
  <c r="X22" i="6"/>
  <c r="AL20" i="3" s="1"/>
  <c r="X23" i="6"/>
  <c r="X24" i="6"/>
  <c r="AL22" i="3" s="1"/>
  <c r="X25" i="6"/>
  <c r="AL23" i="3" s="1"/>
  <c r="X26" i="6"/>
  <c r="X27" i="6"/>
  <c r="AL25" i="3" s="1"/>
  <c r="X28" i="6"/>
  <c r="AL26" i="3" s="1"/>
  <c r="X29" i="6"/>
  <c r="X30" i="6"/>
  <c r="AL28" i="3" s="1"/>
  <c r="X31" i="6"/>
  <c r="AL29" i="3" s="1"/>
  <c r="X32" i="6"/>
  <c r="AL30" i="3" s="1"/>
  <c r="G29" i="1" s="1"/>
  <c r="X33" i="6"/>
  <c r="AL31" i="3" s="1"/>
  <c r="X5" i="6"/>
  <c r="AL3" i="3" s="1"/>
  <c r="U6" i="6"/>
  <c r="AK4" i="3" s="1"/>
  <c r="U7" i="6"/>
  <c r="U8" i="6"/>
  <c r="AK6" i="3" s="1"/>
  <c r="U9" i="6"/>
  <c r="AK7" i="3" s="1"/>
  <c r="U10" i="6"/>
  <c r="AK8" i="3" s="1"/>
  <c r="U11" i="6"/>
  <c r="AK9" i="3" s="1"/>
  <c r="U12" i="6"/>
  <c r="AK10" i="3" s="1"/>
  <c r="U13" i="6"/>
  <c r="AK11" i="3" s="1"/>
  <c r="U14" i="6"/>
  <c r="AK12" i="3" s="1"/>
  <c r="U15" i="6"/>
  <c r="AK13" i="3" s="1"/>
  <c r="U16" i="6"/>
  <c r="AK14" i="3" s="1"/>
  <c r="U17" i="6"/>
  <c r="AK15" i="3" s="1"/>
  <c r="U18" i="6"/>
  <c r="AK16" i="3" s="1"/>
  <c r="U19" i="6"/>
  <c r="AK17" i="3" s="1"/>
  <c r="U20" i="6"/>
  <c r="AK18" i="3" s="1"/>
  <c r="U21" i="6"/>
  <c r="AK19" i="3" s="1"/>
  <c r="U22" i="6"/>
  <c r="AK20" i="3" s="1"/>
  <c r="U23" i="6"/>
  <c r="AK21" i="3" s="1"/>
  <c r="U24" i="6"/>
  <c r="U25" i="6"/>
  <c r="AK23" i="3" s="1"/>
  <c r="U26" i="6"/>
  <c r="AK24" i="3" s="1"/>
  <c r="U27" i="6"/>
  <c r="AK25" i="3" s="1"/>
  <c r="U28" i="6"/>
  <c r="AK26" i="3" s="1"/>
  <c r="U29" i="6"/>
  <c r="AK27" i="3" s="1"/>
  <c r="U30" i="6"/>
  <c r="AK28" i="3" s="1"/>
  <c r="U31" i="6"/>
  <c r="U32" i="6"/>
  <c r="AK30" i="3" s="1"/>
  <c r="U33" i="6"/>
  <c r="AK31" i="3" s="1"/>
  <c r="U5" i="6"/>
  <c r="AK3" i="3" s="1"/>
  <c r="AT6" i="6"/>
  <c r="AU4" i="3" s="1"/>
  <c r="AU5" i="3"/>
  <c r="AU6" i="3"/>
  <c r="AU7" i="3"/>
  <c r="AU8" i="3"/>
  <c r="AU9" i="3"/>
  <c r="AU10" i="3"/>
  <c r="AU11" i="3"/>
  <c r="AT14" i="6"/>
  <c r="AU12" i="3" s="1"/>
  <c r="AT15" i="6"/>
  <c r="AU13" i="3" s="1"/>
  <c r="AT16" i="6"/>
  <c r="AU14" i="3" s="1"/>
  <c r="AT17" i="6"/>
  <c r="AU15" i="3" s="1"/>
  <c r="AT18" i="6"/>
  <c r="AU16" i="3" s="1"/>
  <c r="AT19" i="6"/>
  <c r="AU17" i="3" s="1"/>
  <c r="AT20" i="6"/>
  <c r="AU18" i="3" s="1"/>
  <c r="AT21" i="6"/>
  <c r="AU19" i="3" s="1"/>
  <c r="AT22" i="6"/>
  <c r="AU20" i="3" s="1"/>
  <c r="AT23" i="6"/>
  <c r="AU21" i="3" s="1"/>
  <c r="AT24" i="6"/>
  <c r="AU22" i="3" s="1"/>
  <c r="AT25" i="6"/>
  <c r="AU23" i="3" s="1"/>
  <c r="AT26" i="6"/>
  <c r="AU24" i="3" s="1"/>
  <c r="AT27" i="6"/>
  <c r="AU25" i="3" s="1"/>
  <c r="AT28" i="6"/>
  <c r="AU26" i="3" s="1"/>
  <c r="AT29" i="6"/>
  <c r="AU27" i="3" s="1"/>
  <c r="AT30" i="6"/>
  <c r="AU28" i="3" s="1"/>
  <c r="AT31" i="6"/>
  <c r="AU29" i="3" s="1"/>
  <c r="AT32" i="6"/>
  <c r="AU30" i="3" s="1"/>
  <c r="AT33" i="6"/>
  <c r="AU31" i="3" s="1"/>
  <c r="AU3" i="3"/>
  <c r="BA4" i="3"/>
  <c r="BA5" i="3"/>
  <c r="BA6" i="3"/>
  <c r="BA7" i="3"/>
  <c r="BA8" i="3"/>
  <c r="BA9" i="3"/>
  <c r="BA10" i="3"/>
  <c r="BA11" i="3"/>
  <c r="BF14" i="6"/>
  <c r="BA12" i="3" s="1"/>
  <c r="BF15" i="6"/>
  <c r="BA13" i="3" s="1"/>
  <c r="BF16" i="6"/>
  <c r="BA14" i="3" s="1"/>
  <c r="BF17" i="6"/>
  <c r="BA15" i="3" s="1"/>
  <c r="BF18" i="6"/>
  <c r="BA16" i="3" s="1"/>
  <c r="BF19" i="6"/>
  <c r="BA17" i="3" s="1"/>
  <c r="BF20" i="6"/>
  <c r="BA18" i="3" s="1"/>
  <c r="BF21" i="6"/>
  <c r="BA19" i="3" s="1"/>
  <c r="BF22" i="6"/>
  <c r="BA20" i="3" s="1"/>
  <c r="BF23" i="6"/>
  <c r="BA21" i="3" s="1"/>
  <c r="BF24" i="6"/>
  <c r="BA22" i="3" s="1"/>
  <c r="BF25" i="6"/>
  <c r="BA23" i="3" s="1"/>
  <c r="BF26" i="6"/>
  <c r="BA24" i="3" s="1"/>
  <c r="BF27" i="6"/>
  <c r="BA25" i="3" s="1"/>
  <c r="BF28" i="6"/>
  <c r="BA26" i="3" s="1"/>
  <c r="BF29" i="6"/>
  <c r="BA27" i="3" s="1"/>
  <c r="BF30" i="6"/>
  <c r="BA28" i="3" s="1"/>
  <c r="BF31" i="6"/>
  <c r="BA29" i="3" s="1"/>
  <c r="BF32" i="6"/>
  <c r="BA30" i="3" s="1"/>
  <c r="BF33" i="6"/>
  <c r="BA31" i="3" s="1"/>
  <c r="BA3" i="3"/>
  <c r="AZ4" i="3"/>
  <c r="AZ5" i="3"/>
  <c r="AZ6" i="3"/>
  <c r="AZ7" i="3"/>
  <c r="AZ8" i="3"/>
  <c r="AZ9" i="3"/>
  <c r="AZ10" i="3"/>
  <c r="AZ11" i="3"/>
  <c r="BD14" i="6"/>
  <c r="AZ12" i="3" s="1"/>
  <c r="BD15" i="6"/>
  <c r="AZ13" i="3" s="1"/>
  <c r="BD16" i="6"/>
  <c r="AZ14" i="3" s="1"/>
  <c r="BD17" i="6"/>
  <c r="AZ15" i="3" s="1"/>
  <c r="BD18" i="6"/>
  <c r="AZ16" i="3" s="1"/>
  <c r="BD19" i="6"/>
  <c r="AZ17" i="3" s="1"/>
  <c r="BD20" i="6"/>
  <c r="AZ18" i="3" s="1"/>
  <c r="BD21" i="6"/>
  <c r="AZ19" i="3" s="1"/>
  <c r="BD22" i="6"/>
  <c r="AZ20" i="3" s="1"/>
  <c r="BD23" i="6"/>
  <c r="AZ21" i="3" s="1"/>
  <c r="BD24" i="6"/>
  <c r="AZ22" i="3" s="1"/>
  <c r="BD25" i="6"/>
  <c r="AZ23" i="3" s="1"/>
  <c r="BD26" i="6"/>
  <c r="AZ24" i="3" s="1"/>
  <c r="BD27" i="6"/>
  <c r="AZ25" i="3" s="1"/>
  <c r="BD28" i="6"/>
  <c r="AZ26" i="3" s="1"/>
  <c r="BD29" i="6"/>
  <c r="AZ27" i="3" s="1"/>
  <c r="BD30" i="6"/>
  <c r="AZ28" i="3" s="1"/>
  <c r="BD31" i="6"/>
  <c r="AZ29" i="3" s="1"/>
  <c r="BD32" i="6"/>
  <c r="AZ30" i="3" s="1"/>
  <c r="BD33" i="6"/>
  <c r="AZ31" i="3" s="1"/>
  <c r="AZ3" i="3"/>
  <c r="AY4" i="3"/>
  <c r="AY5" i="3"/>
  <c r="AY6" i="3"/>
  <c r="AY7" i="3"/>
  <c r="AY8" i="3"/>
  <c r="AY9" i="3"/>
  <c r="AY10" i="3"/>
  <c r="AY11" i="3"/>
  <c r="BB14" i="6"/>
  <c r="AY12" i="3" s="1"/>
  <c r="BB15" i="6"/>
  <c r="AY13" i="3" s="1"/>
  <c r="BB16" i="6"/>
  <c r="AY14" i="3" s="1"/>
  <c r="BB17" i="6"/>
  <c r="AY15" i="3" s="1"/>
  <c r="BB18" i="6"/>
  <c r="AY16" i="3" s="1"/>
  <c r="BB19" i="6"/>
  <c r="AY17" i="3" s="1"/>
  <c r="BB20" i="6"/>
  <c r="AY18" i="3" s="1"/>
  <c r="BB21" i="6"/>
  <c r="AY19" i="3" s="1"/>
  <c r="BB22" i="6"/>
  <c r="AY20" i="3" s="1"/>
  <c r="BB23" i="6"/>
  <c r="AY21" i="3" s="1"/>
  <c r="BB24" i="6"/>
  <c r="AY22" i="3" s="1"/>
  <c r="BB25" i="6"/>
  <c r="AY23" i="3" s="1"/>
  <c r="BB26" i="6"/>
  <c r="AY24" i="3" s="1"/>
  <c r="BB27" i="6"/>
  <c r="AY25" i="3" s="1"/>
  <c r="BB28" i="6"/>
  <c r="AY26" i="3" s="1"/>
  <c r="BB29" i="6"/>
  <c r="AY27" i="3" s="1"/>
  <c r="BB30" i="6"/>
  <c r="AY28" i="3" s="1"/>
  <c r="BB31" i="6"/>
  <c r="AY29" i="3" s="1"/>
  <c r="BB32" i="6"/>
  <c r="AY30" i="3" s="1"/>
  <c r="BB33" i="6"/>
  <c r="AY31" i="3" s="1"/>
  <c r="AY3" i="3"/>
  <c r="AW4" i="3"/>
  <c r="AV5" i="3"/>
  <c r="AW5" i="3"/>
  <c r="AW6" i="3"/>
  <c r="AV7" i="3"/>
  <c r="AW7" i="3"/>
  <c r="AV8" i="3"/>
  <c r="AW8" i="3"/>
  <c r="AW9" i="3"/>
  <c r="AW10" i="3"/>
  <c r="AV11" i="3"/>
  <c r="AW11" i="3"/>
  <c r="AW14" i="6"/>
  <c r="AV12" i="3" s="1"/>
  <c r="AY14" i="6"/>
  <c r="AW12" i="3" s="1"/>
  <c r="AW15" i="6"/>
  <c r="AY15" i="6"/>
  <c r="AW13" i="3" s="1"/>
  <c r="AW16" i="6"/>
  <c r="AY16" i="6"/>
  <c r="AW14" i="3" s="1"/>
  <c r="AW17" i="6"/>
  <c r="AY17" i="6"/>
  <c r="AW15" i="3" s="1"/>
  <c r="AW18" i="6"/>
  <c r="AV16" i="3" s="1"/>
  <c r="AY18" i="6"/>
  <c r="AW16" i="3" s="1"/>
  <c r="AW19" i="6"/>
  <c r="AY19" i="6"/>
  <c r="AW17" i="3" s="1"/>
  <c r="AW20" i="6"/>
  <c r="AY20" i="6"/>
  <c r="AW18" i="3" s="1"/>
  <c r="AW21" i="6"/>
  <c r="AV19" i="3" s="1"/>
  <c r="AY21" i="6"/>
  <c r="AW19" i="3" s="1"/>
  <c r="AW22" i="6"/>
  <c r="AV20" i="3" s="1"/>
  <c r="AY22" i="6"/>
  <c r="AW20" i="3" s="1"/>
  <c r="AW23" i="6"/>
  <c r="AV21" i="3" s="1"/>
  <c r="AY23" i="6"/>
  <c r="AW21" i="3" s="1"/>
  <c r="AW24" i="6"/>
  <c r="AY24" i="6"/>
  <c r="AW22" i="3" s="1"/>
  <c r="AW25" i="6"/>
  <c r="AV23" i="3" s="1"/>
  <c r="AY25" i="6"/>
  <c r="AW23" i="3" s="1"/>
  <c r="AW26" i="6"/>
  <c r="AV24" i="3" s="1"/>
  <c r="AY26" i="6"/>
  <c r="AW24" i="3" s="1"/>
  <c r="AW27" i="6"/>
  <c r="AY27" i="6"/>
  <c r="AW25" i="3" s="1"/>
  <c r="AW28" i="6"/>
  <c r="AY28" i="6"/>
  <c r="AW26" i="3" s="1"/>
  <c r="AW29" i="6"/>
  <c r="AV27" i="3" s="1"/>
  <c r="AY29" i="6"/>
  <c r="AW27" i="3" s="1"/>
  <c r="AW30" i="6"/>
  <c r="AV28" i="3" s="1"/>
  <c r="AY30" i="6"/>
  <c r="AW28" i="3" s="1"/>
  <c r="AW31" i="6"/>
  <c r="AY31" i="6"/>
  <c r="AW29" i="3" s="1"/>
  <c r="AW32" i="6"/>
  <c r="AY32" i="6"/>
  <c r="AW30" i="3" s="1"/>
  <c r="AW33" i="6"/>
  <c r="AY33" i="6"/>
  <c r="AW31" i="3" s="1"/>
  <c r="AV3" i="3"/>
  <c r="AW3" i="3"/>
  <c r="AV9" i="3"/>
  <c r="AV13" i="3"/>
  <c r="AV15" i="3"/>
  <c r="AV17" i="3"/>
  <c r="AV25" i="3"/>
  <c r="AV29" i="3"/>
  <c r="AV31" i="3"/>
  <c r="AT4" i="3"/>
  <c r="AT5" i="3"/>
  <c r="AT6" i="3"/>
  <c r="AT7" i="3"/>
  <c r="AT8" i="3"/>
  <c r="AT9" i="3"/>
  <c r="AT10" i="3"/>
  <c r="AT11" i="3"/>
  <c r="AP14" i="6"/>
  <c r="AT12" i="3" s="1"/>
  <c r="AP15" i="6"/>
  <c r="AT13" i="3" s="1"/>
  <c r="AP16" i="6"/>
  <c r="AT14" i="3" s="1"/>
  <c r="AP17" i="6"/>
  <c r="AT15" i="3" s="1"/>
  <c r="AP18" i="6"/>
  <c r="AT16" i="3" s="1"/>
  <c r="AP19" i="6"/>
  <c r="AT17" i="3" s="1"/>
  <c r="AP20" i="6"/>
  <c r="AT18" i="3" s="1"/>
  <c r="AP21" i="6"/>
  <c r="AT19" i="3" s="1"/>
  <c r="AP22" i="6"/>
  <c r="AT20" i="3" s="1"/>
  <c r="AP23" i="6"/>
  <c r="AT21" i="3" s="1"/>
  <c r="AP24" i="6"/>
  <c r="AT22" i="3" s="1"/>
  <c r="AP25" i="6"/>
  <c r="AT23" i="3" s="1"/>
  <c r="AP26" i="6"/>
  <c r="AT24" i="3" s="1"/>
  <c r="AP27" i="6"/>
  <c r="AT25" i="3" s="1"/>
  <c r="AP28" i="6"/>
  <c r="AT26" i="3" s="1"/>
  <c r="AP29" i="6"/>
  <c r="AT27" i="3" s="1"/>
  <c r="AP30" i="6"/>
  <c r="AT28" i="3" s="1"/>
  <c r="AP31" i="6"/>
  <c r="AT29" i="3" s="1"/>
  <c r="AP32" i="6"/>
  <c r="AT30" i="3" s="1"/>
  <c r="AP33" i="6"/>
  <c r="AT31" i="3" s="1"/>
  <c r="AT3" i="3"/>
  <c r="AS4" i="3"/>
  <c r="AS5" i="3"/>
  <c r="AS6" i="3"/>
  <c r="AS7" i="3"/>
  <c r="AS8" i="3"/>
  <c r="AS9" i="3"/>
  <c r="AS10" i="3"/>
  <c r="AS11" i="3"/>
  <c r="AN14" i="6"/>
  <c r="AS12" i="3" s="1"/>
  <c r="AN15" i="6"/>
  <c r="AS13" i="3" s="1"/>
  <c r="AN16" i="6"/>
  <c r="AS14" i="3" s="1"/>
  <c r="AN17" i="6"/>
  <c r="AS15" i="3" s="1"/>
  <c r="AN18" i="6"/>
  <c r="AS16" i="3" s="1"/>
  <c r="AN19" i="6"/>
  <c r="AS17" i="3" s="1"/>
  <c r="AN20" i="6"/>
  <c r="AS18" i="3" s="1"/>
  <c r="AN21" i="6"/>
  <c r="AS19" i="3" s="1"/>
  <c r="AN22" i="6"/>
  <c r="AS20" i="3" s="1"/>
  <c r="AN23" i="6"/>
  <c r="AS21" i="3" s="1"/>
  <c r="AN24" i="6"/>
  <c r="AS22" i="3" s="1"/>
  <c r="AN25" i="6"/>
  <c r="AS23" i="3" s="1"/>
  <c r="AN26" i="6"/>
  <c r="AS24" i="3" s="1"/>
  <c r="AN27" i="6"/>
  <c r="AS25" i="3" s="1"/>
  <c r="AN28" i="6"/>
  <c r="AS26" i="3" s="1"/>
  <c r="AN29" i="6"/>
  <c r="AS27" i="3" s="1"/>
  <c r="AN30" i="6"/>
  <c r="AS28" i="3" s="1"/>
  <c r="AN31" i="6"/>
  <c r="AS29" i="3" s="1"/>
  <c r="AN32" i="6"/>
  <c r="AS30" i="3" s="1"/>
  <c r="AN33" i="6"/>
  <c r="AS31" i="3" s="1"/>
  <c r="AS3" i="3"/>
  <c r="AR4" i="3"/>
  <c r="AR5" i="3"/>
  <c r="AR6" i="3"/>
  <c r="AR7" i="3"/>
  <c r="AR8" i="3"/>
  <c r="AR9" i="3"/>
  <c r="AR10" i="3"/>
  <c r="AR11" i="3"/>
  <c r="AL14" i="6"/>
  <c r="AR12" i="3" s="1"/>
  <c r="AL15" i="6"/>
  <c r="AR13" i="3" s="1"/>
  <c r="AL16" i="6"/>
  <c r="AR14" i="3" s="1"/>
  <c r="AL17" i="6"/>
  <c r="AR15" i="3" s="1"/>
  <c r="AL18" i="6"/>
  <c r="AR16" i="3" s="1"/>
  <c r="AL19" i="6"/>
  <c r="AR17" i="3" s="1"/>
  <c r="AL20" i="6"/>
  <c r="AR18" i="3" s="1"/>
  <c r="AL21" i="6"/>
  <c r="AR19" i="3" s="1"/>
  <c r="AL22" i="6"/>
  <c r="AR20" i="3" s="1"/>
  <c r="AL23" i="6"/>
  <c r="AR21" i="3" s="1"/>
  <c r="AL24" i="6"/>
  <c r="AR22" i="3" s="1"/>
  <c r="AL25" i="6"/>
  <c r="AR23" i="3" s="1"/>
  <c r="AL26" i="6"/>
  <c r="AR24" i="3" s="1"/>
  <c r="AL27" i="6"/>
  <c r="AR25" i="3" s="1"/>
  <c r="AL28" i="6"/>
  <c r="AR26" i="3" s="1"/>
  <c r="AL29" i="6"/>
  <c r="AR27" i="3" s="1"/>
  <c r="AL30" i="6"/>
  <c r="AR28" i="3" s="1"/>
  <c r="AL31" i="6"/>
  <c r="AR29" i="3" s="1"/>
  <c r="AL32" i="6"/>
  <c r="AR30" i="3" s="1"/>
  <c r="AL33" i="6"/>
  <c r="AR31" i="3" s="1"/>
  <c r="AR3" i="3"/>
  <c r="AQ4" i="3"/>
  <c r="AQ5" i="3"/>
  <c r="AQ6" i="3"/>
  <c r="AQ7" i="3"/>
  <c r="AQ8" i="3"/>
  <c r="AQ9" i="3"/>
  <c r="AQ10" i="3"/>
  <c r="AQ11" i="3"/>
  <c r="AJ14" i="6"/>
  <c r="AQ12" i="3" s="1"/>
  <c r="AJ15" i="6"/>
  <c r="AQ13" i="3" s="1"/>
  <c r="AJ16" i="6"/>
  <c r="AQ14" i="3" s="1"/>
  <c r="AJ17" i="6"/>
  <c r="AQ15" i="3" s="1"/>
  <c r="AJ18" i="6"/>
  <c r="AQ16" i="3" s="1"/>
  <c r="AJ19" i="6"/>
  <c r="AQ17" i="3" s="1"/>
  <c r="AJ20" i="6"/>
  <c r="AQ18" i="3" s="1"/>
  <c r="AJ21" i="6"/>
  <c r="AQ19" i="3" s="1"/>
  <c r="AJ22" i="6"/>
  <c r="AQ20" i="3" s="1"/>
  <c r="AJ23" i="6"/>
  <c r="AQ21" i="3" s="1"/>
  <c r="AJ24" i="6"/>
  <c r="AQ22" i="3" s="1"/>
  <c r="AJ25" i="6"/>
  <c r="AQ23" i="3" s="1"/>
  <c r="AJ26" i="6"/>
  <c r="AQ24" i="3" s="1"/>
  <c r="AJ27" i="6"/>
  <c r="AQ25" i="3" s="1"/>
  <c r="AJ28" i="6"/>
  <c r="AQ26" i="3" s="1"/>
  <c r="AJ29" i="6"/>
  <c r="AQ27" i="3" s="1"/>
  <c r="AJ30" i="6"/>
  <c r="AQ28" i="3" s="1"/>
  <c r="AJ31" i="6"/>
  <c r="AQ29" i="3" s="1"/>
  <c r="AJ32" i="6"/>
  <c r="AQ30" i="3" s="1"/>
  <c r="AJ33" i="6"/>
  <c r="AQ31" i="3" s="1"/>
  <c r="AQ3" i="3"/>
  <c r="AP4" i="3"/>
  <c r="AP5" i="3"/>
  <c r="AP6" i="3"/>
  <c r="AP7" i="3"/>
  <c r="AP8" i="3"/>
  <c r="AP9" i="3"/>
  <c r="AP10" i="3"/>
  <c r="AP11" i="3"/>
  <c r="AH14" i="6"/>
  <c r="AP12" i="3" s="1"/>
  <c r="AH15" i="6"/>
  <c r="AP13" i="3" s="1"/>
  <c r="AH16" i="6"/>
  <c r="AP14" i="3" s="1"/>
  <c r="AH17" i="6"/>
  <c r="AP15" i="3" s="1"/>
  <c r="AH18" i="6"/>
  <c r="AP16" i="3" s="1"/>
  <c r="AH19" i="6"/>
  <c r="AP17" i="3" s="1"/>
  <c r="AH20" i="6"/>
  <c r="AP18" i="3" s="1"/>
  <c r="AH21" i="6"/>
  <c r="AP19" i="3" s="1"/>
  <c r="AH22" i="6"/>
  <c r="AP20" i="3" s="1"/>
  <c r="AH23" i="6"/>
  <c r="AP21" i="3" s="1"/>
  <c r="AH24" i="6"/>
  <c r="AP22" i="3" s="1"/>
  <c r="AH25" i="6"/>
  <c r="AP23" i="3" s="1"/>
  <c r="AH26" i="6"/>
  <c r="AP24" i="3" s="1"/>
  <c r="AH27" i="6"/>
  <c r="AP25" i="3" s="1"/>
  <c r="AH28" i="6"/>
  <c r="AP26" i="3" s="1"/>
  <c r="AH29" i="6"/>
  <c r="AP27" i="3" s="1"/>
  <c r="AH30" i="6"/>
  <c r="AP28" i="3" s="1"/>
  <c r="AH31" i="6"/>
  <c r="AP29" i="3" s="1"/>
  <c r="AH32" i="6"/>
  <c r="AP30" i="3" s="1"/>
  <c r="AH33" i="6"/>
  <c r="AP31" i="3" s="1"/>
  <c r="AP3" i="3"/>
  <c r="AO4" i="3"/>
  <c r="AO5" i="3"/>
  <c r="AO6" i="3"/>
  <c r="AO7" i="3"/>
  <c r="AO8" i="3"/>
  <c r="AO9" i="3"/>
  <c r="AO10" i="3"/>
  <c r="AO11" i="3"/>
  <c r="AF14" i="6"/>
  <c r="AO12" i="3" s="1"/>
  <c r="AF15" i="6"/>
  <c r="AO13" i="3" s="1"/>
  <c r="AF16" i="6"/>
  <c r="AO14" i="3" s="1"/>
  <c r="AF17" i="6"/>
  <c r="AO15" i="3" s="1"/>
  <c r="AF18" i="6"/>
  <c r="AO16" i="3" s="1"/>
  <c r="AF19" i="6"/>
  <c r="AO17" i="3" s="1"/>
  <c r="AF20" i="6"/>
  <c r="AO18" i="3" s="1"/>
  <c r="AF21" i="6"/>
  <c r="AO19" i="3"/>
  <c r="AF22" i="6"/>
  <c r="AO20" i="3" s="1"/>
  <c r="AF23" i="6"/>
  <c r="AO21" i="3" s="1"/>
  <c r="AF24" i="6"/>
  <c r="AO22" i="3" s="1"/>
  <c r="AF25" i="6"/>
  <c r="AO23" i="3" s="1"/>
  <c r="AF26" i="6"/>
  <c r="AO24" i="3" s="1"/>
  <c r="AF27" i="6"/>
  <c r="AO25" i="3" s="1"/>
  <c r="AF28" i="6"/>
  <c r="AO26" i="3" s="1"/>
  <c r="AF29" i="6"/>
  <c r="AO27" i="3" s="1"/>
  <c r="AF30" i="6"/>
  <c r="AO28" i="3" s="1"/>
  <c r="AF31" i="6"/>
  <c r="AO29" i="3" s="1"/>
  <c r="AF32" i="6"/>
  <c r="AO30" i="3" s="1"/>
  <c r="AF33" i="6"/>
  <c r="AO31" i="3" s="1"/>
  <c r="AO3" i="3"/>
  <c r="AN4" i="3"/>
  <c r="AN5" i="3"/>
  <c r="AN6" i="3"/>
  <c r="AN7" i="3"/>
  <c r="AN8" i="3"/>
  <c r="AN9" i="3"/>
  <c r="AN10" i="3"/>
  <c r="AN11" i="3"/>
  <c r="AD14" i="6"/>
  <c r="AN12" i="3" s="1"/>
  <c r="AD15" i="6"/>
  <c r="AN13" i="3" s="1"/>
  <c r="AD16" i="6"/>
  <c r="AN14" i="3" s="1"/>
  <c r="AD17" i="6"/>
  <c r="AN15" i="3" s="1"/>
  <c r="AD18" i="6"/>
  <c r="AN16" i="3" s="1"/>
  <c r="AD19" i="6"/>
  <c r="AN17" i="3" s="1"/>
  <c r="AD20" i="6"/>
  <c r="AN18" i="3" s="1"/>
  <c r="AD21" i="6"/>
  <c r="AN19" i="3"/>
  <c r="AD22" i="6"/>
  <c r="AN20" i="3" s="1"/>
  <c r="AD23" i="6"/>
  <c r="AN21" i="3" s="1"/>
  <c r="AD24" i="6"/>
  <c r="AN22" i="3" s="1"/>
  <c r="AD25" i="6"/>
  <c r="AN23" i="3" s="1"/>
  <c r="AD26" i="6"/>
  <c r="AN24" i="3" s="1"/>
  <c r="AD27" i="6"/>
  <c r="AN25" i="3" s="1"/>
  <c r="AD28" i="6"/>
  <c r="AN26" i="3" s="1"/>
  <c r="AD29" i="6"/>
  <c r="AN27" i="3" s="1"/>
  <c r="AD30" i="6"/>
  <c r="AN28" i="3" s="1"/>
  <c r="AD31" i="6"/>
  <c r="AN29" i="3" s="1"/>
  <c r="AD32" i="6"/>
  <c r="AN30" i="3" s="1"/>
  <c r="AD33" i="6"/>
  <c r="AN31" i="3" s="1"/>
  <c r="AN3" i="3"/>
  <c r="AM4" i="3"/>
  <c r="AM5" i="3"/>
  <c r="AM6" i="3"/>
  <c r="AM7" i="3"/>
  <c r="AM8" i="3"/>
  <c r="AM9" i="3"/>
  <c r="AM10" i="3"/>
  <c r="AM11" i="3"/>
  <c r="AB14" i="6"/>
  <c r="AM12" i="3" s="1"/>
  <c r="AB15" i="6"/>
  <c r="AM13" i="3" s="1"/>
  <c r="AB16" i="6"/>
  <c r="AM14" i="3"/>
  <c r="AB17" i="6"/>
  <c r="AM15" i="3" s="1"/>
  <c r="AB18" i="6"/>
  <c r="AM16" i="3" s="1"/>
  <c r="AB19" i="6"/>
  <c r="AM17" i="3" s="1"/>
  <c r="AB20" i="6"/>
  <c r="AM18" i="3" s="1"/>
  <c r="AB21" i="6"/>
  <c r="AM19" i="3" s="1"/>
  <c r="AB22" i="6"/>
  <c r="AM20" i="3" s="1"/>
  <c r="AB23" i="6"/>
  <c r="AM21" i="3" s="1"/>
  <c r="AB24" i="6"/>
  <c r="AM22" i="3" s="1"/>
  <c r="AB25" i="6"/>
  <c r="AM23" i="3" s="1"/>
  <c r="AB26" i="6"/>
  <c r="AM24" i="3" s="1"/>
  <c r="AB27" i="6"/>
  <c r="AM25" i="3" s="1"/>
  <c r="AB28" i="6"/>
  <c r="AM26" i="3" s="1"/>
  <c r="AB29" i="6"/>
  <c r="AM27" i="3" s="1"/>
  <c r="AB30" i="6"/>
  <c r="AM28" i="3" s="1"/>
  <c r="AB31" i="6"/>
  <c r="AM29" i="3" s="1"/>
  <c r="AB32" i="6"/>
  <c r="AM30" i="3" s="1"/>
  <c r="AB33" i="6"/>
  <c r="AM31" i="3" s="1"/>
  <c r="AM3" i="3"/>
  <c r="Q6" i="6"/>
  <c r="AJ4" i="3" s="1"/>
  <c r="Q7" i="6"/>
  <c r="AJ5" i="3" s="1"/>
  <c r="Q8" i="6"/>
  <c r="AJ6" i="3" s="1"/>
  <c r="Q9" i="6"/>
  <c r="AJ7" i="3" s="1"/>
  <c r="Q10" i="6"/>
  <c r="AJ8" i="3" s="1"/>
  <c r="Q11" i="6"/>
  <c r="AJ9" i="3" s="1"/>
  <c r="Q12" i="6"/>
  <c r="AJ10" i="3" s="1"/>
  <c r="Q13" i="6"/>
  <c r="AJ11" i="3" s="1"/>
  <c r="Q14" i="6"/>
  <c r="AJ12" i="3" s="1"/>
  <c r="Q15" i="6"/>
  <c r="AJ13" i="3" s="1"/>
  <c r="Q16" i="6"/>
  <c r="AJ14" i="3" s="1"/>
  <c r="Q17" i="6"/>
  <c r="AJ15" i="3" s="1"/>
  <c r="Q18" i="6"/>
  <c r="AJ16" i="3" s="1"/>
  <c r="Q19" i="6"/>
  <c r="AJ17" i="3" s="1"/>
  <c r="Q20" i="6"/>
  <c r="AJ18" i="3" s="1"/>
  <c r="Q21" i="6"/>
  <c r="AJ19" i="3" s="1"/>
  <c r="Q22" i="6"/>
  <c r="AJ20" i="3" s="1"/>
  <c r="Q23" i="6"/>
  <c r="AJ21" i="3" s="1"/>
  <c r="Q24" i="6"/>
  <c r="AJ22" i="3" s="1"/>
  <c r="Q25" i="6"/>
  <c r="AJ23" i="3" s="1"/>
  <c r="Q26" i="6"/>
  <c r="AJ24" i="3" s="1"/>
  <c r="Q27" i="6"/>
  <c r="AJ25" i="3" s="1"/>
  <c r="Q28" i="6"/>
  <c r="AJ26" i="3" s="1"/>
  <c r="Q29" i="6"/>
  <c r="AJ27" i="3" s="1"/>
  <c r="Q30" i="6"/>
  <c r="AJ28" i="3" s="1"/>
  <c r="Q31" i="6"/>
  <c r="AJ29" i="3" s="1"/>
  <c r="AJ30" i="3"/>
  <c r="Q33" i="6"/>
  <c r="AJ31" i="3" s="1"/>
  <c r="Q5" i="6"/>
  <c r="AJ3" i="3" s="1"/>
  <c r="N6" i="6"/>
  <c r="AI4" i="3" s="1"/>
  <c r="N7" i="6"/>
  <c r="AI5" i="3" s="1"/>
  <c r="N8" i="6"/>
  <c r="AI6" i="3" s="1"/>
  <c r="N9" i="6"/>
  <c r="AI7" i="3" s="1"/>
  <c r="N10" i="6"/>
  <c r="AI8" i="3" s="1"/>
  <c r="N11" i="6"/>
  <c r="AI9" i="3" s="1"/>
  <c r="N12" i="6"/>
  <c r="AI10" i="3" s="1"/>
  <c r="N13" i="6"/>
  <c r="AI11" i="3" s="1"/>
  <c r="N14" i="6"/>
  <c r="AI12" i="3" s="1"/>
  <c r="N15" i="6"/>
  <c r="AI13" i="3" s="1"/>
  <c r="N16" i="6"/>
  <c r="AI14" i="3" s="1"/>
  <c r="N17" i="6"/>
  <c r="AI15" i="3" s="1"/>
  <c r="N18" i="6"/>
  <c r="AI16" i="3" s="1"/>
  <c r="N19" i="6"/>
  <c r="AI17" i="3" s="1"/>
  <c r="N20" i="6"/>
  <c r="AI18" i="3" s="1"/>
  <c r="N21" i="6"/>
  <c r="AI19" i="3" s="1"/>
  <c r="N22" i="6"/>
  <c r="AI20" i="3" s="1"/>
  <c r="N23" i="6"/>
  <c r="AI21" i="3" s="1"/>
  <c r="N24" i="6"/>
  <c r="AI22" i="3" s="1"/>
  <c r="N25" i="6"/>
  <c r="AI23" i="3" s="1"/>
  <c r="N26" i="6"/>
  <c r="AI24" i="3" s="1"/>
  <c r="N27" i="6"/>
  <c r="AI25" i="3" s="1"/>
  <c r="N28" i="6"/>
  <c r="AI26" i="3" s="1"/>
  <c r="N29" i="6"/>
  <c r="AI27" i="3" s="1"/>
  <c r="N30" i="6"/>
  <c r="AI28" i="3" s="1"/>
  <c r="N31" i="6"/>
  <c r="AI29" i="3" s="1"/>
  <c r="N32" i="6"/>
  <c r="AI30" i="3" s="1"/>
  <c r="N33" i="6"/>
  <c r="AI31" i="3" s="1"/>
  <c r="N5" i="6"/>
  <c r="AI3" i="3" s="1"/>
  <c r="K6" i="6"/>
  <c r="AH4" i="3" s="1"/>
  <c r="K7" i="6"/>
  <c r="AH5" i="3" s="1"/>
  <c r="K8" i="6"/>
  <c r="AH6" i="3" s="1"/>
  <c r="K9" i="6"/>
  <c r="AH7" i="3" s="1"/>
  <c r="AH8" i="3"/>
  <c r="K11" i="6"/>
  <c r="AH9" i="3" s="1"/>
  <c r="K12" i="6"/>
  <c r="AH10" i="3" s="1"/>
  <c r="K13" i="6"/>
  <c r="AH11" i="3" s="1"/>
  <c r="K14" i="6"/>
  <c r="AH12" i="3" s="1"/>
  <c r="K15" i="6"/>
  <c r="AH13" i="3" s="1"/>
  <c r="K16" i="6"/>
  <c r="AH14" i="3" s="1"/>
  <c r="K17" i="6"/>
  <c r="AH15" i="3" s="1"/>
  <c r="K18" i="6"/>
  <c r="AH16" i="3" s="1"/>
  <c r="K19" i="6"/>
  <c r="AH17" i="3" s="1"/>
  <c r="K20" i="6"/>
  <c r="AH18" i="3" s="1"/>
  <c r="K21" i="6"/>
  <c r="AH19" i="3" s="1"/>
  <c r="K22" i="6"/>
  <c r="AH20" i="3" s="1"/>
  <c r="K23" i="6"/>
  <c r="AH21" i="3" s="1"/>
  <c r="K24" i="6"/>
  <c r="AH22" i="3" s="1"/>
  <c r="K25" i="6"/>
  <c r="AH23" i="3" s="1"/>
  <c r="K26" i="6"/>
  <c r="AH24" i="3" s="1"/>
  <c r="K27" i="6"/>
  <c r="AH25" i="3" s="1"/>
  <c r="K28" i="6"/>
  <c r="AH26" i="3" s="1"/>
  <c r="K29" i="6"/>
  <c r="AH27" i="3" s="1"/>
  <c r="K30" i="6"/>
  <c r="AH28" i="3" s="1"/>
  <c r="K31" i="6"/>
  <c r="AH29" i="3" s="1"/>
  <c r="K32" i="6"/>
  <c r="AH30" i="3" s="1"/>
  <c r="K33" i="6"/>
  <c r="AH31" i="3" s="1"/>
  <c r="K5" i="6"/>
  <c r="AH3" i="3" s="1"/>
  <c r="H6" i="6"/>
  <c r="AG4" i="3" s="1"/>
  <c r="H7" i="6"/>
  <c r="AG5" i="3" s="1"/>
  <c r="H8" i="6"/>
  <c r="AG6" i="3" s="1"/>
  <c r="H9" i="6"/>
  <c r="AG7" i="3" s="1"/>
  <c r="H10" i="6"/>
  <c r="AG8" i="3" s="1"/>
  <c r="H11" i="6"/>
  <c r="AG9" i="3" s="1"/>
  <c r="H12" i="6"/>
  <c r="AG10" i="3" s="1"/>
  <c r="H13" i="6"/>
  <c r="AG11" i="3" s="1"/>
  <c r="H14" i="6"/>
  <c r="AG12" i="3" s="1"/>
  <c r="H15" i="6"/>
  <c r="AG13" i="3" s="1"/>
  <c r="H16" i="6"/>
  <c r="AG14" i="3" s="1"/>
  <c r="H17" i="6"/>
  <c r="AG15" i="3" s="1"/>
  <c r="H18" i="6"/>
  <c r="AG16" i="3" s="1"/>
  <c r="H19" i="6"/>
  <c r="AG17" i="3" s="1"/>
  <c r="H20" i="6"/>
  <c r="AG18" i="3" s="1"/>
  <c r="H21" i="6"/>
  <c r="AG19" i="3" s="1"/>
  <c r="H22" i="6"/>
  <c r="AG20" i="3" s="1"/>
  <c r="H23" i="6"/>
  <c r="AG21" i="3" s="1"/>
  <c r="H24" i="6"/>
  <c r="AG22" i="3" s="1"/>
  <c r="H25" i="6"/>
  <c r="AG23" i="3" s="1"/>
  <c r="H26" i="6"/>
  <c r="AG24" i="3" s="1"/>
  <c r="H27" i="6"/>
  <c r="AG25" i="3" s="1"/>
  <c r="H28" i="6"/>
  <c r="AG26" i="3" s="1"/>
  <c r="H29" i="6"/>
  <c r="AG27" i="3" s="1"/>
  <c r="H30" i="6"/>
  <c r="AG28" i="3" s="1"/>
  <c r="H31" i="6"/>
  <c r="AG29" i="3" s="1"/>
  <c r="H32" i="6"/>
  <c r="AG30" i="3" s="1"/>
  <c r="H33" i="6"/>
  <c r="AG31" i="3" s="1"/>
  <c r="H5" i="6"/>
  <c r="AG3" i="3" s="1"/>
  <c r="E6" i="6"/>
  <c r="AF4" i="3" s="1"/>
  <c r="E7" i="6"/>
  <c r="AF5" i="3" s="1"/>
  <c r="E8" i="6"/>
  <c r="AF6" i="3" s="1"/>
  <c r="E9" i="6"/>
  <c r="AF7" i="3" s="1"/>
  <c r="E10" i="6"/>
  <c r="AF8" i="3" s="1"/>
  <c r="E11" i="6"/>
  <c r="AF9" i="3" s="1"/>
  <c r="E12" i="6"/>
  <c r="AF10" i="3" s="1"/>
  <c r="E13" i="6"/>
  <c r="AF11" i="3" s="1"/>
  <c r="E14" i="6"/>
  <c r="AF12" i="3" s="1"/>
  <c r="E15" i="6"/>
  <c r="AF13" i="3" s="1"/>
  <c r="E16" i="6"/>
  <c r="AF14" i="3" s="1"/>
  <c r="E17" i="6"/>
  <c r="AF15" i="3" s="1"/>
  <c r="E18" i="6"/>
  <c r="AF16" i="3" s="1"/>
  <c r="E19" i="6"/>
  <c r="AF17" i="3" s="1"/>
  <c r="E20" i="6"/>
  <c r="AF18" i="3" s="1"/>
  <c r="E21" i="6"/>
  <c r="AF19" i="3" s="1"/>
  <c r="E22" i="6"/>
  <c r="AF20" i="3" s="1"/>
  <c r="E23" i="6"/>
  <c r="AF21" i="3" s="1"/>
  <c r="E24" i="6"/>
  <c r="AF22" i="3" s="1"/>
  <c r="E25" i="6"/>
  <c r="AF23" i="3" s="1"/>
  <c r="E26" i="6"/>
  <c r="AF24" i="3" s="1"/>
  <c r="E27" i="6"/>
  <c r="AF25" i="3" s="1"/>
  <c r="E28" i="6"/>
  <c r="AF26" i="3" s="1"/>
  <c r="E29" i="6"/>
  <c r="AF27" i="3" s="1"/>
  <c r="E30" i="6"/>
  <c r="AF28" i="3" s="1"/>
  <c r="E31" i="6"/>
  <c r="AF29" i="3" s="1"/>
  <c r="E32" i="6"/>
  <c r="AF30" i="3" s="1"/>
  <c r="E33" i="6"/>
  <c r="AF31" i="3" s="1"/>
  <c r="E5" i="6"/>
  <c r="AF3" i="3" s="1"/>
  <c r="BA2" i="3"/>
  <c r="AZ2" i="3"/>
  <c r="AY2" i="3"/>
  <c r="AX2" i="3"/>
  <c r="AW2" i="3"/>
  <c r="AV2" i="3"/>
  <c r="AT2" i="3"/>
  <c r="AS2" i="3"/>
  <c r="AR2" i="3"/>
  <c r="AQ2" i="3"/>
  <c r="AP2" i="3"/>
  <c r="AO2" i="3"/>
  <c r="AN2" i="3"/>
  <c r="AM2" i="3"/>
  <c r="AJ2" i="3"/>
  <c r="AI2" i="3"/>
  <c r="AH2" i="3"/>
  <c r="AG2" i="3"/>
  <c r="AF2" i="3"/>
  <c r="AU2" i="3"/>
  <c r="AL2" i="3"/>
  <c r="AK2" i="3"/>
  <c r="AE3" i="3"/>
  <c r="AE4" i="3"/>
  <c r="AE5" i="3"/>
  <c r="AE6" i="3"/>
  <c r="AE7" i="3"/>
  <c r="AE8" i="3"/>
  <c r="AE9" i="3"/>
  <c r="AE10" i="3"/>
  <c r="AE11" i="3"/>
  <c r="BB14" i="5"/>
  <c r="AE12" i="3" s="1"/>
  <c r="BB15" i="5"/>
  <c r="AE13" i="3" s="1"/>
  <c r="BB16" i="5"/>
  <c r="AE14" i="3" s="1"/>
  <c r="BB17" i="5"/>
  <c r="AE15" i="3" s="1"/>
  <c r="BB18" i="5"/>
  <c r="AE16" i="3" s="1"/>
  <c r="BB19" i="5"/>
  <c r="AE17" i="3" s="1"/>
  <c r="BB20" i="5"/>
  <c r="AE18" i="3" s="1"/>
  <c r="BB21" i="5"/>
  <c r="AE19" i="3" s="1"/>
  <c r="BB22" i="5"/>
  <c r="AE20" i="3" s="1"/>
  <c r="BB23" i="5"/>
  <c r="AE21" i="3" s="1"/>
  <c r="BB24" i="5"/>
  <c r="AE22" i="3" s="1"/>
  <c r="BB25" i="5"/>
  <c r="AE23" i="3" s="1"/>
  <c r="BB26" i="5"/>
  <c r="AE24" i="3" s="1"/>
  <c r="BB27" i="5"/>
  <c r="AE25" i="3" s="1"/>
  <c r="BB28" i="5"/>
  <c r="AE26" i="3" s="1"/>
  <c r="BB29" i="5"/>
  <c r="AE27" i="3" s="1"/>
  <c r="BB30" i="5"/>
  <c r="AE28" i="3" s="1"/>
  <c r="BB31" i="5"/>
  <c r="AE29" i="3" s="1"/>
  <c r="BB32" i="5"/>
  <c r="AE30" i="3" s="1"/>
  <c r="BB33" i="5"/>
  <c r="AE31" i="3" s="1"/>
  <c r="AE2" i="3"/>
  <c r="AD3" i="3"/>
  <c r="AD4" i="3"/>
  <c r="AD5" i="3"/>
  <c r="AD6" i="3"/>
  <c r="AD7" i="3"/>
  <c r="AD8" i="3"/>
  <c r="AD9" i="3"/>
  <c r="AD10" i="3"/>
  <c r="AD11" i="3"/>
  <c r="AZ14" i="5"/>
  <c r="AD12" i="3" s="1"/>
  <c r="AZ15" i="5"/>
  <c r="AD13" i="3" s="1"/>
  <c r="AZ16" i="5"/>
  <c r="AD14" i="3" s="1"/>
  <c r="AZ17" i="5"/>
  <c r="AD15" i="3" s="1"/>
  <c r="AZ18" i="5"/>
  <c r="AD16" i="3" s="1"/>
  <c r="AZ19" i="5"/>
  <c r="AD17" i="3" s="1"/>
  <c r="AZ20" i="5"/>
  <c r="AD18" i="3" s="1"/>
  <c r="AZ21" i="5"/>
  <c r="AD19" i="3" s="1"/>
  <c r="AZ22" i="5"/>
  <c r="AD20" i="3" s="1"/>
  <c r="AZ23" i="5"/>
  <c r="AD21" i="3" s="1"/>
  <c r="AZ24" i="5"/>
  <c r="AD22" i="3" s="1"/>
  <c r="AZ25" i="5"/>
  <c r="AD23" i="3" s="1"/>
  <c r="AZ26" i="5"/>
  <c r="AD24" i="3" s="1"/>
  <c r="AZ27" i="5"/>
  <c r="AD26" i="3"/>
  <c r="AZ29" i="5"/>
  <c r="AD27" i="3" s="1"/>
  <c r="AZ30" i="5"/>
  <c r="AZ31" i="5"/>
  <c r="AD29" i="3" s="1"/>
  <c r="AZ32" i="5"/>
  <c r="AD30" i="3" s="1"/>
  <c r="AZ33" i="5"/>
  <c r="AD31" i="3" s="1"/>
  <c r="AD2" i="3"/>
  <c r="AC3" i="3"/>
  <c r="AC4" i="3"/>
  <c r="AC5" i="3"/>
  <c r="AC6" i="3"/>
  <c r="AC7" i="3"/>
  <c r="AC8" i="3"/>
  <c r="AC9" i="3"/>
  <c r="AC10" i="3"/>
  <c r="AC11" i="3"/>
  <c r="AV14" i="5"/>
  <c r="AC12" i="3" s="1"/>
  <c r="AV15" i="5"/>
  <c r="AC13" i="3" s="1"/>
  <c r="AV16" i="5"/>
  <c r="AC14" i="3" s="1"/>
  <c r="AV17" i="5"/>
  <c r="AC15" i="3" s="1"/>
  <c r="AV18" i="5"/>
  <c r="AV19" i="5"/>
  <c r="AC17" i="3" s="1"/>
  <c r="AV20" i="5"/>
  <c r="AC18" i="3" s="1"/>
  <c r="AV21" i="5"/>
  <c r="AC19" i="3" s="1"/>
  <c r="AV22" i="5"/>
  <c r="AC20" i="3" s="1"/>
  <c r="AV23" i="5"/>
  <c r="AC21" i="3" s="1"/>
  <c r="AV24" i="5"/>
  <c r="AC22" i="3" s="1"/>
  <c r="AV25" i="5"/>
  <c r="AC23" i="3" s="1"/>
  <c r="AV26" i="5"/>
  <c r="AC24" i="3" s="1"/>
  <c r="AV27" i="5"/>
  <c r="AC25" i="3" s="1"/>
  <c r="AV28" i="5"/>
  <c r="AC26" i="3" s="1"/>
  <c r="AV29" i="5"/>
  <c r="AC27" i="3" s="1"/>
  <c r="AV30" i="5"/>
  <c r="AC28" i="3" s="1"/>
  <c r="AV31" i="5"/>
  <c r="AC29" i="3" s="1"/>
  <c r="AV32" i="5"/>
  <c r="AC30" i="3" s="1"/>
  <c r="AV33" i="5"/>
  <c r="AC31" i="3" s="1"/>
  <c r="AC2" i="3"/>
  <c r="AB3" i="3"/>
  <c r="AB4" i="3"/>
  <c r="AB5" i="3"/>
  <c r="AB6" i="3"/>
  <c r="AB7" i="3"/>
  <c r="AB8" i="3"/>
  <c r="AB9" i="3"/>
  <c r="AB10" i="3"/>
  <c r="AB11" i="3"/>
  <c r="AX14" i="5"/>
  <c r="AB12" i="3" s="1"/>
  <c r="AX15" i="5"/>
  <c r="AB13" i="3" s="1"/>
  <c r="AX16" i="5"/>
  <c r="AB14" i="3" s="1"/>
  <c r="AX17" i="5"/>
  <c r="AB15" i="3" s="1"/>
  <c r="AX18" i="5"/>
  <c r="AB16" i="3" s="1"/>
  <c r="AX19" i="5"/>
  <c r="AB17" i="3" s="1"/>
  <c r="AX20" i="5"/>
  <c r="AB18" i="3" s="1"/>
  <c r="AX21" i="5"/>
  <c r="AB19" i="3" s="1"/>
  <c r="AX22" i="5"/>
  <c r="AX23" i="5"/>
  <c r="AB21" i="3" s="1"/>
  <c r="AX24" i="5"/>
  <c r="AB22" i="3" s="1"/>
  <c r="AX25" i="5"/>
  <c r="AB23" i="3" s="1"/>
  <c r="AX26" i="5"/>
  <c r="AX27" i="5"/>
  <c r="AB25" i="3" s="1"/>
  <c r="AX28" i="5"/>
  <c r="AB26" i="3" s="1"/>
  <c r="AX29" i="5"/>
  <c r="AB27" i="3" s="1"/>
  <c r="AX30" i="5"/>
  <c r="AB28" i="3" s="1"/>
  <c r="AX31" i="5"/>
  <c r="AB29" i="3" s="1"/>
  <c r="AX32" i="5"/>
  <c r="AX33" i="5"/>
  <c r="AB31" i="3" s="1"/>
  <c r="AB2" i="3"/>
  <c r="Z3" i="3"/>
  <c r="Z4" i="3"/>
  <c r="Z5" i="3"/>
  <c r="Z6" i="3"/>
  <c r="Z7" i="3"/>
  <c r="Z8" i="3"/>
  <c r="Z9" i="3"/>
  <c r="Z10" i="3"/>
  <c r="Z11" i="3"/>
  <c r="AG14" i="5"/>
  <c r="Z12" i="3" s="1"/>
  <c r="AG15" i="5"/>
  <c r="Z13" i="3" s="1"/>
  <c r="AG16" i="5"/>
  <c r="Z14" i="3" s="1"/>
  <c r="AG17" i="5"/>
  <c r="Z15" i="3" s="1"/>
  <c r="AG18" i="5"/>
  <c r="AG19" i="5"/>
  <c r="Z17" i="3" s="1"/>
  <c r="AG20" i="5"/>
  <c r="Z18" i="3" s="1"/>
  <c r="AG21" i="5"/>
  <c r="Z19" i="3" s="1"/>
  <c r="AG22" i="5"/>
  <c r="Z20" i="3" s="1"/>
  <c r="AG23" i="5"/>
  <c r="Z21" i="3" s="1"/>
  <c r="AG24" i="5"/>
  <c r="AG25" i="5"/>
  <c r="Z23" i="3" s="1"/>
  <c r="AG26" i="5"/>
  <c r="Z24" i="3" s="1"/>
  <c r="AG27" i="5"/>
  <c r="Z25" i="3" s="1"/>
  <c r="AG28" i="5"/>
  <c r="Z26" i="3" s="1"/>
  <c r="AG29" i="5"/>
  <c r="Z27" i="3" s="1"/>
  <c r="AG30" i="5"/>
  <c r="Z28" i="3" s="1"/>
  <c r="AG31" i="5"/>
  <c r="Z29" i="3" s="1"/>
  <c r="AG32" i="5"/>
  <c r="Z30" i="3" s="1"/>
  <c r="AG33" i="5"/>
  <c r="Z31" i="3" s="1"/>
  <c r="Z2" i="3"/>
  <c r="X3" i="3"/>
  <c r="X4" i="3"/>
  <c r="X5" i="3"/>
  <c r="X6" i="3"/>
  <c r="X7" i="3"/>
  <c r="X8" i="3"/>
  <c r="X9" i="3"/>
  <c r="X10" i="3"/>
  <c r="X11" i="3"/>
  <c r="AD14" i="5"/>
  <c r="X12" i="3" s="1"/>
  <c r="AD15" i="5"/>
  <c r="AD16" i="5"/>
  <c r="X14" i="3" s="1"/>
  <c r="AD17" i="5"/>
  <c r="X15" i="3" s="1"/>
  <c r="AD18" i="5"/>
  <c r="X16" i="3" s="1"/>
  <c r="AD19" i="5"/>
  <c r="AD20" i="5"/>
  <c r="X18" i="3" s="1"/>
  <c r="AD21" i="5"/>
  <c r="X19" i="3" s="1"/>
  <c r="AD22" i="5"/>
  <c r="X20" i="3" s="1"/>
  <c r="AD23" i="5"/>
  <c r="AD24" i="5"/>
  <c r="X22" i="3" s="1"/>
  <c r="AD25" i="5"/>
  <c r="X23" i="3" s="1"/>
  <c r="AD26" i="5"/>
  <c r="X24" i="3" s="1"/>
  <c r="AD27" i="5"/>
  <c r="AD28" i="5"/>
  <c r="X26" i="3" s="1"/>
  <c r="AD29" i="5"/>
  <c r="X27" i="3" s="1"/>
  <c r="AD30" i="5"/>
  <c r="X28" i="3" s="1"/>
  <c r="AD31" i="5"/>
  <c r="AD32" i="5"/>
  <c r="X30" i="3" s="1"/>
  <c r="AD33" i="5"/>
  <c r="X31" i="3" s="1"/>
  <c r="X2" i="3"/>
  <c r="V3" i="3"/>
  <c r="V4" i="3"/>
  <c r="V5" i="3"/>
  <c r="V6" i="3"/>
  <c r="V7" i="3"/>
  <c r="V8" i="3"/>
  <c r="V9" i="3"/>
  <c r="V10" i="3"/>
  <c r="V11" i="3"/>
  <c r="AA14" i="5"/>
  <c r="V12" i="3" s="1"/>
  <c r="AA15" i="5"/>
  <c r="V13" i="3" s="1"/>
  <c r="AA16" i="5"/>
  <c r="V14" i="3" s="1"/>
  <c r="AA17" i="5"/>
  <c r="V15" i="3" s="1"/>
  <c r="AA18" i="5"/>
  <c r="V16" i="3" s="1"/>
  <c r="AA19" i="5"/>
  <c r="V17" i="3" s="1"/>
  <c r="AA20" i="5"/>
  <c r="V18" i="3" s="1"/>
  <c r="AA21" i="5"/>
  <c r="V19" i="3" s="1"/>
  <c r="AA22" i="5"/>
  <c r="V20" i="3" s="1"/>
  <c r="AA23" i="5"/>
  <c r="V21" i="3" s="1"/>
  <c r="AA24" i="5"/>
  <c r="V22" i="3" s="1"/>
  <c r="AA25" i="5"/>
  <c r="V23" i="3" s="1"/>
  <c r="AA26" i="5"/>
  <c r="V24" i="3" s="1"/>
  <c r="AA27" i="5"/>
  <c r="V25" i="3" s="1"/>
  <c r="AA28" i="5"/>
  <c r="V26" i="3" s="1"/>
  <c r="AA29" i="5"/>
  <c r="V27" i="3" s="1"/>
  <c r="AA30" i="5"/>
  <c r="V28" i="3" s="1"/>
  <c r="AA31" i="5"/>
  <c r="V29" i="3" s="1"/>
  <c r="AA32" i="5"/>
  <c r="V30" i="3" s="1"/>
  <c r="AA33" i="5"/>
  <c r="V31" i="3" s="1"/>
  <c r="V2" i="3"/>
  <c r="T3" i="3"/>
  <c r="T4" i="3"/>
  <c r="T5" i="3"/>
  <c r="T6" i="3"/>
  <c r="T7" i="3"/>
  <c r="T8" i="3"/>
  <c r="T9" i="3"/>
  <c r="T10" i="3"/>
  <c r="T11" i="3"/>
  <c r="R14" i="5"/>
  <c r="T12" i="3" s="1"/>
  <c r="R15" i="5"/>
  <c r="T13" i="3" s="1"/>
  <c r="R16" i="5"/>
  <c r="T14" i="3" s="1"/>
  <c r="R17" i="5"/>
  <c r="T15" i="3" s="1"/>
  <c r="R18" i="5"/>
  <c r="T16" i="3" s="1"/>
  <c r="R19" i="5"/>
  <c r="T17" i="3" s="1"/>
  <c r="R20" i="5"/>
  <c r="T18" i="3" s="1"/>
  <c r="R21" i="5"/>
  <c r="T19" i="3" s="1"/>
  <c r="R22" i="5"/>
  <c r="T20" i="3" s="1"/>
  <c r="R23" i="5"/>
  <c r="T21" i="3" s="1"/>
  <c r="R24" i="5"/>
  <c r="T22" i="3" s="1"/>
  <c r="R25" i="5"/>
  <c r="T23" i="3" s="1"/>
  <c r="R26" i="5"/>
  <c r="T24" i="3" s="1"/>
  <c r="R27" i="5"/>
  <c r="T25" i="3" s="1"/>
  <c r="R28" i="5"/>
  <c r="T26" i="3" s="1"/>
  <c r="R29" i="5"/>
  <c r="T27" i="3" s="1"/>
  <c r="R30" i="5"/>
  <c r="T28" i="3" s="1"/>
  <c r="R31" i="5"/>
  <c r="T29" i="3" s="1"/>
  <c r="R32" i="5"/>
  <c r="T30" i="3" s="1"/>
  <c r="R33" i="5"/>
  <c r="T31" i="3" s="1"/>
  <c r="T2" i="3"/>
  <c r="R3" i="3"/>
  <c r="R4" i="3"/>
  <c r="R5" i="3"/>
  <c r="R6" i="3"/>
  <c r="R7" i="3"/>
  <c r="R8" i="3"/>
  <c r="R9" i="3"/>
  <c r="R10" i="3"/>
  <c r="R11" i="3"/>
  <c r="L14" i="5"/>
  <c r="R12" i="3" s="1"/>
  <c r="L15" i="5"/>
  <c r="R13" i="3" s="1"/>
  <c r="L16" i="5"/>
  <c r="R14" i="3" s="1"/>
  <c r="L17" i="5"/>
  <c r="R15" i="3" s="1"/>
  <c r="L18" i="5"/>
  <c r="R16" i="3" s="1"/>
  <c r="L19" i="5"/>
  <c r="R17" i="3" s="1"/>
  <c r="L20" i="5"/>
  <c r="R18" i="3" s="1"/>
  <c r="L21" i="5"/>
  <c r="R19" i="3" s="1"/>
  <c r="L22" i="5"/>
  <c r="R20" i="3" s="1"/>
  <c r="L23" i="5"/>
  <c r="R21" i="3" s="1"/>
  <c r="L24" i="5"/>
  <c r="R22" i="3" s="1"/>
  <c r="L25" i="5"/>
  <c r="R23" i="3" s="1"/>
  <c r="L26" i="5"/>
  <c r="R24" i="3" s="1"/>
  <c r="L27" i="5"/>
  <c r="R25" i="3" s="1"/>
  <c r="L28" i="5"/>
  <c r="R26" i="3" s="1"/>
  <c r="L29" i="5"/>
  <c r="R27" i="3" s="1"/>
  <c r="L30" i="5"/>
  <c r="R28" i="3" s="1"/>
  <c r="L31" i="5"/>
  <c r="R29" i="3" s="1"/>
  <c r="L32" i="5"/>
  <c r="R30" i="3" s="1"/>
  <c r="L33" i="5"/>
  <c r="R31" i="3" s="1"/>
  <c r="R2" i="3"/>
  <c r="P3" i="3"/>
  <c r="P4" i="3"/>
  <c r="P5" i="3"/>
  <c r="P6" i="3"/>
  <c r="P7" i="3"/>
  <c r="P8" i="3"/>
  <c r="P9" i="3"/>
  <c r="P10" i="3"/>
  <c r="P11" i="3"/>
  <c r="O14" i="5"/>
  <c r="P12" i="3" s="1"/>
  <c r="O15" i="5"/>
  <c r="P13" i="3" s="1"/>
  <c r="O16" i="5"/>
  <c r="P14" i="3" s="1"/>
  <c r="O17" i="5"/>
  <c r="P15" i="3" s="1"/>
  <c r="O18" i="5"/>
  <c r="P16" i="3" s="1"/>
  <c r="O19" i="5"/>
  <c r="P17" i="3" s="1"/>
  <c r="O20" i="5"/>
  <c r="P18" i="3" s="1"/>
  <c r="O21" i="5"/>
  <c r="P19" i="3" s="1"/>
  <c r="O22" i="5"/>
  <c r="P20" i="3" s="1"/>
  <c r="O23" i="5"/>
  <c r="P21" i="3" s="1"/>
  <c r="O24" i="5"/>
  <c r="P22" i="3" s="1"/>
  <c r="O25" i="5"/>
  <c r="P23" i="3" s="1"/>
  <c r="O26" i="5"/>
  <c r="P24" i="3" s="1"/>
  <c r="O27" i="5"/>
  <c r="P25" i="3" s="1"/>
  <c r="O28" i="5"/>
  <c r="P26" i="3" s="1"/>
  <c r="O29" i="5"/>
  <c r="P27" i="3" s="1"/>
  <c r="O30" i="5"/>
  <c r="P28" i="3" s="1"/>
  <c r="O31" i="5"/>
  <c r="P29" i="3" s="1"/>
  <c r="O32" i="5"/>
  <c r="P30" i="3" s="1"/>
  <c r="O33" i="5"/>
  <c r="P31" i="3" s="1"/>
  <c r="P2" i="3"/>
  <c r="N3" i="3"/>
  <c r="N4" i="3"/>
  <c r="N5" i="3"/>
  <c r="N6" i="3"/>
  <c r="N7" i="3"/>
  <c r="N8" i="3"/>
  <c r="N9" i="3"/>
  <c r="N10" i="3"/>
  <c r="N11" i="3"/>
  <c r="X14" i="5"/>
  <c r="N12" i="3" s="1"/>
  <c r="X15" i="5"/>
  <c r="N13" i="3" s="1"/>
  <c r="X16" i="5"/>
  <c r="X17" i="5"/>
  <c r="N15" i="3" s="1"/>
  <c r="X18" i="5"/>
  <c r="N16" i="3" s="1"/>
  <c r="X19" i="5"/>
  <c r="N17" i="3" s="1"/>
  <c r="X20" i="5"/>
  <c r="N18" i="3" s="1"/>
  <c r="X21" i="5"/>
  <c r="N19" i="3" s="1"/>
  <c r="X22" i="5"/>
  <c r="X23" i="5"/>
  <c r="N21" i="3" s="1"/>
  <c r="X24" i="5"/>
  <c r="N22" i="3" s="1"/>
  <c r="X25" i="5"/>
  <c r="N23" i="3" s="1"/>
  <c r="X26" i="5"/>
  <c r="N24" i="3" s="1"/>
  <c r="X27" i="5"/>
  <c r="N25" i="3" s="1"/>
  <c r="X28" i="5"/>
  <c r="N26" i="3" s="1"/>
  <c r="X29" i="5"/>
  <c r="N27" i="3" s="1"/>
  <c r="X30" i="5"/>
  <c r="N28" i="3" s="1"/>
  <c r="X31" i="5"/>
  <c r="N29" i="3" s="1"/>
  <c r="X32" i="5"/>
  <c r="N30" i="3" s="1"/>
  <c r="X33" i="5"/>
  <c r="N2" i="3"/>
  <c r="L3" i="3"/>
  <c r="L4" i="3"/>
  <c r="L5" i="3"/>
  <c r="L6" i="3"/>
  <c r="L7" i="3"/>
  <c r="L8" i="3"/>
  <c r="L9" i="3"/>
  <c r="L10" i="3"/>
  <c r="L11" i="3"/>
  <c r="AJ14" i="5"/>
  <c r="L12" i="3" s="1"/>
  <c r="AJ15" i="5"/>
  <c r="L13" i="3" s="1"/>
  <c r="AJ16" i="5"/>
  <c r="L14" i="3" s="1"/>
  <c r="AJ17" i="5"/>
  <c r="L15" i="3" s="1"/>
  <c r="AJ18" i="5"/>
  <c r="L16" i="3" s="1"/>
  <c r="AJ19" i="5"/>
  <c r="L17" i="3" s="1"/>
  <c r="AJ20" i="5"/>
  <c r="L18" i="3" s="1"/>
  <c r="AJ21" i="5"/>
  <c r="AJ22" i="5"/>
  <c r="L20" i="3" s="1"/>
  <c r="AJ23" i="5"/>
  <c r="L21" i="3" s="1"/>
  <c r="AJ24" i="5"/>
  <c r="L22" i="3" s="1"/>
  <c r="AJ25" i="5"/>
  <c r="L23" i="3" s="1"/>
  <c r="AJ26" i="5"/>
  <c r="L24" i="3" s="1"/>
  <c r="AJ27" i="5"/>
  <c r="L25" i="3" s="1"/>
  <c r="AJ28" i="5"/>
  <c r="L26" i="3" s="1"/>
  <c r="AJ29" i="5"/>
  <c r="L27" i="3" s="1"/>
  <c r="AJ30" i="5"/>
  <c r="L28" i="3" s="1"/>
  <c r="AJ31" i="5"/>
  <c r="L29" i="3" s="1"/>
  <c r="AJ32" i="5"/>
  <c r="L30" i="3" s="1"/>
  <c r="AJ33" i="5"/>
  <c r="L31" i="3" s="1"/>
  <c r="L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2" i="3"/>
  <c r="H3" i="3"/>
  <c r="H4" i="3"/>
  <c r="H5" i="3"/>
  <c r="H6" i="3"/>
  <c r="H7" i="3"/>
  <c r="H8" i="3"/>
  <c r="H9" i="3"/>
  <c r="H10" i="3"/>
  <c r="H11" i="3"/>
  <c r="F14" i="5"/>
  <c r="H12" i="3" s="1"/>
  <c r="F15" i="5"/>
  <c r="H13" i="3" s="1"/>
  <c r="F16" i="5"/>
  <c r="H14" i="3" s="1"/>
  <c r="F17" i="5"/>
  <c r="H15" i="3" s="1"/>
  <c r="F18" i="5"/>
  <c r="H16" i="3" s="1"/>
  <c r="F19" i="5"/>
  <c r="H17" i="3" s="1"/>
  <c r="F20" i="5"/>
  <c r="F21" i="5"/>
  <c r="H19" i="3" s="1"/>
  <c r="F22" i="5"/>
  <c r="H20" i="3" s="1"/>
  <c r="F23" i="5"/>
  <c r="H21" i="3" s="1"/>
  <c r="F24" i="5"/>
  <c r="H22" i="3" s="1"/>
  <c r="F25" i="5"/>
  <c r="H23" i="3" s="1"/>
  <c r="F26" i="5"/>
  <c r="H24" i="3" s="1"/>
  <c r="F27" i="5"/>
  <c r="H25" i="3" s="1"/>
  <c r="F28" i="5"/>
  <c r="F29" i="5"/>
  <c r="H27" i="3" s="1"/>
  <c r="F30" i="5"/>
  <c r="H28" i="3" s="1"/>
  <c r="F31" i="5"/>
  <c r="H29" i="3" s="1"/>
  <c r="F32" i="5"/>
  <c r="F33" i="5"/>
  <c r="H31" i="3" s="1"/>
  <c r="H2" i="3"/>
  <c r="F3" i="3"/>
  <c r="F4" i="3"/>
  <c r="F5" i="3"/>
  <c r="F6" i="3"/>
  <c r="F7" i="3"/>
  <c r="F8" i="3"/>
  <c r="F9" i="3"/>
  <c r="F10" i="3"/>
  <c r="F11" i="3"/>
  <c r="I14" i="5"/>
  <c r="F12" i="3" s="1"/>
  <c r="I15" i="5"/>
  <c r="F13" i="3" s="1"/>
  <c r="I16" i="5"/>
  <c r="F14" i="3" s="1"/>
  <c r="I17" i="5"/>
  <c r="F15" i="3" s="1"/>
  <c r="I18" i="5"/>
  <c r="F16" i="3" s="1"/>
  <c r="I19" i="5"/>
  <c r="F17" i="3" s="1"/>
  <c r="I20" i="5"/>
  <c r="F18" i="3" s="1"/>
  <c r="I21" i="5"/>
  <c r="F19" i="3" s="1"/>
  <c r="I22" i="5"/>
  <c r="F20" i="3" s="1"/>
  <c r="I23" i="5"/>
  <c r="F21" i="3" s="1"/>
  <c r="I24" i="5"/>
  <c r="F22" i="3" s="1"/>
  <c r="I25" i="5"/>
  <c r="F23" i="3" s="1"/>
  <c r="I26" i="5"/>
  <c r="F24" i="3" s="1"/>
  <c r="I27" i="5"/>
  <c r="F25" i="3" s="1"/>
  <c r="I28" i="5"/>
  <c r="F26" i="3" s="1"/>
  <c r="I29" i="5"/>
  <c r="I30" i="5"/>
  <c r="F28" i="3" s="1"/>
  <c r="I31" i="5"/>
  <c r="F29" i="3" s="1"/>
  <c r="I32" i="5"/>
  <c r="F30" i="3" s="1"/>
  <c r="I33" i="5"/>
  <c r="F31" i="3" s="1"/>
  <c r="F2" i="3"/>
  <c r="AM5" i="5"/>
  <c r="E3" i="3" s="1"/>
  <c r="AM6" i="5"/>
  <c r="E4" i="3" s="1"/>
  <c r="AM7" i="5"/>
  <c r="E5" i="3" s="1"/>
  <c r="AM8" i="5"/>
  <c r="E6" i="3" s="1"/>
  <c r="AM9" i="5"/>
  <c r="E7" i="3" s="1"/>
  <c r="AM10" i="5"/>
  <c r="E8" i="3" s="1"/>
  <c r="AM11" i="5"/>
  <c r="E9" i="3" s="1"/>
  <c r="AM12" i="5"/>
  <c r="E10" i="3" s="1"/>
  <c r="AM13" i="5"/>
  <c r="E11" i="3" s="1"/>
  <c r="AM14" i="5"/>
  <c r="E12" i="3" s="1"/>
  <c r="AM15" i="5"/>
  <c r="E13" i="3" s="1"/>
  <c r="AM16" i="5"/>
  <c r="E14" i="3" s="1"/>
  <c r="AM17" i="5"/>
  <c r="E15" i="3" s="1"/>
  <c r="AM18" i="5"/>
  <c r="E16" i="3" s="1"/>
  <c r="AM19" i="5"/>
  <c r="E17" i="3" s="1"/>
  <c r="AM20" i="5"/>
  <c r="E18" i="3" s="1"/>
  <c r="AM21" i="5"/>
  <c r="E19" i="3" s="1"/>
  <c r="AM22" i="5"/>
  <c r="E20" i="3" s="1"/>
  <c r="AM23" i="5"/>
  <c r="E21" i="3" s="1"/>
  <c r="AM24" i="5"/>
  <c r="E22" i="3" s="1"/>
  <c r="AM25" i="5"/>
  <c r="E23" i="3" s="1"/>
  <c r="AM26" i="5"/>
  <c r="E24" i="3" s="1"/>
  <c r="AM27" i="5"/>
  <c r="E25" i="3" s="1"/>
  <c r="AM28" i="5"/>
  <c r="E26" i="3" s="1"/>
  <c r="AM29" i="5"/>
  <c r="E27" i="3" s="1"/>
  <c r="AM30" i="5"/>
  <c r="E28" i="3" s="1"/>
  <c r="AM31" i="5"/>
  <c r="E29" i="3" s="1"/>
  <c r="AM32" i="5"/>
  <c r="E30" i="3" s="1"/>
  <c r="AM33" i="5"/>
  <c r="E31" i="3" s="1"/>
  <c r="E2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L30" i="12"/>
  <c r="K30" i="12"/>
  <c r="J30" i="12"/>
  <c r="L28" i="12"/>
  <c r="K28" i="12"/>
  <c r="J28" i="12"/>
  <c r="G16" i="12"/>
  <c r="Z9" i="10"/>
  <c r="Z8" i="10"/>
  <c r="Z7" i="10"/>
  <c r="Z6" i="10"/>
  <c r="Z5" i="10"/>
  <c r="BW45" i="5"/>
  <c r="B61" i="5"/>
  <c r="B62" i="5" s="1"/>
  <c r="B63" i="5" s="1"/>
  <c r="B55" i="5"/>
  <c r="B56" i="5" s="1"/>
  <c r="B57" i="5" s="1"/>
  <c r="B58" i="5" s="1"/>
  <c r="B50" i="5"/>
  <c r="B51" i="5" s="1"/>
  <c r="B52" i="5" s="1"/>
  <c r="B45" i="5"/>
  <c r="B46" i="5" s="1"/>
  <c r="B47" i="5" s="1"/>
  <c r="CW44" i="6"/>
  <c r="CR44" i="6"/>
  <c r="CN44" i="6"/>
  <c r="CI44" i="6"/>
  <c r="CC44" i="6"/>
  <c r="BV44" i="6"/>
  <c r="BR44" i="6"/>
  <c r="BN44" i="6"/>
  <c r="BI44" i="6"/>
  <c r="AR44" i="6"/>
  <c r="CW43" i="6"/>
  <c r="CR43" i="6"/>
  <c r="CN43" i="6"/>
  <c r="CI43" i="6"/>
  <c r="CC43" i="6"/>
  <c r="BV43" i="6"/>
  <c r="BR43" i="6"/>
  <c r="BN43" i="6"/>
  <c r="BI43" i="6"/>
  <c r="AR43" i="6"/>
  <c r="CW42" i="6"/>
  <c r="CR42" i="6"/>
  <c r="CN42" i="6"/>
  <c r="CI42" i="6"/>
  <c r="CC42" i="6"/>
  <c r="BV42" i="6"/>
  <c r="BR42" i="6"/>
  <c r="BN42" i="6"/>
  <c r="BI42" i="6"/>
  <c r="AR42" i="6"/>
  <c r="Y42" i="6"/>
  <c r="CW41" i="6"/>
  <c r="CR41" i="6"/>
  <c r="CN41" i="6"/>
  <c r="CI41" i="6"/>
  <c r="CC41" i="6"/>
  <c r="BV41" i="6"/>
  <c r="BR41" i="6"/>
  <c r="BN41" i="6"/>
  <c r="BI41" i="6"/>
  <c r="AR41" i="6"/>
  <c r="CW40" i="6"/>
  <c r="CR40" i="6"/>
  <c r="CN40" i="6"/>
  <c r="CI40" i="6"/>
  <c r="CC40" i="6"/>
  <c r="BV40" i="6"/>
  <c r="BR40" i="6"/>
  <c r="BN40" i="6"/>
  <c r="BI40" i="6"/>
  <c r="AR40" i="6"/>
  <c r="CW39" i="6"/>
  <c r="CR39" i="6"/>
  <c r="CN39" i="6"/>
  <c r="CI39" i="6"/>
  <c r="CC39" i="6"/>
  <c r="BV39" i="6"/>
  <c r="BR39" i="6"/>
  <c r="BN39" i="6"/>
  <c r="BI39" i="6"/>
  <c r="AR39" i="6"/>
  <c r="DJ38" i="6"/>
  <c r="DI38" i="6"/>
  <c r="BK38" i="6"/>
  <c r="BL38" i="6" s="1"/>
  <c r="CE38" i="6"/>
  <c r="CF38" i="6" s="1"/>
  <c r="CK38" i="6"/>
  <c r="CL38" i="6" s="1"/>
  <c r="CT38" i="6"/>
  <c r="CU38" i="6" s="1"/>
  <c r="BP38" i="6"/>
  <c r="BQ38" i="6" s="1"/>
  <c r="CY38" i="6"/>
  <c r="CZ38" i="6" s="1"/>
  <c r="DF38" i="6"/>
  <c r="CW38" i="6"/>
  <c r="CR38" i="6"/>
  <c r="CN38" i="6"/>
  <c r="CI38" i="6"/>
  <c r="CC38" i="6"/>
  <c r="BZ38" i="6"/>
  <c r="BV38" i="6"/>
  <c r="BR38" i="6"/>
  <c r="BN38" i="6"/>
  <c r="BI38" i="6"/>
  <c r="AR38" i="6"/>
  <c r="CW37" i="6"/>
  <c r="CR37" i="6"/>
  <c r="CN37" i="6"/>
  <c r="CI37" i="6"/>
  <c r="CC37" i="6"/>
  <c r="BV37" i="6"/>
  <c r="BR37" i="6"/>
  <c r="BN37" i="6"/>
  <c r="BI37" i="6"/>
  <c r="AR37" i="6"/>
  <c r="Y37" i="6"/>
  <c r="CW36" i="6"/>
  <c r="CR36" i="6"/>
  <c r="CN36" i="6"/>
  <c r="CI36" i="6"/>
  <c r="CC36" i="6"/>
  <c r="BV36" i="6"/>
  <c r="BR36" i="6"/>
  <c r="BN36" i="6"/>
  <c r="BI36" i="6"/>
  <c r="AR36" i="6"/>
  <c r="CW35" i="6"/>
  <c r="CR35" i="6"/>
  <c r="CN35" i="6"/>
  <c r="CI35" i="6"/>
  <c r="CC35" i="6"/>
  <c r="BV35" i="6"/>
  <c r="BR35" i="6"/>
  <c r="BN35" i="6"/>
  <c r="BI35" i="6"/>
  <c r="AR35" i="6"/>
  <c r="CW34" i="6"/>
  <c r="CR34" i="6"/>
  <c r="CN34" i="6"/>
  <c r="CI34" i="6"/>
  <c r="CC34" i="6"/>
  <c r="BV34" i="6"/>
  <c r="BR34" i="6"/>
  <c r="BN34" i="6"/>
  <c r="BI34" i="6"/>
  <c r="AR34" i="6"/>
  <c r="Y34" i="6"/>
  <c r="DJ33" i="6"/>
  <c r="DI33" i="6"/>
  <c r="BK33" i="6"/>
  <c r="BL33" i="6" s="1"/>
  <c r="CE33" i="6"/>
  <c r="CF33" i="6" s="1"/>
  <c r="CK33" i="6"/>
  <c r="CL33" i="6" s="1"/>
  <c r="CT33" i="6"/>
  <c r="CU33" i="6" s="1"/>
  <c r="BP33" i="6"/>
  <c r="BQ33" i="6" s="1"/>
  <c r="CY33" i="6"/>
  <c r="CZ33" i="6" s="1"/>
  <c r="DF33" i="6"/>
  <c r="CW33" i="6"/>
  <c r="CR33" i="6"/>
  <c r="CN33" i="6"/>
  <c r="CI33" i="6"/>
  <c r="CC33" i="6"/>
  <c r="BZ33" i="6"/>
  <c r="BV33" i="6"/>
  <c r="BR33" i="6"/>
  <c r="BN33" i="6"/>
  <c r="BI33" i="6"/>
  <c r="AR33" i="6"/>
  <c r="CW32" i="6"/>
  <c r="CR32" i="6"/>
  <c r="CN32" i="6"/>
  <c r="CI32" i="6"/>
  <c r="CC32" i="6"/>
  <c r="BV32" i="6"/>
  <c r="BR32" i="6"/>
  <c r="BN32" i="6"/>
  <c r="BI32" i="6"/>
  <c r="AR32" i="6"/>
  <c r="CW31" i="6"/>
  <c r="CR31" i="6"/>
  <c r="CN31" i="6"/>
  <c r="CI31" i="6"/>
  <c r="CC31" i="6"/>
  <c r="BV31" i="6"/>
  <c r="BR31" i="6"/>
  <c r="BN31" i="6"/>
  <c r="BI31" i="6"/>
  <c r="AR31" i="6"/>
  <c r="CW30" i="6"/>
  <c r="CR30" i="6"/>
  <c r="CN30" i="6"/>
  <c r="CI30" i="6"/>
  <c r="CC30" i="6"/>
  <c r="BV30" i="6"/>
  <c r="BR30" i="6"/>
  <c r="BN30" i="6"/>
  <c r="BI30" i="6"/>
  <c r="AR30" i="6"/>
  <c r="CW29" i="6"/>
  <c r="CR29" i="6"/>
  <c r="CN29" i="6"/>
  <c r="CI29" i="6"/>
  <c r="CC29" i="6"/>
  <c r="BV29" i="6"/>
  <c r="BR29" i="6"/>
  <c r="BN29" i="6"/>
  <c r="BI29" i="6"/>
  <c r="AR29" i="6"/>
  <c r="DJ28" i="6"/>
  <c r="DI28" i="6"/>
  <c r="BK28" i="6"/>
  <c r="BL28" i="6" s="1"/>
  <c r="CE28" i="6"/>
  <c r="CF28" i="6" s="1"/>
  <c r="CK28" i="6"/>
  <c r="CL28" i="6" s="1"/>
  <c r="CT28" i="6"/>
  <c r="CU28" i="6" s="1"/>
  <c r="BP28" i="6"/>
  <c r="BQ28" i="6" s="1"/>
  <c r="CY28" i="6"/>
  <c r="CZ28" i="6" s="1"/>
  <c r="DF28" i="6"/>
  <c r="CW28" i="6"/>
  <c r="CR28" i="6"/>
  <c r="CN28" i="6"/>
  <c r="CI28" i="6"/>
  <c r="CC28" i="6"/>
  <c r="BZ28" i="6"/>
  <c r="BV28" i="6"/>
  <c r="BR28" i="6"/>
  <c r="BN28" i="6"/>
  <c r="BI28" i="6"/>
  <c r="AR28" i="6"/>
  <c r="CW27" i="6"/>
  <c r="CR27" i="6"/>
  <c r="CN27" i="6"/>
  <c r="CI27" i="6"/>
  <c r="CC27" i="6"/>
  <c r="BV27" i="6"/>
  <c r="BR27" i="6"/>
  <c r="BN27" i="6"/>
  <c r="BI27" i="6"/>
  <c r="AR27" i="6"/>
  <c r="CW26" i="6"/>
  <c r="CR26" i="6"/>
  <c r="CN26" i="6"/>
  <c r="CI26" i="6"/>
  <c r="CC26" i="6"/>
  <c r="BV26" i="6"/>
  <c r="BR26" i="6"/>
  <c r="BN26" i="6"/>
  <c r="BI26" i="6"/>
  <c r="AR26" i="6"/>
  <c r="CW25" i="6"/>
  <c r="CR25" i="6"/>
  <c r="CN25" i="6"/>
  <c r="CI25" i="6"/>
  <c r="CC25" i="6"/>
  <c r="BV25" i="6"/>
  <c r="BR25" i="6"/>
  <c r="BN25" i="6"/>
  <c r="BI25" i="6"/>
  <c r="AR25" i="6"/>
  <c r="CW24" i="6"/>
  <c r="CR24" i="6"/>
  <c r="CN24" i="6"/>
  <c r="CI24" i="6"/>
  <c r="CC24" i="6"/>
  <c r="BV24" i="6"/>
  <c r="BR24" i="6"/>
  <c r="BN24" i="6"/>
  <c r="BI24" i="6"/>
  <c r="AR24" i="6"/>
  <c r="DJ23" i="6"/>
  <c r="DI23" i="6"/>
  <c r="BK23" i="6"/>
  <c r="BL23" i="6"/>
  <c r="CE23" i="6"/>
  <c r="CF23" i="6" s="1"/>
  <c r="CK23" i="6"/>
  <c r="CL23" i="6" s="1"/>
  <c r="CT23" i="6"/>
  <c r="CU23" i="6" s="1"/>
  <c r="BP23" i="6"/>
  <c r="BQ23" i="6" s="1"/>
  <c r="CY23" i="6"/>
  <c r="CZ23" i="6" s="1"/>
  <c r="DF23" i="6"/>
  <c r="CW23" i="6"/>
  <c r="CR23" i="6"/>
  <c r="CN23" i="6"/>
  <c r="CI23" i="6"/>
  <c r="CC23" i="6"/>
  <c r="BZ23" i="6"/>
  <c r="BV23" i="6"/>
  <c r="BR23" i="6"/>
  <c r="BN23" i="6"/>
  <c r="BI23" i="6"/>
  <c r="AR23" i="6"/>
  <c r="CW22" i="6"/>
  <c r="CR22" i="6"/>
  <c r="CN22" i="6"/>
  <c r="CI22" i="6"/>
  <c r="CC22" i="6"/>
  <c r="BV22" i="6"/>
  <c r="BR22" i="6"/>
  <c r="BN22" i="6"/>
  <c r="BI22" i="6"/>
  <c r="AR22" i="6"/>
  <c r="Y22" i="6"/>
  <c r="CW21" i="6"/>
  <c r="CR21" i="6"/>
  <c r="CN21" i="6"/>
  <c r="CI21" i="6"/>
  <c r="CC21" i="6"/>
  <c r="BV21" i="6"/>
  <c r="BR21" i="6"/>
  <c r="BN21" i="6"/>
  <c r="BI21" i="6"/>
  <c r="AR21" i="6"/>
  <c r="Y21" i="6"/>
  <c r="CW20" i="6"/>
  <c r="CR20" i="6"/>
  <c r="CN20" i="6"/>
  <c r="CI20" i="6"/>
  <c r="CC20" i="6"/>
  <c r="BV20" i="6"/>
  <c r="BR20" i="6"/>
  <c r="BN20" i="6"/>
  <c r="BI20" i="6"/>
  <c r="AR20" i="6"/>
  <c r="CW19" i="6"/>
  <c r="CR19" i="6"/>
  <c r="CN19" i="6"/>
  <c r="CI19" i="6"/>
  <c r="CC19" i="6"/>
  <c r="BV19" i="6"/>
  <c r="BR19" i="6"/>
  <c r="BN19" i="6"/>
  <c r="BI19" i="6"/>
  <c r="AR19" i="6"/>
  <c r="CW18" i="6"/>
  <c r="CR18" i="6"/>
  <c r="CN18" i="6"/>
  <c r="CI18" i="6"/>
  <c r="CC18" i="6"/>
  <c r="BV18" i="6"/>
  <c r="BR18" i="6"/>
  <c r="BN18" i="6"/>
  <c r="BI18" i="6"/>
  <c r="AR18" i="6"/>
  <c r="DJ17" i="6"/>
  <c r="DI17" i="6"/>
  <c r="BK17" i="6"/>
  <c r="BL17" i="6" s="1"/>
  <c r="CE17" i="6"/>
  <c r="CF17" i="6" s="1"/>
  <c r="CK17" i="6"/>
  <c r="CL17" i="6" s="1"/>
  <c r="CT17" i="6"/>
  <c r="CU17" i="6" s="1"/>
  <c r="BP17" i="6"/>
  <c r="BQ17" i="6" s="1"/>
  <c r="CY17" i="6"/>
  <c r="CZ17" i="6" s="1"/>
  <c r="DF17" i="6"/>
  <c r="CW17" i="6"/>
  <c r="CR17" i="6"/>
  <c r="CN17" i="6"/>
  <c r="CI17" i="6"/>
  <c r="CC17" i="6"/>
  <c r="BZ17" i="6"/>
  <c r="BV17" i="6"/>
  <c r="BR17" i="6"/>
  <c r="BN17" i="6"/>
  <c r="BI17" i="6"/>
  <c r="AR17" i="6"/>
  <c r="CW16" i="6"/>
  <c r="CR16" i="6"/>
  <c r="CN16" i="6"/>
  <c r="CI16" i="6"/>
  <c r="CC16" i="6"/>
  <c r="BV16" i="6"/>
  <c r="BR16" i="6"/>
  <c r="BN16" i="6"/>
  <c r="BI16" i="6"/>
  <c r="AR16" i="6"/>
  <c r="Y16" i="6"/>
  <c r="CW15" i="6"/>
  <c r="CR15" i="6"/>
  <c r="CN15" i="6"/>
  <c r="CI15" i="6"/>
  <c r="CC15" i="6"/>
  <c r="BV15" i="6"/>
  <c r="BR15" i="6"/>
  <c r="BN15" i="6"/>
  <c r="BI15" i="6"/>
  <c r="AR15" i="6"/>
  <c r="CW14" i="6"/>
  <c r="CR14" i="6"/>
  <c r="CN14" i="6"/>
  <c r="CI14" i="6"/>
  <c r="CC14" i="6"/>
  <c r="BV14" i="6"/>
  <c r="BR14" i="6"/>
  <c r="BN14" i="6"/>
  <c r="BI14" i="6"/>
  <c r="AR14" i="6"/>
  <c r="DJ13" i="6"/>
  <c r="DI13" i="6"/>
  <c r="BK13" i="6"/>
  <c r="BL13" i="6" s="1"/>
  <c r="CE13" i="6"/>
  <c r="CF13" i="6" s="1"/>
  <c r="CK13" i="6"/>
  <c r="CL13" i="6" s="1"/>
  <c r="CT13" i="6"/>
  <c r="CU13" i="6"/>
  <c r="BP13" i="6"/>
  <c r="BQ13" i="6" s="1"/>
  <c r="CY13" i="6"/>
  <c r="CZ13" i="6" s="1"/>
  <c r="DF13" i="6"/>
  <c r="CW13" i="6"/>
  <c r="CR13" i="6"/>
  <c r="CN13" i="6"/>
  <c r="CI13" i="6"/>
  <c r="CC13" i="6"/>
  <c r="BZ13" i="6"/>
  <c r="BV13" i="6"/>
  <c r="BR13" i="6"/>
  <c r="BN13" i="6"/>
  <c r="BI13" i="6"/>
  <c r="AR13" i="6"/>
  <c r="Y13" i="6"/>
  <c r="CW12" i="6"/>
  <c r="CR12" i="6"/>
  <c r="CN12" i="6"/>
  <c r="CI12" i="6"/>
  <c r="CC12" i="6"/>
  <c r="BV12" i="6"/>
  <c r="BR12" i="6"/>
  <c r="BN12" i="6"/>
  <c r="BI12" i="6"/>
  <c r="AR12" i="6"/>
  <c r="CW11" i="6"/>
  <c r="CR11" i="6"/>
  <c r="CN11" i="6"/>
  <c r="CI11" i="6"/>
  <c r="CC11" i="6"/>
  <c r="BV11" i="6"/>
  <c r="BR11" i="6"/>
  <c r="BN11" i="6"/>
  <c r="BI11" i="6"/>
  <c r="AR11" i="6"/>
  <c r="CW10" i="6"/>
  <c r="CR10" i="6"/>
  <c r="CN10" i="6"/>
  <c r="CI10" i="6"/>
  <c r="CC10" i="6"/>
  <c r="BV10" i="6"/>
  <c r="BR10" i="6"/>
  <c r="BN10" i="6"/>
  <c r="BI10" i="6"/>
  <c r="AR10" i="6"/>
  <c r="DJ9" i="6"/>
  <c r="DI9" i="6"/>
  <c r="BK9" i="6"/>
  <c r="BL9" i="6" s="1"/>
  <c r="CE9" i="6"/>
  <c r="CF9" i="6"/>
  <c r="CK9" i="6"/>
  <c r="CL9" i="6" s="1"/>
  <c r="CT9" i="6"/>
  <c r="CU9" i="6" s="1"/>
  <c r="BP9" i="6"/>
  <c r="BQ9" i="6" s="1"/>
  <c r="CY9" i="6"/>
  <c r="CZ9" i="6" s="1"/>
  <c r="DF9" i="6"/>
  <c r="CW9" i="6"/>
  <c r="CR9" i="6"/>
  <c r="CN9" i="6"/>
  <c r="CI9" i="6"/>
  <c r="CC9" i="6"/>
  <c r="BZ9" i="6"/>
  <c r="BV9" i="6"/>
  <c r="BR9" i="6"/>
  <c r="BN9" i="6"/>
  <c r="BI9" i="6"/>
  <c r="AR9" i="6"/>
  <c r="Y9" i="6"/>
  <c r="CW8" i="6"/>
  <c r="CR8" i="6"/>
  <c r="CN8" i="6"/>
  <c r="CI8" i="6"/>
  <c r="CC8" i="6"/>
  <c r="BV8" i="6"/>
  <c r="BR8" i="6"/>
  <c r="BN8" i="6"/>
  <c r="BI8" i="6"/>
  <c r="AR8" i="6"/>
  <c r="CW7" i="6"/>
  <c r="CR7" i="6"/>
  <c r="CN7" i="6"/>
  <c r="CI7" i="6"/>
  <c r="CC7" i="6"/>
  <c r="BV7" i="6"/>
  <c r="BR7" i="6"/>
  <c r="BN7" i="6"/>
  <c r="BI7" i="6"/>
  <c r="AR7" i="6"/>
  <c r="CW6" i="6"/>
  <c r="CR6" i="6"/>
  <c r="CN6" i="6"/>
  <c r="CI6" i="6"/>
  <c r="CC6" i="6"/>
  <c r="BV6" i="6"/>
  <c r="BR6" i="6"/>
  <c r="BN6" i="6"/>
  <c r="BI6" i="6"/>
  <c r="AR6" i="6"/>
  <c r="CW5" i="6"/>
  <c r="CR5" i="6"/>
  <c r="CN5" i="6"/>
  <c r="CI5" i="6"/>
  <c r="CC5" i="6"/>
  <c r="BV5" i="6"/>
  <c r="BR5" i="6"/>
  <c r="BN5" i="6"/>
  <c r="BI5" i="6"/>
  <c r="AR5" i="6"/>
  <c r="CW4" i="6"/>
  <c r="CR4" i="6"/>
  <c r="CN4" i="6"/>
  <c r="CI4" i="6"/>
  <c r="CC4" i="6"/>
  <c r="BV4" i="6"/>
  <c r="BR4" i="6"/>
  <c r="BN4" i="6"/>
  <c r="BI4" i="6"/>
  <c r="AR4" i="6"/>
  <c r="GN44" i="5"/>
  <c r="GH44" i="5"/>
  <c r="FY44" i="5"/>
  <c r="FP44" i="5"/>
  <c r="EZ44" i="5"/>
  <c r="EQ44" i="5"/>
  <c r="EH44" i="5"/>
  <c r="DY44" i="5"/>
  <c r="DP44" i="5"/>
  <c r="DG44" i="5"/>
  <c r="CX44" i="5"/>
  <c r="CO44" i="5"/>
  <c r="CF44" i="5"/>
  <c r="BW44" i="5"/>
  <c r="BN44" i="5"/>
  <c r="BJ44" i="5"/>
  <c r="AT44" i="5"/>
  <c r="AT45" i="5" s="1"/>
  <c r="AT46" i="5" s="1"/>
  <c r="AT47" i="5" s="1"/>
  <c r="GN43" i="5"/>
  <c r="GH43" i="5"/>
  <c r="FY43" i="5"/>
  <c r="FP43" i="5"/>
  <c r="EZ43" i="5"/>
  <c r="EQ43" i="5"/>
  <c r="EH43" i="5"/>
  <c r="DY43" i="5"/>
  <c r="DP43" i="5"/>
  <c r="DG43" i="5"/>
  <c r="CX43" i="5"/>
  <c r="CO43" i="5"/>
  <c r="CF43" i="5"/>
  <c r="BW43" i="5"/>
  <c r="BN43" i="5"/>
  <c r="BJ43" i="5"/>
  <c r="AT43" i="5"/>
  <c r="GN42" i="5"/>
  <c r="GH42" i="5"/>
  <c r="FY42" i="5"/>
  <c r="FP42" i="5"/>
  <c r="EZ42" i="5"/>
  <c r="EQ42" i="5"/>
  <c r="EH42" i="5"/>
  <c r="DY42" i="5"/>
  <c r="DP42" i="5"/>
  <c r="DG42" i="5"/>
  <c r="CX42" i="5"/>
  <c r="CO42" i="5"/>
  <c r="CF42" i="5"/>
  <c r="BW42" i="5"/>
  <c r="BN42" i="5"/>
  <c r="BJ42" i="5"/>
  <c r="AT42" i="5"/>
  <c r="GN41" i="5"/>
  <c r="GH41" i="5"/>
  <c r="FY41" i="5"/>
  <c r="FP41" i="5"/>
  <c r="EZ41" i="5"/>
  <c r="EQ41" i="5"/>
  <c r="EH41" i="5"/>
  <c r="DY41" i="5"/>
  <c r="DP41" i="5"/>
  <c r="DG41" i="5"/>
  <c r="CX41" i="5"/>
  <c r="CO41" i="5"/>
  <c r="CF41" i="5"/>
  <c r="BW41" i="5"/>
  <c r="BN41" i="5"/>
  <c r="BJ41" i="5"/>
  <c r="AT41" i="5"/>
  <c r="GN40" i="5"/>
  <c r="GH40" i="5"/>
  <c r="FY40" i="5"/>
  <c r="FP40" i="5"/>
  <c r="EZ40" i="5"/>
  <c r="EQ40" i="5"/>
  <c r="EH40" i="5"/>
  <c r="DY40" i="5"/>
  <c r="DP40" i="5"/>
  <c r="DG40" i="5"/>
  <c r="CX40" i="5"/>
  <c r="CO40" i="5"/>
  <c r="CF40" i="5"/>
  <c r="BW40" i="5"/>
  <c r="BN40" i="5"/>
  <c r="BJ40" i="5"/>
  <c r="AT40" i="5"/>
  <c r="GN39" i="5"/>
  <c r="GH39" i="5"/>
  <c r="FY39" i="5"/>
  <c r="FP39" i="5"/>
  <c r="EZ39" i="5"/>
  <c r="EQ39" i="5"/>
  <c r="EH39" i="5"/>
  <c r="DY39" i="5"/>
  <c r="DP39" i="5"/>
  <c r="DG39" i="5"/>
  <c r="CX39" i="5"/>
  <c r="CO39" i="5"/>
  <c r="CF39" i="5"/>
  <c r="BW39" i="5"/>
  <c r="BN39" i="5"/>
  <c r="BJ39" i="5"/>
  <c r="AT39" i="5"/>
  <c r="BL38" i="5"/>
  <c r="BM38" i="5" s="1"/>
  <c r="BQ38" i="5"/>
  <c r="ET38" i="5"/>
  <c r="EW38" i="5" s="1"/>
  <c r="FC38" i="5"/>
  <c r="FE38" i="5" s="1"/>
  <c r="BZ38" i="5"/>
  <c r="CB38" i="5" s="1"/>
  <c r="CI38" i="5"/>
  <c r="CR38" i="5"/>
  <c r="CU38" i="5" s="1"/>
  <c r="DA38" i="5"/>
  <c r="DC38" i="5" s="1"/>
  <c r="DJ38" i="5"/>
  <c r="DL38" i="5" s="1"/>
  <c r="DS38" i="5"/>
  <c r="EB38" i="5"/>
  <c r="EE38" i="5" s="1"/>
  <c r="EK38" i="5"/>
  <c r="EM38" i="5" s="1"/>
  <c r="GQ38" i="5"/>
  <c r="GJ38" i="5"/>
  <c r="GL38" i="5" s="1"/>
  <c r="GB38" i="5"/>
  <c r="GE38" i="5" s="1"/>
  <c r="FS38" i="5"/>
  <c r="FV38" i="5" s="1"/>
  <c r="BR38" i="5"/>
  <c r="BU38" i="5" s="1"/>
  <c r="CA38" i="5"/>
  <c r="CD38" i="5" s="1"/>
  <c r="CJ38" i="5"/>
  <c r="CM38" i="5" s="1"/>
  <c r="CS38" i="5"/>
  <c r="CV38" i="5" s="1"/>
  <c r="DB38" i="5"/>
  <c r="DE38" i="5" s="1"/>
  <c r="DK38" i="5"/>
  <c r="DN38" i="5" s="1"/>
  <c r="DT38" i="5"/>
  <c r="DW38" i="5" s="1"/>
  <c r="EC38" i="5"/>
  <c r="EF38" i="5" s="1"/>
  <c r="EL38" i="5"/>
  <c r="EO38" i="5" s="1"/>
  <c r="EU38" i="5"/>
  <c r="EX38" i="5" s="1"/>
  <c r="FD38" i="5"/>
  <c r="FG38" i="5" s="1"/>
  <c r="FT38" i="5"/>
  <c r="FW38" i="5" s="1"/>
  <c r="GC38" i="5"/>
  <c r="GF38" i="5" s="1"/>
  <c r="GR38" i="5"/>
  <c r="GU38" i="5" s="1"/>
  <c r="GN38" i="5"/>
  <c r="GH38" i="5"/>
  <c r="FY38" i="5"/>
  <c r="FP38" i="5"/>
  <c r="EZ38" i="5"/>
  <c r="EQ38" i="5"/>
  <c r="EH38" i="5"/>
  <c r="DY38" i="5"/>
  <c r="DP38" i="5"/>
  <c r="DG38" i="5"/>
  <c r="CX38" i="5"/>
  <c r="CO38" i="5"/>
  <c r="CF38" i="5"/>
  <c r="BW38" i="5"/>
  <c r="BN38" i="5"/>
  <c r="BJ38" i="5"/>
  <c r="AT38" i="5"/>
  <c r="GN37" i="5"/>
  <c r="GH37" i="5"/>
  <c r="FY37" i="5"/>
  <c r="FP37" i="5"/>
  <c r="EZ37" i="5"/>
  <c r="EQ37" i="5"/>
  <c r="EH37" i="5"/>
  <c r="DY37" i="5"/>
  <c r="DP37" i="5"/>
  <c r="DG37" i="5"/>
  <c r="CX37" i="5"/>
  <c r="CO37" i="5"/>
  <c r="CF37" i="5"/>
  <c r="BW37" i="5"/>
  <c r="BN37" i="5"/>
  <c r="BJ37" i="5"/>
  <c r="AT37" i="5"/>
  <c r="GN36" i="5"/>
  <c r="GH36" i="5"/>
  <c r="FY36" i="5"/>
  <c r="FP36" i="5"/>
  <c r="EZ36" i="5"/>
  <c r="EQ36" i="5"/>
  <c r="EH36" i="5"/>
  <c r="DY36" i="5"/>
  <c r="DP36" i="5"/>
  <c r="DG36" i="5"/>
  <c r="CX36" i="5"/>
  <c r="CO36" i="5"/>
  <c r="CF36" i="5"/>
  <c r="BW36" i="5"/>
  <c r="BN36" i="5"/>
  <c r="BJ36" i="5"/>
  <c r="AT36" i="5"/>
  <c r="GN35" i="5"/>
  <c r="GH35" i="5"/>
  <c r="FY35" i="5"/>
  <c r="FP35" i="5"/>
  <c r="EZ35" i="5"/>
  <c r="EQ35" i="5"/>
  <c r="EH35" i="5"/>
  <c r="DY35" i="5"/>
  <c r="DP35" i="5"/>
  <c r="DG35" i="5"/>
  <c r="CX35" i="5"/>
  <c r="CO35" i="5"/>
  <c r="CF35" i="5"/>
  <c r="BW35" i="5"/>
  <c r="BN35" i="5"/>
  <c r="BJ35" i="5"/>
  <c r="AT35" i="5"/>
  <c r="GN34" i="5"/>
  <c r="GH34" i="5"/>
  <c r="FY34" i="5"/>
  <c r="FP34" i="5"/>
  <c r="EZ34" i="5"/>
  <c r="EQ34" i="5"/>
  <c r="EH34" i="5"/>
  <c r="DY34" i="5"/>
  <c r="DP34" i="5"/>
  <c r="DG34" i="5"/>
  <c r="CX34" i="5"/>
  <c r="CO34" i="5"/>
  <c r="CF34" i="5"/>
  <c r="BW34" i="5"/>
  <c r="BN34" i="5"/>
  <c r="BJ34" i="5"/>
  <c r="AT34" i="5"/>
  <c r="BL33" i="5"/>
  <c r="BM33" i="5" s="1"/>
  <c r="BQ33" i="5"/>
  <c r="ET33" i="5"/>
  <c r="EV33" i="5" s="1"/>
  <c r="FC33" i="5"/>
  <c r="FE33" i="5" s="1"/>
  <c r="BZ33" i="5"/>
  <c r="CB33" i="5" s="1"/>
  <c r="CI33" i="5"/>
  <c r="CK33" i="5" s="1"/>
  <c r="CR33" i="5"/>
  <c r="CT33" i="5" s="1"/>
  <c r="DA33" i="5"/>
  <c r="DC33" i="5" s="1"/>
  <c r="DJ33" i="5"/>
  <c r="DL33" i="5" s="1"/>
  <c r="DS33" i="5"/>
  <c r="DU33" i="5" s="1"/>
  <c r="EB33" i="5"/>
  <c r="ED33" i="5" s="1"/>
  <c r="EK33" i="5"/>
  <c r="EM33" i="5" s="1"/>
  <c r="GQ33" i="5"/>
  <c r="GJ33" i="5"/>
  <c r="GL33" i="5" s="1"/>
  <c r="GB33" i="5"/>
  <c r="GD33" i="5" s="1"/>
  <c r="FS33" i="5"/>
  <c r="FU33" i="5" s="1"/>
  <c r="BR33" i="5"/>
  <c r="BU33" i="5" s="1"/>
  <c r="CA33" i="5"/>
  <c r="CD33" i="5" s="1"/>
  <c r="CJ33" i="5"/>
  <c r="CM33" i="5" s="1"/>
  <c r="CS33" i="5"/>
  <c r="CV33" i="5" s="1"/>
  <c r="DB33" i="5"/>
  <c r="DE33" i="5" s="1"/>
  <c r="DK33" i="5"/>
  <c r="DN33" i="5" s="1"/>
  <c r="DT33" i="5"/>
  <c r="DW33" i="5" s="1"/>
  <c r="EC33" i="5"/>
  <c r="EF33" i="5" s="1"/>
  <c r="EL33" i="5"/>
  <c r="EO33" i="5" s="1"/>
  <c r="EU33" i="5"/>
  <c r="EX33" i="5" s="1"/>
  <c r="FD33" i="5"/>
  <c r="FG33" i="5" s="1"/>
  <c r="FT33" i="5"/>
  <c r="FW33" i="5" s="1"/>
  <c r="GC33" i="5"/>
  <c r="GF33" i="5" s="1"/>
  <c r="GR33" i="5"/>
  <c r="GU33" i="5" s="1"/>
  <c r="GN33" i="5"/>
  <c r="GH33" i="5"/>
  <c r="FY33" i="5"/>
  <c r="FP33" i="5"/>
  <c r="EZ33" i="5"/>
  <c r="EQ33" i="5"/>
  <c r="EH33" i="5"/>
  <c r="DY33" i="5"/>
  <c r="DP33" i="5"/>
  <c r="DG33" i="5"/>
  <c r="CX33" i="5"/>
  <c r="CO33" i="5"/>
  <c r="CF33" i="5"/>
  <c r="BW33" i="5"/>
  <c r="BN33" i="5"/>
  <c r="BJ33" i="5"/>
  <c r="AT33" i="5"/>
  <c r="GN32" i="5"/>
  <c r="GH32" i="5"/>
  <c r="FY32" i="5"/>
  <c r="FP32" i="5"/>
  <c r="EZ32" i="5"/>
  <c r="EQ32" i="5"/>
  <c r="EH32" i="5"/>
  <c r="DY32" i="5"/>
  <c r="DP32" i="5"/>
  <c r="DG32" i="5"/>
  <c r="CX32" i="5"/>
  <c r="CO32" i="5"/>
  <c r="CF32" i="5"/>
  <c r="BW32" i="5"/>
  <c r="BN32" i="5"/>
  <c r="BJ32" i="5"/>
  <c r="AT32" i="5"/>
  <c r="GN31" i="5"/>
  <c r="GH31" i="5"/>
  <c r="FY31" i="5"/>
  <c r="FP31" i="5"/>
  <c r="EZ31" i="5"/>
  <c r="EQ31" i="5"/>
  <c r="EH31" i="5"/>
  <c r="DY31" i="5"/>
  <c r="DP31" i="5"/>
  <c r="DG31" i="5"/>
  <c r="CX31" i="5"/>
  <c r="CO31" i="5"/>
  <c r="CF31" i="5"/>
  <c r="BW31" i="5"/>
  <c r="BN31" i="5"/>
  <c r="BJ31" i="5"/>
  <c r="AT31" i="5"/>
  <c r="GN30" i="5"/>
  <c r="GH30" i="5"/>
  <c r="FY30" i="5"/>
  <c r="FP30" i="5"/>
  <c r="EZ30" i="5"/>
  <c r="EQ30" i="5"/>
  <c r="EH30" i="5"/>
  <c r="DY30" i="5"/>
  <c r="DP30" i="5"/>
  <c r="DG30" i="5"/>
  <c r="CX30" i="5"/>
  <c r="CO30" i="5"/>
  <c r="CF30" i="5"/>
  <c r="BW30" i="5"/>
  <c r="BN30" i="5"/>
  <c r="BJ30" i="5"/>
  <c r="AT30" i="5"/>
  <c r="GN29" i="5"/>
  <c r="GH29" i="5"/>
  <c r="FY29" i="5"/>
  <c r="FP29" i="5"/>
  <c r="EZ29" i="5"/>
  <c r="EQ29" i="5"/>
  <c r="EH29" i="5"/>
  <c r="DY29" i="5"/>
  <c r="DP29" i="5"/>
  <c r="DG29" i="5"/>
  <c r="CX29" i="5"/>
  <c r="CO29" i="5"/>
  <c r="CF29" i="5"/>
  <c r="BW29" i="5"/>
  <c r="BN29" i="5"/>
  <c r="BJ29" i="5"/>
  <c r="AT29" i="5"/>
  <c r="BL28" i="5"/>
  <c r="BQ28" i="5"/>
  <c r="BS28" i="5" s="1"/>
  <c r="ET28" i="5"/>
  <c r="FC28" i="5"/>
  <c r="FF28" i="5" s="1"/>
  <c r="BZ28" i="5"/>
  <c r="CB28" i="5" s="1"/>
  <c r="CI28" i="5"/>
  <c r="CK28" i="5" s="1"/>
  <c r="CR28" i="5"/>
  <c r="DA28" i="5"/>
  <c r="DD28" i="5" s="1"/>
  <c r="DJ28" i="5"/>
  <c r="DL28" i="5" s="1"/>
  <c r="DS28" i="5"/>
  <c r="DU28" i="5" s="1"/>
  <c r="EB28" i="5"/>
  <c r="EK28" i="5"/>
  <c r="EN28" i="5" s="1"/>
  <c r="GQ28" i="5"/>
  <c r="GS28" i="5" s="1"/>
  <c r="GK28" i="5"/>
  <c r="GL28" i="5"/>
  <c r="GB28" i="5"/>
  <c r="GD28" i="5" s="1"/>
  <c r="FS28" i="5"/>
  <c r="FV28" i="5" s="1"/>
  <c r="BR28" i="5"/>
  <c r="BU28" i="5" s="1"/>
  <c r="CA28" i="5"/>
  <c r="CD28" i="5" s="1"/>
  <c r="CJ28" i="5"/>
  <c r="CM28" i="5" s="1"/>
  <c r="CS28" i="5"/>
  <c r="CV28" i="5" s="1"/>
  <c r="DB28" i="5"/>
  <c r="DE28" i="5" s="1"/>
  <c r="DK28" i="5"/>
  <c r="DN28" i="5" s="1"/>
  <c r="DT28" i="5"/>
  <c r="DW28" i="5" s="1"/>
  <c r="EC28" i="5"/>
  <c r="EF28" i="5" s="1"/>
  <c r="EL28" i="5"/>
  <c r="EO28" i="5" s="1"/>
  <c r="EU28" i="5"/>
  <c r="EX28" i="5" s="1"/>
  <c r="FD28" i="5"/>
  <c r="FG28" i="5" s="1"/>
  <c r="FT28" i="5"/>
  <c r="FW28" i="5" s="1"/>
  <c r="GC28" i="5"/>
  <c r="GF28" i="5" s="1"/>
  <c r="GR28" i="5"/>
  <c r="GU28" i="5" s="1"/>
  <c r="GN28" i="5"/>
  <c r="GH28" i="5"/>
  <c r="FY28" i="5"/>
  <c r="FP28" i="5"/>
  <c r="EZ28" i="5"/>
  <c r="EQ28" i="5"/>
  <c r="EH28" i="5"/>
  <c r="DY28" i="5"/>
  <c r="DP28" i="5"/>
  <c r="DG28" i="5"/>
  <c r="CX28" i="5"/>
  <c r="CO28" i="5"/>
  <c r="CF28" i="5"/>
  <c r="BW28" i="5"/>
  <c r="BN28" i="5"/>
  <c r="BJ28" i="5"/>
  <c r="AT28" i="5"/>
  <c r="GN27" i="5"/>
  <c r="GH27" i="5"/>
  <c r="FY27" i="5"/>
  <c r="FP27" i="5"/>
  <c r="EZ27" i="5"/>
  <c r="EQ27" i="5"/>
  <c r="EH27" i="5"/>
  <c r="DY27" i="5"/>
  <c r="DP27" i="5"/>
  <c r="DG27" i="5"/>
  <c r="CX27" i="5"/>
  <c r="CO27" i="5"/>
  <c r="CF27" i="5"/>
  <c r="BW27" i="5"/>
  <c r="BN27" i="5"/>
  <c r="BJ27" i="5"/>
  <c r="AT27" i="5"/>
  <c r="GN26" i="5"/>
  <c r="GH26" i="5"/>
  <c r="FY26" i="5"/>
  <c r="FP26" i="5"/>
  <c r="EZ26" i="5"/>
  <c r="EQ26" i="5"/>
  <c r="EH26" i="5"/>
  <c r="DY26" i="5"/>
  <c r="DP26" i="5"/>
  <c r="DG26" i="5"/>
  <c r="CX26" i="5"/>
  <c r="CO26" i="5"/>
  <c r="CF26" i="5"/>
  <c r="BW26" i="5"/>
  <c r="BN26" i="5"/>
  <c r="BJ26" i="5"/>
  <c r="AT26" i="5"/>
  <c r="GN25" i="5"/>
  <c r="GH25" i="5"/>
  <c r="FY25" i="5"/>
  <c r="FP25" i="5"/>
  <c r="EZ25" i="5"/>
  <c r="EQ25" i="5"/>
  <c r="EH25" i="5"/>
  <c r="DY25" i="5"/>
  <c r="DP25" i="5"/>
  <c r="DG25" i="5"/>
  <c r="CX25" i="5"/>
  <c r="CO25" i="5"/>
  <c r="CF25" i="5"/>
  <c r="BW25" i="5"/>
  <c r="BN25" i="5"/>
  <c r="BJ25" i="5"/>
  <c r="AT25" i="5"/>
  <c r="HI24" i="5"/>
  <c r="HH24" i="5"/>
  <c r="HG24" i="5"/>
  <c r="GN24" i="5"/>
  <c r="GH24" i="5"/>
  <c r="FY24" i="5"/>
  <c r="FP24" i="5"/>
  <c r="EZ24" i="5"/>
  <c r="EQ24" i="5"/>
  <c r="EH24" i="5"/>
  <c r="DY24" i="5"/>
  <c r="DP24" i="5"/>
  <c r="DG24" i="5"/>
  <c r="CX24" i="5"/>
  <c r="CO24" i="5"/>
  <c r="CF24" i="5"/>
  <c r="BW24" i="5"/>
  <c r="BN24" i="5"/>
  <c r="BJ24" i="5"/>
  <c r="AT24" i="5"/>
  <c r="BL23" i="5"/>
  <c r="BM23" i="5" s="1"/>
  <c r="BQ23" i="5"/>
  <c r="BS23" i="5" s="1"/>
  <c r="ET23" i="5"/>
  <c r="FC23" i="5"/>
  <c r="FE23" i="5" s="1"/>
  <c r="BZ23" i="5"/>
  <c r="CI23" i="5"/>
  <c r="CK23" i="5" s="1"/>
  <c r="CR23" i="5"/>
  <c r="DA23" i="5"/>
  <c r="DC23" i="5" s="1"/>
  <c r="DJ23" i="5"/>
  <c r="DS23" i="5"/>
  <c r="DU23" i="5" s="1"/>
  <c r="EB23" i="5"/>
  <c r="EK23" i="5"/>
  <c r="EM23" i="5" s="1"/>
  <c r="GQ23" i="5"/>
  <c r="GJ23" i="5"/>
  <c r="GL23" i="5" s="1"/>
  <c r="GB23" i="5"/>
  <c r="FS23" i="5"/>
  <c r="FU23" i="5" s="1"/>
  <c r="BR23" i="5"/>
  <c r="BU23" i="5" s="1"/>
  <c r="CA23" i="5"/>
  <c r="CD23" i="5" s="1"/>
  <c r="CJ23" i="5"/>
  <c r="CM23" i="5" s="1"/>
  <c r="CS23" i="5"/>
  <c r="CV23" i="5" s="1"/>
  <c r="DB23" i="5"/>
  <c r="DE23" i="5" s="1"/>
  <c r="DK23" i="5"/>
  <c r="DN23" i="5" s="1"/>
  <c r="DT23" i="5"/>
  <c r="DW23" i="5" s="1"/>
  <c r="EC23" i="5"/>
  <c r="EF23" i="5" s="1"/>
  <c r="EL23" i="5"/>
  <c r="EO23" i="5" s="1"/>
  <c r="EU23" i="5"/>
  <c r="EX23" i="5" s="1"/>
  <c r="FD23" i="5"/>
  <c r="FG23" i="5" s="1"/>
  <c r="FT23" i="5"/>
  <c r="FW23" i="5" s="1"/>
  <c r="GC23" i="5"/>
  <c r="GF23" i="5" s="1"/>
  <c r="GR23" i="5"/>
  <c r="GU23" i="5" s="1"/>
  <c r="GN23" i="5"/>
  <c r="GH23" i="5"/>
  <c r="FY23" i="5"/>
  <c r="FP23" i="5"/>
  <c r="EZ23" i="5"/>
  <c r="EQ23" i="5"/>
  <c r="EH23" i="5"/>
  <c r="DY23" i="5"/>
  <c r="DP23" i="5"/>
  <c r="DG23" i="5"/>
  <c r="CX23" i="5"/>
  <c r="CO23" i="5"/>
  <c r="CF23" i="5"/>
  <c r="BW23" i="5"/>
  <c r="BN23" i="5"/>
  <c r="BJ23" i="5"/>
  <c r="AT23" i="5"/>
  <c r="GN22" i="5"/>
  <c r="GH22" i="5"/>
  <c r="FY22" i="5"/>
  <c r="FP22" i="5"/>
  <c r="EZ22" i="5"/>
  <c r="EQ22" i="5"/>
  <c r="EH22" i="5"/>
  <c r="DY22" i="5"/>
  <c r="DP22" i="5"/>
  <c r="DG22" i="5"/>
  <c r="CX22" i="5"/>
  <c r="CO22" i="5"/>
  <c r="CF22" i="5"/>
  <c r="BW22" i="5"/>
  <c r="BN22" i="5"/>
  <c r="BJ22" i="5"/>
  <c r="AT22" i="5"/>
  <c r="GN21" i="5"/>
  <c r="GH21" i="5"/>
  <c r="FY21" i="5"/>
  <c r="FP21" i="5"/>
  <c r="EZ21" i="5"/>
  <c r="EQ21" i="5"/>
  <c r="EH21" i="5"/>
  <c r="DY21" i="5"/>
  <c r="DP21" i="5"/>
  <c r="DG21" i="5"/>
  <c r="CX21" i="5"/>
  <c r="CO21" i="5"/>
  <c r="CF21" i="5"/>
  <c r="BW21" i="5"/>
  <c r="BN21" i="5"/>
  <c r="BJ21" i="5"/>
  <c r="AT21" i="5"/>
  <c r="GN20" i="5"/>
  <c r="GH20" i="5"/>
  <c r="FY20" i="5"/>
  <c r="FP20" i="5"/>
  <c r="EZ20" i="5"/>
  <c r="EQ20" i="5"/>
  <c r="EH20" i="5"/>
  <c r="DY20" i="5"/>
  <c r="DP20" i="5"/>
  <c r="DG20" i="5"/>
  <c r="CX20" i="5"/>
  <c r="CO20" i="5"/>
  <c r="CF20" i="5"/>
  <c r="BW20" i="5"/>
  <c r="BN20" i="5"/>
  <c r="BJ20" i="5"/>
  <c r="AT20" i="5"/>
  <c r="GN19" i="5"/>
  <c r="GH19" i="5"/>
  <c r="FY19" i="5"/>
  <c r="FP19" i="5"/>
  <c r="EZ19" i="5"/>
  <c r="EQ19" i="5"/>
  <c r="EH19" i="5"/>
  <c r="DY19" i="5"/>
  <c r="DP19" i="5"/>
  <c r="DG19" i="5"/>
  <c r="CX19" i="5"/>
  <c r="CO19" i="5"/>
  <c r="CF19" i="5"/>
  <c r="BW19" i="5"/>
  <c r="BN19" i="5"/>
  <c r="BJ19" i="5"/>
  <c r="AT19" i="5"/>
  <c r="GN18" i="5"/>
  <c r="GH18" i="5"/>
  <c r="FY18" i="5"/>
  <c r="FP18" i="5"/>
  <c r="EZ18" i="5"/>
  <c r="EQ18" i="5"/>
  <c r="EH18" i="5"/>
  <c r="DY18" i="5"/>
  <c r="DP18" i="5"/>
  <c r="DG18" i="5"/>
  <c r="CX18" i="5"/>
  <c r="CO18" i="5"/>
  <c r="CF18" i="5"/>
  <c r="BW18" i="5"/>
  <c r="BN18" i="5"/>
  <c r="BJ18" i="5"/>
  <c r="AT18" i="5"/>
  <c r="BL17" i="5"/>
  <c r="BM17" i="5" s="1"/>
  <c r="BQ17" i="5"/>
  <c r="BS17" i="5" s="1"/>
  <c r="ET17" i="5"/>
  <c r="EV17" i="5" s="1"/>
  <c r="FC17" i="5"/>
  <c r="FE17" i="5" s="1"/>
  <c r="BZ17" i="5"/>
  <c r="CB17" i="5" s="1"/>
  <c r="CI17" i="5"/>
  <c r="CK17" i="5" s="1"/>
  <c r="CR17" i="5"/>
  <c r="CT17" i="5" s="1"/>
  <c r="DA17" i="5"/>
  <c r="DC17" i="5" s="1"/>
  <c r="DJ17" i="5"/>
  <c r="DL17" i="5" s="1"/>
  <c r="DS17" i="5"/>
  <c r="DU17" i="5" s="1"/>
  <c r="EB17" i="5"/>
  <c r="ED17" i="5" s="1"/>
  <c r="EK17" i="5"/>
  <c r="EM17" i="5" s="1"/>
  <c r="GQ17" i="5"/>
  <c r="GT17" i="5" s="1"/>
  <c r="GJ17" i="5"/>
  <c r="GK17" i="5" s="1"/>
  <c r="GB17" i="5"/>
  <c r="GE17" i="5" s="1"/>
  <c r="FS17" i="5"/>
  <c r="FU17" i="5" s="1"/>
  <c r="BR17" i="5"/>
  <c r="BU17" i="5" s="1"/>
  <c r="CA17" i="5"/>
  <c r="CD17" i="5" s="1"/>
  <c r="CJ17" i="5"/>
  <c r="CM17" i="5" s="1"/>
  <c r="CS17" i="5"/>
  <c r="CV17" i="5" s="1"/>
  <c r="DB17" i="5"/>
  <c r="DE17" i="5" s="1"/>
  <c r="DK17" i="5"/>
  <c r="DN17" i="5" s="1"/>
  <c r="DT17" i="5"/>
  <c r="DW17" i="5" s="1"/>
  <c r="EC17" i="5"/>
  <c r="EF17" i="5" s="1"/>
  <c r="EL17" i="5"/>
  <c r="EO17" i="5" s="1"/>
  <c r="EU17" i="5"/>
  <c r="EX17" i="5" s="1"/>
  <c r="FD17" i="5"/>
  <c r="FG17" i="5" s="1"/>
  <c r="FT17" i="5"/>
  <c r="FW17" i="5" s="1"/>
  <c r="GC17" i="5"/>
  <c r="GF17" i="5" s="1"/>
  <c r="GR17" i="5"/>
  <c r="GU17" i="5" s="1"/>
  <c r="GN17" i="5"/>
  <c r="GH17" i="5"/>
  <c r="FY17" i="5"/>
  <c r="FP17" i="5"/>
  <c r="EZ17" i="5"/>
  <c r="EQ17" i="5"/>
  <c r="EH17" i="5"/>
  <c r="DY17" i="5"/>
  <c r="DP17" i="5"/>
  <c r="DG17" i="5"/>
  <c r="CX17" i="5"/>
  <c r="CO17" i="5"/>
  <c r="CF17" i="5"/>
  <c r="BW17" i="5"/>
  <c r="BN17" i="5"/>
  <c r="BJ17" i="5"/>
  <c r="AT17" i="5"/>
  <c r="GN16" i="5"/>
  <c r="GH16" i="5"/>
  <c r="FY16" i="5"/>
  <c r="FP16" i="5"/>
  <c r="EZ16" i="5"/>
  <c r="EQ16" i="5"/>
  <c r="EH16" i="5"/>
  <c r="DY16" i="5"/>
  <c r="DP16" i="5"/>
  <c r="DG16" i="5"/>
  <c r="CX16" i="5"/>
  <c r="CO16" i="5"/>
  <c r="CF16" i="5"/>
  <c r="BW16" i="5"/>
  <c r="BN16" i="5"/>
  <c r="BJ16" i="5"/>
  <c r="AT16" i="5"/>
  <c r="GN15" i="5"/>
  <c r="GH15" i="5"/>
  <c r="FY15" i="5"/>
  <c r="FP15" i="5"/>
  <c r="EZ15" i="5"/>
  <c r="EQ15" i="5"/>
  <c r="EH15" i="5"/>
  <c r="DY15" i="5"/>
  <c r="DP15" i="5"/>
  <c r="DG15" i="5"/>
  <c r="CX15" i="5"/>
  <c r="CO15" i="5"/>
  <c r="CF15" i="5"/>
  <c r="BW15" i="5"/>
  <c r="BN15" i="5"/>
  <c r="BJ15" i="5"/>
  <c r="AT15" i="5"/>
  <c r="GN14" i="5"/>
  <c r="GH14" i="5"/>
  <c r="FY14" i="5"/>
  <c r="FP14" i="5"/>
  <c r="EZ14" i="5"/>
  <c r="EQ14" i="5"/>
  <c r="EH14" i="5"/>
  <c r="DY14" i="5"/>
  <c r="DP14" i="5"/>
  <c r="DG14" i="5"/>
  <c r="CX14" i="5"/>
  <c r="CO14" i="5"/>
  <c r="CF14" i="5"/>
  <c r="BW14" i="5"/>
  <c r="BN14" i="5"/>
  <c r="BJ14" i="5"/>
  <c r="AT14" i="5"/>
  <c r="BL13" i="5"/>
  <c r="BM13" i="5" s="1"/>
  <c r="BQ13" i="5"/>
  <c r="BS13" i="5" s="1"/>
  <c r="ET13" i="5"/>
  <c r="EV13" i="5" s="1"/>
  <c r="FC13" i="5"/>
  <c r="FE13" i="5" s="1"/>
  <c r="BZ13" i="5"/>
  <c r="CB13" i="5" s="1"/>
  <c r="CI13" i="5"/>
  <c r="CK13" i="5" s="1"/>
  <c r="CR13" i="5"/>
  <c r="CT13" i="5" s="1"/>
  <c r="DA13" i="5"/>
  <c r="DC13" i="5" s="1"/>
  <c r="DJ13" i="5"/>
  <c r="DL13" i="5" s="1"/>
  <c r="DS13" i="5"/>
  <c r="DU13" i="5" s="1"/>
  <c r="EB13" i="5"/>
  <c r="ED13" i="5" s="1"/>
  <c r="EK13" i="5"/>
  <c r="EM13" i="5" s="1"/>
  <c r="GQ13" i="5"/>
  <c r="GS13" i="5" s="1"/>
  <c r="GJ13" i="5"/>
  <c r="GL13" i="5" s="1"/>
  <c r="GB13" i="5"/>
  <c r="GD13" i="5" s="1"/>
  <c r="FS13" i="5"/>
  <c r="FU13" i="5" s="1"/>
  <c r="BR13" i="5"/>
  <c r="BU13" i="5" s="1"/>
  <c r="CA13" i="5"/>
  <c r="CD13" i="5" s="1"/>
  <c r="CJ13" i="5"/>
  <c r="CM13" i="5" s="1"/>
  <c r="CS13" i="5"/>
  <c r="CV13" i="5" s="1"/>
  <c r="DB13" i="5"/>
  <c r="DE13" i="5" s="1"/>
  <c r="DK13" i="5"/>
  <c r="DN13" i="5" s="1"/>
  <c r="DT13" i="5"/>
  <c r="DW13" i="5" s="1"/>
  <c r="EC13" i="5"/>
  <c r="EF13" i="5" s="1"/>
  <c r="EL13" i="5"/>
  <c r="EO13" i="5" s="1"/>
  <c r="EU13" i="5"/>
  <c r="EX13" i="5" s="1"/>
  <c r="FD13" i="5"/>
  <c r="FG13" i="5" s="1"/>
  <c r="FT13" i="5"/>
  <c r="FW13" i="5" s="1"/>
  <c r="GC13" i="5"/>
  <c r="GF13" i="5" s="1"/>
  <c r="GR13" i="5"/>
  <c r="GU13" i="5" s="1"/>
  <c r="GN13" i="5"/>
  <c r="GH13" i="5"/>
  <c r="FY13" i="5"/>
  <c r="FP13" i="5"/>
  <c r="EZ13" i="5"/>
  <c r="EQ13" i="5"/>
  <c r="EH13" i="5"/>
  <c r="DY13" i="5"/>
  <c r="DP13" i="5"/>
  <c r="DG13" i="5"/>
  <c r="CX13" i="5"/>
  <c r="CO13" i="5"/>
  <c r="CF13" i="5"/>
  <c r="BW13" i="5"/>
  <c r="BN13" i="5"/>
  <c r="BJ13" i="5"/>
  <c r="AT13" i="5"/>
  <c r="GN12" i="5"/>
  <c r="GH12" i="5"/>
  <c r="FY12" i="5"/>
  <c r="FP12" i="5"/>
  <c r="EZ12" i="5"/>
  <c r="EQ12" i="5"/>
  <c r="EH12" i="5"/>
  <c r="DY12" i="5"/>
  <c r="DP12" i="5"/>
  <c r="DG12" i="5"/>
  <c r="CX12" i="5"/>
  <c r="CO12" i="5"/>
  <c r="CF12" i="5"/>
  <c r="BW12" i="5"/>
  <c r="BN12" i="5"/>
  <c r="BJ12" i="5"/>
  <c r="AT12" i="5"/>
  <c r="GN11" i="5"/>
  <c r="GH11" i="5"/>
  <c r="FY11" i="5"/>
  <c r="FP11" i="5"/>
  <c r="EZ11" i="5"/>
  <c r="EQ11" i="5"/>
  <c r="EH11" i="5"/>
  <c r="DY11" i="5"/>
  <c r="DP11" i="5"/>
  <c r="DG11" i="5"/>
  <c r="CX11" i="5"/>
  <c r="CO11" i="5"/>
  <c r="CF11" i="5"/>
  <c r="BW11" i="5"/>
  <c r="BN11" i="5"/>
  <c r="BJ11" i="5"/>
  <c r="AT11" i="5"/>
  <c r="GN10" i="5"/>
  <c r="GH10" i="5"/>
  <c r="FY10" i="5"/>
  <c r="FP10" i="5"/>
  <c r="EZ10" i="5"/>
  <c r="EQ10" i="5"/>
  <c r="EH10" i="5"/>
  <c r="DY10" i="5"/>
  <c r="DP10" i="5"/>
  <c r="DG10" i="5"/>
  <c r="CX10" i="5"/>
  <c r="CO10" i="5"/>
  <c r="CF10" i="5"/>
  <c r="BW10" i="5"/>
  <c r="BN10" i="5"/>
  <c r="BJ10" i="5"/>
  <c r="AT10" i="5"/>
  <c r="BL9" i="5"/>
  <c r="BM9" i="5" s="1"/>
  <c r="BQ9" i="5"/>
  <c r="BT9" i="5" s="1"/>
  <c r="ET9" i="5"/>
  <c r="EW9" i="5" s="1"/>
  <c r="FC9" i="5"/>
  <c r="FF9" i="5" s="1"/>
  <c r="BZ9" i="5"/>
  <c r="CC9" i="5" s="1"/>
  <c r="CI9" i="5"/>
  <c r="CL9" i="5" s="1"/>
  <c r="CR9" i="5"/>
  <c r="CU9" i="5" s="1"/>
  <c r="DA9" i="5"/>
  <c r="DD9" i="5" s="1"/>
  <c r="DJ9" i="5"/>
  <c r="DM9" i="5" s="1"/>
  <c r="DS9" i="5"/>
  <c r="DV9" i="5" s="1"/>
  <c r="EB9" i="5"/>
  <c r="EE9" i="5" s="1"/>
  <c r="EK9" i="5"/>
  <c r="EN9" i="5" s="1"/>
  <c r="GQ9" i="5"/>
  <c r="GT9" i="5" s="1"/>
  <c r="GJ9" i="5"/>
  <c r="GK9" i="5" s="1"/>
  <c r="GB9" i="5"/>
  <c r="GE9" i="5" s="1"/>
  <c r="FS9" i="5"/>
  <c r="FV9" i="5" s="1"/>
  <c r="BR9" i="5"/>
  <c r="BU9" i="5" s="1"/>
  <c r="CA9" i="5"/>
  <c r="CD9" i="5" s="1"/>
  <c r="CJ9" i="5"/>
  <c r="CM9" i="5" s="1"/>
  <c r="CS9" i="5"/>
  <c r="CV9" i="5" s="1"/>
  <c r="DB9" i="5"/>
  <c r="DE9" i="5" s="1"/>
  <c r="DK9" i="5"/>
  <c r="DN9" i="5" s="1"/>
  <c r="DT9" i="5"/>
  <c r="DW9" i="5" s="1"/>
  <c r="EC9" i="5"/>
  <c r="EF9" i="5" s="1"/>
  <c r="EL9" i="5"/>
  <c r="EO9" i="5" s="1"/>
  <c r="EU9" i="5"/>
  <c r="EX9" i="5" s="1"/>
  <c r="FD9" i="5"/>
  <c r="FG9" i="5" s="1"/>
  <c r="FT9" i="5"/>
  <c r="FW9" i="5" s="1"/>
  <c r="GC9" i="5"/>
  <c r="GF9" i="5" s="1"/>
  <c r="GR9" i="5"/>
  <c r="GU9" i="5" s="1"/>
  <c r="GN9" i="5"/>
  <c r="GH9" i="5"/>
  <c r="FY9" i="5"/>
  <c r="FP9" i="5"/>
  <c r="EZ9" i="5"/>
  <c r="EQ9" i="5"/>
  <c r="EH9" i="5"/>
  <c r="DY9" i="5"/>
  <c r="DP9" i="5"/>
  <c r="DG9" i="5"/>
  <c r="CX9" i="5"/>
  <c r="CO9" i="5"/>
  <c r="CF9" i="5"/>
  <c r="BW9" i="5"/>
  <c r="BN9" i="5"/>
  <c r="BJ9" i="5"/>
  <c r="AT9" i="5"/>
  <c r="GN8" i="5"/>
  <c r="GH8" i="5"/>
  <c r="FY8" i="5"/>
  <c r="FP8" i="5"/>
  <c r="EZ8" i="5"/>
  <c r="EQ8" i="5"/>
  <c r="EH8" i="5"/>
  <c r="DY8" i="5"/>
  <c r="DP8" i="5"/>
  <c r="DG8" i="5"/>
  <c r="CX8" i="5"/>
  <c r="CO8" i="5"/>
  <c r="CF8" i="5"/>
  <c r="BW8" i="5"/>
  <c r="BN8" i="5"/>
  <c r="BJ8" i="5"/>
  <c r="AT8" i="5"/>
  <c r="GN7" i="5"/>
  <c r="GH7" i="5"/>
  <c r="FY7" i="5"/>
  <c r="FP7" i="5"/>
  <c r="EZ7" i="5"/>
  <c r="EQ7" i="5"/>
  <c r="EH7" i="5"/>
  <c r="DY7" i="5"/>
  <c r="DP7" i="5"/>
  <c r="DG7" i="5"/>
  <c r="CX7" i="5"/>
  <c r="CO7" i="5"/>
  <c r="CF7" i="5"/>
  <c r="BW7" i="5"/>
  <c r="BN7" i="5"/>
  <c r="BJ7" i="5"/>
  <c r="AT7" i="5"/>
  <c r="GN6" i="5"/>
  <c r="GH6" i="5"/>
  <c r="FY6" i="5"/>
  <c r="FP6" i="5"/>
  <c r="EZ6" i="5"/>
  <c r="EQ6" i="5"/>
  <c r="EH6" i="5"/>
  <c r="DY6" i="5"/>
  <c r="DP6" i="5"/>
  <c r="DG6" i="5"/>
  <c r="CX6" i="5"/>
  <c r="CO6" i="5"/>
  <c r="CF6" i="5"/>
  <c r="BW6" i="5"/>
  <c r="BN6" i="5"/>
  <c r="BJ6" i="5"/>
  <c r="AT6" i="5"/>
  <c r="GN5" i="5"/>
  <c r="GH5" i="5"/>
  <c r="FY5" i="5"/>
  <c r="FP5" i="5"/>
  <c r="EZ5" i="5"/>
  <c r="EQ5" i="5"/>
  <c r="EH5" i="5"/>
  <c r="DY5" i="5"/>
  <c r="DP5" i="5"/>
  <c r="DG5" i="5"/>
  <c r="CX5" i="5"/>
  <c r="CO5" i="5"/>
  <c r="CF5" i="5"/>
  <c r="BW5" i="5"/>
  <c r="BN5" i="5"/>
  <c r="BJ5" i="5"/>
  <c r="AT5" i="5"/>
  <c r="GN4" i="5"/>
  <c r="GH4" i="5"/>
  <c r="FY4" i="5"/>
  <c r="FP4" i="5"/>
  <c r="EZ4" i="5"/>
  <c r="EQ4" i="5"/>
  <c r="EH4" i="5"/>
  <c r="DY4" i="5"/>
  <c r="DP4" i="5"/>
  <c r="DG4" i="5"/>
  <c r="CX4" i="5"/>
  <c r="CO4" i="5"/>
  <c r="CF4" i="5"/>
  <c r="BW4" i="5"/>
  <c r="BN4" i="5"/>
  <c r="BJ4" i="5"/>
  <c r="AT4" i="5"/>
  <c r="G14" i="1"/>
  <c r="Y27" i="6" l="1"/>
  <c r="G30" i="1"/>
  <c r="G10" i="1"/>
  <c r="AZ51" i="6"/>
  <c r="AX49" i="3" s="1"/>
  <c r="Y11" i="6"/>
  <c r="Y30" i="6"/>
  <c r="Y33" i="6"/>
  <c r="AZ50" i="6"/>
  <c r="AX48" i="3" s="1"/>
  <c r="Y10" i="6"/>
  <c r="Y18" i="6"/>
  <c r="DC23" i="6"/>
  <c r="Y44" i="6"/>
  <c r="Y17" i="6"/>
  <c r="DC17" i="6"/>
  <c r="Y25" i="6"/>
  <c r="Y28" i="6"/>
  <c r="Y32" i="6"/>
  <c r="Y35" i="6"/>
  <c r="Y38" i="6"/>
  <c r="DC38" i="6"/>
  <c r="Y40" i="6"/>
  <c r="Y43" i="6"/>
  <c r="G27" i="1"/>
  <c r="G7" i="1"/>
  <c r="AZ36" i="6"/>
  <c r="AX34" i="3" s="1"/>
  <c r="AV49" i="3"/>
  <c r="G5" i="1"/>
  <c r="AP20" i="5"/>
  <c r="AP42" i="5"/>
  <c r="AP36" i="5"/>
  <c r="AP27" i="5"/>
  <c r="AP12" i="5"/>
  <c r="AP7" i="5"/>
  <c r="AP15" i="5"/>
  <c r="AO35" i="5"/>
  <c r="AP16" i="5"/>
  <c r="AP34" i="5"/>
  <c r="BD36" i="5"/>
  <c r="AO8" i="5"/>
  <c r="AP44" i="5"/>
  <c r="AP9" i="5"/>
  <c r="BD15" i="5"/>
  <c r="AP35" i="5"/>
  <c r="AP43" i="5"/>
  <c r="AP6" i="5"/>
  <c r="BD10" i="5"/>
  <c r="GM28" i="5"/>
  <c r="AP10" i="5"/>
  <c r="EM28" i="5"/>
  <c r="EP28" i="5" s="1"/>
  <c r="DM28" i="5"/>
  <c r="DO28" i="5" s="1"/>
  <c r="CC38" i="5"/>
  <c r="CE38" i="5" s="1"/>
  <c r="AP48" i="5"/>
  <c r="GL9" i="5"/>
  <c r="AP13" i="5"/>
  <c r="BD14" i="5"/>
  <c r="BD9" i="5"/>
  <c r="AP19" i="5"/>
  <c r="BD19" i="5"/>
  <c r="AP26" i="5"/>
  <c r="AP29" i="5"/>
  <c r="AP38" i="5"/>
  <c r="BD42" i="5"/>
  <c r="BD8" i="5"/>
  <c r="BD12" i="5"/>
  <c r="DM13" i="5"/>
  <c r="BD16" i="5"/>
  <c r="AP22" i="5"/>
  <c r="BD24" i="5"/>
  <c r="GE28" i="5"/>
  <c r="GG28" i="5" s="1"/>
  <c r="AP33" i="5"/>
  <c r="AP40" i="5"/>
  <c r="BD39" i="5"/>
  <c r="G2" i="1"/>
  <c r="Y5" i="6"/>
  <c r="Y6" i="6"/>
  <c r="GW9" i="5"/>
  <c r="BD31" i="5"/>
  <c r="BD7" i="5"/>
  <c r="CU13" i="5"/>
  <c r="CW13" i="5" s="1"/>
  <c r="AP14" i="5"/>
  <c r="BD17" i="5"/>
  <c r="BD23" i="5"/>
  <c r="AP25" i="5"/>
  <c r="BD25" i="5"/>
  <c r="AP31" i="5"/>
  <c r="AP41" i="5"/>
  <c r="Y12" i="6"/>
  <c r="DE23" i="6"/>
  <c r="Y39" i="6"/>
  <c r="AP28" i="5"/>
  <c r="GW28" i="5"/>
  <c r="AP32" i="5"/>
  <c r="BD33" i="5"/>
  <c r="DC9" i="6"/>
  <c r="DC33" i="6"/>
  <c r="AZ32" i="6"/>
  <c r="AX30" i="3" s="1"/>
  <c r="AZ28" i="6"/>
  <c r="AX26" i="3" s="1"/>
  <c r="AZ24" i="6"/>
  <c r="AX22" i="3" s="1"/>
  <c r="AZ20" i="6"/>
  <c r="AX18" i="3" s="1"/>
  <c r="AZ16" i="6"/>
  <c r="AX14" i="3" s="1"/>
  <c r="G15" i="1"/>
  <c r="G11" i="1"/>
  <c r="Y48" i="6"/>
  <c r="G18" i="1"/>
  <c r="G24" i="1"/>
  <c r="Z46" i="3"/>
  <c r="E45" i="1" s="1"/>
  <c r="F45" i="1" s="1"/>
  <c r="Y51" i="6"/>
  <c r="AX4" i="3"/>
  <c r="G17" i="1"/>
  <c r="AZ47" i="6"/>
  <c r="AX45" i="3" s="1"/>
  <c r="G8" i="1"/>
  <c r="AZ46" i="6"/>
  <c r="AX44" i="3" s="1"/>
  <c r="AX10" i="3"/>
  <c r="AX6" i="3"/>
  <c r="AZ44" i="6"/>
  <c r="AX42" i="3" s="1"/>
  <c r="AV4" i="3"/>
  <c r="I3" i="1" s="1"/>
  <c r="J3" i="1" s="1"/>
  <c r="AV45" i="3"/>
  <c r="I44" i="1" s="1"/>
  <c r="J44" i="1" s="1"/>
  <c r="AV34" i="3"/>
  <c r="Y14" i="6"/>
  <c r="I8" i="1"/>
  <c r="J8" i="1" s="1"/>
  <c r="G3" i="1"/>
  <c r="G37" i="1"/>
  <c r="G9" i="1"/>
  <c r="DC28" i="6"/>
  <c r="Y41" i="6"/>
  <c r="Y45" i="6"/>
  <c r="Y8" i="6"/>
  <c r="DC13" i="6"/>
  <c r="I24" i="1"/>
  <c r="J24" i="1" s="1"/>
  <c r="I28" i="1"/>
  <c r="J28" i="1" s="1"/>
  <c r="I12" i="1"/>
  <c r="J12" i="1" s="1"/>
  <c r="Y20" i="6"/>
  <c r="I42" i="1"/>
  <c r="J42" i="1" s="1"/>
  <c r="GT28" i="5"/>
  <c r="GV28" i="5" s="1"/>
  <c r="GT13" i="5"/>
  <c r="GV13" i="5" s="1"/>
  <c r="GL17" i="5"/>
  <c r="GM17" i="5" s="1"/>
  <c r="GK38" i="5"/>
  <c r="GM38" i="5" s="1"/>
  <c r="GE13" i="5"/>
  <c r="GG13" i="5" s="1"/>
  <c r="GY9" i="5"/>
  <c r="GY13" i="5"/>
  <c r="GD38" i="5"/>
  <c r="GG38" i="5" s="1"/>
  <c r="GY38" i="5"/>
  <c r="FU38" i="5"/>
  <c r="FX38" i="5" s="1"/>
  <c r="FU28" i="5"/>
  <c r="FX28" i="5" s="1"/>
  <c r="GW38" i="5"/>
  <c r="DU9" i="5"/>
  <c r="DX9" i="5" s="1"/>
  <c r="DV28" i="5"/>
  <c r="DX28" i="5" s="1"/>
  <c r="DM38" i="5"/>
  <c r="DO38" i="5" s="1"/>
  <c r="DC28" i="5"/>
  <c r="DF28" i="5" s="1"/>
  <c r="DD38" i="5"/>
  <c r="DF38" i="5" s="1"/>
  <c r="CT9" i="5"/>
  <c r="CW9" i="5" s="1"/>
  <c r="CT38" i="5"/>
  <c r="CW38" i="5" s="1"/>
  <c r="CL28" i="5"/>
  <c r="CN28" i="5" s="1"/>
  <c r="CC28" i="5"/>
  <c r="CE28" i="5" s="1"/>
  <c r="CB9" i="5"/>
  <c r="CE9" i="5" s="1"/>
  <c r="CC13" i="5"/>
  <c r="CE13" i="5" s="1"/>
  <c r="BT28" i="5"/>
  <c r="BV28" i="5" s="1"/>
  <c r="FF38" i="5"/>
  <c r="FH38" i="5" s="1"/>
  <c r="FE28" i="5"/>
  <c r="FH28" i="5" s="1"/>
  <c r="EV9" i="5"/>
  <c r="EY9" i="5" s="1"/>
  <c r="EV38" i="5"/>
  <c r="EW13" i="5"/>
  <c r="EY13" i="5" s="1"/>
  <c r="EN38" i="5"/>
  <c r="EP38" i="5" s="1"/>
  <c r="EM9" i="5"/>
  <c r="EP9" i="5" s="1"/>
  <c r="FL23" i="5"/>
  <c r="FL28" i="5"/>
  <c r="ED38" i="5"/>
  <c r="EG38" i="5" s="1"/>
  <c r="EE13" i="5"/>
  <c r="BD28" i="5"/>
  <c r="BD6" i="5"/>
  <c r="BD38" i="5"/>
  <c r="BD44" i="5"/>
  <c r="BD5" i="5"/>
  <c r="BD21" i="5"/>
  <c r="BD29" i="5"/>
  <c r="BD35" i="5"/>
  <c r="BD20" i="5"/>
  <c r="BD34" i="5"/>
  <c r="BD41" i="5"/>
  <c r="BD13" i="5"/>
  <c r="BD40" i="5"/>
  <c r="AP30" i="5"/>
  <c r="AO42" i="5"/>
  <c r="AQ42" i="5" s="1"/>
  <c r="AP11" i="5"/>
  <c r="AP39" i="5"/>
  <c r="AP5" i="5"/>
  <c r="AP17" i="5"/>
  <c r="AP37" i="5"/>
  <c r="AO38" i="5"/>
  <c r="AP23" i="5"/>
  <c r="AO36" i="5"/>
  <c r="AQ36" i="5" s="1"/>
  <c r="AO26" i="5"/>
  <c r="AO39" i="5"/>
  <c r="AQ39" i="5" s="1"/>
  <c r="AO14" i="5"/>
  <c r="AO37" i="5"/>
  <c r="AO10" i="5"/>
  <c r="AO44" i="5"/>
  <c r="AQ44" i="5" s="1"/>
  <c r="AO7" i="5"/>
  <c r="AQ7" i="5" s="1"/>
  <c r="AO34" i="5"/>
  <c r="AO17" i="5"/>
  <c r="AO18" i="5"/>
  <c r="E9" i="1"/>
  <c r="F9" i="1" s="1"/>
  <c r="AO30" i="5"/>
  <c r="AO9" i="5"/>
  <c r="AO41" i="5"/>
  <c r="H16" i="12"/>
  <c r="E14" i="1"/>
  <c r="F14" i="1" s="1"/>
  <c r="E3" i="1"/>
  <c r="F3" i="1" s="1"/>
  <c r="E22" i="1"/>
  <c r="F22" i="1" s="1"/>
  <c r="E2" i="1"/>
  <c r="F2" i="1" s="1"/>
  <c r="E4" i="1"/>
  <c r="F4" i="1" s="1"/>
  <c r="DU38" i="5"/>
  <c r="DV38" i="5"/>
  <c r="F27" i="3"/>
  <c r="E26" i="1" s="1"/>
  <c r="AO29" i="5"/>
  <c r="GY28" i="5"/>
  <c r="GS33" i="5"/>
  <c r="GW33" i="5"/>
  <c r="CK38" i="5"/>
  <c r="CL38" i="5"/>
  <c r="EY38" i="5"/>
  <c r="H30" i="3"/>
  <c r="AO32" i="5"/>
  <c r="H26" i="3"/>
  <c r="E25" i="1" s="1"/>
  <c r="F25" i="1" s="1"/>
  <c r="AO28" i="5"/>
  <c r="H18" i="3"/>
  <c r="E17" i="1" s="1"/>
  <c r="F17" i="1" s="1"/>
  <c r="AO20" i="5"/>
  <c r="AQ20" i="5" s="1"/>
  <c r="N14" i="3"/>
  <c r="E13" i="1" s="1"/>
  <c r="F13" i="1" s="1"/>
  <c r="AO16" i="5"/>
  <c r="AQ16" i="5" s="1"/>
  <c r="AB41" i="3"/>
  <c r="BD43" i="5"/>
  <c r="X41" i="3"/>
  <c r="AO43" i="5"/>
  <c r="AQ43" i="5" s="1"/>
  <c r="N38" i="3"/>
  <c r="E37" i="1" s="1"/>
  <c r="F37" i="1" s="1"/>
  <c r="AO40" i="5"/>
  <c r="AC35" i="3"/>
  <c r="BD37" i="5"/>
  <c r="AL34" i="3"/>
  <c r="Y36" i="6"/>
  <c r="GS23" i="5"/>
  <c r="GT23" i="5"/>
  <c r="CB23" i="5"/>
  <c r="CC23" i="5"/>
  <c r="EV28" i="5"/>
  <c r="EW28" i="5"/>
  <c r="X25" i="3"/>
  <c r="AO27" i="5"/>
  <c r="GW13" i="5"/>
  <c r="FL13" i="5"/>
  <c r="AP8" i="5"/>
  <c r="AO6" i="5"/>
  <c r="FU9" i="5"/>
  <c r="FX9" i="5" s="1"/>
  <c r="DC9" i="5"/>
  <c r="DF9" i="5" s="1"/>
  <c r="CK9" i="5"/>
  <c r="CN9" i="5" s="1"/>
  <c r="AO12" i="5"/>
  <c r="EG13" i="5"/>
  <c r="DO13" i="5"/>
  <c r="FL17" i="5"/>
  <c r="GD17" i="5"/>
  <c r="GG17" i="5" s="1"/>
  <c r="GS17" i="5"/>
  <c r="GV17" i="5" s="1"/>
  <c r="AO21" i="5"/>
  <c r="GD23" i="5"/>
  <c r="GE23" i="5"/>
  <c r="ED23" i="5"/>
  <c r="EE23" i="5"/>
  <c r="CT23" i="5"/>
  <c r="CU23" i="5"/>
  <c r="EV23" i="5"/>
  <c r="EW23" i="5"/>
  <c r="ED28" i="5"/>
  <c r="EE28" i="5"/>
  <c r="FL38" i="5"/>
  <c r="BS38" i="5"/>
  <c r="BT38" i="5"/>
  <c r="L19" i="3"/>
  <c r="E18" i="1" s="1"/>
  <c r="F18" i="1" s="1"/>
  <c r="AP21" i="5"/>
  <c r="N20" i="3"/>
  <c r="AO22" i="5"/>
  <c r="AD25" i="3"/>
  <c r="BD27" i="5"/>
  <c r="AK29" i="3"/>
  <c r="G28" i="1" s="1"/>
  <c r="Y31" i="6"/>
  <c r="AK22" i="3"/>
  <c r="G21" i="1" s="1"/>
  <c r="Y24" i="6"/>
  <c r="AK5" i="3"/>
  <c r="G4" i="1" s="1"/>
  <c r="Y7" i="6"/>
  <c r="AL27" i="3"/>
  <c r="G26" i="1" s="1"/>
  <c r="Y29" i="6"/>
  <c r="AL24" i="3"/>
  <c r="G23" i="1" s="1"/>
  <c r="Y26" i="6"/>
  <c r="AL21" i="3"/>
  <c r="G20" i="1" s="1"/>
  <c r="Y23" i="6"/>
  <c r="AL17" i="3"/>
  <c r="G16" i="1" s="1"/>
  <c r="Y19" i="6"/>
  <c r="AL13" i="3"/>
  <c r="G12" i="1" s="1"/>
  <c r="Y15" i="6"/>
  <c r="DL23" i="5"/>
  <c r="DM23" i="5"/>
  <c r="BM28" i="5"/>
  <c r="FJ28" i="5"/>
  <c r="N31" i="3"/>
  <c r="E30" i="1" s="1"/>
  <c r="F30" i="1" s="1"/>
  <c r="AO33" i="5"/>
  <c r="AQ33" i="5" s="1"/>
  <c r="E6" i="1"/>
  <c r="F6" i="1" s="1"/>
  <c r="X29" i="3"/>
  <c r="E28" i="1" s="1"/>
  <c r="AO31" i="5"/>
  <c r="AQ31" i="5" s="1"/>
  <c r="X21" i="3"/>
  <c r="E20" i="1" s="1"/>
  <c r="F20" i="1" s="1"/>
  <c r="AO23" i="5"/>
  <c r="X17" i="3"/>
  <c r="E16" i="1" s="1"/>
  <c r="F16" i="1" s="1"/>
  <c r="AO19" i="5"/>
  <c r="AQ19" i="5" s="1"/>
  <c r="X13" i="3"/>
  <c r="AO15" i="5"/>
  <c r="Z22" i="3"/>
  <c r="E21" i="1" s="1"/>
  <c r="F21" i="1" s="1"/>
  <c r="AO24" i="5"/>
  <c r="Z16" i="3"/>
  <c r="AP18" i="5"/>
  <c r="AB30" i="3"/>
  <c r="BD32" i="5"/>
  <c r="AC16" i="3"/>
  <c r="BD18" i="5"/>
  <c r="FJ9" i="5"/>
  <c r="AO13" i="5"/>
  <c r="FV17" i="5"/>
  <c r="FX17" i="5" s="1"/>
  <c r="GW17" i="5"/>
  <c r="AP24" i="5"/>
  <c r="AO5" i="5"/>
  <c r="ED9" i="5"/>
  <c r="EG9" i="5" s="1"/>
  <c r="DL9" i="5"/>
  <c r="DO9" i="5" s="1"/>
  <c r="FE9" i="5"/>
  <c r="FH9" i="5" s="1"/>
  <c r="BS9" i="5"/>
  <c r="BV9" i="5" s="1"/>
  <c r="BD11" i="5"/>
  <c r="AO11" i="5"/>
  <c r="AQ11" i="5" s="1"/>
  <c r="FV13" i="5"/>
  <c r="FX13" i="5" s="1"/>
  <c r="GK13" i="5"/>
  <c r="GM13" i="5" s="1"/>
  <c r="EN13" i="5"/>
  <c r="EP13" i="5" s="1"/>
  <c r="DV13" i="5"/>
  <c r="DX13" i="5" s="1"/>
  <c r="DD13" i="5"/>
  <c r="DF13" i="5" s="1"/>
  <c r="CL13" i="5"/>
  <c r="CN13" i="5" s="1"/>
  <c r="FF13" i="5"/>
  <c r="FH13" i="5" s="1"/>
  <c r="BT13" i="5"/>
  <c r="BV13" i="5" s="1"/>
  <c r="AO25" i="5"/>
  <c r="CT28" i="5"/>
  <c r="CU28" i="5"/>
  <c r="FJ38" i="5"/>
  <c r="GT38" i="5"/>
  <c r="GS38" i="5"/>
  <c r="AB24" i="3"/>
  <c r="E23" i="1" s="1"/>
  <c r="F23" i="1" s="1"/>
  <c r="BD26" i="5"/>
  <c r="AB20" i="3"/>
  <c r="BD22" i="5"/>
  <c r="AD28" i="3"/>
  <c r="E27" i="1" s="1"/>
  <c r="F27" i="1" s="1"/>
  <c r="BD30" i="5"/>
  <c r="FV23" i="5"/>
  <c r="FX23" i="5" s="1"/>
  <c r="GK23" i="5"/>
  <c r="GM23" i="5" s="1"/>
  <c r="EN23" i="5"/>
  <c r="EP23" i="5" s="1"/>
  <c r="DV23" i="5"/>
  <c r="DX23" i="5" s="1"/>
  <c r="DD23" i="5"/>
  <c r="DF23" i="5" s="1"/>
  <c r="CL23" i="5"/>
  <c r="CN23" i="5" s="1"/>
  <c r="FF23" i="5"/>
  <c r="FH23" i="5" s="1"/>
  <c r="BT23" i="5"/>
  <c r="BV23" i="5" s="1"/>
  <c r="GY33" i="5"/>
  <c r="DE9" i="6"/>
  <c r="DE17" i="6"/>
  <c r="DE28" i="6"/>
  <c r="E8" i="1"/>
  <c r="F8" i="1" s="1"/>
  <c r="I26" i="1"/>
  <c r="J26" i="1" s="1"/>
  <c r="I18" i="1"/>
  <c r="J18" i="1" s="1"/>
  <c r="I10" i="1"/>
  <c r="J10" i="1" s="1"/>
  <c r="I2" i="1"/>
  <c r="J2" i="1" s="1"/>
  <c r="I23" i="1"/>
  <c r="J23" i="1" s="1"/>
  <c r="I15" i="1"/>
  <c r="J15" i="1" s="1"/>
  <c r="I7" i="1"/>
  <c r="J7" i="1" s="1"/>
  <c r="I20" i="1"/>
  <c r="J20" i="1" s="1"/>
  <c r="I4" i="1"/>
  <c r="J4" i="1" s="1"/>
  <c r="I30" i="1"/>
  <c r="J30" i="1" s="1"/>
  <c r="I22" i="1"/>
  <c r="J22" i="1" s="1"/>
  <c r="I14" i="1"/>
  <c r="J14" i="1" s="1"/>
  <c r="I6" i="1"/>
  <c r="J6" i="1" s="1"/>
  <c r="I27" i="1"/>
  <c r="J27" i="1" s="1"/>
  <c r="I11" i="1"/>
  <c r="J11" i="1" s="1"/>
  <c r="G22" i="1"/>
  <c r="E35" i="1"/>
  <c r="F35" i="1" s="1"/>
  <c r="DD28" i="6"/>
  <c r="DG28" i="6" s="1"/>
  <c r="DD33" i="6"/>
  <c r="DG33" i="6" s="1"/>
  <c r="E10" i="1"/>
  <c r="F10" i="1" s="1"/>
  <c r="E5" i="1"/>
  <c r="F5" i="1" s="1"/>
  <c r="I19" i="1"/>
  <c r="J19" i="1" s="1"/>
  <c r="I16" i="1"/>
  <c r="J16" i="1" s="1"/>
  <c r="E39" i="1"/>
  <c r="F39" i="1" s="1"/>
  <c r="E54" i="1"/>
  <c r="F54" i="1" s="1"/>
  <c r="E41" i="1"/>
  <c r="F41" i="1" s="1"/>
  <c r="AP49" i="5"/>
  <c r="Z47" i="3"/>
  <c r="E46" i="1" s="1"/>
  <c r="GW23" i="5"/>
  <c r="FJ33" i="5"/>
  <c r="DE13" i="6"/>
  <c r="E7" i="1"/>
  <c r="F7" i="1" s="1"/>
  <c r="E11" i="1"/>
  <c r="F11" i="1" s="1"/>
  <c r="G38" i="1"/>
  <c r="I41" i="1"/>
  <c r="J41" i="1" s="1"/>
  <c r="AV38" i="3"/>
  <c r="I37" i="1" s="1"/>
  <c r="J37" i="1" s="1"/>
  <c r="AZ40" i="6"/>
  <c r="AX38" i="3" s="1"/>
  <c r="G33" i="1"/>
  <c r="AZ33" i="6"/>
  <c r="AX31" i="3" s="1"/>
  <c r="AZ31" i="6"/>
  <c r="AX29" i="3" s="1"/>
  <c r="AZ29" i="6"/>
  <c r="AX27" i="3" s="1"/>
  <c r="AZ27" i="6"/>
  <c r="AX25" i="3" s="1"/>
  <c r="AZ25" i="6"/>
  <c r="AX23" i="3" s="1"/>
  <c r="AZ23" i="6"/>
  <c r="AX21" i="3" s="1"/>
  <c r="AZ21" i="6"/>
  <c r="AX19" i="3" s="1"/>
  <c r="AZ19" i="6"/>
  <c r="AX17" i="3" s="1"/>
  <c r="AZ17" i="6"/>
  <c r="AX15" i="3" s="1"/>
  <c r="AZ15" i="6"/>
  <c r="AX13" i="3" s="1"/>
  <c r="AX11" i="3"/>
  <c r="AX9" i="3"/>
  <c r="AX7" i="3"/>
  <c r="AX5" i="3"/>
  <c r="G19" i="1"/>
  <c r="G6" i="1"/>
  <c r="G32" i="1"/>
  <c r="E42" i="1"/>
  <c r="F42" i="1" s="1"/>
  <c r="G43" i="1"/>
  <c r="G25" i="1"/>
  <c r="G36" i="1"/>
  <c r="E34" i="1"/>
  <c r="F34" i="1" s="1"/>
  <c r="I33" i="1"/>
  <c r="J33" i="1" s="1"/>
  <c r="G56" i="1"/>
  <c r="G41" i="1"/>
  <c r="Y50" i="6"/>
  <c r="AK48" i="3"/>
  <c r="G47" i="1" s="1"/>
  <c r="G46" i="1"/>
  <c r="G39" i="1"/>
  <c r="AZ34" i="6"/>
  <c r="AX32" i="3" s="1"/>
  <c r="G48" i="1"/>
  <c r="BD48" i="5"/>
  <c r="I43" i="1"/>
  <c r="J43" i="1" s="1"/>
  <c r="E55" i="1"/>
  <c r="F55" i="1" s="1"/>
  <c r="E49" i="1"/>
  <c r="F49" i="1" s="1"/>
  <c r="I47" i="1"/>
  <c r="J47" i="1" s="1"/>
  <c r="G40" i="1"/>
  <c r="G31" i="1"/>
  <c r="I46" i="1"/>
  <c r="J46" i="1" s="1"/>
  <c r="E56" i="1"/>
  <c r="F56" i="1" s="1"/>
  <c r="G35" i="1"/>
  <c r="I51" i="1"/>
  <c r="J51" i="1" s="1"/>
  <c r="E51" i="1"/>
  <c r="F51" i="1" s="1"/>
  <c r="I49" i="1"/>
  <c r="J49" i="1" s="1"/>
  <c r="G45" i="1"/>
  <c r="I45" i="1"/>
  <c r="J45" i="1" s="1"/>
  <c r="G60" i="1"/>
  <c r="E60" i="1"/>
  <c r="F60" i="1" s="1"/>
  <c r="E58" i="1"/>
  <c r="F58" i="1" s="1"/>
  <c r="G52" i="1"/>
  <c r="E52" i="1"/>
  <c r="F52" i="1" s="1"/>
  <c r="G50" i="1"/>
  <c r="E50" i="1"/>
  <c r="F50" i="1" s="1"/>
  <c r="E48" i="1"/>
  <c r="F48" i="1" s="1"/>
  <c r="FL9" i="5"/>
  <c r="GM9" i="5"/>
  <c r="DD13" i="6"/>
  <c r="DG13" i="6" s="1"/>
  <c r="GD9" i="5"/>
  <c r="GG9" i="5" s="1"/>
  <c r="GS9" i="5"/>
  <c r="GV9" i="5" s="1"/>
  <c r="GY17" i="5"/>
  <c r="GY23" i="5"/>
  <c r="FL33" i="5"/>
  <c r="DD9" i="6"/>
  <c r="DG9" i="6" s="1"/>
  <c r="DD17" i="6"/>
  <c r="DG17" i="6" s="1"/>
  <c r="EN17" i="5"/>
  <c r="EP17" i="5" s="1"/>
  <c r="EE17" i="5"/>
  <c r="EG17" i="5" s="1"/>
  <c r="DV17" i="5"/>
  <c r="DX17" i="5" s="1"/>
  <c r="DM17" i="5"/>
  <c r="DO17" i="5" s="1"/>
  <c r="DD17" i="5"/>
  <c r="DF17" i="5" s="1"/>
  <c r="CU17" i="5"/>
  <c r="CW17" i="5" s="1"/>
  <c r="CL17" i="5"/>
  <c r="CN17" i="5" s="1"/>
  <c r="CC17" i="5"/>
  <c r="CE17" i="5" s="1"/>
  <c r="FF17" i="5"/>
  <c r="FH17" i="5" s="1"/>
  <c r="EW17" i="5"/>
  <c r="EY17" i="5" s="1"/>
  <c r="BT17" i="5"/>
  <c r="BV17" i="5" s="1"/>
  <c r="FV33" i="5"/>
  <c r="FX33" i="5" s="1"/>
  <c r="GE33" i="5"/>
  <c r="GG33" i="5" s="1"/>
  <c r="GK33" i="5"/>
  <c r="GM33" i="5" s="1"/>
  <c r="GT33" i="5"/>
  <c r="EN33" i="5"/>
  <c r="EP33" i="5" s="1"/>
  <c r="EE33" i="5"/>
  <c r="EG33" i="5" s="1"/>
  <c r="DV33" i="5"/>
  <c r="DX33" i="5" s="1"/>
  <c r="DM33" i="5"/>
  <c r="DO33" i="5" s="1"/>
  <c r="DD33" i="5"/>
  <c r="DF33" i="5" s="1"/>
  <c r="CU33" i="5"/>
  <c r="CW33" i="5" s="1"/>
  <c r="CL33" i="5"/>
  <c r="CN33" i="5" s="1"/>
  <c r="CC33" i="5"/>
  <c r="CE33" i="5" s="1"/>
  <c r="FF33" i="5"/>
  <c r="FH33" i="5" s="1"/>
  <c r="EW33" i="5"/>
  <c r="EY33" i="5" s="1"/>
  <c r="BT33" i="5"/>
  <c r="DE38" i="6"/>
  <c r="DD38" i="6"/>
  <c r="DG38" i="6" s="1"/>
  <c r="FJ13" i="5"/>
  <c r="FJ23" i="5"/>
  <c r="BS33" i="5"/>
  <c r="DD23" i="6"/>
  <c r="DG23" i="6" s="1"/>
  <c r="DE33" i="6"/>
  <c r="FJ17" i="5"/>
  <c r="AV39" i="3"/>
  <c r="I38" i="1" s="1"/>
  <c r="J38" i="1" s="1"/>
  <c r="AZ41" i="6"/>
  <c r="AX39" i="3" s="1"/>
  <c r="I36" i="1"/>
  <c r="J36" i="1" s="1"/>
  <c r="AV35" i="3"/>
  <c r="I34" i="1" s="1"/>
  <c r="J34" i="1" s="1"/>
  <c r="AZ37" i="6"/>
  <c r="AX35" i="3" s="1"/>
  <c r="G34" i="1"/>
  <c r="AV30" i="3"/>
  <c r="I29" i="1" s="1"/>
  <c r="J29" i="1" s="1"/>
  <c r="AV26" i="3"/>
  <c r="I25" i="1" s="1"/>
  <c r="J25" i="1" s="1"/>
  <c r="AV22" i="3"/>
  <c r="I21" i="1" s="1"/>
  <c r="J21" i="1" s="1"/>
  <c r="AV18" i="3"/>
  <c r="I17" i="1" s="1"/>
  <c r="J17" i="1" s="1"/>
  <c r="AV14" i="3"/>
  <c r="I13" i="1" s="1"/>
  <c r="J13" i="1" s="1"/>
  <c r="AV10" i="3"/>
  <c r="I9" i="1" s="1"/>
  <c r="J9" i="1" s="1"/>
  <c r="AV6" i="3"/>
  <c r="I5" i="1" s="1"/>
  <c r="J5" i="1" s="1"/>
  <c r="AZ42" i="6"/>
  <c r="AX40" i="3" s="1"/>
  <c r="AW40" i="3"/>
  <c r="I39" i="1" s="1"/>
  <c r="J39" i="1" s="1"/>
  <c r="E38" i="1"/>
  <c r="F38" i="1" s="1"/>
  <c r="E36" i="1"/>
  <c r="F36" i="1" s="1"/>
  <c r="AX3" i="3"/>
  <c r="AZ30" i="6"/>
  <c r="AX28" i="3" s="1"/>
  <c r="AZ26" i="6"/>
  <c r="AX24" i="3" s="1"/>
  <c r="AZ22" i="6"/>
  <c r="AX20" i="3" s="1"/>
  <c r="AZ18" i="6"/>
  <c r="AX16" i="3" s="1"/>
  <c r="AZ14" i="6"/>
  <c r="AX12" i="3" s="1"/>
  <c r="AX8" i="3"/>
  <c r="E33" i="1"/>
  <c r="F33" i="1" s="1"/>
  <c r="E32" i="1"/>
  <c r="F32" i="1" s="1"/>
  <c r="I31" i="1"/>
  <c r="J31" i="1" s="1"/>
  <c r="E31" i="1"/>
  <c r="F31" i="1" s="1"/>
  <c r="I60" i="1"/>
  <c r="J60" i="1" s="1"/>
  <c r="G58" i="1"/>
  <c r="G57" i="1"/>
  <c r="I57" i="1"/>
  <c r="J57" i="1" s="1"/>
  <c r="I56" i="1"/>
  <c r="J56" i="1" s="1"/>
  <c r="G54" i="1"/>
  <c r="G53" i="1"/>
  <c r="AZ43" i="6"/>
  <c r="AX41" i="3" s="1"/>
  <c r="I40" i="1"/>
  <c r="J40" i="1" s="1"/>
  <c r="AZ39" i="6"/>
  <c r="AX37" i="3" s="1"/>
  <c r="AV33" i="3"/>
  <c r="I32" i="1" s="1"/>
  <c r="J32" i="1" s="1"/>
  <c r="AZ35" i="6"/>
  <c r="AX33" i="3" s="1"/>
  <c r="AZ38" i="6"/>
  <c r="AX36" i="3" s="1"/>
  <c r="AW36" i="3"/>
  <c r="I35" i="1" s="1"/>
  <c r="J35" i="1" s="1"/>
  <c r="I59" i="1"/>
  <c r="J59" i="1" s="1"/>
  <c r="E59" i="1"/>
  <c r="F59" i="1" s="1"/>
  <c r="E57" i="1"/>
  <c r="F57" i="1" s="1"/>
  <c r="I55" i="1"/>
  <c r="J55" i="1" s="1"/>
  <c r="I53" i="1"/>
  <c r="J53" i="1" s="1"/>
  <c r="E53" i="1"/>
  <c r="F53" i="1" s="1"/>
  <c r="I52" i="1"/>
  <c r="J52" i="1" s="1"/>
  <c r="Y49" i="6"/>
  <c r="G49" i="1"/>
  <c r="I48" i="1"/>
  <c r="J48" i="1" s="1"/>
  <c r="AK43" i="3"/>
  <c r="G42" i="1" s="1"/>
  <c r="AO48" i="5"/>
  <c r="AO51" i="5"/>
  <c r="AP51" i="5"/>
  <c r="AO47" i="5"/>
  <c r="Z45" i="3"/>
  <c r="E44" i="1" s="1"/>
  <c r="F44" i="1" s="1"/>
  <c r="AP47" i="5"/>
  <c r="AP46" i="5"/>
  <c r="BD51" i="5"/>
  <c r="BD47" i="5"/>
  <c r="Y47" i="6"/>
  <c r="G59" i="1"/>
  <c r="I58" i="1"/>
  <c r="J58" i="1" s="1"/>
  <c r="G55" i="1"/>
  <c r="I54" i="1"/>
  <c r="J54" i="1" s="1"/>
  <c r="G51" i="1"/>
  <c r="I50" i="1"/>
  <c r="J50" i="1" s="1"/>
  <c r="E47" i="1"/>
  <c r="F47" i="1" s="1"/>
  <c r="E43" i="1"/>
  <c r="F43" i="1" s="1"/>
  <c r="AO50" i="5"/>
  <c r="AO46" i="5"/>
  <c r="BD46" i="5"/>
  <c r="AO49" i="5"/>
  <c r="AO45" i="5"/>
  <c r="AP50" i="5"/>
  <c r="AP45" i="5"/>
  <c r="BD50" i="5"/>
  <c r="AZ48" i="6"/>
  <c r="AX46" i="3" s="1"/>
  <c r="AZ45" i="6"/>
  <c r="AX43" i="3" s="1"/>
  <c r="AK45" i="3"/>
  <c r="G44" i="1" s="1"/>
  <c r="BD49" i="5"/>
  <c r="BD45" i="5"/>
  <c r="Y46" i="6"/>
  <c r="AZ49" i="6"/>
  <c r="AX47" i="3" s="1"/>
  <c r="AQ35" i="5" l="1"/>
  <c r="AQ49" i="5"/>
  <c r="GV23" i="5"/>
  <c r="AQ38" i="5"/>
  <c r="E29" i="1"/>
  <c r="F29" i="1" s="1"/>
  <c r="HD38" i="5"/>
  <c r="AQ9" i="5"/>
  <c r="AQ13" i="5"/>
  <c r="AQ28" i="5"/>
  <c r="AQ41" i="5"/>
  <c r="HB38" i="5"/>
  <c r="BE18" i="5"/>
  <c r="AQ15" i="5"/>
  <c r="AQ23" i="5"/>
  <c r="E24" i="1"/>
  <c r="F24" i="1" s="1"/>
  <c r="AQ6" i="5"/>
  <c r="AQ34" i="5"/>
  <c r="AQ37" i="5"/>
  <c r="BE23" i="5"/>
  <c r="AQ22" i="5"/>
  <c r="AQ40" i="5"/>
  <c r="AQ30" i="5"/>
  <c r="AQ26" i="5"/>
  <c r="AQ25" i="5"/>
  <c r="HB28" i="5"/>
  <c r="AQ8" i="5"/>
  <c r="AQ14" i="5"/>
  <c r="AQ48" i="5"/>
  <c r="BE13" i="5"/>
  <c r="AQ10" i="5"/>
  <c r="HB9" i="5"/>
  <c r="BE43" i="5"/>
  <c r="AQ32" i="5"/>
  <c r="AQ29" i="5"/>
  <c r="BE9" i="5"/>
  <c r="CW23" i="5"/>
  <c r="E40" i="1"/>
  <c r="F40" i="1" s="1"/>
  <c r="CN38" i="5"/>
  <c r="BV33" i="5"/>
  <c r="FK33" i="5" s="1"/>
  <c r="BE38" i="5"/>
  <c r="HD28" i="5"/>
  <c r="HD13" i="5"/>
  <c r="HB17" i="5"/>
  <c r="GG23" i="5"/>
  <c r="GX28" i="5"/>
  <c r="GZ28" i="5" s="1"/>
  <c r="HD9" i="5"/>
  <c r="HB33" i="5"/>
  <c r="HB13" i="5"/>
  <c r="DX38" i="5"/>
  <c r="HD23" i="5"/>
  <c r="EY28" i="5"/>
  <c r="EG28" i="5"/>
  <c r="FK9" i="5"/>
  <c r="FM9" i="5" s="1"/>
  <c r="BE28" i="5"/>
  <c r="BE33" i="5"/>
  <c r="AQ17" i="5"/>
  <c r="AQ18" i="5"/>
  <c r="AR38" i="5"/>
  <c r="AQ21" i="5"/>
  <c r="AQ46" i="5"/>
  <c r="F28" i="1"/>
  <c r="AR9" i="5"/>
  <c r="AR43" i="5"/>
  <c r="AQ5" i="5"/>
  <c r="AQ24" i="5"/>
  <c r="F46" i="1"/>
  <c r="E15" i="1"/>
  <c r="F15" i="1" s="1"/>
  <c r="E19" i="1"/>
  <c r="F19" i="1" s="1"/>
  <c r="FK13" i="5"/>
  <c r="FM13" i="5" s="1"/>
  <c r="GX13" i="5"/>
  <c r="GZ13" i="5" s="1"/>
  <c r="AR18" i="5"/>
  <c r="CE23" i="5"/>
  <c r="AR28" i="5"/>
  <c r="AQ51" i="5"/>
  <c r="AR33" i="5"/>
  <c r="BF33" i="5" s="1"/>
  <c r="GV33" i="5"/>
  <c r="GX33" i="5" s="1"/>
  <c r="GZ33" i="5" s="1"/>
  <c r="HD33" i="5"/>
  <c r="GX9" i="5"/>
  <c r="GZ9" i="5" s="1"/>
  <c r="AQ27" i="5"/>
  <c r="GX17" i="5"/>
  <c r="GZ17" i="5" s="1"/>
  <c r="AR23" i="5"/>
  <c r="DO23" i="5"/>
  <c r="EY23" i="5"/>
  <c r="EG23" i="5"/>
  <c r="E12" i="1"/>
  <c r="F12" i="1" s="1"/>
  <c r="AR13" i="5"/>
  <c r="AQ12" i="5"/>
  <c r="AQ50" i="5"/>
  <c r="BE48" i="5"/>
  <c r="AR48" i="5"/>
  <c r="HB23" i="5"/>
  <c r="F26" i="1"/>
  <c r="GV38" i="5"/>
  <c r="GX38" i="5" s="1"/>
  <c r="GZ38" i="5" s="1"/>
  <c r="CW28" i="5"/>
  <c r="BV38" i="5"/>
  <c r="FK17" i="5"/>
  <c r="HD17" i="5"/>
  <c r="AQ47" i="5"/>
  <c r="AQ45" i="5"/>
  <c r="GX23" i="5" l="1"/>
  <c r="GZ23" i="5" s="1"/>
  <c r="BF13" i="5"/>
  <c r="BF43" i="5"/>
  <c r="BF38" i="5"/>
  <c r="BF18" i="5"/>
  <c r="BF23" i="5"/>
  <c r="BF9" i="5"/>
  <c r="BF48" i="5"/>
  <c r="FK38" i="5"/>
  <c r="FM38" i="5" s="1"/>
  <c r="FK28" i="5"/>
  <c r="FM28" i="5" s="1"/>
  <c r="HC13" i="5"/>
  <c r="HE13" i="5" s="1"/>
  <c r="BF28" i="5"/>
  <c r="HC9" i="5"/>
  <c r="HE9" i="5" s="1"/>
  <c r="FK23" i="5"/>
  <c r="FM23" i="5" s="1"/>
  <c r="FM33" i="5"/>
  <c r="HC33" i="5"/>
  <c r="HE33" i="5" s="1"/>
  <c r="FM17" i="5"/>
  <c r="HC17" i="5"/>
  <c r="HE17" i="5" s="1"/>
  <c r="HC38" i="5" l="1"/>
  <c r="HE38" i="5" s="1"/>
  <c r="HC28" i="5"/>
  <c r="HE28" i="5" s="1"/>
  <c r="HC23" i="5"/>
  <c r="HE23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 Wuebben</author>
  </authors>
  <commentList>
    <comment ref="BA7" authorId="0" shapeId="0" xr:uid="{00000000-0006-0000-0800-000001000000}">
      <text>
        <r>
          <rPr>
            <b/>
            <sz val="9"/>
            <color indexed="81"/>
            <rFont val="Tahoma"/>
            <charset val="1"/>
          </rPr>
          <t>Tom Wuebben:</t>
        </r>
        <r>
          <rPr>
            <sz val="9"/>
            <color indexed="81"/>
            <rFont val="Tahoma"/>
            <charset val="1"/>
          </rPr>
          <t xml:space="preserve">
New Meter installed</t>
        </r>
      </text>
    </comment>
  </commentList>
</comments>
</file>

<file path=xl/sharedStrings.xml><?xml version="1.0" encoding="utf-8"?>
<sst xmlns="http://schemas.openxmlformats.org/spreadsheetml/2006/main" count="2643" uniqueCount="469">
  <si>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</si>
  <si>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</si>
  <si>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</si>
  <si>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</si>
  <si>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</si>
  <si>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</si>
  <si>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</si>
  <si>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</si>
  <si>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</si>
  <si>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</si>
  <si>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</si>
  <si>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Orlando</t>
  </si>
  <si>
    <t>90 630 431 (KWh)</t>
  </si>
  <si>
    <t>68 425 010 (KWh)</t>
  </si>
  <si>
    <t>T2392 (KWh)</t>
  </si>
  <si>
    <t>68 425 008 (KWh)</t>
  </si>
  <si>
    <t>T7384 (KWh)</t>
  </si>
  <si>
    <t>68 425 060 (KWh)</t>
  </si>
  <si>
    <t>T7380 (KWh)</t>
  </si>
  <si>
    <t>68 425 097 (KWh)</t>
  </si>
  <si>
    <t>T7281 (KWh)</t>
  </si>
  <si>
    <t>68 425 059 (KWh)</t>
  </si>
  <si>
    <t>T2390 (KWh)</t>
  </si>
  <si>
    <t>68 425 077 (KWh)</t>
  </si>
  <si>
    <t>T2395 (KWh)</t>
  </si>
  <si>
    <t>68 425 078 (KWh)</t>
  </si>
  <si>
    <t>T2393 (KWh)</t>
  </si>
  <si>
    <t>68 425 071 (KWh)</t>
  </si>
  <si>
    <t>T7285 (KWh)</t>
  </si>
  <si>
    <t>68 425 093 (KWh)</t>
  </si>
  <si>
    <t>T7382 (KWh)</t>
  </si>
  <si>
    <t>68 425 094 (KWh)</t>
  </si>
  <si>
    <t>T2391 (KWh)</t>
  </si>
  <si>
    <t>90 625 242 (KWh)</t>
  </si>
  <si>
    <t>T7283 (KWh)</t>
  </si>
  <si>
    <t>672 73 163 (KWh)</t>
  </si>
  <si>
    <t>676 62 513 (KWh)</t>
  </si>
  <si>
    <t>61 979 920 (KWh)</t>
  </si>
  <si>
    <t>56 253 208 (KWh)</t>
  </si>
  <si>
    <t>Domestic Water from RCES 74860172 (m3)</t>
  </si>
  <si>
    <t>Re-use Water from RCES 74860173 (m3)</t>
  </si>
  <si>
    <t>Building A Fire Sprinkler System Make-up 44553004 (m3)</t>
  </si>
  <si>
    <t>Building A Potable Water Feed 70275191 (m3)</t>
  </si>
  <si>
    <t>Steam Boilers Make-up Water 2130521 (m3)</t>
  </si>
  <si>
    <t>Resort Natural Gas Meter 12C004186-C1 (m3)</t>
  </si>
  <si>
    <t>Out Buildings Natural Gas Meter 93477704 (m3)</t>
  </si>
  <si>
    <t>Cooling Tower Make-up Water 79177804 (m3)</t>
  </si>
  <si>
    <t>Cooling Tower Blowdown Line Deduct 79305675 (m3)</t>
  </si>
  <si>
    <t>Building E Potable Water Meter 79190041 (m3)</t>
  </si>
  <si>
    <t>7919004D</t>
  </si>
  <si>
    <t>Building J Irrigation Water Meter 79190039 (m3)</t>
  </si>
  <si>
    <t>Lazy Pool River Make-up Water 79324776 (m3)</t>
  </si>
  <si>
    <t>Pool Hydraunic Boiler Water Make-up 112014001775 (m3)</t>
  </si>
  <si>
    <t>SPA Jacuzzi Water Make-up 112014001771 (m3)</t>
  </si>
  <si>
    <t>Golf Clubhouse Natural Gas Meter 82SJ729151 (m3)</t>
  </si>
  <si>
    <t>73337589 - 1387142</t>
  </si>
  <si>
    <t>Golf Clubhouse Flushing Valve Deduct 65956268 (m3)</t>
  </si>
  <si>
    <t>Clubhouse</t>
  </si>
  <si>
    <t>Golf Maintenance Facility 1334021 (m3)</t>
  </si>
  <si>
    <t>Golf Course Comfort Stations 63265094 (m3)</t>
  </si>
  <si>
    <t>Golf Course Re-use Irrigation 67327447 (m3)</t>
  </si>
  <si>
    <t>Date</t>
  </si>
  <si>
    <t>12C004186-C1</t>
  </si>
  <si>
    <t>Total Gas Usage</t>
  </si>
  <si>
    <t>112014001775</t>
  </si>
  <si>
    <t>112014001771</t>
  </si>
  <si>
    <t>82SJ729151</t>
  </si>
  <si>
    <t>67327447 / 80606729</t>
  </si>
  <si>
    <t>Resort Potable Water</t>
  </si>
  <si>
    <t>Resort Reclaimed Water</t>
  </si>
  <si>
    <t>Natural Gas Meter</t>
  </si>
  <si>
    <t>Golf Maintenance Potable Water</t>
  </si>
  <si>
    <t>Golf Clubhouse Potable Water</t>
  </si>
  <si>
    <t>Clubhouse Natural Gas Meter</t>
  </si>
  <si>
    <t>Golf Comfort Stations Potable Water</t>
  </si>
  <si>
    <t>Golf Irrigation Re-Use Water</t>
  </si>
  <si>
    <t>Meter Read</t>
  </si>
  <si>
    <t>KWH</t>
  </si>
  <si>
    <t xml:space="preserve">Demand </t>
  </si>
  <si>
    <t>Demand</t>
  </si>
  <si>
    <t>X10</t>
  </si>
  <si>
    <t>Total</t>
  </si>
  <si>
    <t>x10</t>
  </si>
  <si>
    <t>x1000</t>
  </si>
  <si>
    <t>x100</t>
  </si>
  <si>
    <t>cfm</t>
  </si>
  <si>
    <t>Cooling Tower M/U (x10,000)</t>
  </si>
  <si>
    <t>Cooling Tower B/D</t>
  </si>
  <si>
    <t>Bldg E Potable (x10)</t>
  </si>
  <si>
    <t>Bldg E Irrigation (x10)</t>
  </si>
  <si>
    <t>Bldg J Irrigation</t>
  </si>
  <si>
    <t>Lazy River Potable (X1000)</t>
  </si>
  <si>
    <t>Bldg E - Pool Hyrdanic</t>
  </si>
  <si>
    <t>Spa Jacuzzi M/U Water</t>
  </si>
  <si>
    <t>Deduct</t>
  </si>
  <si>
    <t>Meter # - 74860172 / 2230186</t>
  </si>
  <si>
    <t>Meter # - 74860173 / 2230186</t>
  </si>
  <si>
    <t>Meter # - 12C004186 / 2230246</t>
  </si>
  <si>
    <t>Meter # - 1334021</t>
  </si>
  <si>
    <t>Meter # - 73337589</t>
  </si>
  <si>
    <t>Meter # - 82SJ729151 / 46801014</t>
  </si>
  <si>
    <t>Meter # - 63265094</t>
  </si>
  <si>
    <t>Meter # - 67327447 / 80606729</t>
  </si>
  <si>
    <t>90 630 431</t>
  </si>
  <si>
    <t>Amount</t>
  </si>
  <si>
    <t>68 425 010</t>
  </si>
  <si>
    <t>T2392</t>
  </si>
  <si>
    <t>68 425 008</t>
  </si>
  <si>
    <t>T7384</t>
  </si>
  <si>
    <t>68 425 060</t>
  </si>
  <si>
    <t>T7380</t>
  </si>
  <si>
    <t>68 425 097</t>
  </si>
  <si>
    <t>T7281</t>
  </si>
  <si>
    <t>68 425 059</t>
  </si>
  <si>
    <t>T2390</t>
  </si>
  <si>
    <t>68 425 077</t>
  </si>
  <si>
    <t>T2395</t>
  </si>
  <si>
    <t>68 425 078</t>
  </si>
  <si>
    <t>T2393</t>
  </si>
  <si>
    <t>68 425 071</t>
  </si>
  <si>
    <t>T7285</t>
  </si>
  <si>
    <t>68 425 093</t>
  </si>
  <si>
    <t>T7382</t>
  </si>
  <si>
    <t>68 425 094</t>
  </si>
  <si>
    <t>T2391</t>
  </si>
  <si>
    <t>90 625 242</t>
  </si>
  <si>
    <t>T7283</t>
  </si>
  <si>
    <t>672 73 163</t>
  </si>
  <si>
    <t>676 62 513</t>
  </si>
  <si>
    <t>61 979 920</t>
  </si>
  <si>
    <t>56 253 208</t>
  </si>
  <si>
    <t>Main PW Feed</t>
  </si>
  <si>
    <t>Gallons</t>
  </si>
  <si>
    <t>Main RW Feed</t>
  </si>
  <si>
    <t>Fire Prot Water Feed</t>
  </si>
  <si>
    <t>Potable Water Bldg A</t>
  </si>
  <si>
    <t>Steam Boiler M/U</t>
  </si>
  <si>
    <t>Main Gas Meter</t>
  </si>
  <si>
    <t>Meter</t>
  </si>
  <si>
    <t>Total Gal</t>
  </si>
  <si>
    <t>Gas Meter</t>
  </si>
  <si>
    <t>Water Meter</t>
  </si>
  <si>
    <t>Usage</t>
  </si>
  <si>
    <t>Service Yard #2</t>
  </si>
  <si>
    <t>Golf Maintenance</t>
  </si>
  <si>
    <t>Golf Clubhouse</t>
  </si>
  <si>
    <t>Golf Comfort Stations</t>
  </si>
  <si>
    <t>Natural Gas</t>
  </si>
  <si>
    <t>Comfort Stations</t>
  </si>
  <si>
    <t>CC0913A018</t>
  </si>
  <si>
    <t>CC0913A020</t>
  </si>
  <si>
    <t>CC0913A060</t>
  </si>
  <si>
    <t>CC0913A059</t>
  </si>
  <si>
    <t>CC0913A081</t>
  </si>
  <si>
    <t>CC0913A054</t>
  </si>
  <si>
    <t>CC0913A053</t>
  </si>
  <si>
    <t>CC0913A075</t>
  </si>
  <si>
    <t>CC0913A076</t>
  </si>
  <si>
    <t>CC0912A18</t>
  </si>
  <si>
    <t>CC0913A095</t>
  </si>
  <si>
    <t>CS0212A003</t>
  </si>
  <si>
    <t>Water Pk</t>
  </si>
  <si>
    <t>% of KWH</t>
  </si>
  <si>
    <t>Total Mnth</t>
  </si>
  <si>
    <t>CG0612A084</t>
  </si>
  <si>
    <t>CC0612A036</t>
  </si>
  <si>
    <t>CS0210A030</t>
  </si>
  <si>
    <t>IIC0608A03</t>
  </si>
  <si>
    <t>Account # - 02230191</t>
  </si>
  <si>
    <t>Meter # - CC0913A020</t>
  </si>
  <si>
    <t>Meter # - CC0913A018</t>
  </si>
  <si>
    <t>Meter # - CC0913A054</t>
  </si>
  <si>
    <t>Meter # - CC0913A095</t>
  </si>
  <si>
    <t>Meter # - CC0913A053</t>
  </si>
  <si>
    <t>Meter # - CC0913A059</t>
  </si>
  <si>
    <t>Meter # - CC0913A060</t>
  </si>
  <si>
    <t>Meter # - CC0913A081</t>
  </si>
  <si>
    <t>Meter # - CC0913A075</t>
  </si>
  <si>
    <t>Meter # - CC0913A076</t>
  </si>
  <si>
    <t>Meter # - CC90625425</t>
  </si>
  <si>
    <t>Meter # - 672 73 163</t>
  </si>
  <si>
    <t>Meter # - 676 62 513</t>
  </si>
  <si>
    <t>Meter # - 61 979 920</t>
  </si>
  <si>
    <t>Meter # - 56 253 208</t>
  </si>
  <si>
    <t>KWH Total</t>
  </si>
  <si>
    <t>Total KWH</t>
  </si>
  <si>
    <t>Meter # - CS0212A003</t>
  </si>
  <si>
    <t>Bill</t>
  </si>
  <si>
    <t>Fuel Charge</t>
  </si>
  <si>
    <t>(x160)</t>
  </si>
  <si>
    <t>(x400)</t>
  </si>
  <si>
    <t>(x300)</t>
  </si>
  <si>
    <t>(X200)</t>
  </si>
  <si>
    <t>(x40)</t>
  </si>
  <si>
    <t>(x1)</t>
  </si>
  <si>
    <t>(x100)</t>
  </si>
  <si>
    <t>Golf</t>
  </si>
  <si>
    <t>Resort</t>
  </si>
  <si>
    <t>Bill Read</t>
  </si>
  <si>
    <t>Read</t>
  </si>
  <si>
    <t>KHW</t>
  </si>
  <si>
    <t>KWH Costs</t>
  </si>
  <si>
    <t>Electric</t>
  </si>
  <si>
    <t>Costs</t>
  </si>
  <si>
    <t xml:space="preserve"> </t>
  </si>
  <si>
    <t>Total Resort</t>
  </si>
  <si>
    <t>Total NG</t>
  </si>
  <si>
    <t>Solid</t>
  </si>
  <si>
    <t>Comfort Stations Sewer Total</t>
  </si>
  <si>
    <t>CCF</t>
  </si>
  <si>
    <t>Waste</t>
  </si>
  <si>
    <t>Sewer Total</t>
  </si>
  <si>
    <t>Solid Waste</t>
  </si>
  <si>
    <t>Potable</t>
  </si>
  <si>
    <t>Reuse</t>
  </si>
  <si>
    <t xml:space="preserve">Sewer </t>
  </si>
  <si>
    <t>Water</t>
  </si>
  <si>
    <t xml:space="preserve">Water </t>
  </si>
  <si>
    <t xml:space="preserve">Gas </t>
  </si>
  <si>
    <t xml:space="preserve">Waste </t>
  </si>
  <si>
    <t>Electrical</t>
  </si>
  <si>
    <t>Location</t>
  </si>
  <si>
    <t>Transformer #</t>
  </si>
  <si>
    <t>Meter Serial #</t>
  </si>
  <si>
    <t>Reedy Creek #</t>
  </si>
  <si>
    <t>Service Area</t>
  </si>
  <si>
    <t>Multiplier</t>
  </si>
  <si>
    <t>Reedy Creek Description</t>
  </si>
  <si>
    <t>HSB2 Section 1&amp;2, Building A</t>
  </si>
  <si>
    <t>HSB2 Section 4&amp;5, Building A</t>
  </si>
  <si>
    <t>LSB2 Building A - T2395</t>
  </si>
  <si>
    <t>LSB2 Building A - T2393</t>
  </si>
  <si>
    <t>LSB2 Building A - T7285</t>
  </si>
  <si>
    <t>Service Yard #1</t>
  </si>
  <si>
    <t>Main Electric Room #1</t>
  </si>
  <si>
    <t>Main Electric Room #1 South</t>
  </si>
  <si>
    <t>Servcie Yard #3</t>
  </si>
  <si>
    <t>Out Buildings</t>
  </si>
  <si>
    <t>Remote Parking Lot Lights</t>
  </si>
  <si>
    <t>T2009</t>
  </si>
  <si>
    <t>Employee Parking Lot Lights</t>
  </si>
  <si>
    <t>Golf Maintenace</t>
  </si>
  <si>
    <t>Golf Irrigation Pump House</t>
  </si>
  <si>
    <t>IC0608A03</t>
  </si>
  <si>
    <t>Irrigation Pump House</t>
  </si>
  <si>
    <t>Service Entry</t>
  </si>
  <si>
    <t>Main Potable Water Feed</t>
  </si>
  <si>
    <t>Re-use Water Feed</t>
  </si>
  <si>
    <t>Reclaimed Water</t>
  </si>
  <si>
    <t>Pump Room</t>
  </si>
  <si>
    <t>Fire System Make-up Feed</t>
  </si>
  <si>
    <t>PW Feed for Bldg A</t>
  </si>
  <si>
    <t>Installed 1/31/14</t>
  </si>
  <si>
    <t>Boiler Room</t>
  </si>
  <si>
    <t>Steam Boiler M/U Water</t>
  </si>
  <si>
    <t>Installed 4/15/14</t>
  </si>
  <si>
    <t>Deduct Meters</t>
  </si>
  <si>
    <t>Added 7/15</t>
  </si>
  <si>
    <t>Chiller Room</t>
  </si>
  <si>
    <t>x1</t>
  </si>
  <si>
    <t>Make-up to Cooling Towers</t>
  </si>
  <si>
    <t>Cooling Tower Blowdown</t>
  </si>
  <si>
    <t>Building E</t>
  </si>
  <si>
    <t>Irrigation Water</t>
  </si>
  <si>
    <t>Potable Water</t>
  </si>
  <si>
    <t>Building J</t>
  </si>
  <si>
    <t>Lazy River</t>
  </si>
  <si>
    <t>Added 10/20/15</t>
  </si>
  <si>
    <t>Potable make-up water for Lazy River</t>
  </si>
  <si>
    <t>Building E - Inside</t>
  </si>
  <si>
    <t>Added 11/24/15</t>
  </si>
  <si>
    <t xml:space="preserve">Pool Hydranic Heater Make-up Water </t>
  </si>
  <si>
    <t>Mens and Womens Spa Pool Make-up Water</t>
  </si>
  <si>
    <t>Changes to Meters</t>
  </si>
  <si>
    <t>Exterior Pump Room</t>
  </si>
  <si>
    <t>Main Gas Feed</t>
  </si>
  <si>
    <t>Meter changed on 11/19/14</t>
  </si>
  <si>
    <t>04B000408</t>
  </si>
  <si>
    <t>New Meter Serial Number - Start Number 4668</t>
  </si>
  <si>
    <t>Golf Course Irrigation</t>
  </si>
  <si>
    <t>New Meter Serial Number - Start Number 0</t>
  </si>
  <si>
    <t>Cooling Tower M/U Meter</t>
  </si>
  <si>
    <t>Meter Changed by RCID</t>
  </si>
  <si>
    <t>Disputed Bill</t>
  </si>
  <si>
    <t>Customer #</t>
  </si>
  <si>
    <t>Account #</t>
  </si>
  <si>
    <t>???</t>
  </si>
  <si>
    <t>Four Seasons   Utility Readings</t>
  </si>
  <si>
    <t>updated 9/1/19</t>
  </si>
  <si>
    <t xml:space="preserve">Water Meters </t>
  </si>
  <si>
    <t xml:space="preserve">  </t>
  </si>
  <si>
    <t>Potable Wtr Bldg A</t>
  </si>
  <si>
    <t>Main Gas Meter 2#</t>
  </si>
  <si>
    <t>Main Gas Meter 5#</t>
  </si>
  <si>
    <t>Capa Terrace</t>
  </si>
  <si>
    <t>Cooling Tower M/U</t>
  </si>
  <si>
    <t>Cooling Tower Bleed</t>
  </si>
  <si>
    <t>Irrigation</t>
  </si>
  <si>
    <t>Landscaping Mtr</t>
  </si>
  <si>
    <t>Electric Meters                                                              Service Yard #2</t>
  </si>
  <si>
    <t>Central Plant Service Yard</t>
  </si>
  <si>
    <t>Employee Parking</t>
  </si>
  <si>
    <t>Emerg Generator</t>
  </si>
  <si>
    <t>GEN01</t>
  </si>
  <si>
    <t>Tank Level</t>
  </si>
  <si>
    <t>Pool Hydranic Heater</t>
  </si>
  <si>
    <t>Spa Jacuzzi's</t>
  </si>
  <si>
    <t>1/4-3/4</t>
  </si>
  <si>
    <t>Make-up Water</t>
  </si>
  <si>
    <t>Water Meters</t>
  </si>
  <si>
    <t>Club House</t>
  </si>
  <si>
    <t>Club House Deduct</t>
  </si>
  <si>
    <t>Irrigation Reclaim Water</t>
  </si>
  <si>
    <t>Electric Meters</t>
  </si>
  <si>
    <t>CS0210A0300</t>
  </si>
  <si>
    <t>Natural Gas / Petroleum</t>
  </si>
  <si>
    <t>Propane Tank #1</t>
  </si>
  <si>
    <t>Propane Tank #2</t>
  </si>
  <si>
    <t>Unleaded Tank</t>
  </si>
  <si>
    <t>Diesel Tank</t>
  </si>
  <si>
    <t>Lube Oil Tank</t>
  </si>
  <si>
    <t>Nat Gas-Clubhouse</t>
  </si>
  <si>
    <t>Golf Mainenance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</si>
  <si>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</si>
  <si>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</si>
  <si>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</si>
  <si>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</si>
  <si>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</si>
  <si>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</si>
  <si>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</si>
  <si>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</si>
  <si>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</si>
  <si>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</si>
  <si>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</si>
  <si>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</si>
  <si>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Fuel Surcharge</t>
  </si>
  <si>
    <t>Gas</t>
  </si>
  <si>
    <t>hi</t>
  </si>
  <si>
    <t>Utility Distribution</t>
  </si>
  <si>
    <t>Four Seasons Resort Orlando at Walt Disney World Resort</t>
  </si>
  <si>
    <t>Electrical, Potable Water, Re-use Water, Natural Gas</t>
  </si>
  <si>
    <t>Water Deduct Meters downstream</t>
  </si>
  <si>
    <t xml:space="preserve">Golf Course Water </t>
  </si>
  <si>
    <t>of the main water meter for the Resort</t>
  </si>
  <si>
    <t>Distribution</t>
  </si>
  <si>
    <t>Meter Numbers Listed</t>
  </si>
  <si>
    <t>Bldg A Fire</t>
  </si>
  <si>
    <t>Sprinkler System</t>
  </si>
  <si>
    <t>Flushing Valve</t>
  </si>
  <si>
    <t xml:space="preserve">Make-up </t>
  </si>
  <si>
    <t xml:space="preserve">Deduct </t>
  </si>
  <si>
    <t>12" Potable Water Line</t>
  </si>
  <si>
    <t>Domestic Water</t>
  </si>
  <si>
    <t xml:space="preserve">Feed from </t>
  </si>
  <si>
    <t>from RCES</t>
  </si>
  <si>
    <t>RCES</t>
  </si>
  <si>
    <t>Bdlg A Potable</t>
  </si>
  <si>
    <t>Golf Maint</t>
  </si>
  <si>
    <t>Water Feed</t>
  </si>
  <si>
    <t>Facility</t>
  </si>
  <si>
    <t>Golf Course</t>
  </si>
  <si>
    <t>8" Re-use Water Line</t>
  </si>
  <si>
    <t>Re-use Water</t>
  </si>
  <si>
    <t>Re-Use Irrigation</t>
  </si>
  <si>
    <t>Feed from</t>
  </si>
  <si>
    <t>Steam Boilers</t>
  </si>
  <si>
    <t xml:space="preserve">Make-up Water </t>
  </si>
  <si>
    <t>Landscaping</t>
  </si>
  <si>
    <t>Re-use System</t>
  </si>
  <si>
    <t>Cooling Tower</t>
  </si>
  <si>
    <t>Cooling Twr</t>
  </si>
  <si>
    <t>Blowdown</t>
  </si>
  <si>
    <t>Line Deduct</t>
  </si>
  <si>
    <t>Feed at 50 PSI</t>
  </si>
  <si>
    <t>Reduced to 2 PSI</t>
  </si>
  <si>
    <t>Bldg E Potable</t>
  </si>
  <si>
    <t xml:space="preserve">for building </t>
  </si>
  <si>
    <t>Resort Natural</t>
  </si>
  <si>
    <t>Electrical Distribution</t>
  </si>
  <si>
    <t>12470 Volts distributed by RCES on 2 separate feeders to the Resort</t>
  </si>
  <si>
    <t>Pool Make-up</t>
  </si>
  <si>
    <t>Service</t>
  </si>
  <si>
    <t>Yard</t>
  </si>
  <si>
    <t>#1</t>
  </si>
  <si>
    <t>Pool Hydraunic</t>
  </si>
  <si>
    <t>Boiler Water</t>
  </si>
  <si>
    <t>Make-up</t>
  </si>
  <si>
    <t>Spa Jacuzzi</t>
  </si>
  <si>
    <t xml:space="preserve">Yard </t>
  </si>
  <si>
    <t>#2</t>
  </si>
  <si>
    <t>#3</t>
  </si>
  <si>
    <t xml:space="preserve">Golf </t>
  </si>
  <si>
    <t>Course &amp;</t>
  </si>
  <si>
    <t>Golf Maint.</t>
  </si>
  <si>
    <t>Cmft Stations</t>
  </si>
  <si>
    <t>% Occ</t>
  </si>
  <si>
    <t>CDD</t>
  </si>
  <si>
    <t>HDD</t>
  </si>
  <si>
    <t>Occupied Guest Rooms</t>
  </si>
  <si>
    <t>Electric KWH</t>
  </si>
  <si>
    <t>Electrical Use per Occupied Room</t>
  </si>
  <si>
    <t>Gas CCF</t>
  </si>
  <si>
    <t>Gas Use Per Occupied Room</t>
  </si>
  <si>
    <t>2019 Totals are through Sept 30th</t>
  </si>
  <si>
    <t>Occupancy</t>
  </si>
  <si>
    <t>Rooms Dept.</t>
  </si>
  <si>
    <t>Total Occupied</t>
  </si>
  <si>
    <t>Room Nights Input</t>
  </si>
  <si>
    <t>01</t>
  </si>
  <si>
    <t>Month: January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</si>
  <si>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</si>
  <si>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</si>
  <si>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</si>
  <si>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</si>
  <si>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</si>
  <si>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</si>
  <si>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</si>
  <si>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</si>
  <si>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</si>
  <si>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</si>
  <si>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</si>
  <si>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</si>
  <si>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</si>
  <si>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</si>
  <si>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</si>
  <si>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</si>
  <si>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</si>
  <si>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</si>
  <si>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</si>
  <si>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</si>
  <si>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</si>
  <si>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</si>
  <si>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</si>
  <si>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</si>
  <si>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</si>
  <si>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</si>
  <si>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</si>
  <si>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</si>
  <si>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</si>
  <si>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</si>
  <si>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Month: February</t>
  </si>
  <si>
    <t>Month: March</t>
  </si>
  <si>
    <t>Month: April</t>
  </si>
  <si>
    <t>Month: May</t>
  </si>
  <si>
    <t>Month: June</t>
  </si>
  <si>
    <t>Month: July</t>
  </si>
  <si>
    <t>Month: August</t>
  </si>
  <si>
    <t>Month: September</t>
  </si>
  <si>
    <t>Month: October</t>
  </si>
  <si>
    <t>Total Room Nights</t>
  </si>
  <si>
    <t>FS Resort Orlando Walt Disney World (Total)</t>
  </si>
  <si>
    <t>Base Currency</t>
  </si>
  <si>
    <t>Class</t>
  </si>
  <si>
    <t>Category</t>
  </si>
  <si>
    <t>Actual</t>
  </si>
  <si>
    <t>Forecast</t>
  </si>
  <si>
    <t>Final</t>
  </si>
  <si>
    <t>Year: 2014</t>
  </si>
  <si>
    <t>Year: 2015</t>
  </si>
  <si>
    <t>Year: 2016</t>
  </si>
  <si>
    <t>Year: 2017</t>
  </si>
  <si>
    <t>Year: 2018</t>
  </si>
  <si>
    <t>Year: 2019</t>
  </si>
  <si>
    <t>Year: 2020</t>
  </si>
  <si>
    <t>Year: 2021</t>
  </si>
  <si>
    <t>Total Rooms</t>
  </si>
  <si>
    <t>Month: November</t>
  </si>
  <si>
    <t>Month: December</t>
  </si>
  <si>
    <t>Working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</si>
</sst>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&quot;$&quot;#,##0.00"/>
    <numFmt numFmtId="166" formatCode="#,##0.0"/>
    <numFmt numFmtId="167" formatCode="0.0"/>
  </numFmts>
  <fonts count="4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26"/>
      <color theme="1"/>
      <name val="Calibri"/>
      <family val="2"/>
      <scheme val="minor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20"/>
      <color rgb="FFFF0000"/>
      <name val="Calibri"/>
      <family val="2"/>
      <scheme val="minor"/>
    </font>
    <font>
      <sz val="11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FFFF00"/>
        <bgColor rgb="FF000000"/>
      </patternFill>
    </fill>
  </fills>
  <borders count="35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47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21" borderId="0" applyNumberFormat="0" applyBorder="0" applyAlignment="0" applyProtection="0"/>
    <xf numFmtId="0" fontId="7" fillId="13" borderId="1" applyNumberFormat="0" applyAlignment="0" applyProtection="0"/>
    <xf numFmtId="0" fontId="2" fillId="13" borderId="2" applyNumberFormat="0" applyAlignment="0" applyProtection="0"/>
    <xf numFmtId="0" fontId="6" fillId="7" borderId="2" applyNumberFormat="0" applyAlignment="0" applyProtection="0"/>
    <xf numFmtId="0" fontId="10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0"/>
    <xf numFmtId="0" fontId="1" fillId="8" borderId="6" applyNumberFormat="0" applyFont="0" applyAlignment="0" applyProtection="0"/>
    <xf numFmtId="9" fontId="13" fillId="0" borderId="0" applyFont="0" applyFill="0" applyBorder="0" applyAlignment="0" applyProtection="0"/>
    <xf numFmtId="0" fontId="11" fillId="3" borderId="0" applyNumberFormat="0" applyBorder="0" applyAlignment="0" applyProtection="0"/>
    <xf numFmtId="0" fontId="14" fillId="0" borderId="0" applyNumberFormat="0" applyFill="0" applyBorder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7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3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4" fillId="22" borderId="4" applyNumberFormat="0" applyAlignment="0" applyProtection="0"/>
    <xf numFmtId="4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43" fontId="21" fillId="0" borderId="0" applyFont="0" applyFill="0" applyBorder="0" applyAlignment="0" applyProtection="0"/>
  </cellStyleXfs>
  <cellXfs count="298">
    <xf numFmtId="0" fontId="0" fillId="0" borderId="0" xfId="0"/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/>
    <xf numFmtId="0" fontId="0" fillId="0" borderId="12" xfId="0" applyBorder="1" applyAlignment="1">
      <alignment horizontal="center"/>
    </xf>
    <xf numFmtId="1" fontId="0" fillId="0" borderId="0" xfId="0" applyNumberFormat="1" applyAlignment="1">
      <alignment horizontal="center"/>
    </xf>
    <xf numFmtId="0" fontId="19" fillId="0" borderId="13" xfId="0" applyFont="1" applyBorder="1"/>
    <xf numFmtId="0" fontId="19" fillId="0" borderId="13" xfId="0" applyFont="1" applyBorder="1" applyAlignment="1">
      <alignment horizontal="center"/>
    </xf>
    <xf numFmtId="0" fontId="19" fillId="0" borderId="13" xfId="0" applyFont="1" applyBorder="1" applyAlignment="1">
      <alignment horizontal="center" wrapText="1"/>
    </xf>
    <xf numFmtId="0" fontId="19" fillId="0" borderId="13" xfId="0" applyFont="1" applyBorder="1" applyAlignment="1">
      <alignment horizontal="center" vertical="center"/>
    </xf>
    <xf numFmtId="1" fontId="19" fillId="0" borderId="13" xfId="0" applyNumberFormat="1" applyFont="1" applyBorder="1" applyAlignment="1">
      <alignment horizontal="center" vertical="center" wrapText="1"/>
    </xf>
    <xf numFmtId="2" fontId="20" fillId="0" borderId="13" xfId="0" applyNumberFormat="1" applyFont="1" applyBorder="1" applyAlignment="1">
      <alignment horizontal="center" wrapText="1"/>
    </xf>
    <xf numFmtId="164" fontId="18" fillId="0" borderId="0" xfId="0" applyNumberFormat="1" applyFont="1" applyAlignment="1">
      <alignment horizontal="center"/>
    </xf>
    <xf numFmtId="2" fontId="18" fillId="0" borderId="0" xfId="0" applyNumberFormat="1" applyFont="1" applyAlignment="1">
      <alignment horizontal="center"/>
    </xf>
    <xf numFmtId="0" fontId="20" fillId="0" borderId="13" xfId="0" applyFont="1" applyBorder="1" applyAlignment="1">
      <alignment horizontal="center" wrapText="1"/>
    </xf>
    <xf numFmtId="0" fontId="18" fillId="0" borderId="0" xfId="0" applyFont="1" applyAlignment="1">
      <alignment horizontal="center"/>
    </xf>
    <xf numFmtId="0" fontId="0" fillId="23" borderId="0" xfId="0" applyFill="1"/>
    <xf numFmtId="0" fontId="0" fillId="0" borderId="14" xfId="0" applyFill="1" applyBorder="1" applyAlignment="1">
      <alignment horizontal="center"/>
    </xf>
    <xf numFmtId="2" fontId="0" fillId="0" borderId="14" xfId="0" applyNumberFormat="1" applyFill="1" applyBorder="1" applyAlignment="1">
      <alignment horizontal="center"/>
    </xf>
    <xf numFmtId="0" fontId="0" fillId="23" borderId="0" xfId="0" applyFill="1" applyBorder="1" applyAlignment="1">
      <alignment horizontal="center"/>
    </xf>
    <xf numFmtId="0" fontId="0" fillId="24" borderId="0" xfId="0" applyFill="1"/>
    <xf numFmtId="0" fontId="0" fillId="23" borderId="12" xfId="0" applyFill="1" applyBorder="1"/>
    <xf numFmtId="0" fontId="0" fillId="0" borderId="12" xfId="0" applyBorder="1"/>
    <xf numFmtId="0" fontId="0" fillId="23" borderId="10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/>
    <xf numFmtId="14" fontId="0" fillId="0" borderId="0" xfId="0" applyNumberFormat="1"/>
    <xf numFmtId="0" fontId="0" fillId="0" borderId="12" xfId="0" applyFill="1" applyBorder="1"/>
    <xf numFmtId="0" fontId="0" fillId="0" borderId="10" xfId="0" applyFill="1" applyBorder="1" applyAlignment="1">
      <alignment horizontal="center"/>
    </xf>
    <xf numFmtId="0" fontId="0" fillId="23" borderId="12" xfId="0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12" xfId="0" applyBorder="1" applyAlignment="1">
      <alignment horizontal="center" wrapText="1"/>
    </xf>
    <xf numFmtId="0" fontId="23" fillId="0" borderId="14" xfId="0" applyFont="1" applyFill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24" xfId="0" applyBorder="1" applyAlignment="1">
      <alignment horizontal="center"/>
    </xf>
    <xf numFmtId="0" fontId="0" fillId="0" borderId="24" xfId="0" applyBorder="1"/>
    <xf numFmtId="0" fontId="0" fillId="0" borderId="0" xfId="0" applyBorder="1" applyAlignment="1">
      <alignment wrapText="1"/>
    </xf>
    <xf numFmtId="0" fontId="0" fillId="23" borderId="11" xfId="0" applyFill="1" applyBorder="1" applyAlignment="1">
      <alignment horizontal="center"/>
    </xf>
    <xf numFmtId="0" fontId="0" fillId="25" borderId="12" xfId="0" applyFont="1" applyFill="1" applyBorder="1"/>
    <xf numFmtId="0" fontId="0" fillId="23" borderId="16" xfId="0" applyFont="1" applyFill="1" applyBorder="1" applyAlignment="1">
      <alignment horizontal="center"/>
    </xf>
    <xf numFmtId="0" fontId="0" fillId="23" borderId="0" xfId="0" applyFont="1" applyFill="1" applyBorder="1" applyAlignment="1">
      <alignment horizontal="center"/>
    </xf>
    <xf numFmtId="0" fontId="0" fillId="0" borderId="12" xfId="0" applyFont="1" applyFill="1" applyBorder="1"/>
    <xf numFmtId="0" fontId="0" fillId="23" borderId="0" xfId="0" applyFont="1" applyFill="1"/>
    <xf numFmtId="0" fontId="0" fillId="0" borderId="12" xfId="0" applyFont="1" applyBorder="1"/>
    <xf numFmtId="0" fontId="0" fillId="25" borderId="12" xfId="0" applyFill="1" applyBorder="1" applyAlignment="1">
      <alignment wrapText="1"/>
    </xf>
    <xf numFmtId="0" fontId="0" fillId="25" borderId="12" xfId="0" applyFill="1" applyBorder="1"/>
    <xf numFmtId="1" fontId="0" fillId="25" borderId="12" xfId="0" applyNumberFormat="1" applyFill="1" applyBorder="1"/>
    <xf numFmtId="2" fontId="0" fillId="0" borderId="12" xfId="0" applyNumberFormat="1" applyFill="1" applyBorder="1" applyAlignment="1">
      <alignment horizontal="center"/>
    </xf>
    <xf numFmtId="0" fontId="0" fillId="23" borderId="12" xfId="0" applyFont="1" applyFill="1" applyBorder="1"/>
    <xf numFmtId="2" fontId="0" fillId="0" borderId="12" xfId="44" applyNumberFormat="1" applyFont="1" applyBorder="1"/>
    <xf numFmtId="1" fontId="20" fillId="0" borderId="13" xfId="0" applyNumberFormat="1" applyFont="1" applyBorder="1" applyAlignment="1">
      <alignment horizontal="center" vertical="center" wrapText="1"/>
    </xf>
    <xf numFmtId="1" fontId="18" fillId="0" borderId="0" xfId="0" applyNumberFormat="1" applyFont="1" applyAlignment="1">
      <alignment horizontal="center"/>
    </xf>
    <xf numFmtId="1" fontId="25" fillId="0" borderId="13" xfId="0" applyNumberFormat="1" applyFont="1" applyBorder="1" applyAlignment="1">
      <alignment horizontal="center" vertical="center" wrapText="1"/>
    </xf>
    <xf numFmtId="0" fontId="26" fillId="0" borderId="0" xfId="0" applyFont="1"/>
    <xf numFmtId="1" fontId="26" fillId="0" borderId="0" xfId="0" applyNumberFormat="1" applyFont="1"/>
    <xf numFmtId="1" fontId="27" fillId="0" borderId="13" xfId="0" applyNumberFormat="1" applyFont="1" applyBorder="1" applyAlignment="1">
      <alignment horizontal="center" vertical="center" wrapText="1"/>
    </xf>
    <xf numFmtId="0" fontId="28" fillId="0" borderId="0" xfId="0" applyFont="1"/>
    <xf numFmtId="0" fontId="0" fillId="0" borderId="17" xfId="0" applyBorder="1" applyAlignment="1">
      <alignment horizontal="center"/>
    </xf>
    <xf numFmtId="0" fontId="0" fillId="0" borderId="0" xfId="0" applyBorder="1"/>
    <xf numFmtId="0" fontId="0" fillId="0" borderId="0" xfId="0" applyFill="1"/>
    <xf numFmtId="165" fontId="0" fillId="0" borderId="0" xfId="0" applyNumberFormat="1"/>
    <xf numFmtId="2" fontId="0" fillId="0" borderId="0" xfId="0" applyNumberFormat="1"/>
    <xf numFmtId="165" fontId="0" fillId="0" borderId="0" xfId="0" applyNumberFormat="1" applyFill="1"/>
    <xf numFmtId="0" fontId="0" fillId="0" borderId="0" xfId="0" applyNumberFormat="1" applyFill="1"/>
    <xf numFmtId="3" fontId="0" fillId="0" borderId="0" xfId="0" applyNumberFormat="1"/>
    <xf numFmtId="165" fontId="0" fillId="23" borderId="0" xfId="0" applyNumberFormat="1" applyFill="1" applyBorder="1"/>
    <xf numFmtId="0" fontId="0" fillId="0" borderId="0" xfId="0" applyFill="1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0" borderId="14" xfId="0" applyNumberFormat="1" applyFill="1" applyBorder="1" applyAlignment="1">
      <alignment horizontal="center"/>
    </xf>
    <xf numFmtId="10" fontId="0" fillId="0" borderId="0" xfId="0" applyNumberFormat="1"/>
    <xf numFmtId="0" fontId="0" fillId="0" borderId="10" xfId="0" applyBorder="1" applyAlignment="1"/>
    <xf numFmtId="165" fontId="0" fillId="23" borderId="18" xfId="0" applyNumberFormat="1" applyFill="1" applyBorder="1"/>
    <xf numFmtId="165" fontId="0" fillId="23" borderId="10" xfId="0" applyNumberFormat="1" applyFill="1" applyBorder="1" applyAlignment="1">
      <alignment horizontal="center"/>
    </xf>
    <xf numFmtId="2" fontId="0" fillId="23" borderId="10" xfId="0" applyNumberFormat="1" applyFill="1" applyBorder="1" applyAlignment="1">
      <alignment horizontal="center"/>
    </xf>
    <xf numFmtId="0" fontId="0" fillId="0" borderId="10" xfId="0" applyNumberFormat="1" applyBorder="1" applyAlignment="1">
      <alignment horizontal="center"/>
    </xf>
    <xf numFmtId="165" fontId="0" fillId="23" borderId="0" xfId="0" applyNumberFormat="1" applyFill="1" applyBorder="1" applyAlignment="1">
      <alignment horizontal="center"/>
    </xf>
    <xf numFmtId="14" fontId="0" fillId="0" borderId="12" xfId="0" applyNumberFormat="1" applyBorder="1"/>
    <xf numFmtId="0" fontId="0" fillId="23" borderId="0" xfId="0" applyFill="1" applyBorder="1"/>
    <xf numFmtId="165" fontId="0" fillId="23" borderId="12" xfId="0" applyNumberFormat="1" applyFill="1" applyBorder="1"/>
    <xf numFmtId="0" fontId="0" fillId="23" borderId="10" xfId="0" applyFill="1" applyBorder="1"/>
    <xf numFmtId="2" fontId="0" fillId="23" borderId="12" xfId="0" applyNumberFormat="1" applyFill="1" applyBorder="1"/>
    <xf numFmtId="4" fontId="0" fillId="23" borderId="12" xfId="0" applyNumberFormat="1" applyFill="1" applyBorder="1"/>
    <xf numFmtId="0" fontId="23" fillId="0" borderId="0" xfId="0" applyFont="1" applyFill="1" applyBorder="1" applyAlignment="1">
      <alignment horizontal="center"/>
    </xf>
    <xf numFmtId="14" fontId="0" fillId="26" borderId="12" xfId="0" applyNumberFormat="1" applyFill="1" applyBorder="1"/>
    <xf numFmtId="0" fontId="23" fillId="0" borderId="0" xfId="0" applyFont="1" applyFill="1"/>
    <xf numFmtId="0" fontId="29" fillId="0" borderId="12" xfId="0" applyFont="1" applyFill="1" applyBorder="1" applyAlignment="1">
      <alignment horizontal="center"/>
    </xf>
    <xf numFmtId="0" fontId="30" fillId="0" borderId="0" xfId="0" applyFont="1" applyFill="1"/>
    <xf numFmtId="0" fontId="31" fillId="0" borderId="0" xfId="0" applyFont="1" applyFill="1"/>
    <xf numFmtId="3" fontId="22" fillId="0" borderId="0" xfId="0" applyNumberFormat="1" applyFont="1" applyFill="1"/>
    <xf numFmtId="0" fontId="22" fillId="0" borderId="0" xfId="0" applyFont="1" applyFill="1"/>
    <xf numFmtId="166" fontId="22" fillId="0" borderId="0" xfId="0" applyNumberFormat="1" applyFont="1" applyFill="1"/>
    <xf numFmtId="0" fontId="0" fillId="0" borderId="12" xfId="0" applyNumberFormat="1" applyFill="1" applyBorder="1"/>
    <xf numFmtId="0" fontId="0" fillId="23" borderId="22" xfId="0" applyFill="1" applyBorder="1"/>
    <xf numFmtId="166" fontId="0" fillId="0" borderId="14" xfId="0" applyNumberFormat="1" applyBorder="1"/>
    <xf numFmtId="166" fontId="0" fillId="0" borderId="10" xfId="0" applyNumberFormat="1" applyBorder="1"/>
    <xf numFmtId="3" fontId="0" fillId="0" borderId="12" xfId="0" applyNumberFormat="1" applyBorder="1"/>
    <xf numFmtId="165" fontId="0" fillId="0" borderId="12" xfId="0" applyNumberFormat="1" applyBorder="1"/>
    <xf numFmtId="0" fontId="0" fillId="0" borderId="30" xfId="0" applyBorder="1"/>
    <xf numFmtId="0" fontId="0" fillId="25" borderId="22" xfId="0" applyFill="1" applyBorder="1"/>
    <xf numFmtId="0" fontId="0" fillId="0" borderId="0" xfId="0" applyFill="1" applyAlignment="1">
      <alignment wrapText="1"/>
    </xf>
    <xf numFmtId="44" fontId="0" fillId="0" borderId="0" xfId="44" applyFont="1"/>
    <xf numFmtId="1" fontId="0" fillId="0" borderId="0" xfId="44" applyNumberFormat="1" applyFont="1"/>
    <xf numFmtId="2" fontId="0" fillId="0" borderId="0" xfId="44" applyNumberFormat="1" applyFont="1"/>
    <xf numFmtId="165" fontId="0" fillId="0" borderId="0" xfId="0" applyNumberFormat="1" applyAlignment="1">
      <alignment wrapText="1"/>
    </xf>
    <xf numFmtId="44" fontId="0" fillId="0" borderId="0" xfId="44" applyFont="1" applyFill="1"/>
    <xf numFmtId="2" fontId="0" fillId="0" borderId="10" xfId="0" applyNumberFormat="1" applyBorder="1" applyAlignment="1">
      <alignment horizontal="center"/>
    </xf>
    <xf numFmtId="44" fontId="0" fillId="0" borderId="10" xfId="44" applyFont="1" applyBorder="1" applyAlignment="1">
      <alignment horizontal="center"/>
    </xf>
    <xf numFmtId="165" fontId="0" fillId="23" borderId="12" xfId="0" applyNumberFormat="1" applyFill="1" applyBorder="1" applyAlignment="1">
      <alignment horizontal="center"/>
    </xf>
    <xf numFmtId="44" fontId="0" fillId="0" borderId="12" xfId="44" applyFont="1" applyFill="1" applyBorder="1" applyAlignment="1">
      <alignment horizontal="center"/>
    </xf>
    <xf numFmtId="44" fontId="0" fillId="0" borderId="12" xfId="44" applyFont="1" applyBorder="1"/>
    <xf numFmtId="1" fontId="0" fillId="0" borderId="12" xfId="44" applyNumberFormat="1" applyFont="1" applyBorder="1"/>
    <xf numFmtId="2" fontId="0" fillId="0" borderId="12" xfId="44" applyNumberFormat="1" applyFont="1" applyFill="1" applyBorder="1" applyAlignment="1">
      <alignment horizontal="center"/>
    </xf>
    <xf numFmtId="44" fontId="0" fillId="0" borderId="12" xfId="44" applyFont="1" applyFill="1" applyBorder="1"/>
    <xf numFmtId="165" fontId="0" fillId="0" borderId="12" xfId="0" applyNumberFormat="1" applyBorder="1" applyAlignment="1">
      <alignment wrapText="1"/>
    </xf>
    <xf numFmtId="165" fontId="0" fillId="0" borderId="12" xfId="0" applyNumberFormat="1" applyFill="1" applyBorder="1"/>
    <xf numFmtId="44" fontId="0" fillId="0" borderId="12" xfId="0" applyNumberFormat="1" applyBorder="1"/>
    <xf numFmtId="0" fontId="22" fillId="0" borderId="14" xfId="0" applyFont="1" applyFill="1" applyBorder="1" applyAlignment="1">
      <alignment horizontal="center"/>
    </xf>
    <xf numFmtId="44" fontId="23" fillId="0" borderId="14" xfId="44" applyFont="1" applyFill="1" applyBorder="1" applyAlignment="1">
      <alignment horizontal="center"/>
    </xf>
    <xf numFmtId="0" fontId="23" fillId="0" borderId="0" xfId="0" applyFont="1" applyFill="1" applyAlignment="1">
      <alignment wrapText="1"/>
    </xf>
    <xf numFmtId="0" fontId="23" fillId="0" borderId="14" xfId="0" applyFont="1" applyFill="1" applyBorder="1"/>
    <xf numFmtId="0" fontId="23" fillId="0" borderId="24" xfId="0" applyFont="1" applyFill="1" applyBorder="1"/>
    <xf numFmtId="2" fontId="0" fillId="23" borderId="12" xfId="44" applyNumberFormat="1" applyFont="1" applyFill="1" applyBorder="1"/>
    <xf numFmtId="1" fontId="0" fillId="0" borderId="12" xfId="0" applyNumberFormat="1" applyBorder="1" applyAlignment="1">
      <alignment horizontal="center"/>
    </xf>
    <xf numFmtId="14" fontId="0" fillId="0" borderId="12" xfId="0" applyNumberFormat="1" applyFont="1" applyBorder="1"/>
    <xf numFmtId="0" fontId="0" fillId="0" borderId="0" xfId="0" applyFont="1"/>
    <xf numFmtId="165" fontId="0" fillId="0" borderId="0" xfId="0" applyNumberFormat="1" applyFont="1"/>
    <xf numFmtId="165" fontId="0" fillId="0" borderId="0" xfId="0" applyNumberFormat="1" applyFont="1" applyAlignment="1">
      <alignment wrapText="1"/>
    </xf>
    <xf numFmtId="0" fontId="0" fillId="0" borderId="0" xfId="0" applyFont="1" applyFill="1"/>
    <xf numFmtId="165" fontId="0" fillId="0" borderId="0" xfId="0" applyNumberFormat="1" applyFont="1" applyBorder="1"/>
    <xf numFmtId="0" fontId="0" fillId="0" borderId="0" xfId="0" applyFont="1" applyBorder="1"/>
    <xf numFmtId="44" fontId="0" fillId="0" borderId="0" xfId="0" applyNumberFormat="1" applyFont="1" applyBorder="1"/>
    <xf numFmtId="0" fontId="0" fillId="23" borderId="18" xfId="0" applyFont="1" applyFill="1" applyBorder="1"/>
    <xf numFmtId="0" fontId="0" fillId="0" borderId="30" xfId="0" applyFont="1" applyBorder="1"/>
    <xf numFmtId="0" fontId="32" fillId="0" borderId="0" xfId="0" applyFont="1"/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  <xf numFmtId="0" fontId="33" fillId="0" borderId="0" xfId="0" applyFont="1"/>
    <xf numFmtId="0" fontId="34" fillId="0" borderId="0" xfId="0" applyFont="1"/>
    <xf numFmtId="0" fontId="35" fillId="0" borderId="25" xfId="0" applyFont="1" applyBorder="1" applyAlignment="1">
      <alignment vertical="top"/>
    </xf>
    <xf numFmtId="0" fontId="35" fillId="0" borderId="26" xfId="0" applyFont="1" applyBorder="1" applyAlignment="1">
      <alignment vertical="top"/>
    </xf>
    <xf numFmtId="0" fontId="34" fillId="0" borderId="26" xfId="0" applyFont="1" applyBorder="1"/>
    <xf numFmtId="0" fontId="34" fillId="0" borderId="27" xfId="0" applyFont="1" applyBorder="1"/>
    <xf numFmtId="0" fontId="34" fillId="0" borderId="15" xfId="0" applyFont="1" applyBorder="1"/>
    <xf numFmtId="0" fontId="34" fillId="0" borderId="16" xfId="0" applyFont="1" applyBorder="1"/>
    <xf numFmtId="0" fontId="36" fillId="0" borderId="17" xfId="0" applyFont="1" applyBorder="1"/>
    <xf numFmtId="0" fontId="36" fillId="0" borderId="11" xfId="0" applyFont="1" applyBorder="1"/>
    <xf numFmtId="0" fontId="0" fillId="0" borderId="0" xfId="0" applyAlignment="1">
      <alignment vertical="top"/>
    </xf>
    <xf numFmtId="0" fontId="37" fillId="0" borderId="0" xfId="0" applyFont="1"/>
    <xf numFmtId="0" fontId="34" fillId="0" borderId="18" xfId="0" applyFont="1" applyBorder="1"/>
    <xf numFmtId="0" fontId="34" fillId="0" borderId="22" xfId="0" applyFont="1" applyBorder="1"/>
    <xf numFmtId="0" fontId="34" fillId="26" borderId="15" xfId="0" applyFont="1" applyFill="1" applyBorder="1" applyAlignment="1">
      <alignment horizontal="center"/>
    </xf>
    <xf numFmtId="0" fontId="34" fillId="26" borderId="0" xfId="0" applyFont="1" applyFill="1" applyBorder="1" applyAlignment="1">
      <alignment horizontal="center"/>
    </xf>
    <xf numFmtId="0" fontId="34" fillId="0" borderId="0" xfId="0" applyFont="1" applyBorder="1"/>
    <xf numFmtId="0" fontId="34" fillId="0" borderId="19" xfId="0" applyFont="1" applyFill="1" applyBorder="1"/>
    <xf numFmtId="0" fontId="34" fillId="0" borderId="21" xfId="0" applyFont="1" applyFill="1" applyBorder="1"/>
    <xf numFmtId="0" fontId="34" fillId="0" borderId="18" xfId="0" applyFont="1" applyFill="1" applyBorder="1"/>
    <xf numFmtId="0" fontId="34" fillId="0" borderId="22" xfId="0" applyFont="1" applyFill="1" applyBorder="1"/>
    <xf numFmtId="0" fontId="34" fillId="26" borderId="0" xfId="0" applyFont="1" applyFill="1" applyBorder="1" applyAlignment="1">
      <alignment horizontal="center" wrapText="1"/>
    </xf>
    <xf numFmtId="0" fontId="34" fillId="0" borderId="0" xfId="0" applyFont="1" applyAlignment="1">
      <alignment wrapText="1"/>
    </xf>
    <xf numFmtId="0" fontId="34" fillId="27" borderId="17" xfId="0" applyFont="1" applyFill="1" applyBorder="1"/>
    <xf numFmtId="0" fontId="34" fillId="27" borderId="11" xfId="0" applyFont="1" applyFill="1" applyBorder="1"/>
    <xf numFmtId="0" fontId="38" fillId="0" borderId="12" xfId="0" applyFont="1" applyBorder="1" applyAlignment="1">
      <alignment horizontal="center"/>
    </xf>
    <xf numFmtId="0" fontId="34" fillId="27" borderId="12" xfId="0" applyFont="1" applyFill="1" applyBorder="1" applyAlignment="1">
      <alignment horizontal="center"/>
    </xf>
    <xf numFmtId="0" fontId="34" fillId="27" borderId="12" xfId="0" applyFont="1" applyFill="1" applyBorder="1"/>
    <xf numFmtId="0" fontId="36" fillId="0" borderId="12" xfId="0" applyFont="1" applyBorder="1" applyAlignment="1">
      <alignment horizontal="center"/>
    </xf>
    <xf numFmtId="0" fontId="34" fillId="0" borderId="12" xfId="0" applyFont="1" applyBorder="1" applyAlignment="1"/>
    <xf numFmtId="0" fontId="34" fillId="27" borderId="12" xfId="0" applyFont="1" applyFill="1" applyBorder="1" applyAlignment="1"/>
    <xf numFmtId="0" fontId="34" fillId="26" borderId="33" xfId="0" applyFont="1" applyFill="1" applyBorder="1"/>
    <xf numFmtId="0" fontId="34" fillId="27" borderId="18" xfId="0" applyFont="1" applyFill="1" applyBorder="1"/>
    <xf numFmtId="0" fontId="34" fillId="27" borderId="22" xfId="0" applyFont="1" applyFill="1" applyBorder="1"/>
    <xf numFmtId="0" fontId="35" fillId="0" borderId="0" xfId="0" applyFont="1" applyBorder="1" applyAlignment="1"/>
    <xf numFmtId="0" fontId="34" fillId="27" borderId="19" xfId="0" applyFont="1" applyFill="1" applyBorder="1"/>
    <xf numFmtId="0" fontId="34" fillId="27" borderId="21" xfId="0" applyFont="1" applyFill="1" applyBorder="1"/>
    <xf numFmtId="0" fontId="34" fillId="0" borderId="13" xfId="0" applyFont="1" applyBorder="1"/>
    <xf numFmtId="0" fontId="24" fillId="0" borderId="0" xfId="0" applyFont="1"/>
    <xf numFmtId="0" fontId="0" fillId="0" borderId="13" xfId="0" applyBorder="1"/>
    <xf numFmtId="0" fontId="0" fillId="0" borderId="21" xfId="0" applyBorder="1"/>
    <xf numFmtId="0" fontId="0" fillId="0" borderId="19" xfId="0" applyBorder="1"/>
    <xf numFmtId="0" fontId="0" fillId="0" borderId="20" xfId="0" applyBorder="1"/>
    <xf numFmtId="0" fontId="0" fillId="0" borderId="11" xfId="0" applyBorder="1"/>
    <xf numFmtId="0" fontId="0" fillId="0" borderId="17" xfId="0" applyBorder="1"/>
    <xf numFmtId="0" fontId="40" fillId="0" borderId="16" xfId="0" applyFont="1" applyBorder="1" applyAlignment="1">
      <alignment vertical="center" wrapText="1"/>
    </xf>
    <xf numFmtId="0" fontId="40" fillId="0" borderId="0" xfId="0" applyFont="1" applyBorder="1" applyAlignment="1">
      <alignment vertical="center" wrapText="1"/>
    </xf>
    <xf numFmtId="0" fontId="36" fillId="0" borderId="0" xfId="0" applyFont="1" applyBorder="1"/>
    <xf numFmtId="0" fontId="41" fillId="0" borderId="0" xfId="0" applyFont="1" applyBorder="1" applyAlignment="1"/>
    <xf numFmtId="0" fontId="41" fillId="0" borderId="16" xfId="0" applyFont="1" applyBorder="1" applyAlignment="1"/>
    <xf numFmtId="0" fontId="0" fillId="0" borderId="13" xfId="0" applyBorder="1" applyAlignment="1"/>
    <xf numFmtId="0" fontId="0" fillId="0" borderId="11" xfId="0" applyBorder="1" applyAlignment="1"/>
    <xf numFmtId="0" fontId="0" fillId="0" borderId="0" xfId="0" applyBorder="1" applyAlignment="1"/>
    <xf numFmtId="0" fontId="0" fillId="0" borderId="16" xfId="0" applyBorder="1" applyAlignment="1"/>
    <xf numFmtId="0" fontId="0" fillId="0" borderId="15" xfId="0" applyBorder="1" applyAlignment="1"/>
    <xf numFmtId="167" fontId="0" fillId="0" borderId="0" xfId="0" applyNumberFormat="1"/>
    <xf numFmtId="167" fontId="0" fillId="0" borderId="0" xfId="0" quotePrefix="1" applyNumberFormat="1"/>
    <xf numFmtId="0" fontId="42" fillId="0" borderId="12" xfId="0" applyFont="1" applyBorder="1"/>
    <xf numFmtId="0" fontId="42" fillId="0" borderId="30" xfId="0" applyFont="1" applyBorder="1"/>
    <xf numFmtId="0" fontId="42" fillId="0" borderId="0" xfId="0" applyFont="1"/>
    <xf numFmtId="0" fontId="44" fillId="0" borderId="34" xfId="0" applyFont="1" applyBorder="1" applyProtection="1">
      <protection locked="0"/>
    </xf>
    <xf numFmtId="0" fontId="44" fillId="0" borderId="34" xfId="0" quotePrefix="1" applyFont="1" applyBorder="1" applyProtection="1">
      <protection locked="0"/>
    </xf>
    <xf numFmtId="10" fontId="44" fillId="0" borderId="34" xfId="45" applyNumberFormat="1" applyFont="1" applyFill="1" applyBorder="1" applyProtection="1">
      <protection locked="0"/>
    </xf>
    <xf numFmtId="43" fontId="0" fillId="0" borderId="0" xfId="0" applyNumberFormat="1" applyAlignment="1">
      <alignment horizontal="right"/>
    </xf>
    <xf numFmtId="0" fontId="42" fillId="28" borderId="12" xfId="0" applyFont="1" applyFill="1" applyBorder="1"/>
    <xf numFmtId="0" fontId="42" fillId="29" borderId="0" xfId="0" applyFont="1" applyFill="1"/>
    <xf numFmtId="0" fontId="42" fillId="28" borderId="18" xfId="0" applyFont="1" applyFill="1" applyBorder="1"/>
    <xf numFmtId="0" fontId="42" fillId="28" borderId="22" xfId="0" applyFont="1" applyFill="1" applyBorder="1"/>
    <xf numFmtId="0" fontId="42" fillId="0" borderId="12" xfId="0" applyFont="1" applyBorder="1" applyAlignment="1">
      <alignment horizontal="center"/>
    </xf>
    <xf numFmtId="0" fontId="0" fillId="0" borderId="34" xfId="0" applyNumberFormat="1" applyFill="1" applyBorder="1" applyProtection="1">
      <protection locked="0"/>
    </xf>
    <xf numFmtId="43" fontId="0" fillId="0" borderId="0" xfId="46" applyFont="1"/>
    <xf numFmtId="0" fontId="0" fillId="0" borderId="34" xfId="0" quotePrefix="1" applyNumberFormat="1" applyFill="1" applyBorder="1" applyProtection="1">
      <protection locked="0"/>
    </xf>
    <xf numFmtId="1" fontId="43" fillId="0" borderId="18" xfId="0" applyNumberFormat="1" applyFont="1" applyFill="1" applyBorder="1" applyAlignment="1">
      <alignment horizontal="center"/>
    </xf>
    <xf numFmtId="1" fontId="20" fillId="0" borderId="24" xfId="0" applyNumberFormat="1" applyFont="1" applyBorder="1" applyAlignment="1">
      <alignment horizontal="center"/>
    </xf>
    <xf numFmtId="1" fontId="20" fillId="0" borderId="10" xfId="0" applyNumberFormat="1" applyFont="1" applyBorder="1" applyAlignment="1">
      <alignment horizontal="center"/>
    </xf>
    <xf numFmtId="1" fontId="18" fillId="0" borderId="12" xfId="0" applyNumberFormat="1" applyFont="1" applyBorder="1" applyAlignment="1">
      <alignment horizontal="center"/>
    </xf>
    <xf numFmtId="0" fontId="34" fillId="0" borderId="18" xfId="0" applyFont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6" fillId="0" borderId="18" xfId="0" applyFont="1" applyBorder="1" applyAlignment="1">
      <alignment horizontal="center"/>
    </xf>
    <xf numFmtId="0" fontId="36" fillId="0" borderId="22" xfId="0" applyFont="1" applyBorder="1" applyAlignment="1">
      <alignment horizontal="center"/>
    </xf>
    <xf numFmtId="0" fontId="36" fillId="0" borderId="17" xfId="0" applyFont="1" applyBorder="1" applyAlignment="1"/>
    <xf numFmtId="0" fontId="36" fillId="0" borderId="11" xfId="0" applyFont="1" applyBorder="1" applyAlignment="1"/>
    <xf numFmtId="0" fontId="36" fillId="0" borderId="17" xfId="0" applyFont="1" applyBorder="1" applyAlignment="1">
      <alignment horizontal="center"/>
    </xf>
    <xf numFmtId="0" fontId="36" fillId="0" borderId="11" xfId="0" applyFont="1" applyBorder="1" applyAlignment="1">
      <alignment horizontal="center"/>
    </xf>
    <xf numFmtId="0" fontId="34" fillId="0" borderId="12" xfId="0" applyFont="1" applyBorder="1" applyAlignment="1">
      <alignment horizontal="center"/>
    </xf>
    <xf numFmtId="0" fontId="39" fillId="0" borderId="18" xfId="0" applyFont="1" applyBorder="1" applyAlignment="1">
      <alignment horizontal="center"/>
    </xf>
    <xf numFmtId="0" fontId="39" fillId="0" borderId="22" xfId="0" applyFont="1" applyBorder="1" applyAlignment="1">
      <alignment horizontal="center"/>
    </xf>
    <xf numFmtId="1" fontId="34" fillId="0" borderId="18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0" fontId="36" fillId="0" borderId="19" xfId="0" applyFont="1" applyBorder="1" applyAlignment="1">
      <alignment horizontal="center"/>
    </xf>
    <xf numFmtId="0" fontId="36" fillId="0" borderId="21" xfId="0" applyFont="1" applyBorder="1" applyAlignment="1">
      <alignment horizontal="center"/>
    </xf>
    <xf numFmtId="0" fontId="34" fillId="27" borderId="15" xfId="0" applyFont="1" applyFill="1" applyBorder="1" applyAlignment="1">
      <alignment horizontal="center"/>
    </xf>
    <xf numFmtId="0" fontId="34" fillId="27" borderId="16" xfId="0" applyFont="1" applyFill="1" applyBorder="1" applyAlignment="1">
      <alignment horizontal="center"/>
    </xf>
    <xf numFmtId="0" fontId="35" fillId="0" borderId="31" xfId="0" applyFont="1" applyBorder="1" applyAlignment="1">
      <alignment horizontal="center"/>
    </xf>
    <xf numFmtId="0" fontId="35" fillId="0" borderId="32" xfId="0" applyFont="1" applyBorder="1" applyAlignment="1">
      <alignment horizontal="center"/>
    </xf>
    <xf numFmtId="0" fontId="35" fillId="0" borderId="29" xfId="0" applyFont="1" applyBorder="1" applyAlignment="1">
      <alignment horizontal="center"/>
    </xf>
    <xf numFmtId="0" fontId="35" fillId="0" borderId="28" xfId="0" applyFont="1" applyBorder="1" applyAlignment="1">
      <alignment horizontal="center"/>
    </xf>
    <xf numFmtId="0" fontId="36" fillId="0" borderId="12" xfId="0" applyFont="1" applyBorder="1" applyAlignment="1">
      <alignment horizontal="center"/>
    </xf>
    <xf numFmtId="0" fontId="36" fillId="0" borderId="15" xfId="0" applyFont="1" applyBorder="1" applyAlignment="1">
      <alignment horizontal="center"/>
    </xf>
    <xf numFmtId="0" fontId="36" fillId="0" borderId="16" xfId="0" applyFont="1" applyBorder="1" applyAlignment="1">
      <alignment horizontal="center"/>
    </xf>
    <xf numFmtId="0" fontId="35" fillId="0" borderId="25" xfId="0" applyFont="1" applyBorder="1" applyAlignment="1">
      <alignment horizontal="left"/>
    </xf>
    <xf numFmtId="0" fontId="35" fillId="0" borderId="26" xfId="0" applyFont="1" applyBorder="1" applyAlignment="1">
      <alignment horizontal="left"/>
    </xf>
    <xf numFmtId="0" fontId="34" fillId="0" borderId="15" xfId="0" applyFont="1" applyFill="1" applyBorder="1" applyAlignment="1">
      <alignment horizontal="center"/>
    </xf>
    <xf numFmtId="0" fontId="34" fillId="0" borderId="16" xfId="0" applyFont="1" applyFill="1" applyBorder="1" applyAlignment="1">
      <alignment horizontal="center"/>
    </xf>
    <xf numFmtId="0" fontId="34" fillId="0" borderId="17" xfId="0" applyFont="1" applyFill="1" applyBorder="1" applyAlignment="1">
      <alignment horizontal="center"/>
    </xf>
    <xf numFmtId="0" fontId="34" fillId="0" borderId="11" xfId="0" applyFont="1" applyFill="1" applyBorder="1" applyAlignment="1">
      <alignment horizontal="center"/>
    </xf>
    <xf numFmtId="0" fontId="36" fillId="0" borderId="15" xfId="0" applyFont="1" applyBorder="1" applyAlignment="1">
      <alignment horizontal="center" wrapText="1"/>
    </xf>
    <xf numFmtId="0" fontId="36" fillId="0" borderId="16" xfId="0" applyFont="1" applyBorder="1" applyAlignment="1">
      <alignment horizontal="center" wrapText="1"/>
    </xf>
    <xf numFmtId="0" fontId="0" fillId="0" borderId="1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19" fillId="0" borderId="13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36" fillId="0" borderId="0" xfId="0" applyFont="1" applyBorder="1" applyAlignment="1">
      <alignment horizontal="center" wrapText="1"/>
    </xf>
    <xf numFmtId="0" fontId="0" fillId="0" borderId="13" xfId="0" quotePrefix="1" applyBorder="1" applyAlignment="1">
      <alignment horizontal="center"/>
    </xf>
    <xf numFmtId="0" fontId="0" fillId="0" borderId="15" xfId="0" applyNumberFormat="1" applyFill="1" applyBorder="1" applyAlignment="1">
      <alignment horizontal="left"/>
    </xf>
    <xf numFmtId="0" fontId="0" fillId="0" borderId="0" xfId="0" applyNumberFormat="1" applyFill="1" applyBorder="1" applyAlignment="1">
      <alignment horizontal="left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42" fillId="0" borderId="18" xfId="0" applyFont="1" applyBorder="1" applyAlignment="1">
      <alignment horizontal="center"/>
    </xf>
    <xf numFmtId="0" fontId="42" fillId="0" borderId="22" xfId="0" applyFont="1" applyBorder="1" applyAlignment="1">
      <alignment horizontal="center"/>
    </xf>
    <xf numFmtId="0" fontId="30" fillId="0" borderId="18" xfId="0" applyFont="1" applyFill="1" applyBorder="1" applyAlignment="1">
      <alignment horizontal="center"/>
    </xf>
    <xf numFmtId="0" fontId="30" fillId="0" borderId="23" xfId="0" applyFont="1" applyFill="1" applyBorder="1" applyAlignment="1">
      <alignment horizontal="center"/>
    </xf>
    <xf numFmtId="0" fontId="22" fillId="0" borderId="15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/>
    </xf>
    <xf numFmtId="0" fontId="22" fillId="0" borderId="16" xfId="0" applyFont="1" applyFill="1" applyBorder="1" applyAlignment="1">
      <alignment horizontal="center"/>
    </xf>
    <xf numFmtId="0" fontId="24" fillId="0" borderId="17" xfId="0" applyFont="1" applyFill="1" applyBorder="1" applyAlignment="1">
      <alignment horizontal="center"/>
    </xf>
    <xf numFmtId="0" fontId="24" fillId="0" borderId="13" xfId="0" applyFont="1" applyFill="1" applyBorder="1" applyAlignment="1">
      <alignment horizontal="center"/>
    </xf>
    <xf numFmtId="0" fontId="0" fillId="0" borderId="18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2" xfId="0" applyFill="1" applyBorder="1" applyAlignment="1">
      <alignment horizontal="center"/>
    </xf>
    <xf numFmtId="0" fontId="23" fillId="0" borderId="19" xfId="0" applyFont="1" applyFill="1" applyBorder="1" applyAlignment="1">
      <alignment horizontal="center"/>
    </xf>
    <xf numFmtId="0" fontId="23" fillId="0" borderId="21" xfId="0" applyFont="1" applyFill="1" applyBorder="1" applyAlignment="1">
      <alignment horizontal="center"/>
    </xf>
    <xf numFmtId="0" fontId="23" fillId="0" borderId="18" xfId="0" applyFont="1" applyFill="1" applyBorder="1" applyAlignment="1">
      <alignment horizontal="center"/>
    </xf>
    <xf numFmtId="0" fontId="23" fillId="0" borderId="23" xfId="0" applyFont="1" applyFill="1" applyBorder="1" applyAlignment="1">
      <alignment horizontal="center"/>
    </xf>
    <xf numFmtId="0" fontId="23" fillId="0" borderId="22" xfId="0" applyFont="1" applyFill="1" applyBorder="1" applyAlignment="1">
      <alignment horizontal="center"/>
    </xf>
    <xf numFmtId="0" fontId="23" fillId="0" borderId="17" xfId="0" applyFont="1" applyFill="1" applyBorder="1" applyAlignment="1">
      <alignment horizontal="center"/>
    </xf>
    <xf numFmtId="0" fontId="23" fillId="0" borderId="20" xfId="0" applyFont="1" applyFill="1" applyBorder="1" applyAlignment="1">
      <alignment horizontal="center"/>
    </xf>
    <xf numFmtId="0" fontId="19" fillId="0" borderId="19" xfId="0" applyFont="1" applyFill="1" applyBorder="1" applyAlignment="1">
      <alignment horizontal="center"/>
    </xf>
    <xf numFmtId="0" fontId="19" fillId="0" borderId="20" xfId="0" applyFont="1" applyFill="1" applyBorder="1" applyAlignment="1">
      <alignment horizontal="center"/>
    </xf>
    <xf numFmtId="0" fontId="19" fillId="0" borderId="21" xfId="0" applyFont="1" applyFill="1" applyBorder="1" applyAlignment="1">
      <alignment horizontal="center"/>
    </xf>
    <xf numFmtId="0" fontId="23" fillId="0" borderId="12" xfId="0" applyFont="1" applyFill="1" applyBorder="1" applyAlignment="1">
      <alignment horizontal="center"/>
    </xf>
    <xf numFmtId="165" fontId="0" fillId="0" borderId="14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65" fontId="0" fillId="0" borderId="14" xfId="0" applyNumberFormat="1" applyBorder="1" applyAlignment="1">
      <alignment horizontal="center" wrapText="1"/>
    </xf>
    <xf numFmtId="165" fontId="0" fillId="0" borderId="10" xfId="0" applyNumberFormat="1" applyBorder="1" applyAlignment="1">
      <alignment horizontal="center" wrapText="1"/>
    </xf>
    <xf numFmtId="165" fontId="0" fillId="0" borderId="24" xfId="0" applyNumberFormat="1" applyBorder="1" applyAlignment="1">
      <alignment horizontal="center" wrapText="1"/>
    </xf>
    <xf numFmtId="0" fontId="0" fillId="0" borderId="12" xfId="0" applyFont="1" applyBorder="1" applyAlignment="1">
      <alignment horizontal="center"/>
    </xf>
    <xf numFmtId="0" fontId="0" fillId="0" borderId="12" xfId="0" applyFont="1" applyFill="1" applyBorder="1" applyAlignment="1">
      <alignment horizontal="center"/>
    </xf>
  </cellXfs>
  <cellStyles count="47">
    <cellStyle name="20% - Akzent1" xfId="1" xr:uid="{00000000-0005-0000-0000-000000000000}"/>
    <cellStyle name="20% - Akzent2" xfId="2" xr:uid="{00000000-0005-0000-0000-000001000000}"/>
    <cellStyle name="20% - Akzent3" xfId="3" xr:uid="{00000000-0005-0000-0000-000002000000}"/>
    <cellStyle name="20% - Akzent4" xfId="4" xr:uid="{00000000-0005-0000-0000-000003000000}"/>
    <cellStyle name="20% - Akzent5" xfId="5" xr:uid="{00000000-0005-0000-0000-000004000000}"/>
    <cellStyle name="20% - Akzent6" xfId="6" xr:uid="{00000000-0005-0000-0000-000005000000}"/>
    <cellStyle name="40% - Akzent1" xfId="7" xr:uid="{00000000-0005-0000-0000-000006000000}"/>
    <cellStyle name="40% - Akzent2" xfId="8" xr:uid="{00000000-0005-0000-0000-000007000000}"/>
    <cellStyle name="40% - Akzent3" xfId="9" xr:uid="{00000000-0005-0000-0000-000008000000}"/>
    <cellStyle name="40% - Akzent4" xfId="10" xr:uid="{00000000-0005-0000-0000-000009000000}"/>
    <cellStyle name="40% - Akzent5" xfId="11" xr:uid="{00000000-0005-0000-0000-00000A000000}"/>
    <cellStyle name="40% - Akzent6" xfId="12" xr:uid="{00000000-0005-0000-0000-00000B000000}"/>
    <cellStyle name="60% - Akzent1" xfId="13" xr:uid="{00000000-0005-0000-0000-00000C000000}"/>
    <cellStyle name="60% - Akzent2" xfId="14" xr:uid="{00000000-0005-0000-0000-00000D000000}"/>
    <cellStyle name="60% - Akzent3" xfId="15" xr:uid="{00000000-0005-0000-0000-00000E000000}"/>
    <cellStyle name="60% - Akzent4" xfId="16" xr:uid="{00000000-0005-0000-0000-00000F000000}"/>
    <cellStyle name="60% - Akzent5" xfId="17" xr:uid="{00000000-0005-0000-0000-000010000000}"/>
    <cellStyle name="60% - Akzent6" xfId="18" xr:uid="{00000000-0005-0000-0000-000011000000}"/>
    <cellStyle name="Akzent1" xfId="19" xr:uid="{00000000-0005-0000-0000-000012000000}"/>
    <cellStyle name="Akzent2" xfId="20" xr:uid="{00000000-0005-0000-0000-000013000000}"/>
    <cellStyle name="Akzent3" xfId="21" xr:uid="{00000000-0005-0000-0000-000014000000}"/>
    <cellStyle name="Akzent4" xfId="22" xr:uid="{00000000-0005-0000-0000-000015000000}"/>
    <cellStyle name="Akzent5" xfId="23" xr:uid="{00000000-0005-0000-0000-000016000000}"/>
    <cellStyle name="Akzent6" xfId="24" xr:uid="{00000000-0005-0000-0000-000017000000}"/>
    <cellStyle name="Ausgabe" xfId="25" xr:uid="{00000000-0005-0000-0000-000018000000}"/>
    <cellStyle name="Berechnung" xfId="26" xr:uid="{00000000-0005-0000-0000-000019000000}"/>
    <cellStyle name="Comma" xfId="46" builtinId="3"/>
    <cellStyle name="Currency" xfId="44" builtinId="4"/>
    <cellStyle name="Eingabe" xfId="27" xr:uid="{00000000-0005-0000-0000-00001C000000}"/>
    <cellStyle name="Ergebnis" xfId="28" xr:uid="{00000000-0005-0000-0000-00001D000000}"/>
    <cellStyle name="Erklärender Text" xfId="29" xr:uid="{00000000-0005-0000-0000-00001E000000}"/>
    <cellStyle name="Gut" xfId="30" xr:uid="{00000000-0005-0000-0000-00001F000000}"/>
    <cellStyle name="Normal" xfId="0" builtinId="0"/>
    <cellStyle name="Normale 2" xfId="31" xr:uid="{00000000-0005-0000-0000-000021000000}"/>
    <cellStyle name="Notiz" xfId="32" xr:uid="{00000000-0005-0000-0000-000022000000}"/>
    <cellStyle name="Percent" xfId="45" builtinId="5"/>
    <cellStyle name="Percentuale 2" xfId="33" xr:uid="{00000000-0005-0000-0000-000024000000}"/>
    <cellStyle name="Schlecht" xfId="34" xr:uid="{00000000-0005-0000-0000-000025000000}"/>
    <cellStyle name="Überschrift" xfId="35" xr:uid="{00000000-0005-0000-0000-000026000000}"/>
    <cellStyle name="Überschrift 1" xfId="36" xr:uid="{00000000-0005-0000-0000-000027000000}"/>
    <cellStyle name="Überschrift 2" xfId="37" xr:uid="{00000000-0005-0000-0000-000028000000}"/>
    <cellStyle name="Überschrift 3" xfId="38" xr:uid="{00000000-0005-0000-0000-000029000000}"/>
    <cellStyle name="Überschrift 4" xfId="39" xr:uid="{00000000-0005-0000-0000-00002A000000}"/>
    <cellStyle name="Valuta 2" xfId="40" xr:uid="{00000000-0005-0000-0000-00002B000000}"/>
    <cellStyle name="Verknüpfte Zelle" xfId="41" xr:uid="{00000000-0005-0000-0000-00002C000000}"/>
    <cellStyle name="Warnender Text" xfId="42" xr:uid="{00000000-0005-0000-0000-00002D000000}"/>
    <cellStyle name="Zelle überprüfen" xfId="43" xr:uid="{00000000-0005-0000-0000-00002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</a:t>
            </a:r>
            <a:r>
              <a:rPr lang="en-US" baseline="0"/>
              <a:t> Consumption - KWH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7736373578302711"/>
          <c:y val="0.18091462525517643"/>
          <c:w val="0.63574737532808401"/>
          <c:h val="0.68921660834062404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2D-4276-BF54-85F889827F0C}"/>
            </c:ext>
          </c:extLst>
        </c:ser>
        <c:ser>
          <c:idx val="2"/>
          <c:order val="1"/>
          <c:tx>
            <c:v>2016</c:v>
          </c:tx>
          <c:spPr>
            <a:ln>
              <a:solidFill>
                <a:schemeClr val="bg2">
                  <a:lumMod val="10000"/>
                </a:schemeClr>
              </a:solidFill>
            </a:ln>
          </c:spPr>
          <c:marker>
            <c:spPr>
              <a:solidFill>
                <a:schemeClr val="bg2">
                  <a:lumMod val="10000"/>
                </a:schemeClr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2D-4276-BF54-85F889827F0C}"/>
            </c:ext>
          </c:extLst>
        </c:ser>
        <c:ser>
          <c:idx val="0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3C-4A0B-89F8-7D3CB08CD41D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3C-4A0B-89F8-7D3CB08CD41D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3C-4A0B-89F8-7D3CB08CD41D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([1]Elect!$HQ$9,[1]Elect!$HQ$13,[1]Elect!$HQ$17,[1]Elect!$HQ$23,[1]Elect!$HQ$28,[1]Elect!$HQ$33)</c:f>
              <c:numCache>
                <c:formatCode>General</c:formatCode>
                <c:ptCount val="6"/>
                <c:pt idx="0">
                  <c:v>1064413</c:v>
                </c:pt>
                <c:pt idx="1">
                  <c:v>1514099</c:v>
                </c:pt>
                <c:pt idx="2">
                  <c:v>1253839</c:v>
                </c:pt>
                <c:pt idx="3">
                  <c:v>607725</c:v>
                </c:pt>
                <c:pt idx="4">
                  <c:v>828712</c:v>
                </c:pt>
                <c:pt idx="5">
                  <c:v>779141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92-40D7-AD6F-6BA8A03074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0458672"/>
        <c:axId val="71631168"/>
      </c:lineChart>
      <c:catAx>
        <c:axId val="2504586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71631168"/>
        <c:crosses val="autoZero"/>
        <c:auto val="1"/>
        <c:lblAlgn val="ctr"/>
        <c:lblOffset val="100"/>
        <c:noMultiLvlLbl val="0"/>
      </c:catAx>
      <c:valAx>
        <c:axId val="71631168"/>
        <c:scaling>
          <c:orientation val="minMax"/>
          <c:max val="2200000"/>
          <c:min val="500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504586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Electric</a:t>
            </a:r>
            <a:r>
              <a:rPr lang="en-US" baseline="0"/>
              <a:t> Costs - $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A3-4E08-83C8-898165DD8F9B}"/>
            </c:ext>
          </c:extLst>
        </c:ser>
        <c:ser>
          <c:idx val="2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A3-4E08-83C8-898165DD8F9B}"/>
            </c:ext>
          </c:extLst>
        </c:ser>
        <c:ser>
          <c:idx val="0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2C-411D-B917-50AB5573459A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2C-411D-B917-50AB5573459A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2C-411D-B917-50AB5573459A}"/>
            </c:ext>
          </c:extLst>
        </c:ser>
        <c:ser>
          <c:idx val="5"/>
          <c:order val="5"/>
          <c:tx>
            <c:v>2020</c:v>
          </c:tx>
          <c:val>
            <c:numRef>
              <c:f>([1]Elect!$HT$9,[1]Elect!$HT$13,[1]Elect!$HT$17,[1]Elect!$HT$23,[1]Elect!$HT$28,[1]Elect!$HT$33)</c:f>
              <c:numCache>
                <c:formatCode>General</c:formatCode>
                <c:ptCount val="6"/>
                <c:pt idx="0">
                  <c:v>100159.6325986</c:v>
                </c:pt>
                <c:pt idx="1">
                  <c:v>134137.85898799999</c:v>
                </c:pt>
                <c:pt idx="2">
                  <c:v>113847.43998119998</c:v>
                </c:pt>
                <c:pt idx="3">
                  <c:v>74855.406033199994</c:v>
                </c:pt>
                <c:pt idx="4">
                  <c:v>82416.263465600015</c:v>
                </c:pt>
                <c:pt idx="5">
                  <c:v>83988.890376399999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86-433D-8565-5022DCB7EA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9032816"/>
        <c:axId val="579030640"/>
      </c:lineChart>
      <c:catAx>
        <c:axId val="57903281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79030640"/>
        <c:crosses val="autoZero"/>
        <c:auto val="1"/>
        <c:lblAlgn val="ctr"/>
        <c:lblOffset val="100"/>
        <c:noMultiLvlLbl val="0"/>
      </c:catAx>
      <c:valAx>
        <c:axId val="579030640"/>
        <c:scaling>
          <c:orientation val="minMax"/>
          <c:min val="50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790328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aseline="0"/>
              <a:t>Golf Clubhouse Electrical Consumption </a:t>
            </a:r>
            <a:endParaRPr lang="en-US"/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736373578302711"/>
          <c:y val="0.18091462525517643"/>
          <c:w val="0.63574737532808401"/>
          <c:h val="0.68921660834062404"/>
        </c:manualLayout>
      </c:layout>
      <c:lineChart>
        <c:grouping val="standard"/>
        <c:varyColors val="0"/>
        <c:ser>
          <c:idx val="0"/>
          <c:order val="0"/>
          <c:tx>
            <c:v>2014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 xmlns:c16="http://schemas.microsoft.com/office/drawing/2014/chart"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Feb</c:v>
                        </c:pt>
                        <c:pt idx="1">
                          <c:v>Jun</c:v>
                        </c:pt>
                        <c:pt idx="2">
                          <c:v>Oct</c:v>
                        </c:pt>
                        <c:pt idx="3">
                          <c:v>Dec</c:v>
                        </c:pt>
                      </c:lvl>
                      <c:lvl>
                        <c:pt idx="0">
                          <c:v>Jan</c:v>
                        </c:pt>
                        <c:pt idx="1">
                          <c:v>May</c:v>
                        </c:pt>
                        <c:pt idx="2">
                          <c:v>Sep</c:v>
                        </c:pt>
                      </c:lvl>
                      <c:lvl>
                        <c:pt idx="1">
                          <c:v>Apr</c:v>
                        </c:pt>
                        <c:pt idx="2">
                          <c:v>Aug</c:v>
                        </c:pt>
                      </c:lvl>
                    </c:multiLvlStrCache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D78-4A89-AA8C-E2C96480F733}"/>
            </c:ext>
          </c:extLst>
        </c:ser>
        <c:ser>
          <c:idx val="1"/>
          <c:order val="1"/>
          <c:tx>
            <c:v>2015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 xmlns:c16="http://schemas.microsoft.com/office/drawing/2014/chart"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Feb</c:v>
                        </c:pt>
                        <c:pt idx="1">
                          <c:v>Jun</c:v>
                        </c:pt>
                        <c:pt idx="2">
                          <c:v>Oct</c:v>
                        </c:pt>
                        <c:pt idx="3">
                          <c:v>Dec</c:v>
                        </c:pt>
                      </c:lvl>
                      <c:lvl>
                        <c:pt idx="0">
                          <c:v>Jan</c:v>
                        </c:pt>
                        <c:pt idx="1">
                          <c:v>May</c:v>
                        </c:pt>
                        <c:pt idx="2">
                          <c:v>Sep</c:v>
                        </c:pt>
                      </c:lvl>
                      <c:lvl>
                        <c:pt idx="1">
                          <c:v>Apr</c:v>
                        </c:pt>
                        <c:pt idx="2">
                          <c:v>Aug</c:v>
                        </c:pt>
                      </c:lvl>
                    </c:multiLvlStrCache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D78-4A89-AA8C-E2C96480F733}"/>
            </c:ext>
          </c:extLst>
        </c:ser>
        <c:ser>
          <c:idx val="2"/>
          <c:order val="2"/>
          <c:tx>
            <c:v>2016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 xmlns:c16="http://schemas.microsoft.com/office/drawing/2014/chart"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Feb</c:v>
                        </c:pt>
                        <c:pt idx="1">
                          <c:v>Jun</c:v>
                        </c:pt>
                        <c:pt idx="2">
                          <c:v>Oct</c:v>
                        </c:pt>
                        <c:pt idx="3">
                          <c:v>Dec</c:v>
                        </c:pt>
                      </c:lvl>
                      <c:lvl>
                        <c:pt idx="0">
                          <c:v>Jan</c:v>
                        </c:pt>
                        <c:pt idx="1">
                          <c:v>May</c:v>
                        </c:pt>
                        <c:pt idx="2">
                          <c:v>Sep</c:v>
                        </c:pt>
                      </c:lvl>
                      <c:lvl>
                        <c:pt idx="1">
                          <c:v>Apr</c:v>
                        </c:pt>
                        <c:pt idx="2">
                          <c:v>Aug</c:v>
                        </c:pt>
                      </c:lvl>
                    </c:multiLvlStrCache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D78-4A89-AA8C-E2C96480F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9021936"/>
        <c:axId val="579032272"/>
      </c:lineChart>
      <c:catAx>
        <c:axId val="5790219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79032272"/>
        <c:crosses val="autoZero"/>
        <c:auto val="1"/>
        <c:lblAlgn val="ctr"/>
        <c:lblOffset val="100"/>
        <c:noMultiLvlLbl val="0"/>
      </c:catAx>
      <c:valAx>
        <c:axId val="5790322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KHW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790219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Rates</a:t>
            </a:r>
            <a:r>
              <a:rPr lang="en-US" baseline="0"/>
              <a:t> - Base &amp; Fuel $</a:t>
            </a:r>
          </a:p>
          <a:p>
            <a:pPr>
              <a:defRPr/>
            </a:pPr>
            <a:r>
              <a:rPr lang="en-US" baseline="0"/>
              <a:t>Fiscal Yr Oct to Oct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barChart>
        <c:barDir val="col"/>
        <c:grouping val="clustered"/>
        <c:varyColors val="0"/>
        <c:ser>
          <c:idx val="1"/>
          <c:order val="0"/>
          <c:tx>
            <c:v>2015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61-465D-83F1-426FBF76CB79}"/>
            </c:ext>
          </c:extLst>
        </c:ser>
        <c:ser>
          <c:idx val="0"/>
          <c:order val="1"/>
          <c:tx>
            <c:v>2016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F61-465D-83F1-426FBF76CB79}"/>
            </c:ext>
          </c:extLst>
        </c:ser>
        <c:ser>
          <c:idx val="2"/>
          <c:order val="2"/>
          <c:tx>
            <c:v>2017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F61-465D-83F1-426FBF76CB79}"/>
            </c:ext>
          </c:extLst>
        </c:ser>
        <c:ser>
          <c:idx val="3"/>
          <c:order val="3"/>
          <c:tx>
            <c:v>2018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F61-465D-83F1-426FBF76CB79}"/>
            </c:ext>
          </c:extLst>
        </c:ser>
        <c:ser>
          <c:idx val="4"/>
          <c:order val="4"/>
          <c:tx>
            <c:v>2019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2"/>
                <c:pt idx="0">
                  <c:v>4.326E-2</c:v>
                </c:pt>
                <c:pt idx="1">
                  <c:v>2.111E-2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F61-465D-83F1-426FBF76CB79}"/>
            </c:ext>
          </c:extLst>
        </c:ser>
        <c:ser>
          <c:idx val="5"/>
          <c:order val="5"/>
          <c:tx>
            <c:v>2020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2"/>
                <c:pt idx="0">
                  <c:v>4.0599999999999997E-2</c:v>
                </c:pt>
                <c:pt idx="1">
                  <c:v>2.5309999999999999E-2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AC3-430F-BF4B-0EA8D8661D0E}"/>
            </c:ext>
          </c:extLst>
        </c:ser>
        <c:ser>
          <c:idx val="6"/>
          <c:order val="6"/>
          <c:tx>
            <c:v>2020.1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[1]Elect!$HV$23:$HW$23</c:f>
              <c:numCache>
                <c:formatCode>General</c:formatCode>
                <c:ptCount val="2"/>
                <c:pt idx="0">
                  <c:v>5.1549999999999999E-2</c:v>
                </c:pt>
                <c:pt idx="1">
                  <c:v>2.095E-2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C9-4530-8B67-B167CE8A0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9027920"/>
        <c:axId val="579033360"/>
      </c:barChart>
      <c:catAx>
        <c:axId val="57902792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79033360"/>
        <c:crosses val="autoZero"/>
        <c:auto val="1"/>
        <c:lblAlgn val="ctr"/>
        <c:lblOffset val="100"/>
        <c:noMultiLvlLbl val="0"/>
      </c:catAx>
      <c:valAx>
        <c:axId val="5790333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790279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KW Demand Rate</a:t>
            </a:r>
            <a:r>
              <a:rPr lang="en-US" baseline="0"/>
              <a:t> - $</a:t>
            </a:r>
          </a:p>
          <a:p>
            <a:pPr>
              <a:defRPr/>
            </a:pPr>
            <a:r>
              <a:rPr lang="en-US" baseline="0"/>
              <a:t>Fiscal Yr Oct to Oct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barChart>
        <c:barDir val="col"/>
        <c:grouping val="clustered"/>
        <c:varyColors val="0"/>
        <c:ser>
          <c:idx val="1"/>
          <c:order val="0"/>
          <c:tx>
            <c:v>2015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6.6630000000000003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67-440D-9FBE-A7C6B334C659}"/>
            </c:ext>
          </c:extLst>
        </c:ser>
        <c:ser>
          <c:idx val="0"/>
          <c:order val="1"/>
          <c:tx>
            <c:v>2016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6.6596000000000002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467-440D-9FBE-A7C6B334C659}"/>
            </c:ext>
          </c:extLst>
        </c:ser>
        <c:ser>
          <c:idx val="2"/>
          <c:order val="2"/>
          <c:tx>
            <c:v>2017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6.6596000000000002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467-440D-9FBE-A7C6B334C659}"/>
            </c:ext>
          </c:extLst>
        </c:ser>
        <c:ser>
          <c:idx val="3"/>
          <c:order val="3"/>
          <c:tx>
            <c:v>2018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6.6520000000000001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467-440D-9FBE-A7C6B334C659}"/>
            </c:ext>
          </c:extLst>
        </c:ser>
        <c:ser>
          <c:idx val="4"/>
          <c:order val="4"/>
          <c:tx>
            <c:v>2019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7.4470000000000001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467-440D-9FBE-A7C6B334C659}"/>
            </c:ext>
          </c:extLst>
        </c:ser>
        <c:ser>
          <c:idx val="5"/>
          <c:order val="5"/>
          <c:tx>
            <c:v>2020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6.99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10-4916-88B0-243452550E20}"/>
            </c:ext>
          </c:extLst>
        </c:ser>
        <c:ser>
          <c:idx val="6"/>
          <c:order val="6"/>
          <c:tx>
            <c:v>2020.1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[1]Elect!$HX$23</c:f>
              <c:numCache>
                <c:formatCode>General</c:formatCode>
                <c:ptCount val="1"/>
                <c:pt idx="0">
                  <c:v>7.6890000000000001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29-4A64-839B-44E0B2668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9028464"/>
        <c:axId val="579023568"/>
      </c:barChart>
      <c:catAx>
        <c:axId val="5790284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79023568"/>
        <c:crosses val="autoZero"/>
        <c:auto val="1"/>
        <c:lblAlgn val="ctr"/>
        <c:lblOffset val="100"/>
        <c:noMultiLvlLbl val="0"/>
      </c:catAx>
      <c:valAx>
        <c:axId val="5790235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790284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</a:t>
            </a:r>
            <a:r>
              <a:rPr lang="en-US" baseline="0"/>
              <a:t> </a:t>
            </a:r>
            <a:r>
              <a:rPr lang="en-US"/>
              <a:t>Potable Water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spPr>
            <a:ln>
              <a:solidFill>
                <a:schemeClr val="accent2"/>
              </a:solidFill>
            </a:ln>
          </c:spPr>
          <c:marker>
            <c:spPr>
              <a:solidFill>
                <a:schemeClr val="accent2"/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('[1]Wtr-Gas'!$BK$80,'[1]Wtr-Gas'!$BK$85,'[1]Wtr-Gas'!$BK$89,'[1]Wtr-Gas'!$BK$93,'[1]Wtr-Gas'!$BK$97,'[1]Wtr-Gas'!$BK$101,'[1]Wtr-Gas'!$BK$105,'[1]Wtr-Gas'!$BK$110,'[1]Wtr-Gas'!$BK$115,'[1]Wtr-Gas'!$BK$120,'[1]Wtr-Gas'!$BK$124,'[1]Wtr-Gas'!$BK$127)</c:f>
              <c:numCache>
                <c:formatCode>General</c:formatCode>
                <c:ptCount val="12"/>
                <c:pt idx="0">
                  <c:v>3584</c:v>
                </c:pt>
                <c:pt idx="1">
                  <c:v>3786</c:v>
                </c:pt>
                <c:pt idx="2">
                  <c:v>3779</c:v>
                </c:pt>
                <c:pt idx="3">
                  <c:v>4481</c:v>
                </c:pt>
                <c:pt idx="4">
                  <c:v>5353</c:v>
                </c:pt>
                <c:pt idx="5">
                  <c:v>4267</c:v>
                </c:pt>
                <c:pt idx="6">
                  <c:v>3886</c:v>
                </c:pt>
                <c:pt idx="7">
                  <c:v>5002</c:v>
                </c:pt>
                <c:pt idx="8">
                  <c:v>4097</c:v>
                </c:pt>
                <c:pt idx="9">
                  <c:v>5958</c:v>
                </c:pt>
                <c:pt idx="10">
                  <c:v>5076</c:v>
                </c:pt>
                <c:pt idx="11">
                  <c:v>4615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C8-4504-ABE1-67A03C708876}"/>
            </c:ext>
          </c:extLst>
        </c:ser>
        <c:ser>
          <c:idx val="0"/>
          <c:order val="1"/>
          <c:tx>
            <c:v>2016</c:v>
          </c:tx>
          <c:spPr>
            <a:ln>
              <a:solidFill>
                <a:schemeClr val="tx1"/>
              </a:solidFill>
            </a:ln>
          </c:spPr>
          <c:marker>
            <c:spPr>
              <a:solidFill>
                <a:schemeClr val="tx1"/>
              </a:solidFill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('[1]Wtr-Gas'!$BK$139,'[1]Wtr-Gas'!$BK$144,'[1]Wtr-Gas'!$BK$148,'[1]Wtr-Gas'!$BK$152,'[1]Wtr-Gas'!$BK$158,'[1]Wtr-Gas'!$BK$162,'[1]Wtr-Gas'!$BK$167,'[1]Wtr-Gas'!$BK$171,'[1]Wtr-Gas'!$BK$175,'[1]Wtr-Gas'!$BK$180,'[1]Wtr-Gas'!$BK$185,'[1]Wtr-Gas'!$BK$189)</c:f>
              <c:numCache>
                <c:formatCode>General</c:formatCode>
                <c:ptCount val="12"/>
                <c:pt idx="0">
                  <c:v>4482</c:v>
                </c:pt>
                <c:pt idx="1">
                  <c:v>5137</c:v>
                </c:pt>
                <c:pt idx="2">
                  <c:v>5086</c:v>
                </c:pt>
                <c:pt idx="3">
                  <c:v>4939</c:v>
                </c:pt>
                <c:pt idx="4">
                  <c:v>6347</c:v>
                </c:pt>
                <c:pt idx="5">
                  <c:v>5379</c:v>
                </c:pt>
                <c:pt idx="6">
                  <c:v>6017</c:v>
                </c:pt>
                <c:pt idx="7">
                  <c:v>7470</c:v>
                </c:pt>
                <c:pt idx="8">
                  <c:v>5091</c:v>
                </c:pt>
                <c:pt idx="9">
                  <c:v>6140</c:v>
                </c:pt>
                <c:pt idx="10">
                  <c:v>5320</c:v>
                </c:pt>
                <c:pt idx="11">
                  <c:v>5099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C8-4504-ABE1-67A03C708876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('[1]Wtr-Gas'!$BK$197,'[1]Wtr-Gas'!$BK$202,'[1]Wtr-Gas'!$BK$207,'[1]Wtr-Gas'!$BK$210,'[1]Wtr-Gas'!$BK$211,'[1]Wtr-Gas'!$BK$212,'[1]Wtr-Gas'!$BK$213,'[1]Wtr-Gas'!$BK$214,'[1]Wtr-Gas'!$BK$215,'[1]Wtr-Gas'!$BK$216,'[1]Wtr-Gas'!$BK$217,'[1]Wtr-Gas'!$BK$218)</c:f>
              <c:numCache>
                <c:formatCode>General</c:formatCode>
                <c:ptCount val="12"/>
                <c:pt idx="0">
                  <c:v>4965</c:v>
                </c:pt>
                <c:pt idx="1">
                  <c:v>5635</c:v>
                </c:pt>
                <c:pt idx="2">
                  <c:v>5907</c:v>
                </c:pt>
                <c:pt idx="3">
                  <c:v>5509</c:v>
                </c:pt>
                <c:pt idx="4">
                  <c:v>6670</c:v>
                </c:pt>
                <c:pt idx="5">
                  <c:v>4821</c:v>
                </c:pt>
                <c:pt idx="6">
                  <c:v>5351</c:v>
                </c:pt>
                <c:pt idx="7">
                  <c:v>6887</c:v>
                </c:pt>
                <c:pt idx="8">
                  <c:v>5397</c:v>
                </c:pt>
                <c:pt idx="9">
                  <c:v>6705</c:v>
                </c:pt>
                <c:pt idx="10">
                  <c:v>5605</c:v>
                </c:pt>
                <c:pt idx="11">
                  <c:v>5338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E6-4B97-BB9B-B369D7A0601D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('[1]Wtr-Gas'!$BK$225,'[1]Wtr-Gas'!$BK$226,'[1]Wtr-Gas'!$BK$227,'[1]Wtr-Gas'!$BK$228,'[1]Wtr-Gas'!$BK$229,'[1]Wtr-Gas'!$BK$230,'[1]Wtr-Gas'!$BK$231,'[1]Wtr-Gas'!$BK$232,'[1]Wtr-Gas'!$BK$233,'[1]Wtr-Gas'!$BK$234,'[1]Wtr-Gas'!$BK$239,'[1]Wtr-Gas'!$BK$242)</c:f>
              <c:numCache>
                <c:formatCode>General</c:formatCode>
                <c:ptCount val="12"/>
                <c:pt idx="0">
                  <c:v>5896</c:v>
                </c:pt>
                <c:pt idx="1">
                  <c:v>4567</c:v>
                </c:pt>
                <c:pt idx="2">
                  <c:v>5129</c:v>
                </c:pt>
                <c:pt idx="3">
                  <c:v>5305</c:v>
                </c:pt>
                <c:pt idx="4">
                  <c:v>6447</c:v>
                </c:pt>
                <c:pt idx="5">
                  <c:v>5530</c:v>
                </c:pt>
                <c:pt idx="6">
                  <c:v>4291</c:v>
                </c:pt>
                <c:pt idx="7">
                  <c:v>7706</c:v>
                </c:pt>
                <c:pt idx="8">
                  <c:v>4826</c:v>
                </c:pt>
                <c:pt idx="9">
                  <c:v>6646</c:v>
                </c:pt>
                <c:pt idx="10">
                  <c:v>5226</c:v>
                </c:pt>
                <c:pt idx="11">
                  <c:v>4444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E6-4B97-BB9B-B369D7A0601D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('[1]Wtr-Gas'!$BK$251,'[1]Wtr-Gas'!$BK$257,'[1]Wtr-Gas'!$BK$262,'[1]Wtr-Gas'!$BK$266,'[1]Wtr-Gas'!$BK$272,'[1]Wtr-Gas'!$BK$276,'[1]Wtr-Gas'!$BK$281,'[1]Wtr-Gas'!$BK$286,'[1]Wtr-Gas'!$BK$290,'[1]Wtr-Gas'!$BK$295,'[1]Wtr-Gas'!$BK$300,'[1]Wtr-Gas'!$BK$305)</c:f>
              <c:numCache>
                <c:formatCode>General</c:formatCode>
                <c:ptCount val="12"/>
                <c:pt idx="0">
                  <c:v>5474</c:v>
                </c:pt>
                <c:pt idx="1">
                  <c:v>4608</c:v>
                </c:pt>
                <c:pt idx="2">
                  <c:v>6003</c:v>
                </c:pt>
                <c:pt idx="3">
                  <c:v>4782</c:v>
                </c:pt>
                <c:pt idx="4">
                  <c:v>6115</c:v>
                </c:pt>
                <c:pt idx="5">
                  <c:v>5746</c:v>
                </c:pt>
                <c:pt idx="6">
                  <c:v>4919</c:v>
                </c:pt>
                <c:pt idx="7">
                  <c:v>6750</c:v>
                </c:pt>
                <c:pt idx="8">
                  <c:v>4921</c:v>
                </c:pt>
                <c:pt idx="9">
                  <c:v>6443</c:v>
                </c:pt>
                <c:pt idx="10">
                  <c:v>4160</c:v>
                </c:pt>
                <c:pt idx="11">
                  <c:v>4173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E6-4B97-BB9B-B369D7A0601D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('[1]Wtr-Gas'!$BK$316,'[1]Wtr-Gas'!$BK$320,'[1]Wtr-Gas'!$BK$324,'[1]Wtr-Gas'!$BK$330,'[1]Wtr-Gas'!$BK$335,'[1]Wtr-Gas'!$BK$340)</c:f>
              <c:numCache>
                <c:formatCode>General</c:formatCode>
                <c:ptCount val="6"/>
                <c:pt idx="0">
                  <c:v>4058</c:v>
                </c:pt>
                <c:pt idx="1">
                  <c:v>6149</c:v>
                </c:pt>
                <c:pt idx="2">
                  <c:v>3961</c:v>
                </c:pt>
                <c:pt idx="3">
                  <c:v>1851</c:v>
                </c:pt>
                <c:pt idx="4">
                  <c:v>2757</c:v>
                </c:pt>
                <c:pt idx="5">
                  <c:v>1383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6C-4BCE-88A4-1BDA37A720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9020304"/>
        <c:axId val="579029552"/>
      </c:lineChart>
      <c:catAx>
        <c:axId val="5790203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79029552"/>
        <c:crosses val="autoZero"/>
        <c:auto val="1"/>
        <c:lblAlgn val="ctr"/>
        <c:lblOffset val="100"/>
        <c:noMultiLvlLbl val="0"/>
      </c:catAx>
      <c:valAx>
        <c:axId val="579029552"/>
        <c:scaling>
          <c:orientation val="minMax"/>
          <c:min val="10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790203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Re-Use Water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('[1]Wtr-Gas'!$BP$80,'[1]Wtr-Gas'!$BP$85,'[1]Wtr-Gas'!$BP$89,'[1]Wtr-Gas'!$BP$93,'[1]Wtr-Gas'!$BP$97,'[1]Wtr-Gas'!$BP$101,'[1]Wtr-Gas'!$BP$105,'[1]Wtr-Gas'!$BP$110,'[1]Wtr-Gas'!$BP$115,'[1]Wtr-Gas'!$BP$120,'[1]Wtr-Gas'!$BP$124,'[1]Wtr-Gas'!$BP$127)</c:f>
              <c:numCache>
                <c:formatCode>General</c:formatCode>
                <c:ptCount val="12"/>
                <c:pt idx="0">
                  <c:v>30</c:v>
                </c:pt>
                <c:pt idx="1">
                  <c:v>211</c:v>
                </c:pt>
                <c:pt idx="2">
                  <c:v>278</c:v>
                </c:pt>
                <c:pt idx="3">
                  <c:v>406</c:v>
                </c:pt>
                <c:pt idx="4">
                  <c:v>1398</c:v>
                </c:pt>
                <c:pt idx="5">
                  <c:v>1013</c:v>
                </c:pt>
                <c:pt idx="6">
                  <c:v>444</c:v>
                </c:pt>
                <c:pt idx="7">
                  <c:v>414</c:v>
                </c:pt>
                <c:pt idx="8">
                  <c:v>160</c:v>
                </c:pt>
                <c:pt idx="9">
                  <c:v>254</c:v>
                </c:pt>
                <c:pt idx="10">
                  <c:v>247</c:v>
                </c:pt>
                <c:pt idx="11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E3-437C-B495-80A59293A5A0}"/>
            </c:ext>
          </c:extLst>
        </c:ser>
        <c:ser>
          <c:idx val="0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('[1]Wtr-Gas'!$BP$139,'[1]Wtr-Gas'!$BP$144,'[1]Wtr-Gas'!$BP$148,'[1]Wtr-Gas'!$BP$152,'[1]Wtr-Gas'!$BP$158,'[1]Wtr-Gas'!$BP$162,'[1]Wtr-Gas'!$BP$167,'[1]Wtr-Gas'!$BP$171,'[1]Wtr-Gas'!$BP$175,'[1]Wtr-Gas'!$BP$180,'[1]Wtr-Gas'!$BP$185,'[1]Wtr-Gas'!$BP$189)</c:f>
              <c:numCache>
                <c:formatCode>General</c:formatCode>
                <c:ptCount val="12"/>
                <c:pt idx="0">
                  <c:v>267</c:v>
                </c:pt>
                <c:pt idx="1">
                  <c:v>127</c:v>
                </c:pt>
                <c:pt idx="2">
                  <c:v>839</c:v>
                </c:pt>
                <c:pt idx="3">
                  <c:v>710</c:v>
                </c:pt>
                <c:pt idx="4">
                  <c:v>825</c:v>
                </c:pt>
                <c:pt idx="5">
                  <c:v>220</c:v>
                </c:pt>
                <c:pt idx="6">
                  <c:v>769</c:v>
                </c:pt>
                <c:pt idx="7">
                  <c:v>625</c:v>
                </c:pt>
                <c:pt idx="8">
                  <c:v>708</c:v>
                </c:pt>
                <c:pt idx="9">
                  <c:v>487</c:v>
                </c:pt>
                <c:pt idx="10">
                  <c:v>1010</c:v>
                </c:pt>
                <c:pt idx="11">
                  <c:v>477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E3-437C-B495-80A59293A5A0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('[1]Wtr-Gas'!$BP$197,'[1]Wtr-Gas'!$BP$202,'[1]Wtr-Gas'!$BP$207,'[1]Wtr-Gas'!$BP$210,'[1]Wtr-Gas'!$BP$211,'[1]Wtr-Gas'!$BP$212,'[1]Wtr-Gas'!$BP$213,'[1]Wtr-Gas'!$BP$214,'[1]Wtr-Gas'!$BP$215,'[1]Wtr-Gas'!$BP$216,'[1]Wtr-Gas'!$BP$217,'[1]Wtr-Gas'!$BP$218)</c:f>
              <c:numCache>
                <c:formatCode>General</c:formatCode>
                <c:ptCount val="12"/>
                <c:pt idx="0">
                  <c:v>769</c:v>
                </c:pt>
                <c:pt idx="1">
                  <c:v>713</c:v>
                </c:pt>
                <c:pt idx="2">
                  <c:v>619</c:v>
                </c:pt>
                <c:pt idx="3">
                  <c:v>1032</c:v>
                </c:pt>
                <c:pt idx="4">
                  <c:v>990</c:v>
                </c:pt>
                <c:pt idx="5">
                  <c:v>249</c:v>
                </c:pt>
                <c:pt idx="6">
                  <c:v>384</c:v>
                </c:pt>
                <c:pt idx="7">
                  <c:v>310</c:v>
                </c:pt>
                <c:pt idx="8">
                  <c:v>463</c:v>
                </c:pt>
                <c:pt idx="9">
                  <c:v>567</c:v>
                </c:pt>
                <c:pt idx="10">
                  <c:v>394</c:v>
                </c:pt>
                <c:pt idx="11">
                  <c:v>1338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AC-477C-A10A-4BF24EC40724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('[1]Wtr-Gas'!$BP$225,'[1]Wtr-Gas'!$BP$226,'[1]Wtr-Gas'!$BP$227,'[1]Wtr-Gas'!$BP$228,'[1]Wtr-Gas'!$BP$229,'[1]Wtr-Gas'!$BP$230,'[1]Wtr-Gas'!$BP$231,'[1]Wtr-Gas'!$BP$232,'[1]Wtr-Gas'!$BP$233,'[1]Wtr-Gas'!$BP$234,'[1]Wtr-Gas'!$BP$239,'[1]Wtr-Gas'!$BP$242)</c:f>
              <c:numCache>
                <c:formatCode>General</c:formatCode>
                <c:ptCount val="12"/>
                <c:pt idx="0">
                  <c:v>625</c:v>
                </c:pt>
                <c:pt idx="1">
                  <c:v>351</c:v>
                </c:pt>
                <c:pt idx="2">
                  <c:v>1188</c:v>
                </c:pt>
                <c:pt idx="3">
                  <c:v>613</c:v>
                </c:pt>
                <c:pt idx="4">
                  <c:v>823</c:v>
                </c:pt>
                <c:pt idx="5">
                  <c:v>520</c:v>
                </c:pt>
                <c:pt idx="6">
                  <c:v>454</c:v>
                </c:pt>
                <c:pt idx="7">
                  <c:v>761</c:v>
                </c:pt>
                <c:pt idx="8">
                  <c:v>650</c:v>
                </c:pt>
                <c:pt idx="9">
                  <c:v>788</c:v>
                </c:pt>
                <c:pt idx="10">
                  <c:v>638</c:v>
                </c:pt>
                <c:pt idx="11">
                  <c:v>324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AC-477C-A10A-4BF24EC40724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('[1]Wtr-Gas'!$BP$251,'[1]Wtr-Gas'!$BP$257,'[1]Wtr-Gas'!$BP$262,'[1]Wtr-Gas'!$BP$266,'[1]Wtr-Gas'!$BP$272,'[1]Wtr-Gas'!$BP$276,'[1]Wtr-Gas'!$BP$281,'[1]Wtr-Gas'!$BP$286,'[1]Wtr-Gas'!$BP$290,'[1]Wtr-Gas'!$BP$295,'[1]Wtr-Gas'!$BP$300,'[1]Wtr-Gas'!$BP$305)</c:f>
              <c:numCache>
                <c:formatCode>General</c:formatCode>
                <c:ptCount val="12"/>
                <c:pt idx="0">
                  <c:v>306</c:v>
                </c:pt>
                <c:pt idx="1">
                  <c:v>584</c:v>
                </c:pt>
                <c:pt idx="2">
                  <c:v>654</c:v>
                </c:pt>
                <c:pt idx="3">
                  <c:v>478</c:v>
                </c:pt>
                <c:pt idx="4">
                  <c:v>724</c:v>
                </c:pt>
                <c:pt idx="5">
                  <c:v>913</c:v>
                </c:pt>
                <c:pt idx="6">
                  <c:v>738</c:v>
                </c:pt>
                <c:pt idx="7">
                  <c:v>574</c:v>
                </c:pt>
                <c:pt idx="8">
                  <c:v>544</c:v>
                </c:pt>
                <c:pt idx="9">
                  <c:v>879</c:v>
                </c:pt>
                <c:pt idx="10">
                  <c:v>472</c:v>
                </c:pt>
                <c:pt idx="11">
                  <c:v>409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AC-477C-A10A-4BF24EC40724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('[1]Wtr-Gas'!$BP$316,'[1]Wtr-Gas'!$BP$320,'[1]Wtr-Gas'!$BP$324,'[1]Wtr-Gas'!$BP$330,'[1]Wtr-Gas'!$BP$335,'[1]Wtr-Gas'!$BP$340)</c:f>
              <c:numCache>
                <c:formatCode>General</c:formatCode>
                <c:ptCount val="6"/>
                <c:pt idx="0">
                  <c:v>132</c:v>
                </c:pt>
                <c:pt idx="1">
                  <c:v>385</c:v>
                </c:pt>
                <c:pt idx="2">
                  <c:v>495</c:v>
                </c:pt>
                <c:pt idx="3">
                  <c:v>858</c:v>
                </c:pt>
                <c:pt idx="4">
                  <c:v>987</c:v>
                </c:pt>
                <c:pt idx="5">
                  <c:v>166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34-4760-8FDA-A95D2ABCEE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47152"/>
        <c:axId val="580431920"/>
      </c:lineChart>
      <c:catAx>
        <c:axId val="5804471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31920"/>
        <c:crosses val="autoZero"/>
        <c:auto val="1"/>
        <c:lblAlgn val="ctr"/>
        <c:lblOffset val="100"/>
        <c:noMultiLvlLbl val="0"/>
      </c:catAx>
      <c:valAx>
        <c:axId val="58043192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804471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Natural Gas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spPr>
            <a:ln>
              <a:solidFill>
                <a:schemeClr val="accent2"/>
              </a:solidFill>
            </a:ln>
          </c:spPr>
          <c:marker>
            <c:spPr>
              <a:solidFill>
                <a:schemeClr val="accent2"/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('[1]Wtr-Gas'!$BT$80,'[1]Wtr-Gas'!$BT$85,'[1]Wtr-Gas'!$BT$89,'[1]Wtr-Gas'!$BT$93,'[1]Wtr-Gas'!$BT$97,'[1]Wtr-Gas'!$BT$101,'[1]Wtr-Gas'!$BT$105,'[1]Wtr-Gas'!$BT$110,'[1]Wtr-Gas'!$BT$115,'[1]Wtr-Gas'!$BT$120,'[1]Wtr-Gas'!$BT$124,'[1]Wtr-Gas'!$BT$127)</c:f>
              <c:numCache>
                <c:formatCode>General</c:formatCode>
                <c:ptCount val="12"/>
                <c:pt idx="0">
                  <c:v>66688.94</c:v>
                </c:pt>
                <c:pt idx="1">
                  <c:v>79340.28</c:v>
                </c:pt>
                <c:pt idx="2">
                  <c:v>51278.85</c:v>
                </c:pt>
                <c:pt idx="3">
                  <c:v>44264.69</c:v>
                </c:pt>
                <c:pt idx="4">
                  <c:v>46933.69</c:v>
                </c:pt>
                <c:pt idx="5">
                  <c:v>29104.06</c:v>
                </c:pt>
                <c:pt idx="6">
                  <c:v>27802.03</c:v>
                </c:pt>
                <c:pt idx="7">
                  <c:v>36582.14</c:v>
                </c:pt>
                <c:pt idx="8">
                  <c:v>33105.01</c:v>
                </c:pt>
                <c:pt idx="9">
                  <c:v>53129.66</c:v>
                </c:pt>
                <c:pt idx="10">
                  <c:v>46823.94</c:v>
                </c:pt>
                <c:pt idx="11">
                  <c:v>50625.33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F0-425A-B1C8-C2D664774E87}"/>
            </c:ext>
          </c:extLst>
        </c:ser>
        <c:ser>
          <c:idx val="0"/>
          <c:order val="1"/>
          <c:tx>
            <c:v>2016</c:v>
          </c:tx>
          <c:spPr>
            <a:ln>
              <a:solidFill>
                <a:schemeClr val="tx1"/>
              </a:solidFill>
            </a:ln>
          </c:spPr>
          <c:marker>
            <c:spPr>
              <a:solidFill>
                <a:schemeClr val="tx1"/>
              </a:solidFill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('[1]Wtr-Gas'!$BT$139,'[1]Wtr-Gas'!$BT$144,'[1]Wtr-Gas'!$BT$148,'[1]Wtr-Gas'!$BT$152,'[1]Wtr-Gas'!$BT$158,'[1]Wtr-Gas'!$BT$162,'[1]Wtr-Gas'!$BT$167,'[1]Wtr-Gas'!$BT$171,'[1]Wtr-Gas'!$BT$175,'[1]Wtr-Gas'!$BT$180,'[1]Wtr-Gas'!$BT$185,'[1]Wtr-Gas'!$BT$189)</c:f>
              <c:numCache>
                <c:formatCode>General</c:formatCode>
                <c:ptCount val="12"/>
                <c:pt idx="0">
                  <c:v>63885.29</c:v>
                </c:pt>
                <c:pt idx="1">
                  <c:v>84264.13</c:v>
                </c:pt>
                <c:pt idx="2">
                  <c:v>55878.43</c:v>
                </c:pt>
                <c:pt idx="3">
                  <c:v>53882.95</c:v>
                </c:pt>
                <c:pt idx="4">
                  <c:v>53882.95</c:v>
                </c:pt>
                <c:pt idx="5">
                  <c:v>8462.69</c:v>
                </c:pt>
                <c:pt idx="6">
                  <c:v>34636.54</c:v>
                </c:pt>
                <c:pt idx="7">
                  <c:v>24718.240000000002</c:v>
                </c:pt>
                <c:pt idx="8">
                  <c:v>33088.129999999997</c:v>
                </c:pt>
                <c:pt idx="9">
                  <c:v>57020.84</c:v>
                </c:pt>
                <c:pt idx="10">
                  <c:v>62373.72</c:v>
                </c:pt>
                <c:pt idx="11">
                  <c:v>56397.25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F0-425A-B1C8-C2D664774E87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('[1]Wtr-Gas'!$BT$197,'[1]Wtr-Gas'!$BT$202,'[1]Wtr-Gas'!$BT$207,'[1]Wtr-Gas'!$BZ$210,'[1]Wtr-Gas'!$BZ$211,'[1]Wtr-Gas'!$BZ$212,'[1]Wtr-Gas'!$BZ$213,'[1]Wtr-Gas'!$BZ$214,'[1]Wtr-Gas'!$BZ$215,'[1]Wtr-Gas'!$BZ$216,'[1]Wtr-Gas'!$BZ$217,'[1]Wtr-Gas'!$BZ$218)</c:f>
              <c:numCache>
                <c:formatCode>General</c:formatCode>
                <c:ptCount val="12"/>
                <c:pt idx="0">
                  <c:v>64997.77</c:v>
                </c:pt>
                <c:pt idx="1">
                  <c:v>75893.09</c:v>
                </c:pt>
                <c:pt idx="2">
                  <c:v>61984.6</c:v>
                </c:pt>
                <c:pt idx="3">
                  <c:v>53249.36</c:v>
                </c:pt>
                <c:pt idx="4">
                  <c:v>52875.23</c:v>
                </c:pt>
                <c:pt idx="5">
                  <c:v>36752.19</c:v>
                </c:pt>
                <c:pt idx="6">
                  <c:v>36082.92</c:v>
                </c:pt>
                <c:pt idx="7">
                  <c:v>46609</c:v>
                </c:pt>
                <c:pt idx="8">
                  <c:v>32516.52</c:v>
                </c:pt>
                <c:pt idx="9">
                  <c:v>49447.409999999996</c:v>
                </c:pt>
                <c:pt idx="10">
                  <c:v>44628.18</c:v>
                </c:pt>
                <c:pt idx="11">
                  <c:v>45033.25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C2-44D4-A56F-E7A2AD39D0A5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('[1]Wtr-Gas'!$BZ$225,'[1]Wtr-Gas'!$BZ$226,'[1]Wtr-Gas'!$BZ$227,'[1]Wtr-Gas'!$BZ$228,'[1]Wtr-Gas'!$BZ$229,'[1]Wtr-Gas'!$BZ$230,'[1]Wtr-Gas'!$BZ$231,'[1]Wtr-Gas'!$BZ$232,'[1]Wtr-Gas'!$BZ$233,'[1]Wtr-Gas'!$BZ$234,'[1]Wtr-Gas'!$BZ$239,'[1]Wtr-Gas'!$BZ$242)</c:f>
              <c:numCache>
                <c:formatCode>General</c:formatCode>
                <c:ptCount val="12"/>
                <c:pt idx="0">
                  <c:v>54816.01</c:v>
                </c:pt>
                <c:pt idx="1">
                  <c:v>54694.770000000004</c:v>
                </c:pt>
                <c:pt idx="2">
                  <c:v>59731.12</c:v>
                </c:pt>
                <c:pt idx="3">
                  <c:v>46971.62</c:v>
                </c:pt>
                <c:pt idx="4">
                  <c:v>47698.439999999995</c:v>
                </c:pt>
                <c:pt idx="5">
                  <c:v>44031.11</c:v>
                </c:pt>
                <c:pt idx="6">
                  <c:v>40452.479999999996</c:v>
                </c:pt>
                <c:pt idx="7">
                  <c:v>50333.48</c:v>
                </c:pt>
                <c:pt idx="8">
                  <c:v>39550.22</c:v>
                </c:pt>
                <c:pt idx="9">
                  <c:v>52323.360000000001</c:v>
                </c:pt>
                <c:pt idx="10">
                  <c:v>44539.91</c:v>
                </c:pt>
                <c:pt idx="11">
                  <c:v>49498.439999999995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C2-44D4-A56F-E7A2AD39D0A5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('[1]Wtr-Gas'!$BZ$251,'[1]Wtr-Gas'!$BZ$257,'[1]Wtr-Gas'!$BZ$262,'[1]Wtr-Gas'!$BZ$266,'[1]Wtr-Gas'!$BZ$272,'[1]Wtr-Gas'!$BZ$276,'[1]Wtr-Gas'!$BZ$281,'[1]Wtr-Gas'!$BZ$286,'[1]Wtr-Gas'!$BZ$290,'[1]Wtr-Gas'!$BZ$295,'[1]Wtr-Gas'!$BZ$300,'[1]Wtr-Gas'!$BZ$305)</c:f>
              <c:numCache>
                <c:formatCode>General</c:formatCode>
                <c:ptCount val="12"/>
                <c:pt idx="0">
                  <c:v>52589.62</c:v>
                </c:pt>
                <c:pt idx="1">
                  <c:v>62425.35</c:v>
                </c:pt>
                <c:pt idx="2">
                  <c:v>49824.01</c:v>
                </c:pt>
                <c:pt idx="3">
                  <c:v>46419.57</c:v>
                </c:pt>
                <c:pt idx="4">
                  <c:v>52993.9</c:v>
                </c:pt>
                <c:pt idx="5">
                  <c:v>40681.64</c:v>
                </c:pt>
                <c:pt idx="6">
                  <c:v>40360.479999999996</c:v>
                </c:pt>
                <c:pt idx="7">
                  <c:v>50103.920000000006</c:v>
                </c:pt>
                <c:pt idx="8">
                  <c:v>36851.229999999996</c:v>
                </c:pt>
                <c:pt idx="9">
                  <c:v>49163.759999999995</c:v>
                </c:pt>
                <c:pt idx="10">
                  <c:v>49333.5</c:v>
                </c:pt>
                <c:pt idx="11">
                  <c:v>47149.49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C2-44D4-A56F-E7A2AD39D0A5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('[1]Wtr-Gas'!$BZ$316,'[1]Wtr-Gas'!$BZ$320,'[1]Wtr-Gas'!$BZ$324,'[1]Wtr-Gas'!$BZ$330,'[1]Wtr-Gas'!$BZ$335,'[1]Wtr-Gas'!$BZ$340)</c:f>
              <c:numCache>
                <c:formatCode>General</c:formatCode>
                <c:ptCount val="6"/>
                <c:pt idx="0">
                  <c:v>48080.37</c:v>
                </c:pt>
                <c:pt idx="1">
                  <c:v>62592.17</c:v>
                </c:pt>
                <c:pt idx="2">
                  <c:v>40153.259999999995</c:v>
                </c:pt>
                <c:pt idx="3">
                  <c:v>8414.49</c:v>
                </c:pt>
                <c:pt idx="4">
                  <c:v>12345.23</c:v>
                </c:pt>
                <c:pt idx="5">
                  <c:v>12362.130000000001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56-496C-8F52-7EAF347DB9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42256"/>
        <c:axId val="580441168"/>
      </c:lineChart>
      <c:catAx>
        <c:axId val="580442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41168"/>
        <c:crosses val="autoZero"/>
        <c:auto val="1"/>
        <c:lblAlgn val="ctr"/>
        <c:lblOffset val="100"/>
        <c:noMultiLvlLbl val="0"/>
      </c:catAx>
      <c:valAx>
        <c:axId val="58044116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Ccf</a:t>
                </a:r>
                <a:r>
                  <a:rPr lang="en-US" baseline="0"/>
                  <a:t> of Natural Gas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804422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Golf Irrigation Re-Use Water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390337318946243"/>
          <c:y val="0.1629169067281224"/>
          <c:w val="0.67997317002041413"/>
          <c:h val="0.64091767492478069"/>
        </c:manualLayout>
      </c:layout>
      <c:lineChart>
        <c:grouping val="standard"/>
        <c:varyColors val="0"/>
        <c:ser>
          <c:idx val="2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('[1]Wtr-Gas'!$CY$81,'[1]Wtr-Gas'!$CY$85,'[1]Wtr-Gas'!$CY$89,'[1]Wtr-Gas'!$CY$93,'[1]Wtr-Gas'!$CY$97,'[1]Wtr-Gas'!$CY$101,'[1]Wtr-Gas'!$CY$105,'[1]Wtr-Gas'!$CY$110,'[1]Wtr-Gas'!$CY$115,'[1]Wtr-Gas'!$CY$120,'[1]Wtr-Gas'!$CY$124,'[1]Wtr-Gas'!$CY$127)</c:f>
              <c:numCache>
                <c:formatCode>General</c:formatCode>
                <c:ptCount val="12"/>
                <c:pt idx="0">
                  <c:v>1098</c:v>
                </c:pt>
                <c:pt idx="1">
                  <c:v>2289</c:v>
                </c:pt>
                <c:pt idx="2">
                  <c:v>10081</c:v>
                </c:pt>
                <c:pt idx="3">
                  <c:v>9717</c:v>
                </c:pt>
                <c:pt idx="4">
                  <c:v>15201</c:v>
                </c:pt>
                <c:pt idx="5">
                  <c:v>22311</c:v>
                </c:pt>
                <c:pt idx="6">
                  <c:v>10453</c:v>
                </c:pt>
                <c:pt idx="7">
                  <c:v>860</c:v>
                </c:pt>
                <c:pt idx="8">
                  <c:v>4626</c:v>
                </c:pt>
                <c:pt idx="9">
                  <c:v>16778</c:v>
                </c:pt>
                <c:pt idx="10">
                  <c:v>9160</c:v>
                </c:pt>
                <c:pt idx="11">
                  <c:v>6915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AC-4C97-AE13-61DF23A528CE}"/>
            </c:ext>
          </c:extLst>
        </c:ser>
        <c:ser>
          <c:idx val="0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('[1]Wtr-Gas'!$CY$139,'[1]Wtr-Gas'!$CY$144,'[1]Wtr-Gas'!$CY$148,'[1]Wtr-Gas'!$CY$152,'[1]Wtr-Gas'!$CY$158,'[1]Wtr-Gas'!$CY$162,'[1]Wtr-Gas'!$CY$167,'[1]Wtr-Gas'!$CY$171,'[1]Wtr-Gas'!$CY$175,'[1]Wtr-Gas'!$CY$180,'[1]Wtr-Gas'!$CY$185,'[1]Wtr-Gas'!$CY$189)</c:f>
              <c:numCache>
                <c:formatCode>General</c:formatCode>
                <c:ptCount val="12"/>
                <c:pt idx="0">
                  <c:v>3281</c:v>
                </c:pt>
                <c:pt idx="1">
                  <c:v>8608</c:v>
                </c:pt>
                <c:pt idx="2">
                  <c:v>9619</c:v>
                </c:pt>
                <c:pt idx="3">
                  <c:v>9217</c:v>
                </c:pt>
                <c:pt idx="4">
                  <c:v>6538</c:v>
                </c:pt>
                <c:pt idx="5">
                  <c:v>4306</c:v>
                </c:pt>
                <c:pt idx="6">
                  <c:v>20572</c:v>
                </c:pt>
                <c:pt idx="7">
                  <c:v>16139</c:v>
                </c:pt>
                <c:pt idx="8">
                  <c:v>2487</c:v>
                </c:pt>
                <c:pt idx="9">
                  <c:v>9775</c:v>
                </c:pt>
                <c:pt idx="10">
                  <c:v>15818</c:v>
                </c:pt>
                <c:pt idx="11">
                  <c:v>5902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AC-4C97-AE13-61DF23A528CE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('[1]Wtr-Gas'!$CY$197,'[1]Wtr-Gas'!$CY$202,'[1]Wtr-Gas'!$CY$207,'[1]Wtr-Gas'!$CY$210,'[1]Wtr-Gas'!$CY$211,'[1]Wtr-Gas'!$CY$212,'[1]Wtr-Gas'!$CY$213,'[1]Wtr-Gas'!$CY$214,'[1]Wtr-Gas'!$CY$215,'[1]Wtr-Gas'!$CY$216,'[1]Wtr-Gas'!$CY$217,'[1]Wtr-Gas'!$CY$218)</c:f>
              <c:numCache>
                <c:formatCode>General</c:formatCode>
                <c:ptCount val="12"/>
                <c:pt idx="0">
                  <c:v>5779</c:v>
                </c:pt>
                <c:pt idx="1">
                  <c:v>9192</c:v>
                </c:pt>
                <c:pt idx="2">
                  <c:v>14582</c:v>
                </c:pt>
                <c:pt idx="3">
                  <c:v>19055</c:v>
                </c:pt>
                <c:pt idx="4">
                  <c:v>23407</c:v>
                </c:pt>
                <c:pt idx="5">
                  <c:v>1038</c:v>
                </c:pt>
                <c:pt idx="6">
                  <c:v>3021</c:v>
                </c:pt>
                <c:pt idx="7">
                  <c:v>6639</c:v>
                </c:pt>
                <c:pt idx="8">
                  <c:v>3184</c:v>
                </c:pt>
                <c:pt idx="9">
                  <c:v>7774</c:v>
                </c:pt>
                <c:pt idx="10">
                  <c:v>13241</c:v>
                </c:pt>
                <c:pt idx="11">
                  <c:v>4875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80-4EB5-9E2E-A7B6BBA21B02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('[1]Wtr-Gas'!$CY$225,'[1]Wtr-Gas'!$CY$226,'[1]Wtr-Gas'!$CY$227,'[1]Wtr-Gas'!$CY$228,'[1]Wtr-Gas'!$CY$229,'[1]Wtr-Gas'!$CY$230,'[1]Wtr-Gas'!$CY$231,'[1]Wtr-Gas'!$CY$232,'[1]Wtr-Gas'!$CY$233,'[1]Wtr-Gas'!$CY$234,'[1]Wtr-Gas'!$CY$239,'[1]Wtr-Gas'!$CY$242)</c:f>
              <c:numCache>
                <c:formatCode>General</c:formatCode>
                <c:ptCount val="12"/>
                <c:pt idx="0">
                  <c:v>3300</c:v>
                </c:pt>
                <c:pt idx="1">
                  <c:v>3150</c:v>
                </c:pt>
                <c:pt idx="2">
                  <c:v>23833</c:v>
                </c:pt>
                <c:pt idx="3">
                  <c:v>9249</c:v>
                </c:pt>
                <c:pt idx="4">
                  <c:v>10949</c:v>
                </c:pt>
                <c:pt idx="5">
                  <c:v>7516</c:v>
                </c:pt>
                <c:pt idx="6">
                  <c:v>5226</c:v>
                </c:pt>
                <c:pt idx="7">
                  <c:v>4268</c:v>
                </c:pt>
                <c:pt idx="8">
                  <c:v>6063</c:v>
                </c:pt>
                <c:pt idx="9">
                  <c:v>11285</c:v>
                </c:pt>
                <c:pt idx="10">
                  <c:v>8038</c:v>
                </c:pt>
                <c:pt idx="11">
                  <c:v>20752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80-4EB5-9E2E-A7B6BBA21B02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('[1]Wtr-Gas'!$CY$251,'[1]Wtr-Gas'!$CY$257,'[1]Wtr-Gas'!$CY$262,'[1]Wtr-Gas'!$CY$266,'[1]Wtr-Gas'!$CY$272,'[1]Wtr-Gas'!$CY$276,'[1]Wtr-Gas'!$CY$281,'[1]Wtr-Gas'!$CY$286,'[1]Wtr-Gas'!$CY$290,'[1]Wtr-Gas'!$CY$295,'[1]Wtr-Gas'!$CY$300,'[1]Wtr-Gas'!$CY$305)</c:f>
              <c:numCache>
                <c:formatCode>General</c:formatCode>
                <c:ptCount val="12"/>
                <c:pt idx="0">
                  <c:v>2467</c:v>
                </c:pt>
                <c:pt idx="1">
                  <c:v>2359</c:v>
                </c:pt>
                <c:pt idx="2">
                  <c:v>10072</c:v>
                </c:pt>
                <c:pt idx="3">
                  <c:v>6579</c:v>
                </c:pt>
                <c:pt idx="4">
                  <c:v>7752</c:v>
                </c:pt>
                <c:pt idx="5">
                  <c:v>16738</c:v>
                </c:pt>
                <c:pt idx="6">
                  <c:v>4893</c:v>
                </c:pt>
                <c:pt idx="7">
                  <c:v>2166</c:v>
                </c:pt>
                <c:pt idx="8">
                  <c:v>9022</c:v>
                </c:pt>
                <c:pt idx="9">
                  <c:v>9602</c:v>
                </c:pt>
                <c:pt idx="10">
                  <c:v>3516</c:v>
                </c:pt>
                <c:pt idx="11">
                  <c:v>5450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80-4EB5-9E2E-A7B6BBA21B02}"/>
            </c:ext>
          </c:extLst>
        </c:ser>
        <c:ser>
          <c:idx val="5"/>
          <c:order val="5"/>
          <c:tx>
            <c:v>2020</c:v>
          </c:tx>
          <c:spPr>
            <a:ln>
              <a:solidFill>
                <a:srgbClr val="FF0000"/>
              </a:solidFill>
            </a:ln>
          </c:spP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('[1]Wtr-Gas'!$CY$316,'[1]Wtr-Gas'!$CY$320,'[1]Wtr-Gas'!$CY$324,'[1]Wtr-Gas'!$CY$330,'[1]Wtr-Gas'!$CY$335,'[1]Wtr-Gas'!$CY$340)</c:f>
              <c:numCache>
                <c:formatCode>General</c:formatCode>
                <c:ptCount val="6"/>
                <c:pt idx="0">
                  <c:v>2800</c:v>
                </c:pt>
                <c:pt idx="1">
                  <c:v>2896</c:v>
                </c:pt>
                <c:pt idx="2">
                  <c:v>10131</c:v>
                </c:pt>
                <c:pt idx="3">
                  <c:v>13156</c:v>
                </c:pt>
                <c:pt idx="4">
                  <c:v>16238</c:v>
                </c:pt>
                <c:pt idx="5">
                  <c:v>273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C9-4987-924B-845DD6A97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34096"/>
        <c:axId val="580434640"/>
      </c:lineChart>
      <c:catAx>
        <c:axId val="5804340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34640"/>
        <c:crosses val="autoZero"/>
        <c:auto val="1"/>
        <c:lblAlgn val="ctr"/>
        <c:lblOffset val="100"/>
        <c:noMultiLvlLbl val="0"/>
      </c:catAx>
      <c:valAx>
        <c:axId val="580434640"/>
        <c:scaling>
          <c:orientation val="minMax"/>
          <c:min val="10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804340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ln w="6350">
      <a:solidFill>
        <a:srgbClr val="002060"/>
      </a:solidFill>
    </a:ln>
  </c:spPr>
  <c:printSettings>
    <c:headerFooter/>
    <c:pageMargins b="0.75" l="0.7" r="0.7" t="0.75" header="0.3" footer="0.3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Percent Occupancy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2017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[1]Occupancy!$B$4:$B$15</c:f>
              <c:numCache>
                <c:formatCode>General</c:formatCode>
                <c:ptCount val="12"/>
                <c:pt idx="0">
                  <c:v>78.2</c:v>
                </c:pt>
                <c:pt idx="1">
                  <c:v>74.5</c:v>
                </c:pt>
                <c:pt idx="2">
                  <c:v>83.4</c:v>
                </c:pt>
                <c:pt idx="3">
                  <c:v>79.8</c:v>
                </c:pt>
                <c:pt idx="4">
                  <c:v>73.900000000000006</c:v>
                </c:pt>
                <c:pt idx="5">
                  <c:v>73.900000000000006</c:v>
                </c:pt>
                <c:pt idx="6">
                  <c:v>75.099999999999994</c:v>
                </c:pt>
                <c:pt idx="7">
                  <c:v>73.900000000000006</c:v>
                </c:pt>
                <c:pt idx="8">
                  <c:v>60.5</c:v>
                </c:pt>
                <c:pt idx="9">
                  <c:v>69.900000000000006</c:v>
                </c:pt>
                <c:pt idx="10">
                  <c:v>76.2</c:v>
                </c:pt>
                <c:pt idx="11">
                  <c:v>71.5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82-48A5-A073-C734C5482F08}"/>
            </c:ext>
          </c:extLst>
        </c:ser>
        <c:ser>
          <c:idx val="1"/>
          <c:order val="1"/>
          <c:tx>
            <c:v>2018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[1]Occupancy!$I$4:$I$15</c:f>
              <c:numCache>
                <c:formatCode>General</c:formatCode>
                <c:ptCount val="12"/>
                <c:pt idx="0">
                  <c:v>75.900000000000006</c:v>
                </c:pt>
                <c:pt idx="1">
                  <c:v>78.2</c:v>
                </c:pt>
                <c:pt idx="2">
                  <c:v>85.6</c:v>
                </c:pt>
                <c:pt idx="3">
                  <c:v>83.7</c:v>
                </c:pt>
                <c:pt idx="4">
                  <c:v>75.900000000000006</c:v>
                </c:pt>
                <c:pt idx="5">
                  <c:v>74.5</c:v>
                </c:pt>
                <c:pt idx="6">
                  <c:v>70.8</c:v>
                </c:pt>
                <c:pt idx="7">
                  <c:v>71.8</c:v>
                </c:pt>
                <c:pt idx="8">
                  <c:v>59</c:v>
                </c:pt>
                <c:pt idx="9">
                  <c:v>70.3</c:v>
                </c:pt>
                <c:pt idx="10">
                  <c:v>74.5</c:v>
                </c:pt>
                <c:pt idx="11">
                  <c:v>63.9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82-48A5-A073-C734C5482F08}"/>
            </c:ext>
          </c:extLst>
        </c:ser>
        <c:ser>
          <c:idx val="2"/>
          <c:order val="2"/>
          <c:tx>
            <c:v>2019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([1]Occupancy!$P$4:$P$13,[1]Occupancy!$P$14,[1]Occupancy!$P$15)</c:f>
              <c:numCache>
                <c:formatCode>General</c:formatCode>
                <c:ptCount val="12"/>
                <c:pt idx="0">
                  <c:v>76.7</c:v>
                </c:pt>
                <c:pt idx="1">
                  <c:v>79.8</c:v>
                </c:pt>
                <c:pt idx="2">
                  <c:v>82.2</c:v>
                </c:pt>
                <c:pt idx="3">
                  <c:v>78</c:v>
                </c:pt>
                <c:pt idx="4">
                  <c:v>78.099999999999994</c:v>
                </c:pt>
                <c:pt idx="5">
                  <c:v>80.8</c:v>
                </c:pt>
                <c:pt idx="6">
                  <c:v>80.8</c:v>
                </c:pt>
                <c:pt idx="7">
                  <c:v>67</c:v>
                </c:pt>
                <c:pt idx="8">
                  <c:v>58.8</c:v>
                </c:pt>
                <c:pt idx="9">
                  <c:v>73.099999999999994</c:v>
                </c:pt>
                <c:pt idx="10">
                  <c:v>73.2</c:v>
                </c:pt>
                <c:pt idx="11">
                  <c:v>65.8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82-48A5-A073-C734C5482F08}"/>
            </c:ext>
          </c:extLst>
        </c:ser>
        <c:ser>
          <c:idx val="3"/>
          <c:order val="3"/>
          <c:tx>
            <c:v>2020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[1]Occupancy!$W$4:$W$10</c:f>
              <c:numCache>
                <c:formatCode>General</c:formatCode>
                <c:ptCount val="7"/>
                <c:pt idx="0">
                  <c:v>71.400000000000006</c:v>
                </c:pt>
                <c:pt idx="1">
                  <c:v>78.599999999999994</c:v>
                </c:pt>
                <c:pt idx="2">
                  <c:v>28.3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E0-43C6-949A-EDEDFA577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35184"/>
        <c:axId val="580439536"/>
      </c:lineChart>
      <c:catAx>
        <c:axId val="5804351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39536"/>
        <c:crosses val="autoZero"/>
        <c:auto val="1"/>
        <c:lblAlgn val="ctr"/>
        <c:lblOffset val="100"/>
        <c:noMultiLvlLbl val="0"/>
      </c:catAx>
      <c:valAx>
        <c:axId val="580439536"/>
        <c:scaling>
          <c:orientation val="minMax"/>
          <c:min val="2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804351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HDD</a:t>
            </a:r>
            <a:r>
              <a:rPr lang="en-US" baseline="0"/>
              <a:t> / CDD</a:t>
            </a:r>
            <a:endParaRPr lang="en-US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2017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[1]Occupancy!$F$4:$F$15</c:f>
              <c:numCache>
                <c:formatCode>General</c:formatCode>
                <c:ptCount val="12"/>
                <c:pt idx="0">
                  <c:v>138</c:v>
                </c:pt>
                <c:pt idx="1">
                  <c:v>180</c:v>
                </c:pt>
                <c:pt idx="2">
                  <c:v>290</c:v>
                </c:pt>
                <c:pt idx="3">
                  <c:v>358</c:v>
                </c:pt>
                <c:pt idx="4">
                  <c:v>365</c:v>
                </c:pt>
                <c:pt idx="5">
                  <c:v>478</c:v>
                </c:pt>
                <c:pt idx="6">
                  <c:v>503</c:v>
                </c:pt>
                <c:pt idx="7">
                  <c:v>435</c:v>
                </c:pt>
                <c:pt idx="8">
                  <c:v>320</c:v>
                </c:pt>
                <c:pt idx="9">
                  <c:v>154</c:v>
                </c:pt>
                <c:pt idx="10">
                  <c:v>104</c:v>
                </c:pt>
                <c:pt idx="11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F0-43AE-BDAD-C683DC49E7E2}"/>
            </c:ext>
          </c:extLst>
        </c:ser>
        <c:ser>
          <c:idx val="1"/>
          <c:order val="1"/>
          <c:tx>
            <c:v>2017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[1]Occupancy!$G$4:$G$15</c:f>
              <c:numCache>
                <c:formatCode>General</c:formatCode>
                <c:ptCount val="12"/>
                <c:pt idx="0">
                  <c:v>66</c:v>
                </c:pt>
                <c:pt idx="1">
                  <c:v>75</c:v>
                </c:pt>
                <c:pt idx="2">
                  <c:v>18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29</c:v>
                </c:pt>
                <c:pt idx="9">
                  <c:v>41</c:v>
                </c:pt>
                <c:pt idx="10">
                  <c:v>141</c:v>
                </c:pt>
                <c:pt idx="11">
                  <c:v>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F0-43AE-BDAD-C683DC49E7E2}"/>
            </c:ext>
          </c:extLst>
        </c:ser>
        <c:ser>
          <c:idx val="2"/>
          <c:order val="2"/>
          <c:tx>
            <c:v>2018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[1]Occupancy!$M$4:$M$15</c:f>
              <c:numCache>
                <c:formatCode>General</c:formatCode>
                <c:ptCount val="12"/>
                <c:pt idx="0">
                  <c:v>192</c:v>
                </c:pt>
                <c:pt idx="1">
                  <c:v>125</c:v>
                </c:pt>
                <c:pt idx="2">
                  <c:v>239</c:v>
                </c:pt>
                <c:pt idx="3">
                  <c:v>328</c:v>
                </c:pt>
                <c:pt idx="4">
                  <c:v>440</c:v>
                </c:pt>
                <c:pt idx="5">
                  <c:v>477</c:v>
                </c:pt>
                <c:pt idx="6">
                  <c:v>495</c:v>
                </c:pt>
                <c:pt idx="7">
                  <c:v>500</c:v>
                </c:pt>
                <c:pt idx="8">
                  <c:v>377</c:v>
                </c:pt>
                <c:pt idx="9">
                  <c:v>187</c:v>
                </c:pt>
                <c:pt idx="10">
                  <c:v>104</c:v>
                </c:pt>
                <c:pt idx="11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F0-43AE-BDAD-C683DC49E7E2}"/>
            </c:ext>
          </c:extLst>
        </c:ser>
        <c:ser>
          <c:idx val="3"/>
          <c:order val="3"/>
          <c:tx>
            <c:v>2018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[1]Occupancy!$N$4:$N$15</c:f>
              <c:numCache>
                <c:formatCode>General</c:formatCode>
                <c:ptCount val="12"/>
                <c:pt idx="0">
                  <c:v>31</c:v>
                </c:pt>
                <c:pt idx="1">
                  <c:v>125</c:v>
                </c:pt>
                <c:pt idx="2">
                  <c:v>21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</c:v>
                </c:pt>
                <c:pt idx="9">
                  <c:v>72</c:v>
                </c:pt>
                <c:pt idx="10">
                  <c:v>146</c:v>
                </c:pt>
                <c:pt idx="11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DF0-43AE-BDAD-C683DC49E7E2}"/>
            </c:ext>
          </c:extLst>
        </c:ser>
        <c:ser>
          <c:idx val="4"/>
          <c:order val="4"/>
          <c:tx>
            <c:v>2019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([1]Occupancy!$T$4:$T$9,[1]Occupancy!$T$10,[1]Occupancy!$T$11,[1]Occupancy!$T$12,[1]Occupancy!$T$13,[1]Occupancy!$T$14,[1]Occupancy!$T$15)</c:f>
              <c:numCache>
                <c:formatCode>General</c:formatCode>
                <c:ptCount val="12"/>
                <c:pt idx="0">
                  <c:v>159</c:v>
                </c:pt>
                <c:pt idx="1">
                  <c:v>156</c:v>
                </c:pt>
                <c:pt idx="2">
                  <c:v>264</c:v>
                </c:pt>
                <c:pt idx="3">
                  <c:v>415</c:v>
                </c:pt>
                <c:pt idx="4">
                  <c:v>487</c:v>
                </c:pt>
                <c:pt idx="5">
                  <c:v>502</c:v>
                </c:pt>
                <c:pt idx="6">
                  <c:v>492</c:v>
                </c:pt>
                <c:pt idx="7">
                  <c:v>475</c:v>
                </c:pt>
                <c:pt idx="8">
                  <c:v>500</c:v>
                </c:pt>
                <c:pt idx="9">
                  <c:v>431</c:v>
                </c:pt>
                <c:pt idx="10">
                  <c:v>167</c:v>
                </c:pt>
                <c:pt idx="11">
                  <c:v>140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DF0-43AE-BDAD-C683DC49E7E2}"/>
            </c:ext>
          </c:extLst>
        </c:ser>
        <c:ser>
          <c:idx val="5"/>
          <c:order val="5"/>
          <c:tx>
            <c:v>2019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([1]Occupancy!$U$4:$U$9,[1]Occupancy!$U$10,[1]Occupancy!$U$11,[1]Occupancy!$U$12,[1]Occupancy!$U$13,[1]Occupancy!$U$14,[1]Occupancy!$U$15)</c:f>
              <c:numCache>
                <c:formatCode>General</c:formatCode>
                <c:ptCount val="12"/>
                <c:pt idx="0">
                  <c:v>46</c:v>
                </c:pt>
                <c:pt idx="1">
                  <c:v>76</c:v>
                </c:pt>
                <c:pt idx="2">
                  <c:v>18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66</c:v>
                </c:pt>
                <c:pt idx="10">
                  <c:v>80</c:v>
                </c:pt>
                <c:pt idx="11">
                  <c:v>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DF0-43AE-BDAD-C683DC49E7E2}"/>
            </c:ext>
          </c:extLst>
        </c:ser>
        <c:ser>
          <c:idx val="6"/>
          <c:order val="6"/>
          <c:tx>
            <c:v>2020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([1]Occupancy!$AA$4,[1]Occupancy!$AA$5,[1]Occupancy!$AA$6,[1]Occupancy!$AA$7,[1]Occupancy!$AA$8,[1]Occupancy!$AA$9)</c:f>
              <c:numCache>
                <c:formatCode>General</c:formatCode>
                <c:ptCount val="6"/>
                <c:pt idx="0">
                  <c:v>148</c:v>
                </c:pt>
                <c:pt idx="1">
                  <c:v>292</c:v>
                </c:pt>
                <c:pt idx="2">
                  <c:v>313</c:v>
                </c:pt>
                <c:pt idx="3">
                  <c:v>372</c:v>
                </c:pt>
                <c:pt idx="4">
                  <c:v>480</c:v>
                </c:pt>
                <c:pt idx="5">
                  <c:v>520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E1-4B73-9A4B-2EBD2D98D67A}"/>
            </c:ext>
          </c:extLst>
        </c:ser>
        <c:ser>
          <c:idx val="7"/>
          <c:order val="7"/>
          <c:tx>
            <c:v>2020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([1]Occupancy!$AB$4,[1]Occupancy!$AB$5,[1]Occupancy!$AB$6,[1]Occupancy!$AB$7,[1]Occupancy!$AB$8,[1]Occupancy!$AB$9)</c:f>
              <c:numCache>
                <c:formatCode>General</c:formatCode>
                <c:ptCount val="6"/>
                <c:pt idx="0">
                  <c:v>102</c:v>
                </c:pt>
                <c:pt idx="1">
                  <c:v>30</c:v>
                </c:pt>
                <c:pt idx="2">
                  <c:v>9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E1-4B73-9A4B-2EBD2D98D6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45520"/>
        <c:axId val="580438448"/>
      </c:lineChart>
      <c:dateAx>
        <c:axId val="580445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38448"/>
        <c:crosses val="autoZero"/>
        <c:auto val="0"/>
        <c:lblOffset val="100"/>
        <c:baseTimeUnit val="days"/>
      </c:dateAx>
      <c:valAx>
        <c:axId val="580438448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804455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190499</xdr:rowOff>
    </xdr:from>
    <xdr:to>
      <xdr:col>11</xdr:col>
      <xdr:colOff>438150</xdr:colOff>
      <xdr:row>27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38099</xdr:colOff>
      <xdr:row>30</xdr:row>
      <xdr:rowOff>9524</xdr:rowOff>
    </xdr:from>
    <xdr:to>
      <xdr:col>11</xdr:col>
      <xdr:colOff>428624</xdr:colOff>
      <xdr:row>51</xdr:row>
      <xdr:rowOff>57149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276225</xdr:colOff>
      <xdr:row>3</xdr:row>
      <xdr:rowOff>180975</xdr:rowOff>
    </xdr:from>
    <xdr:to>
      <xdr:col>40</xdr:col>
      <xdr:colOff>438150</xdr:colOff>
      <xdr:row>18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28575</xdr:colOff>
      <xdr:row>54</xdr:row>
      <xdr:rowOff>0</xdr:rowOff>
    </xdr:from>
    <xdr:to>
      <xdr:col>11</xdr:col>
      <xdr:colOff>419100</xdr:colOff>
      <xdr:row>75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47625</xdr:colOff>
      <xdr:row>78</xdr:row>
      <xdr:rowOff>9525</xdr:rowOff>
    </xdr:from>
    <xdr:to>
      <xdr:col>11</xdr:col>
      <xdr:colOff>438150</xdr:colOff>
      <xdr:row>99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295274</xdr:colOff>
      <xdr:row>30</xdr:row>
      <xdr:rowOff>28575</xdr:rowOff>
    </xdr:from>
    <xdr:to>
      <xdr:col>22</xdr:col>
      <xdr:colOff>66674</xdr:colOff>
      <xdr:row>51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314324</xdr:colOff>
      <xdr:row>54</xdr:row>
      <xdr:rowOff>9524</xdr:rowOff>
    </xdr:from>
    <xdr:to>
      <xdr:col>22</xdr:col>
      <xdr:colOff>66674</xdr:colOff>
      <xdr:row>75</xdr:row>
      <xdr:rowOff>76199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314324</xdr:colOff>
      <xdr:row>78</xdr:row>
      <xdr:rowOff>19050</xdr:rowOff>
    </xdr:from>
    <xdr:to>
      <xdr:col>22</xdr:col>
      <xdr:colOff>104774</xdr:colOff>
      <xdr:row>99</xdr:row>
      <xdr:rowOff>19050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276225</xdr:colOff>
      <xdr:row>3</xdr:row>
      <xdr:rowOff>123825</xdr:rowOff>
    </xdr:from>
    <xdr:to>
      <xdr:col>22</xdr:col>
      <xdr:colOff>38100</xdr:colOff>
      <xdr:row>26</xdr:row>
      <xdr:rowOff>161925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500-00000A000000}"/>
            </a:ext>
            <a:ext uri="{147F2762-F138-4A5C-976F-8EAC2B608ADB}">
              <a16:predDERef xmlns:a16="http://schemas.microsoft.com/office/drawing/2014/main" pre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171450</xdr:colOff>
      <xdr:row>101</xdr:row>
      <xdr:rowOff>123825</xdr:rowOff>
    </xdr:from>
    <xdr:to>
      <xdr:col>11</xdr:col>
      <xdr:colOff>428625</xdr:colOff>
      <xdr:row>122</xdr:row>
      <xdr:rowOff>123825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314325</xdr:colOff>
      <xdr:row>102</xdr:row>
      <xdr:rowOff>9525</xdr:rowOff>
    </xdr:from>
    <xdr:to>
      <xdr:col>22</xdr:col>
      <xdr:colOff>104775</xdr:colOff>
      <xdr:row>123</xdr:row>
      <xdr:rowOff>9525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76200</xdr:colOff>
      <xdr:row>22</xdr:row>
      <xdr:rowOff>123825</xdr:rowOff>
    </xdr:from>
    <xdr:to>
      <xdr:col>14</xdr:col>
      <xdr:colOff>85725</xdr:colOff>
      <xdr:row>23</xdr:row>
      <xdr:rowOff>56007</xdr:rowOff>
    </xdr:to>
    <xdr:sp macro="" textlink="">
      <xdr:nvSpPr>
        <xdr:cNvPr id="2" name="Right Arrow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2247900" y="4457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85725</xdr:colOff>
      <xdr:row>29</xdr:row>
      <xdr:rowOff>123825</xdr:rowOff>
    </xdr:from>
    <xdr:to>
      <xdr:col>20</xdr:col>
      <xdr:colOff>95250</xdr:colOff>
      <xdr:row>30</xdr:row>
      <xdr:rowOff>56007</xdr:rowOff>
    </xdr:to>
    <xdr:sp macro="" textlink="">
      <xdr:nvSpPr>
        <xdr:cNvPr id="3" name="Right Arrow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3343275" y="57912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36</xdr:col>
      <xdr:colOff>76200</xdr:colOff>
      <xdr:row>22</xdr:row>
      <xdr:rowOff>133350</xdr:rowOff>
    </xdr:from>
    <xdr:to>
      <xdr:col>38</xdr:col>
      <xdr:colOff>85725</xdr:colOff>
      <xdr:row>23</xdr:row>
      <xdr:rowOff>65532</xdr:rowOff>
    </xdr:to>
    <xdr:sp macro="" textlink="">
      <xdr:nvSpPr>
        <xdr:cNvPr id="4" name="Right Arrow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6591300" y="4467225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42</xdr:col>
      <xdr:colOff>19050</xdr:colOff>
      <xdr:row>10</xdr:row>
      <xdr:rowOff>123825</xdr:rowOff>
    </xdr:from>
    <xdr:to>
      <xdr:col>44</xdr:col>
      <xdr:colOff>28575</xdr:colOff>
      <xdr:row>11</xdr:row>
      <xdr:rowOff>56007</xdr:rowOff>
    </xdr:to>
    <xdr:sp macro="" textlink="">
      <xdr:nvSpPr>
        <xdr:cNvPr id="5" name="Right Arrow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7620000" y="2171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65</xdr:col>
      <xdr:colOff>9525</xdr:colOff>
      <xdr:row>6</xdr:row>
      <xdr:rowOff>123825</xdr:rowOff>
    </xdr:from>
    <xdr:to>
      <xdr:col>67</xdr:col>
      <xdr:colOff>19050</xdr:colOff>
      <xdr:row>7</xdr:row>
      <xdr:rowOff>56007</xdr:rowOff>
    </xdr:to>
    <xdr:sp macro="" textlink="">
      <xdr:nvSpPr>
        <xdr:cNvPr id="6" name="Right Arrow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11772900" y="1409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58</xdr:col>
      <xdr:colOff>47625</xdr:colOff>
      <xdr:row>40</xdr:row>
      <xdr:rowOff>133350</xdr:rowOff>
    </xdr:from>
    <xdr:to>
      <xdr:col>60</xdr:col>
      <xdr:colOff>57150</xdr:colOff>
      <xdr:row>41</xdr:row>
      <xdr:rowOff>65532</xdr:rowOff>
    </xdr:to>
    <xdr:sp macro="" textlink="">
      <xdr:nvSpPr>
        <xdr:cNvPr id="7" name="Right Arrow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/>
      </xdr:nvSpPr>
      <xdr:spPr>
        <a:xfrm>
          <a:off x="10544175" y="7896225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84</xdr:col>
      <xdr:colOff>9525</xdr:colOff>
      <xdr:row>18</xdr:row>
      <xdr:rowOff>123825</xdr:rowOff>
    </xdr:from>
    <xdr:to>
      <xdr:col>86</xdr:col>
      <xdr:colOff>19050</xdr:colOff>
      <xdr:row>19</xdr:row>
      <xdr:rowOff>56007</xdr:rowOff>
    </xdr:to>
    <xdr:sp macro="" textlink="">
      <xdr:nvSpPr>
        <xdr:cNvPr id="8" name="Right Arrow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/>
      </xdr:nvSpPr>
      <xdr:spPr>
        <a:xfrm>
          <a:off x="15211425" y="3695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97</xdr:col>
      <xdr:colOff>114873</xdr:colOff>
      <xdr:row>16</xdr:row>
      <xdr:rowOff>113729</xdr:rowOff>
    </xdr:from>
    <xdr:to>
      <xdr:col>98</xdr:col>
      <xdr:colOff>56580</xdr:colOff>
      <xdr:row>18</xdr:row>
      <xdr:rowOff>104204</xdr:rowOff>
    </xdr:to>
    <xdr:sp macro="" textlink="">
      <xdr:nvSpPr>
        <xdr:cNvPr id="9" name="Right Arrow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/>
      </xdr:nvSpPr>
      <xdr:spPr>
        <a:xfrm rot="5400000">
          <a:off x="17545051" y="3429001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123825</xdr:colOff>
      <xdr:row>36</xdr:row>
      <xdr:rowOff>180976</xdr:rowOff>
    </xdr:from>
    <xdr:to>
      <xdr:col>45</xdr:col>
      <xdr:colOff>65532</xdr:colOff>
      <xdr:row>38</xdr:row>
      <xdr:rowOff>171451</xdr:rowOff>
    </xdr:to>
    <xdr:sp macro="" textlink="">
      <xdr:nvSpPr>
        <xdr:cNvPr id="10" name="Right Arrow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/>
      </xdr:nvSpPr>
      <xdr:spPr>
        <a:xfrm rot="5400000">
          <a:off x="7962328" y="730624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123825</xdr:colOff>
      <xdr:row>51</xdr:row>
      <xdr:rowOff>9526</xdr:rowOff>
    </xdr:from>
    <xdr:to>
      <xdr:col>22</xdr:col>
      <xdr:colOff>65532</xdr:colOff>
      <xdr:row>53</xdr:row>
      <xdr:rowOff>1</xdr:rowOff>
    </xdr:to>
    <xdr:sp macro="" textlink="">
      <xdr:nvSpPr>
        <xdr:cNvPr id="11" name="Right Arrow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/>
      </xdr:nvSpPr>
      <xdr:spPr>
        <a:xfrm rot="5400000">
          <a:off x="3799903" y="1000182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114300</xdr:colOff>
      <xdr:row>57</xdr:row>
      <xdr:rowOff>152401</xdr:rowOff>
    </xdr:from>
    <xdr:to>
      <xdr:col>45</xdr:col>
      <xdr:colOff>56007</xdr:colOff>
      <xdr:row>59</xdr:row>
      <xdr:rowOff>142876</xdr:rowOff>
    </xdr:to>
    <xdr:sp macro="" textlink="">
      <xdr:nvSpPr>
        <xdr:cNvPr id="12" name="Right Arrow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/>
      </xdr:nvSpPr>
      <xdr:spPr>
        <a:xfrm rot="5400000">
          <a:off x="7952803" y="1128769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70</xdr:col>
      <xdr:colOff>114300</xdr:colOff>
      <xdr:row>21</xdr:row>
      <xdr:rowOff>114301</xdr:rowOff>
    </xdr:from>
    <xdr:to>
      <xdr:col>71</xdr:col>
      <xdr:colOff>56007</xdr:colOff>
      <xdr:row>23</xdr:row>
      <xdr:rowOff>104776</xdr:rowOff>
    </xdr:to>
    <xdr:sp macro="" textlink="">
      <xdr:nvSpPr>
        <xdr:cNvPr id="13" name="Right Arrow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/>
      </xdr:nvSpPr>
      <xdr:spPr>
        <a:xfrm rot="5400000">
          <a:off x="12658153" y="438207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114300</xdr:colOff>
      <xdr:row>80</xdr:row>
      <xdr:rowOff>57151</xdr:rowOff>
    </xdr:from>
    <xdr:to>
      <xdr:col>2</xdr:col>
      <xdr:colOff>56007</xdr:colOff>
      <xdr:row>82</xdr:row>
      <xdr:rowOff>47626</xdr:rowOff>
    </xdr:to>
    <xdr:sp macro="" textlink="">
      <xdr:nvSpPr>
        <xdr:cNvPr id="14" name="Right Arrow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/>
      </xdr:nvSpPr>
      <xdr:spPr>
        <a:xfrm rot="5400000">
          <a:off x="170878" y="1557394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123825</xdr:colOff>
      <xdr:row>63</xdr:row>
      <xdr:rowOff>9526</xdr:rowOff>
    </xdr:from>
    <xdr:to>
      <xdr:col>2</xdr:col>
      <xdr:colOff>65532</xdr:colOff>
      <xdr:row>65</xdr:row>
      <xdr:rowOff>1</xdr:rowOff>
    </xdr:to>
    <xdr:sp macro="" textlink="">
      <xdr:nvSpPr>
        <xdr:cNvPr id="15" name="Right Arrow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/>
      </xdr:nvSpPr>
      <xdr:spPr>
        <a:xfrm rot="5400000">
          <a:off x="180403" y="1228782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123826</xdr:colOff>
      <xdr:row>43</xdr:row>
      <xdr:rowOff>104775</xdr:rowOff>
    </xdr:from>
    <xdr:to>
      <xdr:col>22</xdr:col>
      <xdr:colOff>65533</xdr:colOff>
      <xdr:row>45</xdr:row>
      <xdr:rowOff>95250</xdr:rowOff>
    </xdr:to>
    <xdr:sp macro="" textlink="">
      <xdr:nvSpPr>
        <xdr:cNvPr id="16" name="Right Arrow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/>
      </xdr:nvSpPr>
      <xdr:spPr>
        <a:xfrm rot="16200000">
          <a:off x="3799904" y="8563547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User/Downloads/9-10-20%20Utiliti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Logsheet"/>
      <sheetName val="Golf Logsheet"/>
      <sheetName val="Graphs"/>
      <sheetName val="Drawing"/>
      <sheetName val="Occupancy"/>
      <sheetName val="Elect"/>
      <sheetName val="Wtr-Gas"/>
      <sheetName val="Sheet1"/>
    </sheetNames>
    <sheetDataSet>
      <sheetData sheetId="0"/>
      <sheetData sheetId="1"/>
      <sheetData sheetId="2"/>
      <sheetData sheetId="3"/>
      <sheetData sheetId="4"/>
      <sheetData sheetId="5">
        <row r="4">
          <cell r="B4">
            <v>78.2</v>
          </cell>
          <cell r="F4">
            <v>138</v>
          </cell>
          <cell r="G4">
            <v>66</v>
          </cell>
          <cell r="I4">
            <v>75.900000000000006</v>
          </cell>
          <cell r="M4">
            <v>192</v>
          </cell>
          <cell r="N4">
            <v>31</v>
          </cell>
          <cell r="P4">
            <v>76.7</v>
          </cell>
          <cell r="T4">
            <v>159</v>
          </cell>
          <cell r="U4">
            <v>46</v>
          </cell>
          <cell r="W4">
            <v>71.400000000000006</v>
          </cell>
          <cell r="AA4">
            <v>148</v>
          </cell>
          <cell r="AB4">
            <v>102</v>
          </cell>
        </row>
        <row r="5">
          <cell r="B5">
            <v>74.5</v>
          </cell>
          <cell r="F5">
            <v>180</v>
          </cell>
          <cell r="G5">
            <v>75</v>
          </cell>
          <cell r="I5">
            <v>78.2</v>
          </cell>
          <cell r="M5">
            <v>125</v>
          </cell>
          <cell r="N5">
            <v>125</v>
          </cell>
          <cell r="P5">
            <v>79.8</v>
          </cell>
          <cell r="T5">
            <v>156</v>
          </cell>
          <cell r="U5">
            <v>76</v>
          </cell>
          <cell r="W5">
            <v>78.599999999999994</v>
          </cell>
          <cell r="AA5">
            <v>292</v>
          </cell>
          <cell r="AB5">
            <v>30</v>
          </cell>
        </row>
        <row r="6">
          <cell r="B6">
            <v>83.4</v>
          </cell>
          <cell r="F6">
            <v>290</v>
          </cell>
          <cell r="G6">
            <v>18</v>
          </cell>
          <cell r="I6">
            <v>85.6</v>
          </cell>
          <cell r="M6">
            <v>239</v>
          </cell>
          <cell r="N6">
            <v>21</v>
          </cell>
          <cell r="P6">
            <v>82.2</v>
          </cell>
          <cell r="T6">
            <v>264</v>
          </cell>
          <cell r="U6">
            <v>18</v>
          </cell>
          <cell r="W6">
            <v>28.3</v>
          </cell>
          <cell r="AA6">
            <v>313</v>
          </cell>
          <cell r="AB6">
            <v>9</v>
          </cell>
        </row>
        <row r="7">
          <cell r="B7">
            <v>79.8</v>
          </cell>
          <cell r="F7">
            <v>358</v>
          </cell>
          <cell r="G7">
            <v>9</v>
          </cell>
          <cell r="I7">
            <v>83.7</v>
          </cell>
          <cell r="M7">
            <v>328</v>
          </cell>
          <cell r="N7">
            <v>1</v>
          </cell>
          <cell r="P7">
            <v>78</v>
          </cell>
          <cell r="T7">
            <v>415</v>
          </cell>
          <cell r="U7">
            <v>0</v>
          </cell>
          <cell r="W7">
            <v>0</v>
          </cell>
          <cell r="AA7">
            <v>372</v>
          </cell>
          <cell r="AB7">
            <v>6</v>
          </cell>
        </row>
        <row r="8">
          <cell r="B8">
            <v>73.900000000000006</v>
          </cell>
          <cell r="F8">
            <v>365</v>
          </cell>
          <cell r="G8">
            <v>0</v>
          </cell>
          <cell r="I8">
            <v>75.900000000000006</v>
          </cell>
          <cell r="M8">
            <v>440</v>
          </cell>
          <cell r="N8">
            <v>0</v>
          </cell>
          <cell r="P8">
            <v>78.099999999999994</v>
          </cell>
          <cell r="T8">
            <v>487</v>
          </cell>
          <cell r="U8">
            <v>0</v>
          </cell>
          <cell r="W8">
            <v>0</v>
          </cell>
          <cell r="AA8">
            <v>480</v>
          </cell>
          <cell r="AB8">
            <v>0</v>
          </cell>
        </row>
        <row r="9">
          <cell r="B9">
            <v>73.900000000000006</v>
          </cell>
          <cell r="F9">
            <v>478</v>
          </cell>
          <cell r="G9">
            <v>0</v>
          </cell>
          <cell r="I9">
            <v>74.5</v>
          </cell>
          <cell r="M9">
            <v>477</v>
          </cell>
          <cell r="N9">
            <v>0</v>
          </cell>
          <cell r="P9">
            <v>80.8</v>
          </cell>
          <cell r="T9">
            <v>502</v>
          </cell>
          <cell r="U9">
            <v>0</v>
          </cell>
          <cell r="W9">
            <v>0</v>
          </cell>
          <cell r="AA9">
            <v>520</v>
          </cell>
          <cell r="AB9">
            <v>0</v>
          </cell>
        </row>
        <row r="10">
          <cell r="B10">
            <v>75.099999999999994</v>
          </cell>
          <cell r="F10">
            <v>503</v>
          </cell>
          <cell r="G10">
            <v>0</v>
          </cell>
          <cell r="I10">
            <v>70.8</v>
          </cell>
          <cell r="M10">
            <v>495</v>
          </cell>
          <cell r="N10">
            <v>0</v>
          </cell>
          <cell r="P10">
            <v>80.8</v>
          </cell>
          <cell r="T10">
            <v>492</v>
          </cell>
          <cell r="U10">
            <v>0</v>
          </cell>
          <cell r="W10">
            <v>20.5</v>
          </cell>
        </row>
        <row r="11">
          <cell r="B11">
            <v>73.900000000000006</v>
          </cell>
          <cell r="F11">
            <v>435</v>
          </cell>
          <cell r="G11">
            <v>0</v>
          </cell>
          <cell r="I11">
            <v>71.8</v>
          </cell>
          <cell r="M11">
            <v>500</v>
          </cell>
          <cell r="N11">
            <v>0</v>
          </cell>
          <cell r="P11">
            <v>67</v>
          </cell>
          <cell r="T11">
            <v>475</v>
          </cell>
          <cell r="U11">
            <v>0</v>
          </cell>
        </row>
        <row r="12">
          <cell r="B12">
            <v>60.5</v>
          </cell>
          <cell r="F12">
            <v>320</v>
          </cell>
          <cell r="G12">
            <v>29</v>
          </cell>
          <cell r="I12">
            <v>59</v>
          </cell>
          <cell r="M12">
            <v>377</v>
          </cell>
          <cell r="N12">
            <v>8</v>
          </cell>
          <cell r="P12">
            <v>58.8</v>
          </cell>
          <cell r="T12">
            <v>500</v>
          </cell>
          <cell r="U12">
            <v>0</v>
          </cell>
        </row>
        <row r="13">
          <cell r="B13">
            <v>69.900000000000006</v>
          </cell>
          <cell r="F13">
            <v>154</v>
          </cell>
          <cell r="G13">
            <v>41</v>
          </cell>
          <cell r="I13">
            <v>70.3</v>
          </cell>
          <cell r="M13">
            <v>187</v>
          </cell>
          <cell r="N13">
            <v>72</v>
          </cell>
          <cell r="P13">
            <v>73.099999999999994</v>
          </cell>
          <cell r="T13">
            <v>431</v>
          </cell>
          <cell r="U13">
            <v>66</v>
          </cell>
        </row>
        <row r="14">
          <cell r="B14">
            <v>76.2</v>
          </cell>
          <cell r="F14">
            <v>104</v>
          </cell>
          <cell r="G14">
            <v>141</v>
          </cell>
          <cell r="I14">
            <v>74.5</v>
          </cell>
          <cell r="M14">
            <v>104</v>
          </cell>
          <cell r="N14">
            <v>146</v>
          </cell>
          <cell r="P14">
            <v>73.2</v>
          </cell>
          <cell r="T14">
            <v>167</v>
          </cell>
          <cell r="U14">
            <v>80</v>
          </cell>
        </row>
        <row r="15">
          <cell r="B15">
            <v>71.5</v>
          </cell>
          <cell r="F15">
            <v>51</v>
          </cell>
          <cell r="G15">
            <v>292</v>
          </cell>
          <cell r="I15">
            <v>63.9</v>
          </cell>
          <cell r="M15">
            <v>68</v>
          </cell>
          <cell r="N15">
            <v>214</v>
          </cell>
          <cell r="P15">
            <v>65.8</v>
          </cell>
          <cell r="T15">
            <v>140</v>
          </cell>
          <cell r="U15">
            <v>133</v>
          </cell>
        </row>
      </sheetData>
      <sheetData sheetId="6">
        <row r="9">
          <cell r="HQ9">
            <v>1064413</v>
          </cell>
          <cell r="HT9">
            <v>100159.6325986</v>
          </cell>
        </row>
        <row r="13">
          <cell r="HQ13">
            <v>1514099</v>
          </cell>
          <cell r="HT13">
            <v>134137.85898799999</v>
          </cell>
        </row>
        <row r="17">
          <cell r="HQ17">
            <v>1253839</v>
          </cell>
          <cell r="HT17">
            <v>113847.43998119998</v>
          </cell>
        </row>
        <row r="23">
          <cell r="HQ23">
            <v>607725</v>
          </cell>
          <cell r="HT23">
            <v>74855.406033199994</v>
          </cell>
          <cell r="HV23">
            <v>5.1549999999999999E-2</v>
          </cell>
          <cell r="HW23">
            <v>2.095E-2</v>
          </cell>
          <cell r="HX23">
            <v>7.6890000000000001</v>
          </cell>
        </row>
        <row r="28">
          <cell r="HQ28">
            <v>828712</v>
          </cell>
          <cell r="HT28">
            <v>82416.263465600015</v>
          </cell>
        </row>
        <row r="33">
          <cell r="HQ33">
            <v>779141</v>
          </cell>
          <cell r="HT33">
            <v>83988.890376399999</v>
          </cell>
        </row>
      </sheetData>
      <sheetData sheetId="7">
        <row r="80">
          <cell r="BK80">
            <v>3584</v>
          </cell>
          <cell r="BP80">
            <v>30</v>
          </cell>
          <cell r="BT80">
            <v>66688.94</v>
          </cell>
        </row>
        <row r="81">
          <cell r="CY81">
            <v>1098</v>
          </cell>
        </row>
        <row r="85">
          <cell r="BK85">
            <v>3786</v>
          </cell>
          <cell r="BP85">
            <v>211</v>
          </cell>
          <cell r="BT85">
            <v>79340.28</v>
          </cell>
          <cell r="CY85">
            <v>2289</v>
          </cell>
        </row>
        <row r="89">
          <cell r="BK89">
            <v>3779</v>
          </cell>
          <cell r="BP89">
            <v>278</v>
          </cell>
          <cell r="BT89">
            <v>51278.85</v>
          </cell>
          <cell r="CY89">
            <v>10081</v>
          </cell>
        </row>
        <row r="93">
          <cell r="BK93">
            <v>4481</v>
          </cell>
          <cell r="BP93">
            <v>406</v>
          </cell>
          <cell r="BT93">
            <v>44264.69</v>
          </cell>
          <cell r="CY93">
            <v>9717</v>
          </cell>
        </row>
        <row r="97">
          <cell r="BK97">
            <v>5353</v>
          </cell>
          <cell r="BP97">
            <v>1398</v>
          </cell>
          <cell r="BT97">
            <v>46933.69</v>
          </cell>
          <cell r="CY97">
            <v>15201</v>
          </cell>
        </row>
        <row r="101">
          <cell r="BK101">
            <v>4267</v>
          </cell>
          <cell r="BP101">
            <v>1013</v>
          </cell>
          <cell r="BT101">
            <v>29104.06</v>
          </cell>
          <cell r="CY101">
            <v>22311</v>
          </cell>
        </row>
        <row r="105">
          <cell r="BK105">
            <v>3886</v>
          </cell>
          <cell r="BP105">
            <v>444</v>
          </cell>
          <cell r="BT105">
            <v>27802.03</v>
          </cell>
          <cell r="CY105">
            <v>10453</v>
          </cell>
        </row>
        <row r="110">
          <cell r="BK110">
            <v>5002</v>
          </cell>
          <cell r="BP110">
            <v>414</v>
          </cell>
          <cell r="BT110">
            <v>36582.14</v>
          </cell>
          <cell r="CY110">
            <v>860</v>
          </cell>
        </row>
        <row r="115">
          <cell r="BK115">
            <v>4097</v>
          </cell>
          <cell r="BP115">
            <v>160</v>
          </cell>
          <cell r="BT115">
            <v>33105.01</v>
          </cell>
          <cell r="CY115">
            <v>4626</v>
          </cell>
        </row>
        <row r="120">
          <cell r="BK120">
            <v>5958</v>
          </cell>
          <cell r="BP120">
            <v>254</v>
          </cell>
          <cell r="BT120">
            <v>53129.66</v>
          </cell>
          <cell r="CY120">
            <v>16778</v>
          </cell>
        </row>
        <row r="124">
          <cell r="BK124">
            <v>5076</v>
          </cell>
          <cell r="BP124">
            <v>247</v>
          </cell>
          <cell r="BT124">
            <v>46823.94</v>
          </cell>
          <cell r="CY124">
            <v>9160</v>
          </cell>
        </row>
        <row r="127">
          <cell r="BK127">
            <v>4615</v>
          </cell>
          <cell r="BP127">
            <v>38</v>
          </cell>
          <cell r="BT127">
            <v>50625.33</v>
          </cell>
          <cell r="CY127">
            <v>6915</v>
          </cell>
        </row>
        <row r="139">
          <cell r="BK139">
            <v>4482</v>
          </cell>
          <cell r="BP139">
            <v>267</v>
          </cell>
          <cell r="BT139">
            <v>63885.29</v>
          </cell>
          <cell r="CY139">
            <v>3281</v>
          </cell>
        </row>
        <row r="144">
          <cell r="BK144">
            <v>5137</v>
          </cell>
          <cell r="BP144">
            <v>127</v>
          </cell>
          <cell r="BT144">
            <v>84264.13</v>
          </cell>
          <cell r="CY144">
            <v>8608</v>
          </cell>
        </row>
        <row r="148">
          <cell r="BK148">
            <v>5086</v>
          </cell>
          <cell r="BP148">
            <v>839</v>
          </cell>
          <cell r="BT148">
            <v>55878.43</v>
          </cell>
          <cell r="CY148">
            <v>9619</v>
          </cell>
        </row>
        <row r="152">
          <cell r="BK152">
            <v>4939</v>
          </cell>
          <cell r="BP152">
            <v>710</v>
          </cell>
          <cell r="BT152">
            <v>53882.95</v>
          </cell>
          <cell r="CY152">
            <v>9217</v>
          </cell>
        </row>
        <row r="158">
          <cell r="BK158">
            <v>6347</v>
          </cell>
          <cell r="BP158">
            <v>825</v>
          </cell>
          <cell r="BT158">
            <v>53882.95</v>
          </cell>
          <cell r="CY158">
            <v>6538</v>
          </cell>
        </row>
        <row r="162">
          <cell r="BK162">
            <v>5379</v>
          </cell>
          <cell r="BP162">
            <v>220</v>
          </cell>
          <cell r="BT162">
            <v>8462.69</v>
          </cell>
          <cell r="CY162">
            <v>4306</v>
          </cell>
        </row>
        <row r="167">
          <cell r="BK167">
            <v>6017</v>
          </cell>
          <cell r="BP167">
            <v>769</v>
          </cell>
          <cell r="BT167">
            <v>34636.54</v>
          </cell>
          <cell r="CY167">
            <v>20572</v>
          </cell>
        </row>
        <row r="171">
          <cell r="BK171">
            <v>7470</v>
          </cell>
          <cell r="BP171">
            <v>625</v>
          </cell>
          <cell r="BT171">
            <v>24718.240000000002</v>
          </cell>
          <cell r="CY171">
            <v>16139</v>
          </cell>
        </row>
        <row r="175">
          <cell r="BK175">
            <v>5091</v>
          </cell>
          <cell r="BP175">
            <v>708</v>
          </cell>
          <cell r="BT175">
            <v>33088.129999999997</v>
          </cell>
          <cell r="CY175">
            <v>2487</v>
          </cell>
        </row>
        <row r="180">
          <cell r="BK180">
            <v>6140</v>
          </cell>
          <cell r="BP180">
            <v>487</v>
          </cell>
          <cell r="BT180">
            <v>57020.84</v>
          </cell>
          <cell r="CY180">
            <v>9775</v>
          </cell>
        </row>
        <row r="185">
          <cell r="BK185">
            <v>5320</v>
          </cell>
          <cell r="BP185">
            <v>1010</v>
          </cell>
          <cell r="BT185">
            <v>62373.72</v>
          </cell>
          <cell r="CY185">
            <v>15818</v>
          </cell>
        </row>
        <row r="189">
          <cell r="BK189">
            <v>5099</v>
          </cell>
          <cell r="BP189">
            <v>477</v>
          </cell>
          <cell r="BT189">
            <v>56397.25</v>
          </cell>
          <cell r="CY189">
            <v>5902</v>
          </cell>
        </row>
        <row r="197">
          <cell r="BK197">
            <v>4965</v>
          </cell>
          <cell r="BP197">
            <v>769</v>
          </cell>
          <cell r="BT197">
            <v>64997.77</v>
          </cell>
          <cell r="CY197">
            <v>5779</v>
          </cell>
        </row>
        <row r="202">
          <cell r="BK202">
            <v>5635</v>
          </cell>
          <cell r="BP202">
            <v>713</v>
          </cell>
          <cell r="BT202">
            <v>75893.09</v>
          </cell>
          <cell r="CY202">
            <v>9192</v>
          </cell>
        </row>
        <row r="207">
          <cell r="BK207">
            <v>5907</v>
          </cell>
          <cell r="BP207">
            <v>619</v>
          </cell>
          <cell r="BT207">
            <v>61984.6</v>
          </cell>
          <cell r="CY207">
            <v>14582</v>
          </cell>
        </row>
        <row r="210">
          <cell r="BK210">
            <v>5509</v>
          </cell>
          <cell r="BP210">
            <v>1032</v>
          </cell>
          <cell r="BZ210">
            <v>53249.36</v>
          </cell>
          <cell r="CY210">
            <v>19055</v>
          </cell>
        </row>
        <row r="211">
          <cell r="BK211">
            <v>6670</v>
          </cell>
          <cell r="BP211">
            <v>990</v>
          </cell>
          <cell r="BZ211">
            <v>52875.23</v>
          </cell>
          <cell r="CY211">
            <v>23407</v>
          </cell>
        </row>
        <row r="212">
          <cell r="BK212">
            <v>4821</v>
          </cell>
          <cell r="BP212">
            <v>249</v>
          </cell>
          <cell r="BZ212">
            <v>36752.19</v>
          </cell>
          <cell r="CY212">
            <v>1038</v>
          </cell>
        </row>
        <row r="213">
          <cell r="BK213">
            <v>5351</v>
          </cell>
          <cell r="BP213">
            <v>384</v>
          </cell>
          <cell r="BZ213">
            <v>36082.92</v>
          </cell>
          <cell r="CY213">
            <v>3021</v>
          </cell>
        </row>
        <row r="214">
          <cell r="BK214">
            <v>6887</v>
          </cell>
          <cell r="BP214">
            <v>310</v>
          </cell>
          <cell r="BZ214">
            <v>46609</v>
          </cell>
          <cell r="CY214">
            <v>6639</v>
          </cell>
        </row>
        <row r="215">
          <cell r="BK215">
            <v>5397</v>
          </cell>
          <cell r="BP215">
            <v>463</v>
          </cell>
          <cell r="BZ215">
            <v>32516.52</v>
          </cell>
          <cell r="CY215">
            <v>3184</v>
          </cell>
        </row>
        <row r="216">
          <cell r="BK216">
            <v>6705</v>
          </cell>
          <cell r="BP216">
            <v>567</v>
          </cell>
          <cell r="BZ216">
            <v>49447.409999999996</v>
          </cell>
          <cell r="CY216">
            <v>7774</v>
          </cell>
        </row>
        <row r="217">
          <cell r="BK217">
            <v>5605</v>
          </cell>
          <cell r="BP217">
            <v>394</v>
          </cell>
          <cell r="BZ217">
            <v>44628.18</v>
          </cell>
          <cell r="CY217">
            <v>13241</v>
          </cell>
        </row>
        <row r="218">
          <cell r="BK218">
            <v>5338</v>
          </cell>
          <cell r="BP218">
            <v>1338</v>
          </cell>
          <cell r="BZ218">
            <v>45033.25</v>
          </cell>
          <cell r="CY218">
            <v>4875</v>
          </cell>
        </row>
        <row r="225">
          <cell r="BK225">
            <v>5896</v>
          </cell>
          <cell r="BP225">
            <v>625</v>
          </cell>
          <cell r="BZ225">
            <v>54816.01</v>
          </cell>
          <cell r="CY225">
            <v>3300</v>
          </cell>
        </row>
        <row r="226">
          <cell r="BK226">
            <v>4567</v>
          </cell>
          <cell r="BP226">
            <v>351</v>
          </cell>
          <cell r="BZ226">
            <v>54694.770000000004</v>
          </cell>
          <cell r="CY226">
            <v>3150</v>
          </cell>
        </row>
        <row r="227">
          <cell r="BK227">
            <v>5129</v>
          </cell>
          <cell r="BP227">
            <v>1188</v>
          </cell>
          <cell r="BZ227">
            <v>59731.12</v>
          </cell>
          <cell r="CY227">
            <v>23833</v>
          </cell>
        </row>
        <row r="228">
          <cell r="BK228">
            <v>5305</v>
          </cell>
          <cell r="BP228">
            <v>613</v>
          </cell>
          <cell r="BZ228">
            <v>46971.62</v>
          </cell>
          <cell r="CY228">
            <v>9249</v>
          </cell>
        </row>
        <row r="229">
          <cell r="BK229">
            <v>6447</v>
          </cell>
          <cell r="BP229">
            <v>823</v>
          </cell>
          <cell r="BZ229">
            <v>47698.439999999995</v>
          </cell>
          <cell r="CY229">
            <v>10949</v>
          </cell>
        </row>
        <row r="230">
          <cell r="BK230">
            <v>5530</v>
          </cell>
          <cell r="BP230">
            <v>520</v>
          </cell>
          <cell r="BZ230">
            <v>44031.11</v>
          </cell>
          <cell r="CY230">
            <v>7516</v>
          </cell>
        </row>
        <row r="231">
          <cell r="BK231">
            <v>4291</v>
          </cell>
          <cell r="BP231">
            <v>454</v>
          </cell>
          <cell r="BZ231">
            <v>40452.479999999996</v>
          </cell>
          <cell r="CY231">
            <v>5226</v>
          </cell>
        </row>
        <row r="232">
          <cell r="BK232">
            <v>7706</v>
          </cell>
          <cell r="BP232">
            <v>761</v>
          </cell>
          <cell r="BZ232">
            <v>50333.48</v>
          </cell>
          <cell r="CY232">
            <v>4268</v>
          </cell>
        </row>
        <row r="233">
          <cell r="BK233">
            <v>4826</v>
          </cell>
          <cell r="BP233">
            <v>650</v>
          </cell>
          <cell r="BZ233">
            <v>39550.22</v>
          </cell>
          <cell r="CY233">
            <v>6063</v>
          </cell>
        </row>
        <row r="234">
          <cell r="BK234">
            <v>6646</v>
          </cell>
          <cell r="BP234">
            <v>788</v>
          </cell>
          <cell r="BZ234">
            <v>52323.360000000001</v>
          </cell>
          <cell r="CY234">
            <v>11285</v>
          </cell>
        </row>
        <row r="239">
          <cell r="BK239">
            <v>5226</v>
          </cell>
          <cell r="BP239">
            <v>638</v>
          </cell>
          <cell r="BZ239">
            <v>44539.91</v>
          </cell>
          <cell r="CY239">
            <v>8038</v>
          </cell>
        </row>
        <row r="242">
          <cell r="BK242">
            <v>4444</v>
          </cell>
          <cell r="BP242">
            <v>324</v>
          </cell>
          <cell r="BZ242">
            <v>49498.439999999995</v>
          </cell>
          <cell r="CY242">
            <v>20752</v>
          </cell>
        </row>
        <row r="251">
          <cell r="BK251">
            <v>5474</v>
          </cell>
          <cell r="BP251">
            <v>306</v>
          </cell>
          <cell r="BZ251">
            <v>52589.62</v>
          </cell>
          <cell r="CY251">
            <v>2467</v>
          </cell>
        </row>
        <row r="257">
          <cell r="BK257">
            <v>4608</v>
          </cell>
          <cell r="BP257">
            <v>584</v>
          </cell>
          <cell r="BZ257">
            <v>62425.35</v>
          </cell>
          <cell r="CY257">
            <v>2359</v>
          </cell>
        </row>
        <row r="262">
          <cell r="BK262">
            <v>6003</v>
          </cell>
          <cell r="BP262">
            <v>654</v>
          </cell>
          <cell r="BZ262">
            <v>49824.01</v>
          </cell>
          <cell r="CY262">
            <v>10072</v>
          </cell>
        </row>
        <row r="266">
          <cell r="BK266">
            <v>4782</v>
          </cell>
          <cell r="BP266">
            <v>478</v>
          </cell>
          <cell r="BZ266">
            <v>46419.57</v>
          </cell>
          <cell r="CY266">
            <v>6579</v>
          </cell>
        </row>
        <row r="272">
          <cell r="BK272">
            <v>6115</v>
          </cell>
          <cell r="BP272">
            <v>724</v>
          </cell>
          <cell r="BZ272">
            <v>52993.9</v>
          </cell>
          <cell r="CY272">
            <v>7752</v>
          </cell>
        </row>
        <row r="276">
          <cell r="BK276">
            <v>5746</v>
          </cell>
          <cell r="BP276">
            <v>913</v>
          </cell>
          <cell r="BZ276">
            <v>40681.64</v>
          </cell>
          <cell r="CY276">
            <v>16738</v>
          </cell>
        </row>
        <row r="281">
          <cell r="BK281">
            <v>4919</v>
          </cell>
          <cell r="BP281">
            <v>738</v>
          </cell>
          <cell r="BZ281">
            <v>40360.479999999996</v>
          </cell>
          <cell r="CY281">
            <v>4893</v>
          </cell>
        </row>
        <row r="286">
          <cell r="BK286">
            <v>6750</v>
          </cell>
          <cell r="BP286">
            <v>574</v>
          </cell>
          <cell r="BZ286">
            <v>50103.920000000006</v>
          </cell>
          <cell r="CY286">
            <v>2166</v>
          </cell>
        </row>
        <row r="290">
          <cell r="BK290">
            <v>4921</v>
          </cell>
          <cell r="BP290">
            <v>544</v>
          </cell>
          <cell r="BZ290">
            <v>36851.229999999996</v>
          </cell>
          <cell r="CY290">
            <v>9022</v>
          </cell>
        </row>
        <row r="295">
          <cell r="BK295">
            <v>6443</v>
          </cell>
          <cell r="BP295">
            <v>879</v>
          </cell>
          <cell r="BZ295">
            <v>49163.759999999995</v>
          </cell>
          <cell r="CY295">
            <v>9602</v>
          </cell>
        </row>
        <row r="300">
          <cell r="BK300">
            <v>4160</v>
          </cell>
          <cell r="BP300">
            <v>472</v>
          </cell>
          <cell r="BZ300">
            <v>49333.5</v>
          </cell>
          <cell r="CY300">
            <v>3516</v>
          </cell>
        </row>
        <row r="305">
          <cell r="BK305">
            <v>4173</v>
          </cell>
          <cell r="BP305">
            <v>409</v>
          </cell>
          <cell r="BZ305">
            <v>47149.49</v>
          </cell>
          <cell r="CY305">
            <v>5450</v>
          </cell>
        </row>
        <row r="316">
          <cell r="BK316">
            <v>4058</v>
          </cell>
          <cell r="BP316">
            <v>132</v>
          </cell>
          <cell r="BZ316">
            <v>48080.37</v>
          </cell>
          <cell r="CY316">
            <v>2800</v>
          </cell>
        </row>
        <row r="320">
          <cell r="BK320">
            <v>6149</v>
          </cell>
          <cell r="BP320">
            <v>385</v>
          </cell>
          <cell r="BZ320">
            <v>62592.17</v>
          </cell>
          <cell r="CY320">
            <v>2896</v>
          </cell>
        </row>
        <row r="324">
          <cell r="BK324">
            <v>3961</v>
          </cell>
          <cell r="BP324">
            <v>495</v>
          </cell>
          <cell r="BZ324">
            <v>40153.259999999995</v>
          </cell>
          <cell r="CY324">
            <v>10131</v>
          </cell>
        </row>
        <row r="330">
          <cell r="BK330">
            <v>1851</v>
          </cell>
          <cell r="BP330">
            <v>858</v>
          </cell>
          <cell r="BZ330">
            <v>8414.49</v>
          </cell>
          <cell r="CY330">
            <v>13156</v>
          </cell>
        </row>
        <row r="335">
          <cell r="BK335">
            <v>2757</v>
          </cell>
          <cell r="BP335">
            <v>987</v>
          </cell>
          <cell r="BZ335">
            <v>12345.23</v>
          </cell>
          <cell r="CY335">
            <v>16238</v>
          </cell>
        </row>
        <row r="340">
          <cell r="BK340">
            <v>1383</v>
          </cell>
          <cell r="BP340">
            <v>166</v>
          </cell>
          <cell r="BZ340">
            <v>12362.130000000001</v>
          </cell>
          <cell r="CY340">
            <v>273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7" Type="http://schemas.openxmlformats.org/officeDocument/2006/relationships/customProperty" Target="../customProperty7.bin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Relationship Id="rId6" Type="http://schemas.openxmlformats.org/officeDocument/2006/relationships/customProperty" Target="../customProperty6.bin"/><Relationship Id="rId5" Type="http://schemas.openxmlformats.org/officeDocument/2006/relationships/customProperty" Target="../customProperty5.bin"/><Relationship Id="rId4" Type="http://schemas.openxmlformats.org/officeDocument/2006/relationships/customProperty" Target="../customProperty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60"/>
  <sheetViews>
    <sheetView workbookViewId="0">
      <selection activeCell="B52" sqref="B52"/>
    </sheetView>
  </sheetViews>
  <sheetFormatPr defaultColWidth="11.5703125" defaultRowHeight="15" x14ac:dyDescent="0.25"/>
  <cols>
    <col min="1" max="1" width="18.14062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13" customWidth="1"/>
    <col min="7" max="7" width="11.5703125" style="1"/>
    <col min="8" max="8" width="11.5703125" style="13"/>
    <col min="9" max="9" width="11.5703125" style="1"/>
    <col min="10" max="10" width="11.5703125" style="15"/>
    <col min="11" max="23" width="11.5703125" style="1"/>
  </cols>
  <sheetData>
    <row r="1" spans="1:23" s="3" customFormat="1" ht="60" x14ac:dyDescent="0.25">
      <c r="A1" s="6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11" t="s">
        <v>5</v>
      </c>
      <c r="G1" s="8" t="s">
        <v>6</v>
      </c>
      <c r="H1" s="11" t="s">
        <v>7</v>
      </c>
      <c r="I1" s="8" t="s">
        <v>8</v>
      </c>
      <c r="J1" s="14" t="s">
        <v>9</v>
      </c>
      <c r="K1" s="8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3" t="s">
        <v>11</v>
      </c>
      <c r="B2" s="2">
        <v>4</v>
      </c>
      <c r="C2" s="2">
        <v>1</v>
      </c>
      <c r="D2" s="2">
        <v>2021</v>
      </c>
      <c r="E2" s="5">
        <f>Submetering!F3+Submetering!H3+Submetering!J3+Submetering!L3+Submetering!N3+Submetering!P3+Submetering!R3+Submetering!T3+Submetering!V3+Submetering!X3+Submetering!Z3+Submetering!AB3+Submetering!AC3+Submetering!AD3+Submetering!AE3</f>
        <v>138329</v>
      </c>
      <c r="F2" s="12">
        <f>((((Submetering!E3+Submetering!AD3)*0.13773+(Submetering!E3+Submetering!AD3)*0.02095)*1.09+(2.85/30)*2)+(((Submetering!F3+Submetering!H3+Submetering!J3+Submetering!L3+Submetering!N3+Submetering!P3+Submetering!R3+Submetering!T3+Submetering!V3+Submetering!X3+Submetering!Z3+Submetering!AB3+Submetering!AC3+Submetering!AE3)*0.05155)+((Submetering!F3+Submetering!H3+Submetering!J3+Submetering!L3+Submetering!N3+Submetering!P3+Submetering!R3+Submetering!T3+Submetering!V3+Submetering!X3+Submetering!Z3+Submetering!AB3+Submetering!AC3+Submetering!AE3)*0.02095)+(20/30)*15)*1.1048)/E2</f>
        <v>8.108988634342762E-2</v>
      </c>
      <c r="G2" s="5">
        <f>Submetering!AK3+Submetering!AL3+Submetering!AU3</f>
        <v>2596.3233999999998</v>
      </c>
      <c r="H2" s="13">
        <v>0.81659999999999999</v>
      </c>
      <c r="I2" s="5">
        <f>Submetering!AF3+Submetering!AG3+Submetering!AH3+Submetering!AI3+Submetering!AJ3+Submetering!AM3+Submetering!AN3+Submetering!AO3+Submetering!AQ3+Submetering!AR3+Submetering!AS3+Submetering!AT3+Submetering!AV3+Submetering!AY3+Submetering!AW3+Submetering!AZ3+Submetering!BA3</f>
        <v>9300.727240000002</v>
      </c>
      <c r="J2" s="13">
        <f>((Submetering!AG3+Submetering!BA3)*0.8868+(1712.96+1070.52)/30+(Submetering!AF3+Submetering!AY3+Submetering!AV3+Submetering!AZ3)*1.1251+(2076.11+129.67+207.57+207.57)/30+(11680.53+56.61)/30)/I2</f>
        <v>0.46061867647315985</v>
      </c>
      <c r="K2" s="5"/>
    </row>
    <row r="3" spans="1:23" x14ac:dyDescent="0.25">
      <c r="A3" s="3" t="s">
        <v>11</v>
      </c>
      <c r="B3" s="2">
        <v>11</v>
      </c>
      <c r="C3" s="2">
        <v>1</v>
      </c>
      <c r="D3" s="2">
        <v>2021</v>
      </c>
      <c r="E3" s="5">
        <f>Submetering!F4+Submetering!H4+Submetering!J4+Submetering!L4+Submetering!N4+Submetering!P4+Submetering!R4+Submetering!T4+Submetering!V4+Submetering!X4+Submetering!Z4+Submetering!AB4+Submetering!AC4+Submetering!AD4+Submetering!AE4</f>
        <v>240829</v>
      </c>
      <c r="F3" s="12">
        <f>((((Submetering!E4+Submetering!AD4)*0.13773+(Submetering!E4+Submetering!AD4)*0.02095)*1.09+(2.85/30)*2)+(((Submetering!F4+Submetering!H4+Submetering!J4+Submetering!L4+Submetering!N4+Submetering!P4+Submetering!R4+Submetering!T4+Submetering!V4+Submetering!X4+Submetering!Z4+Submetering!AB4+Submetering!AC4+Submetering!AE4)*0.05155)+((Submetering!F4+Submetering!H4+Submetering!J4+Submetering!L4+Submetering!N4+Submetering!P4+Submetering!R4+Submetering!T4+Submetering!V4+Submetering!X4+Submetering!Z4+Submetering!AB4+Submetering!AC4+Submetering!AE4)*0.02095)+(20/30)*15)*1.1048)/E3</f>
        <v>8.0893050237305308E-2</v>
      </c>
      <c r="G3" s="5">
        <f>Submetering!AK4+Submetering!AL4+Submetering!AU4</f>
        <v>8660.2798000000003</v>
      </c>
      <c r="H3" s="13">
        <v>0.81659999999999999</v>
      </c>
      <c r="I3" s="5">
        <f>Submetering!AF4+Submetering!AG4+Submetering!AH4+Submetering!AI4+Submetering!AJ4+Submetering!AM4+Submetering!AN4+Submetering!AO4+Submetering!AQ4+Submetering!AR4+Submetering!AS4+Submetering!AT4+Submetering!AV4+Submetering!AY4+Submetering!AW4+Submetering!AZ4+Submetering!BA4</f>
        <v>10550.015999999998</v>
      </c>
      <c r="J3" s="13">
        <f>((Submetering!AG4+Submetering!BA4)*0.8868+(1712.96+1070.52)/30+(Submetering!AF4+Submetering!AY4+Submetering!AV4+Submetering!AZ4)*1.1251+(2076.11+129.67+207.57+207.57)/30+(11680.53+56.61)/30)/I3</f>
        <v>0.50520421189377041</v>
      </c>
      <c r="K3" s="5"/>
    </row>
    <row r="4" spans="1:23" x14ac:dyDescent="0.25">
      <c r="A4" s="3" t="s">
        <v>11</v>
      </c>
      <c r="B4" s="2">
        <v>18</v>
      </c>
      <c r="C4" s="2">
        <v>1</v>
      </c>
      <c r="D4" s="2">
        <v>2021</v>
      </c>
      <c r="E4" s="5">
        <f>Submetering!F5+Submetering!H5+Submetering!J5+Submetering!L5+Submetering!N5+Submetering!P5+Submetering!R5+Submetering!T5+Submetering!V5+Submetering!X5+Submetering!Z5+Submetering!AB5+Submetering!AC5+Submetering!AD5+Submetering!AE5</f>
        <v>243403</v>
      </c>
      <c r="F4" s="12">
        <f>((((Submetering!E5+Submetering!AD5)*0.13773+(Submetering!E5+Submetering!AD5)*0.02095)*1.09+(2.85/30)*2)+(((Submetering!F5+Submetering!H5+Submetering!J5+Submetering!L5+Submetering!N5+Submetering!P5+Submetering!R5+Submetering!T5+Submetering!V5+Submetering!X5+Submetering!Z5+Submetering!AB5+Submetering!AC5+Submetering!AE5)*0.05155)+((Submetering!F5+Submetering!H5+Submetering!J5+Submetering!L5+Submetering!N5+Submetering!P5+Submetering!R5+Submetering!T5+Submetering!V5+Submetering!X5+Submetering!Z5+Submetering!AB5+Submetering!AC5+Submetering!AE5)*0.02095)+(20/30)*15)*1.1048)/E4</f>
        <v>8.0880684407340919E-2</v>
      </c>
      <c r="G4" s="5">
        <f>Submetering!AK5+Submetering!AL5+Submetering!AU5</f>
        <v>8077.7588000000005</v>
      </c>
      <c r="H4" s="13">
        <v>0.81659999999999999</v>
      </c>
      <c r="I4" s="5">
        <f>Submetering!AF5+Submetering!AG5+Submetering!AH5+Submetering!AI5+Submetering!AJ5+Submetering!AM5+Submetering!AN5+Submetering!AO5+Submetering!AQ5+Submetering!AR5+Submetering!AS5+Submetering!AT5+Submetering!AV5+Submetering!AY5+Submetering!AW5+Submetering!AZ5+Submetering!BA5</f>
        <v>10537.99128</v>
      </c>
      <c r="J4" s="13">
        <f>((Submetering!AG5+Submetering!BA5)*0.8868+(1712.96+1070.52)/30+(Submetering!AF5+Submetering!AY5+Submetering!AV5+Submetering!AZ5)*1.1251+(2076.11+129.67+207.57+207.57)/30+(11680.53+56.61)/30)/I4</f>
        <v>0.50647948509088792</v>
      </c>
      <c r="K4" s="5"/>
    </row>
    <row r="5" spans="1:23" x14ac:dyDescent="0.25">
      <c r="A5" s="3" t="s">
        <v>11</v>
      </c>
      <c r="B5" s="2">
        <v>25</v>
      </c>
      <c r="C5" s="2">
        <v>1</v>
      </c>
      <c r="D5" s="2">
        <v>2021</v>
      </c>
      <c r="E5" s="5">
        <f>Submetering!F6+Submetering!H6+Submetering!J6+Submetering!L6+Submetering!N6+Submetering!P6+Submetering!R6+Submetering!T6+Submetering!V6+Submetering!X6+Submetering!Z6+Submetering!AB6+Submetering!AC6+Submetering!AD6+Submetering!AE6</f>
        <v>275379</v>
      </c>
      <c r="F5" s="12">
        <f>((((Submetering!E6+Submetering!AD6)*0.13773+(Submetering!E6+Submetering!AD6)*0.02095)*1.09+(2.85/30)*2)+(((Submetering!F6+Submetering!H6+Submetering!J6+Submetering!L6+Submetering!N6+Submetering!P6+Submetering!R6+Submetering!T6+Submetering!V6+Submetering!X6+Submetering!Z6+Submetering!AB6+Submetering!AC6+Submetering!AE6)*0.05155)+((Submetering!F6+Submetering!H6+Submetering!J6+Submetering!L6+Submetering!N6+Submetering!P6+Submetering!R6+Submetering!T6+Submetering!V6+Submetering!X6+Submetering!Z6+Submetering!AB6+Submetering!AC6+Submetering!AE6)*0.02095)+(20/30)*15)*1.1048)/E5</f>
        <v>8.0649401966017747E-2</v>
      </c>
      <c r="G5" s="5">
        <f>Submetering!AK6+Submetering!AL6+Submetering!AU6</f>
        <v>7589.8045999999995</v>
      </c>
      <c r="H5" s="13">
        <v>0.81659999999999999</v>
      </c>
      <c r="I5" s="5">
        <f>Submetering!AF6+Submetering!AG6+Submetering!AH6+Submetering!AI6+Submetering!AJ6+Submetering!AM6+Submetering!AN6+Submetering!AO6+Submetering!AQ6+Submetering!AR6+Submetering!AS6+Submetering!AT6+Submetering!AV6+Submetering!AY6+Submetering!AW6+Submetering!AZ6+Submetering!BA6</f>
        <v>13604.29032</v>
      </c>
      <c r="J5" s="13">
        <f>((Submetering!AG6+Submetering!BA6)*0.8868+(1712.96+1070.52)/30+(Submetering!AF6+Submetering!AY6+Submetering!AV6+Submetering!AZ6)*1.1251+(2076.11+129.67+207.57+207.57)/30+(11680.53+56.61)/30)/I5</f>
        <v>0.44970140591550295</v>
      </c>
      <c r="K5" s="5"/>
    </row>
    <row r="6" spans="1:23" x14ac:dyDescent="0.25">
      <c r="A6" s="3" t="s">
        <v>11</v>
      </c>
      <c r="B6" s="2">
        <v>31</v>
      </c>
      <c r="C6" s="2">
        <v>1</v>
      </c>
      <c r="D6" s="2">
        <v>2021</v>
      </c>
      <c r="E6" s="5">
        <f>Submetering!F7+Submetering!H7+Submetering!J7+Submetering!L7+Submetering!N7+Submetering!P7+Submetering!R7+Submetering!T7+Submetering!V7+Submetering!X7+Submetering!Z7+Submetering!AB7+Submetering!AC7+Submetering!AD7+Submetering!AE7</f>
        <v>262834</v>
      </c>
      <c r="F6" s="12">
        <f>((((Submetering!E7+Submetering!AD7)*0.13773+(Submetering!E7+Submetering!AD7)*0.02095)*1.09+(2.85/30)*2)+(((Submetering!F7+Submetering!H7+Submetering!J7+Submetering!L7+Submetering!N7+Submetering!P7+Submetering!R7+Submetering!T7+Submetering!V7+Submetering!X7+Submetering!Z7+Submetering!AB7+Submetering!AC7+Submetering!AE7)*0.05155)+((Submetering!F7+Submetering!H7+Submetering!J7+Submetering!L7+Submetering!N7+Submetering!P7+Submetering!R7+Submetering!T7+Submetering!V7+Submetering!X7+Submetering!Z7+Submetering!AB7+Submetering!AC7+Submetering!AE7)*0.02095)+(20/30)*15)*1.1048)/E6</f>
        <v>8.085918251824345E-2</v>
      </c>
      <c r="G6" s="5">
        <f>Submetering!AK7+Submetering!AL7+Submetering!AU7</f>
        <v>6553.9132000000009</v>
      </c>
      <c r="H6" s="13">
        <v>0.81659999999999999</v>
      </c>
      <c r="I6" s="5">
        <f>Submetering!AF7+Submetering!AG7+Submetering!AH7+Submetering!AI7+Submetering!AJ7+Submetering!AM7+Submetering!AN7+Submetering!AO7+Submetering!AQ7+Submetering!AR7+Submetering!AS7+Submetering!AT7+Submetering!AV7+Submetering!AY7+Submetering!AW7+Submetering!AZ7+Submetering!BA7</f>
        <v>13988.7804</v>
      </c>
      <c r="J6" s="13">
        <f>((Submetering!AG7+Submetering!BA7)*0.8868+(1712.96+1070.52)/30+(Submetering!AF7+Submetering!AY7+Submetering!AV7+Submetering!AZ7)*1.1251+(2076.11+129.67+207.57+207.57)/30+(11680.53+56.61)/30)/I6</f>
        <v>0.42314195467009169</v>
      </c>
      <c r="K6" s="5">
        <f>Occupancy!H4</f>
        <v>0</v>
      </c>
    </row>
    <row r="7" spans="1:23" x14ac:dyDescent="0.25">
      <c r="A7" s="3" t="s">
        <v>11</v>
      </c>
      <c r="B7" s="2">
        <v>8</v>
      </c>
      <c r="C7" s="2">
        <v>2</v>
      </c>
      <c r="D7" s="2">
        <v>2021</v>
      </c>
      <c r="E7" s="5">
        <f>Submetering!F8+Submetering!H8+Submetering!J8+Submetering!L8+Submetering!N8+Submetering!P8+Submetering!R8+Submetering!T8+Submetering!V8+Submetering!X8+Submetering!Z8+Submetering!AB8+Submetering!AC8+Submetering!AD8+Submetering!AE8</f>
        <v>244331</v>
      </c>
      <c r="F7" s="12">
        <f>((((Submetering!E8+Submetering!AD8)*0.13773+(Submetering!E8+Submetering!AD8)*0.02095)*1.09+(2.85/30)*2)+(((Submetering!F8+Submetering!H8+Submetering!J8+Submetering!L8+Submetering!N8+Submetering!P8+Submetering!R8+Submetering!T8+Submetering!V8+Submetering!X8+Submetering!Z8+Submetering!AB8+Submetering!AC8+Submetering!AE8)*0.05155)+((Submetering!F8+Submetering!H8+Submetering!J8+Submetering!L8+Submetering!N8+Submetering!P8+Submetering!R8+Submetering!T8+Submetering!V8+Submetering!X8+Submetering!Z8+Submetering!AB8+Submetering!AC8+Submetering!AE8)*0.02095)+(20/30)*15)*1.1048)/E7</f>
        <v>8.0976042768211978E-2</v>
      </c>
      <c r="G7" s="5">
        <f>Submetering!AK8+Submetering!AL8+Submetering!AU8</f>
        <v>7512.3606</v>
      </c>
      <c r="H7" s="13">
        <v>0.81659999999999999</v>
      </c>
      <c r="I7" s="5">
        <f>Submetering!AF8+Submetering!AG8+Submetering!AH8+Submetering!AI8+Submetering!AJ8+Submetering!AM8+Submetering!AN8+Submetering!AO8+Submetering!AQ8+Submetering!AR8+Submetering!AS8+Submetering!AT8+Submetering!AV8+Submetering!AY8+Submetering!AW8+Submetering!AZ8+Submetering!BA8</f>
        <v>11350.516399999999</v>
      </c>
      <c r="J7" s="13">
        <f>((Submetering!AG8+Submetering!BA8)*0.8868+(1712.96+1070.52)/30+(Submetering!AF8+Submetering!AY8+Submetering!AV8+Submetering!AZ8)*1.1251+(2076.11+129.67+207.57+207.57)/30+(11680.53+56.61)/30)/I7</f>
        <v>0.46108527118877751</v>
      </c>
      <c r="K7" s="5"/>
    </row>
    <row r="8" spans="1:23" x14ac:dyDescent="0.25">
      <c r="A8" s="3" t="s">
        <v>11</v>
      </c>
      <c r="B8" s="2">
        <v>15</v>
      </c>
      <c r="C8" s="2">
        <v>2</v>
      </c>
      <c r="D8" s="2">
        <v>2021</v>
      </c>
      <c r="E8" s="5">
        <f>Submetering!F9+Submetering!H9+Submetering!J9+Submetering!L9+Submetering!N9+Submetering!P9+Submetering!R9+Submetering!T9+Submetering!V9+Submetering!X9+Submetering!Z9+Submetering!AB9+Submetering!AC9+Submetering!AD9+Submetering!AE9</f>
        <v>294875</v>
      </c>
      <c r="F8" s="12">
        <f>((((Submetering!E9+Submetering!AD9)*0.13773+(Submetering!E9+Submetering!AD9)*0.02095)*1.09+(2.85/30)*2)+(((Submetering!F9+Submetering!H9+Submetering!J9+Submetering!L9+Submetering!N9+Submetering!P9+Submetering!R9+Submetering!T9+Submetering!V9+Submetering!X9+Submetering!Z9+Submetering!AB9+Submetering!AC9+Submetering!AE9)*0.05155)+((Submetering!F9+Submetering!H9+Submetering!J9+Submetering!L9+Submetering!N9+Submetering!P9+Submetering!R9+Submetering!T9+Submetering!V9+Submetering!X9+Submetering!Z9+Submetering!AB9+Submetering!AC9+Submetering!AE9)*0.02095)+(20/30)*15)*1.1048)/E8</f>
        <v>8.0722391443153879E-2</v>
      </c>
      <c r="G8" s="5">
        <f>Submetering!AK9+Submetering!AL9+Submetering!AU9</f>
        <v>4271.6179999999995</v>
      </c>
      <c r="H8" s="13">
        <v>0.81659999999999999</v>
      </c>
      <c r="I8" s="5">
        <f>Submetering!AF9+Submetering!AG9+Submetering!AH9+Submetering!AI9+Submetering!AJ9+Submetering!AM9+Submetering!AN9+Submetering!AO9+Submetering!AQ9+Submetering!AR9+Submetering!AS9+Submetering!AT9+Submetering!AV9+Submetering!AY9+Submetering!AW9+Submetering!AZ9+Submetering!BA9</f>
        <v>16571.507779999996</v>
      </c>
      <c r="J8" s="13">
        <f>((Submetering!AG9+Submetering!BA9)*0.8868+(1712.96+1070.52)/30+(Submetering!AF9+Submetering!AY9+Submetering!AV9+Submetering!AZ9)*1.1251+(2076.11+129.67+207.57+207.57)/30+(11680.53+56.61)/30)/I8</f>
        <v>0.34992473578929029</v>
      </c>
      <c r="K8" s="5"/>
    </row>
    <row r="9" spans="1:23" x14ac:dyDescent="0.25">
      <c r="A9" s="3" t="s">
        <v>11</v>
      </c>
      <c r="B9" s="2">
        <v>22</v>
      </c>
      <c r="C9" s="2">
        <v>2</v>
      </c>
      <c r="D9" s="2">
        <v>2021</v>
      </c>
      <c r="E9" s="5">
        <f>Submetering!F10+Submetering!H10+Submetering!J10+Submetering!L10+Submetering!N10+Submetering!P10+Submetering!R10+Submetering!T10+Submetering!V10+Submetering!X10+Submetering!Z10+Submetering!AB10+Submetering!AC10+Submetering!AD10+Submetering!AE10</f>
        <v>280664</v>
      </c>
      <c r="F9" s="12">
        <f>((((Submetering!E10+Submetering!AD10)*0.13773+(Submetering!E10+Submetering!AD10)*0.02095)*1.09+(2.85/30)*2)+(((Submetering!F10+Submetering!H10+Submetering!J10+Submetering!L10+Submetering!N10+Submetering!P10+Submetering!R10+Submetering!T10+Submetering!V10+Submetering!X10+Submetering!Z10+Submetering!AB10+Submetering!AC10+Submetering!AE10)*0.05155)+((Submetering!F10+Submetering!H10+Submetering!J10+Submetering!L10+Submetering!N10+Submetering!P10+Submetering!R10+Submetering!T10+Submetering!V10+Submetering!X10+Submetering!Z10+Submetering!AB10+Submetering!AC10+Submetering!AE10)*0.02095)+(20/30)*15)*1.1048)/E9</f>
        <v>8.0802235065416284E-2</v>
      </c>
      <c r="G9" s="5">
        <f>Submetering!AK10+Submetering!AL10+Submetering!AU10</f>
        <v>5643.4863999999998</v>
      </c>
      <c r="H9" s="13">
        <v>0.81659999999999999</v>
      </c>
      <c r="I9" s="5">
        <f>Submetering!AF10+Submetering!AG10+Submetering!AH10+Submetering!AI10+Submetering!AJ10+Submetering!AM10+Submetering!AN10+Submetering!AO10+Submetering!AQ10+Submetering!AR10+Submetering!AS10+Submetering!AT10+Submetering!AV10+Submetering!AY10+Submetering!AW10+Submetering!AZ10+Submetering!BA10</f>
        <v>14289.998419999998</v>
      </c>
      <c r="J9" s="13">
        <f>((Submetering!AG10+Submetering!BA10)*0.8868+(1712.96+1070.52)/30+(Submetering!AF10+Submetering!AY10+Submetering!AV10+Submetering!AZ10)*1.1251+(2076.11+129.67+207.57+207.57)/30+(11680.53+56.61)/30)/I9</f>
        <v>0.39440296660765251</v>
      </c>
      <c r="K9" s="5"/>
    </row>
    <row r="10" spans="1:23" x14ac:dyDescent="0.25">
      <c r="A10" s="3" t="s">
        <v>11</v>
      </c>
      <c r="B10" s="2">
        <v>28</v>
      </c>
      <c r="C10" s="2">
        <v>2</v>
      </c>
      <c r="D10" s="2">
        <v>2021</v>
      </c>
      <c r="E10" s="5">
        <f>Submetering!F11+Submetering!H11+Submetering!J11+Submetering!L11+Submetering!N11+Submetering!P11+Submetering!R11+Submetering!T11+Submetering!V11+Submetering!X11+Submetering!Z11+Submetering!AB11+Submetering!AC11+Submetering!AD11+Submetering!AE11</f>
        <v>290324</v>
      </c>
      <c r="F10" s="12">
        <f>((((Submetering!E11+Submetering!AD11)*0.13773+(Submetering!E11+Submetering!AD11)*0.02095)*1.09+(2.85/30)*2)+(((Submetering!F11+Submetering!H11+Submetering!J11+Submetering!L11+Submetering!N11+Submetering!P11+Submetering!R11+Submetering!T11+Submetering!V11+Submetering!X11+Submetering!Z11+Submetering!AB11+Submetering!AC11+Submetering!AE11)*0.05155)+((Submetering!F11+Submetering!H11+Submetering!J11+Submetering!L11+Submetering!N11+Submetering!P11+Submetering!R11+Submetering!T11+Submetering!V11+Submetering!X11+Submetering!Z11+Submetering!AB11+Submetering!AC11+Submetering!AE11)*0.02095)+(20/30)*15)*1.1048)/E10</f>
        <v>8.0688929843898541E-2</v>
      </c>
      <c r="G10" s="5">
        <f>Submetering!AK11+Submetering!AL11+Submetering!AU11</f>
        <v>5096.8678</v>
      </c>
      <c r="H10" s="13">
        <v>0.81659999999999999</v>
      </c>
      <c r="I10" s="5">
        <f>Submetering!AF11+Submetering!AG11+Submetering!AH11+Submetering!AI11+Submetering!AJ11+Submetering!AM11+Submetering!AN11+Submetering!AO11+Submetering!AQ11+Submetering!AR11+Submetering!AS11+Submetering!AT11+Submetering!AV11+Submetering!AY11+Submetering!AW11+Submetering!AZ11+Submetering!BA11</f>
        <v>15466.664999999997</v>
      </c>
      <c r="J10" s="13">
        <f>((Submetering!AG11+Submetering!BA11)*0.8868+(1712.96+1070.52)/30+(Submetering!AF11+Submetering!AY11+Submetering!AV11+Submetering!AZ11)*1.1251+(2076.11+129.67+207.57+207.57)/30+(11680.53+56.61)/30)/I10</f>
        <v>0.36636378815773579</v>
      </c>
      <c r="K10" s="5">
        <f>Occupancy!H5</f>
        <v>0</v>
      </c>
    </row>
    <row r="11" spans="1:23" x14ac:dyDescent="0.25">
      <c r="A11" s="3" t="s">
        <v>11</v>
      </c>
      <c r="B11" s="2">
        <v>8</v>
      </c>
      <c r="C11" s="2">
        <v>3</v>
      </c>
      <c r="D11" s="2">
        <v>2021</v>
      </c>
      <c r="E11" s="5">
        <f>Submetering!F12+Submetering!H12+Submetering!J12+Submetering!L12+Submetering!N12+Submetering!P12+Submetering!R12+Submetering!T12+Submetering!V12+Submetering!X12+Submetering!Z12+Submetering!AB12+Submetering!AC12+Submetering!AD12+Submetering!AE12</f>
        <v>-122753502</v>
      </c>
      <c r="F11" s="12">
        <f>((((Submetering!E12+Submetering!AD12)*0.13773+(Submetering!E12+Submetering!AD12)*0.02095)*1.09+(2.85/30)*2)+(((Submetering!F12+Submetering!H12+Submetering!J12+Submetering!L12+Submetering!N12+Submetering!P12+Submetering!R12+Submetering!T12+Submetering!V12+Submetering!X12+Submetering!Z12+Submetering!AB12+Submetering!AC12+Submetering!AE12)*0.05155)+((Submetering!F12+Submetering!H12+Submetering!J12+Submetering!L12+Submetering!N12+Submetering!P12+Submetering!R12+Submetering!T12+Submetering!V12+Submetering!X12+Submetering!Z12+Submetering!AB12+Submetering!AC12+Submetering!AE12)*0.02095)+(20/30)*15)*1.1048)/E11</f>
        <v>8.0230846879363174E-2</v>
      </c>
      <c r="G11" s="5">
        <f>Submetering!AK12+Submetering!AL12+Submetering!AU12</f>
        <v>-475110.3064</v>
      </c>
      <c r="H11" s="13">
        <v>0.81659999999999999</v>
      </c>
      <c r="I11" s="5">
        <f>Submetering!AF12+Submetering!AG12+Submetering!AH12+Submetering!AI12+Submetering!AJ12+Submetering!AM12+Submetering!AN12+Submetering!AO12+Submetering!AQ12+Submetering!AR12+Submetering!AS12+Submetering!AT12+Submetering!AV12+Submetering!AY12+Submetering!AW12+Submetering!AZ12+Submetering!BA12</f>
        <v>-4069476.9575540009</v>
      </c>
      <c r="J11" s="13">
        <f>((Submetering!AG12+Submetering!BA12)*0.8868+(1712.96+1070.52)/30+(Submetering!AF12+Submetering!AY12+Submetering!AV12+Submetering!AZ12)*1.1251+(2076.11+129.67+207.57+207.57)/30+(11680.53+56.61)/30)/I11</f>
        <v>0.54766203381119871</v>
      </c>
      <c r="K11" s="5"/>
    </row>
    <row r="12" spans="1:23" x14ac:dyDescent="0.25">
      <c r="A12" s="3" t="s">
        <v>11</v>
      </c>
      <c r="B12" s="2">
        <v>15</v>
      </c>
      <c r="C12" s="2">
        <v>3</v>
      </c>
      <c r="D12" s="2">
        <v>2021</v>
      </c>
      <c r="E12" s="5">
        <f>Submetering!F13+Submetering!H13+Submetering!J13+Submetering!L13+Submetering!N13+Submetering!P13+Submetering!R13+Submetering!T13+Submetering!V13+Submetering!X13+Submetering!Z13+Submetering!AB13+Submetering!AC13+Submetering!AD13+Submetering!AE13</f>
        <v>0</v>
      </c>
      <c r="F12" s="12" t="e">
        <f>((((Submetering!E13+Submetering!AD13)*0.13773+(Submetering!E13+Submetering!AD13)*0.02095)*1.09+(2.85/30)*2)+(((Submetering!F13+Submetering!H13+Submetering!J13+Submetering!L13+Submetering!N13+Submetering!P13+Submetering!R13+Submetering!T13+Submetering!V13+Submetering!X13+Submetering!Z13+Submetering!AB13+Submetering!AC13+Submetering!AE13)*0.05155)+((Submetering!F13+Submetering!H13+Submetering!J13+Submetering!L13+Submetering!N13+Submetering!P13+Submetering!R13+Submetering!T13+Submetering!V13+Submetering!X13+Submetering!Z13+Submetering!AB13+Submetering!AC13+Submetering!AE13)*0.02095)+(20/30)*15)*1.1048)/E12</f>
        <v>#DIV/0!</v>
      </c>
      <c r="G12" s="5">
        <f>Submetering!AK13+Submetering!AL13+Submetering!AU13</f>
        <v>0</v>
      </c>
      <c r="H12" s="13">
        <v>0.81659999999999999</v>
      </c>
      <c r="I12" s="5">
        <f>Submetering!AF13+Submetering!AG13+Submetering!AH13+Submetering!AI13+Submetering!AJ13+Submetering!AM13+Submetering!AN13+Submetering!AO13+Submetering!AQ13+Submetering!AR13+Submetering!AS13+Submetering!AT13+Submetering!AV13+Submetering!AY13+Submetering!AW13+Submetering!AZ13+Submetering!BA13</f>
        <v>0</v>
      </c>
      <c r="J12" s="13" t="e">
        <f>((Submetering!AG13+Submetering!BA13)*0.8868+(1712.96+1070.52)/30+(Submetering!AF13+Submetering!AY13+Submetering!AV13+Submetering!AZ13)*1.1251+(2076.11+129.67+207.57+207.57)/30+(11680.53+56.61)/30)/I12</f>
        <v>#DIV/0!</v>
      </c>
      <c r="K12" s="5"/>
    </row>
    <row r="13" spans="1:23" x14ac:dyDescent="0.25">
      <c r="A13" s="3" t="s">
        <v>11</v>
      </c>
      <c r="B13" s="2">
        <v>22</v>
      </c>
      <c r="C13" s="2">
        <v>3</v>
      </c>
      <c r="D13" s="2">
        <v>2021</v>
      </c>
      <c r="E13" s="5">
        <f>Submetering!F14+Submetering!H14+Submetering!J14+Submetering!L14+Submetering!N14+Submetering!P14+Submetering!R14+Submetering!T14+Submetering!V14+Submetering!X14+Submetering!Z14+Submetering!AB14+Submetering!AC14+Submetering!AD14+Submetering!AE14</f>
        <v>0</v>
      </c>
      <c r="F13" s="12" t="e">
        <f>((((Submetering!E14+Submetering!AD14)*0.13773+(Submetering!E14+Submetering!AD14)*0.02095)*1.09+(2.85/30)*2)+(((Submetering!F14+Submetering!H14+Submetering!J14+Submetering!L14+Submetering!N14+Submetering!P14+Submetering!R14+Submetering!T14+Submetering!V14+Submetering!X14+Submetering!Z14+Submetering!AB14+Submetering!AC14+Submetering!AE14)*0.05155)+((Submetering!F14+Submetering!H14+Submetering!J14+Submetering!L14+Submetering!N14+Submetering!P14+Submetering!R14+Submetering!T14+Submetering!V14+Submetering!X14+Submetering!Z14+Submetering!AB14+Submetering!AC14+Submetering!AE14)*0.02095)+(20/30)*15)*1.1048)/E13</f>
        <v>#DIV/0!</v>
      </c>
      <c r="G13" s="5">
        <f>Submetering!AK14+Submetering!AL14+Submetering!AU14</f>
        <v>0</v>
      </c>
      <c r="H13" s="13">
        <v>0.81659999999999999</v>
      </c>
      <c r="I13" s="5">
        <f>Submetering!AF14+Submetering!AG14+Submetering!AH14+Submetering!AI14+Submetering!AJ14+Submetering!AM14+Submetering!AN14+Submetering!AO14+Submetering!AQ14+Submetering!AR14+Submetering!AS14+Submetering!AT14+Submetering!AV14+Submetering!AY14+Submetering!AW14+Submetering!AZ14+Submetering!BA14</f>
        <v>0</v>
      </c>
      <c r="J13" s="13" t="e">
        <f>((Submetering!AG14+Submetering!BA14)*0.8868+(1712.96+1070.52)/30+(Submetering!AF14+Submetering!AY14+Submetering!AV14+Submetering!AZ14)*1.1251+(2076.11+129.67+207.57+207.57)/30+(11680.53+56.61)/30)/I13</f>
        <v>#DIV/0!</v>
      </c>
      <c r="K13" s="5"/>
    </row>
    <row r="14" spans="1:23" x14ac:dyDescent="0.25">
      <c r="A14" s="3" t="s">
        <v>11</v>
      </c>
      <c r="B14" s="2">
        <v>29</v>
      </c>
      <c r="C14" s="2">
        <v>3</v>
      </c>
      <c r="D14" s="2">
        <v>2021</v>
      </c>
      <c r="E14" s="5">
        <f>Submetering!F15+Submetering!H15+Submetering!J15+Submetering!L15+Submetering!N15+Submetering!P15+Submetering!R15+Submetering!T15+Submetering!V15+Submetering!X15+Submetering!Z15+Submetering!AB15+Submetering!AC15+Submetering!AD15+Submetering!AE15</f>
        <v>0</v>
      </c>
      <c r="F14" s="12" t="e">
        <f>((((Submetering!E15+Submetering!AD15)*0.13773+(Submetering!E15+Submetering!AD15)*0.02095)*1.09+(2.85/30)*2)+(((Submetering!F15+Submetering!H15+Submetering!J15+Submetering!L15+Submetering!N15+Submetering!P15+Submetering!R15+Submetering!T15+Submetering!V15+Submetering!X15+Submetering!Z15+Submetering!AB15+Submetering!AC15+Submetering!AE15)*0.05155)+((Submetering!F15+Submetering!H15+Submetering!J15+Submetering!L15+Submetering!N15+Submetering!P15+Submetering!R15+Submetering!T15+Submetering!V15+Submetering!X15+Submetering!Z15+Submetering!AB15+Submetering!AC15+Submetering!AE15)*0.02095)+(20/30)*15)*1.1048)/E14</f>
        <v>#DIV/0!</v>
      </c>
      <c r="G14" s="5">
        <f>Submetering!AK15+Submetering!AL15+Submetering!AU15</f>
        <v>0</v>
      </c>
      <c r="H14" s="13">
        <v>0.81659999999999999</v>
      </c>
      <c r="I14" s="5">
        <f>Submetering!AF15+Submetering!AG15+Submetering!AH15+Submetering!AI15+Submetering!AJ15+Submetering!AM15+Submetering!AN15+Submetering!AO15+Submetering!AQ15+Submetering!AR15+Submetering!AS15+Submetering!AT15+Submetering!AV15+Submetering!AY15+Submetering!AW15+Submetering!AZ15+Submetering!BA15</f>
        <v>0</v>
      </c>
      <c r="J14" s="13" t="e">
        <f>((Submetering!AG15+Submetering!BA15)*0.8868+(1712.96+1070.52)/30+(Submetering!AF15+Submetering!AY15+Submetering!AV15+Submetering!AZ15)*1.1251+(2076.11+129.67+207.57+207.57)/30+(11680.53+56.61)/30)/I14</f>
        <v>#DIV/0!</v>
      </c>
      <c r="K14" s="5"/>
    </row>
    <row r="15" spans="1:23" x14ac:dyDescent="0.25">
      <c r="A15" s="3" t="s">
        <v>11</v>
      </c>
      <c r="B15" s="2">
        <v>31</v>
      </c>
      <c r="C15" s="2">
        <v>3</v>
      </c>
      <c r="D15" s="2">
        <v>2021</v>
      </c>
      <c r="E15" s="5">
        <f>Submetering!F16+Submetering!H16+Submetering!J16+Submetering!L16+Submetering!N16+Submetering!P16+Submetering!R16+Submetering!T16+Submetering!V16+Submetering!X16+Submetering!Z16+Submetering!AB16+Submetering!AC16+Submetering!AD16+Submetering!AE16</f>
        <v>0</v>
      </c>
      <c r="F15" s="12" t="e">
        <f>((((Submetering!E16+Submetering!AD16)*0.13773+(Submetering!E16+Submetering!AD16)*0.02095)*1.09+(2.85/30)*2)+(((Submetering!F16+Submetering!H16+Submetering!J16+Submetering!L16+Submetering!N16+Submetering!P16+Submetering!R16+Submetering!T16+Submetering!V16+Submetering!X16+Submetering!Z16+Submetering!AB16+Submetering!AC16+Submetering!AE16)*0.05155)+((Submetering!F16+Submetering!H16+Submetering!J16+Submetering!L16+Submetering!N16+Submetering!P16+Submetering!R16+Submetering!T16+Submetering!V16+Submetering!X16+Submetering!Z16+Submetering!AB16+Submetering!AC16+Submetering!AE16)*0.02095)+(20/30)*15)*1.1048)/E15</f>
        <v>#DIV/0!</v>
      </c>
      <c r="G15" s="5">
        <f>Submetering!AK16+Submetering!AL16+Submetering!AU16</f>
        <v>0</v>
      </c>
      <c r="H15" s="13">
        <v>0.81659999999999999</v>
      </c>
      <c r="I15" s="5">
        <f>Submetering!AF16+Submetering!AG16+Submetering!AH16+Submetering!AI16+Submetering!AJ16+Submetering!AM16+Submetering!AN16+Submetering!AO16+Submetering!AQ16+Submetering!AR16+Submetering!AS16+Submetering!AT16+Submetering!AV16+Submetering!AY16+Submetering!AW16+Submetering!AZ16+Submetering!BA16</f>
        <v>0</v>
      </c>
      <c r="J15" s="13" t="e">
        <f>((Submetering!AG16+Submetering!BA16)*0.8868+(1712.96+1070.52)/30+(Submetering!AF16+Submetering!AY16+Submetering!AV16+Submetering!AZ16)*1.1251+(2076.11+129.67+207.57+207.57)/30+(11680.53+56.61)/30)/I15</f>
        <v>#DIV/0!</v>
      </c>
      <c r="K15" s="5">
        <f>Occupancy!H6</f>
        <v>0</v>
      </c>
    </row>
    <row r="16" spans="1:23" x14ac:dyDescent="0.25">
      <c r="A16" s="3" t="s">
        <v>11</v>
      </c>
      <c r="B16" s="2">
        <v>5</v>
      </c>
      <c r="C16" s="2">
        <v>4</v>
      </c>
      <c r="D16" s="2">
        <v>2021</v>
      </c>
      <c r="E16" s="5">
        <f>Submetering!F17+Submetering!H17+Submetering!J17+Submetering!L17+Submetering!N17+Submetering!P17+Submetering!R17+Submetering!T17+Submetering!V17+Submetering!X17+Submetering!Z17+Submetering!AB17+Submetering!AC17+Submetering!AD17+Submetering!AE17</f>
        <v>0</v>
      </c>
      <c r="F16" s="12" t="e">
        <f>((((Submetering!E17+Submetering!AD17)*0.13773+(Submetering!E17+Submetering!AD17)*0.02095)*1.09+(2.85/30)*2)+(((Submetering!F17+Submetering!H17+Submetering!J17+Submetering!L17+Submetering!N17+Submetering!P17+Submetering!R17+Submetering!T17+Submetering!V17+Submetering!X17+Submetering!Z17+Submetering!AB17+Submetering!AC17+Submetering!AE17)*0.05155)+((Submetering!F17+Submetering!H17+Submetering!J17+Submetering!L17+Submetering!N17+Submetering!P17+Submetering!R17+Submetering!T17+Submetering!V17+Submetering!X17+Submetering!Z17+Submetering!AB17+Submetering!AC17+Submetering!AE17)*0.02095)+(20/30)*15)*1.1048)/E16</f>
        <v>#DIV/0!</v>
      </c>
      <c r="G16" s="5">
        <f>Submetering!AK17+Submetering!AL17+Submetering!AU17</f>
        <v>0</v>
      </c>
      <c r="H16" s="13">
        <v>0.81659999999999999</v>
      </c>
      <c r="I16" s="5">
        <f>Submetering!AF17+Submetering!AG17+Submetering!AH17+Submetering!AI17+Submetering!AJ17+Submetering!AM17+Submetering!AN17+Submetering!AO17+Submetering!AQ17+Submetering!AR17+Submetering!AS17+Submetering!AT17+Submetering!AV17+Submetering!AY17+Submetering!AW17+Submetering!AZ17+Submetering!BA17</f>
        <v>0</v>
      </c>
      <c r="J16" s="13" t="e">
        <f>((Submetering!AG17+Submetering!BA17)*0.8868+(1712.96+1070.52)/30+(Submetering!AF17+Submetering!AY17+Submetering!AV17+Submetering!AZ17)*1.1251+(2076.11+129.67+207.57+207.57)/30+(11680.53+56.61)/30)/I16</f>
        <v>#DIV/0!</v>
      </c>
      <c r="K16" s="5"/>
    </row>
    <row r="17" spans="1:11" x14ac:dyDescent="0.25">
      <c r="A17" s="3" t="s">
        <v>11</v>
      </c>
      <c r="B17" s="2">
        <v>12</v>
      </c>
      <c r="C17" s="2">
        <v>4</v>
      </c>
      <c r="D17" s="2">
        <v>2021</v>
      </c>
      <c r="E17" s="5">
        <f>Submetering!F18+Submetering!H18+Submetering!J18+Submetering!L18+Submetering!N18+Submetering!P18+Submetering!R18+Submetering!T18+Submetering!V18+Submetering!X18+Submetering!Z18+Submetering!AB18+Submetering!AC18+Submetering!AD18+Submetering!AE18</f>
        <v>0</v>
      </c>
      <c r="F17" s="12" t="e">
        <f>((((Submetering!E18+Submetering!AD18)*0.13773+(Submetering!E18+Submetering!AD18)*0.02095)*1.09+(2.85/30)*2)+(((Submetering!F18+Submetering!H18+Submetering!J18+Submetering!L18+Submetering!N18+Submetering!P18+Submetering!R18+Submetering!T18+Submetering!V18+Submetering!X18+Submetering!Z18+Submetering!AB18+Submetering!AC18+Submetering!AE18)*0.05155)+((Submetering!F18+Submetering!H18+Submetering!J18+Submetering!L18+Submetering!N18+Submetering!P18+Submetering!R18+Submetering!T18+Submetering!V18+Submetering!X18+Submetering!Z18+Submetering!AB18+Submetering!AC18+Submetering!AE18)*0.02095)+(20/30)*15)*1.1048)/E17</f>
        <v>#DIV/0!</v>
      </c>
      <c r="G17" s="5">
        <f>Submetering!AK18+Submetering!AL18+Submetering!AU18</f>
        <v>0</v>
      </c>
      <c r="H17" s="13">
        <v>0.81659999999999999</v>
      </c>
      <c r="I17" s="5">
        <f>Submetering!AF18+Submetering!AG18+Submetering!AH18+Submetering!AI18+Submetering!AJ18+Submetering!AM18+Submetering!AN18+Submetering!AO18+Submetering!AQ18+Submetering!AR18+Submetering!AS18+Submetering!AT18+Submetering!AV18+Submetering!AY18+Submetering!AW18+Submetering!AZ18+Submetering!BA18</f>
        <v>0</v>
      </c>
      <c r="J17" s="13" t="e">
        <f>((Submetering!AG18+Submetering!BA18)*0.8868+(1712.96+1070.52)/30+(Submetering!AF18+Submetering!AY18+Submetering!AV18+Submetering!AZ18)*1.1251+(2076.11+129.67+207.57+207.57)/30+(11680.53+56.61)/30)/I17</f>
        <v>#DIV/0!</v>
      </c>
      <c r="K17" s="5"/>
    </row>
    <row r="18" spans="1:11" x14ac:dyDescent="0.25">
      <c r="A18" s="3" t="s">
        <v>11</v>
      </c>
      <c r="B18" s="2">
        <v>19</v>
      </c>
      <c r="C18" s="2">
        <v>4</v>
      </c>
      <c r="D18" s="2">
        <v>2021</v>
      </c>
      <c r="E18" s="5">
        <f>Submetering!F19+Submetering!H19+Submetering!J19+Submetering!L19+Submetering!N19+Submetering!P19+Submetering!R19+Submetering!T19+Submetering!V19+Submetering!X19+Submetering!Z19+Submetering!AB19+Submetering!AC19+Submetering!AD19+Submetering!AE19</f>
        <v>0</v>
      </c>
      <c r="F18" s="12" t="e">
        <f>((((Submetering!E19+Submetering!AD19)*0.13773+(Submetering!E19+Submetering!AD19)*0.02095)*1.09+(2.85/30)*2)+(((Submetering!F19+Submetering!H19+Submetering!J19+Submetering!L19+Submetering!N19+Submetering!P19+Submetering!R19+Submetering!T19+Submetering!V19+Submetering!X19+Submetering!Z19+Submetering!AB19+Submetering!AC19+Submetering!AE19)*0.05155)+((Submetering!F19+Submetering!H19+Submetering!J19+Submetering!L19+Submetering!N19+Submetering!P19+Submetering!R19+Submetering!T19+Submetering!V19+Submetering!X19+Submetering!Z19+Submetering!AB19+Submetering!AC19+Submetering!AE19)*0.02095)+(20/30)*15)*1.1048)/E18</f>
        <v>#DIV/0!</v>
      </c>
      <c r="G18" s="5">
        <f>Submetering!AK19+Submetering!AL19+Submetering!AU19</f>
        <v>0</v>
      </c>
      <c r="H18" s="13">
        <v>0.81659999999999999</v>
      </c>
      <c r="I18" s="5">
        <f>Submetering!AF19+Submetering!AG19+Submetering!AH19+Submetering!AI19+Submetering!AJ19+Submetering!AM19+Submetering!AN19+Submetering!AO19+Submetering!AQ19+Submetering!AR19+Submetering!AS19+Submetering!AT19+Submetering!AV19+Submetering!AY19+Submetering!AW19+Submetering!AZ19+Submetering!BA19</f>
        <v>0</v>
      </c>
      <c r="J18" s="13" t="e">
        <f>((Submetering!AG19+Submetering!BA19)*0.8868+(1712.96+1070.52)/30+(Submetering!AF19+Submetering!AY19+Submetering!AV19+Submetering!AZ19)*1.1251+(2076.11+129.67+207.57+207.57)/30+(11680.53+56.61)/30)/I18</f>
        <v>#DIV/0!</v>
      </c>
      <c r="K18" s="5"/>
    </row>
    <row r="19" spans="1:11" x14ac:dyDescent="0.25">
      <c r="A19" s="3" t="s">
        <v>11</v>
      </c>
      <c r="B19" s="2">
        <v>26</v>
      </c>
      <c r="C19" s="2">
        <v>4</v>
      </c>
      <c r="D19" s="2">
        <v>2021</v>
      </c>
      <c r="E19" s="5">
        <f>Submetering!F20+Submetering!H20+Submetering!J20+Submetering!L20+Submetering!N20+Submetering!P20+Submetering!R20+Submetering!T20+Submetering!V20+Submetering!X20+Submetering!Z20+Submetering!AB20+Submetering!AC20+Submetering!AD20+Submetering!AE20</f>
        <v>0</v>
      </c>
      <c r="F19" s="12" t="e">
        <f>((((Submetering!E20+Submetering!AD20)*0.13773+(Submetering!E20+Submetering!AD20)*0.02095)*1.09+(2.85/30)*2)+(((Submetering!F20+Submetering!H20+Submetering!J20+Submetering!L20+Submetering!N20+Submetering!P20+Submetering!R20+Submetering!T20+Submetering!V20+Submetering!X20+Submetering!Z20+Submetering!AB20+Submetering!AC20+Submetering!AE20)*0.05155)+((Submetering!F20+Submetering!H20+Submetering!J20+Submetering!L20+Submetering!N20+Submetering!P20+Submetering!R20+Submetering!T20+Submetering!V20+Submetering!X20+Submetering!Z20+Submetering!AB20+Submetering!AC20+Submetering!AE20)*0.02095)+(20/30)*15)*1.1048)/E19</f>
        <v>#DIV/0!</v>
      </c>
      <c r="G19" s="5">
        <f>Submetering!AK20+Submetering!AL20+Submetering!AU20</f>
        <v>0</v>
      </c>
      <c r="H19" s="13">
        <v>0.81659999999999999</v>
      </c>
      <c r="I19" s="5">
        <f>Submetering!AF20+Submetering!AG20+Submetering!AH20+Submetering!AI20+Submetering!AJ20+Submetering!AM20+Submetering!AN20+Submetering!AO20+Submetering!AQ20+Submetering!AR20+Submetering!AS20+Submetering!AT20+Submetering!AV20+Submetering!AY20+Submetering!AW20+Submetering!AZ20+Submetering!BA20</f>
        <v>0</v>
      </c>
      <c r="J19" s="13" t="e">
        <f>((Submetering!AG20+Submetering!BA20)*0.8868+(1712.96+1070.52)/30+(Submetering!AF20+Submetering!AY20+Submetering!AV20+Submetering!AZ20)*1.1251+(2076.11+129.67+207.57+207.57)/30+(11680.53+56.61)/30)/I19</f>
        <v>#DIV/0!</v>
      </c>
      <c r="K19" s="5"/>
    </row>
    <row r="20" spans="1:11" x14ac:dyDescent="0.25">
      <c r="A20" s="3" t="s">
        <v>11</v>
      </c>
      <c r="B20" s="2">
        <v>30</v>
      </c>
      <c r="C20" s="2">
        <v>4</v>
      </c>
      <c r="D20" s="2">
        <v>2021</v>
      </c>
      <c r="E20" s="5">
        <f>Submetering!F21+Submetering!H21+Submetering!J21+Submetering!L21+Submetering!N21+Submetering!P21+Submetering!R21+Submetering!T21+Submetering!V21+Submetering!X21+Submetering!Z21+Submetering!AB21+Submetering!AC21+Submetering!AD21+Submetering!AE21</f>
        <v>0</v>
      </c>
      <c r="F20" s="12" t="e">
        <f>((((Submetering!E21+Submetering!AD21)*0.13773+(Submetering!E21+Submetering!AD21)*0.02095)*1.09+(2.85/30)*2)+(((Submetering!F21+Submetering!H21+Submetering!J21+Submetering!L21+Submetering!N21+Submetering!P21+Submetering!R21+Submetering!T21+Submetering!V21+Submetering!X21+Submetering!Z21+Submetering!AB21+Submetering!AC21+Submetering!AE21)*0.05155)+((Submetering!F21+Submetering!H21+Submetering!J21+Submetering!L21+Submetering!N21+Submetering!P21+Submetering!R21+Submetering!T21+Submetering!V21+Submetering!X21+Submetering!Z21+Submetering!AB21+Submetering!AC21+Submetering!AE21)*0.02095)+(20/30)*15)*1.1048)/E20</f>
        <v>#DIV/0!</v>
      </c>
      <c r="G20" s="5">
        <f>Submetering!AK21+Submetering!AL21+Submetering!AU21</f>
        <v>0</v>
      </c>
      <c r="H20" s="13">
        <v>0.81659999999999999</v>
      </c>
      <c r="I20" s="5">
        <f>Submetering!AF21+Submetering!AG21+Submetering!AH21+Submetering!AI21+Submetering!AJ21+Submetering!AM21+Submetering!AN21+Submetering!AO21+Submetering!AQ21+Submetering!AR21+Submetering!AS21+Submetering!AT21+Submetering!AV21+Submetering!AY21+Submetering!AW21+Submetering!AZ21+Submetering!BA21</f>
        <v>0</v>
      </c>
      <c r="J20" s="13" t="e">
        <f>((Submetering!AG21+Submetering!BA21)*0.8868+(1712.96+1070.52)/30+(Submetering!AF21+Submetering!AY21+Submetering!AV21+Submetering!AZ21)*1.1251+(2076.11+129.67+207.57+207.57)/30+(11680.53+56.61)/30)/I20</f>
        <v>#DIV/0!</v>
      </c>
      <c r="K20" s="5">
        <f>Occupancy!H7</f>
        <v>0</v>
      </c>
    </row>
    <row r="21" spans="1:11" x14ac:dyDescent="0.25">
      <c r="A21" s="3" t="s">
        <v>11</v>
      </c>
      <c r="B21" s="2">
        <v>3</v>
      </c>
      <c r="C21" s="2">
        <v>5</v>
      </c>
      <c r="D21" s="2">
        <v>2021</v>
      </c>
      <c r="E21" s="5">
        <f>Submetering!F22+Submetering!H22+Submetering!J22+Submetering!L22+Submetering!N22+Submetering!P22+Submetering!R22+Submetering!T22+Submetering!V22+Submetering!X22+Submetering!Z22+Submetering!AB22+Submetering!AC22+Submetering!AD22+Submetering!AE22</f>
        <v>0</v>
      </c>
      <c r="F21" s="12" t="e">
        <f>((((Submetering!E22+Submetering!AD22)*0.13773+(Submetering!E22+Submetering!AD22)*0.02095)*1.09+(2.85/30)*2)+(((Submetering!F22+Submetering!H22+Submetering!J22+Submetering!L22+Submetering!N22+Submetering!P22+Submetering!R22+Submetering!T22+Submetering!V22+Submetering!X22+Submetering!Z22+Submetering!AB22+Submetering!AC22+Submetering!AE22)*0.05155)+((Submetering!F22+Submetering!H22+Submetering!J22+Submetering!L22+Submetering!N22+Submetering!P22+Submetering!R22+Submetering!T22+Submetering!V22+Submetering!X22+Submetering!Z22+Submetering!AB22+Submetering!AC22+Submetering!AE22)*0.02095)+(20/30)*15)*1.1048)/E21</f>
        <v>#DIV/0!</v>
      </c>
      <c r="G21" s="5">
        <f>Submetering!AK22+Submetering!AL22+Submetering!AU22</f>
        <v>0</v>
      </c>
      <c r="H21" s="13">
        <v>0.81659999999999999</v>
      </c>
      <c r="I21" s="5">
        <f>Submetering!AF22+Submetering!AG22+Submetering!AH22+Submetering!AI22+Submetering!AJ22+Submetering!AM22+Submetering!AN22+Submetering!AO22+Submetering!AQ22+Submetering!AR22+Submetering!AS22+Submetering!AT22+Submetering!AV22+Submetering!AY22+Submetering!AW22+Submetering!AZ22+Submetering!BA22</f>
        <v>0</v>
      </c>
      <c r="J21" s="13" t="e">
        <f>((Submetering!AG22+Submetering!BA22)*0.8868+(1712.96+1070.52)/30+(Submetering!AF22+Submetering!AY22+Submetering!AV22+Submetering!AZ22)*1.1251+(2076.11+129.67+207.57+207.57)/30+(11680.53+56.61)/30)/I21</f>
        <v>#DIV/0!</v>
      </c>
      <c r="K21" s="5"/>
    </row>
    <row r="22" spans="1:11" x14ac:dyDescent="0.25">
      <c r="A22" s="3" t="s">
        <v>11</v>
      </c>
      <c r="B22" s="2">
        <v>10</v>
      </c>
      <c r="C22" s="2">
        <v>5</v>
      </c>
      <c r="D22" s="2">
        <v>2021</v>
      </c>
      <c r="E22" s="5">
        <f>Submetering!F23+Submetering!H23+Submetering!J23+Submetering!L23+Submetering!N23+Submetering!P23+Submetering!R23+Submetering!T23+Submetering!V23+Submetering!X23+Submetering!Z23+Submetering!AB23+Submetering!AC23+Submetering!AD23+Submetering!AE23</f>
        <v>0</v>
      </c>
      <c r="F22" s="12" t="e">
        <f>((((Submetering!E23+Submetering!AD23)*0.13773+(Submetering!E23+Submetering!AD23)*0.02095)*1.09+(2.85/30)*2)+(((Submetering!F23+Submetering!H23+Submetering!J23+Submetering!L23+Submetering!N23+Submetering!P23+Submetering!R23+Submetering!T23+Submetering!V23+Submetering!X23+Submetering!Z23+Submetering!AB23+Submetering!AC23+Submetering!AE23)*0.05155)+((Submetering!F23+Submetering!H23+Submetering!J23+Submetering!L23+Submetering!N23+Submetering!P23+Submetering!R23+Submetering!T23+Submetering!V23+Submetering!X23+Submetering!Z23+Submetering!AB23+Submetering!AC23+Submetering!AE23)*0.02095)+(20/30)*15)*1.1048)/E22</f>
        <v>#DIV/0!</v>
      </c>
      <c r="G22" s="5">
        <f>Submetering!AK23+Submetering!AL23+Submetering!AU23</f>
        <v>0</v>
      </c>
      <c r="H22" s="13">
        <v>0.81659999999999999</v>
      </c>
      <c r="I22" s="5">
        <f>Submetering!AF23+Submetering!AG23+Submetering!AH23+Submetering!AI23+Submetering!AJ23+Submetering!AM23+Submetering!AN23+Submetering!AO23+Submetering!AQ23+Submetering!AR23+Submetering!AS23+Submetering!AT23+Submetering!AV23+Submetering!AY23+Submetering!AW23+Submetering!AZ23+Submetering!BA23</f>
        <v>0</v>
      </c>
      <c r="J22" s="13" t="e">
        <f>((Submetering!AG23+Submetering!BA23)*0.8868+(1712.96+1070.52)/30+(Submetering!AF23+Submetering!AY23+Submetering!AV23+Submetering!AZ23)*1.1251+(2076.11+129.67+207.57+207.57)/30+(11680.53+56.61)/30)/I22</f>
        <v>#DIV/0!</v>
      </c>
      <c r="K22" s="5"/>
    </row>
    <row r="23" spans="1:11" x14ac:dyDescent="0.25">
      <c r="A23" s="3" t="s">
        <v>11</v>
      </c>
      <c r="B23" s="2">
        <v>17</v>
      </c>
      <c r="C23" s="2">
        <v>5</v>
      </c>
      <c r="D23" s="2">
        <v>2021</v>
      </c>
      <c r="E23" s="5">
        <f>Submetering!F24+Submetering!H24+Submetering!J24+Submetering!L24+Submetering!N24+Submetering!P24+Submetering!R24+Submetering!T24+Submetering!V24+Submetering!X24+Submetering!Z24+Submetering!AB24+Submetering!AC24+Submetering!AD24+Submetering!AE24</f>
        <v>0</v>
      </c>
      <c r="F23" s="12" t="e">
        <f>((((Submetering!E24+Submetering!AD24)*0.13773+(Submetering!E24+Submetering!AD24)*0.02095)*1.09+(2.85/30)*2)+(((Submetering!F24+Submetering!H24+Submetering!J24+Submetering!L24+Submetering!N24+Submetering!P24+Submetering!R24+Submetering!T24+Submetering!V24+Submetering!X24+Submetering!Z24+Submetering!AB24+Submetering!AC24+Submetering!AE24)*0.05155)+((Submetering!F24+Submetering!H24+Submetering!J24+Submetering!L24+Submetering!N24+Submetering!P24+Submetering!R24+Submetering!T24+Submetering!V24+Submetering!X24+Submetering!Z24+Submetering!AB24+Submetering!AC24+Submetering!AE24)*0.02095)+(20/30)*15)*1.1048)/E23</f>
        <v>#DIV/0!</v>
      </c>
      <c r="G23" s="5">
        <f>Submetering!AK24+Submetering!AL24+Submetering!AU24</f>
        <v>0</v>
      </c>
      <c r="H23" s="13">
        <v>0.81659999999999999</v>
      </c>
      <c r="I23" s="5">
        <f>Submetering!AF24+Submetering!AG24+Submetering!AH24+Submetering!AI24+Submetering!AJ24+Submetering!AM24+Submetering!AN24+Submetering!AO24+Submetering!AQ24+Submetering!AR24+Submetering!AS24+Submetering!AT24+Submetering!AV24+Submetering!AY24+Submetering!AW24+Submetering!AZ24+Submetering!BA24</f>
        <v>0</v>
      </c>
      <c r="J23" s="13" t="e">
        <f>((Submetering!AG24+Submetering!BA24)*0.8868+(1712.96+1070.52)/30+(Submetering!AF24+Submetering!AY24+Submetering!AV24+Submetering!AZ24)*1.1251+(2076.11+129.67+207.57+207.57)/30+(11680.53+56.61)/30)/I23</f>
        <v>#DIV/0!</v>
      </c>
      <c r="K23" s="5"/>
    </row>
    <row r="24" spans="1:11" x14ac:dyDescent="0.25">
      <c r="A24" s="3" t="s">
        <v>11</v>
      </c>
      <c r="B24" s="2">
        <v>24</v>
      </c>
      <c r="C24" s="2">
        <v>5</v>
      </c>
      <c r="D24" s="2">
        <v>2021</v>
      </c>
      <c r="E24" s="5">
        <f>Submetering!F25+Submetering!H25+Submetering!J25+Submetering!L25+Submetering!N25+Submetering!P25+Submetering!R25+Submetering!T25+Submetering!V25+Submetering!X25+Submetering!Z25+Submetering!AB25+Submetering!AC25+Submetering!AD25+Submetering!AE25</f>
        <v>0</v>
      </c>
      <c r="F24" s="12" t="e">
        <f>((((Submetering!E25+Submetering!AD25)*0.13773+(Submetering!E25+Submetering!AD25)*0.02095)*1.09+(2.85/30)*2)+(((Submetering!F25+Submetering!H25+Submetering!J25+Submetering!L25+Submetering!N25+Submetering!P25+Submetering!R25+Submetering!T25+Submetering!V25+Submetering!X25+Submetering!Z25+Submetering!AB25+Submetering!AC25+Submetering!AE25)*0.05155)+((Submetering!F25+Submetering!H25+Submetering!J25+Submetering!L25+Submetering!N25+Submetering!P25+Submetering!R25+Submetering!T25+Submetering!V25+Submetering!X25+Submetering!Z25+Submetering!AB25+Submetering!AC25+Submetering!AE25)*0.02095)+(20/30)*15)*1.1048)/E24</f>
        <v>#DIV/0!</v>
      </c>
      <c r="G24" s="5">
        <f>Submetering!AK25+Submetering!AL25+Submetering!AU25</f>
        <v>0</v>
      </c>
      <c r="H24" s="13">
        <v>0.81659999999999999</v>
      </c>
      <c r="I24" s="5">
        <f>Submetering!AF25+Submetering!AG25+Submetering!AH25+Submetering!AI25+Submetering!AJ25+Submetering!AM25+Submetering!AN25+Submetering!AO25+Submetering!AQ25+Submetering!AR25+Submetering!AS25+Submetering!AT25+Submetering!AV25+Submetering!AY25+Submetering!AW25+Submetering!AZ25+Submetering!BA25</f>
        <v>0</v>
      </c>
      <c r="J24" s="13" t="e">
        <f>((Submetering!AG25+Submetering!BA25)*0.8868+(1712.96+1070.52)/30+(Submetering!AF25+Submetering!AY25+Submetering!AV25+Submetering!AZ25)*1.1251+(2076.11+129.67+207.57+207.57)/30+(11680.53+56.61)/30)/I24</f>
        <v>#DIV/0!</v>
      </c>
      <c r="K24" s="5"/>
    </row>
    <row r="25" spans="1:11" x14ac:dyDescent="0.25">
      <c r="A25" s="3" t="s">
        <v>11</v>
      </c>
      <c r="B25" s="2">
        <v>31</v>
      </c>
      <c r="C25" s="2">
        <v>5</v>
      </c>
      <c r="D25" s="2">
        <v>2021</v>
      </c>
      <c r="E25" s="5">
        <f>Submetering!F26+Submetering!H26+Submetering!J26+Submetering!L26+Submetering!N26+Submetering!P26+Submetering!R26+Submetering!T26+Submetering!V26+Submetering!X26+Submetering!Z26+Submetering!AB26+Submetering!AC26+Submetering!AD26+Submetering!AE26</f>
        <v>0</v>
      </c>
      <c r="F25" s="12" t="e">
        <f>((((Submetering!E26+Submetering!AD26)*0.13773+(Submetering!E26+Submetering!AD26)*0.02095)*1.09+(2.85/30)*2)+(((Submetering!F26+Submetering!H26+Submetering!J26+Submetering!L26+Submetering!N26+Submetering!P26+Submetering!R26+Submetering!T26+Submetering!V26+Submetering!X26+Submetering!Z26+Submetering!AB26+Submetering!AC26+Submetering!AE26)*0.05155)+((Submetering!F26+Submetering!H26+Submetering!J26+Submetering!L26+Submetering!N26+Submetering!P26+Submetering!R26+Submetering!T26+Submetering!V26+Submetering!X26+Submetering!Z26+Submetering!AB26+Submetering!AC26+Submetering!AE26)*0.02095)+(20/30)*15)*1.1048)/E25</f>
        <v>#DIV/0!</v>
      </c>
      <c r="G25" s="5">
        <f>Submetering!AK26+Submetering!AL26+Submetering!AU26</f>
        <v>0</v>
      </c>
      <c r="H25" s="13">
        <v>0.81659999999999999</v>
      </c>
      <c r="I25" s="5">
        <f>Submetering!AF26+Submetering!AG26+Submetering!AH26+Submetering!AI26+Submetering!AJ26+Submetering!AM26+Submetering!AN26+Submetering!AO26+Submetering!AQ26+Submetering!AR26+Submetering!AS26+Submetering!AT26+Submetering!AV26+Submetering!AY26+Submetering!AW26+Submetering!AZ26+Submetering!BA26</f>
        <v>0</v>
      </c>
      <c r="J25" s="13" t="e">
        <f>((Submetering!AG26+Submetering!BA26)*0.8868+(1712.96+1070.52)/30+(Submetering!AF26+Submetering!AY26+Submetering!AV26+Submetering!AZ26)*1.1251+(2076.11+129.67+207.57+207.57)/30+(11680.53+56.61)/30)/I25</f>
        <v>#DIV/0!</v>
      </c>
      <c r="K25" s="5">
        <f>Occupancy!H8</f>
        <v>0</v>
      </c>
    </row>
    <row r="26" spans="1:11" x14ac:dyDescent="0.25">
      <c r="A26" s="3" t="s">
        <v>11</v>
      </c>
      <c r="B26" s="2">
        <v>7</v>
      </c>
      <c r="C26" s="2">
        <v>6</v>
      </c>
      <c r="D26" s="2">
        <v>2021</v>
      </c>
      <c r="E26" s="5">
        <f>Submetering!F27+Submetering!H27+Submetering!J27+Submetering!L27+Submetering!N27+Submetering!P27+Submetering!R27+Submetering!T27+Submetering!V27+Submetering!X27+Submetering!Z27+Submetering!AB27+Submetering!AC27+Submetering!AD27+Submetering!AE27</f>
        <v>0</v>
      </c>
      <c r="F26" s="12" t="e">
        <f>((((Submetering!E27+Submetering!AD27)*0.13773+(Submetering!E27+Submetering!AD27)*0.02095)*1.09+(2.85/30)*2)+(((Submetering!F27+Submetering!H27+Submetering!J27+Submetering!L27+Submetering!N27+Submetering!P27+Submetering!R27+Submetering!T27+Submetering!V27+Submetering!X27+Submetering!Z27+Submetering!AB27+Submetering!AC27+Submetering!AE27)*0.05155)+((Submetering!F27+Submetering!H27+Submetering!J27+Submetering!L27+Submetering!N27+Submetering!P27+Submetering!R27+Submetering!T27+Submetering!V27+Submetering!X27+Submetering!Z27+Submetering!AB27+Submetering!AC27+Submetering!AE27)*0.02095)+(20/30)*15)*1.1048)/E26</f>
        <v>#DIV/0!</v>
      </c>
      <c r="G26" s="5">
        <f>Submetering!AK27+Submetering!AL27+Submetering!AU27</f>
        <v>0</v>
      </c>
      <c r="H26" s="13">
        <v>0.81659999999999999</v>
      </c>
      <c r="I26" s="5">
        <f>Submetering!AF27+Submetering!AG27+Submetering!AH27+Submetering!AI27+Submetering!AJ27+Submetering!AM27+Submetering!AN27+Submetering!AO27+Submetering!AQ27+Submetering!AR27+Submetering!AS27+Submetering!AT27+Submetering!AV27+Submetering!AY27+Submetering!AW27+Submetering!AZ27+Submetering!BA27</f>
        <v>0</v>
      </c>
      <c r="J26" s="13" t="e">
        <f>((Submetering!AG27+Submetering!BA27)*0.8868+(1712.96+1070.52)/30+(Submetering!AF27+Submetering!AY27+Submetering!AV27+Submetering!AZ27)*1.1251+(2076.11+129.67+207.57+207.57)/30+(11680.53+56.61)/30)/I26</f>
        <v>#DIV/0!</v>
      </c>
      <c r="K26" s="5"/>
    </row>
    <row r="27" spans="1:11" x14ac:dyDescent="0.25">
      <c r="A27" s="3" t="s">
        <v>11</v>
      </c>
      <c r="B27" s="2">
        <v>14</v>
      </c>
      <c r="C27" s="2">
        <v>6</v>
      </c>
      <c r="D27" s="2">
        <v>2021</v>
      </c>
      <c r="E27" s="5">
        <f>Submetering!F28+Submetering!H28+Submetering!J28+Submetering!L28+Submetering!N28+Submetering!P28+Submetering!R28+Submetering!T28+Submetering!V28+Submetering!X28+Submetering!Z28+Submetering!AB28+Submetering!AC28+Submetering!AD28+Submetering!AE28</f>
        <v>0</v>
      </c>
      <c r="F27" s="12" t="e">
        <f>((((Submetering!E28+Submetering!AD28)*0.13773+(Submetering!E28+Submetering!AD28)*0.02095)*1.09+(2.85/30)*2)+(((Submetering!F28+Submetering!H28+Submetering!J28+Submetering!L28+Submetering!N28+Submetering!P28+Submetering!R28+Submetering!T28+Submetering!V28+Submetering!X28+Submetering!Z28+Submetering!AB28+Submetering!AC28+Submetering!AE28)*0.05155)+((Submetering!F28+Submetering!H28+Submetering!J28+Submetering!L28+Submetering!N28+Submetering!P28+Submetering!R28+Submetering!T28+Submetering!V28+Submetering!X28+Submetering!Z28+Submetering!AB28+Submetering!AC28+Submetering!AE28)*0.02095)+(20/30)*15)*1.1048)/E27</f>
        <v>#DIV/0!</v>
      </c>
      <c r="G27" s="5">
        <f>Submetering!AK28+Submetering!AL28+Submetering!AU28</f>
        <v>0</v>
      </c>
      <c r="H27" s="13">
        <v>0.81659999999999999</v>
      </c>
      <c r="I27" s="5">
        <f>Submetering!AF28+Submetering!AG28+Submetering!AH28+Submetering!AI28+Submetering!AJ28+Submetering!AM28+Submetering!AN28+Submetering!AO28+Submetering!AQ28+Submetering!AR28+Submetering!AS28+Submetering!AT28+Submetering!AV28+Submetering!AY28+Submetering!AW28+Submetering!AZ28+Submetering!BA28</f>
        <v>0</v>
      </c>
      <c r="J27" s="13" t="e">
        <f>((Submetering!AG28+Submetering!BA28)*0.8868+(1712.96+1070.52)/30+(Submetering!AF28+Submetering!AY28+Submetering!AV28+Submetering!AZ28)*1.1251+(2076.11+129.67+207.57+207.57)/30+(11680.53+56.61)/30)/I27</f>
        <v>#DIV/0!</v>
      </c>
      <c r="K27" s="5"/>
    </row>
    <row r="28" spans="1:11" x14ac:dyDescent="0.25">
      <c r="A28" s="3" t="s">
        <v>11</v>
      </c>
      <c r="B28" s="2">
        <v>21</v>
      </c>
      <c r="C28" s="2">
        <v>6</v>
      </c>
      <c r="D28" s="2">
        <v>2021</v>
      </c>
      <c r="E28" s="5">
        <f>Submetering!F29+Submetering!H29+Submetering!J29+Submetering!L29+Submetering!N29+Submetering!P29+Submetering!R29+Submetering!T29+Submetering!V29+Submetering!X29+Submetering!Z29+Submetering!AB29+Submetering!AC29+Submetering!AD29+Submetering!AE29</f>
        <v>0</v>
      </c>
      <c r="F28" s="12" t="e">
        <f>((((Submetering!E29+Submetering!AD29)*0.13773+(Submetering!E29+Submetering!AD29)*0.02095)*1.09+(2.85/30)*2)+(((Submetering!F29+Submetering!H29+Submetering!J29+Submetering!L29+Submetering!N29+Submetering!P29+Submetering!R29+Submetering!T29+Submetering!V29+Submetering!X29+Submetering!Z29+Submetering!AB29+Submetering!AC29+Submetering!AE29)*0.05155)+((Submetering!F29+Submetering!H29+Submetering!J29+Submetering!L29+Submetering!N29+Submetering!P29+Submetering!R29+Submetering!T29+Submetering!V29+Submetering!X29+Submetering!Z29+Submetering!AB29+Submetering!AC29+Submetering!AE29)*0.02095)+(20/30)*15)*1.1048)/E28</f>
        <v>#DIV/0!</v>
      </c>
      <c r="G28" s="5">
        <f>Submetering!AK29+Submetering!AL29+Submetering!AU29</f>
        <v>0</v>
      </c>
      <c r="H28" s="13">
        <v>0.81659999999999999</v>
      </c>
      <c r="I28" s="5">
        <f>Submetering!AF29+Submetering!AG29+Submetering!AH29+Submetering!AI29+Submetering!AJ29+Submetering!AM29+Submetering!AN29+Submetering!AO29+Submetering!AQ29+Submetering!AR29+Submetering!AS29+Submetering!AT29+Submetering!AV29+Submetering!AY29+Submetering!AW29+Submetering!AZ29+Submetering!BA29</f>
        <v>0</v>
      </c>
      <c r="J28" s="13" t="e">
        <f>((Submetering!AG29+Submetering!BA29)*0.8868+(1712.96+1070.52)/30+(Submetering!AF29+Submetering!AY29+Submetering!AV29+Submetering!AZ29)*1.1251+(2076.11+129.67+207.57+207.57)/30+(11680.53+56.61)/30)/I28</f>
        <v>#DIV/0!</v>
      </c>
      <c r="K28" s="5"/>
    </row>
    <row r="29" spans="1:11" x14ac:dyDescent="0.25">
      <c r="A29" s="3" t="s">
        <v>11</v>
      </c>
      <c r="B29" s="2">
        <v>28</v>
      </c>
      <c r="C29" s="2">
        <v>6</v>
      </c>
      <c r="D29" s="2">
        <v>2021</v>
      </c>
      <c r="E29" s="5">
        <f>Submetering!F30+Submetering!H30+Submetering!J30+Submetering!L30+Submetering!N30+Submetering!P30+Submetering!R30+Submetering!T30+Submetering!V30+Submetering!X30+Submetering!Z30+Submetering!AB30+Submetering!AC30+Submetering!AD30+Submetering!AE30</f>
        <v>0</v>
      </c>
      <c r="F29" s="12" t="e">
        <f>((((Submetering!E30+Submetering!AD30)*0.13773+(Submetering!E30+Submetering!AD30)*0.02095)*1.09+(2.85/30)*2)+(((Submetering!F30+Submetering!H30+Submetering!J30+Submetering!L30+Submetering!N30+Submetering!P30+Submetering!R30+Submetering!T30+Submetering!V30+Submetering!X30+Submetering!Z30+Submetering!AB30+Submetering!AC30+Submetering!AE30)*0.05155)+((Submetering!F30+Submetering!H30+Submetering!J30+Submetering!L30+Submetering!N30+Submetering!P30+Submetering!R30+Submetering!T30+Submetering!V30+Submetering!X30+Submetering!Z30+Submetering!AB30+Submetering!AC30+Submetering!AE30)*0.02095)+(20/30)*15)*1.1048)/E29</f>
        <v>#DIV/0!</v>
      </c>
      <c r="G29" s="5">
        <f>Submetering!AK30+Submetering!AL30+Submetering!AU30</f>
        <v>0</v>
      </c>
      <c r="H29" s="13">
        <v>0.81659999999999999</v>
      </c>
      <c r="I29" s="5">
        <f>Submetering!AF30+Submetering!AG30+Submetering!AH30+Submetering!AI30+Submetering!AJ30+Submetering!AM30+Submetering!AN30+Submetering!AO30+Submetering!AQ30+Submetering!AR30+Submetering!AS30+Submetering!AT30+Submetering!AV30+Submetering!AY30+Submetering!AW30+Submetering!AZ30+Submetering!BA30</f>
        <v>0.49020000000000002</v>
      </c>
      <c r="J29" s="13">
        <f>((Submetering!AG30+Submetering!BA30)*0.8868+(1712.96+1070.52)/30+(Submetering!AF30+Submetering!AY30+Submetering!AV30+Submetering!AZ30)*1.1251+(2076.11+129.67+207.57+207.57)/30+(11680.53+56.61)/30)/I29</f>
        <v>1165.6153950768396</v>
      </c>
      <c r="K29" s="5"/>
    </row>
    <row r="30" spans="1:11" x14ac:dyDescent="0.25">
      <c r="A30" s="3" t="s">
        <v>11</v>
      </c>
      <c r="B30" s="2">
        <v>30</v>
      </c>
      <c r="C30" s="2">
        <v>6</v>
      </c>
      <c r="D30" s="2">
        <v>2021</v>
      </c>
      <c r="E30" s="5">
        <f>Submetering!F31+Submetering!H31+Submetering!J31+Submetering!L31+Submetering!N31+Submetering!P31+Submetering!R31+Submetering!T31+Submetering!V31+Submetering!X31+Submetering!Z31+Submetering!AB31+Submetering!AC31+Submetering!AD31+Submetering!AE31</f>
        <v>0</v>
      </c>
      <c r="F30" s="12" t="e">
        <f>((((Submetering!E31+Submetering!AD31)*0.13773+(Submetering!E31+Submetering!AD31)*0.02095)*1.09+(2.85/30)*2)+(((Submetering!F31+Submetering!H31+Submetering!J31+Submetering!L31+Submetering!N31+Submetering!P31+Submetering!R31+Submetering!T31+Submetering!V31+Submetering!X31+Submetering!Z31+Submetering!AB31+Submetering!AC31+Submetering!AE31)*0.05155)+((Submetering!F31+Submetering!H31+Submetering!J31+Submetering!L31+Submetering!N31+Submetering!P31+Submetering!R31+Submetering!T31+Submetering!V31+Submetering!X31+Submetering!Z31+Submetering!AB31+Submetering!AC31+Submetering!AE31)*0.02095)+(20/30)*15)*1.1048)/E30</f>
        <v>#DIV/0!</v>
      </c>
      <c r="G30" s="5">
        <f>Submetering!AK31+Submetering!AL31+Submetering!AU31</f>
        <v>0</v>
      </c>
      <c r="H30" s="13">
        <v>0.81659999999999999</v>
      </c>
      <c r="I30" s="5">
        <f>Submetering!AF31+Submetering!AG31+Submetering!AH31+Submetering!AI31+Submetering!AJ31+Submetering!AM31+Submetering!AN31+Submetering!AO31+Submetering!AQ31+Submetering!AR31+Submetering!AS31+Submetering!AT31+Submetering!AV31+Submetering!AY31+Submetering!AW31+Submetering!AZ31+Submetering!BA31</f>
        <v>0</v>
      </c>
      <c r="J30" s="13" t="e">
        <f>((Submetering!AG31+Submetering!BA31)*0.8868+(1712.96+1070.52)/30+(Submetering!AF31+Submetering!AY31+Submetering!AV31+Submetering!AZ31)*1.1251+(2076.11+129.67+207.57+207.57)/30+(11680.53+56.61)/30)/I30</f>
        <v>#DIV/0!</v>
      </c>
      <c r="K30" s="5">
        <f>Occupancy!H9</f>
        <v>0</v>
      </c>
    </row>
    <row r="31" spans="1:11" x14ac:dyDescent="0.25">
      <c r="A31" s="3" t="s">
        <v>11</v>
      </c>
      <c r="B31" s="2">
        <v>5</v>
      </c>
      <c r="C31" s="2">
        <v>7</v>
      </c>
      <c r="D31" s="2">
        <v>2021</v>
      </c>
      <c r="E31" s="5">
        <f>Submetering!F32+Submetering!H32+Submetering!J32+Submetering!L32+Submetering!N32+Submetering!P32+Submetering!R32+Submetering!T32+Submetering!V32+Submetering!X32+Submetering!Z32+Submetering!AB32+Submetering!AC32+Submetering!AD32+Submetering!AE32</f>
        <v>0</v>
      </c>
      <c r="F31" s="12" t="e">
        <f>((((Submetering!E32+Submetering!AD32)*0.13773+(Submetering!E32+Submetering!AD32)*0.02095)*1.09+(2.85/30)*2)+(((Submetering!F32+Submetering!H32+Submetering!J32+Submetering!L32+Submetering!N32+Submetering!P32+Submetering!R32+Submetering!T32+Submetering!V32+Submetering!X32+Submetering!Z32+Submetering!AB32+Submetering!AC32+Submetering!AE32)*0.05155)+((Submetering!F32+Submetering!H32+Submetering!J32+Submetering!L32+Submetering!N32+Submetering!P32+Submetering!R32+Submetering!T32+Submetering!V32+Submetering!X32+Submetering!Z32+Submetering!AB32+Submetering!AC32+Submetering!AE32)*0.02095)+(20/30)*15)*1.1048)/E31</f>
        <v>#DIV/0!</v>
      </c>
      <c r="G31" s="5">
        <f>Submetering!AK32+Submetering!AL32+Submetering!AU32</f>
        <v>0</v>
      </c>
      <c r="H31" s="13">
        <v>0.81659999999999999</v>
      </c>
      <c r="I31" s="5">
        <f>Submetering!AF32+Submetering!AG32+Submetering!AH32+Submetering!AI32+Submetering!AJ32+Submetering!AM32+Submetering!AN32+Submetering!AO32+Submetering!AQ32+Submetering!AR32+Submetering!AS32+Submetering!AT32+Submetering!AV32+Submetering!AY32+Submetering!AW32+Submetering!AZ32+Submetering!BA32</f>
        <v>0</v>
      </c>
      <c r="J31" s="13" t="e">
        <f>((Submetering!AG32+Submetering!BA32)*0.8868+(1712.96+1070.52)/30+(Submetering!AF32+Submetering!AY32+Submetering!AV32+Submetering!AZ32)*1.1251+(2076.11+129.67+207.57+207.57)/30+(11680.53+56.61)/30)/I31</f>
        <v>#DIV/0!</v>
      </c>
      <c r="K31" s="5"/>
    </row>
    <row r="32" spans="1:11" x14ac:dyDescent="0.25">
      <c r="A32" s="3" t="s">
        <v>11</v>
      </c>
      <c r="B32" s="2">
        <v>12</v>
      </c>
      <c r="C32" s="2">
        <v>7</v>
      </c>
      <c r="D32" s="2">
        <v>2021</v>
      </c>
      <c r="E32" s="5">
        <f>Submetering!F33+Submetering!H33+Submetering!J33+Submetering!L33+Submetering!N33+Submetering!P33+Submetering!R33+Submetering!T33+Submetering!V33+Submetering!X33+Submetering!Z33+Submetering!AB33+Submetering!AC33+Submetering!AD33+Submetering!AE33</f>
        <v>0</v>
      </c>
      <c r="F32" s="12" t="e">
        <f>((((Submetering!E33+Submetering!AD33)*0.13773+(Submetering!E33+Submetering!AD33)*0.02095)*1.09+(2.85/30)*2)+(((Submetering!F33+Submetering!H33+Submetering!J33+Submetering!L33+Submetering!N33+Submetering!P33+Submetering!R33+Submetering!T33+Submetering!V33+Submetering!X33+Submetering!Z33+Submetering!AB33+Submetering!AC33+Submetering!AE33)*0.05155)+((Submetering!F33+Submetering!H33+Submetering!J33+Submetering!L33+Submetering!N33+Submetering!P33+Submetering!R33+Submetering!T33+Submetering!V33+Submetering!X33+Submetering!Z33+Submetering!AB33+Submetering!AC33+Submetering!AE33)*0.02095)+(20/30)*15)*1.1048)/E32</f>
        <v>#DIV/0!</v>
      </c>
      <c r="G32" s="5">
        <f>Submetering!AK33+Submetering!AL33+Submetering!AU33</f>
        <v>0</v>
      </c>
      <c r="H32" s="13">
        <v>0.81659999999999999</v>
      </c>
      <c r="I32" s="5">
        <f>Submetering!AF33+Submetering!AG33+Submetering!AH33+Submetering!AI33+Submetering!AJ33+Submetering!AM33+Submetering!AN33+Submetering!AO33+Submetering!AQ33+Submetering!AR33+Submetering!AS33+Submetering!AT33+Submetering!AV33+Submetering!AY33+Submetering!AW33+Submetering!AZ33+Submetering!BA33</f>
        <v>0</v>
      </c>
      <c r="J32" s="13" t="e">
        <f>((Submetering!AG33+Submetering!BA33)*0.8868+(1712.96+1070.52)/30+(Submetering!AF33+Submetering!AY33+Submetering!AV33+Submetering!AZ33)*1.1251+(2076.11+129.67+207.57+207.57)/30+(11680.53+56.61)/30)/I32</f>
        <v>#DIV/0!</v>
      </c>
      <c r="K32" s="5"/>
    </row>
    <row r="33" spans="1:12" x14ac:dyDescent="0.25">
      <c r="A33" s="3" t="s">
        <v>11</v>
      </c>
      <c r="B33" s="2">
        <v>19</v>
      </c>
      <c r="C33" s="2">
        <v>7</v>
      </c>
      <c r="D33" s="2">
        <v>2021</v>
      </c>
      <c r="E33" s="5">
        <f>Submetering!F34+Submetering!H34+Submetering!J34+Submetering!L34+Submetering!N34+Submetering!P34+Submetering!R34+Submetering!T34+Submetering!V34+Submetering!X34+Submetering!Z34+Submetering!AB34+Submetering!AC34+Submetering!AD34+Submetering!AE34</f>
        <v>0</v>
      </c>
      <c r="F33" s="12" t="e">
        <f>((((Submetering!E34+Submetering!AD34)*0.13773+(Submetering!E34+Submetering!AD34)*0.02095)*1.09+(2.85/30)*2)+(((Submetering!F34+Submetering!H34+Submetering!J34+Submetering!L34+Submetering!N34+Submetering!P34+Submetering!R34+Submetering!T34+Submetering!V34+Submetering!X34+Submetering!Z34+Submetering!AB34+Submetering!AC34+Submetering!AE34)*0.05155)+((Submetering!F34+Submetering!H34+Submetering!J34+Submetering!L34+Submetering!N34+Submetering!P34+Submetering!R34+Submetering!T34+Submetering!V34+Submetering!X34+Submetering!Z34+Submetering!AB34+Submetering!AC34+Submetering!AE34)*0.02095)+(20/30)*15)*1.1048)/E33</f>
        <v>#DIV/0!</v>
      </c>
      <c r="G33" s="5">
        <f>Submetering!AK34+Submetering!AL34+Submetering!AU34</f>
        <v>0</v>
      </c>
      <c r="H33" s="13">
        <v>0.81659999999999999</v>
      </c>
      <c r="I33" s="5">
        <f>Submetering!AF34+Submetering!AG34+Submetering!AH34+Submetering!AI34+Submetering!AJ34+Submetering!AM34+Submetering!AN34+Submetering!AO34+Submetering!AQ34+Submetering!AR34+Submetering!AS34+Submetering!AT34+Submetering!AV34+Submetering!AY34+Submetering!AW34+Submetering!AZ34+Submetering!BA34</f>
        <v>0</v>
      </c>
      <c r="J33" s="13" t="e">
        <f>((Submetering!AG34+Submetering!BA34)*0.8868+(1712.96+1070.52)/30+(Submetering!AF34+Submetering!AY34+Submetering!AV34+Submetering!AZ34)*1.1251+(2076.11+129.67+207.57+207.57)/30+(11680.53+56.61)/30)/I33</f>
        <v>#DIV/0!</v>
      </c>
      <c r="K33" s="5"/>
    </row>
    <row r="34" spans="1:12" x14ac:dyDescent="0.25">
      <c r="A34" s="3" t="s">
        <v>11</v>
      </c>
      <c r="B34" s="2">
        <v>26</v>
      </c>
      <c r="C34" s="2">
        <v>7</v>
      </c>
      <c r="D34" s="2">
        <v>2021</v>
      </c>
      <c r="E34" s="5">
        <f>Submetering!F35+Submetering!H35+Submetering!J35+Submetering!L35+Submetering!N35+Submetering!P35+Submetering!R35+Submetering!T35+Submetering!V35+Submetering!X35+Submetering!Z35+Submetering!AB35+Submetering!AC35+Submetering!AD35+Submetering!AE35</f>
        <v>0</v>
      </c>
      <c r="F34" s="12" t="e">
        <f>((((Submetering!E35+Submetering!AD35)*0.13773+(Submetering!E35+Submetering!AD35)*0.02095)*1.09+(2.85/30)*2)+(((Submetering!F35+Submetering!H35+Submetering!J35+Submetering!L35+Submetering!N35+Submetering!P35+Submetering!R35+Submetering!T35+Submetering!V35+Submetering!X35+Submetering!Z35+Submetering!AB35+Submetering!AC35+Submetering!AE35)*0.05155)+((Submetering!F35+Submetering!H35+Submetering!J35+Submetering!L35+Submetering!N35+Submetering!P35+Submetering!R35+Submetering!T35+Submetering!V35+Submetering!X35+Submetering!Z35+Submetering!AB35+Submetering!AC35+Submetering!AE35)*0.02095)+(20/30)*15)*1.1048)/E34</f>
        <v>#DIV/0!</v>
      </c>
      <c r="G34" s="5">
        <f>Submetering!AK35+Submetering!AL35+Submetering!AU35</f>
        <v>0</v>
      </c>
      <c r="H34" s="13">
        <v>0.81659999999999999</v>
      </c>
      <c r="I34" s="5">
        <f>Submetering!AF35+Submetering!AG35+Submetering!AH35+Submetering!AI35+Submetering!AJ35+Submetering!AM35+Submetering!AN35+Submetering!AO35+Submetering!AQ35+Submetering!AR35+Submetering!AS35+Submetering!AT35+Submetering!AV35+Submetering!AY35+Submetering!AW35+Submetering!AZ35+Submetering!BA35</f>
        <v>0</v>
      </c>
      <c r="J34" s="13" t="e">
        <f>((Submetering!AG35+Submetering!BA35)*0.8868+(1712.96+1070.52)/30+(Submetering!AF35+Submetering!AY35+Submetering!AV35+Submetering!AZ35)*1.1251+(2076.11+129.67+207.57+207.57)/30+(11680.53+56.61)/30)/I34</f>
        <v>#DIV/0!</v>
      </c>
      <c r="K34" s="5"/>
    </row>
    <row r="35" spans="1:12" x14ac:dyDescent="0.25">
      <c r="A35" s="3" t="s">
        <v>11</v>
      </c>
      <c r="B35" s="2">
        <v>31</v>
      </c>
      <c r="C35" s="2">
        <v>7</v>
      </c>
      <c r="D35" s="2">
        <v>2021</v>
      </c>
      <c r="E35" s="5">
        <f>Submetering!F36+Submetering!H36+Submetering!J36+Submetering!L36+Submetering!N36+Submetering!P36+Submetering!R36+Submetering!T36+Submetering!V36+Submetering!X36+Submetering!Z36+Submetering!AB36+Submetering!AC36+Submetering!AD36+Submetering!AE36</f>
        <v>0</v>
      </c>
      <c r="F35" s="12" t="e">
        <f>((((Submetering!E36+Submetering!AD36)*0.13773+(Submetering!E36+Submetering!AD36)*0.02095)*1.09+(2.85/30)*2)+(((Submetering!F36+Submetering!H36+Submetering!J36+Submetering!L36+Submetering!N36+Submetering!P36+Submetering!R36+Submetering!T36+Submetering!V36+Submetering!X36+Submetering!Z36+Submetering!AB36+Submetering!AC36+Submetering!AE36)*0.05155)+((Submetering!F36+Submetering!H36+Submetering!J36+Submetering!L36+Submetering!N36+Submetering!P36+Submetering!R36+Submetering!T36+Submetering!V36+Submetering!X36+Submetering!Z36+Submetering!AB36+Submetering!AC36+Submetering!AE36)*0.02095)+(20/30)*15)*1.1048)/E35</f>
        <v>#DIV/0!</v>
      </c>
      <c r="G35" s="5">
        <f>Submetering!AK36+Submetering!AL36+Submetering!AU36</f>
        <v>0</v>
      </c>
      <c r="H35" s="13">
        <v>0.81659999999999999</v>
      </c>
      <c r="I35" s="5">
        <f>Submetering!AF36+Submetering!AG36+Submetering!AH36+Submetering!AI36+Submetering!AJ36+Submetering!AM36+Submetering!AN36+Submetering!AO36+Submetering!AQ36+Submetering!AR36+Submetering!AS36+Submetering!AT36+Submetering!AV36+Submetering!AY36+Submetering!AW36+Submetering!AZ36+Submetering!BA36</f>
        <v>0</v>
      </c>
      <c r="J35" s="13" t="e">
        <f>((Submetering!AG36+Submetering!BA36)*0.8868+(1712.96+1070.52)/30+(Submetering!AF36+Submetering!AY36+Submetering!AV36+Submetering!AZ36)*1.1251+(2076.11+129.67+207.57+207.57)/30+(11680.53+56.61)/30)/I35</f>
        <v>#DIV/0!</v>
      </c>
      <c r="K35" s="5">
        <f>Occupancy!H10</f>
        <v>0</v>
      </c>
    </row>
    <row r="36" spans="1:12" x14ac:dyDescent="0.25">
      <c r="A36" s="3" t="s">
        <v>11</v>
      </c>
      <c r="B36" s="2">
        <v>2</v>
      </c>
      <c r="C36" s="2">
        <v>8</v>
      </c>
      <c r="D36" s="2">
        <v>2021</v>
      </c>
      <c r="E36" s="5">
        <f>Submetering!F37+Submetering!H37+Submetering!J37+Submetering!L37+Submetering!N37+Submetering!P37+Submetering!R37+Submetering!T37+Submetering!V37+Submetering!X37+Submetering!Z37+Submetering!AB37+Submetering!AC37+Submetering!AD37+Submetering!AE37</f>
        <v>0</v>
      </c>
      <c r="F36" s="12" t="e">
        <f>((((Submetering!E37+Submetering!AD37)*0.13773+(Submetering!E37+Submetering!AD37)*0.02095)*1.09+(2.85/30)*2)+(((Submetering!F37+Submetering!H37+Submetering!J37+Submetering!L37+Submetering!N37+Submetering!P37+Submetering!R37+Submetering!T37+Submetering!V37+Submetering!X37+Submetering!Z37+Submetering!AB37+Submetering!AC37+Submetering!AE37)*0.05155)+((Submetering!F37+Submetering!H37+Submetering!J37+Submetering!L37+Submetering!N37+Submetering!P37+Submetering!R37+Submetering!T37+Submetering!V37+Submetering!X37+Submetering!Z37+Submetering!AB37+Submetering!AC37+Submetering!AE37)*0.02095)+(20/30)*15)*1.1048)/E36</f>
        <v>#DIV/0!</v>
      </c>
      <c r="G36" s="5">
        <f>Submetering!AK37+Submetering!AL37+Submetering!AU37</f>
        <v>0</v>
      </c>
      <c r="H36" s="13">
        <v>0.81659999999999999</v>
      </c>
      <c r="I36" s="5">
        <f>Submetering!AF37+Submetering!AG37+Submetering!AH37+Submetering!AI37+Submetering!AJ37+Submetering!AM37+Submetering!AN37+Submetering!AO37+Submetering!AQ37+Submetering!AR37+Submetering!AS37+Submetering!AT37+Submetering!AV37+Submetering!AY37+Submetering!AW37+Submetering!AZ37+Submetering!BA37</f>
        <v>0</v>
      </c>
      <c r="J36" s="13" t="e">
        <f>((Submetering!AG37+Submetering!BA37)*0.8868+(1712.96+1070.52)/30+(Submetering!AF37+Submetering!AY37+Submetering!AV37+Submetering!AZ37)*1.1251+(2076.11+129.67+207.57+207.57)/30+(11680.53+56.61)/30)/I36</f>
        <v>#DIV/0!</v>
      </c>
      <c r="K36" s="5"/>
    </row>
    <row r="37" spans="1:12" x14ac:dyDescent="0.25">
      <c r="A37" s="3" t="s">
        <v>11</v>
      </c>
      <c r="B37" s="2">
        <v>9</v>
      </c>
      <c r="C37" s="2">
        <v>8</v>
      </c>
      <c r="D37" s="2">
        <v>2021</v>
      </c>
      <c r="E37" s="5">
        <f>Submetering!F38+Submetering!H38+Submetering!J38+Submetering!L38+Submetering!N38+Submetering!P38+Submetering!R38+Submetering!T38+Submetering!V38+Submetering!X38+Submetering!Z38+Submetering!AB38+Submetering!AC38+Submetering!AD38+Submetering!AE38</f>
        <v>0</v>
      </c>
      <c r="F37" s="12" t="e">
        <f>((((Submetering!E38+Submetering!AD38)*0.13773+(Submetering!E38+Submetering!AD38)*0.02095)*1.09+(2.85/30)*2)+(((Submetering!F38+Submetering!H38+Submetering!J38+Submetering!L38+Submetering!N38+Submetering!P38+Submetering!R38+Submetering!T38+Submetering!V38+Submetering!X38+Submetering!Z38+Submetering!AB38+Submetering!AC38+Submetering!AE38)*0.05155)+((Submetering!F38+Submetering!H38+Submetering!J38+Submetering!L38+Submetering!N38+Submetering!P38+Submetering!R38+Submetering!T38+Submetering!V38+Submetering!X38+Submetering!Z38+Submetering!AB38+Submetering!AC38+Submetering!AE38)*0.02095)+(20/30)*15)*1.1048)/E37</f>
        <v>#DIV/0!</v>
      </c>
      <c r="G37" s="5">
        <f>Submetering!AK38+Submetering!AL38+Submetering!AU38</f>
        <v>0</v>
      </c>
      <c r="H37" s="13">
        <v>0.81659999999999999</v>
      </c>
      <c r="I37" s="5">
        <f>Submetering!AF38+Submetering!AG38+Submetering!AH38+Submetering!AI38+Submetering!AJ38+Submetering!AM38+Submetering!AN38+Submetering!AO38+Submetering!AQ38+Submetering!AR38+Submetering!AS38+Submetering!AT38+Submetering!AV38+Submetering!AY38+Submetering!AW38+Submetering!AZ38+Submetering!BA38</f>
        <v>0</v>
      </c>
      <c r="J37" s="13" t="e">
        <f>((Submetering!AG38+Submetering!BA38)*0.8868+(1712.96+1070.52)/30+(Submetering!AF38+Submetering!AY38+Submetering!AV38+Submetering!AZ38)*1.1251+(2076.11+129.67+207.57+207.57)/30+(11680.53+56.61)/30)/I37</f>
        <v>#DIV/0!</v>
      </c>
      <c r="K37" s="5"/>
    </row>
    <row r="38" spans="1:12" x14ac:dyDescent="0.25">
      <c r="A38" s="3" t="s">
        <v>11</v>
      </c>
      <c r="B38" s="2">
        <v>16</v>
      </c>
      <c r="C38" s="2">
        <v>8</v>
      </c>
      <c r="D38" s="2">
        <v>2021</v>
      </c>
      <c r="E38" s="5">
        <f>Submetering!F39+Submetering!H39+Submetering!J39+Submetering!L39+Submetering!N39+Submetering!P39+Submetering!R39+Submetering!T39+Submetering!V39+Submetering!X39+Submetering!Z39+Submetering!AB39+Submetering!AC39+Submetering!AD39+Submetering!AE39</f>
        <v>0</v>
      </c>
      <c r="F38" s="12" t="e">
        <f>((((Submetering!E39+Submetering!AD39)*0.13773+(Submetering!E39+Submetering!AD39)*0.02095)*1.09+(2.85/30)*2)+(((Submetering!F39+Submetering!H39+Submetering!J39+Submetering!L39+Submetering!N39+Submetering!P39+Submetering!R39+Submetering!T39+Submetering!V39+Submetering!X39+Submetering!Z39+Submetering!AB39+Submetering!AC39+Submetering!AE39)*0.05155)+((Submetering!F39+Submetering!H39+Submetering!J39+Submetering!L39+Submetering!N39+Submetering!P39+Submetering!R39+Submetering!T39+Submetering!V39+Submetering!X39+Submetering!Z39+Submetering!AB39+Submetering!AC39+Submetering!AE39)*0.02095)+(20/30)*15)*1.1048)/E38</f>
        <v>#DIV/0!</v>
      </c>
      <c r="G38" s="5">
        <f>Submetering!AK39+Submetering!AL39+Submetering!AU39</f>
        <v>0</v>
      </c>
      <c r="H38" s="13">
        <v>0.81659999999999999</v>
      </c>
      <c r="I38" s="5">
        <f>Submetering!AF39+Submetering!AG39+Submetering!AH39+Submetering!AI39+Submetering!AJ39+Submetering!AM39+Submetering!AN39+Submetering!AO39+Submetering!AQ39+Submetering!AR39+Submetering!AS39+Submetering!AT39+Submetering!AV39+Submetering!AY39+Submetering!AW39+Submetering!AZ39+Submetering!BA39</f>
        <v>0</v>
      </c>
      <c r="J38" s="13" t="e">
        <f>((Submetering!AG39+Submetering!BA39)*0.8868+(1712.96+1070.52)/30+(Submetering!AF39+Submetering!AY39+Submetering!AV39+Submetering!AZ39)*1.1251+(2076.11+129.67+207.57+207.57)/30+(11680.53+56.61)/30)/I38</f>
        <v>#DIV/0!</v>
      </c>
      <c r="K38" s="5"/>
    </row>
    <row r="39" spans="1:12" x14ac:dyDescent="0.25">
      <c r="A39" s="3" t="s">
        <v>11</v>
      </c>
      <c r="B39" s="2">
        <v>23</v>
      </c>
      <c r="C39" s="2">
        <v>8</v>
      </c>
      <c r="D39" s="2">
        <v>2021</v>
      </c>
      <c r="E39" s="5">
        <f>Submetering!F40+Submetering!H40+Submetering!J40+Submetering!L40+Submetering!N40+Submetering!P40+Submetering!R40+Submetering!T40+Submetering!V40+Submetering!X40+Submetering!Z40+Submetering!AB40+Submetering!AC40+Submetering!AD40+Submetering!AE40</f>
        <v>0</v>
      </c>
      <c r="F39" s="12" t="e">
        <f>((((Submetering!E40+Submetering!AD40)*0.13773+(Submetering!E40+Submetering!AD40)*0.02095)*1.09+(2.85/30)*2)+(((Submetering!F40+Submetering!H40+Submetering!J40+Submetering!L40+Submetering!N40+Submetering!P40+Submetering!R40+Submetering!T40+Submetering!V40+Submetering!X40+Submetering!Z40+Submetering!AB40+Submetering!AC40+Submetering!AE40)*0.05155)+((Submetering!F40+Submetering!H40+Submetering!J40+Submetering!L40+Submetering!N40+Submetering!P40+Submetering!R40+Submetering!T40+Submetering!V40+Submetering!X40+Submetering!Z40+Submetering!AB40+Submetering!AC40+Submetering!AE40)*0.02095)+(20/30)*15)*1.1048)/E39</f>
        <v>#DIV/0!</v>
      </c>
      <c r="G39" s="5">
        <f>Submetering!AK40+Submetering!AL40+Submetering!AU40</f>
        <v>0</v>
      </c>
      <c r="H39" s="13">
        <v>0.81659999999999999</v>
      </c>
      <c r="I39" s="5">
        <f>Submetering!AF40+Submetering!AG40+Submetering!AH40+Submetering!AI40+Submetering!AJ40+Submetering!AM40+Submetering!AN40+Submetering!AO40+Submetering!AQ40+Submetering!AR40+Submetering!AS40+Submetering!AT40+Submetering!AV40+Submetering!AY40+Submetering!AW40+Submetering!AZ40+Submetering!BA40</f>
        <v>0</v>
      </c>
      <c r="J39" s="13" t="e">
        <f>((Submetering!AG40+Submetering!BA40)*0.8868+(1712.96+1070.52)/30+(Submetering!AF40+Submetering!AY40+Submetering!AV40+Submetering!AZ40)*1.1251+(2076.11+129.67+207.57+207.57)/30+(11680.53+56.61)/30)/I39</f>
        <v>#DIV/0!</v>
      </c>
      <c r="K39" s="5"/>
    </row>
    <row r="40" spans="1:12" x14ac:dyDescent="0.25">
      <c r="A40" s="3" t="s">
        <v>11</v>
      </c>
      <c r="B40" s="2">
        <v>30</v>
      </c>
      <c r="C40" s="2">
        <v>8</v>
      </c>
      <c r="D40" s="2">
        <v>2021</v>
      </c>
      <c r="E40" s="5">
        <f>Submetering!F41+Submetering!H41+Submetering!J41+Submetering!L41+Submetering!N41+Submetering!P41+Submetering!R41+Submetering!T41+Submetering!V41+Submetering!X41+Submetering!Z41+Submetering!AB41+Submetering!AC41+Submetering!AD41+Submetering!AE41</f>
        <v>0</v>
      </c>
      <c r="F40" s="12" t="e">
        <f>((((Submetering!E41+Submetering!AD41)*0.13773+(Submetering!E41+Submetering!AD41)*0.02095)*1.09+(2.85/30)*2)+(((Submetering!F41+Submetering!H41+Submetering!J41+Submetering!L41+Submetering!N41+Submetering!P41+Submetering!R41+Submetering!T41+Submetering!V41+Submetering!X41+Submetering!Z41+Submetering!AB41+Submetering!AC41+Submetering!AE41)*0.05155)+((Submetering!F41+Submetering!H41+Submetering!J41+Submetering!L41+Submetering!N41+Submetering!P41+Submetering!R41+Submetering!T41+Submetering!V41+Submetering!X41+Submetering!Z41+Submetering!AB41+Submetering!AC41+Submetering!AE41)*0.02095)+(20/30)*15)*1.1048)/E40</f>
        <v>#DIV/0!</v>
      </c>
      <c r="G40" s="5">
        <f>Submetering!AK41+Submetering!AL41+Submetering!AU41</f>
        <v>0</v>
      </c>
      <c r="H40" s="13">
        <v>0.81659999999999999</v>
      </c>
      <c r="I40" s="5">
        <f>Submetering!AF41+Submetering!AG41+Submetering!AH41+Submetering!AI41+Submetering!AJ41+Submetering!AM41+Submetering!AN41+Submetering!AO41+Submetering!AQ41+Submetering!AR41+Submetering!AS41+Submetering!AT41+Submetering!AV41+Submetering!AY41+Submetering!AW41+Submetering!AZ41+Submetering!BA41</f>
        <v>0</v>
      </c>
      <c r="J40" s="13" t="e">
        <f>((Submetering!AG41+Submetering!BA41)*0.8868+(1712.96+1070.52)/30+(Submetering!AF41+Submetering!AY41+Submetering!AV41+Submetering!AZ41)*1.1251+(2076.11+129.67+207.57+207.57)/30+(11680.53+56.61)/30)/I40</f>
        <v>#DIV/0!</v>
      </c>
      <c r="K40" s="5"/>
    </row>
    <row r="41" spans="1:12" x14ac:dyDescent="0.25">
      <c r="A41" s="3" t="s">
        <v>11</v>
      </c>
      <c r="B41" s="2">
        <v>6</v>
      </c>
      <c r="C41" s="2">
        <v>9</v>
      </c>
      <c r="D41" s="2">
        <v>2021</v>
      </c>
      <c r="E41" s="5">
        <f>Submetering!F42+Submetering!H42+Submetering!J42+Submetering!L42+Submetering!N42+Submetering!P42+Submetering!R42+Submetering!T42+Submetering!V42+Submetering!X42+Submetering!Z42+Submetering!AB42+Submetering!AC42+Submetering!AD42+Submetering!AE42</f>
        <v>0</v>
      </c>
      <c r="F41" s="12" t="e">
        <f>((((Submetering!E42+Submetering!AD42)*0.13773+(Submetering!E42+Submetering!AD42)*0.02095)*1.09+(2.85/30)*2)+(((Submetering!F42+Submetering!H42+Submetering!J42+Submetering!L42+Submetering!N42+Submetering!P42+Submetering!R42+Submetering!T42+Submetering!V42+Submetering!X42+Submetering!Z42+Submetering!AB42+Submetering!AC42+Submetering!AE42)*0.05155)+((Submetering!F42+Submetering!H42+Submetering!J42+Submetering!L42+Submetering!N42+Submetering!P42+Submetering!R42+Submetering!T42+Submetering!V42+Submetering!X42+Submetering!Z42+Submetering!AB42+Submetering!AC42+Submetering!AE42)*0.02095)+(20/30)*15)*1.1048)/E41</f>
        <v>#DIV/0!</v>
      </c>
      <c r="G41" s="5">
        <f>Submetering!AK42+Submetering!AL42+Submetering!AU42</f>
        <v>0</v>
      </c>
      <c r="H41" s="13">
        <v>0.81659999999999999</v>
      </c>
      <c r="I41" s="5">
        <f>Submetering!AF42+Submetering!AG42+Submetering!AH42+Submetering!AI42+Submetering!AJ42+Submetering!AM42+Submetering!AN42+Submetering!AO42+Submetering!AQ42+Submetering!AR42+Submetering!AS42+Submetering!AT42+Submetering!AV42+Submetering!AY42+Submetering!AW42+Submetering!AZ42+Submetering!BA42</f>
        <v>0</v>
      </c>
      <c r="J41" s="13" t="e">
        <f>((Submetering!AG42+Submetering!BA42)*0.8868+(1712.96+1070.52)/30+(Submetering!AF42+Submetering!AY42+Submetering!AV42+Submetering!AZ42)*1.1251+(2076.11+129.67+207.57+207.57)/30+(11680.53+56.61)/30)/I41</f>
        <v>#DIV/0!</v>
      </c>
      <c r="K41" s="5">
        <f>Occupancy!H11</f>
        <v>0</v>
      </c>
      <c r="L41" s="5"/>
    </row>
    <row r="42" spans="1:12" x14ac:dyDescent="0.25">
      <c r="A42" s="3" t="s">
        <v>11</v>
      </c>
      <c r="B42" s="2">
        <v>13</v>
      </c>
      <c r="C42" s="2">
        <v>9</v>
      </c>
      <c r="D42" s="2">
        <v>2021</v>
      </c>
      <c r="E42" s="5">
        <f>Submetering!F43+Submetering!H43+Submetering!J43+Submetering!L43+Submetering!N43+Submetering!P43+Submetering!R43+Submetering!T43+Submetering!V43+Submetering!X43+Submetering!Z43+Submetering!AB43+Submetering!AC43+Submetering!AD43+Submetering!AE43</f>
        <v>0</v>
      </c>
      <c r="F42" s="12" t="e">
        <f>((((Submetering!E43+Submetering!AD43)*0.13773+(Submetering!E43+Submetering!AD43)*0.02095)*1.09+(2.85/30)*2)+(((Submetering!F43+Submetering!H43+Submetering!J43+Submetering!L43+Submetering!N43+Submetering!P43+Submetering!R43+Submetering!T43+Submetering!V43+Submetering!X43+Submetering!Z43+Submetering!AB43+Submetering!AC43+Submetering!AE43)*0.05155)+((Submetering!F43+Submetering!H43+Submetering!J43+Submetering!L43+Submetering!N43+Submetering!P43+Submetering!R43+Submetering!T43+Submetering!V43+Submetering!X43+Submetering!Z43+Submetering!AB43+Submetering!AC43+Submetering!AE43)*0.02095)+(20/30)*15)*1.1048)/E42</f>
        <v>#DIV/0!</v>
      </c>
      <c r="G42" s="5">
        <f>Submetering!AK43+Submetering!AL43+Submetering!AU43</f>
        <v>0</v>
      </c>
      <c r="H42" s="13">
        <v>0.81659999999999999</v>
      </c>
      <c r="I42" s="5">
        <f>Submetering!AF43+Submetering!AG43+Submetering!AH43+Submetering!AI43+Submetering!AJ43+Submetering!AM43+Submetering!AN43+Submetering!AO43+Submetering!AQ43+Submetering!AR43+Submetering!AS43+Submetering!AT43+Submetering!AV43+Submetering!AY43+Submetering!AW43+Submetering!AZ43+Submetering!BA43</f>
        <v>0</v>
      </c>
      <c r="J42" s="13" t="e">
        <f>((Submetering!AG43+Submetering!BA43)*0.8868+(1712.96+1070.52)/30+(Submetering!AF43+Submetering!AY43+Submetering!AV43+Submetering!AZ43)*1.1251+(2076.11+129.67+207.57+207.57)/30+(11680.53+56.61)/30)/I42</f>
        <v>#DIV/0!</v>
      </c>
    </row>
    <row r="43" spans="1:12" x14ac:dyDescent="0.25">
      <c r="A43" s="3" t="s">
        <v>11</v>
      </c>
      <c r="B43" s="2">
        <v>20</v>
      </c>
      <c r="C43" s="2">
        <v>9</v>
      </c>
      <c r="D43" s="2">
        <v>2021</v>
      </c>
      <c r="E43" s="5">
        <f>Submetering!F44+Submetering!H44+Submetering!J44+Submetering!L44+Submetering!N44+Submetering!P44+Submetering!R44+Submetering!T44+Submetering!V44+Submetering!X44+Submetering!Z44+Submetering!AB44+Submetering!AC44+Submetering!AD44+Submetering!AE44</f>
        <v>0</v>
      </c>
      <c r="F43" s="12" t="e">
        <f>((((Submetering!E44+Submetering!AD44)*0.13773+(Submetering!E44+Submetering!AD44)*0.02095)*1.09+(2.85/30)*2)+(((Submetering!F44+Submetering!H44+Submetering!J44+Submetering!L44+Submetering!N44+Submetering!P44+Submetering!R44+Submetering!T44+Submetering!V44+Submetering!X44+Submetering!Z44+Submetering!AB44+Submetering!AC44+Submetering!AE44)*0.05155)+((Submetering!F44+Submetering!H44+Submetering!J44+Submetering!L44+Submetering!N44+Submetering!P44+Submetering!R44+Submetering!T44+Submetering!V44+Submetering!X44+Submetering!Z44+Submetering!AB44+Submetering!AC44+Submetering!AE44)*0.02095)+(20/30)*15)*1.1048)/E43</f>
        <v>#DIV/0!</v>
      </c>
      <c r="G43" s="5">
        <f>Submetering!AK44+Submetering!AL44+Submetering!AU44</f>
        <v>0</v>
      </c>
      <c r="H43" s="13">
        <v>0.81659999999999999</v>
      </c>
      <c r="I43" s="5">
        <f>Submetering!AF44+Submetering!AG44+Submetering!AH44+Submetering!AI44+Submetering!AJ44+Submetering!AM44+Submetering!AN44+Submetering!AO44+Submetering!AQ44+Submetering!AR44+Submetering!AS44+Submetering!AT44+Submetering!AV44+Submetering!AY44+Submetering!AW44+Submetering!AZ44+Submetering!BA44</f>
        <v>0</v>
      </c>
      <c r="J43" s="13" t="e">
        <f>((Submetering!AG44+Submetering!BA44)*0.8868+(1712.96+1070.52)/30+(Submetering!AF44+Submetering!AY44+Submetering!AV44+Submetering!AZ44)*1.1251+(2076.11+129.67+207.57+207.57)/30+(11680.53+56.61)/30)/I43</f>
        <v>#DIV/0!</v>
      </c>
    </row>
    <row r="44" spans="1:12" x14ac:dyDescent="0.25">
      <c r="A44" s="3" t="s">
        <v>11</v>
      </c>
      <c r="B44" s="2">
        <v>27</v>
      </c>
      <c r="C44" s="2">
        <v>9</v>
      </c>
      <c r="D44" s="2">
        <v>2021</v>
      </c>
      <c r="E44" s="5">
        <f>Submetering!F45+Submetering!H45+Submetering!J45+Submetering!L45+Submetering!N45+Submetering!P45+Submetering!R45+Submetering!T45+Submetering!V45+Submetering!X45+Submetering!Z45+Submetering!AB45+Submetering!AC45+Submetering!AD45+Submetering!AE45</f>
        <v>0</v>
      </c>
      <c r="F44" s="12" t="e">
        <f>((((Submetering!E45+Submetering!AD45)*0.13773+(Submetering!E45+Submetering!AD45)*0.02095)*1.09+(2.85/30)*2)+(((Submetering!F45+Submetering!H45+Submetering!J45+Submetering!L45+Submetering!N45+Submetering!P45+Submetering!R45+Submetering!T45+Submetering!V45+Submetering!X45+Submetering!Z45+Submetering!AB45+Submetering!AC45+Submetering!AE45)*0.05155)+((Submetering!F45+Submetering!H45+Submetering!J45+Submetering!L45+Submetering!N45+Submetering!P45+Submetering!R45+Submetering!T45+Submetering!V45+Submetering!X45+Submetering!Z45+Submetering!AB45+Submetering!AC45+Submetering!AE45)*0.02095)+(20/30)*15)*1.1048)/E44</f>
        <v>#DIV/0!</v>
      </c>
      <c r="G44" s="5">
        <f>Submetering!AK45+Submetering!AL45+Submetering!AU45</f>
        <v>0</v>
      </c>
      <c r="H44" s="13">
        <v>0.81659999999999999</v>
      </c>
      <c r="I44" s="5">
        <f>Submetering!AF45+Submetering!AG45+Submetering!AH45+Submetering!AI45+Submetering!AJ45+Submetering!AM45+Submetering!AN45+Submetering!AO45+Submetering!AQ45+Submetering!AR45+Submetering!AS45+Submetering!AT45+Submetering!AV45+Submetering!AY45+Submetering!AW45+Submetering!AZ45+Submetering!BA45</f>
        <v>0</v>
      </c>
      <c r="J44" s="13" t="e">
        <f>((Submetering!AG45+Submetering!BA45)*0.8868+(1712.96+1070.52)/30+(Submetering!AF45+Submetering!AY45+Submetering!AV45+Submetering!AZ45)*1.1251+(2076.11+129.67+207.57+207.57)/30+(11680.53+56.61)/30)/I44</f>
        <v>#DIV/0!</v>
      </c>
    </row>
    <row r="45" spans="1:12" x14ac:dyDescent="0.25">
      <c r="A45" s="3" t="s">
        <v>11</v>
      </c>
      <c r="B45" s="2">
        <v>30</v>
      </c>
      <c r="C45" s="2">
        <v>9</v>
      </c>
      <c r="D45" s="2">
        <v>2021</v>
      </c>
      <c r="E45" s="5">
        <f>Submetering!F46+Submetering!H46+Submetering!J46+Submetering!L46+Submetering!N46+Submetering!P46+Submetering!R46+Submetering!T46+Submetering!V46+Submetering!X46+Submetering!Z46+Submetering!AB46+Submetering!AC46+Submetering!AD46+Submetering!AE46</f>
        <v>0</v>
      </c>
      <c r="F45" s="12" t="e">
        <f>((((Submetering!E46+Submetering!AD46)*0.13773+(Submetering!E46+Submetering!AD46)*0.02095)*1.09+(2.85/30)*2)+(((Submetering!F46+Submetering!H46+Submetering!J46+Submetering!L46+Submetering!N46+Submetering!P46+Submetering!R46+Submetering!T46+Submetering!V46+Submetering!X46+Submetering!Z46+Submetering!AB46+Submetering!AC46+Submetering!AE46)*0.05155)+((Submetering!F46+Submetering!H46+Submetering!J46+Submetering!L46+Submetering!N46+Submetering!P46+Submetering!R46+Submetering!T46+Submetering!V46+Submetering!X46+Submetering!Z46+Submetering!AB46+Submetering!AC46+Submetering!AE46)*0.02095)+(20/30)*15)*1.1048)/E45</f>
        <v>#DIV/0!</v>
      </c>
      <c r="G45" s="5">
        <f>Submetering!AK46+Submetering!AL46+Submetering!AU46</f>
        <v>0</v>
      </c>
      <c r="H45" s="13">
        <v>0.81659999999999999</v>
      </c>
      <c r="I45" s="5">
        <f>Submetering!AF46+Submetering!AG46+Submetering!AH46+Submetering!AI46+Submetering!AJ46+Submetering!AM46+Submetering!AN46+Submetering!AO46+Submetering!AQ46+Submetering!AR46+Submetering!AS46+Submetering!AT46+Submetering!AV46+Submetering!AY46+Submetering!AW46+Submetering!AZ46+Submetering!BA46</f>
        <v>0</v>
      </c>
      <c r="J45" s="13" t="e">
        <f>((Submetering!AG46+Submetering!BA46)*0.8868+(1712.96+1070.52)/30+(Submetering!AF46+Submetering!AY46+Submetering!AV46+Submetering!AZ46)*1.1251+(2076.11+129.67+207.57+207.57)/30+(11680.53+56.61)/30)/I45</f>
        <v>#DIV/0!</v>
      </c>
    </row>
    <row r="46" spans="1:12" x14ac:dyDescent="0.25">
      <c r="A46" s="3" t="s">
        <v>11</v>
      </c>
      <c r="B46" s="2">
        <v>4</v>
      </c>
      <c r="C46" s="2">
        <v>10</v>
      </c>
      <c r="D46" s="2">
        <v>2021</v>
      </c>
      <c r="E46" s="5">
        <f>Submetering!F47+Submetering!H47+Submetering!J47+Submetering!L47+Submetering!N47+Submetering!P47+Submetering!R47+Submetering!T47+Submetering!V47+Submetering!X47+Submetering!Z47+Submetering!AB47+Submetering!AC47+Submetering!AD47+Submetering!AE47</f>
        <v>0</v>
      </c>
      <c r="F46" s="12" t="e">
        <f>((((Submetering!E47+Submetering!AD47)*0.13773+(Submetering!E47+Submetering!AD47)*0.02095)*1.09+(2.85/30)*2)+(((Submetering!F47+Submetering!H47+Submetering!J47+Submetering!L47+Submetering!N47+Submetering!P47+Submetering!R47+Submetering!T47+Submetering!V47+Submetering!X47+Submetering!Z47+Submetering!AB47+Submetering!AC47+Submetering!AE47)*0.05155)+((Submetering!F47+Submetering!H47+Submetering!J47+Submetering!L47+Submetering!N47+Submetering!P47+Submetering!R47+Submetering!T47+Submetering!V47+Submetering!X47+Submetering!Z47+Submetering!AB47+Submetering!AC47+Submetering!AE47)*0.02095)+(20/30)*15)*1.1048)/E46</f>
        <v>#DIV/0!</v>
      </c>
      <c r="G46" s="5">
        <f>Submetering!AK47+Submetering!AL47+Submetering!AU47</f>
        <v>0</v>
      </c>
      <c r="H46" s="13">
        <v>0.81659999999999999</v>
      </c>
      <c r="I46" s="5">
        <f>Submetering!AF47+Submetering!AG47+Submetering!AH47+Submetering!AI47+Submetering!AJ47+Submetering!AM47+Submetering!AN47+Submetering!AO47+Submetering!AQ47+Submetering!AR47+Submetering!AS47+Submetering!AT47+Submetering!AV47+Submetering!AY47+Submetering!AW47+Submetering!AZ47+Submetering!BA47</f>
        <v>0</v>
      </c>
      <c r="J46" s="13" t="e">
        <f>((Submetering!AG47+Submetering!BA47)*0.8868+(1712.96+1070.52)/30+(Submetering!AF47+Submetering!AY47+Submetering!AV47+Submetering!AZ47)*1.1251+(2076.11+129.67+207.57+207.57)/30+(11680.53+56.61)/30)/I46</f>
        <v>#DIV/0!</v>
      </c>
    </row>
    <row r="47" spans="1:12" x14ac:dyDescent="0.25">
      <c r="A47" s="3" t="s">
        <v>11</v>
      </c>
      <c r="B47" s="2">
        <v>11</v>
      </c>
      <c r="C47" s="2">
        <v>10</v>
      </c>
      <c r="D47" s="2">
        <v>2021</v>
      </c>
      <c r="E47" s="5">
        <f>Submetering!F48+Submetering!H48+Submetering!J48+Submetering!L48+Submetering!N48+Submetering!P48+Submetering!R48+Submetering!T48+Submetering!V48+Submetering!X48+Submetering!Z48+Submetering!AB48+Submetering!AC48+Submetering!AD48+Submetering!AE48</f>
        <v>0</v>
      </c>
      <c r="F47" s="12" t="e">
        <f>((((Submetering!E48+Submetering!AD48)*0.13773+(Submetering!E48+Submetering!AD48)*0.02095)*1.09+(2.85/30)*2)+(((Submetering!F48+Submetering!H48+Submetering!J48+Submetering!L48+Submetering!N48+Submetering!P48+Submetering!R48+Submetering!T48+Submetering!V48+Submetering!X48+Submetering!Z48+Submetering!AB48+Submetering!AC48+Submetering!AE48)*0.05155)+((Submetering!F48+Submetering!H48+Submetering!J48+Submetering!L48+Submetering!N48+Submetering!P48+Submetering!R48+Submetering!T48+Submetering!V48+Submetering!X48+Submetering!Z48+Submetering!AB48+Submetering!AC48+Submetering!AE48)*0.02095)+(20/30)*15)*1.1048)/E47</f>
        <v>#DIV/0!</v>
      </c>
      <c r="G47" s="5">
        <f>Submetering!AK48+Submetering!AL48+Submetering!AU48</f>
        <v>0</v>
      </c>
      <c r="H47" s="13">
        <v>0.81659999999999999</v>
      </c>
      <c r="I47" s="5">
        <f>Submetering!AF48+Submetering!AG48+Submetering!AH48+Submetering!AI48+Submetering!AJ48+Submetering!AM48+Submetering!AN48+Submetering!AO48+Submetering!AQ48+Submetering!AR48+Submetering!AS48+Submetering!AT48+Submetering!AV48+Submetering!AY48+Submetering!AW48+Submetering!AZ48+Submetering!BA48</f>
        <v>0</v>
      </c>
      <c r="J47" s="13" t="e">
        <f>((Submetering!AG48+Submetering!BA48)*0.8868+(1712.96+1070.52)/30+(Submetering!AF48+Submetering!AY48+Submetering!AV48+Submetering!AZ48)*1.1251+(2076.11+129.67+207.57+207.57)/30+(11680.53+56.61)/30)/I47</f>
        <v>#DIV/0!</v>
      </c>
    </row>
    <row r="48" spans="1:12" x14ac:dyDescent="0.25">
      <c r="A48" s="3" t="s">
        <v>11</v>
      </c>
      <c r="B48" s="2">
        <v>18</v>
      </c>
      <c r="C48" s="2">
        <v>10</v>
      </c>
      <c r="D48" s="2">
        <v>2021</v>
      </c>
      <c r="E48" s="5">
        <f>Submetering!F49+Submetering!H49+Submetering!J49+Submetering!L49+Submetering!N49+Submetering!P49+Submetering!R49+Submetering!T49+Submetering!V49+Submetering!X49+Submetering!Z49+Submetering!AB49+Submetering!AC49+Submetering!AD49+Submetering!AE49</f>
        <v>0</v>
      </c>
      <c r="F48" s="12" t="e">
        <f>((((Submetering!E49+Submetering!AD49)*0.13773+(Submetering!E49+Submetering!AD49)*0.02095)*1.09+(2.85/30)*2)+(((Submetering!F49+Submetering!H49+Submetering!J49+Submetering!L49+Submetering!N49+Submetering!P49+Submetering!R49+Submetering!T49+Submetering!V49+Submetering!X49+Submetering!Z49+Submetering!AB49+Submetering!AC49+Submetering!AE49)*0.05155)+((Submetering!F49+Submetering!H49+Submetering!J49+Submetering!L49+Submetering!N49+Submetering!P49+Submetering!R49+Submetering!T49+Submetering!V49+Submetering!X49+Submetering!Z49+Submetering!AB49+Submetering!AC49+Submetering!AE49)*0.02095)+(20/30)*15)*1.1048)/E48</f>
        <v>#DIV/0!</v>
      </c>
      <c r="G48" s="5">
        <f>Submetering!AK49+Submetering!AL49+Submetering!AU49</f>
        <v>0</v>
      </c>
      <c r="H48" s="13">
        <v>0.81659999999999999</v>
      </c>
      <c r="I48" s="5">
        <f>Submetering!AF49+Submetering!AG49+Submetering!AH49+Submetering!AI49+Submetering!AJ49+Submetering!AM49+Submetering!AN49+Submetering!AO49+Submetering!AQ49+Submetering!AR49+Submetering!AS49+Submetering!AT49+Submetering!AV49+Submetering!AY49+Submetering!AW49+Submetering!AZ49+Submetering!BA49</f>
        <v>0</v>
      </c>
      <c r="J48" s="13" t="e">
        <f>((Submetering!AG49+Submetering!BA49)*0.8868+(1712.96+1070.52)/30+(Submetering!AF49+Submetering!AY49+Submetering!AV49+Submetering!AZ49)*1.1251+(2076.11+129.67+207.57+207.57)/30+(11680.53+56.61)/30)/I48</f>
        <v>#DIV/0!</v>
      </c>
    </row>
    <row r="49" spans="1:11" x14ac:dyDescent="0.25">
      <c r="A49" s="3" t="s">
        <v>11</v>
      </c>
      <c r="B49" s="2">
        <v>25</v>
      </c>
      <c r="C49" s="2">
        <v>10</v>
      </c>
      <c r="D49" s="2">
        <v>2021</v>
      </c>
      <c r="E49" s="5">
        <f>Submetering!F50+Submetering!H50+Submetering!J50+Submetering!L50+Submetering!N50+Submetering!P50+Submetering!R50+Submetering!T50+Submetering!V50+Submetering!X50+Submetering!Z50+Submetering!AB50+Submetering!AC50+Submetering!AD50+Submetering!AE50</f>
        <v>0</v>
      </c>
      <c r="F49" s="12" t="e">
        <f>((((Submetering!E50+Submetering!AD50)*0.13773+(Submetering!E50+Submetering!AD50)*0.02095)*1.09+(2.85/30)*2)+(((Submetering!F50+Submetering!H50+Submetering!J50+Submetering!L50+Submetering!N50+Submetering!P50+Submetering!R50+Submetering!T50+Submetering!V50+Submetering!X50+Submetering!Z50+Submetering!AB50+Submetering!AC50+Submetering!AE50)*0.05155)+((Submetering!F50+Submetering!H50+Submetering!J50+Submetering!L50+Submetering!N50+Submetering!P50+Submetering!R50+Submetering!T50+Submetering!V50+Submetering!X50+Submetering!Z50+Submetering!AB50+Submetering!AC50+Submetering!AE50)*0.02095)+(20/30)*15)*1.1048)/E49</f>
        <v>#DIV/0!</v>
      </c>
      <c r="G49" s="5">
        <f>Submetering!AK50+Submetering!AL50+Submetering!AU50</f>
        <v>0</v>
      </c>
      <c r="H49" s="13">
        <v>0.81659999999999999</v>
      </c>
      <c r="I49" s="5">
        <f>Submetering!AF50+Submetering!AG50+Submetering!AH50+Submetering!AI50+Submetering!AJ50+Submetering!AM50+Submetering!AN50+Submetering!AO50+Submetering!AQ50+Submetering!AR50+Submetering!AS50+Submetering!AT50+Submetering!AV50+Submetering!AY50+Submetering!AW50+Submetering!AZ50+Submetering!BA50</f>
        <v>0</v>
      </c>
      <c r="J49" s="13" t="e">
        <f>((Submetering!AG50+Submetering!BA50)*0.8868+(1712.96+1070.52)/30+(Submetering!AF50+Submetering!AY50+Submetering!AV50+Submetering!AZ50)*1.1251+(2076.11+129.67+207.57+207.57)/30+(11680.53+56.61)/30)/I49</f>
        <v>#DIV/0!</v>
      </c>
    </row>
    <row r="50" spans="1:11" x14ac:dyDescent="0.25">
      <c r="A50" s="3" t="s">
        <v>11</v>
      </c>
      <c r="B50" s="2">
        <v>31</v>
      </c>
      <c r="C50" s="2">
        <v>10</v>
      </c>
      <c r="D50" s="2">
        <v>2021</v>
      </c>
      <c r="E50" s="5">
        <f>Submetering!F51+Submetering!H51+Submetering!J51+Submetering!L51+Submetering!N51+Submetering!P51+Submetering!R51+Submetering!T51+Submetering!V51+Submetering!X51+Submetering!Z51+Submetering!AB51+Submetering!AC51+Submetering!AD51+Submetering!AE51</f>
        <v>0</v>
      </c>
      <c r="F50" s="12" t="e">
        <f>((((Submetering!E51+Submetering!AD51)*0.13773+(Submetering!E51+Submetering!AD51)*0.02095)*1.09+(2.85/30)*2)+(((Submetering!F51+Submetering!H51+Submetering!J51+Submetering!L51+Submetering!N51+Submetering!P51+Submetering!R51+Submetering!T51+Submetering!V51+Submetering!X51+Submetering!Z51+Submetering!AB51+Submetering!AC51+Submetering!AE51)*0.05155)+((Submetering!F51+Submetering!H51+Submetering!J51+Submetering!L51+Submetering!N51+Submetering!P51+Submetering!R51+Submetering!T51+Submetering!V51+Submetering!X51+Submetering!Z51+Submetering!AB51+Submetering!AC51+Submetering!AE51)*0.02095)+(20/30)*15)*1.1048)/E50</f>
        <v>#DIV/0!</v>
      </c>
      <c r="G50" s="5">
        <f>Submetering!AK51+Submetering!AL51+Submetering!AU51</f>
        <v>0</v>
      </c>
      <c r="H50" s="13">
        <v>0.81659999999999999</v>
      </c>
      <c r="I50" s="5">
        <f>Submetering!AF51+Submetering!AG51+Submetering!AH51+Submetering!AI51+Submetering!AJ51+Submetering!AM51+Submetering!AN51+Submetering!AO51+Submetering!AQ51+Submetering!AR51+Submetering!AS51+Submetering!AT51+Submetering!AV51+Submetering!AY51+Submetering!AW51+Submetering!AZ51+Submetering!BA51</f>
        <v>0</v>
      </c>
      <c r="J50" s="13" t="e">
        <f>((Submetering!AG51+Submetering!BA51)*0.8868+(1712.96+1070.52)/30+(Submetering!AF51+Submetering!AY51+Submetering!AV51+Submetering!AZ51)*1.1251+(2076.11+129.67+207.57+207.57)/30+(11680.53+56.61)/30)/I50</f>
        <v>#DIV/0!</v>
      </c>
      <c r="K50" s="1">
        <f>Occupancy!H13</f>
        <v>0</v>
      </c>
    </row>
    <row r="51" spans="1:11" x14ac:dyDescent="0.25">
      <c r="A51" s="3" t="s">
        <v>11</v>
      </c>
      <c r="B51" s="2">
        <v>1</v>
      </c>
      <c r="C51" s="2">
        <v>11</v>
      </c>
      <c r="D51" s="2">
        <v>2021</v>
      </c>
      <c r="E51" s="5">
        <f>Submetering!F52+Submetering!H52+Submetering!J52+Submetering!L52+Submetering!N52+Submetering!P52+Submetering!R52+Submetering!T52+Submetering!V52+Submetering!X52+Submetering!Z52+Submetering!AB52+Submetering!AC52+Submetering!AD52+Submetering!AE52</f>
        <v>0</v>
      </c>
      <c r="F51" s="12" t="e">
        <f>((((Submetering!E52+Submetering!AD52)*0.13773+(Submetering!E52+Submetering!AD52)*0.02095)*1.09+(2.85/30)*2)+(((Submetering!F52+Submetering!H52+Submetering!J52+Submetering!L52+Submetering!N52+Submetering!P52+Submetering!R52+Submetering!T52+Submetering!V52+Submetering!X52+Submetering!Z52+Submetering!AB52+Submetering!AC52+Submetering!AE52)*0.05155)+((Submetering!F52+Submetering!H52+Submetering!J52+Submetering!L52+Submetering!N52+Submetering!P52+Submetering!R52+Submetering!T52+Submetering!V52+Submetering!X52+Submetering!Z52+Submetering!AB52+Submetering!AC52+Submetering!AE52)*0.02095)+(20/30)*15)*1.1048)/E51</f>
        <v>#DIV/0!</v>
      </c>
      <c r="G51" s="5">
        <f>Submetering!AK52+Submetering!AL52+Submetering!AU52</f>
        <v>0</v>
      </c>
      <c r="H51" s="13">
        <v>0.81659999999999999</v>
      </c>
      <c r="I51" s="5">
        <f>Submetering!AF52+Submetering!AG52+Submetering!AH52+Submetering!AI52+Submetering!AJ52+Submetering!AM52+Submetering!AN52+Submetering!AO52+Submetering!AQ52+Submetering!AR52+Submetering!AS52+Submetering!AT52+Submetering!AV52+Submetering!AY52+Submetering!AW52+Submetering!AZ52+Submetering!BA52</f>
        <v>0</v>
      </c>
      <c r="J51" s="13" t="e">
        <f>((Submetering!AG52+Submetering!BA52)*0.8868+(1712.96+1070.52)/30+(Submetering!AF52+Submetering!AY52+Submetering!AV52+Submetering!AZ52)*1.1251+(2076.11+129.67+207.57+207.57)/30+(11680.53+56.61)/30)/I51</f>
        <v>#DIV/0!</v>
      </c>
    </row>
    <row r="52" spans="1:11" x14ac:dyDescent="0.25">
      <c r="A52" s="3" t="s">
        <v>11</v>
      </c>
      <c r="B52" s="2">
        <v>8</v>
      </c>
      <c r="C52" s="2">
        <v>11</v>
      </c>
      <c r="D52" s="2">
        <v>2021</v>
      </c>
      <c r="E52" s="5">
        <f>Submetering!F53+Submetering!H53+Submetering!J53+Submetering!L53+Submetering!N53+Submetering!P53+Submetering!R53+Submetering!T53+Submetering!V53+Submetering!X53+Submetering!Z53+Submetering!AB53+Submetering!AC53+Submetering!AD53+Submetering!AE53</f>
        <v>0</v>
      </c>
      <c r="F52" s="12" t="e">
        <f>((((Submetering!E53+Submetering!AD53)*0.13773+(Submetering!E53+Submetering!AD53)*0.02095)*1.09+(2.85/30)*2)+(((Submetering!F53+Submetering!H53+Submetering!J53+Submetering!L53+Submetering!N53+Submetering!P53+Submetering!R53+Submetering!T53+Submetering!V53+Submetering!X53+Submetering!Z53+Submetering!AB53+Submetering!AC53+Submetering!AE53)*0.05155)+((Submetering!F53+Submetering!H53+Submetering!J53+Submetering!L53+Submetering!N53+Submetering!P53+Submetering!R53+Submetering!T53+Submetering!V53+Submetering!X53+Submetering!Z53+Submetering!AB53+Submetering!AC53+Submetering!AE53)*0.02095)+(20/30)*15)*1.1048)/E52</f>
        <v>#DIV/0!</v>
      </c>
      <c r="G52" s="5">
        <f>Submetering!AK53+Submetering!AL53+Submetering!AU53</f>
        <v>0</v>
      </c>
      <c r="H52" s="13">
        <v>0.81659999999999999</v>
      </c>
      <c r="I52" s="5">
        <f>Submetering!AF53+Submetering!AG53+Submetering!AH53+Submetering!AI53+Submetering!AJ53+Submetering!AM53+Submetering!AN53+Submetering!AO53+Submetering!AQ53+Submetering!AR53+Submetering!AS53+Submetering!AT53+Submetering!AV53+Submetering!AY53+Submetering!AW53+Submetering!AZ53+Submetering!BA53</f>
        <v>0</v>
      </c>
      <c r="J52" s="13" t="e">
        <f>((Submetering!AG53+Submetering!BA53)*0.8868+(1712.96+1070.52)/30+(Submetering!AF53+Submetering!AY53+Submetering!AV53+Submetering!AZ53)*1.1251+(2076.11+129.67+207.57+207.57)/30+(11680.53+56.61)/30)/I52</f>
        <v>#DIV/0!</v>
      </c>
    </row>
    <row r="53" spans="1:11" x14ac:dyDescent="0.25">
      <c r="A53" s="3" t="s">
        <v>11</v>
      </c>
      <c r="B53" s="2">
        <v>15</v>
      </c>
      <c r="C53" s="2">
        <v>11</v>
      </c>
      <c r="D53" s="2">
        <v>2021</v>
      </c>
      <c r="E53" s="5">
        <f>Submetering!F54+Submetering!H54+Submetering!J54+Submetering!L54+Submetering!N54+Submetering!P54+Submetering!R54+Submetering!T54+Submetering!V54+Submetering!X54+Submetering!Z54+Submetering!AB54+Submetering!AC54+Submetering!AD54+Submetering!AE54</f>
        <v>0</v>
      </c>
      <c r="F53" s="12" t="e">
        <f>((((Submetering!E54+Submetering!AD54)*0.13773+(Submetering!E54+Submetering!AD54)*0.02095)*1.09+(2.85/30)*2)+(((Submetering!F54+Submetering!H54+Submetering!J54+Submetering!L54+Submetering!N54+Submetering!P54+Submetering!R54+Submetering!T54+Submetering!V54+Submetering!X54+Submetering!Z54+Submetering!AB54+Submetering!AC54+Submetering!AE54)*0.05155)+((Submetering!F54+Submetering!H54+Submetering!J54+Submetering!L54+Submetering!N54+Submetering!P54+Submetering!R54+Submetering!T54+Submetering!V54+Submetering!X54+Submetering!Z54+Submetering!AB54+Submetering!AC54+Submetering!AE54)*0.02095)+(20/30)*15)*1.1048)/E53</f>
        <v>#DIV/0!</v>
      </c>
      <c r="G53" s="5">
        <f>Submetering!AK54+Submetering!AL54+Submetering!AU54</f>
        <v>0</v>
      </c>
      <c r="H53" s="13">
        <v>0.81659999999999999</v>
      </c>
      <c r="I53" s="5">
        <f>Submetering!AF54+Submetering!AG54+Submetering!AH54+Submetering!AI54+Submetering!AJ54+Submetering!AM54+Submetering!AN54+Submetering!AO54+Submetering!AQ54+Submetering!AR54+Submetering!AS54+Submetering!AT54+Submetering!AV54+Submetering!AY54+Submetering!AW54+Submetering!AZ54+Submetering!BA54</f>
        <v>0</v>
      </c>
      <c r="J53" s="13" t="e">
        <f>((Submetering!AG54+Submetering!BA54)*0.8868+(1712.96+1070.52)/30+(Submetering!AF54+Submetering!AY54+Submetering!AV54+Submetering!AZ54)*1.1251+(2076.11+129.67+207.57+207.57)/30+(11680.53+56.61)/30)/I53</f>
        <v>#DIV/0!</v>
      </c>
    </row>
    <row r="54" spans="1:11" x14ac:dyDescent="0.25">
      <c r="A54" s="3" t="s">
        <v>11</v>
      </c>
      <c r="B54" s="2">
        <v>22</v>
      </c>
      <c r="C54" s="2">
        <v>11</v>
      </c>
      <c r="D54" s="2">
        <v>2021</v>
      </c>
      <c r="E54" s="5">
        <f>Submetering!F55+Submetering!H55+Submetering!J55+Submetering!L55+Submetering!N55+Submetering!P55+Submetering!R55+Submetering!T55+Submetering!V55+Submetering!X55+Submetering!Z55+Submetering!AB55+Submetering!AC55+Submetering!AD55+Submetering!AE55</f>
        <v>0</v>
      </c>
      <c r="F54" s="12" t="e">
        <f>((((Submetering!E55+Submetering!AD55)*0.13773+(Submetering!E55+Submetering!AD55)*0.02095)*1.09+(2.85/30)*2)+(((Submetering!F55+Submetering!H55+Submetering!J55+Submetering!L55+Submetering!N55+Submetering!P55+Submetering!R55+Submetering!T55+Submetering!V55+Submetering!X55+Submetering!Z55+Submetering!AB55+Submetering!AC55+Submetering!AE55)*0.05155)+((Submetering!F55+Submetering!H55+Submetering!J55+Submetering!L55+Submetering!N55+Submetering!P55+Submetering!R55+Submetering!T55+Submetering!V55+Submetering!X55+Submetering!Z55+Submetering!AB55+Submetering!AC55+Submetering!AE55)*0.02095)+(20/30)*15)*1.1048)/E54</f>
        <v>#DIV/0!</v>
      </c>
      <c r="G54" s="5">
        <f>Submetering!AK55+Submetering!AL55+Submetering!AU55</f>
        <v>0</v>
      </c>
      <c r="H54" s="13">
        <v>0.81659999999999999</v>
      </c>
      <c r="I54" s="5">
        <f>Submetering!AF55+Submetering!AG55+Submetering!AH55+Submetering!AI55+Submetering!AJ55+Submetering!AM55+Submetering!AN55+Submetering!AO55+Submetering!AQ55+Submetering!AR55+Submetering!AS55+Submetering!AT55+Submetering!AV55+Submetering!AY55+Submetering!AW55+Submetering!AZ55+Submetering!BA55</f>
        <v>0</v>
      </c>
      <c r="J54" s="13" t="e">
        <f>((Submetering!AG55+Submetering!BA55)*0.8868+(1712.96+1070.52)/30+(Submetering!AF55+Submetering!AY55+Submetering!AV55+Submetering!AZ55)*1.1251+(2076.11+129.67+207.57+207.57)/30+(11680.53+56.61)/30)/I54</f>
        <v>#DIV/0!</v>
      </c>
    </row>
    <row r="55" spans="1:11" x14ac:dyDescent="0.25">
      <c r="A55" s="3" t="s">
        <v>11</v>
      </c>
      <c r="B55" s="2">
        <v>29</v>
      </c>
      <c r="C55" s="2">
        <v>11</v>
      </c>
      <c r="D55" s="2">
        <v>2021</v>
      </c>
      <c r="E55" s="5">
        <f>Submetering!F56+Submetering!H56+Submetering!J56+Submetering!L56+Submetering!N56+Submetering!P56+Submetering!R56+Submetering!T56+Submetering!V56+Submetering!X56+Submetering!Z56+Submetering!AB56+Submetering!AC56+Submetering!AD56+Submetering!AE56</f>
        <v>0</v>
      </c>
      <c r="F55" s="12" t="e">
        <f>((((Submetering!E56+Submetering!AD56)*0.13773+(Submetering!E56+Submetering!AD56)*0.02095)*1.09+(2.85/30)*2)+(((Submetering!F56+Submetering!H56+Submetering!J56+Submetering!L56+Submetering!N56+Submetering!P56+Submetering!R56+Submetering!T56+Submetering!V56+Submetering!X56+Submetering!Z56+Submetering!AB56+Submetering!AC56+Submetering!AE56)*0.05155)+((Submetering!F56+Submetering!H56+Submetering!J56+Submetering!L56+Submetering!N56+Submetering!P56+Submetering!R56+Submetering!T56+Submetering!V56+Submetering!X56+Submetering!Z56+Submetering!AB56+Submetering!AC56+Submetering!AE56)*0.02095)+(20/30)*15)*1.1048)/E55</f>
        <v>#DIV/0!</v>
      </c>
      <c r="G55" s="5">
        <f>Submetering!AK56+Submetering!AL56+Submetering!AU56</f>
        <v>0</v>
      </c>
      <c r="H55" s="13">
        <v>0.81659999999999999</v>
      </c>
      <c r="I55" s="5">
        <f>Submetering!AF56+Submetering!AG56+Submetering!AH56+Submetering!AI56+Submetering!AJ56+Submetering!AM56+Submetering!AN56+Submetering!AO56+Submetering!AQ56+Submetering!AR56+Submetering!AS56+Submetering!AT56+Submetering!AV56+Submetering!AY56+Submetering!AW56+Submetering!AZ56+Submetering!BA56</f>
        <v>0</v>
      </c>
      <c r="J55" s="13" t="e">
        <f>((Submetering!AG56+Submetering!BA56)*0.8868+(1712.96+1070.52)/30+(Submetering!AF56+Submetering!AY56+Submetering!AV56+Submetering!AZ56)*1.1251+(2076.11+129.67+207.57+207.57)/30+(11680.53+56.61)/30)/I55</f>
        <v>#DIV/0!</v>
      </c>
    </row>
    <row r="56" spans="1:11" x14ac:dyDescent="0.25">
      <c r="A56" s="3" t="s">
        <v>11</v>
      </c>
      <c r="B56" s="2">
        <v>6</v>
      </c>
      <c r="C56" s="2">
        <v>12</v>
      </c>
      <c r="D56" s="2">
        <v>2021</v>
      </c>
      <c r="E56" s="5">
        <f>Submetering!F57+Submetering!H57+Submetering!J57+Submetering!L57+Submetering!N57+Submetering!P57+Submetering!R57+Submetering!T57+Submetering!V57+Submetering!X57+Submetering!Z57+Submetering!AB57+Submetering!AC57+Submetering!AD57+Submetering!AE57</f>
        <v>0</v>
      </c>
      <c r="F56" s="12" t="e">
        <f>((((Submetering!E57+Submetering!AD57)*0.13773+(Submetering!E57+Submetering!AD57)*0.02095)*1.09+(2.85/30)*2)+(((Submetering!F57+Submetering!H57+Submetering!J57+Submetering!L57+Submetering!N57+Submetering!P57+Submetering!R57+Submetering!T57+Submetering!V57+Submetering!X57+Submetering!Z57+Submetering!AB57+Submetering!AC57+Submetering!AE57)*0.05155)+((Submetering!F57+Submetering!H57+Submetering!J57+Submetering!L57+Submetering!N57+Submetering!P57+Submetering!R57+Submetering!T57+Submetering!V57+Submetering!X57+Submetering!Z57+Submetering!AB57+Submetering!AC57+Submetering!AE57)*0.02095)+(20/30)*15)*1.1048)/E56</f>
        <v>#DIV/0!</v>
      </c>
      <c r="G56" s="5">
        <f>Submetering!AK57+Submetering!AL57+Submetering!AU57</f>
        <v>0</v>
      </c>
      <c r="H56" s="13">
        <v>0.81659999999999999</v>
      </c>
      <c r="I56" s="5">
        <f>Submetering!AF57+Submetering!AG57+Submetering!AH57+Submetering!AI57+Submetering!AJ57+Submetering!AM57+Submetering!AN57+Submetering!AO57+Submetering!AQ57+Submetering!AR57+Submetering!AS57+Submetering!AT57+Submetering!AV57+Submetering!AY57+Submetering!AW57+Submetering!AZ57+Submetering!BA57</f>
        <v>0</v>
      </c>
      <c r="J56" s="13" t="e">
        <f>((Submetering!AG57+Submetering!BA57)*0.8868+(1712.96+1070.52)/30+(Submetering!AF57+Submetering!AY57+Submetering!AV57+Submetering!AZ57)*1.1251+(2076.11+129.67+207.57+207.57)/30+(11680.53+56.61)/30)/I56</f>
        <v>#DIV/0!</v>
      </c>
      <c r="K56" s="1">
        <f>Occupancy!H14</f>
        <v>0</v>
      </c>
    </row>
    <row r="57" spans="1:11" x14ac:dyDescent="0.25">
      <c r="A57" s="3" t="s">
        <v>11</v>
      </c>
      <c r="B57" s="2">
        <v>13</v>
      </c>
      <c r="C57" s="2">
        <v>12</v>
      </c>
      <c r="D57" s="2">
        <v>2021</v>
      </c>
      <c r="E57" s="5">
        <f>Submetering!F58+Submetering!H58+Submetering!J58+Submetering!L58+Submetering!N58+Submetering!P58+Submetering!R58+Submetering!T58+Submetering!V58+Submetering!X58+Submetering!Z58+Submetering!AB58+Submetering!AC58+Submetering!AD58+Submetering!AE58</f>
        <v>0</v>
      </c>
      <c r="F57" s="12" t="e">
        <f>((((Submetering!E58+Submetering!AD58)*0.13773+(Submetering!E58+Submetering!AD58)*0.02095)*1.09+(2.85/30)*2)+(((Submetering!F58+Submetering!H58+Submetering!J58+Submetering!L58+Submetering!N58+Submetering!P58+Submetering!R58+Submetering!T58+Submetering!V58+Submetering!X58+Submetering!Z58+Submetering!AB58+Submetering!AC58+Submetering!AE58)*0.05155)+((Submetering!F58+Submetering!H58+Submetering!J58+Submetering!L58+Submetering!N58+Submetering!P58+Submetering!R58+Submetering!T58+Submetering!V58+Submetering!X58+Submetering!Z58+Submetering!AB58+Submetering!AC58+Submetering!AE58)*0.02095)+(20/30)*15)*1.1048)/E57</f>
        <v>#DIV/0!</v>
      </c>
      <c r="G57" s="5">
        <f>Submetering!AK58+Submetering!AL58+Submetering!AU58</f>
        <v>0</v>
      </c>
      <c r="H57" s="13">
        <v>0.81659999999999999</v>
      </c>
      <c r="I57" s="5">
        <f>Submetering!AF58+Submetering!AG58+Submetering!AH58+Submetering!AI58+Submetering!AJ58+Submetering!AM58+Submetering!AN58+Submetering!AO58+Submetering!AQ58+Submetering!AR58+Submetering!AS58+Submetering!AT58+Submetering!AV58+Submetering!AY58+Submetering!AW58+Submetering!AZ58+Submetering!BA58</f>
        <v>0</v>
      </c>
      <c r="J57" s="13" t="e">
        <f>((Submetering!AG58+Submetering!BA58)*0.8868+(1712.96+1070.52)/30+(Submetering!AF58+Submetering!AY58+Submetering!AV58+Submetering!AZ58)*1.1251+(2076.11+129.67+207.57+207.57)/30+(11680.53+56.61)/30)/I57</f>
        <v>#DIV/0!</v>
      </c>
    </row>
    <row r="58" spans="1:11" x14ac:dyDescent="0.25">
      <c r="A58" s="3" t="s">
        <v>11</v>
      </c>
      <c r="B58" s="2">
        <v>20</v>
      </c>
      <c r="C58" s="2">
        <v>12</v>
      </c>
      <c r="D58" s="2">
        <v>2021</v>
      </c>
      <c r="E58" s="5">
        <f>Submetering!F59+Submetering!H59+Submetering!J59+Submetering!L59+Submetering!N59+Submetering!P59+Submetering!R59+Submetering!T59+Submetering!V59+Submetering!X59+Submetering!Z59+Submetering!AB59+Submetering!AC59+Submetering!AD59+Submetering!AE59</f>
        <v>0</v>
      </c>
      <c r="F58" s="12" t="e">
        <f>((((Submetering!E59+Submetering!AD59)*0.13773+(Submetering!E59+Submetering!AD59)*0.02095)*1.09+(2.85/30)*2)+(((Submetering!F59+Submetering!H59+Submetering!J59+Submetering!L59+Submetering!N59+Submetering!P59+Submetering!R59+Submetering!T59+Submetering!V59+Submetering!X59+Submetering!Z59+Submetering!AB59+Submetering!AC59+Submetering!AE59)*0.05155)+((Submetering!F59+Submetering!H59+Submetering!J59+Submetering!L59+Submetering!N59+Submetering!P59+Submetering!R59+Submetering!T59+Submetering!V59+Submetering!X59+Submetering!Z59+Submetering!AB59+Submetering!AC59+Submetering!AE59)*0.02095)+(20/30)*15)*1.1048)/E58</f>
        <v>#DIV/0!</v>
      </c>
      <c r="G58" s="5">
        <f>Submetering!AK59+Submetering!AL59+Submetering!AU59</f>
        <v>0</v>
      </c>
      <c r="H58" s="13">
        <v>0.81659999999999999</v>
      </c>
      <c r="I58" s="5">
        <f>Submetering!AF59+Submetering!AG59+Submetering!AH59+Submetering!AI59+Submetering!AJ59+Submetering!AM59+Submetering!AN59+Submetering!AO59+Submetering!AQ59+Submetering!AR59+Submetering!AS59+Submetering!AT59+Submetering!AV59+Submetering!AY59+Submetering!AW59+Submetering!AZ59+Submetering!BA59</f>
        <v>0</v>
      </c>
      <c r="J58" s="13" t="e">
        <f>((Submetering!AG59+Submetering!BA59)*0.8868+(1712.96+1070.52)/30+(Submetering!AF59+Submetering!AY59+Submetering!AV59+Submetering!AZ59)*1.1251+(2076.11+129.67+207.57+207.57)/30+(11680.53+56.61)/30)/I58</f>
        <v>#DIV/0!</v>
      </c>
    </row>
    <row r="59" spans="1:11" x14ac:dyDescent="0.25">
      <c r="A59" s="3" t="s">
        <v>11</v>
      </c>
      <c r="B59" s="2">
        <v>27</v>
      </c>
      <c r="C59" s="2">
        <v>12</v>
      </c>
      <c r="D59" s="2">
        <v>2021</v>
      </c>
      <c r="E59" s="5">
        <f>Submetering!F60+Submetering!H60+Submetering!J60+Submetering!L60+Submetering!N60+Submetering!P60+Submetering!R60+Submetering!T60+Submetering!V60+Submetering!X60+Submetering!Z60+Submetering!AB60+Submetering!AC60+Submetering!AD60+Submetering!AE60</f>
        <v>0</v>
      </c>
      <c r="F59" s="12" t="e">
        <f>((((Submetering!E60+Submetering!AD60)*0.13773+(Submetering!E60+Submetering!AD60)*0.02095)*1.09+(2.85/30)*2)+(((Submetering!F60+Submetering!H60+Submetering!J60+Submetering!L60+Submetering!N60+Submetering!P60+Submetering!R60+Submetering!T60+Submetering!V60+Submetering!X60+Submetering!Z60+Submetering!AB60+Submetering!AC60+Submetering!AE60)*0.05155)+((Submetering!F60+Submetering!H60+Submetering!J60+Submetering!L60+Submetering!N60+Submetering!P60+Submetering!R60+Submetering!T60+Submetering!V60+Submetering!X60+Submetering!Z60+Submetering!AB60+Submetering!AC60+Submetering!AE60)*0.02095)+(20/30)*15)*1.1048)/E59</f>
        <v>#DIV/0!</v>
      </c>
      <c r="G59" s="5">
        <f>Submetering!AK60+Submetering!AL60+Submetering!AU60</f>
        <v>0</v>
      </c>
      <c r="H59" s="13">
        <v>0.81659999999999999</v>
      </c>
      <c r="I59" s="5">
        <f>Submetering!AF60+Submetering!AG60+Submetering!AH60+Submetering!AI60+Submetering!AJ60+Submetering!AM60+Submetering!AN60+Submetering!AO60+Submetering!AQ60+Submetering!AR60+Submetering!AS60+Submetering!AT60+Submetering!AV60+Submetering!AY60+Submetering!AW60+Submetering!AZ60+Submetering!BA60</f>
        <v>0</v>
      </c>
      <c r="J59" s="13" t="e">
        <f>((Submetering!AG60+Submetering!BA60)*0.8868+(1712.96+1070.52)/30+(Submetering!AF60+Submetering!AY60+Submetering!AV60+Submetering!AZ60)*1.1251+(2076.11+129.67+207.57+207.57)/30+(11680.53+56.61)/30)/I59</f>
        <v>#DIV/0!</v>
      </c>
    </row>
    <row r="60" spans="1:11" x14ac:dyDescent="0.25">
      <c r="A60" s="3" t="s">
        <v>11</v>
      </c>
      <c r="B60" s="2">
        <v>31</v>
      </c>
      <c r="C60" s="2">
        <v>12</v>
      </c>
      <c r="D60" s="2">
        <v>2021</v>
      </c>
      <c r="E60" s="5">
        <f>Submetering!F61+Submetering!H61+Submetering!J61+Submetering!L61+Submetering!N61+Submetering!P61+Submetering!R61+Submetering!T61+Submetering!V61+Submetering!X61+Submetering!Z61+Submetering!AB61+Submetering!AC61+Submetering!AD61+Submetering!AE61</f>
        <v>0</v>
      </c>
      <c r="F60" s="12" t="e">
        <f>((((Submetering!E61+Submetering!AD61)*0.13773+(Submetering!E61+Submetering!AD61)*0.02095)*1.09+(2.85/30)*2)+(((Submetering!F61+Submetering!H61+Submetering!J61+Submetering!L61+Submetering!N61+Submetering!P61+Submetering!R61+Submetering!T61+Submetering!V61+Submetering!X61+Submetering!Z61+Submetering!AB61+Submetering!AC61+Submetering!AE61)*0.05155)+((Submetering!F61+Submetering!H61+Submetering!J61+Submetering!L61+Submetering!N61+Submetering!P61+Submetering!R61+Submetering!T61+Submetering!V61+Submetering!X61+Submetering!Z61+Submetering!AB61+Submetering!AC61+Submetering!AE61)*0.02095)+(20/30)*15)*1.1048)/E60</f>
        <v>#DIV/0!</v>
      </c>
      <c r="G60" s="5">
        <f>Submetering!AK61+Submetering!AL61+Submetering!AU61</f>
        <v>0</v>
      </c>
      <c r="H60" s="13">
        <v>0.81659999999999999</v>
      </c>
      <c r="I60" s="5">
        <f>Submetering!AF61+Submetering!AG61+Submetering!AH61+Submetering!AI61+Submetering!AJ61+Submetering!AM61+Submetering!AN61+Submetering!AO61+Submetering!AQ61+Submetering!AR61+Submetering!AS61+Submetering!AT61+Submetering!AV61+Submetering!AY61+Submetering!AW61+Submetering!AZ61+Submetering!BA61</f>
        <v>0</v>
      </c>
      <c r="J60" s="13" t="e">
        <f>((Submetering!AG61+Submetering!BA61)*0.8868+(1712.96+1070.52)/30+(Submetering!AF61+Submetering!AY61+Submetering!AV61+Submetering!AZ61)*1.1251+(2076.11+129.67+207.57+207.57)/30+(11680.53+56.61)/30)/I60</f>
        <v>#DIV/0!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B62"/>
  <sheetViews>
    <sheetView workbookViewId="0">
      <pane xSplit="2" ySplit="1" topLeftCell="C11" activePane="bottomRight" state="frozen"/>
      <selection pane="topRight" activeCell="C1" sqref="C1"/>
      <selection pane="bottomLeft" activeCell="A2" sqref="A2"/>
      <selection pane="bottomRight" activeCell="D12" sqref="D12"/>
    </sheetView>
  </sheetViews>
  <sheetFormatPr defaultColWidth="11.5703125" defaultRowHeight="15" x14ac:dyDescent="0.25"/>
  <cols>
    <col min="1" max="1" width="13.85546875" style="3" customWidth="1"/>
    <col min="2" max="3" width="11.5703125" style="1" customWidth="1"/>
    <col min="4" max="4" width="13.42578125" style="1" customWidth="1"/>
    <col min="5" max="7" width="12.5703125" style="5" customWidth="1"/>
    <col min="8" max="8" width="15.42578125" customWidth="1"/>
    <col min="51" max="51" width="12.85546875" customWidth="1"/>
  </cols>
  <sheetData>
    <row r="1" spans="1:54" s="3" customFormat="1" ht="105" x14ac:dyDescent="0.25">
      <c r="A1" s="9" t="s">
        <v>0</v>
      </c>
      <c r="B1" s="9" t="s">
        <v>1</v>
      </c>
      <c r="C1" s="9" t="s">
        <v>2</v>
      </c>
      <c r="D1" s="9" t="s">
        <v>3</v>
      </c>
      <c r="E1" s="51" t="s">
        <v>12</v>
      </c>
      <c r="F1" s="51" t="s">
        <v>13</v>
      </c>
      <c r="G1" s="51" t="s">
        <v>14</v>
      </c>
      <c r="H1" s="51" t="s">
        <v>15</v>
      </c>
      <c r="I1" s="51" t="s">
        <v>16</v>
      </c>
      <c r="J1" s="51" t="s">
        <v>17</v>
      </c>
      <c r="K1" s="51" t="s">
        <v>18</v>
      </c>
      <c r="L1" s="51" t="s">
        <v>19</v>
      </c>
      <c r="M1" s="51" t="s">
        <v>20</v>
      </c>
      <c r="N1" s="51" t="s">
        <v>21</v>
      </c>
      <c r="O1" s="51" t="s">
        <v>22</v>
      </c>
      <c r="P1" s="51" t="s">
        <v>23</v>
      </c>
      <c r="Q1" s="51" t="s">
        <v>24</v>
      </c>
      <c r="R1" s="51" t="s">
        <v>25</v>
      </c>
      <c r="S1" s="51" t="s">
        <v>26</v>
      </c>
      <c r="T1" s="51" t="s">
        <v>27</v>
      </c>
      <c r="U1" s="51" t="s">
        <v>28</v>
      </c>
      <c r="V1" s="51" t="s">
        <v>29</v>
      </c>
      <c r="W1" s="51" t="s">
        <v>30</v>
      </c>
      <c r="X1" s="51" t="s">
        <v>31</v>
      </c>
      <c r="Y1" s="51" t="s">
        <v>32</v>
      </c>
      <c r="Z1" s="51" t="s">
        <v>33</v>
      </c>
      <c r="AA1" s="51" t="s">
        <v>34</v>
      </c>
      <c r="AB1" s="51" t="s">
        <v>35</v>
      </c>
      <c r="AC1" s="51" t="s">
        <v>36</v>
      </c>
      <c r="AD1" s="51" t="s">
        <v>37</v>
      </c>
      <c r="AE1" s="51" t="s">
        <v>38</v>
      </c>
      <c r="AF1" s="53" t="s">
        <v>39</v>
      </c>
      <c r="AG1" s="53" t="s">
        <v>40</v>
      </c>
      <c r="AH1" s="53" t="s">
        <v>41</v>
      </c>
      <c r="AI1" s="53" t="s">
        <v>42</v>
      </c>
      <c r="AJ1" s="53" t="s">
        <v>43</v>
      </c>
      <c r="AK1" s="56" t="s">
        <v>44</v>
      </c>
      <c r="AL1" s="56" t="s">
        <v>45</v>
      </c>
      <c r="AM1" s="53" t="s">
        <v>46</v>
      </c>
      <c r="AN1" s="53" t="s">
        <v>47</v>
      </c>
      <c r="AO1" s="53" t="s">
        <v>48</v>
      </c>
      <c r="AP1" s="53" t="s">
        <v>49</v>
      </c>
      <c r="AQ1" s="53" t="s">
        <v>50</v>
      </c>
      <c r="AR1" s="53" t="s">
        <v>51</v>
      </c>
      <c r="AS1" s="53" t="s">
        <v>52</v>
      </c>
      <c r="AT1" s="53" t="s">
        <v>53</v>
      </c>
      <c r="AU1" s="56" t="s">
        <v>54</v>
      </c>
      <c r="AV1" s="53" t="s">
        <v>55</v>
      </c>
      <c r="AW1" s="53" t="s">
        <v>56</v>
      </c>
      <c r="AX1" s="53" t="s">
        <v>57</v>
      </c>
      <c r="AY1" s="53" t="s">
        <v>58</v>
      </c>
      <c r="AZ1" s="53" t="s">
        <v>59</v>
      </c>
      <c r="BA1" s="53" t="s">
        <v>60</v>
      </c>
      <c r="BB1" s="10"/>
    </row>
    <row r="2" spans="1:54" x14ac:dyDescent="0.25">
      <c r="A2" s="3" t="s">
        <v>11</v>
      </c>
      <c r="B2" s="2">
        <v>1</v>
      </c>
      <c r="C2" s="2">
        <v>1</v>
      </c>
      <c r="D2" s="2">
        <v>2020</v>
      </c>
      <c r="E2" s="52">
        <f>Elect!AM4</f>
        <v>0</v>
      </c>
      <c r="F2" s="52" t="str">
        <f>Elect!I4</f>
        <v xml:space="preserve"> </v>
      </c>
      <c r="G2" s="52">
        <f>Elect!H4</f>
        <v>2.2989999999999999</v>
      </c>
      <c r="H2" s="52" t="str">
        <f>Elect!F4</f>
        <v xml:space="preserve"> </v>
      </c>
      <c r="I2" s="52">
        <f>Elect!E4</f>
        <v>1.99</v>
      </c>
      <c r="J2" s="52" t="str">
        <f>Elect!U4</f>
        <v xml:space="preserve"> </v>
      </c>
      <c r="K2" s="52">
        <f>Elect!T4</f>
        <v>1.964</v>
      </c>
      <c r="L2" s="52" t="str">
        <f>Elect!AJ4</f>
        <v xml:space="preserve"> </v>
      </c>
      <c r="M2" s="52">
        <f>Elect!AI4</f>
        <v>0.33100000000000002</v>
      </c>
      <c r="N2" s="52" t="str">
        <f>Elect!X4</f>
        <v xml:space="preserve"> </v>
      </c>
      <c r="O2" s="52">
        <f>Elect!W4</f>
        <v>1.3759999999999999</v>
      </c>
      <c r="P2" s="52" t="str">
        <f>Elect!O4</f>
        <v xml:space="preserve"> </v>
      </c>
      <c r="Q2" s="52">
        <f>Elect!N4</f>
        <v>2.48</v>
      </c>
      <c r="R2" s="52" t="str">
        <f>Elect!L4</f>
        <v xml:space="preserve"> </v>
      </c>
      <c r="S2" s="52">
        <f>Elect!K4</f>
        <v>3.07</v>
      </c>
      <c r="T2" s="52" t="str">
        <f>Elect!R4</f>
        <v xml:space="preserve"> </v>
      </c>
      <c r="U2" s="52">
        <f>Elect!Q4</f>
        <v>2.77</v>
      </c>
      <c r="V2" s="52" t="str">
        <f>Elect!AA4</f>
        <v xml:space="preserve"> </v>
      </c>
      <c r="W2" s="52">
        <f>Elect!Z4</f>
        <v>2.56</v>
      </c>
      <c r="X2" s="52" t="str">
        <f>Elect!AD4</f>
        <v xml:space="preserve"> </v>
      </c>
      <c r="Y2" s="52">
        <f>Elect!AC4</f>
        <v>1.73</v>
      </c>
      <c r="Z2" s="52" t="str">
        <f>Elect!AG4</f>
        <v xml:space="preserve"> </v>
      </c>
      <c r="AA2" s="52">
        <f>Elect!AF4</f>
        <v>2.1619999999999999</v>
      </c>
      <c r="AB2" s="52" t="str">
        <f>Elect!AX4</f>
        <v xml:space="preserve"> </v>
      </c>
      <c r="AC2" s="52" t="str">
        <f>Elect!AV4</f>
        <v xml:space="preserve"> </v>
      </c>
      <c r="AD2" s="52" t="str">
        <f>Elect!AZ4</f>
        <v xml:space="preserve"> </v>
      </c>
      <c r="AE2" s="52" t="str">
        <f>Elect!BB4</f>
        <v xml:space="preserve"> </v>
      </c>
      <c r="AF2" s="54">
        <f>'Wtr-Gas'!E4</f>
        <v>0</v>
      </c>
      <c r="AG2" s="54">
        <f>'Wtr-Gas'!H4</f>
        <v>0</v>
      </c>
      <c r="AH2" s="54">
        <f>'Wtr-Gas'!K4</f>
        <v>0</v>
      </c>
      <c r="AI2" s="54">
        <f>'Wtr-Gas'!N4</f>
        <v>0</v>
      </c>
      <c r="AJ2" s="54">
        <f>'Wtr-Gas'!Q4</f>
        <v>0</v>
      </c>
      <c r="AK2" s="57">
        <f>'Wtr-Gas'!U4</f>
        <v>0</v>
      </c>
      <c r="AL2" s="57">
        <f>'Wtr-Gas'!X4</f>
        <v>0</v>
      </c>
      <c r="AM2" s="54" t="str">
        <f>'Wtr-Gas'!AB4</f>
        <v xml:space="preserve"> </v>
      </c>
      <c r="AN2" s="54" t="str">
        <f>'Wtr-Gas'!AD4</f>
        <v xml:space="preserve"> </v>
      </c>
      <c r="AO2" s="54" t="str">
        <f>'Wtr-Gas'!AF4</f>
        <v xml:space="preserve"> </v>
      </c>
      <c r="AP2" s="54" t="str">
        <f>'Wtr-Gas'!AH4</f>
        <v xml:space="preserve"> </v>
      </c>
      <c r="AQ2" s="54" t="str">
        <f>'Wtr-Gas'!AJ4</f>
        <v xml:space="preserve"> </v>
      </c>
      <c r="AR2" s="54" t="str">
        <f>'Wtr-Gas'!AL4</f>
        <v xml:space="preserve"> </v>
      </c>
      <c r="AS2" s="54" t="str">
        <f>'Wtr-Gas'!AN4</f>
        <v xml:space="preserve"> </v>
      </c>
      <c r="AT2" s="54" t="str">
        <f>'Wtr-Gas'!AP4</f>
        <v xml:space="preserve"> </v>
      </c>
      <c r="AU2" s="57" t="str">
        <f>'Wtr-Gas'!AT4</f>
        <v xml:space="preserve"> </v>
      </c>
      <c r="AV2" s="54" t="str">
        <f>'Wtr-Gas'!AW4</f>
        <v xml:space="preserve"> </v>
      </c>
      <c r="AW2" s="55" t="str">
        <f>'Wtr-Gas'!AY4</f>
        <v xml:space="preserve"> </v>
      </c>
      <c r="AX2" s="54" t="str">
        <f>'Wtr-Gas'!AZ4</f>
        <v xml:space="preserve"> </v>
      </c>
      <c r="AY2" s="54" t="str">
        <f>'Wtr-Gas'!BB4</f>
        <v xml:space="preserve"> </v>
      </c>
      <c r="AZ2" s="54" t="str">
        <f>'Wtr-Gas'!BD4</f>
        <v xml:space="preserve"> </v>
      </c>
      <c r="BA2" s="54" t="str">
        <f>'Wtr-Gas'!BF4</f>
        <v xml:space="preserve"> </v>
      </c>
    </row>
    <row r="3" spans="1:54" x14ac:dyDescent="0.25">
      <c r="A3" s="3" t="s">
        <v>11</v>
      </c>
      <c r="B3" s="2">
        <v>4</v>
      </c>
      <c r="C3" s="2">
        <v>1</v>
      </c>
      <c r="D3" s="2">
        <v>2021</v>
      </c>
      <c r="E3" s="52">
        <f>Elect!AM5</f>
        <v>251</v>
      </c>
      <c r="F3" s="52">
        <f>Elect!I5</f>
        <v>21440</v>
      </c>
      <c r="G3" s="52">
        <f>Elect!H5</f>
        <v>2.2989999999999999</v>
      </c>
      <c r="H3" s="52">
        <f>Elect!F5</f>
        <v>19200</v>
      </c>
      <c r="I3" s="52">
        <f>Elect!E5</f>
        <v>1.99</v>
      </c>
      <c r="J3" s="52">
        <f>Elect!U5</f>
        <v>31800</v>
      </c>
      <c r="K3" s="52">
        <f>Elect!T5</f>
        <v>2.0670000000000002</v>
      </c>
      <c r="L3" s="52">
        <f>Elect!AJ5</f>
        <v>-1360</v>
      </c>
      <c r="M3" s="52">
        <f>Elect!AI5</f>
        <v>0.33100000000000002</v>
      </c>
      <c r="N3" s="52">
        <f>Elect!X5</f>
        <v>18300</v>
      </c>
      <c r="O3" s="52">
        <f>Elect!W5</f>
        <v>1.373</v>
      </c>
      <c r="P3" s="52">
        <f>Elect!O5</f>
        <v>4400</v>
      </c>
      <c r="Q3" s="52">
        <f>Elect!N5</f>
        <v>2.48</v>
      </c>
      <c r="R3" s="52">
        <f>Elect!L5</f>
        <v>5200</v>
      </c>
      <c r="S3" s="52">
        <f>Elect!K5</f>
        <v>3.07</v>
      </c>
      <c r="T3" s="52">
        <f>Elect!R5</f>
        <v>4800</v>
      </c>
      <c r="U3" s="52">
        <f>Elect!Q5</f>
        <v>2.77</v>
      </c>
      <c r="V3" s="52">
        <f>Elect!AA5</f>
        <v>2240</v>
      </c>
      <c r="W3" s="52">
        <f>Elect!Z5</f>
        <v>2.56</v>
      </c>
      <c r="X3" s="52">
        <f>Elect!AD5</f>
        <v>1280</v>
      </c>
      <c r="Y3" s="52">
        <f>Elect!AC5</f>
        <v>1.74</v>
      </c>
      <c r="Z3" s="52">
        <f>Elect!AG5</f>
        <v>21800</v>
      </c>
      <c r="AA3" s="52">
        <f>Elect!AF5</f>
        <v>2.1619999999999999</v>
      </c>
      <c r="AB3" s="52">
        <f>Elect!AX5</f>
        <v>500</v>
      </c>
      <c r="AC3" s="52">
        <f>Elect!AV5</f>
        <v>5200</v>
      </c>
      <c r="AD3" s="52">
        <f>Elect!AZ5</f>
        <v>889</v>
      </c>
      <c r="AE3" s="52">
        <f>Elect!BB5</f>
        <v>2640</v>
      </c>
      <c r="AF3" s="54">
        <f>('Wtr-Gas'!E5)*0.0038</f>
        <v>2003.588</v>
      </c>
      <c r="AG3" s="54">
        <f>('Wtr-Gas'!H5)*0.0038</f>
        <v>1514.2239999999999</v>
      </c>
      <c r="AH3" s="54">
        <f>'Wtr-Gas'!K5*0.0038</f>
        <v>0.22800000000000001</v>
      </c>
      <c r="AI3" s="54">
        <f>'Wtr-Gas'!N5*0.0038</f>
        <v>1413.6</v>
      </c>
      <c r="AJ3" s="54">
        <f>'Wtr-Gas'!Q5*0.0038</f>
        <v>29.64</v>
      </c>
      <c r="AK3" s="57">
        <f>'Wtr-Gas'!U5*0.0038</f>
        <v>424.46</v>
      </c>
      <c r="AL3" s="57">
        <f>'Wtr-Gas'!X5*0.0038</f>
        <v>2171.6999999999998</v>
      </c>
      <c r="AM3" s="54">
        <f>'Wtr-Gas'!AB5*0.0038</f>
        <v>3116</v>
      </c>
      <c r="AN3" s="54">
        <f>'Wtr-Gas'!AD5*0.0038</f>
        <v>695.67663999999991</v>
      </c>
      <c r="AO3" s="54">
        <f>'Wtr-Gas'!AF5*0.0038</f>
        <v>1.9</v>
      </c>
      <c r="AP3" s="54">
        <f>'Wtr-Gas'!AH5*0.0038</f>
        <v>156.33199999999999</v>
      </c>
      <c r="AQ3" s="54">
        <f>'Wtr-Gas'!AJ5*0.0038</f>
        <v>15.3596</v>
      </c>
      <c r="AR3" s="54">
        <f>'Wtr-Gas'!AL5*0.0038</f>
        <v>338.2</v>
      </c>
      <c r="AS3" s="54">
        <f>'Wtr-Gas'!AN5*0.0038</f>
        <v>5.3199999999999997E-2</v>
      </c>
      <c r="AT3" s="54">
        <f>'Wtr-Gas'!AP5*0.0038</f>
        <v>2.2799999999999998</v>
      </c>
      <c r="AU3" s="57">
        <f>'Wtr-Gas'!AT5*0.0038</f>
        <v>0.16339999999999999</v>
      </c>
      <c r="AV3" s="54">
        <f>'Wtr-Gas'!AW5*0.0038</f>
        <v>83.778599999999997</v>
      </c>
      <c r="AW3" s="55">
        <f>'Wtr-Gas'!AY5*0.0038</f>
        <v>64.729200000000006</v>
      </c>
      <c r="AX3" s="54">
        <f>'Wtr-Gas'!AZ5*0.0038</f>
        <v>19.047613999999999</v>
      </c>
      <c r="AY3" s="54">
        <f>'Wtr-Gas'!BB5*0.0038</f>
        <v>2.2799999999999998</v>
      </c>
      <c r="AZ3" s="54">
        <f>'Wtr-Gas'!BD5*0.0038</f>
        <v>7.6</v>
      </c>
      <c r="BA3" s="54">
        <f>'Wtr-Gas'!BF5*0.0038</f>
        <v>11.59</v>
      </c>
    </row>
    <row r="4" spans="1:54" x14ac:dyDescent="0.25">
      <c r="A4" s="3" t="s">
        <v>11</v>
      </c>
      <c r="B4" s="2">
        <v>11</v>
      </c>
      <c r="C4" s="2">
        <v>1</v>
      </c>
      <c r="D4" s="2">
        <v>2021</v>
      </c>
      <c r="E4" s="52">
        <f>Elect!AM6</f>
        <v>554</v>
      </c>
      <c r="F4" s="52">
        <f>Elect!I6</f>
        <v>44320</v>
      </c>
      <c r="G4" s="52">
        <f>Elect!H6</f>
        <v>2.2989999999999999</v>
      </c>
      <c r="H4" s="52">
        <f>Elect!F6</f>
        <v>40320</v>
      </c>
      <c r="I4" s="52">
        <f>Elect!E6</f>
        <v>1.99</v>
      </c>
      <c r="J4" s="52">
        <f>Elect!U6</f>
        <v>24300</v>
      </c>
      <c r="K4" s="52">
        <f>Elect!T6</f>
        <v>2.0670000000000002</v>
      </c>
      <c r="L4" s="52">
        <f>Elect!AJ6</f>
        <v>3480</v>
      </c>
      <c r="M4" s="52">
        <f>Elect!AI6</f>
        <v>0.33100000000000002</v>
      </c>
      <c r="N4" s="52">
        <f>Elect!X6</f>
        <v>24600</v>
      </c>
      <c r="O4" s="52">
        <f>Elect!W6</f>
        <v>1.373</v>
      </c>
      <c r="P4" s="52">
        <f>Elect!O6</f>
        <v>9200</v>
      </c>
      <c r="Q4" s="52">
        <f>Elect!N6</f>
        <v>2.48</v>
      </c>
      <c r="R4" s="52">
        <f>Elect!L6</f>
        <v>10400</v>
      </c>
      <c r="S4" s="52">
        <f>Elect!K6</f>
        <v>3.07</v>
      </c>
      <c r="T4" s="52">
        <f>Elect!R6</f>
        <v>9600</v>
      </c>
      <c r="U4" s="52">
        <f>Elect!Q6</f>
        <v>2.77</v>
      </c>
      <c r="V4" s="52">
        <f>Elect!AA6</f>
        <v>5120</v>
      </c>
      <c r="W4" s="52">
        <f>Elect!Z6</f>
        <v>2.72</v>
      </c>
      <c r="X4" s="52">
        <f>Elect!AD6</f>
        <v>2400</v>
      </c>
      <c r="Y4" s="52">
        <f>Elect!AC6</f>
        <v>1.74</v>
      </c>
      <c r="Z4" s="52">
        <f>Elect!AG6</f>
        <v>50400</v>
      </c>
      <c r="AA4" s="52">
        <f>Elect!AF6</f>
        <v>2.1619999999999999</v>
      </c>
      <c r="AB4" s="52">
        <f>Elect!AX6</f>
        <v>1500</v>
      </c>
      <c r="AC4" s="52">
        <f>Elect!AV6</f>
        <v>11000</v>
      </c>
      <c r="AD4" s="52">
        <f>Elect!AZ6</f>
        <v>909</v>
      </c>
      <c r="AE4" s="52">
        <f>Elect!BB6</f>
        <v>3280</v>
      </c>
      <c r="AF4" s="54">
        <f>('Wtr-Gas'!E6)*0.0038</f>
        <v>3158.712</v>
      </c>
      <c r="AG4" s="54">
        <f>('Wtr-Gas'!H6)*0.0038</f>
        <v>1080.758</v>
      </c>
      <c r="AH4" s="54">
        <f>'Wtr-Gas'!K6*0.0038</f>
        <v>1.0640000000000001</v>
      </c>
      <c r="AI4" s="54">
        <f>'Wtr-Gas'!N6*0.0038</f>
        <v>1725.2</v>
      </c>
      <c r="AJ4" s="54">
        <f>'Wtr-Gas'!Q6*0.0038</f>
        <v>79.8</v>
      </c>
      <c r="AK4" s="57">
        <f>'Wtr-Gas'!U6*0.0038</f>
        <v>755.06</v>
      </c>
      <c r="AL4" s="57">
        <f>'Wtr-Gas'!X6*0.0038</f>
        <v>7904.76</v>
      </c>
      <c r="AM4" s="54">
        <f>'Wtr-Gas'!AB6*0.0038</f>
        <v>2432</v>
      </c>
      <c r="AN4" s="54">
        <f>'Wtr-Gas'!AD6*0.0038</f>
        <v>809.48739999999998</v>
      </c>
      <c r="AO4" s="54">
        <f>'Wtr-Gas'!AF6*0.0038</f>
        <v>7.258</v>
      </c>
      <c r="AP4" s="54">
        <f>'Wtr-Gas'!AH6*0.0038</f>
        <v>343.52</v>
      </c>
      <c r="AQ4" s="54">
        <f>'Wtr-Gas'!AJ6*0.0038</f>
        <v>41.051400000000001</v>
      </c>
      <c r="AR4" s="54">
        <f>'Wtr-Gas'!AL6*0.0038</f>
        <v>839.8</v>
      </c>
      <c r="AS4" s="54">
        <f>'Wtr-Gas'!AN6*0.0038</f>
        <v>0.1178</v>
      </c>
      <c r="AT4" s="54">
        <f>'Wtr-Gas'!AP6*0.0038</f>
        <v>4.5599999999999996</v>
      </c>
      <c r="AU4" s="57">
        <f>'Wtr-Gas'!AT6*0.0038</f>
        <v>0.45979999999999999</v>
      </c>
      <c r="AV4" s="54">
        <f>'Wtr-Gas'!AW6*0.0038</f>
        <v>188.4648</v>
      </c>
      <c r="AW4" s="55">
        <f>'Wtr-Gas'!AY6*0.0038</f>
        <v>151.3426</v>
      </c>
      <c r="AX4" s="54">
        <f>'Wtr-Gas'!AZ6*0.0038</f>
        <v>37.121668</v>
      </c>
      <c r="AY4" s="54">
        <f>'Wtr-Gas'!BB6*0.0038</f>
        <v>22.42</v>
      </c>
      <c r="AZ4" s="54">
        <f>'Wtr-Gas'!BD6*0.0038</f>
        <v>7.98</v>
      </c>
      <c r="BA4" s="54">
        <f>'Wtr-Gas'!BF6*0.0038</f>
        <v>0</v>
      </c>
    </row>
    <row r="5" spans="1:54" x14ac:dyDescent="0.25">
      <c r="A5" s="3" t="s">
        <v>11</v>
      </c>
      <c r="B5" s="2">
        <v>18</v>
      </c>
      <c r="C5" s="2">
        <v>1</v>
      </c>
      <c r="D5" s="2">
        <v>2021</v>
      </c>
      <c r="E5" s="52">
        <f>Elect!AM7</f>
        <v>564</v>
      </c>
      <c r="F5" s="52">
        <f>Elect!I7</f>
        <v>45120</v>
      </c>
      <c r="G5" s="52">
        <f>Elect!H7</f>
        <v>2.2989999999999999</v>
      </c>
      <c r="H5" s="52">
        <f>Elect!F7</f>
        <v>40800</v>
      </c>
      <c r="I5" s="52">
        <f>Elect!E7</f>
        <v>1.99</v>
      </c>
      <c r="J5" s="52">
        <f>Elect!U7</f>
        <v>17400</v>
      </c>
      <c r="K5" s="52">
        <f>Elect!T7</f>
        <v>2.0670000000000002</v>
      </c>
      <c r="L5" s="52">
        <f>Elect!AJ7</f>
        <v>1440</v>
      </c>
      <c r="M5" s="52">
        <f>Elect!AI7</f>
        <v>0.34599999999999997</v>
      </c>
      <c r="N5" s="52">
        <f>Elect!X7</f>
        <v>34500</v>
      </c>
      <c r="O5" s="52">
        <f>Elect!W7</f>
        <v>1.373</v>
      </c>
      <c r="P5" s="52">
        <f>Elect!O7</f>
        <v>8800</v>
      </c>
      <c r="Q5" s="52">
        <f>Elect!N7</f>
        <v>2.48</v>
      </c>
      <c r="R5" s="52">
        <f>Elect!L7</f>
        <v>12800</v>
      </c>
      <c r="S5" s="52">
        <f>Elect!K7</f>
        <v>3.07</v>
      </c>
      <c r="T5" s="52">
        <f>Elect!R7</f>
        <v>9600</v>
      </c>
      <c r="U5" s="52">
        <f>Elect!Q7</f>
        <v>2.77</v>
      </c>
      <c r="V5" s="52">
        <f>Elect!AA7</f>
        <v>6080</v>
      </c>
      <c r="W5" s="52">
        <f>Elect!Z7</f>
        <v>3.03</v>
      </c>
      <c r="X5" s="52">
        <f>Elect!AD7</f>
        <v>3040</v>
      </c>
      <c r="Y5" s="52">
        <f>Elect!AC7</f>
        <v>1.76</v>
      </c>
      <c r="Z5" s="52">
        <f>Elect!AG7</f>
        <v>50600</v>
      </c>
      <c r="AA5" s="52">
        <f>Elect!AF7</f>
        <v>2.1619999999999999</v>
      </c>
      <c r="AB5" s="52">
        <f>Elect!AX7</f>
        <v>1400</v>
      </c>
      <c r="AC5" s="52">
        <f>Elect!AV7</f>
        <v>10900</v>
      </c>
      <c r="AD5" s="52">
        <f>Elect!AZ7</f>
        <v>880</v>
      </c>
      <c r="AE5" s="52">
        <f>Elect!BB7</f>
        <v>43</v>
      </c>
      <c r="AF5" s="54">
        <f>('Wtr-Gas'!E7)*0.0038</f>
        <v>3168.174</v>
      </c>
      <c r="AG5" s="54">
        <f>('Wtr-Gas'!H7)*0.0038</f>
        <v>1035.652</v>
      </c>
      <c r="AH5" s="54">
        <f>'Wtr-Gas'!K7*0.0038</f>
        <v>1.1399999999999999</v>
      </c>
      <c r="AI5" s="54">
        <f>'Wtr-Gas'!N7*0.0038</f>
        <v>1824</v>
      </c>
      <c r="AJ5" s="54">
        <f>'Wtr-Gas'!Q7*0.0038</f>
        <v>82.46</v>
      </c>
      <c r="AK5" s="57">
        <f>'Wtr-Gas'!U7*0.0038</f>
        <v>770.64</v>
      </c>
      <c r="AL5" s="57">
        <f>'Wtr-Gas'!X7*0.0038</f>
        <v>7306.64</v>
      </c>
      <c r="AM5" s="54">
        <f>'Wtr-Gas'!AB7*0.0038</f>
        <v>2432</v>
      </c>
      <c r="AN5" s="54">
        <f>'Wtr-Gas'!AD7*0.0038</f>
        <v>742.45008000000007</v>
      </c>
      <c r="AO5" s="54">
        <f>'Wtr-Gas'!AF7*0.0038</f>
        <v>3.952</v>
      </c>
      <c r="AP5" s="54">
        <f>'Wtr-Gas'!AH7*0.0038</f>
        <v>337.28800000000001</v>
      </c>
      <c r="AQ5" s="54">
        <f>'Wtr-Gas'!AJ7*0.0038</f>
        <v>34.401400000000002</v>
      </c>
      <c r="AR5" s="54">
        <f>'Wtr-Gas'!AL7*0.0038</f>
        <v>786.6</v>
      </c>
      <c r="AS5" s="54">
        <f>'Wtr-Gas'!AN7*0.0038</f>
        <v>0.17860000000000001</v>
      </c>
      <c r="AT5" s="54">
        <f>'Wtr-Gas'!AP7*0.0038</f>
        <v>8.36</v>
      </c>
      <c r="AU5" s="57">
        <f>'Wtr-Gas'!AT7*0.0038</f>
        <v>0.4788</v>
      </c>
      <c r="AV5" s="54">
        <f>'Wtr-Gas'!AW7*0.0038</f>
        <v>190.0076</v>
      </c>
      <c r="AW5" s="55">
        <f>'Wtr-Gas'!AY7*0.0038</f>
        <v>153.9684</v>
      </c>
      <c r="AX5" s="54">
        <f>'Wtr-Gas'!AZ7*0.0038</f>
        <v>36.037869999999998</v>
      </c>
      <c r="AY5" s="54">
        <f>'Wtr-Gas'!BB7*0.0038</f>
        <v>7.98</v>
      </c>
      <c r="AZ5" s="54">
        <f>'Wtr-Gas'!BD7*0.0038</f>
        <v>4.5599999999999996</v>
      </c>
      <c r="BA5" s="54">
        <f>'Wtr-Gas'!BF7*0.0038</f>
        <v>62.107199999999999</v>
      </c>
    </row>
    <row r="6" spans="1:54" x14ac:dyDescent="0.25">
      <c r="A6" s="3" t="s">
        <v>11</v>
      </c>
      <c r="B6" s="2">
        <v>25</v>
      </c>
      <c r="C6" s="2">
        <v>1</v>
      </c>
      <c r="D6" s="2">
        <v>2021</v>
      </c>
      <c r="E6" s="52">
        <f>Elect!AM8</f>
        <v>341</v>
      </c>
      <c r="F6" s="52">
        <f>Elect!I8</f>
        <v>47680</v>
      </c>
      <c r="G6" s="52">
        <f>Elect!H8</f>
        <v>2.2610000000000001</v>
      </c>
      <c r="H6" s="52">
        <f>Elect!F8</f>
        <v>42880</v>
      </c>
      <c r="I6" s="52">
        <f>Elect!E8</f>
        <v>1.9630000000000001</v>
      </c>
      <c r="J6" s="52">
        <f>Elect!U8</f>
        <v>34500</v>
      </c>
      <c r="K6" s="52">
        <f>Elect!T8</f>
        <v>1.7669999999999999</v>
      </c>
      <c r="L6" s="52">
        <f>Elect!AJ8</f>
        <v>1560</v>
      </c>
      <c r="M6" s="52">
        <f>Elect!AI8</f>
        <v>0.26700000000000002</v>
      </c>
      <c r="N6" s="52">
        <f>Elect!X8</f>
        <v>38100</v>
      </c>
      <c r="O6" s="52">
        <f>Elect!W8</f>
        <v>1.7</v>
      </c>
      <c r="P6" s="52">
        <f>Elect!O8</f>
        <v>9600</v>
      </c>
      <c r="Q6" s="52">
        <f>Elect!N8</f>
        <v>1.88</v>
      </c>
      <c r="R6" s="52">
        <f>Elect!L8</f>
        <v>11200</v>
      </c>
      <c r="S6" s="52">
        <f>Elect!K8</f>
        <v>2.63</v>
      </c>
      <c r="T6" s="52">
        <f>Elect!R8</f>
        <v>9600</v>
      </c>
      <c r="U6" s="52">
        <f>Elect!Q8</f>
        <v>2.1800000000000002</v>
      </c>
      <c r="V6" s="52">
        <f>Elect!AA8</f>
        <v>6560</v>
      </c>
      <c r="W6" s="52">
        <f>Elect!Z8</f>
        <v>3.22</v>
      </c>
      <c r="X6" s="52">
        <f>Elect!AD8</f>
        <v>4160</v>
      </c>
      <c r="Y6" s="52">
        <f>Elect!AC8</f>
        <v>2.96</v>
      </c>
      <c r="Z6" s="52">
        <f>Elect!AG8</f>
        <v>52600</v>
      </c>
      <c r="AA6" s="52">
        <f>Elect!AF8</f>
        <v>2.0129999999999999</v>
      </c>
      <c r="AB6" s="52">
        <f>Elect!AX8</f>
        <v>1900</v>
      </c>
      <c r="AC6" s="52">
        <f>Elect!AV8</f>
        <v>12800</v>
      </c>
      <c r="AD6" s="52">
        <f>Elect!AZ8</f>
        <v>879</v>
      </c>
      <c r="AE6" s="52">
        <f>Elect!BB8</f>
        <v>1360</v>
      </c>
      <c r="AF6" s="54">
        <f>('Wtr-Gas'!E8)*0.0038</f>
        <v>3898.9519999999998</v>
      </c>
      <c r="AG6" s="54">
        <f>('Wtr-Gas'!H8)*0.0038</f>
        <v>1001.946</v>
      </c>
      <c r="AH6" s="54">
        <f>'Wtr-Gas'!K8*0.0038</f>
        <v>2.052</v>
      </c>
      <c r="AI6" s="54">
        <f>'Wtr-Gas'!N8*0.0038</f>
        <v>2470</v>
      </c>
      <c r="AJ6" s="54">
        <f>'Wtr-Gas'!Q8*0.0038</f>
        <v>99.56</v>
      </c>
      <c r="AK6" s="57">
        <f>'Wtr-Gas'!U8*0.0038</f>
        <v>905.16</v>
      </c>
      <c r="AL6" s="57">
        <f>'Wtr-Gas'!X8*0.0038</f>
        <v>6684.2</v>
      </c>
      <c r="AM6" s="54">
        <f>'Wtr-Gas'!AB8*0.0038</f>
        <v>3952</v>
      </c>
      <c r="AN6" s="54">
        <f>'Wtr-Gas'!AD8*0.0038</f>
        <v>912.75391999999999</v>
      </c>
      <c r="AO6" s="54">
        <f>'Wtr-Gas'!AF8*0.0038</f>
        <v>6.27</v>
      </c>
      <c r="AP6" s="54">
        <f>'Wtr-Gas'!AH8*0.0038</f>
        <v>376.01</v>
      </c>
      <c r="AQ6" s="54">
        <f>'Wtr-Gas'!AJ8*0.0038</f>
        <v>48.320799999999998</v>
      </c>
      <c r="AR6" s="54">
        <f>'Wtr-Gas'!AL8*0.0038</f>
        <v>805.6</v>
      </c>
      <c r="AS6" s="54">
        <f>'Wtr-Gas'!AN8*0.0038</f>
        <v>0.1444</v>
      </c>
      <c r="AT6" s="54">
        <f>'Wtr-Gas'!AP8*0.0038</f>
        <v>15.2</v>
      </c>
      <c r="AU6" s="57">
        <f>'Wtr-Gas'!AT8*0.0038</f>
        <v>0.4446</v>
      </c>
      <c r="AV6" s="54">
        <f>'Wtr-Gas'!AW8*0.0038</f>
        <v>217.90719999999999</v>
      </c>
      <c r="AW6" s="55">
        <f>'Wtr-Gas'!AY8*0.0038</f>
        <v>150.404</v>
      </c>
      <c r="AX6" s="54">
        <f>'Wtr-Gas'!AZ8*0.0038</f>
        <v>67.502021999999997</v>
      </c>
      <c r="AY6" s="54">
        <f>'Wtr-Gas'!BB8*0.0038</f>
        <v>19.760000000000002</v>
      </c>
      <c r="AZ6" s="54">
        <f>'Wtr-Gas'!BD8*0.0038</f>
        <v>3.42</v>
      </c>
      <c r="BA6" s="54">
        <f>'Wtr-Gas'!BF8*0.0038</f>
        <v>0</v>
      </c>
    </row>
    <row r="7" spans="1:54" x14ac:dyDescent="0.25">
      <c r="A7" s="3" t="s">
        <v>11</v>
      </c>
      <c r="B7" s="2">
        <v>31</v>
      </c>
      <c r="C7" s="2">
        <v>1</v>
      </c>
      <c r="D7" s="2">
        <v>2021</v>
      </c>
      <c r="E7" s="52">
        <f>Elect!AM9</f>
        <v>601</v>
      </c>
      <c r="F7" s="52">
        <f>Elect!I9</f>
        <v>44960</v>
      </c>
      <c r="G7" s="52">
        <f>Elect!H9</f>
        <v>2.2610000000000001</v>
      </c>
      <c r="H7" s="52">
        <f>Elect!F9</f>
        <v>38720</v>
      </c>
      <c r="I7" s="52">
        <f>Elect!E9</f>
        <v>1.9630000000000001</v>
      </c>
      <c r="J7" s="52">
        <f>Elect!U9</f>
        <v>36000</v>
      </c>
      <c r="K7" s="52">
        <f>Elect!T9</f>
        <v>1.978</v>
      </c>
      <c r="L7" s="52">
        <f>Elect!AJ9</f>
        <v>3000</v>
      </c>
      <c r="M7" s="52">
        <f>Elect!AI9</f>
        <v>0.26700000000000002</v>
      </c>
      <c r="N7" s="52">
        <f>Elect!X9</f>
        <v>38400</v>
      </c>
      <c r="O7" s="52">
        <f>Elect!W9</f>
        <v>1.7</v>
      </c>
      <c r="P7" s="52">
        <f>Elect!O9</f>
        <v>8800</v>
      </c>
      <c r="Q7" s="52">
        <f>Elect!N9</f>
        <v>1.88</v>
      </c>
      <c r="R7" s="52">
        <f>Elect!L9</f>
        <v>9600</v>
      </c>
      <c r="S7" s="52">
        <f>Elect!K9</f>
        <v>2.63</v>
      </c>
      <c r="T7" s="52">
        <f>Elect!R9</f>
        <v>9200</v>
      </c>
      <c r="U7" s="52">
        <f>Elect!Q9</f>
        <v>2.1800000000000002</v>
      </c>
      <c r="V7" s="52">
        <f>Elect!AA9</f>
        <v>5280</v>
      </c>
      <c r="W7" s="52">
        <f>Elect!Z9</f>
        <v>3.22</v>
      </c>
      <c r="X7" s="52">
        <f>Elect!AD9</f>
        <v>2720</v>
      </c>
      <c r="Y7" s="52">
        <f>Elect!AC9</f>
        <v>2.96</v>
      </c>
      <c r="Z7" s="52">
        <f>Elect!AG9</f>
        <v>49600</v>
      </c>
      <c r="AA7" s="52">
        <f>Elect!AF9</f>
        <v>2.0129999999999999</v>
      </c>
      <c r="AB7" s="52">
        <f>Elect!AX9</f>
        <v>1400</v>
      </c>
      <c r="AC7" s="52">
        <f>Elect!AV9</f>
        <v>12000</v>
      </c>
      <c r="AD7" s="52">
        <f>Elect!AZ9</f>
        <v>914</v>
      </c>
      <c r="AE7" s="52">
        <f>Elect!BB9</f>
        <v>2240</v>
      </c>
      <c r="AF7" s="54">
        <f>('Wtr-Gas'!E9)*0.0038</f>
        <v>3949.9859999999999</v>
      </c>
      <c r="AG7" s="54">
        <f>('Wtr-Gas'!H9)*0.0038</f>
        <v>770.37400000000002</v>
      </c>
      <c r="AH7" s="54">
        <f>'Wtr-Gas'!K9*0.0038</f>
        <v>1.216</v>
      </c>
      <c r="AI7" s="54">
        <f>'Wtr-Gas'!N9*0.0038</f>
        <v>2572.6</v>
      </c>
      <c r="AJ7" s="54">
        <f>'Wtr-Gas'!Q9*0.0038</f>
        <v>90.82</v>
      </c>
      <c r="AK7" s="57">
        <f>'Wtr-Gas'!U9*0.0038</f>
        <v>773.68</v>
      </c>
      <c r="AL7" s="57">
        <f>'Wtr-Gas'!X9*0.0038</f>
        <v>5779.8</v>
      </c>
      <c r="AM7" s="54">
        <f>'Wtr-Gas'!AB9*0.0038</f>
        <v>4408</v>
      </c>
      <c r="AN7" s="54">
        <f>'Wtr-Gas'!AD9*0.0038</f>
        <v>1011.066</v>
      </c>
      <c r="AO7" s="54">
        <f>'Wtr-Gas'!AF9*0.0038</f>
        <v>7.8280000000000003</v>
      </c>
      <c r="AP7" s="54">
        <f>'Wtr-Gas'!AH9*0.0038</f>
        <v>372.85599999999999</v>
      </c>
      <c r="AQ7" s="54">
        <f>'Wtr-Gas'!AJ9*0.0038</f>
        <v>43.407400000000003</v>
      </c>
      <c r="AR7" s="54">
        <f>'Wtr-Gas'!AL9*0.0038</f>
        <v>782.8</v>
      </c>
      <c r="AS7" s="54">
        <f>'Wtr-Gas'!AN9*0.0038</f>
        <v>9.8799999999999999E-2</v>
      </c>
      <c r="AT7" s="54">
        <f>'Wtr-Gas'!AP9*0.0038</f>
        <v>4.18</v>
      </c>
      <c r="AU7" s="57">
        <f>'Wtr-Gas'!AT9*0.0038</f>
        <v>0.43319999999999997</v>
      </c>
      <c r="AV7" s="54">
        <f>'Wtr-Gas'!AW9*0.0038</f>
        <v>184.6344</v>
      </c>
      <c r="AW7" s="55">
        <f>'Wtr-Gas'!AY9*0.0038</f>
        <v>150.3698</v>
      </c>
      <c r="AX7" s="54">
        <f>'Wtr-Gas'!AZ9*0.0038</f>
        <v>34.264714000000005</v>
      </c>
      <c r="AY7" s="54">
        <f>'Wtr-Gas'!BB9*0.0038</f>
        <v>9.8800000000000008</v>
      </c>
      <c r="AZ7" s="54">
        <f>'Wtr-Gas'!BD9*0.0038</f>
        <v>1.52</v>
      </c>
      <c r="BA7" s="54">
        <f>'Wtr-Gas'!BF9*0.0038</f>
        <v>0</v>
      </c>
    </row>
    <row r="8" spans="1:54" x14ac:dyDescent="0.25">
      <c r="A8" s="3" t="s">
        <v>11</v>
      </c>
      <c r="B8" s="2">
        <v>8</v>
      </c>
      <c r="C8" s="2">
        <v>2</v>
      </c>
      <c r="D8" s="2">
        <v>2021</v>
      </c>
      <c r="E8" s="52">
        <f>Elect!AM10</f>
        <v>697</v>
      </c>
      <c r="F8" s="52">
        <f>Elect!I10</f>
        <v>44480</v>
      </c>
      <c r="G8" s="52">
        <f>Elect!H10</f>
        <v>2.2610000000000001</v>
      </c>
      <c r="H8" s="52">
        <f>Elect!F10</f>
        <v>39360</v>
      </c>
      <c r="I8" s="52">
        <f>Elect!E10</f>
        <v>1.9630000000000001</v>
      </c>
      <c r="J8" s="52">
        <f>Elect!U10</f>
        <v>25800</v>
      </c>
      <c r="K8" s="52">
        <f>Elect!T10</f>
        <v>1.978</v>
      </c>
      <c r="L8" s="52">
        <f>Elect!AJ10</f>
        <v>-240</v>
      </c>
      <c r="M8" s="52">
        <f>Elect!AI10</f>
        <v>0.28100000000000003</v>
      </c>
      <c r="N8" s="52">
        <f>Elect!X10</f>
        <v>34500</v>
      </c>
      <c r="O8" s="52">
        <f>Elect!W10</f>
        <v>1.7</v>
      </c>
      <c r="P8" s="52">
        <f>Elect!O10</f>
        <v>9200</v>
      </c>
      <c r="Q8" s="52">
        <f>Elect!N10</f>
        <v>2.38</v>
      </c>
      <c r="R8" s="52">
        <f>Elect!L10</f>
        <v>10800</v>
      </c>
      <c r="S8" s="52">
        <f>Elect!K10</f>
        <v>3.05</v>
      </c>
      <c r="T8" s="52">
        <f>Elect!R10</f>
        <v>9200</v>
      </c>
      <c r="U8" s="52">
        <f>Elect!Q10</f>
        <v>2.7</v>
      </c>
      <c r="V8" s="52">
        <f>Elect!AA10</f>
        <v>5120</v>
      </c>
      <c r="W8" s="52">
        <f>Elect!Z10</f>
        <v>3.38</v>
      </c>
      <c r="X8" s="52">
        <f>Elect!AD10</f>
        <v>2400</v>
      </c>
      <c r="Y8" s="52">
        <f>Elect!AC10</f>
        <v>2.96</v>
      </c>
      <c r="Z8" s="52">
        <f>Elect!AG10</f>
        <v>48400</v>
      </c>
      <c r="AA8" s="52">
        <f>Elect!AF10</f>
        <v>2.0419999999999998</v>
      </c>
      <c r="AB8" s="52">
        <f>Elect!AX10</f>
        <v>1400</v>
      </c>
      <c r="AC8" s="52">
        <f>Elect!AV10</f>
        <v>11100</v>
      </c>
      <c r="AD8" s="52">
        <f>Elect!AZ10</f>
        <v>891</v>
      </c>
      <c r="AE8" s="52">
        <f>Elect!BB10</f>
        <v>1920</v>
      </c>
      <c r="AF8" s="54">
        <f>('Wtr-Gas'!E10)*0.0038</f>
        <v>3397.5419999999999</v>
      </c>
      <c r="AG8" s="54">
        <f>('Wtr-Gas'!H10)*0.0038</f>
        <v>701.36599999999999</v>
      </c>
      <c r="AH8" s="54">
        <f>'Wtr-Gas'!K10*0.0038</f>
        <v>0.79800000000000004</v>
      </c>
      <c r="AI8" s="54">
        <f>'Wtr-Gas'!N10*0.0038</f>
        <v>2150.8000000000002</v>
      </c>
      <c r="AJ8" s="54">
        <f>'Wtr-Gas'!Q10*0.0038</f>
        <v>83.98</v>
      </c>
      <c r="AK8" s="57">
        <f>'Wtr-Gas'!U10*0.0038</f>
        <v>797.24</v>
      </c>
      <c r="AL8" s="57">
        <f>'Wtr-Gas'!X10*0.0038</f>
        <v>6714.6</v>
      </c>
      <c r="AM8" s="54">
        <f>'Wtr-Gas'!AB10*0.0038</f>
        <v>3192</v>
      </c>
      <c r="AN8" s="54">
        <f>'Wtr-Gas'!AD10*0.0038</f>
        <v>877.91399999999999</v>
      </c>
      <c r="AO8" s="54">
        <f>'Wtr-Gas'!AF10*0.0038</f>
        <v>4.5599999999999996</v>
      </c>
      <c r="AP8" s="54">
        <f>'Wtr-Gas'!AH10*0.0038</f>
        <v>433.35199999999998</v>
      </c>
      <c r="AQ8" s="54">
        <f>'Wtr-Gas'!AJ10*0.0038</f>
        <v>25.783000000000001</v>
      </c>
      <c r="AR8" s="54">
        <f>'Wtr-Gas'!AL10*0.0038</f>
        <v>562.4</v>
      </c>
      <c r="AS8" s="54">
        <f>'Wtr-Gas'!AN10*0.0038</f>
        <v>0.35720000000000002</v>
      </c>
      <c r="AT8" s="54">
        <f>'Wtr-Gas'!AP10*0.0038</f>
        <v>8.36</v>
      </c>
      <c r="AU8" s="57">
        <f>'Wtr-Gas'!AT10*0.0038</f>
        <v>0.52059999999999995</v>
      </c>
      <c r="AV8" s="54">
        <f>'Wtr-Gas'!AW10*0.0038</f>
        <v>186.20760000000001</v>
      </c>
      <c r="AW8" s="55">
        <f>'Wtr-Gas'!AY10*0.0038</f>
        <v>151.2286</v>
      </c>
      <c r="AX8" s="54">
        <f>'Wtr-Gas'!AZ10*0.0038</f>
        <v>34.977252</v>
      </c>
      <c r="AY8" s="54">
        <f>'Wtr-Gas'!BB10*0.0038</f>
        <v>6.08</v>
      </c>
      <c r="AZ8" s="54">
        <f>'Wtr-Gas'!BD10*0.0038</f>
        <v>1.1399999999999999</v>
      </c>
      <c r="BA8" s="54">
        <f>'Wtr-Gas'!BF10*0.0038</f>
        <v>0</v>
      </c>
    </row>
    <row r="9" spans="1:54" x14ac:dyDescent="0.25">
      <c r="A9" s="3" t="s">
        <v>11</v>
      </c>
      <c r="B9" s="2">
        <v>15</v>
      </c>
      <c r="C9" s="2">
        <v>2</v>
      </c>
      <c r="D9" s="2">
        <v>2021</v>
      </c>
      <c r="E9" s="52">
        <f>Elect!AM11</f>
        <v>519</v>
      </c>
      <c r="F9" s="52">
        <f>Elect!I11</f>
        <v>45600</v>
      </c>
      <c r="G9" s="52">
        <f>Elect!H11</f>
        <v>2.2610000000000001</v>
      </c>
      <c r="H9" s="52">
        <f>Elect!F11</f>
        <v>41440</v>
      </c>
      <c r="I9" s="52">
        <f>Elect!E11</f>
        <v>1.9630000000000001</v>
      </c>
      <c r="J9" s="52">
        <f>Elect!U11</f>
        <v>68700</v>
      </c>
      <c r="K9" s="52">
        <f>Elect!T11</f>
        <v>2.073</v>
      </c>
      <c r="L9" s="52">
        <f>Elect!AJ11</f>
        <v>1440</v>
      </c>
      <c r="M9" s="52">
        <f>Elect!AI11</f>
        <v>0.29699999999999999</v>
      </c>
      <c r="N9" s="52">
        <f>Elect!X11</f>
        <v>38700</v>
      </c>
      <c r="O9" s="52">
        <f>Elect!W11</f>
        <v>1.7</v>
      </c>
      <c r="P9" s="52">
        <f>Elect!O11</f>
        <v>9200</v>
      </c>
      <c r="Q9" s="52">
        <f>Elect!N11</f>
        <v>2.38</v>
      </c>
      <c r="R9" s="52">
        <f>Elect!L11</f>
        <v>9200</v>
      </c>
      <c r="S9" s="52">
        <f>Elect!K11</f>
        <v>3.05</v>
      </c>
      <c r="T9" s="52">
        <f>Elect!R11</f>
        <v>8400</v>
      </c>
      <c r="U9" s="52">
        <f>Elect!Q11</f>
        <v>2.7</v>
      </c>
      <c r="V9" s="52">
        <f>Elect!AA11</f>
        <v>5120</v>
      </c>
      <c r="W9" s="52">
        <f>Elect!Z11</f>
        <v>3.38</v>
      </c>
      <c r="X9" s="52">
        <f>Elect!AD11</f>
        <v>2560</v>
      </c>
      <c r="Y9" s="52">
        <f>Elect!AC11</f>
        <v>2.96</v>
      </c>
      <c r="Z9" s="52">
        <f>Elect!AG11</f>
        <v>46600</v>
      </c>
      <c r="AA9" s="52">
        <f>Elect!AF11</f>
        <v>2.0419999999999998</v>
      </c>
      <c r="AB9" s="52">
        <f>Elect!AX11</f>
        <v>1700</v>
      </c>
      <c r="AC9" s="52">
        <f>Elect!AV11</f>
        <v>13200</v>
      </c>
      <c r="AD9" s="52">
        <f>Elect!AZ11</f>
        <v>895</v>
      </c>
      <c r="AE9" s="52">
        <f>Elect!BB11</f>
        <v>2120</v>
      </c>
      <c r="AF9" s="54">
        <f>('Wtr-Gas'!E11)*0.0038</f>
        <v>3703.8220000000001</v>
      </c>
      <c r="AG9" s="54">
        <f>('Wtr-Gas'!H11)*0.0038</f>
        <v>939.43600000000004</v>
      </c>
      <c r="AH9" s="54">
        <f>'Wtr-Gas'!K11*0.0038</f>
        <v>2.698</v>
      </c>
      <c r="AI9" s="54">
        <f>'Wtr-Gas'!N11*0.0038</f>
        <v>2929.8</v>
      </c>
      <c r="AJ9" s="54">
        <f>'Wtr-Gas'!Q11*0.0038</f>
        <v>88.92</v>
      </c>
      <c r="AK9" s="57">
        <f>'Wtr-Gas'!U11*0.0038</f>
        <v>824.6</v>
      </c>
      <c r="AL9" s="57">
        <f>'Wtr-Gas'!X11*0.0038</f>
        <v>3446.6</v>
      </c>
      <c r="AM9" s="54">
        <f>'Wtr-Gas'!AB11*0.0038</f>
        <v>6840</v>
      </c>
      <c r="AN9" s="54">
        <f>'Wtr-Gas'!AD11*0.0038</f>
        <v>1379.9969799999999</v>
      </c>
      <c r="AO9" s="54">
        <f>'Wtr-Gas'!AF11*0.0038</f>
        <v>3.23</v>
      </c>
      <c r="AP9" s="54">
        <f>'Wtr-Gas'!AH11*0.0038</f>
        <v>410.05799999999999</v>
      </c>
      <c r="AQ9" s="54">
        <f>'Wtr-Gas'!AJ11*0.0038</f>
        <v>28.0288</v>
      </c>
      <c r="AR9" s="54">
        <f>'Wtr-Gas'!AL11*0.0038</f>
        <v>254.6</v>
      </c>
      <c r="AS9" s="54">
        <f>'Wtr-Gas'!AN11*0.0038</f>
        <v>8.7400000000000005E-2</v>
      </c>
      <c r="AT9" s="54">
        <f>'Wtr-Gas'!AP11*0.0038</f>
        <v>46.74</v>
      </c>
      <c r="AU9" s="57">
        <f>'Wtr-Gas'!AT11*0.0038</f>
        <v>0.41799999999999998</v>
      </c>
      <c r="AV9" s="54">
        <f>'Wtr-Gas'!AW11*0.0038</f>
        <v>187.43879999999999</v>
      </c>
      <c r="AW9" s="55">
        <f>'Wtr-Gas'!AY11*0.0038</f>
        <v>152.2698</v>
      </c>
      <c r="AX9" s="54">
        <f>'Wtr-Gas'!AZ11*0.0038</f>
        <v>35.168619999999997</v>
      </c>
      <c r="AY9" s="54">
        <f>'Wtr-Gas'!BB11*0.0038</f>
        <v>12.92</v>
      </c>
      <c r="AZ9" s="54">
        <f>'Wtr-Gas'!BD11*0.0038</f>
        <v>1.52</v>
      </c>
      <c r="BA9" s="54">
        <f>'Wtr-Gas'!BF11*0.0038</f>
        <v>0</v>
      </c>
    </row>
    <row r="10" spans="1:54" x14ac:dyDescent="0.25">
      <c r="A10" s="3" t="s">
        <v>11</v>
      </c>
      <c r="B10" s="2">
        <v>22</v>
      </c>
      <c r="C10" s="2">
        <v>2</v>
      </c>
      <c r="D10" s="2">
        <v>2021</v>
      </c>
      <c r="E10" s="52">
        <f>Elect!AM12</f>
        <v>528</v>
      </c>
      <c r="F10" s="52">
        <f>Elect!I12</f>
        <v>46880</v>
      </c>
      <c r="G10" s="52">
        <f>Elect!H12</f>
        <v>1.5860000000000001</v>
      </c>
      <c r="H10" s="52">
        <f>Elect!F12</f>
        <v>40800</v>
      </c>
      <c r="I10" s="52">
        <f>Elect!E12</f>
        <v>1.2350000000000001</v>
      </c>
      <c r="J10" s="52">
        <f>Elect!U12</f>
        <v>56400</v>
      </c>
      <c r="K10" s="52">
        <f>Elect!T12</f>
        <v>2.1850000000000001</v>
      </c>
      <c r="L10" s="52">
        <f>Elect!AJ12</f>
        <v>1440</v>
      </c>
      <c r="M10" s="52">
        <f>Elect!AI12</f>
        <v>1.71</v>
      </c>
      <c r="N10" s="52">
        <f>Elect!X12</f>
        <v>31200</v>
      </c>
      <c r="O10" s="52">
        <f>Elect!W12</f>
        <v>1.7</v>
      </c>
      <c r="P10" s="52">
        <f>Elect!O12</f>
        <v>9200</v>
      </c>
      <c r="Q10" s="52">
        <f>Elect!N12</f>
        <v>6.8000000000000005E-2</v>
      </c>
      <c r="R10" s="52">
        <f>Elect!L12</f>
        <v>10800</v>
      </c>
      <c r="S10" s="52">
        <f>Elect!K12</f>
        <v>8.5000000000000006E-2</v>
      </c>
      <c r="T10" s="52">
        <f>Elect!R12</f>
        <v>9600</v>
      </c>
      <c r="U10" s="52">
        <f>Elect!Q12</f>
        <v>7.0999999999999994E-2</v>
      </c>
      <c r="V10" s="52">
        <f>Elect!AA12</f>
        <v>4960</v>
      </c>
      <c r="W10" s="52">
        <f>Elect!Z12</f>
        <v>3.38</v>
      </c>
      <c r="X10" s="52">
        <f>Elect!AD12</f>
        <v>2720</v>
      </c>
      <c r="Y10" s="52">
        <f>Elect!AC12</f>
        <v>2.96</v>
      </c>
      <c r="Z10" s="52">
        <f>Elect!AG12</f>
        <v>48000</v>
      </c>
      <c r="AA10" s="52">
        <f>Elect!AF12</f>
        <v>2.7</v>
      </c>
      <c r="AB10" s="52">
        <f>Elect!AX12</f>
        <v>1800</v>
      </c>
      <c r="AC10" s="52">
        <f>Elect!AV12</f>
        <v>14200</v>
      </c>
      <c r="AD10" s="52">
        <f>Elect!AZ12</f>
        <v>1024</v>
      </c>
      <c r="AE10" s="52">
        <f>Elect!BB12</f>
        <v>1640</v>
      </c>
      <c r="AF10" s="54">
        <f>('Wtr-Gas'!E12)*0.0038</f>
        <v>3505.2719999999999</v>
      </c>
      <c r="AG10" s="54">
        <f>('Wtr-Gas'!H12)*0.0038</f>
        <v>974.13</v>
      </c>
      <c r="AH10" s="54">
        <f>'Wtr-Gas'!K12*0.0038</f>
        <v>0.60799999999999998</v>
      </c>
      <c r="AI10" s="54">
        <f>'Wtr-Gas'!N12*0.0038</f>
        <v>2413</v>
      </c>
      <c r="AJ10" s="54">
        <f>'Wtr-Gas'!Q12*0.0038</f>
        <v>99.56</v>
      </c>
      <c r="AK10" s="57">
        <f>'Wtr-Gas'!U12*0.0038</f>
        <v>843.6</v>
      </c>
      <c r="AL10" s="57">
        <f>'Wtr-Gas'!X12*0.0038</f>
        <v>4799.3999999999996</v>
      </c>
      <c r="AM10" s="54">
        <f>'Wtr-Gas'!AB12*0.0038</f>
        <v>5320</v>
      </c>
      <c r="AN10" s="54">
        <f>'Wtr-Gas'!AD12*0.0038</f>
        <v>1185.9150200000001</v>
      </c>
      <c r="AO10" s="54">
        <f>'Wtr-Gas'!AF12*0.0038</f>
        <v>6.0419999999999998</v>
      </c>
      <c r="AP10" s="54">
        <f>'Wtr-Gas'!AH12*0.0038</f>
        <v>411.31200000000001</v>
      </c>
      <c r="AQ10" s="54">
        <f>'Wtr-Gas'!AJ12*0.0038</f>
        <v>35.15</v>
      </c>
      <c r="AR10" s="54">
        <f>'Wtr-Gas'!AL12*0.0038</f>
        <v>345.8</v>
      </c>
      <c r="AS10" s="54">
        <f>'Wtr-Gas'!AN12*0.0038</f>
        <v>0.114</v>
      </c>
      <c r="AT10" s="54">
        <f>'Wtr-Gas'!AP12*0.0038</f>
        <v>3.42</v>
      </c>
      <c r="AU10" s="57">
        <f>'Wtr-Gas'!AT12*0.0038</f>
        <v>0.4864</v>
      </c>
      <c r="AV10" s="54">
        <f>'Wtr-Gas'!AW12*0.0038</f>
        <v>211.69800000000001</v>
      </c>
      <c r="AW10" s="55">
        <f>'Wtr-Gas'!AY12*0.0038</f>
        <v>172.5694</v>
      </c>
      <c r="AX10" s="54">
        <f>'Wtr-Gas'!AZ12*0.0038</f>
        <v>39.129435999999998</v>
      </c>
      <c r="AY10" s="54">
        <f>'Wtr-Gas'!BB12*0.0038</f>
        <v>14.82</v>
      </c>
      <c r="AZ10" s="54">
        <f>'Wtr-Gas'!BD12*0.0038</f>
        <v>1.9</v>
      </c>
      <c r="BA10" s="54">
        <f>'Wtr-Gas'!BF12*0.0038</f>
        <v>0</v>
      </c>
    </row>
    <row r="11" spans="1:54" x14ac:dyDescent="0.25">
      <c r="A11" s="3" t="s">
        <v>11</v>
      </c>
      <c r="B11" s="2">
        <v>28</v>
      </c>
      <c r="C11" s="2">
        <v>2</v>
      </c>
      <c r="D11" s="2">
        <v>2021</v>
      </c>
      <c r="E11" s="52">
        <f>Elect!AM13</f>
        <v>506</v>
      </c>
      <c r="F11" s="52">
        <f>Elect!I13</f>
        <v>47040</v>
      </c>
      <c r="G11" s="52">
        <f>Elect!H13</f>
        <v>2.1880000000000002</v>
      </c>
      <c r="H11" s="52">
        <f>Elect!F13</f>
        <v>40800</v>
      </c>
      <c r="I11" s="52">
        <f>Elect!E13</f>
        <v>1.9339999999999999</v>
      </c>
      <c r="J11" s="52">
        <f>Elect!U13</f>
        <v>49200</v>
      </c>
      <c r="K11" s="52">
        <f>Elect!T13</f>
        <v>2.5830000000000002</v>
      </c>
      <c r="L11" s="52">
        <f>Elect!AJ13</f>
        <v>1440</v>
      </c>
      <c r="M11" s="52">
        <f>Elect!AI13</f>
        <v>0.30099999999999999</v>
      </c>
      <c r="N11" s="52">
        <f>Elect!X13</f>
        <v>48000</v>
      </c>
      <c r="O11" s="52">
        <f>Elect!W13</f>
        <v>1.8879999999999999</v>
      </c>
      <c r="P11" s="52">
        <f>Elect!O13</f>
        <v>9200</v>
      </c>
      <c r="Q11" s="52">
        <f>Elect!N13</f>
        <v>1.79</v>
      </c>
      <c r="R11" s="52">
        <f>Elect!L13</f>
        <v>10000</v>
      </c>
      <c r="S11" s="52">
        <f>Elect!K13</f>
        <v>2.17</v>
      </c>
      <c r="T11" s="52">
        <f>Elect!R13</f>
        <v>9200</v>
      </c>
      <c r="U11" s="52">
        <f>Elect!Q13</f>
        <v>1.87</v>
      </c>
      <c r="V11" s="52">
        <f>Elect!AA13</f>
        <v>6240</v>
      </c>
      <c r="W11" s="52">
        <f>Elect!Z13</f>
        <v>3.74</v>
      </c>
      <c r="X11" s="52">
        <f>Elect!AD13</f>
        <v>3200</v>
      </c>
      <c r="Y11" s="52">
        <f>Elect!AC13</f>
        <v>2.06</v>
      </c>
      <c r="Z11" s="52">
        <f>Elect!AG13</f>
        <v>48200</v>
      </c>
      <c r="AA11" s="52">
        <f>Elect!AF13</f>
        <v>1.8959999999999999</v>
      </c>
      <c r="AB11" s="52">
        <f>Elect!AX13</f>
        <v>1500</v>
      </c>
      <c r="AC11" s="52">
        <f>Elect!AV13</f>
        <v>11600</v>
      </c>
      <c r="AD11" s="52">
        <f>Elect!AZ13</f>
        <v>784</v>
      </c>
      <c r="AE11" s="52">
        <f>Elect!BB13</f>
        <v>3920</v>
      </c>
      <c r="AF11" s="54">
        <f>('Wtr-Gas'!E13)*0.0038</f>
        <v>3780.848</v>
      </c>
      <c r="AG11" s="54">
        <f>('Wtr-Gas'!H13)*0.0038</f>
        <v>717.66800000000001</v>
      </c>
      <c r="AH11" s="54">
        <f>'Wtr-Gas'!K13*0.0038</f>
        <v>1.026</v>
      </c>
      <c r="AI11" s="54">
        <f>'Wtr-Gas'!N13*0.0038</f>
        <v>2717</v>
      </c>
      <c r="AJ11" s="54">
        <f>'Wtr-Gas'!Q13*0.0038</f>
        <v>101.84</v>
      </c>
      <c r="AK11" s="57">
        <f>'Wtr-Gas'!U13*0.0038</f>
        <v>855.76</v>
      </c>
      <c r="AL11" s="57">
        <f>'Wtr-Gas'!X13*0.0038</f>
        <v>4240.8</v>
      </c>
      <c r="AM11" s="54">
        <f>'Wtr-Gas'!AB13*0.0038</f>
        <v>6232</v>
      </c>
      <c r="AN11" s="54">
        <f>'Wtr-Gas'!AD13*0.0038</f>
        <v>1208.5899999999999</v>
      </c>
      <c r="AO11" s="54">
        <f>'Wtr-Gas'!AF13*0.0038</f>
        <v>7.22</v>
      </c>
      <c r="AP11" s="54">
        <f>'Wtr-Gas'!AH13*0.0038</f>
        <v>412.71800000000002</v>
      </c>
      <c r="AQ11" s="54">
        <f>'Wtr-Gas'!AJ13*0.0038</f>
        <v>30.316400000000002</v>
      </c>
      <c r="AR11" s="54">
        <f>'Wtr-Gas'!AL13*0.0038</f>
        <v>345.8</v>
      </c>
      <c r="AS11" s="54">
        <f>'Wtr-Gas'!AN13*0.0038</f>
        <v>7.9799999999999996E-2</v>
      </c>
      <c r="AT11" s="54">
        <f>'Wtr-Gas'!AP13*0.0038</f>
        <v>14.06</v>
      </c>
      <c r="AU11" s="57">
        <f>'Wtr-Gas'!AT13*0.0038</f>
        <v>0.30780000000000002</v>
      </c>
      <c r="AV11" s="54">
        <f>'Wtr-Gas'!AW13*0.0038</f>
        <v>162.62860000000001</v>
      </c>
      <c r="AW11" s="55">
        <f>'Wtr-Gas'!AY13*0.0038</f>
        <v>128.20439999999999</v>
      </c>
      <c r="AX11" s="54">
        <f>'Wtr-Gas'!AZ13*0.0038</f>
        <v>34.424389999999995</v>
      </c>
      <c r="AY11" s="54">
        <f>'Wtr-Gas'!BB13*0.0038</f>
        <v>18.239999999999998</v>
      </c>
      <c r="AZ11" s="54">
        <f>'Wtr-Gas'!BD13*0.0038</f>
        <v>1.1399999999999999</v>
      </c>
      <c r="BA11" s="54">
        <f>'Wtr-Gas'!BF13*0.0038</f>
        <v>3.8E-3</v>
      </c>
    </row>
    <row r="12" spans="1:54" x14ac:dyDescent="0.25">
      <c r="A12" s="3" t="s">
        <v>11</v>
      </c>
      <c r="B12" s="2">
        <v>8</v>
      </c>
      <c r="C12" s="2">
        <v>3</v>
      </c>
      <c r="D12" s="2">
        <v>2021</v>
      </c>
      <c r="E12" s="52">
        <f>Elect!AM14</f>
        <v>-74901</v>
      </c>
      <c r="F12" s="52">
        <f>Elect!I14</f>
        <v>-15543200</v>
      </c>
      <c r="G12" s="52">
        <f>Elect!H14</f>
        <v>0</v>
      </c>
      <c r="H12" s="52">
        <f>Elect!F14</f>
        <v>-16051200</v>
      </c>
      <c r="I12" s="52">
        <f>Elect!E14</f>
        <v>0</v>
      </c>
      <c r="J12" s="52">
        <f>Elect!U14</f>
        <v>-23439900</v>
      </c>
      <c r="K12" s="52">
        <f>Elect!T14</f>
        <v>0</v>
      </c>
      <c r="L12" s="52">
        <f>Elect!AJ14</f>
        <v>-711240</v>
      </c>
      <c r="M12" s="52">
        <f>Elect!AI14</f>
        <v>0</v>
      </c>
      <c r="N12" s="52">
        <f>Elect!X14</f>
        <v>-22370700</v>
      </c>
      <c r="O12" s="52">
        <f>Elect!W14</f>
        <v>0</v>
      </c>
      <c r="P12" s="52">
        <f>Elect!O14</f>
        <v>-4391200</v>
      </c>
      <c r="Q12" s="52">
        <f>Elect!N14</f>
        <v>0</v>
      </c>
      <c r="R12" s="52">
        <f>Elect!L14</f>
        <v>-4437600</v>
      </c>
      <c r="S12" s="52">
        <f>Elect!K14</f>
        <v>0</v>
      </c>
      <c r="T12" s="52">
        <f>Elect!R14</f>
        <v>-4646400</v>
      </c>
      <c r="U12" s="52">
        <f>Elect!Q14</f>
        <v>0</v>
      </c>
      <c r="V12" s="52">
        <f>Elect!AA14</f>
        <v>-2898560</v>
      </c>
      <c r="W12" s="52">
        <f>Elect!Z14</f>
        <v>0</v>
      </c>
      <c r="X12" s="52">
        <f>Elect!AD14</f>
        <v>-1914560</v>
      </c>
      <c r="Y12" s="52">
        <f>Elect!AC14</f>
        <v>0</v>
      </c>
      <c r="Z12" s="52">
        <f>Elect!AG14</f>
        <v>-19066000</v>
      </c>
      <c r="AA12" s="52">
        <f>Elect!AF14</f>
        <v>0</v>
      </c>
      <c r="AB12" s="52">
        <f>Elect!AX14</f>
        <v>-819600</v>
      </c>
      <c r="AC12" s="52">
        <f>Elect!AV14</f>
        <v>-6412200</v>
      </c>
      <c r="AD12" s="52">
        <f>Elect!AZ14</f>
        <v>-36222</v>
      </c>
      <c r="AE12" s="52">
        <f>Elect!BB14</f>
        <v>-14920</v>
      </c>
      <c r="AF12" s="54">
        <f>('Wtr-Gas'!E14)*0.0038</f>
        <v>-1591131.5919999999</v>
      </c>
      <c r="AG12" s="54">
        <f>('Wtr-Gas'!H14)*0.0038</f>
        <v>-189727.16</v>
      </c>
      <c r="AH12" s="54">
        <f>'Wtr-Gas'!K14*0.0038</f>
        <v>-650.67399999999998</v>
      </c>
      <c r="AI12" s="54">
        <f>'Wtr-Gas'!N14*0.0038</f>
        <v>-1152745.2</v>
      </c>
      <c r="AJ12" s="54">
        <f>'Wtr-Gas'!Q14*0.0038</f>
        <v>-2912.7</v>
      </c>
      <c r="AK12" s="57">
        <f>'Wtr-Gas'!U14*0.0038</f>
        <v>-270237.38</v>
      </c>
      <c r="AL12" s="57">
        <f>'Wtr-Gas'!X14*0.0038</f>
        <v>-204835.20000000001</v>
      </c>
      <c r="AM12" s="54">
        <f>'Wtr-Gas'!AB14*0.0038</f>
        <v>-580868</v>
      </c>
      <c r="AN12" s="54">
        <f>'Wtr-Gas'!AD14*0.0038</f>
        <v>-157167.58199999999</v>
      </c>
      <c r="AO12" s="54">
        <f>'Wtr-Gas'!AF14*0.0038</f>
        <v>-4025.72</v>
      </c>
      <c r="AP12" s="54">
        <f>'Wtr-Gas'!AH14*0.0038</f>
        <v>-124138.09600000001</v>
      </c>
      <c r="AQ12" s="54">
        <f>'Wtr-Gas'!AJ14*0.0038</f>
        <v>-15563.245800000001</v>
      </c>
      <c r="AR12" s="54">
        <f>'Wtr-Gas'!AL14*0.0038</f>
        <v>-74442</v>
      </c>
      <c r="AS12" s="54">
        <f>'Wtr-Gas'!AN14*0.0038</f>
        <v>-2048.1999999999998</v>
      </c>
      <c r="AT12" s="54">
        <f>'Wtr-Gas'!AP14*0.0038</f>
        <v>-4571.78</v>
      </c>
      <c r="AU12" s="57">
        <f>'Wtr-Gas'!AT14*0.0038</f>
        <v>-37.726399999999998</v>
      </c>
      <c r="AV12" s="54">
        <f>'Wtr-Gas'!AW14*0.0038</f>
        <v>-70542.352599999998</v>
      </c>
      <c r="AW12" s="55">
        <f>'Wtr-Gas'!AY14*0.0038</f>
        <v>-18140.743354000002</v>
      </c>
      <c r="AX12" s="54">
        <f>'Wtr-Gas'!AZ14*0.0038</f>
        <v>-52401.609246</v>
      </c>
      <c r="AY12" s="54">
        <f>'Wtr-Gas'!BB14*0.0038</f>
        <v>-26557.06</v>
      </c>
      <c r="AZ12" s="54">
        <f>'Wtr-Gas'!BD14*0.0038</f>
        <v>-14270.52</v>
      </c>
      <c r="BA12" s="54">
        <f>'Wtr-Gas'!BF14*0.0038</f>
        <v>-164112.4278</v>
      </c>
    </row>
    <row r="13" spans="1:54" x14ac:dyDescent="0.25">
      <c r="A13" s="3" t="s">
        <v>11</v>
      </c>
      <c r="B13" s="2">
        <v>15</v>
      </c>
      <c r="C13" s="2">
        <v>3</v>
      </c>
      <c r="D13" s="2">
        <v>2021</v>
      </c>
      <c r="E13" s="52">
        <f>Elect!AM15</f>
        <v>0</v>
      </c>
      <c r="F13" s="52">
        <f>Elect!I15</f>
        <v>0</v>
      </c>
      <c r="G13" s="52">
        <f>Elect!H15</f>
        <v>0</v>
      </c>
      <c r="H13" s="52">
        <f>Elect!F15</f>
        <v>0</v>
      </c>
      <c r="I13" s="52">
        <f>Elect!E15</f>
        <v>0</v>
      </c>
      <c r="J13" s="52">
        <f>Elect!U15</f>
        <v>0</v>
      </c>
      <c r="K13" s="52">
        <f>Elect!T15</f>
        <v>0</v>
      </c>
      <c r="L13" s="52">
        <f>Elect!AJ15</f>
        <v>0</v>
      </c>
      <c r="M13" s="52">
        <f>Elect!AI15</f>
        <v>0</v>
      </c>
      <c r="N13" s="52">
        <f>Elect!X15</f>
        <v>0</v>
      </c>
      <c r="O13" s="52">
        <f>Elect!W15</f>
        <v>0</v>
      </c>
      <c r="P13" s="52">
        <f>Elect!O15</f>
        <v>0</v>
      </c>
      <c r="Q13" s="52">
        <f>Elect!N15</f>
        <v>0</v>
      </c>
      <c r="R13" s="52">
        <f>Elect!L15</f>
        <v>0</v>
      </c>
      <c r="S13" s="52">
        <f>Elect!K15</f>
        <v>0</v>
      </c>
      <c r="T13" s="52">
        <f>Elect!R15</f>
        <v>0</v>
      </c>
      <c r="U13" s="52">
        <f>Elect!Q15</f>
        <v>0</v>
      </c>
      <c r="V13" s="52">
        <f>Elect!AA15</f>
        <v>0</v>
      </c>
      <c r="W13" s="52">
        <f>Elect!Z15</f>
        <v>0</v>
      </c>
      <c r="X13" s="52">
        <f>Elect!AD15</f>
        <v>0</v>
      </c>
      <c r="Y13" s="52">
        <f>Elect!AC15</f>
        <v>0</v>
      </c>
      <c r="Z13" s="52">
        <f>Elect!AG15</f>
        <v>0</v>
      </c>
      <c r="AA13" s="52">
        <f>Elect!AF15</f>
        <v>0</v>
      </c>
      <c r="AB13" s="52">
        <f>Elect!AX15</f>
        <v>0</v>
      </c>
      <c r="AC13" s="52">
        <f>Elect!AV15</f>
        <v>0</v>
      </c>
      <c r="AD13" s="52">
        <f>Elect!AZ15</f>
        <v>0</v>
      </c>
      <c r="AE13" s="52">
        <f>Elect!BB15</f>
        <v>0</v>
      </c>
      <c r="AF13" s="54">
        <f>('Wtr-Gas'!E15)*0.0038</f>
        <v>0</v>
      </c>
      <c r="AG13" s="54">
        <f>('Wtr-Gas'!H15)*0.0038</f>
        <v>0</v>
      </c>
      <c r="AH13" s="54">
        <f>'Wtr-Gas'!K15*0.0038</f>
        <v>0</v>
      </c>
      <c r="AI13" s="54">
        <f>'Wtr-Gas'!N15*0.0038</f>
        <v>0</v>
      </c>
      <c r="AJ13" s="54">
        <f>'Wtr-Gas'!Q15*0.0038</f>
        <v>0</v>
      </c>
      <c r="AK13" s="57">
        <f>'Wtr-Gas'!U15*0.0038</f>
        <v>0</v>
      </c>
      <c r="AL13" s="57">
        <f>'Wtr-Gas'!X15*0.0038</f>
        <v>0</v>
      </c>
      <c r="AM13" s="54">
        <f>'Wtr-Gas'!AB15*0.0038</f>
        <v>0</v>
      </c>
      <c r="AN13" s="54">
        <f>'Wtr-Gas'!AD15*0.0038</f>
        <v>0</v>
      </c>
      <c r="AO13" s="54">
        <f>'Wtr-Gas'!AF15*0.0038</f>
        <v>0</v>
      </c>
      <c r="AP13" s="54">
        <f>'Wtr-Gas'!AH15*0.0038</f>
        <v>0</v>
      </c>
      <c r="AQ13" s="54">
        <f>'Wtr-Gas'!AJ15*0.0038</f>
        <v>0</v>
      </c>
      <c r="AR13" s="54">
        <f>'Wtr-Gas'!AL15*0.0038</f>
        <v>0</v>
      </c>
      <c r="AS13" s="54">
        <f>'Wtr-Gas'!AN15*0.0038</f>
        <v>0</v>
      </c>
      <c r="AT13" s="54">
        <f>'Wtr-Gas'!AP15*0.0038</f>
        <v>0</v>
      </c>
      <c r="AU13" s="57">
        <f>'Wtr-Gas'!AT15*0.0038</f>
        <v>0</v>
      </c>
      <c r="AV13" s="54">
        <f>'Wtr-Gas'!AW15*0.0038</f>
        <v>0</v>
      </c>
      <c r="AW13" s="55">
        <f>'Wtr-Gas'!AY15*0.0038</f>
        <v>0</v>
      </c>
      <c r="AX13" s="54">
        <f>'Wtr-Gas'!AZ15*0.0038</f>
        <v>0</v>
      </c>
      <c r="AY13" s="54">
        <f>'Wtr-Gas'!BB15*0.0038</f>
        <v>0</v>
      </c>
      <c r="AZ13" s="54">
        <f>'Wtr-Gas'!BD15*0.0038</f>
        <v>0</v>
      </c>
      <c r="BA13" s="54">
        <f>'Wtr-Gas'!BF15*0.0038</f>
        <v>0</v>
      </c>
    </row>
    <row r="14" spans="1:54" x14ac:dyDescent="0.25">
      <c r="A14" s="3" t="s">
        <v>11</v>
      </c>
      <c r="B14" s="2">
        <v>22</v>
      </c>
      <c r="C14" s="2">
        <v>3</v>
      </c>
      <c r="D14" s="2">
        <v>2021</v>
      </c>
      <c r="E14" s="52">
        <f>Elect!AM16</f>
        <v>0</v>
      </c>
      <c r="F14" s="52">
        <f>Elect!I16</f>
        <v>0</v>
      </c>
      <c r="G14" s="52">
        <f>Elect!H16</f>
        <v>0</v>
      </c>
      <c r="H14" s="52">
        <f>Elect!F16</f>
        <v>0</v>
      </c>
      <c r="I14" s="52">
        <f>Elect!E16</f>
        <v>0</v>
      </c>
      <c r="J14" s="52">
        <f>Elect!U16</f>
        <v>0</v>
      </c>
      <c r="K14" s="52">
        <f>Elect!T16</f>
        <v>0</v>
      </c>
      <c r="L14" s="52">
        <f>Elect!AJ16</f>
        <v>0</v>
      </c>
      <c r="M14" s="52">
        <f>Elect!AI16</f>
        <v>0</v>
      </c>
      <c r="N14" s="52">
        <f>Elect!X16</f>
        <v>0</v>
      </c>
      <c r="O14" s="52">
        <f>Elect!W16</f>
        <v>0</v>
      </c>
      <c r="P14" s="52">
        <f>Elect!O16</f>
        <v>0</v>
      </c>
      <c r="Q14" s="52">
        <f>Elect!N16</f>
        <v>0</v>
      </c>
      <c r="R14" s="52">
        <f>Elect!L16</f>
        <v>0</v>
      </c>
      <c r="S14" s="52">
        <f>Elect!K16</f>
        <v>0</v>
      </c>
      <c r="T14" s="52">
        <f>Elect!R16</f>
        <v>0</v>
      </c>
      <c r="U14" s="52">
        <f>Elect!Q16</f>
        <v>0</v>
      </c>
      <c r="V14" s="52">
        <f>Elect!AA16</f>
        <v>0</v>
      </c>
      <c r="W14" s="52">
        <f>Elect!Z16</f>
        <v>0</v>
      </c>
      <c r="X14" s="52">
        <f>Elect!AD16</f>
        <v>0</v>
      </c>
      <c r="Y14" s="52">
        <f>Elect!AC16</f>
        <v>0</v>
      </c>
      <c r="Z14" s="52">
        <f>Elect!AG16</f>
        <v>0</v>
      </c>
      <c r="AA14" s="52">
        <f>Elect!AF16</f>
        <v>0</v>
      </c>
      <c r="AB14" s="52">
        <f>Elect!AX16</f>
        <v>0</v>
      </c>
      <c r="AC14" s="52">
        <f>Elect!AV16</f>
        <v>0</v>
      </c>
      <c r="AD14" s="52">
        <f>Elect!AZ16</f>
        <v>0</v>
      </c>
      <c r="AE14" s="52">
        <f>Elect!BB16</f>
        <v>0</v>
      </c>
      <c r="AF14" s="54">
        <f>('Wtr-Gas'!E16)*0.0038</f>
        <v>0</v>
      </c>
      <c r="AG14" s="54">
        <f>('Wtr-Gas'!H16)*0.0038</f>
        <v>0</v>
      </c>
      <c r="AH14" s="54">
        <f>'Wtr-Gas'!K16*0.0038</f>
        <v>0</v>
      </c>
      <c r="AI14" s="54">
        <f>'Wtr-Gas'!N16*0.0038</f>
        <v>0</v>
      </c>
      <c r="AJ14" s="54">
        <f>'Wtr-Gas'!Q16*0.0038</f>
        <v>0</v>
      </c>
      <c r="AK14" s="57">
        <f>'Wtr-Gas'!U16*0.0038</f>
        <v>0</v>
      </c>
      <c r="AL14" s="57">
        <f>'Wtr-Gas'!X16*0.0038</f>
        <v>0</v>
      </c>
      <c r="AM14" s="54">
        <f>'Wtr-Gas'!AB16*0.0038</f>
        <v>0</v>
      </c>
      <c r="AN14" s="54">
        <f>'Wtr-Gas'!AD16*0.0038</f>
        <v>0</v>
      </c>
      <c r="AO14" s="54">
        <f>'Wtr-Gas'!AF16*0.0038</f>
        <v>0</v>
      </c>
      <c r="AP14" s="54">
        <f>'Wtr-Gas'!AH16*0.0038</f>
        <v>0</v>
      </c>
      <c r="AQ14" s="54">
        <f>'Wtr-Gas'!AJ16*0.0038</f>
        <v>0</v>
      </c>
      <c r="AR14" s="54">
        <f>'Wtr-Gas'!AL16*0.0038</f>
        <v>0</v>
      </c>
      <c r="AS14" s="54">
        <f>'Wtr-Gas'!AN16*0.0038</f>
        <v>0</v>
      </c>
      <c r="AT14" s="54">
        <f>'Wtr-Gas'!AP16*0.0038</f>
        <v>0</v>
      </c>
      <c r="AU14" s="57">
        <f>'Wtr-Gas'!AT16*0.0038</f>
        <v>0</v>
      </c>
      <c r="AV14" s="54">
        <f>'Wtr-Gas'!AW16*0.0038</f>
        <v>0</v>
      </c>
      <c r="AW14" s="55">
        <f>'Wtr-Gas'!AY16*0.0038</f>
        <v>0</v>
      </c>
      <c r="AX14" s="54">
        <f>'Wtr-Gas'!AZ16*0.0038</f>
        <v>0</v>
      </c>
      <c r="AY14" s="54">
        <f>'Wtr-Gas'!BB16*0.0038</f>
        <v>0</v>
      </c>
      <c r="AZ14" s="54">
        <f>'Wtr-Gas'!BD16*0.0038</f>
        <v>0</v>
      </c>
      <c r="BA14" s="54">
        <f>'Wtr-Gas'!BF16*0.0038</f>
        <v>0</v>
      </c>
    </row>
    <row r="15" spans="1:54" x14ac:dyDescent="0.25">
      <c r="A15" s="3" t="s">
        <v>11</v>
      </c>
      <c r="B15" s="2">
        <v>29</v>
      </c>
      <c r="C15" s="2">
        <v>3</v>
      </c>
      <c r="D15" s="2">
        <v>2021</v>
      </c>
      <c r="E15" s="52">
        <f>Elect!AM17</f>
        <v>0</v>
      </c>
      <c r="F15" s="52">
        <f>Elect!I17</f>
        <v>0</v>
      </c>
      <c r="G15" s="52">
        <f>Elect!H17</f>
        <v>0</v>
      </c>
      <c r="H15" s="52">
        <f>Elect!F17</f>
        <v>0</v>
      </c>
      <c r="I15" s="52">
        <f>Elect!E17</f>
        <v>0</v>
      </c>
      <c r="J15" s="52">
        <f>Elect!U17</f>
        <v>0</v>
      </c>
      <c r="K15" s="52">
        <f>Elect!T17</f>
        <v>0</v>
      </c>
      <c r="L15" s="52">
        <f>Elect!AJ17</f>
        <v>0</v>
      </c>
      <c r="M15" s="52">
        <f>Elect!AI17</f>
        <v>0</v>
      </c>
      <c r="N15" s="52">
        <f>Elect!X17</f>
        <v>0</v>
      </c>
      <c r="O15" s="52">
        <f>Elect!W17</f>
        <v>0</v>
      </c>
      <c r="P15" s="52">
        <f>Elect!O17</f>
        <v>0</v>
      </c>
      <c r="Q15" s="52">
        <f>Elect!N17</f>
        <v>0</v>
      </c>
      <c r="R15" s="52">
        <f>Elect!L17</f>
        <v>0</v>
      </c>
      <c r="S15" s="52">
        <f>Elect!K17</f>
        <v>0</v>
      </c>
      <c r="T15" s="52">
        <f>Elect!R17</f>
        <v>0</v>
      </c>
      <c r="U15" s="52">
        <f>Elect!Q17</f>
        <v>0</v>
      </c>
      <c r="V15" s="52">
        <f>Elect!AA17</f>
        <v>0</v>
      </c>
      <c r="W15" s="52">
        <f>Elect!Z17</f>
        <v>0</v>
      </c>
      <c r="X15" s="52">
        <f>Elect!AD17</f>
        <v>0</v>
      </c>
      <c r="Y15" s="52">
        <f>Elect!AC17</f>
        <v>0</v>
      </c>
      <c r="Z15" s="52">
        <f>Elect!AG17</f>
        <v>0</v>
      </c>
      <c r="AA15" s="52">
        <f>Elect!AF17</f>
        <v>0</v>
      </c>
      <c r="AB15" s="52">
        <f>Elect!AX17</f>
        <v>0</v>
      </c>
      <c r="AC15" s="52">
        <f>Elect!AV17</f>
        <v>0</v>
      </c>
      <c r="AD15" s="52">
        <f>Elect!AZ17</f>
        <v>0</v>
      </c>
      <c r="AE15" s="52">
        <f>Elect!BB17</f>
        <v>0</v>
      </c>
      <c r="AF15" s="54">
        <f>('Wtr-Gas'!E17)*0.0038</f>
        <v>0</v>
      </c>
      <c r="AG15" s="54">
        <f>('Wtr-Gas'!H17)*0.0038</f>
        <v>0</v>
      </c>
      <c r="AH15" s="54">
        <f>'Wtr-Gas'!K17*0.0038</f>
        <v>0</v>
      </c>
      <c r="AI15" s="54">
        <f>'Wtr-Gas'!N17*0.0038</f>
        <v>0</v>
      </c>
      <c r="AJ15" s="54">
        <f>'Wtr-Gas'!Q17*0.0038</f>
        <v>0</v>
      </c>
      <c r="AK15" s="57">
        <f>'Wtr-Gas'!U17*0.0038</f>
        <v>0</v>
      </c>
      <c r="AL15" s="57">
        <f>'Wtr-Gas'!X17*0.0038</f>
        <v>0</v>
      </c>
      <c r="AM15" s="54">
        <f>'Wtr-Gas'!AB17*0.0038</f>
        <v>0</v>
      </c>
      <c r="AN15" s="54">
        <f>'Wtr-Gas'!AD17*0.0038</f>
        <v>0</v>
      </c>
      <c r="AO15" s="54">
        <f>'Wtr-Gas'!AF17*0.0038</f>
        <v>0</v>
      </c>
      <c r="AP15" s="54">
        <f>'Wtr-Gas'!AH17*0.0038</f>
        <v>0</v>
      </c>
      <c r="AQ15" s="54">
        <f>'Wtr-Gas'!AJ17*0.0038</f>
        <v>0</v>
      </c>
      <c r="AR15" s="54">
        <f>'Wtr-Gas'!AL17*0.0038</f>
        <v>0</v>
      </c>
      <c r="AS15" s="54">
        <f>'Wtr-Gas'!AN17*0.0038</f>
        <v>0</v>
      </c>
      <c r="AT15" s="54">
        <f>'Wtr-Gas'!AP17*0.0038</f>
        <v>0</v>
      </c>
      <c r="AU15" s="57">
        <f>'Wtr-Gas'!AT17*0.0038</f>
        <v>0</v>
      </c>
      <c r="AV15" s="54">
        <f>'Wtr-Gas'!AW17*0.0038</f>
        <v>0</v>
      </c>
      <c r="AW15" s="55">
        <f>'Wtr-Gas'!AY17*0.0038</f>
        <v>0</v>
      </c>
      <c r="AX15" s="54">
        <f>'Wtr-Gas'!AZ17*0.0038</f>
        <v>0</v>
      </c>
      <c r="AY15" s="54">
        <f>'Wtr-Gas'!BB17*0.0038</f>
        <v>0</v>
      </c>
      <c r="AZ15" s="54">
        <f>'Wtr-Gas'!BD17*0.0038</f>
        <v>0</v>
      </c>
      <c r="BA15" s="54">
        <f>'Wtr-Gas'!BF17*0.0038</f>
        <v>0</v>
      </c>
    </row>
    <row r="16" spans="1:54" x14ac:dyDescent="0.25">
      <c r="A16" s="3" t="s">
        <v>11</v>
      </c>
      <c r="B16" s="2">
        <v>31</v>
      </c>
      <c r="C16" s="2">
        <v>3</v>
      </c>
      <c r="D16" s="2">
        <v>2021</v>
      </c>
      <c r="E16" s="52">
        <f>Elect!AM18</f>
        <v>0</v>
      </c>
      <c r="F16" s="52">
        <f>Elect!I18</f>
        <v>0</v>
      </c>
      <c r="G16" s="52">
        <f>Elect!H18</f>
        <v>0</v>
      </c>
      <c r="H16" s="52">
        <f>Elect!F18</f>
        <v>0</v>
      </c>
      <c r="I16" s="52">
        <f>Elect!E18</f>
        <v>0</v>
      </c>
      <c r="J16" s="52">
        <f>Elect!U18</f>
        <v>0</v>
      </c>
      <c r="K16" s="52">
        <f>Elect!T18</f>
        <v>0</v>
      </c>
      <c r="L16" s="52">
        <f>Elect!AJ18</f>
        <v>0</v>
      </c>
      <c r="M16" s="52">
        <f>Elect!AI18</f>
        <v>0</v>
      </c>
      <c r="N16" s="52">
        <f>Elect!X18</f>
        <v>0</v>
      </c>
      <c r="O16" s="52">
        <f>Elect!W18</f>
        <v>0</v>
      </c>
      <c r="P16" s="52">
        <f>Elect!O18</f>
        <v>0</v>
      </c>
      <c r="Q16" s="52">
        <f>Elect!N18</f>
        <v>0</v>
      </c>
      <c r="R16" s="52">
        <f>Elect!L18</f>
        <v>0</v>
      </c>
      <c r="S16" s="52">
        <f>Elect!K18</f>
        <v>0</v>
      </c>
      <c r="T16" s="52">
        <f>Elect!R18</f>
        <v>0</v>
      </c>
      <c r="U16" s="52">
        <f>Elect!Q18</f>
        <v>0</v>
      </c>
      <c r="V16" s="52">
        <f>Elect!AA18</f>
        <v>0</v>
      </c>
      <c r="W16" s="52">
        <f>Elect!Z18</f>
        <v>0</v>
      </c>
      <c r="X16" s="52">
        <f>Elect!AD18</f>
        <v>0</v>
      </c>
      <c r="Y16" s="52">
        <f>Elect!AC18</f>
        <v>0</v>
      </c>
      <c r="Z16" s="52">
        <f>Elect!AG18</f>
        <v>0</v>
      </c>
      <c r="AA16" s="52">
        <f>Elect!AF18</f>
        <v>0</v>
      </c>
      <c r="AB16" s="52">
        <f>Elect!AX18</f>
        <v>0</v>
      </c>
      <c r="AC16" s="52">
        <f>Elect!AV18</f>
        <v>0</v>
      </c>
      <c r="AD16" s="52">
        <f>Elect!AZ18</f>
        <v>0</v>
      </c>
      <c r="AE16" s="52">
        <f>Elect!BB18</f>
        <v>0</v>
      </c>
      <c r="AF16" s="54">
        <f>('Wtr-Gas'!E18)*0.0038</f>
        <v>0</v>
      </c>
      <c r="AG16" s="54">
        <f>('Wtr-Gas'!H18)*0.0038</f>
        <v>0</v>
      </c>
      <c r="AH16" s="54">
        <f>'Wtr-Gas'!K18*0.0038</f>
        <v>0</v>
      </c>
      <c r="AI16" s="54">
        <f>'Wtr-Gas'!N18*0.0038</f>
        <v>0</v>
      </c>
      <c r="AJ16" s="54">
        <f>'Wtr-Gas'!Q18*0.0038</f>
        <v>0</v>
      </c>
      <c r="AK16" s="57">
        <f>'Wtr-Gas'!U18*0.0038</f>
        <v>0</v>
      </c>
      <c r="AL16" s="57">
        <f>'Wtr-Gas'!X18*0.0038</f>
        <v>0</v>
      </c>
      <c r="AM16" s="54">
        <f>'Wtr-Gas'!AB18*0.0038</f>
        <v>0</v>
      </c>
      <c r="AN16" s="54">
        <f>'Wtr-Gas'!AD18*0.0038</f>
        <v>0</v>
      </c>
      <c r="AO16" s="54">
        <f>'Wtr-Gas'!AF18*0.0038</f>
        <v>0</v>
      </c>
      <c r="AP16" s="54">
        <f>'Wtr-Gas'!AH18*0.0038</f>
        <v>0</v>
      </c>
      <c r="AQ16" s="54">
        <f>'Wtr-Gas'!AJ18*0.0038</f>
        <v>0</v>
      </c>
      <c r="AR16" s="54">
        <f>'Wtr-Gas'!AL18*0.0038</f>
        <v>0</v>
      </c>
      <c r="AS16" s="54">
        <f>'Wtr-Gas'!AN18*0.0038</f>
        <v>0</v>
      </c>
      <c r="AT16" s="54">
        <f>'Wtr-Gas'!AP18*0.0038</f>
        <v>0</v>
      </c>
      <c r="AU16" s="57">
        <f>'Wtr-Gas'!AT18*0.0038</f>
        <v>0</v>
      </c>
      <c r="AV16" s="54">
        <f>'Wtr-Gas'!AW18*0.0038</f>
        <v>0</v>
      </c>
      <c r="AW16" s="55">
        <f>'Wtr-Gas'!AY18*0.0038</f>
        <v>0</v>
      </c>
      <c r="AX16" s="54">
        <f>'Wtr-Gas'!AZ18*0.0038</f>
        <v>0</v>
      </c>
      <c r="AY16" s="54">
        <f>'Wtr-Gas'!BB18*0.0038</f>
        <v>0</v>
      </c>
      <c r="AZ16" s="54">
        <f>'Wtr-Gas'!BD18*0.0038</f>
        <v>0</v>
      </c>
      <c r="BA16" s="54">
        <f>'Wtr-Gas'!BF18*0.0038</f>
        <v>0</v>
      </c>
    </row>
    <row r="17" spans="1:53" x14ac:dyDescent="0.25">
      <c r="A17" s="3" t="s">
        <v>11</v>
      </c>
      <c r="B17" s="2">
        <v>5</v>
      </c>
      <c r="C17" s="2">
        <v>4</v>
      </c>
      <c r="D17" s="2">
        <v>2021</v>
      </c>
      <c r="E17" s="52">
        <f>Elect!AM19</f>
        <v>0</v>
      </c>
      <c r="F17" s="52">
        <f>Elect!I19</f>
        <v>0</v>
      </c>
      <c r="G17" s="52">
        <f>Elect!H19</f>
        <v>0</v>
      </c>
      <c r="H17" s="52">
        <f>Elect!F19</f>
        <v>0</v>
      </c>
      <c r="I17" s="52">
        <f>Elect!E19</f>
        <v>0</v>
      </c>
      <c r="J17" s="52">
        <f>Elect!U19</f>
        <v>0</v>
      </c>
      <c r="K17" s="52">
        <f>Elect!T19</f>
        <v>0</v>
      </c>
      <c r="L17" s="52">
        <f>Elect!AJ19</f>
        <v>0</v>
      </c>
      <c r="M17" s="52">
        <f>Elect!AI19</f>
        <v>0</v>
      </c>
      <c r="N17" s="52">
        <f>Elect!X19</f>
        <v>0</v>
      </c>
      <c r="O17" s="52">
        <f>Elect!W19</f>
        <v>0</v>
      </c>
      <c r="P17" s="52">
        <f>Elect!O19</f>
        <v>0</v>
      </c>
      <c r="Q17" s="52">
        <f>Elect!N19</f>
        <v>0</v>
      </c>
      <c r="R17" s="52">
        <f>Elect!L19</f>
        <v>0</v>
      </c>
      <c r="S17" s="52">
        <f>Elect!K19</f>
        <v>0</v>
      </c>
      <c r="T17" s="52">
        <f>Elect!R19</f>
        <v>0</v>
      </c>
      <c r="U17" s="52">
        <f>Elect!Q19</f>
        <v>0</v>
      </c>
      <c r="V17" s="52">
        <f>Elect!AA19</f>
        <v>0</v>
      </c>
      <c r="W17" s="52">
        <f>Elect!Z19</f>
        <v>0</v>
      </c>
      <c r="X17" s="52">
        <f>Elect!AD19</f>
        <v>0</v>
      </c>
      <c r="Y17" s="52">
        <f>Elect!AC19</f>
        <v>0</v>
      </c>
      <c r="Z17" s="52">
        <f>Elect!AG19</f>
        <v>0</v>
      </c>
      <c r="AA17" s="52">
        <f>Elect!AF19</f>
        <v>0</v>
      </c>
      <c r="AB17" s="52">
        <f>Elect!AX19</f>
        <v>0</v>
      </c>
      <c r="AC17" s="52">
        <f>Elect!AV19</f>
        <v>0</v>
      </c>
      <c r="AD17" s="52">
        <f>Elect!AZ19</f>
        <v>0</v>
      </c>
      <c r="AE17" s="52">
        <f>Elect!BB19</f>
        <v>0</v>
      </c>
      <c r="AF17" s="54">
        <f>('Wtr-Gas'!E19)*0.0038</f>
        <v>0</v>
      </c>
      <c r="AG17" s="54">
        <f>('Wtr-Gas'!H19)*0.0038</f>
        <v>0</v>
      </c>
      <c r="AH17" s="54">
        <f>'Wtr-Gas'!K19*0.0038</f>
        <v>0</v>
      </c>
      <c r="AI17" s="54">
        <f>'Wtr-Gas'!N19*0.0038</f>
        <v>0</v>
      </c>
      <c r="AJ17" s="54">
        <f>'Wtr-Gas'!Q19*0.0038</f>
        <v>0</v>
      </c>
      <c r="AK17" s="57">
        <f>'Wtr-Gas'!U19*0.0038</f>
        <v>0</v>
      </c>
      <c r="AL17" s="57">
        <f>'Wtr-Gas'!X19*0.0038</f>
        <v>0</v>
      </c>
      <c r="AM17" s="54">
        <f>'Wtr-Gas'!AB19*0.0038</f>
        <v>0</v>
      </c>
      <c r="AN17" s="54">
        <f>'Wtr-Gas'!AD19*0.0038</f>
        <v>0</v>
      </c>
      <c r="AO17" s="54">
        <f>'Wtr-Gas'!AF19*0.0038</f>
        <v>0</v>
      </c>
      <c r="AP17" s="54">
        <f>'Wtr-Gas'!AH19*0.0038</f>
        <v>0</v>
      </c>
      <c r="AQ17" s="54">
        <f>'Wtr-Gas'!AJ19*0.0038</f>
        <v>0</v>
      </c>
      <c r="AR17" s="54">
        <f>'Wtr-Gas'!AL19*0.0038</f>
        <v>0</v>
      </c>
      <c r="AS17" s="54">
        <f>'Wtr-Gas'!AN19*0.0038</f>
        <v>0</v>
      </c>
      <c r="AT17" s="54">
        <f>'Wtr-Gas'!AP19*0.0038</f>
        <v>0</v>
      </c>
      <c r="AU17" s="57">
        <f>'Wtr-Gas'!AT19*0.0038</f>
        <v>0</v>
      </c>
      <c r="AV17" s="54">
        <f>'Wtr-Gas'!AW19*0.0038</f>
        <v>0</v>
      </c>
      <c r="AW17" s="55">
        <f>'Wtr-Gas'!AY19*0.0038</f>
        <v>0</v>
      </c>
      <c r="AX17" s="54">
        <f>'Wtr-Gas'!AZ19*0.0038</f>
        <v>0</v>
      </c>
      <c r="AY17" s="54">
        <f>'Wtr-Gas'!BB19*0.0038</f>
        <v>0</v>
      </c>
      <c r="AZ17" s="54">
        <f>'Wtr-Gas'!BD19*0.0038</f>
        <v>0</v>
      </c>
      <c r="BA17" s="54">
        <f>'Wtr-Gas'!BF19*0.0038</f>
        <v>0</v>
      </c>
    </row>
    <row r="18" spans="1:53" x14ac:dyDescent="0.25">
      <c r="A18" s="3" t="s">
        <v>11</v>
      </c>
      <c r="B18" s="2">
        <v>12</v>
      </c>
      <c r="C18" s="2">
        <v>4</v>
      </c>
      <c r="D18" s="2">
        <v>2021</v>
      </c>
      <c r="E18" s="52">
        <f>Elect!AM20</f>
        <v>0</v>
      </c>
      <c r="F18" s="52">
        <f>Elect!I20</f>
        <v>0</v>
      </c>
      <c r="G18" s="52">
        <f>Elect!H20</f>
        <v>0</v>
      </c>
      <c r="H18" s="52">
        <f>Elect!F20</f>
        <v>0</v>
      </c>
      <c r="I18" s="52">
        <f>Elect!E20</f>
        <v>0</v>
      </c>
      <c r="J18" s="52">
        <f>Elect!U20</f>
        <v>0</v>
      </c>
      <c r="K18" s="52">
        <f>Elect!T20</f>
        <v>0</v>
      </c>
      <c r="L18" s="52">
        <f>Elect!AJ20</f>
        <v>0</v>
      </c>
      <c r="M18" s="52">
        <f>Elect!AI20</f>
        <v>0</v>
      </c>
      <c r="N18" s="52">
        <f>Elect!X20</f>
        <v>0</v>
      </c>
      <c r="O18" s="52">
        <f>Elect!W20</f>
        <v>0</v>
      </c>
      <c r="P18" s="52">
        <f>Elect!O20</f>
        <v>0</v>
      </c>
      <c r="Q18" s="52">
        <f>Elect!N20</f>
        <v>0</v>
      </c>
      <c r="R18" s="52">
        <f>Elect!L20</f>
        <v>0</v>
      </c>
      <c r="S18" s="52">
        <f>Elect!K20</f>
        <v>0</v>
      </c>
      <c r="T18" s="52">
        <f>Elect!R20</f>
        <v>0</v>
      </c>
      <c r="U18" s="52">
        <f>Elect!Q20</f>
        <v>0</v>
      </c>
      <c r="V18" s="52">
        <f>Elect!AA20</f>
        <v>0</v>
      </c>
      <c r="W18" s="52">
        <f>Elect!Z20</f>
        <v>0</v>
      </c>
      <c r="X18" s="52">
        <f>Elect!AD20</f>
        <v>0</v>
      </c>
      <c r="Y18" s="52">
        <f>Elect!AC20</f>
        <v>0</v>
      </c>
      <c r="Z18" s="52">
        <f>Elect!AG20</f>
        <v>0</v>
      </c>
      <c r="AA18" s="52">
        <f>Elect!AF20</f>
        <v>0</v>
      </c>
      <c r="AB18" s="52">
        <f>Elect!AX20</f>
        <v>0</v>
      </c>
      <c r="AC18" s="52">
        <f>Elect!AV20</f>
        <v>0</v>
      </c>
      <c r="AD18" s="52">
        <f>Elect!AZ20</f>
        <v>0</v>
      </c>
      <c r="AE18" s="52">
        <f>Elect!BB20</f>
        <v>0</v>
      </c>
      <c r="AF18" s="54">
        <f>('Wtr-Gas'!E20)*0.0038</f>
        <v>0</v>
      </c>
      <c r="AG18" s="54">
        <f>('Wtr-Gas'!H20)*0.0038</f>
        <v>0</v>
      </c>
      <c r="AH18" s="54">
        <f>'Wtr-Gas'!K20*0.0038</f>
        <v>0</v>
      </c>
      <c r="AI18" s="54">
        <f>'Wtr-Gas'!N20*0.0038</f>
        <v>0</v>
      </c>
      <c r="AJ18" s="54">
        <f>'Wtr-Gas'!Q20*0.0038</f>
        <v>0</v>
      </c>
      <c r="AK18" s="57">
        <f>'Wtr-Gas'!U20*0.0038</f>
        <v>0</v>
      </c>
      <c r="AL18" s="57">
        <f>'Wtr-Gas'!X20*0.0038</f>
        <v>0</v>
      </c>
      <c r="AM18" s="54">
        <f>'Wtr-Gas'!AB20*0.0038</f>
        <v>0</v>
      </c>
      <c r="AN18" s="54">
        <f>'Wtr-Gas'!AD20*0.0038</f>
        <v>0</v>
      </c>
      <c r="AO18" s="54">
        <f>'Wtr-Gas'!AF20*0.0038</f>
        <v>0</v>
      </c>
      <c r="AP18" s="54">
        <f>'Wtr-Gas'!AH20*0.0038</f>
        <v>0</v>
      </c>
      <c r="AQ18" s="54">
        <f>'Wtr-Gas'!AJ20*0.0038</f>
        <v>0</v>
      </c>
      <c r="AR18" s="54">
        <f>'Wtr-Gas'!AL20*0.0038</f>
        <v>0</v>
      </c>
      <c r="AS18" s="54">
        <f>'Wtr-Gas'!AN20*0.0038</f>
        <v>0</v>
      </c>
      <c r="AT18" s="54">
        <f>'Wtr-Gas'!AP20*0.0038</f>
        <v>0</v>
      </c>
      <c r="AU18" s="57">
        <f>'Wtr-Gas'!AT20*0.0038</f>
        <v>0</v>
      </c>
      <c r="AV18" s="54">
        <f>'Wtr-Gas'!AW20*0.0038</f>
        <v>0</v>
      </c>
      <c r="AW18" s="55">
        <f>'Wtr-Gas'!AY20*0.0038</f>
        <v>0</v>
      </c>
      <c r="AX18" s="54">
        <f>'Wtr-Gas'!AZ20*0.0038</f>
        <v>0</v>
      </c>
      <c r="AY18" s="54">
        <f>'Wtr-Gas'!BB20*0.0038</f>
        <v>0</v>
      </c>
      <c r="AZ18" s="54">
        <f>'Wtr-Gas'!BD20*0.0038</f>
        <v>0</v>
      </c>
      <c r="BA18" s="54">
        <f>'Wtr-Gas'!BF20*0.0038</f>
        <v>0</v>
      </c>
    </row>
    <row r="19" spans="1:53" x14ac:dyDescent="0.25">
      <c r="A19" s="3" t="s">
        <v>11</v>
      </c>
      <c r="B19" s="2">
        <v>19</v>
      </c>
      <c r="C19" s="2">
        <v>4</v>
      </c>
      <c r="D19" s="2">
        <v>2021</v>
      </c>
      <c r="E19" s="52">
        <f>Elect!AM21</f>
        <v>0</v>
      </c>
      <c r="F19" s="52">
        <f>Elect!I21</f>
        <v>0</v>
      </c>
      <c r="G19" s="52">
        <f>Elect!H21</f>
        <v>0</v>
      </c>
      <c r="H19" s="52">
        <f>Elect!F21</f>
        <v>0</v>
      </c>
      <c r="I19" s="52">
        <f>Elect!E21</f>
        <v>0</v>
      </c>
      <c r="J19" s="52">
        <f>Elect!U21</f>
        <v>0</v>
      </c>
      <c r="K19" s="52">
        <f>Elect!T21</f>
        <v>0</v>
      </c>
      <c r="L19" s="52">
        <f>Elect!AJ21</f>
        <v>0</v>
      </c>
      <c r="M19" s="52">
        <f>Elect!AI21</f>
        <v>0</v>
      </c>
      <c r="N19" s="52">
        <f>Elect!X21</f>
        <v>0</v>
      </c>
      <c r="O19" s="52">
        <f>Elect!W21</f>
        <v>0</v>
      </c>
      <c r="P19" s="52">
        <f>Elect!O21</f>
        <v>0</v>
      </c>
      <c r="Q19" s="52">
        <f>Elect!N21</f>
        <v>0</v>
      </c>
      <c r="R19" s="52">
        <f>Elect!L21</f>
        <v>0</v>
      </c>
      <c r="S19" s="52">
        <f>Elect!K21</f>
        <v>0</v>
      </c>
      <c r="T19" s="52">
        <f>Elect!R21</f>
        <v>0</v>
      </c>
      <c r="U19" s="52">
        <f>Elect!Q21</f>
        <v>0</v>
      </c>
      <c r="V19" s="52">
        <f>Elect!AA21</f>
        <v>0</v>
      </c>
      <c r="W19" s="52">
        <f>Elect!Z21</f>
        <v>0</v>
      </c>
      <c r="X19" s="52">
        <f>Elect!AD21</f>
        <v>0</v>
      </c>
      <c r="Y19" s="52">
        <f>Elect!AC21</f>
        <v>0</v>
      </c>
      <c r="Z19" s="52">
        <f>Elect!AG21</f>
        <v>0</v>
      </c>
      <c r="AA19" s="52">
        <f>Elect!AF21</f>
        <v>0</v>
      </c>
      <c r="AB19" s="52">
        <f>Elect!AX21</f>
        <v>0</v>
      </c>
      <c r="AC19" s="52">
        <f>Elect!AV21</f>
        <v>0</v>
      </c>
      <c r="AD19" s="52">
        <f>Elect!AZ21</f>
        <v>0</v>
      </c>
      <c r="AE19" s="52">
        <f>Elect!BB21</f>
        <v>0</v>
      </c>
      <c r="AF19" s="54">
        <f>('Wtr-Gas'!E21)*0.0038</f>
        <v>0</v>
      </c>
      <c r="AG19" s="54">
        <f>('Wtr-Gas'!H21)*0.0038</f>
        <v>0</v>
      </c>
      <c r="AH19" s="54">
        <f>'Wtr-Gas'!K21*0.0038</f>
        <v>0</v>
      </c>
      <c r="AI19" s="54">
        <f>'Wtr-Gas'!N21*0.0038</f>
        <v>0</v>
      </c>
      <c r="AJ19" s="54">
        <f>'Wtr-Gas'!Q21*0.0038</f>
        <v>0</v>
      </c>
      <c r="AK19" s="57">
        <f>'Wtr-Gas'!U21*0.0038</f>
        <v>0</v>
      </c>
      <c r="AL19" s="57">
        <f>'Wtr-Gas'!X21*0.0038</f>
        <v>0</v>
      </c>
      <c r="AM19" s="54">
        <f>'Wtr-Gas'!AB21*0.0038</f>
        <v>0</v>
      </c>
      <c r="AN19" s="54">
        <f>'Wtr-Gas'!AD21*0.0038</f>
        <v>0</v>
      </c>
      <c r="AO19" s="54">
        <f>'Wtr-Gas'!AF21*0.0038</f>
        <v>0</v>
      </c>
      <c r="AP19" s="54">
        <f>'Wtr-Gas'!AH21*0.0038</f>
        <v>0</v>
      </c>
      <c r="AQ19" s="54">
        <f>'Wtr-Gas'!AJ21*0.0038</f>
        <v>0</v>
      </c>
      <c r="AR19" s="54">
        <f>'Wtr-Gas'!AL21*0.0038</f>
        <v>0</v>
      </c>
      <c r="AS19" s="54">
        <f>'Wtr-Gas'!AN21*0.0038</f>
        <v>0</v>
      </c>
      <c r="AT19" s="54">
        <f>'Wtr-Gas'!AP21*0.0038</f>
        <v>0</v>
      </c>
      <c r="AU19" s="57">
        <f>'Wtr-Gas'!AT21*0.0038</f>
        <v>0</v>
      </c>
      <c r="AV19" s="54">
        <f>'Wtr-Gas'!AW21*0.0038</f>
        <v>0</v>
      </c>
      <c r="AW19" s="55">
        <f>'Wtr-Gas'!AY21*0.0038</f>
        <v>0</v>
      </c>
      <c r="AX19" s="54">
        <f>'Wtr-Gas'!AZ21*0.0038</f>
        <v>0</v>
      </c>
      <c r="AY19" s="54">
        <f>'Wtr-Gas'!BB21*0.0038</f>
        <v>0</v>
      </c>
      <c r="AZ19" s="54">
        <f>'Wtr-Gas'!BD21*0.0038</f>
        <v>0</v>
      </c>
      <c r="BA19" s="54">
        <f>'Wtr-Gas'!BF21*0.0038</f>
        <v>0</v>
      </c>
    </row>
    <row r="20" spans="1:53" x14ac:dyDescent="0.25">
      <c r="A20" s="3" t="s">
        <v>11</v>
      </c>
      <c r="B20" s="2">
        <v>26</v>
      </c>
      <c r="C20" s="2">
        <v>4</v>
      </c>
      <c r="D20" s="2">
        <v>2021</v>
      </c>
      <c r="E20" s="52">
        <f>Elect!AM22</f>
        <v>0</v>
      </c>
      <c r="F20" s="52">
        <f>Elect!I22</f>
        <v>0</v>
      </c>
      <c r="G20" s="52">
        <f>Elect!H22</f>
        <v>0</v>
      </c>
      <c r="H20" s="52">
        <f>Elect!F22</f>
        <v>0</v>
      </c>
      <c r="I20" s="52">
        <f>Elect!E22</f>
        <v>0</v>
      </c>
      <c r="J20" s="52">
        <f>Elect!U22</f>
        <v>0</v>
      </c>
      <c r="K20" s="52">
        <f>Elect!T22</f>
        <v>0</v>
      </c>
      <c r="L20" s="52">
        <f>Elect!AJ22</f>
        <v>0</v>
      </c>
      <c r="M20" s="52">
        <f>Elect!AI22</f>
        <v>0</v>
      </c>
      <c r="N20" s="52">
        <f>Elect!X22</f>
        <v>0</v>
      </c>
      <c r="O20" s="52">
        <f>Elect!W22</f>
        <v>0</v>
      </c>
      <c r="P20" s="52">
        <f>Elect!O22</f>
        <v>0</v>
      </c>
      <c r="Q20" s="52">
        <f>Elect!N22</f>
        <v>0</v>
      </c>
      <c r="R20" s="52">
        <f>Elect!L22</f>
        <v>0</v>
      </c>
      <c r="S20" s="52">
        <f>Elect!K22</f>
        <v>0</v>
      </c>
      <c r="T20" s="52">
        <f>Elect!R22</f>
        <v>0</v>
      </c>
      <c r="U20" s="52">
        <f>Elect!Q22</f>
        <v>0</v>
      </c>
      <c r="V20" s="52">
        <f>Elect!AA22</f>
        <v>0</v>
      </c>
      <c r="W20" s="52">
        <f>Elect!Z22</f>
        <v>0</v>
      </c>
      <c r="X20" s="52">
        <f>Elect!AD22</f>
        <v>0</v>
      </c>
      <c r="Y20" s="52">
        <f>Elect!AC22</f>
        <v>0</v>
      </c>
      <c r="Z20" s="52">
        <f>Elect!AG22</f>
        <v>0</v>
      </c>
      <c r="AA20" s="52">
        <f>Elect!AF22</f>
        <v>0</v>
      </c>
      <c r="AB20" s="52">
        <f>Elect!AX22</f>
        <v>0</v>
      </c>
      <c r="AC20" s="52">
        <f>Elect!AV22</f>
        <v>0</v>
      </c>
      <c r="AD20" s="52">
        <f>Elect!AZ22</f>
        <v>0</v>
      </c>
      <c r="AE20" s="52">
        <f>Elect!BB22</f>
        <v>0</v>
      </c>
      <c r="AF20" s="54">
        <f>('Wtr-Gas'!E22)*0.0038</f>
        <v>0</v>
      </c>
      <c r="AG20" s="54">
        <f>('Wtr-Gas'!H22)*0.0038</f>
        <v>0</v>
      </c>
      <c r="AH20" s="54">
        <f>'Wtr-Gas'!K22*0.0038</f>
        <v>0</v>
      </c>
      <c r="AI20" s="54">
        <f>'Wtr-Gas'!N22*0.0038</f>
        <v>0</v>
      </c>
      <c r="AJ20" s="54">
        <f>'Wtr-Gas'!Q22*0.0038</f>
        <v>0</v>
      </c>
      <c r="AK20" s="57">
        <f>'Wtr-Gas'!U22*0.0038</f>
        <v>0</v>
      </c>
      <c r="AL20" s="57">
        <f>'Wtr-Gas'!X22*0.0038</f>
        <v>0</v>
      </c>
      <c r="AM20" s="54">
        <f>'Wtr-Gas'!AB22*0.0038</f>
        <v>0</v>
      </c>
      <c r="AN20" s="54">
        <f>'Wtr-Gas'!AD22*0.0038</f>
        <v>0</v>
      </c>
      <c r="AO20" s="54">
        <f>'Wtr-Gas'!AF22*0.0038</f>
        <v>0</v>
      </c>
      <c r="AP20" s="54">
        <f>'Wtr-Gas'!AH22*0.0038</f>
        <v>0</v>
      </c>
      <c r="AQ20" s="54">
        <f>'Wtr-Gas'!AJ22*0.0038</f>
        <v>0</v>
      </c>
      <c r="AR20" s="54">
        <f>'Wtr-Gas'!AL22*0.0038</f>
        <v>0</v>
      </c>
      <c r="AS20" s="54">
        <f>'Wtr-Gas'!AN22*0.0038</f>
        <v>0</v>
      </c>
      <c r="AT20" s="54">
        <f>'Wtr-Gas'!AP22*0.0038</f>
        <v>0</v>
      </c>
      <c r="AU20" s="57">
        <f>'Wtr-Gas'!AT22*0.0038</f>
        <v>0</v>
      </c>
      <c r="AV20" s="54">
        <f>'Wtr-Gas'!AW22*0.0038</f>
        <v>0</v>
      </c>
      <c r="AW20" s="55">
        <f>'Wtr-Gas'!AY22*0.0038</f>
        <v>0</v>
      </c>
      <c r="AX20" s="54">
        <f>'Wtr-Gas'!AZ22*0.0038</f>
        <v>0</v>
      </c>
      <c r="AY20" s="54">
        <f>'Wtr-Gas'!BB22*0.0038</f>
        <v>0</v>
      </c>
      <c r="AZ20" s="54">
        <f>'Wtr-Gas'!BD22*0.0038</f>
        <v>0</v>
      </c>
      <c r="BA20" s="54">
        <f>'Wtr-Gas'!BF22*0.0038</f>
        <v>0</v>
      </c>
    </row>
    <row r="21" spans="1:53" x14ac:dyDescent="0.25">
      <c r="A21" s="3" t="s">
        <v>11</v>
      </c>
      <c r="B21" s="2">
        <v>30</v>
      </c>
      <c r="C21" s="2">
        <v>4</v>
      </c>
      <c r="D21" s="2">
        <v>2021</v>
      </c>
      <c r="E21" s="52">
        <f>Elect!AM23</f>
        <v>0</v>
      </c>
      <c r="F21" s="52">
        <f>Elect!I23</f>
        <v>0</v>
      </c>
      <c r="G21" s="52">
        <f>Elect!H23</f>
        <v>0</v>
      </c>
      <c r="H21" s="52">
        <f>Elect!F23</f>
        <v>0</v>
      </c>
      <c r="I21" s="52">
        <f>Elect!E23</f>
        <v>0</v>
      </c>
      <c r="J21" s="52">
        <f>Elect!U23</f>
        <v>0</v>
      </c>
      <c r="K21" s="52">
        <f>Elect!T23</f>
        <v>0</v>
      </c>
      <c r="L21" s="52">
        <f>Elect!AJ23</f>
        <v>0</v>
      </c>
      <c r="M21" s="52">
        <f>Elect!AI23</f>
        <v>0</v>
      </c>
      <c r="N21" s="52">
        <f>Elect!X23</f>
        <v>0</v>
      </c>
      <c r="O21" s="52">
        <f>Elect!W23</f>
        <v>0</v>
      </c>
      <c r="P21" s="52">
        <f>Elect!O23</f>
        <v>0</v>
      </c>
      <c r="Q21" s="52">
        <f>Elect!N23</f>
        <v>0</v>
      </c>
      <c r="R21" s="52">
        <f>Elect!L23</f>
        <v>0</v>
      </c>
      <c r="S21" s="52">
        <f>Elect!K23</f>
        <v>0</v>
      </c>
      <c r="T21" s="52">
        <f>Elect!R23</f>
        <v>0</v>
      </c>
      <c r="U21" s="52">
        <f>Elect!Q23</f>
        <v>0</v>
      </c>
      <c r="V21" s="52">
        <f>Elect!AA23</f>
        <v>0</v>
      </c>
      <c r="W21" s="52">
        <f>Elect!Z23</f>
        <v>0</v>
      </c>
      <c r="X21" s="52">
        <f>Elect!AD23</f>
        <v>0</v>
      </c>
      <c r="Y21" s="52">
        <f>Elect!AC23</f>
        <v>0</v>
      </c>
      <c r="Z21" s="52">
        <f>Elect!AG23</f>
        <v>0</v>
      </c>
      <c r="AA21" s="52">
        <f>Elect!AF23</f>
        <v>0</v>
      </c>
      <c r="AB21" s="52">
        <f>Elect!AX23</f>
        <v>0</v>
      </c>
      <c r="AC21" s="52">
        <f>Elect!AV23</f>
        <v>0</v>
      </c>
      <c r="AD21" s="52">
        <f>Elect!AZ23</f>
        <v>0</v>
      </c>
      <c r="AE21" s="52">
        <f>Elect!BB23</f>
        <v>0</v>
      </c>
      <c r="AF21" s="54">
        <f>('Wtr-Gas'!E23)*0.0038</f>
        <v>0</v>
      </c>
      <c r="AG21" s="54">
        <f>('Wtr-Gas'!H23)*0.0038</f>
        <v>0</v>
      </c>
      <c r="AH21" s="54">
        <f>'Wtr-Gas'!K23*0.0038</f>
        <v>0</v>
      </c>
      <c r="AI21" s="54">
        <f>'Wtr-Gas'!N23*0.0038</f>
        <v>0</v>
      </c>
      <c r="AJ21" s="54">
        <f>'Wtr-Gas'!Q23*0.0038</f>
        <v>0</v>
      </c>
      <c r="AK21" s="57">
        <f>'Wtr-Gas'!U23*0.0038</f>
        <v>0</v>
      </c>
      <c r="AL21" s="57">
        <f>'Wtr-Gas'!X23*0.0038</f>
        <v>0</v>
      </c>
      <c r="AM21" s="54">
        <f>'Wtr-Gas'!AB23*0.0038</f>
        <v>0</v>
      </c>
      <c r="AN21" s="54">
        <f>'Wtr-Gas'!AD23*0.0038</f>
        <v>0</v>
      </c>
      <c r="AO21" s="54">
        <f>'Wtr-Gas'!AF23*0.0038</f>
        <v>0</v>
      </c>
      <c r="AP21" s="54">
        <f>'Wtr-Gas'!AH23*0.0038</f>
        <v>0</v>
      </c>
      <c r="AQ21" s="54">
        <f>'Wtr-Gas'!AJ23*0.0038</f>
        <v>0</v>
      </c>
      <c r="AR21" s="54">
        <f>'Wtr-Gas'!AL23*0.0038</f>
        <v>0</v>
      </c>
      <c r="AS21" s="54">
        <f>'Wtr-Gas'!AN23*0.0038</f>
        <v>0</v>
      </c>
      <c r="AT21" s="54">
        <f>'Wtr-Gas'!AP23*0.0038</f>
        <v>0</v>
      </c>
      <c r="AU21" s="57">
        <f>'Wtr-Gas'!AT23*0.0038</f>
        <v>0</v>
      </c>
      <c r="AV21" s="54">
        <f>'Wtr-Gas'!AW23*0.0038</f>
        <v>0</v>
      </c>
      <c r="AW21" s="55">
        <f>'Wtr-Gas'!AY23*0.0038</f>
        <v>0</v>
      </c>
      <c r="AX21" s="54">
        <f>'Wtr-Gas'!AZ23*0.0038</f>
        <v>0</v>
      </c>
      <c r="AY21" s="54">
        <f>'Wtr-Gas'!BB23*0.0038</f>
        <v>0</v>
      </c>
      <c r="AZ21" s="54">
        <f>'Wtr-Gas'!BD23*0.0038</f>
        <v>0</v>
      </c>
      <c r="BA21" s="54">
        <f>'Wtr-Gas'!BF23*0.0038</f>
        <v>0</v>
      </c>
    </row>
    <row r="22" spans="1:53" x14ac:dyDescent="0.25">
      <c r="A22" s="3" t="s">
        <v>11</v>
      </c>
      <c r="B22" s="2">
        <v>3</v>
      </c>
      <c r="C22" s="2">
        <v>5</v>
      </c>
      <c r="D22" s="2">
        <v>2021</v>
      </c>
      <c r="E22" s="52">
        <f>Elect!AM24</f>
        <v>0</v>
      </c>
      <c r="F22" s="52">
        <f>Elect!I24</f>
        <v>0</v>
      </c>
      <c r="G22" s="52">
        <f>Elect!H24</f>
        <v>0</v>
      </c>
      <c r="H22" s="52">
        <f>Elect!F24</f>
        <v>0</v>
      </c>
      <c r="I22" s="52">
        <f>Elect!E24</f>
        <v>0</v>
      </c>
      <c r="J22" s="52">
        <f>Elect!U24</f>
        <v>0</v>
      </c>
      <c r="K22" s="52">
        <f>Elect!T24</f>
        <v>0</v>
      </c>
      <c r="L22" s="52">
        <f>Elect!AJ24</f>
        <v>0</v>
      </c>
      <c r="M22" s="52">
        <f>Elect!AI24</f>
        <v>0</v>
      </c>
      <c r="N22" s="52">
        <f>Elect!X24</f>
        <v>0</v>
      </c>
      <c r="O22" s="52">
        <f>Elect!W24</f>
        <v>0</v>
      </c>
      <c r="P22" s="52">
        <f>Elect!O24</f>
        <v>0</v>
      </c>
      <c r="Q22" s="52">
        <f>Elect!N24</f>
        <v>0</v>
      </c>
      <c r="R22" s="52">
        <f>Elect!L24</f>
        <v>0</v>
      </c>
      <c r="S22" s="52">
        <f>Elect!K24</f>
        <v>0</v>
      </c>
      <c r="T22" s="52">
        <f>Elect!R24</f>
        <v>0</v>
      </c>
      <c r="U22" s="52">
        <f>Elect!Q24</f>
        <v>0</v>
      </c>
      <c r="V22" s="52">
        <f>Elect!AA24</f>
        <v>0</v>
      </c>
      <c r="W22" s="52">
        <f>Elect!Z24</f>
        <v>0</v>
      </c>
      <c r="X22" s="52">
        <f>Elect!AD24</f>
        <v>0</v>
      </c>
      <c r="Y22" s="52">
        <f>Elect!AC24</f>
        <v>0</v>
      </c>
      <c r="Z22" s="52">
        <f>Elect!AG24</f>
        <v>0</v>
      </c>
      <c r="AA22" s="52">
        <f>Elect!AF24</f>
        <v>0</v>
      </c>
      <c r="AB22" s="52">
        <f>Elect!AX24</f>
        <v>0</v>
      </c>
      <c r="AC22" s="52">
        <f>Elect!AV24</f>
        <v>0</v>
      </c>
      <c r="AD22" s="52">
        <f>Elect!AZ24</f>
        <v>0</v>
      </c>
      <c r="AE22" s="52">
        <f>Elect!BB24</f>
        <v>0</v>
      </c>
      <c r="AF22" s="54">
        <f>('Wtr-Gas'!E24)*0.0038</f>
        <v>0</v>
      </c>
      <c r="AG22" s="54">
        <f>('Wtr-Gas'!H24)*0.0038</f>
        <v>0</v>
      </c>
      <c r="AH22" s="54">
        <f>'Wtr-Gas'!K24*0.0038</f>
        <v>0</v>
      </c>
      <c r="AI22" s="54">
        <f>'Wtr-Gas'!N24*0.0038</f>
        <v>0</v>
      </c>
      <c r="AJ22" s="54">
        <f>'Wtr-Gas'!Q24*0.0038</f>
        <v>0</v>
      </c>
      <c r="AK22" s="57">
        <f>'Wtr-Gas'!U24*0.0038</f>
        <v>0</v>
      </c>
      <c r="AL22" s="57">
        <f>'Wtr-Gas'!X24*0.0038</f>
        <v>0</v>
      </c>
      <c r="AM22" s="54">
        <f>'Wtr-Gas'!AB24*0.0038</f>
        <v>0</v>
      </c>
      <c r="AN22" s="54">
        <f>'Wtr-Gas'!AD24*0.0038</f>
        <v>0</v>
      </c>
      <c r="AO22" s="54">
        <f>'Wtr-Gas'!AF24*0.0038</f>
        <v>0</v>
      </c>
      <c r="AP22" s="54">
        <f>'Wtr-Gas'!AH24*0.0038</f>
        <v>0</v>
      </c>
      <c r="AQ22" s="54">
        <f>'Wtr-Gas'!AJ24*0.0038</f>
        <v>0</v>
      </c>
      <c r="AR22" s="54">
        <f>'Wtr-Gas'!AL24*0.0038</f>
        <v>0</v>
      </c>
      <c r="AS22" s="54">
        <f>'Wtr-Gas'!AN24*0.0038</f>
        <v>0</v>
      </c>
      <c r="AT22" s="54">
        <f>'Wtr-Gas'!AP24*0.0038</f>
        <v>0</v>
      </c>
      <c r="AU22" s="57">
        <f>'Wtr-Gas'!AT24*0.0038</f>
        <v>0</v>
      </c>
      <c r="AV22" s="54">
        <f>'Wtr-Gas'!AW24*0.0038</f>
        <v>0</v>
      </c>
      <c r="AW22" s="55">
        <f>'Wtr-Gas'!AY24*0.0038</f>
        <v>0</v>
      </c>
      <c r="AX22" s="54">
        <f>'Wtr-Gas'!AZ24*0.0038</f>
        <v>0</v>
      </c>
      <c r="AY22" s="54">
        <f>'Wtr-Gas'!BB24*0.0038</f>
        <v>0</v>
      </c>
      <c r="AZ22" s="54">
        <f>'Wtr-Gas'!BD24*0.0038</f>
        <v>0</v>
      </c>
      <c r="BA22" s="54">
        <f>'Wtr-Gas'!BF24*0.0038</f>
        <v>0</v>
      </c>
    </row>
    <row r="23" spans="1:53" x14ac:dyDescent="0.25">
      <c r="A23" s="3" t="s">
        <v>11</v>
      </c>
      <c r="B23" s="2">
        <v>10</v>
      </c>
      <c r="C23" s="2">
        <v>5</v>
      </c>
      <c r="D23" s="2">
        <v>2021</v>
      </c>
      <c r="E23" s="52">
        <f>Elect!AM25</f>
        <v>0</v>
      </c>
      <c r="F23" s="52">
        <f>Elect!I25</f>
        <v>0</v>
      </c>
      <c r="G23" s="52">
        <f>Elect!H25</f>
        <v>0</v>
      </c>
      <c r="H23" s="52">
        <f>Elect!F25</f>
        <v>0</v>
      </c>
      <c r="I23" s="52">
        <f>Elect!E25</f>
        <v>0</v>
      </c>
      <c r="J23" s="52">
        <f>Elect!U25</f>
        <v>0</v>
      </c>
      <c r="K23" s="52">
        <f>Elect!T25</f>
        <v>0</v>
      </c>
      <c r="L23" s="52">
        <f>Elect!AJ25</f>
        <v>0</v>
      </c>
      <c r="M23" s="52">
        <f>Elect!AI25</f>
        <v>0</v>
      </c>
      <c r="N23" s="52">
        <f>Elect!X25</f>
        <v>0</v>
      </c>
      <c r="O23" s="52">
        <f>Elect!W25</f>
        <v>0</v>
      </c>
      <c r="P23" s="52">
        <f>Elect!O25</f>
        <v>0</v>
      </c>
      <c r="Q23" s="52">
        <f>Elect!N25</f>
        <v>0</v>
      </c>
      <c r="R23" s="52">
        <f>Elect!L25</f>
        <v>0</v>
      </c>
      <c r="S23" s="52">
        <f>Elect!K25</f>
        <v>0</v>
      </c>
      <c r="T23" s="52">
        <f>Elect!R25</f>
        <v>0</v>
      </c>
      <c r="U23" s="52">
        <f>Elect!Q25</f>
        <v>0</v>
      </c>
      <c r="V23" s="52">
        <f>Elect!AA25</f>
        <v>0</v>
      </c>
      <c r="W23" s="52">
        <f>Elect!Z25</f>
        <v>0</v>
      </c>
      <c r="X23" s="52">
        <f>Elect!AD25</f>
        <v>0</v>
      </c>
      <c r="Y23" s="52">
        <f>Elect!AC25</f>
        <v>0</v>
      </c>
      <c r="Z23" s="52">
        <f>Elect!AG25</f>
        <v>0</v>
      </c>
      <c r="AA23" s="52">
        <f>Elect!AF25</f>
        <v>0</v>
      </c>
      <c r="AB23" s="52">
        <f>Elect!AX25</f>
        <v>0</v>
      </c>
      <c r="AC23" s="52">
        <f>Elect!AV25</f>
        <v>0</v>
      </c>
      <c r="AD23" s="52">
        <f>Elect!AZ25</f>
        <v>0</v>
      </c>
      <c r="AE23" s="52">
        <f>Elect!BB25</f>
        <v>0</v>
      </c>
      <c r="AF23" s="54">
        <f>('Wtr-Gas'!E25)*0.0038</f>
        <v>0</v>
      </c>
      <c r="AG23" s="54">
        <f>('Wtr-Gas'!H25)*0.0038</f>
        <v>0</v>
      </c>
      <c r="AH23" s="54">
        <f>'Wtr-Gas'!K25*0.0038</f>
        <v>0</v>
      </c>
      <c r="AI23" s="54">
        <f>'Wtr-Gas'!N25*0.0038</f>
        <v>0</v>
      </c>
      <c r="AJ23" s="54">
        <f>'Wtr-Gas'!Q25*0.0038</f>
        <v>0</v>
      </c>
      <c r="AK23" s="57">
        <f>'Wtr-Gas'!U25*0.0038</f>
        <v>0</v>
      </c>
      <c r="AL23" s="57">
        <f>'Wtr-Gas'!X25*0.0038</f>
        <v>0</v>
      </c>
      <c r="AM23" s="54">
        <f>'Wtr-Gas'!AB25*0.0038</f>
        <v>0</v>
      </c>
      <c r="AN23" s="54">
        <f>'Wtr-Gas'!AD25*0.0038</f>
        <v>0</v>
      </c>
      <c r="AO23" s="54">
        <f>'Wtr-Gas'!AF25*0.0038</f>
        <v>0</v>
      </c>
      <c r="AP23" s="54">
        <f>'Wtr-Gas'!AH25*0.0038</f>
        <v>0</v>
      </c>
      <c r="AQ23" s="54">
        <f>'Wtr-Gas'!AJ25*0.0038</f>
        <v>0</v>
      </c>
      <c r="AR23" s="54">
        <f>'Wtr-Gas'!AL25*0.0038</f>
        <v>0</v>
      </c>
      <c r="AS23" s="54">
        <f>'Wtr-Gas'!AN25*0.0038</f>
        <v>0</v>
      </c>
      <c r="AT23" s="54">
        <f>'Wtr-Gas'!AP25*0.0038</f>
        <v>0</v>
      </c>
      <c r="AU23" s="57">
        <f>'Wtr-Gas'!AT25*0.0038</f>
        <v>0</v>
      </c>
      <c r="AV23" s="54">
        <f>'Wtr-Gas'!AW25*0.0038</f>
        <v>0</v>
      </c>
      <c r="AW23" s="55">
        <f>'Wtr-Gas'!AY25*0.0038</f>
        <v>0</v>
      </c>
      <c r="AX23" s="54">
        <f>'Wtr-Gas'!AZ25*0.0038</f>
        <v>0</v>
      </c>
      <c r="AY23" s="54">
        <f>'Wtr-Gas'!BB25*0.0038</f>
        <v>0</v>
      </c>
      <c r="AZ23" s="54">
        <f>'Wtr-Gas'!BD25*0.0038</f>
        <v>0</v>
      </c>
      <c r="BA23" s="54">
        <f>'Wtr-Gas'!BF25*0.0038</f>
        <v>0</v>
      </c>
    </row>
    <row r="24" spans="1:53" x14ac:dyDescent="0.25">
      <c r="A24" s="3" t="s">
        <v>11</v>
      </c>
      <c r="B24" s="2">
        <v>17</v>
      </c>
      <c r="C24" s="2">
        <v>5</v>
      </c>
      <c r="D24" s="2">
        <v>2021</v>
      </c>
      <c r="E24" s="52">
        <f>Elect!AM26</f>
        <v>0</v>
      </c>
      <c r="F24" s="52">
        <f>Elect!I26</f>
        <v>0</v>
      </c>
      <c r="G24" s="52">
        <f>Elect!H26</f>
        <v>0</v>
      </c>
      <c r="H24" s="52">
        <f>Elect!F26</f>
        <v>0</v>
      </c>
      <c r="I24" s="52">
        <f>Elect!E26</f>
        <v>0</v>
      </c>
      <c r="J24" s="52">
        <f>Elect!U26</f>
        <v>0</v>
      </c>
      <c r="K24" s="52">
        <f>Elect!T26</f>
        <v>0</v>
      </c>
      <c r="L24" s="52">
        <f>Elect!AJ26</f>
        <v>0</v>
      </c>
      <c r="M24" s="52">
        <f>Elect!AI26</f>
        <v>0</v>
      </c>
      <c r="N24" s="52">
        <f>Elect!X26</f>
        <v>0</v>
      </c>
      <c r="O24" s="52">
        <f>Elect!W26</f>
        <v>0</v>
      </c>
      <c r="P24" s="52">
        <f>Elect!O26</f>
        <v>0</v>
      </c>
      <c r="Q24" s="52">
        <f>Elect!N26</f>
        <v>0</v>
      </c>
      <c r="R24" s="52">
        <f>Elect!L26</f>
        <v>0</v>
      </c>
      <c r="S24" s="52">
        <f>Elect!K26</f>
        <v>0</v>
      </c>
      <c r="T24" s="52">
        <f>Elect!R26</f>
        <v>0</v>
      </c>
      <c r="U24" s="52">
        <f>Elect!Q26</f>
        <v>0</v>
      </c>
      <c r="V24" s="52">
        <f>Elect!AA26</f>
        <v>0</v>
      </c>
      <c r="W24" s="52">
        <f>Elect!Z26</f>
        <v>0</v>
      </c>
      <c r="X24" s="52">
        <f>Elect!AD26</f>
        <v>0</v>
      </c>
      <c r="Y24" s="52">
        <f>Elect!AC26</f>
        <v>0</v>
      </c>
      <c r="Z24" s="52">
        <f>Elect!AG26</f>
        <v>0</v>
      </c>
      <c r="AA24" s="52">
        <f>Elect!AF26</f>
        <v>0</v>
      </c>
      <c r="AB24" s="52">
        <f>Elect!AX26</f>
        <v>0</v>
      </c>
      <c r="AC24" s="52">
        <f>Elect!AV26</f>
        <v>0</v>
      </c>
      <c r="AD24" s="52">
        <f>Elect!AZ26</f>
        <v>0</v>
      </c>
      <c r="AE24" s="52">
        <f>Elect!BB26</f>
        <v>0</v>
      </c>
      <c r="AF24" s="54">
        <f>('Wtr-Gas'!E26)*0.0038</f>
        <v>0</v>
      </c>
      <c r="AG24" s="54">
        <f>('Wtr-Gas'!H26)*0.0038</f>
        <v>0</v>
      </c>
      <c r="AH24" s="54">
        <f>'Wtr-Gas'!K26*0.0038</f>
        <v>0</v>
      </c>
      <c r="AI24" s="54">
        <f>'Wtr-Gas'!N26*0.0038</f>
        <v>0</v>
      </c>
      <c r="AJ24" s="54">
        <f>'Wtr-Gas'!Q26*0.0038</f>
        <v>0</v>
      </c>
      <c r="AK24" s="57">
        <f>'Wtr-Gas'!U26*0.0038</f>
        <v>0</v>
      </c>
      <c r="AL24" s="57">
        <f>'Wtr-Gas'!X26*0.0038</f>
        <v>0</v>
      </c>
      <c r="AM24" s="54">
        <f>'Wtr-Gas'!AB26*0.0038</f>
        <v>0</v>
      </c>
      <c r="AN24" s="54">
        <f>'Wtr-Gas'!AD26*0.0038</f>
        <v>0</v>
      </c>
      <c r="AO24" s="54">
        <f>'Wtr-Gas'!AF26*0.0038</f>
        <v>0</v>
      </c>
      <c r="AP24" s="54">
        <f>'Wtr-Gas'!AH26*0.0038</f>
        <v>0</v>
      </c>
      <c r="AQ24" s="54">
        <f>'Wtr-Gas'!AJ26*0.0038</f>
        <v>0</v>
      </c>
      <c r="AR24" s="54">
        <f>'Wtr-Gas'!AL26*0.0038</f>
        <v>0</v>
      </c>
      <c r="AS24" s="54">
        <f>'Wtr-Gas'!AN26*0.0038</f>
        <v>0</v>
      </c>
      <c r="AT24" s="54">
        <f>'Wtr-Gas'!AP26*0.0038</f>
        <v>0</v>
      </c>
      <c r="AU24" s="57">
        <f>'Wtr-Gas'!AT26*0.0038</f>
        <v>0</v>
      </c>
      <c r="AV24" s="54">
        <f>'Wtr-Gas'!AW26*0.0038</f>
        <v>0</v>
      </c>
      <c r="AW24" s="55">
        <f>'Wtr-Gas'!AY26*0.0038</f>
        <v>0</v>
      </c>
      <c r="AX24" s="54">
        <f>'Wtr-Gas'!AZ26*0.0038</f>
        <v>0</v>
      </c>
      <c r="AY24" s="54">
        <f>'Wtr-Gas'!BB26*0.0038</f>
        <v>0</v>
      </c>
      <c r="AZ24" s="54">
        <f>'Wtr-Gas'!BD26*0.0038</f>
        <v>0</v>
      </c>
      <c r="BA24" s="54">
        <f>'Wtr-Gas'!BF26*0.0038</f>
        <v>0</v>
      </c>
    </row>
    <row r="25" spans="1:53" x14ac:dyDescent="0.25">
      <c r="A25" s="3" t="s">
        <v>11</v>
      </c>
      <c r="B25" s="2">
        <v>24</v>
      </c>
      <c r="C25" s="2">
        <v>5</v>
      </c>
      <c r="D25" s="2">
        <v>2021</v>
      </c>
      <c r="E25" s="52">
        <f>Elect!AM27</f>
        <v>0</v>
      </c>
      <c r="F25" s="52">
        <f>Elect!I27</f>
        <v>0</v>
      </c>
      <c r="G25" s="52">
        <f>Elect!H27</f>
        <v>0</v>
      </c>
      <c r="H25" s="52">
        <f>Elect!F27</f>
        <v>0</v>
      </c>
      <c r="I25" s="52">
        <f>Elect!E27</f>
        <v>0</v>
      </c>
      <c r="J25" s="52">
        <f>Elect!U27</f>
        <v>0</v>
      </c>
      <c r="K25" s="52">
        <f>Elect!T27</f>
        <v>0</v>
      </c>
      <c r="L25" s="52">
        <f>Elect!AJ27</f>
        <v>0</v>
      </c>
      <c r="M25" s="52">
        <f>Elect!AI27</f>
        <v>0</v>
      </c>
      <c r="N25" s="52">
        <f>Elect!X27</f>
        <v>0</v>
      </c>
      <c r="O25" s="52">
        <f>Elect!W27</f>
        <v>0</v>
      </c>
      <c r="P25" s="52">
        <f>Elect!O27</f>
        <v>0</v>
      </c>
      <c r="Q25" s="52">
        <f>Elect!N27</f>
        <v>0</v>
      </c>
      <c r="R25" s="52">
        <f>Elect!L27</f>
        <v>0</v>
      </c>
      <c r="S25" s="52">
        <f>Elect!K27</f>
        <v>0</v>
      </c>
      <c r="T25" s="52">
        <f>Elect!R27</f>
        <v>0</v>
      </c>
      <c r="U25" s="52">
        <f>Elect!Q27</f>
        <v>0</v>
      </c>
      <c r="V25" s="52">
        <f>Elect!AA27</f>
        <v>0</v>
      </c>
      <c r="W25" s="52">
        <f>Elect!Z27</f>
        <v>0</v>
      </c>
      <c r="X25" s="52">
        <f>Elect!AD27</f>
        <v>0</v>
      </c>
      <c r="Y25" s="52">
        <f>Elect!AC27</f>
        <v>0</v>
      </c>
      <c r="Z25" s="52">
        <f>Elect!AG27</f>
        <v>0</v>
      </c>
      <c r="AA25" s="52">
        <f>Elect!AF27</f>
        <v>0</v>
      </c>
      <c r="AB25" s="52">
        <f>Elect!AX27</f>
        <v>0</v>
      </c>
      <c r="AC25" s="52">
        <f>Elect!AV27</f>
        <v>0</v>
      </c>
      <c r="AD25" s="52">
        <f>Elect!AZ27</f>
        <v>0</v>
      </c>
      <c r="AE25" s="52">
        <f>Elect!BB27</f>
        <v>0</v>
      </c>
      <c r="AF25" s="54">
        <f>('Wtr-Gas'!E27)*0.0038</f>
        <v>0</v>
      </c>
      <c r="AG25" s="54">
        <f>('Wtr-Gas'!H27)*0.0038</f>
        <v>0</v>
      </c>
      <c r="AH25" s="54">
        <f>'Wtr-Gas'!K27*0.0038</f>
        <v>0</v>
      </c>
      <c r="AI25" s="54">
        <f>'Wtr-Gas'!N27*0.0038</f>
        <v>0</v>
      </c>
      <c r="AJ25" s="54">
        <f>'Wtr-Gas'!Q27*0.0038</f>
        <v>0</v>
      </c>
      <c r="AK25" s="57">
        <f>'Wtr-Gas'!U27*0.0038</f>
        <v>0</v>
      </c>
      <c r="AL25" s="57">
        <f>'Wtr-Gas'!X27*0.0038</f>
        <v>0</v>
      </c>
      <c r="AM25" s="54">
        <f>'Wtr-Gas'!AB27*0.0038</f>
        <v>0</v>
      </c>
      <c r="AN25" s="54">
        <f>'Wtr-Gas'!AD27*0.0038</f>
        <v>0</v>
      </c>
      <c r="AO25" s="54">
        <f>'Wtr-Gas'!AF27*0.0038</f>
        <v>0</v>
      </c>
      <c r="AP25" s="54">
        <f>'Wtr-Gas'!AH27*0.0038</f>
        <v>0</v>
      </c>
      <c r="AQ25" s="54">
        <f>'Wtr-Gas'!AJ27*0.0038</f>
        <v>0</v>
      </c>
      <c r="AR25" s="54">
        <f>'Wtr-Gas'!AL27*0.0038</f>
        <v>0</v>
      </c>
      <c r="AS25" s="54">
        <f>'Wtr-Gas'!AN27*0.0038</f>
        <v>0</v>
      </c>
      <c r="AT25" s="54">
        <f>'Wtr-Gas'!AP27*0.0038</f>
        <v>0</v>
      </c>
      <c r="AU25" s="57">
        <f>'Wtr-Gas'!AT27*0.0038</f>
        <v>0</v>
      </c>
      <c r="AV25" s="54">
        <f>'Wtr-Gas'!AW27*0.0038</f>
        <v>0</v>
      </c>
      <c r="AW25" s="55">
        <f>'Wtr-Gas'!AY27*0.0038</f>
        <v>0</v>
      </c>
      <c r="AX25" s="54">
        <f>'Wtr-Gas'!AZ27*0.0038</f>
        <v>0</v>
      </c>
      <c r="AY25" s="54">
        <f>'Wtr-Gas'!BB27*0.0038</f>
        <v>0</v>
      </c>
      <c r="AZ25" s="54">
        <f>'Wtr-Gas'!BD27*0.0038</f>
        <v>0</v>
      </c>
      <c r="BA25" s="54">
        <f>'Wtr-Gas'!BF27*0.0038</f>
        <v>0</v>
      </c>
    </row>
    <row r="26" spans="1:53" x14ac:dyDescent="0.25">
      <c r="A26" s="3" t="s">
        <v>11</v>
      </c>
      <c r="B26" s="2">
        <v>31</v>
      </c>
      <c r="C26" s="2">
        <v>5</v>
      </c>
      <c r="D26" s="2">
        <v>2021</v>
      </c>
      <c r="E26" s="52">
        <f>Elect!AM28</f>
        <v>0</v>
      </c>
      <c r="F26" s="52">
        <f>Elect!I28</f>
        <v>0</v>
      </c>
      <c r="G26" s="52">
        <f>Elect!H28</f>
        <v>0</v>
      </c>
      <c r="H26" s="52">
        <f>Elect!F28</f>
        <v>0</v>
      </c>
      <c r="I26" s="52">
        <f>Elect!E28</f>
        <v>0</v>
      </c>
      <c r="J26" s="52">
        <f>Elect!U28</f>
        <v>0</v>
      </c>
      <c r="K26" s="52">
        <f>Elect!T28</f>
        <v>0</v>
      </c>
      <c r="L26" s="52">
        <f>Elect!AJ28</f>
        <v>0</v>
      </c>
      <c r="M26" s="52">
        <f>Elect!AI28</f>
        <v>0</v>
      </c>
      <c r="N26" s="52">
        <f>Elect!X28</f>
        <v>0</v>
      </c>
      <c r="O26" s="52">
        <f>Elect!W28</f>
        <v>0</v>
      </c>
      <c r="P26" s="52">
        <f>Elect!O28</f>
        <v>0</v>
      </c>
      <c r="Q26" s="52">
        <f>Elect!N28</f>
        <v>0</v>
      </c>
      <c r="R26" s="52">
        <f>Elect!L28</f>
        <v>0</v>
      </c>
      <c r="S26" s="52">
        <f>Elect!K28</f>
        <v>0</v>
      </c>
      <c r="T26" s="52">
        <f>Elect!R28</f>
        <v>0</v>
      </c>
      <c r="U26" s="52">
        <f>Elect!Q28</f>
        <v>0</v>
      </c>
      <c r="V26" s="52">
        <f>Elect!AA28</f>
        <v>0</v>
      </c>
      <c r="W26" s="52">
        <f>Elect!Z28</f>
        <v>0</v>
      </c>
      <c r="X26" s="52">
        <f>Elect!AD28</f>
        <v>0</v>
      </c>
      <c r="Y26" s="52">
        <f>Elect!AC28</f>
        <v>0</v>
      </c>
      <c r="Z26" s="52">
        <f>Elect!AG28</f>
        <v>0</v>
      </c>
      <c r="AA26" s="52">
        <f>Elect!AF28</f>
        <v>0</v>
      </c>
      <c r="AB26" s="52">
        <f>Elect!AX28</f>
        <v>0</v>
      </c>
      <c r="AC26" s="52">
        <f>Elect!AV28</f>
        <v>0</v>
      </c>
      <c r="AD26" s="52">
        <f>Elect!AZ28</f>
        <v>0</v>
      </c>
      <c r="AE26" s="52">
        <f>Elect!BB28</f>
        <v>0</v>
      </c>
      <c r="AF26" s="54">
        <f>('Wtr-Gas'!E28)*0.0038</f>
        <v>0</v>
      </c>
      <c r="AG26" s="54">
        <f>('Wtr-Gas'!H28)*0.0038</f>
        <v>0</v>
      </c>
      <c r="AH26" s="54">
        <f>'Wtr-Gas'!K28*0.0038</f>
        <v>0</v>
      </c>
      <c r="AI26" s="54">
        <f>'Wtr-Gas'!N28*0.0038</f>
        <v>0</v>
      </c>
      <c r="AJ26" s="54">
        <f>'Wtr-Gas'!Q28*0.0038</f>
        <v>0</v>
      </c>
      <c r="AK26" s="57">
        <f>'Wtr-Gas'!U28*0.0038</f>
        <v>0</v>
      </c>
      <c r="AL26" s="57">
        <f>'Wtr-Gas'!X28*0.0038</f>
        <v>0</v>
      </c>
      <c r="AM26" s="54">
        <f>'Wtr-Gas'!AB28*0.0038</f>
        <v>0</v>
      </c>
      <c r="AN26" s="54">
        <f>'Wtr-Gas'!AD28*0.0038</f>
        <v>0</v>
      </c>
      <c r="AO26" s="54">
        <f>'Wtr-Gas'!AF28*0.0038</f>
        <v>0</v>
      </c>
      <c r="AP26" s="54">
        <f>'Wtr-Gas'!AH28*0.0038</f>
        <v>0</v>
      </c>
      <c r="AQ26" s="54">
        <f>'Wtr-Gas'!AJ28*0.0038</f>
        <v>0</v>
      </c>
      <c r="AR26" s="54">
        <f>'Wtr-Gas'!AL28*0.0038</f>
        <v>0</v>
      </c>
      <c r="AS26" s="54">
        <f>'Wtr-Gas'!AN28*0.0038</f>
        <v>0</v>
      </c>
      <c r="AT26" s="54">
        <f>'Wtr-Gas'!AP28*0.0038</f>
        <v>0</v>
      </c>
      <c r="AU26" s="57">
        <f>'Wtr-Gas'!AT28*0.0038</f>
        <v>0</v>
      </c>
      <c r="AV26" s="54">
        <f>'Wtr-Gas'!AW28*0.0038</f>
        <v>0</v>
      </c>
      <c r="AW26" s="55">
        <f>'Wtr-Gas'!AY28*0.0038</f>
        <v>0</v>
      </c>
      <c r="AX26" s="54">
        <f>'Wtr-Gas'!AZ28*0.0038</f>
        <v>0</v>
      </c>
      <c r="AY26" s="54">
        <f>'Wtr-Gas'!BB28*0.0038</f>
        <v>0</v>
      </c>
      <c r="AZ26" s="54">
        <f>'Wtr-Gas'!BD28*0.0038</f>
        <v>0</v>
      </c>
      <c r="BA26" s="54">
        <f>'Wtr-Gas'!BF28*0.0038</f>
        <v>0</v>
      </c>
    </row>
    <row r="27" spans="1:53" x14ac:dyDescent="0.25">
      <c r="A27" s="3" t="s">
        <v>11</v>
      </c>
      <c r="B27" s="2">
        <v>7</v>
      </c>
      <c r="C27" s="2">
        <v>6</v>
      </c>
      <c r="D27" s="2">
        <v>2021</v>
      </c>
      <c r="E27" s="52">
        <f>Elect!AM29</f>
        <v>0</v>
      </c>
      <c r="F27" s="52">
        <f>Elect!I29</f>
        <v>0</v>
      </c>
      <c r="G27" s="52">
        <f>Elect!H29</f>
        <v>0</v>
      </c>
      <c r="H27" s="52">
        <f>Elect!F29</f>
        <v>0</v>
      </c>
      <c r="I27" s="52">
        <f>Elect!E29</f>
        <v>0</v>
      </c>
      <c r="J27" s="52">
        <f>Elect!U29</f>
        <v>0</v>
      </c>
      <c r="K27" s="52">
        <f>Elect!T29</f>
        <v>0</v>
      </c>
      <c r="L27" s="52">
        <f>Elect!AJ29</f>
        <v>0</v>
      </c>
      <c r="M27" s="52">
        <f>Elect!AI29</f>
        <v>0</v>
      </c>
      <c r="N27" s="52">
        <f>Elect!X29</f>
        <v>0</v>
      </c>
      <c r="O27" s="52">
        <f>Elect!W29</f>
        <v>0</v>
      </c>
      <c r="P27" s="52">
        <f>Elect!O29</f>
        <v>0</v>
      </c>
      <c r="Q27" s="52">
        <f>Elect!N29</f>
        <v>0</v>
      </c>
      <c r="R27" s="52">
        <f>Elect!L29</f>
        <v>0</v>
      </c>
      <c r="S27" s="52">
        <f>Elect!K29</f>
        <v>0</v>
      </c>
      <c r="T27" s="52">
        <f>Elect!R29</f>
        <v>0</v>
      </c>
      <c r="U27" s="52">
        <f>Elect!Q29</f>
        <v>0</v>
      </c>
      <c r="V27" s="52">
        <f>Elect!AA29</f>
        <v>0</v>
      </c>
      <c r="W27" s="52">
        <f>Elect!Z29</f>
        <v>0</v>
      </c>
      <c r="X27" s="52">
        <f>Elect!AD29</f>
        <v>0</v>
      </c>
      <c r="Y27" s="52">
        <f>Elect!AC29</f>
        <v>0</v>
      </c>
      <c r="Z27" s="52">
        <f>Elect!AG29</f>
        <v>0</v>
      </c>
      <c r="AA27" s="52">
        <f>Elect!AF29</f>
        <v>0</v>
      </c>
      <c r="AB27" s="52">
        <f>Elect!AX29</f>
        <v>0</v>
      </c>
      <c r="AC27" s="52">
        <f>Elect!AV29</f>
        <v>0</v>
      </c>
      <c r="AD27" s="52">
        <f>Elect!AZ29</f>
        <v>0</v>
      </c>
      <c r="AE27" s="52">
        <f>Elect!BB29</f>
        <v>0</v>
      </c>
      <c r="AF27" s="54">
        <f>('Wtr-Gas'!E29)*0.0038</f>
        <v>0</v>
      </c>
      <c r="AG27" s="54">
        <f>('Wtr-Gas'!H29)*0.0038</f>
        <v>0</v>
      </c>
      <c r="AH27" s="54">
        <f>'Wtr-Gas'!K29*0.0038</f>
        <v>0</v>
      </c>
      <c r="AI27" s="54">
        <f>'Wtr-Gas'!N29*0.0038</f>
        <v>0</v>
      </c>
      <c r="AJ27" s="54">
        <f>'Wtr-Gas'!Q29*0.0038</f>
        <v>0</v>
      </c>
      <c r="AK27" s="57">
        <f>'Wtr-Gas'!U29*0.0038</f>
        <v>0</v>
      </c>
      <c r="AL27" s="57">
        <f>'Wtr-Gas'!X29*0.0038</f>
        <v>0</v>
      </c>
      <c r="AM27" s="54">
        <f>'Wtr-Gas'!AB29*0.0038</f>
        <v>0</v>
      </c>
      <c r="AN27" s="54">
        <f>'Wtr-Gas'!AD29*0.0038</f>
        <v>0</v>
      </c>
      <c r="AO27" s="54">
        <f>'Wtr-Gas'!AF29*0.0038</f>
        <v>0</v>
      </c>
      <c r="AP27" s="54">
        <f>'Wtr-Gas'!AH29*0.0038</f>
        <v>0</v>
      </c>
      <c r="AQ27" s="54">
        <f>'Wtr-Gas'!AJ29*0.0038</f>
        <v>0</v>
      </c>
      <c r="AR27" s="54">
        <f>'Wtr-Gas'!AL29*0.0038</f>
        <v>0</v>
      </c>
      <c r="AS27" s="54">
        <f>'Wtr-Gas'!AN29*0.0038</f>
        <v>0</v>
      </c>
      <c r="AT27" s="54">
        <f>'Wtr-Gas'!AP29*0.0038</f>
        <v>0</v>
      </c>
      <c r="AU27" s="57">
        <f>'Wtr-Gas'!AT29*0.0038</f>
        <v>0</v>
      </c>
      <c r="AV27" s="54">
        <f>'Wtr-Gas'!AW29*0.0038</f>
        <v>0</v>
      </c>
      <c r="AW27" s="55">
        <f>'Wtr-Gas'!AY29*0.0038</f>
        <v>0</v>
      </c>
      <c r="AX27" s="54">
        <f>'Wtr-Gas'!AZ29*0.0038</f>
        <v>0</v>
      </c>
      <c r="AY27" s="54">
        <f>'Wtr-Gas'!BB29*0.0038</f>
        <v>0</v>
      </c>
      <c r="AZ27" s="54">
        <f>'Wtr-Gas'!BD29*0.0038</f>
        <v>0</v>
      </c>
      <c r="BA27" s="54">
        <f>'Wtr-Gas'!BF29*0.0038</f>
        <v>0</v>
      </c>
    </row>
    <row r="28" spans="1:53" x14ac:dyDescent="0.25">
      <c r="A28" s="3" t="s">
        <v>11</v>
      </c>
      <c r="B28" s="2">
        <v>14</v>
      </c>
      <c r="C28" s="2">
        <v>6</v>
      </c>
      <c r="D28" s="2">
        <v>2021</v>
      </c>
      <c r="E28" s="52">
        <f>Elect!AM30</f>
        <v>0</v>
      </c>
      <c r="F28" s="52">
        <f>Elect!I30</f>
        <v>0</v>
      </c>
      <c r="G28" s="52">
        <f>Elect!H30</f>
        <v>0</v>
      </c>
      <c r="H28" s="52">
        <f>Elect!F30</f>
        <v>0</v>
      </c>
      <c r="I28" s="52">
        <f>Elect!E30</f>
        <v>0</v>
      </c>
      <c r="J28" s="52">
        <f>Elect!U30</f>
        <v>0</v>
      </c>
      <c r="K28" s="52">
        <f>Elect!T30</f>
        <v>0</v>
      </c>
      <c r="L28" s="52">
        <f>Elect!AJ30</f>
        <v>0</v>
      </c>
      <c r="M28" s="52">
        <f>Elect!AI30</f>
        <v>0</v>
      </c>
      <c r="N28" s="52">
        <f>Elect!X30</f>
        <v>0</v>
      </c>
      <c r="O28" s="52">
        <f>Elect!W30</f>
        <v>0</v>
      </c>
      <c r="P28" s="52">
        <f>Elect!O30</f>
        <v>0</v>
      </c>
      <c r="Q28" s="52">
        <f>Elect!N30</f>
        <v>0</v>
      </c>
      <c r="R28" s="52">
        <f>Elect!L30</f>
        <v>0</v>
      </c>
      <c r="S28" s="52">
        <f>Elect!K30</f>
        <v>0</v>
      </c>
      <c r="T28" s="52">
        <f>Elect!R30</f>
        <v>0</v>
      </c>
      <c r="U28" s="52">
        <f>Elect!Q30</f>
        <v>0</v>
      </c>
      <c r="V28" s="52">
        <f>Elect!AA30</f>
        <v>0</v>
      </c>
      <c r="W28" s="52">
        <f>Elect!Z30</f>
        <v>0</v>
      </c>
      <c r="X28" s="52">
        <f>Elect!AD30</f>
        <v>0</v>
      </c>
      <c r="Y28" s="52">
        <f>Elect!AC30</f>
        <v>0</v>
      </c>
      <c r="Z28" s="52">
        <f>Elect!AG30</f>
        <v>0</v>
      </c>
      <c r="AA28" s="52">
        <f>Elect!AF30</f>
        <v>0</v>
      </c>
      <c r="AB28" s="52">
        <f>Elect!AX30</f>
        <v>0</v>
      </c>
      <c r="AC28" s="52">
        <f>Elect!AV30</f>
        <v>0</v>
      </c>
      <c r="AD28" s="52">
        <f>Elect!AZ30</f>
        <v>0</v>
      </c>
      <c r="AE28" s="52">
        <f>Elect!BB30</f>
        <v>0</v>
      </c>
      <c r="AF28" s="54">
        <f>('Wtr-Gas'!E30)*0.0038</f>
        <v>0</v>
      </c>
      <c r="AG28" s="54">
        <f>('Wtr-Gas'!H30)*0.0038</f>
        <v>0</v>
      </c>
      <c r="AH28" s="54">
        <f>'Wtr-Gas'!K30*0.0038</f>
        <v>0</v>
      </c>
      <c r="AI28" s="54">
        <f>'Wtr-Gas'!N30*0.0038</f>
        <v>0</v>
      </c>
      <c r="AJ28" s="54">
        <f>'Wtr-Gas'!Q30*0.0038</f>
        <v>0</v>
      </c>
      <c r="AK28" s="57">
        <f>'Wtr-Gas'!U30*0.0038</f>
        <v>0</v>
      </c>
      <c r="AL28" s="57">
        <f>'Wtr-Gas'!X30*0.0038</f>
        <v>0</v>
      </c>
      <c r="AM28" s="54">
        <f>'Wtr-Gas'!AB30*0.0038</f>
        <v>0</v>
      </c>
      <c r="AN28" s="54">
        <f>'Wtr-Gas'!AD30*0.0038</f>
        <v>0</v>
      </c>
      <c r="AO28" s="54">
        <f>'Wtr-Gas'!AF30*0.0038</f>
        <v>0</v>
      </c>
      <c r="AP28" s="54">
        <f>'Wtr-Gas'!AH30*0.0038</f>
        <v>0</v>
      </c>
      <c r="AQ28" s="54">
        <f>'Wtr-Gas'!AJ30*0.0038</f>
        <v>0</v>
      </c>
      <c r="AR28" s="54">
        <f>'Wtr-Gas'!AL30*0.0038</f>
        <v>0</v>
      </c>
      <c r="AS28" s="54">
        <f>'Wtr-Gas'!AN30*0.0038</f>
        <v>0</v>
      </c>
      <c r="AT28" s="54">
        <f>'Wtr-Gas'!AP30*0.0038</f>
        <v>0</v>
      </c>
      <c r="AU28" s="57">
        <f>'Wtr-Gas'!AT30*0.0038</f>
        <v>0</v>
      </c>
      <c r="AV28" s="54">
        <f>'Wtr-Gas'!AW30*0.0038</f>
        <v>0</v>
      </c>
      <c r="AW28" s="55">
        <f>'Wtr-Gas'!AY30*0.0038</f>
        <v>0</v>
      </c>
      <c r="AX28" s="54">
        <f>'Wtr-Gas'!AZ30*0.0038</f>
        <v>0</v>
      </c>
      <c r="AY28" s="54">
        <f>'Wtr-Gas'!BB30*0.0038</f>
        <v>0</v>
      </c>
      <c r="AZ28" s="54">
        <f>'Wtr-Gas'!BD30*0.0038</f>
        <v>0</v>
      </c>
      <c r="BA28" s="54">
        <f>'Wtr-Gas'!BF30*0.0038</f>
        <v>0</v>
      </c>
    </row>
    <row r="29" spans="1:53" x14ac:dyDescent="0.25">
      <c r="A29" s="3" t="s">
        <v>11</v>
      </c>
      <c r="B29" s="2">
        <v>21</v>
      </c>
      <c r="C29" s="2">
        <v>6</v>
      </c>
      <c r="D29" s="2">
        <v>2021</v>
      </c>
      <c r="E29" s="52">
        <f>Elect!AM31</f>
        <v>0</v>
      </c>
      <c r="F29" s="52">
        <f>Elect!I31</f>
        <v>0</v>
      </c>
      <c r="G29" s="52">
        <f>Elect!H31</f>
        <v>0</v>
      </c>
      <c r="H29" s="52">
        <f>Elect!F31</f>
        <v>0</v>
      </c>
      <c r="I29" s="52">
        <f>Elect!E31</f>
        <v>0</v>
      </c>
      <c r="J29" s="52">
        <f>Elect!U31</f>
        <v>0</v>
      </c>
      <c r="K29" s="52">
        <f>Elect!T31</f>
        <v>0</v>
      </c>
      <c r="L29" s="52">
        <f>Elect!AJ31</f>
        <v>0</v>
      </c>
      <c r="M29" s="52">
        <f>Elect!AI31</f>
        <v>0</v>
      </c>
      <c r="N29" s="52">
        <f>Elect!X31</f>
        <v>0</v>
      </c>
      <c r="O29" s="52">
        <f>Elect!W31</f>
        <v>0</v>
      </c>
      <c r="P29" s="52">
        <f>Elect!O31</f>
        <v>0</v>
      </c>
      <c r="Q29" s="52">
        <f>Elect!N31</f>
        <v>0</v>
      </c>
      <c r="R29" s="52">
        <f>Elect!L31</f>
        <v>0</v>
      </c>
      <c r="S29" s="52">
        <f>Elect!K31</f>
        <v>0</v>
      </c>
      <c r="T29" s="52">
        <f>Elect!R31</f>
        <v>0</v>
      </c>
      <c r="U29" s="52">
        <f>Elect!Q31</f>
        <v>0</v>
      </c>
      <c r="V29" s="52">
        <f>Elect!AA31</f>
        <v>0</v>
      </c>
      <c r="W29" s="52">
        <f>Elect!Z31</f>
        <v>0</v>
      </c>
      <c r="X29" s="52">
        <f>Elect!AD31</f>
        <v>0</v>
      </c>
      <c r="Y29" s="52">
        <f>Elect!AC31</f>
        <v>0</v>
      </c>
      <c r="Z29" s="52">
        <f>Elect!AG31</f>
        <v>0</v>
      </c>
      <c r="AA29" s="52">
        <f>Elect!AF31</f>
        <v>0</v>
      </c>
      <c r="AB29" s="52">
        <f>Elect!AX31</f>
        <v>0</v>
      </c>
      <c r="AC29" s="52">
        <f>Elect!AV31</f>
        <v>0</v>
      </c>
      <c r="AD29" s="52">
        <f>Elect!AZ31</f>
        <v>0</v>
      </c>
      <c r="AE29" s="52">
        <f>Elect!BB31</f>
        <v>0</v>
      </c>
      <c r="AF29" s="54">
        <f>('Wtr-Gas'!E31)*0.0038</f>
        <v>0</v>
      </c>
      <c r="AG29" s="54">
        <f>('Wtr-Gas'!H31)*0.0038</f>
        <v>0</v>
      </c>
      <c r="AH29" s="54">
        <f>'Wtr-Gas'!K31*0.0038</f>
        <v>0</v>
      </c>
      <c r="AI29" s="54">
        <f>'Wtr-Gas'!N31*0.0038</f>
        <v>0</v>
      </c>
      <c r="AJ29" s="54">
        <f>'Wtr-Gas'!Q31*0.0038</f>
        <v>0</v>
      </c>
      <c r="AK29" s="57">
        <f>'Wtr-Gas'!U31*0.0038</f>
        <v>0</v>
      </c>
      <c r="AL29" s="57">
        <f>'Wtr-Gas'!X31*0.0038</f>
        <v>0</v>
      </c>
      <c r="AM29" s="54">
        <f>'Wtr-Gas'!AB31*0.0038</f>
        <v>0</v>
      </c>
      <c r="AN29" s="54">
        <f>'Wtr-Gas'!AD31*0.0038</f>
        <v>0</v>
      </c>
      <c r="AO29" s="54">
        <f>'Wtr-Gas'!AF31*0.0038</f>
        <v>0</v>
      </c>
      <c r="AP29" s="54">
        <f>'Wtr-Gas'!AH31*0.0038</f>
        <v>0</v>
      </c>
      <c r="AQ29" s="54">
        <f>'Wtr-Gas'!AJ31*0.0038</f>
        <v>0</v>
      </c>
      <c r="AR29" s="54">
        <f>'Wtr-Gas'!AL31*0.0038</f>
        <v>0</v>
      </c>
      <c r="AS29" s="54">
        <f>'Wtr-Gas'!AN31*0.0038</f>
        <v>0</v>
      </c>
      <c r="AT29" s="54">
        <f>'Wtr-Gas'!AP31*0.0038</f>
        <v>0</v>
      </c>
      <c r="AU29" s="57">
        <f>'Wtr-Gas'!AT31*0.0038</f>
        <v>0</v>
      </c>
      <c r="AV29" s="54">
        <f>'Wtr-Gas'!AW31*0.0038</f>
        <v>0</v>
      </c>
      <c r="AW29" s="55">
        <f>'Wtr-Gas'!AY31*0.0038</f>
        <v>0</v>
      </c>
      <c r="AX29" s="54">
        <f>'Wtr-Gas'!AZ31*0.0038</f>
        <v>0</v>
      </c>
      <c r="AY29" s="54">
        <f>'Wtr-Gas'!BB31*0.0038</f>
        <v>0</v>
      </c>
      <c r="AZ29" s="54">
        <f>'Wtr-Gas'!BD31*0.0038</f>
        <v>0</v>
      </c>
      <c r="BA29" s="54">
        <f>'Wtr-Gas'!BF31*0.0038</f>
        <v>0</v>
      </c>
    </row>
    <row r="30" spans="1:53" x14ac:dyDescent="0.25">
      <c r="A30" s="3" t="s">
        <v>11</v>
      </c>
      <c r="B30" s="2">
        <v>28</v>
      </c>
      <c r="C30" s="2">
        <v>6</v>
      </c>
      <c r="D30" s="2">
        <v>2021</v>
      </c>
      <c r="E30" s="52">
        <f>Elect!AM32</f>
        <v>0</v>
      </c>
      <c r="F30" s="52">
        <f>Elect!I32</f>
        <v>0</v>
      </c>
      <c r="G30" s="52">
        <f>Elect!H32</f>
        <v>0</v>
      </c>
      <c r="H30" s="52">
        <f>Elect!F32</f>
        <v>0</v>
      </c>
      <c r="I30" s="52">
        <f>Elect!E32</f>
        <v>0</v>
      </c>
      <c r="J30" s="52">
        <f>Elect!U32</f>
        <v>0</v>
      </c>
      <c r="K30" s="52">
        <f>Elect!T32</f>
        <v>0</v>
      </c>
      <c r="L30" s="52">
        <f>Elect!AJ32</f>
        <v>0</v>
      </c>
      <c r="M30" s="52">
        <f>Elect!AI32</f>
        <v>0</v>
      </c>
      <c r="N30" s="52">
        <f>Elect!X32</f>
        <v>0</v>
      </c>
      <c r="O30" s="52">
        <f>Elect!W32</f>
        <v>0</v>
      </c>
      <c r="P30" s="52">
        <f>Elect!O32</f>
        <v>0</v>
      </c>
      <c r="Q30" s="52">
        <f>Elect!N32</f>
        <v>0</v>
      </c>
      <c r="R30" s="52">
        <f>Elect!L32</f>
        <v>0</v>
      </c>
      <c r="S30" s="52">
        <f>Elect!K32</f>
        <v>0</v>
      </c>
      <c r="T30" s="52">
        <f>Elect!R32</f>
        <v>0</v>
      </c>
      <c r="U30" s="52">
        <f>Elect!Q32</f>
        <v>0</v>
      </c>
      <c r="V30" s="52">
        <f>Elect!AA32</f>
        <v>0</v>
      </c>
      <c r="W30" s="52">
        <f>Elect!Z32</f>
        <v>0</v>
      </c>
      <c r="X30" s="52">
        <f>Elect!AD32</f>
        <v>0</v>
      </c>
      <c r="Y30" s="52">
        <f>Elect!AC32</f>
        <v>0</v>
      </c>
      <c r="Z30" s="52">
        <f>Elect!AG32</f>
        <v>0</v>
      </c>
      <c r="AA30" s="52">
        <f>Elect!AF32</f>
        <v>0</v>
      </c>
      <c r="AB30" s="52">
        <f>Elect!AX32</f>
        <v>0</v>
      </c>
      <c r="AC30" s="52">
        <f>Elect!AV32</f>
        <v>0</v>
      </c>
      <c r="AD30" s="52">
        <f>Elect!AZ32</f>
        <v>0</v>
      </c>
      <c r="AE30" s="52">
        <f>Elect!BB32</f>
        <v>0</v>
      </c>
      <c r="AF30" s="54">
        <f>('Wtr-Gas'!E32)*0.0038</f>
        <v>0</v>
      </c>
      <c r="AG30" s="54">
        <f>('Wtr-Gas'!H32)*0.0038</f>
        <v>0</v>
      </c>
      <c r="AH30" s="54">
        <f>'Wtr-Gas'!K32*0.0038</f>
        <v>0</v>
      </c>
      <c r="AI30" s="54">
        <f>'Wtr-Gas'!N32*0.0038</f>
        <v>0</v>
      </c>
      <c r="AJ30" s="54">
        <f>'Wtr-Gas'!Q32*0.0038</f>
        <v>0.49020000000000002</v>
      </c>
      <c r="AK30" s="57">
        <f>'Wtr-Gas'!U32*0.0038</f>
        <v>0</v>
      </c>
      <c r="AL30" s="57">
        <f>'Wtr-Gas'!X32*0.0038</f>
        <v>0</v>
      </c>
      <c r="AM30" s="54">
        <f>'Wtr-Gas'!AB32*0.0038</f>
        <v>0</v>
      </c>
      <c r="AN30" s="54">
        <f>'Wtr-Gas'!AD32*0.0038</f>
        <v>0</v>
      </c>
      <c r="AO30" s="54">
        <f>'Wtr-Gas'!AF32*0.0038</f>
        <v>0</v>
      </c>
      <c r="AP30" s="54">
        <f>'Wtr-Gas'!AH32*0.0038</f>
        <v>0</v>
      </c>
      <c r="AQ30" s="54">
        <f>'Wtr-Gas'!AJ32*0.0038</f>
        <v>0</v>
      </c>
      <c r="AR30" s="54">
        <f>'Wtr-Gas'!AL32*0.0038</f>
        <v>0</v>
      </c>
      <c r="AS30" s="54">
        <f>'Wtr-Gas'!AN32*0.0038</f>
        <v>0</v>
      </c>
      <c r="AT30" s="54">
        <f>'Wtr-Gas'!AP32*0.0038</f>
        <v>0</v>
      </c>
      <c r="AU30" s="57">
        <f>'Wtr-Gas'!AT32*0.0038</f>
        <v>0</v>
      </c>
      <c r="AV30" s="54">
        <f>'Wtr-Gas'!AW32*0.0038</f>
        <v>0</v>
      </c>
      <c r="AW30" s="55">
        <f>'Wtr-Gas'!AY32*0.0038</f>
        <v>0</v>
      </c>
      <c r="AX30" s="54">
        <f>'Wtr-Gas'!AZ32*0.0038</f>
        <v>0</v>
      </c>
      <c r="AY30" s="54">
        <f>'Wtr-Gas'!BB32*0.0038</f>
        <v>0</v>
      </c>
      <c r="AZ30" s="54">
        <f>'Wtr-Gas'!BD32*0.0038</f>
        <v>0</v>
      </c>
      <c r="BA30" s="54">
        <f>'Wtr-Gas'!BF32*0.0038</f>
        <v>0</v>
      </c>
    </row>
    <row r="31" spans="1:53" x14ac:dyDescent="0.25">
      <c r="A31" s="3" t="s">
        <v>11</v>
      </c>
      <c r="B31" s="2">
        <v>30</v>
      </c>
      <c r="C31" s="2">
        <v>6</v>
      </c>
      <c r="D31" s="2">
        <v>2021</v>
      </c>
      <c r="E31" s="52">
        <f>Elect!AM33</f>
        <v>0</v>
      </c>
      <c r="F31" s="52">
        <f>Elect!I33</f>
        <v>0</v>
      </c>
      <c r="G31" s="52">
        <f>Elect!H33</f>
        <v>0</v>
      </c>
      <c r="H31" s="52">
        <f>Elect!F33</f>
        <v>0</v>
      </c>
      <c r="I31" s="52">
        <f>Elect!E33</f>
        <v>0</v>
      </c>
      <c r="J31" s="52">
        <f>Elect!U33</f>
        <v>0</v>
      </c>
      <c r="K31" s="52">
        <f>Elect!T33</f>
        <v>0</v>
      </c>
      <c r="L31" s="52">
        <f>Elect!AJ33</f>
        <v>0</v>
      </c>
      <c r="M31" s="52">
        <f>Elect!AI33</f>
        <v>0</v>
      </c>
      <c r="N31" s="52">
        <f>Elect!X33</f>
        <v>0</v>
      </c>
      <c r="O31" s="52">
        <f>Elect!W33</f>
        <v>0</v>
      </c>
      <c r="P31" s="52">
        <f>Elect!O33</f>
        <v>0</v>
      </c>
      <c r="Q31" s="52">
        <f>Elect!N33</f>
        <v>0</v>
      </c>
      <c r="R31" s="52">
        <f>Elect!L33</f>
        <v>0</v>
      </c>
      <c r="S31" s="52">
        <f>Elect!K33</f>
        <v>0</v>
      </c>
      <c r="T31" s="52">
        <f>Elect!R33</f>
        <v>0</v>
      </c>
      <c r="U31" s="52">
        <f>Elect!Q33</f>
        <v>0</v>
      </c>
      <c r="V31" s="52">
        <f>Elect!AA33</f>
        <v>0</v>
      </c>
      <c r="W31" s="52">
        <f>Elect!Z33</f>
        <v>0</v>
      </c>
      <c r="X31" s="52">
        <f>Elect!AD33</f>
        <v>0</v>
      </c>
      <c r="Y31" s="52">
        <f>Elect!AC33</f>
        <v>0</v>
      </c>
      <c r="Z31" s="52">
        <f>Elect!AG33</f>
        <v>0</v>
      </c>
      <c r="AA31" s="52">
        <f>Elect!AF33</f>
        <v>0</v>
      </c>
      <c r="AB31" s="52">
        <f>Elect!AX33</f>
        <v>0</v>
      </c>
      <c r="AC31" s="52">
        <f>Elect!AV33</f>
        <v>0</v>
      </c>
      <c r="AD31" s="52">
        <f>Elect!AZ33</f>
        <v>0</v>
      </c>
      <c r="AE31" s="52">
        <f>Elect!BB33</f>
        <v>0</v>
      </c>
      <c r="AF31" s="54">
        <f>('Wtr-Gas'!E33)*0.0038</f>
        <v>0</v>
      </c>
      <c r="AG31" s="54">
        <f>('Wtr-Gas'!H33)*0.0038</f>
        <v>0</v>
      </c>
      <c r="AH31" s="54">
        <f>'Wtr-Gas'!K33*0.0038</f>
        <v>0</v>
      </c>
      <c r="AI31" s="54">
        <f>'Wtr-Gas'!N33*0.0038</f>
        <v>0</v>
      </c>
      <c r="AJ31" s="54">
        <f>'Wtr-Gas'!Q33*0.0038</f>
        <v>0</v>
      </c>
      <c r="AK31" s="57">
        <f>'Wtr-Gas'!U33*0.0038</f>
        <v>0</v>
      </c>
      <c r="AL31" s="57">
        <f>'Wtr-Gas'!X33*0.0038</f>
        <v>0</v>
      </c>
      <c r="AM31" s="54">
        <f>'Wtr-Gas'!AB33*0.0038</f>
        <v>0</v>
      </c>
      <c r="AN31" s="54">
        <f>'Wtr-Gas'!AD33*0.0038</f>
        <v>0</v>
      </c>
      <c r="AO31" s="54">
        <f>'Wtr-Gas'!AF33*0.0038</f>
        <v>0</v>
      </c>
      <c r="AP31" s="54">
        <f>'Wtr-Gas'!AH33*0.0038</f>
        <v>0</v>
      </c>
      <c r="AQ31" s="54">
        <f>'Wtr-Gas'!AJ33*0.0038</f>
        <v>0</v>
      </c>
      <c r="AR31" s="54">
        <f>'Wtr-Gas'!AL33*0.0038</f>
        <v>0</v>
      </c>
      <c r="AS31" s="54">
        <f>'Wtr-Gas'!AN33*0.0038</f>
        <v>0</v>
      </c>
      <c r="AT31" s="54">
        <f>'Wtr-Gas'!AP33*0.0038</f>
        <v>0</v>
      </c>
      <c r="AU31" s="57">
        <f>'Wtr-Gas'!AT33*0.0038</f>
        <v>0</v>
      </c>
      <c r="AV31" s="54">
        <f>'Wtr-Gas'!AW33*0.0038</f>
        <v>0</v>
      </c>
      <c r="AW31" s="55">
        <f>'Wtr-Gas'!AY33*0.0038</f>
        <v>0</v>
      </c>
      <c r="AX31" s="54">
        <f>'Wtr-Gas'!AZ33*0.0038</f>
        <v>0</v>
      </c>
      <c r="AY31" s="54">
        <f>'Wtr-Gas'!BB33*0.0038</f>
        <v>0</v>
      </c>
      <c r="AZ31" s="54">
        <f>'Wtr-Gas'!BD33*0.0038</f>
        <v>0</v>
      </c>
      <c r="BA31" s="54">
        <f>'Wtr-Gas'!BF33*0.0038</f>
        <v>0</v>
      </c>
    </row>
    <row r="32" spans="1:53" x14ac:dyDescent="0.25">
      <c r="A32" s="3" t="s">
        <v>11</v>
      </c>
      <c r="B32" s="2">
        <v>5</v>
      </c>
      <c r="C32" s="2">
        <v>7</v>
      </c>
      <c r="D32" s="2">
        <v>2021</v>
      </c>
      <c r="E32" s="52">
        <f>Elect!AM34</f>
        <v>0</v>
      </c>
      <c r="F32" s="52">
        <f>Elect!I34</f>
        <v>0</v>
      </c>
      <c r="G32" s="52">
        <f>Elect!H34</f>
        <v>0</v>
      </c>
      <c r="H32" s="52">
        <f>Elect!F34</f>
        <v>0</v>
      </c>
      <c r="I32" s="52">
        <f>Elect!E34</f>
        <v>0</v>
      </c>
      <c r="J32" s="52">
        <f>Elect!U34</f>
        <v>0</v>
      </c>
      <c r="K32" s="52">
        <f>Elect!T34</f>
        <v>0</v>
      </c>
      <c r="L32" s="52">
        <f>Elect!AJ34</f>
        <v>0</v>
      </c>
      <c r="M32" s="52">
        <f>Elect!AI34</f>
        <v>0</v>
      </c>
      <c r="N32" s="52">
        <f>Elect!X34</f>
        <v>0</v>
      </c>
      <c r="O32" s="52">
        <f>Elect!W34</f>
        <v>0</v>
      </c>
      <c r="P32" s="52">
        <f>Elect!O34</f>
        <v>0</v>
      </c>
      <c r="Q32" s="52">
        <f>Elect!N34</f>
        <v>0</v>
      </c>
      <c r="R32" s="52">
        <f>Elect!L34</f>
        <v>0</v>
      </c>
      <c r="S32" s="52">
        <f>Elect!K34</f>
        <v>0</v>
      </c>
      <c r="T32" s="52">
        <f>Elect!R34</f>
        <v>0</v>
      </c>
      <c r="U32" s="52">
        <f>Elect!Q34</f>
        <v>0</v>
      </c>
      <c r="V32" s="52">
        <f>Elect!AA34</f>
        <v>0</v>
      </c>
      <c r="W32" s="52">
        <f>Elect!Z34</f>
        <v>0</v>
      </c>
      <c r="X32" s="52">
        <f>Elect!AD34</f>
        <v>0</v>
      </c>
      <c r="Y32" s="52">
        <f>Elect!AC34</f>
        <v>0</v>
      </c>
      <c r="Z32" s="52">
        <f>Elect!AG34</f>
        <v>0</v>
      </c>
      <c r="AA32" s="52">
        <f>Elect!AF34</f>
        <v>0</v>
      </c>
      <c r="AB32" s="52">
        <f>Elect!AX34</f>
        <v>0</v>
      </c>
      <c r="AC32" s="52">
        <f>Elect!AV34</f>
        <v>0</v>
      </c>
      <c r="AD32" s="52">
        <f>Elect!AZ34</f>
        <v>0</v>
      </c>
      <c r="AE32" s="52">
        <f>Elect!BB34</f>
        <v>0</v>
      </c>
      <c r="AF32" s="54">
        <f>('Wtr-Gas'!E34)*0.0038</f>
        <v>0</v>
      </c>
      <c r="AG32" s="54">
        <f>('Wtr-Gas'!H34)*0.0038</f>
        <v>0</v>
      </c>
      <c r="AH32" s="54">
        <f>'Wtr-Gas'!K34*0.0038</f>
        <v>0</v>
      </c>
      <c r="AI32" s="54">
        <f>'Wtr-Gas'!N34*0.0038</f>
        <v>0</v>
      </c>
      <c r="AJ32" s="54">
        <f>'Wtr-Gas'!Q34*0.0038</f>
        <v>0</v>
      </c>
      <c r="AK32" s="57">
        <f>'Wtr-Gas'!U34*0.0038</f>
        <v>0</v>
      </c>
      <c r="AL32" s="57">
        <f>'Wtr-Gas'!X34*0.0038</f>
        <v>0</v>
      </c>
      <c r="AM32" s="54">
        <f>'Wtr-Gas'!AB34*0.0038</f>
        <v>0</v>
      </c>
      <c r="AN32" s="54">
        <f>'Wtr-Gas'!AD34*0.0038</f>
        <v>0</v>
      </c>
      <c r="AO32" s="54">
        <f>'Wtr-Gas'!AF34*0.0038</f>
        <v>0</v>
      </c>
      <c r="AP32" s="54">
        <f>'Wtr-Gas'!AH34*0.0038</f>
        <v>0</v>
      </c>
      <c r="AQ32" s="54">
        <f>'Wtr-Gas'!AJ34*0.0038</f>
        <v>0</v>
      </c>
      <c r="AR32" s="54">
        <f>'Wtr-Gas'!AL34*0.0038</f>
        <v>0</v>
      </c>
      <c r="AS32" s="54">
        <f>'Wtr-Gas'!AN34*0.0038</f>
        <v>0</v>
      </c>
      <c r="AT32" s="54">
        <f>'Wtr-Gas'!AP34*0.0038</f>
        <v>0</v>
      </c>
      <c r="AU32" s="57">
        <f>'Wtr-Gas'!AT34*0.0038</f>
        <v>0</v>
      </c>
      <c r="AV32" s="54">
        <f>'Wtr-Gas'!AW34*0.0038</f>
        <v>0</v>
      </c>
      <c r="AW32" s="55">
        <f>'Wtr-Gas'!AY34*0.0038</f>
        <v>0</v>
      </c>
      <c r="AX32" s="54">
        <f>'Wtr-Gas'!AZ34*0.0038</f>
        <v>0</v>
      </c>
      <c r="AY32" s="54">
        <f>'Wtr-Gas'!BB34*0.0038</f>
        <v>0</v>
      </c>
      <c r="AZ32" s="54">
        <f>'Wtr-Gas'!BD34*0.0038</f>
        <v>0</v>
      </c>
      <c r="BA32" s="54">
        <f>'Wtr-Gas'!BF34*0.0038</f>
        <v>0</v>
      </c>
    </row>
    <row r="33" spans="1:53" x14ac:dyDescent="0.25">
      <c r="A33" s="3" t="s">
        <v>11</v>
      </c>
      <c r="B33" s="2">
        <v>12</v>
      </c>
      <c r="C33" s="2">
        <v>7</v>
      </c>
      <c r="D33" s="2">
        <v>2021</v>
      </c>
      <c r="E33" s="52">
        <f>Elect!AM35</f>
        <v>0</v>
      </c>
      <c r="F33" s="52">
        <f>Elect!I35</f>
        <v>0</v>
      </c>
      <c r="G33" s="52">
        <f>Elect!H35</f>
        <v>0</v>
      </c>
      <c r="H33" s="52">
        <f>Elect!F35</f>
        <v>0</v>
      </c>
      <c r="I33" s="52">
        <f>Elect!E35</f>
        <v>0</v>
      </c>
      <c r="J33" s="52">
        <f>Elect!U35</f>
        <v>0</v>
      </c>
      <c r="K33" s="52">
        <f>Elect!T35</f>
        <v>0</v>
      </c>
      <c r="L33" s="52">
        <f>Elect!AJ35</f>
        <v>0</v>
      </c>
      <c r="M33" s="52">
        <f>Elect!AI35</f>
        <v>0</v>
      </c>
      <c r="N33" s="52">
        <f>Elect!X35</f>
        <v>0</v>
      </c>
      <c r="O33" s="52">
        <f>Elect!W35</f>
        <v>0</v>
      </c>
      <c r="P33" s="52">
        <f>Elect!O35</f>
        <v>0</v>
      </c>
      <c r="Q33" s="52">
        <f>Elect!N35</f>
        <v>0</v>
      </c>
      <c r="R33" s="52">
        <f>Elect!L35</f>
        <v>0</v>
      </c>
      <c r="S33" s="52">
        <f>Elect!K35</f>
        <v>0</v>
      </c>
      <c r="T33" s="52">
        <f>Elect!R35</f>
        <v>0</v>
      </c>
      <c r="U33" s="52">
        <f>Elect!Q35</f>
        <v>0</v>
      </c>
      <c r="V33" s="52">
        <f>Elect!AA35</f>
        <v>0</v>
      </c>
      <c r="W33" s="52">
        <f>Elect!Z35</f>
        <v>0</v>
      </c>
      <c r="X33" s="52">
        <f>Elect!AD35</f>
        <v>0</v>
      </c>
      <c r="Y33" s="52">
        <f>Elect!AC35</f>
        <v>0</v>
      </c>
      <c r="Z33" s="52">
        <f>Elect!AG35</f>
        <v>0</v>
      </c>
      <c r="AA33" s="52">
        <f>Elect!AF35</f>
        <v>0</v>
      </c>
      <c r="AB33" s="52">
        <f>Elect!AX35</f>
        <v>0</v>
      </c>
      <c r="AC33" s="52">
        <f>Elect!AV35</f>
        <v>0</v>
      </c>
      <c r="AD33" s="52">
        <f>Elect!AZ35</f>
        <v>0</v>
      </c>
      <c r="AE33" s="52">
        <f>Elect!BB35</f>
        <v>0</v>
      </c>
      <c r="AF33" s="54">
        <f>('Wtr-Gas'!E35)*0.0038</f>
        <v>0</v>
      </c>
      <c r="AG33" s="54">
        <f>('Wtr-Gas'!H35)*0.0038</f>
        <v>0</v>
      </c>
      <c r="AH33" s="54">
        <f>'Wtr-Gas'!K35*0.0038</f>
        <v>0</v>
      </c>
      <c r="AI33" s="54">
        <f>'Wtr-Gas'!N35*0.0038</f>
        <v>0</v>
      </c>
      <c r="AJ33" s="54">
        <f>'Wtr-Gas'!Q35*0.0038</f>
        <v>0</v>
      </c>
      <c r="AK33" s="57">
        <f>'Wtr-Gas'!U35*0.0038</f>
        <v>0</v>
      </c>
      <c r="AL33" s="57">
        <f>'Wtr-Gas'!X35*0.0038</f>
        <v>0</v>
      </c>
      <c r="AM33" s="54">
        <f>'Wtr-Gas'!AB35*0.0038</f>
        <v>0</v>
      </c>
      <c r="AN33" s="54">
        <f>'Wtr-Gas'!AD35*0.0038</f>
        <v>0</v>
      </c>
      <c r="AO33" s="54">
        <f>'Wtr-Gas'!AF35*0.0038</f>
        <v>0</v>
      </c>
      <c r="AP33" s="54">
        <f>'Wtr-Gas'!AH35*0.0038</f>
        <v>0</v>
      </c>
      <c r="AQ33" s="54">
        <f>'Wtr-Gas'!AJ35*0.0038</f>
        <v>0</v>
      </c>
      <c r="AR33" s="54">
        <f>'Wtr-Gas'!AL35*0.0038</f>
        <v>0</v>
      </c>
      <c r="AS33" s="54">
        <f>'Wtr-Gas'!AN35*0.0038</f>
        <v>0</v>
      </c>
      <c r="AT33" s="54">
        <f>'Wtr-Gas'!AP35*0.0038</f>
        <v>0</v>
      </c>
      <c r="AU33" s="57">
        <f>'Wtr-Gas'!AT35*0.0038</f>
        <v>0</v>
      </c>
      <c r="AV33" s="54">
        <f>'Wtr-Gas'!AW35*0.0038</f>
        <v>0</v>
      </c>
      <c r="AW33" s="55">
        <f>'Wtr-Gas'!AY35*0.0038</f>
        <v>0</v>
      </c>
      <c r="AX33" s="54">
        <f>'Wtr-Gas'!AZ35*0.0038</f>
        <v>0</v>
      </c>
      <c r="AY33" s="54">
        <f>'Wtr-Gas'!BB35*0.0038</f>
        <v>0</v>
      </c>
      <c r="AZ33" s="54">
        <f>'Wtr-Gas'!BD35*0.0038</f>
        <v>0</v>
      </c>
      <c r="BA33" s="54">
        <f>'Wtr-Gas'!BF35*0.0038</f>
        <v>0</v>
      </c>
    </row>
    <row r="34" spans="1:53" x14ac:dyDescent="0.25">
      <c r="A34" s="3" t="s">
        <v>11</v>
      </c>
      <c r="B34" s="2">
        <v>19</v>
      </c>
      <c r="C34" s="2">
        <v>7</v>
      </c>
      <c r="D34" s="2">
        <v>2021</v>
      </c>
      <c r="E34" s="52">
        <f>Elect!AM36</f>
        <v>0</v>
      </c>
      <c r="F34" s="52">
        <f>Elect!I36</f>
        <v>0</v>
      </c>
      <c r="G34" s="52">
        <f>Elect!H36</f>
        <v>0</v>
      </c>
      <c r="H34" s="52">
        <f>Elect!F36</f>
        <v>0</v>
      </c>
      <c r="I34" s="52">
        <f>Elect!E36</f>
        <v>0</v>
      </c>
      <c r="J34" s="52">
        <f>Elect!U36</f>
        <v>0</v>
      </c>
      <c r="K34" s="52">
        <f>Elect!T36</f>
        <v>0</v>
      </c>
      <c r="L34" s="52">
        <f>Elect!AJ36</f>
        <v>0</v>
      </c>
      <c r="M34" s="52">
        <f>Elect!AI36</f>
        <v>0</v>
      </c>
      <c r="N34" s="52">
        <f>Elect!X36</f>
        <v>0</v>
      </c>
      <c r="O34" s="52">
        <f>Elect!W36</f>
        <v>0</v>
      </c>
      <c r="P34" s="52">
        <f>Elect!O36</f>
        <v>0</v>
      </c>
      <c r="Q34" s="52">
        <f>Elect!N36</f>
        <v>0</v>
      </c>
      <c r="R34" s="52">
        <f>Elect!L36</f>
        <v>0</v>
      </c>
      <c r="S34" s="52">
        <f>Elect!K36</f>
        <v>0</v>
      </c>
      <c r="T34" s="52">
        <f>Elect!R36</f>
        <v>0</v>
      </c>
      <c r="U34" s="52">
        <f>Elect!Q36</f>
        <v>0</v>
      </c>
      <c r="V34" s="52">
        <f>Elect!AA36</f>
        <v>0</v>
      </c>
      <c r="W34" s="52">
        <f>Elect!Z36</f>
        <v>0</v>
      </c>
      <c r="X34" s="52">
        <f>Elect!AD36</f>
        <v>0</v>
      </c>
      <c r="Y34" s="52">
        <f>Elect!AC36</f>
        <v>0</v>
      </c>
      <c r="Z34" s="52">
        <f>Elect!AG36</f>
        <v>0</v>
      </c>
      <c r="AA34" s="52">
        <f>Elect!AF36</f>
        <v>0</v>
      </c>
      <c r="AB34" s="52">
        <f>Elect!AX36</f>
        <v>0</v>
      </c>
      <c r="AC34" s="52">
        <f>Elect!AV36</f>
        <v>0</v>
      </c>
      <c r="AD34" s="52">
        <f>Elect!AZ36</f>
        <v>0</v>
      </c>
      <c r="AE34" s="52">
        <f>Elect!BB36</f>
        <v>0</v>
      </c>
      <c r="AF34" s="54">
        <f>('Wtr-Gas'!E36)*0.0038</f>
        <v>0</v>
      </c>
      <c r="AG34" s="54">
        <f>('Wtr-Gas'!H36)*0.0038</f>
        <v>0</v>
      </c>
      <c r="AH34" s="54">
        <f>'Wtr-Gas'!K36*0.0038</f>
        <v>0</v>
      </c>
      <c r="AI34" s="54">
        <f>'Wtr-Gas'!N36*0.0038</f>
        <v>0</v>
      </c>
      <c r="AJ34" s="54">
        <f>'Wtr-Gas'!Q36*0.0038</f>
        <v>0</v>
      </c>
      <c r="AK34" s="57">
        <f>'Wtr-Gas'!U36*0.0038</f>
        <v>0</v>
      </c>
      <c r="AL34" s="57">
        <f>'Wtr-Gas'!X36*0.0038</f>
        <v>0</v>
      </c>
      <c r="AM34" s="54">
        <f>'Wtr-Gas'!AB36*0.0038</f>
        <v>0</v>
      </c>
      <c r="AN34" s="54">
        <f>'Wtr-Gas'!AD36*0.0038</f>
        <v>0</v>
      </c>
      <c r="AO34" s="54">
        <f>'Wtr-Gas'!AF36*0.0038</f>
        <v>0</v>
      </c>
      <c r="AP34" s="54">
        <f>'Wtr-Gas'!AH36*0.0038</f>
        <v>0</v>
      </c>
      <c r="AQ34" s="54">
        <f>'Wtr-Gas'!AJ36*0.0038</f>
        <v>0</v>
      </c>
      <c r="AR34" s="54">
        <f>'Wtr-Gas'!AL36*0.0038</f>
        <v>0</v>
      </c>
      <c r="AS34" s="54">
        <f>'Wtr-Gas'!AN36*0.0038</f>
        <v>0</v>
      </c>
      <c r="AT34" s="54">
        <f>'Wtr-Gas'!AP36*0.0038</f>
        <v>0</v>
      </c>
      <c r="AU34" s="57">
        <f>'Wtr-Gas'!AT36*0.0038</f>
        <v>0</v>
      </c>
      <c r="AV34" s="54">
        <f>'Wtr-Gas'!AW36*0.0038</f>
        <v>0</v>
      </c>
      <c r="AW34" s="55">
        <f>'Wtr-Gas'!AY36*0.0038</f>
        <v>0</v>
      </c>
      <c r="AX34" s="54">
        <f>'Wtr-Gas'!AZ36*0.0038</f>
        <v>0</v>
      </c>
      <c r="AY34" s="54">
        <f>'Wtr-Gas'!BB36*0.0038</f>
        <v>0</v>
      </c>
      <c r="AZ34" s="54">
        <f>'Wtr-Gas'!BD36*0.0038</f>
        <v>0</v>
      </c>
      <c r="BA34" s="54">
        <f>'Wtr-Gas'!BF36*0.0038</f>
        <v>0</v>
      </c>
    </row>
    <row r="35" spans="1:53" x14ac:dyDescent="0.25">
      <c r="A35" s="3" t="s">
        <v>11</v>
      </c>
      <c r="B35" s="2">
        <v>26</v>
      </c>
      <c r="C35" s="2">
        <v>7</v>
      </c>
      <c r="D35" s="2">
        <v>2021</v>
      </c>
      <c r="E35" s="52">
        <f>Elect!AM37</f>
        <v>0</v>
      </c>
      <c r="F35" s="52">
        <f>Elect!I37</f>
        <v>0</v>
      </c>
      <c r="G35" s="52">
        <f>Elect!H37</f>
        <v>0</v>
      </c>
      <c r="H35" s="52">
        <f>Elect!F37</f>
        <v>0</v>
      </c>
      <c r="I35" s="52">
        <f>Elect!E37</f>
        <v>0</v>
      </c>
      <c r="J35" s="52">
        <f>Elect!U37</f>
        <v>0</v>
      </c>
      <c r="K35" s="52">
        <f>Elect!T37</f>
        <v>0</v>
      </c>
      <c r="L35" s="52">
        <f>Elect!AJ37</f>
        <v>0</v>
      </c>
      <c r="M35" s="52">
        <f>Elect!AI37</f>
        <v>0</v>
      </c>
      <c r="N35" s="52">
        <f>Elect!X37</f>
        <v>0</v>
      </c>
      <c r="O35" s="52">
        <f>Elect!W37</f>
        <v>0</v>
      </c>
      <c r="P35" s="52">
        <f>Elect!O37</f>
        <v>0</v>
      </c>
      <c r="Q35" s="52">
        <f>Elect!N37</f>
        <v>0</v>
      </c>
      <c r="R35" s="52">
        <f>Elect!L37</f>
        <v>0</v>
      </c>
      <c r="S35" s="52">
        <f>Elect!K37</f>
        <v>0</v>
      </c>
      <c r="T35" s="52">
        <f>Elect!R37</f>
        <v>0</v>
      </c>
      <c r="U35" s="52">
        <f>Elect!Q37</f>
        <v>0</v>
      </c>
      <c r="V35" s="52">
        <f>Elect!AA37</f>
        <v>0</v>
      </c>
      <c r="W35" s="52">
        <f>Elect!Z37</f>
        <v>0</v>
      </c>
      <c r="X35" s="52">
        <f>Elect!AD37</f>
        <v>0</v>
      </c>
      <c r="Y35" s="52">
        <f>Elect!AC37</f>
        <v>0</v>
      </c>
      <c r="Z35" s="52">
        <f>Elect!AG37</f>
        <v>0</v>
      </c>
      <c r="AA35" s="52">
        <f>Elect!AF37</f>
        <v>0</v>
      </c>
      <c r="AB35" s="52">
        <f>Elect!AX37</f>
        <v>0</v>
      </c>
      <c r="AC35" s="52">
        <f>Elect!AV37</f>
        <v>0</v>
      </c>
      <c r="AD35" s="52">
        <f>Elect!AZ37</f>
        <v>0</v>
      </c>
      <c r="AE35" s="52">
        <f>Elect!BB37</f>
        <v>0</v>
      </c>
      <c r="AF35" s="54">
        <f>('Wtr-Gas'!E37)*0.0038</f>
        <v>0</v>
      </c>
      <c r="AG35" s="54">
        <f>('Wtr-Gas'!H37)*0.0038</f>
        <v>0</v>
      </c>
      <c r="AH35" s="54">
        <f>'Wtr-Gas'!K37*0.0038</f>
        <v>0</v>
      </c>
      <c r="AI35" s="54">
        <f>'Wtr-Gas'!N37*0.0038</f>
        <v>0</v>
      </c>
      <c r="AJ35" s="54">
        <f>'Wtr-Gas'!Q37*0.0038</f>
        <v>0</v>
      </c>
      <c r="AK35" s="57">
        <f>'Wtr-Gas'!U37*0.0038</f>
        <v>0</v>
      </c>
      <c r="AL35" s="57">
        <f>'Wtr-Gas'!X37*0.0038</f>
        <v>0</v>
      </c>
      <c r="AM35" s="54">
        <f>'Wtr-Gas'!AB37*0.0038</f>
        <v>0</v>
      </c>
      <c r="AN35" s="54">
        <f>'Wtr-Gas'!AD37*0.0038</f>
        <v>0</v>
      </c>
      <c r="AO35" s="54">
        <f>'Wtr-Gas'!AF37*0.0038</f>
        <v>0</v>
      </c>
      <c r="AP35" s="54">
        <f>'Wtr-Gas'!AH37*0.0038</f>
        <v>0</v>
      </c>
      <c r="AQ35" s="54">
        <f>'Wtr-Gas'!AJ37*0.0038</f>
        <v>0</v>
      </c>
      <c r="AR35" s="54">
        <f>'Wtr-Gas'!AL37*0.0038</f>
        <v>0</v>
      </c>
      <c r="AS35" s="54">
        <f>'Wtr-Gas'!AN37*0.0038</f>
        <v>0</v>
      </c>
      <c r="AT35" s="54">
        <f>'Wtr-Gas'!AP37*0.0038</f>
        <v>0</v>
      </c>
      <c r="AU35" s="57">
        <f>'Wtr-Gas'!AT37*0.0038</f>
        <v>0</v>
      </c>
      <c r="AV35" s="54">
        <f>'Wtr-Gas'!AW37*0.0038</f>
        <v>0</v>
      </c>
      <c r="AW35" s="55">
        <f>'Wtr-Gas'!AY37*0.0038</f>
        <v>0</v>
      </c>
      <c r="AX35" s="54">
        <f>'Wtr-Gas'!AZ37*0.0038</f>
        <v>0</v>
      </c>
      <c r="AY35" s="54">
        <f>'Wtr-Gas'!BB37*0.0038</f>
        <v>0</v>
      </c>
      <c r="AZ35" s="54">
        <f>'Wtr-Gas'!BD37*0.0038</f>
        <v>0</v>
      </c>
      <c r="BA35" s="54">
        <f>'Wtr-Gas'!BF37*0.0038</f>
        <v>0</v>
      </c>
    </row>
    <row r="36" spans="1:53" x14ac:dyDescent="0.25">
      <c r="A36" s="3" t="s">
        <v>11</v>
      </c>
      <c r="B36" s="2">
        <v>31</v>
      </c>
      <c r="C36" s="2">
        <v>7</v>
      </c>
      <c r="D36" s="2">
        <v>2021</v>
      </c>
      <c r="E36" s="52">
        <f>Elect!AM38</f>
        <v>0</v>
      </c>
      <c r="F36" s="52">
        <f>Elect!I38</f>
        <v>0</v>
      </c>
      <c r="G36" s="52">
        <f>Elect!H38</f>
        <v>0</v>
      </c>
      <c r="H36" s="52">
        <f>Elect!F38</f>
        <v>0</v>
      </c>
      <c r="I36" s="52">
        <f>Elect!E38</f>
        <v>0</v>
      </c>
      <c r="J36" s="52">
        <f>Elect!U38</f>
        <v>0</v>
      </c>
      <c r="K36" s="52">
        <f>Elect!T38</f>
        <v>0</v>
      </c>
      <c r="L36" s="52">
        <f>Elect!AJ38</f>
        <v>0</v>
      </c>
      <c r="M36" s="52">
        <f>Elect!AI38</f>
        <v>0</v>
      </c>
      <c r="N36" s="52">
        <f>Elect!X38</f>
        <v>0</v>
      </c>
      <c r="O36" s="52">
        <f>Elect!W38</f>
        <v>0</v>
      </c>
      <c r="P36" s="52">
        <f>Elect!O38</f>
        <v>0</v>
      </c>
      <c r="Q36" s="52">
        <f>Elect!N38</f>
        <v>0</v>
      </c>
      <c r="R36" s="52">
        <f>Elect!L38</f>
        <v>0</v>
      </c>
      <c r="S36" s="52">
        <f>Elect!K38</f>
        <v>0</v>
      </c>
      <c r="T36" s="52">
        <f>Elect!R38</f>
        <v>0</v>
      </c>
      <c r="U36" s="52">
        <f>Elect!Q38</f>
        <v>0</v>
      </c>
      <c r="V36" s="52">
        <f>Elect!AA38</f>
        <v>0</v>
      </c>
      <c r="W36" s="52">
        <f>Elect!Z38</f>
        <v>0</v>
      </c>
      <c r="X36" s="52">
        <f>Elect!AD38</f>
        <v>0</v>
      </c>
      <c r="Y36" s="52">
        <f>Elect!AC38</f>
        <v>0</v>
      </c>
      <c r="Z36" s="52">
        <f>Elect!AG38</f>
        <v>0</v>
      </c>
      <c r="AA36" s="52">
        <f>Elect!AF38</f>
        <v>0</v>
      </c>
      <c r="AB36" s="52">
        <f>Elect!AX38</f>
        <v>0</v>
      </c>
      <c r="AC36" s="52">
        <f>Elect!AV38</f>
        <v>0</v>
      </c>
      <c r="AD36" s="52">
        <f>Elect!AZ38</f>
        <v>0</v>
      </c>
      <c r="AE36" s="52">
        <f>Elect!BB38</f>
        <v>0</v>
      </c>
      <c r="AF36" s="54">
        <f>('Wtr-Gas'!E38)*0.0038</f>
        <v>0</v>
      </c>
      <c r="AG36" s="54">
        <f>('Wtr-Gas'!H38)*0.0038</f>
        <v>0</v>
      </c>
      <c r="AH36" s="54">
        <f>'Wtr-Gas'!K38*0.0038</f>
        <v>0</v>
      </c>
      <c r="AI36" s="54">
        <f>'Wtr-Gas'!N38*0.0038</f>
        <v>0</v>
      </c>
      <c r="AJ36" s="54">
        <f>'Wtr-Gas'!Q38*0.0038</f>
        <v>0</v>
      </c>
      <c r="AK36" s="57">
        <f>'Wtr-Gas'!U38*0.0038</f>
        <v>0</v>
      </c>
      <c r="AL36" s="57">
        <f>'Wtr-Gas'!X38*0.0038</f>
        <v>0</v>
      </c>
      <c r="AM36" s="54">
        <f>'Wtr-Gas'!AB38*0.0038</f>
        <v>0</v>
      </c>
      <c r="AN36" s="54">
        <f>'Wtr-Gas'!AD38*0.0038</f>
        <v>0</v>
      </c>
      <c r="AO36" s="54">
        <f>'Wtr-Gas'!AF38*0.0038</f>
        <v>0</v>
      </c>
      <c r="AP36" s="54">
        <f>'Wtr-Gas'!AH38*0.0038</f>
        <v>0</v>
      </c>
      <c r="AQ36" s="54">
        <f>'Wtr-Gas'!AJ38*0.0038</f>
        <v>0</v>
      </c>
      <c r="AR36" s="54">
        <f>'Wtr-Gas'!AL38*0.0038</f>
        <v>0</v>
      </c>
      <c r="AS36" s="54">
        <f>'Wtr-Gas'!AN38*0.0038</f>
        <v>0</v>
      </c>
      <c r="AT36" s="54">
        <f>'Wtr-Gas'!AP38*0.0038</f>
        <v>0</v>
      </c>
      <c r="AU36" s="57">
        <f>'Wtr-Gas'!AT38*0.0038</f>
        <v>0</v>
      </c>
      <c r="AV36" s="54">
        <f>'Wtr-Gas'!AW38*0.0038</f>
        <v>0</v>
      </c>
      <c r="AW36" s="55">
        <f>'Wtr-Gas'!AY38*0.0038</f>
        <v>0</v>
      </c>
      <c r="AX36" s="54">
        <f>'Wtr-Gas'!AZ38*0.0038</f>
        <v>0</v>
      </c>
      <c r="AY36" s="54">
        <f>'Wtr-Gas'!BB38*0.0038</f>
        <v>0</v>
      </c>
      <c r="AZ36" s="54">
        <f>'Wtr-Gas'!BD38*0.0038</f>
        <v>0</v>
      </c>
      <c r="BA36" s="54">
        <f>'Wtr-Gas'!BF38*0.0038</f>
        <v>0</v>
      </c>
    </row>
    <row r="37" spans="1:53" x14ac:dyDescent="0.25">
      <c r="A37" s="3" t="s">
        <v>11</v>
      </c>
      <c r="B37" s="2">
        <v>2</v>
      </c>
      <c r="C37" s="2">
        <v>8</v>
      </c>
      <c r="D37" s="2">
        <v>2021</v>
      </c>
      <c r="E37" s="52">
        <f>Elect!AM39</f>
        <v>0</v>
      </c>
      <c r="F37" s="52">
        <f>Elect!I39</f>
        <v>0</v>
      </c>
      <c r="G37" s="52">
        <f>Elect!H39</f>
        <v>0</v>
      </c>
      <c r="H37" s="52">
        <f>Elect!F39</f>
        <v>0</v>
      </c>
      <c r="I37" s="52">
        <f>Elect!E39</f>
        <v>0</v>
      </c>
      <c r="J37" s="52">
        <f>Elect!U39</f>
        <v>0</v>
      </c>
      <c r="K37" s="52">
        <f>Elect!T39</f>
        <v>0</v>
      </c>
      <c r="L37" s="52">
        <f>Elect!AJ39</f>
        <v>0</v>
      </c>
      <c r="M37" s="52">
        <f>Elect!AI39</f>
        <v>0</v>
      </c>
      <c r="N37" s="52">
        <f>Elect!X39</f>
        <v>0</v>
      </c>
      <c r="O37" s="52">
        <f>Elect!W39</f>
        <v>0</v>
      </c>
      <c r="P37" s="52">
        <f>Elect!O39</f>
        <v>0</v>
      </c>
      <c r="Q37" s="52">
        <f>Elect!N39</f>
        <v>0</v>
      </c>
      <c r="R37" s="52">
        <f>Elect!L39</f>
        <v>0</v>
      </c>
      <c r="S37" s="52">
        <f>Elect!K39</f>
        <v>0</v>
      </c>
      <c r="T37" s="52">
        <f>Elect!R39</f>
        <v>0</v>
      </c>
      <c r="U37" s="52">
        <f>Elect!Q39</f>
        <v>0</v>
      </c>
      <c r="V37" s="52">
        <f>Elect!AA39</f>
        <v>0</v>
      </c>
      <c r="W37" s="52">
        <f>Elect!Z39</f>
        <v>0</v>
      </c>
      <c r="X37" s="52">
        <f>Elect!AD39</f>
        <v>0</v>
      </c>
      <c r="Y37" s="52">
        <f>Elect!AC39</f>
        <v>0</v>
      </c>
      <c r="Z37" s="52">
        <f>Elect!AG39</f>
        <v>0</v>
      </c>
      <c r="AA37" s="52">
        <f>Elect!AF39</f>
        <v>0</v>
      </c>
      <c r="AB37" s="52">
        <f>Elect!AX39</f>
        <v>0</v>
      </c>
      <c r="AC37" s="52">
        <f>Elect!AV39</f>
        <v>0</v>
      </c>
      <c r="AD37" s="52">
        <f>Elect!AZ39</f>
        <v>0</v>
      </c>
      <c r="AE37" s="52">
        <f>Elect!BB39</f>
        <v>0</v>
      </c>
      <c r="AF37" s="54">
        <f>('Wtr-Gas'!E39)*0.0038</f>
        <v>0</v>
      </c>
      <c r="AG37" s="54">
        <f>('Wtr-Gas'!H39)*0.0038</f>
        <v>0</v>
      </c>
      <c r="AH37" s="54">
        <f>'Wtr-Gas'!K39*0.0038</f>
        <v>0</v>
      </c>
      <c r="AI37" s="54">
        <f>'Wtr-Gas'!N39*0.0038</f>
        <v>0</v>
      </c>
      <c r="AJ37" s="54">
        <f>'Wtr-Gas'!Q39*0.0038</f>
        <v>0</v>
      </c>
      <c r="AK37" s="57">
        <f>'Wtr-Gas'!U39*0.0038</f>
        <v>0</v>
      </c>
      <c r="AL37" s="57">
        <f>'Wtr-Gas'!X39*0.0038</f>
        <v>0</v>
      </c>
      <c r="AM37" s="54">
        <f>'Wtr-Gas'!AB39*0.0038</f>
        <v>0</v>
      </c>
      <c r="AN37" s="54">
        <f>'Wtr-Gas'!AD39*0.0038</f>
        <v>0</v>
      </c>
      <c r="AO37" s="54">
        <f>'Wtr-Gas'!AF39*0.0038</f>
        <v>0</v>
      </c>
      <c r="AP37" s="54">
        <f>'Wtr-Gas'!AH39*0.0038</f>
        <v>0</v>
      </c>
      <c r="AQ37" s="54">
        <f>'Wtr-Gas'!AJ39*0.0038</f>
        <v>0</v>
      </c>
      <c r="AR37" s="54">
        <f>'Wtr-Gas'!AL39*0.0038</f>
        <v>0</v>
      </c>
      <c r="AS37" s="54">
        <f>'Wtr-Gas'!AN39*0.0038</f>
        <v>0</v>
      </c>
      <c r="AT37" s="54">
        <f>'Wtr-Gas'!AP39*0.0038</f>
        <v>0</v>
      </c>
      <c r="AU37" s="57">
        <f>'Wtr-Gas'!AT39*0.0038</f>
        <v>0</v>
      </c>
      <c r="AV37" s="54">
        <f>'Wtr-Gas'!AW39*0.0038</f>
        <v>0</v>
      </c>
      <c r="AW37" s="55">
        <f>'Wtr-Gas'!AY39*0.0038</f>
        <v>0</v>
      </c>
      <c r="AX37" s="54">
        <f>'Wtr-Gas'!AZ39*0.0038</f>
        <v>0</v>
      </c>
      <c r="AY37" s="54">
        <f>'Wtr-Gas'!BB39*0.0038</f>
        <v>0</v>
      </c>
      <c r="AZ37" s="54">
        <f>'Wtr-Gas'!BD39*0.0038</f>
        <v>0</v>
      </c>
      <c r="BA37" s="54">
        <f>'Wtr-Gas'!BF39*0.0038</f>
        <v>0</v>
      </c>
    </row>
    <row r="38" spans="1:53" x14ac:dyDescent="0.25">
      <c r="A38" s="3" t="s">
        <v>11</v>
      </c>
      <c r="B38" s="2">
        <v>9</v>
      </c>
      <c r="C38" s="2">
        <v>8</v>
      </c>
      <c r="D38" s="2">
        <v>2021</v>
      </c>
      <c r="E38" s="52">
        <f>Elect!AM40</f>
        <v>0</v>
      </c>
      <c r="F38" s="52">
        <f>Elect!I40</f>
        <v>0</v>
      </c>
      <c r="G38" s="52">
        <f>Elect!H40</f>
        <v>0</v>
      </c>
      <c r="H38" s="52">
        <f>Elect!F40</f>
        <v>0</v>
      </c>
      <c r="I38" s="52">
        <f>Elect!E40</f>
        <v>0</v>
      </c>
      <c r="J38" s="52">
        <f>Elect!U40</f>
        <v>0</v>
      </c>
      <c r="K38" s="52">
        <f>Elect!T40</f>
        <v>0</v>
      </c>
      <c r="L38" s="52">
        <f>Elect!AJ40</f>
        <v>0</v>
      </c>
      <c r="M38" s="52">
        <f>Elect!AI40</f>
        <v>0</v>
      </c>
      <c r="N38" s="52">
        <f>Elect!X40</f>
        <v>0</v>
      </c>
      <c r="O38" s="52">
        <f>Elect!W40</f>
        <v>0</v>
      </c>
      <c r="P38" s="52">
        <f>Elect!O40</f>
        <v>0</v>
      </c>
      <c r="Q38" s="52">
        <f>Elect!N40</f>
        <v>0</v>
      </c>
      <c r="R38" s="52">
        <f>Elect!L40</f>
        <v>0</v>
      </c>
      <c r="S38" s="52">
        <f>Elect!K40</f>
        <v>0</v>
      </c>
      <c r="T38" s="52">
        <f>Elect!R40</f>
        <v>0</v>
      </c>
      <c r="U38" s="52">
        <f>Elect!Q40</f>
        <v>0</v>
      </c>
      <c r="V38" s="52">
        <f>Elect!AA40</f>
        <v>0</v>
      </c>
      <c r="W38" s="52">
        <f>Elect!Z40</f>
        <v>0</v>
      </c>
      <c r="X38" s="52">
        <f>Elect!AD40</f>
        <v>0</v>
      </c>
      <c r="Y38" s="52">
        <f>Elect!AC40</f>
        <v>0</v>
      </c>
      <c r="Z38" s="52">
        <f>Elect!AG40</f>
        <v>0</v>
      </c>
      <c r="AA38" s="52">
        <f>Elect!AF40</f>
        <v>0</v>
      </c>
      <c r="AB38" s="52">
        <f>Elect!AX40</f>
        <v>0</v>
      </c>
      <c r="AC38" s="52">
        <f>Elect!AV40</f>
        <v>0</v>
      </c>
      <c r="AD38" s="52">
        <f>Elect!AZ40</f>
        <v>0</v>
      </c>
      <c r="AE38" s="52">
        <f>Elect!BB40</f>
        <v>0</v>
      </c>
      <c r="AF38" s="54">
        <f>('Wtr-Gas'!E40)*0.0038</f>
        <v>0</v>
      </c>
      <c r="AG38" s="54">
        <f>('Wtr-Gas'!H40)*0.0038</f>
        <v>0</v>
      </c>
      <c r="AH38" s="54">
        <f>'Wtr-Gas'!K40*0.0038</f>
        <v>0</v>
      </c>
      <c r="AI38" s="54">
        <f>'Wtr-Gas'!N40*0.0038</f>
        <v>0</v>
      </c>
      <c r="AJ38" s="54">
        <f>'Wtr-Gas'!Q40*0.0038</f>
        <v>0</v>
      </c>
      <c r="AK38" s="57">
        <f>'Wtr-Gas'!U40*0.0038</f>
        <v>0</v>
      </c>
      <c r="AL38" s="57">
        <f>'Wtr-Gas'!X40*0.0038</f>
        <v>0</v>
      </c>
      <c r="AM38" s="54">
        <f>'Wtr-Gas'!AB40*0.0038</f>
        <v>0</v>
      </c>
      <c r="AN38" s="54">
        <f>'Wtr-Gas'!AD40*0.0038</f>
        <v>0</v>
      </c>
      <c r="AO38" s="54">
        <f>'Wtr-Gas'!AF40*0.0038</f>
        <v>0</v>
      </c>
      <c r="AP38" s="54">
        <f>'Wtr-Gas'!AH40*0.0038</f>
        <v>0</v>
      </c>
      <c r="AQ38" s="54">
        <f>'Wtr-Gas'!AJ40*0.0038</f>
        <v>0</v>
      </c>
      <c r="AR38" s="54">
        <f>'Wtr-Gas'!AL40*0.0038</f>
        <v>0</v>
      </c>
      <c r="AS38" s="54">
        <f>'Wtr-Gas'!AN40*0.0038</f>
        <v>0</v>
      </c>
      <c r="AT38" s="54">
        <f>'Wtr-Gas'!AP40*0.0038</f>
        <v>0</v>
      </c>
      <c r="AU38" s="57">
        <f>'Wtr-Gas'!AT40*0.0038</f>
        <v>0</v>
      </c>
      <c r="AV38" s="54">
        <f>'Wtr-Gas'!AW40*0.0038</f>
        <v>0</v>
      </c>
      <c r="AW38" s="55">
        <f>'Wtr-Gas'!AY40*0.0038</f>
        <v>0</v>
      </c>
      <c r="AX38" s="54">
        <f>'Wtr-Gas'!AZ40*0.0038</f>
        <v>0</v>
      </c>
      <c r="AY38" s="54">
        <f>'Wtr-Gas'!BB40*0.0038</f>
        <v>0</v>
      </c>
      <c r="AZ38" s="54">
        <f>'Wtr-Gas'!BD40*0.0038</f>
        <v>0</v>
      </c>
      <c r="BA38" s="54">
        <f>'Wtr-Gas'!BF40*0.0038</f>
        <v>0</v>
      </c>
    </row>
    <row r="39" spans="1:53" x14ac:dyDescent="0.25">
      <c r="A39" s="3" t="s">
        <v>11</v>
      </c>
      <c r="B39" s="2">
        <v>16</v>
      </c>
      <c r="C39" s="2">
        <v>8</v>
      </c>
      <c r="D39" s="2">
        <v>2021</v>
      </c>
      <c r="E39" s="52">
        <f>Elect!AM41</f>
        <v>0</v>
      </c>
      <c r="F39" s="52">
        <f>Elect!I41</f>
        <v>0</v>
      </c>
      <c r="G39" s="52">
        <f>Elect!H41</f>
        <v>0</v>
      </c>
      <c r="H39" s="52">
        <f>Elect!F41</f>
        <v>0</v>
      </c>
      <c r="I39" s="52">
        <f>Elect!E41</f>
        <v>0</v>
      </c>
      <c r="J39" s="52">
        <f>Elect!U41</f>
        <v>0</v>
      </c>
      <c r="K39" s="52">
        <f>Elect!T41</f>
        <v>0</v>
      </c>
      <c r="L39" s="52">
        <f>Elect!AJ41</f>
        <v>0</v>
      </c>
      <c r="M39" s="52">
        <f>Elect!AI41</f>
        <v>0</v>
      </c>
      <c r="N39" s="52">
        <f>Elect!X41</f>
        <v>0</v>
      </c>
      <c r="O39" s="52">
        <f>Elect!W41</f>
        <v>0</v>
      </c>
      <c r="P39" s="52">
        <f>Elect!O41</f>
        <v>0</v>
      </c>
      <c r="Q39" s="52">
        <f>Elect!N41</f>
        <v>0</v>
      </c>
      <c r="R39" s="52">
        <f>Elect!L41</f>
        <v>0</v>
      </c>
      <c r="S39" s="52">
        <f>Elect!K41</f>
        <v>0</v>
      </c>
      <c r="T39" s="52">
        <f>Elect!R41</f>
        <v>0</v>
      </c>
      <c r="U39" s="52">
        <f>Elect!Q41</f>
        <v>0</v>
      </c>
      <c r="V39" s="52">
        <f>Elect!AA41</f>
        <v>0</v>
      </c>
      <c r="W39" s="52">
        <f>Elect!Z41</f>
        <v>0</v>
      </c>
      <c r="X39" s="52">
        <f>Elect!AD41</f>
        <v>0</v>
      </c>
      <c r="Y39" s="52">
        <f>Elect!AC41</f>
        <v>0</v>
      </c>
      <c r="Z39" s="52">
        <f>Elect!AG41</f>
        <v>0</v>
      </c>
      <c r="AA39" s="52">
        <f>Elect!AF41</f>
        <v>0</v>
      </c>
      <c r="AB39" s="52">
        <f>Elect!AX41</f>
        <v>0</v>
      </c>
      <c r="AC39" s="52">
        <f>Elect!AV41</f>
        <v>0</v>
      </c>
      <c r="AD39" s="52">
        <f>Elect!AZ41</f>
        <v>0</v>
      </c>
      <c r="AE39" s="52">
        <f>Elect!BB41</f>
        <v>0</v>
      </c>
      <c r="AF39" s="54">
        <f>('Wtr-Gas'!E41)*0.0038</f>
        <v>0</v>
      </c>
      <c r="AG39" s="54">
        <f>('Wtr-Gas'!H41)*0.0038</f>
        <v>0</v>
      </c>
      <c r="AH39" s="54">
        <f>'Wtr-Gas'!K41*0.0038</f>
        <v>0</v>
      </c>
      <c r="AI39" s="54">
        <f>'Wtr-Gas'!N41*0.0038</f>
        <v>0</v>
      </c>
      <c r="AJ39" s="54">
        <f>'Wtr-Gas'!Q41*0.0038</f>
        <v>0</v>
      </c>
      <c r="AK39" s="57">
        <f>'Wtr-Gas'!U41*0.0038</f>
        <v>0</v>
      </c>
      <c r="AL39" s="57">
        <f>'Wtr-Gas'!X41*0.0038</f>
        <v>0</v>
      </c>
      <c r="AM39" s="54">
        <f>'Wtr-Gas'!AB41*0.0038</f>
        <v>0</v>
      </c>
      <c r="AN39" s="54">
        <f>'Wtr-Gas'!AD41*0.0038</f>
        <v>0</v>
      </c>
      <c r="AO39" s="54">
        <f>'Wtr-Gas'!AF41*0.0038</f>
        <v>0</v>
      </c>
      <c r="AP39" s="54">
        <f>'Wtr-Gas'!AH41*0.0038</f>
        <v>0</v>
      </c>
      <c r="AQ39" s="54">
        <f>'Wtr-Gas'!AJ41*0.0038</f>
        <v>0</v>
      </c>
      <c r="AR39" s="54">
        <f>'Wtr-Gas'!AL41*0.0038</f>
        <v>0</v>
      </c>
      <c r="AS39" s="54">
        <f>'Wtr-Gas'!AN41*0.0038</f>
        <v>0</v>
      </c>
      <c r="AT39" s="54">
        <f>'Wtr-Gas'!AP41*0.0038</f>
        <v>0</v>
      </c>
      <c r="AU39" s="57">
        <f>'Wtr-Gas'!AT41*0.0038</f>
        <v>0</v>
      </c>
      <c r="AV39" s="54">
        <f>'Wtr-Gas'!AW41*0.0038</f>
        <v>0</v>
      </c>
      <c r="AW39" s="55">
        <f>'Wtr-Gas'!AY41*0.0038</f>
        <v>0</v>
      </c>
      <c r="AX39" s="54">
        <f>'Wtr-Gas'!AZ41*0.0038</f>
        <v>0</v>
      </c>
      <c r="AY39" s="54">
        <f>'Wtr-Gas'!BB41*0.0038</f>
        <v>0</v>
      </c>
      <c r="AZ39" s="54">
        <f>'Wtr-Gas'!BD41*0.0038</f>
        <v>0</v>
      </c>
      <c r="BA39" s="54">
        <f>'Wtr-Gas'!BF41*0.0038</f>
        <v>0</v>
      </c>
    </row>
    <row r="40" spans="1:53" x14ac:dyDescent="0.25">
      <c r="A40" s="3" t="s">
        <v>11</v>
      </c>
      <c r="B40" s="2">
        <v>23</v>
      </c>
      <c r="C40" s="2">
        <v>8</v>
      </c>
      <c r="D40" s="2">
        <v>2021</v>
      </c>
      <c r="E40" s="52">
        <f>Elect!AM42</f>
        <v>0</v>
      </c>
      <c r="F40" s="52">
        <f>Elect!I42</f>
        <v>0</v>
      </c>
      <c r="G40" s="52">
        <f>Elect!H42</f>
        <v>0</v>
      </c>
      <c r="H40" s="52">
        <f>Elect!F42</f>
        <v>0</v>
      </c>
      <c r="I40" s="52">
        <f>Elect!E42</f>
        <v>0</v>
      </c>
      <c r="J40" s="52">
        <f>Elect!U42</f>
        <v>0</v>
      </c>
      <c r="K40" s="52">
        <f>Elect!T42</f>
        <v>0</v>
      </c>
      <c r="L40" s="52">
        <f>Elect!AJ42</f>
        <v>0</v>
      </c>
      <c r="M40" s="52">
        <f>Elect!AI42</f>
        <v>0</v>
      </c>
      <c r="N40" s="52">
        <f>Elect!X42</f>
        <v>0</v>
      </c>
      <c r="O40" s="52">
        <f>Elect!W42</f>
        <v>0</v>
      </c>
      <c r="P40" s="52">
        <f>Elect!O42</f>
        <v>0</v>
      </c>
      <c r="Q40" s="52">
        <f>Elect!N42</f>
        <v>0</v>
      </c>
      <c r="R40" s="52">
        <f>Elect!L42</f>
        <v>0</v>
      </c>
      <c r="S40" s="52">
        <f>Elect!K42</f>
        <v>0</v>
      </c>
      <c r="T40" s="52">
        <f>Elect!R42</f>
        <v>0</v>
      </c>
      <c r="U40" s="52">
        <f>Elect!Q42</f>
        <v>0</v>
      </c>
      <c r="V40" s="52">
        <f>Elect!AA42</f>
        <v>0</v>
      </c>
      <c r="W40" s="52">
        <f>Elect!Z42</f>
        <v>0</v>
      </c>
      <c r="X40" s="52">
        <f>Elect!AD42</f>
        <v>0</v>
      </c>
      <c r="Y40" s="52">
        <f>Elect!AC42</f>
        <v>0</v>
      </c>
      <c r="Z40" s="52">
        <f>Elect!AG42</f>
        <v>0</v>
      </c>
      <c r="AA40" s="52">
        <f>Elect!AF42</f>
        <v>0</v>
      </c>
      <c r="AB40" s="52">
        <f>Elect!AX42</f>
        <v>0</v>
      </c>
      <c r="AC40" s="52">
        <f>Elect!AV42</f>
        <v>0</v>
      </c>
      <c r="AD40" s="52">
        <f>Elect!AZ42</f>
        <v>0</v>
      </c>
      <c r="AE40" s="52">
        <f>Elect!BB42</f>
        <v>0</v>
      </c>
      <c r="AF40" s="54">
        <f>('Wtr-Gas'!E42)*0.0038</f>
        <v>0</v>
      </c>
      <c r="AG40" s="54">
        <f>('Wtr-Gas'!H42)*0.0038</f>
        <v>0</v>
      </c>
      <c r="AH40" s="54">
        <f>'Wtr-Gas'!K42*0.0038</f>
        <v>0</v>
      </c>
      <c r="AI40" s="54">
        <f>'Wtr-Gas'!N42*0.0038</f>
        <v>0</v>
      </c>
      <c r="AJ40" s="54">
        <f>'Wtr-Gas'!Q42*0.0038</f>
        <v>0</v>
      </c>
      <c r="AK40" s="57">
        <f>'Wtr-Gas'!U42*0.0038</f>
        <v>0</v>
      </c>
      <c r="AL40" s="57">
        <f>'Wtr-Gas'!X42*0.0038</f>
        <v>0</v>
      </c>
      <c r="AM40" s="54">
        <f>'Wtr-Gas'!AB42*0.0038</f>
        <v>0</v>
      </c>
      <c r="AN40" s="54">
        <f>'Wtr-Gas'!AD42*0.0038</f>
        <v>0</v>
      </c>
      <c r="AO40" s="54">
        <f>'Wtr-Gas'!AF42*0.0038</f>
        <v>0</v>
      </c>
      <c r="AP40" s="54">
        <f>'Wtr-Gas'!AH42*0.0038</f>
        <v>0</v>
      </c>
      <c r="AQ40" s="54">
        <f>'Wtr-Gas'!AJ42*0.0038</f>
        <v>0</v>
      </c>
      <c r="AR40" s="54">
        <f>'Wtr-Gas'!AL42*0.0038</f>
        <v>0</v>
      </c>
      <c r="AS40" s="54">
        <f>'Wtr-Gas'!AN42*0.0038</f>
        <v>0</v>
      </c>
      <c r="AT40" s="54">
        <f>'Wtr-Gas'!AP42*0.0038</f>
        <v>0</v>
      </c>
      <c r="AU40" s="57">
        <f>'Wtr-Gas'!AT42*0.0038</f>
        <v>0</v>
      </c>
      <c r="AV40" s="54">
        <f>'Wtr-Gas'!AW42*0.0038</f>
        <v>0</v>
      </c>
      <c r="AW40" s="55">
        <f>'Wtr-Gas'!AY42*0.0038</f>
        <v>0</v>
      </c>
      <c r="AX40" s="54">
        <f>'Wtr-Gas'!AZ42*0.0038</f>
        <v>0</v>
      </c>
      <c r="AY40" s="54">
        <f>'Wtr-Gas'!BB42*0.0038</f>
        <v>0</v>
      </c>
      <c r="AZ40" s="54">
        <f>'Wtr-Gas'!BD42*0.0038</f>
        <v>0</v>
      </c>
      <c r="BA40" s="54">
        <f>'Wtr-Gas'!BF42*0.0038</f>
        <v>0</v>
      </c>
    </row>
    <row r="41" spans="1:53" x14ac:dyDescent="0.25">
      <c r="A41" s="3" t="s">
        <v>11</v>
      </c>
      <c r="B41" s="2">
        <v>30</v>
      </c>
      <c r="C41" s="2">
        <v>8</v>
      </c>
      <c r="D41" s="2">
        <v>2021</v>
      </c>
      <c r="E41" s="52">
        <f>Elect!AM43</f>
        <v>0</v>
      </c>
      <c r="F41" s="52">
        <f>Elect!I43</f>
        <v>0</v>
      </c>
      <c r="G41" s="52">
        <f>Elect!H43</f>
        <v>0</v>
      </c>
      <c r="H41" s="52">
        <f>Elect!F43</f>
        <v>0</v>
      </c>
      <c r="I41" s="52">
        <f>Elect!E43</f>
        <v>0</v>
      </c>
      <c r="J41" s="52">
        <f>Elect!U43</f>
        <v>0</v>
      </c>
      <c r="K41" s="52">
        <f>Elect!T43</f>
        <v>0</v>
      </c>
      <c r="L41" s="52">
        <f>Elect!AJ43</f>
        <v>0</v>
      </c>
      <c r="M41" s="52">
        <f>Elect!AI43</f>
        <v>0</v>
      </c>
      <c r="N41" s="52">
        <f>Elect!X43</f>
        <v>0</v>
      </c>
      <c r="O41" s="52">
        <f>Elect!W43</f>
        <v>0</v>
      </c>
      <c r="P41" s="52">
        <f>Elect!O43</f>
        <v>0</v>
      </c>
      <c r="Q41" s="52">
        <f>Elect!N43</f>
        <v>0</v>
      </c>
      <c r="R41" s="52">
        <f>Elect!L43</f>
        <v>0</v>
      </c>
      <c r="S41" s="52">
        <f>Elect!K43</f>
        <v>0</v>
      </c>
      <c r="T41" s="52">
        <f>Elect!R43</f>
        <v>0</v>
      </c>
      <c r="U41" s="52">
        <f>Elect!Q43</f>
        <v>0</v>
      </c>
      <c r="V41" s="52">
        <f>Elect!AA43</f>
        <v>0</v>
      </c>
      <c r="W41" s="52">
        <f>Elect!Z43</f>
        <v>0</v>
      </c>
      <c r="X41" s="52">
        <f>Elect!AD43</f>
        <v>0</v>
      </c>
      <c r="Y41" s="52">
        <f>Elect!AC43</f>
        <v>0</v>
      </c>
      <c r="Z41" s="52">
        <f>Elect!AG43</f>
        <v>0</v>
      </c>
      <c r="AA41" s="52">
        <f>Elect!AF43</f>
        <v>0</v>
      </c>
      <c r="AB41" s="52">
        <f>Elect!AX43</f>
        <v>0</v>
      </c>
      <c r="AC41" s="52">
        <f>Elect!AV43</f>
        <v>0</v>
      </c>
      <c r="AD41" s="52">
        <f>Elect!AZ43</f>
        <v>0</v>
      </c>
      <c r="AE41" s="52">
        <f>Elect!BB43</f>
        <v>0</v>
      </c>
      <c r="AF41" s="54">
        <f>('Wtr-Gas'!E43)*0.0038</f>
        <v>0</v>
      </c>
      <c r="AG41" s="54">
        <f>('Wtr-Gas'!H43)*0.0038</f>
        <v>0</v>
      </c>
      <c r="AH41" s="54">
        <f>'Wtr-Gas'!K43*0.0038</f>
        <v>0</v>
      </c>
      <c r="AI41" s="54">
        <f>'Wtr-Gas'!N43*0.0038</f>
        <v>0</v>
      </c>
      <c r="AJ41" s="54">
        <f>'Wtr-Gas'!Q43*0.0038</f>
        <v>0</v>
      </c>
      <c r="AK41" s="57">
        <f>'Wtr-Gas'!U43*0.0038</f>
        <v>0</v>
      </c>
      <c r="AL41" s="57">
        <f>'Wtr-Gas'!X43*0.0038</f>
        <v>0</v>
      </c>
      <c r="AM41" s="54">
        <f>'Wtr-Gas'!AB43*0.0038</f>
        <v>0</v>
      </c>
      <c r="AN41" s="54">
        <f>'Wtr-Gas'!AD43*0.0038</f>
        <v>0</v>
      </c>
      <c r="AO41" s="54">
        <f>'Wtr-Gas'!AF43*0.0038</f>
        <v>0</v>
      </c>
      <c r="AP41" s="54">
        <f>'Wtr-Gas'!AH43*0.0038</f>
        <v>0</v>
      </c>
      <c r="AQ41" s="54">
        <f>'Wtr-Gas'!AJ43*0.0038</f>
        <v>0</v>
      </c>
      <c r="AR41" s="54">
        <f>'Wtr-Gas'!AL43*0.0038</f>
        <v>0</v>
      </c>
      <c r="AS41" s="54">
        <f>'Wtr-Gas'!AN43*0.0038</f>
        <v>0</v>
      </c>
      <c r="AT41" s="54">
        <f>'Wtr-Gas'!AP43*0.0038</f>
        <v>0</v>
      </c>
      <c r="AU41" s="57">
        <f>'Wtr-Gas'!AT43*0.0038</f>
        <v>0</v>
      </c>
      <c r="AV41" s="54">
        <f>'Wtr-Gas'!AW43*0.0038</f>
        <v>0</v>
      </c>
      <c r="AW41" s="55">
        <f>'Wtr-Gas'!AY43*0.0038</f>
        <v>0</v>
      </c>
      <c r="AX41" s="54">
        <f>'Wtr-Gas'!AZ43*0.0038</f>
        <v>0</v>
      </c>
      <c r="AY41" s="54">
        <f>'Wtr-Gas'!BB43*0.0038</f>
        <v>0</v>
      </c>
      <c r="AZ41" s="54">
        <f>'Wtr-Gas'!BD43*0.0038</f>
        <v>0</v>
      </c>
      <c r="BA41" s="54">
        <f>'Wtr-Gas'!BF43*0.0038</f>
        <v>0</v>
      </c>
    </row>
    <row r="42" spans="1:53" x14ac:dyDescent="0.25">
      <c r="A42" s="3" t="s">
        <v>11</v>
      </c>
      <c r="B42" s="2">
        <v>6</v>
      </c>
      <c r="C42" s="2">
        <v>9</v>
      </c>
      <c r="D42" s="2">
        <v>2021</v>
      </c>
      <c r="E42" s="52">
        <f>Elect!AM44</f>
        <v>0</v>
      </c>
      <c r="F42" s="52">
        <f>Elect!I44</f>
        <v>0</v>
      </c>
      <c r="G42" s="52">
        <f>Elect!H44</f>
        <v>0</v>
      </c>
      <c r="H42" s="52">
        <f>Elect!F44</f>
        <v>0</v>
      </c>
      <c r="I42" s="52">
        <f>Elect!E44</f>
        <v>0</v>
      </c>
      <c r="J42" s="52">
        <f>Elect!U44</f>
        <v>0</v>
      </c>
      <c r="K42" s="52">
        <f>Elect!T44</f>
        <v>0</v>
      </c>
      <c r="L42" s="52">
        <f>Elect!AJ44</f>
        <v>0</v>
      </c>
      <c r="M42" s="52">
        <f>Elect!AI44</f>
        <v>0</v>
      </c>
      <c r="N42" s="52">
        <f>Elect!X44</f>
        <v>0</v>
      </c>
      <c r="O42" s="52">
        <f>Elect!W44</f>
        <v>0</v>
      </c>
      <c r="P42" s="52">
        <f>Elect!O44</f>
        <v>0</v>
      </c>
      <c r="Q42" s="52">
        <f>Elect!N44</f>
        <v>0</v>
      </c>
      <c r="R42" s="52">
        <f>Elect!L44</f>
        <v>0</v>
      </c>
      <c r="S42" s="52">
        <f>Elect!K44</f>
        <v>0</v>
      </c>
      <c r="T42" s="52">
        <f>Elect!R44</f>
        <v>0</v>
      </c>
      <c r="U42" s="52">
        <f>Elect!Q44</f>
        <v>0</v>
      </c>
      <c r="V42" s="52">
        <f>Elect!AA44</f>
        <v>0</v>
      </c>
      <c r="W42" s="52">
        <f>Elect!Z44</f>
        <v>0</v>
      </c>
      <c r="X42" s="52">
        <f>Elect!AD44</f>
        <v>0</v>
      </c>
      <c r="Y42" s="52">
        <f>Elect!AC44</f>
        <v>0</v>
      </c>
      <c r="Z42" s="52">
        <f>Elect!AG44</f>
        <v>0</v>
      </c>
      <c r="AA42" s="52">
        <f>Elect!AF44</f>
        <v>0</v>
      </c>
      <c r="AB42" s="52">
        <f>Elect!AX44</f>
        <v>0</v>
      </c>
      <c r="AC42" s="52">
        <f>Elect!AV44</f>
        <v>0</v>
      </c>
      <c r="AD42" s="52">
        <f>Elect!AZ44</f>
        <v>0</v>
      </c>
      <c r="AE42" s="52">
        <f>Elect!BB44</f>
        <v>0</v>
      </c>
      <c r="AF42" s="54">
        <f>('Wtr-Gas'!E44)*0.0038</f>
        <v>0</v>
      </c>
      <c r="AG42" s="54">
        <f>('Wtr-Gas'!H44)*0.0038</f>
        <v>0</v>
      </c>
      <c r="AH42" s="54">
        <f>'Wtr-Gas'!K44*0.0038</f>
        <v>0</v>
      </c>
      <c r="AI42" s="54">
        <f>'Wtr-Gas'!N44*0.0038</f>
        <v>0</v>
      </c>
      <c r="AJ42" s="54">
        <f>'Wtr-Gas'!Q44*0.0038</f>
        <v>0</v>
      </c>
      <c r="AK42" s="57">
        <f>'Wtr-Gas'!U44*0.0038</f>
        <v>0</v>
      </c>
      <c r="AL42" s="57">
        <f>'Wtr-Gas'!X44*0.0038</f>
        <v>0</v>
      </c>
      <c r="AM42" s="54">
        <f>'Wtr-Gas'!AB44*0.0038</f>
        <v>0</v>
      </c>
      <c r="AN42" s="54">
        <f>'Wtr-Gas'!AD44*0.0038</f>
        <v>0</v>
      </c>
      <c r="AO42" s="54">
        <f>'Wtr-Gas'!AF44*0.0038</f>
        <v>0</v>
      </c>
      <c r="AP42" s="54">
        <f>'Wtr-Gas'!AH44*0.0038</f>
        <v>0</v>
      </c>
      <c r="AQ42" s="54">
        <f>'Wtr-Gas'!AJ44*0.0038</f>
        <v>0</v>
      </c>
      <c r="AR42" s="54">
        <f>'Wtr-Gas'!AL44*0.0038</f>
        <v>0</v>
      </c>
      <c r="AS42" s="54">
        <f>'Wtr-Gas'!AN44*0.0038</f>
        <v>0</v>
      </c>
      <c r="AT42" s="54">
        <f>'Wtr-Gas'!AP44*0.0038</f>
        <v>0</v>
      </c>
      <c r="AU42" s="57">
        <f>'Wtr-Gas'!AT44*0.0038</f>
        <v>0</v>
      </c>
      <c r="AV42" s="54">
        <f>'Wtr-Gas'!AW44*0.0038</f>
        <v>0</v>
      </c>
      <c r="AW42" s="55">
        <f>'Wtr-Gas'!AY44*0.0038</f>
        <v>0</v>
      </c>
      <c r="AX42" s="54">
        <f>'Wtr-Gas'!AZ44*0.0038</f>
        <v>0</v>
      </c>
      <c r="AY42" s="54">
        <f>'Wtr-Gas'!BB44*0.0038</f>
        <v>0</v>
      </c>
      <c r="AZ42" s="54">
        <f>'Wtr-Gas'!BD44*0.0038</f>
        <v>0</v>
      </c>
      <c r="BA42" s="54">
        <f>'Wtr-Gas'!BF44*0.0038</f>
        <v>0</v>
      </c>
    </row>
    <row r="43" spans="1:53" x14ac:dyDescent="0.25">
      <c r="A43" s="3" t="s">
        <v>11</v>
      </c>
      <c r="B43" s="2">
        <v>13</v>
      </c>
      <c r="C43" s="2">
        <v>9</v>
      </c>
      <c r="D43" s="2">
        <v>2021</v>
      </c>
      <c r="E43" s="52">
        <f>Elect!AM45</f>
        <v>0</v>
      </c>
      <c r="F43" s="52">
        <f>Elect!I45</f>
        <v>0</v>
      </c>
      <c r="G43" s="52">
        <f>Elect!H45</f>
        <v>0</v>
      </c>
      <c r="H43" s="52">
        <f>Elect!F45</f>
        <v>0</v>
      </c>
      <c r="I43" s="52">
        <f>Elect!E45</f>
        <v>0</v>
      </c>
      <c r="J43" s="52">
        <f>Elect!U45</f>
        <v>0</v>
      </c>
      <c r="K43" s="52">
        <f>Elect!T45</f>
        <v>0</v>
      </c>
      <c r="L43" s="52">
        <f>Elect!AJ45</f>
        <v>0</v>
      </c>
      <c r="M43" s="52">
        <f>Elect!AI45</f>
        <v>0</v>
      </c>
      <c r="N43" s="52">
        <f>Elect!X45</f>
        <v>0</v>
      </c>
      <c r="O43" s="52">
        <f>Elect!W45</f>
        <v>0</v>
      </c>
      <c r="P43" s="52">
        <f>Elect!O45</f>
        <v>0</v>
      </c>
      <c r="Q43" s="52">
        <f>Elect!N45</f>
        <v>0</v>
      </c>
      <c r="R43" s="52">
        <f>Elect!L45</f>
        <v>0</v>
      </c>
      <c r="S43" s="52">
        <f>Elect!K45</f>
        <v>0</v>
      </c>
      <c r="T43" s="52">
        <f>Elect!R45</f>
        <v>0</v>
      </c>
      <c r="U43" s="52">
        <f>Elect!Q45</f>
        <v>0</v>
      </c>
      <c r="V43" s="52">
        <f>Elect!AA45</f>
        <v>0</v>
      </c>
      <c r="W43" s="52">
        <f>Elect!Z45</f>
        <v>0</v>
      </c>
      <c r="X43" s="52">
        <f>Elect!AD45</f>
        <v>0</v>
      </c>
      <c r="Y43" s="52">
        <f>Elect!AC45</f>
        <v>0</v>
      </c>
      <c r="Z43" s="52">
        <f>Elect!AG45</f>
        <v>0</v>
      </c>
      <c r="AA43" s="52">
        <f>Elect!AF45</f>
        <v>0</v>
      </c>
      <c r="AB43" s="52">
        <f>Elect!AX45</f>
        <v>0</v>
      </c>
      <c r="AC43" s="52">
        <f>Elect!AV45</f>
        <v>0</v>
      </c>
      <c r="AD43" s="52">
        <f>Elect!AZ45</f>
        <v>0</v>
      </c>
      <c r="AE43" s="52">
        <f>Elect!BB45</f>
        <v>0</v>
      </c>
      <c r="AF43" s="54">
        <f>('Wtr-Gas'!E45)*0.0038</f>
        <v>0</v>
      </c>
      <c r="AG43" s="54">
        <f>('Wtr-Gas'!H45)*0.0038</f>
        <v>0</v>
      </c>
      <c r="AH43" s="54">
        <f>'Wtr-Gas'!K45*0.0038</f>
        <v>0</v>
      </c>
      <c r="AI43" s="54">
        <f>'Wtr-Gas'!N45*0.0038</f>
        <v>0</v>
      </c>
      <c r="AJ43" s="54">
        <f>'Wtr-Gas'!Q45*0.0038</f>
        <v>0</v>
      </c>
      <c r="AK43" s="57">
        <f>'Wtr-Gas'!U45*0.0038</f>
        <v>0</v>
      </c>
      <c r="AL43" s="57">
        <f>'Wtr-Gas'!X45*0.0038</f>
        <v>0</v>
      </c>
      <c r="AM43" s="54">
        <f>'Wtr-Gas'!AB45*0.0038</f>
        <v>0</v>
      </c>
      <c r="AN43" s="54">
        <f>'Wtr-Gas'!AD45*0.0038</f>
        <v>0</v>
      </c>
      <c r="AO43" s="54">
        <f>'Wtr-Gas'!AF45*0.0038</f>
        <v>0</v>
      </c>
      <c r="AP43" s="54">
        <f>'Wtr-Gas'!AH45*0.0038</f>
        <v>0</v>
      </c>
      <c r="AQ43" s="54">
        <f>'Wtr-Gas'!AJ45*0.0038</f>
        <v>0</v>
      </c>
      <c r="AR43" s="54">
        <f>'Wtr-Gas'!AL45*0.0038</f>
        <v>0</v>
      </c>
      <c r="AS43" s="54">
        <f>'Wtr-Gas'!AN45*0.0038</f>
        <v>0</v>
      </c>
      <c r="AT43" s="54">
        <f>'Wtr-Gas'!AP45*0.0038</f>
        <v>0</v>
      </c>
      <c r="AU43" s="57">
        <f>'Wtr-Gas'!AT45*0.0038</f>
        <v>0</v>
      </c>
      <c r="AV43" s="54">
        <f>'Wtr-Gas'!AW45*0.0038</f>
        <v>0</v>
      </c>
      <c r="AW43" s="55">
        <f>'Wtr-Gas'!AY45*0.0038</f>
        <v>0</v>
      </c>
      <c r="AX43" s="54">
        <f>'Wtr-Gas'!AZ45*0.0038</f>
        <v>0</v>
      </c>
      <c r="AY43" s="54">
        <f>'Wtr-Gas'!BB45*0.0038</f>
        <v>0</v>
      </c>
      <c r="AZ43" s="54">
        <f>'Wtr-Gas'!BD45*0.0038</f>
        <v>0</v>
      </c>
      <c r="BA43" s="54">
        <f>'Wtr-Gas'!BF45*0.0038</f>
        <v>0</v>
      </c>
    </row>
    <row r="44" spans="1:53" x14ac:dyDescent="0.25">
      <c r="A44" s="3" t="s">
        <v>11</v>
      </c>
      <c r="B44" s="2">
        <v>20</v>
      </c>
      <c r="C44" s="2">
        <v>9</v>
      </c>
      <c r="D44" s="2">
        <v>2021</v>
      </c>
      <c r="E44" s="52">
        <f>Elect!AM46</f>
        <v>0</v>
      </c>
      <c r="F44" s="52">
        <f>Elect!I46</f>
        <v>0</v>
      </c>
      <c r="G44" s="52">
        <f>Elect!H46</f>
        <v>0</v>
      </c>
      <c r="H44" s="52">
        <f>Elect!F46</f>
        <v>0</v>
      </c>
      <c r="I44" s="52">
        <f>Elect!E46</f>
        <v>0</v>
      </c>
      <c r="J44" s="52">
        <f>Elect!U46</f>
        <v>0</v>
      </c>
      <c r="K44" s="52">
        <f>Elect!T46</f>
        <v>0</v>
      </c>
      <c r="L44" s="52">
        <f>Elect!AJ46</f>
        <v>0</v>
      </c>
      <c r="M44" s="52">
        <f>Elect!AI46</f>
        <v>0</v>
      </c>
      <c r="N44" s="52">
        <f>Elect!X46</f>
        <v>0</v>
      </c>
      <c r="O44" s="52">
        <f>Elect!W46</f>
        <v>0</v>
      </c>
      <c r="P44" s="52">
        <f>Elect!O46</f>
        <v>0</v>
      </c>
      <c r="Q44" s="52">
        <f>Elect!N46</f>
        <v>0</v>
      </c>
      <c r="R44" s="52">
        <f>Elect!L46</f>
        <v>0</v>
      </c>
      <c r="S44" s="52">
        <f>Elect!K46</f>
        <v>0</v>
      </c>
      <c r="T44" s="52">
        <f>Elect!R46</f>
        <v>0</v>
      </c>
      <c r="U44" s="52">
        <f>Elect!Q46</f>
        <v>0</v>
      </c>
      <c r="V44" s="52">
        <f>Elect!AA46</f>
        <v>0</v>
      </c>
      <c r="W44" s="52">
        <f>Elect!Z46</f>
        <v>0</v>
      </c>
      <c r="X44" s="52">
        <f>Elect!AD46</f>
        <v>0</v>
      </c>
      <c r="Y44" s="52">
        <f>Elect!AC46</f>
        <v>0</v>
      </c>
      <c r="Z44" s="52">
        <f>Elect!AG46</f>
        <v>0</v>
      </c>
      <c r="AA44" s="52">
        <f>Elect!AF46</f>
        <v>0</v>
      </c>
      <c r="AB44" s="52">
        <f>Elect!AX46</f>
        <v>0</v>
      </c>
      <c r="AC44" s="52">
        <f>Elect!AV46</f>
        <v>0</v>
      </c>
      <c r="AD44" s="52">
        <f>Elect!AZ46</f>
        <v>0</v>
      </c>
      <c r="AE44" s="52">
        <f>Elect!BB46</f>
        <v>0</v>
      </c>
      <c r="AF44" s="54">
        <f>('Wtr-Gas'!E46)*0.0038</f>
        <v>0</v>
      </c>
      <c r="AG44" s="54">
        <f>('Wtr-Gas'!H46)*0.0038</f>
        <v>0</v>
      </c>
      <c r="AH44" s="54">
        <f>'Wtr-Gas'!K46*0.0038</f>
        <v>0</v>
      </c>
      <c r="AI44" s="54">
        <f>'Wtr-Gas'!N46*0.0038</f>
        <v>0</v>
      </c>
      <c r="AJ44" s="54">
        <f>'Wtr-Gas'!Q46*0.0038</f>
        <v>0</v>
      </c>
      <c r="AK44" s="57">
        <f>'Wtr-Gas'!U46*0.0038</f>
        <v>0</v>
      </c>
      <c r="AL44" s="57">
        <f>'Wtr-Gas'!X46*0.0038</f>
        <v>0</v>
      </c>
      <c r="AM44" s="54">
        <f>'Wtr-Gas'!AB46*0.0038</f>
        <v>0</v>
      </c>
      <c r="AN44" s="54">
        <f>'Wtr-Gas'!AD46*0.0038</f>
        <v>0</v>
      </c>
      <c r="AO44" s="54">
        <f>'Wtr-Gas'!AF46*0.0038</f>
        <v>0</v>
      </c>
      <c r="AP44" s="54">
        <f>'Wtr-Gas'!AH46*0.0038</f>
        <v>0</v>
      </c>
      <c r="AQ44" s="54">
        <f>'Wtr-Gas'!AJ46*0.0038</f>
        <v>0</v>
      </c>
      <c r="AR44" s="54">
        <f>'Wtr-Gas'!AL46*0.0038</f>
        <v>0</v>
      </c>
      <c r="AS44" s="54">
        <f>'Wtr-Gas'!AN46*0.0038</f>
        <v>0</v>
      </c>
      <c r="AT44" s="54">
        <f>'Wtr-Gas'!AP46*0.0038</f>
        <v>0</v>
      </c>
      <c r="AU44" s="57">
        <f>'Wtr-Gas'!AT46*0.0038</f>
        <v>0</v>
      </c>
      <c r="AV44" s="54">
        <f>'Wtr-Gas'!AW46*0.0038</f>
        <v>0</v>
      </c>
      <c r="AW44" s="55">
        <f>'Wtr-Gas'!AY46*0.0038</f>
        <v>0</v>
      </c>
      <c r="AX44" s="54">
        <f>'Wtr-Gas'!AZ46*0.0038</f>
        <v>0</v>
      </c>
      <c r="AY44" s="54">
        <f>'Wtr-Gas'!BB46*0.0038</f>
        <v>0</v>
      </c>
      <c r="AZ44" s="54">
        <f>'Wtr-Gas'!BD46*0.0038</f>
        <v>0</v>
      </c>
      <c r="BA44" s="54">
        <f>'Wtr-Gas'!BF46*0.0038</f>
        <v>0</v>
      </c>
    </row>
    <row r="45" spans="1:53" x14ac:dyDescent="0.25">
      <c r="A45" s="3" t="s">
        <v>11</v>
      </c>
      <c r="B45" s="2">
        <v>27</v>
      </c>
      <c r="C45" s="2">
        <v>9</v>
      </c>
      <c r="D45" s="2">
        <v>2021</v>
      </c>
      <c r="E45" s="52">
        <f>Elect!AM47</f>
        <v>0</v>
      </c>
      <c r="F45" s="52">
        <f>Elect!I47</f>
        <v>0</v>
      </c>
      <c r="G45" s="52">
        <f>Elect!H47</f>
        <v>0</v>
      </c>
      <c r="H45" s="52">
        <f>Elect!F47</f>
        <v>0</v>
      </c>
      <c r="I45" s="52">
        <f>Elect!E47</f>
        <v>0</v>
      </c>
      <c r="J45" s="52">
        <f>Elect!U47</f>
        <v>0</v>
      </c>
      <c r="K45" s="52">
        <f>Elect!T47</f>
        <v>0</v>
      </c>
      <c r="L45" s="52">
        <f>Elect!AJ47</f>
        <v>0</v>
      </c>
      <c r="M45" s="52">
        <f>Elect!AI47</f>
        <v>0</v>
      </c>
      <c r="N45" s="52">
        <f>Elect!X47</f>
        <v>0</v>
      </c>
      <c r="O45" s="52">
        <f>Elect!W47</f>
        <v>0</v>
      </c>
      <c r="P45" s="52">
        <f>Elect!O47</f>
        <v>0</v>
      </c>
      <c r="Q45" s="52">
        <f>Elect!N47</f>
        <v>0</v>
      </c>
      <c r="R45" s="52">
        <f>Elect!L47</f>
        <v>0</v>
      </c>
      <c r="S45" s="52">
        <f>Elect!K47</f>
        <v>0</v>
      </c>
      <c r="T45" s="52">
        <f>Elect!R47</f>
        <v>0</v>
      </c>
      <c r="U45" s="52">
        <f>Elect!Q47</f>
        <v>0</v>
      </c>
      <c r="V45" s="52">
        <f>Elect!AA47</f>
        <v>0</v>
      </c>
      <c r="W45" s="52">
        <f>Elect!Z47</f>
        <v>0</v>
      </c>
      <c r="X45" s="52">
        <f>Elect!AD47</f>
        <v>0</v>
      </c>
      <c r="Y45" s="52">
        <f>Elect!AC47</f>
        <v>0</v>
      </c>
      <c r="Z45" s="52">
        <f>Elect!AG47</f>
        <v>0</v>
      </c>
      <c r="AA45" s="52">
        <f>Elect!AF47</f>
        <v>0</v>
      </c>
      <c r="AB45" s="52">
        <f>Elect!AX47</f>
        <v>0</v>
      </c>
      <c r="AC45" s="52">
        <f>Elect!AV47</f>
        <v>0</v>
      </c>
      <c r="AD45" s="52">
        <f>Elect!AZ47</f>
        <v>0</v>
      </c>
      <c r="AE45" s="52">
        <f>Elect!BB47</f>
        <v>0</v>
      </c>
      <c r="AF45" s="54">
        <f>('Wtr-Gas'!E47)*0.0038</f>
        <v>0</v>
      </c>
      <c r="AG45" s="54">
        <f>('Wtr-Gas'!H47)*0.0038</f>
        <v>0</v>
      </c>
      <c r="AH45" s="54">
        <f>'Wtr-Gas'!K47*0.0038</f>
        <v>0</v>
      </c>
      <c r="AI45" s="54">
        <f>'Wtr-Gas'!N47*0.0038</f>
        <v>0</v>
      </c>
      <c r="AJ45" s="54">
        <f>'Wtr-Gas'!Q47*0.0038</f>
        <v>0</v>
      </c>
      <c r="AK45" s="57">
        <f>'Wtr-Gas'!U47*0.0038</f>
        <v>0</v>
      </c>
      <c r="AL45" s="57">
        <f>'Wtr-Gas'!X47*0.0038</f>
        <v>0</v>
      </c>
      <c r="AM45" s="54">
        <f>'Wtr-Gas'!AB47*0.0038</f>
        <v>0</v>
      </c>
      <c r="AN45" s="54">
        <f>'Wtr-Gas'!AD47*0.0038</f>
        <v>0</v>
      </c>
      <c r="AO45" s="54">
        <f>'Wtr-Gas'!AF47*0.0038</f>
        <v>0</v>
      </c>
      <c r="AP45" s="54">
        <f>'Wtr-Gas'!AH47*0.0038</f>
        <v>0</v>
      </c>
      <c r="AQ45" s="54">
        <f>'Wtr-Gas'!AJ47*0.0038</f>
        <v>0</v>
      </c>
      <c r="AR45" s="54">
        <f>'Wtr-Gas'!AL47*0.0038</f>
        <v>0</v>
      </c>
      <c r="AS45" s="54">
        <f>'Wtr-Gas'!AN47*0.0038</f>
        <v>0</v>
      </c>
      <c r="AT45" s="54">
        <f>'Wtr-Gas'!AP47*0.0038</f>
        <v>0</v>
      </c>
      <c r="AU45" s="57">
        <f>'Wtr-Gas'!AT47*0.0038</f>
        <v>0</v>
      </c>
      <c r="AV45" s="54">
        <f>'Wtr-Gas'!AW47*0.0038</f>
        <v>0</v>
      </c>
      <c r="AW45" s="55">
        <f>'Wtr-Gas'!AY47*0.0038</f>
        <v>0</v>
      </c>
      <c r="AX45" s="54">
        <f>'Wtr-Gas'!AZ47*0.0038</f>
        <v>0</v>
      </c>
      <c r="AY45" s="54">
        <f>'Wtr-Gas'!BB47*0.0038</f>
        <v>0</v>
      </c>
      <c r="AZ45" s="54">
        <f>'Wtr-Gas'!BD47*0.0038</f>
        <v>0</v>
      </c>
      <c r="BA45" s="54">
        <f>'Wtr-Gas'!BF47*0.0038</f>
        <v>0</v>
      </c>
    </row>
    <row r="46" spans="1:53" x14ac:dyDescent="0.25">
      <c r="A46" s="3" t="s">
        <v>11</v>
      </c>
      <c r="B46" s="2">
        <v>30</v>
      </c>
      <c r="C46" s="2">
        <v>9</v>
      </c>
      <c r="D46" s="2">
        <v>2021</v>
      </c>
      <c r="E46" s="52">
        <f>Elect!AM48</f>
        <v>0</v>
      </c>
      <c r="F46" s="52">
        <f>Elect!I48</f>
        <v>0</v>
      </c>
      <c r="G46" s="52">
        <f>Elect!H48</f>
        <v>0</v>
      </c>
      <c r="H46" s="52">
        <f>Elect!F48</f>
        <v>0</v>
      </c>
      <c r="I46" s="52">
        <f>Elect!E48</f>
        <v>0</v>
      </c>
      <c r="J46" s="52">
        <f>Elect!U48</f>
        <v>0</v>
      </c>
      <c r="K46" s="52">
        <f>Elect!T48</f>
        <v>0</v>
      </c>
      <c r="L46" s="52">
        <f>Elect!AJ48</f>
        <v>0</v>
      </c>
      <c r="M46" s="52">
        <f>Elect!AI48</f>
        <v>0</v>
      </c>
      <c r="N46" s="52">
        <f>Elect!X48</f>
        <v>0</v>
      </c>
      <c r="O46" s="52">
        <f>Elect!W48</f>
        <v>0</v>
      </c>
      <c r="P46" s="52">
        <f>Elect!O48</f>
        <v>0</v>
      </c>
      <c r="Q46" s="52">
        <f>Elect!N48</f>
        <v>0</v>
      </c>
      <c r="R46" s="52">
        <f>Elect!L48</f>
        <v>0</v>
      </c>
      <c r="S46" s="52">
        <f>Elect!K48</f>
        <v>0</v>
      </c>
      <c r="T46" s="52">
        <f>Elect!R48</f>
        <v>0</v>
      </c>
      <c r="U46" s="52">
        <f>Elect!Q48</f>
        <v>0</v>
      </c>
      <c r="V46" s="52">
        <f>Elect!AA48</f>
        <v>0</v>
      </c>
      <c r="W46" s="52">
        <f>Elect!Z48</f>
        <v>0</v>
      </c>
      <c r="X46" s="52">
        <f>Elect!AD48</f>
        <v>0</v>
      </c>
      <c r="Y46" s="52">
        <f>Elect!AC48</f>
        <v>0</v>
      </c>
      <c r="Z46" s="52">
        <f>Elect!AG48</f>
        <v>0</v>
      </c>
      <c r="AA46" s="52">
        <f>Elect!AF48</f>
        <v>0</v>
      </c>
      <c r="AB46" s="52">
        <f>Elect!AX48</f>
        <v>0</v>
      </c>
      <c r="AC46" s="52">
        <f>Elect!AV48</f>
        <v>0</v>
      </c>
      <c r="AD46" s="52">
        <f>Elect!AZ48</f>
        <v>0</v>
      </c>
      <c r="AE46" s="52">
        <f>Elect!BB48</f>
        <v>0</v>
      </c>
      <c r="AF46" s="54">
        <f>('Wtr-Gas'!E48)*0.0038</f>
        <v>0</v>
      </c>
      <c r="AG46" s="54">
        <f>('Wtr-Gas'!H48)*0.0038</f>
        <v>0</v>
      </c>
      <c r="AH46" s="54">
        <f>'Wtr-Gas'!K48*0.0038</f>
        <v>0</v>
      </c>
      <c r="AI46" s="54">
        <f>'Wtr-Gas'!N48*0.0038</f>
        <v>0</v>
      </c>
      <c r="AJ46" s="54">
        <f>'Wtr-Gas'!Q48*0.0038</f>
        <v>0</v>
      </c>
      <c r="AK46" s="57">
        <f>'Wtr-Gas'!U48*0.0038</f>
        <v>0</v>
      </c>
      <c r="AL46" s="57">
        <f>'Wtr-Gas'!X48*0.0038</f>
        <v>0</v>
      </c>
      <c r="AM46" s="54">
        <f>'Wtr-Gas'!AB48*0.0038</f>
        <v>0</v>
      </c>
      <c r="AN46" s="54">
        <f>'Wtr-Gas'!AD48*0.0038</f>
        <v>0</v>
      </c>
      <c r="AO46" s="54">
        <f>'Wtr-Gas'!AF48*0.0038</f>
        <v>0</v>
      </c>
      <c r="AP46" s="54">
        <f>'Wtr-Gas'!AH48*0.0038</f>
        <v>0</v>
      </c>
      <c r="AQ46" s="54">
        <f>'Wtr-Gas'!AJ48*0.0038</f>
        <v>0</v>
      </c>
      <c r="AR46" s="54">
        <f>'Wtr-Gas'!AL48*0.0038</f>
        <v>0</v>
      </c>
      <c r="AS46" s="54">
        <f>'Wtr-Gas'!AN48*0.0038</f>
        <v>0</v>
      </c>
      <c r="AT46" s="54">
        <f>'Wtr-Gas'!AP48*0.0038</f>
        <v>0</v>
      </c>
      <c r="AU46" s="57">
        <f>'Wtr-Gas'!AT48*0.0038</f>
        <v>0</v>
      </c>
      <c r="AV46" s="54">
        <f>'Wtr-Gas'!AW48*0.0038</f>
        <v>0</v>
      </c>
      <c r="AW46" s="55">
        <f>'Wtr-Gas'!AY48*0.0038</f>
        <v>0</v>
      </c>
      <c r="AX46" s="54">
        <f>'Wtr-Gas'!AZ48*0.0038</f>
        <v>0</v>
      </c>
      <c r="AY46" s="54">
        <f>'Wtr-Gas'!BB48*0.0038</f>
        <v>0</v>
      </c>
      <c r="AZ46" s="54">
        <f>'Wtr-Gas'!BD48*0.0038</f>
        <v>0</v>
      </c>
      <c r="BA46" s="54">
        <f>'Wtr-Gas'!BF48*0.0038</f>
        <v>0</v>
      </c>
    </row>
    <row r="47" spans="1:53" x14ac:dyDescent="0.25">
      <c r="A47" s="3" t="s">
        <v>11</v>
      </c>
      <c r="B47" s="2">
        <v>4</v>
      </c>
      <c r="C47" s="2">
        <v>10</v>
      </c>
      <c r="D47" s="2">
        <v>2021</v>
      </c>
      <c r="E47" s="52">
        <f>Elect!AM49</f>
        <v>0</v>
      </c>
      <c r="F47" s="52">
        <f>Elect!I49</f>
        <v>0</v>
      </c>
      <c r="G47" s="52">
        <f>Elect!H49</f>
        <v>0</v>
      </c>
      <c r="H47" s="52">
        <f>Elect!F49</f>
        <v>0</v>
      </c>
      <c r="I47" s="52">
        <f>Elect!E49</f>
        <v>0</v>
      </c>
      <c r="J47" s="52">
        <f>Elect!U49</f>
        <v>0</v>
      </c>
      <c r="K47" s="52">
        <f>Elect!T49</f>
        <v>0</v>
      </c>
      <c r="L47" s="52">
        <f>Elect!AJ49</f>
        <v>0</v>
      </c>
      <c r="M47" s="52">
        <f>Elect!AI49</f>
        <v>0</v>
      </c>
      <c r="N47" s="52">
        <f>Elect!X49</f>
        <v>0</v>
      </c>
      <c r="O47" s="52">
        <f>Elect!W49</f>
        <v>0</v>
      </c>
      <c r="P47" s="52">
        <f>Elect!O49</f>
        <v>0</v>
      </c>
      <c r="Q47" s="52">
        <f>Elect!N49</f>
        <v>0</v>
      </c>
      <c r="R47" s="52">
        <f>Elect!L49</f>
        <v>0</v>
      </c>
      <c r="S47" s="52">
        <f>Elect!K49</f>
        <v>0</v>
      </c>
      <c r="T47" s="52">
        <f>Elect!R49</f>
        <v>0</v>
      </c>
      <c r="U47" s="52">
        <f>Elect!Q49</f>
        <v>0</v>
      </c>
      <c r="V47" s="52">
        <f>Elect!AA49</f>
        <v>0</v>
      </c>
      <c r="W47" s="52">
        <f>Elect!Z49</f>
        <v>0</v>
      </c>
      <c r="X47" s="52">
        <f>Elect!AD49</f>
        <v>0</v>
      </c>
      <c r="Y47" s="52">
        <f>Elect!AC49</f>
        <v>0</v>
      </c>
      <c r="Z47" s="52">
        <f>Elect!AG49</f>
        <v>0</v>
      </c>
      <c r="AA47" s="52">
        <f>Elect!AF49</f>
        <v>0</v>
      </c>
      <c r="AB47" s="52">
        <f>Elect!AX49</f>
        <v>0</v>
      </c>
      <c r="AC47" s="52">
        <f>Elect!AV49</f>
        <v>0</v>
      </c>
      <c r="AD47" s="52">
        <f>Elect!AZ49</f>
        <v>0</v>
      </c>
      <c r="AE47" s="52">
        <f>Elect!BB49</f>
        <v>0</v>
      </c>
      <c r="AF47" s="54">
        <f>('Wtr-Gas'!E49)*0.0038</f>
        <v>0</v>
      </c>
      <c r="AG47" s="54">
        <f>('Wtr-Gas'!H49)*0.0038</f>
        <v>0</v>
      </c>
      <c r="AH47" s="54">
        <f>'Wtr-Gas'!K49*0.0038</f>
        <v>0</v>
      </c>
      <c r="AI47" s="54">
        <f>'Wtr-Gas'!N49*0.0038</f>
        <v>0</v>
      </c>
      <c r="AJ47" s="54">
        <f>'Wtr-Gas'!Q49*0.0038</f>
        <v>0</v>
      </c>
      <c r="AK47" s="57">
        <f>'Wtr-Gas'!U49*0.0038</f>
        <v>0</v>
      </c>
      <c r="AL47" s="57">
        <f>'Wtr-Gas'!X49*0.0038</f>
        <v>0</v>
      </c>
      <c r="AM47" s="54">
        <f>'Wtr-Gas'!AB49*0.0038</f>
        <v>0</v>
      </c>
      <c r="AN47" s="54">
        <f>'Wtr-Gas'!AD49*0.0038</f>
        <v>0</v>
      </c>
      <c r="AO47" s="54">
        <f>'Wtr-Gas'!AF49*0.0038</f>
        <v>0</v>
      </c>
      <c r="AP47" s="54">
        <f>'Wtr-Gas'!AH49*0.0038</f>
        <v>0</v>
      </c>
      <c r="AQ47" s="54">
        <f>'Wtr-Gas'!AJ49*0.0038</f>
        <v>0</v>
      </c>
      <c r="AR47" s="54">
        <f>'Wtr-Gas'!AL49*0.0038</f>
        <v>0</v>
      </c>
      <c r="AS47" s="54">
        <f>'Wtr-Gas'!AN49*0.0038</f>
        <v>0</v>
      </c>
      <c r="AT47" s="54">
        <f>'Wtr-Gas'!AP49*0.0038</f>
        <v>0</v>
      </c>
      <c r="AU47" s="57">
        <f>'Wtr-Gas'!AT49*0.0038</f>
        <v>0</v>
      </c>
      <c r="AV47" s="54">
        <f>'Wtr-Gas'!AW49*0.0038</f>
        <v>0</v>
      </c>
      <c r="AW47" s="55">
        <f>'Wtr-Gas'!AY49*0.0038</f>
        <v>0</v>
      </c>
      <c r="AX47" s="54">
        <f>'Wtr-Gas'!AZ49*0.0038</f>
        <v>0</v>
      </c>
      <c r="AY47" s="54">
        <f>'Wtr-Gas'!BB49*0.0038</f>
        <v>0</v>
      </c>
      <c r="AZ47" s="54">
        <f>'Wtr-Gas'!BD49*0.0038</f>
        <v>0</v>
      </c>
      <c r="BA47" s="54">
        <f>'Wtr-Gas'!BF49*0.0038</f>
        <v>0</v>
      </c>
    </row>
    <row r="48" spans="1:53" x14ac:dyDescent="0.25">
      <c r="A48" s="3" t="s">
        <v>11</v>
      </c>
      <c r="B48" s="2">
        <v>11</v>
      </c>
      <c r="C48" s="2">
        <v>10</v>
      </c>
      <c r="D48" s="2">
        <v>2021</v>
      </c>
      <c r="E48" s="52">
        <f>Elect!AM50</f>
        <v>0</v>
      </c>
      <c r="F48" s="52">
        <f>Elect!I50</f>
        <v>0</v>
      </c>
      <c r="G48" s="52">
        <f>Elect!H50</f>
        <v>0</v>
      </c>
      <c r="H48" s="52">
        <f>Elect!F50</f>
        <v>0</v>
      </c>
      <c r="I48" s="52">
        <f>Elect!E50</f>
        <v>0</v>
      </c>
      <c r="J48" s="52">
        <f>Elect!U50</f>
        <v>0</v>
      </c>
      <c r="K48" s="52">
        <f>Elect!T50</f>
        <v>0</v>
      </c>
      <c r="L48" s="52">
        <f>Elect!AJ50</f>
        <v>0</v>
      </c>
      <c r="M48" s="52">
        <f>Elect!AI50</f>
        <v>0</v>
      </c>
      <c r="N48" s="52">
        <f>Elect!X50</f>
        <v>0</v>
      </c>
      <c r="O48" s="52">
        <f>Elect!W50</f>
        <v>0</v>
      </c>
      <c r="P48" s="52">
        <f>Elect!O50</f>
        <v>0</v>
      </c>
      <c r="Q48" s="52">
        <f>Elect!N50</f>
        <v>0</v>
      </c>
      <c r="R48" s="52">
        <f>Elect!L50</f>
        <v>0</v>
      </c>
      <c r="S48" s="52">
        <f>Elect!K50</f>
        <v>0</v>
      </c>
      <c r="T48" s="52">
        <f>Elect!R50</f>
        <v>0</v>
      </c>
      <c r="U48" s="52">
        <f>Elect!Q50</f>
        <v>0</v>
      </c>
      <c r="V48" s="52">
        <f>Elect!AA50</f>
        <v>0</v>
      </c>
      <c r="W48" s="52">
        <f>Elect!Z50</f>
        <v>0</v>
      </c>
      <c r="X48" s="52">
        <f>Elect!AD50</f>
        <v>0</v>
      </c>
      <c r="Y48" s="52">
        <f>Elect!AC50</f>
        <v>0</v>
      </c>
      <c r="Z48" s="52">
        <f>Elect!AG50</f>
        <v>0</v>
      </c>
      <c r="AA48" s="52">
        <f>Elect!AF50</f>
        <v>0</v>
      </c>
      <c r="AB48" s="52">
        <f>Elect!AX50</f>
        <v>0</v>
      </c>
      <c r="AC48" s="52">
        <f>Elect!AV50</f>
        <v>0</v>
      </c>
      <c r="AD48" s="52">
        <f>Elect!AZ50</f>
        <v>0</v>
      </c>
      <c r="AE48" s="52">
        <f>Elect!BB50</f>
        <v>0</v>
      </c>
      <c r="AF48" s="54">
        <f>('Wtr-Gas'!E50)*0.0038</f>
        <v>0</v>
      </c>
      <c r="AG48" s="54">
        <f>('Wtr-Gas'!H50)*0.0038</f>
        <v>0</v>
      </c>
      <c r="AH48" s="54">
        <f>'Wtr-Gas'!K50*0.0038</f>
        <v>0</v>
      </c>
      <c r="AI48" s="54">
        <f>'Wtr-Gas'!N50*0.0038</f>
        <v>0</v>
      </c>
      <c r="AJ48" s="54">
        <f>'Wtr-Gas'!Q50*0.0038</f>
        <v>0</v>
      </c>
      <c r="AK48" s="57">
        <f>'Wtr-Gas'!U50*0.0038</f>
        <v>0</v>
      </c>
      <c r="AL48" s="57">
        <f>'Wtr-Gas'!X50*0.0038</f>
        <v>0</v>
      </c>
      <c r="AM48" s="54">
        <f>'Wtr-Gas'!AB50*0.0038</f>
        <v>0</v>
      </c>
      <c r="AN48" s="54">
        <f>'Wtr-Gas'!AD50*0.0038</f>
        <v>0</v>
      </c>
      <c r="AO48" s="54">
        <f>'Wtr-Gas'!AF50*0.0038</f>
        <v>0</v>
      </c>
      <c r="AP48" s="54">
        <f>'Wtr-Gas'!AH50*0.0038</f>
        <v>0</v>
      </c>
      <c r="AQ48" s="54">
        <f>'Wtr-Gas'!AJ50*0.0038</f>
        <v>0</v>
      </c>
      <c r="AR48" s="54">
        <f>'Wtr-Gas'!AL50*0.0038</f>
        <v>0</v>
      </c>
      <c r="AS48" s="54">
        <f>'Wtr-Gas'!AN50*0.0038</f>
        <v>0</v>
      </c>
      <c r="AT48" s="54">
        <f>'Wtr-Gas'!AP50*0.0038</f>
        <v>0</v>
      </c>
      <c r="AU48" s="57">
        <f>'Wtr-Gas'!AT50*0.0038</f>
        <v>0</v>
      </c>
      <c r="AV48" s="54">
        <f>'Wtr-Gas'!AW50*0.0038</f>
        <v>0</v>
      </c>
      <c r="AW48" s="55">
        <f>'Wtr-Gas'!AY50*0.0038</f>
        <v>0</v>
      </c>
      <c r="AX48" s="54">
        <f>'Wtr-Gas'!AZ50*0.0038</f>
        <v>0</v>
      </c>
      <c r="AY48" s="54">
        <f>'Wtr-Gas'!BB50*0.0038</f>
        <v>0</v>
      </c>
      <c r="AZ48" s="54">
        <f>'Wtr-Gas'!BD50*0.0038</f>
        <v>0</v>
      </c>
      <c r="BA48" s="54">
        <f>'Wtr-Gas'!BF50*0.0038</f>
        <v>0</v>
      </c>
    </row>
    <row r="49" spans="1:53" x14ac:dyDescent="0.25">
      <c r="A49" s="3" t="s">
        <v>11</v>
      </c>
      <c r="B49" s="2">
        <v>18</v>
      </c>
      <c r="C49" s="2">
        <v>10</v>
      </c>
      <c r="D49" s="2">
        <v>2021</v>
      </c>
      <c r="E49" s="52">
        <f>Elect!AM51</f>
        <v>0</v>
      </c>
      <c r="F49" s="52">
        <f>Elect!I51</f>
        <v>0</v>
      </c>
      <c r="G49" s="52">
        <f>Elect!H51</f>
        <v>0</v>
      </c>
      <c r="H49" s="52">
        <f>Elect!F51</f>
        <v>0</v>
      </c>
      <c r="I49" s="52">
        <f>Elect!E51</f>
        <v>0</v>
      </c>
      <c r="J49" s="52">
        <f>Elect!U51</f>
        <v>0</v>
      </c>
      <c r="K49" s="52">
        <f>Elect!T51</f>
        <v>0</v>
      </c>
      <c r="L49" s="52">
        <f>Elect!AJ51</f>
        <v>0</v>
      </c>
      <c r="M49" s="52">
        <f>Elect!AI51</f>
        <v>0</v>
      </c>
      <c r="N49" s="52">
        <f>Elect!X51</f>
        <v>0</v>
      </c>
      <c r="O49" s="52">
        <f>Elect!W51</f>
        <v>0</v>
      </c>
      <c r="P49" s="52">
        <f>Elect!O51</f>
        <v>0</v>
      </c>
      <c r="Q49" s="52">
        <f>Elect!N51</f>
        <v>0</v>
      </c>
      <c r="R49" s="52">
        <f>Elect!L51</f>
        <v>0</v>
      </c>
      <c r="S49" s="52">
        <f>Elect!K51</f>
        <v>0</v>
      </c>
      <c r="T49" s="52">
        <f>Elect!R51</f>
        <v>0</v>
      </c>
      <c r="U49" s="52">
        <f>Elect!Q51</f>
        <v>0</v>
      </c>
      <c r="V49" s="52">
        <f>Elect!AA51</f>
        <v>0</v>
      </c>
      <c r="W49" s="52">
        <f>Elect!Z51</f>
        <v>0</v>
      </c>
      <c r="X49" s="52">
        <f>Elect!AD51</f>
        <v>0</v>
      </c>
      <c r="Y49" s="52">
        <f>Elect!AC51</f>
        <v>0</v>
      </c>
      <c r="Z49" s="52">
        <f>Elect!AG51</f>
        <v>0</v>
      </c>
      <c r="AA49" s="52">
        <f>Elect!AF51</f>
        <v>0</v>
      </c>
      <c r="AB49" s="52">
        <f>Elect!AX51</f>
        <v>0</v>
      </c>
      <c r="AC49" s="52">
        <f>Elect!AV51</f>
        <v>0</v>
      </c>
      <c r="AD49" s="52">
        <f>Elect!AZ51</f>
        <v>0</v>
      </c>
      <c r="AE49" s="52">
        <f>Elect!BB51</f>
        <v>0</v>
      </c>
      <c r="AF49" s="54">
        <f>('Wtr-Gas'!E51)*0.0038</f>
        <v>0</v>
      </c>
      <c r="AG49" s="54">
        <f>('Wtr-Gas'!H51)*0.0038</f>
        <v>0</v>
      </c>
      <c r="AH49" s="54">
        <f>'Wtr-Gas'!K51*0.0038</f>
        <v>0</v>
      </c>
      <c r="AI49" s="54">
        <f>'Wtr-Gas'!N51*0.0038</f>
        <v>0</v>
      </c>
      <c r="AJ49" s="54">
        <f>'Wtr-Gas'!Q51*0.0038</f>
        <v>0</v>
      </c>
      <c r="AK49" s="57">
        <f>'Wtr-Gas'!U51*0.0038</f>
        <v>0</v>
      </c>
      <c r="AL49" s="57">
        <f>'Wtr-Gas'!X51*0.0038</f>
        <v>0</v>
      </c>
      <c r="AM49" s="54">
        <f>'Wtr-Gas'!AB51*0.0038</f>
        <v>0</v>
      </c>
      <c r="AN49" s="54">
        <f>'Wtr-Gas'!AD51*0.0038</f>
        <v>0</v>
      </c>
      <c r="AO49" s="54">
        <f>'Wtr-Gas'!AF51*0.0038</f>
        <v>0</v>
      </c>
      <c r="AP49" s="54">
        <f>'Wtr-Gas'!AH51*0.0038</f>
        <v>0</v>
      </c>
      <c r="AQ49" s="54">
        <f>'Wtr-Gas'!AJ51*0.0038</f>
        <v>0</v>
      </c>
      <c r="AR49" s="54">
        <f>'Wtr-Gas'!AL51*0.0038</f>
        <v>0</v>
      </c>
      <c r="AS49" s="54">
        <f>'Wtr-Gas'!AN51*0.0038</f>
        <v>0</v>
      </c>
      <c r="AT49" s="54">
        <f>'Wtr-Gas'!AP51*0.0038</f>
        <v>0</v>
      </c>
      <c r="AU49" s="57">
        <f>'Wtr-Gas'!AT51*0.0038</f>
        <v>0</v>
      </c>
      <c r="AV49" s="54">
        <f>'Wtr-Gas'!AW51*0.0038</f>
        <v>0</v>
      </c>
      <c r="AW49" s="55">
        <f>'Wtr-Gas'!AY51*0.0038</f>
        <v>0</v>
      </c>
      <c r="AX49" s="54">
        <f>'Wtr-Gas'!AZ51*0.0038</f>
        <v>0</v>
      </c>
      <c r="AY49" s="54">
        <f>'Wtr-Gas'!BB51*0.0038</f>
        <v>0</v>
      </c>
      <c r="AZ49" s="54">
        <f>'Wtr-Gas'!BD51*0.0038</f>
        <v>0</v>
      </c>
      <c r="BA49" s="54">
        <f>'Wtr-Gas'!BF51*0.0038</f>
        <v>0</v>
      </c>
    </row>
    <row r="50" spans="1:53" x14ac:dyDescent="0.25">
      <c r="A50" s="3" t="s">
        <v>11</v>
      </c>
      <c r="B50" s="2">
        <v>25</v>
      </c>
      <c r="C50" s="2">
        <v>10</v>
      </c>
      <c r="D50" s="2">
        <v>2021</v>
      </c>
      <c r="E50" s="52">
        <f>Elect!AM52</f>
        <v>0</v>
      </c>
      <c r="F50" s="52">
        <f>Elect!I52</f>
        <v>0</v>
      </c>
      <c r="G50" s="52">
        <f>Elect!H52</f>
        <v>0</v>
      </c>
      <c r="H50" s="52">
        <f>Elect!F52</f>
        <v>0</v>
      </c>
      <c r="I50" s="52">
        <f>Elect!E52</f>
        <v>0</v>
      </c>
      <c r="J50" s="52">
        <f>Elect!U52</f>
        <v>0</v>
      </c>
      <c r="K50" s="52">
        <f>Elect!T52</f>
        <v>0</v>
      </c>
      <c r="L50" s="52">
        <f>Elect!AJ52</f>
        <v>0</v>
      </c>
      <c r="M50" s="52">
        <f>Elect!AI52</f>
        <v>0</v>
      </c>
      <c r="N50" s="52">
        <f>Elect!X52</f>
        <v>0</v>
      </c>
      <c r="O50" s="52">
        <f>Elect!W52</f>
        <v>0</v>
      </c>
      <c r="P50" s="52">
        <f>Elect!O52</f>
        <v>0</v>
      </c>
      <c r="Q50" s="52">
        <f>Elect!N52</f>
        <v>0</v>
      </c>
      <c r="R50" s="52">
        <f>Elect!L52</f>
        <v>0</v>
      </c>
      <c r="S50" s="52">
        <f>Elect!K52</f>
        <v>0</v>
      </c>
      <c r="T50" s="52">
        <f>Elect!R52</f>
        <v>0</v>
      </c>
      <c r="U50" s="52">
        <f>Elect!Q52</f>
        <v>0</v>
      </c>
      <c r="V50" s="52">
        <f>Elect!AA52</f>
        <v>0</v>
      </c>
      <c r="W50" s="52">
        <f>Elect!Z52</f>
        <v>0</v>
      </c>
      <c r="X50" s="52">
        <f>Elect!AD52</f>
        <v>0</v>
      </c>
      <c r="Y50" s="52">
        <f>Elect!AC52</f>
        <v>0</v>
      </c>
      <c r="Z50" s="52">
        <f>Elect!AG52</f>
        <v>0</v>
      </c>
      <c r="AA50" s="52">
        <f>Elect!AF52</f>
        <v>0</v>
      </c>
      <c r="AB50" s="52">
        <f>Elect!AX52</f>
        <v>0</v>
      </c>
      <c r="AC50" s="52">
        <f>Elect!AV52</f>
        <v>0</v>
      </c>
      <c r="AD50" s="52">
        <f>Elect!AZ52</f>
        <v>0</v>
      </c>
      <c r="AE50" s="52">
        <f>Elect!BB52</f>
        <v>0</v>
      </c>
      <c r="AF50" s="54">
        <f>('Wtr-Gas'!E52)*0.0038</f>
        <v>0</v>
      </c>
      <c r="AG50" s="54">
        <f>('Wtr-Gas'!H52)*0.0038</f>
        <v>0</v>
      </c>
      <c r="AH50" s="54">
        <f>'Wtr-Gas'!K52*0.0038</f>
        <v>0</v>
      </c>
      <c r="AI50" s="54">
        <f>'Wtr-Gas'!N52*0.0038</f>
        <v>0</v>
      </c>
      <c r="AJ50" s="54">
        <f>'Wtr-Gas'!Q52*0.0038</f>
        <v>0</v>
      </c>
      <c r="AK50" s="57">
        <f>'Wtr-Gas'!U52*0.0038</f>
        <v>0</v>
      </c>
      <c r="AL50" s="57">
        <f>'Wtr-Gas'!X52*0.0038</f>
        <v>0</v>
      </c>
      <c r="AM50" s="54">
        <f>'Wtr-Gas'!AB52*0.0038</f>
        <v>0</v>
      </c>
      <c r="AN50" s="54">
        <f>'Wtr-Gas'!AD52*0.0038</f>
        <v>0</v>
      </c>
      <c r="AO50" s="54">
        <f>'Wtr-Gas'!AF52*0.0038</f>
        <v>0</v>
      </c>
      <c r="AP50" s="54">
        <f>'Wtr-Gas'!AH52*0.0038</f>
        <v>0</v>
      </c>
      <c r="AQ50" s="54">
        <f>'Wtr-Gas'!AJ52*0.0038</f>
        <v>0</v>
      </c>
      <c r="AR50" s="54">
        <f>'Wtr-Gas'!AL52*0.0038</f>
        <v>0</v>
      </c>
      <c r="AS50" s="54">
        <f>'Wtr-Gas'!AN52*0.0038</f>
        <v>0</v>
      </c>
      <c r="AT50" s="54">
        <f>'Wtr-Gas'!AP52*0.0038</f>
        <v>0</v>
      </c>
      <c r="AU50" s="57">
        <f>'Wtr-Gas'!AT52*0.0038</f>
        <v>0</v>
      </c>
      <c r="AV50" s="54">
        <f>'Wtr-Gas'!AW52*0.0038</f>
        <v>0</v>
      </c>
      <c r="AW50" s="55">
        <f>'Wtr-Gas'!AY52*0.0038</f>
        <v>0</v>
      </c>
      <c r="AX50" s="54">
        <f>'Wtr-Gas'!AZ52*0.0038</f>
        <v>0</v>
      </c>
      <c r="AY50" s="54">
        <f>'Wtr-Gas'!BB52*0.0038</f>
        <v>0</v>
      </c>
      <c r="AZ50" s="54">
        <f>'Wtr-Gas'!BD52*0.0038</f>
        <v>0</v>
      </c>
      <c r="BA50" s="54">
        <f>'Wtr-Gas'!BF52*0.0038</f>
        <v>0</v>
      </c>
    </row>
    <row r="51" spans="1:53" x14ac:dyDescent="0.25">
      <c r="A51" s="3" t="s">
        <v>11</v>
      </c>
      <c r="B51" s="2">
        <v>31</v>
      </c>
      <c r="C51" s="2">
        <v>10</v>
      </c>
      <c r="D51" s="2">
        <v>2021</v>
      </c>
      <c r="E51" s="52">
        <f>Elect!AM53</f>
        <v>0</v>
      </c>
      <c r="F51" s="52">
        <f>Elect!I53</f>
        <v>0</v>
      </c>
      <c r="G51" s="52">
        <f>Elect!H53</f>
        <v>0</v>
      </c>
      <c r="H51" s="52">
        <f>Elect!F53</f>
        <v>0</v>
      </c>
      <c r="I51" s="52">
        <f>Elect!E53</f>
        <v>0</v>
      </c>
      <c r="J51" s="52">
        <f>Elect!U53</f>
        <v>0</v>
      </c>
      <c r="K51" s="52">
        <f>Elect!T53</f>
        <v>0</v>
      </c>
      <c r="L51" s="52">
        <f>Elect!AJ53</f>
        <v>0</v>
      </c>
      <c r="M51" s="52">
        <f>Elect!AI53</f>
        <v>0</v>
      </c>
      <c r="N51" s="52">
        <f>Elect!X53</f>
        <v>0</v>
      </c>
      <c r="O51" s="52">
        <f>Elect!W53</f>
        <v>0</v>
      </c>
      <c r="P51" s="52">
        <f>Elect!O53</f>
        <v>0</v>
      </c>
      <c r="Q51" s="52">
        <f>Elect!N53</f>
        <v>0</v>
      </c>
      <c r="R51" s="52">
        <f>Elect!L53</f>
        <v>0</v>
      </c>
      <c r="S51" s="52">
        <f>Elect!K53</f>
        <v>0</v>
      </c>
      <c r="T51" s="52">
        <f>Elect!R53</f>
        <v>0</v>
      </c>
      <c r="U51" s="52">
        <f>Elect!Q53</f>
        <v>0</v>
      </c>
      <c r="V51" s="52">
        <f>Elect!AA53</f>
        <v>0</v>
      </c>
      <c r="W51" s="52">
        <f>Elect!Z53</f>
        <v>0</v>
      </c>
      <c r="X51" s="52">
        <f>Elect!AD53</f>
        <v>0</v>
      </c>
      <c r="Y51" s="52">
        <f>Elect!AC53</f>
        <v>0</v>
      </c>
      <c r="Z51" s="52">
        <f>Elect!AG53</f>
        <v>0</v>
      </c>
      <c r="AA51" s="52">
        <f>Elect!AF53</f>
        <v>0</v>
      </c>
      <c r="AB51" s="52">
        <f>Elect!AX53</f>
        <v>0</v>
      </c>
      <c r="AC51" s="52">
        <f>Elect!AV53</f>
        <v>0</v>
      </c>
      <c r="AD51" s="52">
        <f>Elect!AZ53</f>
        <v>0</v>
      </c>
      <c r="AE51" s="52">
        <f>Elect!BB53</f>
        <v>0</v>
      </c>
      <c r="AF51" s="54">
        <f>('Wtr-Gas'!E53)*0.0038</f>
        <v>0</v>
      </c>
      <c r="AG51" s="54">
        <f>('Wtr-Gas'!H53)*0.0038</f>
        <v>0</v>
      </c>
      <c r="AH51" s="54">
        <f>'Wtr-Gas'!K53*0.0038</f>
        <v>0</v>
      </c>
      <c r="AI51" s="54">
        <f>'Wtr-Gas'!N53*0.0038</f>
        <v>0</v>
      </c>
      <c r="AJ51" s="54">
        <f>'Wtr-Gas'!Q53*0.0038</f>
        <v>0</v>
      </c>
      <c r="AK51" s="57">
        <f>'Wtr-Gas'!U53*0.0038</f>
        <v>0</v>
      </c>
      <c r="AL51" s="57">
        <f>'Wtr-Gas'!X53*0.0038</f>
        <v>0</v>
      </c>
      <c r="AM51" s="54">
        <f>'Wtr-Gas'!AB53*0.0038</f>
        <v>0</v>
      </c>
      <c r="AN51" s="54">
        <f>'Wtr-Gas'!AD53*0.0038</f>
        <v>0</v>
      </c>
      <c r="AO51" s="54">
        <f>'Wtr-Gas'!AF53*0.0038</f>
        <v>0</v>
      </c>
      <c r="AP51" s="54">
        <f>'Wtr-Gas'!AH53*0.0038</f>
        <v>0</v>
      </c>
      <c r="AQ51" s="54">
        <f>'Wtr-Gas'!AJ53*0.0038</f>
        <v>0</v>
      </c>
      <c r="AR51" s="54">
        <f>'Wtr-Gas'!AL53*0.0038</f>
        <v>0</v>
      </c>
      <c r="AS51" s="54">
        <f>'Wtr-Gas'!AN53*0.0038</f>
        <v>0</v>
      </c>
      <c r="AT51" s="54">
        <f>'Wtr-Gas'!AP53*0.0038</f>
        <v>0</v>
      </c>
      <c r="AU51" s="57">
        <f>'Wtr-Gas'!AT53*0.0038</f>
        <v>0</v>
      </c>
      <c r="AV51" s="54">
        <f>'Wtr-Gas'!AW53*0.0038</f>
        <v>0</v>
      </c>
      <c r="AW51" s="55">
        <f>'Wtr-Gas'!AY53*0.0038</f>
        <v>0</v>
      </c>
      <c r="AX51" s="54">
        <f>'Wtr-Gas'!AZ53*0.0038</f>
        <v>0</v>
      </c>
      <c r="AY51" s="54">
        <f>'Wtr-Gas'!BB53*0.0038</f>
        <v>0</v>
      </c>
      <c r="AZ51" s="54">
        <f>'Wtr-Gas'!BD53*0.0038</f>
        <v>0</v>
      </c>
      <c r="BA51" s="54">
        <f>'Wtr-Gas'!BF53*0.0038</f>
        <v>0</v>
      </c>
    </row>
    <row r="52" spans="1:53" x14ac:dyDescent="0.25">
      <c r="A52" s="3" t="s">
        <v>11</v>
      </c>
      <c r="B52" s="2">
        <v>1</v>
      </c>
      <c r="C52" s="2">
        <v>11</v>
      </c>
      <c r="D52" s="2">
        <v>2021</v>
      </c>
      <c r="E52" s="52">
        <f>Elect!AM54</f>
        <v>0</v>
      </c>
      <c r="F52" s="52">
        <f>Elect!I54</f>
        <v>0</v>
      </c>
      <c r="G52" s="52">
        <f>Elect!H54</f>
        <v>0</v>
      </c>
      <c r="H52" s="52">
        <f>Elect!F54</f>
        <v>0</v>
      </c>
      <c r="I52" s="52">
        <f>Elect!E54</f>
        <v>0</v>
      </c>
      <c r="J52" s="52">
        <f>Elect!U54</f>
        <v>0</v>
      </c>
      <c r="K52" s="52">
        <f>Elect!T54</f>
        <v>0</v>
      </c>
      <c r="L52" s="52">
        <f>Elect!AJ54</f>
        <v>0</v>
      </c>
      <c r="M52" s="52">
        <f>Elect!AI54</f>
        <v>0</v>
      </c>
      <c r="N52" s="52">
        <f>Elect!X54</f>
        <v>0</v>
      </c>
      <c r="O52" s="52">
        <f>Elect!W54</f>
        <v>0</v>
      </c>
      <c r="P52" s="52">
        <f>Elect!O54</f>
        <v>0</v>
      </c>
      <c r="Q52" s="52">
        <f>Elect!N54</f>
        <v>0</v>
      </c>
      <c r="R52" s="52">
        <f>Elect!L54</f>
        <v>0</v>
      </c>
      <c r="S52" s="52">
        <f>Elect!K54</f>
        <v>0</v>
      </c>
      <c r="T52" s="52">
        <f>Elect!R54</f>
        <v>0</v>
      </c>
      <c r="U52" s="52">
        <f>Elect!Q54</f>
        <v>0</v>
      </c>
      <c r="V52" s="52">
        <f>Elect!AA54</f>
        <v>0</v>
      </c>
      <c r="W52" s="52">
        <f>Elect!Z54</f>
        <v>0</v>
      </c>
      <c r="X52" s="52">
        <f>Elect!AD54</f>
        <v>0</v>
      </c>
      <c r="Y52" s="52">
        <f>Elect!AC54</f>
        <v>0</v>
      </c>
      <c r="Z52" s="52">
        <f>Elect!AG54</f>
        <v>0</v>
      </c>
      <c r="AA52" s="52">
        <f>Elect!AF54</f>
        <v>0</v>
      </c>
      <c r="AB52" s="52">
        <f>Elect!AX54</f>
        <v>0</v>
      </c>
      <c r="AC52" s="52">
        <f>Elect!AV54</f>
        <v>0</v>
      </c>
      <c r="AD52" s="52">
        <f>Elect!AZ54</f>
        <v>0</v>
      </c>
      <c r="AE52" s="52">
        <f>Elect!BB54</f>
        <v>0</v>
      </c>
      <c r="AF52" s="54">
        <f>('Wtr-Gas'!E54)*0.0038</f>
        <v>0</v>
      </c>
      <c r="AG52" s="54">
        <f>('Wtr-Gas'!H54)*0.0038</f>
        <v>0</v>
      </c>
      <c r="AH52" s="54">
        <f>'Wtr-Gas'!K54*0.0038</f>
        <v>0</v>
      </c>
      <c r="AI52" s="54">
        <f>'Wtr-Gas'!N54*0.0038</f>
        <v>0</v>
      </c>
      <c r="AJ52" s="54">
        <f>'Wtr-Gas'!Q54*0.0038</f>
        <v>0</v>
      </c>
      <c r="AK52" s="57">
        <f>'Wtr-Gas'!U54*0.0038</f>
        <v>0</v>
      </c>
      <c r="AL52" s="57">
        <f>'Wtr-Gas'!X54*0.0038</f>
        <v>0</v>
      </c>
      <c r="AM52" s="54">
        <f>'Wtr-Gas'!AB54*0.0038</f>
        <v>0</v>
      </c>
      <c r="AN52" s="54">
        <f>'Wtr-Gas'!AD54*0.0038</f>
        <v>0</v>
      </c>
      <c r="AO52" s="54">
        <f>'Wtr-Gas'!AF54*0.0038</f>
        <v>0</v>
      </c>
      <c r="AP52" s="54">
        <f>'Wtr-Gas'!AH54*0.0038</f>
        <v>0</v>
      </c>
      <c r="AQ52" s="54">
        <f>'Wtr-Gas'!AJ54*0.0038</f>
        <v>0</v>
      </c>
      <c r="AR52" s="54">
        <f>'Wtr-Gas'!AL54*0.0038</f>
        <v>0</v>
      </c>
      <c r="AS52" s="54">
        <f>'Wtr-Gas'!AN54*0.0038</f>
        <v>0</v>
      </c>
      <c r="AT52" s="54">
        <f>'Wtr-Gas'!AP54*0.0038</f>
        <v>0</v>
      </c>
      <c r="AU52" s="57">
        <f>'Wtr-Gas'!AT54*0.0038</f>
        <v>0</v>
      </c>
      <c r="AV52" s="54">
        <f>'Wtr-Gas'!AW54*0.0038</f>
        <v>0</v>
      </c>
      <c r="AW52" s="55">
        <f>'Wtr-Gas'!AY54*0.0038</f>
        <v>0</v>
      </c>
      <c r="AX52" s="54">
        <f>'Wtr-Gas'!AZ54*0.0038</f>
        <v>0</v>
      </c>
      <c r="AY52" s="54">
        <f>'Wtr-Gas'!BB54*0.0038</f>
        <v>0</v>
      </c>
      <c r="AZ52" s="54">
        <f>'Wtr-Gas'!BD54*0.0038</f>
        <v>0</v>
      </c>
      <c r="BA52" s="54">
        <f>'Wtr-Gas'!BF54*0.0038</f>
        <v>0</v>
      </c>
    </row>
    <row r="53" spans="1:53" x14ac:dyDescent="0.25">
      <c r="A53" s="3" t="s">
        <v>11</v>
      </c>
      <c r="B53" s="2">
        <v>8</v>
      </c>
      <c r="C53" s="2">
        <v>11</v>
      </c>
      <c r="D53" s="2">
        <v>2021</v>
      </c>
      <c r="E53" s="52">
        <f>Elect!AM55</f>
        <v>0</v>
      </c>
      <c r="F53" s="52">
        <f>Elect!I55</f>
        <v>0</v>
      </c>
      <c r="G53" s="52">
        <f>Elect!H55</f>
        <v>0</v>
      </c>
      <c r="H53" s="52">
        <f>Elect!F55</f>
        <v>0</v>
      </c>
      <c r="I53" s="52">
        <f>Elect!E55</f>
        <v>0</v>
      </c>
      <c r="J53" s="52">
        <f>Elect!U55</f>
        <v>0</v>
      </c>
      <c r="K53" s="52">
        <f>Elect!T55</f>
        <v>0</v>
      </c>
      <c r="L53" s="52">
        <f>Elect!AJ55</f>
        <v>0</v>
      </c>
      <c r="M53" s="52">
        <f>Elect!AI55</f>
        <v>0</v>
      </c>
      <c r="N53" s="52">
        <f>Elect!X55</f>
        <v>0</v>
      </c>
      <c r="O53" s="52">
        <f>Elect!W55</f>
        <v>0</v>
      </c>
      <c r="P53" s="52">
        <f>Elect!O55</f>
        <v>0</v>
      </c>
      <c r="Q53" s="52">
        <f>Elect!N55</f>
        <v>0</v>
      </c>
      <c r="R53" s="52">
        <f>Elect!L55</f>
        <v>0</v>
      </c>
      <c r="S53" s="52">
        <f>Elect!K55</f>
        <v>0</v>
      </c>
      <c r="T53" s="52">
        <f>Elect!R55</f>
        <v>0</v>
      </c>
      <c r="U53" s="52">
        <f>Elect!Q55</f>
        <v>0</v>
      </c>
      <c r="V53" s="52">
        <f>Elect!AA55</f>
        <v>0</v>
      </c>
      <c r="W53" s="52">
        <f>Elect!Z55</f>
        <v>0</v>
      </c>
      <c r="X53" s="52">
        <f>Elect!AD55</f>
        <v>0</v>
      </c>
      <c r="Y53" s="52">
        <f>Elect!AC55</f>
        <v>0</v>
      </c>
      <c r="Z53" s="52">
        <f>Elect!AG55</f>
        <v>0</v>
      </c>
      <c r="AA53" s="52">
        <f>Elect!AF55</f>
        <v>0</v>
      </c>
      <c r="AB53" s="52">
        <f>Elect!AX55</f>
        <v>0</v>
      </c>
      <c r="AC53" s="52">
        <f>Elect!AV55</f>
        <v>0</v>
      </c>
      <c r="AD53" s="52">
        <f>Elect!AZ55</f>
        <v>0</v>
      </c>
      <c r="AE53" s="52">
        <f>Elect!BB55</f>
        <v>0</v>
      </c>
      <c r="AF53" s="54">
        <f>('Wtr-Gas'!E55)*0.0038</f>
        <v>0</v>
      </c>
      <c r="AG53" s="54">
        <f>('Wtr-Gas'!H55)*0.0038</f>
        <v>0</v>
      </c>
      <c r="AH53" s="54">
        <f>'Wtr-Gas'!K55*0.0038</f>
        <v>0</v>
      </c>
      <c r="AI53" s="54">
        <f>'Wtr-Gas'!N55*0.0038</f>
        <v>0</v>
      </c>
      <c r="AJ53" s="54">
        <f>'Wtr-Gas'!Q55*0.0038</f>
        <v>0</v>
      </c>
      <c r="AK53" s="57">
        <f>'Wtr-Gas'!U55*0.0038</f>
        <v>0</v>
      </c>
      <c r="AL53" s="57">
        <f>'Wtr-Gas'!X55*0.0038</f>
        <v>0</v>
      </c>
      <c r="AM53" s="54">
        <f>'Wtr-Gas'!AB55*0.0038</f>
        <v>0</v>
      </c>
      <c r="AN53" s="54">
        <f>'Wtr-Gas'!AD55*0.0038</f>
        <v>0</v>
      </c>
      <c r="AO53" s="54">
        <f>'Wtr-Gas'!AF55*0.0038</f>
        <v>0</v>
      </c>
      <c r="AP53" s="54">
        <f>'Wtr-Gas'!AH55*0.0038</f>
        <v>0</v>
      </c>
      <c r="AQ53" s="54">
        <f>'Wtr-Gas'!AJ55*0.0038</f>
        <v>0</v>
      </c>
      <c r="AR53" s="54">
        <f>'Wtr-Gas'!AL55*0.0038</f>
        <v>0</v>
      </c>
      <c r="AS53" s="54">
        <f>'Wtr-Gas'!AN55*0.0038</f>
        <v>0</v>
      </c>
      <c r="AT53" s="54">
        <f>'Wtr-Gas'!AP55*0.0038</f>
        <v>0</v>
      </c>
      <c r="AU53" s="57">
        <f>'Wtr-Gas'!AT55*0.0038</f>
        <v>0</v>
      </c>
      <c r="AV53" s="54">
        <f>'Wtr-Gas'!AW55*0.0038</f>
        <v>0</v>
      </c>
      <c r="AW53" s="55">
        <f>'Wtr-Gas'!AY55*0.0038</f>
        <v>0</v>
      </c>
      <c r="AX53" s="54">
        <f>'Wtr-Gas'!AZ55*0.0038</f>
        <v>0</v>
      </c>
      <c r="AY53" s="54">
        <f>'Wtr-Gas'!BB55*0.0038</f>
        <v>0</v>
      </c>
      <c r="AZ53" s="54">
        <f>'Wtr-Gas'!BD55*0.0038</f>
        <v>0</v>
      </c>
      <c r="BA53" s="54">
        <f>'Wtr-Gas'!BF55*0.0038</f>
        <v>0</v>
      </c>
    </row>
    <row r="54" spans="1:53" x14ac:dyDescent="0.25">
      <c r="A54" s="3" t="s">
        <v>11</v>
      </c>
      <c r="B54" s="2">
        <v>15</v>
      </c>
      <c r="C54" s="2">
        <v>11</v>
      </c>
      <c r="D54" s="2">
        <v>2021</v>
      </c>
      <c r="E54" s="52">
        <f>Elect!AM56</f>
        <v>0</v>
      </c>
      <c r="F54" s="52">
        <f>Elect!I56</f>
        <v>0</v>
      </c>
      <c r="G54" s="52">
        <f>Elect!H56</f>
        <v>0</v>
      </c>
      <c r="H54" s="52">
        <f>Elect!F56</f>
        <v>0</v>
      </c>
      <c r="I54" s="52">
        <f>Elect!E56</f>
        <v>0</v>
      </c>
      <c r="J54" s="52">
        <f>Elect!U56</f>
        <v>0</v>
      </c>
      <c r="K54" s="52">
        <f>Elect!T56</f>
        <v>0</v>
      </c>
      <c r="L54" s="52">
        <f>Elect!AJ56</f>
        <v>0</v>
      </c>
      <c r="M54" s="52">
        <f>Elect!AI56</f>
        <v>0</v>
      </c>
      <c r="N54" s="52">
        <f>Elect!X56</f>
        <v>0</v>
      </c>
      <c r="O54" s="52">
        <f>Elect!W56</f>
        <v>0</v>
      </c>
      <c r="P54" s="52">
        <f>Elect!O56</f>
        <v>0</v>
      </c>
      <c r="Q54" s="52">
        <f>Elect!N56</f>
        <v>0</v>
      </c>
      <c r="R54" s="52">
        <f>Elect!L56</f>
        <v>0</v>
      </c>
      <c r="S54" s="52">
        <f>Elect!K56</f>
        <v>0</v>
      </c>
      <c r="T54" s="52">
        <f>Elect!R56</f>
        <v>0</v>
      </c>
      <c r="U54" s="52">
        <f>Elect!Q56</f>
        <v>0</v>
      </c>
      <c r="V54" s="52">
        <f>Elect!AA56</f>
        <v>0</v>
      </c>
      <c r="W54" s="52">
        <f>Elect!Z56</f>
        <v>0</v>
      </c>
      <c r="X54" s="52">
        <f>Elect!AD56</f>
        <v>0</v>
      </c>
      <c r="Y54" s="52">
        <f>Elect!AC56</f>
        <v>0</v>
      </c>
      <c r="Z54" s="52">
        <f>Elect!AG56</f>
        <v>0</v>
      </c>
      <c r="AA54" s="52">
        <f>Elect!AF56</f>
        <v>0</v>
      </c>
      <c r="AB54" s="52">
        <f>Elect!AX56</f>
        <v>0</v>
      </c>
      <c r="AC54" s="52">
        <f>Elect!AV56</f>
        <v>0</v>
      </c>
      <c r="AD54" s="52">
        <f>Elect!AZ56</f>
        <v>0</v>
      </c>
      <c r="AE54" s="52">
        <f>Elect!BB56</f>
        <v>0</v>
      </c>
      <c r="AF54" s="54">
        <f>('Wtr-Gas'!E56)*0.0038</f>
        <v>0</v>
      </c>
      <c r="AG54" s="54">
        <f>('Wtr-Gas'!H56)*0.0038</f>
        <v>0</v>
      </c>
      <c r="AH54" s="54">
        <f>'Wtr-Gas'!K56*0.0038</f>
        <v>0</v>
      </c>
      <c r="AI54" s="54">
        <f>'Wtr-Gas'!N56*0.0038</f>
        <v>0</v>
      </c>
      <c r="AJ54" s="54">
        <f>'Wtr-Gas'!Q56*0.0038</f>
        <v>0</v>
      </c>
      <c r="AK54" s="57">
        <f>'Wtr-Gas'!U56*0.0038</f>
        <v>0</v>
      </c>
      <c r="AL54" s="57">
        <f>'Wtr-Gas'!X56*0.0038</f>
        <v>0</v>
      </c>
      <c r="AM54" s="54">
        <f>'Wtr-Gas'!AB56*0.0038</f>
        <v>0</v>
      </c>
      <c r="AN54" s="54">
        <f>'Wtr-Gas'!AD56*0.0038</f>
        <v>0</v>
      </c>
      <c r="AO54" s="54">
        <f>'Wtr-Gas'!AF56*0.0038</f>
        <v>0</v>
      </c>
      <c r="AP54" s="54">
        <f>'Wtr-Gas'!AH56*0.0038</f>
        <v>0</v>
      </c>
      <c r="AQ54" s="54">
        <f>'Wtr-Gas'!AJ56*0.0038</f>
        <v>0</v>
      </c>
      <c r="AR54" s="54">
        <f>'Wtr-Gas'!AL56*0.0038</f>
        <v>0</v>
      </c>
      <c r="AS54" s="54">
        <f>'Wtr-Gas'!AN56*0.0038</f>
        <v>0</v>
      </c>
      <c r="AT54" s="54">
        <f>'Wtr-Gas'!AP56*0.0038</f>
        <v>0</v>
      </c>
      <c r="AU54" s="57">
        <f>'Wtr-Gas'!AT56*0.0038</f>
        <v>0</v>
      </c>
      <c r="AV54" s="54">
        <f>'Wtr-Gas'!AW56*0.0038</f>
        <v>0</v>
      </c>
      <c r="AW54" s="55">
        <f>'Wtr-Gas'!AY56*0.0038</f>
        <v>0</v>
      </c>
      <c r="AX54" s="54">
        <f>'Wtr-Gas'!AZ56*0.0038</f>
        <v>0</v>
      </c>
      <c r="AY54" s="54">
        <f>'Wtr-Gas'!BB56*0.0038</f>
        <v>0</v>
      </c>
      <c r="AZ54" s="54">
        <f>'Wtr-Gas'!BD56*0.0038</f>
        <v>0</v>
      </c>
      <c r="BA54" s="54">
        <f>'Wtr-Gas'!BF56*0.0038</f>
        <v>0</v>
      </c>
    </row>
    <row r="55" spans="1:53" x14ac:dyDescent="0.25">
      <c r="A55" s="3" t="s">
        <v>11</v>
      </c>
      <c r="B55" s="2">
        <v>22</v>
      </c>
      <c r="C55" s="2">
        <v>11</v>
      </c>
      <c r="D55" s="2">
        <v>2021</v>
      </c>
      <c r="E55" s="52">
        <f>Elect!AM57</f>
        <v>0</v>
      </c>
      <c r="F55" s="52">
        <f>Elect!I57</f>
        <v>0</v>
      </c>
      <c r="G55" s="52">
        <f>Elect!H57</f>
        <v>0</v>
      </c>
      <c r="H55" s="52">
        <f>Elect!F57</f>
        <v>0</v>
      </c>
      <c r="I55" s="52">
        <f>Elect!E57</f>
        <v>0</v>
      </c>
      <c r="J55" s="52">
        <f>Elect!U57</f>
        <v>0</v>
      </c>
      <c r="K55" s="52">
        <f>Elect!T57</f>
        <v>0</v>
      </c>
      <c r="L55" s="52">
        <f>Elect!AJ57</f>
        <v>0</v>
      </c>
      <c r="M55" s="52">
        <f>Elect!AI57</f>
        <v>0</v>
      </c>
      <c r="N55" s="52">
        <f>Elect!X57</f>
        <v>0</v>
      </c>
      <c r="O55" s="52">
        <f>Elect!W57</f>
        <v>0</v>
      </c>
      <c r="P55" s="52">
        <f>Elect!O57</f>
        <v>0</v>
      </c>
      <c r="Q55" s="52">
        <f>Elect!N57</f>
        <v>0</v>
      </c>
      <c r="R55" s="52">
        <f>Elect!L57</f>
        <v>0</v>
      </c>
      <c r="S55" s="52">
        <f>Elect!K57</f>
        <v>0</v>
      </c>
      <c r="T55" s="52">
        <f>Elect!R57</f>
        <v>0</v>
      </c>
      <c r="U55" s="52">
        <f>Elect!Q57</f>
        <v>0</v>
      </c>
      <c r="V55" s="52">
        <f>Elect!AA57</f>
        <v>0</v>
      </c>
      <c r="W55" s="52">
        <f>Elect!Z57</f>
        <v>0</v>
      </c>
      <c r="X55" s="52">
        <f>Elect!AD57</f>
        <v>0</v>
      </c>
      <c r="Y55" s="52">
        <f>Elect!AC57</f>
        <v>0</v>
      </c>
      <c r="Z55" s="52">
        <f>Elect!AG57</f>
        <v>0</v>
      </c>
      <c r="AA55" s="52">
        <f>Elect!AF57</f>
        <v>0</v>
      </c>
      <c r="AB55" s="52">
        <f>Elect!AX57</f>
        <v>0</v>
      </c>
      <c r="AC55" s="52">
        <f>Elect!AV57</f>
        <v>0</v>
      </c>
      <c r="AD55" s="52">
        <f>Elect!AZ57</f>
        <v>0</v>
      </c>
      <c r="AE55" s="52">
        <f>Elect!BB57</f>
        <v>0</v>
      </c>
      <c r="AF55" s="54">
        <f>('Wtr-Gas'!E57)*0.0038</f>
        <v>0</v>
      </c>
      <c r="AG55" s="54">
        <f>('Wtr-Gas'!H57)*0.0038</f>
        <v>0</v>
      </c>
      <c r="AH55" s="54">
        <f>'Wtr-Gas'!K57*0.0038</f>
        <v>0</v>
      </c>
      <c r="AI55" s="54">
        <f>'Wtr-Gas'!N57*0.0038</f>
        <v>0</v>
      </c>
      <c r="AJ55" s="54">
        <f>'Wtr-Gas'!Q57*0.0038</f>
        <v>0</v>
      </c>
      <c r="AK55" s="57">
        <f>'Wtr-Gas'!U57*0.0038</f>
        <v>0</v>
      </c>
      <c r="AL55" s="57">
        <f>'Wtr-Gas'!X57*0.0038</f>
        <v>0</v>
      </c>
      <c r="AM55" s="54">
        <f>'Wtr-Gas'!AB57*0.0038</f>
        <v>0</v>
      </c>
      <c r="AN55" s="54">
        <f>'Wtr-Gas'!AD57*0.0038</f>
        <v>0</v>
      </c>
      <c r="AO55" s="54">
        <f>'Wtr-Gas'!AF57*0.0038</f>
        <v>0</v>
      </c>
      <c r="AP55" s="54">
        <f>'Wtr-Gas'!AH57*0.0038</f>
        <v>0</v>
      </c>
      <c r="AQ55" s="54">
        <f>'Wtr-Gas'!AJ57*0.0038</f>
        <v>0</v>
      </c>
      <c r="AR55" s="54">
        <f>'Wtr-Gas'!AL57*0.0038</f>
        <v>0</v>
      </c>
      <c r="AS55" s="54">
        <f>'Wtr-Gas'!AN57*0.0038</f>
        <v>0</v>
      </c>
      <c r="AT55" s="54">
        <f>'Wtr-Gas'!AP57*0.0038</f>
        <v>0</v>
      </c>
      <c r="AU55" s="57">
        <f>'Wtr-Gas'!AT57*0.0038</f>
        <v>0</v>
      </c>
      <c r="AV55" s="54">
        <f>'Wtr-Gas'!AW57*0.0038</f>
        <v>0</v>
      </c>
      <c r="AW55" s="55">
        <f>'Wtr-Gas'!AY57*0.0038</f>
        <v>0</v>
      </c>
      <c r="AX55" s="54">
        <f>'Wtr-Gas'!AZ57*0.0038</f>
        <v>0</v>
      </c>
      <c r="AY55" s="54">
        <f>'Wtr-Gas'!BB57*0.0038</f>
        <v>0</v>
      </c>
      <c r="AZ55" s="54">
        <f>'Wtr-Gas'!BD57*0.0038</f>
        <v>0</v>
      </c>
      <c r="BA55" s="54">
        <f>'Wtr-Gas'!BF57*0.0038</f>
        <v>0</v>
      </c>
    </row>
    <row r="56" spans="1:53" x14ac:dyDescent="0.25">
      <c r="A56" s="3" t="s">
        <v>11</v>
      </c>
      <c r="B56" s="2">
        <v>29</v>
      </c>
      <c r="C56" s="2">
        <v>11</v>
      </c>
      <c r="D56" s="2">
        <v>2021</v>
      </c>
      <c r="E56" s="52">
        <f>Elect!AM58</f>
        <v>0</v>
      </c>
      <c r="F56" s="52">
        <f>Elect!I58</f>
        <v>0</v>
      </c>
      <c r="G56" s="52">
        <f>Elect!H58</f>
        <v>0</v>
      </c>
      <c r="H56" s="52">
        <f>Elect!F58</f>
        <v>0</v>
      </c>
      <c r="I56" s="52">
        <f>Elect!E58</f>
        <v>0</v>
      </c>
      <c r="J56" s="52">
        <f>Elect!U58</f>
        <v>0</v>
      </c>
      <c r="K56" s="52">
        <f>Elect!T58</f>
        <v>0</v>
      </c>
      <c r="L56" s="52">
        <f>Elect!AJ58</f>
        <v>0</v>
      </c>
      <c r="M56" s="52">
        <f>Elect!AI58</f>
        <v>0</v>
      </c>
      <c r="N56" s="52">
        <f>Elect!X58</f>
        <v>0</v>
      </c>
      <c r="O56" s="52">
        <f>Elect!W58</f>
        <v>0</v>
      </c>
      <c r="P56" s="52">
        <f>Elect!O58</f>
        <v>0</v>
      </c>
      <c r="Q56" s="52">
        <f>Elect!N58</f>
        <v>0</v>
      </c>
      <c r="R56" s="52">
        <f>Elect!L58</f>
        <v>0</v>
      </c>
      <c r="S56" s="52">
        <f>Elect!K58</f>
        <v>0</v>
      </c>
      <c r="T56" s="52">
        <f>Elect!R58</f>
        <v>0</v>
      </c>
      <c r="U56" s="52">
        <f>Elect!Q58</f>
        <v>0</v>
      </c>
      <c r="V56" s="52">
        <f>Elect!AA58</f>
        <v>0</v>
      </c>
      <c r="W56" s="52">
        <f>Elect!Z58</f>
        <v>0</v>
      </c>
      <c r="X56" s="52">
        <f>Elect!AD58</f>
        <v>0</v>
      </c>
      <c r="Y56" s="52">
        <f>Elect!AC58</f>
        <v>0</v>
      </c>
      <c r="Z56" s="52">
        <f>Elect!AG58</f>
        <v>0</v>
      </c>
      <c r="AA56" s="52">
        <f>Elect!AF58</f>
        <v>0</v>
      </c>
      <c r="AB56" s="52">
        <f>Elect!AX58</f>
        <v>0</v>
      </c>
      <c r="AC56" s="52">
        <f>Elect!AV58</f>
        <v>0</v>
      </c>
      <c r="AD56" s="52">
        <f>Elect!AZ58</f>
        <v>0</v>
      </c>
      <c r="AE56" s="52">
        <f>Elect!BB58</f>
        <v>0</v>
      </c>
      <c r="AF56" s="54">
        <f>('Wtr-Gas'!E58)*0.0038</f>
        <v>0</v>
      </c>
      <c r="AG56" s="54">
        <f>('Wtr-Gas'!H58)*0.0038</f>
        <v>0</v>
      </c>
      <c r="AH56" s="54">
        <f>'Wtr-Gas'!K58*0.0038</f>
        <v>0</v>
      </c>
      <c r="AI56" s="54">
        <f>'Wtr-Gas'!N58*0.0038</f>
        <v>0</v>
      </c>
      <c r="AJ56" s="54">
        <f>'Wtr-Gas'!Q58*0.0038</f>
        <v>0</v>
      </c>
      <c r="AK56" s="57">
        <f>'Wtr-Gas'!U58*0.0038</f>
        <v>0</v>
      </c>
      <c r="AL56" s="57">
        <f>'Wtr-Gas'!X58*0.0038</f>
        <v>0</v>
      </c>
      <c r="AM56" s="54">
        <f>'Wtr-Gas'!AB58*0.0038</f>
        <v>0</v>
      </c>
      <c r="AN56" s="54">
        <f>'Wtr-Gas'!AD58*0.0038</f>
        <v>0</v>
      </c>
      <c r="AO56" s="54">
        <f>'Wtr-Gas'!AF58*0.0038</f>
        <v>0</v>
      </c>
      <c r="AP56" s="54">
        <f>'Wtr-Gas'!AH58*0.0038</f>
        <v>0</v>
      </c>
      <c r="AQ56" s="54">
        <f>'Wtr-Gas'!AJ58*0.0038</f>
        <v>0</v>
      </c>
      <c r="AR56" s="54">
        <f>'Wtr-Gas'!AL58*0.0038</f>
        <v>0</v>
      </c>
      <c r="AS56" s="54">
        <f>'Wtr-Gas'!AN58*0.0038</f>
        <v>0</v>
      </c>
      <c r="AT56" s="54">
        <f>'Wtr-Gas'!AP58*0.0038</f>
        <v>0</v>
      </c>
      <c r="AU56" s="57">
        <f>'Wtr-Gas'!AT58*0.0038</f>
        <v>0</v>
      </c>
      <c r="AV56" s="54">
        <f>'Wtr-Gas'!AW58*0.0038</f>
        <v>0</v>
      </c>
      <c r="AW56" s="55">
        <f>'Wtr-Gas'!AY58*0.0038</f>
        <v>0</v>
      </c>
      <c r="AX56" s="54">
        <f>'Wtr-Gas'!AZ58*0.0038</f>
        <v>0</v>
      </c>
      <c r="AY56" s="54">
        <f>'Wtr-Gas'!BB58*0.0038</f>
        <v>0</v>
      </c>
      <c r="AZ56" s="54">
        <f>'Wtr-Gas'!BD58*0.0038</f>
        <v>0</v>
      </c>
      <c r="BA56" s="54">
        <f>'Wtr-Gas'!BF58*0.0038</f>
        <v>0</v>
      </c>
    </row>
    <row r="57" spans="1:53" x14ac:dyDescent="0.25">
      <c r="A57" s="3" t="s">
        <v>11</v>
      </c>
      <c r="B57" s="2">
        <v>6</v>
      </c>
      <c r="C57" s="2">
        <v>12</v>
      </c>
      <c r="D57" s="2">
        <v>2021</v>
      </c>
      <c r="E57" s="52">
        <f>Elect!AM59</f>
        <v>0</v>
      </c>
      <c r="F57" s="52">
        <f>Elect!I59</f>
        <v>0</v>
      </c>
      <c r="G57" s="52">
        <f>Elect!H59</f>
        <v>0</v>
      </c>
      <c r="H57" s="52">
        <f>Elect!F59</f>
        <v>0</v>
      </c>
      <c r="I57" s="52">
        <f>Elect!E59</f>
        <v>0</v>
      </c>
      <c r="J57" s="52">
        <f>Elect!U59</f>
        <v>0</v>
      </c>
      <c r="K57" s="52">
        <f>Elect!T59</f>
        <v>0</v>
      </c>
      <c r="L57" s="52">
        <f>Elect!AJ59</f>
        <v>0</v>
      </c>
      <c r="M57" s="52">
        <f>Elect!AI59</f>
        <v>0</v>
      </c>
      <c r="N57" s="52">
        <f>Elect!X59</f>
        <v>0</v>
      </c>
      <c r="O57" s="52">
        <f>Elect!W59</f>
        <v>0</v>
      </c>
      <c r="P57" s="52">
        <f>Elect!O59</f>
        <v>0</v>
      </c>
      <c r="Q57" s="52">
        <f>Elect!N59</f>
        <v>0</v>
      </c>
      <c r="R57" s="52">
        <f>Elect!L59</f>
        <v>0</v>
      </c>
      <c r="S57" s="52">
        <f>Elect!K59</f>
        <v>0</v>
      </c>
      <c r="T57" s="52">
        <f>Elect!R59</f>
        <v>0</v>
      </c>
      <c r="U57" s="52">
        <f>Elect!Q59</f>
        <v>0</v>
      </c>
      <c r="V57" s="52">
        <f>Elect!AA59</f>
        <v>0</v>
      </c>
      <c r="W57" s="52">
        <f>Elect!Z59</f>
        <v>0</v>
      </c>
      <c r="X57" s="52">
        <f>Elect!AD59</f>
        <v>0</v>
      </c>
      <c r="Y57" s="52">
        <f>Elect!AC59</f>
        <v>0</v>
      </c>
      <c r="Z57" s="52">
        <f>Elect!AG59</f>
        <v>0</v>
      </c>
      <c r="AA57" s="52">
        <f>Elect!AF59</f>
        <v>0</v>
      </c>
      <c r="AB57" s="52">
        <f>Elect!AX59</f>
        <v>0</v>
      </c>
      <c r="AC57" s="52">
        <f>Elect!AV59</f>
        <v>0</v>
      </c>
      <c r="AD57" s="52">
        <f>Elect!AZ59</f>
        <v>0</v>
      </c>
      <c r="AE57" s="52">
        <f>Elect!BB59</f>
        <v>0</v>
      </c>
      <c r="AF57" s="54">
        <f>('Wtr-Gas'!E59)*0.0038</f>
        <v>0</v>
      </c>
      <c r="AG57" s="54">
        <f>('Wtr-Gas'!H59)*0.0038</f>
        <v>0</v>
      </c>
      <c r="AH57" s="54">
        <f>'Wtr-Gas'!K59*0.0038</f>
        <v>0</v>
      </c>
      <c r="AI57" s="54">
        <f>'Wtr-Gas'!N59*0.0038</f>
        <v>0</v>
      </c>
      <c r="AJ57" s="54">
        <f>'Wtr-Gas'!Q59*0.0038</f>
        <v>0</v>
      </c>
      <c r="AK57" s="57">
        <f>'Wtr-Gas'!U59*0.0038</f>
        <v>0</v>
      </c>
      <c r="AL57" s="57">
        <f>'Wtr-Gas'!X59*0.0038</f>
        <v>0</v>
      </c>
      <c r="AM57" s="54">
        <f>'Wtr-Gas'!AB59*0.0038</f>
        <v>0</v>
      </c>
      <c r="AN57" s="54">
        <f>'Wtr-Gas'!AD59*0.0038</f>
        <v>0</v>
      </c>
      <c r="AO57" s="54">
        <f>'Wtr-Gas'!AF59*0.0038</f>
        <v>0</v>
      </c>
      <c r="AP57" s="54">
        <f>'Wtr-Gas'!AH59*0.0038</f>
        <v>0</v>
      </c>
      <c r="AQ57" s="54">
        <f>'Wtr-Gas'!AJ59*0.0038</f>
        <v>0</v>
      </c>
      <c r="AR57" s="54">
        <f>'Wtr-Gas'!AL59*0.0038</f>
        <v>0</v>
      </c>
      <c r="AS57" s="54">
        <f>'Wtr-Gas'!AN59*0.0038</f>
        <v>0</v>
      </c>
      <c r="AT57" s="54">
        <f>'Wtr-Gas'!AP59*0.0038</f>
        <v>0</v>
      </c>
      <c r="AU57" s="57">
        <f>'Wtr-Gas'!AT59*0.0038</f>
        <v>0</v>
      </c>
      <c r="AV57" s="54">
        <f>'Wtr-Gas'!AW59*0.0038</f>
        <v>0</v>
      </c>
      <c r="AW57" s="55">
        <f>'Wtr-Gas'!AY59*0.0038</f>
        <v>0</v>
      </c>
      <c r="AX57" s="54">
        <f>'Wtr-Gas'!AZ59*0.0038</f>
        <v>0</v>
      </c>
      <c r="AY57" s="54">
        <f>'Wtr-Gas'!BB59*0.0038</f>
        <v>0</v>
      </c>
      <c r="AZ57" s="54">
        <f>'Wtr-Gas'!BD59*0.0038</f>
        <v>0</v>
      </c>
      <c r="BA57" s="54">
        <f>'Wtr-Gas'!BF59*0.0038</f>
        <v>0</v>
      </c>
    </row>
    <row r="58" spans="1:53" x14ac:dyDescent="0.25">
      <c r="A58" s="3" t="s">
        <v>11</v>
      </c>
      <c r="B58" s="2">
        <v>13</v>
      </c>
      <c r="C58" s="2">
        <v>12</v>
      </c>
      <c r="D58" s="2">
        <v>2021</v>
      </c>
      <c r="E58" s="52">
        <f>Elect!AM60</f>
        <v>0</v>
      </c>
      <c r="F58" s="52">
        <f>Elect!I60</f>
        <v>0</v>
      </c>
      <c r="G58" s="52">
        <f>Elect!H60</f>
        <v>0</v>
      </c>
      <c r="H58" s="52">
        <f>Elect!F60</f>
        <v>0</v>
      </c>
      <c r="I58" s="52">
        <f>Elect!E60</f>
        <v>0</v>
      </c>
      <c r="J58" s="52">
        <f>Elect!U60</f>
        <v>0</v>
      </c>
      <c r="K58" s="52">
        <f>Elect!T60</f>
        <v>0</v>
      </c>
      <c r="L58" s="52">
        <f>Elect!AJ60</f>
        <v>0</v>
      </c>
      <c r="M58" s="52">
        <f>Elect!AI60</f>
        <v>0</v>
      </c>
      <c r="N58" s="52">
        <f>Elect!X60</f>
        <v>0</v>
      </c>
      <c r="O58" s="52">
        <f>Elect!W60</f>
        <v>0</v>
      </c>
      <c r="P58" s="52">
        <f>Elect!O60</f>
        <v>0</v>
      </c>
      <c r="Q58" s="52">
        <f>Elect!N60</f>
        <v>0</v>
      </c>
      <c r="R58" s="52">
        <f>Elect!L60</f>
        <v>0</v>
      </c>
      <c r="S58" s="52">
        <f>Elect!K60</f>
        <v>0</v>
      </c>
      <c r="T58" s="52">
        <f>Elect!R60</f>
        <v>0</v>
      </c>
      <c r="U58" s="52">
        <f>Elect!Q60</f>
        <v>0</v>
      </c>
      <c r="V58" s="52">
        <f>Elect!AA60</f>
        <v>0</v>
      </c>
      <c r="W58" s="52">
        <f>Elect!Z60</f>
        <v>0</v>
      </c>
      <c r="X58" s="52">
        <f>Elect!AD60</f>
        <v>0</v>
      </c>
      <c r="Y58" s="52">
        <f>Elect!AC60</f>
        <v>0</v>
      </c>
      <c r="Z58" s="52">
        <f>Elect!AG60</f>
        <v>0</v>
      </c>
      <c r="AA58" s="52">
        <f>Elect!AF60</f>
        <v>0</v>
      </c>
      <c r="AB58" s="52">
        <f>Elect!AX60</f>
        <v>0</v>
      </c>
      <c r="AC58" s="52">
        <f>Elect!AV60</f>
        <v>0</v>
      </c>
      <c r="AD58" s="52">
        <f>Elect!AZ60</f>
        <v>0</v>
      </c>
      <c r="AE58" s="52">
        <f>Elect!BB60</f>
        <v>0</v>
      </c>
      <c r="AF58" s="54">
        <f>('Wtr-Gas'!E60)*0.0038</f>
        <v>0</v>
      </c>
      <c r="AG58" s="54">
        <f>('Wtr-Gas'!H60)*0.0038</f>
        <v>0</v>
      </c>
      <c r="AH58" s="54">
        <f>'Wtr-Gas'!K60*0.0038</f>
        <v>0</v>
      </c>
      <c r="AI58" s="54">
        <f>'Wtr-Gas'!N60*0.0038</f>
        <v>0</v>
      </c>
      <c r="AJ58" s="54">
        <f>'Wtr-Gas'!Q60*0.0038</f>
        <v>0</v>
      </c>
      <c r="AK58" s="57">
        <f>'Wtr-Gas'!U60*0.0038</f>
        <v>0</v>
      </c>
      <c r="AL58" s="57">
        <f>'Wtr-Gas'!X60*0.0038</f>
        <v>0</v>
      </c>
      <c r="AM58" s="54">
        <f>'Wtr-Gas'!AB60*0.0038</f>
        <v>0</v>
      </c>
      <c r="AN58" s="54">
        <f>'Wtr-Gas'!AD60*0.0038</f>
        <v>0</v>
      </c>
      <c r="AO58" s="54">
        <f>'Wtr-Gas'!AF60*0.0038</f>
        <v>0</v>
      </c>
      <c r="AP58" s="54">
        <f>'Wtr-Gas'!AH60*0.0038</f>
        <v>0</v>
      </c>
      <c r="AQ58" s="54">
        <f>'Wtr-Gas'!AJ60*0.0038</f>
        <v>0</v>
      </c>
      <c r="AR58" s="54">
        <f>'Wtr-Gas'!AL60*0.0038</f>
        <v>0</v>
      </c>
      <c r="AS58" s="54">
        <f>'Wtr-Gas'!AN60*0.0038</f>
        <v>0</v>
      </c>
      <c r="AT58" s="54">
        <f>'Wtr-Gas'!AP60*0.0038</f>
        <v>0</v>
      </c>
      <c r="AU58" s="57">
        <f>'Wtr-Gas'!AT60*0.0038</f>
        <v>0</v>
      </c>
      <c r="AV58" s="54">
        <f>'Wtr-Gas'!AW60*0.0038</f>
        <v>0</v>
      </c>
      <c r="AW58" s="55">
        <f>'Wtr-Gas'!AY60*0.0038</f>
        <v>0</v>
      </c>
      <c r="AX58" s="54">
        <f>'Wtr-Gas'!AZ60*0.0038</f>
        <v>0</v>
      </c>
      <c r="AY58" s="54">
        <f>'Wtr-Gas'!BB60*0.0038</f>
        <v>0</v>
      </c>
      <c r="AZ58" s="54">
        <f>'Wtr-Gas'!BD60*0.0038</f>
        <v>0</v>
      </c>
      <c r="BA58" s="54">
        <f>'Wtr-Gas'!BF60*0.0038</f>
        <v>0</v>
      </c>
    </row>
    <row r="59" spans="1:53" x14ac:dyDescent="0.25">
      <c r="A59" s="3" t="s">
        <v>11</v>
      </c>
      <c r="B59" s="2">
        <v>20</v>
      </c>
      <c r="C59" s="2">
        <v>12</v>
      </c>
      <c r="D59" s="2">
        <v>2021</v>
      </c>
      <c r="E59" s="52">
        <f>Elect!AM61</f>
        <v>0</v>
      </c>
      <c r="F59" s="52">
        <f>Elect!I61</f>
        <v>0</v>
      </c>
      <c r="G59" s="52">
        <f>Elect!H61</f>
        <v>0</v>
      </c>
      <c r="H59" s="52">
        <f>Elect!F61</f>
        <v>0</v>
      </c>
      <c r="I59" s="52">
        <f>Elect!E61</f>
        <v>0</v>
      </c>
      <c r="J59" s="52">
        <f>Elect!U61</f>
        <v>0</v>
      </c>
      <c r="K59" s="52">
        <f>Elect!T61</f>
        <v>0</v>
      </c>
      <c r="L59" s="52">
        <f>Elect!AJ61</f>
        <v>0</v>
      </c>
      <c r="M59" s="52">
        <f>Elect!AI61</f>
        <v>0</v>
      </c>
      <c r="N59" s="52">
        <f>Elect!X61</f>
        <v>0</v>
      </c>
      <c r="O59" s="52">
        <f>Elect!W61</f>
        <v>0</v>
      </c>
      <c r="P59" s="52">
        <f>Elect!O61</f>
        <v>0</v>
      </c>
      <c r="Q59" s="52">
        <f>Elect!N61</f>
        <v>0</v>
      </c>
      <c r="R59" s="52">
        <f>Elect!L61</f>
        <v>0</v>
      </c>
      <c r="S59" s="52">
        <f>Elect!K61</f>
        <v>0</v>
      </c>
      <c r="T59" s="52">
        <f>Elect!R61</f>
        <v>0</v>
      </c>
      <c r="U59" s="52">
        <f>Elect!Q61</f>
        <v>0</v>
      </c>
      <c r="V59" s="52">
        <f>Elect!AA61</f>
        <v>0</v>
      </c>
      <c r="W59" s="52">
        <f>Elect!Z61</f>
        <v>0</v>
      </c>
      <c r="X59" s="52">
        <f>Elect!AD61</f>
        <v>0</v>
      </c>
      <c r="Y59" s="52">
        <f>Elect!AC61</f>
        <v>0</v>
      </c>
      <c r="Z59" s="52">
        <f>Elect!AG61</f>
        <v>0</v>
      </c>
      <c r="AA59" s="52">
        <f>Elect!AF61</f>
        <v>0</v>
      </c>
      <c r="AB59" s="52">
        <f>Elect!AX61</f>
        <v>0</v>
      </c>
      <c r="AC59" s="52">
        <f>Elect!AV61</f>
        <v>0</v>
      </c>
      <c r="AD59" s="52">
        <f>Elect!AZ61</f>
        <v>0</v>
      </c>
      <c r="AE59" s="52">
        <f>Elect!BB61</f>
        <v>0</v>
      </c>
      <c r="AF59" s="54">
        <f>('Wtr-Gas'!E61)*0.0038</f>
        <v>0</v>
      </c>
      <c r="AG59" s="54">
        <f>('Wtr-Gas'!H61)*0.0038</f>
        <v>0</v>
      </c>
      <c r="AH59" s="54">
        <f>'Wtr-Gas'!K61*0.0038</f>
        <v>0</v>
      </c>
      <c r="AI59" s="54">
        <f>'Wtr-Gas'!N61*0.0038</f>
        <v>0</v>
      </c>
      <c r="AJ59" s="54">
        <f>'Wtr-Gas'!Q61*0.0038</f>
        <v>0</v>
      </c>
      <c r="AK59" s="57">
        <f>'Wtr-Gas'!U61*0.0038</f>
        <v>0</v>
      </c>
      <c r="AL59" s="57">
        <f>'Wtr-Gas'!X61*0.0038</f>
        <v>0</v>
      </c>
      <c r="AM59" s="54">
        <f>'Wtr-Gas'!AB61*0.0038</f>
        <v>0</v>
      </c>
      <c r="AN59" s="54">
        <f>'Wtr-Gas'!AD61*0.0038</f>
        <v>0</v>
      </c>
      <c r="AO59" s="54">
        <f>'Wtr-Gas'!AF61*0.0038</f>
        <v>0</v>
      </c>
      <c r="AP59" s="54">
        <f>'Wtr-Gas'!AH61*0.0038</f>
        <v>0</v>
      </c>
      <c r="AQ59" s="54">
        <f>'Wtr-Gas'!AJ61*0.0038</f>
        <v>0</v>
      </c>
      <c r="AR59" s="54">
        <f>'Wtr-Gas'!AL61*0.0038</f>
        <v>0</v>
      </c>
      <c r="AS59" s="54">
        <f>'Wtr-Gas'!AN61*0.0038</f>
        <v>0</v>
      </c>
      <c r="AT59" s="54">
        <f>'Wtr-Gas'!AP61*0.0038</f>
        <v>0</v>
      </c>
      <c r="AU59" s="57">
        <f>'Wtr-Gas'!AT61*0.0038</f>
        <v>0</v>
      </c>
      <c r="AV59" s="54">
        <f>'Wtr-Gas'!AW61*0.0038</f>
        <v>0</v>
      </c>
      <c r="AW59" s="55">
        <f>'Wtr-Gas'!AY61*0.0038</f>
        <v>0</v>
      </c>
      <c r="AX59" s="54">
        <f>'Wtr-Gas'!AZ61*0.0038</f>
        <v>0</v>
      </c>
      <c r="AY59" s="54">
        <f>'Wtr-Gas'!BB61*0.0038</f>
        <v>0</v>
      </c>
      <c r="AZ59" s="54">
        <f>'Wtr-Gas'!BD61*0.0038</f>
        <v>0</v>
      </c>
      <c r="BA59" s="54">
        <f>'Wtr-Gas'!BF61*0.0038</f>
        <v>0</v>
      </c>
    </row>
    <row r="60" spans="1:53" x14ac:dyDescent="0.25">
      <c r="A60" s="3" t="s">
        <v>11</v>
      </c>
      <c r="B60" s="2">
        <v>27</v>
      </c>
      <c r="C60" s="2">
        <v>12</v>
      </c>
      <c r="D60" s="2">
        <v>2021</v>
      </c>
      <c r="E60" s="52">
        <f>Elect!AM62</f>
        <v>0</v>
      </c>
      <c r="F60" s="52">
        <f>Elect!I62</f>
        <v>0</v>
      </c>
      <c r="G60" s="52">
        <f>Elect!H62</f>
        <v>0</v>
      </c>
      <c r="H60" s="52">
        <f>Elect!F62</f>
        <v>0</v>
      </c>
      <c r="I60" s="52">
        <f>Elect!E62</f>
        <v>0</v>
      </c>
      <c r="J60" s="52">
        <f>Elect!U62</f>
        <v>0</v>
      </c>
      <c r="K60" s="52">
        <f>Elect!T62</f>
        <v>0</v>
      </c>
      <c r="L60" s="52">
        <f>Elect!AJ62</f>
        <v>0</v>
      </c>
      <c r="M60" s="52">
        <f>Elect!AI62</f>
        <v>0</v>
      </c>
      <c r="N60" s="52">
        <f>Elect!X62</f>
        <v>0</v>
      </c>
      <c r="O60" s="52">
        <f>Elect!W62</f>
        <v>0</v>
      </c>
      <c r="P60" s="52">
        <f>Elect!O62</f>
        <v>0</v>
      </c>
      <c r="Q60" s="52">
        <f>Elect!N62</f>
        <v>0</v>
      </c>
      <c r="R60" s="52">
        <f>Elect!L62</f>
        <v>0</v>
      </c>
      <c r="S60" s="52">
        <f>Elect!K62</f>
        <v>0</v>
      </c>
      <c r="T60" s="52">
        <f>Elect!R62</f>
        <v>0</v>
      </c>
      <c r="U60" s="52">
        <f>Elect!Q62</f>
        <v>0</v>
      </c>
      <c r="V60" s="52">
        <f>Elect!AA62</f>
        <v>0</v>
      </c>
      <c r="W60" s="52">
        <f>Elect!Z62</f>
        <v>0</v>
      </c>
      <c r="X60" s="52">
        <f>Elect!AD62</f>
        <v>0</v>
      </c>
      <c r="Y60" s="52">
        <f>Elect!AC62</f>
        <v>0</v>
      </c>
      <c r="Z60" s="52">
        <f>Elect!AG62</f>
        <v>0</v>
      </c>
      <c r="AA60" s="52">
        <f>Elect!AF62</f>
        <v>0</v>
      </c>
      <c r="AB60" s="52">
        <f>Elect!AX62</f>
        <v>0</v>
      </c>
      <c r="AC60" s="52">
        <f>Elect!AV62</f>
        <v>0</v>
      </c>
      <c r="AD60" s="52">
        <f>Elect!AZ62</f>
        <v>0</v>
      </c>
      <c r="AE60" s="52">
        <f>Elect!BB62</f>
        <v>0</v>
      </c>
      <c r="AF60" s="54">
        <f>('Wtr-Gas'!E62)*0.0038</f>
        <v>0</v>
      </c>
      <c r="AG60" s="54">
        <f>('Wtr-Gas'!H62)*0.0038</f>
        <v>0</v>
      </c>
      <c r="AH60" s="54">
        <f>'Wtr-Gas'!K62*0.0038</f>
        <v>0</v>
      </c>
      <c r="AI60" s="54">
        <f>'Wtr-Gas'!N62*0.0038</f>
        <v>0</v>
      </c>
      <c r="AJ60" s="54">
        <f>'Wtr-Gas'!Q62*0.0038</f>
        <v>0</v>
      </c>
      <c r="AK60" s="57">
        <f>'Wtr-Gas'!U62*0.0038</f>
        <v>0</v>
      </c>
      <c r="AL60" s="57">
        <f>'Wtr-Gas'!X62*0.0038</f>
        <v>0</v>
      </c>
      <c r="AM60" s="54">
        <f>'Wtr-Gas'!AB62*0.0038</f>
        <v>0</v>
      </c>
      <c r="AN60" s="54">
        <f>'Wtr-Gas'!AD62*0.0038</f>
        <v>0</v>
      </c>
      <c r="AO60" s="54">
        <f>'Wtr-Gas'!AF62*0.0038</f>
        <v>0</v>
      </c>
      <c r="AP60" s="54">
        <f>'Wtr-Gas'!AH62*0.0038</f>
        <v>0</v>
      </c>
      <c r="AQ60" s="54">
        <f>'Wtr-Gas'!AJ62*0.0038</f>
        <v>0</v>
      </c>
      <c r="AR60" s="54">
        <f>'Wtr-Gas'!AL62*0.0038</f>
        <v>0</v>
      </c>
      <c r="AS60" s="54">
        <f>'Wtr-Gas'!AN62*0.0038</f>
        <v>0</v>
      </c>
      <c r="AT60" s="54">
        <f>'Wtr-Gas'!AP62*0.0038</f>
        <v>0</v>
      </c>
      <c r="AU60" s="57">
        <f>'Wtr-Gas'!AT62*0.0038</f>
        <v>0</v>
      </c>
      <c r="AV60" s="54">
        <f>'Wtr-Gas'!AW62*0.0038</f>
        <v>0</v>
      </c>
      <c r="AW60" s="55">
        <f>'Wtr-Gas'!AY62*0.0038</f>
        <v>0</v>
      </c>
      <c r="AX60" s="54">
        <f>'Wtr-Gas'!AZ62*0.0038</f>
        <v>0</v>
      </c>
      <c r="AY60" s="54">
        <f>'Wtr-Gas'!BB62*0.0038</f>
        <v>0</v>
      </c>
      <c r="AZ60" s="54">
        <f>'Wtr-Gas'!BD62*0.0038</f>
        <v>0</v>
      </c>
      <c r="BA60" s="54">
        <f>'Wtr-Gas'!BF62*0.0038</f>
        <v>0</v>
      </c>
    </row>
    <row r="61" spans="1:53" x14ac:dyDescent="0.25">
      <c r="A61" s="3" t="s">
        <v>11</v>
      </c>
      <c r="B61" s="2">
        <v>31</v>
      </c>
      <c r="C61" s="2">
        <v>12</v>
      </c>
      <c r="D61" s="2">
        <v>2021</v>
      </c>
      <c r="E61" s="52">
        <f>Elect!AM63</f>
        <v>0</v>
      </c>
      <c r="F61" s="52">
        <f>Elect!I63</f>
        <v>0</v>
      </c>
      <c r="G61" s="52">
        <f>Elect!H63</f>
        <v>0</v>
      </c>
      <c r="H61" s="52">
        <f>Elect!F63</f>
        <v>0</v>
      </c>
      <c r="I61" s="52">
        <f>Elect!E63</f>
        <v>0</v>
      </c>
      <c r="J61" s="52">
        <f>Elect!U63</f>
        <v>0</v>
      </c>
      <c r="K61" s="52">
        <f>Elect!T63</f>
        <v>0</v>
      </c>
      <c r="L61" s="52">
        <f>Elect!AJ63</f>
        <v>0</v>
      </c>
      <c r="M61" s="52">
        <f>Elect!AI63</f>
        <v>0</v>
      </c>
      <c r="N61" s="52">
        <f>Elect!X63</f>
        <v>0</v>
      </c>
      <c r="O61" s="52">
        <f>Elect!W63</f>
        <v>0</v>
      </c>
      <c r="P61" s="52">
        <f>Elect!O63</f>
        <v>0</v>
      </c>
      <c r="Q61" s="52">
        <f>Elect!N63</f>
        <v>0</v>
      </c>
      <c r="R61" s="52">
        <f>Elect!L63</f>
        <v>0</v>
      </c>
      <c r="S61" s="52">
        <f>Elect!K63</f>
        <v>0</v>
      </c>
      <c r="T61" s="52">
        <f>Elect!R63</f>
        <v>0</v>
      </c>
      <c r="U61" s="52">
        <f>Elect!Q63</f>
        <v>0</v>
      </c>
      <c r="V61" s="52">
        <f>Elect!AA63</f>
        <v>0</v>
      </c>
      <c r="W61" s="52">
        <f>Elect!Z63</f>
        <v>0</v>
      </c>
      <c r="X61" s="52">
        <f>Elect!AD63</f>
        <v>0</v>
      </c>
      <c r="Y61" s="52">
        <f>Elect!AC63</f>
        <v>0</v>
      </c>
      <c r="Z61" s="52">
        <f>Elect!AG63</f>
        <v>0</v>
      </c>
      <c r="AA61" s="52">
        <f>Elect!AF63</f>
        <v>0</v>
      </c>
      <c r="AB61" s="52">
        <f>Elect!AX63</f>
        <v>0</v>
      </c>
      <c r="AC61" s="52">
        <f>Elect!AV63</f>
        <v>0</v>
      </c>
      <c r="AD61" s="52">
        <f>Elect!AZ63</f>
        <v>0</v>
      </c>
      <c r="AE61" s="52">
        <f>Elect!BB63</f>
        <v>0</v>
      </c>
      <c r="AF61" s="54">
        <f>('Wtr-Gas'!E63)*0.0038</f>
        <v>0</v>
      </c>
      <c r="AG61" s="54">
        <f>('Wtr-Gas'!H63)*0.0038</f>
        <v>0</v>
      </c>
      <c r="AH61" s="54">
        <f>'Wtr-Gas'!K63*0.0038</f>
        <v>0</v>
      </c>
      <c r="AI61" s="54">
        <f>'Wtr-Gas'!N63*0.0038</f>
        <v>0</v>
      </c>
      <c r="AJ61" s="54">
        <f>'Wtr-Gas'!Q63*0.0038</f>
        <v>0</v>
      </c>
      <c r="AK61" s="57">
        <f>'Wtr-Gas'!U63*0.0038</f>
        <v>0</v>
      </c>
      <c r="AL61" s="57">
        <f>'Wtr-Gas'!X63*0.0038</f>
        <v>0</v>
      </c>
      <c r="AM61" s="54">
        <f>'Wtr-Gas'!AB63*0.0038</f>
        <v>0</v>
      </c>
      <c r="AN61" s="54">
        <f>'Wtr-Gas'!AD63*0.0038</f>
        <v>0</v>
      </c>
      <c r="AO61" s="54">
        <f>'Wtr-Gas'!AF63*0.0038</f>
        <v>0</v>
      </c>
      <c r="AP61" s="54">
        <f>'Wtr-Gas'!AH63*0.0038</f>
        <v>0</v>
      </c>
      <c r="AQ61" s="54">
        <f>'Wtr-Gas'!AJ63*0.0038</f>
        <v>0</v>
      </c>
      <c r="AR61" s="54">
        <f>'Wtr-Gas'!AL63*0.0038</f>
        <v>0</v>
      </c>
      <c r="AS61" s="54">
        <f>'Wtr-Gas'!AN63*0.0038</f>
        <v>0</v>
      </c>
      <c r="AT61" s="54">
        <f>'Wtr-Gas'!AP63*0.0038</f>
        <v>0</v>
      </c>
      <c r="AU61" s="57">
        <f>'Wtr-Gas'!AT63*0.0038</f>
        <v>0</v>
      </c>
      <c r="AV61" s="54">
        <f>'Wtr-Gas'!AW63*0.0038</f>
        <v>0</v>
      </c>
      <c r="AW61" s="55">
        <f>'Wtr-Gas'!AY63*0.0038</f>
        <v>0</v>
      </c>
      <c r="AX61" s="54">
        <f>'Wtr-Gas'!AZ63*0.0038</f>
        <v>0</v>
      </c>
      <c r="AY61" s="54">
        <f>'Wtr-Gas'!BB63*0.0038</f>
        <v>0</v>
      </c>
      <c r="AZ61" s="54">
        <f>'Wtr-Gas'!BD63*0.0038</f>
        <v>0</v>
      </c>
      <c r="BA61" s="54">
        <f>'Wtr-Gas'!BF63*0.0038</f>
        <v>0</v>
      </c>
    </row>
    <row r="62" spans="1:53" x14ac:dyDescent="0.25">
      <c r="A62" s="3" t="s">
        <v>11</v>
      </c>
      <c r="B62" s="2">
        <v>31</v>
      </c>
      <c r="C62" s="2">
        <v>12</v>
      </c>
      <c r="D62" s="2">
        <v>2021</v>
      </c>
      <c r="E62" s="52">
        <f>Elect!AM64</f>
        <v>0</v>
      </c>
      <c r="F62" s="52">
        <f>Elect!I64</f>
        <v>0</v>
      </c>
      <c r="G62" s="52">
        <f>Elect!H64</f>
        <v>0</v>
      </c>
      <c r="H62" s="52">
        <f>Elect!F64</f>
        <v>0</v>
      </c>
      <c r="I62" s="52">
        <f>Elect!E64</f>
        <v>0</v>
      </c>
      <c r="J62" s="52">
        <f>Elect!U64</f>
        <v>0</v>
      </c>
      <c r="K62" s="52">
        <f>Elect!T64</f>
        <v>0</v>
      </c>
      <c r="L62" s="52">
        <f>Elect!AJ64</f>
        <v>0</v>
      </c>
      <c r="M62" s="52">
        <f>Elect!AI64</f>
        <v>0</v>
      </c>
      <c r="N62" s="52">
        <f>Elect!X64</f>
        <v>0</v>
      </c>
      <c r="O62" s="52">
        <f>Elect!W64</f>
        <v>0</v>
      </c>
      <c r="P62" s="52">
        <f>Elect!O64</f>
        <v>0</v>
      </c>
      <c r="Q62" s="52">
        <f>Elect!N64</f>
        <v>0</v>
      </c>
      <c r="R62" s="52">
        <f>Elect!L64</f>
        <v>0</v>
      </c>
      <c r="S62" s="52">
        <f>Elect!K64</f>
        <v>0</v>
      </c>
      <c r="T62" s="52">
        <f>Elect!R64</f>
        <v>0</v>
      </c>
      <c r="U62" s="52">
        <f>Elect!Q64</f>
        <v>0</v>
      </c>
      <c r="V62" s="52">
        <f>Elect!AA64</f>
        <v>0</v>
      </c>
      <c r="W62" s="52">
        <f>Elect!Z64</f>
        <v>0</v>
      </c>
      <c r="X62" s="52">
        <f>Elect!AD64</f>
        <v>0</v>
      </c>
      <c r="Y62" s="52">
        <f>Elect!AC64</f>
        <v>0</v>
      </c>
      <c r="Z62" s="52">
        <f>Elect!AG64</f>
        <v>0</v>
      </c>
      <c r="AA62" s="52">
        <f>Elect!AF64</f>
        <v>0</v>
      </c>
      <c r="AB62" s="52">
        <f>Elect!AX64</f>
        <v>0</v>
      </c>
      <c r="AC62" s="52">
        <f>Elect!AV64</f>
        <v>0</v>
      </c>
      <c r="AD62" s="52">
        <f>Elect!AZ64</f>
        <v>0</v>
      </c>
      <c r="AE62" s="52">
        <f>Elect!BB64</f>
        <v>0</v>
      </c>
      <c r="AF62" s="54">
        <f>('Wtr-Gas'!E64)*0.0038</f>
        <v>0</v>
      </c>
      <c r="AG62" s="54">
        <f>('Wtr-Gas'!H64)*0.0038</f>
        <v>0</v>
      </c>
      <c r="AH62" s="54">
        <f>'Wtr-Gas'!K64*0.0038</f>
        <v>0</v>
      </c>
      <c r="AI62" s="54">
        <f>'Wtr-Gas'!N64*0.0038</f>
        <v>0</v>
      </c>
      <c r="AJ62" s="54">
        <f>'Wtr-Gas'!Q64*0.0038</f>
        <v>0</v>
      </c>
      <c r="AK62" s="57">
        <f>'Wtr-Gas'!U64*0.0038</f>
        <v>0</v>
      </c>
      <c r="AL62" s="57">
        <f>'Wtr-Gas'!X64*0.0038</f>
        <v>0</v>
      </c>
      <c r="AM62" s="54">
        <f>'Wtr-Gas'!AB64*0.0038</f>
        <v>0</v>
      </c>
      <c r="AN62" s="54">
        <f>'Wtr-Gas'!AD64*0.0038</f>
        <v>0</v>
      </c>
      <c r="AO62" s="54">
        <f>'Wtr-Gas'!AF64*0.0038</f>
        <v>0</v>
      </c>
      <c r="AP62" s="54">
        <f>'Wtr-Gas'!AH64*0.0038</f>
        <v>0</v>
      </c>
      <c r="AQ62" s="54">
        <f>'Wtr-Gas'!AJ64*0.0038</f>
        <v>0</v>
      </c>
      <c r="AR62" s="54">
        <f>'Wtr-Gas'!AL64*0.0038</f>
        <v>0</v>
      </c>
      <c r="AS62" s="54">
        <f>'Wtr-Gas'!AN64*0.0038</f>
        <v>0</v>
      </c>
      <c r="AT62" s="54">
        <f>'Wtr-Gas'!AP64*0.0038</f>
        <v>0</v>
      </c>
      <c r="AU62" s="57">
        <f>'Wtr-Gas'!AT64*0.0038</f>
        <v>0</v>
      </c>
      <c r="AV62" s="54">
        <f>'Wtr-Gas'!AW64*0.0038</f>
        <v>0</v>
      </c>
      <c r="AW62" s="55">
        <f>'Wtr-Gas'!AY64*0.0038</f>
        <v>0</v>
      </c>
      <c r="AX62" s="54">
        <f>'Wtr-Gas'!AZ64*0.0038</f>
        <v>0</v>
      </c>
      <c r="AY62" s="54">
        <f>'Wtr-Gas'!BB64*0.0038</f>
        <v>0</v>
      </c>
      <c r="AZ62" s="54">
        <f>'Wtr-Gas'!BD64*0.0038</f>
        <v>0</v>
      </c>
      <c r="BA62" s="54">
        <f>'Wtr-Gas'!BF64*0.0038</f>
        <v>0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4:I52"/>
  <sheetViews>
    <sheetView topLeftCell="A16" workbookViewId="0">
      <selection activeCell="E50" sqref="E50"/>
    </sheetView>
  </sheetViews>
  <sheetFormatPr defaultRowHeight="15" x14ac:dyDescent="0.25"/>
  <cols>
    <col min="1" max="1" width="1.7109375" customWidth="1"/>
    <col min="2" max="2" width="24" customWidth="1"/>
    <col min="3" max="3" width="14.28515625" customWidth="1"/>
    <col min="4" max="4" width="14.7109375" customWidth="1"/>
    <col min="5" max="5" width="15" customWidth="1"/>
    <col min="6" max="6" width="13.140625" customWidth="1"/>
    <col min="8" max="8" width="1.7109375" customWidth="1"/>
    <col min="9" max="9" width="45.5703125" customWidth="1"/>
  </cols>
  <sheetData>
    <row r="4" spans="2:9" x14ac:dyDescent="0.25">
      <c r="B4" s="139" t="s">
        <v>220</v>
      </c>
    </row>
    <row r="5" spans="2:9" x14ac:dyDescent="0.25">
      <c r="B5" s="3" t="s">
        <v>221</v>
      </c>
      <c r="C5" s="3" t="s">
        <v>222</v>
      </c>
      <c r="D5" s="3" t="s">
        <v>223</v>
      </c>
      <c r="E5" s="3" t="s">
        <v>224</v>
      </c>
      <c r="F5" s="3" t="s">
        <v>225</v>
      </c>
      <c r="G5" s="3" t="s">
        <v>226</v>
      </c>
      <c r="I5" s="3" t="s">
        <v>227</v>
      </c>
    </row>
    <row r="6" spans="2:9" x14ac:dyDescent="0.25">
      <c r="B6" t="s">
        <v>143</v>
      </c>
      <c r="C6" t="s">
        <v>108</v>
      </c>
      <c r="D6" t="s">
        <v>107</v>
      </c>
      <c r="E6" t="s">
        <v>149</v>
      </c>
      <c r="G6">
        <v>160</v>
      </c>
      <c r="I6" t="s">
        <v>228</v>
      </c>
    </row>
    <row r="7" spans="2:9" x14ac:dyDescent="0.25">
      <c r="B7" t="s">
        <v>143</v>
      </c>
      <c r="C7" t="s">
        <v>106</v>
      </c>
      <c r="D7" t="s">
        <v>105</v>
      </c>
      <c r="E7" t="s">
        <v>150</v>
      </c>
      <c r="G7">
        <v>160</v>
      </c>
      <c r="I7" t="s">
        <v>229</v>
      </c>
    </row>
    <row r="8" spans="2:9" x14ac:dyDescent="0.25">
      <c r="B8" t="s">
        <v>143</v>
      </c>
      <c r="C8" t="s">
        <v>118</v>
      </c>
      <c r="D8" t="s">
        <v>117</v>
      </c>
      <c r="E8" t="s">
        <v>151</v>
      </c>
      <c r="G8">
        <v>400</v>
      </c>
      <c r="I8" t="s">
        <v>230</v>
      </c>
    </row>
    <row r="9" spans="2:9" x14ac:dyDescent="0.25">
      <c r="B9" t="s">
        <v>143</v>
      </c>
      <c r="C9" t="s">
        <v>116</v>
      </c>
      <c r="D9" t="s">
        <v>115</v>
      </c>
      <c r="E9" t="s">
        <v>152</v>
      </c>
      <c r="G9">
        <v>400</v>
      </c>
      <c r="I9" t="s">
        <v>231</v>
      </c>
    </row>
    <row r="10" spans="2:9" x14ac:dyDescent="0.25">
      <c r="B10" t="s">
        <v>143</v>
      </c>
      <c r="C10" t="s">
        <v>120</v>
      </c>
      <c r="D10" t="s">
        <v>119</v>
      </c>
      <c r="E10" t="s">
        <v>153</v>
      </c>
      <c r="G10">
        <v>400</v>
      </c>
      <c r="I10" t="s">
        <v>232</v>
      </c>
    </row>
    <row r="11" spans="2:9" x14ac:dyDescent="0.25">
      <c r="B11" t="s">
        <v>233</v>
      </c>
      <c r="C11" t="s">
        <v>110</v>
      </c>
      <c r="D11" t="s">
        <v>109</v>
      </c>
      <c r="E11" t="s">
        <v>154</v>
      </c>
      <c r="G11">
        <v>300</v>
      </c>
      <c r="I11" t="s">
        <v>234</v>
      </c>
    </row>
    <row r="12" spans="2:9" x14ac:dyDescent="0.25">
      <c r="B12" t="s">
        <v>233</v>
      </c>
      <c r="C12" t="s">
        <v>114</v>
      </c>
      <c r="D12" t="s">
        <v>113</v>
      </c>
      <c r="E12" t="s">
        <v>155</v>
      </c>
      <c r="G12">
        <v>300</v>
      </c>
      <c r="I12" t="s">
        <v>233</v>
      </c>
    </row>
    <row r="13" spans="2:9" x14ac:dyDescent="0.25">
      <c r="B13" t="s">
        <v>233</v>
      </c>
      <c r="C13" t="s">
        <v>122</v>
      </c>
      <c r="D13" t="s">
        <v>121</v>
      </c>
      <c r="E13" t="s">
        <v>156</v>
      </c>
      <c r="G13">
        <v>160</v>
      </c>
      <c r="I13" t="s">
        <v>235</v>
      </c>
    </row>
    <row r="14" spans="2:9" x14ac:dyDescent="0.25">
      <c r="B14" t="s">
        <v>233</v>
      </c>
      <c r="C14" t="s">
        <v>124</v>
      </c>
      <c r="D14" t="s">
        <v>123</v>
      </c>
      <c r="E14" t="s">
        <v>157</v>
      </c>
      <c r="G14">
        <v>160</v>
      </c>
      <c r="I14" t="s">
        <v>235</v>
      </c>
    </row>
    <row r="15" spans="2:9" x14ac:dyDescent="0.25">
      <c r="B15" t="s">
        <v>236</v>
      </c>
      <c r="C15" t="s">
        <v>126</v>
      </c>
      <c r="D15" t="s">
        <v>125</v>
      </c>
      <c r="E15" t="s">
        <v>158</v>
      </c>
      <c r="G15">
        <v>200</v>
      </c>
      <c r="I15" t="s">
        <v>237</v>
      </c>
    </row>
    <row r="16" spans="2:9" x14ac:dyDescent="0.25">
      <c r="B16" t="s">
        <v>236</v>
      </c>
      <c r="C16" t="s">
        <v>112</v>
      </c>
      <c r="D16" t="s">
        <v>111</v>
      </c>
      <c r="E16" t="s">
        <v>159</v>
      </c>
      <c r="F16" t="s">
        <v>204</v>
      </c>
      <c r="G16">
        <v>40</v>
      </c>
      <c r="I16" t="s">
        <v>237</v>
      </c>
    </row>
    <row r="17" spans="2:9" x14ac:dyDescent="0.25">
      <c r="B17" t="s">
        <v>238</v>
      </c>
      <c r="C17" t="s">
        <v>239</v>
      </c>
      <c r="D17" t="s">
        <v>103</v>
      </c>
      <c r="E17" t="s">
        <v>160</v>
      </c>
      <c r="G17">
        <v>1</v>
      </c>
      <c r="I17" t="s">
        <v>240</v>
      </c>
    </row>
    <row r="18" spans="2:9" x14ac:dyDescent="0.25">
      <c r="B18" t="s">
        <v>144</v>
      </c>
      <c r="D18">
        <v>67273163</v>
      </c>
      <c r="E18" t="s">
        <v>165</v>
      </c>
      <c r="I18" t="s">
        <v>241</v>
      </c>
    </row>
    <row r="19" spans="2:9" x14ac:dyDescent="0.25">
      <c r="B19" t="s">
        <v>145</v>
      </c>
      <c r="D19">
        <v>67662513</v>
      </c>
      <c r="E19" t="s">
        <v>164</v>
      </c>
      <c r="I19" t="s">
        <v>145</v>
      </c>
    </row>
    <row r="20" spans="2:9" x14ac:dyDescent="0.25">
      <c r="B20" t="s">
        <v>146</v>
      </c>
      <c r="D20">
        <v>61979920</v>
      </c>
      <c r="E20" t="s">
        <v>166</v>
      </c>
      <c r="I20" t="s">
        <v>148</v>
      </c>
    </row>
    <row r="21" spans="2:9" x14ac:dyDescent="0.25">
      <c r="B21" t="s">
        <v>242</v>
      </c>
      <c r="D21">
        <v>56253208</v>
      </c>
      <c r="E21" t="s">
        <v>243</v>
      </c>
      <c r="I21" t="s">
        <v>244</v>
      </c>
    </row>
    <row r="24" spans="2:9" x14ac:dyDescent="0.25">
      <c r="B24" s="139" t="s">
        <v>216</v>
      </c>
    </row>
    <row r="25" spans="2:9" x14ac:dyDescent="0.25">
      <c r="B25" t="s">
        <v>245</v>
      </c>
      <c r="D25">
        <v>74860172</v>
      </c>
      <c r="E25" t="s">
        <v>82</v>
      </c>
      <c r="F25" t="s">
        <v>246</v>
      </c>
      <c r="I25" t="s">
        <v>216</v>
      </c>
    </row>
    <row r="26" spans="2:9" x14ac:dyDescent="0.25">
      <c r="B26" t="s">
        <v>245</v>
      </c>
      <c r="D26">
        <v>74860173</v>
      </c>
      <c r="E26" t="s">
        <v>82</v>
      </c>
      <c r="F26" t="s">
        <v>247</v>
      </c>
      <c r="I26" t="s">
        <v>248</v>
      </c>
    </row>
    <row r="27" spans="2:9" x14ac:dyDescent="0.25">
      <c r="B27" t="s">
        <v>249</v>
      </c>
      <c r="D27">
        <v>44553004</v>
      </c>
      <c r="E27" t="s">
        <v>82</v>
      </c>
      <c r="F27" t="s">
        <v>250</v>
      </c>
    </row>
    <row r="28" spans="2:9" x14ac:dyDescent="0.25">
      <c r="B28" t="s">
        <v>249</v>
      </c>
      <c r="D28">
        <v>70275191</v>
      </c>
      <c r="E28" t="s">
        <v>84</v>
      </c>
      <c r="F28" t="s">
        <v>251</v>
      </c>
      <c r="I28" t="s">
        <v>252</v>
      </c>
    </row>
    <row r="29" spans="2:9" x14ac:dyDescent="0.25">
      <c r="B29" t="s">
        <v>253</v>
      </c>
      <c r="D29">
        <v>2130521</v>
      </c>
      <c r="E29" t="s">
        <v>84</v>
      </c>
      <c r="F29" t="s">
        <v>254</v>
      </c>
      <c r="I29" t="s">
        <v>255</v>
      </c>
    </row>
    <row r="31" spans="2:9" x14ac:dyDescent="0.25">
      <c r="B31" s="3" t="s">
        <v>256</v>
      </c>
      <c r="C31" s="3" t="s">
        <v>257</v>
      </c>
    </row>
    <row r="32" spans="2:9" x14ac:dyDescent="0.25">
      <c r="B32" t="s">
        <v>258</v>
      </c>
      <c r="D32">
        <v>79177804</v>
      </c>
      <c r="E32" t="s">
        <v>259</v>
      </c>
      <c r="F32" t="s">
        <v>260</v>
      </c>
    </row>
    <row r="33" spans="2:9" x14ac:dyDescent="0.25">
      <c r="B33" t="s">
        <v>258</v>
      </c>
      <c r="D33">
        <v>79305675</v>
      </c>
      <c r="E33" t="s">
        <v>259</v>
      </c>
      <c r="F33" t="s">
        <v>261</v>
      </c>
    </row>
    <row r="34" spans="2:9" x14ac:dyDescent="0.25">
      <c r="B34" t="s">
        <v>262</v>
      </c>
      <c r="D34" s="140" t="s">
        <v>49</v>
      </c>
      <c r="E34" t="s">
        <v>83</v>
      </c>
      <c r="F34" t="s">
        <v>263</v>
      </c>
    </row>
    <row r="35" spans="2:9" x14ac:dyDescent="0.25">
      <c r="B35" t="s">
        <v>262</v>
      </c>
      <c r="D35">
        <v>79190041</v>
      </c>
      <c r="E35" t="s">
        <v>83</v>
      </c>
      <c r="F35" t="s">
        <v>264</v>
      </c>
    </row>
    <row r="36" spans="2:9" x14ac:dyDescent="0.25">
      <c r="B36" t="s">
        <v>265</v>
      </c>
      <c r="D36">
        <v>79190039</v>
      </c>
      <c r="E36" t="s">
        <v>259</v>
      </c>
      <c r="F36" t="s">
        <v>263</v>
      </c>
    </row>
    <row r="37" spans="2:9" x14ac:dyDescent="0.25">
      <c r="B37" t="s">
        <v>266</v>
      </c>
      <c r="C37" s="3" t="s">
        <v>267</v>
      </c>
      <c r="D37">
        <v>79324776</v>
      </c>
      <c r="E37" t="s">
        <v>83</v>
      </c>
      <c r="F37" t="s">
        <v>268</v>
      </c>
    </row>
    <row r="38" spans="2:9" x14ac:dyDescent="0.25">
      <c r="B38" t="s">
        <v>269</v>
      </c>
      <c r="C38" s="3" t="s">
        <v>270</v>
      </c>
      <c r="D38" s="141" t="s">
        <v>64</v>
      </c>
      <c r="E38" t="s">
        <v>84</v>
      </c>
      <c r="F38" t="s">
        <v>271</v>
      </c>
    </row>
    <row r="39" spans="2:9" x14ac:dyDescent="0.25">
      <c r="B39" t="s">
        <v>143</v>
      </c>
      <c r="C39" s="3" t="s">
        <v>270</v>
      </c>
      <c r="D39" s="141" t="s">
        <v>65</v>
      </c>
      <c r="E39" t="s">
        <v>84</v>
      </c>
      <c r="F39" t="s">
        <v>272</v>
      </c>
    </row>
    <row r="40" spans="2:9" x14ac:dyDescent="0.25">
      <c r="C40" s="3"/>
    </row>
    <row r="41" spans="2:9" x14ac:dyDescent="0.25">
      <c r="C41" s="3"/>
    </row>
    <row r="43" spans="2:9" x14ac:dyDescent="0.25">
      <c r="B43" s="139" t="s">
        <v>273</v>
      </c>
    </row>
    <row r="44" spans="2:9" x14ac:dyDescent="0.25">
      <c r="B44" t="s">
        <v>274</v>
      </c>
      <c r="D44" s="16" t="s">
        <v>62</v>
      </c>
      <c r="E44" t="s">
        <v>84</v>
      </c>
      <c r="F44" t="s">
        <v>275</v>
      </c>
      <c r="I44" t="s">
        <v>276</v>
      </c>
    </row>
    <row r="45" spans="2:9" x14ac:dyDescent="0.25">
      <c r="D45" t="s">
        <v>277</v>
      </c>
      <c r="E45" s="26">
        <v>41962</v>
      </c>
      <c r="I45" t="s">
        <v>278</v>
      </c>
    </row>
    <row r="46" spans="2:9" x14ac:dyDescent="0.25">
      <c r="B46" t="s">
        <v>279</v>
      </c>
      <c r="D46">
        <v>80606729</v>
      </c>
      <c r="E46" s="26">
        <v>42522</v>
      </c>
      <c r="I46" t="s">
        <v>280</v>
      </c>
    </row>
    <row r="48" spans="2:9" x14ac:dyDescent="0.25">
      <c r="B48" t="s">
        <v>281</v>
      </c>
      <c r="D48">
        <v>85492530</v>
      </c>
      <c r="E48" s="26">
        <v>43698</v>
      </c>
      <c r="I48" t="s">
        <v>282</v>
      </c>
    </row>
    <row r="51" spans="2:9" x14ac:dyDescent="0.25">
      <c r="B51" t="s">
        <v>283</v>
      </c>
      <c r="D51" t="s">
        <v>284</v>
      </c>
      <c r="E51" t="s">
        <v>285</v>
      </c>
    </row>
    <row r="52" spans="2:9" x14ac:dyDescent="0.25">
      <c r="D52">
        <v>10816233</v>
      </c>
      <c r="E52">
        <v>2236896</v>
      </c>
      <c r="I52" t="s">
        <v>286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30"/>
  <sheetViews>
    <sheetView workbookViewId="0">
      <selection activeCell="O7" sqref="O7"/>
    </sheetView>
  </sheetViews>
  <sheetFormatPr defaultRowHeight="15" x14ac:dyDescent="0.25"/>
  <cols>
    <col min="1" max="1" width="1.7109375" customWidth="1"/>
    <col min="2" max="15" width="8.7109375" customWidth="1"/>
  </cols>
  <sheetData>
    <row r="1" spans="1:19" ht="23.25" x14ac:dyDescent="0.35">
      <c r="B1" s="142" t="s">
        <v>287</v>
      </c>
      <c r="C1" s="142"/>
      <c r="D1" s="142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</row>
    <row r="2" spans="1:19" ht="15.75" thickBot="1" x14ac:dyDescent="0.3"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 t="s">
        <v>288</v>
      </c>
      <c r="O2" s="143"/>
    </row>
    <row r="3" spans="1:19" ht="15.75" thickBot="1" x14ac:dyDescent="0.3">
      <c r="B3" s="144" t="s">
        <v>289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6"/>
      <c r="O3" s="147"/>
    </row>
    <row r="4" spans="1:19" x14ac:dyDescent="0.25">
      <c r="B4" s="240">
        <v>74860172</v>
      </c>
      <c r="C4" s="241"/>
      <c r="D4" s="240">
        <v>74860173</v>
      </c>
      <c r="E4" s="241"/>
      <c r="F4" s="240">
        <v>44553004</v>
      </c>
      <c r="G4" s="241"/>
      <c r="H4" s="240">
        <v>70275191</v>
      </c>
      <c r="I4" s="241"/>
      <c r="J4" s="240">
        <v>2130521</v>
      </c>
      <c r="K4" s="241"/>
      <c r="L4" s="240" t="s">
        <v>277</v>
      </c>
      <c r="M4" s="241"/>
      <c r="N4" s="248">
        <v>93477704</v>
      </c>
      <c r="O4" s="249"/>
    </row>
    <row r="5" spans="1:19" x14ac:dyDescent="0.25">
      <c r="B5" s="148"/>
      <c r="C5" s="149"/>
      <c r="D5" s="148"/>
      <c r="E5" s="149"/>
      <c r="F5" s="148"/>
      <c r="G5" s="149"/>
      <c r="H5" s="148"/>
      <c r="I5" s="149" t="s">
        <v>290</v>
      </c>
      <c r="J5" s="148"/>
      <c r="K5" s="149"/>
      <c r="L5" s="148" t="s">
        <v>204</v>
      </c>
      <c r="M5" s="149" t="s">
        <v>204</v>
      </c>
      <c r="N5" s="148"/>
      <c r="O5" s="149"/>
    </row>
    <row r="6" spans="1:19" x14ac:dyDescent="0.25">
      <c r="B6" s="224" t="s">
        <v>131</v>
      </c>
      <c r="C6" s="225"/>
      <c r="D6" s="224" t="s">
        <v>133</v>
      </c>
      <c r="E6" s="225"/>
      <c r="F6" s="224" t="s">
        <v>134</v>
      </c>
      <c r="G6" s="225"/>
      <c r="H6" s="224" t="s">
        <v>291</v>
      </c>
      <c r="I6" s="225"/>
      <c r="J6" s="224" t="s">
        <v>136</v>
      </c>
      <c r="K6" s="225"/>
      <c r="L6" s="224" t="s">
        <v>292</v>
      </c>
      <c r="M6" s="225"/>
      <c r="N6" s="150" t="s">
        <v>293</v>
      </c>
      <c r="O6" s="151"/>
      <c r="S6" s="152"/>
    </row>
    <row r="7" spans="1:19" ht="26.25" customHeight="1" x14ac:dyDescent="0.5">
      <c r="A7" s="153"/>
      <c r="B7" s="226"/>
      <c r="C7" s="226"/>
      <c r="D7" s="226"/>
      <c r="E7" s="226"/>
      <c r="F7" s="226"/>
      <c r="G7" s="226"/>
      <c r="H7" s="226"/>
      <c r="I7" s="226"/>
      <c r="J7" s="218"/>
      <c r="K7" s="219"/>
      <c r="L7" s="218"/>
      <c r="M7" s="219"/>
      <c r="N7" s="154"/>
      <c r="O7" s="155"/>
    </row>
    <row r="8" spans="1:19" ht="7.5" customHeight="1" x14ac:dyDescent="0.5">
      <c r="A8" s="153"/>
      <c r="B8" s="156"/>
      <c r="C8" s="157"/>
      <c r="D8" s="157"/>
      <c r="E8" s="157"/>
      <c r="F8" s="157"/>
      <c r="G8" s="157"/>
      <c r="H8" s="157"/>
      <c r="I8" s="157"/>
      <c r="J8" s="157"/>
      <c r="K8" s="157"/>
      <c r="L8" s="157"/>
      <c r="M8" s="157"/>
      <c r="N8" s="158"/>
      <c r="O8" s="149"/>
    </row>
    <row r="9" spans="1:19" x14ac:dyDescent="0.25">
      <c r="B9" s="231">
        <v>85492530</v>
      </c>
      <c r="C9" s="232"/>
      <c r="D9" s="231">
        <v>79305675</v>
      </c>
      <c r="E9" s="232"/>
      <c r="F9" s="231">
        <v>79190041</v>
      </c>
      <c r="G9" s="232"/>
      <c r="H9" s="231" t="s">
        <v>49</v>
      </c>
      <c r="I9" s="232"/>
      <c r="J9" s="231">
        <v>79190039</v>
      </c>
      <c r="K9" s="232"/>
      <c r="L9" s="231">
        <v>79324776</v>
      </c>
      <c r="M9" s="232"/>
      <c r="N9" s="159"/>
      <c r="O9" s="160"/>
    </row>
    <row r="10" spans="1:19" x14ac:dyDescent="0.25">
      <c r="B10" s="240" t="s">
        <v>258</v>
      </c>
      <c r="C10" s="241"/>
      <c r="D10" s="240" t="s">
        <v>258</v>
      </c>
      <c r="E10" s="241"/>
      <c r="F10" s="240" t="s">
        <v>262</v>
      </c>
      <c r="G10" s="241"/>
      <c r="H10" s="240" t="s">
        <v>262</v>
      </c>
      <c r="I10" s="241"/>
      <c r="J10" s="240" t="s">
        <v>265</v>
      </c>
      <c r="K10" s="241"/>
      <c r="L10" s="240" t="s">
        <v>266</v>
      </c>
      <c r="M10" s="241"/>
      <c r="N10" s="244" t="s">
        <v>294</v>
      </c>
      <c r="O10" s="245"/>
    </row>
    <row r="11" spans="1:19" x14ac:dyDescent="0.25">
      <c r="B11" s="224" t="s">
        <v>295</v>
      </c>
      <c r="C11" s="225"/>
      <c r="D11" s="224" t="s">
        <v>296</v>
      </c>
      <c r="E11" s="225"/>
      <c r="F11" s="224" t="s">
        <v>264</v>
      </c>
      <c r="G11" s="225"/>
      <c r="H11" s="224" t="s">
        <v>297</v>
      </c>
      <c r="I11" s="225"/>
      <c r="J11" s="224" t="s">
        <v>297</v>
      </c>
      <c r="K11" s="225"/>
      <c r="L11" s="224" t="s">
        <v>264</v>
      </c>
      <c r="M11" s="225"/>
      <c r="N11" s="246" t="s">
        <v>298</v>
      </c>
      <c r="O11" s="247"/>
    </row>
    <row r="12" spans="1:19" ht="29.25" customHeight="1" x14ac:dyDescent="0.5">
      <c r="A12" s="153"/>
      <c r="B12" s="226"/>
      <c r="C12" s="226"/>
      <c r="D12" s="226"/>
      <c r="E12" s="226"/>
      <c r="F12" s="226"/>
      <c r="G12" s="226"/>
      <c r="H12" s="226"/>
      <c r="I12" s="226"/>
      <c r="J12" s="218"/>
      <c r="K12" s="219"/>
      <c r="L12" s="218"/>
      <c r="M12" s="219"/>
      <c r="N12" s="161"/>
      <c r="O12" s="162"/>
    </row>
    <row r="13" spans="1:19" ht="7.5" customHeight="1" thickBot="1" x14ac:dyDescent="0.55000000000000004">
      <c r="A13" s="153"/>
      <c r="B13" s="163"/>
      <c r="C13" s="163"/>
      <c r="D13" s="163"/>
      <c r="E13" s="163"/>
      <c r="F13" s="163"/>
      <c r="G13" s="163"/>
      <c r="H13" s="163"/>
      <c r="I13" s="163"/>
      <c r="J13" s="163"/>
      <c r="K13" s="163"/>
      <c r="L13" s="163"/>
      <c r="M13" s="163"/>
      <c r="N13" s="164"/>
      <c r="O13" s="164"/>
    </row>
    <row r="14" spans="1:19" ht="15.75" thickBot="1" x14ac:dyDescent="0.3">
      <c r="B14" s="242" t="s">
        <v>299</v>
      </c>
      <c r="C14" s="243"/>
      <c r="D14" s="243"/>
      <c r="E14" s="243"/>
      <c r="F14" s="243"/>
      <c r="G14" s="243"/>
      <c r="H14" s="243"/>
      <c r="I14" s="243"/>
      <c r="J14" s="243"/>
      <c r="K14" s="243"/>
      <c r="L14" s="243"/>
      <c r="M14" s="243"/>
      <c r="N14" s="146"/>
      <c r="O14" s="147"/>
    </row>
    <row r="15" spans="1:19" x14ac:dyDescent="0.25">
      <c r="B15" s="240" t="s">
        <v>149</v>
      </c>
      <c r="C15" s="241"/>
      <c r="D15" s="240" t="s">
        <v>150</v>
      </c>
      <c r="E15" s="241"/>
      <c r="F15" s="240" t="s">
        <v>151</v>
      </c>
      <c r="G15" s="241"/>
      <c r="H15" s="240" t="s">
        <v>152</v>
      </c>
      <c r="I15" s="241"/>
      <c r="J15" s="240" t="s">
        <v>153</v>
      </c>
      <c r="K15" s="241"/>
      <c r="L15" s="233"/>
      <c r="M15" s="234"/>
      <c r="N15" s="165"/>
      <c r="O15" s="166"/>
    </row>
    <row r="16" spans="1:19" x14ac:dyDescent="0.25">
      <c r="B16" s="167" t="s">
        <v>107</v>
      </c>
      <c r="C16" s="167" t="s">
        <v>108</v>
      </c>
      <c r="D16" s="167" t="s">
        <v>105</v>
      </c>
      <c r="E16" s="167" t="s">
        <v>106</v>
      </c>
      <c r="F16" s="167" t="s">
        <v>117</v>
      </c>
      <c r="G16" s="167" t="s">
        <v>118</v>
      </c>
      <c r="H16" s="167" t="s">
        <v>115</v>
      </c>
      <c r="I16" s="167" t="s">
        <v>116</v>
      </c>
      <c r="J16" s="167" t="s">
        <v>119</v>
      </c>
      <c r="K16" s="167" t="s">
        <v>120</v>
      </c>
      <c r="L16" s="168"/>
      <c r="M16" s="168"/>
      <c r="N16" s="169"/>
      <c r="O16" s="169"/>
    </row>
    <row r="17" spans="1:15" x14ac:dyDescent="0.25">
      <c r="B17" s="170" t="s">
        <v>77</v>
      </c>
      <c r="C17" s="170" t="s">
        <v>79</v>
      </c>
      <c r="D17" s="170" t="s">
        <v>77</v>
      </c>
      <c r="E17" s="170" t="s">
        <v>79</v>
      </c>
      <c r="F17" s="170" t="s">
        <v>77</v>
      </c>
      <c r="G17" s="170" t="s">
        <v>79</v>
      </c>
      <c r="H17" s="170" t="s">
        <v>77</v>
      </c>
      <c r="I17" s="170" t="s">
        <v>79</v>
      </c>
      <c r="J17" s="170" t="s">
        <v>77</v>
      </c>
      <c r="K17" s="170" t="s">
        <v>79</v>
      </c>
      <c r="L17" s="168"/>
      <c r="M17" s="168"/>
      <c r="N17" s="169"/>
      <c r="O17" s="169"/>
    </row>
    <row r="18" spans="1:15" ht="30" customHeight="1" x14ac:dyDescent="0.5">
      <c r="A18" s="153"/>
      <c r="B18" s="171"/>
      <c r="C18" s="171"/>
      <c r="D18" s="171"/>
      <c r="E18" s="171"/>
      <c r="F18" s="171"/>
      <c r="G18" s="171"/>
      <c r="H18" s="171"/>
      <c r="I18" s="171"/>
      <c r="J18" s="171"/>
      <c r="K18" s="171"/>
      <c r="L18" s="172"/>
      <c r="M18" s="172"/>
      <c r="N18" s="169"/>
      <c r="O18" s="169"/>
    </row>
    <row r="19" spans="1:15" ht="7.5" customHeight="1" thickBot="1" x14ac:dyDescent="0.55000000000000004">
      <c r="A19" s="153"/>
      <c r="B19" s="156"/>
      <c r="C19" s="157"/>
      <c r="D19" s="157"/>
      <c r="E19" s="157"/>
      <c r="F19" s="157"/>
      <c r="G19" s="157"/>
      <c r="H19" s="157"/>
      <c r="I19" s="157"/>
      <c r="J19" s="157"/>
      <c r="K19" s="157"/>
      <c r="L19" s="157"/>
      <c r="M19" s="157"/>
      <c r="N19" s="158"/>
      <c r="O19" s="149"/>
    </row>
    <row r="20" spans="1:15" x14ac:dyDescent="0.25">
      <c r="B20" s="235" t="s">
        <v>300</v>
      </c>
      <c r="C20" s="236"/>
      <c r="D20" s="236"/>
      <c r="E20" s="236"/>
      <c r="F20" s="236"/>
      <c r="G20" s="236"/>
      <c r="H20" s="236"/>
      <c r="I20" s="237"/>
      <c r="J20" s="238" t="s">
        <v>262</v>
      </c>
      <c r="K20" s="236"/>
      <c r="L20" s="236"/>
      <c r="M20" s="236"/>
      <c r="N20" s="236"/>
      <c r="O20" s="173"/>
    </row>
    <row r="21" spans="1:15" x14ac:dyDescent="0.25">
      <c r="B21" s="231" t="s">
        <v>154</v>
      </c>
      <c r="C21" s="232"/>
      <c r="D21" s="231" t="s">
        <v>155</v>
      </c>
      <c r="E21" s="232"/>
      <c r="F21" s="231" t="s">
        <v>156</v>
      </c>
      <c r="G21" s="232"/>
      <c r="H21" s="231" t="s">
        <v>157</v>
      </c>
      <c r="I21" s="232"/>
      <c r="J21" s="239" t="s">
        <v>158</v>
      </c>
      <c r="K21" s="239"/>
      <c r="L21" s="231" t="s">
        <v>159</v>
      </c>
      <c r="M21" s="232"/>
      <c r="N21" s="174"/>
      <c r="O21" s="175"/>
    </row>
    <row r="22" spans="1:15" x14ac:dyDescent="0.25">
      <c r="B22" s="167" t="s">
        <v>109</v>
      </c>
      <c r="C22" s="167" t="s">
        <v>110</v>
      </c>
      <c r="D22" s="167" t="s">
        <v>113</v>
      </c>
      <c r="E22" s="167" t="s">
        <v>114</v>
      </c>
      <c r="F22" s="167" t="s">
        <v>121</v>
      </c>
      <c r="G22" s="167" t="s">
        <v>122</v>
      </c>
      <c r="H22" s="167" t="s">
        <v>123</v>
      </c>
      <c r="I22" s="167" t="s">
        <v>124</v>
      </c>
      <c r="J22" s="167" t="s">
        <v>125</v>
      </c>
      <c r="K22" s="167" t="s">
        <v>126</v>
      </c>
      <c r="L22" s="167" t="s">
        <v>111</v>
      </c>
      <c r="M22" s="167" t="s">
        <v>112</v>
      </c>
      <c r="N22" s="169"/>
      <c r="O22" s="169"/>
    </row>
    <row r="23" spans="1:15" x14ac:dyDescent="0.25">
      <c r="B23" s="170" t="s">
        <v>77</v>
      </c>
      <c r="C23" s="170" t="s">
        <v>79</v>
      </c>
      <c r="D23" s="170" t="s">
        <v>77</v>
      </c>
      <c r="E23" s="170" t="s">
        <v>79</v>
      </c>
      <c r="F23" s="170" t="s">
        <v>77</v>
      </c>
      <c r="G23" s="170" t="s">
        <v>79</v>
      </c>
      <c r="H23" s="170" t="s">
        <v>77</v>
      </c>
      <c r="I23" s="170" t="s">
        <v>79</v>
      </c>
      <c r="J23" s="170" t="s">
        <v>77</v>
      </c>
      <c r="K23" s="170" t="s">
        <v>79</v>
      </c>
      <c r="L23" s="170" t="s">
        <v>77</v>
      </c>
      <c r="M23" s="170" t="s">
        <v>79</v>
      </c>
      <c r="N23" s="169"/>
      <c r="O23" s="169"/>
    </row>
    <row r="24" spans="1:15" ht="33" customHeight="1" x14ac:dyDescent="0.5">
      <c r="A24" s="153"/>
      <c r="B24" s="171"/>
      <c r="C24" s="171"/>
      <c r="D24" s="171"/>
      <c r="E24" s="171"/>
      <c r="F24" s="171"/>
      <c r="G24" s="171"/>
      <c r="H24" s="171"/>
      <c r="I24" s="171"/>
      <c r="J24" s="171"/>
      <c r="K24" s="171"/>
      <c r="L24" s="171"/>
      <c r="M24" s="171"/>
      <c r="N24" s="169"/>
      <c r="O24" s="169"/>
    </row>
    <row r="25" spans="1:15" ht="7.5" customHeight="1" x14ac:dyDescent="0.5">
      <c r="A25" s="153"/>
      <c r="B25" s="156"/>
      <c r="C25" s="157"/>
      <c r="D25" s="157"/>
      <c r="E25" s="157"/>
      <c r="F25" s="157"/>
      <c r="G25" s="157"/>
      <c r="H25" s="157"/>
      <c r="I25" s="157"/>
      <c r="J25" s="157"/>
      <c r="K25" s="157"/>
      <c r="L25" s="157"/>
      <c r="M25" s="157"/>
      <c r="N25" s="158"/>
      <c r="O25" s="149"/>
    </row>
    <row r="26" spans="1:15" x14ac:dyDescent="0.25">
      <c r="B26" s="227" t="s">
        <v>301</v>
      </c>
      <c r="C26" s="228"/>
      <c r="D26" s="227" t="s">
        <v>302</v>
      </c>
      <c r="E26" s="228"/>
      <c r="F26" s="176"/>
      <c r="G26" s="176"/>
      <c r="H26" s="176"/>
      <c r="I26" s="176"/>
      <c r="J26" s="229">
        <v>112014001775</v>
      </c>
      <c r="K26" s="230"/>
      <c r="L26" s="229">
        <v>112014001771</v>
      </c>
      <c r="M26" s="230"/>
      <c r="N26" s="174"/>
      <c r="O26" s="175"/>
    </row>
    <row r="27" spans="1:15" x14ac:dyDescent="0.25">
      <c r="B27" s="231" t="s">
        <v>160</v>
      </c>
      <c r="C27" s="232"/>
      <c r="D27" s="231" t="s">
        <v>303</v>
      </c>
      <c r="E27" s="232"/>
      <c r="F27" s="158"/>
      <c r="G27" s="158"/>
      <c r="H27" s="158"/>
      <c r="I27" s="158"/>
      <c r="J27" s="231" t="s">
        <v>269</v>
      </c>
      <c r="K27" s="232"/>
      <c r="L27" s="231" t="s">
        <v>143</v>
      </c>
      <c r="M27" s="232"/>
      <c r="N27" s="177"/>
      <c r="O27" s="178"/>
    </row>
    <row r="28" spans="1:15" x14ac:dyDescent="0.25">
      <c r="B28" s="170" t="s">
        <v>103</v>
      </c>
      <c r="C28" s="170" t="s">
        <v>239</v>
      </c>
      <c r="D28" s="220" t="s">
        <v>304</v>
      </c>
      <c r="E28" s="221"/>
      <c r="F28" s="158"/>
      <c r="G28" s="158"/>
      <c r="H28" s="158"/>
      <c r="I28" s="158"/>
      <c r="J28" s="222" t="s">
        <v>305</v>
      </c>
      <c r="K28" s="223"/>
      <c r="L28" s="224" t="s">
        <v>306</v>
      </c>
      <c r="M28" s="225"/>
      <c r="N28" s="165"/>
      <c r="O28" s="166"/>
    </row>
    <row r="29" spans="1:15" x14ac:dyDescent="0.25">
      <c r="B29" s="220" t="s">
        <v>77</v>
      </c>
      <c r="C29" s="221"/>
      <c r="D29" s="220" t="s">
        <v>307</v>
      </c>
      <c r="E29" s="221"/>
      <c r="F29" s="158"/>
      <c r="G29" s="158"/>
      <c r="H29" s="158"/>
      <c r="I29" s="158"/>
      <c r="J29" s="226" t="s">
        <v>308</v>
      </c>
      <c r="K29" s="226"/>
      <c r="L29" s="226" t="s">
        <v>308</v>
      </c>
      <c r="M29" s="226"/>
      <c r="N29" s="174"/>
      <c r="O29" s="175"/>
    </row>
    <row r="30" spans="1:15" ht="33.75" x14ac:dyDescent="0.5">
      <c r="A30" s="153"/>
      <c r="B30" s="218"/>
      <c r="C30" s="219"/>
      <c r="D30" s="218"/>
      <c r="E30" s="219"/>
      <c r="F30" s="179"/>
      <c r="G30" s="179"/>
      <c r="H30" s="179"/>
      <c r="I30" s="179"/>
      <c r="J30" s="154"/>
      <c r="K30" s="155"/>
      <c r="L30" s="154"/>
      <c r="M30" s="155"/>
      <c r="N30" s="174"/>
      <c r="O30" s="175"/>
    </row>
  </sheetData>
  <mergeCells count="77">
    <mergeCell ref="N4:O4"/>
    <mergeCell ref="B6:C6"/>
    <mergeCell ref="D6:E6"/>
    <mergeCell ref="F6:G6"/>
    <mergeCell ref="H6:I6"/>
    <mergeCell ref="J6:K6"/>
    <mergeCell ref="L6:M6"/>
    <mergeCell ref="B4:C4"/>
    <mergeCell ref="D4:E4"/>
    <mergeCell ref="F4:G4"/>
    <mergeCell ref="H4:I4"/>
    <mergeCell ref="J4:K4"/>
    <mergeCell ref="L4:M4"/>
    <mergeCell ref="L9:M9"/>
    <mergeCell ref="B7:C7"/>
    <mergeCell ref="D7:E7"/>
    <mergeCell ref="F7:G7"/>
    <mergeCell ref="H7:I7"/>
    <mergeCell ref="J7:K7"/>
    <mergeCell ref="L7:M7"/>
    <mergeCell ref="B9:C9"/>
    <mergeCell ref="D9:E9"/>
    <mergeCell ref="F9:G9"/>
    <mergeCell ref="H9:I9"/>
    <mergeCell ref="J9:K9"/>
    <mergeCell ref="N10:O10"/>
    <mergeCell ref="B11:C11"/>
    <mergeCell ref="D11:E11"/>
    <mergeCell ref="F11:G11"/>
    <mergeCell ref="H11:I11"/>
    <mergeCell ref="J11:K11"/>
    <mergeCell ref="L11:M11"/>
    <mergeCell ref="N11:O11"/>
    <mergeCell ref="B10:C10"/>
    <mergeCell ref="D10:E10"/>
    <mergeCell ref="F10:G10"/>
    <mergeCell ref="H10:I10"/>
    <mergeCell ref="J10:K10"/>
    <mergeCell ref="L10:M10"/>
    <mergeCell ref="D12:E12"/>
    <mergeCell ref="F12:G12"/>
    <mergeCell ref="H12:I12"/>
    <mergeCell ref="J12:K12"/>
    <mergeCell ref="B14:M14"/>
    <mergeCell ref="L12:M12"/>
    <mergeCell ref="B12:C12"/>
    <mergeCell ref="L15:M15"/>
    <mergeCell ref="B20:I20"/>
    <mergeCell ref="J20:N20"/>
    <mergeCell ref="B21:C21"/>
    <mergeCell ref="D21:E21"/>
    <mergeCell ref="F21:G21"/>
    <mergeCell ref="H21:I21"/>
    <mergeCell ref="J21:K21"/>
    <mergeCell ref="L21:M21"/>
    <mergeCell ref="B15:C15"/>
    <mergeCell ref="D15:E15"/>
    <mergeCell ref="F15:G15"/>
    <mergeCell ref="H15:I15"/>
    <mergeCell ref="J15:K15"/>
    <mergeCell ref="B26:C26"/>
    <mergeCell ref="D26:E26"/>
    <mergeCell ref="J26:K26"/>
    <mergeCell ref="L26:M26"/>
    <mergeCell ref="B27:C27"/>
    <mergeCell ref="D27:E27"/>
    <mergeCell ref="J27:K27"/>
    <mergeCell ref="L27:M27"/>
    <mergeCell ref="B30:C30"/>
    <mergeCell ref="D30:E30"/>
    <mergeCell ref="D28:E28"/>
    <mergeCell ref="J28:K28"/>
    <mergeCell ref="L28:M28"/>
    <mergeCell ref="B29:C29"/>
    <mergeCell ref="D29:E29"/>
    <mergeCell ref="J29:K29"/>
    <mergeCell ref="L29:M29"/>
  </mergeCells>
  <printOptions horizontalCentered="1" verticalCentered="1"/>
  <pageMargins left="0.2" right="0.2" top="0.5" bottom="0.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M18"/>
  <sheetViews>
    <sheetView workbookViewId="0"/>
  </sheetViews>
  <sheetFormatPr defaultRowHeight="15" x14ac:dyDescent="0.25"/>
  <cols>
    <col min="1" max="1" width="1.7109375" customWidth="1"/>
    <col min="2" max="6" width="9.7109375" customWidth="1"/>
    <col min="7" max="7" width="10.7109375" customWidth="1"/>
    <col min="8" max="13" width="9.7109375" customWidth="1"/>
  </cols>
  <sheetData>
    <row r="2" spans="1:13" x14ac:dyDescent="0.25">
      <c r="B2" s="258" t="s">
        <v>309</v>
      </c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/>
    </row>
    <row r="3" spans="1:13" x14ac:dyDescent="0.25">
      <c r="B3" s="259">
        <v>73337589</v>
      </c>
      <c r="C3" s="260"/>
      <c r="D3" s="259">
        <v>65956268</v>
      </c>
      <c r="E3" s="260"/>
      <c r="F3" s="259">
        <v>1334021</v>
      </c>
      <c r="G3" s="260"/>
      <c r="H3" s="259">
        <v>63265094</v>
      </c>
      <c r="I3" s="260"/>
      <c r="J3" s="259">
        <v>80606729</v>
      </c>
      <c r="K3" s="260"/>
      <c r="L3" s="259" t="s">
        <v>204</v>
      </c>
      <c r="M3" s="260"/>
    </row>
    <row r="4" spans="1:13" x14ac:dyDescent="0.25">
      <c r="B4" s="33" t="s">
        <v>204</v>
      </c>
      <c r="C4" s="34" t="s">
        <v>204</v>
      </c>
      <c r="D4" s="33" t="s">
        <v>204</v>
      </c>
      <c r="E4" s="34" t="s">
        <v>204</v>
      </c>
      <c r="F4" s="33" t="s">
        <v>204</v>
      </c>
      <c r="G4" s="34" t="s">
        <v>204</v>
      </c>
      <c r="H4" s="33" t="s">
        <v>204</v>
      </c>
      <c r="I4" s="34" t="s">
        <v>204</v>
      </c>
      <c r="J4" s="33" t="s">
        <v>204</v>
      </c>
      <c r="K4" s="34" t="s">
        <v>204</v>
      </c>
      <c r="L4" s="33" t="s">
        <v>204</v>
      </c>
      <c r="M4" s="34" t="s">
        <v>204</v>
      </c>
    </row>
    <row r="5" spans="1:13" x14ac:dyDescent="0.25">
      <c r="B5" s="250" t="s">
        <v>310</v>
      </c>
      <c r="C5" s="251"/>
      <c r="D5" s="250" t="s">
        <v>311</v>
      </c>
      <c r="E5" s="251"/>
      <c r="F5" s="250" t="s">
        <v>144</v>
      </c>
      <c r="G5" s="251"/>
      <c r="H5" s="250" t="s">
        <v>148</v>
      </c>
      <c r="I5" s="251"/>
      <c r="J5" s="250" t="s">
        <v>312</v>
      </c>
      <c r="K5" s="251"/>
      <c r="L5" s="250" t="s">
        <v>204</v>
      </c>
      <c r="M5" s="251"/>
    </row>
    <row r="6" spans="1:13" ht="33.75" x14ac:dyDescent="0.5">
      <c r="A6" s="153"/>
      <c r="B6" s="252"/>
      <c r="C6" s="252"/>
      <c r="D6" s="252"/>
      <c r="E6" s="252"/>
      <c r="F6" s="252"/>
      <c r="G6" s="252"/>
      <c r="H6" s="252"/>
      <c r="I6" s="252"/>
      <c r="J6" s="254"/>
      <c r="K6" s="255"/>
      <c r="L6" s="254"/>
      <c r="M6" s="255"/>
    </row>
    <row r="7" spans="1:13" ht="33.75" x14ac:dyDescent="0.5">
      <c r="A7" s="153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</row>
    <row r="8" spans="1:13" x14ac:dyDescent="0.25">
      <c r="B8" s="258" t="s">
        <v>313</v>
      </c>
      <c r="C8" s="258"/>
      <c r="D8" s="258"/>
      <c r="E8" s="258"/>
      <c r="F8" s="258"/>
      <c r="G8" s="258"/>
      <c r="H8" s="258"/>
      <c r="I8" s="258"/>
      <c r="J8" s="258"/>
      <c r="K8" s="258"/>
      <c r="L8" s="258"/>
      <c r="M8" s="258"/>
    </row>
    <row r="9" spans="1:13" x14ac:dyDescent="0.25">
      <c r="B9" s="259" t="s">
        <v>164</v>
      </c>
      <c r="C9" s="260"/>
      <c r="D9" s="259" t="s">
        <v>165</v>
      </c>
      <c r="E9" s="260"/>
      <c r="F9" s="259"/>
      <c r="G9" s="260"/>
      <c r="H9" s="259" t="s">
        <v>314</v>
      </c>
      <c r="I9" s="260"/>
      <c r="J9" s="259" t="s">
        <v>243</v>
      </c>
      <c r="K9" s="260"/>
      <c r="L9" s="259" t="s">
        <v>204</v>
      </c>
      <c r="M9" s="260"/>
    </row>
    <row r="10" spans="1:13" x14ac:dyDescent="0.25">
      <c r="B10" s="33" t="s">
        <v>128</v>
      </c>
      <c r="C10" s="34" t="s">
        <v>204</v>
      </c>
      <c r="D10" s="33" t="s">
        <v>127</v>
      </c>
      <c r="E10" s="34" t="s">
        <v>204</v>
      </c>
      <c r="F10" s="33"/>
      <c r="G10" s="34"/>
      <c r="H10" s="33" t="s">
        <v>129</v>
      </c>
      <c r="I10" s="34" t="s">
        <v>204</v>
      </c>
      <c r="J10" s="256" t="s">
        <v>130</v>
      </c>
      <c r="K10" s="257"/>
      <c r="L10" s="33" t="s">
        <v>204</v>
      </c>
      <c r="M10" s="34" t="s">
        <v>204</v>
      </c>
    </row>
    <row r="11" spans="1:13" x14ac:dyDescent="0.25">
      <c r="B11" s="250" t="s">
        <v>310</v>
      </c>
      <c r="C11" s="251"/>
      <c r="D11" s="250" t="s">
        <v>144</v>
      </c>
      <c r="E11" s="251"/>
      <c r="F11" s="250"/>
      <c r="G11" s="251"/>
      <c r="H11" s="250" t="s">
        <v>148</v>
      </c>
      <c r="I11" s="251"/>
      <c r="J11" s="250" t="s">
        <v>244</v>
      </c>
      <c r="K11" s="251"/>
      <c r="L11" s="250" t="s">
        <v>204</v>
      </c>
      <c r="M11" s="251"/>
    </row>
    <row r="12" spans="1:13" ht="33.75" x14ac:dyDescent="0.5">
      <c r="A12" s="153"/>
      <c r="B12" s="252"/>
      <c r="C12" s="252"/>
      <c r="D12" s="252"/>
      <c r="E12" s="252"/>
      <c r="F12" s="252"/>
      <c r="G12" s="252"/>
      <c r="H12" s="253"/>
      <c r="I12" s="253"/>
      <c r="J12" s="254"/>
      <c r="K12" s="255"/>
      <c r="L12" s="254"/>
      <c r="M12" s="255"/>
    </row>
    <row r="13" spans="1:13" ht="33.75" x14ac:dyDescent="0.5">
      <c r="A13" s="153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</row>
    <row r="14" spans="1:13" x14ac:dyDescent="0.25">
      <c r="B14" s="258" t="s">
        <v>315</v>
      </c>
      <c r="C14" s="258"/>
      <c r="D14" s="258"/>
      <c r="E14" s="258"/>
      <c r="F14" s="258"/>
      <c r="G14" s="258"/>
      <c r="H14" s="258"/>
      <c r="I14" s="258"/>
      <c r="J14" s="258"/>
      <c r="K14" s="258"/>
      <c r="L14" s="258"/>
      <c r="M14" s="258"/>
    </row>
    <row r="15" spans="1:13" x14ac:dyDescent="0.25">
      <c r="B15" s="259" t="s">
        <v>66</v>
      </c>
      <c r="C15" s="260"/>
      <c r="D15" s="259" t="s">
        <v>316</v>
      </c>
      <c r="E15" s="260"/>
      <c r="F15" s="259" t="s">
        <v>317</v>
      </c>
      <c r="G15" s="260"/>
      <c r="H15" s="259" t="s">
        <v>318</v>
      </c>
      <c r="I15" s="260"/>
      <c r="J15" s="259" t="s">
        <v>319</v>
      </c>
      <c r="K15" s="260"/>
      <c r="L15" s="259" t="s">
        <v>320</v>
      </c>
      <c r="M15" s="260"/>
    </row>
    <row r="16" spans="1:13" x14ac:dyDescent="0.25">
      <c r="B16" s="33">
        <v>46801014</v>
      </c>
      <c r="C16" s="34" t="s">
        <v>204</v>
      </c>
      <c r="D16" s="33" t="s">
        <v>204</v>
      </c>
      <c r="E16" s="34" t="s">
        <v>204</v>
      </c>
      <c r="F16" s="33" t="s">
        <v>204</v>
      </c>
      <c r="G16" s="34" t="s">
        <v>204</v>
      </c>
      <c r="H16" s="33" t="s">
        <v>204</v>
      </c>
      <c r="I16" s="34" t="s">
        <v>204</v>
      </c>
      <c r="J16" s="256" t="s">
        <v>204</v>
      </c>
      <c r="K16" s="257"/>
      <c r="L16" s="33" t="s">
        <v>204</v>
      </c>
      <c r="M16" s="34" t="s">
        <v>204</v>
      </c>
    </row>
    <row r="17" spans="1:13" x14ac:dyDescent="0.25">
      <c r="B17" s="250" t="s">
        <v>321</v>
      </c>
      <c r="C17" s="251"/>
      <c r="D17" s="250" t="s">
        <v>144</v>
      </c>
      <c r="E17" s="251"/>
      <c r="F17" s="250" t="s">
        <v>144</v>
      </c>
      <c r="G17" s="251"/>
      <c r="H17" s="250" t="s">
        <v>322</v>
      </c>
      <c r="I17" s="251"/>
      <c r="J17" s="250" t="s">
        <v>144</v>
      </c>
      <c r="K17" s="251"/>
      <c r="L17" s="250" t="s">
        <v>144</v>
      </c>
      <c r="M17" s="251"/>
    </row>
    <row r="18" spans="1:13" ht="33.75" x14ac:dyDescent="0.5">
      <c r="A18" s="153"/>
      <c r="B18" s="252"/>
      <c r="C18" s="252"/>
      <c r="D18" s="252"/>
      <c r="E18" s="252"/>
      <c r="F18" s="252"/>
      <c r="G18" s="252"/>
      <c r="H18" s="253"/>
      <c r="I18" s="253"/>
      <c r="J18" s="254"/>
      <c r="K18" s="255"/>
      <c r="L18" s="254"/>
      <c r="M18" s="255"/>
    </row>
  </sheetData>
  <mergeCells count="59">
    <mergeCell ref="B2:M2"/>
    <mergeCell ref="B3:C3"/>
    <mergeCell ref="D3:E3"/>
    <mergeCell ref="F3:G3"/>
    <mergeCell ref="H3:I3"/>
    <mergeCell ref="J3:K3"/>
    <mergeCell ref="L3:M3"/>
    <mergeCell ref="L6:M6"/>
    <mergeCell ref="B5:C5"/>
    <mergeCell ref="D5:E5"/>
    <mergeCell ref="F5:G5"/>
    <mergeCell ref="H5:I5"/>
    <mergeCell ref="J5:K5"/>
    <mergeCell ref="L5:M5"/>
    <mergeCell ref="B6:C6"/>
    <mergeCell ref="D6:E6"/>
    <mergeCell ref="F6:G6"/>
    <mergeCell ref="H6:I6"/>
    <mergeCell ref="J6:K6"/>
    <mergeCell ref="B8:M8"/>
    <mergeCell ref="B9:C9"/>
    <mergeCell ref="D9:E9"/>
    <mergeCell ref="F9:G9"/>
    <mergeCell ref="H9:I9"/>
    <mergeCell ref="J9:K9"/>
    <mergeCell ref="L9:M9"/>
    <mergeCell ref="J10:K10"/>
    <mergeCell ref="B11:C11"/>
    <mergeCell ref="D11:E11"/>
    <mergeCell ref="F11:G11"/>
    <mergeCell ref="H11:I11"/>
    <mergeCell ref="J11:K11"/>
    <mergeCell ref="L11:M11"/>
    <mergeCell ref="B12:C12"/>
    <mergeCell ref="D12:E12"/>
    <mergeCell ref="F12:G12"/>
    <mergeCell ref="H12:I12"/>
    <mergeCell ref="J12:K12"/>
    <mergeCell ref="L12:M12"/>
    <mergeCell ref="B14:M14"/>
    <mergeCell ref="B15:C15"/>
    <mergeCell ref="D15:E15"/>
    <mergeCell ref="F15:G15"/>
    <mergeCell ref="H15:I15"/>
    <mergeCell ref="J15:K15"/>
    <mergeCell ref="L15:M15"/>
    <mergeCell ref="J16:K16"/>
    <mergeCell ref="B17:C17"/>
    <mergeCell ref="D17:E17"/>
    <mergeCell ref="F17:G17"/>
    <mergeCell ref="H17:I17"/>
    <mergeCell ref="J17:K17"/>
    <mergeCell ref="L17:M17"/>
    <mergeCell ref="B18:C18"/>
    <mergeCell ref="D18:E18"/>
    <mergeCell ref="F18:G18"/>
    <mergeCell ref="H18:I18"/>
    <mergeCell ref="J18:K18"/>
    <mergeCell ref="L18:M1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AA21"/>
  <sheetViews>
    <sheetView workbookViewId="0"/>
  </sheetViews>
  <sheetFormatPr defaultRowHeight="15" x14ac:dyDescent="0.25"/>
  <cols>
    <col min="16" max="16" width="16.140625" customWidth="1"/>
    <col min="26" max="26" width="10.140625" style="65" bestFit="1" customWidth="1"/>
  </cols>
  <sheetData>
    <row r="2" spans="2:27" x14ac:dyDescent="0.25">
      <c r="B2" t="s">
        <v>323</v>
      </c>
      <c r="C2" t="s">
        <v>324</v>
      </c>
      <c r="D2" t="s">
        <v>325</v>
      </c>
      <c r="E2" t="s">
        <v>326</v>
      </c>
      <c r="F2" t="s">
        <v>327</v>
      </c>
      <c r="G2" t="s">
        <v>328</v>
      </c>
      <c r="H2" t="s">
        <v>329</v>
      </c>
      <c r="I2" t="s">
        <v>330</v>
      </c>
      <c r="J2" t="s">
        <v>331</v>
      </c>
      <c r="K2" t="s">
        <v>332</v>
      </c>
      <c r="L2" t="s">
        <v>333</v>
      </c>
      <c r="M2" t="s">
        <v>334</v>
      </c>
      <c r="O2" t="s">
        <v>77</v>
      </c>
      <c r="P2" t="s">
        <v>335</v>
      </c>
      <c r="Q2" t="s">
        <v>79</v>
      </c>
    </row>
    <row r="3" spans="2:27" x14ac:dyDescent="0.25">
      <c r="Z3" s="65" t="s">
        <v>202</v>
      </c>
      <c r="AA3" t="s">
        <v>336</v>
      </c>
    </row>
    <row r="5" spans="2:27" x14ac:dyDescent="0.25">
      <c r="Y5">
        <v>2015</v>
      </c>
      <c r="Z5" s="65" t="e">
        <f>([1]Elect!#REF!)</f>
        <v>#REF!</v>
      </c>
    </row>
    <row r="6" spans="2:27" x14ac:dyDescent="0.25">
      <c r="Y6">
        <v>2016</v>
      </c>
      <c r="Z6" s="65" t="e">
        <f>([1]Elect!#REF!)</f>
        <v>#REF!</v>
      </c>
    </row>
    <row r="7" spans="2:27" x14ac:dyDescent="0.25">
      <c r="Y7">
        <v>2017</v>
      </c>
      <c r="Z7" s="65" t="e">
        <f>([1]Elect!#REF!)</f>
        <v>#REF!</v>
      </c>
    </row>
    <row r="8" spans="2:27" x14ac:dyDescent="0.25">
      <c r="Y8">
        <v>2018</v>
      </c>
      <c r="Z8" s="65" t="e">
        <f>([1]Elect!#REF!)</f>
        <v>#REF!</v>
      </c>
    </row>
    <row r="9" spans="2:27" x14ac:dyDescent="0.25">
      <c r="Y9">
        <v>2019</v>
      </c>
      <c r="Z9" s="65" t="e">
        <f>([1]Elect!#REF!)</f>
        <v>#REF!</v>
      </c>
    </row>
    <row r="21" spans="24:24" x14ac:dyDescent="0.25">
      <c r="X21" t="s">
        <v>337</v>
      </c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3:CT96"/>
  <sheetViews>
    <sheetView topLeftCell="J1" workbookViewId="0">
      <selection activeCell="E28" sqref="E28"/>
    </sheetView>
  </sheetViews>
  <sheetFormatPr defaultColWidth="2.7109375" defaultRowHeight="15" x14ac:dyDescent="0.25"/>
  <sheetData>
    <row r="3" spans="2:98" ht="18.75" x14ac:dyDescent="0.3">
      <c r="B3" s="180" t="s">
        <v>338</v>
      </c>
    </row>
    <row r="4" spans="2:98" ht="18.75" x14ac:dyDescent="0.3">
      <c r="B4" s="180" t="s">
        <v>339</v>
      </c>
    </row>
    <row r="5" spans="2:98" ht="18.75" x14ac:dyDescent="0.3">
      <c r="B5" s="180" t="s">
        <v>340</v>
      </c>
    </row>
    <row r="7" spans="2:98" x14ac:dyDescent="0.25"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81"/>
      <c r="AI7" s="181"/>
      <c r="AJ7" s="181"/>
      <c r="AK7" s="181"/>
      <c r="AL7" s="181"/>
      <c r="AM7" s="181"/>
      <c r="AN7" s="181"/>
      <c r="AO7" s="181"/>
      <c r="AP7" s="181"/>
      <c r="AQ7" s="181"/>
      <c r="AR7" s="181"/>
      <c r="AS7" s="181"/>
      <c r="AT7" s="181"/>
      <c r="AU7" s="181"/>
      <c r="AV7" s="181"/>
      <c r="AW7" s="181"/>
      <c r="AX7" s="181"/>
      <c r="AY7" s="181"/>
      <c r="AZ7" s="181"/>
      <c r="BA7" s="181"/>
      <c r="BB7" s="181"/>
      <c r="BC7" s="181"/>
      <c r="BD7" s="181"/>
      <c r="BE7" s="181"/>
      <c r="BF7" s="181"/>
      <c r="BG7" s="181"/>
      <c r="BH7" s="181"/>
      <c r="BI7" s="181"/>
      <c r="BJ7" s="181"/>
      <c r="BK7" s="181"/>
      <c r="BL7" s="181"/>
      <c r="BM7" s="181"/>
      <c r="BN7" s="181"/>
      <c r="BO7" s="181"/>
      <c r="BP7" s="181"/>
      <c r="BQ7" s="181"/>
      <c r="BR7" s="181"/>
      <c r="BS7" s="181"/>
      <c r="BT7" s="181"/>
      <c r="BU7" s="181"/>
      <c r="BV7" s="181"/>
      <c r="BW7" s="181"/>
      <c r="BX7" s="181"/>
      <c r="BY7" s="181"/>
      <c r="BZ7" s="181"/>
      <c r="CA7" s="181"/>
      <c r="CB7" s="181"/>
      <c r="CC7" s="181"/>
      <c r="CD7" s="181"/>
      <c r="CE7" s="181"/>
      <c r="CF7" s="181"/>
      <c r="CG7" s="181"/>
      <c r="CH7" s="181"/>
      <c r="CI7" s="181"/>
      <c r="CJ7" s="181"/>
      <c r="CK7" s="181"/>
      <c r="CL7" s="181"/>
      <c r="CM7" s="181"/>
      <c r="CN7" s="181"/>
      <c r="CO7" s="181"/>
      <c r="CP7" s="181"/>
      <c r="CQ7" s="181"/>
      <c r="CR7" s="181"/>
      <c r="CS7" s="181"/>
      <c r="CT7" s="181"/>
    </row>
    <row r="8" spans="2:98" x14ac:dyDescent="0.25">
      <c r="Q8" s="34"/>
      <c r="CT8" s="182"/>
    </row>
    <row r="9" spans="2:98" x14ac:dyDescent="0.25">
      <c r="Q9" s="34"/>
      <c r="CT9" s="34"/>
    </row>
    <row r="10" spans="2:98" x14ac:dyDescent="0.25">
      <c r="Q10" s="34"/>
      <c r="CT10" s="34"/>
    </row>
    <row r="11" spans="2:98" x14ac:dyDescent="0.25">
      <c r="Q11" s="34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81"/>
      <c r="AJ11" s="181"/>
      <c r="AK11" s="181"/>
      <c r="AL11" s="181"/>
      <c r="AM11" s="181"/>
      <c r="AN11" s="181"/>
      <c r="AO11" s="181"/>
      <c r="AP11" s="181"/>
      <c r="AQ11" s="181"/>
      <c r="AR11" s="181"/>
      <c r="AS11" s="181"/>
      <c r="AT11" s="181"/>
      <c r="AU11" s="181"/>
      <c r="AV11" s="181"/>
      <c r="AW11" s="181"/>
      <c r="AX11" s="181"/>
      <c r="AY11" s="181"/>
      <c r="AZ11" s="181"/>
      <c r="BA11" s="181"/>
      <c r="BB11" s="181"/>
      <c r="BC11" s="181"/>
      <c r="BD11" s="181"/>
      <c r="BE11" s="181"/>
      <c r="BF11" s="181"/>
      <c r="BG11" s="181"/>
      <c r="BH11" s="181"/>
      <c r="BI11" s="181"/>
      <c r="BJ11" s="181"/>
      <c r="BK11" s="181"/>
      <c r="BL11" s="181"/>
      <c r="BM11" s="181"/>
      <c r="BN11" s="181"/>
      <c r="BO11" s="181"/>
      <c r="BP11" s="181"/>
      <c r="BQ11" s="181"/>
      <c r="BR11" s="181"/>
      <c r="BS11" s="181"/>
      <c r="CT11" s="34"/>
    </row>
    <row r="12" spans="2:98" x14ac:dyDescent="0.25">
      <c r="Q12" s="34"/>
      <c r="V12" s="34"/>
      <c r="BS12" s="182"/>
      <c r="CT12" s="34"/>
    </row>
    <row r="13" spans="2:98" x14ac:dyDescent="0.25">
      <c r="Q13" s="34"/>
      <c r="V13" s="34"/>
      <c r="BS13" s="34"/>
      <c r="CT13" s="34"/>
    </row>
    <row r="14" spans="2:98" x14ac:dyDescent="0.25">
      <c r="Q14" s="34"/>
      <c r="V14" s="34"/>
      <c r="AU14" s="3" t="s">
        <v>341</v>
      </c>
      <c r="BS14" s="34"/>
      <c r="BX14" s="3" t="s">
        <v>342</v>
      </c>
      <c r="CT14" s="34"/>
    </row>
    <row r="15" spans="2:98" x14ac:dyDescent="0.25">
      <c r="Q15" s="34"/>
      <c r="V15" s="34"/>
      <c r="AU15" s="3" t="s">
        <v>343</v>
      </c>
      <c r="BS15" s="34"/>
      <c r="BX15" s="3" t="s">
        <v>344</v>
      </c>
      <c r="CT15" s="34"/>
    </row>
    <row r="16" spans="2:98" x14ac:dyDescent="0.25">
      <c r="Q16" s="34"/>
      <c r="V16" s="34"/>
      <c r="AU16" s="3" t="s">
        <v>345</v>
      </c>
      <c r="BS16" s="34"/>
      <c r="BX16" s="3" t="s">
        <v>345</v>
      </c>
      <c r="CT16" s="34"/>
    </row>
    <row r="17" spans="7:98" x14ac:dyDescent="0.25">
      <c r="Q17" s="34"/>
      <c r="V17" s="34"/>
      <c r="AX17" s="181"/>
      <c r="AY17" s="181"/>
      <c r="AZ17" s="181"/>
      <c r="BA17" s="181"/>
      <c r="BB17" s="181"/>
      <c r="BC17" s="181"/>
      <c r="BD17" s="181"/>
      <c r="BS17" s="34"/>
      <c r="CT17" s="34"/>
    </row>
    <row r="18" spans="7:98" x14ac:dyDescent="0.25">
      <c r="P18" s="59"/>
      <c r="Q18" s="34"/>
      <c r="R18" s="59"/>
      <c r="S18" s="59"/>
      <c r="V18" s="34"/>
      <c r="AW18" s="34"/>
      <c r="AY18" t="s">
        <v>346</v>
      </c>
      <c r="BD18" s="182"/>
      <c r="BS18" s="34"/>
      <c r="BX18" s="183"/>
      <c r="BY18" s="184"/>
      <c r="BZ18" s="184"/>
      <c r="CA18" s="184"/>
      <c r="CB18" s="184"/>
      <c r="CC18" s="184"/>
      <c r="CD18" s="182"/>
      <c r="CK18" s="183"/>
      <c r="CL18" s="184" t="s">
        <v>145</v>
      </c>
      <c r="CM18" s="184"/>
      <c r="CN18" s="184"/>
      <c r="CO18" s="184"/>
      <c r="CP18" s="184"/>
      <c r="CQ18" s="182"/>
      <c r="CT18" s="34"/>
    </row>
    <row r="19" spans="7:98" x14ac:dyDescent="0.25">
      <c r="P19" s="59"/>
      <c r="Q19" s="34"/>
      <c r="R19" s="59"/>
      <c r="S19" s="59"/>
      <c r="V19" s="34"/>
      <c r="AT19" s="181"/>
      <c r="AU19" s="181"/>
      <c r="AV19" s="181"/>
      <c r="AW19" s="185"/>
      <c r="AY19" t="s">
        <v>347</v>
      </c>
      <c r="BD19" s="34"/>
      <c r="BS19" s="34"/>
      <c r="BT19" s="186"/>
      <c r="BU19" s="181"/>
      <c r="BV19" s="181"/>
      <c r="BW19" s="181"/>
      <c r="BX19" s="33"/>
      <c r="BY19" s="59" t="s">
        <v>145</v>
      </c>
      <c r="BZ19" s="59"/>
      <c r="CA19" s="59"/>
      <c r="CB19" s="59"/>
      <c r="CC19" s="59"/>
      <c r="CD19" s="34"/>
      <c r="CE19" s="186"/>
      <c r="CF19" s="181"/>
      <c r="CG19" s="181"/>
      <c r="CH19" s="181"/>
      <c r="CI19" s="181"/>
      <c r="CJ19" s="181"/>
      <c r="CK19" s="33"/>
      <c r="CL19" s="59" t="s">
        <v>348</v>
      </c>
      <c r="CM19" s="59"/>
      <c r="CN19" s="59"/>
      <c r="CO19" s="59"/>
      <c r="CP19" s="59"/>
      <c r="CQ19" s="34"/>
      <c r="CT19" s="34"/>
    </row>
    <row r="20" spans="7:98" x14ac:dyDescent="0.25">
      <c r="P20" s="59"/>
      <c r="Q20" s="187"/>
      <c r="R20" s="59"/>
      <c r="S20" s="59"/>
      <c r="V20" s="34"/>
      <c r="AS20" s="34"/>
      <c r="AW20" s="34"/>
      <c r="AY20" t="s">
        <v>349</v>
      </c>
      <c r="BD20" s="34"/>
      <c r="BS20" s="34"/>
      <c r="BX20" s="33"/>
      <c r="BY20" s="267">
        <v>73337589</v>
      </c>
      <c r="BZ20" s="267"/>
      <c r="CA20" s="267"/>
      <c r="CB20" s="267"/>
      <c r="CC20" s="267"/>
      <c r="CD20" s="34"/>
      <c r="CK20" s="33"/>
      <c r="CL20" s="59" t="s">
        <v>350</v>
      </c>
      <c r="CM20" s="59"/>
      <c r="CN20" s="59"/>
      <c r="CO20" s="59"/>
      <c r="CP20" s="59"/>
      <c r="CQ20" s="34"/>
      <c r="CT20" s="34"/>
    </row>
    <row r="21" spans="7:98" x14ac:dyDescent="0.25">
      <c r="P21" s="59"/>
      <c r="Q21" s="187"/>
      <c r="R21" s="59"/>
      <c r="S21" s="59"/>
      <c r="V21" s="34"/>
      <c r="Z21" s="181"/>
      <c r="AA21" s="181"/>
      <c r="AB21" s="181"/>
      <c r="AC21" s="181"/>
      <c r="AD21" s="181"/>
      <c r="AE21" s="181"/>
      <c r="AF21" s="181"/>
      <c r="AS21" s="34"/>
      <c r="AW21" s="34"/>
      <c r="AX21" s="186"/>
      <c r="AY21" s="265">
        <v>44553004</v>
      </c>
      <c r="AZ21" s="265"/>
      <c r="BA21" s="265"/>
      <c r="BB21" s="265"/>
      <c r="BC21" s="265"/>
      <c r="BD21" s="185"/>
      <c r="BS21" s="34"/>
      <c r="BX21" s="186"/>
      <c r="BY21" s="181"/>
      <c r="BZ21" s="181"/>
      <c r="CA21" s="181"/>
      <c r="CB21" s="181"/>
      <c r="CC21" s="181"/>
      <c r="CD21" s="185"/>
      <c r="CK21" s="186"/>
      <c r="CL21" s="265">
        <v>65956268</v>
      </c>
      <c r="CM21" s="265"/>
      <c r="CN21" s="265"/>
      <c r="CO21" s="265"/>
      <c r="CP21" s="265"/>
      <c r="CQ21" s="185"/>
      <c r="CT21" s="34"/>
    </row>
    <row r="22" spans="7:98" x14ac:dyDescent="0.25">
      <c r="G22" s="3" t="s">
        <v>351</v>
      </c>
      <c r="J22" s="59"/>
      <c r="Q22" s="187"/>
      <c r="R22" s="59"/>
      <c r="S22" s="59"/>
      <c r="V22" s="34"/>
      <c r="Y22" s="34"/>
      <c r="AA22" t="s">
        <v>352</v>
      </c>
      <c r="AF22" s="182"/>
      <c r="AS22" s="34"/>
      <c r="BS22" s="34"/>
      <c r="CT22" s="34"/>
    </row>
    <row r="23" spans="7:98" x14ac:dyDescent="0.25">
      <c r="G23" s="3" t="s">
        <v>353</v>
      </c>
      <c r="J23" s="59"/>
      <c r="L23" s="181"/>
      <c r="M23" s="181"/>
      <c r="N23" s="181"/>
      <c r="O23" s="181"/>
      <c r="P23" s="181"/>
      <c r="Q23" s="187"/>
      <c r="R23" s="59"/>
      <c r="S23" s="181"/>
      <c r="T23" s="181"/>
      <c r="U23" s="181"/>
      <c r="V23" s="185"/>
      <c r="W23" s="181"/>
      <c r="X23" s="181"/>
      <c r="Y23" s="185"/>
      <c r="AA23" t="s">
        <v>354</v>
      </c>
      <c r="AF23" s="34"/>
      <c r="AG23" s="186"/>
      <c r="AH23" s="181"/>
      <c r="AI23" s="181"/>
      <c r="AJ23" s="181"/>
      <c r="AK23" s="181"/>
      <c r="AL23" s="181"/>
      <c r="AM23" s="181"/>
      <c r="AN23" s="181"/>
      <c r="AO23" s="181"/>
      <c r="AP23" s="181"/>
      <c r="AQ23" s="181"/>
      <c r="AR23" s="181"/>
      <c r="AS23" s="185"/>
      <c r="BS23" s="34"/>
      <c r="CT23" s="34"/>
    </row>
    <row r="24" spans="7:98" x14ac:dyDescent="0.25">
      <c r="G24" s="3" t="s">
        <v>355</v>
      </c>
      <c r="J24" s="59"/>
      <c r="Q24" s="187"/>
      <c r="R24" s="59"/>
      <c r="S24" s="59"/>
      <c r="Y24" s="34"/>
      <c r="AA24" s="266">
        <v>74860172</v>
      </c>
      <c r="AB24" s="266"/>
      <c r="AC24" s="266"/>
      <c r="AD24" s="266"/>
      <c r="AE24" s="266"/>
      <c r="AF24" s="34"/>
      <c r="AS24" s="34"/>
      <c r="AX24" s="181"/>
      <c r="AY24" s="181"/>
      <c r="AZ24" s="181"/>
      <c r="BA24" s="181"/>
      <c r="BB24" s="181"/>
      <c r="BC24" s="181"/>
      <c r="BD24" s="181"/>
      <c r="BS24" s="34"/>
      <c r="CT24" s="34"/>
    </row>
    <row r="25" spans="7:98" x14ac:dyDescent="0.25">
      <c r="P25" s="59"/>
      <c r="Q25" s="187"/>
      <c r="R25" s="59"/>
      <c r="S25" s="59"/>
      <c r="Y25" s="34"/>
      <c r="Z25" s="186"/>
      <c r="AA25" s="181"/>
      <c r="AB25" s="181"/>
      <c r="AC25" s="181"/>
      <c r="AD25" s="181"/>
      <c r="AE25" s="181"/>
      <c r="AF25" s="185"/>
      <c r="AS25" s="34"/>
      <c r="AW25" s="34"/>
      <c r="AY25" t="s">
        <v>356</v>
      </c>
      <c r="BD25" s="182"/>
      <c r="BS25" s="34"/>
      <c r="BX25" s="183"/>
      <c r="BY25" s="184" t="s">
        <v>357</v>
      </c>
      <c r="BZ25" s="184"/>
      <c r="CA25" s="184"/>
      <c r="CB25" s="184"/>
      <c r="CC25" s="184"/>
      <c r="CD25" s="182"/>
      <c r="CT25" s="34"/>
    </row>
    <row r="26" spans="7:98" x14ac:dyDescent="0.25">
      <c r="P26" s="59"/>
      <c r="Q26" s="187"/>
      <c r="R26" s="181"/>
      <c r="S26" s="181"/>
      <c r="T26" s="181"/>
      <c r="U26" s="181"/>
      <c r="V26" s="181"/>
      <c r="AS26" s="34"/>
      <c r="AT26" s="186"/>
      <c r="AU26" s="181"/>
      <c r="AV26" s="181"/>
      <c r="AW26" s="185"/>
      <c r="AY26" t="s">
        <v>358</v>
      </c>
      <c r="BD26" s="34"/>
      <c r="BS26" s="34"/>
      <c r="BT26" s="186"/>
      <c r="BU26" s="181"/>
      <c r="BV26" s="181"/>
      <c r="BW26" s="181"/>
      <c r="BX26" s="33"/>
      <c r="BY26" s="59" t="s">
        <v>359</v>
      </c>
      <c r="BZ26" s="59"/>
      <c r="CA26" s="59"/>
      <c r="CB26" s="59"/>
      <c r="CC26" s="59"/>
      <c r="CD26" s="34"/>
      <c r="CT26" s="34"/>
    </row>
    <row r="27" spans="7:98" x14ac:dyDescent="0.25">
      <c r="P27" s="59"/>
      <c r="Q27" s="188"/>
      <c r="R27" s="59"/>
      <c r="S27" s="59"/>
      <c r="V27" s="34"/>
      <c r="AS27" s="34"/>
      <c r="AW27" s="34"/>
      <c r="AY27" s="266">
        <v>70275191</v>
      </c>
      <c r="AZ27" s="266"/>
      <c r="BA27" s="266"/>
      <c r="BB27" s="266"/>
      <c r="BC27" s="266"/>
      <c r="BD27" s="34"/>
      <c r="BS27" s="34"/>
      <c r="BX27" s="33"/>
      <c r="BY27" s="267">
        <v>1334021</v>
      </c>
      <c r="BZ27" s="267"/>
      <c r="CA27" s="267"/>
      <c r="CB27" s="267"/>
      <c r="CC27" s="267"/>
      <c r="CD27" s="34"/>
      <c r="CJ27" s="181"/>
      <c r="CK27" s="181"/>
      <c r="CL27" s="181"/>
      <c r="CM27" s="181"/>
      <c r="CN27" s="181"/>
      <c r="CO27" s="181"/>
      <c r="CP27" s="181"/>
      <c r="CT27" s="34"/>
    </row>
    <row r="28" spans="7:98" x14ac:dyDescent="0.25">
      <c r="P28" s="59"/>
      <c r="Q28" s="188"/>
      <c r="R28" s="59"/>
      <c r="S28" s="59"/>
      <c r="V28" s="34"/>
      <c r="Z28" s="181"/>
      <c r="AA28" s="181"/>
      <c r="AB28" s="181"/>
      <c r="AC28" s="181"/>
      <c r="AD28" s="181"/>
      <c r="AE28" s="181"/>
      <c r="AF28" s="181"/>
      <c r="AS28" s="34"/>
      <c r="AW28" s="34"/>
      <c r="AX28" s="186"/>
      <c r="AY28" s="181"/>
      <c r="AZ28" s="181"/>
      <c r="BA28" s="181"/>
      <c r="BB28" s="181"/>
      <c r="BC28" s="181"/>
      <c r="BD28" s="185"/>
      <c r="BS28" s="34"/>
      <c r="BX28" s="186"/>
      <c r="BY28" s="181"/>
      <c r="BZ28" s="181"/>
      <c r="CA28" s="181"/>
      <c r="CB28" s="181"/>
      <c r="CC28" s="181"/>
      <c r="CD28" s="185"/>
      <c r="CI28" s="34"/>
      <c r="CK28" t="s">
        <v>360</v>
      </c>
      <c r="CP28" s="34"/>
      <c r="CT28" s="34"/>
    </row>
    <row r="29" spans="7:98" x14ac:dyDescent="0.25">
      <c r="M29" s="3" t="s">
        <v>361</v>
      </c>
      <c r="P29" s="59"/>
      <c r="Q29" s="188"/>
      <c r="R29" s="59"/>
      <c r="S29" s="59"/>
      <c r="V29" s="34"/>
      <c r="Y29" s="34"/>
      <c r="AA29" t="s">
        <v>362</v>
      </c>
      <c r="AF29" s="182"/>
      <c r="AS29" s="34"/>
      <c r="BS29" s="34"/>
      <c r="CI29" s="34"/>
      <c r="CK29" t="s">
        <v>363</v>
      </c>
      <c r="CP29" s="34"/>
      <c r="CQ29" s="181"/>
      <c r="CR29" s="181"/>
      <c r="CS29" s="181"/>
      <c r="CT29" s="185"/>
    </row>
    <row r="30" spans="7:98" x14ac:dyDescent="0.25">
      <c r="M30" s="3" t="s">
        <v>364</v>
      </c>
      <c r="P30" s="59"/>
      <c r="Q30" s="188"/>
      <c r="R30" s="59"/>
      <c r="S30" s="181"/>
      <c r="T30" s="181"/>
      <c r="U30" s="181"/>
      <c r="V30" s="185"/>
      <c r="W30" s="181"/>
      <c r="X30" s="181"/>
      <c r="Y30" s="185"/>
      <c r="AA30" t="s">
        <v>354</v>
      </c>
      <c r="AF30" s="34"/>
      <c r="AG30" s="186"/>
      <c r="AH30" s="181"/>
      <c r="AI30" s="181"/>
      <c r="AJ30" s="181"/>
      <c r="AK30" s="181"/>
      <c r="AL30" s="181"/>
      <c r="AS30" s="34"/>
      <c r="BS30" s="34"/>
      <c r="CI30" s="34"/>
      <c r="CK30" s="267">
        <v>67327447</v>
      </c>
      <c r="CL30" s="267"/>
      <c r="CM30" s="267"/>
      <c r="CN30" s="267"/>
      <c r="CO30" s="267"/>
      <c r="CP30" s="34"/>
    </row>
    <row r="31" spans="7:98" x14ac:dyDescent="0.25">
      <c r="M31" s="3" t="s">
        <v>355</v>
      </c>
      <c r="P31" s="59"/>
      <c r="Q31" s="59"/>
      <c r="R31" s="59"/>
      <c r="S31" s="59"/>
      <c r="Y31" s="34"/>
      <c r="AA31" s="266">
        <v>74860173</v>
      </c>
      <c r="AB31" s="266"/>
      <c r="AC31" s="266"/>
      <c r="AD31" s="266"/>
      <c r="AE31" s="266"/>
      <c r="AF31" s="34"/>
      <c r="AL31" s="182"/>
      <c r="AS31" s="34"/>
      <c r="BS31" s="34"/>
      <c r="BX31" s="181"/>
      <c r="BY31" s="181"/>
      <c r="BZ31" s="181"/>
      <c r="CA31" s="181"/>
      <c r="CB31" s="181"/>
      <c r="CC31" s="181"/>
      <c r="CD31" s="181"/>
      <c r="CI31" s="34"/>
      <c r="CJ31" s="186"/>
      <c r="CK31" s="181"/>
      <c r="CL31" s="181"/>
      <c r="CM31" s="181"/>
      <c r="CN31" s="181"/>
      <c r="CO31" s="181"/>
      <c r="CP31" s="185"/>
    </row>
    <row r="32" spans="7:98" x14ac:dyDescent="0.25">
      <c r="P32" s="59"/>
      <c r="Q32" s="59"/>
      <c r="R32" s="59"/>
      <c r="S32" s="59"/>
      <c r="Y32" s="34"/>
      <c r="Z32" s="186"/>
      <c r="AA32" s="181"/>
      <c r="AB32" s="181"/>
      <c r="AC32" s="181"/>
      <c r="AD32" s="181"/>
      <c r="AE32" s="181"/>
      <c r="AF32" s="185"/>
      <c r="AL32" s="34"/>
      <c r="AS32" s="34"/>
      <c r="AX32" s="181"/>
      <c r="AY32" s="181"/>
      <c r="AZ32" s="181"/>
      <c r="BA32" s="181"/>
      <c r="BB32" s="181"/>
      <c r="BC32" s="181"/>
      <c r="BD32" s="181"/>
      <c r="BS32" s="34"/>
      <c r="BW32" s="34"/>
      <c r="BY32" t="s">
        <v>360</v>
      </c>
      <c r="CD32" s="182"/>
    </row>
    <row r="33" spans="3:82" x14ac:dyDescent="0.25">
      <c r="P33" s="59"/>
      <c r="Q33" s="59"/>
      <c r="R33" s="59"/>
      <c r="S33" s="59"/>
      <c r="AL33" s="34"/>
      <c r="AS33" s="34"/>
      <c r="AW33" s="34"/>
      <c r="AY33" t="s">
        <v>365</v>
      </c>
      <c r="BD33" s="182"/>
      <c r="BT33" s="186"/>
      <c r="BU33" s="181"/>
      <c r="BV33" s="181"/>
      <c r="BW33" s="185"/>
      <c r="BY33" t="s">
        <v>148</v>
      </c>
      <c r="CD33" s="34"/>
    </row>
    <row r="34" spans="3:82" x14ac:dyDescent="0.25">
      <c r="P34" s="59"/>
      <c r="Q34" s="59"/>
      <c r="R34" s="59"/>
      <c r="S34" s="59"/>
      <c r="AL34" s="34"/>
      <c r="AS34" s="34"/>
      <c r="AT34" s="186"/>
      <c r="AU34" s="181"/>
      <c r="AV34" s="181"/>
      <c r="AW34" s="185"/>
      <c r="AY34" t="s">
        <v>366</v>
      </c>
      <c r="BD34" s="34"/>
      <c r="BW34" s="182"/>
      <c r="BY34" s="267">
        <v>63265094</v>
      </c>
      <c r="BZ34" s="267"/>
      <c r="CA34" s="267"/>
      <c r="CB34" s="267"/>
      <c r="CC34" s="267"/>
      <c r="CD34" s="34"/>
    </row>
    <row r="35" spans="3:82" x14ac:dyDescent="0.25">
      <c r="AL35" s="34"/>
      <c r="AS35" s="34"/>
      <c r="AW35" s="34"/>
      <c r="AY35" s="266">
        <v>2130521</v>
      </c>
      <c r="AZ35" s="266"/>
      <c r="BA35" s="266"/>
      <c r="BB35" s="266"/>
      <c r="BC35" s="266"/>
      <c r="BD35" s="34"/>
      <c r="BW35" s="34"/>
      <c r="BX35" s="186"/>
      <c r="BY35" s="181"/>
      <c r="BZ35" s="181"/>
      <c r="CA35" s="181"/>
      <c r="CB35" s="181"/>
      <c r="CC35" s="181"/>
      <c r="CD35" s="185"/>
    </row>
    <row r="36" spans="3:82" x14ac:dyDescent="0.25">
      <c r="C36" s="59"/>
      <c r="D36" s="261"/>
      <c r="E36" s="261"/>
      <c r="AJ36" t="s">
        <v>367</v>
      </c>
      <c r="AS36" s="34"/>
      <c r="AW36" s="34"/>
      <c r="AX36" s="186"/>
      <c r="AY36" s="181"/>
      <c r="AZ36" s="181"/>
      <c r="BA36" s="181"/>
      <c r="BB36" s="181"/>
      <c r="BC36" s="181"/>
      <c r="BD36" s="185"/>
    </row>
    <row r="37" spans="3:82" x14ac:dyDescent="0.25">
      <c r="C37" s="59"/>
      <c r="D37" s="158"/>
      <c r="E37" s="158"/>
      <c r="AJ37" t="s">
        <v>368</v>
      </c>
      <c r="AS37" s="34"/>
    </row>
    <row r="38" spans="3:82" x14ac:dyDescent="0.25">
      <c r="C38" s="59"/>
      <c r="D38" s="189"/>
      <c r="E38" s="189"/>
      <c r="AS38" s="34"/>
    </row>
    <row r="39" spans="3:82" x14ac:dyDescent="0.25">
      <c r="AS39" s="34"/>
      <c r="AX39" s="181"/>
      <c r="AY39" s="181"/>
      <c r="AZ39" s="181"/>
      <c r="BA39" s="181"/>
      <c r="BB39" s="181"/>
      <c r="BC39" s="181"/>
      <c r="BD39" s="181"/>
      <c r="BK39" s="181"/>
      <c r="BL39" s="181"/>
      <c r="BM39" s="181"/>
      <c r="BN39" s="181"/>
      <c r="BO39" s="181"/>
      <c r="BP39" s="181"/>
    </row>
    <row r="40" spans="3:82" x14ac:dyDescent="0.25">
      <c r="AS40" s="34"/>
      <c r="AW40" s="34"/>
      <c r="AY40" t="s">
        <v>369</v>
      </c>
      <c r="BD40" s="182"/>
      <c r="BJ40" s="34"/>
      <c r="BL40" t="s">
        <v>370</v>
      </c>
      <c r="BP40" s="182"/>
    </row>
    <row r="41" spans="3:82" x14ac:dyDescent="0.25">
      <c r="Z41" s="183"/>
      <c r="AA41" s="184" t="s">
        <v>237</v>
      </c>
      <c r="AB41" s="184"/>
      <c r="AC41" s="184"/>
      <c r="AD41" s="184"/>
      <c r="AE41" s="184"/>
      <c r="AF41" s="182"/>
      <c r="AS41" s="34"/>
      <c r="AT41" s="186"/>
      <c r="AU41" s="181"/>
      <c r="AV41" s="181"/>
      <c r="AW41" s="185"/>
      <c r="AY41" t="s">
        <v>308</v>
      </c>
      <c r="BD41" s="34"/>
      <c r="BE41" s="186"/>
      <c r="BF41" s="181"/>
      <c r="BG41" s="181"/>
      <c r="BH41" s="181"/>
      <c r="BI41" s="181"/>
      <c r="BJ41" s="185"/>
      <c r="BL41" t="s">
        <v>371</v>
      </c>
      <c r="BP41" s="34"/>
    </row>
    <row r="42" spans="3:82" x14ac:dyDescent="0.25">
      <c r="W42" s="181"/>
      <c r="X42" s="181"/>
      <c r="Y42" s="185"/>
      <c r="Z42" s="33"/>
      <c r="AA42" s="59" t="s">
        <v>70</v>
      </c>
      <c r="AB42" s="59"/>
      <c r="AC42" s="59"/>
      <c r="AD42" s="59"/>
      <c r="AE42" s="59"/>
      <c r="AF42" s="34"/>
      <c r="AS42" s="34"/>
      <c r="AW42" s="34"/>
      <c r="AY42" s="266">
        <v>79177804</v>
      </c>
      <c r="AZ42" s="266"/>
      <c r="BA42" s="266"/>
      <c r="BB42" s="266"/>
      <c r="BC42" s="266"/>
      <c r="BD42" s="34"/>
      <c r="BJ42" s="34"/>
      <c r="BL42" t="s">
        <v>372</v>
      </c>
      <c r="BP42" s="34"/>
    </row>
    <row r="43" spans="3:82" x14ac:dyDescent="0.25">
      <c r="V43" s="34"/>
      <c r="Z43" s="33"/>
      <c r="AA43" s="263">
        <v>93477704</v>
      </c>
      <c r="AB43" s="264"/>
      <c r="AC43" s="264"/>
      <c r="AD43" s="264"/>
      <c r="AE43" s="264"/>
      <c r="AF43" s="34"/>
      <c r="AS43" s="34"/>
      <c r="AW43" s="34"/>
      <c r="AX43" s="186"/>
      <c r="AY43" s="181"/>
      <c r="AZ43" s="181"/>
      <c r="BA43" s="181"/>
      <c r="BB43" s="181"/>
      <c r="BC43" s="181"/>
      <c r="BD43" s="185"/>
      <c r="BJ43" s="34"/>
      <c r="BK43" s="186"/>
      <c r="BL43" s="265">
        <v>79305675</v>
      </c>
      <c r="BM43" s="265"/>
      <c r="BN43" s="265"/>
      <c r="BO43" s="265"/>
      <c r="BP43" s="185"/>
    </row>
    <row r="44" spans="3:82" x14ac:dyDescent="0.25">
      <c r="V44" s="34"/>
      <c r="Z44" s="186"/>
      <c r="AA44" s="181"/>
      <c r="AB44" s="181"/>
      <c r="AC44" s="181"/>
      <c r="AD44" s="181"/>
      <c r="AE44" s="181"/>
      <c r="AF44" s="185"/>
      <c r="AS44" s="34"/>
    </row>
    <row r="45" spans="3:82" x14ac:dyDescent="0.25">
      <c r="M45" s="3" t="s">
        <v>147</v>
      </c>
      <c r="V45" s="34"/>
      <c r="AS45" s="34"/>
    </row>
    <row r="46" spans="3:82" x14ac:dyDescent="0.25">
      <c r="M46" s="3" t="s">
        <v>373</v>
      </c>
      <c r="V46" s="34"/>
      <c r="AS46" s="34"/>
    </row>
    <row r="47" spans="3:82" x14ac:dyDescent="0.25">
      <c r="M47" s="3" t="s">
        <v>374</v>
      </c>
      <c r="S47" s="181"/>
      <c r="T47" s="181"/>
      <c r="U47" s="181"/>
      <c r="V47" s="185"/>
      <c r="AS47" s="34"/>
      <c r="AX47" s="183"/>
      <c r="AY47" s="184" t="s">
        <v>375</v>
      </c>
      <c r="AZ47" s="184"/>
      <c r="BA47" s="184"/>
      <c r="BB47" s="184"/>
      <c r="BC47" s="184"/>
      <c r="BD47" s="182"/>
    </row>
    <row r="48" spans="3:82" x14ac:dyDescent="0.25">
      <c r="M48" s="3" t="s">
        <v>376</v>
      </c>
      <c r="V48" s="182"/>
      <c r="Z48" s="183"/>
      <c r="AA48" s="184" t="s">
        <v>377</v>
      </c>
      <c r="AB48" s="184"/>
      <c r="AC48" s="184"/>
      <c r="AD48" s="184"/>
      <c r="AE48" s="184"/>
      <c r="AF48" s="182"/>
      <c r="AS48" s="34"/>
      <c r="AT48" s="186"/>
      <c r="AU48" s="181"/>
      <c r="AV48" s="181"/>
      <c r="AW48" s="181"/>
      <c r="AX48" s="33"/>
      <c r="AY48" s="59" t="s">
        <v>141</v>
      </c>
      <c r="AZ48" s="59"/>
      <c r="BA48" s="59"/>
      <c r="BB48" s="59"/>
      <c r="BC48" s="59"/>
      <c r="BD48" s="34"/>
    </row>
    <row r="49" spans="2:56" x14ac:dyDescent="0.25">
      <c r="M49" s="3" t="s">
        <v>344</v>
      </c>
      <c r="V49" s="34"/>
      <c r="W49" s="186"/>
      <c r="X49" s="181"/>
      <c r="Y49" s="181"/>
      <c r="Z49" s="33"/>
      <c r="AA49" s="59" t="s">
        <v>140</v>
      </c>
      <c r="AB49" s="59"/>
      <c r="AC49" s="59"/>
      <c r="AD49" s="59"/>
      <c r="AE49" s="59"/>
      <c r="AF49" s="34"/>
      <c r="AS49" s="34"/>
      <c r="AX49" s="33"/>
      <c r="AY49" s="266">
        <v>79190041</v>
      </c>
      <c r="AZ49" s="266"/>
      <c r="BA49" s="266"/>
      <c r="BB49" s="266"/>
      <c r="BC49" s="266"/>
      <c r="BD49" s="34"/>
    </row>
    <row r="50" spans="2:56" ht="15.75" x14ac:dyDescent="0.25">
      <c r="V50" s="34"/>
      <c r="Z50" s="33"/>
      <c r="AA50" s="190" t="s">
        <v>62</v>
      </c>
      <c r="AB50" s="190"/>
      <c r="AC50" s="191"/>
      <c r="AD50" s="59"/>
      <c r="AE50" s="59"/>
      <c r="AF50" s="34"/>
      <c r="AS50" s="34"/>
      <c r="AX50" s="186"/>
      <c r="AY50" s="181"/>
      <c r="AZ50" s="181"/>
      <c r="BA50" s="181"/>
      <c r="BB50" s="181"/>
      <c r="BC50" s="181"/>
      <c r="BD50" s="185"/>
    </row>
    <row r="51" spans="2:56" x14ac:dyDescent="0.25">
      <c r="V51" s="34"/>
      <c r="Z51" s="186"/>
      <c r="AA51" s="181"/>
      <c r="AB51" s="181"/>
      <c r="AC51" s="181"/>
      <c r="AD51" s="181"/>
      <c r="AE51" s="181"/>
      <c r="AF51" s="185"/>
      <c r="AS51" s="34"/>
    </row>
    <row r="52" spans="2:56" x14ac:dyDescent="0.25">
      <c r="V52" s="34"/>
      <c r="AS52" s="34"/>
    </row>
    <row r="53" spans="2:56" x14ac:dyDescent="0.25">
      <c r="V53" s="34"/>
      <c r="AS53" s="34"/>
      <c r="AX53" s="181"/>
      <c r="AY53" s="181"/>
      <c r="AZ53" s="181"/>
      <c r="BA53" s="181"/>
      <c r="BB53" s="181"/>
      <c r="BC53" s="181"/>
      <c r="BD53" s="181"/>
    </row>
    <row r="54" spans="2:56" x14ac:dyDescent="0.25">
      <c r="V54" s="34"/>
      <c r="AS54" s="34"/>
      <c r="AW54" s="34"/>
      <c r="AY54" t="s">
        <v>90</v>
      </c>
      <c r="BD54" s="182"/>
    </row>
    <row r="55" spans="2:56" x14ac:dyDescent="0.25">
      <c r="V55" s="34"/>
      <c r="AS55" s="34"/>
      <c r="AT55" s="186"/>
      <c r="AU55" s="181"/>
      <c r="AV55" s="181"/>
      <c r="AW55" s="185"/>
      <c r="AY55" t="s">
        <v>141</v>
      </c>
      <c r="BD55" s="34"/>
    </row>
    <row r="56" spans="2:56" x14ac:dyDescent="0.25">
      <c r="V56" s="34"/>
      <c r="Z56" s="183"/>
      <c r="AA56" s="184" t="s">
        <v>145</v>
      </c>
      <c r="AB56" s="184"/>
      <c r="AC56" s="184"/>
      <c r="AD56" s="184"/>
      <c r="AE56" s="184"/>
      <c r="AF56" s="182"/>
      <c r="AS56" s="34"/>
      <c r="AW56" s="34"/>
      <c r="AY56" s="266">
        <v>79190039</v>
      </c>
      <c r="AZ56" s="266"/>
      <c r="BA56" s="266"/>
      <c r="BB56" s="266"/>
      <c r="BC56" s="266"/>
      <c r="BD56" s="34"/>
    </row>
    <row r="57" spans="2:56" x14ac:dyDescent="0.25">
      <c r="V57" s="34"/>
      <c r="W57" s="186"/>
      <c r="X57" s="181"/>
      <c r="Y57" s="181"/>
      <c r="Z57" s="33"/>
      <c r="AA57" s="59" t="s">
        <v>147</v>
      </c>
      <c r="AB57" s="59"/>
      <c r="AC57" s="59"/>
      <c r="AD57" s="59"/>
      <c r="AE57" s="59"/>
      <c r="AF57" s="34"/>
      <c r="AS57" s="34"/>
      <c r="AW57" s="34"/>
      <c r="AX57" s="186"/>
      <c r="AY57" s="181"/>
      <c r="AZ57" s="181"/>
      <c r="BA57" s="181"/>
      <c r="BB57" s="181"/>
      <c r="BC57" s="181"/>
      <c r="BD57" s="185"/>
    </row>
    <row r="58" spans="2:56" x14ac:dyDescent="0.25">
      <c r="Z58" s="33"/>
      <c r="AA58" s="59" t="s">
        <v>138</v>
      </c>
      <c r="AB58" s="59"/>
      <c r="AC58" s="59"/>
      <c r="AD58" s="59"/>
      <c r="AE58" s="59"/>
      <c r="AF58" s="34"/>
      <c r="AS58" s="34"/>
    </row>
    <row r="59" spans="2:56" x14ac:dyDescent="0.25">
      <c r="Z59" s="186"/>
      <c r="AA59" s="192" t="s">
        <v>66</v>
      </c>
      <c r="AB59" s="193"/>
      <c r="AC59" s="181"/>
      <c r="AD59" s="181"/>
      <c r="AE59" s="181"/>
      <c r="AF59" s="185"/>
      <c r="AS59" s="34"/>
    </row>
    <row r="60" spans="2:56" x14ac:dyDescent="0.25">
      <c r="AS60" s="34"/>
    </row>
    <row r="61" spans="2:56" x14ac:dyDescent="0.25">
      <c r="C61" s="181"/>
      <c r="D61" s="181"/>
      <c r="E61" s="3" t="s">
        <v>378</v>
      </c>
      <c r="AS61" s="34"/>
      <c r="AX61" s="183"/>
      <c r="AY61" s="184" t="s">
        <v>266</v>
      </c>
      <c r="AZ61" s="184"/>
      <c r="BA61" s="184"/>
      <c r="BB61" s="184"/>
      <c r="BC61" s="184"/>
      <c r="BD61" s="182"/>
    </row>
    <row r="62" spans="2:56" x14ac:dyDescent="0.25">
      <c r="B62" s="34"/>
      <c r="E62" s="3" t="s">
        <v>379</v>
      </c>
      <c r="AS62" s="34"/>
      <c r="AT62" s="186"/>
      <c r="AU62" s="181"/>
      <c r="AV62" s="181"/>
      <c r="AW62" s="181"/>
      <c r="AX62" s="33"/>
      <c r="AY62" s="59" t="s">
        <v>380</v>
      </c>
      <c r="AZ62" s="59"/>
      <c r="BA62" s="59"/>
      <c r="BB62" s="59"/>
      <c r="BC62" s="59"/>
      <c r="BD62" s="34"/>
    </row>
    <row r="63" spans="2:56" x14ac:dyDescent="0.25">
      <c r="B63" s="34"/>
      <c r="AS63" s="34"/>
      <c r="AX63" s="33"/>
      <c r="AY63" s="266">
        <v>79324776</v>
      </c>
      <c r="AZ63" s="266"/>
      <c r="BA63" s="266"/>
      <c r="BB63" s="266"/>
      <c r="BC63" s="266"/>
      <c r="BD63" s="34"/>
    </row>
    <row r="64" spans="2:56" x14ac:dyDescent="0.25">
      <c r="B64" s="34"/>
      <c r="AS64" s="34"/>
      <c r="AX64" s="186"/>
      <c r="AY64" s="181"/>
      <c r="AZ64" s="181"/>
      <c r="BA64" s="181"/>
      <c r="BB64" s="181"/>
      <c r="BC64" s="181"/>
      <c r="BD64" s="185"/>
    </row>
    <row r="65" spans="2:56" x14ac:dyDescent="0.25">
      <c r="B65" s="34"/>
      <c r="AS65" s="34"/>
    </row>
    <row r="66" spans="2:56" x14ac:dyDescent="0.25">
      <c r="B66" s="34"/>
      <c r="F66" t="s">
        <v>381</v>
      </c>
      <c r="O66" s="183"/>
      <c r="P66" s="184"/>
      <c r="Q66" s="184"/>
      <c r="R66" s="184"/>
      <c r="S66" s="182"/>
      <c r="V66" s="183"/>
      <c r="W66" s="184"/>
      <c r="X66" s="184"/>
      <c r="Y66" s="184"/>
      <c r="Z66" s="182"/>
      <c r="AC66" s="183"/>
      <c r="AD66" s="184"/>
      <c r="AE66" s="184"/>
      <c r="AF66" s="184"/>
      <c r="AG66" s="182"/>
      <c r="AJ66" s="183"/>
      <c r="AK66" s="184"/>
      <c r="AL66" s="184"/>
      <c r="AM66" s="184"/>
      <c r="AN66" s="182"/>
      <c r="AS66" s="34"/>
    </row>
    <row r="67" spans="2:56" x14ac:dyDescent="0.25">
      <c r="B67" s="34"/>
      <c r="C67" s="186"/>
      <c r="D67" s="181"/>
      <c r="E67" s="181"/>
      <c r="F67" s="181" t="s">
        <v>382</v>
      </c>
      <c r="G67" s="181"/>
      <c r="H67" s="181"/>
      <c r="I67" s="181"/>
      <c r="J67" s="181"/>
      <c r="K67" s="181"/>
      <c r="L67" s="181"/>
      <c r="M67" s="181"/>
      <c r="N67" s="185"/>
      <c r="O67" s="33"/>
      <c r="P67" t="s">
        <v>110</v>
      </c>
      <c r="Q67" s="59"/>
      <c r="R67" s="59"/>
      <c r="S67" s="34"/>
      <c r="V67" s="33"/>
      <c r="W67" t="s">
        <v>114</v>
      </c>
      <c r="X67" s="59"/>
      <c r="Y67" s="59"/>
      <c r="Z67" s="34"/>
      <c r="AA67" s="186"/>
      <c r="AB67" s="185"/>
      <c r="AC67" s="33"/>
      <c r="AD67" t="s">
        <v>122</v>
      </c>
      <c r="AE67" s="59"/>
      <c r="AF67" s="59"/>
      <c r="AG67" s="34"/>
      <c r="AH67" s="186"/>
      <c r="AI67" s="185"/>
      <c r="AJ67" s="33"/>
      <c r="AK67" t="s">
        <v>124</v>
      </c>
      <c r="AL67" s="59"/>
      <c r="AM67" s="59"/>
      <c r="AN67" s="34"/>
      <c r="AS67" s="34"/>
    </row>
    <row r="68" spans="2:56" x14ac:dyDescent="0.25">
      <c r="B68" s="34"/>
      <c r="F68" t="s">
        <v>383</v>
      </c>
      <c r="O68" s="33"/>
      <c r="P68" t="s">
        <v>109</v>
      </c>
      <c r="Q68" s="59"/>
      <c r="R68" s="59"/>
      <c r="S68" s="34"/>
      <c r="T68" s="183"/>
      <c r="U68" s="182"/>
      <c r="V68" s="33"/>
      <c r="W68" t="s">
        <v>113</v>
      </c>
      <c r="X68" s="59"/>
      <c r="Y68" s="59"/>
      <c r="Z68" s="34"/>
      <c r="AC68" s="33"/>
      <c r="AD68" t="s">
        <v>121</v>
      </c>
      <c r="AE68" s="59"/>
      <c r="AF68" s="59"/>
      <c r="AG68" s="34"/>
      <c r="AJ68" s="33"/>
      <c r="AK68" t="s">
        <v>123</v>
      </c>
      <c r="AL68" s="59"/>
      <c r="AM68" s="59"/>
      <c r="AN68" s="34"/>
      <c r="AS68" s="34"/>
      <c r="AX68" s="183"/>
      <c r="AY68" s="184" t="s">
        <v>384</v>
      </c>
      <c r="AZ68" s="184"/>
      <c r="BA68" s="184"/>
      <c r="BB68" s="184"/>
      <c r="BC68" s="184"/>
      <c r="BD68" s="182"/>
    </row>
    <row r="69" spans="2:56" x14ac:dyDescent="0.25">
      <c r="B69" s="34"/>
      <c r="O69" s="186"/>
      <c r="P69" s="181"/>
      <c r="Q69" s="181"/>
      <c r="R69" s="181"/>
      <c r="S69" s="185"/>
      <c r="V69" s="186"/>
      <c r="W69" s="181"/>
      <c r="X69" s="181"/>
      <c r="Y69" s="181"/>
      <c r="Z69" s="185"/>
      <c r="AC69" s="186"/>
      <c r="AD69" s="181"/>
      <c r="AE69" s="181"/>
      <c r="AF69" s="181"/>
      <c r="AG69" s="185"/>
      <c r="AJ69" s="186"/>
      <c r="AK69" s="181"/>
      <c r="AL69" s="181"/>
      <c r="AM69" s="181"/>
      <c r="AN69" s="185"/>
      <c r="AS69" s="34"/>
      <c r="AT69" s="186"/>
      <c r="AU69" s="181"/>
      <c r="AV69" s="181"/>
      <c r="AW69" s="181"/>
      <c r="AX69" s="33"/>
      <c r="AY69" s="59" t="s">
        <v>385</v>
      </c>
      <c r="AZ69" s="59"/>
      <c r="BA69" s="59"/>
      <c r="BB69" s="59"/>
      <c r="BC69" s="59"/>
      <c r="BD69" s="34"/>
    </row>
    <row r="70" spans="2:56" x14ac:dyDescent="0.25">
      <c r="B70" s="34"/>
      <c r="AS70" s="34"/>
      <c r="AX70" s="33"/>
      <c r="AY70" s="59" t="s">
        <v>386</v>
      </c>
      <c r="AZ70" s="59"/>
      <c r="BA70" s="59"/>
      <c r="BB70" s="59"/>
      <c r="BC70" s="59"/>
      <c r="BD70" s="34"/>
    </row>
    <row r="71" spans="2:56" x14ac:dyDescent="0.25">
      <c r="B71" s="34"/>
      <c r="AS71" s="34"/>
      <c r="AX71" s="186"/>
      <c r="AY71" s="262" t="s">
        <v>64</v>
      </c>
      <c r="AZ71" s="262"/>
      <c r="BA71" s="262"/>
      <c r="BB71" s="262"/>
      <c r="BC71" s="262"/>
      <c r="BD71" s="185"/>
    </row>
    <row r="72" spans="2:56" x14ac:dyDescent="0.25">
      <c r="B72" s="34"/>
      <c r="AS72" s="34"/>
    </row>
    <row r="73" spans="2:56" x14ac:dyDescent="0.25">
      <c r="B73" s="34"/>
      <c r="AS73" s="34"/>
    </row>
    <row r="74" spans="2:56" x14ac:dyDescent="0.25">
      <c r="B74" s="34"/>
      <c r="AS74" s="34"/>
    </row>
    <row r="75" spans="2:56" x14ac:dyDescent="0.25">
      <c r="B75" s="34"/>
      <c r="D75" t="s">
        <v>381</v>
      </c>
      <c r="I75" s="183"/>
      <c r="J75" s="184"/>
      <c r="K75" s="184"/>
      <c r="L75" s="184"/>
      <c r="M75" s="182"/>
      <c r="P75" s="183"/>
      <c r="Q75" s="184"/>
      <c r="R75" s="184"/>
      <c r="S75" s="184"/>
      <c r="T75" s="182"/>
      <c r="W75" s="183"/>
      <c r="X75" s="184"/>
      <c r="Y75" s="184"/>
      <c r="Z75" s="184"/>
      <c r="AA75" s="182"/>
      <c r="AD75" s="183"/>
      <c r="AE75" s="184"/>
      <c r="AF75" s="184"/>
      <c r="AG75" s="184"/>
      <c r="AH75" s="182"/>
      <c r="AK75" s="183"/>
      <c r="AL75" s="184"/>
      <c r="AM75" s="184"/>
      <c r="AN75" s="184"/>
      <c r="AO75" s="182"/>
      <c r="AS75" s="34"/>
      <c r="AX75" s="183"/>
      <c r="AY75" s="184" t="s">
        <v>387</v>
      </c>
      <c r="AZ75" s="184"/>
      <c r="BA75" s="184"/>
      <c r="BB75" s="184"/>
      <c r="BC75" s="184"/>
      <c r="BD75" s="182"/>
    </row>
    <row r="76" spans="2:56" x14ac:dyDescent="0.25">
      <c r="B76" s="34"/>
      <c r="C76" s="186"/>
      <c r="D76" s="181" t="s">
        <v>388</v>
      </c>
      <c r="E76" s="181"/>
      <c r="F76" s="181"/>
      <c r="G76" s="181"/>
      <c r="H76" s="185"/>
      <c r="I76" s="33"/>
      <c r="J76" t="s">
        <v>108</v>
      </c>
      <c r="K76" s="59"/>
      <c r="L76" s="59"/>
      <c r="M76" s="34"/>
      <c r="P76" s="33"/>
      <c r="Q76" t="s">
        <v>106</v>
      </c>
      <c r="R76" s="59"/>
      <c r="S76" s="59"/>
      <c r="T76" s="34"/>
      <c r="W76" s="33"/>
      <c r="X76" t="s">
        <v>118</v>
      </c>
      <c r="Y76" s="59"/>
      <c r="Z76" s="59"/>
      <c r="AA76" s="34"/>
      <c r="AD76" s="33"/>
      <c r="AE76" t="s">
        <v>116</v>
      </c>
      <c r="AF76" s="59"/>
      <c r="AG76" s="59"/>
      <c r="AH76" s="34"/>
      <c r="AK76" s="33"/>
      <c r="AL76" t="s">
        <v>120</v>
      </c>
      <c r="AM76" s="59"/>
      <c r="AN76" s="59"/>
      <c r="AO76" s="34"/>
      <c r="AS76" s="34"/>
      <c r="AT76" s="181"/>
      <c r="AU76" s="181"/>
      <c r="AV76" s="181"/>
      <c r="AW76" s="181"/>
      <c r="AX76" s="33"/>
      <c r="AY76" s="59" t="s">
        <v>217</v>
      </c>
      <c r="AZ76" s="59"/>
      <c r="BA76" s="59"/>
      <c r="BB76" s="59"/>
      <c r="BC76" s="59"/>
      <c r="BD76" s="34"/>
    </row>
    <row r="77" spans="2:56" x14ac:dyDescent="0.25">
      <c r="B77" s="34"/>
      <c r="D77" t="s">
        <v>389</v>
      </c>
      <c r="I77" s="33"/>
      <c r="J77" t="s">
        <v>107</v>
      </c>
      <c r="K77" s="59"/>
      <c r="L77" s="59"/>
      <c r="M77" s="34"/>
      <c r="N77" s="183"/>
      <c r="O77" s="182"/>
      <c r="P77" s="33"/>
      <c r="Q77" t="s">
        <v>105</v>
      </c>
      <c r="R77" s="59"/>
      <c r="S77" s="59"/>
      <c r="T77" s="34"/>
      <c r="U77" s="183"/>
      <c r="V77" s="182"/>
      <c r="W77" s="33"/>
      <c r="X77" t="s">
        <v>117</v>
      </c>
      <c r="Y77" s="59"/>
      <c r="Z77" s="59"/>
      <c r="AA77" s="34"/>
      <c r="AB77" s="183"/>
      <c r="AC77" s="182"/>
      <c r="AD77" s="33"/>
      <c r="AE77" t="s">
        <v>115</v>
      </c>
      <c r="AF77" s="59"/>
      <c r="AG77" s="59"/>
      <c r="AH77" s="34"/>
      <c r="AI77" s="183"/>
      <c r="AJ77" s="182"/>
      <c r="AK77" s="33"/>
      <c r="AL77" t="s">
        <v>119</v>
      </c>
      <c r="AM77" s="59"/>
      <c r="AN77" s="59"/>
      <c r="AO77" s="34"/>
      <c r="AX77" s="33"/>
      <c r="AY77" s="59" t="s">
        <v>386</v>
      </c>
      <c r="AZ77" s="59"/>
      <c r="BA77" s="59"/>
      <c r="BB77" s="59"/>
      <c r="BC77" s="59"/>
      <c r="BD77" s="34"/>
    </row>
    <row r="78" spans="2:56" x14ac:dyDescent="0.25">
      <c r="B78" s="34"/>
      <c r="I78" s="186"/>
      <c r="J78" s="181"/>
      <c r="K78" s="181"/>
      <c r="L78" s="181"/>
      <c r="M78" s="185"/>
      <c r="P78" s="186"/>
      <c r="Q78" s="181"/>
      <c r="R78" s="181"/>
      <c r="S78" s="181"/>
      <c r="T78" s="185"/>
      <c r="W78" s="186"/>
      <c r="X78" s="181"/>
      <c r="Y78" s="181"/>
      <c r="Z78" s="181"/>
      <c r="AA78" s="185"/>
      <c r="AD78" s="186"/>
      <c r="AE78" s="181"/>
      <c r="AF78" s="181"/>
      <c r="AG78" s="181"/>
      <c r="AH78" s="185"/>
      <c r="AK78" s="186"/>
      <c r="AL78" s="181"/>
      <c r="AM78" s="181"/>
      <c r="AN78" s="181"/>
      <c r="AO78" s="185"/>
      <c r="AX78" s="186"/>
      <c r="AY78" s="262" t="s">
        <v>65</v>
      </c>
      <c r="AZ78" s="262"/>
      <c r="BA78" s="262"/>
      <c r="BB78" s="262"/>
      <c r="BC78" s="262"/>
      <c r="BD78" s="185"/>
    </row>
    <row r="79" spans="2:56" x14ac:dyDescent="0.25">
      <c r="B79" s="34"/>
    </row>
    <row r="80" spans="2:56" x14ac:dyDescent="0.25">
      <c r="B80" s="34"/>
    </row>
    <row r="81" spans="2:39" x14ac:dyDescent="0.25">
      <c r="B81" s="34"/>
    </row>
    <row r="82" spans="2:39" x14ac:dyDescent="0.25">
      <c r="B82" s="34"/>
    </row>
    <row r="83" spans="2:39" x14ac:dyDescent="0.25">
      <c r="B83" s="34"/>
    </row>
    <row r="84" spans="2:39" x14ac:dyDescent="0.25">
      <c r="B84" s="34"/>
      <c r="J84" t="s">
        <v>381</v>
      </c>
      <c r="P84" s="183"/>
      <c r="Q84" s="184"/>
      <c r="R84" s="184"/>
      <c r="S84" s="184"/>
      <c r="T84" s="182"/>
      <c r="W84" s="183"/>
      <c r="X84" s="184"/>
      <c r="Y84" s="184"/>
      <c r="Z84" s="184"/>
      <c r="AA84" s="182"/>
    </row>
    <row r="85" spans="2:39" x14ac:dyDescent="0.25">
      <c r="B85" s="34"/>
      <c r="C85" s="186"/>
      <c r="D85" s="181"/>
      <c r="E85" s="181"/>
      <c r="F85" s="181"/>
      <c r="G85" s="181"/>
      <c r="H85" s="181"/>
      <c r="I85" s="181"/>
      <c r="J85" s="181" t="s">
        <v>388</v>
      </c>
      <c r="K85" s="181"/>
      <c r="L85" s="181"/>
      <c r="M85" s="181"/>
      <c r="N85" s="181"/>
      <c r="O85" s="185"/>
      <c r="P85" s="33"/>
      <c r="Q85" t="s">
        <v>126</v>
      </c>
      <c r="R85" s="59"/>
      <c r="S85" s="59"/>
      <c r="T85" s="34"/>
      <c r="V85" s="185"/>
      <c r="W85" s="33"/>
      <c r="X85" t="s">
        <v>112</v>
      </c>
      <c r="Y85" s="59"/>
      <c r="Z85" s="59"/>
      <c r="AA85" s="34"/>
    </row>
    <row r="86" spans="2:39" x14ac:dyDescent="0.25">
      <c r="B86" s="34"/>
      <c r="J86" t="s">
        <v>390</v>
      </c>
      <c r="P86" s="33"/>
      <c r="Q86" t="s">
        <v>125</v>
      </c>
      <c r="R86" s="59"/>
      <c r="S86" s="59"/>
      <c r="T86" s="34"/>
      <c r="U86" s="183"/>
      <c r="W86" s="33"/>
      <c r="X86" t="s">
        <v>111</v>
      </c>
      <c r="Y86" s="59"/>
      <c r="Z86" s="59"/>
      <c r="AA86" s="34"/>
    </row>
    <row r="87" spans="2:39" x14ac:dyDescent="0.25">
      <c r="B87" s="34"/>
      <c r="P87" s="186"/>
      <c r="Q87" s="181"/>
      <c r="R87" s="181"/>
      <c r="S87" s="181"/>
      <c r="T87" s="185"/>
      <c r="W87" s="186"/>
      <c r="X87" s="181"/>
      <c r="Y87" s="181"/>
      <c r="Z87" s="181"/>
      <c r="AA87" s="185"/>
    </row>
    <row r="88" spans="2:39" x14ac:dyDescent="0.25">
      <c r="B88" s="34"/>
    </row>
    <row r="89" spans="2:39" x14ac:dyDescent="0.25">
      <c r="B89" s="34"/>
    </row>
    <row r="90" spans="2:39" x14ac:dyDescent="0.25">
      <c r="B90" s="34"/>
    </row>
    <row r="91" spans="2:39" x14ac:dyDescent="0.25">
      <c r="B91" s="34"/>
    </row>
    <row r="92" spans="2:39" x14ac:dyDescent="0.25">
      <c r="B92" s="34"/>
    </row>
    <row r="93" spans="2:39" x14ac:dyDescent="0.25">
      <c r="B93" s="34"/>
      <c r="G93" t="s">
        <v>391</v>
      </c>
      <c r="N93" s="183"/>
      <c r="O93" s="184"/>
      <c r="P93" s="184"/>
      <c r="Q93" s="184"/>
      <c r="R93" s="182"/>
      <c r="U93" s="183"/>
      <c r="V93" s="184"/>
      <c r="W93" s="184"/>
      <c r="X93" s="184"/>
      <c r="Y93" s="182"/>
      <c r="AB93" s="183"/>
      <c r="AC93" s="184"/>
      <c r="AD93" s="184"/>
      <c r="AE93" s="184"/>
      <c r="AF93" s="182"/>
      <c r="AI93" s="183"/>
      <c r="AJ93" s="184"/>
      <c r="AK93" s="184"/>
      <c r="AL93" s="184"/>
      <c r="AM93" s="182"/>
    </row>
    <row r="94" spans="2:39" x14ac:dyDescent="0.25">
      <c r="B94" s="34"/>
      <c r="C94" s="186"/>
      <c r="D94" s="181"/>
      <c r="E94" s="181"/>
      <c r="F94" s="181"/>
      <c r="G94" s="181" t="s">
        <v>392</v>
      </c>
      <c r="H94" s="181"/>
      <c r="I94" s="181"/>
      <c r="J94" s="181"/>
      <c r="K94" s="181"/>
      <c r="L94" s="181"/>
      <c r="M94" s="185"/>
      <c r="N94" s="33"/>
      <c r="O94" s="194" t="s">
        <v>310</v>
      </c>
      <c r="P94" s="195"/>
      <c r="Q94" s="59"/>
      <c r="R94" s="34"/>
      <c r="U94" s="33"/>
      <c r="V94" s="194" t="s">
        <v>393</v>
      </c>
      <c r="W94" s="195"/>
      <c r="X94" s="59"/>
      <c r="Y94" s="34"/>
      <c r="AB94" s="196" t="s">
        <v>394</v>
      </c>
      <c r="AD94" s="195"/>
      <c r="AE94" s="59"/>
      <c r="AF94" s="34"/>
      <c r="AG94" s="186"/>
      <c r="AH94" s="185"/>
      <c r="AI94" s="33"/>
      <c r="AJ94" s="194" t="s">
        <v>297</v>
      </c>
      <c r="AK94" s="195"/>
      <c r="AL94" s="59"/>
      <c r="AM94" s="34"/>
    </row>
    <row r="95" spans="2:39" x14ac:dyDescent="0.25">
      <c r="G95" t="s">
        <v>57</v>
      </c>
      <c r="N95" s="33"/>
      <c r="O95" s="59" t="s">
        <v>128</v>
      </c>
      <c r="P95" s="59"/>
      <c r="Q95" s="59"/>
      <c r="R95" s="34"/>
      <c r="S95" s="183"/>
      <c r="T95" s="182"/>
      <c r="U95" s="33"/>
      <c r="V95" s="59" t="s">
        <v>127</v>
      </c>
      <c r="W95" s="59"/>
      <c r="X95" s="59"/>
      <c r="Y95" s="34"/>
      <c r="Z95" s="183"/>
      <c r="AA95" s="182"/>
      <c r="AB95" s="33"/>
      <c r="AC95" s="59" t="s">
        <v>129</v>
      </c>
      <c r="AD95" s="59"/>
      <c r="AE95" s="59"/>
      <c r="AF95" s="34"/>
      <c r="AI95" s="33"/>
      <c r="AJ95" s="194" t="s">
        <v>130</v>
      </c>
      <c r="AK95" s="195"/>
      <c r="AL95" s="59"/>
      <c r="AM95" s="34"/>
    </row>
    <row r="96" spans="2:39" x14ac:dyDescent="0.25">
      <c r="N96" s="186"/>
      <c r="O96" s="181"/>
      <c r="P96" s="181"/>
      <c r="Q96" s="181"/>
      <c r="R96" s="185"/>
      <c r="U96" s="186"/>
      <c r="V96" s="181"/>
      <c r="W96" s="181"/>
      <c r="X96" s="181"/>
      <c r="Y96" s="185"/>
      <c r="AB96" s="186"/>
      <c r="AC96" s="181"/>
      <c r="AD96" s="181"/>
      <c r="AE96" s="181"/>
      <c r="AF96" s="185"/>
      <c r="AI96" s="186"/>
      <c r="AJ96" s="181"/>
      <c r="AK96" s="181"/>
      <c r="AL96" s="181"/>
      <c r="AM96" s="185"/>
    </row>
  </sheetData>
  <mergeCells count="19">
    <mergeCell ref="CK30:CO30"/>
    <mergeCell ref="AA31:AE31"/>
    <mergeCell ref="BY34:CC34"/>
    <mergeCell ref="AY35:BC35"/>
    <mergeCell ref="BY20:CC20"/>
    <mergeCell ref="AY21:BC21"/>
    <mergeCell ref="CL21:CP21"/>
    <mergeCell ref="AA24:AE24"/>
    <mergeCell ref="AY27:BC27"/>
    <mergeCell ref="BY27:CC27"/>
    <mergeCell ref="D36:E36"/>
    <mergeCell ref="AY78:BC78"/>
    <mergeCell ref="AA43:AE43"/>
    <mergeCell ref="BL43:BO43"/>
    <mergeCell ref="AY49:BC49"/>
    <mergeCell ref="AY56:BC56"/>
    <mergeCell ref="AY63:BC63"/>
    <mergeCell ref="AY71:BC71"/>
    <mergeCell ref="AY42:BC42"/>
  </mergeCells>
  <printOptions horizontalCentered="1" verticalCentered="1"/>
  <pageMargins left="0.2" right="0.2" top="0.25" bottom="0.25" header="0.3" footer="0.3"/>
  <pageSetup paperSize="17" scale="5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368"/>
  <sheetViews>
    <sheetView zoomScale="130" zoomScaleNormal="130" workbookViewId="0">
      <selection activeCell="Q3" sqref="Q3"/>
    </sheetView>
  </sheetViews>
  <sheetFormatPr defaultRowHeight="15" x14ac:dyDescent="0.25"/>
  <cols>
    <col min="4" max="4" width="2.5703125" customWidth="1"/>
    <col min="5" max="5" width="6.85546875" customWidth="1"/>
    <col min="6" max="6" width="8" customWidth="1"/>
    <col min="7" max="7" width="8.42578125" customWidth="1"/>
    <col min="9" max="9" width="33.42578125" customWidth="1"/>
    <col min="14" max="14" width="3" style="205" customWidth="1"/>
    <col min="15" max="15" width="18" style="205" customWidth="1"/>
    <col min="16" max="16" width="17.7109375" style="205" customWidth="1"/>
    <col min="17" max="17" width="14.28515625" style="205" customWidth="1"/>
  </cols>
  <sheetData>
    <row r="1" spans="1:17" x14ac:dyDescent="0.25">
      <c r="N1" s="202"/>
      <c r="O1" s="202"/>
      <c r="P1" s="202" t="s">
        <v>405</v>
      </c>
      <c r="Q1" s="202" t="s">
        <v>406</v>
      </c>
    </row>
    <row r="2" spans="1:17" x14ac:dyDescent="0.25">
      <c r="N2" s="202"/>
      <c r="O2" s="202"/>
      <c r="P2" s="202" t="s">
        <v>407</v>
      </c>
      <c r="Q2" s="202"/>
    </row>
    <row r="3" spans="1:17" x14ac:dyDescent="0.25">
      <c r="B3" s="3" t="s">
        <v>396</v>
      </c>
      <c r="C3" s="3" t="s">
        <v>397</v>
      </c>
      <c r="E3" s="197" t="s">
        <v>395</v>
      </c>
      <c r="F3" s="3">
        <v>2021</v>
      </c>
      <c r="G3" s="3"/>
      <c r="H3" s="3"/>
      <c r="N3" s="203" t="s">
        <v>408</v>
      </c>
      <c r="O3" s="202" t="s">
        <v>409</v>
      </c>
      <c r="P3" s="202"/>
      <c r="Q3" s="204">
        <f>+P3/444</f>
        <v>0</v>
      </c>
    </row>
    <row r="4" spans="1:17" x14ac:dyDescent="0.25">
      <c r="A4" t="s">
        <v>323</v>
      </c>
      <c r="E4" s="197"/>
      <c r="G4">
        <v>13764</v>
      </c>
      <c r="H4">
        <f>SUM(F4*G4)</f>
        <v>0</v>
      </c>
      <c r="N4" s="203" t="s">
        <v>410</v>
      </c>
      <c r="O4" s="202" t="s">
        <v>409</v>
      </c>
      <c r="P4" s="202"/>
      <c r="Q4" s="204">
        <f t="shared" ref="Q4:Q67" si="0">+P4/444</f>
        <v>0</v>
      </c>
    </row>
    <row r="5" spans="1:17" x14ac:dyDescent="0.25">
      <c r="A5" t="s">
        <v>324</v>
      </c>
      <c r="E5" s="197"/>
      <c r="G5">
        <v>12432</v>
      </c>
      <c r="H5">
        <f t="shared" ref="H5:H15" si="1">SUM(F5*G5)</f>
        <v>0</v>
      </c>
      <c r="N5" s="203" t="s">
        <v>411</v>
      </c>
      <c r="O5" s="202" t="s">
        <v>409</v>
      </c>
      <c r="P5" s="202"/>
      <c r="Q5" s="204">
        <f t="shared" si="0"/>
        <v>0</v>
      </c>
    </row>
    <row r="6" spans="1:17" x14ac:dyDescent="0.25">
      <c r="A6" t="s">
        <v>325</v>
      </c>
      <c r="E6" s="197"/>
      <c r="G6">
        <v>13764</v>
      </c>
      <c r="H6">
        <f t="shared" si="1"/>
        <v>0</v>
      </c>
      <c r="N6" s="203" t="s">
        <v>412</v>
      </c>
      <c r="O6" s="202" t="s">
        <v>409</v>
      </c>
      <c r="P6" s="202"/>
      <c r="Q6" s="204">
        <f t="shared" si="0"/>
        <v>0</v>
      </c>
    </row>
    <row r="7" spans="1:17" x14ac:dyDescent="0.25">
      <c r="A7" t="s">
        <v>326</v>
      </c>
      <c r="E7" s="197"/>
      <c r="G7">
        <v>13320</v>
      </c>
      <c r="H7">
        <f t="shared" si="1"/>
        <v>0</v>
      </c>
      <c r="N7" s="203" t="s">
        <v>413</v>
      </c>
      <c r="O7" s="202" t="s">
        <v>409</v>
      </c>
      <c r="P7" s="202"/>
      <c r="Q7" s="204">
        <f t="shared" si="0"/>
        <v>0</v>
      </c>
    </row>
    <row r="8" spans="1:17" x14ac:dyDescent="0.25">
      <c r="A8" t="s">
        <v>327</v>
      </c>
      <c r="E8" s="197"/>
      <c r="G8">
        <v>13764</v>
      </c>
      <c r="H8">
        <f t="shared" si="1"/>
        <v>0</v>
      </c>
      <c r="N8" s="203" t="s">
        <v>414</v>
      </c>
      <c r="O8" s="202" t="s">
        <v>409</v>
      </c>
      <c r="P8" s="202"/>
      <c r="Q8" s="204">
        <f t="shared" si="0"/>
        <v>0</v>
      </c>
    </row>
    <row r="9" spans="1:17" x14ac:dyDescent="0.25">
      <c r="A9" t="s">
        <v>328</v>
      </c>
      <c r="E9" s="197"/>
      <c r="G9">
        <v>13320</v>
      </c>
      <c r="H9">
        <f t="shared" si="1"/>
        <v>0</v>
      </c>
      <c r="N9" s="203" t="s">
        <v>415</v>
      </c>
      <c r="O9" s="202" t="s">
        <v>409</v>
      </c>
      <c r="P9" s="202"/>
      <c r="Q9" s="204">
        <f t="shared" si="0"/>
        <v>0</v>
      </c>
    </row>
    <row r="10" spans="1:17" x14ac:dyDescent="0.25">
      <c r="A10" t="s">
        <v>329</v>
      </c>
      <c r="E10" s="197"/>
      <c r="G10">
        <v>13764</v>
      </c>
      <c r="H10">
        <f t="shared" si="1"/>
        <v>0</v>
      </c>
      <c r="N10" s="203" t="s">
        <v>416</v>
      </c>
      <c r="O10" s="202" t="s">
        <v>409</v>
      </c>
      <c r="P10" s="202"/>
      <c r="Q10" s="204">
        <f t="shared" si="0"/>
        <v>0</v>
      </c>
    </row>
    <row r="11" spans="1:17" x14ac:dyDescent="0.25">
      <c r="A11" t="s">
        <v>330</v>
      </c>
      <c r="E11" s="197"/>
      <c r="G11">
        <v>13764</v>
      </c>
      <c r="H11">
        <f t="shared" si="1"/>
        <v>0</v>
      </c>
      <c r="N11" s="203" t="s">
        <v>417</v>
      </c>
      <c r="O11" s="202" t="s">
        <v>409</v>
      </c>
      <c r="P11" s="202"/>
      <c r="Q11" s="204">
        <f t="shared" si="0"/>
        <v>0</v>
      </c>
    </row>
    <row r="12" spans="1:17" x14ac:dyDescent="0.25">
      <c r="A12" t="s">
        <v>331</v>
      </c>
      <c r="E12" s="197"/>
      <c r="G12">
        <v>13320</v>
      </c>
      <c r="H12">
        <f>SUM(F12*G12)</f>
        <v>0</v>
      </c>
      <c r="N12" s="203" t="s">
        <v>418</v>
      </c>
      <c r="O12" s="202" t="s">
        <v>409</v>
      </c>
      <c r="P12" s="202"/>
      <c r="Q12" s="204">
        <f t="shared" si="0"/>
        <v>0</v>
      </c>
    </row>
    <row r="13" spans="1:17" x14ac:dyDescent="0.25">
      <c r="A13" t="s">
        <v>332</v>
      </c>
      <c r="E13" s="197"/>
      <c r="G13">
        <v>13764</v>
      </c>
      <c r="H13">
        <f t="shared" si="1"/>
        <v>0</v>
      </c>
      <c r="N13" s="203" t="s">
        <v>419</v>
      </c>
      <c r="O13" s="202" t="s">
        <v>409</v>
      </c>
      <c r="P13" s="202"/>
      <c r="Q13" s="204">
        <f t="shared" si="0"/>
        <v>0</v>
      </c>
    </row>
    <row r="14" spans="1:17" x14ac:dyDescent="0.25">
      <c r="A14" t="s">
        <v>333</v>
      </c>
      <c r="E14" s="197"/>
      <c r="G14">
        <v>13320</v>
      </c>
      <c r="H14">
        <f t="shared" si="1"/>
        <v>0</v>
      </c>
      <c r="N14" s="203" t="s">
        <v>420</v>
      </c>
      <c r="O14" s="202" t="s">
        <v>409</v>
      </c>
      <c r="P14" s="202"/>
      <c r="Q14" s="204">
        <f t="shared" si="0"/>
        <v>0</v>
      </c>
    </row>
    <row r="15" spans="1:17" x14ac:dyDescent="0.25">
      <c r="A15" t="s">
        <v>334</v>
      </c>
      <c r="E15" s="198"/>
      <c r="G15">
        <v>13764</v>
      </c>
      <c r="H15">
        <f t="shared" si="1"/>
        <v>0</v>
      </c>
      <c r="N15" s="203" t="s">
        <v>421</v>
      </c>
      <c r="O15" s="202" t="s">
        <v>409</v>
      </c>
      <c r="P15" s="202"/>
      <c r="Q15" s="204">
        <f t="shared" si="0"/>
        <v>0</v>
      </c>
    </row>
    <row r="16" spans="1:17" x14ac:dyDescent="0.25">
      <c r="E16" s="197"/>
      <c r="G16">
        <f>SUM(G4:G15)</f>
        <v>162060</v>
      </c>
      <c r="H16">
        <f>SUM(H4:H15)</f>
        <v>0</v>
      </c>
      <c r="N16" s="203" t="s">
        <v>422</v>
      </c>
      <c r="O16" s="202" t="s">
        <v>409</v>
      </c>
      <c r="P16" s="202"/>
      <c r="Q16" s="204">
        <f t="shared" si="0"/>
        <v>0</v>
      </c>
    </row>
    <row r="17" spans="9:17" x14ac:dyDescent="0.25">
      <c r="N17" s="203" t="s">
        <v>423</v>
      </c>
      <c r="O17" s="202" t="s">
        <v>409</v>
      </c>
      <c r="P17" s="202"/>
      <c r="Q17" s="204">
        <f t="shared" si="0"/>
        <v>0</v>
      </c>
    </row>
    <row r="18" spans="9:17" x14ac:dyDescent="0.25">
      <c r="N18" s="203" t="s">
        <v>424</v>
      </c>
      <c r="O18" s="202" t="s">
        <v>409</v>
      </c>
      <c r="P18" s="202"/>
      <c r="Q18" s="204">
        <f t="shared" si="0"/>
        <v>0</v>
      </c>
    </row>
    <row r="19" spans="9:17" x14ac:dyDescent="0.25">
      <c r="N19" s="203" t="s">
        <v>425</v>
      </c>
      <c r="O19" s="202" t="s">
        <v>409</v>
      </c>
      <c r="P19" s="202"/>
      <c r="Q19" s="204">
        <f t="shared" si="0"/>
        <v>0</v>
      </c>
    </row>
    <row r="20" spans="9:17" x14ac:dyDescent="0.25">
      <c r="N20" s="203" t="s">
        <v>426</v>
      </c>
      <c r="O20" s="202" t="s">
        <v>409</v>
      </c>
      <c r="P20" s="202"/>
      <c r="Q20" s="204">
        <f t="shared" si="0"/>
        <v>0</v>
      </c>
    </row>
    <row r="21" spans="9:17" x14ac:dyDescent="0.25">
      <c r="N21" s="203" t="s">
        <v>427</v>
      </c>
      <c r="O21" s="202" t="s">
        <v>409</v>
      </c>
      <c r="P21" s="202"/>
      <c r="Q21" s="204">
        <f t="shared" si="0"/>
        <v>0</v>
      </c>
    </row>
    <row r="22" spans="9:17" x14ac:dyDescent="0.25">
      <c r="N22" s="203" t="s">
        <v>428</v>
      </c>
      <c r="O22" s="202" t="s">
        <v>409</v>
      </c>
      <c r="P22" s="202"/>
      <c r="Q22" s="204">
        <f t="shared" si="0"/>
        <v>0</v>
      </c>
    </row>
    <row r="23" spans="9:17" x14ac:dyDescent="0.25">
      <c r="N23" s="203" t="s">
        <v>429</v>
      </c>
      <c r="O23" s="202" t="s">
        <v>409</v>
      </c>
      <c r="P23" s="202"/>
      <c r="Q23" s="204">
        <f t="shared" si="0"/>
        <v>0</v>
      </c>
    </row>
    <row r="24" spans="9:17" x14ac:dyDescent="0.25">
      <c r="N24" s="203" t="s">
        <v>430</v>
      </c>
      <c r="O24" s="202" t="s">
        <v>409</v>
      </c>
      <c r="P24" s="202"/>
      <c r="Q24" s="204">
        <f t="shared" si="0"/>
        <v>0</v>
      </c>
    </row>
    <row r="25" spans="9:17" x14ac:dyDescent="0.25">
      <c r="I25" s="22"/>
      <c r="J25" s="22">
        <v>2017</v>
      </c>
      <c r="K25" s="22">
        <v>2018</v>
      </c>
      <c r="L25" s="22">
        <v>2019</v>
      </c>
      <c r="N25" s="203" t="s">
        <v>431</v>
      </c>
      <c r="O25" s="202" t="s">
        <v>409</v>
      </c>
      <c r="P25" s="202"/>
      <c r="Q25" s="204">
        <f t="shared" si="0"/>
        <v>0</v>
      </c>
    </row>
    <row r="26" spans="9:17" x14ac:dyDescent="0.25">
      <c r="I26" s="22" t="s">
        <v>398</v>
      </c>
      <c r="J26" s="22">
        <v>120328</v>
      </c>
      <c r="K26" s="22">
        <v>119350</v>
      </c>
      <c r="L26" s="22">
        <v>91868</v>
      </c>
      <c r="N26" s="203" t="s">
        <v>432</v>
      </c>
      <c r="O26" s="202" t="s">
        <v>409</v>
      </c>
      <c r="P26" s="202"/>
      <c r="Q26" s="204">
        <f t="shared" si="0"/>
        <v>0</v>
      </c>
    </row>
    <row r="27" spans="9:17" x14ac:dyDescent="0.25">
      <c r="I27" s="22" t="s">
        <v>399</v>
      </c>
      <c r="J27" s="22">
        <v>17910500</v>
      </c>
      <c r="K27" s="22">
        <v>17636409</v>
      </c>
      <c r="L27" s="22">
        <v>13838299</v>
      </c>
      <c r="N27" s="203" t="s">
        <v>433</v>
      </c>
      <c r="O27" s="202" t="s">
        <v>409</v>
      </c>
      <c r="P27" s="202"/>
      <c r="Q27" s="204">
        <f t="shared" si="0"/>
        <v>0</v>
      </c>
    </row>
    <row r="28" spans="9:17" x14ac:dyDescent="0.25">
      <c r="I28" s="22" t="s">
        <v>400</v>
      </c>
      <c r="J28" s="22">
        <f>SUM(J27/J26)</f>
        <v>148.84731733262416</v>
      </c>
      <c r="K28" s="22">
        <f t="shared" ref="K28:L28" si="2">SUM(K27/K26)</f>
        <v>147.77049853372435</v>
      </c>
      <c r="L28" s="22">
        <f t="shared" si="2"/>
        <v>150.63241825227502</v>
      </c>
      <c r="N28" s="203" t="s">
        <v>434</v>
      </c>
      <c r="O28" s="202" t="s">
        <v>409</v>
      </c>
      <c r="P28" s="202"/>
      <c r="Q28" s="204">
        <f t="shared" si="0"/>
        <v>0</v>
      </c>
    </row>
    <row r="29" spans="9:17" x14ac:dyDescent="0.25">
      <c r="I29" s="22" t="s">
        <v>401</v>
      </c>
      <c r="J29" s="22">
        <v>600069</v>
      </c>
      <c r="K29" s="22">
        <v>584640</v>
      </c>
      <c r="L29" s="22">
        <v>432248</v>
      </c>
      <c r="N29" s="203" t="s">
        <v>435</v>
      </c>
      <c r="O29" s="202" t="s">
        <v>409</v>
      </c>
      <c r="P29" s="202"/>
      <c r="Q29" s="204">
        <f t="shared" si="0"/>
        <v>0</v>
      </c>
    </row>
    <row r="30" spans="9:17" x14ac:dyDescent="0.25">
      <c r="I30" s="22" t="s">
        <v>402</v>
      </c>
      <c r="J30" s="22">
        <f>SUM(J29/J26)</f>
        <v>4.9869440196795427</v>
      </c>
      <c r="K30" s="22">
        <f>SUM(K29/K26)</f>
        <v>4.8985337243401759</v>
      </c>
      <c r="L30" s="22">
        <f>SUM(L29/L26)</f>
        <v>4.7050986197587843</v>
      </c>
      <c r="N30" s="203" t="s">
        <v>436</v>
      </c>
      <c r="O30" s="202" t="s">
        <v>409</v>
      </c>
      <c r="P30" s="202"/>
      <c r="Q30" s="204">
        <f t="shared" si="0"/>
        <v>0</v>
      </c>
    </row>
    <row r="31" spans="9:17" x14ac:dyDescent="0.25">
      <c r="N31" s="203" t="s">
        <v>437</v>
      </c>
      <c r="O31" s="202" t="s">
        <v>409</v>
      </c>
      <c r="P31" s="202"/>
      <c r="Q31" s="204">
        <f t="shared" si="0"/>
        <v>0</v>
      </c>
    </row>
    <row r="32" spans="9:17" x14ac:dyDescent="0.25">
      <c r="I32" s="3" t="s">
        <v>403</v>
      </c>
      <c r="N32" s="203" t="s">
        <v>438</v>
      </c>
      <c r="O32" s="202" t="s">
        <v>409</v>
      </c>
      <c r="P32" s="202"/>
      <c r="Q32" s="204">
        <f t="shared" si="0"/>
        <v>0</v>
      </c>
    </row>
    <row r="33" spans="14:17" x14ac:dyDescent="0.25">
      <c r="N33" s="203" t="s">
        <v>439</v>
      </c>
      <c r="O33" s="202" t="s">
        <v>409</v>
      </c>
      <c r="P33" s="202"/>
      <c r="Q33" s="204">
        <f t="shared" si="0"/>
        <v>0</v>
      </c>
    </row>
    <row r="34" spans="14:17" x14ac:dyDescent="0.25">
      <c r="N34" s="203" t="s">
        <v>408</v>
      </c>
      <c r="O34" s="202" t="s">
        <v>440</v>
      </c>
      <c r="P34" s="202"/>
      <c r="Q34" s="204">
        <f t="shared" si="0"/>
        <v>0</v>
      </c>
    </row>
    <row r="35" spans="14:17" x14ac:dyDescent="0.25">
      <c r="N35" s="203" t="s">
        <v>410</v>
      </c>
      <c r="O35" s="202" t="s">
        <v>440</v>
      </c>
      <c r="P35" s="202"/>
      <c r="Q35" s="204">
        <f t="shared" si="0"/>
        <v>0</v>
      </c>
    </row>
    <row r="36" spans="14:17" x14ac:dyDescent="0.25">
      <c r="N36" s="203" t="s">
        <v>411</v>
      </c>
      <c r="O36" s="202" t="s">
        <v>440</v>
      </c>
      <c r="P36" s="202"/>
      <c r="Q36" s="204">
        <f t="shared" si="0"/>
        <v>0</v>
      </c>
    </row>
    <row r="37" spans="14:17" x14ac:dyDescent="0.25">
      <c r="N37" s="203" t="s">
        <v>412</v>
      </c>
      <c r="O37" s="202" t="s">
        <v>440</v>
      </c>
      <c r="P37" s="202"/>
      <c r="Q37" s="204">
        <f t="shared" si="0"/>
        <v>0</v>
      </c>
    </row>
    <row r="38" spans="14:17" x14ac:dyDescent="0.25">
      <c r="N38" s="203" t="s">
        <v>413</v>
      </c>
      <c r="O38" s="202" t="s">
        <v>440</v>
      </c>
      <c r="P38" s="202"/>
      <c r="Q38" s="204">
        <f t="shared" si="0"/>
        <v>0</v>
      </c>
    </row>
    <row r="39" spans="14:17" x14ac:dyDescent="0.25">
      <c r="N39" s="203" t="s">
        <v>414</v>
      </c>
      <c r="O39" s="202" t="s">
        <v>440</v>
      </c>
      <c r="P39" s="202"/>
      <c r="Q39" s="204">
        <f t="shared" si="0"/>
        <v>0</v>
      </c>
    </row>
    <row r="40" spans="14:17" x14ac:dyDescent="0.25">
      <c r="N40" s="203" t="s">
        <v>415</v>
      </c>
      <c r="O40" s="202" t="s">
        <v>440</v>
      </c>
      <c r="P40" s="202"/>
      <c r="Q40" s="204">
        <f t="shared" si="0"/>
        <v>0</v>
      </c>
    </row>
    <row r="41" spans="14:17" x14ac:dyDescent="0.25">
      <c r="N41" s="203" t="s">
        <v>416</v>
      </c>
      <c r="O41" s="202" t="s">
        <v>440</v>
      </c>
      <c r="P41" s="202"/>
      <c r="Q41" s="204">
        <f t="shared" si="0"/>
        <v>0</v>
      </c>
    </row>
    <row r="42" spans="14:17" x14ac:dyDescent="0.25">
      <c r="N42" s="203" t="s">
        <v>417</v>
      </c>
      <c r="O42" s="202" t="s">
        <v>440</v>
      </c>
      <c r="P42" s="202"/>
      <c r="Q42" s="204">
        <f t="shared" si="0"/>
        <v>0</v>
      </c>
    </row>
    <row r="43" spans="14:17" x14ac:dyDescent="0.25">
      <c r="N43" s="203" t="s">
        <v>418</v>
      </c>
      <c r="O43" s="202" t="s">
        <v>440</v>
      </c>
      <c r="P43" s="202"/>
      <c r="Q43" s="204">
        <f t="shared" si="0"/>
        <v>0</v>
      </c>
    </row>
    <row r="44" spans="14:17" x14ac:dyDescent="0.25">
      <c r="N44" s="203" t="s">
        <v>419</v>
      </c>
      <c r="O44" s="202" t="s">
        <v>440</v>
      </c>
      <c r="P44" s="202"/>
      <c r="Q44" s="204">
        <f t="shared" si="0"/>
        <v>0</v>
      </c>
    </row>
    <row r="45" spans="14:17" x14ac:dyDescent="0.25">
      <c r="N45" s="203" t="s">
        <v>420</v>
      </c>
      <c r="O45" s="202" t="s">
        <v>440</v>
      </c>
      <c r="P45" s="202"/>
      <c r="Q45" s="204">
        <f t="shared" si="0"/>
        <v>0</v>
      </c>
    </row>
    <row r="46" spans="14:17" x14ac:dyDescent="0.25">
      <c r="N46" s="203" t="s">
        <v>421</v>
      </c>
      <c r="O46" s="202" t="s">
        <v>440</v>
      </c>
      <c r="P46" s="202"/>
      <c r="Q46" s="204">
        <f t="shared" si="0"/>
        <v>0</v>
      </c>
    </row>
    <row r="47" spans="14:17" x14ac:dyDescent="0.25">
      <c r="N47" s="203" t="s">
        <v>422</v>
      </c>
      <c r="O47" s="202" t="s">
        <v>440</v>
      </c>
      <c r="P47" s="202"/>
      <c r="Q47" s="204">
        <f t="shared" si="0"/>
        <v>0</v>
      </c>
    </row>
    <row r="48" spans="14:17" x14ac:dyDescent="0.25">
      <c r="N48" s="203" t="s">
        <v>423</v>
      </c>
      <c r="O48" s="202" t="s">
        <v>440</v>
      </c>
      <c r="P48" s="202"/>
      <c r="Q48" s="204">
        <f t="shared" si="0"/>
        <v>0</v>
      </c>
    </row>
    <row r="49" spans="14:17" x14ac:dyDescent="0.25">
      <c r="N49" s="203" t="s">
        <v>424</v>
      </c>
      <c r="O49" s="202" t="s">
        <v>440</v>
      </c>
      <c r="P49" s="202"/>
      <c r="Q49" s="204">
        <f t="shared" si="0"/>
        <v>0</v>
      </c>
    </row>
    <row r="50" spans="14:17" x14ac:dyDescent="0.25">
      <c r="N50" s="203" t="s">
        <v>425</v>
      </c>
      <c r="O50" s="202" t="s">
        <v>440</v>
      </c>
      <c r="P50" s="202"/>
      <c r="Q50" s="204">
        <f t="shared" si="0"/>
        <v>0</v>
      </c>
    </row>
    <row r="51" spans="14:17" x14ac:dyDescent="0.25">
      <c r="N51" s="203" t="s">
        <v>426</v>
      </c>
      <c r="O51" s="202" t="s">
        <v>440</v>
      </c>
      <c r="P51" s="202"/>
      <c r="Q51" s="204">
        <f t="shared" si="0"/>
        <v>0</v>
      </c>
    </row>
    <row r="52" spans="14:17" x14ac:dyDescent="0.25">
      <c r="N52" s="203" t="s">
        <v>427</v>
      </c>
      <c r="O52" s="202" t="s">
        <v>440</v>
      </c>
      <c r="P52" s="202"/>
      <c r="Q52" s="204">
        <f t="shared" si="0"/>
        <v>0</v>
      </c>
    </row>
    <row r="53" spans="14:17" x14ac:dyDescent="0.25">
      <c r="N53" s="203" t="s">
        <v>428</v>
      </c>
      <c r="O53" s="202" t="s">
        <v>440</v>
      </c>
      <c r="P53" s="202"/>
      <c r="Q53" s="204">
        <f t="shared" si="0"/>
        <v>0</v>
      </c>
    </row>
    <row r="54" spans="14:17" x14ac:dyDescent="0.25">
      <c r="N54" s="203" t="s">
        <v>429</v>
      </c>
      <c r="O54" s="202" t="s">
        <v>440</v>
      </c>
      <c r="P54" s="202"/>
      <c r="Q54" s="204">
        <f t="shared" si="0"/>
        <v>0</v>
      </c>
    </row>
    <row r="55" spans="14:17" x14ac:dyDescent="0.25">
      <c r="N55" s="203" t="s">
        <v>430</v>
      </c>
      <c r="O55" s="202" t="s">
        <v>440</v>
      </c>
      <c r="P55" s="202"/>
      <c r="Q55" s="204">
        <f t="shared" si="0"/>
        <v>0</v>
      </c>
    </row>
    <row r="56" spans="14:17" x14ac:dyDescent="0.25">
      <c r="N56" s="203" t="s">
        <v>431</v>
      </c>
      <c r="O56" s="202" t="s">
        <v>440</v>
      </c>
      <c r="P56" s="202"/>
      <c r="Q56" s="204">
        <f t="shared" si="0"/>
        <v>0</v>
      </c>
    </row>
    <row r="57" spans="14:17" x14ac:dyDescent="0.25">
      <c r="N57" s="203" t="s">
        <v>432</v>
      </c>
      <c r="O57" s="202" t="s">
        <v>440</v>
      </c>
      <c r="P57" s="202"/>
      <c r="Q57" s="204">
        <f t="shared" si="0"/>
        <v>0</v>
      </c>
    </row>
    <row r="58" spans="14:17" x14ac:dyDescent="0.25">
      <c r="N58" s="203" t="s">
        <v>433</v>
      </c>
      <c r="O58" s="202" t="s">
        <v>440</v>
      </c>
      <c r="P58" s="202"/>
      <c r="Q58" s="204">
        <f t="shared" si="0"/>
        <v>0</v>
      </c>
    </row>
    <row r="59" spans="14:17" x14ac:dyDescent="0.25">
      <c r="N59" s="203" t="s">
        <v>434</v>
      </c>
      <c r="O59" s="202" t="s">
        <v>440</v>
      </c>
      <c r="P59" s="202"/>
      <c r="Q59" s="204">
        <f t="shared" si="0"/>
        <v>0</v>
      </c>
    </row>
    <row r="60" spans="14:17" x14ac:dyDescent="0.25">
      <c r="N60" s="203" t="s">
        <v>435</v>
      </c>
      <c r="O60" s="202" t="s">
        <v>440</v>
      </c>
      <c r="P60" s="202"/>
      <c r="Q60" s="204">
        <f t="shared" si="0"/>
        <v>0</v>
      </c>
    </row>
    <row r="61" spans="14:17" x14ac:dyDescent="0.25">
      <c r="N61" s="203" t="s">
        <v>436</v>
      </c>
      <c r="O61" s="202" t="s">
        <v>440</v>
      </c>
      <c r="P61" s="202"/>
      <c r="Q61" s="204">
        <f t="shared" si="0"/>
        <v>0</v>
      </c>
    </row>
    <row r="62" spans="14:17" x14ac:dyDescent="0.25">
      <c r="N62" s="203" t="s">
        <v>437</v>
      </c>
      <c r="O62" s="202" t="s">
        <v>440</v>
      </c>
      <c r="P62" s="202"/>
      <c r="Q62" s="204">
        <f t="shared" si="0"/>
        <v>0</v>
      </c>
    </row>
    <row r="63" spans="14:17" x14ac:dyDescent="0.25">
      <c r="N63" s="203" t="s">
        <v>408</v>
      </c>
      <c r="O63" s="202" t="s">
        <v>441</v>
      </c>
      <c r="P63" s="202"/>
      <c r="Q63" s="204">
        <f t="shared" si="0"/>
        <v>0</v>
      </c>
    </row>
    <row r="64" spans="14:17" x14ac:dyDescent="0.25">
      <c r="N64" s="203" t="s">
        <v>410</v>
      </c>
      <c r="O64" s="202" t="s">
        <v>441</v>
      </c>
      <c r="P64" s="202"/>
      <c r="Q64" s="204">
        <f t="shared" si="0"/>
        <v>0</v>
      </c>
    </row>
    <row r="65" spans="14:17" x14ac:dyDescent="0.25">
      <c r="N65" s="203" t="s">
        <v>411</v>
      </c>
      <c r="O65" s="202" t="s">
        <v>441</v>
      </c>
      <c r="P65" s="202"/>
      <c r="Q65" s="204">
        <f t="shared" si="0"/>
        <v>0</v>
      </c>
    </row>
    <row r="66" spans="14:17" x14ac:dyDescent="0.25">
      <c r="N66" s="203" t="s">
        <v>412</v>
      </c>
      <c r="O66" s="202" t="s">
        <v>441</v>
      </c>
      <c r="P66" s="202"/>
      <c r="Q66" s="204">
        <f t="shared" si="0"/>
        <v>0</v>
      </c>
    </row>
    <row r="67" spans="14:17" x14ac:dyDescent="0.25">
      <c r="N67" s="203" t="s">
        <v>413</v>
      </c>
      <c r="O67" s="202" t="s">
        <v>441</v>
      </c>
      <c r="P67" s="202"/>
      <c r="Q67" s="204">
        <f t="shared" si="0"/>
        <v>0</v>
      </c>
    </row>
    <row r="68" spans="14:17" x14ac:dyDescent="0.25">
      <c r="N68" s="203" t="s">
        <v>414</v>
      </c>
      <c r="O68" s="202" t="s">
        <v>441</v>
      </c>
      <c r="P68" s="202"/>
      <c r="Q68" s="204">
        <f t="shared" ref="Q68:Q131" si="3">+P68/444</f>
        <v>0</v>
      </c>
    </row>
    <row r="69" spans="14:17" x14ac:dyDescent="0.25">
      <c r="N69" s="203" t="s">
        <v>415</v>
      </c>
      <c r="O69" s="202" t="s">
        <v>441</v>
      </c>
      <c r="P69" s="202"/>
      <c r="Q69" s="204">
        <f t="shared" si="3"/>
        <v>0</v>
      </c>
    </row>
    <row r="70" spans="14:17" x14ac:dyDescent="0.25">
      <c r="N70" s="203" t="s">
        <v>416</v>
      </c>
      <c r="O70" s="202" t="s">
        <v>441</v>
      </c>
      <c r="P70" s="202"/>
      <c r="Q70" s="204">
        <f t="shared" si="3"/>
        <v>0</v>
      </c>
    </row>
    <row r="71" spans="14:17" x14ac:dyDescent="0.25">
      <c r="N71" s="203" t="s">
        <v>417</v>
      </c>
      <c r="O71" s="202" t="s">
        <v>441</v>
      </c>
      <c r="P71" s="202"/>
      <c r="Q71" s="204">
        <f t="shared" si="3"/>
        <v>0</v>
      </c>
    </row>
    <row r="72" spans="14:17" x14ac:dyDescent="0.25">
      <c r="N72" s="203" t="s">
        <v>418</v>
      </c>
      <c r="O72" s="202" t="s">
        <v>441</v>
      </c>
      <c r="P72" s="202"/>
      <c r="Q72" s="204">
        <f t="shared" si="3"/>
        <v>0</v>
      </c>
    </row>
    <row r="73" spans="14:17" x14ac:dyDescent="0.25">
      <c r="N73" s="203" t="s">
        <v>419</v>
      </c>
      <c r="O73" s="202" t="s">
        <v>441</v>
      </c>
      <c r="P73" s="202"/>
      <c r="Q73" s="204">
        <f t="shared" si="3"/>
        <v>0</v>
      </c>
    </row>
    <row r="74" spans="14:17" x14ac:dyDescent="0.25">
      <c r="N74" s="203" t="s">
        <v>420</v>
      </c>
      <c r="O74" s="202" t="s">
        <v>441</v>
      </c>
      <c r="P74" s="202"/>
      <c r="Q74" s="204">
        <f t="shared" si="3"/>
        <v>0</v>
      </c>
    </row>
    <row r="75" spans="14:17" x14ac:dyDescent="0.25">
      <c r="N75" s="203" t="s">
        <v>421</v>
      </c>
      <c r="O75" s="202" t="s">
        <v>441</v>
      </c>
      <c r="P75" s="202"/>
      <c r="Q75" s="204">
        <f t="shared" si="3"/>
        <v>0</v>
      </c>
    </row>
    <row r="76" spans="14:17" x14ac:dyDescent="0.25">
      <c r="N76" s="203" t="s">
        <v>422</v>
      </c>
      <c r="O76" s="202" t="s">
        <v>441</v>
      </c>
      <c r="P76" s="202"/>
      <c r="Q76" s="204">
        <f t="shared" si="3"/>
        <v>0</v>
      </c>
    </row>
    <row r="77" spans="14:17" x14ac:dyDescent="0.25">
      <c r="N77" s="203" t="s">
        <v>423</v>
      </c>
      <c r="O77" s="202" t="s">
        <v>441</v>
      </c>
      <c r="P77" s="202"/>
      <c r="Q77" s="204">
        <f t="shared" si="3"/>
        <v>0</v>
      </c>
    </row>
    <row r="78" spans="14:17" x14ac:dyDescent="0.25">
      <c r="N78" s="203" t="s">
        <v>424</v>
      </c>
      <c r="O78" s="202" t="s">
        <v>441</v>
      </c>
      <c r="P78" s="202"/>
      <c r="Q78" s="204">
        <f t="shared" si="3"/>
        <v>0</v>
      </c>
    </row>
    <row r="79" spans="14:17" x14ac:dyDescent="0.25">
      <c r="N79" s="203" t="s">
        <v>425</v>
      </c>
      <c r="O79" s="202" t="s">
        <v>441</v>
      </c>
      <c r="P79" s="202"/>
      <c r="Q79" s="204">
        <f t="shared" si="3"/>
        <v>0</v>
      </c>
    </row>
    <row r="80" spans="14:17" x14ac:dyDescent="0.25">
      <c r="N80" s="203" t="s">
        <v>426</v>
      </c>
      <c r="O80" s="202" t="s">
        <v>441</v>
      </c>
      <c r="P80" s="202"/>
      <c r="Q80" s="204">
        <f t="shared" si="3"/>
        <v>0</v>
      </c>
    </row>
    <row r="81" spans="14:17" x14ac:dyDescent="0.25">
      <c r="N81" s="203" t="s">
        <v>427</v>
      </c>
      <c r="O81" s="202" t="s">
        <v>441</v>
      </c>
      <c r="P81" s="202"/>
      <c r="Q81" s="204">
        <f t="shared" si="3"/>
        <v>0</v>
      </c>
    </row>
    <row r="82" spans="14:17" x14ac:dyDescent="0.25">
      <c r="N82" s="203" t="s">
        <v>428</v>
      </c>
      <c r="O82" s="202" t="s">
        <v>441</v>
      </c>
      <c r="P82" s="202"/>
      <c r="Q82" s="204">
        <f t="shared" si="3"/>
        <v>0</v>
      </c>
    </row>
    <row r="83" spans="14:17" x14ac:dyDescent="0.25">
      <c r="N83" s="203" t="s">
        <v>429</v>
      </c>
      <c r="O83" s="202" t="s">
        <v>441</v>
      </c>
      <c r="P83" s="202"/>
      <c r="Q83" s="204">
        <f t="shared" si="3"/>
        <v>0</v>
      </c>
    </row>
    <row r="84" spans="14:17" x14ac:dyDescent="0.25">
      <c r="N84" s="203" t="s">
        <v>430</v>
      </c>
      <c r="O84" s="202" t="s">
        <v>441</v>
      </c>
      <c r="P84" s="202"/>
      <c r="Q84" s="204">
        <f t="shared" si="3"/>
        <v>0</v>
      </c>
    </row>
    <row r="85" spans="14:17" x14ac:dyDescent="0.25">
      <c r="N85" s="203" t="s">
        <v>431</v>
      </c>
      <c r="O85" s="202" t="s">
        <v>441</v>
      </c>
      <c r="P85" s="202"/>
      <c r="Q85" s="204">
        <f t="shared" si="3"/>
        <v>0</v>
      </c>
    </row>
    <row r="86" spans="14:17" x14ac:dyDescent="0.25">
      <c r="N86" s="203" t="s">
        <v>432</v>
      </c>
      <c r="O86" s="202" t="s">
        <v>441</v>
      </c>
      <c r="P86" s="202"/>
      <c r="Q86" s="204">
        <f t="shared" si="3"/>
        <v>0</v>
      </c>
    </row>
    <row r="87" spans="14:17" x14ac:dyDescent="0.25">
      <c r="N87" s="203" t="s">
        <v>433</v>
      </c>
      <c r="O87" s="202" t="s">
        <v>441</v>
      </c>
      <c r="P87" s="202"/>
      <c r="Q87" s="204">
        <f t="shared" si="3"/>
        <v>0</v>
      </c>
    </row>
    <row r="88" spans="14:17" x14ac:dyDescent="0.25">
      <c r="N88" s="203" t="s">
        <v>434</v>
      </c>
      <c r="O88" s="202" t="s">
        <v>441</v>
      </c>
      <c r="P88" s="202"/>
      <c r="Q88" s="204">
        <f t="shared" si="3"/>
        <v>0</v>
      </c>
    </row>
    <row r="89" spans="14:17" x14ac:dyDescent="0.25">
      <c r="N89" s="203" t="s">
        <v>435</v>
      </c>
      <c r="O89" s="202" t="s">
        <v>441</v>
      </c>
      <c r="P89" s="202"/>
      <c r="Q89" s="204">
        <f t="shared" si="3"/>
        <v>0</v>
      </c>
    </row>
    <row r="90" spans="14:17" x14ac:dyDescent="0.25">
      <c r="N90" s="203" t="s">
        <v>436</v>
      </c>
      <c r="O90" s="202" t="s">
        <v>441</v>
      </c>
      <c r="P90" s="202"/>
      <c r="Q90" s="204">
        <f t="shared" si="3"/>
        <v>0</v>
      </c>
    </row>
    <row r="91" spans="14:17" x14ac:dyDescent="0.25">
      <c r="N91" s="203" t="s">
        <v>437</v>
      </c>
      <c r="O91" s="202" t="s">
        <v>441</v>
      </c>
      <c r="P91" s="202"/>
      <c r="Q91" s="204">
        <f t="shared" si="3"/>
        <v>0</v>
      </c>
    </row>
    <row r="92" spans="14:17" x14ac:dyDescent="0.25">
      <c r="N92" s="203" t="s">
        <v>438</v>
      </c>
      <c r="O92" s="202" t="s">
        <v>441</v>
      </c>
      <c r="P92" s="202"/>
      <c r="Q92" s="204">
        <f t="shared" si="3"/>
        <v>0</v>
      </c>
    </row>
    <row r="93" spans="14:17" x14ac:dyDescent="0.25">
      <c r="N93" s="203" t="s">
        <v>439</v>
      </c>
      <c r="O93" s="202" t="s">
        <v>441</v>
      </c>
      <c r="P93" s="202"/>
      <c r="Q93" s="204">
        <f t="shared" si="3"/>
        <v>0</v>
      </c>
    </row>
    <row r="94" spans="14:17" x14ac:dyDescent="0.25">
      <c r="N94" s="203" t="s">
        <v>408</v>
      </c>
      <c r="O94" s="202" t="s">
        <v>442</v>
      </c>
      <c r="P94" s="202"/>
      <c r="Q94" s="204">
        <f t="shared" si="3"/>
        <v>0</v>
      </c>
    </row>
    <row r="95" spans="14:17" x14ac:dyDescent="0.25">
      <c r="N95" s="203" t="s">
        <v>410</v>
      </c>
      <c r="O95" s="202" t="s">
        <v>442</v>
      </c>
      <c r="P95" s="202"/>
      <c r="Q95" s="204">
        <f t="shared" si="3"/>
        <v>0</v>
      </c>
    </row>
    <row r="96" spans="14:17" x14ac:dyDescent="0.25">
      <c r="N96" s="203" t="s">
        <v>411</v>
      </c>
      <c r="O96" s="202" t="s">
        <v>442</v>
      </c>
      <c r="P96" s="202"/>
      <c r="Q96" s="204">
        <f t="shared" si="3"/>
        <v>0</v>
      </c>
    </row>
    <row r="97" spans="14:17" x14ac:dyDescent="0.25">
      <c r="N97" s="203" t="s">
        <v>412</v>
      </c>
      <c r="O97" s="202" t="s">
        <v>442</v>
      </c>
      <c r="P97" s="202"/>
      <c r="Q97" s="204">
        <f t="shared" si="3"/>
        <v>0</v>
      </c>
    </row>
    <row r="98" spans="14:17" x14ac:dyDescent="0.25">
      <c r="N98" s="203" t="s">
        <v>413</v>
      </c>
      <c r="O98" s="202" t="s">
        <v>442</v>
      </c>
      <c r="P98" s="202"/>
      <c r="Q98" s="204">
        <f t="shared" si="3"/>
        <v>0</v>
      </c>
    </row>
    <row r="99" spans="14:17" x14ac:dyDescent="0.25">
      <c r="N99" s="203" t="s">
        <v>414</v>
      </c>
      <c r="O99" s="202" t="s">
        <v>442</v>
      </c>
      <c r="P99" s="202"/>
      <c r="Q99" s="204">
        <f t="shared" si="3"/>
        <v>0</v>
      </c>
    </row>
    <row r="100" spans="14:17" x14ac:dyDescent="0.25">
      <c r="N100" s="203" t="s">
        <v>415</v>
      </c>
      <c r="O100" s="202" t="s">
        <v>442</v>
      </c>
      <c r="P100" s="202"/>
      <c r="Q100" s="204">
        <f t="shared" si="3"/>
        <v>0</v>
      </c>
    </row>
    <row r="101" spans="14:17" x14ac:dyDescent="0.25">
      <c r="N101" s="203" t="s">
        <v>416</v>
      </c>
      <c r="O101" s="202" t="s">
        <v>442</v>
      </c>
      <c r="P101" s="202"/>
      <c r="Q101" s="204">
        <f t="shared" si="3"/>
        <v>0</v>
      </c>
    </row>
    <row r="102" spans="14:17" x14ac:dyDescent="0.25">
      <c r="N102" s="203" t="s">
        <v>417</v>
      </c>
      <c r="O102" s="202" t="s">
        <v>442</v>
      </c>
      <c r="P102" s="202"/>
      <c r="Q102" s="204">
        <f t="shared" si="3"/>
        <v>0</v>
      </c>
    </row>
    <row r="103" spans="14:17" x14ac:dyDescent="0.25">
      <c r="N103" s="203" t="s">
        <v>418</v>
      </c>
      <c r="O103" s="202" t="s">
        <v>442</v>
      </c>
      <c r="P103" s="202"/>
      <c r="Q103" s="204">
        <f t="shared" si="3"/>
        <v>0</v>
      </c>
    </row>
    <row r="104" spans="14:17" x14ac:dyDescent="0.25">
      <c r="N104" s="203" t="s">
        <v>419</v>
      </c>
      <c r="O104" s="202" t="s">
        <v>442</v>
      </c>
      <c r="P104" s="202"/>
      <c r="Q104" s="204">
        <f t="shared" si="3"/>
        <v>0</v>
      </c>
    </row>
    <row r="105" spans="14:17" x14ac:dyDescent="0.25">
      <c r="N105" s="203" t="s">
        <v>420</v>
      </c>
      <c r="O105" s="202" t="s">
        <v>442</v>
      </c>
      <c r="P105" s="202"/>
      <c r="Q105" s="204">
        <f t="shared" si="3"/>
        <v>0</v>
      </c>
    </row>
    <row r="106" spans="14:17" x14ac:dyDescent="0.25">
      <c r="N106" s="203" t="s">
        <v>421</v>
      </c>
      <c r="O106" s="202" t="s">
        <v>442</v>
      </c>
      <c r="P106" s="202"/>
      <c r="Q106" s="204">
        <f t="shared" si="3"/>
        <v>0</v>
      </c>
    </row>
    <row r="107" spans="14:17" x14ac:dyDescent="0.25">
      <c r="N107" s="203" t="s">
        <v>422</v>
      </c>
      <c r="O107" s="202" t="s">
        <v>442</v>
      </c>
      <c r="P107" s="202"/>
      <c r="Q107" s="204">
        <f t="shared" si="3"/>
        <v>0</v>
      </c>
    </row>
    <row r="108" spans="14:17" x14ac:dyDescent="0.25">
      <c r="N108" s="203" t="s">
        <v>423</v>
      </c>
      <c r="O108" s="202" t="s">
        <v>442</v>
      </c>
      <c r="P108" s="202"/>
      <c r="Q108" s="204">
        <f t="shared" si="3"/>
        <v>0</v>
      </c>
    </row>
    <row r="109" spans="14:17" x14ac:dyDescent="0.25">
      <c r="N109" s="203" t="s">
        <v>424</v>
      </c>
      <c r="O109" s="202" t="s">
        <v>442</v>
      </c>
      <c r="P109" s="202"/>
      <c r="Q109" s="204">
        <f t="shared" si="3"/>
        <v>0</v>
      </c>
    </row>
    <row r="110" spans="14:17" x14ac:dyDescent="0.25">
      <c r="N110" s="203" t="s">
        <v>425</v>
      </c>
      <c r="O110" s="202" t="s">
        <v>442</v>
      </c>
      <c r="P110" s="202"/>
      <c r="Q110" s="204">
        <f t="shared" si="3"/>
        <v>0</v>
      </c>
    </row>
    <row r="111" spans="14:17" x14ac:dyDescent="0.25">
      <c r="N111" s="203" t="s">
        <v>426</v>
      </c>
      <c r="O111" s="202" t="s">
        <v>442</v>
      </c>
      <c r="P111" s="202"/>
      <c r="Q111" s="204">
        <f t="shared" si="3"/>
        <v>0</v>
      </c>
    </row>
    <row r="112" spans="14:17" x14ac:dyDescent="0.25">
      <c r="N112" s="203" t="s">
        <v>427</v>
      </c>
      <c r="O112" s="202" t="s">
        <v>442</v>
      </c>
      <c r="P112" s="202"/>
      <c r="Q112" s="204">
        <f t="shared" si="3"/>
        <v>0</v>
      </c>
    </row>
    <row r="113" spans="14:17" x14ac:dyDescent="0.25">
      <c r="N113" s="203" t="s">
        <v>428</v>
      </c>
      <c r="O113" s="202" t="s">
        <v>442</v>
      </c>
      <c r="P113" s="202"/>
      <c r="Q113" s="204">
        <f t="shared" si="3"/>
        <v>0</v>
      </c>
    </row>
    <row r="114" spans="14:17" x14ac:dyDescent="0.25">
      <c r="N114" s="203" t="s">
        <v>429</v>
      </c>
      <c r="O114" s="202" t="s">
        <v>442</v>
      </c>
      <c r="P114" s="202"/>
      <c r="Q114" s="204">
        <f t="shared" si="3"/>
        <v>0</v>
      </c>
    </row>
    <row r="115" spans="14:17" x14ac:dyDescent="0.25">
      <c r="N115" s="203" t="s">
        <v>430</v>
      </c>
      <c r="O115" s="202" t="s">
        <v>442</v>
      </c>
      <c r="P115" s="202"/>
      <c r="Q115" s="204">
        <f t="shared" si="3"/>
        <v>0</v>
      </c>
    </row>
    <row r="116" spans="14:17" x14ac:dyDescent="0.25">
      <c r="N116" s="203" t="s">
        <v>431</v>
      </c>
      <c r="O116" s="202" t="s">
        <v>442</v>
      </c>
      <c r="P116" s="202"/>
      <c r="Q116" s="204">
        <f t="shared" si="3"/>
        <v>0</v>
      </c>
    </row>
    <row r="117" spans="14:17" x14ac:dyDescent="0.25">
      <c r="N117" s="203" t="s">
        <v>432</v>
      </c>
      <c r="O117" s="202" t="s">
        <v>442</v>
      </c>
      <c r="P117" s="202"/>
      <c r="Q117" s="204">
        <f t="shared" si="3"/>
        <v>0</v>
      </c>
    </row>
    <row r="118" spans="14:17" x14ac:dyDescent="0.25">
      <c r="N118" s="203" t="s">
        <v>433</v>
      </c>
      <c r="O118" s="202" t="s">
        <v>442</v>
      </c>
      <c r="P118" s="202"/>
      <c r="Q118" s="204">
        <f t="shared" si="3"/>
        <v>0</v>
      </c>
    </row>
    <row r="119" spans="14:17" x14ac:dyDescent="0.25">
      <c r="N119" s="203" t="s">
        <v>434</v>
      </c>
      <c r="O119" s="202" t="s">
        <v>442</v>
      </c>
      <c r="P119" s="202"/>
      <c r="Q119" s="204">
        <f t="shared" si="3"/>
        <v>0</v>
      </c>
    </row>
    <row r="120" spans="14:17" x14ac:dyDescent="0.25">
      <c r="N120" s="203" t="s">
        <v>435</v>
      </c>
      <c r="O120" s="202" t="s">
        <v>442</v>
      </c>
      <c r="P120" s="202"/>
      <c r="Q120" s="204">
        <f t="shared" si="3"/>
        <v>0</v>
      </c>
    </row>
    <row r="121" spans="14:17" x14ac:dyDescent="0.25">
      <c r="N121" s="203" t="s">
        <v>436</v>
      </c>
      <c r="O121" s="202" t="s">
        <v>442</v>
      </c>
      <c r="P121" s="202"/>
      <c r="Q121" s="204">
        <f t="shared" si="3"/>
        <v>0</v>
      </c>
    </row>
    <row r="122" spans="14:17" x14ac:dyDescent="0.25">
      <c r="N122" s="203" t="s">
        <v>437</v>
      </c>
      <c r="O122" s="202" t="s">
        <v>442</v>
      </c>
      <c r="P122" s="202"/>
      <c r="Q122" s="204">
        <f t="shared" si="3"/>
        <v>0</v>
      </c>
    </row>
    <row r="123" spans="14:17" x14ac:dyDescent="0.25">
      <c r="N123" s="203" t="s">
        <v>438</v>
      </c>
      <c r="O123" s="202" t="s">
        <v>442</v>
      </c>
      <c r="P123" s="202"/>
      <c r="Q123" s="204">
        <f t="shared" si="3"/>
        <v>0</v>
      </c>
    </row>
    <row r="124" spans="14:17" x14ac:dyDescent="0.25">
      <c r="N124" s="203" t="s">
        <v>408</v>
      </c>
      <c r="O124" s="202" t="s">
        <v>443</v>
      </c>
      <c r="P124" s="202"/>
      <c r="Q124" s="204">
        <f t="shared" si="3"/>
        <v>0</v>
      </c>
    </row>
    <row r="125" spans="14:17" x14ac:dyDescent="0.25">
      <c r="N125" s="203" t="s">
        <v>410</v>
      </c>
      <c r="O125" s="202" t="s">
        <v>443</v>
      </c>
      <c r="P125" s="202"/>
      <c r="Q125" s="204">
        <f t="shared" si="3"/>
        <v>0</v>
      </c>
    </row>
    <row r="126" spans="14:17" x14ac:dyDescent="0.25">
      <c r="N126" s="203" t="s">
        <v>411</v>
      </c>
      <c r="O126" s="202" t="s">
        <v>443</v>
      </c>
      <c r="P126" s="202"/>
      <c r="Q126" s="204">
        <f t="shared" si="3"/>
        <v>0</v>
      </c>
    </row>
    <row r="127" spans="14:17" x14ac:dyDescent="0.25">
      <c r="N127" s="203" t="s">
        <v>412</v>
      </c>
      <c r="O127" s="202" t="s">
        <v>443</v>
      </c>
      <c r="P127" s="202"/>
      <c r="Q127" s="204">
        <f t="shared" si="3"/>
        <v>0</v>
      </c>
    </row>
    <row r="128" spans="14:17" x14ac:dyDescent="0.25">
      <c r="N128" s="203" t="s">
        <v>413</v>
      </c>
      <c r="O128" s="202" t="s">
        <v>443</v>
      </c>
      <c r="P128" s="202"/>
      <c r="Q128" s="204">
        <f t="shared" si="3"/>
        <v>0</v>
      </c>
    </row>
    <row r="129" spans="14:17" x14ac:dyDescent="0.25">
      <c r="N129" s="203" t="s">
        <v>414</v>
      </c>
      <c r="O129" s="202" t="s">
        <v>443</v>
      </c>
      <c r="P129" s="202"/>
      <c r="Q129" s="204">
        <f t="shared" si="3"/>
        <v>0</v>
      </c>
    </row>
    <row r="130" spans="14:17" x14ac:dyDescent="0.25">
      <c r="N130" s="203" t="s">
        <v>415</v>
      </c>
      <c r="O130" s="202" t="s">
        <v>443</v>
      </c>
      <c r="P130" s="202"/>
      <c r="Q130" s="204">
        <f t="shared" si="3"/>
        <v>0</v>
      </c>
    </row>
    <row r="131" spans="14:17" x14ac:dyDescent="0.25">
      <c r="N131" s="203" t="s">
        <v>416</v>
      </c>
      <c r="O131" s="202" t="s">
        <v>443</v>
      </c>
      <c r="P131" s="202"/>
      <c r="Q131" s="204">
        <f t="shared" si="3"/>
        <v>0</v>
      </c>
    </row>
    <row r="132" spans="14:17" x14ac:dyDescent="0.25">
      <c r="N132" s="203" t="s">
        <v>417</v>
      </c>
      <c r="O132" s="202" t="s">
        <v>443</v>
      </c>
      <c r="P132" s="202"/>
      <c r="Q132" s="204">
        <f t="shared" ref="Q132:Q195" si="4">+P132/444</f>
        <v>0</v>
      </c>
    </row>
    <row r="133" spans="14:17" x14ac:dyDescent="0.25">
      <c r="N133" s="203" t="s">
        <v>418</v>
      </c>
      <c r="O133" s="202" t="s">
        <v>443</v>
      </c>
      <c r="P133" s="202"/>
      <c r="Q133" s="204">
        <f t="shared" si="4"/>
        <v>0</v>
      </c>
    </row>
    <row r="134" spans="14:17" x14ac:dyDescent="0.25">
      <c r="N134" s="203" t="s">
        <v>419</v>
      </c>
      <c r="O134" s="202" t="s">
        <v>443</v>
      </c>
      <c r="P134" s="202"/>
      <c r="Q134" s="204">
        <f t="shared" si="4"/>
        <v>0</v>
      </c>
    </row>
    <row r="135" spans="14:17" x14ac:dyDescent="0.25">
      <c r="N135" s="203" t="s">
        <v>420</v>
      </c>
      <c r="O135" s="202" t="s">
        <v>443</v>
      </c>
      <c r="P135" s="202"/>
      <c r="Q135" s="204">
        <f t="shared" si="4"/>
        <v>0</v>
      </c>
    </row>
    <row r="136" spans="14:17" x14ac:dyDescent="0.25">
      <c r="N136" s="203" t="s">
        <v>421</v>
      </c>
      <c r="O136" s="202" t="s">
        <v>443</v>
      </c>
      <c r="P136" s="202"/>
      <c r="Q136" s="204">
        <f t="shared" si="4"/>
        <v>0</v>
      </c>
    </row>
    <row r="137" spans="14:17" x14ac:dyDescent="0.25">
      <c r="N137" s="203" t="s">
        <v>422</v>
      </c>
      <c r="O137" s="202" t="s">
        <v>443</v>
      </c>
      <c r="P137" s="202"/>
      <c r="Q137" s="204">
        <f t="shared" si="4"/>
        <v>0</v>
      </c>
    </row>
    <row r="138" spans="14:17" x14ac:dyDescent="0.25">
      <c r="N138" s="203" t="s">
        <v>423</v>
      </c>
      <c r="O138" s="202" t="s">
        <v>443</v>
      </c>
      <c r="P138" s="202"/>
      <c r="Q138" s="204">
        <f t="shared" si="4"/>
        <v>0</v>
      </c>
    </row>
    <row r="139" spans="14:17" x14ac:dyDescent="0.25">
      <c r="N139" s="203" t="s">
        <v>424</v>
      </c>
      <c r="O139" s="202" t="s">
        <v>443</v>
      </c>
      <c r="P139" s="202"/>
      <c r="Q139" s="204">
        <f t="shared" si="4"/>
        <v>0</v>
      </c>
    </row>
    <row r="140" spans="14:17" x14ac:dyDescent="0.25">
      <c r="N140" s="203" t="s">
        <v>425</v>
      </c>
      <c r="O140" s="202" t="s">
        <v>443</v>
      </c>
      <c r="P140" s="202"/>
      <c r="Q140" s="204">
        <f t="shared" si="4"/>
        <v>0</v>
      </c>
    </row>
    <row r="141" spans="14:17" x14ac:dyDescent="0.25">
      <c r="N141" s="203" t="s">
        <v>426</v>
      </c>
      <c r="O141" s="202" t="s">
        <v>443</v>
      </c>
      <c r="P141" s="202"/>
      <c r="Q141" s="204">
        <f t="shared" si="4"/>
        <v>0</v>
      </c>
    </row>
    <row r="142" spans="14:17" x14ac:dyDescent="0.25">
      <c r="N142" s="203" t="s">
        <v>427</v>
      </c>
      <c r="O142" s="202" t="s">
        <v>443</v>
      </c>
      <c r="P142" s="202"/>
      <c r="Q142" s="204">
        <f t="shared" si="4"/>
        <v>0</v>
      </c>
    </row>
    <row r="143" spans="14:17" x14ac:dyDescent="0.25">
      <c r="N143" s="203" t="s">
        <v>428</v>
      </c>
      <c r="O143" s="202" t="s">
        <v>443</v>
      </c>
      <c r="P143" s="202"/>
      <c r="Q143" s="204">
        <f t="shared" si="4"/>
        <v>0</v>
      </c>
    </row>
    <row r="144" spans="14:17" x14ac:dyDescent="0.25">
      <c r="N144" s="203" t="s">
        <v>429</v>
      </c>
      <c r="O144" s="202" t="s">
        <v>443</v>
      </c>
      <c r="P144" s="202"/>
      <c r="Q144" s="204">
        <f t="shared" si="4"/>
        <v>0</v>
      </c>
    </row>
    <row r="145" spans="14:17" x14ac:dyDescent="0.25">
      <c r="N145" s="203" t="s">
        <v>430</v>
      </c>
      <c r="O145" s="202" t="s">
        <v>443</v>
      </c>
      <c r="P145" s="202"/>
      <c r="Q145" s="204">
        <f t="shared" si="4"/>
        <v>0</v>
      </c>
    </row>
    <row r="146" spans="14:17" x14ac:dyDescent="0.25">
      <c r="N146" s="203" t="s">
        <v>431</v>
      </c>
      <c r="O146" s="202" t="s">
        <v>443</v>
      </c>
      <c r="P146" s="202"/>
      <c r="Q146" s="204">
        <f t="shared" si="4"/>
        <v>0</v>
      </c>
    </row>
    <row r="147" spans="14:17" x14ac:dyDescent="0.25">
      <c r="N147" s="203" t="s">
        <v>432</v>
      </c>
      <c r="O147" s="202" t="s">
        <v>443</v>
      </c>
      <c r="P147" s="202"/>
      <c r="Q147" s="204">
        <f t="shared" si="4"/>
        <v>0</v>
      </c>
    </row>
    <row r="148" spans="14:17" x14ac:dyDescent="0.25">
      <c r="N148" s="203" t="s">
        <v>433</v>
      </c>
      <c r="O148" s="202" t="s">
        <v>443</v>
      </c>
      <c r="P148" s="202"/>
      <c r="Q148" s="204">
        <f t="shared" si="4"/>
        <v>0</v>
      </c>
    </row>
    <row r="149" spans="14:17" x14ac:dyDescent="0.25">
      <c r="N149" s="203" t="s">
        <v>434</v>
      </c>
      <c r="O149" s="202" t="s">
        <v>443</v>
      </c>
      <c r="P149" s="202"/>
      <c r="Q149" s="204">
        <f t="shared" si="4"/>
        <v>0</v>
      </c>
    </row>
    <row r="150" spans="14:17" x14ac:dyDescent="0.25">
      <c r="N150" s="203" t="s">
        <v>435</v>
      </c>
      <c r="O150" s="202" t="s">
        <v>443</v>
      </c>
      <c r="P150" s="202"/>
      <c r="Q150" s="204">
        <f t="shared" si="4"/>
        <v>0</v>
      </c>
    </row>
    <row r="151" spans="14:17" x14ac:dyDescent="0.25">
      <c r="N151" s="203" t="s">
        <v>436</v>
      </c>
      <c r="O151" s="202" t="s">
        <v>443</v>
      </c>
      <c r="P151" s="202"/>
      <c r="Q151" s="204">
        <f t="shared" si="4"/>
        <v>0</v>
      </c>
    </row>
    <row r="152" spans="14:17" x14ac:dyDescent="0.25">
      <c r="N152" s="203" t="s">
        <v>437</v>
      </c>
      <c r="O152" s="202" t="s">
        <v>443</v>
      </c>
      <c r="P152" s="202"/>
      <c r="Q152" s="204">
        <f t="shared" si="4"/>
        <v>0</v>
      </c>
    </row>
    <row r="153" spans="14:17" x14ac:dyDescent="0.25">
      <c r="N153" s="203" t="s">
        <v>438</v>
      </c>
      <c r="O153" s="202" t="s">
        <v>443</v>
      </c>
      <c r="P153" s="202"/>
      <c r="Q153" s="204">
        <f t="shared" si="4"/>
        <v>0</v>
      </c>
    </row>
    <row r="154" spans="14:17" x14ac:dyDescent="0.25">
      <c r="N154" s="203" t="s">
        <v>439</v>
      </c>
      <c r="O154" s="202" t="s">
        <v>443</v>
      </c>
      <c r="P154" s="202"/>
      <c r="Q154" s="204">
        <f t="shared" si="4"/>
        <v>0</v>
      </c>
    </row>
    <row r="155" spans="14:17" x14ac:dyDescent="0.25">
      <c r="N155" s="203" t="s">
        <v>408</v>
      </c>
      <c r="O155" s="202" t="s">
        <v>444</v>
      </c>
      <c r="P155" s="202"/>
      <c r="Q155" s="204">
        <f t="shared" si="4"/>
        <v>0</v>
      </c>
    </row>
    <row r="156" spans="14:17" x14ac:dyDescent="0.25">
      <c r="N156" s="203" t="s">
        <v>410</v>
      </c>
      <c r="O156" s="202" t="s">
        <v>444</v>
      </c>
      <c r="P156" s="202"/>
      <c r="Q156" s="204">
        <f t="shared" si="4"/>
        <v>0</v>
      </c>
    </row>
    <row r="157" spans="14:17" x14ac:dyDescent="0.25">
      <c r="N157" s="203" t="s">
        <v>411</v>
      </c>
      <c r="O157" s="202" t="s">
        <v>444</v>
      </c>
      <c r="P157" s="202"/>
      <c r="Q157" s="204">
        <f t="shared" si="4"/>
        <v>0</v>
      </c>
    </row>
    <row r="158" spans="14:17" x14ac:dyDescent="0.25">
      <c r="N158" s="203" t="s">
        <v>412</v>
      </c>
      <c r="O158" s="202" t="s">
        <v>444</v>
      </c>
      <c r="P158" s="202"/>
      <c r="Q158" s="204">
        <f t="shared" si="4"/>
        <v>0</v>
      </c>
    </row>
    <row r="159" spans="14:17" x14ac:dyDescent="0.25">
      <c r="N159" s="203" t="s">
        <v>413</v>
      </c>
      <c r="O159" s="202" t="s">
        <v>444</v>
      </c>
      <c r="P159" s="202"/>
      <c r="Q159" s="204">
        <f t="shared" si="4"/>
        <v>0</v>
      </c>
    </row>
    <row r="160" spans="14:17" x14ac:dyDescent="0.25">
      <c r="N160" s="203" t="s">
        <v>414</v>
      </c>
      <c r="O160" s="202" t="s">
        <v>444</v>
      </c>
      <c r="P160" s="202"/>
      <c r="Q160" s="204">
        <f t="shared" si="4"/>
        <v>0</v>
      </c>
    </row>
    <row r="161" spans="14:17" x14ac:dyDescent="0.25">
      <c r="N161" s="203" t="s">
        <v>415</v>
      </c>
      <c r="O161" s="202" t="s">
        <v>444</v>
      </c>
      <c r="P161" s="202"/>
      <c r="Q161" s="204">
        <f t="shared" si="4"/>
        <v>0</v>
      </c>
    </row>
    <row r="162" spans="14:17" x14ac:dyDescent="0.25">
      <c r="N162" s="203" t="s">
        <v>416</v>
      </c>
      <c r="O162" s="202" t="s">
        <v>444</v>
      </c>
      <c r="P162" s="202"/>
      <c r="Q162" s="204">
        <f t="shared" si="4"/>
        <v>0</v>
      </c>
    </row>
    <row r="163" spans="14:17" x14ac:dyDescent="0.25">
      <c r="N163" s="203" t="s">
        <v>417</v>
      </c>
      <c r="O163" s="202" t="s">
        <v>444</v>
      </c>
      <c r="P163" s="202"/>
      <c r="Q163" s="204">
        <f t="shared" si="4"/>
        <v>0</v>
      </c>
    </row>
    <row r="164" spans="14:17" x14ac:dyDescent="0.25">
      <c r="N164" s="203" t="s">
        <v>418</v>
      </c>
      <c r="O164" s="202" t="s">
        <v>444</v>
      </c>
      <c r="P164" s="202"/>
      <c r="Q164" s="204">
        <f t="shared" si="4"/>
        <v>0</v>
      </c>
    </row>
    <row r="165" spans="14:17" x14ac:dyDescent="0.25">
      <c r="N165" s="203" t="s">
        <v>419</v>
      </c>
      <c r="O165" s="202" t="s">
        <v>444</v>
      </c>
      <c r="P165" s="202"/>
      <c r="Q165" s="204">
        <f t="shared" si="4"/>
        <v>0</v>
      </c>
    </row>
    <row r="166" spans="14:17" x14ac:dyDescent="0.25">
      <c r="N166" s="203" t="s">
        <v>420</v>
      </c>
      <c r="O166" s="202" t="s">
        <v>444</v>
      </c>
      <c r="P166" s="202"/>
      <c r="Q166" s="204">
        <f t="shared" si="4"/>
        <v>0</v>
      </c>
    </row>
    <row r="167" spans="14:17" x14ac:dyDescent="0.25">
      <c r="N167" s="203" t="s">
        <v>421</v>
      </c>
      <c r="O167" s="202" t="s">
        <v>444</v>
      </c>
      <c r="P167" s="202"/>
      <c r="Q167" s="204">
        <f t="shared" si="4"/>
        <v>0</v>
      </c>
    </row>
    <row r="168" spans="14:17" x14ac:dyDescent="0.25">
      <c r="N168" s="203" t="s">
        <v>422</v>
      </c>
      <c r="O168" s="202" t="s">
        <v>444</v>
      </c>
      <c r="P168" s="202"/>
      <c r="Q168" s="204">
        <f t="shared" si="4"/>
        <v>0</v>
      </c>
    </row>
    <row r="169" spans="14:17" x14ac:dyDescent="0.25">
      <c r="N169" s="203" t="s">
        <v>423</v>
      </c>
      <c r="O169" s="202" t="s">
        <v>444</v>
      </c>
      <c r="P169" s="202"/>
      <c r="Q169" s="204">
        <f t="shared" si="4"/>
        <v>0</v>
      </c>
    </row>
    <row r="170" spans="14:17" x14ac:dyDescent="0.25">
      <c r="N170" s="203" t="s">
        <v>424</v>
      </c>
      <c r="O170" s="202" t="s">
        <v>444</v>
      </c>
      <c r="P170" s="202"/>
      <c r="Q170" s="204">
        <f t="shared" si="4"/>
        <v>0</v>
      </c>
    </row>
    <row r="171" spans="14:17" x14ac:dyDescent="0.25">
      <c r="N171" s="203" t="s">
        <v>425</v>
      </c>
      <c r="O171" s="202" t="s">
        <v>444</v>
      </c>
      <c r="P171" s="202"/>
      <c r="Q171" s="204">
        <f t="shared" si="4"/>
        <v>0</v>
      </c>
    </row>
    <row r="172" spans="14:17" x14ac:dyDescent="0.25">
      <c r="N172" s="203" t="s">
        <v>426</v>
      </c>
      <c r="O172" s="202" t="s">
        <v>444</v>
      </c>
      <c r="P172" s="202"/>
      <c r="Q172" s="204">
        <f t="shared" si="4"/>
        <v>0</v>
      </c>
    </row>
    <row r="173" spans="14:17" x14ac:dyDescent="0.25">
      <c r="N173" s="203" t="s">
        <v>427</v>
      </c>
      <c r="O173" s="202" t="s">
        <v>444</v>
      </c>
      <c r="P173" s="202"/>
      <c r="Q173" s="204">
        <f t="shared" si="4"/>
        <v>0</v>
      </c>
    </row>
    <row r="174" spans="14:17" x14ac:dyDescent="0.25">
      <c r="N174" s="203" t="s">
        <v>428</v>
      </c>
      <c r="O174" s="202" t="s">
        <v>444</v>
      </c>
      <c r="P174" s="202"/>
      <c r="Q174" s="204">
        <f t="shared" si="4"/>
        <v>0</v>
      </c>
    </row>
    <row r="175" spans="14:17" x14ac:dyDescent="0.25">
      <c r="N175" s="203" t="s">
        <v>429</v>
      </c>
      <c r="O175" s="202" t="s">
        <v>444</v>
      </c>
      <c r="P175" s="202"/>
      <c r="Q175" s="204">
        <f t="shared" si="4"/>
        <v>0</v>
      </c>
    </row>
    <row r="176" spans="14:17" x14ac:dyDescent="0.25">
      <c r="N176" s="203" t="s">
        <v>430</v>
      </c>
      <c r="O176" s="202" t="s">
        <v>444</v>
      </c>
      <c r="P176" s="202"/>
      <c r="Q176" s="204">
        <f t="shared" si="4"/>
        <v>0</v>
      </c>
    </row>
    <row r="177" spans="14:17" x14ac:dyDescent="0.25">
      <c r="N177" s="203" t="s">
        <v>431</v>
      </c>
      <c r="O177" s="202" t="s">
        <v>444</v>
      </c>
      <c r="P177" s="202"/>
      <c r="Q177" s="204">
        <f t="shared" si="4"/>
        <v>0</v>
      </c>
    </row>
    <row r="178" spans="14:17" x14ac:dyDescent="0.25">
      <c r="N178" s="203" t="s">
        <v>432</v>
      </c>
      <c r="O178" s="202" t="s">
        <v>444</v>
      </c>
      <c r="P178" s="202"/>
      <c r="Q178" s="204">
        <f t="shared" si="4"/>
        <v>0</v>
      </c>
    </row>
    <row r="179" spans="14:17" x14ac:dyDescent="0.25">
      <c r="N179" s="203" t="s">
        <v>433</v>
      </c>
      <c r="O179" s="202" t="s">
        <v>444</v>
      </c>
      <c r="P179" s="202"/>
      <c r="Q179" s="204">
        <f t="shared" si="4"/>
        <v>0</v>
      </c>
    </row>
    <row r="180" spans="14:17" x14ac:dyDescent="0.25">
      <c r="N180" s="203" t="s">
        <v>434</v>
      </c>
      <c r="O180" s="202" t="s">
        <v>444</v>
      </c>
      <c r="P180" s="202"/>
      <c r="Q180" s="204">
        <f t="shared" si="4"/>
        <v>0</v>
      </c>
    </row>
    <row r="181" spans="14:17" x14ac:dyDescent="0.25">
      <c r="N181" s="203" t="s">
        <v>435</v>
      </c>
      <c r="O181" s="202" t="s">
        <v>444</v>
      </c>
      <c r="P181" s="202"/>
      <c r="Q181" s="204">
        <f t="shared" si="4"/>
        <v>0</v>
      </c>
    </row>
    <row r="182" spans="14:17" x14ac:dyDescent="0.25">
      <c r="N182" s="203" t="s">
        <v>436</v>
      </c>
      <c r="O182" s="202" t="s">
        <v>444</v>
      </c>
      <c r="P182" s="202"/>
      <c r="Q182" s="204">
        <f t="shared" si="4"/>
        <v>0</v>
      </c>
    </row>
    <row r="183" spans="14:17" x14ac:dyDescent="0.25">
      <c r="N183" s="203" t="s">
        <v>437</v>
      </c>
      <c r="O183" s="202" t="s">
        <v>444</v>
      </c>
      <c r="P183" s="202"/>
      <c r="Q183" s="204">
        <f t="shared" si="4"/>
        <v>0</v>
      </c>
    </row>
    <row r="184" spans="14:17" x14ac:dyDescent="0.25">
      <c r="N184" s="203" t="s">
        <v>438</v>
      </c>
      <c r="O184" s="202" t="s">
        <v>444</v>
      </c>
      <c r="P184" s="202"/>
      <c r="Q184" s="204">
        <f t="shared" si="4"/>
        <v>0</v>
      </c>
    </row>
    <row r="185" spans="14:17" x14ac:dyDescent="0.25">
      <c r="N185" s="203" t="s">
        <v>408</v>
      </c>
      <c r="O185" s="202" t="s">
        <v>445</v>
      </c>
      <c r="P185" s="202"/>
      <c r="Q185" s="204">
        <f t="shared" si="4"/>
        <v>0</v>
      </c>
    </row>
    <row r="186" spans="14:17" x14ac:dyDescent="0.25">
      <c r="N186" s="203" t="s">
        <v>410</v>
      </c>
      <c r="O186" s="202" t="s">
        <v>445</v>
      </c>
      <c r="P186" s="202"/>
      <c r="Q186" s="204">
        <f t="shared" si="4"/>
        <v>0</v>
      </c>
    </row>
    <row r="187" spans="14:17" x14ac:dyDescent="0.25">
      <c r="N187" s="203" t="s">
        <v>411</v>
      </c>
      <c r="O187" s="202" t="s">
        <v>445</v>
      </c>
      <c r="P187" s="202"/>
      <c r="Q187" s="204">
        <f t="shared" si="4"/>
        <v>0</v>
      </c>
    </row>
    <row r="188" spans="14:17" x14ac:dyDescent="0.25">
      <c r="N188" s="203" t="s">
        <v>412</v>
      </c>
      <c r="O188" s="202" t="s">
        <v>445</v>
      </c>
      <c r="P188" s="202"/>
      <c r="Q188" s="204">
        <f t="shared" si="4"/>
        <v>0</v>
      </c>
    </row>
    <row r="189" spans="14:17" x14ac:dyDescent="0.25">
      <c r="N189" s="203" t="s">
        <v>413</v>
      </c>
      <c r="O189" s="202" t="s">
        <v>445</v>
      </c>
      <c r="P189" s="202"/>
      <c r="Q189" s="204">
        <f t="shared" si="4"/>
        <v>0</v>
      </c>
    </row>
    <row r="190" spans="14:17" x14ac:dyDescent="0.25">
      <c r="N190" s="203" t="s">
        <v>414</v>
      </c>
      <c r="O190" s="202" t="s">
        <v>445</v>
      </c>
      <c r="P190" s="202"/>
      <c r="Q190" s="204">
        <f t="shared" si="4"/>
        <v>0</v>
      </c>
    </row>
    <row r="191" spans="14:17" x14ac:dyDescent="0.25">
      <c r="N191" s="203" t="s">
        <v>415</v>
      </c>
      <c r="O191" s="202" t="s">
        <v>445</v>
      </c>
      <c r="P191" s="202"/>
      <c r="Q191" s="204">
        <f t="shared" si="4"/>
        <v>0</v>
      </c>
    </row>
    <row r="192" spans="14:17" x14ac:dyDescent="0.25">
      <c r="N192" s="203" t="s">
        <v>416</v>
      </c>
      <c r="O192" s="202" t="s">
        <v>445</v>
      </c>
      <c r="P192" s="202"/>
      <c r="Q192" s="204">
        <f t="shared" si="4"/>
        <v>0</v>
      </c>
    </row>
    <row r="193" spans="14:17" x14ac:dyDescent="0.25">
      <c r="N193" s="203" t="s">
        <v>417</v>
      </c>
      <c r="O193" s="202" t="s">
        <v>445</v>
      </c>
      <c r="P193" s="202"/>
      <c r="Q193" s="204">
        <f t="shared" si="4"/>
        <v>0</v>
      </c>
    </row>
    <row r="194" spans="14:17" x14ac:dyDescent="0.25">
      <c r="N194" s="203" t="s">
        <v>418</v>
      </c>
      <c r="O194" s="202" t="s">
        <v>445</v>
      </c>
      <c r="P194" s="202"/>
      <c r="Q194" s="204">
        <f t="shared" si="4"/>
        <v>0</v>
      </c>
    </row>
    <row r="195" spans="14:17" x14ac:dyDescent="0.25">
      <c r="N195" s="203" t="s">
        <v>419</v>
      </c>
      <c r="O195" s="202" t="s">
        <v>445</v>
      </c>
      <c r="P195" s="202"/>
      <c r="Q195" s="204">
        <f t="shared" si="4"/>
        <v>0</v>
      </c>
    </row>
    <row r="196" spans="14:17" x14ac:dyDescent="0.25">
      <c r="N196" s="203" t="s">
        <v>420</v>
      </c>
      <c r="O196" s="202" t="s">
        <v>445</v>
      </c>
      <c r="P196" s="202"/>
      <c r="Q196" s="204">
        <f t="shared" ref="Q196:Q259" si="5">+P196/444</f>
        <v>0</v>
      </c>
    </row>
    <row r="197" spans="14:17" x14ac:dyDescent="0.25">
      <c r="N197" s="203" t="s">
        <v>421</v>
      </c>
      <c r="O197" s="202" t="s">
        <v>445</v>
      </c>
      <c r="P197" s="202"/>
      <c r="Q197" s="204">
        <f t="shared" si="5"/>
        <v>0</v>
      </c>
    </row>
    <row r="198" spans="14:17" x14ac:dyDescent="0.25">
      <c r="N198" s="203" t="s">
        <v>422</v>
      </c>
      <c r="O198" s="202" t="s">
        <v>445</v>
      </c>
      <c r="P198" s="202"/>
      <c r="Q198" s="204">
        <f t="shared" si="5"/>
        <v>0</v>
      </c>
    </row>
    <row r="199" spans="14:17" x14ac:dyDescent="0.25">
      <c r="N199" s="203" t="s">
        <v>423</v>
      </c>
      <c r="O199" s="202" t="s">
        <v>445</v>
      </c>
      <c r="P199" s="202"/>
      <c r="Q199" s="204">
        <f t="shared" si="5"/>
        <v>0</v>
      </c>
    </row>
    <row r="200" spans="14:17" x14ac:dyDescent="0.25">
      <c r="N200" s="203" t="s">
        <v>424</v>
      </c>
      <c r="O200" s="202" t="s">
        <v>445</v>
      </c>
      <c r="P200" s="202"/>
      <c r="Q200" s="204">
        <f t="shared" si="5"/>
        <v>0</v>
      </c>
    </row>
    <row r="201" spans="14:17" x14ac:dyDescent="0.25">
      <c r="N201" s="203" t="s">
        <v>425</v>
      </c>
      <c r="O201" s="202" t="s">
        <v>445</v>
      </c>
      <c r="P201" s="202"/>
      <c r="Q201" s="204">
        <f t="shared" si="5"/>
        <v>0</v>
      </c>
    </row>
    <row r="202" spans="14:17" x14ac:dyDescent="0.25">
      <c r="N202" s="203" t="s">
        <v>426</v>
      </c>
      <c r="O202" s="202" t="s">
        <v>445</v>
      </c>
      <c r="P202" s="202"/>
      <c r="Q202" s="204">
        <f t="shared" si="5"/>
        <v>0</v>
      </c>
    </row>
    <row r="203" spans="14:17" x14ac:dyDescent="0.25">
      <c r="N203" s="203" t="s">
        <v>427</v>
      </c>
      <c r="O203" s="202" t="s">
        <v>445</v>
      </c>
      <c r="P203" s="202"/>
      <c r="Q203" s="204">
        <f t="shared" si="5"/>
        <v>0</v>
      </c>
    </row>
    <row r="204" spans="14:17" x14ac:dyDescent="0.25">
      <c r="N204" s="203" t="s">
        <v>428</v>
      </c>
      <c r="O204" s="202" t="s">
        <v>445</v>
      </c>
      <c r="P204" s="202"/>
      <c r="Q204" s="204">
        <f t="shared" si="5"/>
        <v>0</v>
      </c>
    </row>
    <row r="205" spans="14:17" x14ac:dyDescent="0.25">
      <c r="N205" s="203" t="s">
        <v>429</v>
      </c>
      <c r="O205" s="202" t="s">
        <v>445</v>
      </c>
      <c r="P205" s="202"/>
      <c r="Q205" s="204">
        <f t="shared" si="5"/>
        <v>0</v>
      </c>
    </row>
    <row r="206" spans="14:17" x14ac:dyDescent="0.25">
      <c r="N206" s="203" t="s">
        <v>430</v>
      </c>
      <c r="O206" s="202" t="s">
        <v>445</v>
      </c>
      <c r="P206" s="202"/>
      <c r="Q206" s="204">
        <f t="shared" si="5"/>
        <v>0</v>
      </c>
    </row>
    <row r="207" spans="14:17" x14ac:dyDescent="0.25">
      <c r="N207" s="203" t="s">
        <v>431</v>
      </c>
      <c r="O207" s="202" t="s">
        <v>445</v>
      </c>
      <c r="P207" s="202"/>
      <c r="Q207" s="204">
        <f t="shared" si="5"/>
        <v>0</v>
      </c>
    </row>
    <row r="208" spans="14:17" x14ac:dyDescent="0.25">
      <c r="N208" s="203" t="s">
        <v>432</v>
      </c>
      <c r="O208" s="202" t="s">
        <v>445</v>
      </c>
      <c r="P208" s="202"/>
      <c r="Q208" s="204">
        <f t="shared" si="5"/>
        <v>0</v>
      </c>
    </row>
    <row r="209" spans="14:17" x14ac:dyDescent="0.25">
      <c r="N209" s="203" t="s">
        <v>433</v>
      </c>
      <c r="O209" s="202" t="s">
        <v>445</v>
      </c>
      <c r="P209" s="202"/>
      <c r="Q209" s="204">
        <f t="shared" si="5"/>
        <v>0</v>
      </c>
    </row>
    <row r="210" spans="14:17" x14ac:dyDescent="0.25">
      <c r="N210" s="203" t="s">
        <v>434</v>
      </c>
      <c r="O210" s="202" t="s">
        <v>445</v>
      </c>
      <c r="P210" s="202"/>
      <c r="Q210" s="204">
        <f t="shared" si="5"/>
        <v>0</v>
      </c>
    </row>
    <row r="211" spans="14:17" x14ac:dyDescent="0.25">
      <c r="N211" s="203" t="s">
        <v>435</v>
      </c>
      <c r="O211" s="202" t="s">
        <v>445</v>
      </c>
      <c r="P211" s="202"/>
      <c r="Q211" s="204">
        <f t="shared" si="5"/>
        <v>0</v>
      </c>
    </row>
    <row r="212" spans="14:17" x14ac:dyDescent="0.25">
      <c r="N212" s="203" t="s">
        <v>436</v>
      </c>
      <c r="O212" s="202" t="s">
        <v>445</v>
      </c>
      <c r="P212" s="202"/>
      <c r="Q212" s="204">
        <f t="shared" si="5"/>
        <v>0</v>
      </c>
    </row>
    <row r="213" spans="14:17" x14ac:dyDescent="0.25">
      <c r="N213" s="203" t="s">
        <v>437</v>
      </c>
      <c r="O213" s="202" t="s">
        <v>445</v>
      </c>
      <c r="P213" s="202"/>
      <c r="Q213" s="204">
        <f t="shared" si="5"/>
        <v>0</v>
      </c>
    </row>
    <row r="214" spans="14:17" x14ac:dyDescent="0.25">
      <c r="N214" s="203" t="s">
        <v>438</v>
      </c>
      <c r="O214" s="202" t="s">
        <v>445</v>
      </c>
      <c r="P214" s="202"/>
      <c r="Q214" s="204">
        <f t="shared" si="5"/>
        <v>0</v>
      </c>
    </row>
    <row r="215" spans="14:17" x14ac:dyDescent="0.25">
      <c r="N215" s="203" t="s">
        <v>439</v>
      </c>
      <c r="O215" s="202" t="s">
        <v>445</v>
      </c>
      <c r="P215" s="202"/>
      <c r="Q215" s="204">
        <f t="shared" si="5"/>
        <v>0</v>
      </c>
    </row>
    <row r="216" spans="14:17" x14ac:dyDescent="0.25">
      <c r="N216" s="203" t="s">
        <v>408</v>
      </c>
      <c r="O216" s="202" t="s">
        <v>446</v>
      </c>
      <c r="P216" s="202"/>
      <c r="Q216" s="204">
        <f t="shared" si="5"/>
        <v>0</v>
      </c>
    </row>
    <row r="217" spans="14:17" x14ac:dyDescent="0.25">
      <c r="N217" s="203" t="s">
        <v>410</v>
      </c>
      <c r="O217" s="202" t="s">
        <v>446</v>
      </c>
      <c r="P217" s="202"/>
      <c r="Q217" s="204">
        <f t="shared" si="5"/>
        <v>0</v>
      </c>
    </row>
    <row r="218" spans="14:17" x14ac:dyDescent="0.25">
      <c r="N218" s="203" t="s">
        <v>411</v>
      </c>
      <c r="O218" s="202" t="s">
        <v>446</v>
      </c>
      <c r="P218" s="202"/>
      <c r="Q218" s="204">
        <f t="shared" si="5"/>
        <v>0</v>
      </c>
    </row>
    <row r="219" spans="14:17" x14ac:dyDescent="0.25">
      <c r="N219" s="203" t="s">
        <v>412</v>
      </c>
      <c r="O219" s="202" t="s">
        <v>446</v>
      </c>
      <c r="P219" s="202"/>
      <c r="Q219" s="204">
        <f t="shared" si="5"/>
        <v>0</v>
      </c>
    </row>
    <row r="220" spans="14:17" x14ac:dyDescent="0.25">
      <c r="N220" s="203" t="s">
        <v>413</v>
      </c>
      <c r="O220" s="202" t="s">
        <v>446</v>
      </c>
      <c r="P220" s="202"/>
      <c r="Q220" s="204">
        <f t="shared" si="5"/>
        <v>0</v>
      </c>
    </row>
    <row r="221" spans="14:17" x14ac:dyDescent="0.25">
      <c r="N221" s="203" t="s">
        <v>414</v>
      </c>
      <c r="O221" s="202" t="s">
        <v>446</v>
      </c>
      <c r="P221" s="202"/>
      <c r="Q221" s="204">
        <f t="shared" si="5"/>
        <v>0</v>
      </c>
    </row>
    <row r="222" spans="14:17" x14ac:dyDescent="0.25">
      <c r="N222" s="203" t="s">
        <v>415</v>
      </c>
      <c r="O222" s="202" t="s">
        <v>446</v>
      </c>
      <c r="P222" s="202"/>
      <c r="Q222" s="204">
        <f t="shared" si="5"/>
        <v>0</v>
      </c>
    </row>
    <row r="223" spans="14:17" x14ac:dyDescent="0.25">
      <c r="N223" s="203" t="s">
        <v>416</v>
      </c>
      <c r="O223" s="202" t="s">
        <v>446</v>
      </c>
      <c r="P223" s="202"/>
      <c r="Q223" s="204">
        <f t="shared" si="5"/>
        <v>0</v>
      </c>
    </row>
    <row r="224" spans="14:17" x14ac:dyDescent="0.25">
      <c r="N224" s="203" t="s">
        <v>417</v>
      </c>
      <c r="O224" s="202" t="s">
        <v>446</v>
      </c>
      <c r="P224" s="202"/>
      <c r="Q224" s="204">
        <f t="shared" si="5"/>
        <v>0</v>
      </c>
    </row>
    <row r="225" spans="14:17" x14ac:dyDescent="0.25">
      <c r="N225" s="203" t="s">
        <v>418</v>
      </c>
      <c r="O225" s="202" t="s">
        <v>446</v>
      </c>
      <c r="P225" s="202"/>
      <c r="Q225" s="204">
        <f t="shared" si="5"/>
        <v>0</v>
      </c>
    </row>
    <row r="226" spans="14:17" x14ac:dyDescent="0.25">
      <c r="N226" s="203" t="s">
        <v>419</v>
      </c>
      <c r="O226" s="202" t="s">
        <v>446</v>
      </c>
      <c r="P226" s="202"/>
      <c r="Q226" s="204">
        <f t="shared" si="5"/>
        <v>0</v>
      </c>
    </row>
    <row r="227" spans="14:17" x14ac:dyDescent="0.25">
      <c r="N227" s="203" t="s">
        <v>420</v>
      </c>
      <c r="O227" s="202" t="s">
        <v>446</v>
      </c>
      <c r="P227" s="202"/>
      <c r="Q227" s="204">
        <f t="shared" si="5"/>
        <v>0</v>
      </c>
    </row>
    <row r="228" spans="14:17" x14ac:dyDescent="0.25">
      <c r="N228" s="203" t="s">
        <v>421</v>
      </c>
      <c r="O228" s="202" t="s">
        <v>446</v>
      </c>
      <c r="P228" s="202"/>
      <c r="Q228" s="204">
        <f t="shared" si="5"/>
        <v>0</v>
      </c>
    </row>
    <row r="229" spans="14:17" x14ac:dyDescent="0.25">
      <c r="N229" s="203" t="s">
        <v>422</v>
      </c>
      <c r="O229" s="202" t="s">
        <v>446</v>
      </c>
      <c r="P229" s="202"/>
      <c r="Q229" s="204">
        <f t="shared" si="5"/>
        <v>0</v>
      </c>
    </row>
    <row r="230" spans="14:17" x14ac:dyDescent="0.25">
      <c r="N230" s="203" t="s">
        <v>423</v>
      </c>
      <c r="O230" s="202" t="s">
        <v>446</v>
      </c>
      <c r="P230" s="202"/>
      <c r="Q230" s="204">
        <f t="shared" si="5"/>
        <v>0</v>
      </c>
    </row>
    <row r="231" spans="14:17" x14ac:dyDescent="0.25">
      <c r="N231" s="203" t="s">
        <v>424</v>
      </c>
      <c r="O231" s="202" t="s">
        <v>446</v>
      </c>
      <c r="P231" s="202"/>
      <c r="Q231" s="204">
        <f t="shared" si="5"/>
        <v>0</v>
      </c>
    </row>
    <row r="232" spans="14:17" x14ac:dyDescent="0.25">
      <c r="N232" s="203" t="s">
        <v>425</v>
      </c>
      <c r="O232" s="202" t="s">
        <v>446</v>
      </c>
      <c r="P232" s="202"/>
      <c r="Q232" s="204">
        <f t="shared" si="5"/>
        <v>0</v>
      </c>
    </row>
    <row r="233" spans="14:17" x14ac:dyDescent="0.25">
      <c r="N233" s="203" t="s">
        <v>426</v>
      </c>
      <c r="O233" s="202" t="s">
        <v>446</v>
      </c>
      <c r="P233" s="202"/>
      <c r="Q233" s="204">
        <f t="shared" si="5"/>
        <v>0</v>
      </c>
    </row>
    <row r="234" spans="14:17" x14ac:dyDescent="0.25">
      <c r="N234" s="203" t="s">
        <v>427</v>
      </c>
      <c r="O234" s="202" t="s">
        <v>446</v>
      </c>
      <c r="P234" s="202"/>
      <c r="Q234" s="204">
        <f t="shared" si="5"/>
        <v>0</v>
      </c>
    </row>
    <row r="235" spans="14:17" x14ac:dyDescent="0.25">
      <c r="N235" s="203" t="s">
        <v>428</v>
      </c>
      <c r="O235" s="202" t="s">
        <v>446</v>
      </c>
      <c r="P235" s="202"/>
      <c r="Q235" s="204">
        <f t="shared" si="5"/>
        <v>0</v>
      </c>
    </row>
    <row r="236" spans="14:17" x14ac:dyDescent="0.25">
      <c r="N236" s="203" t="s">
        <v>429</v>
      </c>
      <c r="O236" s="202" t="s">
        <v>446</v>
      </c>
      <c r="P236" s="202"/>
      <c r="Q236" s="204">
        <f t="shared" si="5"/>
        <v>0</v>
      </c>
    </row>
    <row r="237" spans="14:17" x14ac:dyDescent="0.25">
      <c r="N237" s="203" t="s">
        <v>430</v>
      </c>
      <c r="O237" s="202" t="s">
        <v>446</v>
      </c>
      <c r="P237" s="202"/>
      <c r="Q237" s="204">
        <f t="shared" si="5"/>
        <v>0</v>
      </c>
    </row>
    <row r="238" spans="14:17" x14ac:dyDescent="0.25">
      <c r="N238" s="203" t="s">
        <v>431</v>
      </c>
      <c r="O238" s="202" t="s">
        <v>446</v>
      </c>
      <c r="P238" s="202"/>
      <c r="Q238" s="204">
        <f t="shared" si="5"/>
        <v>0</v>
      </c>
    </row>
    <row r="239" spans="14:17" x14ac:dyDescent="0.25">
      <c r="N239" s="203" t="s">
        <v>432</v>
      </c>
      <c r="O239" s="202" t="s">
        <v>446</v>
      </c>
      <c r="P239" s="202"/>
      <c r="Q239" s="204">
        <f t="shared" si="5"/>
        <v>0</v>
      </c>
    </row>
    <row r="240" spans="14:17" x14ac:dyDescent="0.25">
      <c r="N240" s="203" t="s">
        <v>433</v>
      </c>
      <c r="O240" s="202" t="s">
        <v>446</v>
      </c>
      <c r="P240" s="202"/>
      <c r="Q240" s="204">
        <f t="shared" si="5"/>
        <v>0</v>
      </c>
    </row>
    <row r="241" spans="14:17" x14ac:dyDescent="0.25">
      <c r="N241" s="203" t="s">
        <v>434</v>
      </c>
      <c r="O241" s="202" t="s">
        <v>446</v>
      </c>
      <c r="P241" s="202"/>
      <c r="Q241" s="204">
        <f t="shared" si="5"/>
        <v>0</v>
      </c>
    </row>
    <row r="242" spans="14:17" x14ac:dyDescent="0.25">
      <c r="N242" s="203" t="s">
        <v>435</v>
      </c>
      <c r="O242" s="202" t="s">
        <v>446</v>
      </c>
      <c r="P242" s="202"/>
      <c r="Q242" s="204">
        <f t="shared" si="5"/>
        <v>0</v>
      </c>
    </row>
    <row r="243" spans="14:17" x14ac:dyDescent="0.25">
      <c r="N243" s="203" t="s">
        <v>436</v>
      </c>
      <c r="O243" s="202" t="s">
        <v>446</v>
      </c>
      <c r="P243" s="202"/>
      <c r="Q243" s="204">
        <f t="shared" si="5"/>
        <v>0</v>
      </c>
    </row>
    <row r="244" spans="14:17" x14ac:dyDescent="0.25">
      <c r="N244" s="203" t="s">
        <v>437</v>
      </c>
      <c r="O244" s="202" t="s">
        <v>446</v>
      </c>
      <c r="P244" s="202"/>
      <c r="Q244" s="204">
        <f t="shared" si="5"/>
        <v>0</v>
      </c>
    </row>
    <row r="245" spans="14:17" x14ac:dyDescent="0.25">
      <c r="N245" s="203" t="s">
        <v>438</v>
      </c>
      <c r="O245" s="202" t="s">
        <v>446</v>
      </c>
      <c r="P245" s="202"/>
      <c r="Q245" s="204">
        <f t="shared" si="5"/>
        <v>0</v>
      </c>
    </row>
    <row r="246" spans="14:17" x14ac:dyDescent="0.25">
      <c r="N246" s="203" t="s">
        <v>439</v>
      </c>
      <c r="O246" s="202" t="s">
        <v>446</v>
      </c>
      <c r="P246" s="202"/>
      <c r="Q246" s="204">
        <f t="shared" si="5"/>
        <v>0</v>
      </c>
    </row>
    <row r="247" spans="14:17" x14ac:dyDescent="0.25">
      <c r="N247" s="203" t="s">
        <v>408</v>
      </c>
      <c r="O247" s="202" t="s">
        <v>447</v>
      </c>
      <c r="P247" s="202"/>
      <c r="Q247" s="204">
        <f t="shared" si="5"/>
        <v>0</v>
      </c>
    </row>
    <row r="248" spans="14:17" x14ac:dyDescent="0.25">
      <c r="N248" s="203" t="s">
        <v>410</v>
      </c>
      <c r="O248" s="202" t="s">
        <v>447</v>
      </c>
      <c r="P248" s="202"/>
      <c r="Q248" s="204">
        <f t="shared" si="5"/>
        <v>0</v>
      </c>
    </row>
    <row r="249" spans="14:17" x14ac:dyDescent="0.25">
      <c r="N249" s="203" t="s">
        <v>411</v>
      </c>
      <c r="O249" s="202" t="s">
        <v>447</v>
      </c>
      <c r="P249" s="202"/>
      <c r="Q249" s="204">
        <f t="shared" si="5"/>
        <v>0</v>
      </c>
    </row>
    <row r="250" spans="14:17" x14ac:dyDescent="0.25">
      <c r="N250" s="203" t="s">
        <v>412</v>
      </c>
      <c r="O250" s="202" t="s">
        <v>447</v>
      </c>
      <c r="P250" s="202"/>
      <c r="Q250" s="204">
        <f t="shared" si="5"/>
        <v>0</v>
      </c>
    </row>
    <row r="251" spans="14:17" x14ac:dyDescent="0.25">
      <c r="N251" s="203" t="s">
        <v>413</v>
      </c>
      <c r="O251" s="202" t="s">
        <v>447</v>
      </c>
      <c r="P251" s="202"/>
      <c r="Q251" s="204">
        <f t="shared" si="5"/>
        <v>0</v>
      </c>
    </row>
    <row r="252" spans="14:17" x14ac:dyDescent="0.25">
      <c r="N252" s="203" t="s">
        <v>414</v>
      </c>
      <c r="O252" s="202" t="s">
        <v>447</v>
      </c>
      <c r="P252" s="202"/>
      <c r="Q252" s="204">
        <f t="shared" si="5"/>
        <v>0</v>
      </c>
    </row>
    <row r="253" spans="14:17" x14ac:dyDescent="0.25">
      <c r="N253" s="203" t="s">
        <v>415</v>
      </c>
      <c r="O253" s="202" t="s">
        <v>447</v>
      </c>
      <c r="P253" s="202"/>
      <c r="Q253" s="204">
        <f t="shared" si="5"/>
        <v>0</v>
      </c>
    </row>
    <row r="254" spans="14:17" x14ac:dyDescent="0.25">
      <c r="N254" s="203" t="s">
        <v>416</v>
      </c>
      <c r="O254" s="202" t="s">
        <v>447</v>
      </c>
      <c r="P254" s="202"/>
      <c r="Q254" s="204">
        <f t="shared" si="5"/>
        <v>0</v>
      </c>
    </row>
    <row r="255" spans="14:17" x14ac:dyDescent="0.25">
      <c r="N255" s="203" t="s">
        <v>417</v>
      </c>
      <c r="O255" s="202" t="s">
        <v>447</v>
      </c>
      <c r="P255" s="202"/>
      <c r="Q255" s="204">
        <f t="shared" si="5"/>
        <v>0</v>
      </c>
    </row>
    <row r="256" spans="14:17" x14ac:dyDescent="0.25">
      <c r="N256" s="203" t="s">
        <v>418</v>
      </c>
      <c r="O256" s="202" t="s">
        <v>447</v>
      </c>
      <c r="P256" s="202"/>
      <c r="Q256" s="204">
        <f t="shared" si="5"/>
        <v>0</v>
      </c>
    </row>
    <row r="257" spans="14:17" x14ac:dyDescent="0.25">
      <c r="N257" s="203" t="s">
        <v>419</v>
      </c>
      <c r="O257" s="202" t="s">
        <v>447</v>
      </c>
      <c r="P257" s="202"/>
      <c r="Q257" s="204">
        <f t="shared" si="5"/>
        <v>0</v>
      </c>
    </row>
    <row r="258" spans="14:17" x14ac:dyDescent="0.25">
      <c r="N258" s="203" t="s">
        <v>420</v>
      </c>
      <c r="O258" s="202" t="s">
        <v>447</v>
      </c>
      <c r="P258" s="202"/>
      <c r="Q258" s="204">
        <f t="shared" si="5"/>
        <v>0</v>
      </c>
    </row>
    <row r="259" spans="14:17" x14ac:dyDescent="0.25">
      <c r="N259" s="203" t="s">
        <v>421</v>
      </c>
      <c r="O259" s="202" t="s">
        <v>447</v>
      </c>
      <c r="P259" s="202"/>
      <c r="Q259" s="204">
        <f t="shared" si="5"/>
        <v>0</v>
      </c>
    </row>
    <row r="260" spans="14:17" x14ac:dyDescent="0.25">
      <c r="N260" s="203" t="s">
        <v>422</v>
      </c>
      <c r="O260" s="202" t="s">
        <v>447</v>
      </c>
      <c r="P260" s="202"/>
      <c r="Q260" s="204">
        <f t="shared" ref="Q260:Q306" si="6">+P260/444</f>
        <v>0</v>
      </c>
    </row>
    <row r="261" spans="14:17" x14ac:dyDescent="0.25">
      <c r="N261" s="203" t="s">
        <v>423</v>
      </c>
      <c r="O261" s="202" t="s">
        <v>447</v>
      </c>
      <c r="P261" s="202"/>
      <c r="Q261" s="204">
        <f t="shared" si="6"/>
        <v>0</v>
      </c>
    </row>
    <row r="262" spans="14:17" x14ac:dyDescent="0.25">
      <c r="N262" s="203" t="s">
        <v>424</v>
      </c>
      <c r="O262" s="202" t="s">
        <v>447</v>
      </c>
      <c r="P262" s="202"/>
      <c r="Q262" s="204">
        <f t="shared" si="6"/>
        <v>0</v>
      </c>
    </row>
    <row r="263" spans="14:17" x14ac:dyDescent="0.25">
      <c r="N263" s="203" t="s">
        <v>425</v>
      </c>
      <c r="O263" s="202" t="s">
        <v>447</v>
      </c>
      <c r="P263" s="202"/>
      <c r="Q263" s="204">
        <f t="shared" si="6"/>
        <v>0</v>
      </c>
    </row>
    <row r="264" spans="14:17" x14ac:dyDescent="0.25">
      <c r="N264" s="203" t="s">
        <v>426</v>
      </c>
      <c r="O264" s="202" t="s">
        <v>447</v>
      </c>
      <c r="P264" s="202"/>
      <c r="Q264" s="204">
        <f t="shared" si="6"/>
        <v>0</v>
      </c>
    </row>
    <row r="265" spans="14:17" x14ac:dyDescent="0.25">
      <c r="N265" s="203" t="s">
        <v>427</v>
      </c>
      <c r="O265" s="202" t="s">
        <v>447</v>
      </c>
      <c r="P265" s="202"/>
      <c r="Q265" s="204">
        <f t="shared" si="6"/>
        <v>0</v>
      </c>
    </row>
    <row r="266" spans="14:17" x14ac:dyDescent="0.25">
      <c r="N266" s="203" t="s">
        <v>428</v>
      </c>
      <c r="O266" s="202" t="s">
        <v>447</v>
      </c>
      <c r="P266" s="202"/>
      <c r="Q266" s="204">
        <f t="shared" si="6"/>
        <v>0</v>
      </c>
    </row>
    <row r="267" spans="14:17" x14ac:dyDescent="0.25">
      <c r="N267" s="203" t="s">
        <v>429</v>
      </c>
      <c r="O267" s="202" t="s">
        <v>447</v>
      </c>
      <c r="P267" s="202"/>
      <c r="Q267" s="204">
        <f t="shared" si="6"/>
        <v>0</v>
      </c>
    </row>
    <row r="268" spans="14:17" x14ac:dyDescent="0.25">
      <c r="N268" s="203" t="s">
        <v>430</v>
      </c>
      <c r="O268" s="202" t="s">
        <v>447</v>
      </c>
      <c r="P268" s="202"/>
      <c r="Q268" s="204">
        <f t="shared" si="6"/>
        <v>0</v>
      </c>
    </row>
    <row r="269" spans="14:17" x14ac:dyDescent="0.25">
      <c r="N269" s="203" t="s">
        <v>431</v>
      </c>
      <c r="O269" s="202" t="s">
        <v>447</v>
      </c>
      <c r="P269" s="202"/>
      <c r="Q269" s="204">
        <f t="shared" si="6"/>
        <v>0</v>
      </c>
    </row>
    <row r="270" spans="14:17" x14ac:dyDescent="0.25">
      <c r="N270" s="203" t="s">
        <v>432</v>
      </c>
      <c r="O270" s="202" t="s">
        <v>447</v>
      </c>
      <c r="P270" s="202"/>
      <c r="Q270" s="204">
        <f t="shared" si="6"/>
        <v>0</v>
      </c>
    </row>
    <row r="271" spans="14:17" x14ac:dyDescent="0.25">
      <c r="N271" s="203" t="s">
        <v>433</v>
      </c>
      <c r="O271" s="202" t="s">
        <v>447</v>
      </c>
      <c r="P271" s="202"/>
      <c r="Q271" s="204">
        <f t="shared" si="6"/>
        <v>0</v>
      </c>
    </row>
    <row r="272" spans="14:17" x14ac:dyDescent="0.25">
      <c r="N272" s="203" t="s">
        <v>434</v>
      </c>
      <c r="O272" s="202" t="s">
        <v>447</v>
      </c>
      <c r="P272" s="202"/>
      <c r="Q272" s="204">
        <f t="shared" si="6"/>
        <v>0</v>
      </c>
    </row>
    <row r="273" spans="14:17" x14ac:dyDescent="0.25">
      <c r="N273" s="203" t="s">
        <v>435</v>
      </c>
      <c r="O273" s="202" t="s">
        <v>447</v>
      </c>
      <c r="P273" s="202"/>
      <c r="Q273" s="204">
        <f t="shared" si="6"/>
        <v>0</v>
      </c>
    </row>
    <row r="274" spans="14:17" x14ac:dyDescent="0.25">
      <c r="N274" s="203" t="s">
        <v>436</v>
      </c>
      <c r="O274" s="202" t="s">
        <v>447</v>
      </c>
      <c r="P274" s="202"/>
      <c r="Q274" s="204">
        <f t="shared" si="6"/>
        <v>0</v>
      </c>
    </row>
    <row r="275" spans="14:17" x14ac:dyDescent="0.25">
      <c r="N275" s="203" t="s">
        <v>437</v>
      </c>
      <c r="O275" s="202" t="s">
        <v>447</v>
      </c>
      <c r="P275" s="202"/>
      <c r="Q275" s="204">
        <f t="shared" si="6"/>
        <v>0</v>
      </c>
    </row>
    <row r="276" spans="14:17" x14ac:dyDescent="0.25">
      <c r="N276" s="203" t="s">
        <v>438</v>
      </c>
      <c r="O276" s="202" t="s">
        <v>447</v>
      </c>
      <c r="P276" s="202"/>
      <c r="Q276" s="204">
        <f t="shared" si="6"/>
        <v>0</v>
      </c>
    </row>
    <row r="277" spans="14:17" x14ac:dyDescent="0.25">
      <c r="N277" s="203" t="s">
        <v>408</v>
      </c>
      <c r="O277" s="202" t="s">
        <v>448</v>
      </c>
      <c r="P277" s="202"/>
      <c r="Q277" s="204">
        <f t="shared" si="6"/>
        <v>0</v>
      </c>
    </row>
    <row r="278" spans="14:17" x14ac:dyDescent="0.25">
      <c r="N278" s="203" t="s">
        <v>410</v>
      </c>
      <c r="O278" s="202" t="s">
        <v>448</v>
      </c>
      <c r="P278" s="202"/>
      <c r="Q278" s="204">
        <f t="shared" si="6"/>
        <v>0</v>
      </c>
    </row>
    <row r="279" spans="14:17" x14ac:dyDescent="0.25">
      <c r="N279" s="203" t="s">
        <v>411</v>
      </c>
      <c r="O279" s="202" t="s">
        <v>448</v>
      </c>
      <c r="P279" s="202"/>
      <c r="Q279" s="204">
        <f t="shared" si="6"/>
        <v>0</v>
      </c>
    </row>
    <row r="280" spans="14:17" x14ac:dyDescent="0.25">
      <c r="N280" s="203" t="s">
        <v>412</v>
      </c>
      <c r="O280" s="202" t="s">
        <v>448</v>
      </c>
      <c r="P280" s="202"/>
      <c r="Q280" s="204">
        <f t="shared" si="6"/>
        <v>0</v>
      </c>
    </row>
    <row r="281" spans="14:17" x14ac:dyDescent="0.25">
      <c r="N281" s="203" t="s">
        <v>413</v>
      </c>
      <c r="O281" s="202" t="s">
        <v>448</v>
      </c>
      <c r="P281" s="202"/>
      <c r="Q281" s="204">
        <f t="shared" si="6"/>
        <v>0</v>
      </c>
    </row>
    <row r="282" spans="14:17" x14ac:dyDescent="0.25">
      <c r="N282" s="203" t="s">
        <v>414</v>
      </c>
      <c r="O282" s="202" t="s">
        <v>448</v>
      </c>
      <c r="P282" s="202"/>
      <c r="Q282" s="204">
        <f t="shared" si="6"/>
        <v>0</v>
      </c>
    </row>
    <row r="283" spans="14:17" x14ac:dyDescent="0.25">
      <c r="N283" s="203" t="s">
        <v>415</v>
      </c>
      <c r="O283" s="202" t="s">
        <v>448</v>
      </c>
      <c r="P283" s="202"/>
      <c r="Q283" s="204">
        <f t="shared" si="6"/>
        <v>0</v>
      </c>
    </row>
    <row r="284" spans="14:17" x14ac:dyDescent="0.25">
      <c r="N284" s="203" t="s">
        <v>416</v>
      </c>
      <c r="O284" s="202" t="s">
        <v>448</v>
      </c>
      <c r="P284" s="202"/>
      <c r="Q284" s="204">
        <f t="shared" si="6"/>
        <v>0</v>
      </c>
    </row>
    <row r="285" spans="14:17" x14ac:dyDescent="0.25">
      <c r="N285" s="203" t="s">
        <v>417</v>
      </c>
      <c r="O285" s="202" t="s">
        <v>448</v>
      </c>
      <c r="P285" s="202"/>
      <c r="Q285" s="204">
        <f t="shared" si="6"/>
        <v>0</v>
      </c>
    </row>
    <row r="286" spans="14:17" x14ac:dyDescent="0.25">
      <c r="N286" s="203" t="s">
        <v>418</v>
      </c>
      <c r="O286" s="202" t="s">
        <v>448</v>
      </c>
      <c r="P286" s="202"/>
      <c r="Q286" s="204">
        <f t="shared" si="6"/>
        <v>0</v>
      </c>
    </row>
    <row r="287" spans="14:17" x14ac:dyDescent="0.25">
      <c r="N287" s="203" t="s">
        <v>419</v>
      </c>
      <c r="O287" s="202" t="s">
        <v>448</v>
      </c>
      <c r="P287" s="202"/>
      <c r="Q287" s="204">
        <f t="shared" si="6"/>
        <v>0</v>
      </c>
    </row>
    <row r="288" spans="14:17" x14ac:dyDescent="0.25">
      <c r="N288" s="203" t="s">
        <v>420</v>
      </c>
      <c r="O288" s="202" t="s">
        <v>448</v>
      </c>
      <c r="P288" s="202"/>
      <c r="Q288" s="204">
        <f t="shared" si="6"/>
        <v>0</v>
      </c>
    </row>
    <row r="289" spans="14:17" x14ac:dyDescent="0.25">
      <c r="N289" s="203" t="s">
        <v>421</v>
      </c>
      <c r="O289" s="202" t="s">
        <v>448</v>
      </c>
      <c r="P289" s="202"/>
      <c r="Q289" s="204">
        <f t="shared" si="6"/>
        <v>0</v>
      </c>
    </row>
    <row r="290" spans="14:17" x14ac:dyDescent="0.25">
      <c r="N290" s="203" t="s">
        <v>422</v>
      </c>
      <c r="O290" s="202" t="s">
        <v>448</v>
      </c>
      <c r="P290" s="202"/>
      <c r="Q290" s="204">
        <f t="shared" si="6"/>
        <v>0</v>
      </c>
    </row>
    <row r="291" spans="14:17" x14ac:dyDescent="0.25">
      <c r="N291" s="203" t="s">
        <v>423</v>
      </c>
      <c r="O291" s="202" t="s">
        <v>448</v>
      </c>
      <c r="P291" s="202"/>
      <c r="Q291" s="204">
        <f t="shared" si="6"/>
        <v>0</v>
      </c>
    </row>
    <row r="292" spans="14:17" x14ac:dyDescent="0.25">
      <c r="N292" s="203" t="s">
        <v>424</v>
      </c>
      <c r="O292" s="202" t="s">
        <v>448</v>
      </c>
      <c r="P292" s="202"/>
      <c r="Q292" s="204">
        <f t="shared" si="6"/>
        <v>0</v>
      </c>
    </row>
    <row r="293" spans="14:17" x14ac:dyDescent="0.25">
      <c r="N293" s="203" t="s">
        <v>425</v>
      </c>
      <c r="O293" s="202" t="s">
        <v>448</v>
      </c>
      <c r="P293" s="202"/>
      <c r="Q293" s="204">
        <f t="shared" si="6"/>
        <v>0</v>
      </c>
    </row>
    <row r="294" spans="14:17" x14ac:dyDescent="0.25">
      <c r="N294" s="203" t="s">
        <v>426</v>
      </c>
      <c r="O294" s="202" t="s">
        <v>448</v>
      </c>
      <c r="P294" s="202"/>
      <c r="Q294" s="204">
        <f t="shared" si="6"/>
        <v>0</v>
      </c>
    </row>
    <row r="295" spans="14:17" x14ac:dyDescent="0.25">
      <c r="N295" s="203" t="s">
        <v>427</v>
      </c>
      <c r="O295" s="202" t="s">
        <v>448</v>
      </c>
      <c r="P295" s="202"/>
      <c r="Q295" s="204">
        <f t="shared" si="6"/>
        <v>0</v>
      </c>
    </row>
    <row r="296" spans="14:17" x14ac:dyDescent="0.25">
      <c r="N296" s="203" t="s">
        <v>428</v>
      </c>
      <c r="O296" s="202" t="s">
        <v>448</v>
      </c>
      <c r="P296" s="202"/>
      <c r="Q296" s="204">
        <f t="shared" si="6"/>
        <v>0</v>
      </c>
    </row>
    <row r="297" spans="14:17" x14ac:dyDescent="0.25">
      <c r="N297" s="203" t="s">
        <v>429</v>
      </c>
      <c r="O297" s="202" t="s">
        <v>448</v>
      </c>
      <c r="P297" s="202"/>
      <c r="Q297" s="204">
        <f t="shared" si="6"/>
        <v>0</v>
      </c>
    </row>
    <row r="298" spans="14:17" x14ac:dyDescent="0.25">
      <c r="N298" s="203" t="s">
        <v>430</v>
      </c>
      <c r="O298" s="202" t="s">
        <v>448</v>
      </c>
      <c r="P298" s="202"/>
      <c r="Q298" s="204">
        <f t="shared" si="6"/>
        <v>0</v>
      </c>
    </row>
    <row r="299" spans="14:17" x14ac:dyDescent="0.25">
      <c r="N299" s="203" t="s">
        <v>431</v>
      </c>
      <c r="O299" s="202" t="s">
        <v>448</v>
      </c>
      <c r="P299" s="202"/>
      <c r="Q299" s="204">
        <f t="shared" si="6"/>
        <v>0</v>
      </c>
    </row>
    <row r="300" spans="14:17" x14ac:dyDescent="0.25">
      <c r="N300" s="203" t="s">
        <v>432</v>
      </c>
      <c r="O300" s="202" t="s">
        <v>448</v>
      </c>
      <c r="P300" s="202"/>
      <c r="Q300" s="204">
        <f t="shared" si="6"/>
        <v>0</v>
      </c>
    </row>
    <row r="301" spans="14:17" x14ac:dyDescent="0.25">
      <c r="N301" s="203" t="s">
        <v>433</v>
      </c>
      <c r="O301" s="202" t="s">
        <v>448</v>
      </c>
      <c r="P301" s="202"/>
      <c r="Q301" s="204">
        <f t="shared" si="6"/>
        <v>0</v>
      </c>
    </row>
    <row r="302" spans="14:17" x14ac:dyDescent="0.25">
      <c r="N302" s="203" t="s">
        <v>434</v>
      </c>
      <c r="O302" s="202" t="s">
        <v>448</v>
      </c>
      <c r="P302" s="202"/>
      <c r="Q302" s="204">
        <f t="shared" si="6"/>
        <v>0</v>
      </c>
    </row>
    <row r="303" spans="14:17" x14ac:dyDescent="0.25">
      <c r="N303" s="203" t="s">
        <v>435</v>
      </c>
      <c r="O303" s="202" t="s">
        <v>448</v>
      </c>
      <c r="P303" s="202"/>
      <c r="Q303" s="204">
        <f t="shared" si="6"/>
        <v>0</v>
      </c>
    </row>
    <row r="304" spans="14:17" x14ac:dyDescent="0.25">
      <c r="N304" s="203" t="s">
        <v>436</v>
      </c>
      <c r="O304" s="202" t="s">
        <v>448</v>
      </c>
      <c r="P304" s="202"/>
      <c r="Q304" s="204">
        <f t="shared" si="6"/>
        <v>0</v>
      </c>
    </row>
    <row r="305" spans="14:17" x14ac:dyDescent="0.25">
      <c r="N305" s="203" t="s">
        <v>437</v>
      </c>
      <c r="O305" s="202" t="s">
        <v>448</v>
      </c>
      <c r="P305" s="202"/>
      <c r="Q305" s="204">
        <f t="shared" si="6"/>
        <v>0</v>
      </c>
    </row>
    <row r="306" spans="14:17" x14ac:dyDescent="0.25">
      <c r="N306" s="203" t="s">
        <v>438</v>
      </c>
      <c r="O306" s="202" t="s">
        <v>448</v>
      </c>
      <c r="P306" s="202"/>
      <c r="Q306" s="204">
        <f t="shared" si="6"/>
        <v>0</v>
      </c>
    </row>
    <row r="307" spans="14:17" x14ac:dyDescent="0.25">
      <c r="N307" s="203"/>
      <c r="O307" s="202"/>
      <c r="P307" s="202"/>
      <c r="Q307" s="202"/>
    </row>
    <row r="308" spans="14:17" x14ac:dyDescent="0.25">
      <c r="N308" s="203"/>
      <c r="O308" s="202"/>
      <c r="P308" s="202"/>
      <c r="Q308" s="202"/>
    </row>
    <row r="309" spans="14:17" x14ac:dyDescent="0.25">
      <c r="N309" s="203"/>
      <c r="O309" s="202"/>
      <c r="P309" s="202"/>
      <c r="Q309" s="202"/>
    </row>
    <row r="310" spans="14:17" x14ac:dyDescent="0.25">
      <c r="N310" s="203"/>
      <c r="O310" s="202"/>
      <c r="P310" s="202"/>
      <c r="Q310" s="202"/>
    </row>
    <row r="311" spans="14:17" x14ac:dyDescent="0.25">
      <c r="N311" s="203"/>
      <c r="O311" s="202"/>
      <c r="P311" s="202"/>
      <c r="Q311" s="202"/>
    </row>
    <row r="312" spans="14:17" x14ac:dyDescent="0.25">
      <c r="N312" s="203"/>
      <c r="O312" s="202"/>
      <c r="P312" s="202"/>
      <c r="Q312" s="202"/>
    </row>
    <row r="313" spans="14:17" x14ac:dyDescent="0.25">
      <c r="N313" s="203"/>
      <c r="O313" s="202"/>
      <c r="P313" s="202"/>
      <c r="Q313" s="202"/>
    </row>
    <row r="314" spans="14:17" x14ac:dyDescent="0.25">
      <c r="N314" s="203"/>
      <c r="O314" s="202"/>
      <c r="P314" s="202"/>
      <c r="Q314" s="202"/>
    </row>
    <row r="315" spans="14:17" x14ac:dyDescent="0.25">
      <c r="N315" s="203"/>
      <c r="O315" s="202"/>
      <c r="P315" s="202"/>
      <c r="Q315" s="202"/>
    </row>
    <row r="316" spans="14:17" x14ac:dyDescent="0.25">
      <c r="N316" s="203"/>
      <c r="O316" s="202"/>
      <c r="P316" s="202"/>
      <c r="Q316" s="202"/>
    </row>
    <row r="317" spans="14:17" x14ac:dyDescent="0.25">
      <c r="N317" s="203"/>
      <c r="O317" s="202"/>
      <c r="P317" s="202"/>
      <c r="Q317" s="202"/>
    </row>
    <row r="318" spans="14:17" x14ac:dyDescent="0.25">
      <c r="N318" s="203"/>
      <c r="O318" s="202"/>
      <c r="P318" s="202"/>
      <c r="Q318" s="202"/>
    </row>
    <row r="319" spans="14:17" x14ac:dyDescent="0.25">
      <c r="N319" s="203"/>
      <c r="O319" s="202"/>
      <c r="P319" s="202"/>
      <c r="Q319" s="202"/>
    </row>
    <row r="320" spans="14:17" x14ac:dyDescent="0.25">
      <c r="N320" s="203"/>
      <c r="O320" s="202"/>
      <c r="P320" s="202"/>
      <c r="Q320" s="202"/>
    </row>
    <row r="321" spans="14:17" x14ac:dyDescent="0.25">
      <c r="N321" s="203"/>
      <c r="O321" s="202"/>
      <c r="P321" s="202"/>
      <c r="Q321" s="202"/>
    </row>
    <row r="322" spans="14:17" x14ac:dyDescent="0.25">
      <c r="N322" s="203"/>
      <c r="O322" s="202"/>
      <c r="P322" s="202"/>
      <c r="Q322" s="202"/>
    </row>
    <row r="323" spans="14:17" x14ac:dyDescent="0.25">
      <c r="N323" s="203"/>
      <c r="O323" s="202"/>
      <c r="P323" s="202"/>
      <c r="Q323" s="202"/>
    </row>
    <row r="324" spans="14:17" x14ac:dyDescent="0.25">
      <c r="N324" s="203"/>
      <c r="O324" s="202"/>
      <c r="P324" s="202"/>
      <c r="Q324" s="202"/>
    </row>
    <row r="325" spans="14:17" x14ac:dyDescent="0.25">
      <c r="N325" s="203"/>
      <c r="O325" s="202"/>
      <c r="P325" s="202"/>
      <c r="Q325" s="202"/>
    </row>
    <row r="326" spans="14:17" x14ac:dyDescent="0.25">
      <c r="N326" s="203"/>
      <c r="O326" s="202"/>
      <c r="P326" s="202"/>
      <c r="Q326" s="202"/>
    </row>
    <row r="327" spans="14:17" x14ac:dyDescent="0.25">
      <c r="N327" s="203"/>
      <c r="O327" s="202"/>
      <c r="P327" s="202"/>
      <c r="Q327" s="202"/>
    </row>
    <row r="328" spans="14:17" x14ac:dyDescent="0.25">
      <c r="N328" s="203"/>
      <c r="O328" s="202"/>
      <c r="P328" s="202"/>
      <c r="Q328" s="202"/>
    </row>
    <row r="329" spans="14:17" x14ac:dyDescent="0.25">
      <c r="N329" s="203"/>
      <c r="O329" s="202"/>
      <c r="P329" s="202"/>
      <c r="Q329" s="202"/>
    </row>
    <row r="330" spans="14:17" x14ac:dyDescent="0.25">
      <c r="N330" s="203"/>
      <c r="O330" s="202"/>
      <c r="P330" s="202"/>
      <c r="Q330" s="202"/>
    </row>
    <row r="331" spans="14:17" x14ac:dyDescent="0.25">
      <c r="N331" s="203"/>
      <c r="O331" s="202"/>
      <c r="P331" s="202"/>
      <c r="Q331" s="202"/>
    </row>
    <row r="332" spans="14:17" x14ac:dyDescent="0.25">
      <c r="N332" s="203"/>
      <c r="O332" s="202"/>
      <c r="P332" s="202"/>
      <c r="Q332" s="202"/>
    </row>
    <row r="333" spans="14:17" x14ac:dyDescent="0.25">
      <c r="N333" s="203"/>
      <c r="O333" s="202"/>
      <c r="P333" s="202"/>
      <c r="Q333" s="202"/>
    </row>
    <row r="334" spans="14:17" x14ac:dyDescent="0.25">
      <c r="N334" s="203"/>
      <c r="O334" s="202"/>
      <c r="P334" s="202"/>
      <c r="Q334" s="202"/>
    </row>
    <row r="335" spans="14:17" x14ac:dyDescent="0.25">
      <c r="N335" s="203"/>
      <c r="O335" s="202"/>
      <c r="P335" s="202"/>
      <c r="Q335" s="202"/>
    </row>
    <row r="336" spans="14:17" x14ac:dyDescent="0.25">
      <c r="N336" s="203"/>
      <c r="O336" s="202"/>
      <c r="P336" s="202"/>
      <c r="Q336" s="202"/>
    </row>
    <row r="337" spans="14:17" x14ac:dyDescent="0.25">
      <c r="N337" s="203"/>
      <c r="O337" s="202"/>
      <c r="P337" s="202"/>
      <c r="Q337" s="202"/>
    </row>
    <row r="338" spans="14:17" x14ac:dyDescent="0.25">
      <c r="N338" s="203"/>
      <c r="O338" s="202"/>
      <c r="P338" s="202"/>
      <c r="Q338" s="202"/>
    </row>
    <row r="339" spans="14:17" x14ac:dyDescent="0.25">
      <c r="N339" s="203"/>
      <c r="O339" s="202"/>
      <c r="P339" s="202"/>
      <c r="Q339" s="202"/>
    </row>
    <row r="340" spans="14:17" x14ac:dyDescent="0.25">
      <c r="N340" s="203"/>
      <c r="O340" s="202"/>
      <c r="P340" s="202"/>
      <c r="Q340" s="202"/>
    </row>
    <row r="341" spans="14:17" x14ac:dyDescent="0.25">
      <c r="N341" s="203"/>
      <c r="O341" s="202"/>
      <c r="P341" s="202"/>
      <c r="Q341" s="202"/>
    </row>
    <row r="342" spans="14:17" x14ac:dyDescent="0.25">
      <c r="N342" s="203"/>
      <c r="O342" s="202"/>
      <c r="P342" s="202"/>
      <c r="Q342" s="202"/>
    </row>
    <row r="343" spans="14:17" x14ac:dyDescent="0.25">
      <c r="N343" s="203"/>
      <c r="O343" s="202"/>
      <c r="P343" s="202"/>
      <c r="Q343" s="202"/>
    </row>
    <row r="344" spans="14:17" x14ac:dyDescent="0.25">
      <c r="N344" s="203"/>
      <c r="O344" s="202"/>
      <c r="P344" s="202"/>
      <c r="Q344" s="202"/>
    </row>
    <row r="345" spans="14:17" x14ac:dyDescent="0.25">
      <c r="N345" s="203"/>
      <c r="O345" s="202"/>
      <c r="P345" s="202"/>
      <c r="Q345" s="202"/>
    </row>
    <row r="346" spans="14:17" x14ac:dyDescent="0.25">
      <c r="N346" s="203"/>
      <c r="O346" s="202"/>
      <c r="P346" s="202"/>
      <c r="Q346" s="202"/>
    </row>
    <row r="347" spans="14:17" x14ac:dyDescent="0.25">
      <c r="N347" s="203"/>
      <c r="O347" s="202"/>
      <c r="P347" s="202"/>
      <c r="Q347" s="202"/>
    </row>
    <row r="348" spans="14:17" x14ac:dyDescent="0.25">
      <c r="N348" s="203"/>
      <c r="O348" s="202"/>
      <c r="P348" s="202"/>
      <c r="Q348" s="202"/>
    </row>
    <row r="349" spans="14:17" x14ac:dyDescent="0.25">
      <c r="N349" s="203"/>
      <c r="O349" s="202"/>
      <c r="P349" s="202"/>
      <c r="Q349" s="202"/>
    </row>
    <row r="350" spans="14:17" x14ac:dyDescent="0.25">
      <c r="N350" s="203"/>
      <c r="O350" s="202"/>
      <c r="P350" s="202"/>
      <c r="Q350" s="202"/>
    </row>
    <row r="351" spans="14:17" x14ac:dyDescent="0.25">
      <c r="N351" s="203"/>
      <c r="O351" s="202"/>
      <c r="P351" s="202"/>
      <c r="Q351" s="202"/>
    </row>
    <row r="352" spans="14:17" x14ac:dyDescent="0.25">
      <c r="N352" s="203"/>
      <c r="O352" s="202"/>
      <c r="P352" s="202"/>
      <c r="Q352" s="202"/>
    </row>
    <row r="353" spans="14:17" x14ac:dyDescent="0.25">
      <c r="N353" s="203"/>
      <c r="O353" s="202"/>
      <c r="P353" s="202"/>
      <c r="Q353" s="202"/>
    </row>
    <row r="354" spans="14:17" x14ac:dyDescent="0.25">
      <c r="N354" s="203"/>
      <c r="O354" s="202"/>
      <c r="P354" s="202"/>
      <c r="Q354" s="202"/>
    </row>
    <row r="355" spans="14:17" x14ac:dyDescent="0.25">
      <c r="N355" s="203"/>
      <c r="O355" s="202"/>
      <c r="P355" s="202"/>
      <c r="Q355" s="202"/>
    </row>
    <row r="356" spans="14:17" x14ac:dyDescent="0.25">
      <c r="N356" s="203"/>
      <c r="O356" s="202"/>
      <c r="P356" s="202"/>
      <c r="Q356" s="202"/>
    </row>
    <row r="357" spans="14:17" x14ac:dyDescent="0.25">
      <c r="N357" s="203"/>
      <c r="O357" s="202"/>
      <c r="P357" s="202"/>
      <c r="Q357" s="202"/>
    </row>
    <row r="358" spans="14:17" x14ac:dyDescent="0.25">
      <c r="N358" s="203"/>
      <c r="O358" s="202"/>
      <c r="P358" s="202"/>
      <c r="Q358" s="202"/>
    </row>
    <row r="359" spans="14:17" x14ac:dyDescent="0.25">
      <c r="N359" s="203"/>
      <c r="O359" s="202"/>
      <c r="P359" s="202"/>
      <c r="Q359" s="202"/>
    </row>
    <row r="360" spans="14:17" x14ac:dyDescent="0.25">
      <c r="N360" s="203"/>
      <c r="O360" s="202"/>
      <c r="P360" s="202"/>
      <c r="Q360" s="202"/>
    </row>
    <row r="361" spans="14:17" x14ac:dyDescent="0.25">
      <c r="N361" s="203"/>
      <c r="O361" s="202"/>
      <c r="P361" s="202"/>
      <c r="Q361" s="202"/>
    </row>
    <row r="362" spans="14:17" x14ac:dyDescent="0.25">
      <c r="N362" s="203"/>
      <c r="O362" s="202"/>
      <c r="P362" s="202"/>
      <c r="Q362" s="202"/>
    </row>
    <row r="363" spans="14:17" x14ac:dyDescent="0.25">
      <c r="N363" s="203"/>
      <c r="O363" s="202"/>
      <c r="P363" s="202"/>
      <c r="Q363" s="202"/>
    </row>
    <row r="364" spans="14:17" x14ac:dyDescent="0.25">
      <c r="N364" s="203"/>
      <c r="O364" s="202"/>
      <c r="P364" s="202"/>
      <c r="Q364" s="202"/>
    </row>
    <row r="365" spans="14:17" x14ac:dyDescent="0.25">
      <c r="N365" s="203"/>
      <c r="O365" s="202"/>
      <c r="P365" s="202"/>
      <c r="Q365" s="202"/>
    </row>
    <row r="366" spans="14:17" x14ac:dyDescent="0.25">
      <c r="N366" s="203"/>
      <c r="O366" s="202"/>
      <c r="P366" s="202"/>
      <c r="Q366" s="202"/>
    </row>
    <row r="367" spans="14:17" x14ac:dyDescent="0.25">
      <c r="N367" s="203"/>
      <c r="O367" s="202"/>
      <c r="P367" s="202"/>
      <c r="Q367" s="202"/>
    </row>
    <row r="368" spans="14:17" x14ac:dyDescent="0.25">
      <c r="N368" s="203"/>
      <c r="O368" s="202"/>
      <c r="P368" s="202"/>
      <c r="Q368" s="202"/>
    </row>
  </sheetData>
  <dataValidations disablePrompts="1" count="1">
    <dataValidation type="list" allowBlank="1" showInputMessage="1" sqref="P1:Q1" xr:uid="{00000000-0002-0000-0700-000000000000}">
      <formula1>"..."</formula1>
    </dataValidation>
  </dataValidation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I64"/>
  <sheetViews>
    <sheetView topLeftCell="AK1" zoomScale="115" zoomScaleNormal="115" workbookViewId="0">
      <selection activeCell="AY17" sqref="AY17"/>
    </sheetView>
  </sheetViews>
  <sheetFormatPr defaultRowHeight="15" x14ac:dyDescent="0.25"/>
  <cols>
    <col min="1" max="1" width="1.7109375" hidden="1" customWidth="1"/>
    <col min="2" max="2" width="13.5703125" customWidth="1"/>
    <col min="3" max="3" width="13.5703125" style="52" customWidth="1"/>
    <col min="4" max="4" width="11.140625" customWidth="1"/>
    <col min="6" max="6" width="11.28515625" customWidth="1"/>
    <col min="7" max="7" width="11" customWidth="1"/>
    <col min="8" max="8" width="9.5703125" bestFit="1" customWidth="1"/>
    <col min="9" max="9" width="10.42578125" customWidth="1"/>
    <col min="10" max="10" width="10.85546875" customWidth="1"/>
    <col min="12" max="13" width="10.28515625" customWidth="1"/>
    <col min="15" max="15" width="10.42578125" customWidth="1"/>
    <col min="16" max="16" width="10.28515625" customWidth="1"/>
    <col min="18" max="19" width="10.140625" customWidth="1"/>
    <col min="21" max="21" width="12" bestFit="1" customWidth="1"/>
    <col min="22" max="22" width="10.42578125" customWidth="1"/>
    <col min="24" max="24" width="10.140625" bestFit="1" customWidth="1"/>
    <col min="25" max="25" width="10.85546875" customWidth="1"/>
    <col min="28" max="28" width="10.140625" customWidth="1"/>
    <col min="30" max="30" width="10.42578125" customWidth="1"/>
    <col min="31" max="31" width="9.85546875" customWidth="1"/>
    <col min="33" max="33" width="10.7109375" customWidth="1"/>
    <col min="34" max="34" width="9.85546875" customWidth="1"/>
    <col min="36" max="36" width="10.28515625" customWidth="1"/>
    <col min="39" max="39" width="10.7109375" customWidth="1"/>
    <col min="40" max="40" width="1.7109375" customWidth="1"/>
    <col min="41" max="41" width="11.42578125" customWidth="1"/>
    <col min="44" max="44" width="11.7109375" customWidth="1"/>
    <col min="45" max="45" width="1.7109375" customWidth="1"/>
    <col min="46" max="46" width="12.5703125" customWidth="1"/>
    <col min="47" max="47" width="12.7109375" customWidth="1"/>
    <col min="48" max="48" width="10.7109375" customWidth="1"/>
    <col min="49" max="49" width="12.7109375" customWidth="1"/>
    <col min="50" max="50" width="9.85546875" customWidth="1"/>
    <col min="51" max="51" width="12.7109375" customWidth="1"/>
    <col min="52" max="52" width="10.28515625" customWidth="1"/>
    <col min="53" max="53" width="12.7109375" customWidth="1"/>
    <col min="54" max="54" width="10.7109375" customWidth="1"/>
    <col min="55" max="55" width="1.7109375" style="60" customWidth="1"/>
    <col min="56" max="58" width="10.7109375" style="60" customWidth="1"/>
    <col min="59" max="59" width="9.140625" style="60"/>
    <col min="60" max="60" width="1.7109375" customWidth="1"/>
    <col min="62" max="62" width="11.85546875" customWidth="1"/>
    <col min="63" max="64" width="10.7109375" customWidth="1"/>
    <col min="65" max="65" width="10.7109375" style="61" customWidth="1"/>
    <col min="66" max="68" width="8.7109375" customWidth="1"/>
    <col min="69" max="69" width="10.85546875" customWidth="1"/>
    <col min="70" max="70" width="8.7109375" customWidth="1"/>
    <col min="71" max="71" width="11.85546875" customWidth="1"/>
    <col min="72" max="72" width="12.7109375" customWidth="1"/>
    <col min="73" max="73" width="10.7109375" customWidth="1"/>
    <col min="74" max="74" width="13.28515625" style="61" customWidth="1"/>
    <col min="75" max="79" width="8.7109375" customWidth="1"/>
    <col min="80" max="80" width="10.7109375" customWidth="1"/>
    <col min="81" max="81" width="12.7109375" customWidth="1"/>
    <col min="82" max="82" width="10.7109375" customWidth="1"/>
    <col min="83" max="83" width="12" style="61" customWidth="1"/>
    <col min="84" max="88" width="8.7109375" customWidth="1"/>
    <col min="89" max="89" width="11.7109375" customWidth="1"/>
    <col min="90" max="90" width="12.7109375" customWidth="1"/>
    <col min="91" max="91" width="10.7109375" customWidth="1"/>
    <col min="92" max="92" width="11.7109375" style="61" customWidth="1"/>
    <col min="93" max="97" width="8.7109375" customWidth="1"/>
    <col min="98" max="98" width="10.7109375" customWidth="1"/>
    <col min="99" max="99" width="12.7109375" customWidth="1"/>
    <col min="100" max="100" width="10.7109375" customWidth="1"/>
    <col min="101" max="101" width="10.7109375" style="61" customWidth="1"/>
    <col min="102" max="105" width="8.7109375" customWidth="1"/>
    <col min="106" max="106" width="8.7109375" style="62" customWidth="1"/>
    <col min="107" max="107" width="11.7109375" customWidth="1"/>
    <col min="108" max="108" width="12.7109375" customWidth="1"/>
    <col min="109" max="109" width="10.7109375" customWidth="1"/>
    <col min="110" max="110" width="11.7109375" style="61" customWidth="1"/>
    <col min="111" max="114" width="8.7109375" customWidth="1"/>
    <col min="115" max="115" width="8.7109375" style="62" customWidth="1"/>
    <col min="116" max="116" width="10.7109375" customWidth="1"/>
    <col min="117" max="117" width="12.7109375" customWidth="1"/>
    <col min="118" max="118" width="10.7109375" customWidth="1"/>
    <col min="119" max="119" width="10.7109375" style="61" customWidth="1"/>
    <col min="120" max="124" width="8.7109375" customWidth="1"/>
    <col min="125" max="125" width="10.7109375" customWidth="1"/>
    <col min="126" max="126" width="12.7109375" customWidth="1"/>
    <col min="127" max="127" width="10.7109375" customWidth="1"/>
    <col min="128" max="128" width="10.7109375" style="61" customWidth="1"/>
    <col min="129" max="133" width="8.7109375" customWidth="1"/>
    <col min="134" max="134" width="10.7109375" customWidth="1"/>
    <col min="135" max="135" width="12.7109375" customWidth="1"/>
    <col min="136" max="136" width="10.7109375" customWidth="1"/>
    <col min="137" max="137" width="10.7109375" style="61" customWidth="1"/>
    <col min="138" max="142" width="8.7109375" customWidth="1"/>
    <col min="143" max="143" width="10.7109375" customWidth="1"/>
    <col min="144" max="144" width="12.7109375" customWidth="1"/>
    <col min="145" max="145" width="10.7109375" customWidth="1"/>
    <col min="146" max="146" width="10.7109375" style="61" customWidth="1"/>
    <col min="147" max="151" width="8.7109375" customWidth="1"/>
    <col min="152" max="152" width="10.7109375" customWidth="1"/>
    <col min="153" max="153" width="12.7109375" customWidth="1"/>
    <col min="154" max="154" width="10.7109375" customWidth="1"/>
    <col min="155" max="155" width="10.7109375" style="61" customWidth="1"/>
    <col min="156" max="156" width="10.7109375" style="63" customWidth="1"/>
    <col min="157" max="158" width="10.7109375" style="64" customWidth="1"/>
    <col min="159" max="159" width="11.7109375" style="63" customWidth="1"/>
    <col min="160" max="160" width="10.7109375" style="63" customWidth="1"/>
    <col min="161" max="161" width="13.140625" style="63" customWidth="1"/>
    <col min="162" max="162" width="12.7109375" customWidth="1"/>
    <col min="163" max="163" width="10.7109375" style="63" customWidth="1"/>
    <col min="164" max="164" width="12.28515625" style="63" customWidth="1"/>
    <col min="165" max="165" width="2.7109375" style="63" customWidth="1"/>
    <col min="166" max="166" width="12.7109375" style="65" customWidth="1"/>
    <col min="167" max="167" width="12.7109375" customWidth="1"/>
    <col min="168" max="168" width="13.7109375" customWidth="1"/>
    <col min="169" max="169" width="11.140625" bestFit="1" customWidth="1"/>
    <col min="170" max="170" width="1.7109375" customWidth="1"/>
    <col min="171" max="171" width="2.7109375" customWidth="1"/>
    <col min="172" max="176" width="8.7109375" customWidth="1"/>
    <col min="177" max="179" width="10.7109375" customWidth="1"/>
    <col min="180" max="180" width="14.85546875" style="61" customWidth="1"/>
    <col min="181" max="185" width="8.7109375" customWidth="1"/>
    <col min="186" max="188" width="10.7109375" customWidth="1"/>
    <col min="189" max="189" width="10.7109375" style="61" customWidth="1"/>
    <col min="190" max="192" width="8.7109375" customWidth="1"/>
    <col min="193" max="194" width="10.7109375" customWidth="1"/>
    <col min="195" max="195" width="10.7109375" style="61" customWidth="1"/>
    <col min="196" max="200" width="8.7109375" customWidth="1"/>
    <col min="201" max="203" width="10.7109375" customWidth="1"/>
    <col min="204" max="204" width="10.7109375" style="61" customWidth="1"/>
    <col min="206" max="206" width="12" customWidth="1"/>
    <col min="208" max="208" width="12" customWidth="1"/>
    <col min="209" max="209" width="2.7109375" customWidth="1"/>
    <col min="210" max="210" width="15.85546875" customWidth="1"/>
    <col min="211" max="211" width="14.28515625" customWidth="1"/>
    <col min="212" max="212" width="13.140625" customWidth="1"/>
    <col min="213" max="213" width="13" customWidth="1"/>
    <col min="214" max="214" width="3.28515625" customWidth="1"/>
    <col min="216" max="216" width="16.7109375" customWidth="1"/>
  </cols>
  <sheetData>
    <row r="1" spans="2:213" s="90" customFormat="1" ht="26.25" x14ac:dyDescent="0.4">
      <c r="B1" s="91">
        <v>2021</v>
      </c>
      <c r="C1" s="214"/>
      <c r="D1" s="270" t="s">
        <v>149</v>
      </c>
      <c r="E1" s="271"/>
      <c r="F1" s="271"/>
      <c r="G1" s="270" t="s">
        <v>150</v>
      </c>
      <c r="H1" s="271"/>
      <c r="I1" s="271"/>
      <c r="J1" s="270" t="s">
        <v>151</v>
      </c>
      <c r="K1" s="271"/>
      <c r="L1" s="271"/>
      <c r="M1" s="270" t="s">
        <v>152</v>
      </c>
      <c r="N1" s="271"/>
      <c r="O1" s="271"/>
      <c r="P1" s="270" t="s">
        <v>153</v>
      </c>
      <c r="Q1" s="271"/>
      <c r="R1" s="271"/>
      <c r="S1" s="270" t="s">
        <v>154</v>
      </c>
      <c r="T1" s="271"/>
      <c r="U1" s="271"/>
      <c r="V1" s="270" t="s">
        <v>155</v>
      </c>
      <c r="W1" s="271"/>
      <c r="X1" s="271"/>
      <c r="Y1" s="270" t="s">
        <v>156</v>
      </c>
      <c r="Z1" s="271"/>
      <c r="AA1" s="271"/>
      <c r="AB1" s="270" t="s">
        <v>157</v>
      </c>
      <c r="AC1" s="271"/>
      <c r="AD1" s="271"/>
      <c r="AE1" s="270" t="s">
        <v>158</v>
      </c>
      <c r="AF1" s="271"/>
      <c r="AG1" s="271"/>
      <c r="AH1" s="270" t="s">
        <v>159</v>
      </c>
      <c r="AI1" s="271"/>
      <c r="AJ1" s="271"/>
      <c r="AK1" s="270" t="s">
        <v>160</v>
      </c>
      <c r="AL1" s="271"/>
      <c r="AM1" s="271"/>
      <c r="AN1" s="92"/>
      <c r="AO1" s="92"/>
      <c r="AP1" s="93" t="s">
        <v>161</v>
      </c>
      <c r="AQ1" s="93" t="s">
        <v>162</v>
      </c>
      <c r="AR1" s="93"/>
      <c r="AS1" s="92"/>
      <c r="AT1" s="92"/>
      <c r="AU1" s="270" t="s">
        <v>164</v>
      </c>
      <c r="AV1" s="271"/>
      <c r="AW1" s="270" t="s">
        <v>165</v>
      </c>
      <c r="AX1" s="271"/>
      <c r="AY1" s="270" t="s">
        <v>166</v>
      </c>
      <c r="AZ1" s="271"/>
      <c r="BA1" s="270" t="s">
        <v>167</v>
      </c>
      <c r="BB1" s="271"/>
      <c r="BC1" s="88"/>
      <c r="BD1" s="88"/>
      <c r="BE1" s="88"/>
      <c r="BF1" s="17" t="s">
        <v>77</v>
      </c>
      <c r="BG1" s="88"/>
      <c r="BJ1" s="272" t="s">
        <v>168</v>
      </c>
      <c r="BK1" s="273"/>
      <c r="BL1" s="273"/>
      <c r="BM1" s="274"/>
      <c r="BN1" s="272" t="s">
        <v>169</v>
      </c>
      <c r="BO1" s="273"/>
      <c r="BP1" s="273"/>
      <c r="BQ1" s="273"/>
      <c r="BR1" s="273"/>
      <c r="BS1" s="273"/>
      <c r="BT1" s="273"/>
      <c r="BU1" s="273"/>
      <c r="BV1" s="274"/>
      <c r="BW1" s="272" t="s">
        <v>170</v>
      </c>
      <c r="BX1" s="273"/>
      <c r="BY1" s="273"/>
      <c r="BZ1" s="273"/>
      <c r="CA1" s="273"/>
      <c r="CB1" s="273"/>
      <c r="CC1" s="273"/>
      <c r="CD1" s="273"/>
      <c r="CE1" s="274"/>
      <c r="CF1" s="272" t="s">
        <v>171</v>
      </c>
      <c r="CG1" s="273"/>
      <c r="CH1" s="273"/>
      <c r="CI1" s="273"/>
      <c r="CJ1" s="273"/>
      <c r="CK1" s="273"/>
      <c r="CL1" s="273"/>
      <c r="CM1" s="273"/>
      <c r="CN1" s="274"/>
      <c r="CO1" s="272" t="s">
        <v>172</v>
      </c>
      <c r="CP1" s="273"/>
      <c r="CQ1" s="273"/>
      <c r="CR1" s="273"/>
      <c r="CS1" s="273"/>
      <c r="CT1" s="273"/>
      <c r="CU1" s="273"/>
      <c r="CV1" s="273"/>
      <c r="CW1" s="274"/>
      <c r="CX1" s="272" t="s">
        <v>173</v>
      </c>
      <c r="CY1" s="273"/>
      <c r="CZ1" s="273"/>
      <c r="DA1" s="273"/>
      <c r="DB1" s="273"/>
      <c r="DC1" s="273"/>
      <c r="DD1" s="273"/>
      <c r="DE1" s="273"/>
      <c r="DF1" s="274"/>
      <c r="DG1" s="272" t="s">
        <v>174</v>
      </c>
      <c r="DH1" s="273"/>
      <c r="DI1" s="273"/>
      <c r="DJ1" s="273"/>
      <c r="DK1" s="273"/>
      <c r="DL1" s="273"/>
      <c r="DM1" s="273"/>
      <c r="DN1" s="273"/>
      <c r="DO1" s="274"/>
      <c r="DP1" s="272" t="s">
        <v>175</v>
      </c>
      <c r="DQ1" s="273"/>
      <c r="DR1" s="273"/>
      <c r="DS1" s="273"/>
      <c r="DT1" s="273"/>
      <c r="DU1" s="273"/>
      <c r="DV1" s="273"/>
      <c r="DW1" s="273"/>
      <c r="DX1" s="274"/>
      <c r="DY1" s="272" t="s">
        <v>176</v>
      </c>
      <c r="DZ1" s="273"/>
      <c r="EA1" s="273"/>
      <c r="EB1" s="273"/>
      <c r="EC1" s="273"/>
      <c r="ED1" s="273"/>
      <c r="EE1" s="273"/>
      <c r="EF1" s="273"/>
      <c r="EG1" s="274"/>
      <c r="EH1" s="272" t="s">
        <v>177</v>
      </c>
      <c r="EI1" s="273"/>
      <c r="EJ1" s="273"/>
      <c r="EK1" s="273"/>
      <c r="EL1" s="273"/>
      <c r="EM1" s="273"/>
      <c r="EN1" s="273"/>
      <c r="EO1" s="273"/>
      <c r="EP1" s="274"/>
      <c r="EQ1" s="272" t="s">
        <v>178</v>
      </c>
      <c r="ER1" s="273"/>
      <c r="ES1" s="273"/>
      <c r="ET1" s="273"/>
      <c r="EU1" s="273"/>
      <c r="EV1" s="273"/>
      <c r="EW1" s="273"/>
      <c r="EX1" s="273"/>
      <c r="EY1" s="274"/>
      <c r="EZ1" s="272" t="s">
        <v>179</v>
      </c>
      <c r="FA1" s="273"/>
      <c r="FB1" s="273"/>
      <c r="FC1" s="273"/>
      <c r="FD1" s="273"/>
      <c r="FE1" s="273"/>
      <c r="FF1" s="273"/>
      <c r="FG1" s="273"/>
      <c r="FH1" s="274"/>
      <c r="FI1" s="66"/>
      <c r="FJ1" s="94"/>
      <c r="FK1" s="95" t="s">
        <v>104</v>
      </c>
      <c r="FL1" s="95" t="s">
        <v>204</v>
      </c>
      <c r="FM1" s="95"/>
      <c r="FN1" s="16"/>
      <c r="FO1" s="95"/>
      <c r="FP1" s="272" t="s">
        <v>180</v>
      </c>
      <c r="FQ1" s="273"/>
      <c r="FR1" s="273"/>
      <c r="FS1" s="273"/>
      <c r="FT1" s="273"/>
      <c r="FU1" s="273"/>
      <c r="FV1" s="273"/>
      <c r="FW1" s="273"/>
      <c r="FX1" s="274"/>
      <c r="FY1" s="272" t="s">
        <v>181</v>
      </c>
      <c r="FZ1" s="273"/>
      <c r="GA1" s="273"/>
      <c r="GB1" s="273"/>
      <c r="GC1" s="273"/>
      <c r="GD1" s="273"/>
      <c r="GE1" s="273"/>
      <c r="GF1" s="273"/>
      <c r="GG1" s="274"/>
      <c r="GH1" s="272" t="s">
        <v>182</v>
      </c>
      <c r="GI1" s="273"/>
      <c r="GJ1" s="273"/>
      <c r="GK1" s="273"/>
      <c r="GL1" s="273"/>
      <c r="GM1" s="274"/>
      <c r="GN1" s="272" t="s">
        <v>183</v>
      </c>
      <c r="GO1" s="273"/>
      <c r="GP1" s="273"/>
      <c r="GQ1" s="273"/>
      <c r="GR1" s="273"/>
      <c r="GS1" s="273"/>
      <c r="GT1" s="273"/>
      <c r="GU1" s="273"/>
      <c r="GV1" s="274"/>
      <c r="GW1" s="96"/>
      <c r="GX1" s="95" t="s">
        <v>204</v>
      </c>
      <c r="HA1" s="60"/>
    </row>
    <row r="2" spans="2:213" ht="18.75" x14ac:dyDescent="0.3">
      <c r="B2" s="35" t="s">
        <v>61</v>
      </c>
      <c r="C2" s="215" t="s">
        <v>404</v>
      </c>
      <c r="D2" s="24" t="s">
        <v>107</v>
      </c>
      <c r="E2" s="4" t="s">
        <v>108</v>
      </c>
      <c r="F2" s="69" t="s">
        <v>184</v>
      </c>
      <c r="G2" s="70" t="s">
        <v>105</v>
      </c>
      <c r="H2" s="4" t="s">
        <v>106</v>
      </c>
      <c r="I2" s="69" t="s">
        <v>184</v>
      </c>
      <c r="J2" s="4" t="s">
        <v>117</v>
      </c>
      <c r="K2" s="4" t="s">
        <v>118</v>
      </c>
      <c r="L2" s="69" t="s">
        <v>184</v>
      </c>
      <c r="M2" s="4" t="s">
        <v>115</v>
      </c>
      <c r="N2" s="4" t="s">
        <v>116</v>
      </c>
      <c r="O2" s="69" t="s">
        <v>184</v>
      </c>
      <c r="P2" s="4" t="s">
        <v>119</v>
      </c>
      <c r="Q2" s="4" t="s">
        <v>120</v>
      </c>
      <c r="R2" s="69" t="s">
        <v>184</v>
      </c>
      <c r="S2" s="4" t="s">
        <v>109</v>
      </c>
      <c r="T2" s="4" t="s">
        <v>110</v>
      </c>
      <c r="U2" s="69" t="s">
        <v>184</v>
      </c>
      <c r="V2" s="4" t="s">
        <v>113</v>
      </c>
      <c r="W2" s="4" t="s">
        <v>114</v>
      </c>
      <c r="X2" s="69" t="s">
        <v>184</v>
      </c>
      <c r="Y2" s="4" t="s">
        <v>121</v>
      </c>
      <c r="Z2" s="4" t="s">
        <v>122</v>
      </c>
      <c r="AA2" s="69" t="s">
        <v>184</v>
      </c>
      <c r="AB2" s="4" t="s">
        <v>123</v>
      </c>
      <c r="AC2" s="4" t="s">
        <v>124</v>
      </c>
      <c r="AD2" s="69" t="s">
        <v>184</v>
      </c>
      <c r="AE2" s="4" t="s">
        <v>125</v>
      </c>
      <c r="AF2" s="4" t="s">
        <v>126</v>
      </c>
      <c r="AG2" s="69" t="s">
        <v>184</v>
      </c>
      <c r="AH2" s="4" t="s">
        <v>111</v>
      </c>
      <c r="AI2" s="4" t="s">
        <v>112</v>
      </c>
      <c r="AJ2" s="69" t="s">
        <v>184</v>
      </c>
      <c r="AK2" s="254" t="s">
        <v>103</v>
      </c>
      <c r="AL2" s="255"/>
      <c r="AM2" s="69" t="s">
        <v>184</v>
      </c>
      <c r="AO2" s="71" t="s">
        <v>185</v>
      </c>
      <c r="AP2" s="71" t="s">
        <v>77</v>
      </c>
      <c r="AQ2" s="67"/>
      <c r="AR2" t="s">
        <v>163</v>
      </c>
      <c r="AS2" s="19"/>
      <c r="AT2" s="67"/>
      <c r="AU2" s="72" t="s">
        <v>128</v>
      </c>
      <c r="AV2" s="69" t="s">
        <v>184</v>
      </c>
      <c r="AW2" s="72" t="s">
        <v>127</v>
      </c>
      <c r="AX2" s="69" t="s">
        <v>184</v>
      </c>
      <c r="AY2" s="72" t="s">
        <v>129</v>
      </c>
      <c r="AZ2" s="69" t="s">
        <v>184</v>
      </c>
      <c r="BA2" s="72" t="s">
        <v>130</v>
      </c>
      <c r="BB2" s="69" t="s">
        <v>184</v>
      </c>
      <c r="BC2" s="19"/>
      <c r="BD2" s="17" t="s">
        <v>185</v>
      </c>
      <c r="BE2" s="17" t="s">
        <v>163</v>
      </c>
      <c r="BF2" s="73" t="s">
        <v>81</v>
      </c>
      <c r="BG2" s="67"/>
      <c r="BH2" s="19"/>
      <c r="BJ2" s="275" t="s">
        <v>186</v>
      </c>
      <c r="BK2" s="276"/>
      <c r="BL2" s="276"/>
      <c r="BM2" s="276"/>
      <c r="BN2" s="17" t="s">
        <v>138</v>
      </c>
      <c r="BO2" s="17" t="s">
        <v>187</v>
      </c>
      <c r="BP2" s="17"/>
      <c r="BQ2" s="17" t="s">
        <v>77</v>
      </c>
      <c r="BR2" s="17" t="s">
        <v>79</v>
      </c>
      <c r="BS2" s="17" t="s">
        <v>77</v>
      </c>
      <c r="BT2" s="17" t="s">
        <v>188</v>
      </c>
      <c r="BU2" s="17" t="s">
        <v>79</v>
      </c>
      <c r="BV2" s="17" t="s">
        <v>81</v>
      </c>
      <c r="BW2" s="17" t="s">
        <v>138</v>
      </c>
      <c r="BX2" s="17" t="s">
        <v>187</v>
      </c>
      <c r="BY2" s="17"/>
      <c r="BZ2" s="17" t="s">
        <v>77</v>
      </c>
      <c r="CA2" s="17" t="s">
        <v>79</v>
      </c>
      <c r="CB2" s="17" t="s">
        <v>77</v>
      </c>
      <c r="CC2" s="17" t="s">
        <v>188</v>
      </c>
      <c r="CD2" s="17" t="s">
        <v>79</v>
      </c>
      <c r="CE2" s="17" t="s">
        <v>81</v>
      </c>
      <c r="CF2" s="17" t="s">
        <v>138</v>
      </c>
      <c r="CG2" s="17" t="s">
        <v>187</v>
      </c>
      <c r="CH2" s="17"/>
      <c r="CI2" s="17" t="s">
        <v>77</v>
      </c>
      <c r="CJ2" s="17" t="s">
        <v>79</v>
      </c>
      <c r="CK2" s="17" t="s">
        <v>77</v>
      </c>
      <c r="CL2" s="17" t="s">
        <v>188</v>
      </c>
      <c r="CM2" s="17" t="s">
        <v>79</v>
      </c>
      <c r="CN2" s="17" t="s">
        <v>81</v>
      </c>
      <c r="CO2" s="17" t="s">
        <v>138</v>
      </c>
      <c r="CP2" s="17" t="s">
        <v>187</v>
      </c>
      <c r="CQ2" s="17"/>
      <c r="CR2" s="17" t="s">
        <v>77</v>
      </c>
      <c r="CS2" s="17" t="s">
        <v>79</v>
      </c>
      <c r="CT2" s="17" t="s">
        <v>77</v>
      </c>
      <c r="CU2" s="17" t="s">
        <v>188</v>
      </c>
      <c r="CV2" s="17" t="s">
        <v>79</v>
      </c>
      <c r="CW2" s="17" t="s">
        <v>81</v>
      </c>
      <c r="CX2" s="17" t="s">
        <v>138</v>
      </c>
      <c r="CY2" s="17" t="s">
        <v>187</v>
      </c>
      <c r="CZ2" s="17"/>
      <c r="DA2" s="17" t="s">
        <v>77</v>
      </c>
      <c r="DB2" s="18" t="s">
        <v>79</v>
      </c>
      <c r="DC2" s="17" t="s">
        <v>77</v>
      </c>
      <c r="DD2" s="17" t="s">
        <v>188</v>
      </c>
      <c r="DE2" s="17" t="s">
        <v>79</v>
      </c>
      <c r="DF2" s="17" t="s">
        <v>81</v>
      </c>
      <c r="DG2" s="17" t="s">
        <v>138</v>
      </c>
      <c r="DH2" s="17" t="s">
        <v>187</v>
      </c>
      <c r="DI2" s="17"/>
      <c r="DJ2" s="17" t="s">
        <v>77</v>
      </c>
      <c r="DK2" s="18" t="s">
        <v>79</v>
      </c>
      <c r="DL2" s="17" t="s">
        <v>77</v>
      </c>
      <c r="DM2" s="17" t="s">
        <v>188</v>
      </c>
      <c r="DN2" s="17" t="s">
        <v>79</v>
      </c>
      <c r="DO2" s="17" t="s">
        <v>81</v>
      </c>
      <c r="DP2" s="17" t="s">
        <v>138</v>
      </c>
      <c r="DQ2" s="17" t="s">
        <v>187</v>
      </c>
      <c r="DR2" s="17"/>
      <c r="DS2" s="17" t="s">
        <v>77</v>
      </c>
      <c r="DT2" s="17" t="s">
        <v>79</v>
      </c>
      <c r="DU2" s="17" t="s">
        <v>77</v>
      </c>
      <c r="DV2" s="17" t="s">
        <v>188</v>
      </c>
      <c r="DW2" s="17" t="s">
        <v>79</v>
      </c>
      <c r="DX2" s="17" t="s">
        <v>81</v>
      </c>
      <c r="DY2" s="17" t="s">
        <v>138</v>
      </c>
      <c r="DZ2" s="17" t="s">
        <v>187</v>
      </c>
      <c r="EA2" s="17"/>
      <c r="EB2" s="17" t="s">
        <v>77</v>
      </c>
      <c r="EC2" s="17" t="s">
        <v>79</v>
      </c>
      <c r="ED2" s="17" t="s">
        <v>77</v>
      </c>
      <c r="EE2" s="17" t="s">
        <v>188</v>
      </c>
      <c r="EF2" s="17" t="s">
        <v>79</v>
      </c>
      <c r="EG2" s="17" t="s">
        <v>81</v>
      </c>
      <c r="EH2" s="17" t="s">
        <v>138</v>
      </c>
      <c r="EI2" s="17" t="s">
        <v>187</v>
      </c>
      <c r="EJ2" s="17"/>
      <c r="EK2" s="17" t="s">
        <v>77</v>
      </c>
      <c r="EL2" s="17" t="s">
        <v>79</v>
      </c>
      <c r="EM2" s="17" t="s">
        <v>77</v>
      </c>
      <c r="EN2" s="17" t="s">
        <v>188</v>
      </c>
      <c r="EO2" s="17" t="s">
        <v>79</v>
      </c>
      <c r="EP2" s="17" t="s">
        <v>81</v>
      </c>
      <c r="EQ2" s="17" t="s">
        <v>138</v>
      </c>
      <c r="ER2" s="17" t="s">
        <v>187</v>
      </c>
      <c r="ES2" s="17"/>
      <c r="ET2" s="17" t="s">
        <v>77</v>
      </c>
      <c r="EU2" s="17" t="s">
        <v>79</v>
      </c>
      <c r="EV2" s="17" t="s">
        <v>77</v>
      </c>
      <c r="EW2" s="17" t="s">
        <v>188</v>
      </c>
      <c r="EX2" s="17" t="s">
        <v>79</v>
      </c>
      <c r="EY2" s="17" t="s">
        <v>81</v>
      </c>
      <c r="EZ2" s="17" t="s">
        <v>138</v>
      </c>
      <c r="FA2" s="74" t="s">
        <v>187</v>
      </c>
      <c r="FB2" s="74"/>
      <c r="FC2" s="17" t="s">
        <v>77</v>
      </c>
      <c r="FD2" s="17" t="s">
        <v>79</v>
      </c>
      <c r="FE2" s="17" t="s">
        <v>77</v>
      </c>
      <c r="FF2" s="17" t="s">
        <v>188</v>
      </c>
      <c r="FG2" s="17" t="s">
        <v>79</v>
      </c>
      <c r="FH2" s="17" t="s">
        <v>81</v>
      </c>
      <c r="FI2" s="19"/>
      <c r="FJ2" s="65" t="s">
        <v>81</v>
      </c>
      <c r="FK2" s="67" t="s">
        <v>81</v>
      </c>
      <c r="FL2" s="75" t="s">
        <v>79</v>
      </c>
      <c r="FM2" s="75" t="s">
        <v>81</v>
      </c>
      <c r="FN2" s="16"/>
      <c r="FP2" s="17" t="s">
        <v>138</v>
      </c>
      <c r="FQ2" s="17" t="s">
        <v>187</v>
      </c>
      <c r="FR2" s="17"/>
      <c r="FS2" s="17" t="s">
        <v>77</v>
      </c>
      <c r="FT2" s="17" t="s">
        <v>79</v>
      </c>
      <c r="FU2" s="17" t="s">
        <v>77</v>
      </c>
      <c r="FV2" s="17" t="s">
        <v>188</v>
      </c>
      <c r="FW2" s="17" t="s">
        <v>79</v>
      </c>
      <c r="FX2" s="17" t="s">
        <v>81</v>
      </c>
      <c r="FY2" s="17" t="s">
        <v>138</v>
      </c>
      <c r="FZ2" s="17" t="s">
        <v>187</v>
      </c>
      <c r="GA2" s="17"/>
      <c r="GB2" s="17" t="s">
        <v>77</v>
      </c>
      <c r="GC2" s="17" t="s">
        <v>79</v>
      </c>
      <c r="GD2" s="17" t="s">
        <v>77</v>
      </c>
      <c r="GE2" s="17" t="s">
        <v>188</v>
      </c>
      <c r="GF2" s="17" t="s">
        <v>79</v>
      </c>
      <c r="GG2" s="17" t="s">
        <v>81</v>
      </c>
      <c r="GH2" s="17" t="s">
        <v>138</v>
      </c>
      <c r="GI2" s="17" t="s">
        <v>187</v>
      </c>
      <c r="GJ2" s="17" t="s">
        <v>77</v>
      </c>
      <c r="GK2" s="17" t="s">
        <v>77</v>
      </c>
      <c r="GL2" s="17" t="s">
        <v>188</v>
      </c>
      <c r="GM2" s="17" t="s">
        <v>81</v>
      </c>
      <c r="GN2" s="17" t="s">
        <v>138</v>
      </c>
      <c r="GO2" s="17" t="s">
        <v>187</v>
      </c>
      <c r="GP2" s="17"/>
      <c r="GQ2" s="17" t="s">
        <v>77</v>
      </c>
      <c r="GR2" s="17" t="s">
        <v>79</v>
      </c>
      <c r="GS2" s="17" t="s">
        <v>77</v>
      </c>
      <c r="GT2" s="17" t="s">
        <v>188</v>
      </c>
      <c r="GU2" s="17" t="s">
        <v>79</v>
      </c>
      <c r="GV2" s="17" t="s">
        <v>81</v>
      </c>
      <c r="GW2" s="99" t="s">
        <v>81</v>
      </c>
      <c r="GX2" s="68" t="s">
        <v>81</v>
      </c>
      <c r="GY2" s="68" t="s">
        <v>81</v>
      </c>
      <c r="GZ2" s="68" t="s">
        <v>81</v>
      </c>
      <c r="HA2" s="20"/>
      <c r="HB2" s="69" t="s">
        <v>205</v>
      </c>
      <c r="HC2" s="69" t="s">
        <v>205</v>
      </c>
      <c r="HD2" s="69" t="s">
        <v>205</v>
      </c>
      <c r="HE2" s="69" t="s">
        <v>205</v>
      </c>
    </row>
    <row r="3" spans="2:213" x14ac:dyDescent="0.25">
      <c r="B3" s="76"/>
      <c r="C3" s="216" t="s">
        <v>10</v>
      </c>
      <c r="D3" s="4" t="s">
        <v>77</v>
      </c>
      <c r="E3" s="72" t="s">
        <v>79</v>
      </c>
      <c r="F3" s="24" t="s">
        <v>189</v>
      </c>
      <c r="G3" s="70" t="s">
        <v>77</v>
      </c>
      <c r="H3" s="4" t="s">
        <v>79</v>
      </c>
      <c r="I3" s="24" t="s">
        <v>189</v>
      </c>
      <c r="J3" s="4" t="s">
        <v>77</v>
      </c>
      <c r="K3" s="4" t="s">
        <v>79</v>
      </c>
      <c r="L3" s="24" t="s">
        <v>190</v>
      </c>
      <c r="M3" s="4" t="s">
        <v>77</v>
      </c>
      <c r="N3" s="4" t="s">
        <v>79</v>
      </c>
      <c r="O3" s="24" t="s">
        <v>190</v>
      </c>
      <c r="P3" s="4" t="s">
        <v>77</v>
      </c>
      <c r="Q3" s="4" t="s">
        <v>79</v>
      </c>
      <c r="R3" s="24" t="s">
        <v>190</v>
      </c>
      <c r="S3" s="4" t="s">
        <v>77</v>
      </c>
      <c r="T3" s="4" t="s">
        <v>79</v>
      </c>
      <c r="U3" s="24" t="s">
        <v>191</v>
      </c>
      <c r="V3" s="4" t="s">
        <v>77</v>
      </c>
      <c r="W3" s="4" t="s">
        <v>79</v>
      </c>
      <c r="X3" s="24" t="s">
        <v>191</v>
      </c>
      <c r="Y3" s="4" t="s">
        <v>77</v>
      </c>
      <c r="Z3" s="4" t="s">
        <v>79</v>
      </c>
      <c r="AA3" s="24" t="s">
        <v>189</v>
      </c>
      <c r="AB3" s="4" t="s">
        <v>77</v>
      </c>
      <c r="AC3" s="4" t="s">
        <v>79</v>
      </c>
      <c r="AD3" s="24" t="s">
        <v>189</v>
      </c>
      <c r="AE3" s="4" t="s">
        <v>77</v>
      </c>
      <c r="AF3" s="4" t="s">
        <v>79</v>
      </c>
      <c r="AG3" s="24" t="s">
        <v>192</v>
      </c>
      <c r="AH3" s="4" t="s">
        <v>77</v>
      </c>
      <c r="AI3" s="4" t="s">
        <v>79</v>
      </c>
      <c r="AJ3" s="24" t="s">
        <v>193</v>
      </c>
      <c r="AK3" s="254" t="s">
        <v>77</v>
      </c>
      <c r="AL3" s="255"/>
      <c r="AM3" s="24" t="s">
        <v>194</v>
      </c>
      <c r="AR3" s="67" t="s">
        <v>77</v>
      </c>
      <c r="AS3" s="16"/>
      <c r="AU3" s="72" t="s">
        <v>77</v>
      </c>
      <c r="AV3" s="24" t="s">
        <v>195</v>
      </c>
      <c r="AW3" s="72" t="s">
        <v>77</v>
      </c>
      <c r="AX3" s="24" t="s">
        <v>195</v>
      </c>
      <c r="AY3" s="72" t="s">
        <v>77</v>
      </c>
      <c r="AZ3" s="24" t="s">
        <v>194</v>
      </c>
      <c r="BA3" s="72" t="s">
        <v>77</v>
      </c>
      <c r="BB3" s="24" t="s">
        <v>193</v>
      </c>
      <c r="BC3" s="19"/>
      <c r="BD3" s="28" t="s">
        <v>196</v>
      </c>
      <c r="BE3" s="28" t="s">
        <v>196</v>
      </c>
      <c r="BF3" s="28" t="s">
        <v>197</v>
      </c>
      <c r="BG3" s="67"/>
      <c r="BH3" s="16"/>
      <c r="BJ3" s="21" t="s">
        <v>76</v>
      </c>
      <c r="BK3" s="22" t="s">
        <v>198</v>
      </c>
      <c r="BL3" s="21" t="s">
        <v>104</v>
      </c>
      <c r="BM3" s="77" t="s">
        <v>81</v>
      </c>
      <c r="BN3" s="23" t="s">
        <v>199</v>
      </c>
      <c r="BO3" s="24" t="s">
        <v>199</v>
      </c>
      <c r="BP3" s="24" t="s">
        <v>78</v>
      </c>
      <c r="BQ3" s="23" t="s">
        <v>104</v>
      </c>
      <c r="BR3" s="23" t="s">
        <v>104</v>
      </c>
      <c r="BS3" s="23" t="s">
        <v>81</v>
      </c>
      <c r="BT3" s="23" t="s">
        <v>81</v>
      </c>
      <c r="BU3" s="23" t="s">
        <v>81</v>
      </c>
      <c r="BV3" s="78" t="s">
        <v>104</v>
      </c>
      <c r="BW3" s="23" t="s">
        <v>199</v>
      </c>
      <c r="BX3" s="24" t="s">
        <v>199</v>
      </c>
      <c r="BY3" s="24" t="s">
        <v>78</v>
      </c>
      <c r="BZ3" s="23" t="s">
        <v>104</v>
      </c>
      <c r="CA3" s="23" t="s">
        <v>104</v>
      </c>
      <c r="CB3" s="23" t="s">
        <v>81</v>
      </c>
      <c r="CC3" s="23" t="s">
        <v>81</v>
      </c>
      <c r="CD3" s="23" t="s">
        <v>81</v>
      </c>
      <c r="CE3" s="78" t="s">
        <v>104</v>
      </c>
      <c r="CF3" s="23" t="s">
        <v>199</v>
      </c>
      <c r="CG3" s="24" t="s">
        <v>199</v>
      </c>
      <c r="CH3" s="24" t="s">
        <v>78</v>
      </c>
      <c r="CI3" s="23" t="s">
        <v>104</v>
      </c>
      <c r="CJ3" s="23" t="s">
        <v>104</v>
      </c>
      <c r="CK3" s="23" t="s">
        <v>81</v>
      </c>
      <c r="CL3" s="23" t="s">
        <v>81</v>
      </c>
      <c r="CM3" s="23" t="s">
        <v>81</v>
      </c>
      <c r="CN3" s="78" t="s">
        <v>104</v>
      </c>
      <c r="CO3" s="23" t="s">
        <v>199</v>
      </c>
      <c r="CP3" s="24" t="s">
        <v>199</v>
      </c>
      <c r="CQ3" s="24" t="s">
        <v>78</v>
      </c>
      <c r="CR3" s="23" t="s">
        <v>104</v>
      </c>
      <c r="CS3" s="23" t="s">
        <v>104</v>
      </c>
      <c r="CT3" s="23" t="s">
        <v>81</v>
      </c>
      <c r="CU3" s="23" t="s">
        <v>81</v>
      </c>
      <c r="CV3" s="23" t="s">
        <v>81</v>
      </c>
      <c r="CW3" s="78" t="s">
        <v>104</v>
      </c>
      <c r="CX3" s="23" t="s">
        <v>199</v>
      </c>
      <c r="CY3" s="24" t="s">
        <v>199</v>
      </c>
      <c r="CZ3" s="24" t="s">
        <v>78</v>
      </c>
      <c r="DA3" s="23" t="s">
        <v>104</v>
      </c>
      <c r="DB3" s="79" t="s">
        <v>104</v>
      </c>
      <c r="DC3" s="23" t="s">
        <v>81</v>
      </c>
      <c r="DD3" s="23" t="s">
        <v>81</v>
      </c>
      <c r="DE3" s="23" t="s">
        <v>81</v>
      </c>
      <c r="DF3" s="78" t="s">
        <v>104</v>
      </c>
      <c r="DG3" s="23" t="s">
        <v>199</v>
      </c>
      <c r="DH3" s="24" t="s">
        <v>199</v>
      </c>
      <c r="DI3" s="24" t="s">
        <v>78</v>
      </c>
      <c r="DJ3" s="23" t="s">
        <v>104</v>
      </c>
      <c r="DK3" s="79" t="s">
        <v>104</v>
      </c>
      <c r="DL3" s="23" t="s">
        <v>81</v>
      </c>
      <c r="DM3" s="23" t="s">
        <v>81</v>
      </c>
      <c r="DN3" s="23" t="s">
        <v>81</v>
      </c>
      <c r="DO3" s="78" t="s">
        <v>104</v>
      </c>
      <c r="DP3" s="23" t="s">
        <v>199</v>
      </c>
      <c r="DQ3" s="24" t="s">
        <v>199</v>
      </c>
      <c r="DR3" s="24" t="s">
        <v>78</v>
      </c>
      <c r="DS3" s="23" t="s">
        <v>104</v>
      </c>
      <c r="DT3" s="23" t="s">
        <v>104</v>
      </c>
      <c r="DU3" s="23" t="s">
        <v>81</v>
      </c>
      <c r="DV3" s="23" t="s">
        <v>81</v>
      </c>
      <c r="DW3" s="23" t="s">
        <v>81</v>
      </c>
      <c r="DX3" s="78" t="s">
        <v>104</v>
      </c>
      <c r="DY3" s="23" t="s">
        <v>199</v>
      </c>
      <c r="DZ3" s="24" t="s">
        <v>199</v>
      </c>
      <c r="EA3" s="24" t="s">
        <v>78</v>
      </c>
      <c r="EB3" s="23" t="s">
        <v>104</v>
      </c>
      <c r="EC3" s="23" t="s">
        <v>104</v>
      </c>
      <c r="ED3" s="23" t="s">
        <v>81</v>
      </c>
      <c r="EE3" s="23" t="s">
        <v>81</v>
      </c>
      <c r="EF3" s="23" t="s">
        <v>81</v>
      </c>
      <c r="EG3" s="78" t="s">
        <v>104</v>
      </c>
      <c r="EH3" s="23" t="s">
        <v>199</v>
      </c>
      <c r="EI3" s="24" t="s">
        <v>199</v>
      </c>
      <c r="EJ3" s="24" t="s">
        <v>78</v>
      </c>
      <c r="EK3" s="23" t="s">
        <v>104</v>
      </c>
      <c r="EL3" s="23" t="s">
        <v>104</v>
      </c>
      <c r="EM3" s="23" t="s">
        <v>81</v>
      </c>
      <c r="EN3" s="23" t="s">
        <v>81</v>
      </c>
      <c r="EO3" s="23" t="s">
        <v>81</v>
      </c>
      <c r="EP3" s="78" t="s">
        <v>104</v>
      </c>
      <c r="EQ3" s="23" t="s">
        <v>199</v>
      </c>
      <c r="ER3" s="24" t="s">
        <v>199</v>
      </c>
      <c r="ES3" s="24" t="s">
        <v>78</v>
      </c>
      <c r="ET3" s="23" t="s">
        <v>104</v>
      </c>
      <c r="EU3" s="23" t="s">
        <v>104</v>
      </c>
      <c r="EV3" s="23" t="s">
        <v>81</v>
      </c>
      <c r="EW3" s="23" t="s">
        <v>81</v>
      </c>
      <c r="EX3" s="23" t="s">
        <v>81</v>
      </c>
      <c r="EY3" s="78" t="s">
        <v>104</v>
      </c>
      <c r="EZ3" s="23" t="s">
        <v>199</v>
      </c>
      <c r="FA3" s="80" t="s">
        <v>199</v>
      </c>
      <c r="FB3" s="80" t="s">
        <v>78</v>
      </c>
      <c r="FC3" s="23" t="s">
        <v>104</v>
      </c>
      <c r="FD3" s="23" t="s">
        <v>104</v>
      </c>
      <c r="FE3" s="23" t="s">
        <v>81</v>
      </c>
      <c r="FF3" s="23" t="s">
        <v>81</v>
      </c>
      <c r="FG3" s="23" t="s">
        <v>81</v>
      </c>
      <c r="FH3" s="78" t="s">
        <v>104</v>
      </c>
      <c r="FI3" s="81"/>
      <c r="FJ3" s="65" t="s">
        <v>200</v>
      </c>
      <c r="FK3" t="s">
        <v>201</v>
      </c>
      <c r="FL3" t="s">
        <v>81</v>
      </c>
      <c r="FM3" t="s">
        <v>202</v>
      </c>
      <c r="FN3" s="16"/>
      <c r="FP3" s="23" t="s">
        <v>199</v>
      </c>
      <c r="FQ3" s="24" t="s">
        <v>199</v>
      </c>
      <c r="FR3" s="24" t="s">
        <v>78</v>
      </c>
      <c r="FS3" s="23" t="s">
        <v>104</v>
      </c>
      <c r="FT3" s="23" t="s">
        <v>104</v>
      </c>
      <c r="FU3" s="23" t="s">
        <v>81</v>
      </c>
      <c r="FV3" s="23" t="s">
        <v>81</v>
      </c>
      <c r="FW3" s="23" t="s">
        <v>81</v>
      </c>
      <c r="FX3" s="78" t="s">
        <v>104</v>
      </c>
      <c r="FY3" s="23" t="s">
        <v>199</v>
      </c>
      <c r="FZ3" s="24" t="s">
        <v>199</v>
      </c>
      <c r="GA3" s="24" t="s">
        <v>78</v>
      </c>
      <c r="GB3" s="23" t="s">
        <v>104</v>
      </c>
      <c r="GC3" s="23" t="s">
        <v>104</v>
      </c>
      <c r="GD3" s="23" t="s">
        <v>81</v>
      </c>
      <c r="GE3" s="23" t="s">
        <v>81</v>
      </c>
      <c r="GF3" s="23" t="s">
        <v>81</v>
      </c>
      <c r="GG3" s="78" t="s">
        <v>104</v>
      </c>
      <c r="GH3" s="23" t="s">
        <v>199</v>
      </c>
      <c r="GI3" s="24" t="s">
        <v>199</v>
      </c>
      <c r="GJ3" s="23" t="s">
        <v>104</v>
      </c>
      <c r="GK3" s="23" t="s">
        <v>81</v>
      </c>
      <c r="GL3" s="23" t="s">
        <v>81</v>
      </c>
      <c r="GM3" s="78" t="s">
        <v>104</v>
      </c>
      <c r="GN3" s="23" t="s">
        <v>199</v>
      </c>
      <c r="GO3" s="24" t="s">
        <v>199</v>
      </c>
      <c r="GP3" s="24" t="s">
        <v>78</v>
      </c>
      <c r="GQ3" s="23" t="s">
        <v>104</v>
      </c>
      <c r="GR3" s="23" t="s">
        <v>104</v>
      </c>
      <c r="GS3" s="23" t="s">
        <v>81</v>
      </c>
      <c r="GT3" s="23" t="s">
        <v>81</v>
      </c>
      <c r="GU3" s="23" t="s">
        <v>81</v>
      </c>
      <c r="GV3" s="78" t="s">
        <v>104</v>
      </c>
      <c r="GW3" s="100" t="s">
        <v>77</v>
      </c>
      <c r="GX3" s="25" t="s">
        <v>201</v>
      </c>
      <c r="GY3" s="25" t="s">
        <v>79</v>
      </c>
      <c r="GZ3" s="25" t="s">
        <v>203</v>
      </c>
      <c r="HA3" s="20"/>
      <c r="HB3" s="24" t="s">
        <v>77</v>
      </c>
      <c r="HC3" s="24" t="s">
        <v>201</v>
      </c>
      <c r="HD3" s="24" t="s">
        <v>79</v>
      </c>
      <c r="HE3" s="24" t="s">
        <v>203</v>
      </c>
    </row>
    <row r="4" spans="2:213" x14ac:dyDescent="0.25">
      <c r="B4" s="82">
        <v>44197</v>
      </c>
      <c r="C4" s="217">
        <v>0</v>
      </c>
      <c r="D4" s="199">
        <v>98168</v>
      </c>
      <c r="E4" s="199">
        <v>1.99</v>
      </c>
      <c r="F4" s="206" t="s">
        <v>204</v>
      </c>
      <c r="G4" s="199">
        <v>94723</v>
      </c>
      <c r="H4" s="199">
        <v>2.2989999999999999</v>
      </c>
      <c r="I4" s="206" t="s">
        <v>204</v>
      </c>
      <c r="J4" s="199">
        <v>10869</v>
      </c>
      <c r="K4" s="199">
        <v>3.07</v>
      </c>
      <c r="L4" s="206" t="s">
        <v>204</v>
      </c>
      <c r="M4" s="199">
        <v>10784</v>
      </c>
      <c r="N4" s="199">
        <v>2.48</v>
      </c>
      <c r="O4" s="206" t="s">
        <v>204</v>
      </c>
      <c r="P4" s="199">
        <v>11418</v>
      </c>
      <c r="Q4" s="199">
        <v>2.77</v>
      </c>
      <c r="R4" s="206" t="s">
        <v>204</v>
      </c>
      <c r="S4" s="199">
        <v>76986</v>
      </c>
      <c r="T4" s="199">
        <v>1.964</v>
      </c>
      <c r="U4" s="206" t="s">
        <v>204</v>
      </c>
      <c r="V4" s="199">
        <v>73548</v>
      </c>
      <c r="W4" s="199">
        <v>1.3759999999999999</v>
      </c>
      <c r="X4" s="206" t="s">
        <v>204</v>
      </c>
      <c r="Y4" s="199">
        <v>17824</v>
      </c>
      <c r="Z4" s="199">
        <v>2.56</v>
      </c>
      <c r="AA4" s="206" t="s">
        <v>204</v>
      </c>
      <c r="AB4" s="199">
        <v>11813</v>
      </c>
      <c r="AC4" s="199">
        <v>1.73</v>
      </c>
      <c r="AD4" s="206" t="s">
        <v>204</v>
      </c>
      <c r="AE4" s="199">
        <v>93249</v>
      </c>
      <c r="AF4" s="199">
        <v>2.1619999999999999</v>
      </c>
      <c r="AG4" s="206" t="s">
        <v>204</v>
      </c>
      <c r="AH4" s="199">
        <v>17476</v>
      </c>
      <c r="AI4" s="199">
        <v>0.33100000000000002</v>
      </c>
      <c r="AJ4" s="206" t="s">
        <v>204</v>
      </c>
      <c r="AK4" s="210">
        <v>70340</v>
      </c>
      <c r="AL4" s="206" t="s">
        <v>204</v>
      </c>
      <c r="AM4" s="46">
        <v>0</v>
      </c>
      <c r="AO4" s="46">
        <v>0</v>
      </c>
      <c r="AP4" s="22">
        <v>0</v>
      </c>
      <c r="AQ4" s="22">
        <v>0</v>
      </c>
      <c r="AR4" s="22"/>
      <c r="AS4" s="16"/>
      <c r="AT4" s="89">
        <f t="shared" ref="AT4:AT44" si="0">B4</f>
        <v>44197</v>
      </c>
      <c r="AU4" s="199">
        <v>63102</v>
      </c>
      <c r="AV4" s="199" t="s">
        <v>204</v>
      </c>
      <c r="AW4" s="200">
        <v>8065</v>
      </c>
      <c r="AX4" s="199" t="s">
        <v>204</v>
      </c>
      <c r="AY4" s="200">
        <v>28157</v>
      </c>
      <c r="AZ4" s="209" t="s">
        <v>204</v>
      </c>
      <c r="BA4" s="199">
        <v>50430</v>
      </c>
      <c r="BB4" s="206" t="s">
        <v>204</v>
      </c>
      <c r="BC4" s="83"/>
      <c r="BD4" s="46">
        <v>0</v>
      </c>
      <c r="BE4" s="22"/>
      <c r="BF4" s="22"/>
      <c r="BH4" s="16"/>
      <c r="BJ4" s="21">
        <f t="shared" ref="BJ4:BJ44" si="1">SUM(AK4)</f>
        <v>70340</v>
      </c>
      <c r="BK4" s="22"/>
      <c r="BN4" s="85">
        <f t="shared" ref="BN4:BN44" si="2">SUM(G4)</f>
        <v>94723</v>
      </c>
      <c r="BO4" s="22"/>
      <c r="BP4" s="22"/>
      <c r="BW4" s="85">
        <f t="shared" ref="BW4:BW45" si="3">SUM(D4)</f>
        <v>98168</v>
      </c>
      <c r="BX4" s="22"/>
      <c r="BY4" s="22"/>
      <c r="CF4" s="85">
        <f t="shared" ref="CF4:CF44" si="4">SUM(S4)</f>
        <v>76986</v>
      </c>
      <c r="CG4" s="22"/>
      <c r="CH4" s="22"/>
      <c r="CO4" s="85">
        <f t="shared" ref="CO4:CO44" si="5">SUM(AH4)</f>
        <v>17476</v>
      </c>
      <c r="CP4" s="22"/>
      <c r="CQ4" s="22"/>
      <c r="CX4" s="85">
        <f t="shared" ref="CX4:CX44" si="6">SUM(V4)</f>
        <v>73548</v>
      </c>
      <c r="CY4" s="22"/>
      <c r="CZ4" s="22"/>
      <c r="DG4" s="85">
        <f t="shared" ref="DG4:DG44" si="7">SUM(M4)</f>
        <v>10784</v>
      </c>
      <c r="DH4" s="22"/>
      <c r="DI4" s="22"/>
      <c r="DP4" s="85">
        <f t="shared" ref="DP4:DP44" si="8">SUM(S4)</f>
        <v>76986</v>
      </c>
      <c r="DQ4" s="22"/>
      <c r="DR4" s="22"/>
      <c r="DY4" s="85">
        <f t="shared" ref="DY4:DY44" si="9">SUM(P4)</f>
        <v>11418</v>
      </c>
      <c r="DZ4" s="22"/>
      <c r="EA4" s="22"/>
      <c r="EH4" s="85">
        <f t="shared" ref="EH4:EH44" si="10">SUM(Y4)</f>
        <v>17824</v>
      </c>
      <c r="EI4" s="22"/>
      <c r="EJ4" s="22"/>
      <c r="EQ4" s="85">
        <f t="shared" ref="EQ4:EQ44" si="11">SUM(AB4)</f>
        <v>11813</v>
      </c>
      <c r="ER4" s="22"/>
      <c r="ES4" s="22"/>
      <c r="EZ4" s="21">
        <f t="shared" ref="EZ4:EZ44" si="12">SUM(AE4)</f>
        <v>93249</v>
      </c>
      <c r="FA4" s="97"/>
      <c r="FB4" s="97"/>
      <c r="FI4" s="66"/>
      <c r="FN4" s="16"/>
      <c r="FP4" s="85">
        <f t="shared" ref="FP4:FP38" si="13">SUM(AW4)</f>
        <v>8065</v>
      </c>
      <c r="FQ4" s="22"/>
      <c r="FR4" s="22"/>
      <c r="FY4" s="85">
        <f t="shared" ref="FY4:FY44" si="14">SUM(AU4)</f>
        <v>63102</v>
      </c>
      <c r="FZ4" s="22"/>
      <c r="GA4" s="22"/>
      <c r="GH4" s="85">
        <f t="shared" ref="GH4:GH44" si="15">SUM(AY4)</f>
        <v>28157</v>
      </c>
      <c r="GI4" s="22"/>
      <c r="GN4" s="85">
        <f t="shared" ref="GN4:GN44" si="16">SUM(BA4)</f>
        <v>50430</v>
      </c>
      <c r="GO4" s="22"/>
      <c r="GP4" s="22"/>
      <c r="HA4" s="20"/>
    </row>
    <row r="5" spans="2:213" x14ac:dyDescent="0.25">
      <c r="B5" s="82">
        <v>44200</v>
      </c>
      <c r="C5" s="217">
        <f>SUM(Essbase!J8,Essbase!J9,Essbase!J10,Essbase!J11,Essbase!J12)</f>
        <v>756</v>
      </c>
      <c r="D5" s="199">
        <v>98288</v>
      </c>
      <c r="E5" s="199">
        <v>1.99</v>
      </c>
      <c r="F5" s="206">
        <v>19200</v>
      </c>
      <c r="G5" s="199">
        <v>94857</v>
      </c>
      <c r="H5" s="199">
        <v>2.2989999999999999</v>
      </c>
      <c r="I5" s="206">
        <v>21440</v>
      </c>
      <c r="J5" s="199">
        <v>10882</v>
      </c>
      <c r="K5" s="199">
        <v>3.07</v>
      </c>
      <c r="L5" s="206">
        <v>5200</v>
      </c>
      <c r="M5" s="199">
        <v>10795</v>
      </c>
      <c r="N5" s="199">
        <v>2.48</v>
      </c>
      <c r="O5" s="206">
        <v>4400</v>
      </c>
      <c r="P5" s="199">
        <v>11430</v>
      </c>
      <c r="Q5" s="199">
        <v>2.77</v>
      </c>
      <c r="R5" s="206">
        <v>4800</v>
      </c>
      <c r="S5" s="199">
        <v>77092</v>
      </c>
      <c r="T5" s="199">
        <v>2.0670000000000002</v>
      </c>
      <c r="U5" s="206">
        <v>31800</v>
      </c>
      <c r="V5" s="199">
        <v>73609</v>
      </c>
      <c r="W5" s="199">
        <v>1.373</v>
      </c>
      <c r="X5" s="206">
        <v>18300</v>
      </c>
      <c r="Y5" s="199">
        <v>17838</v>
      </c>
      <c r="Z5" s="199">
        <v>2.56</v>
      </c>
      <c r="AA5" s="206">
        <v>2240</v>
      </c>
      <c r="AB5" s="199">
        <v>11821</v>
      </c>
      <c r="AC5" s="199">
        <v>1.74</v>
      </c>
      <c r="AD5" s="206">
        <v>1280</v>
      </c>
      <c r="AE5" s="199">
        <v>93358</v>
      </c>
      <c r="AF5" s="199">
        <v>2.1619999999999999</v>
      </c>
      <c r="AG5" s="206">
        <v>21800</v>
      </c>
      <c r="AH5" s="199">
        <v>17442</v>
      </c>
      <c r="AI5" s="199">
        <v>0.33100000000000002</v>
      </c>
      <c r="AJ5" s="206">
        <v>-1360</v>
      </c>
      <c r="AK5" s="210">
        <v>70591</v>
      </c>
      <c r="AL5" s="206">
        <v>251</v>
      </c>
      <c r="AM5" s="46">
        <f t="shared" ref="AM5:AM44" si="17">SUM(AK5-AK4)</f>
        <v>251</v>
      </c>
      <c r="AO5" s="46">
        <f t="shared" ref="AO5:AO51" si="18">SUM(AG5+AD5+AA5+X5+U5+R5+O5+L5+I5+F5+AJ5+AM5)</f>
        <v>129351</v>
      </c>
      <c r="AP5" s="22">
        <f t="shared" ref="AP5:AP51" si="19">SUM(AG5+AJ5)</f>
        <v>20440</v>
      </c>
      <c r="AQ5" s="22">
        <f t="shared" ref="AQ5:AQ44" si="20">SUM(AP5/AO5)</f>
        <v>0.15801965195475876</v>
      </c>
      <c r="AR5" s="22"/>
      <c r="AS5" s="16"/>
      <c r="AT5" s="89">
        <f t="shared" si="0"/>
        <v>44200</v>
      </c>
      <c r="AU5" s="199">
        <v>63154</v>
      </c>
      <c r="AV5" s="206">
        <v>5200</v>
      </c>
      <c r="AW5" s="199">
        <v>8070</v>
      </c>
      <c r="AX5" s="206">
        <v>500</v>
      </c>
      <c r="AY5" s="200">
        <v>29046</v>
      </c>
      <c r="AZ5" s="209">
        <v>889</v>
      </c>
      <c r="BA5" s="199">
        <v>50496</v>
      </c>
      <c r="BB5" s="206">
        <v>2640</v>
      </c>
      <c r="BC5" s="83"/>
      <c r="BD5" s="27">
        <f t="shared" ref="BD5:BD51" si="21">SUM(AV5+AX5,AZ5,BB5)</f>
        <v>9229</v>
      </c>
      <c r="BE5" s="22"/>
      <c r="BF5" s="22"/>
      <c r="BH5" s="16"/>
      <c r="BJ5" s="21">
        <f t="shared" si="1"/>
        <v>70591</v>
      </c>
      <c r="BN5" s="85">
        <f t="shared" si="2"/>
        <v>94857</v>
      </c>
      <c r="BW5" s="85">
        <f t="shared" si="3"/>
        <v>98288</v>
      </c>
      <c r="CF5" s="85">
        <f t="shared" si="4"/>
        <v>77092</v>
      </c>
      <c r="CO5" s="85">
        <f t="shared" si="5"/>
        <v>17442</v>
      </c>
      <c r="CX5" s="85">
        <f t="shared" si="6"/>
        <v>73609</v>
      </c>
      <c r="DG5" s="85">
        <f t="shared" si="7"/>
        <v>10795</v>
      </c>
      <c r="DP5" s="85">
        <f t="shared" si="8"/>
        <v>77092</v>
      </c>
      <c r="DY5" s="85">
        <f t="shared" si="9"/>
        <v>11430</v>
      </c>
      <c r="EH5" s="85">
        <f t="shared" si="10"/>
        <v>17838</v>
      </c>
      <c r="EQ5" s="85">
        <f t="shared" si="11"/>
        <v>11821</v>
      </c>
      <c r="EZ5" s="21">
        <f t="shared" si="12"/>
        <v>93358</v>
      </c>
      <c r="FI5" s="66"/>
      <c r="FN5" s="16"/>
      <c r="FP5" s="85">
        <f t="shared" si="13"/>
        <v>8070</v>
      </c>
      <c r="FY5" s="85">
        <f t="shared" si="14"/>
        <v>63154</v>
      </c>
      <c r="GH5" s="85">
        <f t="shared" si="15"/>
        <v>29046</v>
      </c>
      <c r="GN5" s="85">
        <f t="shared" si="16"/>
        <v>50496</v>
      </c>
      <c r="HA5" s="20"/>
    </row>
    <row r="6" spans="2:213" x14ac:dyDescent="0.25">
      <c r="B6" s="82">
        <v>44207</v>
      </c>
      <c r="C6" s="217">
        <f>SUM(Essbase!J12,Essbase!J13,Essbase!J14,Essbase!J15,Essbase!J16,Essbase!J17,Essbase!J18)</f>
        <v>724</v>
      </c>
      <c r="D6" s="199">
        <v>98540</v>
      </c>
      <c r="E6" s="199">
        <v>1.99</v>
      </c>
      <c r="F6" s="206">
        <v>40320</v>
      </c>
      <c r="G6" s="199">
        <v>95134</v>
      </c>
      <c r="H6" s="199">
        <v>2.2989999999999999</v>
      </c>
      <c r="I6" s="206">
        <v>44320</v>
      </c>
      <c r="J6" s="199">
        <v>10908</v>
      </c>
      <c r="K6" s="199">
        <v>3.07</v>
      </c>
      <c r="L6" s="206">
        <v>10400</v>
      </c>
      <c r="M6" s="199">
        <v>10818</v>
      </c>
      <c r="N6" s="199">
        <v>2.48</v>
      </c>
      <c r="O6" s="206">
        <v>9200</v>
      </c>
      <c r="P6" s="199">
        <v>11454</v>
      </c>
      <c r="Q6" s="199">
        <v>2.77</v>
      </c>
      <c r="R6" s="206">
        <v>9600</v>
      </c>
      <c r="S6" s="199">
        <v>77173</v>
      </c>
      <c r="T6" s="199">
        <v>2.0670000000000002</v>
      </c>
      <c r="U6" s="206">
        <v>24300</v>
      </c>
      <c r="V6" s="199">
        <v>73691</v>
      </c>
      <c r="W6" s="199">
        <v>1.373</v>
      </c>
      <c r="X6" s="206">
        <v>24600</v>
      </c>
      <c r="Y6" s="199">
        <v>17870</v>
      </c>
      <c r="Z6" s="199">
        <v>2.72</v>
      </c>
      <c r="AA6" s="206">
        <v>5120</v>
      </c>
      <c r="AB6" s="199">
        <v>11836</v>
      </c>
      <c r="AC6" s="199">
        <v>1.74</v>
      </c>
      <c r="AD6" s="206">
        <v>2400</v>
      </c>
      <c r="AE6" s="199">
        <v>93610</v>
      </c>
      <c r="AF6" s="199">
        <v>2.1619999999999999</v>
      </c>
      <c r="AG6" s="206">
        <v>50400</v>
      </c>
      <c r="AH6" s="199">
        <v>17529</v>
      </c>
      <c r="AI6" s="199">
        <v>0.33100000000000002</v>
      </c>
      <c r="AJ6" s="206">
        <v>3480</v>
      </c>
      <c r="AK6" s="210">
        <v>71145</v>
      </c>
      <c r="AL6" s="206">
        <v>554</v>
      </c>
      <c r="AM6" s="46">
        <f t="shared" si="17"/>
        <v>554</v>
      </c>
      <c r="AO6" s="46">
        <f t="shared" si="18"/>
        <v>224694</v>
      </c>
      <c r="AP6" s="22">
        <f t="shared" si="19"/>
        <v>53880</v>
      </c>
      <c r="AQ6" s="22">
        <f t="shared" si="20"/>
        <v>0.23979278485406819</v>
      </c>
      <c r="AR6" s="22"/>
      <c r="AS6" s="16"/>
      <c r="AT6" s="89">
        <f t="shared" si="0"/>
        <v>44207</v>
      </c>
      <c r="AU6" s="199">
        <v>63264</v>
      </c>
      <c r="AV6" s="206">
        <v>11000</v>
      </c>
      <c r="AW6" s="199">
        <v>8085</v>
      </c>
      <c r="AX6" s="206">
        <v>1500</v>
      </c>
      <c r="AY6" s="200">
        <v>29955</v>
      </c>
      <c r="AZ6" s="209">
        <v>909</v>
      </c>
      <c r="BA6" s="199">
        <v>50578</v>
      </c>
      <c r="BB6" s="206">
        <v>3280</v>
      </c>
      <c r="BC6" s="83"/>
      <c r="BD6" s="27">
        <f t="shared" si="21"/>
        <v>16689</v>
      </c>
      <c r="BE6" s="22"/>
      <c r="BF6" s="22"/>
      <c r="BH6" s="16"/>
      <c r="BJ6" s="21">
        <f t="shared" si="1"/>
        <v>71145</v>
      </c>
      <c r="BN6" s="85">
        <f t="shared" si="2"/>
        <v>95134</v>
      </c>
      <c r="BW6" s="85">
        <f t="shared" si="3"/>
        <v>98540</v>
      </c>
      <c r="CF6" s="85">
        <f t="shared" si="4"/>
        <v>77173</v>
      </c>
      <c r="CO6" s="85">
        <f t="shared" si="5"/>
        <v>17529</v>
      </c>
      <c r="CX6" s="85">
        <f t="shared" si="6"/>
        <v>73691</v>
      </c>
      <c r="DG6" s="85">
        <f t="shared" si="7"/>
        <v>10818</v>
      </c>
      <c r="DP6" s="85">
        <f t="shared" si="8"/>
        <v>77173</v>
      </c>
      <c r="DY6" s="85">
        <f t="shared" si="9"/>
        <v>11454</v>
      </c>
      <c r="EH6" s="85">
        <f t="shared" si="10"/>
        <v>17870</v>
      </c>
      <c r="EQ6" s="85">
        <f t="shared" si="11"/>
        <v>11836</v>
      </c>
      <c r="EZ6" s="21">
        <f t="shared" si="12"/>
        <v>93610</v>
      </c>
      <c r="FI6" s="66"/>
      <c r="FN6" s="16"/>
      <c r="FP6" s="85">
        <f t="shared" si="13"/>
        <v>8085</v>
      </c>
      <c r="FY6" s="85">
        <f t="shared" si="14"/>
        <v>63264</v>
      </c>
      <c r="GH6" s="85">
        <f t="shared" si="15"/>
        <v>29955</v>
      </c>
      <c r="GN6" s="85">
        <f t="shared" si="16"/>
        <v>50578</v>
      </c>
      <c r="HA6" s="20"/>
      <c r="HB6" s="61"/>
    </row>
    <row r="7" spans="2:213" x14ac:dyDescent="0.25">
      <c r="B7" s="82">
        <v>44214</v>
      </c>
      <c r="C7" s="217">
        <f>SUM(Essbase!J19,Essbase!J20,Essbase!J21,Essbase!J22,Essbase!J23,Essbase!J24,Essbase!J25)</f>
        <v>772</v>
      </c>
      <c r="D7" s="199">
        <v>98795</v>
      </c>
      <c r="E7" s="199">
        <v>1.99</v>
      </c>
      <c r="F7" s="206">
        <v>40800</v>
      </c>
      <c r="G7" s="199">
        <v>95416</v>
      </c>
      <c r="H7" s="199">
        <v>2.2989999999999999</v>
      </c>
      <c r="I7" s="206">
        <v>45120</v>
      </c>
      <c r="J7" s="199">
        <v>10940</v>
      </c>
      <c r="K7" s="199">
        <v>3.07</v>
      </c>
      <c r="L7" s="206">
        <v>12800</v>
      </c>
      <c r="M7" s="199">
        <v>10840</v>
      </c>
      <c r="N7" s="199">
        <v>2.48</v>
      </c>
      <c r="O7" s="206">
        <v>8800</v>
      </c>
      <c r="P7" s="199">
        <v>11478</v>
      </c>
      <c r="Q7" s="199">
        <v>2.77</v>
      </c>
      <c r="R7" s="206">
        <v>9600</v>
      </c>
      <c r="S7" s="199">
        <v>77231</v>
      </c>
      <c r="T7" s="199">
        <v>2.0670000000000002</v>
      </c>
      <c r="U7" s="206">
        <v>17400</v>
      </c>
      <c r="V7" s="199">
        <v>73806</v>
      </c>
      <c r="W7" s="199">
        <v>1.373</v>
      </c>
      <c r="X7" s="206">
        <v>34500</v>
      </c>
      <c r="Y7" s="199">
        <v>17908</v>
      </c>
      <c r="Z7" s="199">
        <v>3.03</v>
      </c>
      <c r="AA7" s="206">
        <v>6080</v>
      </c>
      <c r="AB7" s="199">
        <v>11855</v>
      </c>
      <c r="AC7" s="199">
        <v>1.76</v>
      </c>
      <c r="AD7" s="206">
        <v>3040</v>
      </c>
      <c r="AE7" s="199">
        <v>93863</v>
      </c>
      <c r="AF7" s="199">
        <v>2.1619999999999999</v>
      </c>
      <c r="AG7" s="206">
        <v>50600</v>
      </c>
      <c r="AH7" s="199">
        <v>17565</v>
      </c>
      <c r="AI7" s="199">
        <v>0.34599999999999997</v>
      </c>
      <c r="AJ7" s="206">
        <v>1440</v>
      </c>
      <c r="AK7" s="210">
        <v>71709</v>
      </c>
      <c r="AL7" s="206">
        <v>564</v>
      </c>
      <c r="AM7" s="46">
        <f t="shared" si="17"/>
        <v>564</v>
      </c>
      <c r="AO7" s="46">
        <f t="shared" si="18"/>
        <v>230744</v>
      </c>
      <c r="AP7" s="22">
        <f t="shared" si="19"/>
        <v>52040</v>
      </c>
      <c r="AQ7" s="22">
        <f t="shared" si="20"/>
        <v>0.22553132475817356</v>
      </c>
      <c r="AR7" s="22"/>
      <c r="AS7" s="16"/>
      <c r="AT7" s="89">
        <f t="shared" si="0"/>
        <v>44214</v>
      </c>
      <c r="AU7" s="199">
        <v>63373</v>
      </c>
      <c r="AV7" s="206">
        <v>10900</v>
      </c>
      <c r="AW7" s="199">
        <v>8099</v>
      </c>
      <c r="AX7" s="206">
        <v>1400</v>
      </c>
      <c r="AY7" s="200">
        <v>30835</v>
      </c>
      <c r="AZ7" s="209">
        <v>880</v>
      </c>
      <c r="BA7" s="199">
        <v>43</v>
      </c>
      <c r="BB7" s="206">
        <v>43</v>
      </c>
      <c r="BC7" s="83"/>
      <c r="BD7" s="27">
        <f t="shared" si="21"/>
        <v>13223</v>
      </c>
      <c r="BE7" s="22"/>
      <c r="BF7" s="22"/>
      <c r="BH7" s="16"/>
      <c r="BJ7" s="21">
        <f t="shared" si="1"/>
        <v>71709</v>
      </c>
      <c r="BN7" s="85">
        <f t="shared" si="2"/>
        <v>95416</v>
      </c>
      <c r="BW7" s="85">
        <f t="shared" si="3"/>
        <v>98795</v>
      </c>
      <c r="CF7" s="85">
        <f t="shared" si="4"/>
        <v>77231</v>
      </c>
      <c r="CO7" s="85">
        <f t="shared" si="5"/>
        <v>17565</v>
      </c>
      <c r="CX7" s="85">
        <f t="shared" si="6"/>
        <v>73806</v>
      </c>
      <c r="DG7" s="85">
        <f t="shared" si="7"/>
        <v>10840</v>
      </c>
      <c r="DP7" s="85">
        <f t="shared" si="8"/>
        <v>77231</v>
      </c>
      <c r="DY7" s="85">
        <f t="shared" si="9"/>
        <v>11478</v>
      </c>
      <c r="EH7" s="85">
        <f t="shared" si="10"/>
        <v>17908</v>
      </c>
      <c r="EQ7" s="85">
        <f t="shared" si="11"/>
        <v>11855</v>
      </c>
      <c r="EZ7" s="21">
        <f t="shared" si="12"/>
        <v>93863</v>
      </c>
      <c r="FI7" s="66"/>
      <c r="FN7" s="16"/>
      <c r="FP7" s="85">
        <f t="shared" si="13"/>
        <v>8099</v>
      </c>
      <c r="FY7" s="85">
        <f t="shared" si="14"/>
        <v>63373</v>
      </c>
      <c r="GH7" s="85">
        <f t="shared" si="15"/>
        <v>30835</v>
      </c>
      <c r="GN7" s="85">
        <f t="shared" si="16"/>
        <v>43</v>
      </c>
      <c r="HA7" s="20"/>
    </row>
    <row r="8" spans="2:213" x14ac:dyDescent="0.25">
      <c r="B8" s="82">
        <v>44221</v>
      </c>
      <c r="C8" s="217">
        <f>SUM(Essbase!J26,Essbase!J27,Essbase!J28,Essbase!J29,Essbase!J30,Essbase!J31,Essbase!J32)</f>
        <v>1454</v>
      </c>
      <c r="D8" s="199">
        <v>99063</v>
      </c>
      <c r="E8" s="199">
        <v>1.9630000000000001</v>
      </c>
      <c r="F8" s="206">
        <v>42880</v>
      </c>
      <c r="G8" s="199">
        <v>95714</v>
      </c>
      <c r="H8" s="199">
        <v>2.2610000000000001</v>
      </c>
      <c r="I8" s="206">
        <v>47680</v>
      </c>
      <c r="J8" s="199">
        <v>10968</v>
      </c>
      <c r="K8" s="199">
        <v>2.63</v>
      </c>
      <c r="L8" s="206">
        <v>11200</v>
      </c>
      <c r="M8" s="199">
        <v>10864</v>
      </c>
      <c r="N8" s="199">
        <v>1.88</v>
      </c>
      <c r="O8" s="206">
        <v>9600</v>
      </c>
      <c r="P8" s="199">
        <v>11502</v>
      </c>
      <c r="Q8" s="199">
        <v>2.1800000000000002</v>
      </c>
      <c r="R8" s="206">
        <v>9600</v>
      </c>
      <c r="S8" s="199">
        <v>77346</v>
      </c>
      <c r="T8" s="199">
        <v>1.7669999999999999</v>
      </c>
      <c r="U8" s="206">
        <v>34500</v>
      </c>
      <c r="V8" s="199">
        <v>73933</v>
      </c>
      <c r="W8" s="199">
        <v>1.7</v>
      </c>
      <c r="X8" s="206">
        <v>38100</v>
      </c>
      <c r="Y8" s="199">
        <v>17949</v>
      </c>
      <c r="Z8" s="199">
        <v>3.22</v>
      </c>
      <c r="AA8" s="206">
        <v>6560</v>
      </c>
      <c r="AB8" s="199">
        <v>11881</v>
      </c>
      <c r="AC8" s="199">
        <v>2.96</v>
      </c>
      <c r="AD8" s="206">
        <v>4160</v>
      </c>
      <c r="AE8" s="199">
        <v>94126</v>
      </c>
      <c r="AF8" s="199">
        <v>2.0129999999999999</v>
      </c>
      <c r="AG8" s="206">
        <v>52600</v>
      </c>
      <c r="AH8" s="199">
        <v>17604</v>
      </c>
      <c r="AI8" s="199">
        <v>0.26700000000000002</v>
      </c>
      <c r="AJ8" s="206">
        <v>1560</v>
      </c>
      <c r="AK8" s="210">
        <v>72050</v>
      </c>
      <c r="AL8" s="206">
        <v>341</v>
      </c>
      <c r="AM8" s="46">
        <f t="shared" si="17"/>
        <v>341</v>
      </c>
      <c r="AO8" s="46">
        <f t="shared" si="18"/>
        <v>258781</v>
      </c>
      <c r="AP8" s="22">
        <f t="shared" si="19"/>
        <v>54160</v>
      </c>
      <c r="AQ8" s="22">
        <f t="shared" si="20"/>
        <v>0.20928893543189028</v>
      </c>
      <c r="AR8" s="22"/>
      <c r="AS8" s="16"/>
      <c r="AT8" s="89">
        <f t="shared" si="0"/>
        <v>44221</v>
      </c>
      <c r="AU8" s="199">
        <v>63501</v>
      </c>
      <c r="AV8" s="206">
        <v>12800</v>
      </c>
      <c r="AW8" s="199">
        <v>8118</v>
      </c>
      <c r="AX8" s="206">
        <v>1900</v>
      </c>
      <c r="AY8" s="200">
        <v>31714</v>
      </c>
      <c r="AZ8" s="209">
        <v>879</v>
      </c>
      <c r="BA8" s="199">
        <v>77</v>
      </c>
      <c r="BB8" s="206">
        <v>1360</v>
      </c>
      <c r="BC8" s="83"/>
      <c r="BD8" s="27">
        <f t="shared" si="21"/>
        <v>16939</v>
      </c>
      <c r="BE8" s="22"/>
      <c r="BF8" s="22"/>
      <c r="BH8" s="16"/>
      <c r="BJ8" s="21">
        <f t="shared" si="1"/>
        <v>72050</v>
      </c>
      <c r="BN8" s="85">
        <f t="shared" si="2"/>
        <v>95714</v>
      </c>
      <c r="BW8" s="85">
        <f t="shared" si="3"/>
        <v>99063</v>
      </c>
      <c r="CF8" s="85">
        <f t="shared" si="4"/>
        <v>77346</v>
      </c>
      <c r="CO8" s="85">
        <f t="shared" si="5"/>
        <v>17604</v>
      </c>
      <c r="CX8" s="85">
        <f t="shared" si="6"/>
        <v>73933</v>
      </c>
      <c r="DG8" s="85">
        <f t="shared" si="7"/>
        <v>10864</v>
      </c>
      <c r="DP8" s="85">
        <f t="shared" si="8"/>
        <v>77346</v>
      </c>
      <c r="DY8" s="85">
        <f t="shared" si="9"/>
        <v>11502</v>
      </c>
      <c r="EH8" s="85">
        <f t="shared" si="10"/>
        <v>17949</v>
      </c>
      <c r="EQ8" s="85">
        <f t="shared" si="11"/>
        <v>11881</v>
      </c>
      <c r="EZ8" s="21">
        <f t="shared" si="12"/>
        <v>94126</v>
      </c>
      <c r="FI8" s="66"/>
      <c r="FN8" s="16"/>
      <c r="FP8" s="85">
        <f t="shared" si="13"/>
        <v>8118</v>
      </c>
      <c r="FY8" s="85">
        <f t="shared" si="14"/>
        <v>63501</v>
      </c>
      <c r="GH8" s="85">
        <f t="shared" si="15"/>
        <v>31714</v>
      </c>
      <c r="GN8" s="85">
        <f t="shared" si="16"/>
        <v>77</v>
      </c>
      <c r="HA8" s="20"/>
    </row>
    <row r="9" spans="2:213" x14ac:dyDescent="0.25">
      <c r="B9" s="82">
        <v>44228</v>
      </c>
      <c r="C9" s="217">
        <f>SUM(Essbase!J33,Essbase!J34,Essbase!J35,Essbase!J36,Essbase!J37,Essbase!J38)</f>
        <v>591</v>
      </c>
      <c r="D9" s="199">
        <v>99305</v>
      </c>
      <c r="E9" s="199">
        <v>1.9630000000000001</v>
      </c>
      <c r="F9" s="206">
        <v>38720</v>
      </c>
      <c r="G9" s="199">
        <v>95995</v>
      </c>
      <c r="H9" s="199">
        <v>2.2610000000000001</v>
      </c>
      <c r="I9" s="206">
        <v>44960</v>
      </c>
      <c r="J9" s="199">
        <v>10992</v>
      </c>
      <c r="K9" s="199">
        <v>2.63</v>
      </c>
      <c r="L9" s="206">
        <v>9600</v>
      </c>
      <c r="M9" s="199">
        <v>10886</v>
      </c>
      <c r="N9" s="199">
        <v>1.88</v>
      </c>
      <c r="O9" s="206">
        <v>8800</v>
      </c>
      <c r="P9" s="199">
        <v>11525</v>
      </c>
      <c r="Q9" s="199">
        <v>2.1800000000000002</v>
      </c>
      <c r="R9" s="206">
        <v>9200</v>
      </c>
      <c r="S9" s="199">
        <v>77466</v>
      </c>
      <c r="T9" s="199">
        <v>1.978</v>
      </c>
      <c r="U9" s="206">
        <v>36000</v>
      </c>
      <c r="V9" s="199">
        <v>74061</v>
      </c>
      <c r="W9" s="199">
        <v>1.7</v>
      </c>
      <c r="X9" s="206">
        <v>38400</v>
      </c>
      <c r="Y9" s="199">
        <v>17982</v>
      </c>
      <c r="Z9" s="199">
        <v>3.22</v>
      </c>
      <c r="AA9" s="206">
        <v>5280</v>
      </c>
      <c r="AB9" s="199">
        <v>11898</v>
      </c>
      <c r="AC9" s="199">
        <v>2.96</v>
      </c>
      <c r="AD9" s="206">
        <v>2720</v>
      </c>
      <c r="AE9" s="199">
        <v>94374</v>
      </c>
      <c r="AF9" s="199">
        <v>2.0129999999999999</v>
      </c>
      <c r="AG9" s="206">
        <v>49600</v>
      </c>
      <c r="AH9" s="199">
        <v>17679</v>
      </c>
      <c r="AI9" s="199">
        <v>0.26700000000000002</v>
      </c>
      <c r="AJ9" s="206">
        <v>3000</v>
      </c>
      <c r="AK9" s="210">
        <v>72651</v>
      </c>
      <c r="AL9" s="206">
        <v>601</v>
      </c>
      <c r="AM9" s="46">
        <f t="shared" si="17"/>
        <v>601</v>
      </c>
      <c r="AO9" s="46">
        <f t="shared" si="18"/>
        <v>246881</v>
      </c>
      <c r="AP9" s="22">
        <f t="shared" si="19"/>
        <v>52600</v>
      </c>
      <c r="AQ9" s="22">
        <f t="shared" si="20"/>
        <v>0.21305811301801272</v>
      </c>
      <c r="AR9" s="22">
        <f>SUM(AO5:AO9)</f>
        <v>1090451</v>
      </c>
      <c r="AS9" s="16"/>
      <c r="AT9" s="89">
        <f t="shared" si="0"/>
        <v>44228</v>
      </c>
      <c r="AU9" s="199">
        <v>63621</v>
      </c>
      <c r="AV9" s="206">
        <v>12000</v>
      </c>
      <c r="AW9" s="199">
        <v>8132</v>
      </c>
      <c r="AX9" s="206">
        <v>1400</v>
      </c>
      <c r="AY9" s="200">
        <v>32628</v>
      </c>
      <c r="AZ9" s="209">
        <v>914</v>
      </c>
      <c r="BA9" s="199">
        <v>133</v>
      </c>
      <c r="BB9" s="206">
        <v>2240</v>
      </c>
      <c r="BC9" s="83"/>
      <c r="BD9" s="27">
        <f t="shared" si="21"/>
        <v>16554</v>
      </c>
      <c r="BE9" s="22">
        <f>SUM(BD5:BD9)</f>
        <v>72634</v>
      </c>
      <c r="BF9" s="22">
        <f>SUM(AR9+BE9)</f>
        <v>1163085</v>
      </c>
      <c r="BH9" s="16"/>
      <c r="BJ9" s="21">
        <f t="shared" si="1"/>
        <v>72651</v>
      </c>
      <c r="BK9" s="22"/>
      <c r="BL9" s="21">
        <f>SUM(BK9-BK4)</f>
        <v>0</v>
      </c>
      <c r="BM9" s="84">
        <f>SUM(BL9*0.11895+BL9*0.02531)*1.09+2.85</f>
        <v>2.85</v>
      </c>
      <c r="BN9" s="85">
        <f t="shared" si="2"/>
        <v>95995</v>
      </c>
      <c r="BO9" s="22"/>
      <c r="BP9" s="22"/>
      <c r="BQ9" s="21">
        <f>SUM(BO9-BO4)*160</f>
        <v>0</v>
      </c>
      <c r="BR9" s="21">
        <f>(BP9)*160</f>
        <v>0</v>
      </c>
      <c r="BS9" s="84">
        <f>SUM(BQ9*0.0406)</f>
        <v>0</v>
      </c>
      <c r="BT9" s="84">
        <f>SUM(BQ9*0.02531)</f>
        <v>0</v>
      </c>
      <c r="BU9" s="84">
        <f>SUM(BR9*6.99)</f>
        <v>0</v>
      </c>
      <c r="BV9" s="84">
        <f>SUM(BS9+BT9)*1.09</f>
        <v>0</v>
      </c>
      <c r="BW9" s="85">
        <f t="shared" si="3"/>
        <v>99305</v>
      </c>
      <c r="BX9" s="22"/>
      <c r="BY9" s="22"/>
      <c r="BZ9" s="21">
        <f>SUM(BX9-BX4)*160</f>
        <v>0</v>
      </c>
      <c r="CA9" s="21">
        <f>(BY9)*160</f>
        <v>0</v>
      </c>
      <c r="CB9" s="84">
        <f>SUM(BZ9*0.0406)</f>
        <v>0</v>
      </c>
      <c r="CC9" s="84">
        <f>SUM(BZ9*0.02531)</f>
        <v>0</v>
      </c>
      <c r="CD9" s="84">
        <f>SUM(CA9*6.99)</f>
        <v>0</v>
      </c>
      <c r="CE9" s="84">
        <f>SUM((CB9+CC9)+20)* 1.08</f>
        <v>21.6</v>
      </c>
      <c r="CF9" s="85">
        <f t="shared" si="4"/>
        <v>77466</v>
      </c>
      <c r="CG9" s="22"/>
      <c r="CH9" s="22"/>
      <c r="CI9" s="21">
        <f>SUM(CG9-CG4)*300</f>
        <v>0</v>
      </c>
      <c r="CJ9" s="21">
        <f>(CH9)*300</f>
        <v>0</v>
      </c>
      <c r="CK9" s="84">
        <f>SUM(CI9*0.0406)</f>
        <v>0</v>
      </c>
      <c r="CL9" s="84">
        <f>SUM(CI9*0.02531)</f>
        <v>0</v>
      </c>
      <c r="CM9" s="84">
        <f>SUM(CJ9*6.99)</f>
        <v>0</v>
      </c>
      <c r="CN9" s="84">
        <f>SUM((CK9+CL9)+20)*1.09</f>
        <v>21.8</v>
      </c>
      <c r="CO9" s="85">
        <f t="shared" si="5"/>
        <v>17679</v>
      </c>
      <c r="CP9" s="22"/>
      <c r="CQ9" s="22"/>
      <c r="CR9" s="21">
        <f>(CP9-CP4)*40</f>
        <v>0</v>
      </c>
      <c r="CS9" s="21">
        <f>(CQ9)*40</f>
        <v>0</v>
      </c>
      <c r="CT9" s="84">
        <f>SUM(CR9*0.0406)</f>
        <v>0</v>
      </c>
      <c r="CU9" s="84">
        <f>SUM(CR9*0.02531)</f>
        <v>0</v>
      </c>
      <c r="CV9" s="84">
        <f>SUM(CS9*6.99)</f>
        <v>0</v>
      </c>
      <c r="CW9" s="84">
        <f>SUM((CT9+CU9)+20)*1.09</f>
        <v>21.8</v>
      </c>
      <c r="CX9" s="85">
        <f t="shared" si="6"/>
        <v>74061</v>
      </c>
      <c r="CY9" s="22"/>
      <c r="CZ9" s="22"/>
      <c r="DA9" s="21">
        <f>SUM(CY9-CY4)*300</f>
        <v>0</v>
      </c>
      <c r="DB9" s="86">
        <f>(CZ9)*300</f>
        <v>0</v>
      </c>
      <c r="DC9" s="84">
        <f>SUM(DA9*0.0406)</f>
        <v>0</v>
      </c>
      <c r="DD9" s="84">
        <f>SUM(DA9*0.02531)</f>
        <v>0</v>
      </c>
      <c r="DE9" s="84">
        <f>SUM(DB9*6.99)</f>
        <v>0</v>
      </c>
      <c r="DF9" s="84">
        <f>SUM((DC9+DD9)+20)*1.085</f>
        <v>21.7</v>
      </c>
      <c r="DG9" s="85">
        <f t="shared" si="7"/>
        <v>10886</v>
      </c>
      <c r="DH9" s="22"/>
      <c r="DI9" s="22"/>
      <c r="DJ9" s="21">
        <f>SUM(DH9-DH4)*400</f>
        <v>0</v>
      </c>
      <c r="DK9" s="86">
        <f>(DI9)*400</f>
        <v>0</v>
      </c>
      <c r="DL9" s="84">
        <f>SUM(DJ9*0.0406)</f>
        <v>0</v>
      </c>
      <c r="DM9" s="84">
        <f>SUM(DJ9*0.02531)</f>
        <v>0</v>
      </c>
      <c r="DN9" s="84">
        <f>SUM(DK9*6.99)</f>
        <v>0</v>
      </c>
      <c r="DO9" s="84">
        <f>SUM((DL9+DM9)+20)*1.09</f>
        <v>21.8</v>
      </c>
      <c r="DP9" s="85">
        <f t="shared" si="8"/>
        <v>77466</v>
      </c>
      <c r="DQ9" s="22"/>
      <c r="DR9" s="22"/>
      <c r="DS9" s="21">
        <f>SUM(DQ9-DQ4)*400</f>
        <v>0</v>
      </c>
      <c r="DT9" s="21">
        <f>(DR9)*400</f>
        <v>0</v>
      </c>
      <c r="DU9" s="84">
        <f>SUM(DS9*0.0406)</f>
        <v>0</v>
      </c>
      <c r="DV9" s="84">
        <f>SUM(DS9*0.02531)</f>
        <v>0</v>
      </c>
      <c r="DW9" s="84">
        <f>SUM(DT9*6.99)</f>
        <v>0</v>
      </c>
      <c r="DX9" s="84">
        <f>SUM((DU9+DV9)+20)*1.09</f>
        <v>21.8</v>
      </c>
      <c r="DY9" s="85">
        <f t="shared" si="9"/>
        <v>11525</v>
      </c>
      <c r="DZ9" s="22"/>
      <c r="EA9" s="22"/>
      <c r="EB9" s="21">
        <f>SUM(DZ9-DZ4)*400</f>
        <v>0</v>
      </c>
      <c r="EC9" s="21">
        <f>(EA9)*400</f>
        <v>0</v>
      </c>
      <c r="ED9" s="84">
        <f>SUM(EB9*0.0406)</f>
        <v>0</v>
      </c>
      <c r="EE9" s="84">
        <f>SUM(EB9*0.02531)</f>
        <v>0</v>
      </c>
      <c r="EF9" s="84">
        <f>SUM(EC9*6.99)</f>
        <v>0</v>
      </c>
      <c r="EG9" s="84">
        <f>SUM((ED9+EE9)+20)*1.09</f>
        <v>21.8</v>
      </c>
      <c r="EH9" s="85">
        <f t="shared" si="10"/>
        <v>17982</v>
      </c>
      <c r="EI9" s="22"/>
      <c r="EJ9" s="22"/>
      <c r="EK9" s="21">
        <f>SUM(EI9-EI4)*160</f>
        <v>0</v>
      </c>
      <c r="EL9" s="21">
        <f>(EJ9)*160</f>
        <v>0</v>
      </c>
      <c r="EM9" s="84">
        <f>SUM(EK9*0.0406)</f>
        <v>0</v>
      </c>
      <c r="EN9" s="84">
        <f>SUM(EK9*0.02531)</f>
        <v>0</v>
      </c>
      <c r="EO9" s="84">
        <f>SUM(EL9*6.99)</f>
        <v>0</v>
      </c>
      <c r="EP9" s="84">
        <f>SUM((EM9+EN9)+20)*1.09</f>
        <v>21.8</v>
      </c>
      <c r="EQ9" s="85">
        <f t="shared" si="11"/>
        <v>11898</v>
      </c>
      <c r="ER9" s="22"/>
      <c r="ES9" s="22"/>
      <c r="ET9" s="21">
        <f>SUM(ER9-ER4)*160</f>
        <v>0</v>
      </c>
      <c r="EU9" s="21">
        <f>(ES9)*160</f>
        <v>0</v>
      </c>
      <c r="EV9" s="84">
        <f>SUM(ET9*0.0406)</f>
        <v>0</v>
      </c>
      <c r="EW9" s="84">
        <f>SUM(ET9*0.02531)</f>
        <v>0</v>
      </c>
      <c r="EX9" s="84">
        <f>SUM(EU9*6.99)</f>
        <v>0</v>
      </c>
      <c r="EY9" s="84">
        <f>SUM((EV9+EW9)+20)*1.09</f>
        <v>21.8</v>
      </c>
      <c r="EZ9" s="21">
        <f t="shared" si="12"/>
        <v>94374</v>
      </c>
      <c r="FA9" s="97"/>
      <c r="FB9" s="97"/>
      <c r="FC9" s="21">
        <f>SUM(FA9-FA4)*200</f>
        <v>0</v>
      </c>
      <c r="FD9" s="21">
        <f>(FB9)*200</f>
        <v>0</v>
      </c>
      <c r="FE9" s="84">
        <f>SUM(FC9*0.0406)</f>
        <v>0</v>
      </c>
      <c r="FF9" s="84">
        <f>SUM(FC9*0.02531)</f>
        <v>0</v>
      </c>
      <c r="FG9" s="84">
        <f>SUM(FD9*6.99)</f>
        <v>0</v>
      </c>
      <c r="FH9" s="84">
        <f>SUM((FE9+FF9)+20)*1.09</f>
        <v>21.8</v>
      </c>
      <c r="FI9" s="66"/>
      <c r="FJ9" s="101">
        <f>SUM(BL9+BQ9+BZ9+CI9+CR9+DA9+DJ9+DS9+EB9+EK9+ET9+FC9)</f>
        <v>0</v>
      </c>
      <c r="FK9" s="102">
        <f>SUM(BM9+BV9,CE9,CN9,CW9,DF9,DO9,DX9,EG9,EP9,EY9+FH9)</f>
        <v>220.55</v>
      </c>
      <c r="FL9" s="102">
        <f>SUM(BU9,CD9,CM9,CV9,DE9,DN9,DW9,EF9,EO9,EX9,FG9)</f>
        <v>0</v>
      </c>
      <c r="FM9" s="102">
        <f>SUM(FK9:FL9)</f>
        <v>220.55</v>
      </c>
      <c r="FN9" s="16"/>
      <c r="FP9" s="85">
        <f t="shared" si="13"/>
        <v>8132</v>
      </c>
      <c r="FQ9" s="22"/>
      <c r="FR9" s="22"/>
      <c r="FS9" s="21">
        <f>SUM(FQ9-FQ4)*100</f>
        <v>0</v>
      </c>
      <c r="FT9" s="21">
        <f>SUM(FR9)*100</f>
        <v>0</v>
      </c>
      <c r="FU9" s="87">
        <f>SUM(FS9*0.0406)</f>
        <v>0</v>
      </c>
      <c r="FV9" s="87">
        <f>SUM(FS9*0.02531)</f>
        <v>0</v>
      </c>
      <c r="FW9" s="87">
        <f>SUM(FT9*6.99)</f>
        <v>0</v>
      </c>
      <c r="FX9" s="84">
        <f>SUM(FV9+FU9+20)*1.1048</f>
        <v>22.096</v>
      </c>
      <c r="FY9" s="85">
        <f t="shared" si="14"/>
        <v>63621</v>
      </c>
      <c r="FZ9" s="22"/>
      <c r="GA9" s="22"/>
      <c r="GB9" s="21">
        <f>SUM(FZ9-FZ4)*100</f>
        <v>0</v>
      </c>
      <c r="GC9" s="21">
        <f>SUM(GA9)*100</f>
        <v>0</v>
      </c>
      <c r="GD9" s="87">
        <f>SUM(GB9*0.0406)</f>
        <v>0</v>
      </c>
      <c r="GE9" s="87">
        <f>SUM(GB9*0.02531)</f>
        <v>0</v>
      </c>
      <c r="GF9" s="87">
        <f>SUM(GC9*6.99)</f>
        <v>0</v>
      </c>
      <c r="GG9" s="84">
        <f>SUM(GE9+GD9+20)*1.1048</f>
        <v>22.096</v>
      </c>
      <c r="GH9" s="85">
        <f t="shared" si="15"/>
        <v>32628</v>
      </c>
      <c r="GI9" s="22"/>
      <c r="GJ9" s="21">
        <f>SUM(GI9-GI4)</f>
        <v>0</v>
      </c>
      <c r="GK9" s="84">
        <f>SUM(GJ9*0.11895)</f>
        <v>0</v>
      </c>
      <c r="GL9" s="84">
        <f>SUM(GJ9*0.02531)</f>
        <v>0</v>
      </c>
      <c r="GM9" s="84">
        <f>SUM(GK9+GL9+2.32)*1.07</f>
        <v>2.4824000000000002</v>
      </c>
      <c r="GN9" s="85">
        <f t="shared" si="16"/>
        <v>133</v>
      </c>
      <c r="GO9" s="22"/>
      <c r="GP9" s="22"/>
      <c r="GQ9" s="21">
        <f>SUM(GO9-GO4)*40</f>
        <v>0</v>
      </c>
      <c r="GR9" s="21">
        <f>SUM(GP9)*40</f>
        <v>0</v>
      </c>
      <c r="GS9" s="84">
        <f>SUM(GQ9*0.0406)</f>
        <v>0</v>
      </c>
      <c r="GT9" s="84">
        <f>SUM(GQ9*0.02531)</f>
        <v>0</v>
      </c>
      <c r="GU9" s="84">
        <f>SUM(GR9*6.99)</f>
        <v>0</v>
      </c>
      <c r="GV9" s="84">
        <f>SUM(GT9+GS9+20)*1.2</f>
        <v>24</v>
      </c>
      <c r="GW9" s="22">
        <f>SUM(FS9+GB9+GJ9+GQ9)</f>
        <v>0</v>
      </c>
      <c r="GX9" s="102">
        <f>SUM(GV9+GM9+GG9+FX9)</f>
        <v>70.674400000000006</v>
      </c>
      <c r="GY9" s="102">
        <f>SUM(FW9+GF9+GU9)</f>
        <v>0</v>
      </c>
      <c r="GZ9" s="102">
        <f>SUM(GX9:GY9)</f>
        <v>70.674400000000006</v>
      </c>
      <c r="HA9" s="20"/>
      <c r="HB9" s="101">
        <f t="shared" ref="HB9:HD9" si="22">(FJ9+GW9)</f>
        <v>0</v>
      </c>
      <c r="HC9" s="102">
        <f t="shared" si="22"/>
        <v>291.2244</v>
      </c>
      <c r="HD9" s="102">
        <f t="shared" si="22"/>
        <v>0</v>
      </c>
      <c r="HE9" s="102">
        <f t="shared" ref="HE9" si="23">(HC9+HD9)</f>
        <v>291.2244</v>
      </c>
    </row>
    <row r="10" spans="2:213" x14ac:dyDescent="0.25">
      <c r="B10" s="82">
        <v>44235</v>
      </c>
      <c r="C10" s="217">
        <f>SUM(Essbase!J39,Essbase!J40,Essbase!J41,Essbase!J42,Essbase!J43,Essbase!J44,Essbase!J45,)</f>
        <v>749</v>
      </c>
      <c r="D10" s="199">
        <v>99551</v>
      </c>
      <c r="E10" s="199">
        <v>1.9630000000000001</v>
      </c>
      <c r="F10" s="206">
        <v>39360</v>
      </c>
      <c r="G10" s="199">
        <v>96273</v>
      </c>
      <c r="H10" s="199">
        <v>2.2610000000000001</v>
      </c>
      <c r="I10" s="206">
        <v>44480</v>
      </c>
      <c r="J10" s="199">
        <v>11019</v>
      </c>
      <c r="K10" s="199">
        <v>3.05</v>
      </c>
      <c r="L10" s="206">
        <v>10800</v>
      </c>
      <c r="M10" s="199">
        <v>10909</v>
      </c>
      <c r="N10" s="199">
        <v>2.38</v>
      </c>
      <c r="O10" s="206">
        <v>9200</v>
      </c>
      <c r="P10" s="199">
        <v>11548</v>
      </c>
      <c r="Q10" s="199">
        <v>2.7</v>
      </c>
      <c r="R10" s="206">
        <v>9200</v>
      </c>
      <c r="S10" s="199">
        <v>77552</v>
      </c>
      <c r="T10" s="199">
        <v>1.978</v>
      </c>
      <c r="U10" s="206">
        <v>25800</v>
      </c>
      <c r="V10" s="199">
        <v>74176</v>
      </c>
      <c r="W10" s="199">
        <v>1.7</v>
      </c>
      <c r="X10" s="206">
        <v>34500</v>
      </c>
      <c r="Y10" s="199">
        <v>18014</v>
      </c>
      <c r="Z10" s="199">
        <v>3.38</v>
      </c>
      <c r="AA10" s="206">
        <v>5120</v>
      </c>
      <c r="AB10" s="199">
        <v>11913</v>
      </c>
      <c r="AC10" s="199">
        <v>2.96</v>
      </c>
      <c r="AD10" s="206">
        <v>2400</v>
      </c>
      <c r="AE10" s="199">
        <v>94616</v>
      </c>
      <c r="AF10" s="199">
        <v>2.0419999999999998</v>
      </c>
      <c r="AG10" s="206">
        <v>48400</v>
      </c>
      <c r="AH10" s="199">
        <v>17673</v>
      </c>
      <c r="AI10" s="199">
        <v>0.28100000000000003</v>
      </c>
      <c r="AJ10" s="206">
        <v>-240</v>
      </c>
      <c r="AK10" s="210">
        <v>73348</v>
      </c>
      <c r="AL10" s="206">
        <v>697</v>
      </c>
      <c r="AM10" s="46">
        <f t="shared" si="17"/>
        <v>697</v>
      </c>
      <c r="AO10" s="46">
        <f t="shared" si="18"/>
        <v>229717</v>
      </c>
      <c r="AP10" s="22">
        <f t="shared" si="19"/>
        <v>48160</v>
      </c>
      <c r="AQ10" s="22">
        <f t="shared" si="20"/>
        <v>0.20964926409451629</v>
      </c>
      <c r="AR10" s="22"/>
      <c r="AS10" s="16"/>
      <c r="AT10" s="89">
        <f t="shared" si="0"/>
        <v>44235</v>
      </c>
      <c r="AU10" s="199">
        <v>63732</v>
      </c>
      <c r="AV10" s="206">
        <v>11100</v>
      </c>
      <c r="AW10" s="199">
        <v>8146</v>
      </c>
      <c r="AX10" s="206">
        <v>1400</v>
      </c>
      <c r="AY10" s="200">
        <v>33519</v>
      </c>
      <c r="AZ10" s="209">
        <v>891</v>
      </c>
      <c r="BA10" s="199">
        <v>181</v>
      </c>
      <c r="BB10" s="206">
        <v>1920</v>
      </c>
      <c r="BC10" s="83"/>
      <c r="BD10" s="27">
        <f t="shared" si="21"/>
        <v>15311</v>
      </c>
      <c r="BE10" s="22"/>
      <c r="BF10" s="22"/>
      <c r="BH10" s="16"/>
      <c r="BJ10" s="21">
        <f t="shared" si="1"/>
        <v>73348</v>
      </c>
      <c r="BN10" s="85">
        <f t="shared" si="2"/>
        <v>96273</v>
      </c>
      <c r="BW10" s="85">
        <f t="shared" si="3"/>
        <v>99551</v>
      </c>
      <c r="CF10" s="85">
        <f t="shared" si="4"/>
        <v>77552</v>
      </c>
      <c r="CO10" s="85">
        <f t="shared" si="5"/>
        <v>17673</v>
      </c>
      <c r="CX10" s="85">
        <f t="shared" si="6"/>
        <v>74176</v>
      </c>
      <c r="DG10" s="85">
        <f t="shared" si="7"/>
        <v>10909</v>
      </c>
      <c r="DP10" s="85">
        <f t="shared" si="8"/>
        <v>77552</v>
      </c>
      <c r="DY10" s="85">
        <f t="shared" si="9"/>
        <v>11548</v>
      </c>
      <c r="EH10" s="85">
        <f t="shared" si="10"/>
        <v>18014</v>
      </c>
      <c r="EQ10" s="85">
        <f t="shared" si="11"/>
        <v>11913</v>
      </c>
      <c r="EZ10" s="21">
        <f t="shared" si="12"/>
        <v>94616</v>
      </c>
      <c r="FI10" s="66"/>
      <c r="FN10" s="16"/>
      <c r="FP10" s="85">
        <f t="shared" si="13"/>
        <v>8146</v>
      </c>
      <c r="FY10" s="85">
        <f t="shared" si="14"/>
        <v>63732</v>
      </c>
      <c r="GH10" s="85">
        <f t="shared" si="15"/>
        <v>33519</v>
      </c>
      <c r="GN10" s="85">
        <f t="shared" si="16"/>
        <v>181</v>
      </c>
      <c r="HA10" s="20"/>
    </row>
    <row r="11" spans="2:213" x14ac:dyDescent="0.25">
      <c r="B11" s="82">
        <v>44242</v>
      </c>
      <c r="C11" s="217">
        <f>SUM(Essbase!J46:J52)</f>
        <v>949</v>
      </c>
      <c r="D11" s="199">
        <v>99810</v>
      </c>
      <c r="E11" s="199">
        <v>1.9630000000000001</v>
      </c>
      <c r="F11" s="206">
        <v>41440</v>
      </c>
      <c r="G11" s="199">
        <v>96558</v>
      </c>
      <c r="H11" s="199">
        <v>2.2610000000000001</v>
      </c>
      <c r="I11" s="206">
        <v>45600</v>
      </c>
      <c r="J11" s="199">
        <v>11042</v>
      </c>
      <c r="K11" s="199">
        <v>3.05</v>
      </c>
      <c r="L11" s="206">
        <v>9200</v>
      </c>
      <c r="M11" s="199">
        <v>10932</v>
      </c>
      <c r="N11" s="199">
        <v>2.38</v>
      </c>
      <c r="O11" s="206">
        <v>9200</v>
      </c>
      <c r="P11" s="199">
        <v>11569</v>
      </c>
      <c r="Q11" s="199">
        <v>2.7</v>
      </c>
      <c r="R11" s="206">
        <v>8400</v>
      </c>
      <c r="S11" s="199">
        <v>77781</v>
      </c>
      <c r="T11" s="199">
        <v>2.073</v>
      </c>
      <c r="U11" s="206">
        <v>68700</v>
      </c>
      <c r="V11" s="199">
        <v>74305</v>
      </c>
      <c r="W11" s="199">
        <v>1.7</v>
      </c>
      <c r="X11" s="206">
        <v>38700</v>
      </c>
      <c r="Y11" s="199">
        <v>18046</v>
      </c>
      <c r="Z11" s="199">
        <v>3.38</v>
      </c>
      <c r="AA11" s="206">
        <v>5120</v>
      </c>
      <c r="AB11" s="199">
        <v>11929</v>
      </c>
      <c r="AC11" s="199">
        <v>2.96</v>
      </c>
      <c r="AD11" s="206">
        <v>2560</v>
      </c>
      <c r="AE11" s="199">
        <v>94849</v>
      </c>
      <c r="AF11" s="199">
        <v>2.0419999999999998</v>
      </c>
      <c r="AG11" s="206">
        <v>46600</v>
      </c>
      <c r="AH11" s="199">
        <v>17709</v>
      </c>
      <c r="AI11" s="199">
        <v>0.29699999999999999</v>
      </c>
      <c r="AJ11" s="206">
        <v>1440</v>
      </c>
      <c r="AK11" s="210">
        <v>73867</v>
      </c>
      <c r="AL11" s="206">
        <v>519</v>
      </c>
      <c r="AM11" s="46">
        <f t="shared" si="17"/>
        <v>519</v>
      </c>
      <c r="AO11" s="46">
        <f t="shared" si="18"/>
        <v>277479</v>
      </c>
      <c r="AP11" s="22">
        <f t="shared" si="19"/>
        <v>48040</v>
      </c>
      <c r="AQ11" s="22">
        <f t="shared" si="20"/>
        <v>0.17313021886340949</v>
      </c>
      <c r="AR11" s="22"/>
      <c r="AS11" s="16"/>
      <c r="AT11" s="89">
        <f t="shared" si="0"/>
        <v>44242</v>
      </c>
      <c r="AU11" s="199">
        <v>63864</v>
      </c>
      <c r="AV11" s="206">
        <v>13200</v>
      </c>
      <c r="AW11" s="199">
        <v>8163</v>
      </c>
      <c r="AX11" s="206">
        <v>1700</v>
      </c>
      <c r="AY11" s="200">
        <v>34414</v>
      </c>
      <c r="AZ11" s="209">
        <v>895</v>
      </c>
      <c r="BA11" s="199">
        <v>234</v>
      </c>
      <c r="BB11" s="206">
        <v>2120</v>
      </c>
      <c r="BC11" s="83"/>
      <c r="BD11" s="27">
        <f t="shared" si="21"/>
        <v>17915</v>
      </c>
      <c r="BE11" s="22"/>
      <c r="BF11" s="22"/>
      <c r="BH11" s="16"/>
      <c r="BJ11" s="21">
        <f t="shared" si="1"/>
        <v>73867</v>
      </c>
      <c r="BN11" s="85">
        <f t="shared" si="2"/>
        <v>96558</v>
      </c>
      <c r="BW11" s="85">
        <f t="shared" si="3"/>
        <v>99810</v>
      </c>
      <c r="CF11" s="85">
        <f t="shared" si="4"/>
        <v>77781</v>
      </c>
      <c r="CO11" s="85">
        <f t="shared" si="5"/>
        <v>17709</v>
      </c>
      <c r="CX11" s="85">
        <f t="shared" si="6"/>
        <v>74305</v>
      </c>
      <c r="DG11" s="85">
        <f t="shared" si="7"/>
        <v>10932</v>
      </c>
      <c r="DP11" s="85">
        <f t="shared" si="8"/>
        <v>77781</v>
      </c>
      <c r="DY11" s="85">
        <f t="shared" si="9"/>
        <v>11569</v>
      </c>
      <c r="EH11" s="85">
        <f t="shared" si="10"/>
        <v>18046</v>
      </c>
      <c r="EQ11" s="85">
        <f t="shared" si="11"/>
        <v>11929</v>
      </c>
      <c r="EZ11" s="21">
        <f t="shared" si="12"/>
        <v>94849</v>
      </c>
      <c r="FI11" s="66"/>
      <c r="FN11" s="16"/>
      <c r="FP11" s="85">
        <f t="shared" si="13"/>
        <v>8163</v>
      </c>
      <c r="FY11" s="85">
        <f t="shared" si="14"/>
        <v>63864</v>
      </c>
      <c r="GH11" s="85">
        <f t="shared" si="15"/>
        <v>34414</v>
      </c>
      <c r="GN11" s="85">
        <f t="shared" si="16"/>
        <v>234</v>
      </c>
      <c r="HA11" s="20"/>
    </row>
    <row r="12" spans="2:213" x14ac:dyDescent="0.25">
      <c r="B12" s="82">
        <v>44249</v>
      </c>
      <c r="C12" s="217">
        <f>SUM(Essbase!J53,Essbase!J54,Essbase!J55,Essbase!J56,Essbase!J57,Essbase!J58:J59)</f>
        <v>1084</v>
      </c>
      <c r="D12" s="199">
        <v>100065</v>
      </c>
      <c r="E12" s="199">
        <v>1.2350000000000001</v>
      </c>
      <c r="F12" s="206">
        <v>40800</v>
      </c>
      <c r="G12" s="199">
        <v>96851</v>
      </c>
      <c r="H12" s="199">
        <v>1.5860000000000001</v>
      </c>
      <c r="I12" s="206">
        <v>46880</v>
      </c>
      <c r="J12" s="199">
        <v>11069</v>
      </c>
      <c r="K12" s="199">
        <v>8.5000000000000006E-2</v>
      </c>
      <c r="L12" s="206">
        <v>10800</v>
      </c>
      <c r="M12" s="199">
        <v>10955</v>
      </c>
      <c r="N12" s="199">
        <v>6.8000000000000005E-2</v>
      </c>
      <c r="O12" s="206">
        <v>9200</v>
      </c>
      <c r="P12" s="199">
        <v>11593</v>
      </c>
      <c r="Q12" s="199">
        <v>7.0999999999999994E-2</v>
      </c>
      <c r="R12" s="206">
        <v>9600</v>
      </c>
      <c r="S12" s="199">
        <v>77969</v>
      </c>
      <c r="T12" s="199">
        <v>2.1850000000000001</v>
      </c>
      <c r="U12" s="206">
        <v>56400</v>
      </c>
      <c r="V12" s="199">
        <v>74409</v>
      </c>
      <c r="W12" s="199">
        <v>1.7</v>
      </c>
      <c r="X12" s="206">
        <v>31200</v>
      </c>
      <c r="Y12" s="199">
        <v>18077</v>
      </c>
      <c r="Z12" s="199">
        <v>3.38</v>
      </c>
      <c r="AA12" s="206">
        <v>4960</v>
      </c>
      <c r="AB12" s="199">
        <v>11946</v>
      </c>
      <c r="AC12" s="199">
        <v>2.96</v>
      </c>
      <c r="AD12" s="206">
        <v>2720</v>
      </c>
      <c r="AE12" s="199">
        <v>95089</v>
      </c>
      <c r="AF12" s="199">
        <v>2.7</v>
      </c>
      <c r="AG12" s="206">
        <v>48000</v>
      </c>
      <c r="AH12" s="199">
        <v>17745</v>
      </c>
      <c r="AI12" s="199">
        <v>1.71</v>
      </c>
      <c r="AJ12" s="206">
        <v>1440</v>
      </c>
      <c r="AK12" s="210">
        <v>74395</v>
      </c>
      <c r="AL12" s="206">
        <v>528</v>
      </c>
      <c r="AM12" s="46">
        <f t="shared" si="17"/>
        <v>528</v>
      </c>
      <c r="AO12" s="46">
        <f t="shared" si="18"/>
        <v>262528</v>
      </c>
      <c r="AP12" s="22">
        <f t="shared" si="19"/>
        <v>49440</v>
      </c>
      <c r="AQ12" s="22">
        <f t="shared" si="20"/>
        <v>0.18832276938078985</v>
      </c>
      <c r="AR12" s="22"/>
      <c r="AS12" s="16"/>
      <c r="AT12" s="89">
        <f t="shared" si="0"/>
        <v>44249</v>
      </c>
      <c r="AU12" s="199">
        <v>64006</v>
      </c>
      <c r="AV12" s="206">
        <v>14200</v>
      </c>
      <c r="AW12" s="199">
        <v>8181</v>
      </c>
      <c r="AX12" s="206">
        <v>1800</v>
      </c>
      <c r="AY12" s="200">
        <v>35438</v>
      </c>
      <c r="AZ12" s="209">
        <v>1024</v>
      </c>
      <c r="BA12" s="199">
        <v>275</v>
      </c>
      <c r="BB12" s="206">
        <v>1640</v>
      </c>
      <c r="BC12" s="83"/>
      <c r="BD12" s="27">
        <f t="shared" si="21"/>
        <v>18664</v>
      </c>
      <c r="BE12" s="22"/>
      <c r="BF12" s="22"/>
      <c r="BH12" s="16"/>
      <c r="BJ12" s="21">
        <f t="shared" si="1"/>
        <v>74395</v>
      </c>
      <c r="BN12" s="85">
        <f t="shared" si="2"/>
        <v>96851</v>
      </c>
      <c r="BW12" s="85">
        <f t="shared" si="3"/>
        <v>100065</v>
      </c>
      <c r="CF12" s="85">
        <f t="shared" si="4"/>
        <v>77969</v>
      </c>
      <c r="CO12" s="85">
        <f t="shared" si="5"/>
        <v>17745</v>
      </c>
      <c r="CX12" s="85">
        <f t="shared" si="6"/>
        <v>74409</v>
      </c>
      <c r="DG12" s="85">
        <f t="shared" si="7"/>
        <v>10955</v>
      </c>
      <c r="DP12" s="85">
        <f t="shared" si="8"/>
        <v>77969</v>
      </c>
      <c r="DY12" s="85">
        <f t="shared" si="9"/>
        <v>11593</v>
      </c>
      <c r="EH12" s="85">
        <f t="shared" si="10"/>
        <v>18077</v>
      </c>
      <c r="EQ12" s="85">
        <f t="shared" si="11"/>
        <v>11946</v>
      </c>
      <c r="EZ12" s="21">
        <f t="shared" si="12"/>
        <v>95089</v>
      </c>
      <c r="FI12" s="66"/>
      <c r="FN12" s="16"/>
      <c r="FP12" s="85">
        <f t="shared" si="13"/>
        <v>8181</v>
      </c>
      <c r="FY12" s="85">
        <f t="shared" si="14"/>
        <v>64006</v>
      </c>
      <c r="GH12" s="85">
        <f t="shared" si="15"/>
        <v>35438</v>
      </c>
      <c r="GN12" s="85">
        <f t="shared" si="16"/>
        <v>275</v>
      </c>
      <c r="HA12" s="20"/>
    </row>
    <row r="13" spans="2:213" x14ac:dyDescent="0.25">
      <c r="B13" s="82">
        <v>44256</v>
      </c>
      <c r="C13" s="217">
        <f>SUM(Essbase!J60:J67)</f>
        <v>1355</v>
      </c>
      <c r="D13" s="199">
        <v>100320</v>
      </c>
      <c r="E13" s="199">
        <v>1.9339999999999999</v>
      </c>
      <c r="F13" s="206">
        <v>40800</v>
      </c>
      <c r="G13" s="199">
        <v>97145</v>
      </c>
      <c r="H13" s="199">
        <v>2.1880000000000002</v>
      </c>
      <c r="I13" s="206">
        <v>47040</v>
      </c>
      <c r="J13" s="199">
        <v>11094</v>
      </c>
      <c r="K13" s="199">
        <v>2.17</v>
      </c>
      <c r="L13" s="206">
        <v>10000</v>
      </c>
      <c r="M13" s="199">
        <v>10978</v>
      </c>
      <c r="N13" s="199">
        <v>1.79</v>
      </c>
      <c r="O13" s="206">
        <v>9200</v>
      </c>
      <c r="P13" s="199">
        <v>11616</v>
      </c>
      <c r="Q13" s="199">
        <v>1.87</v>
      </c>
      <c r="R13" s="206">
        <v>9200</v>
      </c>
      <c r="S13" s="199">
        <v>78133</v>
      </c>
      <c r="T13" s="199">
        <v>2.5830000000000002</v>
      </c>
      <c r="U13" s="206">
        <v>49200</v>
      </c>
      <c r="V13" s="199">
        <v>74569</v>
      </c>
      <c r="W13" s="199">
        <v>1.8879999999999999</v>
      </c>
      <c r="X13" s="206">
        <v>48000</v>
      </c>
      <c r="Y13" s="199">
        <v>18116</v>
      </c>
      <c r="Z13" s="199">
        <v>3.74</v>
      </c>
      <c r="AA13" s="206">
        <v>6240</v>
      </c>
      <c r="AB13" s="199">
        <v>11966</v>
      </c>
      <c r="AC13" s="199">
        <v>2.06</v>
      </c>
      <c r="AD13" s="206">
        <v>3200</v>
      </c>
      <c r="AE13" s="199">
        <v>95330</v>
      </c>
      <c r="AF13" s="199">
        <v>1.8959999999999999</v>
      </c>
      <c r="AG13" s="206">
        <v>48200</v>
      </c>
      <c r="AH13" s="199">
        <v>17781</v>
      </c>
      <c r="AI13" s="199">
        <v>0.30099999999999999</v>
      </c>
      <c r="AJ13" s="206">
        <v>1440</v>
      </c>
      <c r="AK13" s="210">
        <v>74901</v>
      </c>
      <c r="AL13" s="206">
        <v>506</v>
      </c>
      <c r="AM13" s="46">
        <f t="shared" si="17"/>
        <v>506</v>
      </c>
      <c r="AO13" s="46">
        <f t="shared" si="18"/>
        <v>273026</v>
      </c>
      <c r="AP13" s="22">
        <f t="shared" si="19"/>
        <v>49640</v>
      </c>
      <c r="AQ13" s="22">
        <f t="shared" si="20"/>
        <v>0.18181418619472139</v>
      </c>
      <c r="AR13" s="22">
        <f>SUM(AO10:AO13)</f>
        <v>1042750</v>
      </c>
      <c r="AS13" s="16"/>
      <c r="AT13" s="89">
        <f t="shared" si="0"/>
        <v>44256</v>
      </c>
      <c r="AU13" s="199">
        <v>64122</v>
      </c>
      <c r="AV13" s="206">
        <v>11600</v>
      </c>
      <c r="AW13" s="199">
        <v>8196</v>
      </c>
      <c r="AX13" s="206">
        <v>1500</v>
      </c>
      <c r="AY13" s="200">
        <v>36222</v>
      </c>
      <c r="AZ13" s="209">
        <v>784</v>
      </c>
      <c r="BA13" s="199">
        <v>373</v>
      </c>
      <c r="BB13" s="206">
        <v>3920</v>
      </c>
      <c r="BC13" s="83"/>
      <c r="BD13" s="27">
        <f t="shared" si="21"/>
        <v>17804</v>
      </c>
      <c r="BE13" s="22">
        <f>SUM(BD10:BD13)</f>
        <v>69694</v>
      </c>
      <c r="BF13" s="22">
        <f>SUM(AR13+BE13)</f>
        <v>1112444</v>
      </c>
      <c r="BH13" s="16"/>
      <c r="BJ13" s="21">
        <f t="shared" si="1"/>
        <v>74901</v>
      </c>
      <c r="BK13" s="22"/>
      <c r="BL13" s="21">
        <f>SUM(BK13-BK9)</f>
        <v>0</v>
      </c>
      <c r="BM13" s="84">
        <f>SUM(BL13*0.11895+BL13*0.02531)*1.09+2.85</f>
        <v>2.85</v>
      </c>
      <c r="BN13" s="85">
        <f t="shared" si="2"/>
        <v>97145</v>
      </c>
      <c r="BO13" s="22"/>
      <c r="BP13" s="22"/>
      <c r="BQ13" s="21">
        <f>SUM(BO13-BO9)*160</f>
        <v>0</v>
      </c>
      <c r="BR13" s="21">
        <f>(BP13)*160</f>
        <v>0</v>
      </c>
      <c r="BS13" s="84">
        <f>SUM(BQ13*0.0406)</f>
        <v>0</v>
      </c>
      <c r="BT13" s="84">
        <f>SUM(BQ13*0.02531)</f>
        <v>0</v>
      </c>
      <c r="BU13" s="84">
        <f>SUM(BR13*6.99)</f>
        <v>0</v>
      </c>
      <c r="BV13" s="84">
        <f>SUM(BS13+BT13)*1.09</f>
        <v>0</v>
      </c>
      <c r="BW13" s="85">
        <f t="shared" si="3"/>
        <v>100320</v>
      </c>
      <c r="BX13" s="22"/>
      <c r="BY13" s="22"/>
      <c r="BZ13" s="21">
        <f>SUM(BX13-BX9)*160</f>
        <v>0</v>
      </c>
      <c r="CA13" s="21">
        <f>(BY13)*160</f>
        <v>0</v>
      </c>
      <c r="CB13" s="84">
        <f>SUM(BZ13*0.0406)</f>
        <v>0</v>
      </c>
      <c r="CC13" s="84">
        <f>SUM(BZ13*0.02531)</f>
        <v>0</v>
      </c>
      <c r="CD13" s="84">
        <f>SUM(CA13*6.99)</f>
        <v>0</v>
      </c>
      <c r="CE13" s="84">
        <f>SUM((CB13+CC13)+20)* 1.08</f>
        <v>21.6</v>
      </c>
      <c r="CF13" s="85">
        <f t="shared" si="4"/>
        <v>78133</v>
      </c>
      <c r="CG13" s="22"/>
      <c r="CH13" s="22"/>
      <c r="CI13" s="21">
        <f>SUM(CG13-CG9)*300</f>
        <v>0</v>
      </c>
      <c r="CJ13" s="21">
        <f>(CH13)*300</f>
        <v>0</v>
      </c>
      <c r="CK13" s="84">
        <f>SUM(CI13*0.0406)</f>
        <v>0</v>
      </c>
      <c r="CL13" s="84">
        <f>SUM(CI13*0.02531)</f>
        <v>0</v>
      </c>
      <c r="CM13" s="84">
        <f>SUM(CJ13*6.99)</f>
        <v>0</v>
      </c>
      <c r="CN13" s="84">
        <f>SUM((CK13+CL13)+20)*1.09</f>
        <v>21.8</v>
      </c>
      <c r="CO13" s="85">
        <f t="shared" si="5"/>
        <v>17781</v>
      </c>
      <c r="CP13" s="22"/>
      <c r="CQ13" s="22"/>
      <c r="CR13" s="21">
        <f>(CP13-CP9)*40</f>
        <v>0</v>
      </c>
      <c r="CS13" s="21">
        <f>(CQ13)*40</f>
        <v>0</v>
      </c>
      <c r="CT13" s="84">
        <f>SUM(CR13*0.0406)</f>
        <v>0</v>
      </c>
      <c r="CU13" s="84">
        <f>SUM(CR13*0.02531)</f>
        <v>0</v>
      </c>
      <c r="CV13" s="84">
        <f>SUM(CS13*6.99)</f>
        <v>0</v>
      </c>
      <c r="CW13" s="84">
        <f>SUM((CT13+CU13)+20)*1.09</f>
        <v>21.8</v>
      </c>
      <c r="CX13" s="85">
        <f t="shared" si="6"/>
        <v>74569</v>
      </c>
      <c r="CY13" s="22"/>
      <c r="CZ13" s="22"/>
      <c r="DA13" s="21">
        <f>SUM(CY13-CY9)*300</f>
        <v>0</v>
      </c>
      <c r="DB13" s="86">
        <f>(CZ13)*300</f>
        <v>0</v>
      </c>
      <c r="DC13" s="84">
        <f>SUM(DA13*0.0406)</f>
        <v>0</v>
      </c>
      <c r="DD13" s="84">
        <f>SUM(DA13*0.02531)</f>
        <v>0</v>
      </c>
      <c r="DE13" s="84">
        <f>SUM(DB13*6.99)</f>
        <v>0</v>
      </c>
      <c r="DF13" s="84">
        <f>SUM((DC13+DD13)+20)*1.085</f>
        <v>21.7</v>
      </c>
      <c r="DG13" s="85">
        <f t="shared" si="7"/>
        <v>10978</v>
      </c>
      <c r="DH13" s="22"/>
      <c r="DI13" s="22"/>
      <c r="DJ13" s="21">
        <f>SUM(DH13-DH9)*400</f>
        <v>0</v>
      </c>
      <c r="DK13" s="86">
        <f>(DI13)*400</f>
        <v>0</v>
      </c>
      <c r="DL13" s="84">
        <f>SUM(DJ13*0.0406)</f>
        <v>0</v>
      </c>
      <c r="DM13" s="84">
        <f>SUM(DJ13*0.02531)</f>
        <v>0</v>
      </c>
      <c r="DN13" s="84">
        <f>SUM(DK13*6.99)</f>
        <v>0</v>
      </c>
      <c r="DO13" s="84">
        <f>SUM((DL13+DM13)+20)*1.09</f>
        <v>21.8</v>
      </c>
      <c r="DP13" s="85">
        <f t="shared" si="8"/>
        <v>78133</v>
      </c>
      <c r="DQ13" s="22"/>
      <c r="DR13" s="22"/>
      <c r="DS13" s="21">
        <f>SUM(DQ13-DQ9)*400</f>
        <v>0</v>
      </c>
      <c r="DT13" s="21">
        <f>(DR13)*400</f>
        <v>0</v>
      </c>
      <c r="DU13" s="84">
        <f>SUM(DS13*0.0406)</f>
        <v>0</v>
      </c>
      <c r="DV13" s="84">
        <f>SUM(DS13*0.02531)</f>
        <v>0</v>
      </c>
      <c r="DW13" s="84">
        <f>SUM(DT13*6.99)</f>
        <v>0</v>
      </c>
      <c r="DX13" s="84">
        <f>SUM((DU13+DV13)+20)*1.09</f>
        <v>21.8</v>
      </c>
      <c r="DY13" s="85">
        <f t="shared" si="9"/>
        <v>11616</v>
      </c>
      <c r="DZ13" s="22"/>
      <c r="EA13" s="22"/>
      <c r="EB13" s="21">
        <f>SUM(DZ13-DZ9)*400</f>
        <v>0</v>
      </c>
      <c r="EC13" s="21">
        <f>(EA13)*400</f>
        <v>0</v>
      </c>
      <c r="ED13" s="84">
        <f>SUM(EB13*0.0406)</f>
        <v>0</v>
      </c>
      <c r="EE13" s="84">
        <f>SUM(EB13*0.02531)</f>
        <v>0</v>
      </c>
      <c r="EF13" s="84">
        <f>SUM(EC13*6.99)</f>
        <v>0</v>
      </c>
      <c r="EG13" s="84">
        <f>SUM((ED13+EE13)+20)*1.09</f>
        <v>21.8</v>
      </c>
      <c r="EH13" s="85">
        <f t="shared" si="10"/>
        <v>18116</v>
      </c>
      <c r="EI13" s="22"/>
      <c r="EJ13" s="22"/>
      <c r="EK13" s="21">
        <f>SUM(EI13-EI9)*160</f>
        <v>0</v>
      </c>
      <c r="EL13" s="21">
        <f>(EJ13)*160</f>
        <v>0</v>
      </c>
      <c r="EM13" s="84">
        <f>SUM(EK13*0.0406)</f>
        <v>0</v>
      </c>
      <c r="EN13" s="84">
        <f>SUM(EK13*0.02531)</f>
        <v>0</v>
      </c>
      <c r="EO13" s="84">
        <f>SUM(EL13*6.99)</f>
        <v>0</v>
      </c>
      <c r="EP13" s="84">
        <f>SUM((EM13+EN13)+20)*1.09</f>
        <v>21.8</v>
      </c>
      <c r="EQ13" s="85">
        <f t="shared" si="11"/>
        <v>11966</v>
      </c>
      <c r="ER13" s="22"/>
      <c r="ES13" s="22"/>
      <c r="ET13" s="21">
        <f>SUM(ER13-ER9)*160</f>
        <v>0</v>
      </c>
      <c r="EU13" s="21">
        <f>(ES13)*160</f>
        <v>0</v>
      </c>
      <c r="EV13" s="84">
        <f>SUM(ET13*0.0406)</f>
        <v>0</v>
      </c>
      <c r="EW13" s="84">
        <f>SUM(ET13*0.02531)</f>
        <v>0</v>
      </c>
      <c r="EX13" s="84">
        <f>SUM(EU13*6.99)</f>
        <v>0</v>
      </c>
      <c r="EY13" s="84">
        <f>SUM((EV13+EW13)+20)*1.09</f>
        <v>21.8</v>
      </c>
      <c r="EZ13" s="21">
        <f t="shared" si="12"/>
        <v>95330</v>
      </c>
      <c r="FA13" s="97"/>
      <c r="FB13" s="97"/>
      <c r="FC13" s="21">
        <f>SUM(FA13-FA9)*200</f>
        <v>0</v>
      </c>
      <c r="FD13" s="21">
        <f>(FB13)*200</f>
        <v>0</v>
      </c>
      <c r="FE13" s="84">
        <f>SUM(FC13*0.0406)</f>
        <v>0</v>
      </c>
      <c r="FF13" s="84">
        <f>SUM(FC13*0.02531)</f>
        <v>0</v>
      </c>
      <c r="FG13" s="84">
        <f>SUM(FD13*6.99)</f>
        <v>0</v>
      </c>
      <c r="FH13" s="84">
        <f>SUM((FE13+FF13)+20)*1.09</f>
        <v>21.8</v>
      </c>
      <c r="FI13" s="66"/>
      <c r="FJ13" s="101">
        <f>SUM(BL13+BQ13+BZ13+CI13+CR13+DA13+DJ13+DS13+EB13+EK13+ET13+FC13)</f>
        <v>0</v>
      </c>
      <c r="FK13" s="102">
        <f>SUM(BM13+BV13,CE13,CN13,CW13,DF13,DO13,DX13,EG13,EP13,EY13+FH13)</f>
        <v>220.55</v>
      </c>
      <c r="FL13" s="102">
        <f>SUM(BU13,CD13,CM13,CV13,DE13,DN13,DW13,EF13,EO13,EX13,FG13)</f>
        <v>0</v>
      </c>
      <c r="FM13" s="102">
        <f>SUM(FK13:FL13)</f>
        <v>220.55</v>
      </c>
      <c r="FN13" s="16"/>
      <c r="FP13" s="85">
        <f t="shared" si="13"/>
        <v>8196</v>
      </c>
      <c r="FQ13" s="22"/>
      <c r="FR13" s="22"/>
      <c r="FS13" s="21">
        <f>SUM(FQ13-FQ9)*100</f>
        <v>0</v>
      </c>
      <c r="FT13" s="21">
        <f>SUM(FR13)*100</f>
        <v>0</v>
      </c>
      <c r="FU13" s="87">
        <f>SUM(FS13*0.0406)</f>
        <v>0</v>
      </c>
      <c r="FV13" s="87">
        <f>SUM(FS13*0.02531)</f>
        <v>0</v>
      </c>
      <c r="FW13" s="87">
        <f>SUM(FT13*6.99)</f>
        <v>0</v>
      </c>
      <c r="FX13" s="84">
        <f>SUM(FV13+FU13+20)*1.1048</f>
        <v>22.096</v>
      </c>
      <c r="FY13" s="85">
        <f t="shared" si="14"/>
        <v>64122</v>
      </c>
      <c r="FZ13" s="22"/>
      <c r="GA13" s="22"/>
      <c r="GB13" s="21">
        <f>SUM(FZ13-FZ9)*100</f>
        <v>0</v>
      </c>
      <c r="GC13" s="21">
        <f>SUM(GA13)*100</f>
        <v>0</v>
      </c>
      <c r="GD13" s="87">
        <f>SUM(GB13*0.0406)</f>
        <v>0</v>
      </c>
      <c r="GE13" s="87">
        <f>SUM(GB13*0.02531)</f>
        <v>0</v>
      </c>
      <c r="GF13" s="87">
        <f>SUM(GC13*6.99)</f>
        <v>0</v>
      </c>
      <c r="GG13" s="84">
        <f>SUM(GE13+GD13+20)*1.1048</f>
        <v>22.096</v>
      </c>
      <c r="GH13" s="85">
        <f t="shared" si="15"/>
        <v>36222</v>
      </c>
      <c r="GI13" s="22"/>
      <c r="GJ13" s="21">
        <f>SUM(GI13-GI9)</f>
        <v>0</v>
      </c>
      <c r="GK13" s="84">
        <f>SUM(GJ13*0.11895)</f>
        <v>0</v>
      </c>
      <c r="GL13" s="84">
        <f>SUM(GJ13*0.02531)</f>
        <v>0</v>
      </c>
      <c r="GM13" s="84">
        <f>SUM(GK13+GL13+2.32)*1.07</f>
        <v>2.4824000000000002</v>
      </c>
      <c r="GN13" s="85">
        <f t="shared" si="16"/>
        <v>373</v>
      </c>
      <c r="GO13" s="22"/>
      <c r="GP13" s="22"/>
      <c r="GQ13" s="21">
        <f>SUM(GO13-GO9)*40</f>
        <v>0</v>
      </c>
      <c r="GR13" s="21">
        <f>SUM(GP13)*40</f>
        <v>0</v>
      </c>
      <c r="GS13" s="84">
        <f>SUM(GQ13*0.0406)</f>
        <v>0</v>
      </c>
      <c r="GT13" s="84">
        <f>SUM(GQ13*0.02531)</f>
        <v>0</v>
      </c>
      <c r="GU13" s="84">
        <f>SUM(GR13*6.99)</f>
        <v>0</v>
      </c>
      <c r="GV13" s="84">
        <f>SUM(GT13+GS13+20)*1.2</f>
        <v>24</v>
      </c>
      <c r="GW13" s="22">
        <f>SUM(FS13+GB13+GJ13+GQ13)</f>
        <v>0</v>
      </c>
      <c r="GX13" s="102">
        <f>SUM(GV13+GM13+GG13+FX13)</f>
        <v>70.674400000000006</v>
      </c>
      <c r="GY13" s="102">
        <f>SUM(FW13+GF13+GU13)</f>
        <v>0</v>
      </c>
      <c r="GZ13" s="102">
        <f>SUM(GX13:GY13)</f>
        <v>70.674400000000006</v>
      </c>
      <c r="HA13" s="20"/>
      <c r="HB13" s="101">
        <f t="shared" ref="HB13:HD13" si="24">(FJ13+GW13)</f>
        <v>0</v>
      </c>
      <c r="HC13" s="102">
        <f t="shared" si="24"/>
        <v>291.2244</v>
      </c>
      <c r="HD13" s="102">
        <f t="shared" si="24"/>
        <v>0</v>
      </c>
      <c r="HE13" s="102">
        <f t="shared" ref="HE13" si="25">(HC13+HD13)</f>
        <v>291.2244</v>
      </c>
    </row>
    <row r="14" spans="2:213" x14ac:dyDescent="0.25">
      <c r="B14" s="82">
        <v>44263</v>
      </c>
      <c r="C14" s="217">
        <f>SUM(Essbase!J68:J74)</f>
        <v>901</v>
      </c>
      <c r="D14" s="22"/>
      <c r="E14" s="22"/>
      <c r="F14" s="46">
        <f t="shared" ref="F13:F51" si="26">SUM(D14-D13)*160</f>
        <v>-16051200</v>
      </c>
      <c r="G14" s="22"/>
      <c r="H14" s="22"/>
      <c r="I14" s="46">
        <f t="shared" ref="I13:I51" si="27">SUM(G14-G13)*160</f>
        <v>-15543200</v>
      </c>
      <c r="J14" s="22"/>
      <c r="K14" s="22"/>
      <c r="L14" s="46">
        <f t="shared" ref="L13:L51" si="28">SUM(J14-J13)*400</f>
        <v>-4437600</v>
      </c>
      <c r="M14" s="22"/>
      <c r="N14" s="22"/>
      <c r="O14" s="46">
        <f t="shared" ref="O13:O51" si="29">SUM(M14-M13)*400</f>
        <v>-4391200</v>
      </c>
      <c r="P14" s="22"/>
      <c r="Q14" s="22"/>
      <c r="R14" s="46">
        <f t="shared" ref="R13:R51" si="30">SUM(P14-P13)*400</f>
        <v>-4646400</v>
      </c>
      <c r="S14" s="22"/>
      <c r="T14" s="22"/>
      <c r="U14" s="46">
        <f t="shared" ref="U13:U51" si="31">SUM(S14-S13)*300</f>
        <v>-23439900</v>
      </c>
      <c r="V14" s="22"/>
      <c r="W14" s="22"/>
      <c r="X14" s="46">
        <f t="shared" ref="X13:X51" si="32">SUM(V14-V13)*300</f>
        <v>-22370700</v>
      </c>
      <c r="Y14" s="22"/>
      <c r="Z14" s="22"/>
      <c r="AA14" s="46">
        <f t="shared" ref="AA13:AA51" si="33">SUM(Y14-Y13)*160</f>
        <v>-2898560</v>
      </c>
      <c r="AB14" s="22"/>
      <c r="AC14" s="22"/>
      <c r="AD14" s="46">
        <f t="shared" ref="AD13:AD51" si="34">SUM(AB14-AB13)*160</f>
        <v>-1914560</v>
      </c>
      <c r="AE14" s="22"/>
      <c r="AF14" s="22"/>
      <c r="AG14" s="46">
        <f t="shared" ref="AG13:AG51" si="35">SUM(AE14-AE13)*200</f>
        <v>-19066000</v>
      </c>
      <c r="AH14" s="22"/>
      <c r="AI14" s="22"/>
      <c r="AJ14" s="46">
        <f t="shared" ref="AJ13:AJ51" si="36">SUM(AH14-AH13)*40</f>
        <v>-711240</v>
      </c>
      <c r="AK14" s="252"/>
      <c r="AL14" s="252"/>
      <c r="AM14" s="46">
        <f t="shared" si="17"/>
        <v>-74901</v>
      </c>
      <c r="AO14" s="46">
        <f t="shared" si="18"/>
        <v>-115545461</v>
      </c>
      <c r="AP14" s="22">
        <f t="shared" si="19"/>
        <v>-19777240</v>
      </c>
      <c r="AQ14" s="22">
        <f t="shared" si="20"/>
        <v>0.17116414464779364</v>
      </c>
      <c r="AR14" s="22"/>
      <c r="AS14" s="16"/>
      <c r="AT14" s="89">
        <f t="shared" si="0"/>
        <v>44263</v>
      </c>
      <c r="AU14" s="22"/>
      <c r="AV14" s="46">
        <f t="shared" ref="AV13:AV51" si="37">SUM(AU14-AU13)*100</f>
        <v>-6412200</v>
      </c>
      <c r="AW14" s="22"/>
      <c r="AX14" s="46">
        <f t="shared" ref="AX13:AX51" si="38">SUM(AW14-AW13)*100</f>
        <v>-819600</v>
      </c>
      <c r="AY14" s="103"/>
      <c r="AZ14" s="104">
        <f t="shared" ref="AZ13:AZ28" si="39">SUM(AY14-AY13)</f>
        <v>-36222</v>
      </c>
      <c r="BA14" s="22"/>
      <c r="BB14" s="46">
        <f t="shared" ref="BB13:BB51" si="40">SUM(BA14-BA13)*40</f>
        <v>-14920</v>
      </c>
      <c r="BC14" s="83"/>
      <c r="BD14" s="27">
        <f t="shared" si="21"/>
        <v>-7282942</v>
      </c>
      <c r="BE14" s="22"/>
      <c r="BF14" s="22"/>
      <c r="BH14" s="16"/>
      <c r="BJ14" s="21">
        <f t="shared" si="1"/>
        <v>0</v>
      </c>
      <c r="BN14" s="85">
        <f t="shared" si="2"/>
        <v>0</v>
      </c>
      <c r="BW14" s="85">
        <f t="shared" si="3"/>
        <v>0</v>
      </c>
      <c r="CF14" s="85">
        <f t="shared" si="4"/>
        <v>0</v>
      </c>
      <c r="CO14" s="85">
        <f t="shared" si="5"/>
        <v>0</v>
      </c>
      <c r="CX14" s="85">
        <f t="shared" si="6"/>
        <v>0</v>
      </c>
      <c r="DG14" s="85">
        <f t="shared" si="7"/>
        <v>0</v>
      </c>
      <c r="DP14" s="85">
        <f t="shared" si="8"/>
        <v>0</v>
      </c>
      <c r="DY14" s="85">
        <f t="shared" si="9"/>
        <v>0</v>
      </c>
      <c r="EH14" s="85">
        <f t="shared" si="10"/>
        <v>0</v>
      </c>
      <c r="EQ14" s="85">
        <f t="shared" si="11"/>
        <v>0</v>
      </c>
      <c r="EZ14" s="21">
        <f t="shared" si="12"/>
        <v>0</v>
      </c>
      <c r="FI14" s="66"/>
      <c r="FN14" s="16"/>
      <c r="FP14" s="85">
        <f t="shared" si="13"/>
        <v>0</v>
      </c>
      <c r="FY14" s="85">
        <f t="shared" si="14"/>
        <v>0</v>
      </c>
      <c r="GH14" s="85">
        <f t="shared" si="15"/>
        <v>0</v>
      </c>
      <c r="GN14" s="85">
        <f t="shared" si="16"/>
        <v>0</v>
      </c>
      <c r="HA14" s="20"/>
    </row>
    <row r="15" spans="2:213" x14ac:dyDescent="0.25">
      <c r="B15" s="82">
        <v>44270</v>
      </c>
      <c r="C15" s="217">
        <f>SUM(Essbase!J75:J81)</f>
        <v>1079</v>
      </c>
      <c r="D15" s="22"/>
      <c r="E15" s="22"/>
      <c r="F15" s="46">
        <f t="shared" si="26"/>
        <v>0</v>
      </c>
      <c r="G15" s="22"/>
      <c r="H15" s="22"/>
      <c r="I15" s="46">
        <f t="shared" si="27"/>
        <v>0</v>
      </c>
      <c r="J15" s="22"/>
      <c r="K15" s="22"/>
      <c r="L15" s="46">
        <f t="shared" si="28"/>
        <v>0</v>
      </c>
      <c r="M15" s="22"/>
      <c r="N15" s="22"/>
      <c r="O15" s="46">
        <f t="shared" si="29"/>
        <v>0</v>
      </c>
      <c r="P15" s="22"/>
      <c r="Q15" s="22"/>
      <c r="R15" s="46">
        <f t="shared" si="30"/>
        <v>0</v>
      </c>
      <c r="S15" s="22"/>
      <c r="T15" s="22"/>
      <c r="U15" s="46">
        <f t="shared" si="31"/>
        <v>0</v>
      </c>
      <c r="V15" s="22"/>
      <c r="W15" s="22"/>
      <c r="X15" s="46">
        <f t="shared" si="32"/>
        <v>0</v>
      </c>
      <c r="Y15" s="22"/>
      <c r="Z15" s="22"/>
      <c r="AA15" s="46">
        <f t="shared" si="33"/>
        <v>0</v>
      </c>
      <c r="AB15" s="22"/>
      <c r="AC15" s="22"/>
      <c r="AD15" s="46">
        <f t="shared" si="34"/>
        <v>0</v>
      </c>
      <c r="AE15" s="22"/>
      <c r="AF15" s="22"/>
      <c r="AG15" s="46">
        <f t="shared" si="35"/>
        <v>0</v>
      </c>
      <c r="AH15" s="22"/>
      <c r="AI15" s="22"/>
      <c r="AJ15" s="46">
        <f t="shared" si="36"/>
        <v>0</v>
      </c>
      <c r="AK15" s="252"/>
      <c r="AL15" s="252"/>
      <c r="AM15" s="46">
        <f t="shared" si="17"/>
        <v>0</v>
      </c>
      <c r="AO15" s="46">
        <f t="shared" si="18"/>
        <v>0</v>
      </c>
      <c r="AP15" s="22">
        <f t="shared" si="19"/>
        <v>0</v>
      </c>
      <c r="AQ15" s="22" t="e">
        <f t="shared" si="20"/>
        <v>#DIV/0!</v>
      </c>
      <c r="AR15" s="22"/>
      <c r="AS15" s="16"/>
      <c r="AT15" s="89">
        <f t="shared" si="0"/>
        <v>44270</v>
      </c>
      <c r="AU15" s="22"/>
      <c r="AV15" s="46">
        <f t="shared" si="37"/>
        <v>0</v>
      </c>
      <c r="AW15" s="22"/>
      <c r="AX15" s="46">
        <f t="shared" si="38"/>
        <v>0</v>
      </c>
      <c r="AY15" s="103"/>
      <c r="AZ15" s="104">
        <f t="shared" si="39"/>
        <v>0</v>
      </c>
      <c r="BA15" s="22"/>
      <c r="BB15" s="46">
        <f t="shared" si="40"/>
        <v>0</v>
      </c>
      <c r="BC15" s="83"/>
      <c r="BD15" s="27">
        <f t="shared" si="21"/>
        <v>0</v>
      </c>
      <c r="BE15" s="22"/>
      <c r="BF15" s="22"/>
      <c r="BH15" s="16"/>
      <c r="BJ15" s="21">
        <f t="shared" si="1"/>
        <v>0</v>
      </c>
      <c r="BN15" s="85">
        <f t="shared" si="2"/>
        <v>0</v>
      </c>
      <c r="BW15" s="85">
        <f t="shared" si="3"/>
        <v>0</v>
      </c>
      <c r="CF15" s="85">
        <f t="shared" si="4"/>
        <v>0</v>
      </c>
      <c r="CO15" s="85">
        <f t="shared" si="5"/>
        <v>0</v>
      </c>
      <c r="CX15" s="85">
        <f t="shared" si="6"/>
        <v>0</v>
      </c>
      <c r="DG15" s="85">
        <f t="shared" si="7"/>
        <v>0</v>
      </c>
      <c r="DP15" s="85">
        <f t="shared" si="8"/>
        <v>0</v>
      </c>
      <c r="DY15" s="85">
        <f t="shared" si="9"/>
        <v>0</v>
      </c>
      <c r="EH15" s="85">
        <f t="shared" si="10"/>
        <v>0</v>
      </c>
      <c r="EQ15" s="85">
        <f t="shared" si="11"/>
        <v>0</v>
      </c>
      <c r="EZ15" s="21">
        <f t="shared" si="12"/>
        <v>0</v>
      </c>
      <c r="FI15" s="66"/>
      <c r="FN15" s="16"/>
      <c r="FP15" s="85">
        <f t="shared" si="13"/>
        <v>0</v>
      </c>
      <c r="FY15" s="85">
        <f t="shared" si="14"/>
        <v>0</v>
      </c>
      <c r="GH15" s="85">
        <f t="shared" si="15"/>
        <v>0</v>
      </c>
      <c r="GN15" s="85">
        <f t="shared" si="16"/>
        <v>0</v>
      </c>
      <c r="HA15" s="20"/>
    </row>
    <row r="16" spans="2:213" x14ac:dyDescent="0.25">
      <c r="B16" s="82">
        <v>44277</v>
      </c>
      <c r="C16" s="217">
        <f>SUM(Essbase!J82:J89)</f>
        <v>1767</v>
      </c>
      <c r="D16" s="22"/>
      <c r="E16" s="22"/>
      <c r="F16" s="46">
        <f t="shared" si="26"/>
        <v>0</v>
      </c>
      <c r="G16" s="22"/>
      <c r="H16" s="22"/>
      <c r="I16" s="46">
        <f t="shared" si="27"/>
        <v>0</v>
      </c>
      <c r="J16" s="22"/>
      <c r="K16" s="22"/>
      <c r="L16" s="46">
        <f t="shared" si="28"/>
        <v>0</v>
      </c>
      <c r="M16" s="22"/>
      <c r="N16" s="22"/>
      <c r="O16" s="46">
        <f t="shared" si="29"/>
        <v>0</v>
      </c>
      <c r="P16" s="22"/>
      <c r="Q16" s="22"/>
      <c r="R16" s="46">
        <f t="shared" si="30"/>
        <v>0</v>
      </c>
      <c r="S16" s="22"/>
      <c r="T16" s="22"/>
      <c r="U16" s="46">
        <f t="shared" si="31"/>
        <v>0</v>
      </c>
      <c r="V16" s="22"/>
      <c r="W16" s="22"/>
      <c r="X16" s="46">
        <f t="shared" si="32"/>
        <v>0</v>
      </c>
      <c r="Y16" s="22"/>
      <c r="Z16" s="22"/>
      <c r="AA16" s="46">
        <f t="shared" si="33"/>
        <v>0</v>
      </c>
      <c r="AB16" s="22"/>
      <c r="AC16" s="22"/>
      <c r="AD16" s="46">
        <f t="shared" si="34"/>
        <v>0</v>
      </c>
      <c r="AE16" s="22"/>
      <c r="AF16" s="22"/>
      <c r="AG16" s="46">
        <f t="shared" si="35"/>
        <v>0</v>
      </c>
      <c r="AH16" s="22"/>
      <c r="AI16" s="22"/>
      <c r="AJ16" s="46">
        <f t="shared" si="36"/>
        <v>0</v>
      </c>
      <c r="AK16" s="252"/>
      <c r="AL16" s="252"/>
      <c r="AM16" s="46">
        <f t="shared" si="17"/>
        <v>0</v>
      </c>
      <c r="AO16" s="46">
        <f t="shared" si="18"/>
        <v>0</v>
      </c>
      <c r="AP16" s="22">
        <f t="shared" si="19"/>
        <v>0</v>
      </c>
      <c r="AQ16" s="22" t="e">
        <f t="shared" si="20"/>
        <v>#DIV/0!</v>
      </c>
      <c r="AR16" s="22"/>
      <c r="AS16" s="16"/>
      <c r="AT16" s="89">
        <f t="shared" si="0"/>
        <v>44277</v>
      </c>
      <c r="AU16" s="22"/>
      <c r="AV16" s="46">
        <f t="shared" si="37"/>
        <v>0</v>
      </c>
      <c r="AW16" s="22"/>
      <c r="AX16" s="46">
        <f t="shared" si="38"/>
        <v>0</v>
      </c>
      <c r="AY16" s="103"/>
      <c r="AZ16" s="104">
        <f t="shared" si="39"/>
        <v>0</v>
      </c>
      <c r="BA16" s="22"/>
      <c r="BB16" s="46">
        <f t="shared" si="40"/>
        <v>0</v>
      </c>
      <c r="BC16" s="83"/>
      <c r="BD16" s="27">
        <f t="shared" si="21"/>
        <v>0</v>
      </c>
      <c r="BE16" s="22"/>
      <c r="BF16" s="22"/>
      <c r="BH16" s="16"/>
      <c r="BJ16" s="21">
        <f t="shared" si="1"/>
        <v>0</v>
      </c>
      <c r="BN16" s="85">
        <f t="shared" si="2"/>
        <v>0</v>
      </c>
      <c r="BW16" s="85">
        <f t="shared" si="3"/>
        <v>0</v>
      </c>
      <c r="CF16" s="85">
        <f t="shared" si="4"/>
        <v>0</v>
      </c>
      <c r="CO16" s="85">
        <f t="shared" si="5"/>
        <v>0</v>
      </c>
      <c r="CX16" s="85">
        <f t="shared" si="6"/>
        <v>0</v>
      </c>
      <c r="DG16" s="85">
        <f t="shared" si="7"/>
        <v>0</v>
      </c>
      <c r="DP16" s="85">
        <f t="shared" si="8"/>
        <v>0</v>
      </c>
      <c r="DY16" s="85">
        <f t="shared" si="9"/>
        <v>0</v>
      </c>
      <c r="EH16" s="85">
        <f t="shared" si="10"/>
        <v>0</v>
      </c>
      <c r="EQ16" s="85">
        <f t="shared" si="11"/>
        <v>0</v>
      </c>
      <c r="EZ16" s="21">
        <f t="shared" si="12"/>
        <v>0</v>
      </c>
      <c r="FI16" s="66"/>
      <c r="FN16" s="16"/>
      <c r="FP16" s="85">
        <f t="shared" si="13"/>
        <v>0</v>
      </c>
      <c r="FY16" s="85">
        <f t="shared" si="14"/>
        <v>0</v>
      </c>
      <c r="GH16" s="85">
        <f t="shared" si="15"/>
        <v>0</v>
      </c>
      <c r="GN16" s="85">
        <f t="shared" si="16"/>
        <v>0</v>
      </c>
      <c r="HA16" s="20"/>
    </row>
    <row r="17" spans="2:217" x14ac:dyDescent="0.25">
      <c r="B17" s="82">
        <v>44284</v>
      </c>
      <c r="C17" s="217">
        <f>SUM(Essbase!J90:J96)</f>
        <v>1630</v>
      </c>
      <c r="D17" s="22"/>
      <c r="E17" s="22"/>
      <c r="F17" s="46">
        <f t="shared" si="26"/>
        <v>0</v>
      </c>
      <c r="G17" s="22"/>
      <c r="H17" s="22"/>
      <c r="I17" s="46">
        <f t="shared" si="27"/>
        <v>0</v>
      </c>
      <c r="J17" s="22"/>
      <c r="K17" s="22"/>
      <c r="L17" s="46">
        <f t="shared" si="28"/>
        <v>0</v>
      </c>
      <c r="M17" s="22"/>
      <c r="N17" s="22"/>
      <c r="O17" s="46">
        <f t="shared" si="29"/>
        <v>0</v>
      </c>
      <c r="P17" s="22"/>
      <c r="Q17" s="22"/>
      <c r="R17" s="46">
        <f t="shared" si="30"/>
        <v>0</v>
      </c>
      <c r="S17" s="22"/>
      <c r="T17" s="22"/>
      <c r="U17" s="46">
        <f t="shared" si="31"/>
        <v>0</v>
      </c>
      <c r="V17" s="22"/>
      <c r="W17" s="22"/>
      <c r="X17" s="46">
        <f t="shared" si="32"/>
        <v>0</v>
      </c>
      <c r="Y17" s="22"/>
      <c r="Z17" s="22"/>
      <c r="AA17" s="46">
        <f t="shared" si="33"/>
        <v>0</v>
      </c>
      <c r="AB17" s="22"/>
      <c r="AC17" s="22"/>
      <c r="AD17" s="46">
        <f t="shared" si="34"/>
        <v>0</v>
      </c>
      <c r="AE17" s="22"/>
      <c r="AF17" s="22"/>
      <c r="AG17" s="46">
        <f t="shared" si="35"/>
        <v>0</v>
      </c>
      <c r="AH17" s="22"/>
      <c r="AI17" s="22"/>
      <c r="AJ17" s="46">
        <f t="shared" si="36"/>
        <v>0</v>
      </c>
      <c r="AK17" s="252"/>
      <c r="AL17" s="252"/>
      <c r="AM17" s="46">
        <f t="shared" si="17"/>
        <v>0</v>
      </c>
      <c r="AO17" s="46">
        <f t="shared" si="18"/>
        <v>0</v>
      </c>
      <c r="AP17" s="22">
        <f t="shared" si="19"/>
        <v>0</v>
      </c>
      <c r="AQ17" s="22" t="e">
        <f t="shared" si="20"/>
        <v>#DIV/0!</v>
      </c>
      <c r="AR17" s="22"/>
      <c r="AS17" s="16"/>
      <c r="AT17" s="89">
        <f t="shared" si="0"/>
        <v>44284</v>
      </c>
      <c r="AU17" s="22"/>
      <c r="AV17" s="46">
        <f t="shared" si="37"/>
        <v>0</v>
      </c>
      <c r="AW17" s="22"/>
      <c r="AX17" s="46">
        <f t="shared" si="38"/>
        <v>0</v>
      </c>
      <c r="AY17" s="103"/>
      <c r="AZ17" s="104">
        <f t="shared" si="39"/>
        <v>0</v>
      </c>
      <c r="BA17" s="22"/>
      <c r="BB17" s="46">
        <f t="shared" si="40"/>
        <v>0</v>
      </c>
      <c r="BC17" s="83"/>
      <c r="BD17" s="27">
        <f t="shared" si="21"/>
        <v>0</v>
      </c>
      <c r="BE17" s="22"/>
      <c r="BF17" s="22"/>
      <c r="BH17" s="16"/>
      <c r="BJ17" s="21">
        <f t="shared" si="1"/>
        <v>0</v>
      </c>
      <c r="BK17" s="22"/>
      <c r="BL17" s="21">
        <f>SUM(BK17-BK13)</f>
        <v>0</v>
      </c>
      <c r="BM17" s="84">
        <f>SUM(BL17*0.11895+BL17*0.02531)*1.09+2.85</f>
        <v>2.85</v>
      </c>
      <c r="BN17" s="85">
        <f t="shared" si="2"/>
        <v>0</v>
      </c>
      <c r="BO17" s="22"/>
      <c r="BP17" s="22"/>
      <c r="BQ17" s="21">
        <f>SUM(BO17-BO13)*160</f>
        <v>0</v>
      </c>
      <c r="BR17" s="21">
        <f>(BP17)*160</f>
        <v>0</v>
      </c>
      <c r="BS17" s="84">
        <f>SUM(BQ17*0.0406)</f>
        <v>0</v>
      </c>
      <c r="BT17" s="84">
        <f>SUM(BQ17*0.02531)</f>
        <v>0</v>
      </c>
      <c r="BU17" s="84">
        <f>SUM(BR17*6.99)</f>
        <v>0</v>
      </c>
      <c r="BV17" s="84">
        <f>SUM(BS17+BT17)*1.09</f>
        <v>0</v>
      </c>
      <c r="BW17" s="85">
        <f t="shared" si="3"/>
        <v>0</v>
      </c>
      <c r="BX17" s="22"/>
      <c r="BY17" s="22"/>
      <c r="BZ17" s="21">
        <f>SUM(BX17-BX13)*160</f>
        <v>0</v>
      </c>
      <c r="CA17" s="21">
        <f>(BY17)*160</f>
        <v>0</v>
      </c>
      <c r="CB17" s="84">
        <f>SUM(BZ17*0.0406)</f>
        <v>0</v>
      </c>
      <c r="CC17" s="84">
        <f>SUM(BZ17*0.02531)</f>
        <v>0</v>
      </c>
      <c r="CD17" s="84">
        <f>SUM(CA17*6.99)</f>
        <v>0</v>
      </c>
      <c r="CE17" s="84">
        <f>SUM((CB17+CC17)+20)* 1.08</f>
        <v>21.6</v>
      </c>
      <c r="CF17" s="85">
        <f t="shared" si="4"/>
        <v>0</v>
      </c>
      <c r="CG17" s="22"/>
      <c r="CH17" s="22"/>
      <c r="CI17" s="21">
        <f>SUM(CG17-CG13)*300</f>
        <v>0</v>
      </c>
      <c r="CJ17" s="21">
        <f>(CH17)*300</f>
        <v>0</v>
      </c>
      <c r="CK17" s="84">
        <f>SUM(CI17*0.0406)</f>
        <v>0</v>
      </c>
      <c r="CL17" s="84">
        <f>SUM(CI17*0.02531)</f>
        <v>0</v>
      </c>
      <c r="CM17" s="84">
        <f>SUM(CJ17*6.99)</f>
        <v>0</v>
      </c>
      <c r="CN17" s="84">
        <f>SUM((CK17+CL17)+20)*1.09</f>
        <v>21.8</v>
      </c>
      <c r="CO17" s="85">
        <f t="shared" si="5"/>
        <v>0</v>
      </c>
      <c r="CP17" s="22"/>
      <c r="CQ17" s="22"/>
      <c r="CR17" s="21">
        <f>(CP17-CP13)*40</f>
        <v>0</v>
      </c>
      <c r="CS17" s="21">
        <f>(CQ17)*40</f>
        <v>0</v>
      </c>
      <c r="CT17" s="84">
        <f>SUM(CR17*0.0406)</f>
        <v>0</v>
      </c>
      <c r="CU17" s="84">
        <f>SUM(CR17*0.02531)</f>
        <v>0</v>
      </c>
      <c r="CV17" s="84">
        <f>SUM(CS17*6.99)</f>
        <v>0</v>
      </c>
      <c r="CW17" s="84">
        <f>SUM((CT17+CU17)+20)*1.09</f>
        <v>21.8</v>
      </c>
      <c r="CX17" s="85">
        <f t="shared" si="6"/>
        <v>0</v>
      </c>
      <c r="CY17" s="22"/>
      <c r="CZ17" s="22"/>
      <c r="DA17" s="21">
        <f>SUM(CY17-CY13)*300</f>
        <v>0</v>
      </c>
      <c r="DB17" s="86">
        <f>(CZ17)*300</f>
        <v>0</v>
      </c>
      <c r="DC17" s="84">
        <f>SUM(DA17*0.0406)</f>
        <v>0</v>
      </c>
      <c r="DD17" s="84">
        <f>SUM(DA17*0.02531)</f>
        <v>0</v>
      </c>
      <c r="DE17" s="84">
        <f>SUM(DB17*6.99)</f>
        <v>0</v>
      </c>
      <c r="DF17" s="84">
        <f>SUM((DC17+DD17)+20)*1.085</f>
        <v>21.7</v>
      </c>
      <c r="DG17" s="85">
        <f t="shared" si="7"/>
        <v>0</v>
      </c>
      <c r="DH17" s="22"/>
      <c r="DI17" s="22"/>
      <c r="DJ17" s="21">
        <f>SUM(DH17-DH13)*400</f>
        <v>0</v>
      </c>
      <c r="DK17" s="86">
        <f>(DI17)*400</f>
        <v>0</v>
      </c>
      <c r="DL17" s="84">
        <f>SUM(DJ17*0.0406)</f>
        <v>0</v>
      </c>
      <c r="DM17" s="84">
        <f>SUM(DJ17*0.02531)</f>
        <v>0</v>
      </c>
      <c r="DN17" s="84">
        <f>SUM(DK17*6.99)</f>
        <v>0</v>
      </c>
      <c r="DO17" s="84">
        <f>SUM((DL17+DM17)+20)*1.09</f>
        <v>21.8</v>
      </c>
      <c r="DP17" s="85">
        <f t="shared" si="8"/>
        <v>0</v>
      </c>
      <c r="DQ17" s="22"/>
      <c r="DR17" s="22"/>
      <c r="DS17" s="21">
        <f>SUM(DQ17-DQ13)*400</f>
        <v>0</v>
      </c>
      <c r="DT17" s="21">
        <f>(DR17)*400</f>
        <v>0</v>
      </c>
      <c r="DU17" s="84">
        <f>SUM(DS17*0.0406)</f>
        <v>0</v>
      </c>
      <c r="DV17" s="84">
        <f>SUM(DS17*0.02531)</f>
        <v>0</v>
      </c>
      <c r="DW17" s="84">
        <f>SUM(DT17*6.99)</f>
        <v>0</v>
      </c>
      <c r="DX17" s="84">
        <f>SUM((DU17+DV17)+20)*1.09</f>
        <v>21.8</v>
      </c>
      <c r="DY17" s="85">
        <f t="shared" si="9"/>
        <v>0</v>
      </c>
      <c r="DZ17" s="22"/>
      <c r="EA17" s="22"/>
      <c r="EB17" s="21">
        <f>SUM(DZ17-DZ13)*400</f>
        <v>0</v>
      </c>
      <c r="EC17" s="21">
        <f>(EA17)*400</f>
        <v>0</v>
      </c>
      <c r="ED17" s="84">
        <f>SUM(EB17*0.0406)</f>
        <v>0</v>
      </c>
      <c r="EE17" s="84">
        <f>SUM(EB17*0.02531)</f>
        <v>0</v>
      </c>
      <c r="EF17" s="84">
        <f>SUM(EC17*6.99)</f>
        <v>0</v>
      </c>
      <c r="EG17" s="84">
        <f>SUM((ED17+EE17)+20)*1.09</f>
        <v>21.8</v>
      </c>
      <c r="EH17" s="85">
        <f t="shared" si="10"/>
        <v>0</v>
      </c>
      <c r="EI17" s="22"/>
      <c r="EJ17" s="22"/>
      <c r="EK17" s="21">
        <f>SUM(EI17-EI13)*160</f>
        <v>0</v>
      </c>
      <c r="EL17" s="21">
        <f>(EJ17)*160</f>
        <v>0</v>
      </c>
      <c r="EM17" s="84">
        <f>SUM(EK17*0.0406)</f>
        <v>0</v>
      </c>
      <c r="EN17" s="84">
        <f>SUM(EK17*0.02531)</f>
        <v>0</v>
      </c>
      <c r="EO17" s="84">
        <f>SUM(EL17*6.99)</f>
        <v>0</v>
      </c>
      <c r="EP17" s="84">
        <f>SUM((EM17+EN17)+20)*1.09</f>
        <v>21.8</v>
      </c>
      <c r="EQ17" s="85">
        <f t="shared" si="11"/>
        <v>0</v>
      </c>
      <c r="ER17" s="22"/>
      <c r="ES17" s="22"/>
      <c r="ET17" s="21">
        <f>SUM(ER17-ER13)*160</f>
        <v>0</v>
      </c>
      <c r="EU17" s="21">
        <f>(ES17)*160</f>
        <v>0</v>
      </c>
      <c r="EV17" s="84">
        <f>SUM(ET17*0.0406)</f>
        <v>0</v>
      </c>
      <c r="EW17" s="84">
        <f>SUM(ET17*0.02531)</f>
        <v>0</v>
      </c>
      <c r="EX17" s="84">
        <f>SUM(EU17*6.99)</f>
        <v>0</v>
      </c>
      <c r="EY17" s="84">
        <f>SUM((EV17+EW17)+20)*1.09</f>
        <v>21.8</v>
      </c>
      <c r="EZ17" s="21">
        <f t="shared" si="12"/>
        <v>0</v>
      </c>
      <c r="FA17" s="97"/>
      <c r="FB17" s="97"/>
      <c r="FC17" s="21">
        <f>SUM(FA17-FA13)*200</f>
        <v>0</v>
      </c>
      <c r="FD17" s="21">
        <f>(FB17)*200</f>
        <v>0</v>
      </c>
      <c r="FE17" s="84">
        <f>SUM(FC17*0.0406)</f>
        <v>0</v>
      </c>
      <c r="FF17" s="84">
        <f>SUM(FC17*0.02531)</f>
        <v>0</v>
      </c>
      <c r="FG17" s="84">
        <f>SUM(FD17*6.99)</f>
        <v>0</v>
      </c>
      <c r="FH17" s="84">
        <f>SUM((FE17+FF17)+20)*1.09</f>
        <v>21.8</v>
      </c>
      <c r="FI17" s="66"/>
      <c r="FJ17" s="101">
        <f>SUM(BL17+BQ17+BZ17+CI17+CR17+DA17+DJ17+DS17+EB17+EK17+ET17+FC17)</f>
        <v>0</v>
      </c>
      <c r="FK17" s="102">
        <f>SUM(BM17+BV17,CE17,CN17,CW17,DF17,DO17,DX17,EG17,EP17,EY17+FH17)</f>
        <v>220.55</v>
      </c>
      <c r="FL17" s="102">
        <f>SUM(BU17,CD17,CM17,CV17,DE17,DN17,DW17,EF17,EO17,EX17,FG17)</f>
        <v>0</v>
      </c>
      <c r="FM17" s="102">
        <f>SUM(FK17:FL17)</f>
        <v>220.55</v>
      </c>
      <c r="FN17" s="16"/>
      <c r="FP17" s="85">
        <f t="shared" si="13"/>
        <v>0</v>
      </c>
      <c r="FQ17" s="22"/>
      <c r="FR17" s="22"/>
      <c r="FS17" s="21">
        <f>SUM(FQ17-FQ13)*100</f>
        <v>0</v>
      </c>
      <c r="FT17" s="21">
        <f>SUM(FR17)*100</f>
        <v>0</v>
      </c>
      <c r="FU17" s="87">
        <f>SUM(FS17*0.0406)</f>
        <v>0</v>
      </c>
      <c r="FV17" s="87">
        <f>SUM(FS17*0.02531)</f>
        <v>0</v>
      </c>
      <c r="FW17" s="87">
        <f>SUM(FT17*6.99)</f>
        <v>0</v>
      </c>
      <c r="FX17" s="84">
        <f>SUM(FV17+FU17+20)*1.1048</f>
        <v>22.096</v>
      </c>
      <c r="FY17" s="85">
        <f t="shared" si="14"/>
        <v>0</v>
      </c>
      <c r="FZ17" s="22"/>
      <c r="GA17" s="22"/>
      <c r="GB17" s="21">
        <f>SUM(FZ17-FZ13)*100</f>
        <v>0</v>
      </c>
      <c r="GC17" s="21">
        <f>SUM(GA17)*100</f>
        <v>0</v>
      </c>
      <c r="GD17" s="87">
        <f>SUM(GB17*0.0406)</f>
        <v>0</v>
      </c>
      <c r="GE17" s="87">
        <f>SUM(GB17*0.02531)</f>
        <v>0</v>
      </c>
      <c r="GF17" s="87">
        <f>SUM(GC17*6.99)</f>
        <v>0</v>
      </c>
      <c r="GG17" s="84">
        <f>SUM(GE17+GD17+20)*1.1048</f>
        <v>22.096</v>
      </c>
      <c r="GH17" s="85">
        <f t="shared" si="15"/>
        <v>0</v>
      </c>
      <c r="GI17" s="22"/>
      <c r="GJ17" s="21">
        <f>SUM(GI17-GI13)</f>
        <v>0</v>
      </c>
      <c r="GK17" s="84">
        <f>SUM(GJ17*0.11895)</f>
        <v>0</v>
      </c>
      <c r="GL17" s="84">
        <f>SUM(GJ17*0.02531)</f>
        <v>0</v>
      </c>
      <c r="GM17" s="84">
        <f>SUM(GK17+GL17+2.32)*1.07</f>
        <v>2.4824000000000002</v>
      </c>
      <c r="GN17" s="85">
        <f t="shared" si="16"/>
        <v>0</v>
      </c>
      <c r="GO17" s="22"/>
      <c r="GP17" s="22"/>
      <c r="GQ17" s="21">
        <f>SUM(GO17-GO13)*40</f>
        <v>0</v>
      </c>
      <c r="GR17" s="21">
        <f>SUM(GP17)*40</f>
        <v>0</v>
      </c>
      <c r="GS17" s="84">
        <f>SUM(GQ17*0.0406)</f>
        <v>0</v>
      </c>
      <c r="GT17" s="84">
        <f>SUM(GQ17*0.02531)</f>
        <v>0</v>
      </c>
      <c r="GU17" s="84">
        <f>SUM(GR17*6.99)</f>
        <v>0</v>
      </c>
      <c r="GV17" s="84">
        <f>SUM(GT17+GS17+20)*1.2</f>
        <v>24</v>
      </c>
      <c r="GW17" s="22">
        <f>SUM(FS17+GB17+GJ17+GQ17)</f>
        <v>0</v>
      </c>
      <c r="GX17" s="102">
        <f>SUM(GV17+GM17+GG17+FX17)</f>
        <v>70.674400000000006</v>
      </c>
      <c r="GY17" s="102">
        <f>SUM(FW17+GF17+GU17)</f>
        <v>0</v>
      </c>
      <c r="GZ17" s="102">
        <f>SUM(GX17:GY17)</f>
        <v>70.674400000000006</v>
      </c>
      <c r="HA17" s="20"/>
      <c r="HB17" s="101">
        <f t="shared" ref="HB17:HD17" si="41">(FJ17+GW17)</f>
        <v>0</v>
      </c>
      <c r="HC17" s="102">
        <f t="shared" si="41"/>
        <v>291.2244</v>
      </c>
      <c r="HD17" s="102">
        <f t="shared" si="41"/>
        <v>0</v>
      </c>
      <c r="HE17" s="102">
        <f t="shared" ref="HE17" si="42">(HC17+HD17)</f>
        <v>291.2244</v>
      </c>
    </row>
    <row r="18" spans="2:217" x14ac:dyDescent="0.25">
      <c r="B18" s="82">
        <v>44287</v>
      </c>
      <c r="C18" s="217"/>
      <c r="D18" s="22"/>
      <c r="E18" s="22"/>
      <c r="F18" s="46">
        <f t="shared" si="26"/>
        <v>0</v>
      </c>
      <c r="G18" s="22"/>
      <c r="H18" s="22"/>
      <c r="I18" s="46">
        <f t="shared" si="27"/>
        <v>0</v>
      </c>
      <c r="J18" s="22"/>
      <c r="K18" s="22"/>
      <c r="L18" s="46">
        <f t="shared" si="28"/>
        <v>0</v>
      </c>
      <c r="M18" s="22"/>
      <c r="N18" s="22"/>
      <c r="O18" s="46">
        <f t="shared" si="29"/>
        <v>0</v>
      </c>
      <c r="P18" s="22"/>
      <c r="Q18" s="22"/>
      <c r="R18" s="46">
        <f t="shared" si="30"/>
        <v>0</v>
      </c>
      <c r="S18" s="22"/>
      <c r="T18" s="22"/>
      <c r="U18" s="46">
        <f t="shared" si="31"/>
        <v>0</v>
      </c>
      <c r="V18" s="22"/>
      <c r="W18" s="22"/>
      <c r="X18" s="46">
        <f t="shared" si="32"/>
        <v>0</v>
      </c>
      <c r="Y18" s="22"/>
      <c r="Z18" s="22"/>
      <c r="AA18" s="46">
        <f t="shared" si="33"/>
        <v>0</v>
      </c>
      <c r="AB18" s="22"/>
      <c r="AC18" s="22"/>
      <c r="AD18" s="46">
        <f t="shared" si="34"/>
        <v>0</v>
      </c>
      <c r="AE18" s="22"/>
      <c r="AF18" s="22"/>
      <c r="AG18" s="46">
        <f t="shared" si="35"/>
        <v>0</v>
      </c>
      <c r="AH18" s="22"/>
      <c r="AI18" s="22"/>
      <c r="AJ18" s="46">
        <f t="shared" si="36"/>
        <v>0</v>
      </c>
      <c r="AK18" s="252"/>
      <c r="AL18" s="252"/>
      <c r="AM18" s="46">
        <f t="shared" si="17"/>
        <v>0</v>
      </c>
      <c r="AO18" s="46">
        <f t="shared" si="18"/>
        <v>0</v>
      </c>
      <c r="AP18" s="22">
        <f t="shared" si="19"/>
        <v>0</v>
      </c>
      <c r="AQ18" s="22" t="e">
        <f t="shared" si="20"/>
        <v>#DIV/0!</v>
      </c>
      <c r="AR18" s="22">
        <f>SUM(AO14:AO18)</f>
        <v>-115545461</v>
      </c>
      <c r="AS18" s="16"/>
      <c r="AT18" s="89">
        <f t="shared" si="0"/>
        <v>44287</v>
      </c>
      <c r="AU18" s="22"/>
      <c r="AV18" s="46">
        <f t="shared" si="37"/>
        <v>0</v>
      </c>
      <c r="AW18" s="22"/>
      <c r="AX18" s="46">
        <f t="shared" si="38"/>
        <v>0</v>
      </c>
      <c r="AY18" s="103"/>
      <c r="AZ18" s="104">
        <f t="shared" si="39"/>
        <v>0</v>
      </c>
      <c r="BA18" s="22"/>
      <c r="BB18" s="46">
        <f t="shared" si="40"/>
        <v>0</v>
      </c>
      <c r="BC18" s="83"/>
      <c r="BD18" s="27">
        <f t="shared" si="21"/>
        <v>0</v>
      </c>
      <c r="BE18" s="22">
        <f>SUM(BC14:BD18)</f>
        <v>-7282942</v>
      </c>
      <c r="BF18" s="22">
        <f>SUM(AR18+BE18)</f>
        <v>-122828403</v>
      </c>
      <c r="BH18" s="16"/>
      <c r="BJ18" s="21">
        <f t="shared" si="1"/>
        <v>0</v>
      </c>
      <c r="BN18" s="85">
        <f t="shared" si="2"/>
        <v>0</v>
      </c>
      <c r="BW18" s="85">
        <f t="shared" si="3"/>
        <v>0</v>
      </c>
      <c r="CF18" s="85">
        <f t="shared" si="4"/>
        <v>0</v>
      </c>
      <c r="CO18" s="85">
        <f t="shared" si="5"/>
        <v>0</v>
      </c>
      <c r="CX18" s="85">
        <f t="shared" si="6"/>
        <v>0</v>
      </c>
      <c r="DG18" s="85">
        <f t="shared" si="7"/>
        <v>0</v>
      </c>
      <c r="DP18" s="85">
        <f t="shared" si="8"/>
        <v>0</v>
      </c>
      <c r="DY18" s="85">
        <f t="shared" si="9"/>
        <v>0</v>
      </c>
      <c r="EH18" s="85">
        <f t="shared" si="10"/>
        <v>0</v>
      </c>
      <c r="EQ18" s="85">
        <f t="shared" si="11"/>
        <v>0</v>
      </c>
      <c r="EZ18" s="21">
        <f t="shared" si="12"/>
        <v>0</v>
      </c>
      <c r="FI18" s="66"/>
      <c r="FN18" s="16"/>
      <c r="FP18" s="85">
        <f t="shared" si="13"/>
        <v>0</v>
      </c>
      <c r="FY18" s="85">
        <f t="shared" si="14"/>
        <v>0</v>
      </c>
      <c r="GH18" s="85">
        <f t="shared" si="15"/>
        <v>0</v>
      </c>
      <c r="GN18" s="85">
        <f t="shared" si="16"/>
        <v>0</v>
      </c>
      <c r="HA18" s="20"/>
    </row>
    <row r="19" spans="2:217" x14ac:dyDescent="0.25">
      <c r="B19" s="82">
        <v>44291</v>
      </c>
      <c r="C19" s="217"/>
      <c r="D19" s="22"/>
      <c r="E19" s="22"/>
      <c r="F19" s="46">
        <f t="shared" si="26"/>
        <v>0</v>
      </c>
      <c r="G19" s="22"/>
      <c r="H19" s="22"/>
      <c r="I19" s="46">
        <f t="shared" si="27"/>
        <v>0</v>
      </c>
      <c r="J19" s="22"/>
      <c r="K19" s="22"/>
      <c r="L19" s="46">
        <f t="shared" si="28"/>
        <v>0</v>
      </c>
      <c r="M19" s="22"/>
      <c r="N19" s="22"/>
      <c r="O19" s="46">
        <f t="shared" si="29"/>
        <v>0</v>
      </c>
      <c r="P19" s="22"/>
      <c r="Q19" s="22"/>
      <c r="R19" s="46">
        <f t="shared" si="30"/>
        <v>0</v>
      </c>
      <c r="S19" s="22"/>
      <c r="T19" s="22"/>
      <c r="U19" s="46">
        <f t="shared" si="31"/>
        <v>0</v>
      </c>
      <c r="V19" s="22"/>
      <c r="W19" s="22"/>
      <c r="X19" s="46">
        <f t="shared" si="32"/>
        <v>0</v>
      </c>
      <c r="Y19" s="22"/>
      <c r="Z19" s="22"/>
      <c r="AA19" s="46">
        <f t="shared" si="33"/>
        <v>0</v>
      </c>
      <c r="AB19" s="22"/>
      <c r="AC19" s="22"/>
      <c r="AD19" s="46">
        <f t="shared" si="34"/>
        <v>0</v>
      </c>
      <c r="AE19" s="22"/>
      <c r="AF19" s="22"/>
      <c r="AG19" s="46">
        <f t="shared" si="35"/>
        <v>0</v>
      </c>
      <c r="AH19" s="22"/>
      <c r="AI19" s="22"/>
      <c r="AJ19" s="46">
        <f t="shared" si="36"/>
        <v>0</v>
      </c>
      <c r="AK19" s="252"/>
      <c r="AL19" s="252"/>
      <c r="AM19" s="46">
        <f t="shared" si="17"/>
        <v>0</v>
      </c>
      <c r="AO19" s="46">
        <f t="shared" si="18"/>
        <v>0</v>
      </c>
      <c r="AP19" s="22">
        <f t="shared" si="19"/>
        <v>0</v>
      </c>
      <c r="AQ19" s="22" t="e">
        <f t="shared" si="20"/>
        <v>#DIV/0!</v>
      </c>
      <c r="AR19" s="22"/>
      <c r="AS19" s="16"/>
      <c r="AT19" s="89">
        <f t="shared" si="0"/>
        <v>44291</v>
      </c>
      <c r="AU19" s="22"/>
      <c r="AV19" s="46">
        <f t="shared" si="37"/>
        <v>0</v>
      </c>
      <c r="AW19" s="22"/>
      <c r="AX19" s="46">
        <f t="shared" si="38"/>
        <v>0</v>
      </c>
      <c r="AY19" s="103"/>
      <c r="AZ19" s="104">
        <f t="shared" si="39"/>
        <v>0</v>
      </c>
      <c r="BA19" s="22"/>
      <c r="BB19" s="46">
        <f t="shared" si="40"/>
        <v>0</v>
      </c>
      <c r="BC19" s="83"/>
      <c r="BD19" s="27">
        <f t="shared" si="21"/>
        <v>0</v>
      </c>
      <c r="BE19" s="22"/>
      <c r="BF19" s="22"/>
      <c r="BH19" s="16"/>
      <c r="BJ19" s="21">
        <f t="shared" si="1"/>
        <v>0</v>
      </c>
      <c r="BN19" s="85">
        <f t="shared" si="2"/>
        <v>0</v>
      </c>
      <c r="BW19" s="85">
        <f t="shared" si="3"/>
        <v>0</v>
      </c>
      <c r="CF19" s="85">
        <f t="shared" si="4"/>
        <v>0</v>
      </c>
      <c r="CO19" s="85">
        <f t="shared" si="5"/>
        <v>0</v>
      </c>
      <c r="CX19" s="85">
        <f t="shared" si="6"/>
        <v>0</v>
      </c>
      <c r="DG19" s="85">
        <f t="shared" si="7"/>
        <v>0</v>
      </c>
      <c r="DP19" s="85">
        <f t="shared" si="8"/>
        <v>0</v>
      </c>
      <c r="DY19" s="85">
        <f t="shared" si="9"/>
        <v>0</v>
      </c>
      <c r="EH19" s="85">
        <f t="shared" si="10"/>
        <v>0</v>
      </c>
      <c r="EQ19" s="85">
        <f t="shared" si="11"/>
        <v>0</v>
      </c>
      <c r="EZ19" s="21">
        <f t="shared" si="12"/>
        <v>0</v>
      </c>
      <c r="FI19" s="66"/>
      <c r="FN19" s="16"/>
      <c r="FP19" s="85">
        <f t="shared" si="13"/>
        <v>0</v>
      </c>
      <c r="FY19" s="85">
        <f t="shared" si="14"/>
        <v>0</v>
      </c>
      <c r="GH19" s="85">
        <f t="shared" si="15"/>
        <v>0</v>
      </c>
      <c r="GN19" s="85">
        <f t="shared" si="16"/>
        <v>0</v>
      </c>
      <c r="HA19" s="20"/>
    </row>
    <row r="20" spans="2:217" x14ac:dyDescent="0.25">
      <c r="B20" s="82">
        <v>44298</v>
      </c>
      <c r="C20" s="217"/>
      <c r="D20" s="22"/>
      <c r="E20" s="22"/>
      <c r="F20" s="46">
        <f t="shared" si="26"/>
        <v>0</v>
      </c>
      <c r="G20" s="22"/>
      <c r="H20" s="22"/>
      <c r="I20" s="46">
        <f t="shared" si="27"/>
        <v>0</v>
      </c>
      <c r="J20" s="22"/>
      <c r="K20" s="22"/>
      <c r="L20" s="46">
        <f t="shared" si="28"/>
        <v>0</v>
      </c>
      <c r="M20" s="22"/>
      <c r="N20" s="22"/>
      <c r="O20" s="46">
        <f t="shared" si="29"/>
        <v>0</v>
      </c>
      <c r="P20" s="22"/>
      <c r="Q20" s="22"/>
      <c r="R20" s="46">
        <f t="shared" si="30"/>
        <v>0</v>
      </c>
      <c r="S20" s="22"/>
      <c r="T20" s="22"/>
      <c r="U20" s="46">
        <f t="shared" si="31"/>
        <v>0</v>
      </c>
      <c r="V20" s="22"/>
      <c r="W20" s="22"/>
      <c r="X20" s="46">
        <f t="shared" si="32"/>
        <v>0</v>
      </c>
      <c r="Y20" s="22"/>
      <c r="Z20" s="22"/>
      <c r="AA20" s="46">
        <f t="shared" si="33"/>
        <v>0</v>
      </c>
      <c r="AB20" s="22"/>
      <c r="AC20" s="22"/>
      <c r="AD20" s="46">
        <f t="shared" si="34"/>
        <v>0</v>
      </c>
      <c r="AE20" s="22"/>
      <c r="AF20" s="22"/>
      <c r="AG20" s="46">
        <f t="shared" si="35"/>
        <v>0</v>
      </c>
      <c r="AH20" s="22"/>
      <c r="AI20" s="22"/>
      <c r="AJ20" s="46">
        <f t="shared" si="36"/>
        <v>0</v>
      </c>
      <c r="AK20" s="252"/>
      <c r="AL20" s="252"/>
      <c r="AM20" s="46">
        <f t="shared" si="17"/>
        <v>0</v>
      </c>
      <c r="AO20" s="46">
        <f t="shared" si="18"/>
        <v>0</v>
      </c>
      <c r="AP20" s="22">
        <f t="shared" si="19"/>
        <v>0</v>
      </c>
      <c r="AQ20" s="22" t="e">
        <f t="shared" si="20"/>
        <v>#DIV/0!</v>
      </c>
      <c r="AR20" s="22"/>
      <c r="AS20" s="16"/>
      <c r="AT20" s="89">
        <f t="shared" si="0"/>
        <v>44298</v>
      </c>
      <c r="AU20" s="22"/>
      <c r="AV20" s="46">
        <f t="shared" si="37"/>
        <v>0</v>
      </c>
      <c r="AW20" s="22"/>
      <c r="AX20" s="46">
        <f t="shared" si="38"/>
        <v>0</v>
      </c>
      <c r="AY20" s="103"/>
      <c r="AZ20" s="104">
        <f t="shared" si="39"/>
        <v>0</v>
      </c>
      <c r="BA20" s="22"/>
      <c r="BB20" s="46">
        <f t="shared" si="40"/>
        <v>0</v>
      </c>
      <c r="BC20" s="83"/>
      <c r="BD20" s="27">
        <f t="shared" si="21"/>
        <v>0</v>
      </c>
      <c r="BE20" s="22"/>
      <c r="BF20" s="22"/>
      <c r="BH20" s="16"/>
      <c r="BJ20" s="21">
        <f t="shared" si="1"/>
        <v>0</v>
      </c>
      <c r="BN20" s="85">
        <f t="shared" si="2"/>
        <v>0</v>
      </c>
      <c r="BW20" s="85">
        <f t="shared" si="3"/>
        <v>0</v>
      </c>
      <c r="CF20" s="85">
        <f t="shared" si="4"/>
        <v>0</v>
      </c>
      <c r="CO20" s="85">
        <f t="shared" si="5"/>
        <v>0</v>
      </c>
      <c r="CX20" s="85">
        <f t="shared" si="6"/>
        <v>0</v>
      </c>
      <c r="DG20" s="85">
        <f t="shared" si="7"/>
        <v>0</v>
      </c>
      <c r="DP20" s="85">
        <f t="shared" si="8"/>
        <v>0</v>
      </c>
      <c r="DY20" s="85">
        <f t="shared" si="9"/>
        <v>0</v>
      </c>
      <c r="EH20" s="85">
        <f t="shared" si="10"/>
        <v>0</v>
      </c>
      <c r="EQ20" s="85">
        <f t="shared" si="11"/>
        <v>0</v>
      </c>
      <c r="EZ20" s="21">
        <f t="shared" si="12"/>
        <v>0</v>
      </c>
      <c r="FI20" s="66"/>
      <c r="FN20" s="16"/>
      <c r="FP20" s="85">
        <f t="shared" si="13"/>
        <v>0</v>
      </c>
      <c r="FY20" s="85">
        <f t="shared" si="14"/>
        <v>0</v>
      </c>
      <c r="GH20" s="85">
        <f t="shared" si="15"/>
        <v>0</v>
      </c>
      <c r="GN20" s="85">
        <f t="shared" si="16"/>
        <v>0</v>
      </c>
      <c r="HA20" s="20"/>
    </row>
    <row r="21" spans="2:217" x14ac:dyDescent="0.25">
      <c r="B21" s="82">
        <v>44305</v>
      </c>
      <c r="C21" s="217"/>
      <c r="D21" s="22"/>
      <c r="E21" s="22"/>
      <c r="F21" s="46">
        <f t="shared" si="26"/>
        <v>0</v>
      </c>
      <c r="G21" s="22"/>
      <c r="H21" s="22"/>
      <c r="I21" s="46">
        <f t="shared" si="27"/>
        <v>0</v>
      </c>
      <c r="J21" s="22"/>
      <c r="K21" s="22"/>
      <c r="L21" s="46">
        <f t="shared" si="28"/>
        <v>0</v>
      </c>
      <c r="M21" s="22"/>
      <c r="N21" s="22"/>
      <c r="O21" s="46">
        <f t="shared" si="29"/>
        <v>0</v>
      </c>
      <c r="P21" s="22"/>
      <c r="Q21" s="22"/>
      <c r="R21" s="46">
        <f t="shared" si="30"/>
        <v>0</v>
      </c>
      <c r="S21" s="22"/>
      <c r="T21" s="22"/>
      <c r="U21" s="46">
        <f t="shared" si="31"/>
        <v>0</v>
      </c>
      <c r="V21" s="22"/>
      <c r="W21" s="22"/>
      <c r="X21" s="46">
        <f t="shared" si="32"/>
        <v>0</v>
      </c>
      <c r="Y21" s="22"/>
      <c r="Z21" s="22"/>
      <c r="AA21" s="46">
        <f t="shared" si="33"/>
        <v>0</v>
      </c>
      <c r="AB21" s="22"/>
      <c r="AC21" s="22"/>
      <c r="AD21" s="46">
        <f t="shared" si="34"/>
        <v>0</v>
      </c>
      <c r="AE21" s="22"/>
      <c r="AF21" s="22"/>
      <c r="AG21" s="46">
        <f t="shared" si="35"/>
        <v>0</v>
      </c>
      <c r="AH21" s="22"/>
      <c r="AI21" s="22"/>
      <c r="AJ21" s="46">
        <f t="shared" si="36"/>
        <v>0</v>
      </c>
      <c r="AK21" s="252"/>
      <c r="AL21" s="252"/>
      <c r="AM21" s="46">
        <f t="shared" si="17"/>
        <v>0</v>
      </c>
      <c r="AO21" s="46">
        <f t="shared" si="18"/>
        <v>0</v>
      </c>
      <c r="AP21" s="22">
        <f t="shared" si="19"/>
        <v>0</v>
      </c>
      <c r="AQ21" s="22" t="e">
        <f t="shared" si="20"/>
        <v>#DIV/0!</v>
      </c>
      <c r="AR21" s="22"/>
      <c r="AS21" s="16"/>
      <c r="AT21" s="89">
        <f t="shared" si="0"/>
        <v>44305</v>
      </c>
      <c r="AU21" s="22"/>
      <c r="AV21" s="46">
        <f t="shared" si="37"/>
        <v>0</v>
      </c>
      <c r="AW21" s="22"/>
      <c r="AX21" s="46">
        <f t="shared" si="38"/>
        <v>0</v>
      </c>
      <c r="AY21" s="103"/>
      <c r="AZ21" s="104">
        <f t="shared" si="39"/>
        <v>0</v>
      </c>
      <c r="BA21" s="22"/>
      <c r="BB21" s="46">
        <f t="shared" si="40"/>
        <v>0</v>
      </c>
      <c r="BC21" s="83"/>
      <c r="BD21" s="27">
        <f t="shared" si="21"/>
        <v>0</v>
      </c>
      <c r="BE21" s="22"/>
      <c r="BF21" s="22"/>
      <c r="BH21" s="16"/>
      <c r="BJ21" s="21">
        <f t="shared" si="1"/>
        <v>0</v>
      </c>
      <c r="BN21" s="85">
        <f t="shared" si="2"/>
        <v>0</v>
      </c>
      <c r="BW21" s="85">
        <f t="shared" si="3"/>
        <v>0</v>
      </c>
      <c r="CF21" s="85">
        <f t="shared" si="4"/>
        <v>0</v>
      </c>
      <c r="CO21" s="85">
        <f t="shared" si="5"/>
        <v>0</v>
      </c>
      <c r="CX21" s="85">
        <f t="shared" si="6"/>
        <v>0</v>
      </c>
      <c r="DG21" s="85">
        <f t="shared" si="7"/>
        <v>0</v>
      </c>
      <c r="DP21" s="85">
        <f t="shared" si="8"/>
        <v>0</v>
      </c>
      <c r="DY21" s="85">
        <f t="shared" si="9"/>
        <v>0</v>
      </c>
      <c r="EH21" s="85">
        <f t="shared" si="10"/>
        <v>0</v>
      </c>
      <c r="EQ21" s="85">
        <f t="shared" si="11"/>
        <v>0</v>
      </c>
      <c r="EZ21" s="21">
        <f t="shared" si="12"/>
        <v>0</v>
      </c>
      <c r="FI21" s="66"/>
      <c r="FN21" s="16"/>
      <c r="FP21" s="85">
        <f t="shared" si="13"/>
        <v>0</v>
      </c>
      <c r="FY21" s="85">
        <f t="shared" si="14"/>
        <v>0</v>
      </c>
      <c r="GH21" s="85">
        <f t="shared" si="15"/>
        <v>0</v>
      </c>
      <c r="GN21" s="85">
        <f t="shared" si="16"/>
        <v>0</v>
      </c>
      <c r="HA21" s="20"/>
    </row>
    <row r="22" spans="2:217" x14ac:dyDescent="0.25">
      <c r="B22" s="82">
        <v>44312</v>
      </c>
      <c r="C22" s="217"/>
      <c r="D22" s="22"/>
      <c r="E22" s="22"/>
      <c r="F22" s="46">
        <f t="shared" si="26"/>
        <v>0</v>
      </c>
      <c r="G22" s="22"/>
      <c r="H22" s="22"/>
      <c r="I22" s="46">
        <f t="shared" si="27"/>
        <v>0</v>
      </c>
      <c r="J22" s="22"/>
      <c r="K22" s="22"/>
      <c r="L22" s="46">
        <f t="shared" si="28"/>
        <v>0</v>
      </c>
      <c r="M22" s="22"/>
      <c r="N22" s="22"/>
      <c r="O22" s="46">
        <f t="shared" si="29"/>
        <v>0</v>
      </c>
      <c r="P22" s="22"/>
      <c r="Q22" s="22"/>
      <c r="R22" s="46">
        <f t="shared" si="30"/>
        <v>0</v>
      </c>
      <c r="S22" s="22"/>
      <c r="T22" s="22"/>
      <c r="U22" s="46">
        <f t="shared" si="31"/>
        <v>0</v>
      </c>
      <c r="V22" s="22"/>
      <c r="W22" s="22"/>
      <c r="X22" s="46">
        <f t="shared" si="32"/>
        <v>0</v>
      </c>
      <c r="Y22" s="22"/>
      <c r="Z22" s="22"/>
      <c r="AA22" s="46">
        <f t="shared" si="33"/>
        <v>0</v>
      </c>
      <c r="AB22" s="22"/>
      <c r="AC22" s="22"/>
      <c r="AD22" s="46">
        <f t="shared" si="34"/>
        <v>0</v>
      </c>
      <c r="AE22" s="22"/>
      <c r="AF22" s="22"/>
      <c r="AG22" s="46">
        <f t="shared" si="35"/>
        <v>0</v>
      </c>
      <c r="AH22" s="22"/>
      <c r="AI22" s="22"/>
      <c r="AJ22" s="46">
        <f t="shared" si="36"/>
        <v>0</v>
      </c>
      <c r="AK22" s="252"/>
      <c r="AL22" s="252"/>
      <c r="AM22" s="46">
        <f t="shared" si="17"/>
        <v>0</v>
      </c>
      <c r="AO22" s="46">
        <f t="shared" si="18"/>
        <v>0</v>
      </c>
      <c r="AP22" s="22">
        <f t="shared" si="19"/>
        <v>0</v>
      </c>
      <c r="AQ22" s="22" t="e">
        <f t="shared" si="20"/>
        <v>#DIV/0!</v>
      </c>
      <c r="AR22" s="22"/>
      <c r="AS22" s="16"/>
      <c r="AT22" s="89">
        <f t="shared" si="0"/>
        <v>44312</v>
      </c>
      <c r="AU22" s="22"/>
      <c r="AV22" s="46">
        <f t="shared" si="37"/>
        <v>0</v>
      </c>
      <c r="AW22" s="22"/>
      <c r="AX22" s="46">
        <f t="shared" si="38"/>
        <v>0</v>
      </c>
      <c r="AY22" s="103"/>
      <c r="AZ22" s="104">
        <f t="shared" si="39"/>
        <v>0</v>
      </c>
      <c r="BA22" s="22"/>
      <c r="BB22" s="46">
        <f t="shared" si="40"/>
        <v>0</v>
      </c>
      <c r="BC22" s="83"/>
      <c r="BD22" s="27">
        <f t="shared" si="21"/>
        <v>0</v>
      </c>
      <c r="BE22" s="22"/>
      <c r="BF22" s="22"/>
      <c r="BH22" s="16"/>
      <c r="BJ22" s="21">
        <f t="shared" si="1"/>
        <v>0</v>
      </c>
      <c r="BN22" s="85">
        <f t="shared" si="2"/>
        <v>0</v>
      </c>
      <c r="BW22" s="85">
        <f t="shared" si="3"/>
        <v>0</v>
      </c>
      <c r="CF22" s="85">
        <f t="shared" si="4"/>
        <v>0</v>
      </c>
      <c r="CO22" s="85">
        <f t="shared" si="5"/>
        <v>0</v>
      </c>
      <c r="CX22" s="85">
        <f t="shared" si="6"/>
        <v>0</v>
      </c>
      <c r="DG22" s="85">
        <f t="shared" si="7"/>
        <v>0</v>
      </c>
      <c r="DP22" s="85">
        <f t="shared" si="8"/>
        <v>0</v>
      </c>
      <c r="DY22" s="85">
        <f t="shared" si="9"/>
        <v>0</v>
      </c>
      <c r="EH22" s="85">
        <f t="shared" si="10"/>
        <v>0</v>
      </c>
      <c r="EQ22" s="85">
        <f t="shared" si="11"/>
        <v>0</v>
      </c>
      <c r="EZ22" s="21">
        <f t="shared" si="12"/>
        <v>0</v>
      </c>
      <c r="FI22" s="66"/>
      <c r="FN22" s="16"/>
      <c r="FP22" s="85">
        <f t="shared" si="13"/>
        <v>0</v>
      </c>
      <c r="FY22" s="85">
        <f t="shared" si="14"/>
        <v>0</v>
      </c>
      <c r="GH22" s="85">
        <f t="shared" si="15"/>
        <v>0</v>
      </c>
      <c r="GN22" s="85">
        <f t="shared" si="16"/>
        <v>0</v>
      </c>
      <c r="HA22" s="20"/>
    </row>
    <row r="23" spans="2:217" x14ac:dyDescent="0.25">
      <c r="B23" s="82">
        <v>44317</v>
      </c>
      <c r="C23" s="217"/>
      <c r="D23" s="22"/>
      <c r="E23" s="22"/>
      <c r="F23" s="46">
        <f t="shared" si="26"/>
        <v>0</v>
      </c>
      <c r="G23" s="22"/>
      <c r="H23" s="22"/>
      <c r="I23" s="46">
        <f t="shared" si="27"/>
        <v>0</v>
      </c>
      <c r="J23" s="22"/>
      <c r="K23" s="22"/>
      <c r="L23" s="46">
        <f t="shared" si="28"/>
        <v>0</v>
      </c>
      <c r="M23" s="22"/>
      <c r="N23" s="22"/>
      <c r="O23" s="46">
        <f t="shared" si="29"/>
        <v>0</v>
      </c>
      <c r="P23" s="22"/>
      <c r="Q23" s="22"/>
      <c r="R23" s="46">
        <f t="shared" si="30"/>
        <v>0</v>
      </c>
      <c r="S23" s="22"/>
      <c r="T23" s="22"/>
      <c r="U23" s="46">
        <f t="shared" si="31"/>
        <v>0</v>
      </c>
      <c r="V23" s="22"/>
      <c r="W23" s="22"/>
      <c r="X23" s="46">
        <f t="shared" si="32"/>
        <v>0</v>
      </c>
      <c r="Y23" s="22"/>
      <c r="Z23" s="22"/>
      <c r="AA23" s="46">
        <f t="shared" si="33"/>
        <v>0</v>
      </c>
      <c r="AB23" s="22"/>
      <c r="AC23" s="22"/>
      <c r="AD23" s="46">
        <f t="shared" si="34"/>
        <v>0</v>
      </c>
      <c r="AE23" s="22"/>
      <c r="AF23" s="22"/>
      <c r="AG23" s="46">
        <f t="shared" si="35"/>
        <v>0</v>
      </c>
      <c r="AH23" s="22"/>
      <c r="AI23" s="22"/>
      <c r="AJ23" s="46">
        <f t="shared" si="36"/>
        <v>0</v>
      </c>
      <c r="AK23" s="252"/>
      <c r="AL23" s="252"/>
      <c r="AM23" s="46">
        <f t="shared" si="17"/>
        <v>0</v>
      </c>
      <c r="AO23" s="46">
        <f t="shared" si="18"/>
        <v>0</v>
      </c>
      <c r="AP23" s="22">
        <f t="shared" si="19"/>
        <v>0</v>
      </c>
      <c r="AQ23" s="22" t="e">
        <f t="shared" si="20"/>
        <v>#DIV/0!</v>
      </c>
      <c r="AR23" s="22">
        <f>SUM(AO19:AO23)</f>
        <v>0</v>
      </c>
      <c r="AS23" s="16"/>
      <c r="AT23" s="89">
        <f t="shared" si="0"/>
        <v>44317</v>
      </c>
      <c r="AU23" s="22"/>
      <c r="AV23" s="46">
        <f t="shared" si="37"/>
        <v>0</v>
      </c>
      <c r="AW23" s="22"/>
      <c r="AX23" s="46">
        <f t="shared" si="38"/>
        <v>0</v>
      </c>
      <c r="AY23" s="103"/>
      <c r="AZ23" s="104">
        <f t="shared" si="39"/>
        <v>0</v>
      </c>
      <c r="BA23" s="22"/>
      <c r="BB23" s="46">
        <f t="shared" si="40"/>
        <v>0</v>
      </c>
      <c r="BC23" s="83"/>
      <c r="BD23" s="27">
        <f t="shared" si="21"/>
        <v>0</v>
      </c>
      <c r="BE23" s="22">
        <f>SUM(BC19:BD23)</f>
        <v>0</v>
      </c>
      <c r="BF23" s="22">
        <f>SUM(AR23+BE23)</f>
        <v>0</v>
      </c>
      <c r="BH23" s="16"/>
      <c r="BJ23" s="21">
        <f t="shared" si="1"/>
        <v>0</v>
      </c>
      <c r="BK23" s="22"/>
      <c r="BL23" s="21">
        <f>SUM(BK23-BK17)</f>
        <v>0</v>
      </c>
      <c r="BM23" s="84">
        <f>SUM(BL23*0.13773+BL23*0.02095)*1.09+2.85</f>
        <v>2.85</v>
      </c>
      <c r="BN23" s="85">
        <f t="shared" si="2"/>
        <v>0</v>
      </c>
      <c r="BO23" s="22"/>
      <c r="BP23" s="22"/>
      <c r="BQ23" s="21">
        <f>SUM(BO23-BO17)*160</f>
        <v>0</v>
      </c>
      <c r="BR23" s="21">
        <f>(BP23)*160</f>
        <v>0</v>
      </c>
      <c r="BS23" s="84">
        <f>SUM(BQ23*0.05155)</f>
        <v>0</v>
      </c>
      <c r="BT23" s="84">
        <f>SUM(BQ23*0.02095)</f>
        <v>0</v>
      </c>
      <c r="BU23" s="84">
        <f>SUM(BR23*7.689)</f>
        <v>0</v>
      </c>
      <c r="BV23" s="84">
        <f>SUM(BS23+BT23)*1.11</f>
        <v>0</v>
      </c>
      <c r="BW23" s="85">
        <f t="shared" si="3"/>
        <v>0</v>
      </c>
      <c r="BX23" s="22"/>
      <c r="BY23" s="22"/>
      <c r="BZ23" s="21">
        <f>SUM(BX23-BX17)*160</f>
        <v>0</v>
      </c>
      <c r="CA23" s="21">
        <f>(BY23)*160</f>
        <v>0</v>
      </c>
      <c r="CB23" s="84">
        <f>SUM(BZ23*0.05155)</f>
        <v>0</v>
      </c>
      <c r="CC23" s="84">
        <f>SUM(BZ23*0.02095)</f>
        <v>0</v>
      </c>
      <c r="CD23" s="84">
        <f>SUM(CA23*7.689)</f>
        <v>0</v>
      </c>
      <c r="CE23" s="84">
        <f>SUM((CB23+CC23)+20)* 1.11</f>
        <v>22.200000000000003</v>
      </c>
      <c r="CF23" s="85">
        <f t="shared" si="4"/>
        <v>0</v>
      </c>
      <c r="CG23" s="22"/>
      <c r="CH23" s="22"/>
      <c r="CI23" s="21">
        <f>SUM(CG23-CG17)*300</f>
        <v>0</v>
      </c>
      <c r="CJ23" s="21">
        <f>(CH23)*300</f>
        <v>0</v>
      </c>
      <c r="CK23" s="84">
        <f>SUM(CI23*0.05155)</f>
        <v>0</v>
      </c>
      <c r="CL23" s="84">
        <f>SUM(CI23*0.02095)</f>
        <v>0</v>
      </c>
      <c r="CM23" s="84">
        <f>SUM(CJ23*7.689)</f>
        <v>0</v>
      </c>
      <c r="CN23" s="84">
        <f>SUM((CK23+CL23)+20)*1.11</f>
        <v>22.200000000000003</v>
      </c>
      <c r="CO23" s="85">
        <f t="shared" si="5"/>
        <v>0</v>
      </c>
      <c r="CP23" s="22"/>
      <c r="CQ23" s="22"/>
      <c r="CR23" s="21">
        <f>(CP23-CP17)*40</f>
        <v>0</v>
      </c>
      <c r="CS23" s="21">
        <f>(CQ23)*40</f>
        <v>0</v>
      </c>
      <c r="CT23" s="84">
        <f>SUM(CR23*0.05155)</f>
        <v>0</v>
      </c>
      <c r="CU23" s="84">
        <f>SUM(CR23*0.02095)</f>
        <v>0</v>
      </c>
      <c r="CV23" s="84">
        <f>SUM(CS23*7.689)</f>
        <v>0</v>
      </c>
      <c r="CW23" s="84">
        <f>SUM((CT23+CU23)+20)*1.11</f>
        <v>22.200000000000003</v>
      </c>
      <c r="CX23" s="85">
        <f t="shared" si="6"/>
        <v>0</v>
      </c>
      <c r="CY23" s="22"/>
      <c r="CZ23" s="22"/>
      <c r="DA23" s="21">
        <f>SUM(CY23-CY17)*300</f>
        <v>0</v>
      </c>
      <c r="DB23" s="86">
        <f>(CZ23)*300</f>
        <v>0</v>
      </c>
      <c r="DC23" s="84">
        <f>SUM(DA23*0.05155)</f>
        <v>0</v>
      </c>
      <c r="DD23" s="84">
        <f>SUM(DA23*0.02095)</f>
        <v>0</v>
      </c>
      <c r="DE23" s="84">
        <f>SUM(DB23*7.689)</f>
        <v>0</v>
      </c>
      <c r="DF23" s="84">
        <f>SUM((DC23+DD23)+20)*1.12</f>
        <v>22.400000000000002</v>
      </c>
      <c r="DG23" s="85">
        <f t="shared" si="7"/>
        <v>0</v>
      </c>
      <c r="DH23" s="22"/>
      <c r="DI23" s="22"/>
      <c r="DJ23" s="21">
        <f>SUM(DH23-DH17)*400</f>
        <v>0</v>
      </c>
      <c r="DK23" s="86">
        <f>(DI23)*400</f>
        <v>0</v>
      </c>
      <c r="DL23" s="84">
        <f>SUM(DJ23*0.05155)</f>
        <v>0</v>
      </c>
      <c r="DM23" s="84">
        <f>SUM(DJ23*0.02095)</f>
        <v>0</v>
      </c>
      <c r="DN23" s="84">
        <f>SUM(DK23*7.689)</f>
        <v>0</v>
      </c>
      <c r="DO23" s="84">
        <f>SUM((DL23+DM23)+20)*1.12</f>
        <v>22.400000000000002</v>
      </c>
      <c r="DP23" s="85">
        <f t="shared" si="8"/>
        <v>0</v>
      </c>
      <c r="DQ23" s="22"/>
      <c r="DR23" s="22"/>
      <c r="DS23" s="21">
        <f>SUM(DQ23-DQ17)*400</f>
        <v>0</v>
      </c>
      <c r="DT23" s="21">
        <f>(DR23)*400</f>
        <v>0</v>
      </c>
      <c r="DU23" s="84">
        <f>SUM(DS23*0.05155)</f>
        <v>0</v>
      </c>
      <c r="DV23" s="84">
        <f>SUM(DS23*0.02095)</f>
        <v>0</v>
      </c>
      <c r="DW23" s="84">
        <f>SUM(DT23*7.689)</f>
        <v>0</v>
      </c>
      <c r="DX23" s="84">
        <f>SUM((DU23+DV23)+20)*1.12</f>
        <v>22.400000000000002</v>
      </c>
      <c r="DY23" s="85">
        <f t="shared" si="9"/>
        <v>0</v>
      </c>
      <c r="DZ23" s="22"/>
      <c r="EA23" s="22"/>
      <c r="EB23" s="21">
        <f>SUM(DZ23-DZ17)*400</f>
        <v>0</v>
      </c>
      <c r="EC23" s="21">
        <f>(EA23)*400</f>
        <v>0</v>
      </c>
      <c r="ED23" s="84">
        <f>SUM(EB23*0.05155)</f>
        <v>0</v>
      </c>
      <c r="EE23" s="84">
        <f>SUM(EB23*0.02095)</f>
        <v>0</v>
      </c>
      <c r="EF23" s="84">
        <f>SUM(EC23*7.689)</f>
        <v>0</v>
      </c>
      <c r="EG23" s="84">
        <f>SUM((ED23+EE23)+20)*1.12</f>
        <v>22.400000000000002</v>
      </c>
      <c r="EH23" s="85">
        <f t="shared" si="10"/>
        <v>0</v>
      </c>
      <c r="EI23" s="22"/>
      <c r="EJ23" s="22"/>
      <c r="EK23" s="21">
        <f>SUM(EI23-EI17)*160</f>
        <v>0</v>
      </c>
      <c r="EL23" s="21">
        <f>(EJ23)*160</f>
        <v>0</v>
      </c>
      <c r="EM23" s="84">
        <f>SUM(EK23*0.05155)</f>
        <v>0</v>
      </c>
      <c r="EN23" s="84">
        <f>SUM(EK23*0.02095)</f>
        <v>0</v>
      </c>
      <c r="EO23" s="84">
        <f>SUM(EL23*7.689)</f>
        <v>0</v>
      </c>
      <c r="EP23" s="84">
        <f>SUM((EM23+EN23)+20)*1.12</f>
        <v>22.400000000000002</v>
      </c>
      <c r="EQ23" s="85">
        <f t="shared" si="11"/>
        <v>0</v>
      </c>
      <c r="ER23" s="22"/>
      <c r="ES23" s="22"/>
      <c r="ET23" s="21">
        <f>SUM(ER23-ER17)*160</f>
        <v>0</v>
      </c>
      <c r="EU23" s="21">
        <f>(ES23)*160</f>
        <v>0</v>
      </c>
      <c r="EV23" s="84">
        <f>SUM(ET23*0.05155)</f>
        <v>0</v>
      </c>
      <c r="EW23" s="84">
        <f>SUM(ET23*0.02095)</f>
        <v>0</v>
      </c>
      <c r="EX23" s="84">
        <f>SUM(EU23*7.689)</f>
        <v>0</v>
      </c>
      <c r="EY23" s="84">
        <f>SUM((EV23+EW23)+20)*1.12</f>
        <v>22.400000000000002</v>
      </c>
      <c r="EZ23" s="21">
        <f t="shared" si="12"/>
        <v>0</v>
      </c>
      <c r="FA23" s="97"/>
      <c r="FB23" s="97"/>
      <c r="FC23" s="21">
        <f>SUM(FA23-FA17)*200</f>
        <v>0</v>
      </c>
      <c r="FD23" s="21">
        <f>(FB23)*200</f>
        <v>0</v>
      </c>
      <c r="FE23" s="84">
        <f>SUM(FC23*0.05155)</f>
        <v>0</v>
      </c>
      <c r="FF23" s="84">
        <f>SUM(FC23*0.02095)</f>
        <v>0</v>
      </c>
      <c r="FG23" s="84">
        <f>SUM(FD23*7.689)</f>
        <v>0</v>
      </c>
      <c r="FH23" s="84">
        <f>SUM((FE23+FF23)+20)*1.12</f>
        <v>22.400000000000002</v>
      </c>
      <c r="FI23" s="66"/>
      <c r="FJ23" s="101">
        <f>SUM(BL23+BQ23+BZ23+CI23+CR23+DA23+DJ23+DS23+EB23+EK23+ET23+FC23)</f>
        <v>0</v>
      </c>
      <c r="FK23" s="102">
        <f>SUM(BM23+BV23,CE23,CN23,CW23,DF23,DO23,DX23,EG23,EP23,EY23+FH23)</f>
        <v>226.25000000000006</v>
      </c>
      <c r="FL23" s="102">
        <f>SUM(BU23,CD23,CM23,CV23,DE23,DN23,DW23,EF23,EO23,EX23,FG23)</f>
        <v>0</v>
      </c>
      <c r="FM23" s="102">
        <f>SUM(FK23:FL23)</f>
        <v>226.25000000000006</v>
      </c>
      <c r="FN23" s="16"/>
      <c r="FP23" s="85">
        <f t="shared" si="13"/>
        <v>0</v>
      </c>
      <c r="FQ23" s="22"/>
      <c r="FR23" s="22"/>
      <c r="FS23" s="21">
        <f>SUM(FQ23-FQ17)*100</f>
        <v>0</v>
      </c>
      <c r="FT23" s="21">
        <f>SUM(FR23)*100</f>
        <v>0</v>
      </c>
      <c r="FU23" s="87">
        <f>SUM(FS23*0.05155)</f>
        <v>0</v>
      </c>
      <c r="FV23" s="87">
        <f>SUM(FS23*0.02095)</f>
        <v>0</v>
      </c>
      <c r="FW23" s="87">
        <f>SUM(FT23*7.689)</f>
        <v>0</v>
      </c>
      <c r="FX23" s="84">
        <f>SUM(FV23+FU23+20)*1.1048</f>
        <v>22.096</v>
      </c>
      <c r="FY23" s="85">
        <f t="shared" si="14"/>
        <v>0</v>
      </c>
      <c r="FZ23" s="22"/>
      <c r="GA23" s="22"/>
      <c r="GB23" s="21">
        <f>SUM(FZ23-FZ17)*100</f>
        <v>0</v>
      </c>
      <c r="GC23" s="21">
        <f>SUM(GA23)*100</f>
        <v>0</v>
      </c>
      <c r="GD23" s="87">
        <f>SUM(GB23*0.05155)</f>
        <v>0</v>
      </c>
      <c r="GE23" s="87">
        <f>SUM(GB23*0.02095)</f>
        <v>0</v>
      </c>
      <c r="GF23" s="87">
        <f>SUM(GC23*7.689)</f>
        <v>0</v>
      </c>
      <c r="GG23" s="84">
        <f>SUM(GE23+GD23+20)*1.1048</f>
        <v>22.096</v>
      </c>
      <c r="GH23" s="85">
        <f t="shared" si="15"/>
        <v>0</v>
      </c>
      <c r="GI23" s="22"/>
      <c r="GJ23" s="21">
        <f>SUM(GI23-GI17)</f>
        <v>0</v>
      </c>
      <c r="GK23" s="84">
        <f>SUM(GJ23*0.13773)</f>
        <v>0</v>
      </c>
      <c r="GL23" s="84">
        <f>SUM(GJ23*0.02095)</f>
        <v>0</v>
      </c>
      <c r="GM23" s="84">
        <f>SUM(GK23+GL23+2.32)*1.07</f>
        <v>2.4824000000000002</v>
      </c>
      <c r="GN23" s="85">
        <f t="shared" si="16"/>
        <v>0</v>
      </c>
      <c r="GO23" s="22"/>
      <c r="GP23" s="22"/>
      <c r="GQ23" s="21">
        <f>SUM(GO23-GO17)*40</f>
        <v>0</v>
      </c>
      <c r="GR23" s="21">
        <f>SUM(GP23)*40</f>
        <v>0</v>
      </c>
      <c r="GS23" s="84">
        <f>SUM(GQ23*0.05155)</f>
        <v>0</v>
      </c>
      <c r="GT23" s="84">
        <f>SUM(GQ23*0.02095)</f>
        <v>0</v>
      </c>
      <c r="GU23" s="84">
        <f>SUM(GR23*7.689)</f>
        <v>0</v>
      </c>
      <c r="GV23" s="84">
        <f>SUM(GT23+GS23+20)*1.2</f>
        <v>24</v>
      </c>
      <c r="GW23" s="22">
        <f>SUM(FS23+GB23+GJ23+GQ23)</f>
        <v>0</v>
      </c>
      <c r="GX23" s="102">
        <f>SUM(GV23+GM23+GG23+FX23)</f>
        <v>70.674400000000006</v>
      </c>
      <c r="GY23" s="102">
        <f>SUM(FW23+GF23+GU23)</f>
        <v>0</v>
      </c>
      <c r="GZ23" s="102">
        <f>SUM(GX23:GY23)</f>
        <v>70.674400000000006</v>
      </c>
      <c r="HA23" s="20"/>
      <c r="HB23" s="101">
        <f t="shared" ref="HB23:HD23" si="43">(FJ23+GW23)</f>
        <v>0</v>
      </c>
      <c r="HC23" s="102">
        <f t="shared" si="43"/>
        <v>296.92440000000005</v>
      </c>
      <c r="HD23" s="102">
        <f t="shared" si="43"/>
        <v>0</v>
      </c>
      <c r="HE23" s="102">
        <f t="shared" ref="HE23" si="44">(HC23+HD23)</f>
        <v>296.92440000000005</v>
      </c>
      <c r="HG23">
        <v>5.1549999999999999E-2</v>
      </c>
      <c r="HH23">
        <v>2.095E-2</v>
      </c>
      <c r="HI23">
        <v>7.6890000000000001</v>
      </c>
    </row>
    <row r="24" spans="2:217" x14ac:dyDescent="0.25">
      <c r="B24" s="82">
        <v>44319</v>
      </c>
      <c r="C24" s="217"/>
      <c r="D24" s="22"/>
      <c r="E24" s="22"/>
      <c r="F24" s="46">
        <f t="shared" si="26"/>
        <v>0</v>
      </c>
      <c r="G24" s="22"/>
      <c r="H24" s="22"/>
      <c r="I24" s="46">
        <f t="shared" si="27"/>
        <v>0</v>
      </c>
      <c r="J24" s="22"/>
      <c r="K24" s="22"/>
      <c r="L24" s="46">
        <f t="shared" si="28"/>
        <v>0</v>
      </c>
      <c r="M24" s="22"/>
      <c r="N24" s="22"/>
      <c r="O24" s="46">
        <f t="shared" si="29"/>
        <v>0</v>
      </c>
      <c r="P24" s="22"/>
      <c r="Q24" s="22"/>
      <c r="R24" s="46">
        <f t="shared" si="30"/>
        <v>0</v>
      </c>
      <c r="S24" s="22"/>
      <c r="T24" s="22"/>
      <c r="U24" s="46">
        <f t="shared" si="31"/>
        <v>0</v>
      </c>
      <c r="V24" s="22"/>
      <c r="W24" s="22"/>
      <c r="X24" s="46">
        <f t="shared" si="32"/>
        <v>0</v>
      </c>
      <c r="Y24" s="22"/>
      <c r="Z24" s="22"/>
      <c r="AA24" s="46">
        <f t="shared" si="33"/>
        <v>0</v>
      </c>
      <c r="AB24" s="22"/>
      <c r="AC24" s="22"/>
      <c r="AD24" s="46">
        <f t="shared" si="34"/>
        <v>0</v>
      </c>
      <c r="AE24" s="22"/>
      <c r="AF24" s="22"/>
      <c r="AG24" s="46">
        <f t="shared" si="35"/>
        <v>0</v>
      </c>
      <c r="AH24" s="22"/>
      <c r="AI24" s="22"/>
      <c r="AJ24" s="46">
        <f t="shared" si="36"/>
        <v>0</v>
      </c>
      <c r="AK24" s="252"/>
      <c r="AL24" s="252"/>
      <c r="AM24" s="46">
        <f t="shared" si="17"/>
        <v>0</v>
      </c>
      <c r="AO24" s="46">
        <f t="shared" si="18"/>
        <v>0</v>
      </c>
      <c r="AP24" s="22">
        <f t="shared" si="19"/>
        <v>0</v>
      </c>
      <c r="AQ24" s="22" t="e">
        <f t="shared" si="20"/>
        <v>#DIV/0!</v>
      </c>
      <c r="AR24" s="22"/>
      <c r="AS24" s="16"/>
      <c r="AT24" s="89">
        <f t="shared" si="0"/>
        <v>44319</v>
      </c>
      <c r="AU24" s="22"/>
      <c r="AV24" s="46">
        <f t="shared" si="37"/>
        <v>0</v>
      </c>
      <c r="AW24" s="22"/>
      <c r="AX24" s="46">
        <f t="shared" si="38"/>
        <v>0</v>
      </c>
      <c r="AY24" s="103"/>
      <c r="AZ24" s="104">
        <f t="shared" si="39"/>
        <v>0</v>
      </c>
      <c r="BA24" s="22"/>
      <c r="BB24" s="46">
        <f t="shared" si="40"/>
        <v>0</v>
      </c>
      <c r="BC24" s="83"/>
      <c r="BD24" s="27">
        <f t="shared" si="21"/>
        <v>0</v>
      </c>
      <c r="BE24" s="22"/>
      <c r="BF24" s="22"/>
      <c r="BH24" s="16"/>
      <c r="BJ24" s="21">
        <f t="shared" si="1"/>
        <v>0</v>
      </c>
      <c r="BN24" s="85">
        <f t="shared" si="2"/>
        <v>0</v>
      </c>
      <c r="BW24" s="85">
        <f t="shared" si="3"/>
        <v>0</v>
      </c>
      <c r="CF24" s="85">
        <f t="shared" si="4"/>
        <v>0</v>
      </c>
      <c r="CO24" s="85">
        <f t="shared" si="5"/>
        <v>0</v>
      </c>
      <c r="CX24" s="85">
        <f t="shared" si="6"/>
        <v>0</v>
      </c>
      <c r="DG24" s="85">
        <f t="shared" si="7"/>
        <v>0</v>
      </c>
      <c r="DP24" s="85">
        <f t="shared" si="8"/>
        <v>0</v>
      </c>
      <c r="DY24" s="85">
        <f t="shared" si="9"/>
        <v>0</v>
      </c>
      <c r="EH24" s="85">
        <f t="shared" si="10"/>
        <v>0</v>
      </c>
      <c r="EQ24" s="85">
        <f t="shared" si="11"/>
        <v>0</v>
      </c>
      <c r="EZ24" s="21">
        <f t="shared" si="12"/>
        <v>0</v>
      </c>
      <c r="FI24" s="66"/>
      <c r="FN24" s="16"/>
      <c r="FP24" s="85">
        <f t="shared" si="13"/>
        <v>0</v>
      </c>
      <c r="FY24" s="85">
        <f t="shared" si="14"/>
        <v>0</v>
      </c>
      <c r="GH24" s="85">
        <f t="shared" si="15"/>
        <v>0</v>
      </c>
      <c r="GN24" s="85">
        <f t="shared" si="16"/>
        <v>0</v>
      </c>
      <c r="HA24" s="20"/>
      <c r="HG24" t="e">
        <f>SUM(HG23/#REF!)</f>
        <v>#REF!</v>
      </c>
      <c r="HH24" t="e">
        <f>SUM(HH23/#REF!)</f>
        <v>#REF!</v>
      </c>
      <c r="HI24" t="e">
        <f>SUM(HI23/#REF!)</f>
        <v>#REF!</v>
      </c>
    </row>
    <row r="25" spans="2:217" x14ac:dyDescent="0.25">
      <c r="B25" s="82">
        <v>44326</v>
      </c>
      <c r="C25" s="217"/>
      <c r="D25" s="22"/>
      <c r="E25" s="22"/>
      <c r="F25" s="46">
        <f t="shared" si="26"/>
        <v>0</v>
      </c>
      <c r="G25" s="22"/>
      <c r="H25" s="22"/>
      <c r="I25" s="46">
        <f t="shared" si="27"/>
        <v>0</v>
      </c>
      <c r="J25" s="22"/>
      <c r="K25" s="22"/>
      <c r="L25" s="46">
        <f t="shared" si="28"/>
        <v>0</v>
      </c>
      <c r="M25" s="22"/>
      <c r="N25" s="22"/>
      <c r="O25" s="46">
        <f t="shared" si="29"/>
        <v>0</v>
      </c>
      <c r="P25" s="22"/>
      <c r="Q25" s="22"/>
      <c r="R25" s="46">
        <f t="shared" si="30"/>
        <v>0</v>
      </c>
      <c r="S25" s="22"/>
      <c r="T25" s="22"/>
      <c r="U25" s="46">
        <f t="shared" si="31"/>
        <v>0</v>
      </c>
      <c r="V25" s="22"/>
      <c r="W25" s="22"/>
      <c r="X25" s="46">
        <f t="shared" si="32"/>
        <v>0</v>
      </c>
      <c r="Y25" s="22"/>
      <c r="Z25" s="22"/>
      <c r="AA25" s="46">
        <f t="shared" si="33"/>
        <v>0</v>
      </c>
      <c r="AB25" s="22"/>
      <c r="AC25" s="22"/>
      <c r="AD25" s="46">
        <f t="shared" si="34"/>
        <v>0</v>
      </c>
      <c r="AE25" s="22"/>
      <c r="AF25" s="22"/>
      <c r="AG25" s="46">
        <f t="shared" si="35"/>
        <v>0</v>
      </c>
      <c r="AH25" s="22"/>
      <c r="AI25" s="22"/>
      <c r="AJ25" s="46">
        <f t="shared" si="36"/>
        <v>0</v>
      </c>
      <c r="AK25" s="252"/>
      <c r="AL25" s="252"/>
      <c r="AM25" s="46">
        <f t="shared" si="17"/>
        <v>0</v>
      </c>
      <c r="AO25" s="46">
        <f t="shared" si="18"/>
        <v>0</v>
      </c>
      <c r="AP25" s="22">
        <f t="shared" si="19"/>
        <v>0</v>
      </c>
      <c r="AQ25" s="22" t="e">
        <f t="shared" si="20"/>
        <v>#DIV/0!</v>
      </c>
      <c r="AR25" s="22"/>
      <c r="AS25" s="16"/>
      <c r="AT25" s="89">
        <f t="shared" si="0"/>
        <v>44326</v>
      </c>
      <c r="AU25" s="22"/>
      <c r="AV25" s="46">
        <f t="shared" si="37"/>
        <v>0</v>
      </c>
      <c r="AW25" s="22"/>
      <c r="AX25" s="46">
        <f t="shared" si="38"/>
        <v>0</v>
      </c>
      <c r="AY25" s="103"/>
      <c r="AZ25" s="104">
        <f t="shared" si="39"/>
        <v>0</v>
      </c>
      <c r="BA25" s="22"/>
      <c r="BB25" s="46">
        <f t="shared" si="40"/>
        <v>0</v>
      </c>
      <c r="BC25" s="83"/>
      <c r="BD25" s="27">
        <f t="shared" si="21"/>
        <v>0</v>
      </c>
      <c r="BE25" s="22"/>
      <c r="BF25" s="22"/>
      <c r="BH25" s="16"/>
      <c r="BJ25" s="21">
        <f t="shared" si="1"/>
        <v>0</v>
      </c>
      <c r="BN25" s="85">
        <f t="shared" si="2"/>
        <v>0</v>
      </c>
      <c r="BW25" s="85">
        <f t="shared" si="3"/>
        <v>0</v>
      </c>
      <c r="CF25" s="85">
        <f t="shared" si="4"/>
        <v>0</v>
      </c>
      <c r="CO25" s="85">
        <f t="shared" si="5"/>
        <v>0</v>
      </c>
      <c r="CX25" s="85">
        <f t="shared" si="6"/>
        <v>0</v>
      </c>
      <c r="DG25" s="85">
        <f t="shared" si="7"/>
        <v>0</v>
      </c>
      <c r="DP25" s="85">
        <f t="shared" si="8"/>
        <v>0</v>
      </c>
      <c r="DY25" s="85">
        <f t="shared" si="9"/>
        <v>0</v>
      </c>
      <c r="EH25" s="85">
        <f t="shared" si="10"/>
        <v>0</v>
      </c>
      <c r="EQ25" s="85">
        <f t="shared" si="11"/>
        <v>0</v>
      </c>
      <c r="EZ25" s="21">
        <f t="shared" si="12"/>
        <v>0</v>
      </c>
      <c r="FI25" s="66"/>
      <c r="FN25" s="16"/>
      <c r="FP25" s="85">
        <f t="shared" si="13"/>
        <v>0</v>
      </c>
      <c r="FY25" s="85">
        <f t="shared" si="14"/>
        <v>0</v>
      </c>
      <c r="GH25" s="85">
        <f t="shared" si="15"/>
        <v>0</v>
      </c>
      <c r="GN25" s="85">
        <f t="shared" si="16"/>
        <v>0</v>
      </c>
      <c r="HA25" s="20"/>
    </row>
    <row r="26" spans="2:217" x14ac:dyDescent="0.25">
      <c r="B26" s="82">
        <v>44333</v>
      </c>
      <c r="C26" s="217"/>
      <c r="D26" s="22"/>
      <c r="E26" s="22"/>
      <c r="F26" s="46">
        <f t="shared" si="26"/>
        <v>0</v>
      </c>
      <c r="G26" s="22"/>
      <c r="H26" s="22"/>
      <c r="I26" s="46">
        <f t="shared" si="27"/>
        <v>0</v>
      </c>
      <c r="J26" s="22"/>
      <c r="K26" s="22"/>
      <c r="L26" s="46">
        <f t="shared" si="28"/>
        <v>0</v>
      </c>
      <c r="M26" s="22"/>
      <c r="N26" s="22"/>
      <c r="O26" s="46">
        <f t="shared" si="29"/>
        <v>0</v>
      </c>
      <c r="P26" s="22"/>
      <c r="Q26" s="22"/>
      <c r="R26" s="46">
        <f t="shared" si="30"/>
        <v>0</v>
      </c>
      <c r="S26" s="22"/>
      <c r="T26" s="22"/>
      <c r="U26" s="46">
        <f t="shared" si="31"/>
        <v>0</v>
      </c>
      <c r="V26" s="22"/>
      <c r="W26" s="22"/>
      <c r="X26" s="46">
        <f t="shared" si="32"/>
        <v>0</v>
      </c>
      <c r="Y26" s="22"/>
      <c r="Z26" s="22"/>
      <c r="AA26" s="46">
        <f t="shared" si="33"/>
        <v>0</v>
      </c>
      <c r="AB26" s="22"/>
      <c r="AC26" s="22"/>
      <c r="AD26" s="46">
        <f t="shared" si="34"/>
        <v>0</v>
      </c>
      <c r="AE26" s="22"/>
      <c r="AF26" s="22"/>
      <c r="AG26" s="46">
        <f t="shared" si="35"/>
        <v>0</v>
      </c>
      <c r="AH26" s="22"/>
      <c r="AI26" s="22"/>
      <c r="AJ26" s="46">
        <f t="shared" si="36"/>
        <v>0</v>
      </c>
      <c r="AK26" s="252"/>
      <c r="AL26" s="252"/>
      <c r="AM26" s="46">
        <f t="shared" si="17"/>
        <v>0</v>
      </c>
      <c r="AO26" s="46">
        <f t="shared" si="18"/>
        <v>0</v>
      </c>
      <c r="AP26" s="22">
        <f t="shared" si="19"/>
        <v>0</v>
      </c>
      <c r="AQ26" s="22" t="e">
        <f t="shared" si="20"/>
        <v>#DIV/0!</v>
      </c>
      <c r="AR26" s="22"/>
      <c r="AS26" s="16"/>
      <c r="AT26" s="89">
        <f t="shared" si="0"/>
        <v>44333</v>
      </c>
      <c r="AU26" s="22"/>
      <c r="AV26" s="46">
        <f t="shared" si="37"/>
        <v>0</v>
      </c>
      <c r="AW26" s="22"/>
      <c r="AX26" s="46">
        <f t="shared" si="38"/>
        <v>0</v>
      </c>
      <c r="AY26" s="103"/>
      <c r="AZ26" s="104">
        <f t="shared" si="39"/>
        <v>0</v>
      </c>
      <c r="BA26" s="22"/>
      <c r="BB26" s="46">
        <f t="shared" si="40"/>
        <v>0</v>
      </c>
      <c r="BC26" s="83"/>
      <c r="BD26" s="27">
        <f t="shared" si="21"/>
        <v>0</v>
      </c>
      <c r="BE26" s="22"/>
      <c r="BF26" s="22"/>
      <c r="BH26" s="16"/>
      <c r="BJ26" s="21">
        <f t="shared" si="1"/>
        <v>0</v>
      </c>
      <c r="BN26" s="85">
        <f t="shared" si="2"/>
        <v>0</v>
      </c>
      <c r="BW26" s="85">
        <f t="shared" si="3"/>
        <v>0</v>
      </c>
      <c r="CF26" s="85">
        <f t="shared" si="4"/>
        <v>0</v>
      </c>
      <c r="CO26" s="85">
        <f t="shared" si="5"/>
        <v>0</v>
      </c>
      <c r="CX26" s="85">
        <f t="shared" si="6"/>
        <v>0</v>
      </c>
      <c r="DG26" s="85">
        <f t="shared" si="7"/>
        <v>0</v>
      </c>
      <c r="DP26" s="85">
        <f t="shared" si="8"/>
        <v>0</v>
      </c>
      <c r="DY26" s="85">
        <f t="shared" si="9"/>
        <v>0</v>
      </c>
      <c r="EH26" s="85">
        <f t="shared" si="10"/>
        <v>0</v>
      </c>
      <c r="EQ26" s="85">
        <f t="shared" si="11"/>
        <v>0</v>
      </c>
      <c r="EZ26" s="21">
        <f t="shared" si="12"/>
        <v>0</v>
      </c>
      <c r="FI26" s="66"/>
      <c r="FN26" s="16"/>
      <c r="FP26" s="85">
        <f t="shared" si="13"/>
        <v>0</v>
      </c>
      <c r="FY26" s="85">
        <f t="shared" si="14"/>
        <v>0</v>
      </c>
      <c r="GH26" s="85">
        <f t="shared" si="15"/>
        <v>0</v>
      </c>
      <c r="GN26" s="85">
        <f t="shared" si="16"/>
        <v>0</v>
      </c>
      <c r="HA26" s="20"/>
    </row>
    <row r="27" spans="2:217" x14ac:dyDescent="0.25">
      <c r="B27" s="82">
        <v>44340</v>
      </c>
      <c r="C27" s="217"/>
      <c r="D27" s="22"/>
      <c r="E27" s="22"/>
      <c r="F27" s="46">
        <f t="shared" si="26"/>
        <v>0</v>
      </c>
      <c r="G27" s="22"/>
      <c r="H27" s="22"/>
      <c r="I27" s="46">
        <f t="shared" si="27"/>
        <v>0</v>
      </c>
      <c r="J27" s="22"/>
      <c r="K27" s="22"/>
      <c r="L27" s="46">
        <f t="shared" si="28"/>
        <v>0</v>
      </c>
      <c r="M27" s="22"/>
      <c r="N27" s="22"/>
      <c r="O27" s="46">
        <f t="shared" si="29"/>
        <v>0</v>
      </c>
      <c r="P27" s="22"/>
      <c r="Q27" s="22"/>
      <c r="R27" s="46">
        <f t="shared" si="30"/>
        <v>0</v>
      </c>
      <c r="S27" s="22"/>
      <c r="T27" s="22"/>
      <c r="U27" s="46">
        <f t="shared" si="31"/>
        <v>0</v>
      </c>
      <c r="V27" s="22"/>
      <c r="W27" s="22"/>
      <c r="X27" s="46">
        <f t="shared" si="32"/>
        <v>0</v>
      </c>
      <c r="Y27" s="22"/>
      <c r="Z27" s="22"/>
      <c r="AA27" s="46">
        <f t="shared" si="33"/>
        <v>0</v>
      </c>
      <c r="AB27" s="22"/>
      <c r="AC27" s="22"/>
      <c r="AD27" s="46">
        <f t="shared" si="34"/>
        <v>0</v>
      </c>
      <c r="AE27" s="22"/>
      <c r="AF27" s="22"/>
      <c r="AG27" s="46">
        <f t="shared" si="35"/>
        <v>0</v>
      </c>
      <c r="AH27" s="22"/>
      <c r="AI27" s="22"/>
      <c r="AJ27" s="46">
        <f t="shared" si="36"/>
        <v>0</v>
      </c>
      <c r="AK27" s="252"/>
      <c r="AL27" s="252"/>
      <c r="AM27" s="46">
        <f t="shared" si="17"/>
        <v>0</v>
      </c>
      <c r="AO27" s="46">
        <f t="shared" si="18"/>
        <v>0</v>
      </c>
      <c r="AP27" s="22">
        <f t="shared" si="19"/>
        <v>0</v>
      </c>
      <c r="AQ27" s="22" t="e">
        <f t="shared" si="20"/>
        <v>#DIV/0!</v>
      </c>
      <c r="AR27" s="22"/>
      <c r="AS27" s="16"/>
      <c r="AT27" s="89">
        <f t="shared" si="0"/>
        <v>44340</v>
      </c>
      <c r="AU27" s="22"/>
      <c r="AV27" s="46">
        <f t="shared" si="37"/>
        <v>0</v>
      </c>
      <c r="AW27" s="22"/>
      <c r="AX27" s="46">
        <f t="shared" si="38"/>
        <v>0</v>
      </c>
      <c r="AY27" s="103"/>
      <c r="AZ27" s="104">
        <f t="shared" si="39"/>
        <v>0</v>
      </c>
      <c r="BA27" s="22"/>
      <c r="BB27" s="46">
        <f t="shared" si="40"/>
        <v>0</v>
      </c>
      <c r="BC27" s="83"/>
      <c r="BD27" s="27">
        <f t="shared" si="21"/>
        <v>0</v>
      </c>
      <c r="BE27" s="22"/>
      <c r="BF27" s="22"/>
      <c r="BH27" s="16"/>
      <c r="BJ27" s="21">
        <f t="shared" si="1"/>
        <v>0</v>
      </c>
      <c r="BN27" s="85">
        <f t="shared" si="2"/>
        <v>0</v>
      </c>
      <c r="BW27" s="85">
        <f t="shared" si="3"/>
        <v>0</v>
      </c>
      <c r="CF27" s="85">
        <f t="shared" si="4"/>
        <v>0</v>
      </c>
      <c r="CO27" s="85">
        <f t="shared" si="5"/>
        <v>0</v>
      </c>
      <c r="CX27" s="85">
        <f t="shared" si="6"/>
        <v>0</v>
      </c>
      <c r="DG27" s="85">
        <f t="shared" si="7"/>
        <v>0</v>
      </c>
      <c r="DP27" s="85">
        <f t="shared" si="8"/>
        <v>0</v>
      </c>
      <c r="DY27" s="85">
        <f t="shared" si="9"/>
        <v>0</v>
      </c>
      <c r="EH27" s="85">
        <f t="shared" si="10"/>
        <v>0</v>
      </c>
      <c r="EQ27" s="85">
        <f t="shared" si="11"/>
        <v>0</v>
      </c>
      <c r="EZ27" s="21">
        <f t="shared" si="12"/>
        <v>0</v>
      </c>
      <c r="FI27" s="66"/>
      <c r="FN27" s="16"/>
      <c r="FP27" s="85">
        <f t="shared" si="13"/>
        <v>0</v>
      </c>
      <c r="FY27" s="85">
        <f t="shared" si="14"/>
        <v>0</v>
      </c>
      <c r="GH27" s="85">
        <f t="shared" si="15"/>
        <v>0</v>
      </c>
      <c r="GN27" s="85">
        <f t="shared" si="16"/>
        <v>0</v>
      </c>
      <c r="HA27" s="20"/>
    </row>
    <row r="28" spans="2:217" x14ac:dyDescent="0.25">
      <c r="B28" s="82">
        <v>44348</v>
      </c>
      <c r="C28" s="217"/>
      <c r="D28" s="22"/>
      <c r="E28" s="22"/>
      <c r="F28" s="46">
        <f t="shared" si="26"/>
        <v>0</v>
      </c>
      <c r="G28" s="22"/>
      <c r="H28" s="22"/>
      <c r="I28" s="46">
        <f t="shared" si="27"/>
        <v>0</v>
      </c>
      <c r="J28" s="22"/>
      <c r="K28" s="22"/>
      <c r="L28" s="46">
        <f t="shared" si="28"/>
        <v>0</v>
      </c>
      <c r="M28" s="22"/>
      <c r="N28" s="22"/>
      <c r="O28" s="46">
        <f t="shared" si="29"/>
        <v>0</v>
      </c>
      <c r="P28" s="22"/>
      <c r="Q28" s="22"/>
      <c r="R28" s="46">
        <f t="shared" si="30"/>
        <v>0</v>
      </c>
      <c r="S28" s="22"/>
      <c r="T28" s="22"/>
      <c r="U28" s="46">
        <f t="shared" si="31"/>
        <v>0</v>
      </c>
      <c r="V28" s="22"/>
      <c r="W28" s="22"/>
      <c r="X28" s="46">
        <f t="shared" si="32"/>
        <v>0</v>
      </c>
      <c r="Y28" s="22"/>
      <c r="Z28" s="22"/>
      <c r="AA28" s="46">
        <f t="shared" si="33"/>
        <v>0</v>
      </c>
      <c r="AB28" s="22"/>
      <c r="AC28" s="22"/>
      <c r="AD28" s="46">
        <f t="shared" si="34"/>
        <v>0</v>
      </c>
      <c r="AE28" s="22"/>
      <c r="AF28" s="22"/>
      <c r="AG28" s="46">
        <f t="shared" si="35"/>
        <v>0</v>
      </c>
      <c r="AH28" s="22"/>
      <c r="AI28" s="22"/>
      <c r="AJ28" s="46">
        <f t="shared" si="36"/>
        <v>0</v>
      </c>
      <c r="AK28" s="252"/>
      <c r="AL28" s="252"/>
      <c r="AM28" s="46">
        <f t="shared" si="17"/>
        <v>0</v>
      </c>
      <c r="AO28" s="46">
        <f t="shared" si="18"/>
        <v>0</v>
      </c>
      <c r="AP28" s="22">
        <f t="shared" si="19"/>
        <v>0</v>
      </c>
      <c r="AQ28" s="22" t="e">
        <f t="shared" si="20"/>
        <v>#DIV/0!</v>
      </c>
      <c r="AR28" s="22">
        <f>SUM(AO24:AO28)</f>
        <v>0</v>
      </c>
      <c r="AS28" s="16"/>
      <c r="AT28" s="89">
        <f t="shared" si="0"/>
        <v>44348</v>
      </c>
      <c r="AU28" s="22"/>
      <c r="AV28" s="46">
        <f t="shared" si="37"/>
        <v>0</v>
      </c>
      <c r="AW28" s="22"/>
      <c r="AX28" s="46">
        <f t="shared" si="38"/>
        <v>0</v>
      </c>
      <c r="AY28" s="103"/>
      <c r="AZ28" s="104">
        <f t="shared" si="39"/>
        <v>0</v>
      </c>
      <c r="BA28" s="22"/>
      <c r="BB28" s="46">
        <f t="shared" si="40"/>
        <v>0</v>
      </c>
      <c r="BC28" s="83"/>
      <c r="BD28" s="27">
        <f t="shared" si="21"/>
        <v>0</v>
      </c>
      <c r="BE28" s="22">
        <f>SUM(BC24:BD28)</f>
        <v>0</v>
      </c>
      <c r="BF28" s="22">
        <f>SUM(AR28+BE28)</f>
        <v>0</v>
      </c>
      <c r="BH28" s="16"/>
      <c r="BJ28" s="21">
        <f t="shared" si="1"/>
        <v>0</v>
      </c>
      <c r="BK28" s="22"/>
      <c r="BL28" s="21">
        <f>SUM(BK28-BK23)</f>
        <v>0</v>
      </c>
      <c r="BM28" s="84">
        <f>SUM(BL28*0.13773+BL28*0.02095)*1.09+2.85</f>
        <v>2.85</v>
      </c>
      <c r="BN28" s="85">
        <f t="shared" si="2"/>
        <v>0</v>
      </c>
      <c r="BO28" s="22"/>
      <c r="BP28" s="22"/>
      <c r="BQ28" s="21">
        <f>SUM(BO28-BO23)*160</f>
        <v>0</v>
      </c>
      <c r="BR28" s="21">
        <f>(BP28)*160</f>
        <v>0</v>
      </c>
      <c r="BS28" s="84">
        <f>SUM(BQ28*0.05155)</f>
        <v>0</v>
      </c>
      <c r="BT28" s="84">
        <f>SUM(BQ28*0.02095)</f>
        <v>0</v>
      </c>
      <c r="BU28" s="84">
        <f>SUM(BR28*7.689)</f>
        <v>0</v>
      </c>
      <c r="BV28" s="84">
        <f>SUM(BS28+BT28)*1.11</f>
        <v>0</v>
      </c>
      <c r="BW28" s="85">
        <f t="shared" si="3"/>
        <v>0</v>
      </c>
      <c r="BX28" s="22"/>
      <c r="BY28" s="22"/>
      <c r="BZ28" s="21">
        <f>SUM(BX28-BX23)*160</f>
        <v>0</v>
      </c>
      <c r="CA28" s="21">
        <f>(BY28)*160</f>
        <v>0</v>
      </c>
      <c r="CB28" s="84">
        <f>SUM(BZ28*0.05155)</f>
        <v>0</v>
      </c>
      <c r="CC28" s="84">
        <f>SUM(BZ28*0.02095)</f>
        <v>0</v>
      </c>
      <c r="CD28" s="84">
        <f>SUM(CA28*7.689)</f>
        <v>0</v>
      </c>
      <c r="CE28" s="84">
        <f>SUM((CB28+CC28)+20)* 1.11</f>
        <v>22.200000000000003</v>
      </c>
      <c r="CF28" s="85">
        <f t="shared" si="4"/>
        <v>0</v>
      </c>
      <c r="CG28" s="22"/>
      <c r="CH28" s="22"/>
      <c r="CI28" s="21">
        <f>SUM(CG28-CG23)*300</f>
        <v>0</v>
      </c>
      <c r="CJ28" s="21">
        <f>(CH28)*300</f>
        <v>0</v>
      </c>
      <c r="CK28" s="84">
        <f>SUM(CI28*0.05155)</f>
        <v>0</v>
      </c>
      <c r="CL28" s="84">
        <f>SUM(CI28*0.02095)</f>
        <v>0</v>
      </c>
      <c r="CM28" s="84">
        <f>SUM(CJ28*7.689)</f>
        <v>0</v>
      </c>
      <c r="CN28" s="84">
        <f>SUM((CK28+CL28)+20)*1.11</f>
        <v>22.200000000000003</v>
      </c>
      <c r="CO28" s="85">
        <f t="shared" si="5"/>
        <v>0</v>
      </c>
      <c r="CP28" s="22"/>
      <c r="CQ28" s="22"/>
      <c r="CR28" s="21">
        <f>(CP28-CP23)*40</f>
        <v>0</v>
      </c>
      <c r="CS28" s="21">
        <f>(CQ28)*40</f>
        <v>0</v>
      </c>
      <c r="CT28" s="84">
        <f>SUM(CR28*0.05155)</f>
        <v>0</v>
      </c>
      <c r="CU28" s="84">
        <f>SUM(CR28*0.02095)</f>
        <v>0</v>
      </c>
      <c r="CV28" s="84">
        <f>SUM(CS28*7.689)</f>
        <v>0</v>
      </c>
      <c r="CW28" s="84">
        <f>SUM((CT28+CU28)+20)*1.11</f>
        <v>22.200000000000003</v>
      </c>
      <c r="CX28" s="85">
        <f t="shared" si="6"/>
        <v>0</v>
      </c>
      <c r="CY28" s="22"/>
      <c r="CZ28" s="22"/>
      <c r="DA28" s="21">
        <f>SUM(CY28-CY23)*300</f>
        <v>0</v>
      </c>
      <c r="DB28" s="86">
        <f>(CZ28)*300</f>
        <v>0</v>
      </c>
      <c r="DC28" s="84">
        <f>SUM(DA28*0.05155)</f>
        <v>0</v>
      </c>
      <c r="DD28" s="84">
        <f>SUM(DA28*0.02095)</f>
        <v>0</v>
      </c>
      <c r="DE28" s="84">
        <f>SUM(DB28*7.689)</f>
        <v>0</v>
      </c>
      <c r="DF28" s="84">
        <f>SUM((DC28+DD28)+20)*1.12</f>
        <v>22.400000000000002</v>
      </c>
      <c r="DG28" s="85">
        <f t="shared" si="7"/>
        <v>0</v>
      </c>
      <c r="DH28" s="22"/>
      <c r="DI28" s="22"/>
      <c r="DJ28" s="21">
        <f>SUM(DH28-DH23)*400</f>
        <v>0</v>
      </c>
      <c r="DK28" s="86">
        <f>(DI28)*400</f>
        <v>0</v>
      </c>
      <c r="DL28" s="84">
        <f>SUM(DJ28*0.05155)</f>
        <v>0</v>
      </c>
      <c r="DM28" s="84">
        <f>SUM(DJ28*0.02095)</f>
        <v>0</v>
      </c>
      <c r="DN28" s="84">
        <f>SUM(DK28*7.689)</f>
        <v>0</v>
      </c>
      <c r="DO28" s="84">
        <f>SUM((DL28+DM28)+20)*1.12</f>
        <v>22.400000000000002</v>
      </c>
      <c r="DP28" s="85">
        <f t="shared" si="8"/>
        <v>0</v>
      </c>
      <c r="DQ28" s="22"/>
      <c r="DR28" s="22"/>
      <c r="DS28" s="21">
        <f>SUM(DQ28-DQ23)*400</f>
        <v>0</v>
      </c>
      <c r="DT28" s="21">
        <f>(DR28)*400</f>
        <v>0</v>
      </c>
      <c r="DU28" s="84">
        <f>SUM(DS28*0.05155)</f>
        <v>0</v>
      </c>
      <c r="DV28" s="84">
        <f>SUM(DS28*0.02095)</f>
        <v>0</v>
      </c>
      <c r="DW28" s="84">
        <f>SUM(DT28*7.689)</f>
        <v>0</v>
      </c>
      <c r="DX28" s="84">
        <f>SUM((DU28+DV28)+20)*1.12</f>
        <v>22.400000000000002</v>
      </c>
      <c r="DY28" s="85">
        <f t="shared" si="9"/>
        <v>0</v>
      </c>
      <c r="DZ28" s="22"/>
      <c r="EA28" s="22"/>
      <c r="EB28" s="21">
        <f>SUM(DZ28-DZ23)*400</f>
        <v>0</v>
      </c>
      <c r="EC28" s="21">
        <f>(EA28)*400</f>
        <v>0</v>
      </c>
      <c r="ED28" s="84">
        <f>SUM(EB28*0.05155)</f>
        <v>0</v>
      </c>
      <c r="EE28" s="84">
        <f>SUM(EB28*0.02095)</f>
        <v>0</v>
      </c>
      <c r="EF28" s="84">
        <f>SUM(EC28*7.689)</f>
        <v>0</v>
      </c>
      <c r="EG28" s="84">
        <f>SUM((ED28+EE28)+20)*1.12</f>
        <v>22.400000000000002</v>
      </c>
      <c r="EH28" s="85">
        <f t="shared" si="10"/>
        <v>0</v>
      </c>
      <c r="EI28" s="22"/>
      <c r="EJ28" s="22"/>
      <c r="EK28" s="21">
        <f>SUM(EI28-EI23)*160</f>
        <v>0</v>
      </c>
      <c r="EL28" s="21">
        <f>(EJ28)*160</f>
        <v>0</v>
      </c>
      <c r="EM28" s="84">
        <f>SUM(EK28*0.05155)</f>
        <v>0</v>
      </c>
      <c r="EN28" s="84">
        <f>SUM(EK28*0.02095)</f>
        <v>0</v>
      </c>
      <c r="EO28" s="84">
        <f>SUM(EL28*7.689)</f>
        <v>0</v>
      </c>
      <c r="EP28" s="84">
        <f>SUM((EM28+EN28)+20)*1.12</f>
        <v>22.400000000000002</v>
      </c>
      <c r="EQ28" s="85">
        <f t="shared" si="11"/>
        <v>0</v>
      </c>
      <c r="ER28" s="22"/>
      <c r="ES28" s="22"/>
      <c r="ET28" s="21">
        <f>SUM(ER28-ER23)*160</f>
        <v>0</v>
      </c>
      <c r="EU28" s="21">
        <f>(ES28)*160</f>
        <v>0</v>
      </c>
      <c r="EV28" s="84">
        <f>SUM(ET28*0.05155)</f>
        <v>0</v>
      </c>
      <c r="EW28" s="84">
        <f>SUM(ET28*0.02095)</f>
        <v>0</v>
      </c>
      <c r="EX28" s="84">
        <f>SUM(EU28*7.689)</f>
        <v>0</v>
      </c>
      <c r="EY28" s="84">
        <f>SUM((EV28+EW28)+20)*1.12</f>
        <v>22.400000000000002</v>
      </c>
      <c r="EZ28" s="21">
        <f t="shared" si="12"/>
        <v>0</v>
      </c>
      <c r="FA28" s="97"/>
      <c r="FB28" s="97"/>
      <c r="FC28" s="21">
        <f>SUM(FA28-FA23)*200</f>
        <v>0</v>
      </c>
      <c r="FD28" s="21">
        <f>(FB28)*200</f>
        <v>0</v>
      </c>
      <c r="FE28" s="84">
        <f>SUM(FC28*0.05155)</f>
        <v>0</v>
      </c>
      <c r="FF28" s="84">
        <f>SUM(FC28*0.02095)</f>
        <v>0</v>
      </c>
      <c r="FG28" s="84">
        <f>SUM(FD28*7.689)</f>
        <v>0</v>
      </c>
      <c r="FH28" s="84">
        <f>SUM((FE28+FF28)+20)*1.12</f>
        <v>22.400000000000002</v>
      </c>
      <c r="FI28" s="66"/>
      <c r="FJ28" s="101">
        <f>SUM(BL28+BQ28+BZ28+CI28+CR28+DA28+DJ28+DS28+EB28+EK28+ET28+FC28)</f>
        <v>0</v>
      </c>
      <c r="FK28" s="102">
        <f>SUM(BM28+BV28,CE28,CN28,CW28,DF28,DO28,DX28,EG28,EP28,EY28+FH28)</f>
        <v>226.25000000000006</v>
      </c>
      <c r="FL28" s="102">
        <f>SUM(BU28,CD28,CM28,CV28,DE28,DN28,DW28,EF28,EO28,EX28,FG28)</f>
        <v>0</v>
      </c>
      <c r="FM28" s="102">
        <f>SUM(FK28:FL28)</f>
        <v>226.25000000000006</v>
      </c>
      <c r="FN28" s="16"/>
      <c r="FP28" s="85">
        <f t="shared" si="13"/>
        <v>0</v>
      </c>
      <c r="FQ28" s="22"/>
      <c r="FR28" s="22"/>
      <c r="FS28" s="21">
        <f>SUM(FQ28-FQ23)*100</f>
        <v>0</v>
      </c>
      <c r="FT28" s="21">
        <f>SUM(FR28)*100</f>
        <v>0</v>
      </c>
      <c r="FU28" s="87">
        <f>SUM(FS28*0.05155)</f>
        <v>0</v>
      </c>
      <c r="FV28" s="87">
        <f>SUM(FS28*0.02095)</f>
        <v>0</v>
      </c>
      <c r="FW28" s="87">
        <f>SUM(FT28*7.689)</f>
        <v>0</v>
      </c>
      <c r="FX28" s="84">
        <f>SUM(FV28+FU28+20)*1.1048</f>
        <v>22.096</v>
      </c>
      <c r="FY28" s="85">
        <f t="shared" si="14"/>
        <v>0</v>
      </c>
      <c r="FZ28" s="22"/>
      <c r="GA28" s="22"/>
      <c r="GB28" s="21">
        <f>SUM(FZ28-FZ23)*100</f>
        <v>0</v>
      </c>
      <c r="GC28" s="21">
        <f>SUM(GA28)*100</f>
        <v>0</v>
      </c>
      <c r="GD28" s="87">
        <f>SUM(GB28*0.05155)</f>
        <v>0</v>
      </c>
      <c r="GE28" s="87">
        <f>SUM(GB28*0.02095)</f>
        <v>0</v>
      </c>
      <c r="GF28" s="87">
        <f>SUM(GC28*7.689)</f>
        <v>0</v>
      </c>
      <c r="GG28" s="84">
        <f>SUM(GE28+GD28+20)*1.1048</f>
        <v>22.096</v>
      </c>
      <c r="GH28" s="85">
        <f t="shared" si="15"/>
        <v>0</v>
      </c>
      <c r="GI28" s="22"/>
      <c r="GJ28" s="21">
        <v>2618</v>
      </c>
      <c r="GK28" s="84">
        <f>SUM(GJ28*0.13773)</f>
        <v>360.57713999999999</v>
      </c>
      <c r="GL28" s="84">
        <f>SUM(GJ28*0.02095)</f>
        <v>54.847099999999998</v>
      </c>
      <c r="GM28" s="84">
        <f>SUM(GK28+GL28+2.32)*1.07</f>
        <v>446.9863368</v>
      </c>
      <c r="GN28" s="85">
        <f t="shared" si="16"/>
        <v>0</v>
      </c>
      <c r="GO28" s="22"/>
      <c r="GP28" s="22"/>
      <c r="GQ28" s="21">
        <f>SUM(GO28-GO23)*40</f>
        <v>0</v>
      </c>
      <c r="GR28" s="21">
        <f>SUM(GP28)*40</f>
        <v>0</v>
      </c>
      <c r="GS28" s="84">
        <f>SUM(GQ28*0.05155)</f>
        <v>0</v>
      </c>
      <c r="GT28" s="84">
        <f>SUM(GQ28*0.02095)</f>
        <v>0</v>
      </c>
      <c r="GU28" s="84">
        <f>SUM(GR28*7.689)</f>
        <v>0</v>
      </c>
      <c r="GV28" s="84">
        <f>SUM(GT28+GS28+20)*1.2</f>
        <v>24</v>
      </c>
      <c r="GW28" s="22">
        <f>SUM(FS28+GB28+GJ28+GQ28)</f>
        <v>2618</v>
      </c>
      <c r="GX28" s="102">
        <f>SUM(GV28+GM28+GG28+FX28)</f>
        <v>515.17833680000001</v>
      </c>
      <c r="GY28" s="102">
        <f>SUM(FW28+GF28+GU28)</f>
        <v>0</v>
      </c>
      <c r="GZ28" s="102">
        <f>SUM(GX28:GY28)</f>
        <v>515.17833680000001</v>
      </c>
      <c r="HA28" s="20"/>
      <c r="HB28" s="101">
        <f t="shared" ref="HB28:HD28" si="45">(FJ28+GW28)</f>
        <v>2618</v>
      </c>
      <c r="HC28" s="102">
        <f t="shared" si="45"/>
        <v>741.42833680000012</v>
      </c>
      <c r="HD28" s="102">
        <f t="shared" si="45"/>
        <v>0</v>
      </c>
      <c r="HE28" s="102">
        <f t="shared" ref="HE28" si="46">(HC28+HD28)</f>
        <v>741.42833680000012</v>
      </c>
    </row>
    <row r="29" spans="2:217" x14ac:dyDescent="0.25">
      <c r="B29" s="82">
        <v>44354</v>
      </c>
      <c r="C29" s="217"/>
      <c r="D29" s="22"/>
      <c r="E29" s="22"/>
      <c r="F29" s="46">
        <f t="shared" si="26"/>
        <v>0</v>
      </c>
      <c r="G29" s="22"/>
      <c r="H29" s="22"/>
      <c r="I29" s="46">
        <f t="shared" si="27"/>
        <v>0</v>
      </c>
      <c r="J29" s="22"/>
      <c r="K29" s="22"/>
      <c r="L29" s="46">
        <f t="shared" si="28"/>
        <v>0</v>
      </c>
      <c r="M29" s="22"/>
      <c r="N29" s="22"/>
      <c r="O29" s="46">
        <f t="shared" si="29"/>
        <v>0</v>
      </c>
      <c r="P29" s="22"/>
      <c r="Q29" s="22"/>
      <c r="R29" s="46">
        <f t="shared" si="30"/>
        <v>0</v>
      </c>
      <c r="S29" s="22"/>
      <c r="T29" s="22"/>
      <c r="U29" s="46">
        <f t="shared" si="31"/>
        <v>0</v>
      </c>
      <c r="V29" s="22"/>
      <c r="W29" s="22"/>
      <c r="X29" s="46">
        <f t="shared" si="32"/>
        <v>0</v>
      </c>
      <c r="Y29" s="22"/>
      <c r="Z29" s="22"/>
      <c r="AA29" s="46">
        <f t="shared" si="33"/>
        <v>0</v>
      </c>
      <c r="AB29" s="22"/>
      <c r="AC29" s="22"/>
      <c r="AD29" s="46">
        <f t="shared" si="34"/>
        <v>0</v>
      </c>
      <c r="AE29" s="22"/>
      <c r="AF29" s="22"/>
      <c r="AG29" s="46">
        <f t="shared" si="35"/>
        <v>0</v>
      </c>
      <c r="AH29" s="22"/>
      <c r="AI29" s="22"/>
      <c r="AJ29" s="46">
        <f t="shared" si="36"/>
        <v>0</v>
      </c>
      <c r="AK29" s="252"/>
      <c r="AL29" s="252"/>
      <c r="AM29" s="46">
        <f t="shared" si="17"/>
        <v>0</v>
      </c>
      <c r="AO29" s="46">
        <f t="shared" si="18"/>
        <v>0</v>
      </c>
      <c r="AP29" s="22">
        <f t="shared" si="19"/>
        <v>0</v>
      </c>
      <c r="AQ29" s="22" t="e">
        <f t="shared" si="20"/>
        <v>#DIV/0!</v>
      </c>
      <c r="AR29" s="22"/>
      <c r="AS29" s="16"/>
      <c r="AT29" s="89">
        <f t="shared" si="0"/>
        <v>44354</v>
      </c>
      <c r="AU29" s="22"/>
      <c r="AV29" s="46">
        <f t="shared" si="37"/>
        <v>0</v>
      </c>
      <c r="AW29" s="22"/>
      <c r="AX29" s="46">
        <f t="shared" si="38"/>
        <v>0</v>
      </c>
      <c r="AY29" s="103"/>
      <c r="AZ29" s="104">
        <f t="shared" ref="AZ29:AZ51" si="47">SUM(AY29-AY28)</f>
        <v>0</v>
      </c>
      <c r="BA29" s="22"/>
      <c r="BB29" s="46">
        <f t="shared" si="40"/>
        <v>0</v>
      </c>
      <c r="BC29" s="83"/>
      <c r="BD29" s="27">
        <f t="shared" si="21"/>
        <v>0</v>
      </c>
      <c r="BE29" s="22"/>
      <c r="BF29" s="22"/>
      <c r="BH29" s="16"/>
      <c r="BJ29" s="21">
        <f t="shared" si="1"/>
        <v>0</v>
      </c>
      <c r="BN29" s="85">
        <f t="shared" si="2"/>
        <v>0</v>
      </c>
      <c r="BW29" s="85">
        <f t="shared" si="3"/>
        <v>0</v>
      </c>
      <c r="CF29" s="85">
        <f t="shared" si="4"/>
        <v>0</v>
      </c>
      <c r="CO29" s="85">
        <f t="shared" si="5"/>
        <v>0</v>
      </c>
      <c r="CX29" s="85">
        <f t="shared" si="6"/>
        <v>0</v>
      </c>
      <c r="DG29" s="85">
        <f t="shared" si="7"/>
        <v>0</v>
      </c>
      <c r="DP29" s="85">
        <f t="shared" si="8"/>
        <v>0</v>
      </c>
      <c r="DY29" s="85">
        <f t="shared" si="9"/>
        <v>0</v>
      </c>
      <c r="EH29" s="85">
        <f t="shared" si="10"/>
        <v>0</v>
      </c>
      <c r="EQ29" s="85">
        <f t="shared" si="11"/>
        <v>0</v>
      </c>
      <c r="EZ29" s="21">
        <f t="shared" si="12"/>
        <v>0</v>
      </c>
      <c r="FI29" s="66"/>
      <c r="FN29" s="16"/>
      <c r="FP29" s="85">
        <f t="shared" si="13"/>
        <v>0</v>
      </c>
      <c r="FY29" s="85">
        <f t="shared" si="14"/>
        <v>0</v>
      </c>
      <c r="GH29" s="85">
        <f t="shared" si="15"/>
        <v>0</v>
      </c>
      <c r="GN29" s="85">
        <f t="shared" si="16"/>
        <v>0</v>
      </c>
      <c r="HA29" s="20"/>
    </row>
    <row r="30" spans="2:217" x14ac:dyDescent="0.25">
      <c r="B30" s="82">
        <v>44361</v>
      </c>
      <c r="C30" s="217"/>
      <c r="D30" s="22"/>
      <c r="E30" s="22"/>
      <c r="F30" s="46">
        <f t="shared" si="26"/>
        <v>0</v>
      </c>
      <c r="G30" s="22"/>
      <c r="H30" s="22"/>
      <c r="I30" s="46">
        <f t="shared" si="27"/>
        <v>0</v>
      </c>
      <c r="J30" s="22"/>
      <c r="K30" s="22"/>
      <c r="L30" s="46">
        <f t="shared" si="28"/>
        <v>0</v>
      </c>
      <c r="M30" s="22"/>
      <c r="N30" s="22"/>
      <c r="O30" s="46">
        <f t="shared" si="29"/>
        <v>0</v>
      </c>
      <c r="P30" s="22"/>
      <c r="Q30" s="22"/>
      <c r="R30" s="46">
        <f t="shared" si="30"/>
        <v>0</v>
      </c>
      <c r="S30" s="22"/>
      <c r="T30" s="22"/>
      <c r="U30" s="46">
        <f t="shared" si="31"/>
        <v>0</v>
      </c>
      <c r="V30" s="22"/>
      <c r="W30" s="22"/>
      <c r="X30" s="46">
        <f t="shared" si="32"/>
        <v>0</v>
      </c>
      <c r="Y30" s="22"/>
      <c r="Z30" s="22"/>
      <c r="AA30" s="46">
        <f t="shared" si="33"/>
        <v>0</v>
      </c>
      <c r="AB30" s="22"/>
      <c r="AC30" s="22"/>
      <c r="AD30" s="46">
        <f t="shared" si="34"/>
        <v>0</v>
      </c>
      <c r="AE30" s="22"/>
      <c r="AF30" s="22"/>
      <c r="AG30" s="46">
        <f t="shared" si="35"/>
        <v>0</v>
      </c>
      <c r="AH30" s="22"/>
      <c r="AI30" s="22"/>
      <c r="AJ30" s="46">
        <f t="shared" si="36"/>
        <v>0</v>
      </c>
      <c r="AK30" s="252"/>
      <c r="AL30" s="252"/>
      <c r="AM30" s="46">
        <f t="shared" si="17"/>
        <v>0</v>
      </c>
      <c r="AO30" s="46">
        <f t="shared" si="18"/>
        <v>0</v>
      </c>
      <c r="AP30" s="22">
        <f t="shared" si="19"/>
        <v>0</v>
      </c>
      <c r="AQ30" s="22" t="e">
        <f t="shared" si="20"/>
        <v>#DIV/0!</v>
      </c>
      <c r="AR30" s="22"/>
      <c r="AS30" s="16"/>
      <c r="AT30" s="89">
        <f t="shared" si="0"/>
        <v>44361</v>
      </c>
      <c r="AU30" s="22"/>
      <c r="AV30" s="46">
        <f t="shared" si="37"/>
        <v>0</v>
      </c>
      <c r="AW30" s="22"/>
      <c r="AX30" s="46">
        <f t="shared" si="38"/>
        <v>0</v>
      </c>
      <c r="AY30" s="103"/>
      <c r="AZ30" s="104">
        <f t="shared" si="47"/>
        <v>0</v>
      </c>
      <c r="BA30" s="22"/>
      <c r="BB30" s="46">
        <f t="shared" si="40"/>
        <v>0</v>
      </c>
      <c r="BC30" s="83"/>
      <c r="BD30" s="27">
        <f t="shared" si="21"/>
        <v>0</v>
      </c>
      <c r="BE30" s="22"/>
      <c r="BF30" s="22"/>
      <c r="BH30" s="16"/>
      <c r="BJ30" s="21">
        <f t="shared" si="1"/>
        <v>0</v>
      </c>
      <c r="BN30" s="85">
        <f t="shared" si="2"/>
        <v>0</v>
      </c>
      <c r="BW30" s="85">
        <f t="shared" si="3"/>
        <v>0</v>
      </c>
      <c r="CF30" s="85">
        <f t="shared" si="4"/>
        <v>0</v>
      </c>
      <c r="CO30" s="85">
        <f t="shared" si="5"/>
        <v>0</v>
      </c>
      <c r="CX30" s="85">
        <f t="shared" si="6"/>
        <v>0</v>
      </c>
      <c r="DG30" s="85">
        <f t="shared" si="7"/>
        <v>0</v>
      </c>
      <c r="DP30" s="85">
        <f t="shared" si="8"/>
        <v>0</v>
      </c>
      <c r="DY30" s="85">
        <f t="shared" si="9"/>
        <v>0</v>
      </c>
      <c r="EH30" s="85">
        <f t="shared" si="10"/>
        <v>0</v>
      </c>
      <c r="EQ30" s="85">
        <f t="shared" si="11"/>
        <v>0</v>
      </c>
      <c r="EZ30" s="21">
        <f t="shared" si="12"/>
        <v>0</v>
      </c>
      <c r="FI30" s="66"/>
      <c r="FN30" s="16"/>
      <c r="FP30" s="85">
        <f t="shared" si="13"/>
        <v>0</v>
      </c>
      <c r="FY30" s="85">
        <f t="shared" si="14"/>
        <v>0</v>
      </c>
      <c r="GH30" s="85">
        <f t="shared" si="15"/>
        <v>0</v>
      </c>
      <c r="GN30" s="85">
        <f t="shared" si="16"/>
        <v>0</v>
      </c>
      <c r="HA30" s="20"/>
    </row>
    <row r="31" spans="2:217" x14ac:dyDescent="0.25">
      <c r="B31" s="82">
        <v>44368</v>
      </c>
      <c r="C31" s="217"/>
      <c r="D31" s="22"/>
      <c r="E31" s="22"/>
      <c r="F31" s="46">
        <f t="shared" si="26"/>
        <v>0</v>
      </c>
      <c r="G31" s="22"/>
      <c r="H31" s="22"/>
      <c r="I31" s="46">
        <f t="shared" si="27"/>
        <v>0</v>
      </c>
      <c r="J31" s="22"/>
      <c r="K31" s="22"/>
      <c r="L31" s="46">
        <f t="shared" si="28"/>
        <v>0</v>
      </c>
      <c r="M31" s="22"/>
      <c r="N31" s="22"/>
      <c r="O31" s="46">
        <f t="shared" si="29"/>
        <v>0</v>
      </c>
      <c r="P31" s="22"/>
      <c r="Q31" s="22"/>
      <c r="R31" s="46">
        <f t="shared" si="30"/>
        <v>0</v>
      </c>
      <c r="S31" s="22"/>
      <c r="T31" s="22"/>
      <c r="U31" s="46">
        <f t="shared" si="31"/>
        <v>0</v>
      </c>
      <c r="V31" s="22"/>
      <c r="W31" s="22"/>
      <c r="X31" s="46">
        <f t="shared" si="32"/>
        <v>0</v>
      </c>
      <c r="Y31" s="22"/>
      <c r="Z31" s="22"/>
      <c r="AA31" s="46">
        <f t="shared" si="33"/>
        <v>0</v>
      </c>
      <c r="AB31" s="22"/>
      <c r="AC31" s="22"/>
      <c r="AD31" s="46">
        <f t="shared" si="34"/>
        <v>0</v>
      </c>
      <c r="AE31" s="22"/>
      <c r="AF31" s="22"/>
      <c r="AG31" s="46">
        <f t="shared" si="35"/>
        <v>0</v>
      </c>
      <c r="AH31" s="22"/>
      <c r="AI31" s="22"/>
      <c r="AJ31" s="46">
        <f t="shared" si="36"/>
        <v>0</v>
      </c>
      <c r="AK31" s="252"/>
      <c r="AL31" s="252"/>
      <c r="AM31" s="46">
        <f t="shared" si="17"/>
        <v>0</v>
      </c>
      <c r="AO31" s="46">
        <f t="shared" si="18"/>
        <v>0</v>
      </c>
      <c r="AP31" s="22">
        <f t="shared" si="19"/>
        <v>0</v>
      </c>
      <c r="AQ31" s="22" t="e">
        <f t="shared" si="20"/>
        <v>#DIV/0!</v>
      </c>
      <c r="AR31" s="22"/>
      <c r="AS31" s="16"/>
      <c r="AT31" s="89">
        <f t="shared" si="0"/>
        <v>44368</v>
      </c>
      <c r="AU31" s="22"/>
      <c r="AV31" s="46">
        <f t="shared" si="37"/>
        <v>0</v>
      </c>
      <c r="AW31" s="22"/>
      <c r="AX31" s="46">
        <f t="shared" si="38"/>
        <v>0</v>
      </c>
      <c r="AY31" s="103"/>
      <c r="AZ31" s="104">
        <f t="shared" si="47"/>
        <v>0</v>
      </c>
      <c r="BA31" s="22"/>
      <c r="BB31" s="46">
        <f t="shared" si="40"/>
        <v>0</v>
      </c>
      <c r="BC31" s="83"/>
      <c r="BD31" s="27">
        <f t="shared" si="21"/>
        <v>0</v>
      </c>
      <c r="BE31" s="22"/>
      <c r="BF31" s="22"/>
      <c r="BH31" s="16"/>
      <c r="BJ31" s="21">
        <f t="shared" si="1"/>
        <v>0</v>
      </c>
      <c r="BN31" s="85">
        <f t="shared" si="2"/>
        <v>0</v>
      </c>
      <c r="BW31" s="85">
        <f t="shared" si="3"/>
        <v>0</v>
      </c>
      <c r="CF31" s="85">
        <f t="shared" si="4"/>
        <v>0</v>
      </c>
      <c r="CO31" s="85">
        <f t="shared" si="5"/>
        <v>0</v>
      </c>
      <c r="CX31" s="85">
        <f t="shared" si="6"/>
        <v>0</v>
      </c>
      <c r="DG31" s="85">
        <f t="shared" si="7"/>
        <v>0</v>
      </c>
      <c r="DP31" s="85">
        <f t="shared" si="8"/>
        <v>0</v>
      </c>
      <c r="DY31" s="85">
        <f t="shared" si="9"/>
        <v>0</v>
      </c>
      <c r="EH31" s="85">
        <f t="shared" si="10"/>
        <v>0</v>
      </c>
      <c r="EQ31" s="85">
        <f t="shared" si="11"/>
        <v>0</v>
      </c>
      <c r="EZ31" s="21">
        <f t="shared" si="12"/>
        <v>0</v>
      </c>
      <c r="FI31" s="66"/>
      <c r="FN31" s="16"/>
      <c r="FP31" s="85">
        <f t="shared" si="13"/>
        <v>0</v>
      </c>
      <c r="FY31" s="85">
        <f t="shared" si="14"/>
        <v>0</v>
      </c>
      <c r="GH31" s="85">
        <f t="shared" si="15"/>
        <v>0</v>
      </c>
      <c r="GN31" s="85">
        <f t="shared" si="16"/>
        <v>0</v>
      </c>
      <c r="HA31" s="20"/>
    </row>
    <row r="32" spans="2:217" x14ac:dyDescent="0.25">
      <c r="B32" s="82">
        <v>44375</v>
      </c>
      <c r="C32" s="217"/>
      <c r="D32" s="22"/>
      <c r="E32" s="22"/>
      <c r="F32" s="46">
        <f t="shared" si="26"/>
        <v>0</v>
      </c>
      <c r="G32" s="22"/>
      <c r="H32" s="22"/>
      <c r="I32" s="46">
        <f t="shared" si="27"/>
        <v>0</v>
      </c>
      <c r="J32" s="22"/>
      <c r="K32" s="22"/>
      <c r="L32" s="46">
        <f t="shared" si="28"/>
        <v>0</v>
      </c>
      <c r="M32" s="22"/>
      <c r="N32" s="22"/>
      <c r="O32" s="46">
        <f t="shared" si="29"/>
        <v>0</v>
      </c>
      <c r="P32" s="22"/>
      <c r="Q32" s="22"/>
      <c r="R32" s="46">
        <f t="shared" si="30"/>
        <v>0</v>
      </c>
      <c r="S32" s="22"/>
      <c r="T32" s="22"/>
      <c r="U32" s="46">
        <f t="shared" si="31"/>
        <v>0</v>
      </c>
      <c r="V32" s="22"/>
      <c r="W32" s="22"/>
      <c r="X32" s="46">
        <f t="shared" si="32"/>
        <v>0</v>
      </c>
      <c r="Y32" s="22"/>
      <c r="Z32" s="22"/>
      <c r="AA32" s="46">
        <f t="shared" si="33"/>
        <v>0</v>
      </c>
      <c r="AB32" s="22"/>
      <c r="AC32" s="22"/>
      <c r="AD32" s="46">
        <f t="shared" si="34"/>
        <v>0</v>
      </c>
      <c r="AE32" s="22"/>
      <c r="AF32" s="22"/>
      <c r="AG32" s="46">
        <f t="shared" si="35"/>
        <v>0</v>
      </c>
      <c r="AH32" s="22"/>
      <c r="AI32" s="22"/>
      <c r="AJ32" s="46">
        <f t="shared" si="36"/>
        <v>0</v>
      </c>
      <c r="AK32" s="252"/>
      <c r="AL32" s="252"/>
      <c r="AM32" s="46">
        <f t="shared" si="17"/>
        <v>0</v>
      </c>
      <c r="AO32" s="46">
        <f t="shared" si="18"/>
        <v>0</v>
      </c>
      <c r="AP32" s="22">
        <f t="shared" si="19"/>
        <v>0</v>
      </c>
      <c r="AQ32" s="22" t="e">
        <f t="shared" si="20"/>
        <v>#DIV/0!</v>
      </c>
      <c r="AR32" s="22"/>
      <c r="AS32" s="16"/>
      <c r="AT32" s="89">
        <f t="shared" si="0"/>
        <v>44375</v>
      </c>
      <c r="AU32" s="22"/>
      <c r="AV32" s="46">
        <f t="shared" si="37"/>
        <v>0</v>
      </c>
      <c r="AW32" s="22"/>
      <c r="AX32" s="46">
        <f t="shared" si="38"/>
        <v>0</v>
      </c>
      <c r="AY32" s="103"/>
      <c r="AZ32" s="104">
        <f t="shared" si="47"/>
        <v>0</v>
      </c>
      <c r="BA32" s="22"/>
      <c r="BB32" s="46">
        <f t="shared" si="40"/>
        <v>0</v>
      </c>
      <c r="BC32" s="83"/>
      <c r="BD32" s="27">
        <f t="shared" si="21"/>
        <v>0</v>
      </c>
      <c r="BE32" s="22"/>
      <c r="BF32" s="22"/>
      <c r="BH32" s="16"/>
      <c r="BJ32" s="21">
        <f t="shared" si="1"/>
        <v>0</v>
      </c>
      <c r="BN32" s="85">
        <f t="shared" si="2"/>
        <v>0</v>
      </c>
      <c r="BW32" s="85">
        <f t="shared" si="3"/>
        <v>0</v>
      </c>
      <c r="CF32" s="85">
        <f t="shared" si="4"/>
        <v>0</v>
      </c>
      <c r="CO32" s="85">
        <f t="shared" si="5"/>
        <v>0</v>
      </c>
      <c r="CX32" s="85">
        <f t="shared" si="6"/>
        <v>0</v>
      </c>
      <c r="DG32" s="85">
        <f t="shared" si="7"/>
        <v>0</v>
      </c>
      <c r="DP32" s="85">
        <f t="shared" si="8"/>
        <v>0</v>
      </c>
      <c r="DY32" s="85">
        <f t="shared" si="9"/>
        <v>0</v>
      </c>
      <c r="EH32" s="85">
        <f t="shared" si="10"/>
        <v>0</v>
      </c>
      <c r="EQ32" s="85">
        <f t="shared" si="11"/>
        <v>0</v>
      </c>
      <c r="EZ32" s="21">
        <f t="shared" si="12"/>
        <v>0</v>
      </c>
      <c r="FI32" s="66"/>
      <c r="FN32" s="16"/>
      <c r="FP32" s="85">
        <f t="shared" si="13"/>
        <v>0</v>
      </c>
      <c r="FY32" s="85">
        <f t="shared" si="14"/>
        <v>0</v>
      </c>
      <c r="GH32" s="85">
        <f t="shared" si="15"/>
        <v>0</v>
      </c>
      <c r="GN32" s="85">
        <f t="shared" si="16"/>
        <v>0</v>
      </c>
      <c r="HA32" s="20"/>
    </row>
    <row r="33" spans="2:213" x14ac:dyDescent="0.25">
      <c r="B33" s="82">
        <v>44378</v>
      </c>
      <c r="C33" s="217"/>
      <c r="D33" s="22"/>
      <c r="E33" s="22"/>
      <c r="F33" s="46">
        <f t="shared" si="26"/>
        <v>0</v>
      </c>
      <c r="G33" s="22"/>
      <c r="H33" s="22"/>
      <c r="I33" s="46">
        <f t="shared" si="27"/>
        <v>0</v>
      </c>
      <c r="J33" s="22"/>
      <c r="K33" s="22"/>
      <c r="L33" s="46">
        <f t="shared" si="28"/>
        <v>0</v>
      </c>
      <c r="M33" s="22"/>
      <c r="N33" s="22"/>
      <c r="O33" s="46">
        <f t="shared" si="29"/>
        <v>0</v>
      </c>
      <c r="P33" s="22"/>
      <c r="Q33" s="22"/>
      <c r="R33" s="46">
        <f t="shared" si="30"/>
        <v>0</v>
      </c>
      <c r="S33" s="22"/>
      <c r="T33" s="22"/>
      <c r="U33" s="46">
        <f t="shared" si="31"/>
        <v>0</v>
      </c>
      <c r="V33" s="22"/>
      <c r="W33" s="22"/>
      <c r="X33" s="46">
        <f t="shared" si="32"/>
        <v>0</v>
      </c>
      <c r="Y33" s="22"/>
      <c r="Z33" s="22"/>
      <c r="AA33" s="46">
        <f t="shared" si="33"/>
        <v>0</v>
      </c>
      <c r="AB33" s="22"/>
      <c r="AC33" s="22"/>
      <c r="AD33" s="46">
        <f t="shared" si="34"/>
        <v>0</v>
      </c>
      <c r="AE33" s="22"/>
      <c r="AF33" s="22"/>
      <c r="AG33" s="46">
        <f t="shared" si="35"/>
        <v>0</v>
      </c>
      <c r="AH33" s="22"/>
      <c r="AI33" s="22"/>
      <c r="AJ33" s="46">
        <f t="shared" si="36"/>
        <v>0</v>
      </c>
      <c r="AK33" s="252"/>
      <c r="AL33" s="252"/>
      <c r="AM33" s="46">
        <f t="shared" si="17"/>
        <v>0</v>
      </c>
      <c r="AO33" s="46">
        <f t="shared" si="18"/>
        <v>0</v>
      </c>
      <c r="AP33" s="22">
        <f t="shared" si="19"/>
        <v>0</v>
      </c>
      <c r="AQ33" s="22" t="e">
        <f t="shared" si="20"/>
        <v>#DIV/0!</v>
      </c>
      <c r="AR33" s="22">
        <f>SUM(AO29:AO33)</f>
        <v>0</v>
      </c>
      <c r="AS33" s="16"/>
      <c r="AT33" s="89">
        <f t="shared" si="0"/>
        <v>44378</v>
      </c>
      <c r="AU33" s="22"/>
      <c r="AV33" s="46">
        <f t="shared" si="37"/>
        <v>0</v>
      </c>
      <c r="AW33" s="22"/>
      <c r="AX33" s="46">
        <f t="shared" si="38"/>
        <v>0</v>
      </c>
      <c r="AY33" s="103"/>
      <c r="AZ33" s="104">
        <f t="shared" si="47"/>
        <v>0</v>
      </c>
      <c r="BA33" s="22"/>
      <c r="BB33" s="46">
        <f t="shared" si="40"/>
        <v>0</v>
      </c>
      <c r="BC33" s="83"/>
      <c r="BD33" s="27">
        <f t="shared" si="21"/>
        <v>0</v>
      </c>
      <c r="BE33" s="22">
        <f>SUM(BC29:BD33)</f>
        <v>0</v>
      </c>
      <c r="BF33" s="22">
        <f>SUM(AR33+BE33)</f>
        <v>0</v>
      </c>
      <c r="BH33" s="16"/>
      <c r="BJ33" s="21">
        <f t="shared" si="1"/>
        <v>0</v>
      </c>
      <c r="BK33" s="22"/>
      <c r="BL33" s="21">
        <f>SUM(BK33-BK28)</f>
        <v>0</v>
      </c>
      <c r="BM33" s="84">
        <f>SUM(BL33*0.13773+BL33*0.02095)*1.09+2.85</f>
        <v>2.85</v>
      </c>
      <c r="BN33" s="85">
        <f t="shared" si="2"/>
        <v>0</v>
      </c>
      <c r="BO33" s="22"/>
      <c r="BP33" s="22"/>
      <c r="BQ33" s="21">
        <f>SUM(BO33-BO28)*160</f>
        <v>0</v>
      </c>
      <c r="BR33" s="21">
        <f>(BP33)*160</f>
        <v>0</v>
      </c>
      <c r="BS33" s="84">
        <f>SUM(BQ33*0.05155)</f>
        <v>0</v>
      </c>
      <c r="BT33" s="84">
        <f>SUM(BQ33*0.02095)</f>
        <v>0</v>
      </c>
      <c r="BU33" s="84">
        <f>SUM(BR33*7.689)</f>
        <v>0</v>
      </c>
      <c r="BV33" s="84">
        <f>SUM(BS33+BT33)*1.11</f>
        <v>0</v>
      </c>
      <c r="BW33" s="85">
        <f t="shared" si="3"/>
        <v>0</v>
      </c>
      <c r="BX33" s="22"/>
      <c r="BY33" s="22"/>
      <c r="BZ33" s="21">
        <f>SUM(BX33-BX28)*160</f>
        <v>0</v>
      </c>
      <c r="CA33" s="21">
        <f>(BY33)*160</f>
        <v>0</v>
      </c>
      <c r="CB33" s="84">
        <f>SUM(BZ33*0.05155)</f>
        <v>0</v>
      </c>
      <c r="CC33" s="84">
        <f>SUM(BZ33*0.02095)</f>
        <v>0</v>
      </c>
      <c r="CD33" s="84">
        <f>SUM(CA33*7.689)</f>
        <v>0</v>
      </c>
      <c r="CE33" s="84">
        <f>SUM((CB33+CC33)+20)* 1.11</f>
        <v>22.200000000000003</v>
      </c>
      <c r="CF33" s="85">
        <f t="shared" si="4"/>
        <v>0</v>
      </c>
      <c r="CG33" s="22"/>
      <c r="CH33" s="22"/>
      <c r="CI33" s="21">
        <f>SUM(CG33-CG28)*300</f>
        <v>0</v>
      </c>
      <c r="CJ33" s="21">
        <f>(CH33)*300</f>
        <v>0</v>
      </c>
      <c r="CK33" s="84">
        <f>SUM(CI33*0.05155)</f>
        <v>0</v>
      </c>
      <c r="CL33" s="84">
        <f>SUM(CI33*0.02095)</f>
        <v>0</v>
      </c>
      <c r="CM33" s="84">
        <f>SUM(CJ33*7.689)</f>
        <v>0</v>
      </c>
      <c r="CN33" s="84">
        <f>SUM((CK33+CL33)+20)*1.11</f>
        <v>22.200000000000003</v>
      </c>
      <c r="CO33" s="85">
        <f t="shared" si="5"/>
        <v>0</v>
      </c>
      <c r="CP33" s="22"/>
      <c r="CQ33" s="22"/>
      <c r="CR33" s="21">
        <f>(CP33-CP28)*40</f>
        <v>0</v>
      </c>
      <c r="CS33" s="21">
        <f>(CQ33)*40</f>
        <v>0</v>
      </c>
      <c r="CT33" s="84">
        <f>SUM(CR33*0.05155)</f>
        <v>0</v>
      </c>
      <c r="CU33" s="84">
        <f>SUM(CR33*0.02095)</f>
        <v>0</v>
      </c>
      <c r="CV33" s="84">
        <f>SUM(CS33*7.689)</f>
        <v>0</v>
      </c>
      <c r="CW33" s="84">
        <f>SUM((CT33+CU33)+20)*1.11</f>
        <v>22.200000000000003</v>
      </c>
      <c r="CX33" s="85">
        <f t="shared" si="6"/>
        <v>0</v>
      </c>
      <c r="CY33" s="22"/>
      <c r="CZ33" s="22"/>
      <c r="DA33" s="21">
        <f>SUM(CY33-CY28)*300</f>
        <v>0</v>
      </c>
      <c r="DB33" s="86">
        <f>(CZ33)*300</f>
        <v>0</v>
      </c>
      <c r="DC33" s="84">
        <f>SUM(DA33*0.05155)</f>
        <v>0</v>
      </c>
      <c r="DD33" s="84">
        <f>SUM(DA33*0.02095)</f>
        <v>0</v>
      </c>
      <c r="DE33" s="84">
        <f>SUM(DB33*7.689)</f>
        <v>0</v>
      </c>
      <c r="DF33" s="84">
        <f>SUM((DC33+DD33)+20)*1.12</f>
        <v>22.400000000000002</v>
      </c>
      <c r="DG33" s="85">
        <f t="shared" si="7"/>
        <v>0</v>
      </c>
      <c r="DH33" s="22"/>
      <c r="DI33" s="22"/>
      <c r="DJ33" s="21">
        <f>SUM(DH33-DH28)*400</f>
        <v>0</v>
      </c>
      <c r="DK33" s="86">
        <f>(DI33)*400</f>
        <v>0</v>
      </c>
      <c r="DL33" s="84">
        <f>SUM(DJ33*0.05155)</f>
        <v>0</v>
      </c>
      <c r="DM33" s="84">
        <f>SUM(DJ33*0.02095)</f>
        <v>0</v>
      </c>
      <c r="DN33" s="84">
        <f>SUM(DK33*7.689)</f>
        <v>0</v>
      </c>
      <c r="DO33" s="84">
        <f>SUM((DL33+DM33)+20)*1.12</f>
        <v>22.400000000000002</v>
      </c>
      <c r="DP33" s="85">
        <f t="shared" si="8"/>
        <v>0</v>
      </c>
      <c r="DQ33" s="22"/>
      <c r="DR33" s="22"/>
      <c r="DS33" s="21">
        <f>SUM(DQ33-DQ28)*400</f>
        <v>0</v>
      </c>
      <c r="DT33" s="21">
        <f>(DR33)*400</f>
        <v>0</v>
      </c>
      <c r="DU33" s="84">
        <f>SUM(DS33*0.05155)</f>
        <v>0</v>
      </c>
      <c r="DV33" s="84">
        <f>SUM(DS33*0.02095)</f>
        <v>0</v>
      </c>
      <c r="DW33" s="84">
        <f>SUM(DT33*7.689)</f>
        <v>0</v>
      </c>
      <c r="DX33" s="84">
        <f>SUM((DU33+DV33)+20)*1.12</f>
        <v>22.400000000000002</v>
      </c>
      <c r="DY33" s="85">
        <f t="shared" si="9"/>
        <v>0</v>
      </c>
      <c r="DZ33" s="22"/>
      <c r="EA33" s="22"/>
      <c r="EB33" s="21">
        <f>SUM(DZ33-DZ28)*400</f>
        <v>0</v>
      </c>
      <c r="EC33" s="21">
        <f>(EA33)*400</f>
        <v>0</v>
      </c>
      <c r="ED33" s="84">
        <f>SUM(EB33*0.05155)</f>
        <v>0</v>
      </c>
      <c r="EE33" s="84">
        <f>SUM(EB33*0.02095)</f>
        <v>0</v>
      </c>
      <c r="EF33" s="84">
        <f>SUM(EC33*7.689)</f>
        <v>0</v>
      </c>
      <c r="EG33" s="84">
        <f>SUM((ED33+EE33)+20)*1.12</f>
        <v>22.400000000000002</v>
      </c>
      <c r="EH33" s="85">
        <f t="shared" si="10"/>
        <v>0</v>
      </c>
      <c r="EI33" s="22"/>
      <c r="EJ33" s="22"/>
      <c r="EK33" s="21">
        <f>SUM(EI33-EI28)*160</f>
        <v>0</v>
      </c>
      <c r="EL33" s="21">
        <f>(EJ33)*160</f>
        <v>0</v>
      </c>
      <c r="EM33" s="84">
        <f>SUM(EK33*0.05155)</f>
        <v>0</v>
      </c>
      <c r="EN33" s="84">
        <f>SUM(EK33*0.02095)</f>
        <v>0</v>
      </c>
      <c r="EO33" s="84">
        <f>SUM(EL33*7.689)</f>
        <v>0</v>
      </c>
      <c r="EP33" s="84">
        <f>SUM((EM33+EN33)+20)*1.12</f>
        <v>22.400000000000002</v>
      </c>
      <c r="EQ33" s="85">
        <f t="shared" si="11"/>
        <v>0</v>
      </c>
      <c r="ER33" s="22"/>
      <c r="ES33" s="22"/>
      <c r="ET33" s="21">
        <f>SUM(ER33-ER28)*160</f>
        <v>0</v>
      </c>
      <c r="EU33" s="21">
        <f>(ES33)*160</f>
        <v>0</v>
      </c>
      <c r="EV33" s="84">
        <f>SUM(ET33*0.05155)</f>
        <v>0</v>
      </c>
      <c r="EW33" s="84">
        <f>SUM(ET33*0.02095)</f>
        <v>0</v>
      </c>
      <c r="EX33" s="84">
        <f>SUM(EU33*7.689)</f>
        <v>0</v>
      </c>
      <c r="EY33" s="84">
        <f>SUM((EV33+EW33)+20)*1.12</f>
        <v>22.400000000000002</v>
      </c>
      <c r="EZ33" s="21">
        <f t="shared" si="12"/>
        <v>0</v>
      </c>
      <c r="FA33" s="97"/>
      <c r="FB33" s="97"/>
      <c r="FC33" s="21">
        <f>SUM(FA33-FA28)*200</f>
        <v>0</v>
      </c>
      <c r="FD33" s="21">
        <f>(FB33)*200</f>
        <v>0</v>
      </c>
      <c r="FE33" s="84">
        <f>SUM(FC33*0.05155)</f>
        <v>0</v>
      </c>
      <c r="FF33" s="84">
        <f>SUM(FC33*0.02095)</f>
        <v>0</v>
      </c>
      <c r="FG33" s="84">
        <f>SUM(FD33*7.689)</f>
        <v>0</v>
      </c>
      <c r="FH33" s="84">
        <f>SUM((FE33+FF33)+20)*1.12</f>
        <v>22.400000000000002</v>
      </c>
      <c r="FI33" s="66"/>
      <c r="FJ33" s="101">
        <f>SUM(BL33+BQ33+BZ33+CI33+CR33+DA33+DJ33+DS33+EB33+EK33+ET33+FC33)</f>
        <v>0</v>
      </c>
      <c r="FK33" s="102">
        <f>SUM(BM33+BV33,CE33,CN33,CW33,DF33,DO33,DX33,EG33,EP33,EY33+FH33)</f>
        <v>226.25000000000006</v>
      </c>
      <c r="FL33" s="102">
        <f>SUM(BU33,CD33,CM33,CV33,DE33,DN33,DW33,EF33,EO33,EX33,FG33)</f>
        <v>0</v>
      </c>
      <c r="FM33" s="102">
        <f>SUM(FK33:FL33)</f>
        <v>226.25000000000006</v>
      </c>
      <c r="FN33" s="16"/>
      <c r="FP33" s="85">
        <f t="shared" si="13"/>
        <v>0</v>
      </c>
      <c r="FQ33" s="22"/>
      <c r="FR33" s="22"/>
      <c r="FS33" s="21">
        <f>SUM(FQ33-FQ28)*100</f>
        <v>0</v>
      </c>
      <c r="FT33" s="21">
        <f>SUM(FR33)*100</f>
        <v>0</v>
      </c>
      <c r="FU33" s="87">
        <f>SUM(FS33*0.05155)</f>
        <v>0</v>
      </c>
      <c r="FV33" s="87">
        <f>SUM(FS33*0.02095)</f>
        <v>0</v>
      </c>
      <c r="FW33" s="87">
        <f>SUM(FT33*7.689)</f>
        <v>0</v>
      </c>
      <c r="FX33" s="84">
        <f>SUM(FV33+FU33+20)*1.1048</f>
        <v>22.096</v>
      </c>
      <c r="FY33" s="85">
        <f t="shared" si="14"/>
        <v>0</v>
      </c>
      <c r="FZ33" s="22"/>
      <c r="GA33" s="22"/>
      <c r="GB33" s="21">
        <f>SUM(FZ33-FZ28)*100</f>
        <v>0</v>
      </c>
      <c r="GC33" s="21">
        <f>SUM(GA33)*100</f>
        <v>0</v>
      </c>
      <c r="GD33" s="87">
        <f>SUM(GB33*0.05155)</f>
        <v>0</v>
      </c>
      <c r="GE33" s="87">
        <f>SUM(GB33*0.02095)</f>
        <v>0</v>
      </c>
      <c r="GF33" s="87">
        <f>SUM(GC33*7.689)</f>
        <v>0</v>
      </c>
      <c r="GG33" s="84">
        <f>SUM(GE33+GD33+20)*1.1048</f>
        <v>22.096</v>
      </c>
      <c r="GH33" s="85">
        <f t="shared" si="15"/>
        <v>0</v>
      </c>
      <c r="GI33" s="22"/>
      <c r="GJ33" s="21">
        <f>SUM(GI33-GI28)</f>
        <v>0</v>
      </c>
      <c r="GK33" s="84">
        <f>SUM(GJ33*0.13773)</f>
        <v>0</v>
      </c>
      <c r="GL33" s="84">
        <f>SUM(GJ33*0.02095)</f>
        <v>0</v>
      </c>
      <c r="GM33" s="84">
        <f>SUM(GK33+GL33+2.32)*1.07</f>
        <v>2.4824000000000002</v>
      </c>
      <c r="GN33" s="85">
        <f t="shared" si="16"/>
        <v>0</v>
      </c>
      <c r="GO33" s="22"/>
      <c r="GP33" s="22"/>
      <c r="GQ33" s="21">
        <f>SUM(GO33-GO28)*40</f>
        <v>0</v>
      </c>
      <c r="GR33" s="21">
        <f>SUM(GP33)*40</f>
        <v>0</v>
      </c>
      <c r="GS33" s="84">
        <f>SUM(GQ33*0.05155)</f>
        <v>0</v>
      </c>
      <c r="GT33" s="84">
        <f>SUM(GQ33*0.02095)</f>
        <v>0</v>
      </c>
      <c r="GU33" s="84">
        <f>SUM(GR33*7.689)</f>
        <v>0</v>
      </c>
      <c r="GV33" s="84">
        <f>SUM(GT33+GS33+20)*1.2</f>
        <v>24</v>
      </c>
      <c r="GW33" s="22">
        <f>SUM(FS33+GB33+GJ33+GQ33)</f>
        <v>0</v>
      </c>
      <c r="GX33" s="102">
        <f>SUM(GV33+GM33+GG33+FX33)</f>
        <v>70.674400000000006</v>
      </c>
      <c r="GY33" s="102">
        <f>SUM(FW33+GF33+GU33)</f>
        <v>0</v>
      </c>
      <c r="GZ33" s="102">
        <f>SUM(GX33:GY33)</f>
        <v>70.674400000000006</v>
      </c>
      <c r="HA33" s="20"/>
      <c r="HB33" s="101">
        <f t="shared" ref="HB33:HD33" si="48">(FJ33+GW33)</f>
        <v>0</v>
      </c>
      <c r="HC33" s="102">
        <f t="shared" si="48"/>
        <v>296.92440000000005</v>
      </c>
      <c r="HD33" s="102">
        <f t="shared" si="48"/>
        <v>0</v>
      </c>
      <c r="HE33" s="102">
        <f t="shared" ref="HE33" si="49">(HC33+HD33)</f>
        <v>296.92440000000005</v>
      </c>
    </row>
    <row r="34" spans="2:213" x14ac:dyDescent="0.25">
      <c r="B34" s="82">
        <v>44382</v>
      </c>
      <c r="C34" s="217"/>
      <c r="D34" s="22"/>
      <c r="E34" s="22"/>
      <c r="F34" s="46">
        <f t="shared" si="26"/>
        <v>0</v>
      </c>
      <c r="G34" s="22"/>
      <c r="H34" s="22"/>
      <c r="I34" s="46">
        <f t="shared" si="27"/>
        <v>0</v>
      </c>
      <c r="J34" s="22"/>
      <c r="K34" s="22"/>
      <c r="L34" s="46">
        <f t="shared" si="28"/>
        <v>0</v>
      </c>
      <c r="M34" s="22"/>
      <c r="N34" s="22"/>
      <c r="O34" s="46">
        <f t="shared" si="29"/>
        <v>0</v>
      </c>
      <c r="P34" s="22"/>
      <c r="Q34" s="22"/>
      <c r="R34" s="46">
        <f t="shared" si="30"/>
        <v>0</v>
      </c>
      <c r="S34" s="22"/>
      <c r="T34" s="22"/>
      <c r="U34" s="46">
        <f t="shared" si="31"/>
        <v>0</v>
      </c>
      <c r="V34" s="22"/>
      <c r="W34" s="22"/>
      <c r="X34" s="46">
        <f t="shared" si="32"/>
        <v>0</v>
      </c>
      <c r="Y34" s="22"/>
      <c r="Z34" s="22"/>
      <c r="AA34" s="46">
        <f t="shared" si="33"/>
        <v>0</v>
      </c>
      <c r="AB34" s="22"/>
      <c r="AC34" s="22"/>
      <c r="AD34" s="46">
        <f t="shared" si="34"/>
        <v>0</v>
      </c>
      <c r="AE34" s="22"/>
      <c r="AF34" s="22"/>
      <c r="AG34" s="46">
        <f t="shared" si="35"/>
        <v>0</v>
      </c>
      <c r="AH34" s="22"/>
      <c r="AI34" s="22"/>
      <c r="AJ34" s="46">
        <f t="shared" si="36"/>
        <v>0</v>
      </c>
      <c r="AK34" s="252"/>
      <c r="AL34" s="252"/>
      <c r="AM34" s="46">
        <f t="shared" si="17"/>
        <v>0</v>
      </c>
      <c r="AO34" s="46">
        <f t="shared" si="18"/>
        <v>0</v>
      </c>
      <c r="AP34" s="22">
        <f t="shared" si="19"/>
        <v>0</v>
      </c>
      <c r="AQ34" s="22" t="e">
        <f t="shared" si="20"/>
        <v>#DIV/0!</v>
      </c>
      <c r="AR34" s="22"/>
      <c r="AS34" s="16"/>
      <c r="AT34" s="89">
        <f t="shared" si="0"/>
        <v>44382</v>
      </c>
      <c r="AU34" s="22"/>
      <c r="AV34" s="46">
        <f t="shared" si="37"/>
        <v>0</v>
      </c>
      <c r="AW34" s="22"/>
      <c r="AX34" s="46">
        <f t="shared" si="38"/>
        <v>0</v>
      </c>
      <c r="AY34" s="103"/>
      <c r="AZ34" s="104">
        <f t="shared" si="47"/>
        <v>0</v>
      </c>
      <c r="BA34" s="22"/>
      <c r="BB34" s="46">
        <f t="shared" si="40"/>
        <v>0</v>
      </c>
      <c r="BC34" s="83"/>
      <c r="BD34" s="27">
        <f t="shared" si="21"/>
        <v>0</v>
      </c>
      <c r="BE34" s="22"/>
      <c r="BF34" s="22"/>
      <c r="BH34" s="16"/>
      <c r="BJ34" s="21">
        <f t="shared" si="1"/>
        <v>0</v>
      </c>
      <c r="BN34" s="85">
        <f t="shared" si="2"/>
        <v>0</v>
      </c>
      <c r="BW34" s="85">
        <f t="shared" si="3"/>
        <v>0</v>
      </c>
      <c r="CF34" s="85">
        <f t="shared" si="4"/>
        <v>0</v>
      </c>
      <c r="CO34" s="85">
        <f t="shared" si="5"/>
        <v>0</v>
      </c>
      <c r="CX34" s="85">
        <f t="shared" si="6"/>
        <v>0</v>
      </c>
      <c r="DG34" s="85">
        <f t="shared" si="7"/>
        <v>0</v>
      </c>
      <c r="DP34" s="85">
        <f t="shared" si="8"/>
        <v>0</v>
      </c>
      <c r="DY34" s="85">
        <f t="shared" si="9"/>
        <v>0</v>
      </c>
      <c r="EH34" s="85">
        <f t="shared" si="10"/>
        <v>0</v>
      </c>
      <c r="EQ34" s="85">
        <f t="shared" si="11"/>
        <v>0</v>
      </c>
      <c r="EZ34" s="21">
        <f t="shared" si="12"/>
        <v>0</v>
      </c>
      <c r="FI34" s="66"/>
      <c r="FN34" s="16"/>
      <c r="FP34" s="85">
        <f t="shared" si="13"/>
        <v>0</v>
      </c>
      <c r="FY34" s="85">
        <f t="shared" si="14"/>
        <v>0</v>
      </c>
      <c r="GH34" s="85">
        <f t="shared" si="15"/>
        <v>0</v>
      </c>
      <c r="GN34" s="85">
        <f t="shared" si="16"/>
        <v>0</v>
      </c>
      <c r="HA34" s="20"/>
    </row>
    <row r="35" spans="2:213" x14ac:dyDescent="0.25">
      <c r="B35" s="82">
        <v>44389</v>
      </c>
      <c r="C35" s="217"/>
      <c r="D35" s="22"/>
      <c r="E35" s="22"/>
      <c r="F35" s="46">
        <f t="shared" si="26"/>
        <v>0</v>
      </c>
      <c r="G35" s="22"/>
      <c r="H35" s="22"/>
      <c r="I35" s="46">
        <f t="shared" si="27"/>
        <v>0</v>
      </c>
      <c r="J35" s="22"/>
      <c r="K35" s="22"/>
      <c r="L35" s="46">
        <f t="shared" si="28"/>
        <v>0</v>
      </c>
      <c r="M35" s="22"/>
      <c r="N35" s="22"/>
      <c r="O35" s="46">
        <f t="shared" si="29"/>
        <v>0</v>
      </c>
      <c r="P35" s="22"/>
      <c r="Q35" s="22"/>
      <c r="R35" s="46">
        <f t="shared" si="30"/>
        <v>0</v>
      </c>
      <c r="S35" s="22"/>
      <c r="T35" s="22"/>
      <c r="U35" s="46">
        <f t="shared" si="31"/>
        <v>0</v>
      </c>
      <c r="V35" s="22"/>
      <c r="W35" s="22"/>
      <c r="X35" s="46">
        <f t="shared" si="32"/>
        <v>0</v>
      </c>
      <c r="Y35" s="22"/>
      <c r="Z35" s="22"/>
      <c r="AA35" s="46">
        <f t="shared" si="33"/>
        <v>0</v>
      </c>
      <c r="AB35" s="22"/>
      <c r="AC35" s="22"/>
      <c r="AD35" s="46">
        <f t="shared" si="34"/>
        <v>0</v>
      </c>
      <c r="AE35" s="22"/>
      <c r="AF35" s="22"/>
      <c r="AG35" s="46">
        <f t="shared" si="35"/>
        <v>0</v>
      </c>
      <c r="AH35" s="22"/>
      <c r="AI35" s="22"/>
      <c r="AJ35" s="46">
        <f t="shared" si="36"/>
        <v>0</v>
      </c>
      <c r="AK35" s="252"/>
      <c r="AL35" s="252"/>
      <c r="AM35" s="46">
        <f t="shared" si="17"/>
        <v>0</v>
      </c>
      <c r="AO35" s="46">
        <f t="shared" si="18"/>
        <v>0</v>
      </c>
      <c r="AP35" s="22">
        <f t="shared" si="19"/>
        <v>0</v>
      </c>
      <c r="AQ35" s="22" t="e">
        <f t="shared" si="20"/>
        <v>#DIV/0!</v>
      </c>
      <c r="AR35" s="22"/>
      <c r="AS35" s="16"/>
      <c r="AT35" s="89">
        <f t="shared" si="0"/>
        <v>44389</v>
      </c>
      <c r="AU35" s="22"/>
      <c r="AV35" s="46">
        <f t="shared" si="37"/>
        <v>0</v>
      </c>
      <c r="AW35" s="22"/>
      <c r="AX35" s="46">
        <f t="shared" si="38"/>
        <v>0</v>
      </c>
      <c r="AY35" s="103"/>
      <c r="AZ35" s="104">
        <f t="shared" si="47"/>
        <v>0</v>
      </c>
      <c r="BA35" s="22"/>
      <c r="BB35" s="46">
        <f t="shared" si="40"/>
        <v>0</v>
      </c>
      <c r="BC35" s="83"/>
      <c r="BD35" s="27">
        <f t="shared" si="21"/>
        <v>0</v>
      </c>
      <c r="BE35" s="22"/>
      <c r="BF35" s="22"/>
      <c r="BH35" s="16"/>
      <c r="BJ35" s="21">
        <f t="shared" si="1"/>
        <v>0</v>
      </c>
      <c r="BN35" s="85">
        <f t="shared" si="2"/>
        <v>0</v>
      </c>
      <c r="BW35" s="85">
        <f t="shared" si="3"/>
        <v>0</v>
      </c>
      <c r="CF35" s="85">
        <f t="shared" si="4"/>
        <v>0</v>
      </c>
      <c r="CO35" s="85">
        <f t="shared" si="5"/>
        <v>0</v>
      </c>
      <c r="CX35" s="85">
        <f t="shared" si="6"/>
        <v>0</v>
      </c>
      <c r="DG35" s="85">
        <f t="shared" si="7"/>
        <v>0</v>
      </c>
      <c r="DP35" s="85">
        <f t="shared" si="8"/>
        <v>0</v>
      </c>
      <c r="DY35" s="85">
        <f t="shared" si="9"/>
        <v>0</v>
      </c>
      <c r="EH35" s="85">
        <f t="shared" si="10"/>
        <v>0</v>
      </c>
      <c r="EQ35" s="85">
        <f t="shared" si="11"/>
        <v>0</v>
      </c>
      <c r="EZ35" s="21">
        <f t="shared" si="12"/>
        <v>0</v>
      </c>
      <c r="FI35" s="66"/>
      <c r="FN35" s="16"/>
      <c r="FP35" s="85">
        <f t="shared" si="13"/>
        <v>0</v>
      </c>
      <c r="FY35" s="85">
        <f t="shared" si="14"/>
        <v>0</v>
      </c>
      <c r="GH35" s="85">
        <f t="shared" si="15"/>
        <v>0</v>
      </c>
      <c r="GN35" s="85">
        <f t="shared" si="16"/>
        <v>0</v>
      </c>
      <c r="HA35" s="20"/>
    </row>
    <row r="36" spans="2:213" x14ac:dyDescent="0.25">
      <c r="B36" s="82">
        <v>44396</v>
      </c>
      <c r="C36" s="217"/>
      <c r="D36" s="22"/>
      <c r="E36" s="22"/>
      <c r="F36" s="46">
        <f t="shared" si="26"/>
        <v>0</v>
      </c>
      <c r="G36" s="22"/>
      <c r="H36" s="22"/>
      <c r="I36" s="46">
        <f t="shared" si="27"/>
        <v>0</v>
      </c>
      <c r="J36" s="22"/>
      <c r="K36" s="22"/>
      <c r="L36" s="46">
        <f t="shared" si="28"/>
        <v>0</v>
      </c>
      <c r="M36" s="22"/>
      <c r="N36" s="22"/>
      <c r="O36" s="46">
        <f t="shared" si="29"/>
        <v>0</v>
      </c>
      <c r="P36" s="22"/>
      <c r="Q36" s="22"/>
      <c r="R36" s="46">
        <f t="shared" si="30"/>
        <v>0</v>
      </c>
      <c r="S36" s="22"/>
      <c r="T36" s="22"/>
      <c r="U36" s="46">
        <f t="shared" si="31"/>
        <v>0</v>
      </c>
      <c r="V36" s="22"/>
      <c r="W36" s="22"/>
      <c r="X36" s="46">
        <f t="shared" si="32"/>
        <v>0</v>
      </c>
      <c r="Y36" s="22"/>
      <c r="Z36" s="22"/>
      <c r="AA36" s="46">
        <f t="shared" si="33"/>
        <v>0</v>
      </c>
      <c r="AB36" s="22"/>
      <c r="AC36" s="22"/>
      <c r="AD36" s="46">
        <f t="shared" si="34"/>
        <v>0</v>
      </c>
      <c r="AE36" s="22"/>
      <c r="AF36" s="22"/>
      <c r="AG36" s="46">
        <f t="shared" si="35"/>
        <v>0</v>
      </c>
      <c r="AH36" s="22"/>
      <c r="AI36" s="22"/>
      <c r="AJ36" s="46">
        <f t="shared" si="36"/>
        <v>0</v>
      </c>
      <c r="AK36" s="252"/>
      <c r="AL36" s="252"/>
      <c r="AM36" s="46">
        <f t="shared" si="17"/>
        <v>0</v>
      </c>
      <c r="AO36" s="46">
        <f t="shared" si="18"/>
        <v>0</v>
      </c>
      <c r="AP36" s="22">
        <f t="shared" si="19"/>
        <v>0</v>
      </c>
      <c r="AQ36" s="22" t="e">
        <f t="shared" si="20"/>
        <v>#DIV/0!</v>
      </c>
      <c r="AR36" s="22"/>
      <c r="AS36" s="16"/>
      <c r="AT36" s="89">
        <f t="shared" si="0"/>
        <v>44396</v>
      </c>
      <c r="AU36" s="22"/>
      <c r="AV36" s="46">
        <f t="shared" si="37"/>
        <v>0</v>
      </c>
      <c r="AW36" s="22"/>
      <c r="AX36" s="46">
        <f t="shared" si="38"/>
        <v>0</v>
      </c>
      <c r="AY36" s="103"/>
      <c r="AZ36" s="104">
        <f t="shared" si="47"/>
        <v>0</v>
      </c>
      <c r="BA36" s="22"/>
      <c r="BB36" s="46">
        <f t="shared" si="40"/>
        <v>0</v>
      </c>
      <c r="BC36" s="83"/>
      <c r="BD36" s="27">
        <f t="shared" si="21"/>
        <v>0</v>
      </c>
      <c r="BE36" s="22"/>
      <c r="BF36" s="22"/>
      <c r="BH36" s="16"/>
      <c r="BJ36" s="21">
        <f t="shared" si="1"/>
        <v>0</v>
      </c>
      <c r="BN36" s="85">
        <f t="shared" si="2"/>
        <v>0</v>
      </c>
      <c r="BW36" s="85">
        <f t="shared" si="3"/>
        <v>0</v>
      </c>
      <c r="CF36" s="85">
        <f t="shared" si="4"/>
        <v>0</v>
      </c>
      <c r="CO36" s="85">
        <f t="shared" si="5"/>
        <v>0</v>
      </c>
      <c r="CX36" s="85">
        <f t="shared" si="6"/>
        <v>0</v>
      </c>
      <c r="DG36" s="85">
        <f t="shared" si="7"/>
        <v>0</v>
      </c>
      <c r="DP36" s="85">
        <f t="shared" si="8"/>
        <v>0</v>
      </c>
      <c r="DY36" s="85">
        <f t="shared" si="9"/>
        <v>0</v>
      </c>
      <c r="EH36" s="85">
        <f t="shared" si="10"/>
        <v>0</v>
      </c>
      <c r="EQ36" s="85">
        <f t="shared" si="11"/>
        <v>0</v>
      </c>
      <c r="EZ36" s="21">
        <f t="shared" si="12"/>
        <v>0</v>
      </c>
      <c r="FI36" s="66"/>
      <c r="FN36" s="16"/>
      <c r="FP36" s="85">
        <f t="shared" si="13"/>
        <v>0</v>
      </c>
      <c r="FY36" s="85">
        <f t="shared" si="14"/>
        <v>0</v>
      </c>
      <c r="GH36" s="85">
        <f t="shared" si="15"/>
        <v>0</v>
      </c>
      <c r="GN36" s="85">
        <f t="shared" si="16"/>
        <v>0</v>
      </c>
      <c r="HA36" s="20"/>
    </row>
    <row r="37" spans="2:213" x14ac:dyDescent="0.25">
      <c r="B37" s="82">
        <v>44403</v>
      </c>
      <c r="C37" s="217"/>
      <c r="D37" s="22"/>
      <c r="E37" s="22"/>
      <c r="F37" s="46">
        <f t="shared" si="26"/>
        <v>0</v>
      </c>
      <c r="G37" s="22"/>
      <c r="H37" s="22"/>
      <c r="I37" s="46">
        <f t="shared" si="27"/>
        <v>0</v>
      </c>
      <c r="J37" s="22"/>
      <c r="K37" s="22"/>
      <c r="L37" s="46">
        <f t="shared" si="28"/>
        <v>0</v>
      </c>
      <c r="M37" s="22"/>
      <c r="N37" s="22"/>
      <c r="O37" s="46">
        <f t="shared" si="29"/>
        <v>0</v>
      </c>
      <c r="P37" s="22"/>
      <c r="Q37" s="22"/>
      <c r="R37" s="46">
        <f t="shared" si="30"/>
        <v>0</v>
      </c>
      <c r="S37" s="22"/>
      <c r="T37" s="22"/>
      <c r="U37" s="46">
        <f t="shared" si="31"/>
        <v>0</v>
      </c>
      <c r="V37" s="22"/>
      <c r="W37" s="22"/>
      <c r="X37" s="46">
        <f t="shared" si="32"/>
        <v>0</v>
      </c>
      <c r="Y37" s="22"/>
      <c r="Z37" s="22"/>
      <c r="AA37" s="46">
        <f t="shared" si="33"/>
        <v>0</v>
      </c>
      <c r="AB37" s="22"/>
      <c r="AC37" s="22"/>
      <c r="AD37" s="46">
        <f t="shared" si="34"/>
        <v>0</v>
      </c>
      <c r="AE37" s="22"/>
      <c r="AF37" s="22"/>
      <c r="AG37" s="46">
        <f t="shared" si="35"/>
        <v>0</v>
      </c>
      <c r="AH37" s="22"/>
      <c r="AI37" s="22"/>
      <c r="AJ37" s="46">
        <f t="shared" si="36"/>
        <v>0</v>
      </c>
      <c r="AK37" s="252"/>
      <c r="AL37" s="252"/>
      <c r="AM37" s="46">
        <f t="shared" si="17"/>
        <v>0</v>
      </c>
      <c r="AO37" s="46">
        <f t="shared" si="18"/>
        <v>0</v>
      </c>
      <c r="AP37" s="22">
        <f t="shared" si="19"/>
        <v>0</v>
      </c>
      <c r="AQ37" s="22" t="e">
        <f t="shared" si="20"/>
        <v>#DIV/0!</v>
      </c>
      <c r="AR37" s="22"/>
      <c r="AS37" s="16"/>
      <c r="AT37" s="89">
        <f t="shared" si="0"/>
        <v>44403</v>
      </c>
      <c r="AU37" s="22"/>
      <c r="AV37" s="46">
        <f t="shared" si="37"/>
        <v>0</v>
      </c>
      <c r="AW37" s="22"/>
      <c r="AX37" s="46">
        <f t="shared" si="38"/>
        <v>0</v>
      </c>
      <c r="AY37" s="103"/>
      <c r="AZ37" s="104">
        <f t="shared" si="47"/>
        <v>0</v>
      </c>
      <c r="BA37" s="22"/>
      <c r="BB37" s="46">
        <f t="shared" si="40"/>
        <v>0</v>
      </c>
      <c r="BC37" s="83"/>
      <c r="BD37" s="27">
        <f t="shared" si="21"/>
        <v>0</v>
      </c>
      <c r="BE37" s="22"/>
      <c r="BF37" s="22"/>
      <c r="BH37" s="16"/>
      <c r="BJ37" s="21">
        <f t="shared" si="1"/>
        <v>0</v>
      </c>
      <c r="BN37" s="85">
        <f t="shared" si="2"/>
        <v>0</v>
      </c>
      <c r="BW37" s="85">
        <f t="shared" si="3"/>
        <v>0</v>
      </c>
      <c r="CF37" s="85">
        <f t="shared" si="4"/>
        <v>0</v>
      </c>
      <c r="CO37" s="85">
        <f t="shared" si="5"/>
        <v>0</v>
      </c>
      <c r="CX37" s="85">
        <f t="shared" si="6"/>
        <v>0</v>
      </c>
      <c r="DG37" s="85">
        <f t="shared" si="7"/>
        <v>0</v>
      </c>
      <c r="DP37" s="85">
        <f t="shared" si="8"/>
        <v>0</v>
      </c>
      <c r="DY37" s="85">
        <f t="shared" si="9"/>
        <v>0</v>
      </c>
      <c r="EH37" s="85">
        <f t="shared" si="10"/>
        <v>0</v>
      </c>
      <c r="EQ37" s="85">
        <f t="shared" si="11"/>
        <v>0</v>
      </c>
      <c r="EZ37" s="21">
        <f t="shared" si="12"/>
        <v>0</v>
      </c>
      <c r="FI37" s="66"/>
      <c r="FN37" s="16"/>
      <c r="FP37" s="85">
        <f t="shared" si="13"/>
        <v>0</v>
      </c>
      <c r="FY37" s="85">
        <f t="shared" si="14"/>
        <v>0</v>
      </c>
      <c r="GH37" s="85">
        <f t="shared" si="15"/>
        <v>0</v>
      </c>
      <c r="GN37" s="85">
        <f t="shared" si="16"/>
        <v>0</v>
      </c>
      <c r="HA37" s="20"/>
    </row>
    <row r="38" spans="2:213" x14ac:dyDescent="0.25">
      <c r="B38" s="82">
        <v>44409</v>
      </c>
      <c r="C38" s="217"/>
      <c r="D38" s="22"/>
      <c r="E38" s="22"/>
      <c r="F38" s="46">
        <f t="shared" si="26"/>
        <v>0</v>
      </c>
      <c r="G38" s="22"/>
      <c r="H38" s="22"/>
      <c r="I38" s="46">
        <f t="shared" si="27"/>
        <v>0</v>
      </c>
      <c r="J38" s="22"/>
      <c r="K38" s="22"/>
      <c r="L38" s="46">
        <f t="shared" si="28"/>
        <v>0</v>
      </c>
      <c r="M38" s="22"/>
      <c r="N38" s="22"/>
      <c r="O38" s="46">
        <f t="shared" si="29"/>
        <v>0</v>
      </c>
      <c r="P38" s="22"/>
      <c r="Q38" s="22"/>
      <c r="R38" s="46">
        <f t="shared" si="30"/>
        <v>0</v>
      </c>
      <c r="S38" s="22"/>
      <c r="T38" s="22"/>
      <c r="U38" s="46">
        <f t="shared" si="31"/>
        <v>0</v>
      </c>
      <c r="V38" s="22"/>
      <c r="W38" s="22"/>
      <c r="X38" s="46">
        <f t="shared" si="32"/>
        <v>0</v>
      </c>
      <c r="Y38" s="22"/>
      <c r="Z38" s="22"/>
      <c r="AA38" s="46">
        <f t="shared" si="33"/>
        <v>0</v>
      </c>
      <c r="AB38" s="22"/>
      <c r="AC38" s="22"/>
      <c r="AD38" s="46">
        <f t="shared" si="34"/>
        <v>0</v>
      </c>
      <c r="AE38" s="22"/>
      <c r="AF38" s="22"/>
      <c r="AG38" s="46">
        <f t="shared" si="35"/>
        <v>0</v>
      </c>
      <c r="AH38" s="22"/>
      <c r="AI38" s="22"/>
      <c r="AJ38" s="46">
        <f t="shared" si="36"/>
        <v>0</v>
      </c>
      <c r="AK38" s="252"/>
      <c r="AL38" s="252"/>
      <c r="AM38" s="46">
        <f t="shared" si="17"/>
        <v>0</v>
      </c>
      <c r="AO38" s="46">
        <f t="shared" si="18"/>
        <v>0</v>
      </c>
      <c r="AP38" s="22">
        <f t="shared" si="19"/>
        <v>0</v>
      </c>
      <c r="AQ38" s="22" t="e">
        <f t="shared" si="20"/>
        <v>#DIV/0!</v>
      </c>
      <c r="AR38" s="22">
        <f>SUM(AO34:AO38)</f>
        <v>0</v>
      </c>
      <c r="AS38" s="16"/>
      <c r="AT38" s="89">
        <f t="shared" si="0"/>
        <v>44409</v>
      </c>
      <c r="AU38" s="22"/>
      <c r="AV38" s="46">
        <f t="shared" si="37"/>
        <v>0</v>
      </c>
      <c r="AW38" s="22"/>
      <c r="AX38" s="46">
        <f t="shared" si="38"/>
        <v>0</v>
      </c>
      <c r="AY38" s="103"/>
      <c r="AZ38" s="104">
        <f t="shared" si="47"/>
        <v>0</v>
      </c>
      <c r="BA38" s="22"/>
      <c r="BB38" s="46">
        <f t="shared" si="40"/>
        <v>0</v>
      </c>
      <c r="BC38" s="83"/>
      <c r="BD38" s="27">
        <f t="shared" si="21"/>
        <v>0</v>
      </c>
      <c r="BE38" s="22">
        <f>SUM(BC34:BD38)</f>
        <v>0</v>
      </c>
      <c r="BF38" s="22">
        <f>SUM(AR38+BE38)</f>
        <v>0</v>
      </c>
      <c r="BH38" s="16"/>
      <c r="BJ38" s="21">
        <f t="shared" si="1"/>
        <v>0</v>
      </c>
      <c r="BK38" s="22"/>
      <c r="BL38" s="21">
        <f>SUM(BK38-BK33)</f>
        <v>0</v>
      </c>
      <c r="BM38" s="84">
        <f>SUM(BL38*0.13773+BL38*0.02095)*1.09+2.85</f>
        <v>2.85</v>
      </c>
      <c r="BN38" s="85">
        <f t="shared" si="2"/>
        <v>0</v>
      </c>
      <c r="BO38" s="22"/>
      <c r="BP38" s="22"/>
      <c r="BQ38" s="21">
        <f>SUM(BO38-BO33)*160</f>
        <v>0</v>
      </c>
      <c r="BR38" s="21">
        <f>(BP38)*160</f>
        <v>0</v>
      </c>
      <c r="BS38" s="84">
        <f>SUM(BQ38*0.05155)</f>
        <v>0</v>
      </c>
      <c r="BT38" s="84">
        <f>SUM(BQ38*0.02095)</f>
        <v>0</v>
      </c>
      <c r="BU38" s="84">
        <f>SUM(BR38*7.689)</f>
        <v>0</v>
      </c>
      <c r="BV38" s="84">
        <f>SUM(BS38+BT38)*1.11</f>
        <v>0</v>
      </c>
      <c r="BW38" s="85">
        <f t="shared" si="3"/>
        <v>0</v>
      </c>
      <c r="BX38" s="22"/>
      <c r="BY38" s="22"/>
      <c r="BZ38" s="21">
        <f>SUM(BX38-BX33)*160</f>
        <v>0</v>
      </c>
      <c r="CA38" s="21">
        <f>(BY38)*160</f>
        <v>0</v>
      </c>
      <c r="CB38" s="84">
        <f>SUM(BZ38*0.05155)</f>
        <v>0</v>
      </c>
      <c r="CC38" s="84">
        <f>SUM(BZ38*0.02095)</f>
        <v>0</v>
      </c>
      <c r="CD38" s="84">
        <f>SUM(CA38*7.689)</f>
        <v>0</v>
      </c>
      <c r="CE38" s="84">
        <f>SUM((CB38+CC38)+20)* 1.11</f>
        <v>22.200000000000003</v>
      </c>
      <c r="CF38" s="85">
        <f t="shared" si="4"/>
        <v>0</v>
      </c>
      <c r="CG38" s="22"/>
      <c r="CH38" s="22"/>
      <c r="CI38" s="21">
        <f>SUM(CG38-CG33)*300</f>
        <v>0</v>
      </c>
      <c r="CJ38" s="21">
        <f>(CH38)*300</f>
        <v>0</v>
      </c>
      <c r="CK38" s="84">
        <f>SUM(CI38*0.05155)</f>
        <v>0</v>
      </c>
      <c r="CL38" s="84">
        <f>SUM(CI38*0.02095)</f>
        <v>0</v>
      </c>
      <c r="CM38" s="84">
        <f>SUM(CJ38*7.689)</f>
        <v>0</v>
      </c>
      <c r="CN38" s="84">
        <f>SUM((CK38+CL38)+20)*1.11</f>
        <v>22.200000000000003</v>
      </c>
      <c r="CO38" s="85">
        <f t="shared" si="5"/>
        <v>0</v>
      </c>
      <c r="CP38" s="22"/>
      <c r="CQ38" s="22"/>
      <c r="CR38" s="21">
        <f>(CP38-CP33)*40</f>
        <v>0</v>
      </c>
      <c r="CS38" s="21">
        <f>(CQ38)*40</f>
        <v>0</v>
      </c>
      <c r="CT38" s="84">
        <f>SUM(CR38*0.05155)</f>
        <v>0</v>
      </c>
      <c r="CU38" s="84">
        <f>SUM(CR38*0.02095)</f>
        <v>0</v>
      </c>
      <c r="CV38" s="84">
        <f>SUM(CS38*7.689)</f>
        <v>0</v>
      </c>
      <c r="CW38" s="84">
        <f>SUM((CT38+CU38)+20)*1.11</f>
        <v>22.200000000000003</v>
      </c>
      <c r="CX38" s="85">
        <f t="shared" si="6"/>
        <v>0</v>
      </c>
      <c r="CY38" s="22"/>
      <c r="CZ38" s="22"/>
      <c r="DA38" s="21">
        <f>SUM(CY38-CY33)*300</f>
        <v>0</v>
      </c>
      <c r="DB38" s="86">
        <f>(CZ38)*300</f>
        <v>0</v>
      </c>
      <c r="DC38" s="84">
        <f>SUM(DA38*0.05155)</f>
        <v>0</v>
      </c>
      <c r="DD38" s="84">
        <f>SUM(DA38*0.02095)</f>
        <v>0</v>
      </c>
      <c r="DE38" s="84">
        <f>SUM(DB38*7.689)</f>
        <v>0</v>
      </c>
      <c r="DF38" s="84">
        <f>SUM((DC38+DD38)+20)*1.12</f>
        <v>22.400000000000002</v>
      </c>
      <c r="DG38" s="85">
        <f t="shared" si="7"/>
        <v>0</v>
      </c>
      <c r="DH38" s="22"/>
      <c r="DI38" s="22"/>
      <c r="DJ38" s="21">
        <f>SUM(DH38-DH33)*400</f>
        <v>0</v>
      </c>
      <c r="DK38" s="86">
        <f>(DI38)*400</f>
        <v>0</v>
      </c>
      <c r="DL38" s="84">
        <f>SUM(DJ38*0.05155)</f>
        <v>0</v>
      </c>
      <c r="DM38" s="84">
        <f>SUM(DJ38*0.02095)</f>
        <v>0</v>
      </c>
      <c r="DN38" s="84">
        <f>SUM(DK38*7.689)</f>
        <v>0</v>
      </c>
      <c r="DO38" s="84">
        <f>SUM((DL38+DM38)+20)*1.12</f>
        <v>22.400000000000002</v>
      </c>
      <c r="DP38" s="85">
        <f t="shared" si="8"/>
        <v>0</v>
      </c>
      <c r="DQ38" s="22"/>
      <c r="DR38" s="22"/>
      <c r="DS38" s="21">
        <f>SUM(DQ38-DQ33)*400</f>
        <v>0</v>
      </c>
      <c r="DT38" s="21">
        <f>(DR38)*400</f>
        <v>0</v>
      </c>
      <c r="DU38" s="84">
        <f>SUM(DS38*0.05155)</f>
        <v>0</v>
      </c>
      <c r="DV38" s="84">
        <f>SUM(DS38*0.02095)</f>
        <v>0</v>
      </c>
      <c r="DW38" s="84">
        <f>SUM(DT38*7.689)</f>
        <v>0</v>
      </c>
      <c r="DX38" s="84">
        <f>SUM((DU38+DV38)+20)*1.12</f>
        <v>22.400000000000002</v>
      </c>
      <c r="DY38" s="85">
        <f t="shared" si="9"/>
        <v>0</v>
      </c>
      <c r="DZ38" s="22"/>
      <c r="EA38" s="22"/>
      <c r="EB38" s="21">
        <f>SUM(DZ38-DZ33)*400</f>
        <v>0</v>
      </c>
      <c r="EC38" s="21">
        <f>(EA38)*400</f>
        <v>0</v>
      </c>
      <c r="ED38" s="84">
        <f>SUM(EB38*0.05155)</f>
        <v>0</v>
      </c>
      <c r="EE38" s="84">
        <f>SUM(EB38*0.02095)</f>
        <v>0</v>
      </c>
      <c r="EF38" s="84">
        <f>SUM(EC38*7.689)</f>
        <v>0</v>
      </c>
      <c r="EG38" s="84">
        <f>SUM((ED38+EE38)+20)*1.12</f>
        <v>22.400000000000002</v>
      </c>
      <c r="EH38" s="85">
        <f t="shared" si="10"/>
        <v>0</v>
      </c>
      <c r="EI38" s="22"/>
      <c r="EJ38" s="22"/>
      <c r="EK38" s="21">
        <f>SUM(EI38-EI33)*160</f>
        <v>0</v>
      </c>
      <c r="EL38" s="21">
        <f>(EJ38)*160</f>
        <v>0</v>
      </c>
      <c r="EM38" s="84">
        <f>SUM(EK38*0.05155)</f>
        <v>0</v>
      </c>
      <c r="EN38" s="84">
        <f>SUM(EK38*0.02095)</f>
        <v>0</v>
      </c>
      <c r="EO38" s="84">
        <f>SUM(EL38*7.689)</f>
        <v>0</v>
      </c>
      <c r="EP38" s="84">
        <f>SUM((EM38+EN38)+20)*1.12</f>
        <v>22.400000000000002</v>
      </c>
      <c r="EQ38" s="85">
        <f t="shared" si="11"/>
        <v>0</v>
      </c>
      <c r="ER38" s="22"/>
      <c r="ES38" s="22"/>
      <c r="ET38" s="21">
        <f>SUM(ER38-ER33)*160</f>
        <v>0</v>
      </c>
      <c r="EU38" s="21">
        <f>(ES38)*160</f>
        <v>0</v>
      </c>
      <c r="EV38" s="84">
        <f>SUM(ET38*0.05155)</f>
        <v>0</v>
      </c>
      <c r="EW38" s="84">
        <f>SUM(ET38*0.02095)</f>
        <v>0</v>
      </c>
      <c r="EX38" s="84">
        <f>SUM(EU38*7.689)</f>
        <v>0</v>
      </c>
      <c r="EY38" s="84">
        <f>SUM((EV38+EW38)+20)*1.12</f>
        <v>22.400000000000002</v>
      </c>
      <c r="EZ38" s="21">
        <f t="shared" si="12"/>
        <v>0</v>
      </c>
      <c r="FA38" s="97"/>
      <c r="FB38" s="97"/>
      <c r="FC38" s="21">
        <f>SUM(FA38-FA33)*200</f>
        <v>0</v>
      </c>
      <c r="FD38" s="21">
        <f>(FB38)*200</f>
        <v>0</v>
      </c>
      <c r="FE38" s="84">
        <f>SUM(FC38*0.05155)</f>
        <v>0</v>
      </c>
      <c r="FF38" s="84">
        <f>SUM(FC38*0.02095)</f>
        <v>0</v>
      </c>
      <c r="FG38" s="84">
        <f>SUM(FD38*7.689)</f>
        <v>0</v>
      </c>
      <c r="FH38" s="84">
        <f>SUM((FE38+FF38)+20)*1.12</f>
        <v>22.400000000000002</v>
      </c>
      <c r="FI38" s="66"/>
      <c r="FJ38" s="101">
        <f>SUM(BL38+BQ38+BZ38+CI38+CR38+DA38+DJ38+DS38+EB38+EK38+ET38+FC38)</f>
        <v>0</v>
      </c>
      <c r="FK38" s="102">
        <f>SUM(BM38+BV38,CE38,CN38,CW38,DF38,DO38,DX38,EG38,EP38,EY38+FH38)</f>
        <v>226.25000000000006</v>
      </c>
      <c r="FL38" s="102">
        <f>SUM(BU38,CD38,CM38,CV38,DE38,DN38,DW38,EF38,EO38,EX38,FG38)</f>
        <v>0</v>
      </c>
      <c r="FM38" s="102">
        <f>SUM(FK38:FL38)</f>
        <v>226.25000000000006</v>
      </c>
      <c r="FN38" s="16"/>
      <c r="FP38" s="85">
        <f t="shared" si="13"/>
        <v>0</v>
      </c>
      <c r="FQ38" s="22"/>
      <c r="FR38" s="22"/>
      <c r="FS38" s="21">
        <f>SUM(FQ38-FQ33)*100</f>
        <v>0</v>
      </c>
      <c r="FT38" s="21">
        <f>SUM(FR38)*100</f>
        <v>0</v>
      </c>
      <c r="FU38" s="87">
        <f>SUM(FS38*0.05155)</f>
        <v>0</v>
      </c>
      <c r="FV38" s="87">
        <f>SUM(FS38*0.02095)</f>
        <v>0</v>
      </c>
      <c r="FW38" s="87">
        <f>SUM(FT38*7.689)</f>
        <v>0</v>
      </c>
      <c r="FX38" s="84">
        <f>SUM(FV38+FU38+20)*1.1048</f>
        <v>22.096</v>
      </c>
      <c r="FY38" s="85">
        <f t="shared" si="14"/>
        <v>0</v>
      </c>
      <c r="FZ38" s="22"/>
      <c r="GA38" s="22"/>
      <c r="GB38" s="21">
        <f>SUM(FZ38-FZ33)*100</f>
        <v>0</v>
      </c>
      <c r="GC38" s="21">
        <f>SUM(GA38)*100</f>
        <v>0</v>
      </c>
      <c r="GD38" s="87">
        <f>SUM(GB38*0.05155)</f>
        <v>0</v>
      </c>
      <c r="GE38" s="87">
        <f>SUM(GB38*0.02095)</f>
        <v>0</v>
      </c>
      <c r="GF38" s="87">
        <f>SUM(GC38*7.689)</f>
        <v>0</v>
      </c>
      <c r="GG38" s="84">
        <f>SUM(GE38+GD38+20)*1.1048</f>
        <v>22.096</v>
      </c>
      <c r="GH38" s="85">
        <f t="shared" si="15"/>
        <v>0</v>
      </c>
      <c r="GI38" s="22"/>
      <c r="GJ38" s="21">
        <f>SUM(GI38-GI33)</f>
        <v>0</v>
      </c>
      <c r="GK38" s="84">
        <f>SUM(GJ38*0.13773)</f>
        <v>0</v>
      </c>
      <c r="GL38" s="84">
        <f>SUM(GJ38*0.02095)</f>
        <v>0</v>
      </c>
      <c r="GM38" s="84">
        <f>SUM(GK38+GL38+2.32)*1.07</f>
        <v>2.4824000000000002</v>
      </c>
      <c r="GN38" s="85">
        <f t="shared" si="16"/>
        <v>0</v>
      </c>
      <c r="GO38" s="22"/>
      <c r="GP38" s="22"/>
      <c r="GQ38" s="21">
        <f>SUM(GO38-GO33)*40</f>
        <v>0</v>
      </c>
      <c r="GR38" s="21">
        <f>SUM(GP38)*40</f>
        <v>0</v>
      </c>
      <c r="GS38" s="84">
        <f>SUM(GQ38*0.05155)</f>
        <v>0</v>
      </c>
      <c r="GT38" s="84">
        <f>SUM(GQ38*0.02095)</f>
        <v>0</v>
      </c>
      <c r="GU38" s="84">
        <f>SUM(GR38*7.689)</f>
        <v>0</v>
      </c>
      <c r="GV38" s="84">
        <f>SUM(GT38+GS38+20)*1.2</f>
        <v>24</v>
      </c>
      <c r="GW38" s="22">
        <f>SUM(FS38+GB38+GJ38+GQ38)</f>
        <v>0</v>
      </c>
      <c r="GX38" s="102">
        <f>SUM(GV38+GM38+GG38+FX38)</f>
        <v>70.674400000000006</v>
      </c>
      <c r="GY38" s="102">
        <f>SUM(FW38+GF38+GU38)</f>
        <v>0</v>
      </c>
      <c r="GZ38" s="102">
        <f>SUM(GX38:GY38)</f>
        <v>70.674400000000006</v>
      </c>
      <c r="HA38" s="20"/>
      <c r="HB38" s="101">
        <f t="shared" ref="HB38:HD38" si="50">(FJ38+GW38)</f>
        <v>0</v>
      </c>
      <c r="HC38" s="102">
        <f t="shared" si="50"/>
        <v>296.92440000000005</v>
      </c>
      <c r="HD38" s="102">
        <f t="shared" si="50"/>
        <v>0</v>
      </c>
      <c r="HE38" s="102">
        <f t="shared" ref="HE38" si="51">(HC38+HD38)</f>
        <v>296.92440000000005</v>
      </c>
    </row>
    <row r="39" spans="2:213" x14ac:dyDescent="0.25">
      <c r="B39" s="82">
        <v>44410</v>
      </c>
      <c r="C39" s="217"/>
      <c r="D39" s="22"/>
      <c r="E39" s="22"/>
      <c r="F39" s="46">
        <f t="shared" si="26"/>
        <v>0</v>
      </c>
      <c r="G39" s="22"/>
      <c r="H39" s="22"/>
      <c r="I39" s="46">
        <f t="shared" si="27"/>
        <v>0</v>
      </c>
      <c r="J39" s="22"/>
      <c r="K39" s="22"/>
      <c r="L39" s="46">
        <f t="shared" si="28"/>
        <v>0</v>
      </c>
      <c r="M39" s="22"/>
      <c r="N39" s="22"/>
      <c r="O39" s="46">
        <f t="shared" si="29"/>
        <v>0</v>
      </c>
      <c r="P39" s="22"/>
      <c r="Q39" s="22"/>
      <c r="R39" s="46">
        <f t="shared" si="30"/>
        <v>0</v>
      </c>
      <c r="S39" s="22"/>
      <c r="T39" s="22"/>
      <c r="U39" s="46">
        <f t="shared" si="31"/>
        <v>0</v>
      </c>
      <c r="V39" s="22"/>
      <c r="W39" s="22"/>
      <c r="X39" s="46">
        <f t="shared" si="32"/>
        <v>0</v>
      </c>
      <c r="Y39" s="22"/>
      <c r="Z39" s="22"/>
      <c r="AA39" s="46">
        <f t="shared" si="33"/>
        <v>0</v>
      </c>
      <c r="AB39" s="22"/>
      <c r="AC39" s="22"/>
      <c r="AD39" s="46">
        <f t="shared" si="34"/>
        <v>0</v>
      </c>
      <c r="AE39" s="22"/>
      <c r="AF39" s="22"/>
      <c r="AG39" s="46">
        <f t="shared" si="35"/>
        <v>0</v>
      </c>
      <c r="AH39" s="22"/>
      <c r="AI39" s="22"/>
      <c r="AJ39" s="46">
        <f t="shared" si="36"/>
        <v>0</v>
      </c>
      <c r="AK39" s="252"/>
      <c r="AL39" s="252"/>
      <c r="AM39" s="46">
        <f t="shared" si="17"/>
        <v>0</v>
      </c>
      <c r="AO39" s="46">
        <f t="shared" si="18"/>
        <v>0</v>
      </c>
      <c r="AP39" s="22">
        <f t="shared" si="19"/>
        <v>0</v>
      </c>
      <c r="AQ39" s="22" t="e">
        <f t="shared" si="20"/>
        <v>#DIV/0!</v>
      </c>
      <c r="AR39" s="22"/>
      <c r="AS39" s="16"/>
      <c r="AT39" s="89">
        <f t="shared" si="0"/>
        <v>44410</v>
      </c>
      <c r="AU39" s="22"/>
      <c r="AV39" s="46">
        <f t="shared" si="37"/>
        <v>0</v>
      </c>
      <c r="AW39" s="22"/>
      <c r="AX39" s="46">
        <f t="shared" si="38"/>
        <v>0</v>
      </c>
      <c r="AY39" s="103"/>
      <c r="AZ39" s="104">
        <f t="shared" si="47"/>
        <v>0</v>
      </c>
      <c r="BA39" s="22"/>
      <c r="BB39" s="46">
        <f t="shared" si="40"/>
        <v>0</v>
      </c>
      <c r="BC39" s="83"/>
      <c r="BD39" s="27">
        <f t="shared" si="21"/>
        <v>0</v>
      </c>
      <c r="BE39" s="22"/>
      <c r="BF39" s="22"/>
      <c r="BH39" s="16"/>
      <c r="BJ39" s="21">
        <f t="shared" si="1"/>
        <v>0</v>
      </c>
      <c r="BN39" s="85">
        <f t="shared" si="2"/>
        <v>0</v>
      </c>
      <c r="BW39" s="85">
        <f t="shared" si="3"/>
        <v>0</v>
      </c>
      <c r="CF39" s="85">
        <f t="shared" si="4"/>
        <v>0</v>
      </c>
      <c r="CO39" s="85">
        <f t="shared" si="5"/>
        <v>0</v>
      </c>
      <c r="CX39" s="85">
        <f t="shared" si="6"/>
        <v>0</v>
      </c>
      <c r="DG39" s="85">
        <f t="shared" si="7"/>
        <v>0</v>
      </c>
      <c r="DP39" s="85">
        <f t="shared" si="8"/>
        <v>0</v>
      </c>
      <c r="DY39" s="85">
        <f t="shared" si="9"/>
        <v>0</v>
      </c>
      <c r="EH39" s="85">
        <f t="shared" si="10"/>
        <v>0</v>
      </c>
      <c r="EQ39" s="85">
        <f t="shared" si="11"/>
        <v>0</v>
      </c>
      <c r="EZ39" s="21">
        <f t="shared" si="12"/>
        <v>0</v>
      </c>
      <c r="FI39" s="66"/>
      <c r="FN39" s="16"/>
      <c r="FP39" s="85">
        <f t="shared" ref="FP39:FP44" si="52">SUM(AW39)</f>
        <v>0</v>
      </c>
      <c r="FY39" s="85">
        <f t="shared" si="14"/>
        <v>0</v>
      </c>
      <c r="GH39" s="85">
        <f t="shared" si="15"/>
        <v>0</v>
      </c>
      <c r="GN39" s="85">
        <f t="shared" si="16"/>
        <v>0</v>
      </c>
      <c r="HA39" s="20"/>
    </row>
    <row r="40" spans="2:213" x14ac:dyDescent="0.25">
      <c r="B40" s="82">
        <v>44417</v>
      </c>
      <c r="C40" s="217"/>
      <c r="D40" s="22"/>
      <c r="E40" s="22"/>
      <c r="F40" s="46">
        <f t="shared" si="26"/>
        <v>0</v>
      </c>
      <c r="G40" s="22"/>
      <c r="H40" s="22"/>
      <c r="I40" s="46">
        <f t="shared" si="27"/>
        <v>0</v>
      </c>
      <c r="J40" s="22"/>
      <c r="K40" s="22"/>
      <c r="L40" s="46">
        <f t="shared" si="28"/>
        <v>0</v>
      </c>
      <c r="M40" s="22"/>
      <c r="N40" s="22"/>
      <c r="O40" s="46">
        <f t="shared" si="29"/>
        <v>0</v>
      </c>
      <c r="P40" s="22"/>
      <c r="Q40" s="22"/>
      <c r="R40" s="46">
        <f t="shared" si="30"/>
        <v>0</v>
      </c>
      <c r="S40" s="22"/>
      <c r="T40" s="22"/>
      <c r="U40" s="46">
        <f t="shared" si="31"/>
        <v>0</v>
      </c>
      <c r="V40" s="22"/>
      <c r="W40" s="22"/>
      <c r="X40" s="46">
        <f t="shared" si="32"/>
        <v>0</v>
      </c>
      <c r="Y40" s="22"/>
      <c r="Z40" s="22"/>
      <c r="AA40" s="46">
        <f t="shared" si="33"/>
        <v>0</v>
      </c>
      <c r="AB40" s="22"/>
      <c r="AC40" s="22"/>
      <c r="AD40" s="46">
        <f t="shared" si="34"/>
        <v>0</v>
      </c>
      <c r="AE40" s="22"/>
      <c r="AF40" s="22"/>
      <c r="AG40" s="46">
        <f t="shared" si="35"/>
        <v>0</v>
      </c>
      <c r="AH40" s="22"/>
      <c r="AI40" s="22"/>
      <c r="AJ40" s="46">
        <f t="shared" si="36"/>
        <v>0</v>
      </c>
      <c r="AK40" s="252"/>
      <c r="AL40" s="252"/>
      <c r="AM40" s="46">
        <f t="shared" si="17"/>
        <v>0</v>
      </c>
      <c r="AO40" s="46">
        <f t="shared" si="18"/>
        <v>0</v>
      </c>
      <c r="AP40" s="22">
        <f t="shared" si="19"/>
        <v>0</v>
      </c>
      <c r="AQ40" s="22" t="e">
        <f t="shared" si="20"/>
        <v>#DIV/0!</v>
      </c>
      <c r="AR40" s="22"/>
      <c r="AS40" s="16"/>
      <c r="AT40" s="89">
        <f t="shared" si="0"/>
        <v>44417</v>
      </c>
      <c r="AU40" s="22"/>
      <c r="AV40" s="46">
        <f t="shared" si="37"/>
        <v>0</v>
      </c>
      <c r="AW40" s="22"/>
      <c r="AX40" s="46">
        <f t="shared" si="38"/>
        <v>0</v>
      </c>
      <c r="AY40" s="103"/>
      <c r="AZ40" s="104">
        <f t="shared" si="47"/>
        <v>0</v>
      </c>
      <c r="BA40" s="22"/>
      <c r="BB40" s="46">
        <f t="shared" si="40"/>
        <v>0</v>
      </c>
      <c r="BC40" s="83"/>
      <c r="BD40" s="27">
        <f t="shared" si="21"/>
        <v>0</v>
      </c>
      <c r="BE40" s="22"/>
      <c r="BF40" s="22"/>
      <c r="BH40" s="16"/>
      <c r="BJ40" s="21">
        <f t="shared" si="1"/>
        <v>0</v>
      </c>
      <c r="BN40" s="85">
        <f t="shared" si="2"/>
        <v>0</v>
      </c>
      <c r="BW40" s="85">
        <f t="shared" si="3"/>
        <v>0</v>
      </c>
      <c r="CF40" s="85">
        <f t="shared" si="4"/>
        <v>0</v>
      </c>
      <c r="CO40" s="85">
        <f t="shared" si="5"/>
        <v>0</v>
      </c>
      <c r="CX40" s="85">
        <f t="shared" si="6"/>
        <v>0</v>
      </c>
      <c r="DG40" s="85">
        <f t="shared" si="7"/>
        <v>0</v>
      </c>
      <c r="DP40" s="85">
        <f t="shared" si="8"/>
        <v>0</v>
      </c>
      <c r="DY40" s="85">
        <f t="shared" si="9"/>
        <v>0</v>
      </c>
      <c r="EH40" s="85">
        <f t="shared" si="10"/>
        <v>0</v>
      </c>
      <c r="EQ40" s="85">
        <f t="shared" si="11"/>
        <v>0</v>
      </c>
      <c r="EZ40" s="21">
        <f t="shared" si="12"/>
        <v>0</v>
      </c>
      <c r="FI40" s="66"/>
      <c r="FN40" s="16"/>
      <c r="FP40" s="85">
        <f t="shared" si="52"/>
        <v>0</v>
      </c>
      <c r="FY40" s="85">
        <f t="shared" si="14"/>
        <v>0</v>
      </c>
      <c r="GH40" s="85">
        <f t="shared" si="15"/>
        <v>0</v>
      </c>
      <c r="GN40" s="85">
        <f t="shared" si="16"/>
        <v>0</v>
      </c>
      <c r="HA40" s="20"/>
    </row>
    <row r="41" spans="2:213" x14ac:dyDescent="0.25">
      <c r="B41" s="82">
        <v>44424</v>
      </c>
      <c r="C41" s="217"/>
      <c r="D41" s="22"/>
      <c r="E41" s="22"/>
      <c r="F41" s="46">
        <f t="shared" si="26"/>
        <v>0</v>
      </c>
      <c r="G41" s="22"/>
      <c r="H41" s="22"/>
      <c r="I41" s="46">
        <f t="shared" si="27"/>
        <v>0</v>
      </c>
      <c r="J41" s="22"/>
      <c r="K41" s="22"/>
      <c r="L41" s="46">
        <f t="shared" si="28"/>
        <v>0</v>
      </c>
      <c r="M41" s="22"/>
      <c r="N41" s="22"/>
      <c r="O41" s="46">
        <f t="shared" si="29"/>
        <v>0</v>
      </c>
      <c r="P41" s="22"/>
      <c r="Q41" s="22"/>
      <c r="R41" s="46">
        <f t="shared" si="30"/>
        <v>0</v>
      </c>
      <c r="S41" s="22"/>
      <c r="T41" s="22"/>
      <c r="U41" s="46">
        <f t="shared" si="31"/>
        <v>0</v>
      </c>
      <c r="V41" s="22"/>
      <c r="W41" s="22"/>
      <c r="X41" s="46">
        <f t="shared" si="32"/>
        <v>0</v>
      </c>
      <c r="Y41" s="22"/>
      <c r="Z41" s="22"/>
      <c r="AA41" s="46">
        <f t="shared" si="33"/>
        <v>0</v>
      </c>
      <c r="AB41" s="22"/>
      <c r="AC41" s="22"/>
      <c r="AD41" s="46">
        <f t="shared" si="34"/>
        <v>0</v>
      </c>
      <c r="AE41" s="22"/>
      <c r="AF41" s="22"/>
      <c r="AG41" s="46">
        <f t="shared" si="35"/>
        <v>0</v>
      </c>
      <c r="AH41" s="22"/>
      <c r="AI41" s="22"/>
      <c r="AJ41" s="46">
        <f t="shared" si="36"/>
        <v>0</v>
      </c>
      <c r="AK41" s="252"/>
      <c r="AL41" s="252"/>
      <c r="AM41" s="46">
        <f t="shared" si="17"/>
        <v>0</v>
      </c>
      <c r="AO41" s="46">
        <f t="shared" si="18"/>
        <v>0</v>
      </c>
      <c r="AP41" s="22">
        <f t="shared" si="19"/>
        <v>0</v>
      </c>
      <c r="AQ41" s="22" t="e">
        <f t="shared" si="20"/>
        <v>#DIV/0!</v>
      </c>
      <c r="AR41" s="22"/>
      <c r="AS41" s="16"/>
      <c r="AT41" s="89">
        <f t="shared" si="0"/>
        <v>44424</v>
      </c>
      <c r="AU41" s="22"/>
      <c r="AV41" s="46">
        <f t="shared" si="37"/>
        <v>0</v>
      </c>
      <c r="AW41" s="22"/>
      <c r="AX41" s="46">
        <f t="shared" si="38"/>
        <v>0</v>
      </c>
      <c r="AY41" s="103"/>
      <c r="AZ41" s="104">
        <f t="shared" si="47"/>
        <v>0</v>
      </c>
      <c r="BA41" s="22"/>
      <c r="BB41" s="46">
        <f t="shared" si="40"/>
        <v>0</v>
      </c>
      <c r="BC41" s="83"/>
      <c r="BD41" s="27">
        <f t="shared" si="21"/>
        <v>0</v>
      </c>
      <c r="BE41" s="22"/>
      <c r="BF41" s="22"/>
      <c r="BH41" s="16"/>
      <c r="BJ41" s="21">
        <f t="shared" si="1"/>
        <v>0</v>
      </c>
      <c r="BN41" s="85">
        <f t="shared" si="2"/>
        <v>0</v>
      </c>
      <c r="BW41" s="85">
        <f t="shared" si="3"/>
        <v>0</v>
      </c>
      <c r="CF41" s="85">
        <f t="shared" si="4"/>
        <v>0</v>
      </c>
      <c r="CO41" s="85">
        <f t="shared" si="5"/>
        <v>0</v>
      </c>
      <c r="CX41" s="85">
        <f t="shared" si="6"/>
        <v>0</v>
      </c>
      <c r="DG41" s="85">
        <f t="shared" si="7"/>
        <v>0</v>
      </c>
      <c r="DP41" s="85">
        <f t="shared" si="8"/>
        <v>0</v>
      </c>
      <c r="DY41" s="85">
        <f t="shared" si="9"/>
        <v>0</v>
      </c>
      <c r="EH41" s="85">
        <f t="shared" si="10"/>
        <v>0</v>
      </c>
      <c r="EQ41" s="85">
        <f t="shared" si="11"/>
        <v>0</v>
      </c>
      <c r="EZ41" s="21">
        <f t="shared" si="12"/>
        <v>0</v>
      </c>
      <c r="FI41" s="66"/>
      <c r="FN41" s="16"/>
      <c r="FP41" s="85">
        <f t="shared" si="52"/>
        <v>0</v>
      </c>
      <c r="FY41" s="85">
        <f t="shared" si="14"/>
        <v>0</v>
      </c>
      <c r="GH41" s="85">
        <f t="shared" si="15"/>
        <v>0</v>
      </c>
      <c r="GN41" s="85">
        <f t="shared" si="16"/>
        <v>0</v>
      </c>
      <c r="HA41" s="20"/>
    </row>
    <row r="42" spans="2:213" x14ac:dyDescent="0.25">
      <c r="B42" s="82">
        <v>44431</v>
      </c>
      <c r="C42" s="217"/>
      <c r="D42" s="22"/>
      <c r="E42" s="22"/>
      <c r="F42" s="46">
        <f t="shared" si="26"/>
        <v>0</v>
      </c>
      <c r="G42" s="22"/>
      <c r="H42" s="22"/>
      <c r="I42" s="46">
        <f t="shared" si="27"/>
        <v>0</v>
      </c>
      <c r="J42" s="22"/>
      <c r="K42" s="22"/>
      <c r="L42" s="46">
        <f t="shared" si="28"/>
        <v>0</v>
      </c>
      <c r="M42" s="22"/>
      <c r="N42" s="22"/>
      <c r="O42" s="46">
        <f t="shared" si="29"/>
        <v>0</v>
      </c>
      <c r="P42" s="22"/>
      <c r="Q42" s="22"/>
      <c r="R42" s="46">
        <f t="shared" si="30"/>
        <v>0</v>
      </c>
      <c r="S42" s="22"/>
      <c r="T42" s="22"/>
      <c r="U42" s="46">
        <f t="shared" si="31"/>
        <v>0</v>
      </c>
      <c r="V42" s="22"/>
      <c r="W42" s="22"/>
      <c r="X42" s="46">
        <f t="shared" si="32"/>
        <v>0</v>
      </c>
      <c r="Y42" s="22"/>
      <c r="Z42" s="22"/>
      <c r="AA42" s="46">
        <f t="shared" si="33"/>
        <v>0</v>
      </c>
      <c r="AB42" s="22"/>
      <c r="AC42" s="22"/>
      <c r="AD42" s="46">
        <f t="shared" si="34"/>
        <v>0</v>
      </c>
      <c r="AE42" s="22"/>
      <c r="AF42" s="22"/>
      <c r="AG42" s="46">
        <f t="shared" si="35"/>
        <v>0</v>
      </c>
      <c r="AH42" s="22"/>
      <c r="AI42" s="22"/>
      <c r="AJ42" s="46">
        <f t="shared" si="36"/>
        <v>0</v>
      </c>
      <c r="AK42" s="252"/>
      <c r="AL42" s="252"/>
      <c r="AM42" s="46">
        <f t="shared" si="17"/>
        <v>0</v>
      </c>
      <c r="AO42" s="46">
        <f t="shared" si="18"/>
        <v>0</v>
      </c>
      <c r="AP42" s="22">
        <f t="shared" si="19"/>
        <v>0</v>
      </c>
      <c r="AQ42" s="22" t="e">
        <f t="shared" si="20"/>
        <v>#DIV/0!</v>
      </c>
      <c r="AR42" s="22"/>
      <c r="AS42" s="16"/>
      <c r="AT42" s="89">
        <f t="shared" si="0"/>
        <v>44431</v>
      </c>
      <c r="AU42" s="22"/>
      <c r="AV42" s="46">
        <f t="shared" si="37"/>
        <v>0</v>
      </c>
      <c r="AW42" s="22"/>
      <c r="AX42" s="46">
        <f t="shared" si="38"/>
        <v>0</v>
      </c>
      <c r="AY42" s="103"/>
      <c r="AZ42" s="104">
        <f t="shared" si="47"/>
        <v>0</v>
      </c>
      <c r="BA42" s="22"/>
      <c r="BB42" s="46">
        <f t="shared" si="40"/>
        <v>0</v>
      </c>
      <c r="BC42" s="83"/>
      <c r="BD42" s="27">
        <f t="shared" si="21"/>
        <v>0</v>
      </c>
      <c r="BE42" s="22"/>
      <c r="BF42" s="22"/>
      <c r="BH42" s="16"/>
      <c r="BJ42" s="21">
        <f t="shared" si="1"/>
        <v>0</v>
      </c>
      <c r="BN42" s="85">
        <f t="shared" si="2"/>
        <v>0</v>
      </c>
      <c r="BW42" s="85">
        <f t="shared" si="3"/>
        <v>0</v>
      </c>
      <c r="CF42" s="85">
        <f t="shared" si="4"/>
        <v>0</v>
      </c>
      <c r="CO42" s="85">
        <f t="shared" si="5"/>
        <v>0</v>
      </c>
      <c r="CX42" s="85">
        <f t="shared" si="6"/>
        <v>0</v>
      </c>
      <c r="DG42" s="85">
        <f t="shared" si="7"/>
        <v>0</v>
      </c>
      <c r="DP42" s="85">
        <f t="shared" si="8"/>
        <v>0</v>
      </c>
      <c r="DY42" s="85">
        <f t="shared" si="9"/>
        <v>0</v>
      </c>
      <c r="EH42" s="85">
        <f t="shared" si="10"/>
        <v>0</v>
      </c>
      <c r="EQ42" s="85">
        <f t="shared" si="11"/>
        <v>0</v>
      </c>
      <c r="EZ42" s="21">
        <f t="shared" si="12"/>
        <v>0</v>
      </c>
      <c r="FI42" s="66"/>
      <c r="FN42" s="16"/>
      <c r="FP42" s="85">
        <f t="shared" si="52"/>
        <v>0</v>
      </c>
      <c r="FY42" s="85">
        <f t="shared" si="14"/>
        <v>0</v>
      </c>
      <c r="GH42" s="85">
        <f t="shared" si="15"/>
        <v>0</v>
      </c>
      <c r="GN42" s="85">
        <f t="shared" si="16"/>
        <v>0</v>
      </c>
      <c r="HA42" s="20"/>
    </row>
    <row r="43" spans="2:213" x14ac:dyDescent="0.25">
      <c r="B43" s="82">
        <v>44438</v>
      </c>
      <c r="C43" s="217"/>
      <c r="D43" s="22"/>
      <c r="E43" s="22"/>
      <c r="F43" s="46">
        <f t="shared" si="26"/>
        <v>0</v>
      </c>
      <c r="G43" s="22"/>
      <c r="H43" s="22"/>
      <c r="I43" s="46">
        <f t="shared" si="27"/>
        <v>0</v>
      </c>
      <c r="J43" s="22"/>
      <c r="K43" s="22"/>
      <c r="L43" s="46">
        <f t="shared" si="28"/>
        <v>0</v>
      </c>
      <c r="M43" s="22"/>
      <c r="N43" s="22"/>
      <c r="O43" s="46">
        <f t="shared" si="29"/>
        <v>0</v>
      </c>
      <c r="P43" s="22"/>
      <c r="Q43" s="22"/>
      <c r="R43" s="46">
        <f t="shared" si="30"/>
        <v>0</v>
      </c>
      <c r="S43" s="22"/>
      <c r="T43" s="22"/>
      <c r="U43" s="46">
        <f t="shared" si="31"/>
        <v>0</v>
      </c>
      <c r="V43" s="22"/>
      <c r="W43" s="22"/>
      <c r="X43" s="46">
        <f t="shared" si="32"/>
        <v>0</v>
      </c>
      <c r="Y43" s="22"/>
      <c r="Z43" s="22"/>
      <c r="AA43" s="46">
        <f t="shared" si="33"/>
        <v>0</v>
      </c>
      <c r="AB43" s="22"/>
      <c r="AC43" s="22"/>
      <c r="AD43" s="46">
        <f t="shared" si="34"/>
        <v>0</v>
      </c>
      <c r="AE43" s="22"/>
      <c r="AF43" s="22"/>
      <c r="AG43" s="46">
        <f t="shared" si="35"/>
        <v>0</v>
      </c>
      <c r="AH43" s="22"/>
      <c r="AI43" s="22"/>
      <c r="AJ43" s="46">
        <f t="shared" si="36"/>
        <v>0</v>
      </c>
      <c r="AK43" s="252"/>
      <c r="AL43" s="252"/>
      <c r="AM43" s="46">
        <f t="shared" si="17"/>
        <v>0</v>
      </c>
      <c r="AO43" s="46">
        <f t="shared" si="18"/>
        <v>0</v>
      </c>
      <c r="AP43" s="22">
        <f t="shared" si="19"/>
        <v>0</v>
      </c>
      <c r="AQ43" s="22" t="e">
        <f t="shared" si="20"/>
        <v>#DIV/0!</v>
      </c>
      <c r="AR43" s="22">
        <f>SUM(AO39:AO43)</f>
        <v>0</v>
      </c>
      <c r="AS43" s="16"/>
      <c r="AT43" s="89">
        <f t="shared" si="0"/>
        <v>44438</v>
      </c>
      <c r="AU43" s="22"/>
      <c r="AV43" s="46">
        <f t="shared" si="37"/>
        <v>0</v>
      </c>
      <c r="AW43" s="22"/>
      <c r="AX43" s="46">
        <f t="shared" si="38"/>
        <v>0</v>
      </c>
      <c r="AY43" s="103"/>
      <c r="AZ43" s="104">
        <f t="shared" si="47"/>
        <v>0</v>
      </c>
      <c r="BA43" s="22"/>
      <c r="BB43" s="46">
        <f t="shared" si="40"/>
        <v>0</v>
      </c>
      <c r="BC43" s="83"/>
      <c r="BD43" s="27">
        <f t="shared" si="21"/>
        <v>0</v>
      </c>
      <c r="BE43" s="22">
        <f>SUM(BC39:BD43)</f>
        <v>0</v>
      </c>
      <c r="BF43" s="22">
        <f>SUM(AR43+BE43)</f>
        <v>0</v>
      </c>
      <c r="BH43" s="16"/>
      <c r="BJ43" s="21">
        <f t="shared" si="1"/>
        <v>0</v>
      </c>
      <c r="BN43" s="85">
        <f t="shared" si="2"/>
        <v>0</v>
      </c>
      <c r="BW43" s="85">
        <f t="shared" si="3"/>
        <v>0</v>
      </c>
      <c r="CF43" s="85">
        <f t="shared" si="4"/>
        <v>0</v>
      </c>
      <c r="CO43" s="85">
        <f t="shared" si="5"/>
        <v>0</v>
      </c>
      <c r="CX43" s="85">
        <f t="shared" si="6"/>
        <v>0</v>
      </c>
      <c r="DG43" s="85">
        <f t="shared" si="7"/>
        <v>0</v>
      </c>
      <c r="DP43" s="85">
        <f t="shared" si="8"/>
        <v>0</v>
      </c>
      <c r="DY43" s="85">
        <f t="shared" si="9"/>
        <v>0</v>
      </c>
      <c r="EH43" s="85">
        <f t="shared" si="10"/>
        <v>0</v>
      </c>
      <c r="EQ43" s="85">
        <f t="shared" si="11"/>
        <v>0</v>
      </c>
      <c r="EZ43" s="21">
        <f t="shared" si="12"/>
        <v>0</v>
      </c>
      <c r="FI43" s="66"/>
      <c r="FN43" s="16"/>
      <c r="FP43" s="85">
        <f t="shared" si="52"/>
        <v>0</v>
      </c>
      <c r="FY43" s="85">
        <f t="shared" si="14"/>
        <v>0</v>
      </c>
      <c r="GH43" s="85">
        <f t="shared" si="15"/>
        <v>0</v>
      </c>
      <c r="GN43" s="85">
        <f t="shared" si="16"/>
        <v>0</v>
      </c>
      <c r="HA43" s="20"/>
    </row>
    <row r="44" spans="2:213" x14ac:dyDescent="0.25">
      <c r="B44" s="82">
        <v>44445</v>
      </c>
      <c r="C44" s="217"/>
      <c r="D44" s="22"/>
      <c r="E44" s="22"/>
      <c r="F44" s="46">
        <f t="shared" si="26"/>
        <v>0</v>
      </c>
      <c r="G44" s="22"/>
      <c r="H44" s="22"/>
      <c r="I44" s="46">
        <f t="shared" si="27"/>
        <v>0</v>
      </c>
      <c r="J44" s="22"/>
      <c r="K44" s="22"/>
      <c r="L44" s="46">
        <f t="shared" si="28"/>
        <v>0</v>
      </c>
      <c r="M44" s="22"/>
      <c r="N44" s="22"/>
      <c r="O44" s="46">
        <f t="shared" si="29"/>
        <v>0</v>
      </c>
      <c r="P44" s="22"/>
      <c r="Q44" s="22"/>
      <c r="R44" s="46">
        <f t="shared" si="30"/>
        <v>0</v>
      </c>
      <c r="S44" s="22"/>
      <c r="T44" s="22"/>
      <c r="U44" s="46">
        <f t="shared" si="31"/>
        <v>0</v>
      </c>
      <c r="V44" s="22"/>
      <c r="W44" s="22"/>
      <c r="X44" s="46">
        <f t="shared" si="32"/>
        <v>0</v>
      </c>
      <c r="Y44" s="22"/>
      <c r="Z44" s="22"/>
      <c r="AA44" s="46">
        <f t="shared" si="33"/>
        <v>0</v>
      </c>
      <c r="AB44" s="22"/>
      <c r="AC44" s="22"/>
      <c r="AD44" s="46">
        <f t="shared" si="34"/>
        <v>0</v>
      </c>
      <c r="AE44" s="22"/>
      <c r="AF44" s="22"/>
      <c r="AG44" s="46">
        <f t="shared" si="35"/>
        <v>0</v>
      </c>
      <c r="AH44" s="22"/>
      <c r="AI44" s="22"/>
      <c r="AJ44" s="46">
        <f t="shared" si="36"/>
        <v>0</v>
      </c>
      <c r="AK44" s="252"/>
      <c r="AL44" s="252"/>
      <c r="AM44" s="46">
        <f t="shared" si="17"/>
        <v>0</v>
      </c>
      <c r="AO44" s="46">
        <f t="shared" si="18"/>
        <v>0</v>
      </c>
      <c r="AP44" s="22">
        <f t="shared" si="19"/>
        <v>0</v>
      </c>
      <c r="AQ44" s="22" t="e">
        <f t="shared" si="20"/>
        <v>#DIV/0!</v>
      </c>
      <c r="AR44" s="22"/>
      <c r="AS44" s="16"/>
      <c r="AT44" s="89">
        <f t="shared" si="0"/>
        <v>44445</v>
      </c>
      <c r="AU44" s="22"/>
      <c r="AV44" s="46">
        <f t="shared" si="37"/>
        <v>0</v>
      </c>
      <c r="AW44" s="22"/>
      <c r="AX44" s="46">
        <f t="shared" si="38"/>
        <v>0</v>
      </c>
      <c r="AY44" s="103"/>
      <c r="AZ44" s="104">
        <f t="shared" si="47"/>
        <v>0</v>
      </c>
      <c r="BA44" s="22"/>
      <c r="BB44" s="46">
        <f t="shared" si="40"/>
        <v>0</v>
      </c>
      <c r="BC44" s="83"/>
      <c r="BD44" s="27">
        <f t="shared" si="21"/>
        <v>0</v>
      </c>
      <c r="BE44" s="22"/>
      <c r="BF44" s="22"/>
      <c r="BH44" s="16"/>
      <c r="BJ44" s="21">
        <f t="shared" si="1"/>
        <v>0</v>
      </c>
      <c r="BN44" s="85">
        <f t="shared" si="2"/>
        <v>0</v>
      </c>
      <c r="BW44" s="85">
        <f t="shared" si="3"/>
        <v>0</v>
      </c>
      <c r="CF44" s="85">
        <f t="shared" si="4"/>
        <v>0</v>
      </c>
      <c r="CO44" s="85">
        <f t="shared" si="5"/>
        <v>0</v>
      </c>
      <c r="CX44" s="85">
        <f t="shared" si="6"/>
        <v>0</v>
      </c>
      <c r="DG44" s="85">
        <f t="shared" si="7"/>
        <v>0</v>
      </c>
      <c r="DP44" s="85">
        <f t="shared" si="8"/>
        <v>0</v>
      </c>
      <c r="DY44" s="85">
        <f t="shared" si="9"/>
        <v>0</v>
      </c>
      <c r="EH44" s="85">
        <f t="shared" si="10"/>
        <v>0</v>
      </c>
      <c r="EQ44" s="85">
        <f t="shared" si="11"/>
        <v>0</v>
      </c>
      <c r="EZ44" s="21">
        <f t="shared" si="12"/>
        <v>0</v>
      </c>
      <c r="FI44" s="66"/>
      <c r="FN44" s="16"/>
      <c r="FP44" s="85">
        <f t="shared" si="52"/>
        <v>0</v>
      </c>
      <c r="FY44" s="85">
        <f t="shared" si="14"/>
        <v>0</v>
      </c>
      <c r="GH44" s="85">
        <f t="shared" si="15"/>
        <v>0</v>
      </c>
      <c r="GN44" s="85">
        <f t="shared" si="16"/>
        <v>0</v>
      </c>
      <c r="HA44" s="20"/>
    </row>
    <row r="45" spans="2:213" x14ac:dyDescent="0.25">
      <c r="B45" s="82">
        <f>B44+7</f>
        <v>44452</v>
      </c>
      <c r="C45" s="217"/>
      <c r="D45" s="199"/>
      <c r="E45" s="199"/>
      <c r="F45" s="46">
        <f t="shared" si="26"/>
        <v>0</v>
      </c>
      <c r="G45" s="199"/>
      <c r="H45" s="199"/>
      <c r="I45" s="46">
        <f t="shared" si="27"/>
        <v>0</v>
      </c>
      <c r="J45" s="199"/>
      <c r="K45" s="199"/>
      <c r="L45" s="46">
        <f t="shared" si="28"/>
        <v>0</v>
      </c>
      <c r="M45" s="199"/>
      <c r="N45" s="199"/>
      <c r="O45" s="46">
        <f t="shared" si="29"/>
        <v>0</v>
      </c>
      <c r="P45" s="199"/>
      <c r="Q45" s="199"/>
      <c r="R45" s="46">
        <f t="shared" si="30"/>
        <v>0</v>
      </c>
      <c r="S45" s="199"/>
      <c r="T45" s="199"/>
      <c r="U45" s="46">
        <f t="shared" si="31"/>
        <v>0</v>
      </c>
      <c r="V45" s="199"/>
      <c r="W45" s="199"/>
      <c r="X45" s="46">
        <f t="shared" si="32"/>
        <v>0</v>
      </c>
      <c r="Y45" s="199"/>
      <c r="Z45" s="199"/>
      <c r="AA45" s="46">
        <f t="shared" si="33"/>
        <v>0</v>
      </c>
      <c r="AB45" s="199"/>
      <c r="AC45" s="199"/>
      <c r="AD45" s="46">
        <f t="shared" si="34"/>
        <v>0</v>
      </c>
      <c r="AE45" s="199"/>
      <c r="AF45" s="199"/>
      <c r="AG45" s="46">
        <f t="shared" si="35"/>
        <v>0</v>
      </c>
      <c r="AH45" s="199"/>
      <c r="AI45" s="199"/>
      <c r="AJ45" s="46">
        <f t="shared" si="36"/>
        <v>0</v>
      </c>
      <c r="AK45" s="268"/>
      <c r="AL45" s="269"/>
      <c r="AM45" s="46">
        <f t="shared" ref="AM45:AM51" si="53">SUM(AK45-AK44)</f>
        <v>0</v>
      </c>
      <c r="AO45" s="46">
        <f t="shared" si="18"/>
        <v>0</v>
      </c>
      <c r="AP45" s="22">
        <f t="shared" si="19"/>
        <v>0</v>
      </c>
      <c r="AQ45" s="22" t="e">
        <f t="shared" ref="AQ45:AQ51" si="54">SUM(AP45/AO45)</f>
        <v>#DIV/0!</v>
      </c>
      <c r="AR45" s="22"/>
      <c r="AS45" s="16"/>
      <c r="AT45" s="82">
        <f>AT44+7</f>
        <v>44452</v>
      </c>
      <c r="AU45" s="199"/>
      <c r="AV45" s="46">
        <f t="shared" si="37"/>
        <v>0</v>
      </c>
      <c r="AW45" s="199"/>
      <c r="AX45" s="46">
        <f t="shared" si="38"/>
        <v>0</v>
      </c>
      <c r="AY45" s="200"/>
      <c r="AZ45" s="104">
        <f t="shared" si="47"/>
        <v>0</v>
      </c>
      <c r="BA45" s="199"/>
      <c r="BB45" s="46">
        <f t="shared" si="40"/>
        <v>0</v>
      </c>
      <c r="BC45" s="83"/>
      <c r="BD45" s="27">
        <f t="shared" si="21"/>
        <v>0</v>
      </c>
      <c r="BE45" s="22"/>
      <c r="BF45" s="22"/>
      <c r="BH45" s="16"/>
      <c r="BJ45" s="21"/>
      <c r="BN45" s="85"/>
      <c r="BW45" s="85">
        <f t="shared" si="3"/>
        <v>0</v>
      </c>
      <c r="CF45" s="85"/>
      <c r="CO45" s="85"/>
      <c r="CX45" s="85"/>
      <c r="DG45" s="85"/>
      <c r="DP45" s="85"/>
      <c r="DY45" s="85"/>
      <c r="EH45" s="85"/>
      <c r="EQ45" s="85"/>
      <c r="EZ45" s="21"/>
      <c r="FI45" s="66"/>
      <c r="FN45" s="16"/>
      <c r="FP45" s="85"/>
      <c r="FY45" s="85"/>
      <c r="GH45" s="85"/>
      <c r="GN45" s="85"/>
      <c r="HA45" s="20"/>
    </row>
    <row r="46" spans="2:213" x14ac:dyDescent="0.25">
      <c r="B46" s="82">
        <f t="shared" ref="B46:B47" si="55">B45+7</f>
        <v>44459</v>
      </c>
      <c r="C46" s="217"/>
      <c r="D46" s="199"/>
      <c r="E46" s="199"/>
      <c r="F46" s="46">
        <f t="shared" si="26"/>
        <v>0</v>
      </c>
      <c r="G46" s="199"/>
      <c r="H46" s="199"/>
      <c r="I46" s="46">
        <f t="shared" si="27"/>
        <v>0</v>
      </c>
      <c r="J46" s="199"/>
      <c r="K46" s="199"/>
      <c r="L46" s="46">
        <f t="shared" si="28"/>
        <v>0</v>
      </c>
      <c r="M46" s="199"/>
      <c r="N46" s="199"/>
      <c r="O46" s="46">
        <f t="shared" si="29"/>
        <v>0</v>
      </c>
      <c r="P46" s="199"/>
      <c r="Q46" s="199"/>
      <c r="R46" s="46">
        <f t="shared" si="30"/>
        <v>0</v>
      </c>
      <c r="S46" s="199"/>
      <c r="T46" s="199"/>
      <c r="U46" s="46">
        <f t="shared" si="31"/>
        <v>0</v>
      </c>
      <c r="V46" s="199"/>
      <c r="W46" s="199"/>
      <c r="X46" s="46">
        <f t="shared" si="32"/>
        <v>0</v>
      </c>
      <c r="Y46" s="199"/>
      <c r="Z46" s="199"/>
      <c r="AA46" s="46">
        <f t="shared" si="33"/>
        <v>0</v>
      </c>
      <c r="AB46" s="199"/>
      <c r="AC46" s="199"/>
      <c r="AD46" s="46">
        <f t="shared" si="34"/>
        <v>0</v>
      </c>
      <c r="AE46" s="199"/>
      <c r="AF46" s="199"/>
      <c r="AG46" s="46">
        <f t="shared" si="35"/>
        <v>0</v>
      </c>
      <c r="AH46" s="199"/>
      <c r="AI46" s="199"/>
      <c r="AJ46" s="46">
        <f t="shared" si="36"/>
        <v>0</v>
      </c>
      <c r="AK46" s="268"/>
      <c r="AL46" s="269"/>
      <c r="AM46" s="46">
        <f t="shared" si="53"/>
        <v>0</v>
      </c>
      <c r="AO46" s="46">
        <f t="shared" si="18"/>
        <v>0</v>
      </c>
      <c r="AP46" s="22">
        <f t="shared" si="19"/>
        <v>0</v>
      </c>
      <c r="AQ46" s="22" t="e">
        <f t="shared" si="54"/>
        <v>#DIV/0!</v>
      </c>
      <c r="AR46" s="22"/>
      <c r="AS46" s="16"/>
      <c r="AT46" s="82">
        <f t="shared" ref="AT46:AT47" si="56">AT45+7</f>
        <v>44459</v>
      </c>
      <c r="AU46" s="199"/>
      <c r="AV46" s="46">
        <f t="shared" si="37"/>
        <v>0</v>
      </c>
      <c r="AW46" s="199"/>
      <c r="AX46" s="46">
        <f t="shared" si="38"/>
        <v>0</v>
      </c>
      <c r="AY46" s="200"/>
      <c r="AZ46" s="104">
        <f t="shared" si="47"/>
        <v>0</v>
      </c>
      <c r="BA46" s="199"/>
      <c r="BB46" s="46">
        <f t="shared" si="40"/>
        <v>0</v>
      </c>
      <c r="BC46" s="83"/>
      <c r="BD46" s="27">
        <f t="shared" si="21"/>
        <v>0</v>
      </c>
      <c r="BE46" s="22"/>
      <c r="BF46" s="22"/>
      <c r="BH46" s="16"/>
      <c r="BJ46" s="21"/>
      <c r="BN46" s="85"/>
      <c r="BW46" s="85"/>
      <c r="CF46" s="85"/>
      <c r="CO46" s="85"/>
      <c r="CX46" s="85"/>
      <c r="DG46" s="85"/>
      <c r="DP46" s="85"/>
      <c r="DY46" s="85"/>
      <c r="EH46" s="85"/>
      <c r="EQ46" s="85"/>
      <c r="EZ46" s="21"/>
      <c r="FI46" s="66"/>
      <c r="FN46" s="16"/>
      <c r="FP46" s="85"/>
      <c r="FY46" s="85"/>
      <c r="GH46" s="85"/>
      <c r="GN46" s="85"/>
      <c r="HA46" s="20"/>
    </row>
    <row r="47" spans="2:213" x14ac:dyDescent="0.25">
      <c r="B47" s="82">
        <f t="shared" si="55"/>
        <v>44466</v>
      </c>
      <c r="C47" s="217"/>
      <c r="D47" s="199"/>
      <c r="E47" s="199"/>
      <c r="F47" s="46">
        <f t="shared" si="26"/>
        <v>0</v>
      </c>
      <c r="G47" s="199"/>
      <c r="H47" s="199"/>
      <c r="I47" s="46">
        <f t="shared" si="27"/>
        <v>0</v>
      </c>
      <c r="J47" s="199"/>
      <c r="K47" s="199"/>
      <c r="L47" s="46">
        <f t="shared" si="28"/>
        <v>0</v>
      </c>
      <c r="M47" s="199"/>
      <c r="N47" s="199"/>
      <c r="O47" s="46">
        <f t="shared" si="29"/>
        <v>0</v>
      </c>
      <c r="P47" s="199"/>
      <c r="Q47" s="199"/>
      <c r="R47" s="46">
        <f t="shared" si="30"/>
        <v>0</v>
      </c>
      <c r="S47" s="199"/>
      <c r="T47" s="199"/>
      <c r="U47" s="46">
        <f t="shared" si="31"/>
        <v>0</v>
      </c>
      <c r="V47" s="199"/>
      <c r="W47" s="199"/>
      <c r="X47" s="46">
        <f t="shared" si="32"/>
        <v>0</v>
      </c>
      <c r="Y47" s="199"/>
      <c r="Z47" s="199"/>
      <c r="AA47" s="46">
        <f t="shared" si="33"/>
        <v>0</v>
      </c>
      <c r="AB47" s="199"/>
      <c r="AC47" s="199"/>
      <c r="AD47" s="46">
        <f t="shared" si="34"/>
        <v>0</v>
      </c>
      <c r="AE47" s="199"/>
      <c r="AF47" s="199"/>
      <c r="AG47" s="46">
        <f t="shared" si="35"/>
        <v>0</v>
      </c>
      <c r="AH47" s="199"/>
      <c r="AI47" s="199"/>
      <c r="AJ47" s="46">
        <f t="shared" si="36"/>
        <v>0</v>
      </c>
      <c r="AK47" s="268"/>
      <c r="AL47" s="269"/>
      <c r="AM47" s="46">
        <f t="shared" si="53"/>
        <v>0</v>
      </c>
      <c r="AO47" s="46">
        <f t="shared" si="18"/>
        <v>0</v>
      </c>
      <c r="AP47" s="22">
        <f t="shared" si="19"/>
        <v>0</v>
      </c>
      <c r="AQ47" s="22" t="e">
        <f t="shared" si="54"/>
        <v>#DIV/0!</v>
      </c>
      <c r="AR47" s="22"/>
      <c r="AS47" s="16"/>
      <c r="AT47" s="82">
        <f t="shared" si="56"/>
        <v>44466</v>
      </c>
      <c r="AU47" s="199"/>
      <c r="AV47" s="46">
        <f t="shared" si="37"/>
        <v>0</v>
      </c>
      <c r="AW47" s="199"/>
      <c r="AX47" s="46">
        <f t="shared" si="38"/>
        <v>0</v>
      </c>
      <c r="AY47" s="200"/>
      <c r="AZ47" s="104">
        <f t="shared" si="47"/>
        <v>0</v>
      </c>
      <c r="BA47" s="199"/>
      <c r="BB47" s="46">
        <f t="shared" si="40"/>
        <v>0</v>
      </c>
      <c r="BC47" s="83"/>
      <c r="BD47" s="27">
        <f t="shared" si="21"/>
        <v>0</v>
      </c>
      <c r="BE47" s="22"/>
      <c r="BF47" s="22"/>
      <c r="BH47" s="16"/>
      <c r="BJ47" s="21"/>
      <c r="BN47" s="85"/>
      <c r="BW47" s="85"/>
      <c r="CF47" s="85"/>
      <c r="CO47" s="85"/>
      <c r="CX47" s="85"/>
      <c r="DG47" s="85"/>
      <c r="DP47" s="85"/>
      <c r="DY47" s="85"/>
      <c r="EH47" s="85"/>
      <c r="EQ47" s="85"/>
      <c r="EZ47" s="21"/>
      <c r="FI47" s="66"/>
      <c r="FN47" s="16"/>
      <c r="FP47" s="85"/>
      <c r="FY47" s="85"/>
      <c r="GH47" s="85"/>
      <c r="GN47" s="85"/>
      <c r="HA47" s="20"/>
    </row>
    <row r="48" spans="2:213" x14ac:dyDescent="0.25">
      <c r="B48" s="82">
        <v>44470</v>
      </c>
      <c r="C48" s="217"/>
      <c r="D48" s="199"/>
      <c r="E48" s="199"/>
      <c r="F48" s="46">
        <f t="shared" si="26"/>
        <v>0</v>
      </c>
      <c r="G48" s="199"/>
      <c r="H48" s="199"/>
      <c r="I48" s="46">
        <f t="shared" si="27"/>
        <v>0</v>
      </c>
      <c r="J48" s="199"/>
      <c r="K48" s="199"/>
      <c r="L48" s="46">
        <f t="shared" si="28"/>
        <v>0</v>
      </c>
      <c r="M48" s="199"/>
      <c r="N48" s="199"/>
      <c r="O48" s="46">
        <f t="shared" si="29"/>
        <v>0</v>
      </c>
      <c r="P48" s="199"/>
      <c r="Q48" s="199"/>
      <c r="R48" s="46">
        <f t="shared" si="30"/>
        <v>0</v>
      </c>
      <c r="S48" s="199"/>
      <c r="T48" s="199"/>
      <c r="U48" s="46">
        <f t="shared" si="31"/>
        <v>0</v>
      </c>
      <c r="V48" s="199"/>
      <c r="W48" s="199"/>
      <c r="X48" s="46">
        <f t="shared" si="32"/>
        <v>0</v>
      </c>
      <c r="Y48" s="199"/>
      <c r="Z48" s="199"/>
      <c r="AA48" s="46">
        <f t="shared" si="33"/>
        <v>0</v>
      </c>
      <c r="AB48" s="199"/>
      <c r="AC48" s="199"/>
      <c r="AD48" s="46">
        <f t="shared" si="34"/>
        <v>0</v>
      </c>
      <c r="AE48" s="199"/>
      <c r="AF48" s="199"/>
      <c r="AG48" s="46">
        <f t="shared" si="35"/>
        <v>0</v>
      </c>
      <c r="AH48" s="199"/>
      <c r="AI48" s="199"/>
      <c r="AJ48" s="46">
        <f t="shared" si="36"/>
        <v>0</v>
      </c>
      <c r="AK48" s="268"/>
      <c r="AL48" s="269"/>
      <c r="AM48" s="46">
        <f t="shared" si="53"/>
        <v>0</v>
      </c>
      <c r="AO48" s="46">
        <f t="shared" si="18"/>
        <v>0</v>
      </c>
      <c r="AP48" s="22">
        <f t="shared" si="19"/>
        <v>0</v>
      </c>
      <c r="AQ48" s="22" t="e">
        <f t="shared" si="54"/>
        <v>#DIV/0!</v>
      </c>
      <c r="AR48" s="22">
        <f>SUM(AO44:AO48)</f>
        <v>0</v>
      </c>
      <c r="AS48" s="16"/>
      <c r="AT48" s="82">
        <v>44470</v>
      </c>
      <c r="AU48" s="199"/>
      <c r="AV48" s="46">
        <f t="shared" si="37"/>
        <v>0</v>
      </c>
      <c r="AW48" s="199"/>
      <c r="AX48" s="46">
        <f t="shared" si="38"/>
        <v>0</v>
      </c>
      <c r="AY48" s="200"/>
      <c r="AZ48" s="104">
        <f t="shared" si="47"/>
        <v>0</v>
      </c>
      <c r="BA48" s="199"/>
      <c r="BB48" s="46">
        <f t="shared" si="40"/>
        <v>0</v>
      </c>
      <c r="BC48" s="83"/>
      <c r="BD48" s="27">
        <f t="shared" si="21"/>
        <v>0</v>
      </c>
      <c r="BE48" s="22">
        <f>SUM(BC44:BD48)</f>
        <v>0</v>
      </c>
      <c r="BF48" s="22">
        <f>SUM(AR48+BE48)</f>
        <v>0</v>
      </c>
      <c r="BH48" s="16"/>
      <c r="BJ48" s="21"/>
      <c r="BN48" s="85"/>
      <c r="BW48" s="85"/>
      <c r="CF48" s="85"/>
      <c r="CO48" s="85"/>
      <c r="CX48" s="85"/>
      <c r="DG48" s="85"/>
      <c r="DP48" s="85"/>
      <c r="DY48" s="85"/>
      <c r="EH48" s="85"/>
      <c r="EQ48" s="85"/>
      <c r="EZ48" s="21"/>
      <c r="FI48" s="66"/>
      <c r="FN48" s="16"/>
      <c r="FP48" s="85"/>
      <c r="FY48" s="85"/>
      <c r="GH48" s="85"/>
      <c r="GN48" s="85"/>
      <c r="HA48" s="20"/>
    </row>
    <row r="49" spans="2:209" x14ac:dyDescent="0.25">
      <c r="B49" s="82">
        <v>44473</v>
      </c>
      <c r="C49" s="217"/>
      <c r="D49" s="199"/>
      <c r="E49" s="199"/>
      <c r="F49" s="46">
        <f t="shared" si="26"/>
        <v>0</v>
      </c>
      <c r="G49" s="199"/>
      <c r="H49" s="199"/>
      <c r="I49" s="46">
        <f t="shared" si="27"/>
        <v>0</v>
      </c>
      <c r="J49" s="199"/>
      <c r="K49" s="199"/>
      <c r="L49" s="46">
        <f t="shared" si="28"/>
        <v>0</v>
      </c>
      <c r="M49" s="199"/>
      <c r="N49" s="199"/>
      <c r="O49" s="46">
        <f t="shared" si="29"/>
        <v>0</v>
      </c>
      <c r="P49" s="199"/>
      <c r="Q49" s="199"/>
      <c r="R49" s="46">
        <f t="shared" si="30"/>
        <v>0</v>
      </c>
      <c r="S49" s="199"/>
      <c r="T49" s="199"/>
      <c r="U49" s="46">
        <f t="shared" si="31"/>
        <v>0</v>
      </c>
      <c r="V49" s="199"/>
      <c r="W49" s="199"/>
      <c r="X49" s="46">
        <f t="shared" si="32"/>
        <v>0</v>
      </c>
      <c r="Y49" s="199"/>
      <c r="Z49" s="199"/>
      <c r="AA49" s="46">
        <f t="shared" si="33"/>
        <v>0</v>
      </c>
      <c r="AB49" s="199"/>
      <c r="AC49" s="199"/>
      <c r="AD49" s="46">
        <f t="shared" si="34"/>
        <v>0</v>
      </c>
      <c r="AE49" s="199"/>
      <c r="AF49" s="199"/>
      <c r="AG49" s="46">
        <f t="shared" si="35"/>
        <v>0</v>
      </c>
      <c r="AH49" s="199"/>
      <c r="AI49" s="199"/>
      <c r="AJ49" s="46">
        <f t="shared" si="36"/>
        <v>0</v>
      </c>
      <c r="AK49" s="268"/>
      <c r="AL49" s="269"/>
      <c r="AM49" s="46">
        <f t="shared" si="53"/>
        <v>0</v>
      </c>
      <c r="AO49" s="46">
        <f t="shared" si="18"/>
        <v>0</v>
      </c>
      <c r="AP49" s="22">
        <f t="shared" si="19"/>
        <v>0</v>
      </c>
      <c r="AQ49" s="22" t="e">
        <f t="shared" si="54"/>
        <v>#DIV/0!</v>
      </c>
      <c r="AR49" s="22"/>
      <c r="AS49" s="16"/>
      <c r="AT49" s="82">
        <v>44474</v>
      </c>
      <c r="AU49" s="199"/>
      <c r="AV49" s="46">
        <f t="shared" si="37"/>
        <v>0</v>
      </c>
      <c r="AW49" s="199"/>
      <c r="AX49" s="46">
        <f t="shared" si="38"/>
        <v>0</v>
      </c>
      <c r="AY49" s="200"/>
      <c r="AZ49" s="104">
        <f t="shared" si="47"/>
        <v>0</v>
      </c>
      <c r="BA49" s="199"/>
      <c r="BB49" s="46">
        <f t="shared" si="40"/>
        <v>0</v>
      </c>
      <c r="BC49" s="83"/>
      <c r="BD49" s="27">
        <f t="shared" si="21"/>
        <v>0</v>
      </c>
      <c r="BE49" s="22"/>
      <c r="BF49" s="22"/>
      <c r="BH49" s="16"/>
      <c r="BJ49" s="21"/>
      <c r="BN49" s="85"/>
      <c r="BW49" s="85"/>
      <c r="CF49" s="85"/>
      <c r="CO49" s="85"/>
      <c r="CX49" s="85"/>
      <c r="DG49" s="85"/>
      <c r="DP49" s="85"/>
      <c r="DY49" s="85"/>
      <c r="EH49" s="85"/>
      <c r="EQ49" s="85"/>
      <c r="EZ49" s="21"/>
      <c r="FI49" s="66"/>
      <c r="FN49" s="16"/>
      <c r="FP49" s="85"/>
      <c r="FY49" s="85"/>
      <c r="GH49" s="85"/>
      <c r="GN49" s="85"/>
      <c r="HA49" s="20"/>
    </row>
    <row r="50" spans="2:209" x14ac:dyDescent="0.25">
      <c r="B50" s="82">
        <f>B49+7</f>
        <v>44480</v>
      </c>
      <c r="C50" s="217"/>
      <c r="D50" s="199"/>
      <c r="E50" s="199"/>
      <c r="F50" s="46">
        <f t="shared" si="26"/>
        <v>0</v>
      </c>
      <c r="G50" s="199"/>
      <c r="H50" s="199"/>
      <c r="I50" s="46">
        <f t="shared" si="27"/>
        <v>0</v>
      </c>
      <c r="J50" s="199"/>
      <c r="K50" s="199"/>
      <c r="L50" s="46">
        <f t="shared" si="28"/>
        <v>0</v>
      </c>
      <c r="M50" s="199"/>
      <c r="N50" s="199"/>
      <c r="O50" s="46">
        <f t="shared" si="29"/>
        <v>0</v>
      </c>
      <c r="P50" s="199"/>
      <c r="Q50" s="199"/>
      <c r="R50" s="46">
        <f t="shared" si="30"/>
        <v>0</v>
      </c>
      <c r="S50" s="199"/>
      <c r="T50" s="199"/>
      <c r="U50" s="46">
        <f t="shared" si="31"/>
        <v>0</v>
      </c>
      <c r="V50" s="199"/>
      <c r="W50" s="199"/>
      <c r="X50" s="46">
        <f t="shared" si="32"/>
        <v>0</v>
      </c>
      <c r="Y50" s="199"/>
      <c r="Z50" s="199"/>
      <c r="AA50" s="46">
        <f t="shared" si="33"/>
        <v>0</v>
      </c>
      <c r="AB50" s="199"/>
      <c r="AC50" s="199"/>
      <c r="AD50" s="46">
        <f t="shared" si="34"/>
        <v>0</v>
      </c>
      <c r="AE50" s="199"/>
      <c r="AF50" s="199"/>
      <c r="AG50" s="46">
        <f t="shared" si="35"/>
        <v>0</v>
      </c>
      <c r="AH50" s="199"/>
      <c r="AI50" s="199"/>
      <c r="AJ50" s="46">
        <f t="shared" si="36"/>
        <v>0</v>
      </c>
      <c r="AK50" s="268"/>
      <c r="AL50" s="269"/>
      <c r="AM50" s="46">
        <f t="shared" si="53"/>
        <v>0</v>
      </c>
      <c r="AO50" s="46">
        <f t="shared" si="18"/>
        <v>0</v>
      </c>
      <c r="AP50" s="22">
        <f t="shared" si="19"/>
        <v>0</v>
      </c>
      <c r="AQ50" s="22" t="e">
        <f t="shared" si="54"/>
        <v>#DIV/0!</v>
      </c>
      <c r="AR50" s="22"/>
      <c r="AS50" s="16"/>
      <c r="AT50" s="82">
        <f>AT49+7</f>
        <v>44481</v>
      </c>
      <c r="AU50" s="199"/>
      <c r="AV50" s="46">
        <f t="shared" si="37"/>
        <v>0</v>
      </c>
      <c r="AW50" s="199"/>
      <c r="AX50" s="46">
        <f t="shared" si="38"/>
        <v>0</v>
      </c>
      <c r="AY50" s="200"/>
      <c r="AZ50" s="104">
        <f t="shared" si="47"/>
        <v>0</v>
      </c>
      <c r="BA50" s="199"/>
      <c r="BB50" s="46">
        <f t="shared" si="40"/>
        <v>0</v>
      </c>
      <c r="BC50" s="83"/>
      <c r="BD50" s="27">
        <f t="shared" si="21"/>
        <v>0</v>
      </c>
      <c r="BE50" s="22"/>
      <c r="BF50" s="22"/>
      <c r="BH50" s="16"/>
      <c r="BJ50" s="21"/>
      <c r="BN50" s="85"/>
      <c r="BW50" s="85"/>
      <c r="CF50" s="85"/>
      <c r="CO50" s="85"/>
      <c r="CX50" s="85"/>
      <c r="DG50" s="85"/>
      <c r="DP50" s="85"/>
      <c r="DY50" s="85"/>
      <c r="EH50" s="85"/>
      <c r="EQ50" s="85"/>
      <c r="EZ50" s="21"/>
      <c r="FI50" s="66"/>
      <c r="FN50" s="16"/>
      <c r="FP50" s="85"/>
      <c r="FY50" s="85"/>
      <c r="GH50" s="85"/>
      <c r="GN50" s="85"/>
      <c r="HA50" s="20"/>
    </row>
    <row r="51" spans="2:209" x14ac:dyDescent="0.25">
      <c r="B51" s="82">
        <f t="shared" ref="B51:B52" si="57">B50+7</f>
        <v>44487</v>
      </c>
      <c r="C51" s="217"/>
      <c r="D51" s="199"/>
      <c r="E51" s="199"/>
      <c r="F51" s="46">
        <f t="shared" si="26"/>
        <v>0</v>
      </c>
      <c r="G51" s="199"/>
      <c r="H51" s="199"/>
      <c r="I51" s="46">
        <f t="shared" si="27"/>
        <v>0</v>
      </c>
      <c r="J51" s="199"/>
      <c r="K51" s="199"/>
      <c r="L51" s="46">
        <f t="shared" si="28"/>
        <v>0</v>
      </c>
      <c r="M51" s="199"/>
      <c r="N51" s="199"/>
      <c r="O51" s="46">
        <f t="shared" si="29"/>
        <v>0</v>
      </c>
      <c r="P51" s="199"/>
      <c r="Q51" s="199"/>
      <c r="R51" s="46">
        <f t="shared" si="30"/>
        <v>0</v>
      </c>
      <c r="S51" s="199"/>
      <c r="T51" s="199"/>
      <c r="U51" s="46">
        <f t="shared" si="31"/>
        <v>0</v>
      </c>
      <c r="V51" s="199"/>
      <c r="W51" s="199"/>
      <c r="X51" s="46">
        <f t="shared" si="32"/>
        <v>0</v>
      </c>
      <c r="Y51" s="199"/>
      <c r="Z51" s="199"/>
      <c r="AA51" s="46">
        <f t="shared" si="33"/>
        <v>0</v>
      </c>
      <c r="AB51" s="199"/>
      <c r="AC51" s="199"/>
      <c r="AD51" s="46">
        <f t="shared" si="34"/>
        <v>0</v>
      </c>
      <c r="AE51" s="199"/>
      <c r="AF51" s="199"/>
      <c r="AG51" s="46">
        <f t="shared" si="35"/>
        <v>0</v>
      </c>
      <c r="AH51" s="199"/>
      <c r="AI51" s="199"/>
      <c r="AJ51" s="46">
        <f t="shared" si="36"/>
        <v>0</v>
      </c>
      <c r="AK51" s="268"/>
      <c r="AL51" s="269"/>
      <c r="AM51" s="46">
        <f t="shared" si="53"/>
        <v>0</v>
      </c>
      <c r="AO51" s="46">
        <f t="shared" si="18"/>
        <v>0</v>
      </c>
      <c r="AP51" s="22">
        <f t="shared" si="19"/>
        <v>0</v>
      </c>
      <c r="AQ51" s="22" t="e">
        <f t="shared" si="54"/>
        <v>#DIV/0!</v>
      </c>
      <c r="AR51" s="22"/>
      <c r="AS51" s="16"/>
      <c r="AT51" s="82">
        <f t="shared" ref="AT51:AT52" si="58">AT50+7</f>
        <v>44488</v>
      </c>
      <c r="AU51" s="199"/>
      <c r="AV51" s="46">
        <f t="shared" si="37"/>
        <v>0</v>
      </c>
      <c r="AW51" s="199"/>
      <c r="AX51" s="46">
        <f t="shared" si="38"/>
        <v>0</v>
      </c>
      <c r="AY51" s="200"/>
      <c r="AZ51" s="104">
        <f t="shared" si="47"/>
        <v>0</v>
      </c>
      <c r="BA51" s="199"/>
      <c r="BB51" s="46">
        <f t="shared" si="40"/>
        <v>0</v>
      </c>
      <c r="BC51" s="83"/>
      <c r="BD51" s="27">
        <f t="shared" si="21"/>
        <v>0</v>
      </c>
      <c r="BE51" s="22"/>
      <c r="BF51" s="22"/>
      <c r="BH51" s="16"/>
      <c r="BJ51" s="21"/>
      <c r="BN51" s="85"/>
      <c r="BW51" s="85"/>
      <c r="CF51" s="85"/>
      <c r="CO51" s="85"/>
      <c r="CX51" s="85"/>
      <c r="DG51" s="85"/>
      <c r="DP51" s="85"/>
      <c r="DY51" s="85"/>
      <c r="EH51" s="85"/>
      <c r="EQ51" s="85"/>
      <c r="EZ51" s="21"/>
      <c r="FI51" s="66"/>
      <c r="FN51" s="16"/>
      <c r="FP51" s="85"/>
      <c r="FY51" s="85"/>
      <c r="GH51" s="85"/>
      <c r="GN51" s="85"/>
      <c r="HA51" s="20"/>
    </row>
    <row r="52" spans="2:209" x14ac:dyDescent="0.25">
      <c r="B52" s="82">
        <f t="shared" si="57"/>
        <v>44494</v>
      </c>
      <c r="C52" s="217"/>
      <c r="D52" s="22"/>
      <c r="E52" s="22"/>
      <c r="F52" s="46"/>
      <c r="G52" s="22"/>
      <c r="H52" s="22"/>
      <c r="I52" s="46"/>
      <c r="J52" s="22"/>
      <c r="K52" s="22"/>
      <c r="L52" s="46"/>
      <c r="M52" s="22"/>
      <c r="N52" s="22"/>
      <c r="O52" s="46"/>
      <c r="P52" s="22"/>
      <c r="Q52" s="22"/>
      <c r="R52" s="46"/>
      <c r="S52" s="22"/>
      <c r="T52" s="22"/>
      <c r="U52" s="46"/>
      <c r="V52" s="22"/>
      <c r="W52" s="22"/>
      <c r="X52" s="46"/>
      <c r="Y52" s="22"/>
      <c r="Z52" s="22"/>
      <c r="AA52" s="46"/>
      <c r="AB52" s="22"/>
      <c r="AC52" s="22"/>
      <c r="AD52" s="46"/>
      <c r="AE52" s="22"/>
      <c r="AF52" s="22"/>
      <c r="AG52" s="46"/>
      <c r="AH52" s="22"/>
      <c r="AI52" s="22"/>
      <c r="AJ52" s="46"/>
      <c r="AK52" s="252"/>
      <c r="AL52" s="252"/>
      <c r="AM52" s="46"/>
      <c r="AO52" s="46"/>
      <c r="AP52" s="22"/>
      <c r="AQ52" s="22"/>
      <c r="AR52" s="22"/>
      <c r="AS52" s="16"/>
      <c r="AT52" s="82">
        <f t="shared" si="58"/>
        <v>44495</v>
      </c>
      <c r="AU52" s="22"/>
      <c r="AV52" s="46"/>
      <c r="AW52" s="22"/>
      <c r="AX52" s="46"/>
      <c r="AY52" s="103"/>
      <c r="AZ52" s="104"/>
      <c r="BA52" s="22"/>
      <c r="BB52" s="46"/>
      <c r="BC52" s="83"/>
      <c r="BD52" s="27"/>
      <c r="BE52" s="22"/>
      <c r="BF52" s="22"/>
      <c r="BH52" s="16"/>
      <c r="BJ52" s="21"/>
      <c r="BN52" s="85"/>
      <c r="BW52" s="85"/>
      <c r="CF52" s="85"/>
      <c r="CO52" s="85"/>
      <c r="CX52" s="85"/>
      <c r="DG52" s="85"/>
      <c r="DP52" s="85"/>
      <c r="DY52" s="85"/>
      <c r="EH52" s="85"/>
      <c r="EQ52" s="85"/>
      <c r="EZ52" s="21"/>
      <c r="FI52" s="66"/>
      <c r="FN52" s="16"/>
      <c r="FP52" s="85"/>
      <c r="FY52" s="85"/>
      <c r="GH52" s="85"/>
      <c r="GN52" s="85"/>
      <c r="HA52" s="20"/>
    </row>
    <row r="53" spans="2:209" x14ac:dyDescent="0.25">
      <c r="B53" s="82">
        <v>44501</v>
      </c>
      <c r="C53" s="217"/>
      <c r="D53" s="22"/>
      <c r="E53" s="22"/>
      <c r="F53" s="46"/>
      <c r="G53" s="22"/>
      <c r="H53" s="22"/>
      <c r="I53" s="46"/>
      <c r="J53" s="22"/>
      <c r="K53" s="22"/>
      <c r="L53" s="46"/>
      <c r="M53" s="22"/>
      <c r="N53" s="22"/>
      <c r="O53" s="46"/>
      <c r="P53" s="22"/>
      <c r="Q53" s="22"/>
      <c r="R53" s="46"/>
      <c r="S53" s="22"/>
      <c r="T53" s="22"/>
      <c r="U53" s="46"/>
      <c r="V53" s="22"/>
      <c r="W53" s="22"/>
      <c r="X53" s="46"/>
      <c r="Y53" s="22"/>
      <c r="Z53" s="22"/>
      <c r="AA53" s="46"/>
      <c r="AB53" s="22"/>
      <c r="AC53" s="22"/>
      <c r="AD53" s="46"/>
      <c r="AE53" s="22"/>
      <c r="AF53" s="22"/>
      <c r="AG53" s="46"/>
      <c r="AH53" s="22"/>
      <c r="AI53" s="22"/>
      <c r="AJ53" s="46"/>
      <c r="AK53" s="252"/>
      <c r="AL53" s="252"/>
      <c r="AM53" s="46"/>
      <c r="AO53" s="46"/>
      <c r="AP53" s="22"/>
      <c r="AQ53" s="22"/>
      <c r="AR53" s="22"/>
      <c r="AS53" s="16"/>
      <c r="AT53" s="82">
        <v>44501</v>
      </c>
      <c r="AU53" s="22"/>
      <c r="AV53" s="46"/>
      <c r="AW53" s="22"/>
      <c r="AX53" s="46"/>
      <c r="AY53" s="103"/>
      <c r="AZ53" s="104"/>
      <c r="BA53" s="22"/>
      <c r="BB53" s="46"/>
      <c r="BC53" s="83"/>
      <c r="BD53" s="27"/>
      <c r="BE53" s="22"/>
      <c r="BF53" s="22"/>
      <c r="BH53" s="16"/>
      <c r="BJ53" s="21"/>
      <c r="BN53" s="85"/>
      <c r="BW53" s="85"/>
      <c r="CF53" s="85"/>
      <c r="CO53" s="85"/>
      <c r="CX53" s="85"/>
      <c r="DG53" s="85"/>
      <c r="DP53" s="85"/>
      <c r="DY53" s="85"/>
      <c r="EH53" s="85"/>
      <c r="EQ53" s="85"/>
      <c r="EZ53" s="21"/>
      <c r="FI53" s="66"/>
      <c r="FN53" s="16"/>
      <c r="FP53" s="85"/>
      <c r="FY53" s="85"/>
      <c r="GH53" s="85"/>
      <c r="GN53" s="85"/>
      <c r="HA53" s="20"/>
    </row>
    <row r="54" spans="2:209" x14ac:dyDescent="0.25">
      <c r="B54" s="82">
        <v>44508</v>
      </c>
      <c r="C54" s="217"/>
      <c r="D54" s="22"/>
      <c r="E54" s="22"/>
      <c r="F54" s="46"/>
      <c r="G54" s="22"/>
      <c r="H54" s="22"/>
      <c r="I54" s="46"/>
      <c r="J54" s="22"/>
      <c r="K54" s="22"/>
      <c r="L54" s="46"/>
      <c r="M54" s="22"/>
      <c r="N54" s="22"/>
      <c r="O54" s="46"/>
      <c r="P54" s="22"/>
      <c r="Q54" s="22"/>
      <c r="R54" s="46"/>
      <c r="S54" s="22"/>
      <c r="T54" s="22"/>
      <c r="U54" s="46"/>
      <c r="V54" s="22"/>
      <c r="W54" s="22"/>
      <c r="X54" s="46"/>
      <c r="Y54" s="22"/>
      <c r="Z54" s="22"/>
      <c r="AA54" s="46"/>
      <c r="AB54" s="22"/>
      <c r="AC54" s="22"/>
      <c r="AD54" s="46"/>
      <c r="AE54" s="22"/>
      <c r="AF54" s="22"/>
      <c r="AG54" s="46"/>
      <c r="AH54" s="22"/>
      <c r="AI54" s="22"/>
      <c r="AJ54" s="46"/>
      <c r="AK54" s="252"/>
      <c r="AL54" s="252"/>
      <c r="AM54" s="46"/>
      <c r="AO54" s="46"/>
      <c r="AP54" s="22"/>
      <c r="AQ54" s="22"/>
      <c r="AR54" s="22"/>
      <c r="AS54" s="16"/>
      <c r="AT54" s="82">
        <v>44502</v>
      </c>
      <c r="AU54" s="22"/>
      <c r="AV54" s="46"/>
      <c r="AW54" s="22"/>
      <c r="AX54" s="46"/>
      <c r="AY54" s="103"/>
      <c r="AZ54" s="104"/>
      <c r="BA54" s="22"/>
      <c r="BB54" s="46"/>
      <c r="BC54" s="83"/>
      <c r="BD54" s="27"/>
      <c r="BE54" s="22"/>
      <c r="BF54" s="22"/>
      <c r="BH54" s="16"/>
      <c r="BJ54" s="21"/>
      <c r="BN54" s="85"/>
      <c r="BW54" s="85"/>
      <c r="CF54" s="85"/>
      <c r="CO54" s="85"/>
      <c r="CX54" s="85"/>
      <c r="DG54" s="85"/>
      <c r="DP54" s="85"/>
      <c r="DY54" s="85"/>
      <c r="EH54" s="85"/>
      <c r="EQ54" s="85"/>
      <c r="EZ54" s="21"/>
      <c r="FI54" s="66"/>
      <c r="FN54" s="16"/>
      <c r="FP54" s="85"/>
      <c r="FY54" s="85"/>
      <c r="GH54" s="85"/>
      <c r="GN54" s="85"/>
      <c r="HA54" s="20"/>
    </row>
    <row r="55" spans="2:209" x14ac:dyDescent="0.25">
      <c r="B55" s="82">
        <f>B54+7</f>
        <v>44515</v>
      </c>
      <c r="C55" s="217"/>
      <c r="D55" s="22"/>
      <c r="E55" s="22"/>
      <c r="F55" s="46"/>
      <c r="G55" s="22"/>
      <c r="H55" s="22"/>
      <c r="I55" s="46"/>
      <c r="J55" s="22"/>
      <c r="K55" s="22"/>
      <c r="L55" s="46"/>
      <c r="M55" s="22"/>
      <c r="N55" s="22"/>
      <c r="O55" s="46"/>
      <c r="P55" s="22"/>
      <c r="Q55" s="22"/>
      <c r="R55" s="46"/>
      <c r="S55" s="22"/>
      <c r="T55" s="22"/>
      <c r="U55" s="46"/>
      <c r="V55" s="22"/>
      <c r="W55" s="22"/>
      <c r="X55" s="46"/>
      <c r="Y55" s="22"/>
      <c r="Z55" s="22"/>
      <c r="AA55" s="46"/>
      <c r="AB55" s="22"/>
      <c r="AC55" s="22"/>
      <c r="AD55" s="46"/>
      <c r="AE55" s="22"/>
      <c r="AF55" s="22"/>
      <c r="AG55" s="46"/>
      <c r="AH55" s="22"/>
      <c r="AI55" s="22"/>
      <c r="AJ55" s="46"/>
      <c r="AK55" s="252"/>
      <c r="AL55" s="252"/>
      <c r="AM55" s="46"/>
      <c r="AO55" s="46"/>
      <c r="AP55" s="22"/>
      <c r="AQ55" s="22"/>
      <c r="AR55" s="22"/>
      <c r="AS55" s="16"/>
      <c r="AT55" s="82">
        <f>AT54+7</f>
        <v>44509</v>
      </c>
      <c r="AU55" s="22"/>
      <c r="AV55" s="46"/>
      <c r="AW55" s="22"/>
      <c r="AX55" s="46"/>
      <c r="AY55" s="103"/>
      <c r="AZ55" s="104"/>
      <c r="BA55" s="22"/>
      <c r="BB55" s="46"/>
      <c r="BC55" s="83"/>
      <c r="BD55" s="27"/>
      <c r="BE55" s="22"/>
      <c r="BF55" s="22"/>
      <c r="BH55" s="16"/>
      <c r="BJ55" s="21"/>
      <c r="BN55" s="85"/>
      <c r="BW55" s="85"/>
      <c r="CF55" s="85"/>
      <c r="CO55" s="85"/>
      <c r="CX55" s="85"/>
      <c r="DG55" s="85"/>
      <c r="DP55" s="85"/>
      <c r="DY55" s="85"/>
      <c r="EH55" s="85"/>
      <c r="EQ55" s="85"/>
      <c r="EZ55" s="21"/>
      <c r="FI55" s="66"/>
      <c r="FN55" s="16"/>
      <c r="FP55" s="85"/>
      <c r="FY55" s="85"/>
      <c r="GH55" s="85"/>
      <c r="GN55" s="85"/>
      <c r="HA55" s="20"/>
    </row>
    <row r="56" spans="2:209" x14ac:dyDescent="0.25">
      <c r="B56" s="82">
        <f t="shared" ref="B56:B58" si="59">B55+7</f>
        <v>44522</v>
      </c>
      <c r="C56" s="217"/>
      <c r="D56" s="22"/>
      <c r="E56" s="22"/>
      <c r="F56" s="46"/>
      <c r="G56" s="22"/>
      <c r="H56" s="22"/>
      <c r="I56" s="46"/>
      <c r="J56" s="22"/>
      <c r="K56" s="22"/>
      <c r="L56" s="46"/>
      <c r="M56" s="22"/>
      <c r="N56" s="22"/>
      <c r="O56" s="46"/>
      <c r="P56" s="22"/>
      <c r="Q56" s="22"/>
      <c r="R56" s="46"/>
      <c r="S56" s="22"/>
      <c r="T56" s="22"/>
      <c r="U56" s="46"/>
      <c r="V56" s="22"/>
      <c r="W56" s="22"/>
      <c r="X56" s="46"/>
      <c r="Y56" s="22"/>
      <c r="Z56" s="22"/>
      <c r="AA56" s="46"/>
      <c r="AB56" s="22"/>
      <c r="AC56" s="22"/>
      <c r="AD56" s="46"/>
      <c r="AE56" s="22"/>
      <c r="AF56" s="22"/>
      <c r="AG56" s="46"/>
      <c r="AH56" s="22"/>
      <c r="AI56" s="22"/>
      <c r="AJ56" s="46"/>
      <c r="AK56" s="252"/>
      <c r="AL56" s="252"/>
      <c r="AM56" s="46"/>
      <c r="AO56" s="46"/>
      <c r="AP56" s="22"/>
      <c r="AQ56" s="22"/>
      <c r="AR56" s="22"/>
      <c r="AS56" s="16"/>
      <c r="AT56" s="82">
        <f t="shared" ref="AT56:AT58" si="60">AT55+7</f>
        <v>44516</v>
      </c>
      <c r="AU56" s="22"/>
      <c r="AV56" s="46"/>
      <c r="AW56" s="22"/>
      <c r="AX56" s="46"/>
      <c r="AY56" s="103"/>
      <c r="AZ56" s="104"/>
      <c r="BA56" s="22"/>
      <c r="BB56" s="46"/>
      <c r="BC56" s="83"/>
      <c r="BD56" s="27"/>
      <c r="BE56" s="22"/>
      <c r="BF56" s="22"/>
      <c r="BH56" s="16"/>
      <c r="BJ56" s="21"/>
      <c r="BN56" s="85"/>
      <c r="BW56" s="85"/>
      <c r="CF56" s="85"/>
      <c r="CO56" s="85"/>
      <c r="CX56" s="85"/>
      <c r="DG56" s="85"/>
      <c r="DP56" s="85"/>
      <c r="DY56" s="85"/>
      <c r="EH56" s="85"/>
      <c r="EQ56" s="85"/>
      <c r="EZ56" s="21"/>
      <c r="FI56" s="66"/>
      <c r="FN56" s="16"/>
      <c r="FP56" s="85"/>
      <c r="FY56" s="85"/>
      <c r="GH56" s="85"/>
      <c r="GN56" s="85"/>
      <c r="HA56" s="20"/>
    </row>
    <row r="57" spans="2:209" x14ac:dyDescent="0.25">
      <c r="B57" s="82">
        <f t="shared" si="59"/>
        <v>44529</v>
      </c>
      <c r="C57" s="217"/>
      <c r="D57" s="22"/>
      <c r="E57" s="22"/>
      <c r="F57" s="46"/>
      <c r="G57" s="22"/>
      <c r="H57" s="22"/>
      <c r="I57" s="46"/>
      <c r="J57" s="22"/>
      <c r="K57" s="22"/>
      <c r="L57" s="46"/>
      <c r="M57" s="22"/>
      <c r="N57" s="22"/>
      <c r="O57" s="46"/>
      <c r="P57" s="22"/>
      <c r="Q57" s="22"/>
      <c r="R57" s="46"/>
      <c r="S57" s="22"/>
      <c r="T57" s="22"/>
      <c r="U57" s="46"/>
      <c r="V57" s="22"/>
      <c r="W57" s="22"/>
      <c r="X57" s="46"/>
      <c r="Y57" s="22"/>
      <c r="Z57" s="22"/>
      <c r="AA57" s="46"/>
      <c r="AB57" s="22"/>
      <c r="AC57" s="22"/>
      <c r="AD57" s="46"/>
      <c r="AE57" s="22"/>
      <c r="AF57" s="22"/>
      <c r="AG57" s="46"/>
      <c r="AH57" s="22"/>
      <c r="AI57" s="22"/>
      <c r="AJ57" s="46"/>
      <c r="AK57" s="252"/>
      <c r="AL57" s="252"/>
      <c r="AM57" s="46"/>
      <c r="AO57" s="46"/>
      <c r="AP57" s="22"/>
      <c r="AQ57" s="22"/>
      <c r="AR57" s="22"/>
      <c r="AS57" s="16"/>
      <c r="AT57" s="82">
        <f t="shared" si="60"/>
        <v>44523</v>
      </c>
      <c r="AU57" s="22"/>
      <c r="AV57" s="46"/>
      <c r="AW57" s="22"/>
      <c r="AX57" s="46"/>
      <c r="AY57" s="103"/>
      <c r="AZ57" s="104"/>
      <c r="BA57" s="22"/>
      <c r="BB57" s="46"/>
      <c r="BC57" s="83"/>
      <c r="BD57" s="27"/>
      <c r="BE57" s="22"/>
      <c r="BF57" s="22"/>
      <c r="BH57" s="16"/>
      <c r="BJ57" s="21"/>
      <c r="BN57" s="85"/>
      <c r="BW57" s="85"/>
      <c r="CF57" s="85"/>
      <c r="CO57" s="85"/>
      <c r="CX57" s="85"/>
      <c r="DG57" s="85"/>
      <c r="DP57" s="85"/>
      <c r="DY57" s="85"/>
      <c r="EH57" s="85"/>
      <c r="EQ57" s="85"/>
      <c r="EZ57" s="21"/>
      <c r="FI57" s="66"/>
      <c r="FN57" s="16"/>
      <c r="FP57" s="85"/>
      <c r="FY57" s="85"/>
      <c r="GH57" s="85"/>
      <c r="GN57" s="85"/>
      <c r="HA57" s="20"/>
    </row>
    <row r="58" spans="2:209" x14ac:dyDescent="0.25">
      <c r="B58" s="82">
        <f t="shared" si="59"/>
        <v>44536</v>
      </c>
      <c r="C58" s="217"/>
      <c r="D58" s="22"/>
      <c r="E58" s="22"/>
      <c r="F58" s="46"/>
      <c r="G58" s="22"/>
      <c r="H58" s="22"/>
      <c r="I58" s="46"/>
      <c r="J58" s="22"/>
      <c r="K58" s="22"/>
      <c r="L58" s="46"/>
      <c r="M58" s="22"/>
      <c r="N58" s="22"/>
      <c r="O58" s="46"/>
      <c r="P58" s="22"/>
      <c r="Q58" s="22"/>
      <c r="R58" s="46"/>
      <c r="S58" s="22"/>
      <c r="T58" s="22"/>
      <c r="U58" s="46"/>
      <c r="V58" s="22"/>
      <c r="W58" s="22"/>
      <c r="X58" s="46"/>
      <c r="Y58" s="22"/>
      <c r="Z58" s="22"/>
      <c r="AA58" s="46"/>
      <c r="AB58" s="22"/>
      <c r="AC58" s="22"/>
      <c r="AD58" s="46"/>
      <c r="AE58" s="22"/>
      <c r="AF58" s="22"/>
      <c r="AG58" s="46"/>
      <c r="AH58" s="22"/>
      <c r="AI58" s="22"/>
      <c r="AJ58" s="46"/>
      <c r="AK58" s="252"/>
      <c r="AL58" s="252"/>
      <c r="AM58" s="46"/>
      <c r="AO58" s="46"/>
      <c r="AP58" s="22"/>
      <c r="AQ58" s="22"/>
      <c r="AR58" s="22"/>
      <c r="AS58" s="16"/>
      <c r="AT58" s="82">
        <f t="shared" si="60"/>
        <v>44530</v>
      </c>
      <c r="AU58" s="22"/>
      <c r="AV58" s="46"/>
      <c r="AW58" s="22"/>
      <c r="AX58" s="46"/>
      <c r="AY58" s="103"/>
      <c r="AZ58" s="104"/>
      <c r="BA58" s="22"/>
      <c r="BB58" s="46"/>
      <c r="BC58" s="83"/>
      <c r="BD58" s="27"/>
      <c r="BE58" s="22"/>
      <c r="BF58" s="22"/>
      <c r="BH58" s="16"/>
      <c r="BJ58" s="21"/>
      <c r="BN58" s="85"/>
      <c r="BW58" s="85"/>
      <c r="CF58" s="85"/>
      <c r="CO58" s="85"/>
      <c r="CX58" s="85"/>
      <c r="DG58" s="85"/>
      <c r="DP58" s="85"/>
      <c r="DY58" s="85"/>
      <c r="EH58" s="85"/>
      <c r="EQ58" s="85"/>
      <c r="EZ58" s="21"/>
      <c r="FI58" s="66"/>
      <c r="FN58" s="16"/>
      <c r="FP58" s="85"/>
      <c r="FY58" s="85"/>
      <c r="GH58" s="85"/>
      <c r="GN58" s="85"/>
      <c r="HA58" s="20"/>
    </row>
    <row r="59" spans="2:209" x14ac:dyDescent="0.25">
      <c r="B59" s="82">
        <v>44531</v>
      </c>
      <c r="C59" s="217"/>
      <c r="D59" s="22"/>
      <c r="E59" s="22"/>
      <c r="F59" s="46"/>
      <c r="G59" s="22"/>
      <c r="H59" s="22"/>
      <c r="I59" s="46"/>
      <c r="J59" s="22"/>
      <c r="K59" s="22"/>
      <c r="L59" s="46"/>
      <c r="M59" s="22"/>
      <c r="N59" s="22"/>
      <c r="O59" s="46"/>
      <c r="P59" s="22"/>
      <c r="Q59" s="22"/>
      <c r="R59" s="46"/>
      <c r="S59" s="22"/>
      <c r="T59" s="22"/>
      <c r="U59" s="46"/>
      <c r="V59" s="22"/>
      <c r="W59" s="22"/>
      <c r="X59" s="46"/>
      <c r="Y59" s="22"/>
      <c r="Z59" s="22"/>
      <c r="AA59" s="46"/>
      <c r="AB59" s="22"/>
      <c r="AC59" s="22"/>
      <c r="AD59" s="46"/>
      <c r="AE59" s="22"/>
      <c r="AF59" s="22"/>
      <c r="AG59" s="46"/>
      <c r="AH59" s="22"/>
      <c r="AI59" s="22"/>
      <c r="AJ59" s="46"/>
      <c r="AK59" s="252"/>
      <c r="AL59" s="252"/>
      <c r="AM59" s="46"/>
      <c r="AO59" s="46"/>
      <c r="AP59" s="22"/>
      <c r="AQ59" s="22"/>
      <c r="AR59" s="22"/>
      <c r="AS59" s="16"/>
      <c r="AT59" s="82">
        <v>44531</v>
      </c>
      <c r="AU59" s="22"/>
      <c r="AV59" s="46"/>
      <c r="AW59" s="22"/>
      <c r="AX59" s="46"/>
      <c r="AY59" s="103"/>
      <c r="AZ59" s="104"/>
      <c r="BA59" s="22"/>
      <c r="BB59" s="46"/>
      <c r="BC59" s="83"/>
      <c r="BD59" s="27"/>
      <c r="BE59" s="22"/>
      <c r="BF59" s="22"/>
      <c r="BH59" s="16"/>
      <c r="BJ59" s="21"/>
      <c r="BN59" s="85"/>
      <c r="BW59" s="85"/>
      <c r="CF59" s="85"/>
      <c r="CO59" s="85"/>
      <c r="CX59" s="85"/>
      <c r="DG59" s="85"/>
      <c r="DP59" s="85"/>
      <c r="DY59" s="85"/>
      <c r="EH59" s="85"/>
      <c r="EQ59" s="85"/>
      <c r="EZ59" s="21"/>
      <c r="FI59" s="66"/>
      <c r="FN59" s="16"/>
      <c r="FP59" s="85"/>
      <c r="FY59" s="85"/>
      <c r="GH59" s="85"/>
      <c r="GN59" s="85"/>
      <c r="HA59" s="20"/>
    </row>
    <row r="60" spans="2:209" x14ac:dyDescent="0.25">
      <c r="B60" s="82">
        <v>44537</v>
      </c>
      <c r="C60" s="217"/>
      <c r="D60" s="22"/>
      <c r="E60" s="22"/>
      <c r="F60" s="46"/>
      <c r="G60" s="22"/>
      <c r="H60" s="22"/>
      <c r="I60" s="46"/>
      <c r="J60" s="22"/>
      <c r="K60" s="22"/>
      <c r="L60" s="46"/>
      <c r="M60" s="22"/>
      <c r="N60" s="22"/>
      <c r="O60" s="46"/>
      <c r="P60" s="22"/>
      <c r="Q60" s="22"/>
      <c r="R60" s="46"/>
      <c r="S60" s="22"/>
      <c r="T60" s="22"/>
      <c r="U60" s="46"/>
      <c r="V60" s="22"/>
      <c r="W60" s="22"/>
      <c r="X60" s="46"/>
      <c r="Y60" s="22"/>
      <c r="Z60" s="22"/>
      <c r="AA60" s="46"/>
      <c r="AB60" s="22"/>
      <c r="AC60" s="22"/>
      <c r="AD60" s="46"/>
      <c r="AE60" s="22"/>
      <c r="AF60" s="22"/>
      <c r="AG60" s="46"/>
      <c r="AH60" s="22"/>
      <c r="AI60" s="22"/>
      <c r="AJ60" s="46"/>
      <c r="AK60" s="252"/>
      <c r="AL60" s="252"/>
      <c r="AM60" s="46"/>
      <c r="AO60" s="46"/>
      <c r="AP60" s="22"/>
      <c r="AQ60" s="22"/>
      <c r="AR60" s="22"/>
      <c r="AS60" s="16"/>
      <c r="AT60" s="82">
        <v>44537</v>
      </c>
      <c r="AU60" s="22"/>
      <c r="AV60" s="46"/>
      <c r="AW60" s="22"/>
      <c r="AX60" s="46"/>
      <c r="AY60" s="103"/>
      <c r="AZ60" s="104"/>
      <c r="BA60" s="22"/>
      <c r="BB60" s="46"/>
      <c r="BC60" s="83"/>
      <c r="BD60" s="27"/>
      <c r="BE60" s="22"/>
      <c r="BF60" s="22"/>
      <c r="BH60" s="16"/>
      <c r="BJ60" s="21"/>
      <c r="BN60" s="85"/>
      <c r="BW60" s="85"/>
      <c r="CF60" s="85"/>
      <c r="CO60" s="85"/>
      <c r="CX60" s="85"/>
      <c r="DG60" s="85"/>
      <c r="DP60" s="85"/>
      <c r="DY60" s="85"/>
      <c r="EH60" s="85"/>
      <c r="EQ60" s="85"/>
      <c r="EZ60" s="21"/>
      <c r="FI60" s="66"/>
      <c r="FN60" s="16"/>
      <c r="FP60" s="85"/>
      <c r="FY60" s="85"/>
      <c r="GH60" s="85"/>
      <c r="GN60" s="85"/>
      <c r="HA60" s="20"/>
    </row>
    <row r="61" spans="2:209" x14ac:dyDescent="0.25">
      <c r="B61" s="82">
        <f>B60+7</f>
        <v>44544</v>
      </c>
      <c r="C61" s="217"/>
      <c r="D61" s="22"/>
      <c r="E61" s="22"/>
      <c r="F61" s="46"/>
      <c r="G61" s="22"/>
      <c r="H61" s="22"/>
      <c r="I61" s="46"/>
      <c r="J61" s="22"/>
      <c r="K61" s="22"/>
      <c r="L61" s="46"/>
      <c r="M61" s="22"/>
      <c r="N61" s="22"/>
      <c r="O61" s="46"/>
      <c r="P61" s="22"/>
      <c r="Q61" s="22"/>
      <c r="R61" s="46"/>
      <c r="S61" s="22"/>
      <c r="T61" s="22"/>
      <c r="U61" s="46"/>
      <c r="V61" s="22"/>
      <c r="W61" s="22"/>
      <c r="X61" s="46"/>
      <c r="Y61" s="22"/>
      <c r="Z61" s="22"/>
      <c r="AA61" s="46"/>
      <c r="AB61" s="22"/>
      <c r="AC61" s="22"/>
      <c r="AD61" s="46"/>
      <c r="AE61" s="22"/>
      <c r="AF61" s="22"/>
      <c r="AG61" s="46"/>
      <c r="AH61" s="22"/>
      <c r="AI61" s="22"/>
      <c r="AJ61" s="46"/>
      <c r="AK61" s="252"/>
      <c r="AL61" s="252"/>
      <c r="AM61" s="46"/>
      <c r="AO61" s="46"/>
      <c r="AP61" s="22"/>
      <c r="AQ61" s="22"/>
      <c r="AR61" s="22"/>
      <c r="AS61" s="16"/>
      <c r="AT61" s="82">
        <f>AT60+7</f>
        <v>44544</v>
      </c>
      <c r="AU61" s="22"/>
      <c r="AV61" s="46"/>
      <c r="AW61" s="22"/>
      <c r="AX61" s="46"/>
      <c r="AY61" s="103"/>
      <c r="AZ61" s="104"/>
      <c r="BA61" s="22"/>
      <c r="BB61" s="46"/>
      <c r="BC61" s="83"/>
      <c r="BD61" s="27"/>
      <c r="BE61" s="22"/>
      <c r="BF61" s="22"/>
      <c r="BH61" s="16"/>
      <c r="BJ61" s="21"/>
      <c r="BN61" s="85"/>
      <c r="BW61" s="85"/>
      <c r="CF61" s="85"/>
      <c r="CO61" s="85"/>
      <c r="CX61" s="85"/>
      <c r="DG61" s="85"/>
      <c r="DP61" s="85"/>
      <c r="DY61" s="85"/>
      <c r="EH61" s="85"/>
      <c r="EQ61" s="85"/>
      <c r="EZ61" s="21"/>
      <c r="FI61" s="66"/>
      <c r="FN61" s="16"/>
      <c r="FP61" s="85"/>
      <c r="FY61" s="85"/>
      <c r="GH61" s="85"/>
      <c r="GN61" s="85"/>
      <c r="HA61" s="20"/>
    </row>
    <row r="62" spans="2:209" x14ac:dyDescent="0.25">
      <c r="B62" s="82">
        <f t="shared" ref="B62:B63" si="61">B61+7</f>
        <v>44551</v>
      </c>
      <c r="C62" s="217"/>
      <c r="D62" s="22"/>
      <c r="E62" s="22"/>
      <c r="F62" s="46"/>
      <c r="G62" s="22"/>
      <c r="H62" s="22"/>
      <c r="I62" s="46"/>
      <c r="J62" s="22"/>
      <c r="K62" s="22"/>
      <c r="L62" s="46"/>
      <c r="M62" s="22"/>
      <c r="N62" s="22"/>
      <c r="O62" s="46"/>
      <c r="P62" s="22"/>
      <c r="Q62" s="22"/>
      <c r="R62" s="46"/>
      <c r="S62" s="22"/>
      <c r="T62" s="22"/>
      <c r="U62" s="46"/>
      <c r="V62" s="22"/>
      <c r="W62" s="22"/>
      <c r="X62" s="46"/>
      <c r="Y62" s="22"/>
      <c r="Z62" s="22"/>
      <c r="AA62" s="46"/>
      <c r="AB62" s="22"/>
      <c r="AC62" s="22"/>
      <c r="AD62" s="46"/>
      <c r="AE62" s="22"/>
      <c r="AF62" s="22"/>
      <c r="AG62" s="46"/>
      <c r="AH62" s="22"/>
      <c r="AI62" s="22"/>
      <c r="AJ62" s="46"/>
      <c r="AK62" s="252"/>
      <c r="AL62" s="252"/>
      <c r="AM62" s="46"/>
      <c r="AO62" s="46"/>
      <c r="AP62" s="22"/>
      <c r="AQ62" s="22"/>
      <c r="AR62" s="22"/>
      <c r="AS62" s="16"/>
      <c r="AT62" s="82">
        <f t="shared" ref="AT62:AT63" si="62">AT61+7</f>
        <v>44551</v>
      </c>
      <c r="AU62" s="22"/>
      <c r="AV62" s="46"/>
      <c r="AW62" s="22"/>
      <c r="AX62" s="46"/>
      <c r="AY62" s="103"/>
      <c r="AZ62" s="104"/>
      <c r="BA62" s="22"/>
      <c r="BB62" s="46"/>
      <c r="BC62" s="83"/>
      <c r="BD62" s="27"/>
      <c r="BE62" s="22"/>
      <c r="BF62" s="22"/>
      <c r="BH62" s="16"/>
      <c r="BJ62" s="21"/>
      <c r="BN62" s="85"/>
      <c r="BW62" s="85"/>
      <c r="CF62" s="85"/>
      <c r="CO62" s="85"/>
      <c r="CX62" s="85"/>
      <c r="DG62" s="85"/>
      <c r="DP62" s="85"/>
      <c r="DY62" s="85"/>
      <c r="EH62" s="85"/>
      <c r="EQ62" s="85"/>
      <c r="EZ62" s="21"/>
      <c r="FI62" s="66"/>
      <c r="FN62" s="16"/>
      <c r="FP62" s="85"/>
      <c r="FY62" s="85"/>
      <c r="GH62" s="85"/>
      <c r="GN62" s="85"/>
      <c r="HA62" s="20"/>
    </row>
    <row r="63" spans="2:209" x14ac:dyDescent="0.25">
      <c r="B63" s="82">
        <f t="shared" si="61"/>
        <v>44558</v>
      </c>
      <c r="C63" s="217"/>
      <c r="D63" s="22"/>
      <c r="E63" s="22"/>
      <c r="F63" s="46"/>
      <c r="G63" s="22"/>
      <c r="H63" s="22"/>
      <c r="I63" s="46"/>
      <c r="J63" s="22"/>
      <c r="K63" s="22"/>
      <c r="L63" s="46"/>
      <c r="M63" s="22"/>
      <c r="N63" s="22"/>
      <c r="O63" s="46"/>
      <c r="P63" s="22"/>
      <c r="Q63" s="22"/>
      <c r="R63" s="46"/>
      <c r="S63" s="22"/>
      <c r="T63" s="22"/>
      <c r="U63" s="46"/>
      <c r="V63" s="22"/>
      <c r="W63" s="22"/>
      <c r="X63" s="46"/>
      <c r="Y63" s="22"/>
      <c r="Z63" s="22"/>
      <c r="AA63" s="46"/>
      <c r="AB63" s="22"/>
      <c r="AC63" s="22"/>
      <c r="AD63" s="46"/>
      <c r="AE63" s="22"/>
      <c r="AF63" s="22"/>
      <c r="AG63" s="46"/>
      <c r="AH63" s="22"/>
      <c r="AI63" s="22"/>
      <c r="AJ63" s="46"/>
      <c r="AK63" s="252"/>
      <c r="AL63" s="252"/>
      <c r="AM63" s="46"/>
      <c r="AO63" s="46"/>
      <c r="AP63" s="22"/>
      <c r="AQ63" s="22"/>
      <c r="AR63" s="22"/>
      <c r="AS63" s="16"/>
      <c r="AT63" s="82">
        <f t="shared" si="62"/>
        <v>44558</v>
      </c>
      <c r="AU63" s="22"/>
      <c r="AV63" s="46"/>
      <c r="AW63" s="22"/>
      <c r="AX63" s="46"/>
      <c r="AY63" s="103"/>
      <c r="AZ63" s="104"/>
      <c r="BA63" s="22"/>
      <c r="BB63" s="46"/>
      <c r="BC63" s="83"/>
      <c r="BD63" s="27"/>
      <c r="BE63" s="22"/>
      <c r="BF63" s="22"/>
      <c r="BH63" s="16"/>
      <c r="BJ63" s="21"/>
      <c r="BN63" s="85"/>
      <c r="BW63" s="85"/>
      <c r="CF63" s="85"/>
      <c r="CO63" s="85"/>
      <c r="CX63" s="85"/>
      <c r="DG63" s="85"/>
      <c r="DP63" s="85"/>
      <c r="DY63" s="85"/>
      <c r="EH63" s="85"/>
      <c r="EQ63" s="85"/>
      <c r="EZ63" s="21"/>
      <c r="FI63" s="66"/>
      <c r="FN63" s="16"/>
      <c r="FP63" s="85"/>
      <c r="FY63" s="85"/>
      <c r="GH63" s="85"/>
      <c r="GN63" s="85"/>
      <c r="HA63" s="20"/>
    </row>
    <row r="64" spans="2:209" x14ac:dyDescent="0.25">
      <c r="B64" s="82">
        <v>44562</v>
      </c>
      <c r="C64" s="217"/>
      <c r="D64" s="22"/>
      <c r="E64" s="22"/>
      <c r="F64" s="46"/>
      <c r="G64" s="22"/>
      <c r="H64" s="22"/>
      <c r="I64" s="46"/>
      <c r="J64" s="22"/>
      <c r="K64" s="22"/>
      <c r="L64" s="46"/>
      <c r="M64" s="22"/>
      <c r="N64" s="22"/>
      <c r="O64" s="46"/>
      <c r="P64" s="22"/>
      <c r="Q64" s="22"/>
      <c r="R64" s="46"/>
      <c r="S64" s="22"/>
      <c r="T64" s="22"/>
      <c r="U64" s="46"/>
      <c r="V64" s="22"/>
      <c r="W64" s="22"/>
      <c r="X64" s="46"/>
      <c r="Y64" s="22"/>
      <c r="Z64" s="22"/>
      <c r="AA64" s="46"/>
      <c r="AB64" s="22"/>
      <c r="AC64" s="22"/>
      <c r="AD64" s="46"/>
      <c r="AE64" s="22"/>
      <c r="AF64" s="22"/>
      <c r="AG64" s="46"/>
      <c r="AH64" s="22"/>
      <c r="AI64" s="22"/>
      <c r="AJ64" s="46"/>
      <c r="AK64" s="252"/>
      <c r="AL64" s="252"/>
      <c r="AM64" s="46"/>
      <c r="AO64" s="46"/>
      <c r="AP64" s="22"/>
      <c r="AQ64" s="22"/>
      <c r="AR64" s="22"/>
      <c r="AS64" s="16"/>
      <c r="AT64" s="82">
        <v>44197</v>
      </c>
      <c r="AU64" s="22"/>
      <c r="AV64" s="46"/>
      <c r="AW64" s="22"/>
      <c r="AX64" s="46"/>
      <c r="AY64" s="103"/>
      <c r="AZ64" s="104"/>
      <c r="BA64" s="22"/>
      <c r="BB64" s="46"/>
      <c r="BC64" s="83"/>
      <c r="BD64" s="27"/>
      <c r="BE64" s="22"/>
      <c r="BF64" s="22"/>
      <c r="BH64" s="16"/>
      <c r="BJ64" s="21"/>
      <c r="BN64" s="85"/>
      <c r="BW64" s="85"/>
      <c r="CF64" s="85"/>
      <c r="CO64" s="85"/>
      <c r="CX64" s="85"/>
      <c r="DG64" s="85"/>
      <c r="DP64" s="85"/>
      <c r="DY64" s="85"/>
      <c r="EH64" s="85"/>
      <c r="EQ64" s="85"/>
      <c r="EZ64" s="21"/>
      <c r="FI64" s="66"/>
      <c r="FN64" s="16"/>
      <c r="FP64" s="85"/>
      <c r="FY64" s="85"/>
      <c r="GH64" s="85"/>
      <c r="GN64" s="85"/>
      <c r="HA64" s="20"/>
    </row>
  </sheetData>
  <mergeCells count="86">
    <mergeCell ref="AK40:AL40"/>
    <mergeCell ref="AK41:AL41"/>
    <mergeCell ref="AK42:AL42"/>
    <mergeCell ref="AK43:AL43"/>
    <mergeCell ref="AK44:AL44"/>
    <mergeCell ref="AK39:AL39"/>
    <mergeCell ref="AK28:AL28"/>
    <mergeCell ref="AK29:AL29"/>
    <mergeCell ref="AK30:AL30"/>
    <mergeCell ref="AK31:AL31"/>
    <mergeCell ref="AK32:AL32"/>
    <mergeCell ref="AK33:AL33"/>
    <mergeCell ref="AK34:AL34"/>
    <mergeCell ref="AK35:AL35"/>
    <mergeCell ref="AK36:AL36"/>
    <mergeCell ref="AK37:AL37"/>
    <mergeCell ref="AK38:AL38"/>
    <mergeCell ref="AK15:AL15"/>
    <mergeCell ref="AK14:AL14"/>
    <mergeCell ref="AK27:AL27"/>
    <mergeCell ref="AK16:AL16"/>
    <mergeCell ref="AK17:AL17"/>
    <mergeCell ref="AK18:AL18"/>
    <mergeCell ref="AK19:AL19"/>
    <mergeCell ref="AK20:AL20"/>
    <mergeCell ref="AK21:AL21"/>
    <mergeCell ref="AK22:AL22"/>
    <mergeCell ref="AK23:AL23"/>
    <mergeCell ref="AK24:AL24"/>
    <mergeCell ref="AK25:AL25"/>
    <mergeCell ref="AK26:AL26"/>
    <mergeCell ref="FY1:GG1"/>
    <mergeCell ref="GH1:GM1"/>
    <mergeCell ref="GN1:GV1"/>
    <mergeCell ref="AK2:AL2"/>
    <mergeCell ref="BJ2:BM2"/>
    <mergeCell ref="EZ1:FH1"/>
    <mergeCell ref="FP1:FX1"/>
    <mergeCell ref="BJ1:BM1"/>
    <mergeCell ref="AK3:AL3"/>
    <mergeCell ref="DP1:DX1"/>
    <mergeCell ref="DY1:EG1"/>
    <mergeCell ref="EH1:EP1"/>
    <mergeCell ref="EQ1:EY1"/>
    <mergeCell ref="BN1:BV1"/>
    <mergeCell ref="BW1:CE1"/>
    <mergeCell ref="CF1:CN1"/>
    <mergeCell ref="CO1:CW1"/>
    <mergeCell ref="CX1:DF1"/>
    <mergeCell ref="DG1:DO1"/>
    <mergeCell ref="AK1:AM1"/>
    <mergeCell ref="AU1:AV1"/>
    <mergeCell ref="AW1:AX1"/>
    <mergeCell ref="AY1:AZ1"/>
    <mergeCell ref="BA1:BB1"/>
    <mergeCell ref="AH1:AJ1"/>
    <mergeCell ref="D1:F1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K61:AL61"/>
    <mergeCell ref="AK62:AL62"/>
    <mergeCell ref="AK63:AL63"/>
    <mergeCell ref="AK64:AL64"/>
    <mergeCell ref="AK55:AL55"/>
    <mergeCell ref="AK56:AL56"/>
    <mergeCell ref="AK57:AL57"/>
    <mergeCell ref="AK58:AL58"/>
    <mergeCell ref="AK59:AL59"/>
    <mergeCell ref="AK60:AL60"/>
    <mergeCell ref="AK54:AL54"/>
    <mergeCell ref="AK45:AL45"/>
    <mergeCell ref="AK46:AL46"/>
    <mergeCell ref="AK47:AL47"/>
    <mergeCell ref="AK48:AL48"/>
    <mergeCell ref="AK49:AL49"/>
    <mergeCell ref="AK50:AL50"/>
    <mergeCell ref="AK51:AL51"/>
    <mergeCell ref="AK52:AL52"/>
    <mergeCell ref="AK53:AL53"/>
  </mergeCells>
  <pageMargins left="0.7" right="0.7" top="0.75" bottom="0.75" header="0.3" footer="0.3"/>
  <pageSetup orientation="landscape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DJ65"/>
  <sheetViews>
    <sheetView tabSelected="1" zoomScale="85" zoomScaleNormal="85" workbookViewId="0">
      <selection activeCell="AS13" sqref="AS13:BF13"/>
    </sheetView>
  </sheetViews>
  <sheetFormatPr defaultRowHeight="15" x14ac:dyDescent="0.25"/>
  <cols>
    <col min="1" max="1" width="1.7109375" customWidth="1"/>
    <col min="2" max="2" width="12.85546875" customWidth="1"/>
    <col min="5" max="5" width="11.7109375" customWidth="1"/>
    <col min="8" max="8" width="11.28515625" customWidth="1"/>
    <col min="12" max="13" width="9.7109375" customWidth="1"/>
    <col min="18" max="18" width="2.7109375" customWidth="1"/>
    <col min="21" max="21" width="9.7109375" bestFit="1" customWidth="1"/>
    <col min="22" max="24" width="9.7109375" style="60" customWidth="1"/>
    <col min="25" max="25" width="9.7109375" style="105" customWidth="1"/>
    <col min="26" max="26" width="2.7109375" customWidth="1"/>
    <col min="27" max="42" width="11.7109375" style="60" customWidth="1"/>
    <col min="43" max="43" width="2.7109375" customWidth="1"/>
    <col min="44" max="44" width="12.7109375" customWidth="1"/>
    <col min="45" max="45" width="14.7109375" customWidth="1"/>
    <col min="47" max="47" width="2.7109375" customWidth="1"/>
    <col min="48" max="48" width="12.7109375" customWidth="1"/>
    <col min="49" max="49" width="9.140625" customWidth="1"/>
    <col min="50" max="50" width="12.7109375" customWidth="1"/>
    <col min="51" max="51" width="9.140625" customWidth="1"/>
    <col min="52" max="52" width="14.7109375" customWidth="1"/>
    <col min="53" max="53" width="12.7109375" customWidth="1"/>
    <col min="54" max="54" width="9.140625" customWidth="1"/>
    <col min="55" max="55" width="12.7109375" customWidth="1"/>
    <col min="56" max="56" width="9.140625" customWidth="1"/>
    <col min="57" max="57" width="12.7109375" customWidth="1"/>
    <col min="58" max="58" width="15.7109375" customWidth="1"/>
    <col min="59" max="59" width="2.7109375" customWidth="1"/>
    <col min="60" max="60" width="9.140625" customWidth="1"/>
    <col min="61" max="63" width="10.7109375" customWidth="1"/>
    <col min="64" max="64" width="13.7109375" style="61" customWidth="1"/>
    <col min="65" max="65" width="11.7109375" style="61" customWidth="1"/>
    <col min="66" max="70" width="10.7109375" customWidth="1"/>
    <col min="71" max="71" width="15.7109375" customWidth="1"/>
    <col min="72" max="72" width="10.7109375" customWidth="1"/>
    <col min="73" max="73" width="12.85546875" style="106" customWidth="1"/>
    <col min="74" max="74" width="13" style="106" customWidth="1"/>
    <col min="75" max="75" width="13" style="107" customWidth="1"/>
    <col min="76" max="76" width="13" style="108" customWidth="1"/>
    <col min="77" max="77" width="13" style="106" customWidth="1"/>
    <col min="78" max="78" width="13" style="108" customWidth="1"/>
    <col min="79" max="79" width="13" style="106" customWidth="1"/>
    <col min="80" max="80" width="2.7109375" customWidth="1"/>
    <col min="81" max="83" width="10.7109375" customWidth="1"/>
    <col min="84" max="84" width="13.7109375" style="61" customWidth="1"/>
    <col min="85" max="85" width="11.7109375" style="61" customWidth="1"/>
    <col min="86" max="86" width="14.7109375" style="61" customWidth="1"/>
    <col min="87" max="89" width="10.7109375" customWidth="1"/>
    <col min="90" max="90" width="13.7109375" style="61" customWidth="1"/>
    <col min="91" max="91" width="11.7109375" style="109" customWidth="1"/>
    <col min="92" max="92" width="10.7109375" customWidth="1"/>
    <col min="93" max="93" width="15.7109375" customWidth="1"/>
    <col min="94" max="94" width="10.7109375" style="60" customWidth="1"/>
    <col min="95" max="95" width="11.7109375" style="110" customWidth="1"/>
    <col min="96" max="98" width="10.7109375" customWidth="1"/>
    <col min="99" max="99" width="13.7109375" style="61" customWidth="1"/>
    <col min="100" max="100" width="11.7109375" style="109" customWidth="1"/>
    <col min="101" max="101" width="12.7109375" customWidth="1"/>
    <col min="102" max="103" width="10.7109375" customWidth="1"/>
    <col min="104" max="104" width="13.7109375" style="61" customWidth="1"/>
    <col min="106" max="106" width="2.7109375" customWidth="1"/>
    <col min="107" max="107" width="13.7109375" customWidth="1"/>
    <col min="108" max="108" width="11.140625" customWidth="1"/>
    <col min="109" max="109" width="12.42578125" customWidth="1"/>
    <col min="110" max="110" width="12.5703125" customWidth="1"/>
    <col min="111" max="111" width="12" customWidth="1"/>
    <col min="112" max="112" width="2.7109375" customWidth="1"/>
    <col min="113" max="113" width="13.85546875" customWidth="1"/>
    <col min="114" max="114" width="12.42578125" customWidth="1"/>
  </cols>
  <sheetData>
    <row r="1" spans="2:114" s="90" customFormat="1" ht="31.5" x14ac:dyDescent="0.35">
      <c r="B1" s="122">
        <v>2020</v>
      </c>
      <c r="C1" s="282">
        <v>74860172</v>
      </c>
      <c r="D1" s="283"/>
      <c r="E1" s="284"/>
      <c r="F1" s="282">
        <v>74860173</v>
      </c>
      <c r="G1" s="283"/>
      <c r="H1" s="284"/>
      <c r="I1" s="282">
        <v>44553004</v>
      </c>
      <c r="J1" s="283"/>
      <c r="K1" s="284"/>
      <c r="L1" s="282">
        <v>70275191</v>
      </c>
      <c r="M1" s="283"/>
      <c r="N1" s="284"/>
      <c r="O1" s="282">
        <v>2130521</v>
      </c>
      <c r="P1" s="283"/>
      <c r="Q1" s="284"/>
      <c r="R1" s="19"/>
      <c r="S1" s="285" t="s">
        <v>62</v>
      </c>
      <c r="T1" s="283"/>
      <c r="U1" s="284"/>
      <c r="V1" s="277">
        <v>93477704</v>
      </c>
      <c r="W1" s="278"/>
      <c r="X1" s="279"/>
      <c r="Y1" s="31" t="s">
        <v>63</v>
      </c>
      <c r="Z1" s="19"/>
      <c r="AA1" s="280">
        <v>79177804</v>
      </c>
      <c r="AB1" s="281"/>
      <c r="AC1" s="280">
        <v>79305675</v>
      </c>
      <c r="AD1" s="281"/>
      <c r="AE1" s="280">
        <v>79190041</v>
      </c>
      <c r="AF1" s="281"/>
      <c r="AG1" s="280" t="s">
        <v>49</v>
      </c>
      <c r="AH1" s="281"/>
      <c r="AI1" s="280">
        <v>79190039</v>
      </c>
      <c r="AJ1" s="281"/>
      <c r="AK1" s="280">
        <v>79324776</v>
      </c>
      <c r="AL1" s="281"/>
      <c r="AM1" s="280" t="s">
        <v>64</v>
      </c>
      <c r="AN1" s="281"/>
      <c r="AO1" s="280" t="s">
        <v>65</v>
      </c>
      <c r="AP1" s="281"/>
      <c r="AQ1" s="16"/>
      <c r="AS1" s="282" t="s">
        <v>66</v>
      </c>
      <c r="AT1" s="284"/>
      <c r="AU1" s="16"/>
      <c r="AV1" s="282" t="s">
        <v>55</v>
      </c>
      <c r="AW1" s="284"/>
      <c r="AX1" s="282">
        <v>65956268</v>
      </c>
      <c r="AY1" s="284"/>
      <c r="AZ1" s="32" t="s">
        <v>57</v>
      </c>
      <c r="BA1" s="282">
        <v>1334021</v>
      </c>
      <c r="BB1" s="284"/>
      <c r="BC1" s="282">
        <v>63265094</v>
      </c>
      <c r="BD1" s="284"/>
      <c r="BE1" s="282" t="s">
        <v>67</v>
      </c>
      <c r="BF1" s="284"/>
      <c r="BI1" s="280" t="s">
        <v>68</v>
      </c>
      <c r="BJ1" s="286"/>
      <c r="BK1" s="286"/>
      <c r="BL1" s="286"/>
      <c r="BM1" s="281"/>
      <c r="BN1" s="280" t="s">
        <v>69</v>
      </c>
      <c r="BO1" s="286"/>
      <c r="BP1" s="286"/>
      <c r="BQ1" s="281"/>
      <c r="BR1" s="280" t="s">
        <v>70</v>
      </c>
      <c r="BS1" s="286"/>
      <c r="BT1" s="286"/>
      <c r="BU1" s="281"/>
      <c r="BV1" s="287" t="s">
        <v>70</v>
      </c>
      <c r="BW1" s="288"/>
      <c r="BX1" s="288"/>
      <c r="BY1" s="289"/>
      <c r="BZ1" s="18" t="s">
        <v>206</v>
      </c>
      <c r="CA1" s="123" t="s">
        <v>207</v>
      </c>
      <c r="CB1" s="60"/>
      <c r="CC1" s="280" t="s">
        <v>71</v>
      </c>
      <c r="CD1" s="286"/>
      <c r="CE1" s="286"/>
      <c r="CF1" s="286"/>
      <c r="CG1" s="290" t="s">
        <v>144</v>
      </c>
      <c r="CH1" s="290"/>
      <c r="CI1" s="280" t="s">
        <v>72</v>
      </c>
      <c r="CJ1" s="286"/>
      <c r="CK1" s="286"/>
      <c r="CL1" s="281"/>
      <c r="CM1" s="124"/>
      <c r="CN1" s="280" t="s">
        <v>73</v>
      </c>
      <c r="CO1" s="286"/>
      <c r="CP1" s="286"/>
      <c r="CQ1" s="281"/>
      <c r="CR1" s="280" t="s">
        <v>74</v>
      </c>
      <c r="CS1" s="286"/>
      <c r="CT1" s="286"/>
      <c r="CU1" s="281"/>
      <c r="CV1" s="293" t="s">
        <v>208</v>
      </c>
      <c r="CW1" s="280" t="s">
        <v>75</v>
      </c>
      <c r="CX1" s="286"/>
      <c r="CY1" s="286"/>
      <c r="CZ1" s="281"/>
      <c r="DC1" s="68" t="s">
        <v>213</v>
      </c>
      <c r="DD1" s="68" t="s">
        <v>213</v>
      </c>
      <c r="DE1" s="68" t="s">
        <v>214</v>
      </c>
      <c r="DF1" s="68" t="s">
        <v>215</v>
      </c>
      <c r="DG1" s="68" t="s">
        <v>81</v>
      </c>
      <c r="DI1" s="125" t="s">
        <v>218</v>
      </c>
      <c r="DJ1" s="125" t="s">
        <v>219</v>
      </c>
    </row>
    <row r="2" spans="2:114" ht="15.75" x14ac:dyDescent="0.25">
      <c r="B2" s="35" t="s">
        <v>61</v>
      </c>
      <c r="C2" s="33" t="s">
        <v>80</v>
      </c>
      <c r="D2" s="34"/>
      <c r="E2" s="35" t="s">
        <v>81</v>
      </c>
      <c r="F2" s="33" t="s">
        <v>82</v>
      </c>
      <c r="G2" s="34"/>
      <c r="H2" s="35" t="s">
        <v>81</v>
      </c>
      <c r="I2" s="33"/>
      <c r="J2" s="34"/>
      <c r="K2" s="36"/>
      <c r="L2" s="33" t="s">
        <v>83</v>
      </c>
      <c r="M2" s="34"/>
      <c r="N2" s="36"/>
      <c r="O2" s="259" t="s">
        <v>84</v>
      </c>
      <c r="P2" s="260"/>
      <c r="Q2" s="35" t="s">
        <v>81</v>
      </c>
      <c r="R2" s="19"/>
      <c r="S2" s="33" t="s">
        <v>84</v>
      </c>
      <c r="T2" s="34" t="s">
        <v>85</v>
      </c>
      <c r="U2" s="36"/>
      <c r="V2" s="33" t="s">
        <v>84</v>
      </c>
      <c r="W2" s="34" t="s">
        <v>85</v>
      </c>
      <c r="X2" s="36"/>
      <c r="Y2" s="37"/>
      <c r="Z2" s="16"/>
      <c r="AA2" s="250" t="s">
        <v>86</v>
      </c>
      <c r="AB2" s="251"/>
      <c r="AC2" s="250" t="s">
        <v>87</v>
      </c>
      <c r="AD2" s="251"/>
      <c r="AE2" s="250" t="s">
        <v>88</v>
      </c>
      <c r="AF2" s="251"/>
      <c r="AG2" s="250" t="s">
        <v>89</v>
      </c>
      <c r="AH2" s="251"/>
      <c r="AI2" s="250" t="s">
        <v>90</v>
      </c>
      <c r="AJ2" s="251"/>
      <c r="AK2" s="250" t="s">
        <v>91</v>
      </c>
      <c r="AL2" s="251"/>
      <c r="AM2" s="250" t="s">
        <v>92</v>
      </c>
      <c r="AN2" s="251"/>
      <c r="AO2" s="250" t="s">
        <v>93</v>
      </c>
      <c r="AP2" s="251"/>
      <c r="AQ2" s="16"/>
      <c r="AS2" s="33">
        <v>46801014</v>
      </c>
      <c r="AT2" s="36"/>
      <c r="AU2" s="16"/>
      <c r="AV2" s="33"/>
      <c r="AW2" s="35" t="s">
        <v>81</v>
      </c>
      <c r="AX2" s="33" t="s">
        <v>94</v>
      </c>
      <c r="AY2" s="35" t="s">
        <v>81</v>
      </c>
      <c r="AZ2" s="35" t="s">
        <v>81</v>
      </c>
      <c r="BA2" s="33"/>
      <c r="BB2" s="35" t="s">
        <v>81</v>
      </c>
      <c r="BC2" s="33"/>
      <c r="BD2" s="35" t="s">
        <v>81</v>
      </c>
      <c r="BE2" s="33"/>
      <c r="BF2" s="35" t="s">
        <v>81</v>
      </c>
      <c r="BI2" s="250" t="s">
        <v>95</v>
      </c>
      <c r="BJ2" s="265"/>
      <c r="BK2" s="265"/>
      <c r="BL2" s="265"/>
      <c r="BM2" s="251"/>
      <c r="BN2" s="250" t="s">
        <v>96</v>
      </c>
      <c r="BO2" s="265"/>
      <c r="BP2" s="265"/>
      <c r="BQ2" s="251"/>
      <c r="BR2" s="250" t="s">
        <v>97</v>
      </c>
      <c r="BS2" s="265"/>
      <c r="BT2" s="265"/>
      <c r="BU2" s="251"/>
      <c r="BV2" s="250" t="s">
        <v>97</v>
      </c>
      <c r="BW2" s="265"/>
      <c r="BX2" s="265"/>
      <c r="BY2" s="251"/>
      <c r="BZ2" s="111" t="s">
        <v>209</v>
      </c>
      <c r="CA2" s="112" t="s">
        <v>210</v>
      </c>
      <c r="CB2" s="16"/>
      <c r="CC2" s="250" t="s">
        <v>98</v>
      </c>
      <c r="CD2" s="265"/>
      <c r="CE2" s="265"/>
      <c r="CF2" s="265"/>
      <c r="CG2" s="291" t="s">
        <v>211</v>
      </c>
      <c r="CH2" s="291" t="s">
        <v>212</v>
      </c>
      <c r="CI2" s="250" t="s">
        <v>99</v>
      </c>
      <c r="CJ2" s="265"/>
      <c r="CK2" s="265"/>
      <c r="CL2" s="251"/>
      <c r="CM2" s="293" t="s">
        <v>211</v>
      </c>
      <c r="CN2" s="250" t="s">
        <v>100</v>
      </c>
      <c r="CO2" s="265"/>
      <c r="CP2" s="265"/>
      <c r="CQ2" s="251"/>
      <c r="CR2" s="250" t="s">
        <v>101</v>
      </c>
      <c r="CS2" s="265"/>
      <c r="CT2" s="265"/>
      <c r="CU2" s="251"/>
      <c r="CV2" s="295"/>
      <c r="CW2" s="250" t="s">
        <v>102</v>
      </c>
      <c r="CX2" s="265"/>
      <c r="CY2" s="265"/>
      <c r="CZ2" s="251"/>
      <c r="DC2" s="126" t="s">
        <v>216</v>
      </c>
      <c r="DD2" s="126" t="s">
        <v>216</v>
      </c>
      <c r="DE2" s="126" t="s">
        <v>217</v>
      </c>
      <c r="DF2" s="126" t="s">
        <v>81</v>
      </c>
      <c r="DG2" s="126" t="s">
        <v>216</v>
      </c>
      <c r="DI2" s="36" t="s">
        <v>81</v>
      </c>
      <c r="DJ2" s="36" t="s">
        <v>81</v>
      </c>
    </row>
    <row r="3" spans="2:114" x14ac:dyDescent="0.25">
      <c r="B3" s="76"/>
      <c r="C3" s="250" t="s">
        <v>131</v>
      </c>
      <c r="D3" s="251"/>
      <c r="E3" s="24" t="s">
        <v>132</v>
      </c>
      <c r="F3" s="250" t="s">
        <v>133</v>
      </c>
      <c r="G3" s="251"/>
      <c r="H3" s="24" t="s">
        <v>132</v>
      </c>
      <c r="I3" s="250" t="s">
        <v>134</v>
      </c>
      <c r="J3" s="251"/>
      <c r="K3" s="24"/>
      <c r="L3" s="250" t="s">
        <v>135</v>
      </c>
      <c r="M3" s="251"/>
      <c r="N3" s="24"/>
      <c r="O3" s="250" t="s">
        <v>136</v>
      </c>
      <c r="P3" s="251"/>
      <c r="Q3" s="24" t="s">
        <v>132</v>
      </c>
      <c r="R3" s="38"/>
      <c r="S3" s="250" t="s">
        <v>137</v>
      </c>
      <c r="T3" s="251"/>
      <c r="U3" s="25"/>
      <c r="V3" s="250" t="s">
        <v>137</v>
      </c>
      <c r="W3" s="251"/>
      <c r="X3" s="25"/>
      <c r="Y3" s="37"/>
      <c r="Z3" s="16"/>
      <c r="AA3" s="4" t="s">
        <v>138</v>
      </c>
      <c r="AB3" s="4" t="s">
        <v>139</v>
      </c>
      <c r="AC3" s="4" t="s">
        <v>138</v>
      </c>
      <c r="AD3" s="4" t="s">
        <v>139</v>
      </c>
      <c r="AE3" s="4" t="s">
        <v>138</v>
      </c>
      <c r="AF3" s="4" t="s">
        <v>139</v>
      </c>
      <c r="AG3" s="4" t="s">
        <v>138</v>
      </c>
      <c r="AH3" s="4" t="s">
        <v>139</v>
      </c>
      <c r="AI3" s="4" t="s">
        <v>138</v>
      </c>
      <c r="AJ3" s="4" t="s">
        <v>139</v>
      </c>
      <c r="AK3" s="4" t="s">
        <v>138</v>
      </c>
      <c r="AL3" s="4" t="s">
        <v>139</v>
      </c>
      <c r="AM3" s="4" t="s">
        <v>138</v>
      </c>
      <c r="AN3" s="4" t="s">
        <v>139</v>
      </c>
      <c r="AO3" s="4" t="s">
        <v>138</v>
      </c>
      <c r="AP3" s="4" t="s">
        <v>139</v>
      </c>
      <c r="AQ3" s="16"/>
      <c r="AS3" s="58" t="s">
        <v>140</v>
      </c>
      <c r="AT3" s="25"/>
      <c r="AU3" s="16"/>
      <c r="AV3" s="58" t="s">
        <v>141</v>
      </c>
      <c r="AW3" s="24" t="s">
        <v>132</v>
      </c>
      <c r="AX3" s="58" t="s">
        <v>141</v>
      </c>
      <c r="AY3" s="24" t="s">
        <v>132</v>
      </c>
      <c r="AZ3" s="24" t="s">
        <v>132</v>
      </c>
      <c r="BA3" s="58" t="s">
        <v>141</v>
      </c>
      <c r="BB3" s="24" t="s">
        <v>132</v>
      </c>
      <c r="BC3" s="58" t="s">
        <v>141</v>
      </c>
      <c r="BD3" s="24" t="s">
        <v>132</v>
      </c>
      <c r="BE3" s="58" t="s">
        <v>141</v>
      </c>
      <c r="BF3" s="24" t="s">
        <v>132</v>
      </c>
      <c r="BI3" s="29" t="s">
        <v>76</v>
      </c>
      <c r="BJ3" s="4" t="s">
        <v>198</v>
      </c>
      <c r="BK3" s="29" t="s">
        <v>104</v>
      </c>
      <c r="BL3" s="113" t="s">
        <v>81</v>
      </c>
      <c r="BM3" s="120" t="s">
        <v>211</v>
      </c>
      <c r="BN3" s="29" t="s">
        <v>76</v>
      </c>
      <c r="BO3" s="4" t="s">
        <v>198</v>
      </c>
      <c r="BP3" s="29" t="s">
        <v>104</v>
      </c>
      <c r="BQ3" s="113" t="s">
        <v>81</v>
      </c>
      <c r="BR3" s="29" t="s">
        <v>76</v>
      </c>
      <c r="BS3" s="4" t="s">
        <v>198</v>
      </c>
      <c r="BT3" s="30" t="s">
        <v>142</v>
      </c>
      <c r="BU3" s="114" t="s">
        <v>81</v>
      </c>
      <c r="BV3" s="29" t="s">
        <v>76</v>
      </c>
      <c r="BW3" s="128" t="s">
        <v>198</v>
      </c>
      <c r="BX3" s="48" t="s">
        <v>142</v>
      </c>
      <c r="BY3" s="114" t="s">
        <v>81</v>
      </c>
      <c r="BZ3" s="117" t="s">
        <v>81</v>
      </c>
      <c r="CA3" s="115"/>
      <c r="CB3" s="16"/>
      <c r="CC3" s="29" t="s">
        <v>76</v>
      </c>
      <c r="CD3" s="4" t="s">
        <v>198</v>
      </c>
      <c r="CE3" s="29" t="s">
        <v>104</v>
      </c>
      <c r="CF3" s="113" t="s">
        <v>81</v>
      </c>
      <c r="CG3" s="292"/>
      <c r="CH3" s="292"/>
      <c r="CI3" s="29" t="s">
        <v>76</v>
      </c>
      <c r="CJ3" s="4" t="s">
        <v>198</v>
      </c>
      <c r="CK3" s="29" t="s">
        <v>104</v>
      </c>
      <c r="CL3" s="113" t="s">
        <v>81</v>
      </c>
      <c r="CM3" s="294"/>
      <c r="CN3" s="29" t="s">
        <v>76</v>
      </c>
      <c r="CO3" s="4" t="s">
        <v>198</v>
      </c>
      <c r="CP3" s="30" t="s">
        <v>104</v>
      </c>
      <c r="CQ3" s="114" t="s">
        <v>81</v>
      </c>
      <c r="CR3" s="29" t="s">
        <v>76</v>
      </c>
      <c r="CS3" s="4" t="s">
        <v>198</v>
      </c>
      <c r="CT3" s="29" t="s">
        <v>104</v>
      </c>
      <c r="CU3" s="113" t="s">
        <v>81</v>
      </c>
      <c r="CV3" s="294"/>
      <c r="CW3" s="29" t="s">
        <v>76</v>
      </c>
      <c r="CX3" s="4" t="s">
        <v>198</v>
      </c>
      <c r="CY3" s="29" t="s">
        <v>104</v>
      </c>
      <c r="CZ3" s="113" t="s">
        <v>81</v>
      </c>
      <c r="DC3" s="25" t="s">
        <v>138</v>
      </c>
      <c r="DD3" s="25" t="s">
        <v>81</v>
      </c>
      <c r="DE3" s="25" t="s">
        <v>81</v>
      </c>
      <c r="DF3" s="25"/>
      <c r="DG3" s="25"/>
      <c r="DI3" s="25"/>
      <c r="DJ3" s="25"/>
    </row>
    <row r="4" spans="2:114" s="130" customFormat="1" x14ac:dyDescent="0.25">
      <c r="B4" s="82">
        <v>44197</v>
      </c>
      <c r="C4" s="268">
        <v>41067492</v>
      </c>
      <c r="D4" s="269"/>
      <c r="E4" s="39">
        <v>0</v>
      </c>
      <c r="F4" s="268">
        <v>4762937</v>
      </c>
      <c r="G4" s="269"/>
      <c r="H4" s="39">
        <v>0</v>
      </c>
      <c r="I4" s="268">
        <v>16838</v>
      </c>
      <c r="J4" s="269"/>
      <c r="K4" s="39">
        <v>0</v>
      </c>
      <c r="L4" s="268">
        <v>298034</v>
      </c>
      <c r="M4" s="269"/>
      <c r="N4" s="39">
        <v>0</v>
      </c>
      <c r="O4" s="268">
        <v>5674</v>
      </c>
      <c r="P4" s="269"/>
      <c r="Q4" s="39">
        <v>0</v>
      </c>
      <c r="R4" s="40"/>
      <c r="S4" s="268">
        <v>692861</v>
      </c>
      <c r="T4" s="269"/>
      <c r="U4" s="39">
        <v>0</v>
      </c>
      <c r="V4" s="268">
        <v>409965</v>
      </c>
      <c r="W4" s="269"/>
      <c r="X4" s="39">
        <v>0</v>
      </c>
      <c r="Y4" s="39">
        <v>0</v>
      </c>
      <c r="Z4" s="41"/>
      <c r="AA4" s="199">
        <v>14288</v>
      </c>
      <c r="AB4" s="206" t="s">
        <v>204</v>
      </c>
      <c r="AC4" s="199">
        <v>390378242</v>
      </c>
      <c r="AD4" s="206" t="s">
        <v>204</v>
      </c>
      <c r="AE4" s="199">
        <v>104670</v>
      </c>
      <c r="AF4" s="206" t="s">
        <v>204</v>
      </c>
      <c r="AG4" s="199">
        <v>3181175</v>
      </c>
      <c r="AH4" s="206" t="s">
        <v>204</v>
      </c>
      <c r="AI4" s="199">
        <v>4016165</v>
      </c>
      <c r="AJ4" s="206" t="s">
        <v>204</v>
      </c>
      <c r="AK4" s="199">
        <v>18258</v>
      </c>
      <c r="AL4" s="206" t="s">
        <v>204</v>
      </c>
      <c r="AM4" s="199">
        <v>215</v>
      </c>
      <c r="AN4" s="206" t="s">
        <v>204</v>
      </c>
      <c r="AO4" s="199">
        <v>11749</v>
      </c>
      <c r="AP4" s="206" t="s">
        <v>204</v>
      </c>
      <c r="AQ4" s="43"/>
      <c r="AR4" s="129">
        <f t="shared" ref="AR4:AR44" si="0">B4</f>
        <v>44197</v>
      </c>
      <c r="AS4" s="199">
        <v>8951</v>
      </c>
      <c r="AT4" s="206" t="s">
        <v>204</v>
      </c>
      <c r="AU4" s="207"/>
      <c r="AV4" s="199">
        <v>18139365</v>
      </c>
      <c r="AW4" s="199" t="s">
        <v>204</v>
      </c>
      <c r="AX4" s="199">
        <v>443832930</v>
      </c>
      <c r="AY4" s="200" t="s">
        <v>204</v>
      </c>
      <c r="AZ4" s="199" t="s">
        <v>204</v>
      </c>
      <c r="BA4" s="199">
        <v>6958600</v>
      </c>
      <c r="BB4" s="208" t="s">
        <v>204</v>
      </c>
      <c r="BC4" s="200">
        <v>3747300</v>
      </c>
      <c r="BD4" s="209" t="s">
        <v>204</v>
      </c>
      <c r="BE4" s="199">
        <v>43171136</v>
      </c>
      <c r="BF4" s="206" t="s">
        <v>204</v>
      </c>
      <c r="BI4" s="49">
        <f t="shared" ref="BI4:BI44" si="1">(C4)</f>
        <v>41067492</v>
      </c>
      <c r="BJ4" s="22">
        <v>364911</v>
      </c>
      <c r="BL4" s="131"/>
      <c r="BM4" s="131"/>
      <c r="BN4" s="49">
        <f t="shared" ref="BN4:BN44" si="2">(F4)</f>
        <v>4762937</v>
      </c>
      <c r="BO4" s="22">
        <v>41928</v>
      </c>
      <c r="BR4" s="49">
        <f t="shared" ref="BR4:BR44" si="3">(S4)</f>
        <v>692861</v>
      </c>
      <c r="BU4" s="106"/>
      <c r="BV4" s="49">
        <f t="shared" ref="BV4:BV44" si="4">V4</f>
        <v>409965</v>
      </c>
      <c r="BW4" s="107"/>
      <c r="BX4" s="108"/>
      <c r="BY4" s="106"/>
      <c r="BZ4" s="108"/>
      <c r="CA4" s="106"/>
      <c r="CB4" s="43"/>
      <c r="CC4" s="49">
        <f t="shared" ref="CC4:CC44" si="5">(BA4)</f>
        <v>6958600</v>
      </c>
      <c r="CD4" s="22">
        <v>6801</v>
      </c>
      <c r="CF4" s="131"/>
      <c r="CG4" s="131"/>
      <c r="CH4" s="131"/>
      <c r="CI4" s="49">
        <f t="shared" ref="CI4:CI44" si="6">(AV4)</f>
        <v>18139365</v>
      </c>
      <c r="CJ4" s="22">
        <v>15267</v>
      </c>
      <c r="CL4" s="131"/>
      <c r="CM4" s="132"/>
      <c r="CN4" s="49">
        <f t="shared" ref="CN4:CN44" si="7">(AS4)</f>
        <v>8951</v>
      </c>
      <c r="CP4" s="133"/>
      <c r="CQ4" s="110"/>
      <c r="CR4" s="49">
        <f t="shared" ref="CR4:CR40" si="8">(BC4)</f>
        <v>3747300</v>
      </c>
      <c r="CS4" s="22">
        <v>3682</v>
      </c>
      <c r="CU4" s="131"/>
      <c r="CV4" s="132"/>
      <c r="CW4" s="49">
        <f t="shared" ref="CW4:CW44" si="9">(BE4)</f>
        <v>43171136</v>
      </c>
      <c r="CX4" s="22">
        <v>357402</v>
      </c>
      <c r="CZ4" s="131"/>
      <c r="DD4" s="134"/>
      <c r="DE4" s="134"/>
      <c r="DF4" s="134"/>
      <c r="DG4" s="134"/>
      <c r="DH4" s="135"/>
      <c r="DI4" s="136"/>
      <c r="DJ4" s="136"/>
    </row>
    <row r="5" spans="2:114" s="130" customFormat="1" x14ac:dyDescent="0.25">
      <c r="B5" s="82">
        <v>44200</v>
      </c>
      <c r="C5" s="268">
        <v>41120218</v>
      </c>
      <c r="D5" s="269"/>
      <c r="E5" s="39">
        <f t="shared" ref="E5:E11" si="10">SUM(C5-C4)*10</f>
        <v>527260</v>
      </c>
      <c r="F5" s="268">
        <v>4802785</v>
      </c>
      <c r="G5" s="269"/>
      <c r="H5" s="39">
        <f t="shared" ref="H5" si="11">SUM(F5-F4)*10</f>
        <v>398480</v>
      </c>
      <c r="I5" s="268">
        <v>16844</v>
      </c>
      <c r="J5" s="269"/>
      <c r="K5" s="39">
        <f t="shared" ref="K5:K6" si="12">SUM(I5-I4)*10</f>
        <v>60</v>
      </c>
      <c r="L5" s="268">
        <v>298406</v>
      </c>
      <c r="M5" s="269"/>
      <c r="N5" s="39">
        <f t="shared" ref="N5:N51" si="13">SUM(L5-L4)*1000</f>
        <v>372000</v>
      </c>
      <c r="O5" s="268">
        <v>5752</v>
      </c>
      <c r="P5" s="269"/>
      <c r="Q5" s="39">
        <f t="shared" ref="Q5:Q27" si="14">SUM(O5-O4)*100</f>
        <v>7800</v>
      </c>
      <c r="R5" s="40"/>
      <c r="S5" s="268">
        <v>693978</v>
      </c>
      <c r="T5" s="269"/>
      <c r="U5" s="39">
        <f t="shared" ref="U5:U27" si="15">SUM(S5-S4)*100</f>
        <v>111700</v>
      </c>
      <c r="V5" s="268">
        <v>415680</v>
      </c>
      <c r="W5" s="269"/>
      <c r="X5" s="39">
        <f t="shared" ref="X5:X25" si="16">SUM(V5-V4)*100</f>
        <v>571500</v>
      </c>
      <c r="Y5" s="45">
        <f t="shared" ref="Y5:Y25" si="17">SUM(U5+X5)</f>
        <v>683200</v>
      </c>
      <c r="Z5" s="41"/>
      <c r="AA5" s="199">
        <v>14370</v>
      </c>
      <c r="AB5" s="206">
        <v>820000</v>
      </c>
      <c r="AC5" s="199">
        <v>392208970</v>
      </c>
      <c r="AD5" s="206">
        <v>183072.8</v>
      </c>
      <c r="AE5" s="199">
        <v>104720</v>
      </c>
      <c r="AF5" s="206">
        <v>500</v>
      </c>
      <c r="AG5" s="199">
        <v>3185289</v>
      </c>
      <c r="AH5" s="206">
        <v>41140</v>
      </c>
      <c r="AI5" s="199">
        <v>4020207</v>
      </c>
      <c r="AJ5" s="206">
        <v>4042</v>
      </c>
      <c r="AK5" s="199">
        <v>18347</v>
      </c>
      <c r="AL5" s="206">
        <v>89000</v>
      </c>
      <c r="AM5" s="199">
        <v>229</v>
      </c>
      <c r="AN5" s="206">
        <v>14</v>
      </c>
      <c r="AO5" s="199">
        <v>11755</v>
      </c>
      <c r="AP5" s="206">
        <v>600</v>
      </c>
      <c r="AQ5" s="43"/>
      <c r="AR5" s="129">
        <f t="shared" si="0"/>
        <v>44200</v>
      </c>
      <c r="AS5" s="199">
        <v>8994</v>
      </c>
      <c r="AT5" s="206">
        <v>43</v>
      </c>
      <c r="AU5" s="207"/>
      <c r="AV5" s="199">
        <v>18161412</v>
      </c>
      <c r="AW5" s="206">
        <v>22047</v>
      </c>
      <c r="AX5" s="199">
        <v>445536377</v>
      </c>
      <c r="AY5" s="206">
        <v>17034</v>
      </c>
      <c r="AZ5" s="206">
        <v>5012.53</v>
      </c>
      <c r="BA5" s="199">
        <v>6959200</v>
      </c>
      <c r="BB5" s="208">
        <v>600</v>
      </c>
      <c r="BC5" s="200">
        <v>3749300</v>
      </c>
      <c r="BD5" s="209">
        <v>2000</v>
      </c>
      <c r="BE5" s="199">
        <v>43174186</v>
      </c>
      <c r="BF5" s="206">
        <v>3050</v>
      </c>
      <c r="BI5" s="49">
        <f t="shared" si="1"/>
        <v>41120218</v>
      </c>
      <c r="BL5" s="131"/>
      <c r="BM5" s="131"/>
      <c r="BN5" s="49">
        <f t="shared" si="2"/>
        <v>4802785</v>
      </c>
      <c r="BR5" s="49">
        <f t="shared" si="3"/>
        <v>693978</v>
      </c>
      <c r="BU5" s="106"/>
      <c r="BV5" s="49">
        <f t="shared" si="4"/>
        <v>415680</v>
      </c>
      <c r="BW5" s="107"/>
      <c r="BX5" s="108"/>
      <c r="BY5" s="106"/>
      <c r="BZ5" s="108"/>
      <c r="CA5" s="106"/>
      <c r="CB5" s="43"/>
      <c r="CC5" s="49">
        <f t="shared" si="5"/>
        <v>6959200</v>
      </c>
      <c r="CF5" s="131"/>
      <c r="CG5" s="131"/>
      <c r="CH5" s="131"/>
      <c r="CI5" s="49">
        <f t="shared" si="6"/>
        <v>18161412</v>
      </c>
      <c r="CL5" s="131"/>
      <c r="CM5" s="132"/>
      <c r="CN5" s="49">
        <f t="shared" si="7"/>
        <v>8994</v>
      </c>
      <c r="CP5" s="133"/>
      <c r="CQ5" s="110"/>
      <c r="CR5" s="49">
        <f t="shared" si="8"/>
        <v>3749300</v>
      </c>
      <c r="CU5" s="131"/>
      <c r="CV5" s="132"/>
      <c r="CW5" s="49">
        <f t="shared" si="9"/>
        <v>43174186</v>
      </c>
      <c r="CZ5" s="131"/>
      <c r="DD5" s="134"/>
      <c r="DE5" s="134"/>
      <c r="DF5" s="134"/>
      <c r="DG5" s="134"/>
      <c r="DH5" s="135"/>
      <c r="DI5" s="136"/>
      <c r="DJ5" s="136"/>
    </row>
    <row r="6" spans="2:114" s="130" customFormat="1" x14ac:dyDescent="0.25">
      <c r="B6" s="82">
        <v>44207</v>
      </c>
      <c r="C6" s="268">
        <v>41203342</v>
      </c>
      <c r="D6" s="269"/>
      <c r="E6" s="39">
        <f t="shared" si="10"/>
        <v>831240</v>
      </c>
      <c r="F6" s="268">
        <v>4831226</v>
      </c>
      <c r="G6" s="269"/>
      <c r="H6" s="39">
        <f t="shared" ref="H6" si="18">SUM(F6-F5)*10</f>
        <v>284410</v>
      </c>
      <c r="I6" s="268">
        <v>16872</v>
      </c>
      <c r="J6" s="269"/>
      <c r="K6" s="39">
        <f t="shared" si="12"/>
        <v>280</v>
      </c>
      <c r="L6" s="268">
        <v>298860</v>
      </c>
      <c r="M6" s="269"/>
      <c r="N6" s="39">
        <f t="shared" si="13"/>
        <v>454000</v>
      </c>
      <c r="O6" s="268">
        <v>5962</v>
      </c>
      <c r="P6" s="269"/>
      <c r="Q6" s="39">
        <f t="shared" si="14"/>
        <v>21000</v>
      </c>
      <c r="R6" s="40"/>
      <c r="S6" s="268">
        <v>695965</v>
      </c>
      <c r="T6" s="269"/>
      <c r="U6" s="39">
        <f t="shared" si="15"/>
        <v>198700</v>
      </c>
      <c r="V6" s="268">
        <v>436482</v>
      </c>
      <c r="W6" s="269"/>
      <c r="X6" s="39">
        <f t="shared" si="16"/>
        <v>2080200</v>
      </c>
      <c r="Y6" s="45">
        <f t="shared" si="17"/>
        <v>2278900</v>
      </c>
      <c r="Z6" s="41"/>
      <c r="AA6" s="199">
        <v>14434</v>
      </c>
      <c r="AB6" s="206">
        <v>640000</v>
      </c>
      <c r="AC6" s="199">
        <v>394339200</v>
      </c>
      <c r="AD6" s="206">
        <v>213023</v>
      </c>
      <c r="AE6" s="199">
        <v>104911</v>
      </c>
      <c r="AF6" s="206">
        <v>1910</v>
      </c>
      <c r="AG6" s="199">
        <v>3194329</v>
      </c>
      <c r="AH6" s="206">
        <v>90400</v>
      </c>
      <c r="AI6" s="199">
        <v>4031010</v>
      </c>
      <c r="AJ6" s="206">
        <v>10803</v>
      </c>
      <c r="AK6" s="199">
        <v>18568</v>
      </c>
      <c r="AL6" s="206">
        <v>221000</v>
      </c>
      <c r="AM6" s="199">
        <v>260</v>
      </c>
      <c r="AN6" s="206">
        <v>31</v>
      </c>
      <c r="AO6" s="199">
        <v>11767</v>
      </c>
      <c r="AP6" s="206">
        <v>1200</v>
      </c>
      <c r="AQ6" s="43"/>
      <c r="AR6" s="129">
        <f t="shared" si="0"/>
        <v>44207</v>
      </c>
      <c r="AS6" s="199">
        <v>9115</v>
      </c>
      <c r="AT6" s="39">
        <f t="shared" ref="AT6:AT15" si="19">SUM(AS6-AS5)</f>
        <v>121</v>
      </c>
      <c r="AU6" s="43"/>
      <c r="AV6" s="199">
        <v>18211008</v>
      </c>
      <c r="AW6" s="206">
        <v>49596</v>
      </c>
      <c r="AX6" s="199">
        <v>449519091</v>
      </c>
      <c r="AY6" s="206">
        <v>39827</v>
      </c>
      <c r="AZ6" s="206">
        <v>9768.86</v>
      </c>
      <c r="BA6" s="199">
        <v>6965100</v>
      </c>
      <c r="BB6" s="208">
        <v>5900</v>
      </c>
      <c r="BC6" s="200">
        <v>3751400</v>
      </c>
      <c r="BD6" s="209">
        <v>2100</v>
      </c>
      <c r="BE6" s="199">
        <v>43171136</v>
      </c>
      <c r="BF6" s="206">
        <v>0</v>
      </c>
      <c r="BI6" s="49">
        <f t="shared" si="1"/>
        <v>41203342</v>
      </c>
      <c r="BL6" s="131"/>
      <c r="BM6" s="131"/>
      <c r="BN6" s="49">
        <f t="shared" si="2"/>
        <v>4831226</v>
      </c>
      <c r="BR6" s="49">
        <f t="shared" si="3"/>
        <v>695965</v>
      </c>
      <c r="BU6" s="106"/>
      <c r="BV6" s="49">
        <f t="shared" si="4"/>
        <v>436482</v>
      </c>
      <c r="BW6" s="107"/>
      <c r="BX6" s="108"/>
      <c r="BY6" s="106"/>
      <c r="BZ6" s="108"/>
      <c r="CA6" s="106"/>
      <c r="CB6" s="43"/>
      <c r="CC6" s="49">
        <f t="shared" si="5"/>
        <v>6965100</v>
      </c>
      <c r="CF6" s="131"/>
      <c r="CG6" s="131"/>
      <c r="CH6" s="131"/>
      <c r="CI6" s="49">
        <f t="shared" si="6"/>
        <v>18211008</v>
      </c>
      <c r="CL6" s="131"/>
      <c r="CM6" s="132"/>
      <c r="CN6" s="49">
        <f t="shared" si="7"/>
        <v>9115</v>
      </c>
      <c r="CP6" s="133"/>
      <c r="CQ6" s="110"/>
      <c r="CR6" s="49">
        <f t="shared" si="8"/>
        <v>3751400</v>
      </c>
      <c r="CU6" s="131"/>
      <c r="CV6" s="132"/>
      <c r="CW6" s="49">
        <f t="shared" si="9"/>
        <v>43171136</v>
      </c>
      <c r="CZ6" s="131"/>
      <c r="DD6" s="134"/>
      <c r="DE6" s="134"/>
      <c r="DF6" s="134"/>
      <c r="DG6" s="134"/>
      <c r="DH6" s="135"/>
      <c r="DI6" s="136"/>
      <c r="DJ6" s="136"/>
    </row>
    <row r="7" spans="2:114" s="130" customFormat="1" x14ac:dyDescent="0.25">
      <c r="B7" s="82">
        <v>44214</v>
      </c>
      <c r="C7" s="268">
        <v>41286715</v>
      </c>
      <c r="D7" s="269"/>
      <c r="E7" s="39">
        <f t="shared" si="10"/>
        <v>833730</v>
      </c>
      <c r="F7" s="268">
        <v>4858480</v>
      </c>
      <c r="G7" s="269"/>
      <c r="H7" s="39">
        <f t="shared" ref="H7" si="20">SUM(F7-F6)*10</f>
        <v>272540</v>
      </c>
      <c r="I7" s="268">
        <v>16902</v>
      </c>
      <c r="J7" s="269"/>
      <c r="K7" s="39">
        <f t="shared" ref="K7" si="21">SUM(I7-I6)*10</f>
        <v>300</v>
      </c>
      <c r="L7" s="268">
        <v>299340</v>
      </c>
      <c r="M7" s="269"/>
      <c r="N7" s="39">
        <f t="shared" si="13"/>
        <v>480000</v>
      </c>
      <c r="O7" s="268">
        <v>6179</v>
      </c>
      <c r="P7" s="269"/>
      <c r="Q7" s="39">
        <f t="shared" si="14"/>
        <v>21700</v>
      </c>
      <c r="R7" s="40"/>
      <c r="S7" s="268">
        <v>697993</v>
      </c>
      <c r="T7" s="269"/>
      <c r="U7" s="39">
        <f t="shared" si="15"/>
        <v>202800</v>
      </c>
      <c r="V7" s="268">
        <v>455710</v>
      </c>
      <c r="W7" s="269"/>
      <c r="X7" s="39">
        <f t="shared" si="16"/>
        <v>1922800</v>
      </c>
      <c r="Y7" s="45">
        <f t="shared" si="17"/>
        <v>2125600</v>
      </c>
      <c r="Z7" s="41"/>
      <c r="AA7" s="199">
        <v>14498</v>
      </c>
      <c r="AB7" s="206">
        <v>640000</v>
      </c>
      <c r="AC7" s="199">
        <v>396293016</v>
      </c>
      <c r="AD7" s="206">
        <v>195381.6</v>
      </c>
      <c r="AE7" s="199">
        <v>105015</v>
      </c>
      <c r="AF7" s="206">
        <v>1040</v>
      </c>
      <c r="AG7" s="199">
        <v>3203205</v>
      </c>
      <c r="AH7" s="206">
        <v>88760</v>
      </c>
      <c r="AI7" s="199">
        <v>4040063</v>
      </c>
      <c r="AJ7" s="206">
        <v>9053</v>
      </c>
      <c r="AK7" s="199">
        <v>18775</v>
      </c>
      <c r="AL7" s="206">
        <v>207000</v>
      </c>
      <c r="AM7" s="199">
        <v>307</v>
      </c>
      <c r="AN7" s="206">
        <v>47</v>
      </c>
      <c r="AO7" s="199">
        <v>11789</v>
      </c>
      <c r="AP7" s="206">
        <v>2200</v>
      </c>
      <c r="AQ7" s="43"/>
      <c r="AR7" s="129">
        <f t="shared" si="0"/>
        <v>44214</v>
      </c>
      <c r="AS7" s="199">
        <v>9241</v>
      </c>
      <c r="AT7" s="206">
        <v>126</v>
      </c>
      <c r="AU7" s="207"/>
      <c r="AV7" s="199">
        <v>18261010</v>
      </c>
      <c r="AW7" s="206">
        <v>50002</v>
      </c>
      <c r="AX7" s="199">
        <v>453570926</v>
      </c>
      <c r="AY7" s="206">
        <v>40518</v>
      </c>
      <c r="AZ7" s="206">
        <v>9483.65</v>
      </c>
      <c r="BA7" s="199">
        <v>6967200</v>
      </c>
      <c r="BB7" s="208">
        <v>2100</v>
      </c>
      <c r="BC7" s="200">
        <v>3752600</v>
      </c>
      <c r="BD7" s="209">
        <v>1200</v>
      </c>
      <c r="BE7" s="199">
        <v>43187480</v>
      </c>
      <c r="BF7" s="206">
        <v>16344</v>
      </c>
      <c r="BI7" s="49">
        <f t="shared" si="1"/>
        <v>41286715</v>
      </c>
      <c r="BL7" s="131"/>
      <c r="BM7" s="131"/>
      <c r="BN7" s="49">
        <f t="shared" si="2"/>
        <v>4858480</v>
      </c>
      <c r="BR7" s="49">
        <f t="shared" si="3"/>
        <v>697993</v>
      </c>
      <c r="BU7" s="106"/>
      <c r="BV7" s="49">
        <f t="shared" si="4"/>
        <v>455710</v>
      </c>
      <c r="BW7" s="107"/>
      <c r="BX7" s="108"/>
      <c r="BY7" s="106"/>
      <c r="BZ7" s="108"/>
      <c r="CA7" s="106"/>
      <c r="CB7" s="43"/>
      <c r="CC7" s="49">
        <f t="shared" si="5"/>
        <v>6967200</v>
      </c>
      <c r="CF7" s="131"/>
      <c r="CG7" s="131"/>
      <c r="CH7" s="131"/>
      <c r="CI7" s="49">
        <f t="shared" si="6"/>
        <v>18261010</v>
      </c>
      <c r="CL7" s="131"/>
      <c r="CM7" s="132"/>
      <c r="CN7" s="49">
        <f t="shared" si="7"/>
        <v>9241</v>
      </c>
      <c r="CP7" s="133"/>
      <c r="CQ7" s="110"/>
      <c r="CR7" s="49">
        <f t="shared" si="8"/>
        <v>3752600</v>
      </c>
      <c r="CU7" s="131"/>
      <c r="CV7" s="132"/>
      <c r="CW7" s="49">
        <f t="shared" si="9"/>
        <v>43187480</v>
      </c>
      <c r="CZ7" s="131"/>
      <c r="DD7" s="134"/>
      <c r="DE7" s="134"/>
      <c r="DF7" s="134"/>
      <c r="DG7" s="134"/>
      <c r="DH7" s="135"/>
      <c r="DI7" s="136"/>
      <c r="DJ7" s="136"/>
    </row>
    <row r="8" spans="2:114" s="130" customFormat="1" x14ac:dyDescent="0.25">
      <c r="B8" s="82">
        <v>44221</v>
      </c>
      <c r="C8" s="268">
        <v>41389319</v>
      </c>
      <c r="D8" s="269"/>
      <c r="E8" s="39">
        <f t="shared" si="10"/>
        <v>1026040</v>
      </c>
      <c r="F8" s="268">
        <v>4884847</v>
      </c>
      <c r="G8" s="269"/>
      <c r="H8" s="39">
        <f t="shared" ref="H8:H9" si="22">SUM(F8-F7)*10</f>
        <v>263670</v>
      </c>
      <c r="I8" s="268">
        <v>16956</v>
      </c>
      <c r="J8" s="269"/>
      <c r="K8" s="39">
        <f t="shared" ref="K8:K9" si="23">SUM(I8-I7)*10</f>
        <v>540</v>
      </c>
      <c r="L8" s="268">
        <v>299990</v>
      </c>
      <c r="M8" s="269"/>
      <c r="N8" s="39">
        <f t="shared" si="13"/>
        <v>650000</v>
      </c>
      <c r="O8" s="268">
        <v>6441</v>
      </c>
      <c r="P8" s="269"/>
      <c r="Q8" s="39">
        <f t="shared" si="14"/>
        <v>26200</v>
      </c>
      <c r="R8" s="40"/>
      <c r="S8" s="268">
        <v>700375</v>
      </c>
      <c r="T8" s="269"/>
      <c r="U8" s="39">
        <f t="shared" si="15"/>
        <v>238200</v>
      </c>
      <c r="V8" s="268">
        <v>473300</v>
      </c>
      <c r="W8" s="269"/>
      <c r="X8" s="39">
        <f t="shared" si="16"/>
        <v>1759000</v>
      </c>
      <c r="Y8" s="45">
        <f t="shared" si="17"/>
        <v>1997200</v>
      </c>
      <c r="Z8" s="41"/>
      <c r="AA8" s="199">
        <v>14602</v>
      </c>
      <c r="AB8" s="206">
        <v>1040000</v>
      </c>
      <c r="AC8" s="199">
        <v>398695000</v>
      </c>
      <c r="AD8" s="206">
        <v>240198.39999999999</v>
      </c>
      <c r="AE8" s="199">
        <v>105180</v>
      </c>
      <c r="AF8" s="206">
        <v>1650</v>
      </c>
      <c r="AG8" s="199">
        <v>3213100</v>
      </c>
      <c r="AH8" s="206">
        <v>98950</v>
      </c>
      <c r="AI8" s="199">
        <v>4052779</v>
      </c>
      <c r="AJ8" s="206">
        <v>12716</v>
      </c>
      <c r="AK8" s="199">
        <v>18987</v>
      </c>
      <c r="AL8" s="206">
        <v>212000</v>
      </c>
      <c r="AM8" s="199">
        <v>345</v>
      </c>
      <c r="AN8" s="206">
        <v>38</v>
      </c>
      <c r="AO8" s="199">
        <v>11829</v>
      </c>
      <c r="AP8" s="206">
        <v>4000</v>
      </c>
      <c r="AQ8" s="43"/>
      <c r="AR8" s="129">
        <f t="shared" si="0"/>
        <v>44221</v>
      </c>
      <c r="AS8" s="199">
        <v>9358</v>
      </c>
      <c r="AT8" s="206">
        <v>117</v>
      </c>
      <c r="AU8" s="207"/>
      <c r="AV8" s="199">
        <v>18318354</v>
      </c>
      <c r="AW8" s="206">
        <v>57344</v>
      </c>
      <c r="AX8" s="199">
        <v>457528957</v>
      </c>
      <c r="AY8" s="206">
        <v>39580</v>
      </c>
      <c r="AZ8" s="206">
        <v>17763.689999999999</v>
      </c>
      <c r="BA8" s="199">
        <v>6972400</v>
      </c>
      <c r="BB8" s="208">
        <v>5200</v>
      </c>
      <c r="BC8" s="200">
        <v>3753500</v>
      </c>
      <c r="BD8" s="209">
        <v>900</v>
      </c>
      <c r="BE8" s="199">
        <v>43187480</v>
      </c>
      <c r="BF8" s="206">
        <v>0</v>
      </c>
      <c r="BI8" s="49">
        <f t="shared" si="1"/>
        <v>41389319</v>
      </c>
      <c r="BL8" s="131"/>
      <c r="BM8" s="131"/>
      <c r="BN8" s="49">
        <f t="shared" si="2"/>
        <v>4884847</v>
      </c>
      <c r="BR8" s="49">
        <f t="shared" si="3"/>
        <v>700375</v>
      </c>
      <c r="BU8" s="106"/>
      <c r="BV8" s="49">
        <f t="shared" si="4"/>
        <v>473300</v>
      </c>
      <c r="BW8" s="107"/>
      <c r="BX8" s="108"/>
      <c r="BY8" s="106"/>
      <c r="BZ8" s="108"/>
      <c r="CA8" s="106"/>
      <c r="CB8" s="43"/>
      <c r="CC8" s="49">
        <f t="shared" si="5"/>
        <v>6972400</v>
      </c>
      <c r="CF8" s="131"/>
      <c r="CG8" s="131"/>
      <c r="CH8" s="131"/>
      <c r="CI8" s="49">
        <f t="shared" si="6"/>
        <v>18318354</v>
      </c>
      <c r="CL8" s="131"/>
      <c r="CM8" s="132"/>
      <c r="CN8" s="49">
        <f t="shared" si="7"/>
        <v>9358</v>
      </c>
      <c r="CP8" s="133"/>
      <c r="CQ8" s="110"/>
      <c r="CR8" s="49">
        <f t="shared" si="8"/>
        <v>3753500</v>
      </c>
      <c r="CU8" s="131"/>
      <c r="CV8" s="132"/>
      <c r="CW8" s="49">
        <f t="shared" si="9"/>
        <v>43187480</v>
      </c>
      <c r="CZ8" s="131"/>
      <c r="DD8" s="134"/>
      <c r="DE8" s="134"/>
      <c r="DF8" s="134"/>
      <c r="DG8" s="134"/>
      <c r="DH8" s="135"/>
      <c r="DI8" s="136"/>
      <c r="DJ8" s="136"/>
    </row>
    <row r="9" spans="2:114" s="130" customFormat="1" x14ac:dyDescent="0.25">
      <c r="B9" s="82">
        <v>44228</v>
      </c>
      <c r="C9" s="268">
        <v>41493266</v>
      </c>
      <c r="D9" s="269"/>
      <c r="E9" s="39">
        <f t="shared" si="10"/>
        <v>1039470</v>
      </c>
      <c r="F9" s="268">
        <v>4905120</v>
      </c>
      <c r="G9" s="269"/>
      <c r="H9" s="39">
        <f t="shared" si="22"/>
        <v>202730</v>
      </c>
      <c r="I9" s="268">
        <v>16988</v>
      </c>
      <c r="J9" s="269"/>
      <c r="K9" s="39">
        <f t="shared" si="23"/>
        <v>320</v>
      </c>
      <c r="L9" s="268">
        <v>300667</v>
      </c>
      <c r="M9" s="269"/>
      <c r="N9" s="39">
        <f t="shared" si="13"/>
        <v>677000</v>
      </c>
      <c r="O9" s="268">
        <v>6680</v>
      </c>
      <c r="P9" s="269"/>
      <c r="Q9" s="39">
        <f t="shared" si="14"/>
        <v>23900</v>
      </c>
      <c r="R9" s="40"/>
      <c r="S9" s="268">
        <v>702411</v>
      </c>
      <c r="T9" s="269"/>
      <c r="U9" s="39">
        <f t="shared" si="15"/>
        <v>203600</v>
      </c>
      <c r="V9" s="268">
        <v>488510</v>
      </c>
      <c r="W9" s="269"/>
      <c r="X9" s="39">
        <f t="shared" si="16"/>
        <v>1521000</v>
      </c>
      <c r="Y9" s="45">
        <f t="shared" si="17"/>
        <v>1724600</v>
      </c>
      <c r="Z9" s="41"/>
      <c r="AA9" s="199">
        <v>14718</v>
      </c>
      <c r="AB9" s="206">
        <v>1160000</v>
      </c>
      <c r="AC9" s="199">
        <v>401355700</v>
      </c>
      <c r="AD9" s="206">
        <v>266070</v>
      </c>
      <c r="AE9" s="199">
        <v>105386</v>
      </c>
      <c r="AF9" s="206">
        <v>2060</v>
      </c>
      <c r="AG9" s="199">
        <v>3222912</v>
      </c>
      <c r="AH9" s="206">
        <v>98120</v>
      </c>
      <c r="AI9" s="199">
        <v>4064202</v>
      </c>
      <c r="AJ9" s="206">
        <v>11423</v>
      </c>
      <c r="AK9" s="199">
        <v>19193</v>
      </c>
      <c r="AL9" s="206">
        <v>206000</v>
      </c>
      <c r="AM9" s="199">
        <v>371</v>
      </c>
      <c r="AN9" s="206">
        <v>26</v>
      </c>
      <c r="AO9" s="199">
        <v>11840</v>
      </c>
      <c r="AP9" s="206">
        <v>1100</v>
      </c>
      <c r="AQ9" s="43"/>
      <c r="AR9" s="129">
        <f t="shared" si="0"/>
        <v>44228</v>
      </c>
      <c r="AS9" s="199">
        <v>9472</v>
      </c>
      <c r="AT9" s="206">
        <v>114</v>
      </c>
      <c r="AU9" s="207"/>
      <c r="AV9" s="199">
        <v>18366942</v>
      </c>
      <c r="AW9" s="206">
        <v>48588</v>
      </c>
      <c r="AX9" s="199">
        <v>461486054</v>
      </c>
      <c r="AY9" s="206">
        <v>39571</v>
      </c>
      <c r="AZ9" s="206">
        <v>9017.0300000000007</v>
      </c>
      <c r="BA9" s="199">
        <v>6975000</v>
      </c>
      <c r="BB9" s="208">
        <v>2600</v>
      </c>
      <c r="BC9" s="200">
        <v>3753900</v>
      </c>
      <c r="BD9" s="209">
        <v>400</v>
      </c>
      <c r="BE9" s="199">
        <v>43187480</v>
      </c>
      <c r="BF9" s="206">
        <v>0</v>
      </c>
      <c r="BI9" s="49">
        <f t="shared" si="1"/>
        <v>41493266</v>
      </c>
      <c r="BJ9" s="22">
        <v>368969</v>
      </c>
      <c r="BK9" s="21">
        <f>SUM(BJ9-BJ4)</f>
        <v>4058</v>
      </c>
      <c r="BL9" s="84">
        <f>SUM(BK9*1.0228)+1887.37</f>
        <v>6037.8923999999997</v>
      </c>
      <c r="BM9" s="102">
        <v>18406.96</v>
      </c>
      <c r="BN9" s="49">
        <f t="shared" si="2"/>
        <v>4905120</v>
      </c>
      <c r="BO9" s="22">
        <v>42060</v>
      </c>
      <c r="BP9" s="21">
        <f>SUM(BO9-BO4)</f>
        <v>132</v>
      </c>
      <c r="BQ9" s="84">
        <f>SUM(BP9*0.8062)+1557.24</f>
        <v>1663.6584</v>
      </c>
      <c r="BR9" s="49">
        <f t="shared" si="3"/>
        <v>702411</v>
      </c>
      <c r="BS9" s="22">
        <v>618383</v>
      </c>
      <c r="BT9" s="22">
        <v>45621.66</v>
      </c>
      <c r="BU9" s="115">
        <v>33856.559999999998</v>
      </c>
      <c r="BV9" s="49">
        <f t="shared" si="4"/>
        <v>488510</v>
      </c>
      <c r="BW9" s="116">
        <v>12220</v>
      </c>
      <c r="BX9" s="50">
        <v>2458.71</v>
      </c>
      <c r="BY9" s="115">
        <v>1831.91</v>
      </c>
      <c r="BZ9" s="127">
        <f t="shared" ref="BZ9" si="24">SUM(BT9+BX9)</f>
        <v>48080.37</v>
      </c>
      <c r="CA9" s="115">
        <v>11275.66</v>
      </c>
      <c r="CB9" s="43"/>
      <c r="CC9" s="49">
        <f t="shared" si="5"/>
        <v>6975000</v>
      </c>
      <c r="CD9" s="22">
        <v>6815</v>
      </c>
      <c r="CE9" s="21">
        <f>SUM(CD9-CD4)</f>
        <v>14</v>
      </c>
      <c r="CF9" s="84">
        <f>SUM(CE9*1.0228)+117.88</f>
        <v>132.19919999999999</v>
      </c>
      <c r="CG9" s="102">
        <v>80.08</v>
      </c>
      <c r="CH9" s="102">
        <v>1244.52</v>
      </c>
      <c r="CI9" s="49">
        <f t="shared" si="6"/>
        <v>18366942</v>
      </c>
      <c r="CJ9" s="22">
        <v>15593</v>
      </c>
      <c r="CK9" s="21">
        <f>SUM(CJ9-CJ4)</f>
        <v>326</v>
      </c>
      <c r="CL9" s="84">
        <f>SUM(CK9*1.0228+188.7)</f>
        <v>522.13279999999997</v>
      </c>
      <c r="CM9" s="119">
        <v>371.81</v>
      </c>
      <c r="CN9" s="49">
        <f t="shared" si="7"/>
        <v>9472</v>
      </c>
      <c r="CO9" s="22">
        <v>5029</v>
      </c>
      <c r="CP9" s="27">
        <v>1291.3499999999999</v>
      </c>
      <c r="CQ9" s="118">
        <v>962.13</v>
      </c>
      <c r="CR9" s="49">
        <f t="shared" si="8"/>
        <v>3753900</v>
      </c>
      <c r="CS9" s="22">
        <v>3704</v>
      </c>
      <c r="CT9" s="21">
        <f>SUM(CS9-CS4)</f>
        <v>22</v>
      </c>
      <c r="CU9" s="84">
        <f>SUM(CT9*1.0228)+188.7</f>
        <v>211.20159999999998</v>
      </c>
      <c r="CV9" s="132"/>
      <c r="CW9" s="49">
        <f t="shared" si="9"/>
        <v>43187480</v>
      </c>
      <c r="CX9" s="22">
        <v>360202</v>
      </c>
      <c r="CY9" s="21">
        <f>SUM(CX9-CX4)</f>
        <v>2800</v>
      </c>
      <c r="CZ9" s="84">
        <f>SUM(CY9*0.8062)+973.2</f>
        <v>3230.5600000000004</v>
      </c>
      <c r="DC9" s="22">
        <f>SUM(E7:E10)</f>
        <v>3793330</v>
      </c>
      <c r="DD9" s="102" t="e">
        <f>SUM(BL9+CF9+CL9+#REF!+CU9)</f>
        <v>#REF!</v>
      </c>
      <c r="DE9" s="102">
        <f>SUM(BQ9+CZ9)</f>
        <v>4894.2184000000007</v>
      </c>
      <c r="DF9" s="102">
        <f>SUM(BM9+CG9+CV9)</f>
        <v>18487.04</v>
      </c>
      <c r="DG9" s="102" t="e">
        <f>SUM(DD9:DF9)</f>
        <v>#REF!</v>
      </c>
      <c r="DH9"/>
      <c r="DI9" s="121">
        <f>SUM(BU9+CQ9+BY9)</f>
        <v>36650.6</v>
      </c>
      <c r="DJ9" s="121">
        <f>SUM(CA9+CH9)</f>
        <v>12520.18</v>
      </c>
    </row>
    <row r="10" spans="2:114" s="130" customFormat="1" x14ac:dyDescent="0.25">
      <c r="B10" s="82">
        <v>44235</v>
      </c>
      <c r="C10" s="268">
        <v>41582675</v>
      </c>
      <c r="D10" s="269"/>
      <c r="E10" s="39">
        <f t="shared" si="10"/>
        <v>894090</v>
      </c>
      <c r="F10" s="268">
        <v>4923577</v>
      </c>
      <c r="G10" s="269"/>
      <c r="H10" s="39">
        <f t="shared" ref="H10" si="25">SUM(F10-F9)*10</f>
        <v>184570</v>
      </c>
      <c r="I10" s="268">
        <v>17009</v>
      </c>
      <c r="J10" s="269"/>
      <c r="K10" s="39">
        <f>SUM(I10-I9)*10</f>
        <v>210</v>
      </c>
      <c r="L10" s="268">
        <v>301233</v>
      </c>
      <c r="M10" s="269"/>
      <c r="N10" s="39">
        <f t="shared" si="13"/>
        <v>566000</v>
      </c>
      <c r="O10" s="268">
        <v>6901</v>
      </c>
      <c r="P10" s="269"/>
      <c r="Q10" s="39">
        <f t="shared" si="14"/>
        <v>22100</v>
      </c>
      <c r="R10" s="40"/>
      <c r="S10" s="268">
        <v>704509</v>
      </c>
      <c r="T10" s="269"/>
      <c r="U10" s="39">
        <f t="shared" si="15"/>
        <v>209800</v>
      </c>
      <c r="V10" s="268">
        <v>506180</v>
      </c>
      <c r="W10" s="269"/>
      <c r="X10" s="39">
        <f t="shared" si="16"/>
        <v>1767000</v>
      </c>
      <c r="Y10" s="45">
        <f t="shared" si="17"/>
        <v>1976800</v>
      </c>
      <c r="Z10" s="41"/>
      <c r="AA10" s="199">
        <v>14802</v>
      </c>
      <c r="AB10" s="206">
        <v>840000</v>
      </c>
      <c r="AC10" s="199">
        <v>403666000</v>
      </c>
      <c r="AD10" s="206">
        <v>231030</v>
      </c>
      <c r="AE10" s="199">
        <v>105506</v>
      </c>
      <c r="AF10" s="206">
        <v>1200</v>
      </c>
      <c r="AG10" s="199">
        <v>3234316</v>
      </c>
      <c r="AH10" s="206">
        <v>114040</v>
      </c>
      <c r="AI10" s="199">
        <v>4070987</v>
      </c>
      <c r="AJ10" s="206">
        <v>6785</v>
      </c>
      <c r="AK10" s="199">
        <v>19341</v>
      </c>
      <c r="AL10" s="206">
        <v>148000</v>
      </c>
      <c r="AM10" s="199">
        <v>465</v>
      </c>
      <c r="AN10" s="206">
        <v>94</v>
      </c>
      <c r="AO10" s="199">
        <v>11862</v>
      </c>
      <c r="AP10" s="206">
        <v>2200</v>
      </c>
      <c r="AQ10" s="43"/>
      <c r="AR10" s="129">
        <f t="shared" si="0"/>
        <v>44235</v>
      </c>
      <c r="AS10" s="199">
        <v>9609</v>
      </c>
      <c r="AT10" s="206">
        <v>137</v>
      </c>
      <c r="AU10" s="207"/>
      <c r="AV10" s="199">
        <v>18415944</v>
      </c>
      <c r="AW10" s="206">
        <v>49002</v>
      </c>
      <c r="AX10" s="199">
        <v>465465800</v>
      </c>
      <c r="AY10" s="206">
        <v>39797</v>
      </c>
      <c r="AZ10" s="206">
        <v>9204.5400000000009</v>
      </c>
      <c r="BA10" s="199">
        <v>6976600</v>
      </c>
      <c r="BB10" s="208">
        <v>1600</v>
      </c>
      <c r="BC10" s="200">
        <v>3754200</v>
      </c>
      <c r="BD10" s="209">
        <v>300</v>
      </c>
      <c r="BE10" s="199">
        <v>43187480</v>
      </c>
      <c r="BF10" s="206">
        <v>0</v>
      </c>
      <c r="BI10" s="49">
        <f t="shared" si="1"/>
        <v>41582675</v>
      </c>
      <c r="BL10" s="131"/>
      <c r="BM10" s="131"/>
      <c r="BN10" s="49">
        <f t="shared" si="2"/>
        <v>4923577</v>
      </c>
      <c r="BR10" s="49">
        <f t="shared" si="3"/>
        <v>704509</v>
      </c>
      <c r="BU10" s="106"/>
      <c r="BV10" s="49">
        <f t="shared" si="4"/>
        <v>506180</v>
      </c>
      <c r="BW10" s="107"/>
      <c r="BX10" s="108"/>
      <c r="BY10" s="106"/>
      <c r="BZ10" s="108"/>
      <c r="CA10" s="106"/>
      <c r="CB10" s="43"/>
      <c r="CC10" s="49">
        <f t="shared" si="5"/>
        <v>6976600</v>
      </c>
      <c r="CF10" s="131"/>
      <c r="CG10" s="131"/>
      <c r="CH10" s="131"/>
      <c r="CI10" s="49">
        <f t="shared" si="6"/>
        <v>18415944</v>
      </c>
      <c r="CL10" s="131"/>
      <c r="CM10" s="132"/>
      <c r="CN10" s="49">
        <f t="shared" si="7"/>
        <v>9609</v>
      </c>
      <c r="CP10" s="133"/>
      <c r="CQ10" s="110"/>
      <c r="CR10" s="49">
        <f t="shared" si="8"/>
        <v>3754200</v>
      </c>
      <c r="CU10" s="131"/>
      <c r="CV10" s="132"/>
      <c r="CW10" s="49">
        <f t="shared" si="9"/>
        <v>43187480</v>
      </c>
      <c r="CZ10" s="131"/>
      <c r="DD10" s="134"/>
      <c r="DE10" s="134"/>
      <c r="DF10" s="134"/>
      <c r="DG10" s="134"/>
      <c r="DH10" s="135"/>
      <c r="DI10" s="136"/>
      <c r="DJ10" s="136"/>
    </row>
    <row r="11" spans="2:114" s="130" customFormat="1" x14ac:dyDescent="0.25">
      <c r="B11" s="82">
        <v>44242</v>
      </c>
      <c r="C11" s="268">
        <v>41680144</v>
      </c>
      <c r="D11" s="269"/>
      <c r="E11" s="39">
        <f t="shared" si="10"/>
        <v>974690</v>
      </c>
      <c r="F11" s="268">
        <v>4948299</v>
      </c>
      <c r="G11" s="269"/>
      <c r="H11" s="39">
        <f t="shared" ref="H11:H13" si="26">SUM(F11-F10)*10</f>
        <v>247220</v>
      </c>
      <c r="I11" s="268">
        <v>17080</v>
      </c>
      <c r="J11" s="269"/>
      <c r="K11" s="39">
        <f t="shared" ref="K11:K51" si="27">SUM(I11-I10)*10</f>
        <v>710</v>
      </c>
      <c r="L11" s="268">
        <v>302004</v>
      </c>
      <c r="M11" s="269"/>
      <c r="N11" s="39">
        <f t="shared" si="13"/>
        <v>771000</v>
      </c>
      <c r="O11" s="268">
        <v>7135</v>
      </c>
      <c r="P11" s="269"/>
      <c r="Q11" s="39">
        <f t="shared" si="14"/>
        <v>23400</v>
      </c>
      <c r="R11" s="40"/>
      <c r="S11" s="268">
        <v>706679</v>
      </c>
      <c r="T11" s="269"/>
      <c r="U11" s="39">
        <f t="shared" si="15"/>
        <v>217000</v>
      </c>
      <c r="V11" s="268">
        <v>515250</v>
      </c>
      <c r="W11" s="269"/>
      <c r="X11" s="39">
        <f t="shared" si="16"/>
        <v>907000</v>
      </c>
      <c r="Y11" s="45">
        <f t="shared" si="17"/>
        <v>1124000</v>
      </c>
      <c r="Z11" s="41"/>
      <c r="AA11" s="199">
        <v>14982</v>
      </c>
      <c r="AB11" s="206">
        <v>1800000</v>
      </c>
      <c r="AC11" s="199">
        <v>407297571</v>
      </c>
      <c r="AD11" s="206">
        <v>363157.1</v>
      </c>
      <c r="AE11" s="199">
        <v>105591</v>
      </c>
      <c r="AF11" s="206">
        <v>850</v>
      </c>
      <c r="AG11" s="199">
        <v>3245107</v>
      </c>
      <c r="AH11" s="206">
        <v>107910</v>
      </c>
      <c r="AI11" s="199">
        <v>4078363</v>
      </c>
      <c r="AJ11" s="206">
        <v>7376</v>
      </c>
      <c r="AK11" s="199">
        <v>19408</v>
      </c>
      <c r="AL11" s="206">
        <v>67000</v>
      </c>
      <c r="AM11" s="199">
        <v>488</v>
      </c>
      <c r="AN11" s="206">
        <v>23</v>
      </c>
      <c r="AO11" s="199">
        <v>11985</v>
      </c>
      <c r="AP11" s="206">
        <v>12300</v>
      </c>
      <c r="AQ11" s="43"/>
      <c r="AR11" s="129">
        <f t="shared" si="0"/>
        <v>44242</v>
      </c>
      <c r="AS11" s="199">
        <v>9719</v>
      </c>
      <c r="AT11" s="206">
        <v>110</v>
      </c>
      <c r="AU11" s="207"/>
      <c r="AV11" s="199">
        <v>18465270</v>
      </c>
      <c r="AW11" s="206">
        <v>49326</v>
      </c>
      <c r="AX11" s="199">
        <v>469472910</v>
      </c>
      <c r="AY11" s="206">
        <v>40071</v>
      </c>
      <c r="AZ11" s="206">
        <v>9254.9</v>
      </c>
      <c r="BA11" s="199">
        <v>6980000</v>
      </c>
      <c r="BB11" s="208">
        <v>3400</v>
      </c>
      <c r="BC11" s="200">
        <v>3754600</v>
      </c>
      <c r="BD11" s="209">
        <v>400</v>
      </c>
      <c r="BE11" s="199">
        <v>43187480</v>
      </c>
      <c r="BF11" s="206">
        <v>0</v>
      </c>
      <c r="BI11" s="49">
        <f t="shared" si="1"/>
        <v>41680144</v>
      </c>
      <c r="BL11" s="131"/>
      <c r="BM11" s="131"/>
      <c r="BN11" s="49">
        <f t="shared" si="2"/>
        <v>4948299</v>
      </c>
      <c r="BR11" s="49">
        <f t="shared" si="3"/>
        <v>706679</v>
      </c>
      <c r="BU11" s="106"/>
      <c r="BV11" s="49">
        <f t="shared" si="4"/>
        <v>515250</v>
      </c>
      <c r="BW11" s="107"/>
      <c r="BX11" s="108"/>
      <c r="BY11" s="106"/>
      <c r="BZ11" s="108"/>
      <c r="CA11" s="106"/>
      <c r="CB11" s="43"/>
      <c r="CC11" s="49">
        <f t="shared" si="5"/>
        <v>6980000</v>
      </c>
      <c r="CF11" s="131"/>
      <c r="CG11" s="131"/>
      <c r="CH11" s="131"/>
      <c r="CI11" s="49">
        <f t="shared" si="6"/>
        <v>18465270</v>
      </c>
      <c r="CL11" s="131"/>
      <c r="CM11" s="132"/>
      <c r="CN11" s="49">
        <f t="shared" si="7"/>
        <v>9719</v>
      </c>
      <c r="CP11" s="133"/>
      <c r="CQ11" s="110"/>
      <c r="CR11" s="49">
        <f t="shared" si="8"/>
        <v>3754600</v>
      </c>
      <c r="CU11" s="131"/>
      <c r="CV11" s="132"/>
      <c r="CW11" s="49">
        <f t="shared" si="9"/>
        <v>43187480</v>
      </c>
      <c r="CZ11" s="131"/>
      <c r="DD11" s="134"/>
      <c r="DE11" s="134"/>
      <c r="DF11" s="134"/>
      <c r="DG11" s="134"/>
      <c r="DH11" s="135"/>
      <c r="DI11" s="136"/>
      <c r="DJ11" s="136"/>
    </row>
    <row r="12" spans="2:114" s="130" customFormat="1" x14ac:dyDescent="0.25">
      <c r="B12" s="82">
        <v>44249</v>
      </c>
      <c r="C12" s="268">
        <v>41772388</v>
      </c>
      <c r="D12" s="269"/>
      <c r="E12" s="39">
        <f t="shared" ref="E12:E13" si="28">SUM(C12-C11)*10</f>
        <v>922440</v>
      </c>
      <c r="F12" s="268">
        <v>4973934</v>
      </c>
      <c r="G12" s="269"/>
      <c r="H12" s="39">
        <f t="shared" si="26"/>
        <v>256350</v>
      </c>
      <c r="I12" s="268">
        <v>17096</v>
      </c>
      <c r="J12" s="269"/>
      <c r="K12" s="39">
        <f t="shared" si="27"/>
        <v>160</v>
      </c>
      <c r="L12" s="268">
        <v>302639</v>
      </c>
      <c r="M12" s="269"/>
      <c r="N12" s="39">
        <f t="shared" si="13"/>
        <v>635000</v>
      </c>
      <c r="O12" s="268">
        <v>7397</v>
      </c>
      <c r="P12" s="269"/>
      <c r="Q12" s="39">
        <f t="shared" si="14"/>
        <v>26200</v>
      </c>
      <c r="R12" s="40"/>
      <c r="S12" s="268">
        <v>708899</v>
      </c>
      <c r="T12" s="269"/>
      <c r="U12" s="39">
        <f t="shared" si="15"/>
        <v>222000</v>
      </c>
      <c r="V12" s="268">
        <v>527880</v>
      </c>
      <c r="W12" s="269"/>
      <c r="X12" s="39">
        <f t="shared" si="16"/>
        <v>1263000</v>
      </c>
      <c r="Y12" s="45">
        <f t="shared" si="17"/>
        <v>1485000</v>
      </c>
      <c r="Z12" s="41"/>
      <c r="AA12" s="199">
        <v>15122</v>
      </c>
      <c r="AB12" s="206">
        <v>1400000</v>
      </c>
      <c r="AC12" s="199">
        <v>410418400</v>
      </c>
      <c r="AD12" s="206">
        <v>312082.90000000002</v>
      </c>
      <c r="AE12" s="199">
        <v>105750</v>
      </c>
      <c r="AF12" s="206">
        <v>1590</v>
      </c>
      <c r="AG12" s="199">
        <v>3255931</v>
      </c>
      <c r="AH12" s="206">
        <v>108240</v>
      </c>
      <c r="AI12" s="199">
        <v>4087613</v>
      </c>
      <c r="AJ12" s="206">
        <v>9250</v>
      </c>
      <c r="AK12" s="199">
        <v>19499</v>
      </c>
      <c r="AL12" s="206">
        <v>91000</v>
      </c>
      <c r="AM12" s="199">
        <v>518</v>
      </c>
      <c r="AN12" s="206">
        <v>30</v>
      </c>
      <c r="AO12" s="199">
        <v>11994</v>
      </c>
      <c r="AP12" s="206">
        <v>900</v>
      </c>
      <c r="AQ12" s="43"/>
      <c r="AR12" s="129">
        <f t="shared" si="0"/>
        <v>44249</v>
      </c>
      <c r="AS12" s="199">
        <v>9847</v>
      </c>
      <c r="AT12" s="206">
        <v>128</v>
      </c>
      <c r="AU12" s="207"/>
      <c r="AV12" s="199">
        <v>18520980</v>
      </c>
      <c r="AW12" s="206">
        <v>55710</v>
      </c>
      <c r="AX12" s="199">
        <v>474014188</v>
      </c>
      <c r="AY12" s="206">
        <v>45413</v>
      </c>
      <c r="AZ12" s="206">
        <v>10297.219999999999</v>
      </c>
      <c r="BA12" s="199">
        <v>6983900</v>
      </c>
      <c r="BB12" s="208">
        <v>3900</v>
      </c>
      <c r="BC12" s="200">
        <v>3755100</v>
      </c>
      <c r="BD12" s="209">
        <v>500</v>
      </c>
      <c r="BE12" s="199">
        <v>43187480</v>
      </c>
      <c r="BF12" s="206">
        <v>0</v>
      </c>
      <c r="BI12" s="49">
        <f t="shared" si="1"/>
        <v>41772388</v>
      </c>
      <c r="BL12" s="131"/>
      <c r="BM12" s="131"/>
      <c r="BN12" s="49">
        <f t="shared" si="2"/>
        <v>4973934</v>
      </c>
      <c r="BR12" s="49">
        <f t="shared" si="3"/>
        <v>708899</v>
      </c>
      <c r="BU12" s="106"/>
      <c r="BV12" s="49">
        <f t="shared" si="4"/>
        <v>527880</v>
      </c>
      <c r="BW12" s="107"/>
      <c r="BX12" s="108"/>
      <c r="BY12" s="106"/>
      <c r="BZ12" s="108"/>
      <c r="CA12" s="106"/>
      <c r="CB12" s="43"/>
      <c r="CC12" s="49">
        <f t="shared" si="5"/>
        <v>6983900</v>
      </c>
      <c r="CF12" s="131"/>
      <c r="CG12" s="131"/>
      <c r="CH12" s="131"/>
      <c r="CI12" s="49">
        <f t="shared" si="6"/>
        <v>18520980</v>
      </c>
      <c r="CL12" s="131"/>
      <c r="CM12" s="132"/>
      <c r="CN12" s="49">
        <f t="shared" si="7"/>
        <v>9847</v>
      </c>
      <c r="CP12" s="133"/>
      <c r="CQ12" s="110"/>
      <c r="CR12" s="49">
        <f t="shared" si="8"/>
        <v>3755100</v>
      </c>
      <c r="CU12" s="131"/>
      <c r="CV12" s="132"/>
      <c r="CW12" s="49">
        <f t="shared" si="9"/>
        <v>43187480</v>
      </c>
      <c r="CZ12" s="131"/>
      <c r="DD12" s="134"/>
      <c r="DE12" s="134"/>
      <c r="DF12" s="134"/>
      <c r="DG12" s="134"/>
      <c r="DH12" s="135"/>
      <c r="DI12" s="136"/>
      <c r="DJ12" s="136"/>
    </row>
    <row r="13" spans="2:114" s="130" customFormat="1" x14ac:dyDescent="0.25">
      <c r="B13" s="82">
        <v>44256</v>
      </c>
      <c r="C13" s="268">
        <v>41871884</v>
      </c>
      <c r="D13" s="269"/>
      <c r="E13" s="39">
        <f t="shared" si="28"/>
        <v>994960</v>
      </c>
      <c r="F13" s="268">
        <v>4992820</v>
      </c>
      <c r="G13" s="269"/>
      <c r="H13" s="39">
        <f t="shared" si="26"/>
        <v>188860</v>
      </c>
      <c r="I13" s="268">
        <v>17123</v>
      </c>
      <c r="J13" s="269"/>
      <c r="K13" s="39">
        <f t="shared" si="27"/>
        <v>270</v>
      </c>
      <c r="L13" s="268">
        <v>303354</v>
      </c>
      <c r="M13" s="269"/>
      <c r="N13" s="39">
        <f t="shared" si="13"/>
        <v>715000</v>
      </c>
      <c r="O13" s="268">
        <v>7665</v>
      </c>
      <c r="P13" s="269"/>
      <c r="Q13" s="39">
        <f t="shared" si="14"/>
        <v>26800</v>
      </c>
      <c r="R13" s="40"/>
      <c r="S13" s="268">
        <v>711151</v>
      </c>
      <c r="T13" s="269"/>
      <c r="U13" s="39">
        <f t="shared" si="15"/>
        <v>225200</v>
      </c>
      <c r="V13" s="268">
        <v>539040</v>
      </c>
      <c r="W13" s="269"/>
      <c r="X13" s="39">
        <f t="shared" si="16"/>
        <v>1116000</v>
      </c>
      <c r="Y13" s="45">
        <f t="shared" si="17"/>
        <v>1341200</v>
      </c>
      <c r="Z13" s="41"/>
      <c r="AA13" s="199">
        <v>15286</v>
      </c>
      <c r="AB13" s="206">
        <v>1640000</v>
      </c>
      <c r="AC13" s="199">
        <v>413598900</v>
      </c>
      <c r="AD13" s="206">
        <v>318050</v>
      </c>
      <c r="AE13" s="199">
        <v>105940</v>
      </c>
      <c r="AF13" s="206">
        <v>1900</v>
      </c>
      <c r="AG13" s="199">
        <v>3266792</v>
      </c>
      <c r="AH13" s="206">
        <v>108610</v>
      </c>
      <c r="AI13" s="199">
        <v>4095591</v>
      </c>
      <c r="AJ13" s="206">
        <v>7978</v>
      </c>
      <c r="AK13" s="199">
        <v>19590</v>
      </c>
      <c r="AL13" s="206">
        <v>91000</v>
      </c>
      <c r="AM13" s="199">
        <v>539</v>
      </c>
      <c r="AN13" s="206">
        <v>21</v>
      </c>
      <c r="AO13" s="199">
        <v>12031</v>
      </c>
      <c r="AP13" s="206">
        <v>3700</v>
      </c>
      <c r="AQ13" s="43"/>
      <c r="AR13" s="129">
        <f t="shared" si="0"/>
        <v>44256</v>
      </c>
      <c r="AS13" s="199">
        <v>9928</v>
      </c>
      <c r="AT13" s="206">
        <v>81</v>
      </c>
      <c r="AU13" s="207"/>
      <c r="AV13" s="199">
        <v>18563777</v>
      </c>
      <c r="AW13" s="206">
        <v>42797</v>
      </c>
      <c r="AX13" s="199">
        <v>477387983</v>
      </c>
      <c r="AY13" s="206">
        <v>33738</v>
      </c>
      <c r="AZ13" s="206">
        <v>9059.0499999999993</v>
      </c>
      <c r="BA13" s="199">
        <v>6988700</v>
      </c>
      <c r="BB13" s="208">
        <v>4800</v>
      </c>
      <c r="BC13" s="200">
        <v>3755400</v>
      </c>
      <c r="BD13" s="209">
        <v>300</v>
      </c>
      <c r="BE13" s="199">
        <v>43187481</v>
      </c>
      <c r="BF13" s="206">
        <v>1</v>
      </c>
      <c r="BI13" s="49">
        <f t="shared" si="1"/>
        <v>41871884</v>
      </c>
      <c r="BJ13" s="22">
        <v>375118</v>
      </c>
      <c r="BK13" s="21">
        <f>SUM(BJ13-BJ9)</f>
        <v>6149</v>
      </c>
      <c r="BL13" s="84">
        <f>SUM(BK13*1.0228)+1887.37</f>
        <v>8176.5671999999995</v>
      </c>
      <c r="BM13" s="102">
        <v>27541.8</v>
      </c>
      <c r="BN13" s="49">
        <f t="shared" si="2"/>
        <v>4992820</v>
      </c>
      <c r="BO13" s="22">
        <v>42445</v>
      </c>
      <c r="BP13" s="21">
        <f>SUM(BO13-BO9)</f>
        <v>385</v>
      </c>
      <c r="BQ13" s="84">
        <f>SUM(BP13*0.8062)+1557.24</f>
        <v>1867.627</v>
      </c>
      <c r="BR13" s="49">
        <f t="shared" si="3"/>
        <v>711151</v>
      </c>
      <c r="BS13" s="22">
        <v>630331</v>
      </c>
      <c r="BT13" s="22">
        <v>59604.99</v>
      </c>
      <c r="BU13" s="115">
        <v>44183.11</v>
      </c>
      <c r="BV13" s="49">
        <f t="shared" si="4"/>
        <v>539040</v>
      </c>
      <c r="BW13" s="116">
        <v>19133</v>
      </c>
      <c r="BX13" s="50">
        <v>2987.18</v>
      </c>
      <c r="BY13" s="115">
        <v>2223.4899999999998</v>
      </c>
      <c r="BZ13" s="127">
        <f t="shared" ref="BZ13" si="29">SUM(BT13+BX13)</f>
        <v>62592.17</v>
      </c>
      <c r="CA13" s="115">
        <v>14791.95</v>
      </c>
      <c r="CB13" s="43"/>
      <c r="CC13" s="49">
        <f t="shared" si="5"/>
        <v>6988700</v>
      </c>
      <c r="CD13" s="22">
        <v>6827</v>
      </c>
      <c r="CE13" s="21">
        <f>SUM(CD13-CD9)</f>
        <v>12</v>
      </c>
      <c r="CF13" s="84">
        <f>SUM(CE13*1.0228)+117.88</f>
        <v>130.15359999999998</v>
      </c>
      <c r="CG13" s="102">
        <v>68.64</v>
      </c>
      <c r="CH13" s="102">
        <v>1451.94</v>
      </c>
      <c r="CI13" s="49">
        <f t="shared" si="6"/>
        <v>18563777</v>
      </c>
      <c r="CJ13" s="22">
        <v>16039</v>
      </c>
      <c r="CK13" s="21">
        <f>SUM(CJ13-CJ9)</f>
        <v>446</v>
      </c>
      <c r="CL13" s="84">
        <f>SUM(CK13*1.0228+188.7)</f>
        <v>644.86879999999996</v>
      </c>
      <c r="CM13" s="119">
        <v>537.67999999999995</v>
      </c>
      <c r="CN13" s="49">
        <f t="shared" si="7"/>
        <v>9928</v>
      </c>
      <c r="CO13" s="22">
        <v>5735</v>
      </c>
      <c r="CP13" s="27">
        <v>1636.69</v>
      </c>
      <c r="CQ13" s="118">
        <v>1218.3399999999999</v>
      </c>
      <c r="CR13" s="49">
        <f t="shared" si="8"/>
        <v>3755400</v>
      </c>
      <c r="CS13" s="22">
        <v>3714</v>
      </c>
      <c r="CT13" s="21">
        <f>SUM(CS13-CS9)</f>
        <v>10</v>
      </c>
      <c r="CU13" s="84">
        <f>SUM(CT13*1.0228)+188.7</f>
        <v>198.928</v>
      </c>
      <c r="CV13" s="132"/>
      <c r="CW13" s="49">
        <f t="shared" si="9"/>
        <v>43187481</v>
      </c>
      <c r="CX13" s="22">
        <v>363098</v>
      </c>
      <c r="CY13" s="21">
        <f>SUM(CX13-CX9)</f>
        <v>2896</v>
      </c>
      <c r="CZ13" s="84">
        <f>SUM(CY13*0.8062)+973.2</f>
        <v>3307.9552000000003</v>
      </c>
      <c r="DC13" s="22">
        <f>SUM(E11:E14)</f>
        <v>-415826750</v>
      </c>
      <c r="DD13" s="102" t="e">
        <f>SUM(BL13+CF13+CL13+#REF!+CU13)</f>
        <v>#REF!</v>
      </c>
      <c r="DE13" s="102">
        <f>SUM(BQ13+CZ13)</f>
        <v>5175.5822000000007</v>
      </c>
      <c r="DF13" s="102">
        <f>SUM(BM13+CG13+CV13)</f>
        <v>27610.44</v>
      </c>
      <c r="DG13" s="102" t="e">
        <f>SUM(DD13:DF13)</f>
        <v>#REF!</v>
      </c>
      <c r="DH13"/>
      <c r="DI13" s="121">
        <f>SUM(BU13+CQ13+BY13)</f>
        <v>47624.939999999995</v>
      </c>
      <c r="DJ13" s="121">
        <f>SUM(CA13+CH13)</f>
        <v>16243.890000000001</v>
      </c>
    </row>
    <row r="14" spans="2:114" s="130" customFormat="1" x14ac:dyDescent="0.25">
      <c r="B14" s="82">
        <v>44263</v>
      </c>
      <c r="C14" s="296"/>
      <c r="D14" s="296"/>
      <c r="E14" s="39">
        <f t="shared" ref="E14" si="30">SUM(C14-C13)*10</f>
        <v>-418718840</v>
      </c>
      <c r="F14" s="296"/>
      <c r="G14" s="296"/>
      <c r="H14" s="39">
        <f t="shared" ref="H14" si="31">SUM(F14-F13)*10</f>
        <v>-49928200</v>
      </c>
      <c r="I14" s="296"/>
      <c r="J14" s="296"/>
      <c r="K14" s="39">
        <f t="shared" si="27"/>
        <v>-171230</v>
      </c>
      <c r="L14" s="296"/>
      <c r="M14" s="296"/>
      <c r="N14" s="39">
        <f t="shared" si="13"/>
        <v>-303354000</v>
      </c>
      <c r="O14" s="296"/>
      <c r="P14" s="296"/>
      <c r="Q14" s="39">
        <f t="shared" si="14"/>
        <v>-766500</v>
      </c>
      <c r="R14" s="40"/>
      <c r="S14" s="296"/>
      <c r="T14" s="296"/>
      <c r="U14" s="39">
        <f t="shared" si="15"/>
        <v>-71115100</v>
      </c>
      <c r="V14" s="297"/>
      <c r="W14" s="297"/>
      <c r="X14" s="39">
        <f t="shared" si="16"/>
        <v>-53904000</v>
      </c>
      <c r="Y14" s="45">
        <f t="shared" si="17"/>
        <v>-125019100</v>
      </c>
      <c r="Z14" s="41"/>
      <c r="AA14" s="42"/>
      <c r="AB14" s="39">
        <f t="shared" ref="AB13:AB23" si="32">SUM(AA14-AA13)*10000</f>
        <v>-152860000</v>
      </c>
      <c r="AC14" s="42"/>
      <c r="AD14" s="39">
        <f t="shared" ref="AD13:AD23" si="33">SUM(AC14-AC13)*0.1</f>
        <v>-41359890</v>
      </c>
      <c r="AE14" s="42"/>
      <c r="AF14" s="39">
        <f t="shared" ref="AF13:AF51" si="34">SUM(AE14-AE13)*10</f>
        <v>-1059400</v>
      </c>
      <c r="AG14" s="42"/>
      <c r="AH14" s="39">
        <f t="shared" ref="AH13:AH51" si="35">SUM(AG14-AG13)*10</f>
        <v>-32667920</v>
      </c>
      <c r="AI14" s="42"/>
      <c r="AJ14" s="39">
        <f t="shared" ref="AJ13:AJ51" si="36">SUM(AI14-AI13)</f>
        <v>-4095591</v>
      </c>
      <c r="AK14" s="42"/>
      <c r="AL14" s="39">
        <f t="shared" ref="AL13:AL51" si="37">SUM(AK14-AK13)*1000</f>
        <v>-19590000</v>
      </c>
      <c r="AM14" s="42"/>
      <c r="AN14" s="46">
        <f t="shared" ref="AN13:AN51" si="38">SUM(AM14-AM13)*1000</f>
        <v>-539000</v>
      </c>
      <c r="AO14" s="42"/>
      <c r="AP14" s="39">
        <f t="shared" ref="AP13:AP51" si="39">SUM(AO14-AO13)*100</f>
        <v>-1203100</v>
      </c>
      <c r="AQ14" s="43"/>
      <c r="AR14" s="129">
        <f t="shared" si="0"/>
        <v>44263</v>
      </c>
      <c r="AS14" s="44"/>
      <c r="AT14" s="39">
        <f t="shared" si="19"/>
        <v>-9928</v>
      </c>
      <c r="AU14" s="43"/>
      <c r="AV14" s="44"/>
      <c r="AW14" s="39">
        <f t="shared" ref="AW14" si="40">SUM(AV14-AV13)</f>
        <v>-18563777</v>
      </c>
      <c r="AX14" s="42"/>
      <c r="AY14" s="47">
        <f t="shared" ref="AY14" si="41">SUM(AX14-AX13)/100</f>
        <v>-4773879.83</v>
      </c>
      <c r="AZ14" s="39">
        <f t="shared" ref="AZ14" si="42">SUM(AW14-AY14)</f>
        <v>-13789897.17</v>
      </c>
      <c r="BA14" s="44"/>
      <c r="BB14" s="39">
        <f t="shared" ref="BB13:BB51" si="43">SUM(BA14-BA13)</f>
        <v>-6988700</v>
      </c>
      <c r="BC14" s="44"/>
      <c r="BD14" s="39">
        <f t="shared" ref="BD13:BD51" si="44">SUM(BC14-BC13)</f>
        <v>-3755400</v>
      </c>
      <c r="BE14" s="44"/>
      <c r="BF14" s="39">
        <f t="shared" ref="BF13:BF51" si="45">SUM(BE14-BE13)</f>
        <v>-43187481</v>
      </c>
      <c r="BI14" s="49">
        <f t="shared" si="1"/>
        <v>0</v>
      </c>
      <c r="BL14" s="131"/>
      <c r="BM14" s="131"/>
      <c r="BN14" s="49">
        <f t="shared" si="2"/>
        <v>0</v>
      </c>
      <c r="BR14" s="49">
        <f t="shared" si="3"/>
        <v>0</v>
      </c>
      <c r="BU14" s="106"/>
      <c r="BV14" s="49">
        <f t="shared" si="4"/>
        <v>0</v>
      </c>
      <c r="BW14" s="107"/>
      <c r="BX14" s="108"/>
      <c r="BY14" s="106"/>
      <c r="BZ14" s="108"/>
      <c r="CA14" s="106"/>
      <c r="CB14" s="43"/>
      <c r="CC14" s="49">
        <f t="shared" si="5"/>
        <v>0</v>
      </c>
      <c r="CF14" s="131"/>
      <c r="CG14" s="131"/>
      <c r="CH14" s="131"/>
      <c r="CI14" s="49">
        <f t="shared" si="6"/>
        <v>0</v>
      </c>
      <c r="CL14" s="131"/>
      <c r="CM14" s="132"/>
      <c r="CN14" s="49">
        <f t="shared" si="7"/>
        <v>0</v>
      </c>
      <c r="CP14" s="133"/>
      <c r="CQ14" s="110"/>
      <c r="CR14" s="49">
        <f t="shared" si="8"/>
        <v>0</v>
      </c>
      <c r="CU14" s="131"/>
      <c r="CV14" s="132"/>
      <c r="CW14" s="49">
        <f t="shared" si="9"/>
        <v>0</v>
      </c>
      <c r="CZ14" s="131"/>
      <c r="DD14" s="134"/>
      <c r="DE14" s="134"/>
      <c r="DF14" s="134"/>
      <c r="DG14" s="134"/>
      <c r="DH14" s="135"/>
      <c r="DI14" s="136"/>
      <c r="DJ14" s="136"/>
    </row>
    <row r="15" spans="2:114" s="130" customFormat="1" x14ac:dyDescent="0.25">
      <c r="B15" s="82">
        <v>44270</v>
      </c>
      <c r="C15" s="296"/>
      <c r="D15" s="296"/>
      <c r="E15" s="39">
        <f t="shared" ref="E15:E17" si="46">SUM(C15-C14)*10</f>
        <v>0</v>
      </c>
      <c r="F15" s="296"/>
      <c r="G15" s="296"/>
      <c r="H15" s="39">
        <f t="shared" ref="H15:H17" si="47">SUM(F15-F14)*10</f>
        <v>0</v>
      </c>
      <c r="I15" s="296"/>
      <c r="J15" s="296"/>
      <c r="K15" s="39">
        <f t="shared" si="27"/>
        <v>0</v>
      </c>
      <c r="L15" s="296"/>
      <c r="M15" s="296"/>
      <c r="N15" s="39">
        <f t="shared" si="13"/>
        <v>0</v>
      </c>
      <c r="O15" s="296"/>
      <c r="P15" s="296"/>
      <c r="Q15" s="39">
        <f t="shared" si="14"/>
        <v>0</v>
      </c>
      <c r="R15" s="40"/>
      <c r="S15" s="296"/>
      <c r="T15" s="296"/>
      <c r="U15" s="39">
        <f t="shared" si="15"/>
        <v>0</v>
      </c>
      <c r="V15" s="297"/>
      <c r="W15" s="297"/>
      <c r="X15" s="39">
        <f t="shared" si="16"/>
        <v>0</v>
      </c>
      <c r="Y15" s="45">
        <f t="shared" si="17"/>
        <v>0</v>
      </c>
      <c r="Z15" s="41"/>
      <c r="AA15" s="42"/>
      <c r="AB15" s="39">
        <f t="shared" si="32"/>
        <v>0</v>
      </c>
      <c r="AC15" s="42"/>
      <c r="AD15" s="39">
        <f t="shared" si="33"/>
        <v>0</v>
      </c>
      <c r="AE15" s="42"/>
      <c r="AF15" s="39">
        <f t="shared" si="34"/>
        <v>0</v>
      </c>
      <c r="AG15" s="42"/>
      <c r="AH15" s="39">
        <f t="shared" si="35"/>
        <v>0</v>
      </c>
      <c r="AI15" s="42"/>
      <c r="AJ15" s="39">
        <f t="shared" si="36"/>
        <v>0</v>
      </c>
      <c r="AK15" s="42"/>
      <c r="AL15" s="39">
        <f t="shared" si="37"/>
        <v>0</v>
      </c>
      <c r="AM15" s="42"/>
      <c r="AN15" s="46">
        <f t="shared" si="38"/>
        <v>0</v>
      </c>
      <c r="AO15" s="42"/>
      <c r="AP15" s="39">
        <f t="shared" si="39"/>
        <v>0</v>
      </c>
      <c r="AQ15" s="43"/>
      <c r="AR15" s="129">
        <f t="shared" si="0"/>
        <v>44270</v>
      </c>
      <c r="AS15" s="44"/>
      <c r="AT15" s="39">
        <f t="shared" si="19"/>
        <v>0</v>
      </c>
      <c r="AU15" s="43"/>
      <c r="AV15" s="44"/>
      <c r="AW15" s="39">
        <f t="shared" ref="AW15" si="48">SUM(AV15-AV14)</f>
        <v>0</v>
      </c>
      <c r="AX15" s="42"/>
      <c r="AY15" s="47">
        <f t="shared" ref="AY15" si="49">SUM(AX15-AX14)/100</f>
        <v>0</v>
      </c>
      <c r="AZ15" s="39">
        <f t="shared" ref="AZ15" si="50">SUM(AW15-AY15)</f>
        <v>0</v>
      </c>
      <c r="BA15" s="44"/>
      <c r="BB15" s="39">
        <f t="shared" si="43"/>
        <v>0</v>
      </c>
      <c r="BC15" s="44"/>
      <c r="BD15" s="39">
        <f t="shared" si="44"/>
        <v>0</v>
      </c>
      <c r="BE15" s="44"/>
      <c r="BF15" s="39">
        <f t="shared" si="45"/>
        <v>0</v>
      </c>
      <c r="BI15" s="49">
        <f t="shared" si="1"/>
        <v>0</v>
      </c>
      <c r="BL15" s="131"/>
      <c r="BM15" s="131"/>
      <c r="BN15" s="49">
        <f t="shared" si="2"/>
        <v>0</v>
      </c>
      <c r="BR15" s="49">
        <f t="shared" si="3"/>
        <v>0</v>
      </c>
      <c r="BU15" s="106"/>
      <c r="BV15" s="49">
        <f t="shared" si="4"/>
        <v>0</v>
      </c>
      <c r="BW15" s="107"/>
      <c r="BX15" s="108"/>
      <c r="BY15" s="106"/>
      <c r="BZ15" s="108"/>
      <c r="CA15" s="106"/>
      <c r="CB15" s="43"/>
      <c r="CC15" s="49">
        <f t="shared" si="5"/>
        <v>0</v>
      </c>
      <c r="CF15" s="131"/>
      <c r="CG15" s="131"/>
      <c r="CH15" s="131"/>
      <c r="CI15" s="49">
        <f t="shared" si="6"/>
        <v>0</v>
      </c>
      <c r="CL15" s="131"/>
      <c r="CM15" s="132"/>
      <c r="CN15" s="49">
        <f t="shared" si="7"/>
        <v>0</v>
      </c>
      <c r="CP15" s="133"/>
      <c r="CQ15" s="110"/>
      <c r="CR15" s="49">
        <f t="shared" si="8"/>
        <v>0</v>
      </c>
      <c r="CU15" s="131"/>
      <c r="CV15" s="132"/>
      <c r="CW15" s="49">
        <f t="shared" si="9"/>
        <v>0</v>
      </c>
      <c r="CZ15" s="131"/>
      <c r="DD15" s="134"/>
      <c r="DE15" s="134"/>
      <c r="DF15" s="134"/>
      <c r="DG15" s="134"/>
      <c r="DH15" s="135"/>
      <c r="DI15" s="136"/>
      <c r="DJ15" s="136"/>
    </row>
    <row r="16" spans="2:114" s="130" customFormat="1" x14ac:dyDescent="0.25">
      <c r="B16" s="82">
        <v>44277</v>
      </c>
      <c r="C16" s="296"/>
      <c r="D16" s="296"/>
      <c r="E16" s="39">
        <f t="shared" si="46"/>
        <v>0</v>
      </c>
      <c r="F16" s="296"/>
      <c r="G16" s="296"/>
      <c r="H16" s="39">
        <f t="shared" si="47"/>
        <v>0</v>
      </c>
      <c r="I16" s="296"/>
      <c r="J16" s="296"/>
      <c r="K16" s="39">
        <f t="shared" si="27"/>
        <v>0</v>
      </c>
      <c r="L16" s="296"/>
      <c r="M16" s="296"/>
      <c r="N16" s="39">
        <f t="shared" si="13"/>
        <v>0</v>
      </c>
      <c r="O16" s="296"/>
      <c r="P16" s="296"/>
      <c r="Q16" s="39">
        <f t="shared" si="14"/>
        <v>0</v>
      </c>
      <c r="R16" s="40"/>
      <c r="S16" s="296"/>
      <c r="T16" s="296"/>
      <c r="U16" s="39">
        <f t="shared" si="15"/>
        <v>0</v>
      </c>
      <c r="V16" s="297"/>
      <c r="W16" s="297"/>
      <c r="X16" s="39">
        <f t="shared" si="16"/>
        <v>0</v>
      </c>
      <c r="Y16" s="45">
        <f t="shared" si="17"/>
        <v>0</v>
      </c>
      <c r="Z16" s="41"/>
      <c r="AA16" s="42"/>
      <c r="AB16" s="39">
        <f t="shared" si="32"/>
        <v>0</v>
      </c>
      <c r="AC16" s="42"/>
      <c r="AD16" s="39">
        <f t="shared" si="33"/>
        <v>0</v>
      </c>
      <c r="AE16" s="42"/>
      <c r="AF16" s="39">
        <f t="shared" si="34"/>
        <v>0</v>
      </c>
      <c r="AG16" s="42"/>
      <c r="AH16" s="39">
        <f t="shared" si="35"/>
        <v>0</v>
      </c>
      <c r="AI16" s="42"/>
      <c r="AJ16" s="39">
        <f t="shared" si="36"/>
        <v>0</v>
      </c>
      <c r="AK16" s="42"/>
      <c r="AL16" s="39">
        <f t="shared" si="37"/>
        <v>0</v>
      </c>
      <c r="AM16" s="42"/>
      <c r="AN16" s="46">
        <f t="shared" si="38"/>
        <v>0</v>
      </c>
      <c r="AO16" s="42"/>
      <c r="AP16" s="39">
        <f t="shared" si="39"/>
        <v>0</v>
      </c>
      <c r="AQ16" s="43"/>
      <c r="AR16" s="129">
        <f t="shared" si="0"/>
        <v>44277</v>
      </c>
      <c r="AS16" s="44"/>
      <c r="AT16" s="39">
        <f t="shared" ref="AT16" si="51">SUM(AS16-AS15)</f>
        <v>0</v>
      </c>
      <c r="AU16" s="43"/>
      <c r="AV16" s="44"/>
      <c r="AW16" s="39">
        <f t="shared" ref="AW16" si="52">SUM(AV16-AV15)</f>
        <v>0</v>
      </c>
      <c r="AX16" s="42"/>
      <c r="AY16" s="47">
        <f t="shared" ref="AY16" si="53">SUM(AX16-AX15)/100</f>
        <v>0</v>
      </c>
      <c r="AZ16" s="39">
        <f t="shared" ref="AZ16" si="54">SUM(AW16-AY16)</f>
        <v>0</v>
      </c>
      <c r="BA16" s="44"/>
      <c r="BB16" s="39">
        <f t="shared" si="43"/>
        <v>0</v>
      </c>
      <c r="BC16" s="44"/>
      <c r="BD16" s="39">
        <f t="shared" si="44"/>
        <v>0</v>
      </c>
      <c r="BE16" s="44"/>
      <c r="BF16" s="39">
        <f t="shared" si="45"/>
        <v>0</v>
      </c>
      <c r="BI16" s="49">
        <f t="shared" si="1"/>
        <v>0</v>
      </c>
      <c r="BL16" s="131"/>
      <c r="BM16" s="131"/>
      <c r="BN16" s="49">
        <f t="shared" si="2"/>
        <v>0</v>
      </c>
      <c r="BR16" s="49">
        <f t="shared" si="3"/>
        <v>0</v>
      </c>
      <c r="BU16" s="106"/>
      <c r="BV16" s="49">
        <f t="shared" si="4"/>
        <v>0</v>
      </c>
      <c r="BW16" s="107"/>
      <c r="BX16" s="108"/>
      <c r="BY16" s="106"/>
      <c r="BZ16" s="108"/>
      <c r="CA16" s="106"/>
      <c r="CB16" s="43"/>
      <c r="CC16" s="49">
        <f t="shared" si="5"/>
        <v>0</v>
      </c>
      <c r="CF16" s="131"/>
      <c r="CG16" s="131"/>
      <c r="CH16" s="131"/>
      <c r="CI16" s="49">
        <f t="shared" si="6"/>
        <v>0</v>
      </c>
      <c r="CL16" s="131"/>
      <c r="CM16" s="132"/>
      <c r="CN16" s="49">
        <f t="shared" si="7"/>
        <v>0</v>
      </c>
      <c r="CP16" s="133"/>
      <c r="CQ16" s="110"/>
      <c r="CR16" s="49">
        <f t="shared" si="8"/>
        <v>0</v>
      </c>
      <c r="CU16" s="131"/>
      <c r="CV16" s="132"/>
      <c r="CW16" s="49">
        <f t="shared" si="9"/>
        <v>0</v>
      </c>
      <c r="CZ16" s="131"/>
      <c r="DD16" s="134"/>
      <c r="DE16" s="134"/>
      <c r="DF16" s="134"/>
      <c r="DG16" s="134"/>
      <c r="DH16" s="135"/>
      <c r="DI16" s="136"/>
      <c r="DJ16" s="136"/>
    </row>
    <row r="17" spans="2:114" s="130" customFormat="1" x14ac:dyDescent="0.25">
      <c r="B17" s="82">
        <v>44284</v>
      </c>
      <c r="C17" s="296"/>
      <c r="D17" s="296"/>
      <c r="E17" s="39">
        <f t="shared" si="46"/>
        <v>0</v>
      </c>
      <c r="F17" s="296"/>
      <c r="G17" s="296"/>
      <c r="H17" s="39">
        <f t="shared" si="47"/>
        <v>0</v>
      </c>
      <c r="I17" s="296"/>
      <c r="J17" s="296"/>
      <c r="K17" s="39">
        <f t="shared" si="27"/>
        <v>0</v>
      </c>
      <c r="L17" s="296"/>
      <c r="M17" s="296"/>
      <c r="N17" s="39">
        <f t="shared" si="13"/>
        <v>0</v>
      </c>
      <c r="O17" s="296"/>
      <c r="P17" s="296"/>
      <c r="Q17" s="39">
        <f t="shared" si="14"/>
        <v>0</v>
      </c>
      <c r="R17" s="40"/>
      <c r="S17" s="296"/>
      <c r="T17" s="296"/>
      <c r="U17" s="39">
        <f t="shared" si="15"/>
        <v>0</v>
      </c>
      <c r="V17" s="297"/>
      <c r="W17" s="297"/>
      <c r="X17" s="39">
        <f t="shared" si="16"/>
        <v>0</v>
      </c>
      <c r="Y17" s="45">
        <f t="shared" si="17"/>
        <v>0</v>
      </c>
      <c r="Z17" s="41"/>
      <c r="AA17" s="42"/>
      <c r="AB17" s="39">
        <f t="shared" si="32"/>
        <v>0</v>
      </c>
      <c r="AC17" s="42"/>
      <c r="AD17" s="39">
        <f t="shared" si="33"/>
        <v>0</v>
      </c>
      <c r="AE17" s="42"/>
      <c r="AF17" s="39">
        <f t="shared" si="34"/>
        <v>0</v>
      </c>
      <c r="AG17" s="42"/>
      <c r="AH17" s="39">
        <f t="shared" si="35"/>
        <v>0</v>
      </c>
      <c r="AI17" s="42"/>
      <c r="AJ17" s="39">
        <f t="shared" si="36"/>
        <v>0</v>
      </c>
      <c r="AK17" s="42"/>
      <c r="AL17" s="39">
        <f t="shared" si="37"/>
        <v>0</v>
      </c>
      <c r="AM17" s="42"/>
      <c r="AN17" s="46">
        <f t="shared" si="38"/>
        <v>0</v>
      </c>
      <c r="AO17" s="42"/>
      <c r="AP17" s="39">
        <f t="shared" si="39"/>
        <v>0</v>
      </c>
      <c r="AQ17" s="43"/>
      <c r="AR17" s="129">
        <f t="shared" si="0"/>
        <v>44284</v>
      </c>
      <c r="AS17" s="44"/>
      <c r="AT17" s="39">
        <f t="shared" ref="AT17:AT51" si="55">SUM(AS17-AS16)</f>
        <v>0</v>
      </c>
      <c r="AU17" s="43"/>
      <c r="AV17" s="44"/>
      <c r="AW17" s="39">
        <f t="shared" ref="AW17:AW51" si="56">SUM(AV17-AV16)</f>
        <v>0</v>
      </c>
      <c r="AX17" s="42"/>
      <c r="AY17" s="47">
        <f t="shared" ref="AY17:AY51" si="57">SUM(AX17-AX16)/100</f>
        <v>0</v>
      </c>
      <c r="AZ17" s="39">
        <f t="shared" ref="AZ17:AZ51" si="58">SUM(AW17-AY17)</f>
        <v>0</v>
      </c>
      <c r="BA17" s="44"/>
      <c r="BB17" s="39">
        <f t="shared" si="43"/>
        <v>0</v>
      </c>
      <c r="BC17" s="44"/>
      <c r="BD17" s="39">
        <f t="shared" si="44"/>
        <v>0</v>
      </c>
      <c r="BE17" s="44"/>
      <c r="BF17" s="39">
        <f t="shared" si="45"/>
        <v>0</v>
      </c>
      <c r="BI17" s="49">
        <f t="shared" si="1"/>
        <v>0</v>
      </c>
      <c r="BJ17" s="22">
        <v>379079</v>
      </c>
      <c r="BK17" s="21">
        <f>SUM(BJ17-BJ13)</f>
        <v>3961</v>
      </c>
      <c r="BL17" s="84">
        <f>SUM(BK17*1.0228)+1887.37</f>
        <v>5938.6808000000001</v>
      </c>
      <c r="BM17" s="102">
        <v>16656.12</v>
      </c>
      <c r="BN17" s="49">
        <f t="shared" si="2"/>
        <v>0</v>
      </c>
      <c r="BO17" s="22">
        <v>42940</v>
      </c>
      <c r="BP17" s="21">
        <f>SUM(BO17-BO13)</f>
        <v>495</v>
      </c>
      <c r="BQ17" s="84">
        <f>SUM(BP17*0.8062)+1557.24</f>
        <v>1956.309</v>
      </c>
      <c r="BR17" s="49">
        <f t="shared" si="3"/>
        <v>0</v>
      </c>
      <c r="BS17" s="22">
        <v>638006</v>
      </c>
      <c r="BT17" s="22">
        <v>38288.269999999997</v>
      </c>
      <c r="BU17" s="115">
        <v>28444.240000000002</v>
      </c>
      <c r="BV17" s="49">
        <f t="shared" si="4"/>
        <v>0</v>
      </c>
      <c r="BW17" s="116">
        <v>23449</v>
      </c>
      <c r="BX17" s="50">
        <v>1864.99</v>
      </c>
      <c r="BY17" s="115">
        <v>1390.81</v>
      </c>
      <c r="BZ17" s="127">
        <f t="shared" ref="BZ17" si="59">SUM(BT17+BX17)</f>
        <v>40153.259999999995</v>
      </c>
      <c r="CA17" s="115">
        <v>6873.73</v>
      </c>
      <c r="CB17" s="43"/>
      <c r="CC17" s="137">
        <f t="shared" si="5"/>
        <v>0</v>
      </c>
      <c r="CD17" s="138">
        <v>6844</v>
      </c>
      <c r="CE17" s="98">
        <f>SUM(CD17-CD13)</f>
        <v>17</v>
      </c>
      <c r="CF17" s="84">
        <f>SUM(CE17*1.0228)+117.88</f>
        <v>135.26759999999999</v>
      </c>
      <c r="CG17" s="102">
        <v>97.24</v>
      </c>
      <c r="CH17" s="102">
        <v>1002.53</v>
      </c>
      <c r="CI17" s="49">
        <f t="shared" si="6"/>
        <v>0</v>
      </c>
      <c r="CJ17" s="22">
        <v>16332</v>
      </c>
      <c r="CK17" s="21">
        <f>SUM(CJ17-CJ13)</f>
        <v>293</v>
      </c>
      <c r="CL17" s="84">
        <f>SUM(CK17*1.0228+188.7)</f>
        <v>488.38039999999995</v>
      </c>
      <c r="CM17" s="119">
        <v>308.88</v>
      </c>
      <c r="CN17" s="49">
        <f t="shared" si="7"/>
        <v>0</v>
      </c>
      <c r="CO17" s="22">
        <v>6153</v>
      </c>
      <c r="CP17" s="27">
        <v>969.09</v>
      </c>
      <c r="CQ17" s="118">
        <v>722.7</v>
      </c>
      <c r="CR17" s="49">
        <f t="shared" si="8"/>
        <v>0</v>
      </c>
      <c r="CS17" s="22">
        <v>3721</v>
      </c>
      <c r="CT17" s="21">
        <f>SUM(CS17-CS13)</f>
        <v>7</v>
      </c>
      <c r="CU17" s="84">
        <f>SUM(CT17*1.0228)+188.7</f>
        <v>195.8596</v>
      </c>
      <c r="CV17" s="132"/>
      <c r="CW17" s="49">
        <f t="shared" si="9"/>
        <v>0</v>
      </c>
      <c r="CX17" s="22">
        <v>373229</v>
      </c>
      <c r="CY17" s="21">
        <f>SUM(CX17-CX13)</f>
        <v>10131</v>
      </c>
      <c r="CZ17" s="84">
        <f>SUM(CY17*0.8062)+973.2</f>
        <v>9140.8122000000003</v>
      </c>
      <c r="DC17" s="22">
        <f>SUM(E15:E18)</f>
        <v>0</v>
      </c>
      <c r="DD17" s="102" t="e">
        <f>SUM(BL17+CF17+CL17+#REF!+CU17)</f>
        <v>#REF!</v>
      </c>
      <c r="DE17" s="102">
        <f>SUM(BQ17+CZ17)</f>
        <v>11097.1212</v>
      </c>
      <c r="DF17" s="102">
        <f>SUM(BM17+CG17+CV17)</f>
        <v>16753.36</v>
      </c>
      <c r="DG17" s="102" t="e">
        <f>SUM(DD17:DF17)</f>
        <v>#REF!</v>
      </c>
      <c r="DH17"/>
      <c r="DI17" s="121">
        <f>SUM(BU17+CQ17+BY17)</f>
        <v>30557.750000000004</v>
      </c>
      <c r="DJ17" s="121">
        <f>SUM(CA17+CH17)</f>
        <v>7876.2599999999993</v>
      </c>
    </row>
    <row r="18" spans="2:114" s="130" customFormat="1" x14ac:dyDescent="0.25">
      <c r="B18" s="82">
        <v>44287</v>
      </c>
      <c r="C18" s="296"/>
      <c r="D18" s="296"/>
      <c r="E18" s="39">
        <f t="shared" ref="E18" si="60">SUM(C18-C17)*10</f>
        <v>0</v>
      </c>
      <c r="F18" s="296"/>
      <c r="G18" s="296"/>
      <c r="H18" s="39">
        <f t="shared" ref="H18" si="61">SUM(F18-F17)*10</f>
        <v>0</v>
      </c>
      <c r="I18" s="296"/>
      <c r="J18" s="296"/>
      <c r="K18" s="39">
        <f t="shared" si="27"/>
        <v>0</v>
      </c>
      <c r="L18" s="296"/>
      <c r="M18" s="296"/>
      <c r="N18" s="39">
        <f t="shared" si="13"/>
        <v>0</v>
      </c>
      <c r="O18" s="296"/>
      <c r="P18" s="296"/>
      <c r="Q18" s="39">
        <f t="shared" si="14"/>
        <v>0</v>
      </c>
      <c r="R18" s="40"/>
      <c r="S18" s="296"/>
      <c r="T18" s="296"/>
      <c r="U18" s="39">
        <f t="shared" si="15"/>
        <v>0</v>
      </c>
      <c r="V18" s="297"/>
      <c r="W18" s="297"/>
      <c r="X18" s="39">
        <f t="shared" si="16"/>
        <v>0</v>
      </c>
      <c r="Y18" s="45">
        <f t="shared" si="17"/>
        <v>0</v>
      </c>
      <c r="Z18" s="41"/>
      <c r="AA18" s="42"/>
      <c r="AB18" s="39">
        <f t="shared" si="32"/>
        <v>0</v>
      </c>
      <c r="AC18" s="42"/>
      <c r="AD18" s="39">
        <f t="shared" si="33"/>
        <v>0</v>
      </c>
      <c r="AE18" s="42"/>
      <c r="AF18" s="39">
        <f t="shared" si="34"/>
        <v>0</v>
      </c>
      <c r="AG18" s="42"/>
      <c r="AH18" s="39">
        <f t="shared" si="35"/>
        <v>0</v>
      </c>
      <c r="AI18" s="42"/>
      <c r="AJ18" s="39">
        <f t="shared" si="36"/>
        <v>0</v>
      </c>
      <c r="AK18" s="42"/>
      <c r="AL18" s="39">
        <f t="shared" si="37"/>
        <v>0</v>
      </c>
      <c r="AM18" s="42"/>
      <c r="AN18" s="46">
        <f t="shared" si="38"/>
        <v>0</v>
      </c>
      <c r="AO18" s="42"/>
      <c r="AP18" s="39">
        <f t="shared" si="39"/>
        <v>0</v>
      </c>
      <c r="AQ18" s="43"/>
      <c r="AR18" s="129">
        <f t="shared" si="0"/>
        <v>44287</v>
      </c>
      <c r="AS18" s="44"/>
      <c r="AT18" s="39">
        <f t="shared" si="55"/>
        <v>0</v>
      </c>
      <c r="AU18" s="43"/>
      <c r="AV18" s="44"/>
      <c r="AW18" s="39">
        <f t="shared" si="56"/>
        <v>0</v>
      </c>
      <c r="AX18" s="42"/>
      <c r="AY18" s="47">
        <f t="shared" si="57"/>
        <v>0</v>
      </c>
      <c r="AZ18" s="39">
        <f t="shared" si="58"/>
        <v>0</v>
      </c>
      <c r="BA18" s="44"/>
      <c r="BB18" s="39">
        <f t="shared" si="43"/>
        <v>0</v>
      </c>
      <c r="BC18" s="44"/>
      <c r="BD18" s="39">
        <f t="shared" si="44"/>
        <v>0</v>
      </c>
      <c r="BE18" s="44"/>
      <c r="BF18" s="39">
        <f t="shared" si="45"/>
        <v>0</v>
      </c>
      <c r="BI18" s="49">
        <f t="shared" si="1"/>
        <v>0</v>
      </c>
      <c r="BL18" s="131"/>
      <c r="BM18" s="131"/>
      <c r="BN18" s="49">
        <f t="shared" si="2"/>
        <v>0</v>
      </c>
      <c r="BR18" s="49">
        <f t="shared" si="3"/>
        <v>0</v>
      </c>
      <c r="BU18" s="106"/>
      <c r="BV18" s="49">
        <f t="shared" si="4"/>
        <v>0</v>
      </c>
      <c r="BW18" s="107"/>
      <c r="BX18" s="108"/>
      <c r="BY18" s="106"/>
      <c r="BZ18" s="108"/>
      <c r="CA18" s="106"/>
      <c r="CB18" s="43"/>
      <c r="CC18" s="49">
        <f t="shared" si="5"/>
        <v>0</v>
      </c>
      <c r="CF18" s="131"/>
      <c r="CG18" s="131"/>
      <c r="CH18" s="131"/>
      <c r="CI18" s="49">
        <f t="shared" si="6"/>
        <v>0</v>
      </c>
      <c r="CL18" s="131"/>
      <c r="CM18" s="132"/>
      <c r="CN18" s="49">
        <f t="shared" si="7"/>
        <v>0</v>
      </c>
      <c r="CP18" s="133"/>
      <c r="CQ18" s="110"/>
      <c r="CR18" s="49">
        <f t="shared" si="8"/>
        <v>0</v>
      </c>
      <c r="CU18" s="131"/>
      <c r="CV18" s="132"/>
      <c r="CW18" s="49">
        <f t="shared" si="9"/>
        <v>0</v>
      </c>
      <c r="CZ18" s="131"/>
      <c r="DD18" s="134"/>
      <c r="DE18" s="134"/>
      <c r="DF18" s="134"/>
      <c r="DG18" s="134"/>
      <c r="DH18" s="135"/>
      <c r="DI18" s="136"/>
      <c r="DJ18" s="136"/>
    </row>
    <row r="19" spans="2:114" s="130" customFormat="1" x14ac:dyDescent="0.25">
      <c r="B19" s="82">
        <v>44291</v>
      </c>
      <c r="C19" s="296"/>
      <c r="D19" s="296"/>
      <c r="E19" s="39">
        <f t="shared" ref="E19:E22" si="62">SUM(C19-C18)*10</f>
        <v>0</v>
      </c>
      <c r="F19" s="296"/>
      <c r="G19" s="296"/>
      <c r="H19" s="39">
        <f t="shared" ref="H19:H22" si="63">SUM(F19-F18)*10</f>
        <v>0</v>
      </c>
      <c r="I19" s="296"/>
      <c r="J19" s="296"/>
      <c r="K19" s="39">
        <f t="shared" si="27"/>
        <v>0</v>
      </c>
      <c r="L19" s="296"/>
      <c r="M19" s="296"/>
      <c r="N19" s="39">
        <f t="shared" si="13"/>
        <v>0</v>
      </c>
      <c r="O19" s="296"/>
      <c r="P19" s="296"/>
      <c r="Q19" s="39">
        <f t="shared" si="14"/>
        <v>0</v>
      </c>
      <c r="R19" s="40"/>
      <c r="S19" s="296"/>
      <c r="T19" s="296"/>
      <c r="U19" s="39">
        <f t="shared" si="15"/>
        <v>0</v>
      </c>
      <c r="V19" s="297"/>
      <c r="W19" s="297"/>
      <c r="X19" s="39">
        <f t="shared" si="16"/>
        <v>0</v>
      </c>
      <c r="Y19" s="45">
        <f t="shared" si="17"/>
        <v>0</v>
      </c>
      <c r="Z19" s="41"/>
      <c r="AA19" s="42"/>
      <c r="AB19" s="39">
        <f t="shared" si="32"/>
        <v>0</v>
      </c>
      <c r="AC19" s="42"/>
      <c r="AD19" s="39">
        <f t="shared" si="33"/>
        <v>0</v>
      </c>
      <c r="AE19" s="42"/>
      <c r="AF19" s="39">
        <f t="shared" si="34"/>
        <v>0</v>
      </c>
      <c r="AG19" s="42"/>
      <c r="AH19" s="39">
        <f t="shared" si="35"/>
        <v>0</v>
      </c>
      <c r="AI19" s="42"/>
      <c r="AJ19" s="39">
        <f t="shared" si="36"/>
        <v>0</v>
      </c>
      <c r="AK19" s="42"/>
      <c r="AL19" s="39">
        <f t="shared" si="37"/>
        <v>0</v>
      </c>
      <c r="AM19" s="42"/>
      <c r="AN19" s="46">
        <f t="shared" si="38"/>
        <v>0</v>
      </c>
      <c r="AO19" s="42"/>
      <c r="AP19" s="39">
        <f t="shared" si="39"/>
        <v>0</v>
      </c>
      <c r="AQ19" s="43"/>
      <c r="AR19" s="129">
        <f t="shared" si="0"/>
        <v>44291</v>
      </c>
      <c r="AS19" s="44"/>
      <c r="AT19" s="39">
        <f t="shared" si="55"/>
        <v>0</v>
      </c>
      <c r="AU19" s="43"/>
      <c r="AV19" s="44"/>
      <c r="AW19" s="39">
        <f t="shared" si="56"/>
        <v>0</v>
      </c>
      <c r="AX19" s="42"/>
      <c r="AY19" s="47">
        <f t="shared" si="57"/>
        <v>0</v>
      </c>
      <c r="AZ19" s="39">
        <f t="shared" si="58"/>
        <v>0</v>
      </c>
      <c r="BA19" s="44"/>
      <c r="BB19" s="39">
        <f t="shared" si="43"/>
        <v>0</v>
      </c>
      <c r="BC19" s="44"/>
      <c r="BD19" s="39">
        <f t="shared" si="44"/>
        <v>0</v>
      </c>
      <c r="BE19" s="44"/>
      <c r="BF19" s="39">
        <f t="shared" si="45"/>
        <v>0</v>
      </c>
      <c r="BI19" s="49">
        <f t="shared" si="1"/>
        <v>0</v>
      </c>
      <c r="BL19" s="131"/>
      <c r="BM19" s="131"/>
      <c r="BN19" s="49">
        <f t="shared" si="2"/>
        <v>0</v>
      </c>
      <c r="BR19" s="49">
        <f t="shared" si="3"/>
        <v>0</v>
      </c>
      <c r="BU19" s="106"/>
      <c r="BV19" s="49">
        <f t="shared" si="4"/>
        <v>0</v>
      </c>
      <c r="BW19" s="107"/>
      <c r="BX19" s="108"/>
      <c r="BY19" s="106"/>
      <c r="BZ19" s="108"/>
      <c r="CA19" s="106"/>
      <c r="CB19" s="43"/>
      <c r="CC19" s="49">
        <f t="shared" si="5"/>
        <v>0</v>
      </c>
      <c r="CF19" s="131"/>
      <c r="CG19" s="131"/>
      <c r="CH19" s="131"/>
      <c r="CI19" s="49">
        <f t="shared" si="6"/>
        <v>0</v>
      </c>
      <c r="CL19" s="131"/>
      <c r="CM19" s="132"/>
      <c r="CN19" s="49">
        <f t="shared" si="7"/>
        <v>0</v>
      </c>
      <c r="CP19" s="133"/>
      <c r="CQ19" s="110"/>
      <c r="CR19" s="49">
        <f t="shared" si="8"/>
        <v>0</v>
      </c>
      <c r="CU19" s="131"/>
      <c r="CV19" s="132"/>
      <c r="CW19" s="49">
        <f t="shared" si="9"/>
        <v>0</v>
      </c>
      <c r="CZ19" s="131"/>
      <c r="DD19" s="134"/>
      <c r="DE19" s="134"/>
      <c r="DF19" s="134"/>
      <c r="DG19" s="134"/>
      <c r="DH19" s="135"/>
      <c r="DI19" s="136"/>
      <c r="DJ19" s="136"/>
    </row>
    <row r="20" spans="2:114" s="130" customFormat="1" x14ac:dyDescent="0.25">
      <c r="B20" s="82">
        <v>44298</v>
      </c>
      <c r="C20" s="296"/>
      <c r="D20" s="296"/>
      <c r="E20" s="39">
        <f t="shared" si="62"/>
        <v>0</v>
      </c>
      <c r="F20" s="296"/>
      <c r="G20" s="296"/>
      <c r="H20" s="39">
        <f t="shared" si="63"/>
        <v>0</v>
      </c>
      <c r="I20" s="296"/>
      <c r="J20" s="296"/>
      <c r="K20" s="39">
        <f t="shared" si="27"/>
        <v>0</v>
      </c>
      <c r="L20" s="296"/>
      <c r="M20" s="296"/>
      <c r="N20" s="39">
        <f t="shared" si="13"/>
        <v>0</v>
      </c>
      <c r="O20" s="296"/>
      <c r="P20" s="296"/>
      <c r="Q20" s="39">
        <f t="shared" si="14"/>
        <v>0</v>
      </c>
      <c r="R20" s="40"/>
      <c r="S20" s="296"/>
      <c r="T20" s="296"/>
      <c r="U20" s="39">
        <f t="shared" si="15"/>
        <v>0</v>
      </c>
      <c r="V20" s="297"/>
      <c r="W20" s="297"/>
      <c r="X20" s="39">
        <f t="shared" si="16"/>
        <v>0</v>
      </c>
      <c r="Y20" s="45">
        <f t="shared" si="17"/>
        <v>0</v>
      </c>
      <c r="Z20" s="41"/>
      <c r="AA20" s="42"/>
      <c r="AB20" s="39">
        <f t="shared" si="32"/>
        <v>0</v>
      </c>
      <c r="AC20" s="42"/>
      <c r="AD20" s="39">
        <f t="shared" si="33"/>
        <v>0</v>
      </c>
      <c r="AE20" s="42"/>
      <c r="AF20" s="39">
        <f t="shared" si="34"/>
        <v>0</v>
      </c>
      <c r="AG20" s="42"/>
      <c r="AH20" s="39">
        <f t="shared" si="35"/>
        <v>0</v>
      </c>
      <c r="AI20" s="42"/>
      <c r="AJ20" s="39">
        <f t="shared" si="36"/>
        <v>0</v>
      </c>
      <c r="AK20" s="42"/>
      <c r="AL20" s="39">
        <f t="shared" si="37"/>
        <v>0</v>
      </c>
      <c r="AM20" s="42"/>
      <c r="AN20" s="46">
        <f t="shared" si="38"/>
        <v>0</v>
      </c>
      <c r="AO20" s="42"/>
      <c r="AP20" s="39">
        <f t="shared" si="39"/>
        <v>0</v>
      </c>
      <c r="AQ20" s="43"/>
      <c r="AR20" s="129">
        <f t="shared" si="0"/>
        <v>44298</v>
      </c>
      <c r="AS20" s="44"/>
      <c r="AT20" s="39">
        <f t="shared" si="55"/>
        <v>0</v>
      </c>
      <c r="AU20" s="43"/>
      <c r="AV20" s="44"/>
      <c r="AW20" s="39">
        <f t="shared" si="56"/>
        <v>0</v>
      </c>
      <c r="AX20" s="42"/>
      <c r="AY20" s="47">
        <f t="shared" si="57"/>
        <v>0</v>
      </c>
      <c r="AZ20" s="39">
        <f t="shared" si="58"/>
        <v>0</v>
      </c>
      <c r="BA20" s="44"/>
      <c r="BB20" s="39">
        <f t="shared" si="43"/>
        <v>0</v>
      </c>
      <c r="BC20" s="44"/>
      <c r="BD20" s="39">
        <f t="shared" si="44"/>
        <v>0</v>
      </c>
      <c r="BE20" s="44"/>
      <c r="BF20" s="39">
        <f t="shared" si="45"/>
        <v>0</v>
      </c>
      <c r="BI20" s="49">
        <f t="shared" si="1"/>
        <v>0</v>
      </c>
      <c r="BL20" s="131"/>
      <c r="BM20" s="131"/>
      <c r="BN20" s="49">
        <f t="shared" si="2"/>
        <v>0</v>
      </c>
      <c r="BR20" s="49">
        <f t="shared" si="3"/>
        <v>0</v>
      </c>
      <c r="BU20" s="106"/>
      <c r="BV20" s="49">
        <f t="shared" si="4"/>
        <v>0</v>
      </c>
      <c r="BW20" s="107"/>
      <c r="BX20" s="108"/>
      <c r="BY20" s="106"/>
      <c r="BZ20" s="108"/>
      <c r="CA20" s="106"/>
      <c r="CB20" s="43"/>
      <c r="CC20" s="49">
        <f t="shared" si="5"/>
        <v>0</v>
      </c>
      <c r="CF20" s="131"/>
      <c r="CG20" s="131"/>
      <c r="CH20" s="131"/>
      <c r="CI20" s="49">
        <f t="shared" si="6"/>
        <v>0</v>
      </c>
      <c r="CL20" s="131"/>
      <c r="CM20" s="132"/>
      <c r="CN20" s="49">
        <f t="shared" si="7"/>
        <v>0</v>
      </c>
      <c r="CP20" s="133"/>
      <c r="CQ20" s="110"/>
      <c r="CR20" s="49">
        <f t="shared" si="8"/>
        <v>0</v>
      </c>
      <c r="CU20" s="131"/>
      <c r="CV20" s="132"/>
      <c r="CW20" s="49">
        <f t="shared" si="9"/>
        <v>0</v>
      </c>
      <c r="CZ20" s="131"/>
      <c r="DD20" s="134"/>
      <c r="DE20" s="134"/>
      <c r="DF20" s="134"/>
      <c r="DG20" s="134"/>
      <c r="DH20" s="135"/>
      <c r="DI20" s="136"/>
      <c r="DJ20" s="136"/>
    </row>
    <row r="21" spans="2:114" s="130" customFormat="1" x14ac:dyDescent="0.25">
      <c r="B21" s="82">
        <v>44305</v>
      </c>
      <c r="C21" s="296"/>
      <c r="D21" s="296"/>
      <c r="E21" s="39">
        <f t="shared" si="62"/>
        <v>0</v>
      </c>
      <c r="F21" s="296"/>
      <c r="G21" s="296"/>
      <c r="H21" s="39">
        <f t="shared" si="63"/>
        <v>0</v>
      </c>
      <c r="I21" s="296"/>
      <c r="J21" s="296"/>
      <c r="K21" s="39">
        <f t="shared" si="27"/>
        <v>0</v>
      </c>
      <c r="L21" s="296"/>
      <c r="M21" s="296"/>
      <c r="N21" s="39">
        <f t="shared" si="13"/>
        <v>0</v>
      </c>
      <c r="O21" s="296"/>
      <c r="P21" s="296"/>
      <c r="Q21" s="39">
        <f t="shared" si="14"/>
        <v>0</v>
      </c>
      <c r="R21" s="40"/>
      <c r="S21" s="296"/>
      <c r="T21" s="296"/>
      <c r="U21" s="39">
        <f t="shared" si="15"/>
        <v>0</v>
      </c>
      <c r="V21" s="297"/>
      <c r="W21" s="297"/>
      <c r="X21" s="39">
        <f t="shared" si="16"/>
        <v>0</v>
      </c>
      <c r="Y21" s="45">
        <f t="shared" si="17"/>
        <v>0</v>
      </c>
      <c r="Z21" s="41"/>
      <c r="AA21" s="42"/>
      <c r="AB21" s="39">
        <f t="shared" si="32"/>
        <v>0</v>
      </c>
      <c r="AC21" s="42"/>
      <c r="AD21" s="39">
        <f t="shared" si="33"/>
        <v>0</v>
      </c>
      <c r="AE21" s="42"/>
      <c r="AF21" s="39">
        <f t="shared" si="34"/>
        <v>0</v>
      </c>
      <c r="AG21" s="42"/>
      <c r="AH21" s="39">
        <f t="shared" si="35"/>
        <v>0</v>
      </c>
      <c r="AI21" s="42"/>
      <c r="AJ21" s="39">
        <f t="shared" si="36"/>
        <v>0</v>
      </c>
      <c r="AK21" s="42"/>
      <c r="AL21" s="39">
        <f t="shared" si="37"/>
        <v>0</v>
      </c>
      <c r="AM21" s="42"/>
      <c r="AN21" s="46">
        <f t="shared" si="38"/>
        <v>0</v>
      </c>
      <c r="AO21" s="42"/>
      <c r="AP21" s="39">
        <f t="shared" si="39"/>
        <v>0</v>
      </c>
      <c r="AQ21" s="43"/>
      <c r="AR21" s="129">
        <f t="shared" si="0"/>
        <v>44305</v>
      </c>
      <c r="AS21" s="44"/>
      <c r="AT21" s="39">
        <f t="shared" si="55"/>
        <v>0</v>
      </c>
      <c r="AU21" s="43"/>
      <c r="AV21" s="44"/>
      <c r="AW21" s="39">
        <f t="shared" si="56"/>
        <v>0</v>
      </c>
      <c r="AX21" s="42"/>
      <c r="AY21" s="47">
        <f t="shared" si="57"/>
        <v>0</v>
      </c>
      <c r="AZ21" s="39">
        <f t="shared" si="58"/>
        <v>0</v>
      </c>
      <c r="BA21" s="44"/>
      <c r="BB21" s="39">
        <f t="shared" si="43"/>
        <v>0</v>
      </c>
      <c r="BC21" s="44"/>
      <c r="BD21" s="39">
        <f t="shared" si="44"/>
        <v>0</v>
      </c>
      <c r="BE21" s="44"/>
      <c r="BF21" s="39">
        <f t="shared" si="45"/>
        <v>0</v>
      </c>
      <c r="BI21" s="49">
        <f t="shared" si="1"/>
        <v>0</v>
      </c>
      <c r="BL21" s="131"/>
      <c r="BM21" s="131"/>
      <c r="BN21" s="49">
        <f t="shared" si="2"/>
        <v>0</v>
      </c>
      <c r="BR21" s="49">
        <f t="shared" si="3"/>
        <v>0</v>
      </c>
      <c r="BU21" s="106"/>
      <c r="BV21" s="49">
        <f t="shared" si="4"/>
        <v>0</v>
      </c>
      <c r="BW21" s="107"/>
      <c r="BX21" s="108"/>
      <c r="BY21" s="106"/>
      <c r="BZ21" s="108"/>
      <c r="CA21" s="106"/>
      <c r="CB21" s="43"/>
      <c r="CC21" s="49">
        <f t="shared" si="5"/>
        <v>0</v>
      </c>
      <c r="CF21" s="131"/>
      <c r="CG21" s="131"/>
      <c r="CH21" s="131"/>
      <c r="CI21" s="49">
        <f t="shared" si="6"/>
        <v>0</v>
      </c>
      <c r="CL21" s="131"/>
      <c r="CM21" s="132"/>
      <c r="CN21" s="49">
        <f t="shared" si="7"/>
        <v>0</v>
      </c>
      <c r="CP21" s="133"/>
      <c r="CQ21" s="110"/>
      <c r="CR21" s="49">
        <f t="shared" si="8"/>
        <v>0</v>
      </c>
      <c r="CU21" s="131"/>
      <c r="CV21" s="132"/>
      <c r="CW21" s="49">
        <f t="shared" si="9"/>
        <v>0</v>
      </c>
      <c r="CZ21" s="131"/>
      <c r="DD21" s="134"/>
      <c r="DE21" s="134"/>
      <c r="DF21" s="134"/>
      <c r="DG21" s="134"/>
      <c r="DH21" s="135"/>
      <c r="DI21" s="136"/>
      <c r="DJ21" s="136"/>
    </row>
    <row r="22" spans="2:114" s="130" customFormat="1" x14ac:dyDescent="0.25">
      <c r="B22" s="82">
        <v>44312</v>
      </c>
      <c r="C22" s="296"/>
      <c r="D22" s="296"/>
      <c r="E22" s="39">
        <f t="shared" si="62"/>
        <v>0</v>
      </c>
      <c r="F22" s="296"/>
      <c r="G22" s="296"/>
      <c r="H22" s="39">
        <f t="shared" si="63"/>
        <v>0</v>
      </c>
      <c r="I22" s="296"/>
      <c r="J22" s="296"/>
      <c r="K22" s="39">
        <f t="shared" si="27"/>
        <v>0</v>
      </c>
      <c r="L22" s="296"/>
      <c r="M22" s="296"/>
      <c r="N22" s="39">
        <f t="shared" si="13"/>
        <v>0</v>
      </c>
      <c r="O22" s="296"/>
      <c r="P22" s="296"/>
      <c r="Q22" s="39">
        <f t="shared" si="14"/>
        <v>0</v>
      </c>
      <c r="R22" s="40"/>
      <c r="S22" s="296"/>
      <c r="T22" s="296"/>
      <c r="U22" s="39">
        <f t="shared" si="15"/>
        <v>0</v>
      </c>
      <c r="V22" s="297"/>
      <c r="W22" s="297"/>
      <c r="X22" s="39">
        <f t="shared" si="16"/>
        <v>0</v>
      </c>
      <c r="Y22" s="45">
        <f t="shared" si="17"/>
        <v>0</v>
      </c>
      <c r="Z22" s="41"/>
      <c r="AA22" s="42"/>
      <c r="AB22" s="39">
        <f t="shared" si="32"/>
        <v>0</v>
      </c>
      <c r="AC22" s="42"/>
      <c r="AD22" s="39">
        <f t="shared" si="33"/>
        <v>0</v>
      </c>
      <c r="AE22" s="42"/>
      <c r="AF22" s="39">
        <f t="shared" si="34"/>
        <v>0</v>
      </c>
      <c r="AG22" s="42"/>
      <c r="AH22" s="39">
        <f t="shared" si="35"/>
        <v>0</v>
      </c>
      <c r="AI22" s="42"/>
      <c r="AJ22" s="39">
        <f t="shared" si="36"/>
        <v>0</v>
      </c>
      <c r="AK22" s="42"/>
      <c r="AL22" s="39">
        <f t="shared" si="37"/>
        <v>0</v>
      </c>
      <c r="AM22" s="42"/>
      <c r="AN22" s="46">
        <f t="shared" si="38"/>
        <v>0</v>
      </c>
      <c r="AO22" s="42"/>
      <c r="AP22" s="39">
        <f t="shared" si="39"/>
        <v>0</v>
      </c>
      <c r="AQ22" s="43"/>
      <c r="AR22" s="129">
        <f t="shared" si="0"/>
        <v>44312</v>
      </c>
      <c r="AS22" s="44"/>
      <c r="AT22" s="39">
        <f t="shared" si="55"/>
        <v>0</v>
      </c>
      <c r="AU22" s="43"/>
      <c r="AV22" s="44"/>
      <c r="AW22" s="39">
        <f t="shared" si="56"/>
        <v>0</v>
      </c>
      <c r="AX22" s="42"/>
      <c r="AY22" s="47">
        <f t="shared" si="57"/>
        <v>0</v>
      </c>
      <c r="AZ22" s="39">
        <f t="shared" si="58"/>
        <v>0</v>
      </c>
      <c r="BA22" s="44"/>
      <c r="BB22" s="39">
        <f t="shared" si="43"/>
        <v>0</v>
      </c>
      <c r="BC22" s="44"/>
      <c r="BD22" s="39">
        <f t="shared" si="44"/>
        <v>0</v>
      </c>
      <c r="BE22" s="44"/>
      <c r="BF22" s="39">
        <f t="shared" si="45"/>
        <v>0</v>
      </c>
      <c r="BI22" s="49">
        <f t="shared" si="1"/>
        <v>0</v>
      </c>
      <c r="BL22" s="131"/>
      <c r="BM22" s="131"/>
      <c r="BN22" s="49">
        <f t="shared" si="2"/>
        <v>0</v>
      </c>
      <c r="BR22" s="49">
        <f t="shared" si="3"/>
        <v>0</v>
      </c>
      <c r="BU22" s="106"/>
      <c r="BV22" s="49">
        <f t="shared" si="4"/>
        <v>0</v>
      </c>
      <c r="BW22" s="107"/>
      <c r="BX22" s="108"/>
      <c r="BY22" s="106"/>
      <c r="BZ22" s="108"/>
      <c r="CA22" s="106"/>
      <c r="CB22" s="43"/>
      <c r="CC22" s="49">
        <f t="shared" si="5"/>
        <v>0</v>
      </c>
      <c r="CF22" s="131"/>
      <c r="CG22" s="131"/>
      <c r="CH22" s="131"/>
      <c r="CI22" s="49">
        <f t="shared" si="6"/>
        <v>0</v>
      </c>
      <c r="CL22" s="131"/>
      <c r="CM22" s="132"/>
      <c r="CN22" s="49">
        <f t="shared" si="7"/>
        <v>0</v>
      </c>
      <c r="CP22" s="133"/>
      <c r="CQ22" s="110"/>
      <c r="CR22" s="49">
        <f t="shared" si="8"/>
        <v>0</v>
      </c>
      <c r="CU22" s="131"/>
      <c r="CV22" s="132"/>
      <c r="CW22" s="49">
        <f t="shared" si="9"/>
        <v>0</v>
      </c>
      <c r="CZ22" s="131"/>
      <c r="DD22" s="134"/>
      <c r="DE22" s="134"/>
      <c r="DF22" s="134"/>
      <c r="DG22" s="134"/>
      <c r="DH22" s="135"/>
      <c r="DI22" s="136"/>
      <c r="DJ22" s="136"/>
    </row>
    <row r="23" spans="2:114" s="130" customFormat="1" x14ac:dyDescent="0.25">
      <c r="B23" s="82">
        <v>44317</v>
      </c>
      <c r="C23" s="296"/>
      <c r="D23" s="296"/>
      <c r="E23" s="39">
        <f t="shared" ref="E23:E24" si="64">SUM(C23-C22)*10</f>
        <v>0</v>
      </c>
      <c r="F23" s="296"/>
      <c r="G23" s="296"/>
      <c r="H23" s="39">
        <f t="shared" ref="H23:H24" si="65">SUM(F23-F22)*10</f>
        <v>0</v>
      </c>
      <c r="I23" s="296"/>
      <c r="J23" s="296"/>
      <c r="K23" s="39">
        <f t="shared" si="27"/>
        <v>0</v>
      </c>
      <c r="L23" s="296"/>
      <c r="M23" s="296"/>
      <c r="N23" s="39">
        <f t="shared" si="13"/>
        <v>0</v>
      </c>
      <c r="O23" s="296"/>
      <c r="P23" s="296"/>
      <c r="Q23" s="39">
        <f t="shared" si="14"/>
        <v>0</v>
      </c>
      <c r="R23" s="40"/>
      <c r="S23" s="296"/>
      <c r="T23" s="296"/>
      <c r="U23" s="39">
        <f t="shared" si="15"/>
        <v>0</v>
      </c>
      <c r="V23" s="297"/>
      <c r="W23" s="297"/>
      <c r="X23" s="39">
        <f t="shared" si="16"/>
        <v>0</v>
      </c>
      <c r="Y23" s="45">
        <f t="shared" si="17"/>
        <v>0</v>
      </c>
      <c r="Z23" s="41"/>
      <c r="AA23" s="42"/>
      <c r="AB23" s="39">
        <f t="shared" si="32"/>
        <v>0</v>
      </c>
      <c r="AC23" s="42"/>
      <c r="AD23" s="39">
        <f t="shared" si="33"/>
        <v>0</v>
      </c>
      <c r="AE23" s="42"/>
      <c r="AF23" s="39">
        <f t="shared" si="34"/>
        <v>0</v>
      </c>
      <c r="AG23" s="42"/>
      <c r="AH23" s="39">
        <f t="shared" si="35"/>
        <v>0</v>
      </c>
      <c r="AI23" s="42"/>
      <c r="AJ23" s="39">
        <f t="shared" si="36"/>
        <v>0</v>
      </c>
      <c r="AK23" s="42"/>
      <c r="AL23" s="39">
        <f t="shared" si="37"/>
        <v>0</v>
      </c>
      <c r="AM23" s="42"/>
      <c r="AN23" s="46">
        <f t="shared" si="38"/>
        <v>0</v>
      </c>
      <c r="AO23" s="42"/>
      <c r="AP23" s="39">
        <f t="shared" si="39"/>
        <v>0</v>
      </c>
      <c r="AQ23" s="43"/>
      <c r="AR23" s="129">
        <f t="shared" si="0"/>
        <v>44317</v>
      </c>
      <c r="AS23" s="44"/>
      <c r="AT23" s="39">
        <f t="shared" si="55"/>
        <v>0</v>
      </c>
      <c r="AU23" s="43"/>
      <c r="AV23" s="44"/>
      <c r="AW23" s="39">
        <f t="shared" si="56"/>
        <v>0</v>
      </c>
      <c r="AX23" s="42"/>
      <c r="AY23" s="47">
        <f t="shared" si="57"/>
        <v>0</v>
      </c>
      <c r="AZ23" s="39">
        <f t="shared" si="58"/>
        <v>0</v>
      </c>
      <c r="BA23" s="44"/>
      <c r="BB23" s="39">
        <f t="shared" si="43"/>
        <v>0</v>
      </c>
      <c r="BC23" s="44"/>
      <c r="BD23" s="39">
        <f t="shared" si="44"/>
        <v>0</v>
      </c>
      <c r="BE23" s="44"/>
      <c r="BF23" s="39">
        <f t="shared" si="45"/>
        <v>0</v>
      </c>
      <c r="BI23" s="49">
        <f t="shared" si="1"/>
        <v>0</v>
      </c>
      <c r="BJ23" s="22">
        <v>380930</v>
      </c>
      <c r="BK23" s="21">
        <f>SUM(BJ23-BJ17)</f>
        <v>1851</v>
      </c>
      <c r="BL23" s="84">
        <f>SUM(BK23*1.1251)+2076.11</f>
        <v>4158.6701000000003</v>
      </c>
      <c r="BM23" s="102">
        <v>5554.07</v>
      </c>
      <c r="BN23" s="49">
        <f t="shared" si="2"/>
        <v>0</v>
      </c>
      <c r="BO23" s="22">
        <v>43798</v>
      </c>
      <c r="BP23" s="21">
        <f>SUM(BO23-BO17)</f>
        <v>858</v>
      </c>
      <c r="BQ23" s="84">
        <f>SUM(BP23*0.8868)+1712.96</f>
        <v>2473.8344000000002</v>
      </c>
      <c r="BR23" s="49">
        <f t="shared" si="3"/>
        <v>0</v>
      </c>
      <c r="BS23" s="22">
        <v>639685</v>
      </c>
      <c r="BT23" s="22">
        <v>8376.0300000000007</v>
      </c>
      <c r="BU23" s="115">
        <v>6857.36</v>
      </c>
      <c r="BV23" s="49">
        <f t="shared" si="4"/>
        <v>0</v>
      </c>
      <c r="BW23" s="116">
        <v>23538</v>
      </c>
      <c r="BX23" s="50">
        <v>38.46</v>
      </c>
      <c r="BY23" s="115">
        <v>31.53</v>
      </c>
      <c r="BZ23" s="127">
        <f t="shared" ref="BZ23" si="66">SUM(BT23+BX23)</f>
        <v>8414.49</v>
      </c>
      <c r="CA23" s="115">
        <v>2754.81</v>
      </c>
      <c r="CB23" s="43"/>
      <c r="CC23" s="137">
        <f t="shared" si="5"/>
        <v>0</v>
      </c>
      <c r="CD23" s="138">
        <v>6852</v>
      </c>
      <c r="CE23" s="98">
        <f>SUM(CD23-CD17)</f>
        <v>8</v>
      </c>
      <c r="CF23" s="84">
        <f>SUM(CE23*1.1251)+129.67</f>
        <v>138.67079999999999</v>
      </c>
      <c r="CG23" s="102">
        <v>50.32</v>
      </c>
      <c r="CH23" s="102">
        <v>1002.53</v>
      </c>
      <c r="CI23" s="49">
        <f t="shared" si="6"/>
        <v>0</v>
      </c>
      <c r="CJ23" s="22">
        <v>16599</v>
      </c>
      <c r="CK23" s="21">
        <f>SUM(CJ23-CJ17)</f>
        <v>267</v>
      </c>
      <c r="CL23" s="84">
        <f>SUM(CK23*1.1251+207.57)</f>
        <v>507.9717</v>
      </c>
      <c r="CM23" s="119">
        <v>94.35</v>
      </c>
      <c r="CN23" s="49">
        <f t="shared" si="7"/>
        <v>0</v>
      </c>
      <c r="CO23" s="22">
        <v>6230</v>
      </c>
      <c r="CP23" s="27">
        <v>178.52</v>
      </c>
      <c r="CQ23" s="118">
        <v>146.30000000000001</v>
      </c>
      <c r="CR23" s="49">
        <f t="shared" si="8"/>
        <v>0</v>
      </c>
      <c r="CS23" s="22">
        <v>3723</v>
      </c>
      <c r="CT23" s="21">
        <f>SUM(CS23-CS17)</f>
        <v>2</v>
      </c>
      <c r="CU23" s="84">
        <f>SUM(CT23*1.1251)+207.57</f>
        <v>209.8202</v>
      </c>
      <c r="CV23" s="132"/>
      <c r="CW23" s="49">
        <f t="shared" si="9"/>
        <v>0</v>
      </c>
      <c r="CX23" s="22">
        <v>386385</v>
      </c>
      <c r="CY23" s="21">
        <f>SUM(CX23-CX17)</f>
        <v>13156</v>
      </c>
      <c r="CZ23" s="84">
        <f>SUM(CY23*0.8868)+1070.52</f>
        <v>12737.2608</v>
      </c>
      <c r="DC23" s="22">
        <f>SUM(E21:E24)</f>
        <v>0</v>
      </c>
      <c r="DD23" s="102" t="e">
        <f>SUM(BL23+CF23+CL23+#REF!+CU23)</f>
        <v>#REF!</v>
      </c>
      <c r="DE23" s="102">
        <f>SUM(BQ23+CZ23)</f>
        <v>15211.0952</v>
      </c>
      <c r="DF23" s="102">
        <f>SUM(BM23+CG23+CV23)</f>
        <v>5604.3899999999994</v>
      </c>
      <c r="DG23" s="102" t="e">
        <f>SUM(DD23:DF23)</f>
        <v>#REF!</v>
      </c>
      <c r="DH23"/>
      <c r="DI23" s="121">
        <f>SUM(BU23+CQ23+BY23)</f>
        <v>7035.19</v>
      </c>
      <c r="DJ23" s="121">
        <f>SUM(CA23+CH23)</f>
        <v>3757.34</v>
      </c>
    </row>
    <row r="24" spans="2:114" s="130" customFormat="1" x14ac:dyDescent="0.25">
      <c r="B24" s="82">
        <v>44319</v>
      </c>
      <c r="C24" s="296"/>
      <c r="D24" s="296"/>
      <c r="E24" s="39">
        <f t="shared" si="64"/>
        <v>0</v>
      </c>
      <c r="F24" s="296"/>
      <c r="G24" s="296"/>
      <c r="H24" s="39">
        <f t="shared" si="65"/>
        <v>0</v>
      </c>
      <c r="I24" s="296"/>
      <c r="J24" s="296"/>
      <c r="K24" s="39">
        <f t="shared" si="27"/>
        <v>0</v>
      </c>
      <c r="L24" s="296"/>
      <c r="M24" s="296"/>
      <c r="N24" s="39">
        <f t="shared" si="13"/>
        <v>0</v>
      </c>
      <c r="O24" s="296"/>
      <c r="P24" s="296"/>
      <c r="Q24" s="39">
        <f t="shared" si="14"/>
        <v>0</v>
      </c>
      <c r="R24" s="40"/>
      <c r="S24" s="296"/>
      <c r="T24" s="296"/>
      <c r="U24" s="39">
        <f t="shared" si="15"/>
        <v>0</v>
      </c>
      <c r="V24" s="297"/>
      <c r="W24" s="297"/>
      <c r="X24" s="39">
        <f t="shared" si="16"/>
        <v>0</v>
      </c>
      <c r="Y24" s="45">
        <f t="shared" si="17"/>
        <v>0</v>
      </c>
      <c r="Z24" s="41"/>
      <c r="AA24" s="42"/>
      <c r="AB24" s="39">
        <f t="shared" ref="AB24" si="67">SUM(AA24-AA23)*10000</f>
        <v>0</v>
      </c>
      <c r="AC24" s="42"/>
      <c r="AD24" s="39">
        <f t="shared" ref="AD24" si="68">SUM(AC24-AC23)*0.1</f>
        <v>0</v>
      </c>
      <c r="AE24" s="42"/>
      <c r="AF24" s="39">
        <f t="shared" si="34"/>
        <v>0</v>
      </c>
      <c r="AG24" s="42"/>
      <c r="AH24" s="39">
        <f t="shared" si="35"/>
        <v>0</v>
      </c>
      <c r="AI24" s="42"/>
      <c r="AJ24" s="39">
        <f t="shared" si="36"/>
        <v>0</v>
      </c>
      <c r="AK24" s="42"/>
      <c r="AL24" s="39">
        <f t="shared" si="37"/>
        <v>0</v>
      </c>
      <c r="AM24" s="42"/>
      <c r="AN24" s="46">
        <f t="shared" si="38"/>
        <v>0</v>
      </c>
      <c r="AO24" s="42"/>
      <c r="AP24" s="39">
        <f t="shared" si="39"/>
        <v>0</v>
      </c>
      <c r="AQ24" s="43"/>
      <c r="AR24" s="129">
        <f t="shared" si="0"/>
        <v>44319</v>
      </c>
      <c r="AS24" s="44"/>
      <c r="AT24" s="39">
        <f t="shared" si="55"/>
        <v>0</v>
      </c>
      <c r="AU24" s="43"/>
      <c r="AV24" s="44"/>
      <c r="AW24" s="39">
        <f t="shared" si="56"/>
        <v>0</v>
      </c>
      <c r="AX24" s="42"/>
      <c r="AY24" s="47">
        <f t="shared" si="57"/>
        <v>0</v>
      </c>
      <c r="AZ24" s="39">
        <f t="shared" si="58"/>
        <v>0</v>
      </c>
      <c r="BA24" s="44"/>
      <c r="BB24" s="39">
        <f t="shared" si="43"/>
        <v>0</v>
      </c>
      <c r="BC24" s="44"/>
      <c r="BD24" s="39">
        <f t="shared" si="44"/>
        <v>0</v>
      </c>
      <c r="BE24" s="44"/>
      <c r="BF24" s="39">
        <f t="shared" si="45"/>
        <v>0</v>
      </c>
      <c r="BI24" s="49">
        <f t="shared" si="1"/>
        <v>0</v>
      </c>
      <c r="BL24" s="131"/>
      <c r="BM24" s="131"/>
      <c r="BN24" s="49">
        <f t="shared" si="2"/>
        <v>0</v>
      </c>
      <c r="BR24" s="49">
        <f t="shared" si="3"/>
        <v>0</v>
      </c>
      <c r="BU24" s="106"/>
      <c r="BV24" s="49">
        <f t="shared" si="4"/>
        <v>0</v>
      </c>
      <c r="BW24" s="107"/>
      <c r="BX24" s="108"/>
      <c r="BY24" s="106"/>
      <c r="BZ24" s="108"/>
      <c r="CA24" s="106"/>
      <c r="CB24" s="43"/>
      <c r="CC24" s="49">
        <f t="shared" si="5"/>
        <v>0</v>
      </c>
      <c r="CF24" s="131"/>
      <c r="CG24" s="131"/>
      <c r="CH24" s="131"/>
      <c r="CI24" s="49">
        <f t="shared" si="6"/>
        <v>0</v>
      </c>
      <c r="CL24" s="131"/>
      <c r="CM24" s="132"/>
      <c r="CN24" s="49">
        <f t="shared" si="7"/>
        <v>0</v>
      </c>
      <c r="CP24" s="133"/>
      <c r="CQ24" s="110"/>
      <c r="CR24" s="49">
        <f t="shared" si="8"/>
        <v>0</v>
      </c>
      <c r="CU24" s="131"/>
      <c r="CV24" s="132"/>
      <c r="CW24" s="49">
        <f t="shared" si="9"/>
        <v>0</v>
      </c>
      <c r="CZ24" s="131"/>
      <c r="DD24" s="134"/>
      <c r="DE24" s="134"/>
      <c r="DF24" s="134"/>
      <c r="DG24" s="134"/>
      <c r="DH24" s="135"/>
      <c r="DI24" s="136"/>
      <c r="DJ24" s="136"/>
    </row>
    <row r="25" spans="2:114" s="130" customFormat="1" x14ac:dyDescent="0.25">
      <c r="B25" s="82">
        <v>44326</v>
      </c>
      <c r="C25" s="296"/>
      <c r="D25" s="296"/>
      <c r="E25" s="39">
        <f t="shared" ref="E25:E28" si="69">SUM(C25-C24)*10</f>
        <v>0</v>
      </c>
      <c r="F25" s="296"/>
      <c r="G25" s="296"/>
      <c r="H25" s="39">
        <f t="shared" ref="H25:H28" si="70">SUM(F25-F24)*10</f>
        <v>0</v>
      </c>
      <c r="I25" s="296"/>
      <c r="J25" s="296"/>
      <c r="K25" s="39">
        <f t="shared" si="27"/>
        <v>0</v>
      </c>
      <c r="L25" s="296"/>
      <c r="M25" s="296"/>
      <c r="N25" s="39">
        <f t="shared" si="13"/>
        <v>0</v>
      </c>
      <c r="O25" s="296"/>
      <c r="P25" s="296"/>
      <c r="Q25" s="39">
        <f t="shared" si="14"/>
        <v>0</v>
      </c>
      <c r="R25" s="40"/>
      <c r="S25" s="296"/>
      <c r="T25" s="296"/>
      <c r="U25" s="39">
        <f t="shared" si="15"/>
        <v>0</v>
      </c>
      <c r="V25" s="297"/>
      <c r="W25" s="297"/>
      <c r="X25" s="39">
        <f t="shared" si="16"/>
        <v>0</v>
      </c>
      <c r="Y25" s="45">
        <f t="shared" si="17"/>
        <v>0</v>
      </c>
      <c r="Z25" s="41"/>
      <c r="AA25" s="42"/>
      <c r="AB25" s="39">
        <f t="shared" ref="AB25:AB51" si="71">SUM(AA25-AA24)*10000</f>
        <v>0</v>
      </c>
      <c r="AC25" s="42"/>
      <c r="AD25" s="39">
        <f t="shared" ref="AD25:AD51" si="72">SUM(AC25-AC24)*0.1</f>
        <v>0</v>
      </c>
      <c r="AE25" s="42"/>
      <c r="AF25" s="39">
        <f t="shared" si="34"/>
        <v>0</v>
      </c>
      <c r="AG25" s="42"/>
      <c r="AH25" s="39">
        <f t="shared" si="35"/>
        <v>0</v>
      </c>
      <c r="AI25" s="42"/>
      <c r="AJ25" s="39">
        <f t="shared" si="36"/>
        <v>0</v>
      </c>
      <c r="AK25" s="42"/>
      <c r="AL25" s="39">
        <f t="shared" si="37"/>
        <v>0</v>
      </c>
      <c r="AM25" s="42"/>
      <c r="AN25" s="46">
        <f t="shared" si="38"/>
        <v>0</v>
      </c>
      <c r="AO25" s="42"/>
      <c r="AP25" s="39">
        <f t="shared" si="39"/>
        <v>0</v>
      </c>
      <c r="AQ25" s="43"/>
      <c r="AR25" s="129">
        <f t="shared" si="0"/>
        <v>44326</v>
      </c>
      <c r="AS25" s="44"/>
      <c r="AT25" s="39">
        <f t="shared" si="55"/>
        <v>0</v>
      </c>
      <c r="AU25" s="43"/>
      <c r="AV25" s="44"/>
      <c r="AW25" s="39">
        <f t="shared" si="56"/>
        <v>0</v>
      </c>
      <c r="AX25" s="42"/>
      <c r="AY25" s="47">
        <f t="shared" si="57"/>
        <v>0</v>
      </c>
      <c r="AZ25" s="39">
        <f t="shared" si="58"/>
        <v>0</v>
      </c>
      <c r="BA25" s="44"/>
      <c r="BB25" s="39">
        <f t="shared" si="43"/>
        <v>0</v>
      </c>
      <c r="BC25" s="44"/>
      <c r="BD25" s="39">
        <f t="shared" si="44"/>
        <v>0</v>
      </c>
      <c r="BE25" s="44"/>
      <c r="BF25" s="39">
        <f t="shared" si="45"/>
        <v>0</v>
      </c>
      <c r="BI25" s="49">
        <f t="shared" si="1"/>
        <v>0</v>
      </c>
      <c r="BL25" s="131"/>
      <c r="BM25" s="131"/>
      <c r="BN25" s="49">
        <f t="shared" si="2"/>
        <v>0</v>
      </c>
      <c r="BR25" s="49">
        <f t="shared" si="3"/>
        <v>0</v>
      </c>
      <c r="BU25" s="106"/>
      <c r="BV25" s="49">
        <f t="shared" si="4"/>
        <v>0</v>
      </c>
      <c r="BW25" s="107"/>
      <c r="BX25" s="108"/>
      <c r="BY25" s="106"/>
      <c r="BZ25" s="108"/>
      <c r="CA25" s="106"/>
      <c r="CB25" s="43"/>
      <c r="CC25" s="49">
        <f t="shared" si="5"/>
        <v>0</v>
      </c>
      <c r="CF25" s="131"/>
      <c r="CG25" s="131"/>
      <c r="CH25" s="131"/>
      <c r="CI25" s="49">
        <f t="shared" si="6"/>
        <v>0</v>
      </c>
      <c r="CL25" s="131"/>
      <c r="CM25" s="132"/>
      <c r="CN25" s="49">
        <f t="shared" si="7"/>
        <v>0</v>
      </c>
      <c r="CP25" s="133"/>
      <c r="CQ25" s="110"/>
      <c r="CR25" s="49">
        <f t="shared" si="8"/>
        <v>0</v>
      </c>
      <c r="CU25" s="131"/>
      <c r="CV25" s="132"/>
      <c r="CW25" s="49">
        <f t="shared" si="9"/>
        <v>0</v>
      </c>
      <c r="CZ25" s="131"/>
      <c r="DD25" s="134"/>
      <c r="DE25" s="134"/>
      <c r="DF25" s="134"/>
      <c r="DG25" s="134"/>
      <c r="DH25" s="135"/>
      <c r="DI25" s="136"/>
      <c r="DJ25" s="136"/>
    </row>
    <row r="26" spans="2:114" s="130" customFormat="1" x14ac:dyDescent="0.25">
      <c r="B26" s="82">
        <v>44333</v>
      </c>
      <c r="C26" s="296"/>
      <c r="D26" s="296"/>
      <c r="E26" s="39">
        <f t="shared" si="69"/>
        <v>0</v>
      </c>
      <c r="F26" s="296"/>
      <c r="G26" s="296"/>
      <c r="H26" s="39">
        <f t="shared" si="70"/>
        <v>0</v>
      </c>
      <c r="I26" s="296"/>
      <c r="J26" s="296"/>
      <c r="K26" s="39">
        <f t="shared" si="27"/>
        <v>0</v>
      </c>
      <c r="L26" s="296"/>
      <c r="M26" s="296"/>
      <c r="N26" s="39">
        <f t="shared" si="13"/>
        <v>0</v>
      </c>
      <c r="O26" s="296"/>
      <c r="P26" s="296"/>
      <c r="Q26" s="39">
        <f t="shared" si="14"/>
        <v>0</v>
      </c>
      <c r="R26" s="40"/>
      <c r="S26" s="296"/>
      <c r="T26" s="296"/>
      <c r="U26" s="39">
        <f t="shared" si="15"/>
        <v>0</v>
      </c>
      <c r="V26" s="297"/>
      <c r="W26" s="297"/>
      <c r="X26" s="39">
        <f t="shared" ref="X26" si="73">SUM(V26-V25)*100</f>
        <v>0</v>
      </c>
      <c r="Y26" s="45">
        <f t="shared" ref="Y26" si="74">SUM(U26+X26)</f>
        <v>0</v>
      </c>
      <c r="Z26" s="41"/>
      <c r="AA26" s="42"/>
      <c r="AB26" s="39">
        <f t="shared" si="71"/>
        <v>0</v>
      </c>
      <c r="AC26" s="42"/>
      <c r="AD26" s="39">
        <f t="shared" si="72"/>
        <v>0</v>
      </c>
      <c r="AE26" s="42"/>
      <c r="AF26" s="39">
        <f t="shared" si="34"/>
        <v>0</v>
      </c>
      <c r="AG26" s="42"/>
      <c r="AH26" s="39">
        <f t="shared" si="35"/>
        <v>0</v>
      </c>
      <c r="AI26" s="42"/>
      <c r="AJ26" s="39">
        <f t="shared" si="36"/>
        <v>0</v>
      </c>
      <c r="AK26" s="42"/>
      <c r="AL26" s="39">
        <f t="shared" si="37"/>
        <v>0</v>
      </c>
      <c r="AM26" s="42"/>
      <c r="AN26" s="46">
        <f t="shared" si="38"/>
        <v>0</v>
      </c>
      <c r="AO26" s="42"/>
      <c r="AP26" s="39">
        <f t="shared" si="39"/>
        <v>0</v>
      </c>
      <c r="AQ26" s="43"/>
      <c r="AR26" s="129">
        <f t="shared" si="0"/>
        <v>44333</v>
      </c>
      <c r="AS26" s="44"/>
      <c r="AT26" s="39">
        <f t="shared" si="55"/>
        <v>0</v>
      </c>
      <c r="AU26" s="43"/>
      <c r="AV26" s="44"/>
      <c r="AW26" s="39">
        <f t="shared" si="56"/>
        <v>0</v>
      </c>
      <c r="AX26" s="42"/>
      <c r="AY26" s="47">
        <f t="shared" si="57"/>
        <v>0</v>
      </c>
      <c r="AZ26" s="39">
        <f t="shared" si="58"/>
        <v>0</v>
      </c>
      <c r="BA26" s="44"/>
      <c r="BB26" s="39">
        <f t="shared" si="43"/>
        <v>0</v>
      </c>
      <c r="BC26" s="44"/>
      <c r="BD26" s="39">
        <f t="shared" si="44"/>
        <v>0</v>
      </c>
      <c r="BE26" s="44"/>
      <c r="BF26" s="39">
        <f t="shared" si="45"/>
        <v>0</v>
      </c>
      <c r="BI26" s="49">
        <f t="shared" si="1"/>
        <v>0</v>
      </c>
      <c r="BL26" s="131"/>
      <c r="BM26" s="131"/>
      <c r="BN26" s="49">
        <f t="shared" si="2"/>
        <v>0</v>
      </c>
      <c r="BR26" s="49">
        <f t="shared" si="3"/>
        <v>0</v>
      </c>
      <c r="BU26" s="106"/>
      <c r="BV26" s="49">
        <f t="shared" si="4"/>
        <v>0</v>
      </c>
      <c r="BW26" s="107"/>
      <c r="BX26" s="108"/>
      <c r="BY26" s="106"/>
      <c r="BZ26" s="108"/>
      <c r="CA26" s="106"/>
      <c r="CB26" s="43"/>
      <c r="CC26" s="49">
        <f t="shared" si="5"/>
        <v>0</v>
      </c>
      <c r="CF26" s="131"/>
      <c r="CG26" s="131"/>
      <c r="CH26" s="131"/>
      <c r="CI26" s="49">
        <f t="shared" si="6"/>
        <v>0</v>
      </c>
      <c r="CL26" s="131"/>
      <c r="CM26" s="132"/>
      <c r="CN26" s="49">
        <f t="shared" si="7"/>
        <v>0</v>
      </c>
      <c r="CP26" s="133"/>
      <c r="CQ26" s="110"/>
      <c r="CR26" s="49">
        <f t="shared" si="8"/>
        <v>0</v>
      </c>
      <c r="CU26" s="131"/>
      <c r="CV26" s="132"/>
      <c r="CW26" s="49">
        <f t="shared" si="9"/>
        <v>0</v>
      </c>
      <c r="CZ26" s="131"/>
      <c r="DD26" s="134"/>
      <c r="DE26" s="134"/>
      <c r="DF26" s="134"/>
      <c r="DG26" s="134"/>
      <c r="DH26" s="135"/>
      <c r="DI26" s="136"/>
      <c r="DJ26" s="136"/>
    </row>
    <row r="27" spans="2:114" s="130" customFormat="1" x14ac:dyDescent="0.25">
      <c r="B27" s="82">
        <v>44340</v>
      </c>
      <c r="C27" s="296"/>
      <c r="D27" s="296"/>
      <c r="E27" s="39">
        <f t="shared" si="69"/>
        <v>0</v>
      </c>
      <c r="F27" s="296"/>
      <c r="G27" s="296"/>
      <c r="H27" s="39">
        <f t="shared" si="70"/>
        <v>0</v>
      </c>
      <c r="I27" s="296"/>
      <c r="J27" s="296"/>
      <c r="K27" s="39">
        <f t="shared" si="27"/>
        <v>0</v>
      </c>
      <c r="L27" s="296"/>
      <c r="M27" s="296"/>
      <c r="N27" s="39">
        <f t="shared" si="13"/>
        <v>0</v>
      </c>
      <c r="O27" s="296"/>
      <c r="P27" s="296"/>
      <c r="Q27" s="39">
        <f t="shared" si="14"/>
        <v>0</v>
      </c>
      <c r="R27" s="40"/>
      <c r="S27" s="296"/>
      <c r="T27" s="296"/>
      <c r="U27" s="39">
        <f t="shared" si="15"/>
        <v>0</v>
      </c>
      <c r="V27" s="297"/>
      <c r="W27" s="297"/>
      <c r="X27" s="39">
        <f t="shared" ref="X27:X44" si="75">SUM(V27-V26)*100</f>
        <v>0</v>
      </c>
      <c r="Y27" s="45">
        <f t="shared" ref="Y27:Y44" si="76">SUM(U27+X27)</f>
        <v>0</v>
      </c>
      <c r="Z27" s="41"/>
      <c r="AA27" s="42"/>
      <c r="AB27" s="39">
        <f t="shared" si="71"/>
        <v>0</v>
      </c>
      <c r="AC27" s="42"/>
      <c r="AD27" s="39">
        <f t="shared" si="72"/>
        <v>0</v>
      </c>
      <c r="AE27" s="42"/>
      <c r="AF27" s="39">
        <f t="shared" si="34"/>
        <v>0</v>
      </c>
      <c r="AG27" s="42"/>
      <c r="AH27" s="39">
        <f t="shared" si="35"/>
        <v>0</v>
      </c>
      <c r="AI27" s="42"/>
      <c r="AJ27" s="39">
        <f t="shared" si="36"/>
        <v>0</v>
      </c>
      <c r="AK27" s="42"/>
      <c r="AL27" s="39">
        <f t="shared" si="37"/>
        <v>0</v>
      </c>
      <c r="AM27" s="42"/>
      <c r="AN27" s="46">
        <f t="shared" si="38"/>
        <v>0</v>
      </c>
      <c r="AO27" s="42"/>
      <c r="AP27" s="39">
        <f t="shared" si="39"/>
        <v>0</v>
      </c>
      <c r="AQ27" s="43"/>
      <c r="AR27" s="129">
        <f t="shared" si="0"/>
        <v>44340</v>
      </c>
      <c r="AS27" s="44"/>
      <c r="AT27" s="39">
        <f t="shared" si="55"/>
        <v>0</v>
      </c>
      <c r="AU27" s="43"/>
      <c r="AV27" s="44"/>
      <c r="AW27" s="39">
        <f t="shared" si="56"/>
        <v>0</v>
      </c>
      <c r="AX27" s="42"/>
      <c r="AY27" s="47">
        <f t="shared" si="57"/>
        <v>0</v>
      </c>
      <c r="AZ27" s="39">
        <f t="shared" si="58"/>
        <v>0</v>
      </c>
      <c r="BA27" s="44"/>
      <c r="BB27" s="39">
        <f t="shared" si="43"/>
        <v>0</v>
      </c>
      <c r="BC27" s="44"/>
      <c r="BD27" s="39">
        <f t="shared" si="44"/>
        <v>0</v>
      </c>
      <c r="BE27" s="44"/>
      <c r="BF27" s="39">
        <f t="shared" si="45"/>
        <v>0</v>
      </c>
      <c r="BI27" s="49">
        <f t="shared" si="1"/>
        <v>0</v>
      </c>
      <c r="BL27" s="131"/>
      <c r="BM27" s="131"/>
      <c r="BN27" s="49">
        <f t="shared" si="2"/>
        <v>0</v>
      </c>
      <c r="BR27" s="49">
        <f t="shared" si="3"/>
        <v>0</v>
      </c>
      <c r="BU27" s="106"/>
      <c r="BV27" s="49">
        <f t="shared" si="4"/>
        <v>0</v>
      </c>
      <c r="BW27" s="107"/>
      <c r="BX27" s="108"/>
      <c r="BY27" s="106"/>
      <c r="BZ27" s="108"/>
      <c r="CA27" s="106"/>
      <c r="CB27" s="43"/>
      <c r="CC27" s="49">
        <f t="shared" si="5"/>
        <v>0</v>
      </c>
      <c r="CF27" s="131"/>
      <c r="CG27" s="131"/>
      <c r="CH27" s="131"/>
      <c r="CI27" s="49">
        <f t="shared" si="6"/>
        <v>0</v>
      </c>
      <c r="CL27" s="131"/>
      <c r="CM27" s="132"/>
      <c r="CN27" s="49">
        <f t="shared" si="7"/>
        <v>0</v>
      </c>
      <c r="CP27" s="133"/>
      <c r="CQ27" s="110"/>
      <c r="CR27" s="49">
        <f t="shared" si="8"/>
        <v>0</v>
      </c>
      <c r="CU27" s="131"/>
      <c r="CV27" s="132"/>
      <c r="CW27" s="49">
        <f t="shared" si="9"/>
        <v>0</v>
      </c>
      <c r="CZ27" s="131"/>
      <c r="DD27" s="134"/>
      <c r="DE27" s="134"/>
      <c r="DF27" s="134"/>
      <c r="DG27" s="134"/>
      <c r="DH27" s="135"/>
      <c r="DI27" s="136"/>
      <c r="DJ27" s="136"/>
    </row>
    <row r="28" spans="2:114" s="130" customFormat="1" x14ac:dyDescent="0.25">
      <c r="B28" s="82">
        <v>44348</v>
      </c>
      <c r="C28" s="296"/>
      <c r="D28" s="296"/>
      <c r="E28" s="39">
        <f t="shared" si="69"/>
        <v>0</v>
      </c>
      <c r="F28" s="296"/>
      <c r="G28" s="296"/>
      <c r="H28" s="39">
        <f t="shared" si="70"/>
        <v>0</v>
      </c>
      <c r="I28" s="296"/>
      <c r="J28" s="296"/>
      <c r="K28" s="39">
        <f t="shared" si="27"/>
        <v>0</v>
      </c>
      <c r="L28" s="296"/>
      <c r="M28" s="296"/>
      <c r="N28" s="39">
        <f t="shared" si="13"/>
        <v>0</v>
      </c>
      <c r="O28" s="296"/>
      <c r="P28" s="296"/>
      <c r="Q28" s="39">
        <f t="shared" ref="Q28" si="77">SUM(O28-O27)*100</f>
        <v>0</v>
      </c>
      <c r="R28" s="40"/>
      <c r="S28" s="296"/>
      <c r="T28" s="296"/>
      <c r="U28" s="39">
        <f t="shared" ref="U28" si="78">SUM(S28-S27)*100</f>
        <v>0</v>
      </c>
      <c r="V28" s="297"/>
      <c r="W28" s="297"/>
      <c r="X28" s="39">
        <f t="shared" si="75"/>
        <v>0</v>
      </c>
      <c r="Y28" s="45">
        <f t="shared" si="76"/>
        <v>0</v>
      </c>
      <c r="Z28" s="41"/>
      <c r="AA28" s="42"/>
      <c r="AB28" s="39">
        <f t="shared" si="71"/>
        <v>0</v>
      </c>
      <c r="AC28" s="42"/>
      <c r="AD28" s="39">
        <f t="shared" si="72"/>
        <v>0</v>
      </c>
      <c r="AE28" s="42"/>
      <c r="AF28" s="39">
        <f t="shared" si="34"/>
        <v>0</v>
      </c>
      <c r="AG28" s="42"/>
      <c r="AH28" s="39">
        <f t="shared" si="35"/>
        <v>0</v>
      </c>
      <c r="AI28" s="42"/>
      <c r="AJ28" s="39">
        <f t="shared" si="36"/>
        <v>0</v>
      </c>
      <c r="AK28" s="42"/>
      <c r="AL28" s="39">
        <f t="shared" si="37"/>
        <v>0</v>
      </c>
      <c r="AM28" s="42"/>
      <c r="AN28" s="46">
        <f t="shared" si="38"/>
        <v>0</v>
      </c>
      <c r="AO28" s="42"/>
      <c r="AP28" s="39">
        <f t="shared" si="39"/>
        <v>0</v>
      </c>
      <c r="AQ28" s="43"/>
      <c r="AR28" s="129">
        <f t="shared" si="0"/>
        <v>44348</v>
      </c>
      <c r="AS28" s="44"/>
      <c r="AT28" s="39">
        <f t="shared" si="55"/>
        <v>0</v>
      </c>
      <c r="AU28" s="43"/>
      <c r="AV28" s="44"/>
      <c r="AW28" s="39">
        <f t="shared" si="56"/>
        <v>0</v>
      </c>
      <c r="AX28" s="42"/>
      <c r="AY28" s="47">
        <f t="shared" si="57"/>
        <v>0</v>
      </c>
      <c r="AZ28" s="39">
        <f t="shared" si="58"/>
        <v>0</v>
      </c>
      <c r="BA28" s="44"/>
      <c r="BB28" s="39">
        <f t="shared" si="43"/>
        <v>0</v>
      </c>
      <c r="BC28" s="44"/>
      <c r="BD28" s="39">
        <f t="shared" si="44"/>
        <v>0</v>
      </c>
      <c r="BE28" s="44"/>
      <c r="BF28" s="39">
        <f t="shared" si="45"/>
        <v>0</v>
      </c>
      <c r="BI28" s="49">
        <f t="shared" si="1"/>
        <v>0</v>
      </c>
      <c r="BJ28" s="22">
        <v>383687</v>
      </c>
      <c r="BK28" s="21">
        <f>SUM(BJ28-BJ23)</f>
        <v>2757</v>
      </c>
      <c r="BL28" s="84">
        <f>SUM(BK28*1.1251)+2076.11</f>
        <v>5178.0107000000007</v>
      </c>
      <c r="BM28" s="102">
        <v>8843.74</v>
      </c>
      <c r="BN28" s="49">
        <f t="shared" si="2"/>
        <v>0</v>
      </c>
      <c r="BO28" s="22">
        <v>44785</v>
      </c>
      <c r="BP28" s="21">
        <f>SUM(BO28-BO23)</f>
        <v>987</v>
      </c>
      <c r="BQ28" s="84">
        <f>SUM(BP28*0.8868)+1712.96</f>
        <v>2588.2316000000001</v>
      </c>
      <c r="BR28" s="49">
        <f t="shared" si="3"/>
        <v>0</v>
      </c>
      <c r="BS28" s="22">
        <v>642156</v>
      </c>
      <c r="BT28" s="22">
        <v>12327.08</v>
      </c>
      <c r="BU28" s="115">
        <v>10060.66</v>
      </c>
      <c r="BV28" s="49">
        <f t="shared" si="4"/>
        <v>0</v>
      </c>
      <c r="BW28" s="116">
        <v>23580</v>
      </c>
      <c r="BX28" s="50">
        <v>18.149999999999999</v>
      </c>
      <c r="BY28" s="115">
        <v>14.85</v>
      </c>
      <c r="BZ28" s="127">
        <f t="shared" ref="BZ28" si="79">SUM(BT28+BX28)</f>
        <v>12345.23</v>
      </c>
      <c r="CA28" s="115">
        <v>1197.8699999999999</v>
      </c>
      <c r="CB28" s="43"/>
      <c r="CC28" s="49">
        <f t="shared" si="5"/>
        <v>0</v>
      </c>
      <c r="CD28" s="138">
        <v>6867</v>
      </c>
      <c r="CE28" s="98">
        <f>SUM(CD28-CD23)</f>
        <v>15</v>
      </c>
      <c r="CF28" s="84">
        <f>SUM(CE28*1.1251)+129.67</f>
        <v>146.54649999999998</v>
      </c>
      <c r="CG28" s="102">
        <v>94.35</v>
      </c>
      <c r="CH28" s="102">
        <v>0</v>
      </c>
      <c r="CI28" s="49">
        <f t="shared" si="6"/>
        <v>0</v>
      </c>
      <c r="CJ28" s="22">
        <v>16978</v>
      </c>
      <c r="CK28" s="21">
        <f>SUM(CJ28-CJ23)</f>
        <v>379</v>
      </c>
      <c r="CL28" s="84">
        <f>SUM(CK28*1.1251+207.57)</f>
        <v>633.98289999999997</v>
      </c>
      <c r="CM28" s="119">
        <v>257.89</v>
      </c>
      <c r="CN28" s="49">
        <f t="shared" si="7"/>
        <v>0</v>
      </c>
      <c r="CO28" s="22">
        <v>6466</v>
      </c>
      <c r="CP28" s="27">
        <v>547.14</v>
      </c>
      <c r="CQ28" s="118">
        <v>447.53</v>
      </c>
      <c r="CR28" s="49">
        <f t="shared" si="8"/>
        <v>0</v>
      </c>
      <c r="CS28" s="22">
        <v>3725</v>
      </c>
      <c r="CT28" s="21">
        <f>SUM(CS28-CS23)</f>
        <v>2</v>
      </c>
      <c r="CU28" s="84">
        <f>SUM(CT28*1.1251)+207.57</f>
        <v>209.8202</v>
      </c>
      <c r="CV28" s="132"/>
      <c r="CW28" s="49">
        <f t="shared" si="9"/>
        <v>0</v>
      </c>
      <c r="CX28" s="22">
        <v>402623</v>
      </c>
      <c r="CY28" s="21">
        <f>SUM(CX28-CX23)</f>
        <v>16238</v>
      </c>
      <c r="CZ28" s="84">
        <f>SUM(CY28*0.8868)+1070.52</f>
        <v>15470.378400000001</v>
      </c>
      <c r="DC28" s="22">
        <f>SUM(E3023,E28)</f>
        <v>0</v>
      </c>
      <c r="DD28" s="102" t="e">
        <f>SUM(BL28+CF28+CL28+#REF!+CU28)</f>
        <v>#REF!</v>
      </c>
      <c r="DE28" s="102">
        <f>SUM(BQ28+CZ28)</f>
        <v>18058.61</v>
      </c>
      <c r="DF28" s="102">
        <f>SUM(BM28+CG28+CV28)</f>
        <v>8938.09</v>
      </c>
      <c r="DG28" s="102" t="e">
        <f>SUM(DD28:DF28)</f>
        <v>#REF!</v>
      </c>
      <c r="DH28"/>
      <c r="DI28" s="121">
        <f>SUM(BU28+CQ28+BY28)</f>
        <v>10523.04</v>
      </c>
      <c r="DJ28" s="121">
        <f>SUM(CA28+CH28)</f>
        <v>1197.8699999999999</v>
      </c>
    </row>
    <row r="29" spans="2:114" s="130" customFormat="1" x14ac:dyDescent="0.25">
      <c r="B29" s="82">
        <v>44354</v>
      </c>
      <c r="C29" s="296"/>
      <c r="D29" s="296"/>
      <c r="E29" s="39">
        <f t="shared" ref="E29" si="80">SUM(C29-C28)*10</f>
        <v>0</v>
      </c>
      <c r="F29" s="296"/>
      <c r="G29" s="296"/>
      <c r="H29" s="39">
        <f t="shared" ref="H29" si="81">SUM(F29-F28)*10</f>
        <v>0</v>
      </c>
      <c r="I29" s="296"/>
      <c r="J29" s="296"/>
      <c r="K29" s="39">
        <f t="shared" si="27"/>
        <v>0</v>
      </c>
      <c r="L29" s="296"/>
      <c r="M29" s="296"/>
      <c r="N29" s="39">
        <f t="shared" si="13"/>
        <v>0</v>
      </c>
      <c r="O29" s="296"/>
      <c r="P29" s="296"/>
      <c r="Q29" s="39">
        <f t="shared" ref="Q29:Q51" si="82">SUM(O29-O28)*100</f>
        <v>0</v>
      </c>
      <c r="R29" s="40"/>
      <c r="S29" s="296"/>
      <c r="T29" s="296"/>
      <c r="U29" s="39">
        <f t="shared" ref="U29:U51" si="83">SUM(S29-S28)*100</f>
        <v>0</v>
      </c>
      <c r="V29" s="297"/>
      <c r="W29" s="297"/>
      <c r="X29" s="39">
        <f t="shared" si="75"/>
        <v>0</v>
      </c>
      <c r="Y29" s="45">
        <f t="shared" si="76"/>
        <v>0</v>
      </c>
      <c r="Z29" s="41"/>
      <c r="AA29" s="42"/>
      <c r="AB29" s="39">
        <f t="shared" si="71"/>
        <v>0</v>
      </c>
      <c r="AC29" s="42"/>
      <c r="AD29" s="39">
        <f t="shared" si="72"/>
        <v>0</v>
      </c>
      <c r="AE29" s="42"/>
      <c r="AF29" s="39">
        <f t="shared" si="34"/>
        <v>0</v>
      </c>
      <c r="AG29" s="42"/>
      <c r="AH29" s="39">
        <f t="shared" si="35"/>
        <v>0</v>
      </c>
      <c r="AI29" s="42"/>
      <c r="AJ29" s="39">
        <f t="shared" si="36"/>
        <v>0</v>
      </c>
      <c r="AK29" s="42"/>
      <c r="AL29" s="39">
        <f t="shared" si="37"/>
        <v>0</v>
      </c>
      <c r="AM29" s="42"/>
      <c r="AN29" s="46">
        <f t="shared" si="38"/>
        <v>0</v>
      </c>
      <c r="AO29" s="42"/>
      <c r="AP29" s="39">
        <f t="shared" si="39"/>
        <v>0</v>
      </c>
      <c r="AQ29" s="43"/>
      <c r="AR29" s="129">
        <f t="shared" si="0"/>
        <v>44354</v>
      </c>
      <c r="AS29" s="44"/>
      <c r="AT29" s="39">
        <f t="shared" si="55"/>
        <v>0</v>
      </c>
      <c r="AU29" s="43"/>
      <c r="AV29" s="44"/>
      <c r="AW29" s="39">
        <f t="shared" si="56"/>
        <v>0</v>
      </c>
      <c r="AX29" s="42"/>
      <c r="AY29" s="47">
        <f t="shared" si="57"/>
        <v>0</v>
      </c>
      <c r="AZ29" s="39">
        <f t="shared" si="58"/>
        <v>0</v>
      </c>
      <c r="BA29" s="44"/>
      <c r="BB29" s="39">
        <f t="shared" si="43"/>
        <v>0</v>
      </c>
      <c r="BC29" s="44"/>
      <c r="BD29" s="39">
        <f t="shared" si="44"/>
        <v>0</v>
      </c>
      <c r="BE29" s="44"/>
      <c r="BF29" s="39">
        <f t="shared" si="45"/>
        <v>0</v>
      </c>
      <c r="BI29" s="49">
        <f t="shared" si="1"/>
        <v>0</v>
      </c>
      <c r="BL29" s="131"/>
      <c r="BM29" s="131"/>
      <c r="BN29" s="49">
        <f t="shared" si="2"/>
        <v>0</v>
      </c>
      <c r="BR29" s="49">
        <f t="shared" si="3"/>
        <v>0</v>
      </c>
      <c r="BU29" s="106"/>
      <c r="BV29" s="49">
        <f t="shared" si="4"/>
        <v>0</v>
      </c>
      <c r="BW29" s="107"/>
      <c r="BX29" s="108"/>
      <c r="BY29" s="106"/>
      <c r="BZ29" s="108"/>
      <c r="CA29" s="106"/>
      <c r="CB29" s="43"/>
      <c r="CC29" s="49">
        <f t="shared" si="5"/>
        <v>0</v>
      </c>
      <c r="CF29" s="131"/>
      <c r="CG29" s="131"/>
      <c r="CH29" s="131"/>
      <c r="CI29" s="49">
        <f t="shared" si="6"/>
        <v>0</v>
      </c>
      <c r="CL29" s="131"/>
      <c r="CM29" s="132"/>
      <c r="CN29" s="49">
        <f t="shared" si="7"/>
        <v>0</v>
      </c>
      <c r="CP29" s="133"/>
      <c r="CQ29" s="110"/>
      <c r="CR29" s="49">
        <f t="shared" si="8"/>
        <v>0</v>
      </c>
      <c r="CU29" s="131"/>
      <c r="CV29" s="132"/>
      <c r="CW29" s="49">
        <f t="shared" si="9"/>
        <v>0</v>
      </c>
      <c r="CZ29" s="131"/>
      <c r="DD29" s="134"/>
      <c r="DE29" s="134"/>
      <c r="DF29" s="134"/>
      <c r="DG29" s="134"/>
      <c r="DH29" s="135"/>
      <c r="DI29" s="136"/>
      <c r="DJ29" s="136"/>
    </row>
    <row r="30" spans="2:114" s="130" customFormat="1" x14ac:dyDescent="0.25">
      <c r="B30" s="82">
        <v>44361</v>
      </c>
      <c r="C30" s="296"/>
      <c r="D30" s="296"/>
      <c r="E30" s="39">
        <f t="shared" ref="E30:E33" si="84">SUM(C30-C29)*10</f>
        <v>0</v>
      </c>
      <c r="F30" s="296"/>
      <c r="G30" s="296"/>
      <c r="H30" s="39">
        <f t="shared" ref="H30:H33" si="85">SUM(F30-F29)*10</f>
        <v>0</v>
      </c>
      <c r="I30" s="296"/>
      <c r="J30" s="296"/>
      <c r="K30" s="39">
        <f t="shared" si="27"/>
        <v>0</v>
      </c>
      <c r="L30" s="296"/>
      <c r="M30" s="296"/>
      <c r="N30" s="39">
        <f t="shared" si="13"/>
        <v>0</v>
      </c>
      <c r="O30" s="296"/>
      <c r="P30" s="296"/>
      <c r="Q30" s="39">
        <f t="shared" si="82"/>
        <v>0</v>
      </c>
      <c r="R30" s="40"/>
      <c r="S30" s="296"/>
      <c r="T30" s="296"/>
      <c r="U30" s="39">
        <f t="shared" si="83"/>
        <v>0</v>
      </c>
      <c r="V30" s="297"/>
      <c r="W30" s="297"/>
      <c r="X30" s="39">
        <f t="shared" si="75"/>
        <v>0</v>
      </c>
      <c r="Y30" s="45">
        <f t="shared" si="76"/>
        <v>0</v>
      </c>
      <c r="Z30" s="41"/>
      <c r="AA30" s="42"/>
      <c r="AB30" s="39">
        <f t="shared" si="71"/>
        <v>0</v>
      </c>
      <c r="AC30" s="42"/>
      <c r="AD30" s="39">
        <f t="shared" si="72"/>
        <v>0</v>
      </c>
      <c r="AE30" s="42"/>
      <c r="AF30" s="39">
        <f t="shared" si="34"/>
        <v>0</v>
      </c>
      <c r="AG30" s="42"/>
      <c r="AH30" s="39">
        <f t="shared" si="35"/>
        <v>0</v>
      </c>
      <c r="AI30" s="42"/>
      <c r="AJ30" s="39">
        <f t="shared" si="36"/>
        <v>0</v>
      </c>
      <c r="AK30" s="42"/>
      <c r="AL30" s="39">
        <f t="shared" si="37"/>
        <v>0</v>
      </c>
      <c r="AM30" s="42"/>
      <c r="AN30" s="46">
        <f t="shared" si="38"/>
        <v>0</v>
      </c>
      <c r="AO30" s="42"/>
      <c r="AP30" s="39">
        <f t="shared" si="39"/>
        <v>0</v>
      </c>
      <c r="AQ30" s="43"/>
      <c r="AR30" s="129">
        <f t="shared" si="0"/>
        <v>44361</v>
      </c>
      <c r="AS30" s="44"/>
      <c r="AT30" s="39">
        <f t="shared" si="55"/>
        <v>0</v>
      </c>
      <c r="AU30" s="43"/>
      <c r="AV30" s="44"/>
      <c r="AW30" s="39">
        <f t="shared" si="56"/>
        <v>0</v>
      </c>
      <c r="AX30" s="42"/>
      <c r="AY30" s="47">
        <f t="shared" si="57"/>
        <v>0</v>
      </c>
      <c r="AZ30" s="39">
        <f t="shared" si="58"/>
        <v>0</v>
      </c>
      <c r="BA30" s="44"/>
      <c r="BB30" s="39">
        <f t="shared" si="43"/>
        <v>0</v>
      </c>
      <c r="BC30" s="44"/>
      <c r="BD30" s="39">
        <f t="shared" si="44"/>
        <v>0</v>
      </c>
      <c r="BE30" s="44"/>
      <c r="BF30" s="39">
        <f t="shared" si="45"/>
        <v>0</v>
      </c>
      <c r="BI30" s="49">
        <f t="shared" si="1"/>
        <v>0</v>
      </c>
      <c r="BL30" s="131"/>
      <c r="BM30" s="131"/>
      <c r="BN30" s="49">
        <f t="shared" si="2"/>
        <v>0</v>
      </c>
      <c r="BR30" s="49">
        <f t="shared" si="3"/>
        <v>0</v>
      </c>
      <c r="BU30" s="106"/>
      <c r="BV30" s="49">
        <f t="shared" si="4"/>
        <v>0</v>
      </c>
      <c r="BW30" s="107"/>
      <c r="BX30" s="108"/>
      <c r="BY30" s="106"/>
      <c r="BZ30" s="108"/>
      <c r="CA30" s="106"/>
      <c r="CB30" s="43"/>
      <c r="CC30" s="49">
        <f t="shared" si="5"/>
        <v>0</v>
      </c>
      <c r="CF30" s="131"/>
      <c r="CG30" s="131"/>
      <c r="CH30" s="131"/>
      <c r="CI30" s="49">
        <f t="shared" si="6"/>
        <v>0</v>
      </c>
      <c r="CL30" s="131"/>
      <c r="CM30" s="132"/>
      <c r="CN30" s="49">
        <f t="shared" si="7"/>
        <v>0</v>
      </c>
      <c r="CP30" s="133"/>
      <c r="CQ30" s="110"/>
      <c r="CR30" s="49">
        <f t="shared" si="8"/>
        <v>0</v>
      </c>
      <c r="CU30" s="131"/>
      <c r="CV30" s="132"/>
      <c r="CW30" s="49">
        <f t="shared" si="9"/>
        <v>0</v>
      </c>
      <c r="CZ30" s="131"/>
      <c r="DD30" s="134"/>
      <c r="DE30" s="134"/>
      <c r="DF30" s="134"/>
      <c r="DG30" s="134"/>
      <c r="DH30" s="135"/>
      <c r="DI30" s="136"/>
      <c r="DJ30" s="136"/>
    </row>
    <row r="31" spans="2:114" s="130" customFormat="1" x14ac:dyDescent="0.25">
      <c r="B31" s="82">
        <v>44368</v>
      </c>
      <c r="C31" s="296"/>
      <c r="D31" s="296"/>
      <c r="E31" s="39">
        <f t="shared" si="84"/>
        <v>0</v>
      </c>
      <c r="F31" s="296"/>
      <c r="G31" s="296"/>
      <c r="H31" s="39">
        <f t="shared" si="85"/>
        <v>0</v>
      </c>
      <c r="I31" s="296"/>
      <c r="J31" s="296"/>
      <c r="K31" s="39">
        <f t="shared" si="27"/>
        <v>0</v>
      </c>
      <c r="L31" s="296"/>
      <c r="M31" s="296"/>
      <c r="N31" s="39">
        <f t="shared" si="13"/>
        <v>0</v>
      </c>
      <c r="O31" s="296"/>
      <c r="P31" s="296"/>
      <c r="Q31" s="39">
        <f t="shared" si="82"/>
        <v>0</v>
      </c>
      <c r="R31" s="40"/>
      <c r="S31" s="296"/>
      <c r="T31" s="296"/>
      <c r="U31" s="39">
        <f t="shared" si="83"/>
        <v>0</v>
      </c>
      <c r="V31" s="297"/>
      <c r="W31" s="297"/>
      <c r="X31" s="39">
        <f t="shared" si="75"/>
        <v>0</v>
      </c>
      <c r="Y31" s="45">
        <f t="shared" si="76"/>
        <v>0</v>
      </c>
      <c r="Z31" s="41"/>
      <c r="AA31" s="42"/>
      <c r="AB31" s="39">
        <f t="shared" si="71"/>
        <v>0</v>
      </c>
      <c r="AC31" s="42"/>
      <c r="AD31" s="39">
        <f t="shared" si="72"/>
        <v>0</v>
      </c>
      <c r="AE31" s="42"/>
      <c r="AF31" s="39">
        <f t="shared" si="34"/>
        <v>0</v>
      </c>
      <c r="AG31" s="42"/>
      <c r="AH31" s="39">
        <f t="shared" si="35"/>
        <v>0</v>
      </c>
      <c r="AI31" s="42"/>
      <c r="AJ31" s="39">
        <f t="shared" si="36"/>
        <v>0</v>
      </c>
      <c r="AK31" s="42"/>
      <c r="AL31" s="39">
        <f t="shared" si="37"/>
        <v>0</v>
      </c>
      <c r="AM31" s="42"/>
      <c r="AN31" s="46">
        <f t="shared" si="38"/>
        <v>0</v>
      </c>
      <c r="AO31" s="42"/>
      <c r="AP31" s="39">
        <f t="shared" si="39"/>
        <v>0</v>
      </c>
      <c r="AQ31" s="43"/>
      <c r="AR31" s="129">
        <f t="shared" si="0"/>
        <v>44368</v>
      </c>
      <c r="AS31" s="44"/>
      <c r="AT31" s="39">
        <f t="shared" si="55"/>
        <v>0</v>
      </c>
      <c r="AU31" s="43"/>
      <c r="AV31" s="44"/>
      <c r="AW31" s="39">
        <f t="shared" si="56"/>
        <v>0</v>
      </c>
      <c r="AX31" s="42"/>
      <c r="AY31" s="47">
        <f t="shared" si="57"/>
        <v>0</v>
      </c>
      <c r="AZ31" s="39">
        <f t="shared" si="58"/>
        <v>0</v>
      </c>
      <c r="BA31" s="44"/>
      <c r="BB31" s="39">
        <f t="shared" si="43"/>
        <v>0</v>
      </c>
      <c r="BC31" s="44"/>
      <c r="BD31" s="39">
        <f t="shared" si="44"/>
        <v>0</v>
      </c>
      <c r="BE31" s="44"/>
      <c r="BF31" s="39">
        <f t="shared" si="45"/>
        <v>0</v>
      </c>
      <c r="BI31" s="49">
        <f t="shared" si="1"/>
        <v>0</v>
      </c>
      <c r="BL31" s="131"/>
      <c r="BM31" s="131"/>
      <c r="BN31" s="49">
        <f t="shared" si="2"/>
        <v>0</v>
      </c>
      <c r="BR31" s="49">
        <f t="shared" si="3"/>
        <v>0</v>
      </c>
      <c r="BU31" s="106"/>
      <c r="BV31" s="49">
        <f t="shared" si="4"/>
        <v>0</v>
      </c>
      <c r="BW31" s="107"/>
      <c r="BX31" s="108"/>
      <c r="BY31" s="106"/>
      <c r="BZ31" s="108"/>
      <c r="CA31" s="106"/>
      <c r="CB31" s="43"/>
      <c r="CC31" s="49">
        <f t="shared" si="5"/>
        <v>0</v>
      </c>
      <c r="CF31" s="131"/>
      <c r="CG31" s="131"/>
      <c r="CH31" s="131"/>
      <c r="CI31" s="49">
        <f t="shared" si="6"/>
        <v>0</v>
      </c>
      <c r="CL31" s="131"/>
      <c r="CM31" s="132"/>
      <c r="CN31" s="49">
        <f t="shared" si="7"/>
        <v>0</v>
      </c>
      <c r="CP31" s="133"/>
      <c r="CQ31" s="110"/>
      <c r="CR31" s="49">
        <f t="shared" si="8"/>
        <v>0</v>
      </c>
      <c r="CU31" s="131"/>
      <c r="CV31" s="132"/>
      <c r="CW31" s="49">
        <f t="shared" si="9"/>
        <v>0</v>
      </c>
      <c r="CZ31" s="131"/>
      <c r="DD31" s="134"/>
      <c r="DE31" s="134"/>
      <c r="DF31" s="134"/>
      <c r="DG31" s="134"/>
      <c r="DH31" s="135"/>
      <c r="DI31" s="136"/>
      <c r="DJ31" s="136"/>
    </row>
    <row r="32" spans="2:114" s="130" customFormat="1" x14ac:dyDescent="0.25">
      <c r="B32" s="82">
        <v>44375</v>
      </c>
      <c r="C32" s="296"/>
      <c r="D32" s="296"/>
      <c r="E32" s="39">
        <f t="shared" si="84"/>
        <v>0</v>
      </c>
      <c r="F32" s="296"/>
      <c r="G32" s="296"/>
      <c r="H32" s="39">
        <f t="shared" si="85"/>
        <v>0</v>
      </c>
      <c r="I32" s="296"/>
      <c r="J32" s="296"/>
      <c r="K32" s="39">
        <f t="shared" si="27"/>
        <v>0</v>
      </c>
      <c r="L32" s="296"/>
      <c r="M32" s="296"/>
      <c r="N32" s="39">
        <f t="shared" si="13"/>
        <v>0</v>
      </c>
      <c r="O32" s="296"/>
      <c r="P32" s="296"/>
      <c r="Q32" s="39">
        <v>129</v>
      </c>
      <c r="R32" s="40"/>
      <c r="S32" s="296"/>
      <c r="T32" s="296"/>
      <c r="U32" s="39">
        <f t="shared" si="83"/>
        <v>0</v>
      </c>
      <c r="V32" s="297"/>
      <c r="W32" s="297"/>
      <c r="X32" s="39">
        <f t="shared" si="75"/>
        <v>0</v>
      </c>
      <c r="Y32" s="45">
        <f t="shared" si="76"/>
        <v>0</v>
      </c>
      <c r="Z32" s="41"/>
      <c r="AA32" s="42"/>
      <c r="AB32" s="39">
        <f t="shared" si="71"/>
        <v>0</v>
      </c>
      <c r="AC32" s="42"/>
      <c r="AD32" s="39">
        <f t="shared" si="72"/>
        <v>0</v>
      </c>
      <c r="AE32" s="42"/>
      <c r="AF32" s="39">
        <f t="shared" si="34"/>
        <v>0</v>
      </c>
      <c r="AG32" s="42"/>
      <c r="AH32" s="39">
        <f t="shared" si="35"/>
        <v>0</v>
      </c>
      <c r="AI32" s="42"/>
      <c r="AJ32" s="39">
        <f t="shared" si="36"/>
        <v>0</v>
      </c>
      <c r="AK32" s="42"/>
      <c r="AL32" s="39">
        <f t="shared" si="37"/>
        <v>0</v>
      </c>
      <c r="AM32" s="42"/>
      <c r="AN32" s="46">
        <f t="shared" si="38"/>
        <v>0</v>
      </c>
      <c r="AO32" s="42"/>
      <c r="AP32" s="39">
        <f t="shared" si="39"/>
        <v>0</v>
      </c>
      <c r="AQ32" s="43"/>
      <c r="AR32" s="129">
        <f t="shared" si="0"/>
        <v>44375</v>
      </c>
      <c r="AS32" s="44"/>
      <c r="AT32" s="39">
        <f t="shared" si="55"/>
        <v>0</v>
      </c>
      <c r="AU32" s="43"/>
      <c r="AV32" s="44"/>
      <c r="AW32" s="39">
        <f t="shared" si="56"/>
        <v>0</v>
      </c>
      <c r="AX32" s="42"/>
      <c r="AY32" s="47">
        <f t="shared" si="57"/>
        <v>0</v>
      </c>
      <c r="AZ32" s="39">
        <f t="shared" si="58"/>
        <v>0</v>
      </c>
      <c r="BA32" s="44"/>
      <c r="BB32" s="39">
        <f t="shared" si="43"/>
        <v>0</v>
      </c>
      <c r="BC32" s="44"/>
      <c r="BD32" s="39">
        <f t="shared" si="44"/>
        <v>0</v>
      </c>
      <c r="BE32" s="44"/>
      <c r="BF32" s="39">
        <f t="shared" si="45"/>
        <v>0</v>
      </c>
      <c r="BI32" s="49">
        <f t="shared" si="1"/>
        <v>0</v>
      </c>
      <c r="BL32" s="131"/>
      <c r="BM32" s="131"/>
      <c r="BN32" s="49">
        <f t="shared" si="2"/>
        <v>0</v>
      </c>
      <c r="BR32" s="49">
        <f t="shared" si="3"/>
        <v>0</v>
      </c>
      <c r="BU32" s="106"/>
      <c r="BV32" s="49">
        <f t="shared" si="4"/>
        <v>0</v>
      </c>
      <c r="BW32" s="107"/>
      <c r="BX32" s="108"/>
      <c r="BY32" s="106"/>
      <c r="BZ32" s="108"/>
      <c r="CA32" s="106"/>
      <c r="CB32" s="43"/>
      <c r="CC32" s="49">
        <f t="shared" si="5"/>
        <v>0</v>
      </c>
      <c r="CF32" s="131"/>
      <c r="CG32" s="131"/>
      <c r="CH32" s="131"/>
      <c r="CI32" s="49">
        <f t="shared" si="6"/>
        <v>0</v>
      </c>
      <c r="CL32" s="131"/>
      <c r="CM32" s="132"/>
      <c r="CN32" s="49">
        <f t="shared" si="7"/>
        <v>0</v>
      </c>
      <c r="CP32" s="133"/>
      <c r="CQ32" s="110"/>
      <c r="CR32" s="49">
        <f t="shared" si="8"/>
        <v>0</v>
      </c>
      <c r="CU32" s="131"/>
      <c r="CV32" s="132"/>
      <c r="CW32" s="49">
        <f t="shared" si="9"/>
        <v>0</v>
      </c>
      <c r="CZ32" s="131"/>
      <c r="DD32" s="134"/>
      <c r="DE32" s="134"/>
      <c r="DF32" s="134"/>
      <c r="DG32" s="134"/>
      <c r="DH32" s="135"/>
      <c r="DI32" s="136"/>
      <c r="DJ32" s="136"/>
    </row>
    <row r="33" spans="2:114" s="130" customFormat="1" x14ac:dyDescent="0.25">
      <c r="B33" s="82">
        <v>44378</v>
      </c>
      <c r="C33" s="296"/>
      <c r="D33" s="296"/>
      <c r="E33" s="39">
        <f t="shared" si="84"/>
        <v>0</v>
      </c>
      <c r="F33" s="296"/>
      <c r="G33" s="296"/>
      <c r="H33" s="39">
        <f t="shared" si="85"/>
        <v>0</v>
      </c>
      <c r="I33" s="296"/>
      <c r="J33" s="296"/>
      <c r="K33" s="39">
        <f t="shared" si="27"/>
        <v>0</v>
      </c>
      <c r="L33" s="296"/>
      <c r="M33" s="296"/>
      <c r="N33" s="39">
        <f t="shared" si="13"/>
        <v>0</v>
      </c>
      <c r="O33" s="296"/>
      <c r="P33" s="296"/>
      <c r="Q33" s="39">
        <f t="shared" si="82"/>
        <v>0</v>
      </c>
      <c r="R33" s="40"/>
      <c r="S33" s="296"/>
      <c r="T33" s="296"/>
      <c r="U33" s="39">
        <f t="shared" si="83"/>
        <v>0</v>
      </c>
      <c r="V33" s="297"/>
      <c r="W33" s="297"/>
      <c r="X33" s="39">
        <f t="shared" si="75"/>
        <v>0</v>
      </c>
      <c r="Y33" s="45">
        <f t="shared" si="76"/>
        <v>0</v>
      </c>
      <c r="Z33" s="41"/>
      <c r="AA33" s="42"/>
      <c r="AB33" s="39">
        <f t="shared" si="71"/>
        <v>0</v>
      </c>
      <c r="AC33" s="42"/>
      <c r="AD33" s="39">
        <f t="shared" si="72"/>
        <v>0</v>
      </c>
      <c r="AE33" s="42"/>
      <c r="AF33" s="39">
        <f t="shared" si="34"/>
        <v>0</v>
      </c>
      <c r="AG33" s="42"/>
      <c r="AH33" s="39">
        <f t="shared" si="35"/>
        <v>0</v>
      </c>
      <c r="AI33" s="42"/>
      <c r="AJ33" s="39">
        <f t="shared" si="36"/>
        <v>0</v>
      </c>
      <c r="AK33" s="42"/>
      <c r="AL33" s="39">
        <f t="shared" si="37"/>
        <v>0</v>
      </c>
      <c r="AM33" s="42"/>
      <c r="AN33" s="46">
        <f t="shared" si="38"/>
        <v>0</v>
      </c>
      <c r="AO33" s="42"/>
      <c r="AP33" s="39">
        <f t="shared" si="39"/>
        <v>0</v>
      </c>
      <c r="AQ33" s="43"/>
      <c r="AR33" s="129">
        <f t="shared" si="0"/>
        <v>44378</v>
      </c>
      <c r="AS33" s="44"/>
      <c r="AT33" s="39">
        <f t="shared" si="55"/>
        <v>0</v>
      </c>
      <c r="AU33" s="43"/>
      <c r="AV33" s="44"/>
      <c r="AW33" s="39">
        <f t="shared" si="56"/>
        <v>0</v>
      </c>
      <c r="AX33" s="42"/>
      <c r="AY33" s="47">
        <f t="shared" si="57"/>
        <v>0</v>
      </c>
      <c r="AZ33" s="39">
        <f t="shared" si="58"/>
        <v>0</v>
      </c>
      <c r="BA33" s="44"/>
      <c r="BB33" s="39">
        <f t="shared" si="43"/>
        <v>0</v>
      </c>
      <c r="BC33" s="44"/>
      <c r="BD33" s="39">
        <f t="shared" si="44"/>
        <v>0</v>
      </c>
      <c r="BE33" s="44"/>
      <c r="BF33" s="39">
        <f t="shared" si="45"/>
        <v>0</v>
      </c>
      <c r="BI33" s="49">
        <f t="shared" si="1"/>
        <v>0</v>
      </c>
      <c r="BJ33" s="22">
        <v>385070</v>
      </c>
      <c r="BK33" s="21">
        <f>SUM(BJ33-BJ28)</f>
        <v>1383</v>
      </c>
      <c r="BL33" s="84">
        <f>SUM(BK33*1.1251)+2076.11</f>
        <v>3632.1233000000002</v>
      </c>
      <c r="BM33" s="102">
        <v>4094.79</v>
      </c>
      <c r="BN33" s="49">
        <f t="shared" si="2"/>
        <v>0</v>
      </c>
      <c r="BO33" s="22">
        <v>44951</v>
      </c>
      <c r="BP33" s="21">
        <f>SUM(BO33-BO28)</f>
        <v>166</v>
      </c>
      <c r="BQ33" s="84">
        <f>SUM(BP33*0.8868)+1712.96</f>
        <v>1860.1687999999999</v>
      </c>
      <c r="BR33" s="49">
        <f t="shared" si="3"/>
        <v>0</v>
      </c>
      <c r="BS33" s="22">
        <v>644396</v>
      </c>
      <c r="BT33" s="22">
        <v>11174.69</v>
      </c>
      <c r="BU33" s="115">
        <v>9107.86</v>
      </c>
      <c r="BV33" s="49">
        <f t="shared" si="4"/>
        <v>0</v>
      </c>
      <c r="BW33" s="116">
        <v>26328</v>
      </c>
      <c r="BX33" s="50">
        <v>1187.44</v>
      </c>
      <c r="BY33" s="115">
        <v>969.71</v>
      </c>
      <c r="BZ33" s="127">
        <f t="shared" ref="BZ33" si="86">SUM(BT33+BX33)</f>
        <v>12362.130000000001</v>
      </c>
      <c r="CA33" s="115">
        <v>2882.89</v>
      </c>
      <c r="CB33" s="43"/>
      <c r="CC33" s="49">
        <f t="shared" si="5"/>
        <v>0</v>
      </c>
      <c r="CD33" s="138">
        <v>6876</v>
      </c>
      <c r="CE33" s="98">
        <f>SUM(CD33-CD28)</f>
        <v>9</v>
      </c>
      <c r="CF33" s="84">
        <f>SUM(CE33*1.1251)+129.67</f>
        <v>139.79589999999999</v>
      </c>
      <c r="CG33" s="102">
        <v>56.61</v>
      </c>
      <c r="CH33" s="102">
        <v>76.06</v>
      </c>
      <c r="CI33" s="49">
        <f t="shared" si="6"/>
        <v>0</v>
      </c>
      <c r="CJ33" s="22">
        <v>17135</v>
      </c>
      <c r="CK33" s="21">
        <f>SUM(CJ33-CJ28)</f>
        <v>157</v>
      </c>
      <c r="CL33" s="84">
        <f>SUM(CK33*1.1251+207.57)</f>
        <v>384.21069999999997</v>
      </c>
      <c r="CM33" s="119">
        <v>188.7</v>
      </c>
      <c r="CN33" s="49">
        <f t="shared" si="7"/>
        <v>0</v>
      </c>
      <c r="CO33" s="22">
        <v>6720</v>
      </c>
      <c r="CP33" s="27">
        <v>588.87</v>
      </c>
      <c r="CQ33" s="118">
        <v>480.89</v>
      </c>
      <c r="CR33" s="49">
        <f t="shared" si="8"/>
        <v>0</v>
      </c>
      <c r="CS33" s="22">
        <v>3726</v>
      </c>
      <c r="CT33" s="21">
        <f>SUM(CS33-CS28)</f>
        <v>1</v>
      </c>
      <c r="CU33" s="84">
        <f>SUM(CT33*1.1251)+207.57</f>
        <v>208.6951</v>
      </c>
      <c r="CV33" s="132"/>
      <c r="CW33" s="49">
        <f t="shared" si="9"/>
        <v>0</v>
      </c>
      <c r="CX33" s="22">
        <v>402896</v>
      </c>
      <c r="CY33" s="21">
        <f>SUM(CX33-CX28)</f>
        <v>273</v>
      </c>
      <c r="CZ33" s="84">
        <f>SUM(CY33*0.8868)+1070.52</f>
        <v>1312.6163999999999</v>
      </c>
      <c r="DC33" s="22">
        <f>SUM(E3028,E33)</f>
        <v>0</v>
      </c>
      <c r="DD33" s="102" t="e">
        <f>SUM(BL33+CF33+CL33+#REF!+CU33)</f>
        <v>#REF!</v>
      </c>
      <c r="DE33" s="102">
        <f>SUM(BQ33+CZ33)</f>
        <v>3172.7851999999998</v>
      </c>
      <c r="DF33" s="102">
        <f>SUM(BM33+CG33+CV33)</f>
        <v>4151.3999999999996</v>
      </c>
      <c r="DG33" s="102" t="e">
        <f>SUM(DD33:DF33)</f>
        <v>#REF!</v>
      </c>
      <c r="DH33"/>
      <c r="DI33" s="121">
        <f>SUM(BU33+CQ33+BY33)</f>
        <v>10558.46</v>
      </c>
      <c r="DJ33" s="121">
        <f>SUM(CA33+CH33)</f>
        <v>2958.95</v>
      </c>
    </row>
    <row r="34" spans="2:114" s="130" customFormat="1" x14ac:dyDescent="0.25">
      <c r="B34" s="82">
        <v>44382</v>
      </c>
      <c r="C34" s="296"/>
      <c r="D34" s="296"/>
      <c r="E34" s="39">
        <f t="shared" ref="E34" si="87">SUM(C34-C33)*10</f>
        <v>0</v>
      </c>
      <c r="F34" s="296"/>
      <c r="G34" s="296"/>
      <c r="H34" s="39">
        <f t="shared" ref="H34" si="88">SUM(F34-F33)*10</f>
        <v>0</v>
      </c>
      <c r="I34" s="296"/>
      <c r="J34" s="296"/>
      <c r="K34" s="39">
        <f t="shared" si="27"/>
        <v>0</v>
      </c>
      <c r="L34" s="296"/>
      <c r="M34" s="296"/>
      <c r="N34" s="39">
        <f t="shared" si="13"/>
        <v>0</v>
      </c>
      <c r="O34" s="296"/>
      <c r="P34" s="296"/>
      <c r="Q34" s="39">
        <f t="shared" si="82"/>
        <v>0</v>
      </c>
      <c r="R34" s="40"/>
      <c r="S34" s="296"/>
      <c r="T34" s="296"/>
      <c r="U34" s="39">
        <f t="shared" si="83"/>
        <v>0</v>
      </c>
      <c r="V34" s="297"/>
      <c r="W34" s="297"/>
      <c r="X34" s="39">
        <f t="shared" si="75"/>
        <v>0</v>
      </c>
      <c r="Y34" s="45">
        <f t="shared" si="76"/>
        <v>0</v>
      </c>
      <c r="Z34" s="41"/>
      <c r="AA34" s="42"/>
      <c r="AB34" s="39">
        <f t="shared" si="71"/>
        <v>0</v>
      </c>
      <c r="AC34" s="42"/>
      <c r="AD34" s="39">
        <f t="shared" si="72"/>
        <v>0</v>
      </c>
      <c r="AE34" s="42"/>
      <c r="AF34" s="39">
        <f t="shared" si="34"/>
        <v>0</v>
      </c>
      <c r="AG34" s="42"/>
      <c r="AH34" s="39">
        <f t="shared" si="35"/>
        <v>0</v>
      </c>
      <c r="AI34" s="42"/>
      <c r="AJ34" s="39">
        <f t="shared" si="36"/>
        <v>0</v>
      </c>
      <c r="AK34" s="42"/>
      <c r="AL34" s="39">
        <f t="shared" si="37"/>
        <v>0</v>
      </c>
      <c r="AM34" s="42"/>
      <c r="AN34" s="46">
        <f t="shared" si="38"/>
        <v>0</v>
      </c>
      <c r="AO34" s="42"/>
      <c r="AP34" s="39">
        <f t="shared" si="39"/>
        <v>0</v>
      </c>
      <c r="AQ34" s="43"/>
      <c r="AR34" s="129">
        <f t="shared" si="0"/>
        <v>44382</v>
      </c>
      <c r="AS34" s="44"/>
      <c r="AT34" s="39">
        <f t="shared" si="55"/>
        <v>0</v>
      </c>
      <c r="AU34" s="43"/>
      <c r="AV34" s="44"/>
      <c r="AW34" s="39">
        <f t="shared" si="56"/>
        <v>0</v>
      </c>
      <c r="AX34" s="42"/>
      <c r="AY34" s="47">
        <f t="shared" si="57"/>
        <v>0</v>
      </c>
      <c r="AZ34" s="39">
        <f t="shared" si="58"/>
        <v>0</v>
      </c>
      <c r="BA34" s="44"/>
      <c r="BB34" s="39">
        <f t="shared" si="43"/>
        <v>0</v>
      </c>
      <c r="BC34" s="44"/>
      <c r="BD34" s="39">
        <f t="shared" si="44"/>
        <v>0</v>
      </c>
      <c r="BE34" s="44"/>
      <c r="BF34" s="39">
        <f t="shared" si="45"/>
        <v>0</v>
      </c>
      <c r="BI34" s="49">
        <f t="shared" si="1"/>
        <v>0</v>
      </c>
      <c r="BL34" s="131"/>
      <c r="BM34" s="131"/>
      <c r="BN34" s="49">
        <f t="shared" si="2"/>
        <v>0</v>
      </c>
      <c r="BR34" s="49">
        <f t="shared" si="3"/>
        <v>0</v>
      </c>
      <c r="BU34" s="106"/>
      <c r="BV34" s="49">
        <f t="shared" si="4"/>
        <v>0</v>
      </c>
      <c r="BW34" s="107"/>
      <c r="BX34" s="108"/>
      <c r="BY34" s="106"/>
      <c r="BZ34" s="108"/>
      <c r="CA34" s="106"/>
      <c r="CB34" s="43"/>
      <c r="CC34" s="49">
        <f t="shared" si="5"/>
        <v>0</v>
      </c>
      <c r="CF34" s="131"/>
      <c r="CG34" s="131"/>
      <c r="CH34" s="131"/>
      <c r="CI34" s="49">
        <f t="shared" si="6"/>
        <v>0</v>
      </c>
      <c r="CL34" s="131"/>
      <c r="CM34" s="132"/>
      <c r="CN34" s="49">
        <f t="shared" si="7"/>
        <v>0</v>
      </c>
      <c r="CP34" s="133"/>
      <c r="CQ34" s="110"/>
      <c r="CR34" s="49">
        <f t="shared" si="8"/>
        <v>0</v>
      </c>
      <c r="CU34" s="131"/>
      <c r="CV34" s="132"/>
      <c r="CW34" s="49">
        <f t="shared" si="9"/>
        <v>0</v>
      </c>
      <c r="CZ34" s="131"/>
      <c r="DD34" s="134"/>
      <c r="DE34" s="134"/>
      <c r="DF34" s="134"/>
      <c r="DG34" s="134"/>
      <c r="DH34" s="135"/>
      <c r="DI34" s="136"/>
      <c r="DJ34" s="136"/>
    </row>
    <row r="35" spans="2:114" s="130" customFormat="1" x14ac:dyDescent="0.25">
      <c r="B35" s="82">
        <v>44389</v>
      </c>
      <c r="C35" s="296"/>
      <c r="D35" s="296"/>
      <c r="E35" s="39">
        <f t="shared" ref="E35:E38" si="89">SUM(C35-C34)*10</f>
        <v>0</v>
      </c>
      <c r="F35" s="296"/>
      <c r="G35" s="296"/>
      <c r="H35" s="39">
        <f t="shared" ref="H35:H38" si="90">SUM(F35-F34)*10</f>
        <v>0</v>
      </c>
      <c r="I35" s="296"/>
      <c r="J35" s="296"/>
      <c r="K35" s="39">
        <f t="shared" si="27"/>
        <v>0</v>
      </c>
      <c r="L35" s="296"/>
      <c r="M35" s="296"/>
      <c r="N35" s="39">
        <f t="shared" si="13"/>
        <v>0</v>
      </c>
      <c r="O35" s="296"/>
      <c r="P35" s="296"/>
      <c r="Q35" s="39">
        <f t="shared" si="82"/>
        <v>0</v>
      </c>
      <c r="R35" s="40"/>
      <c r="S35" s="296"/>
      <c r="T35" s="296"/>
      <c r="U35" s="39">
        <f t="shared" si="83"/>
        <v>0</v>
      </c>
      <c r="V35" s="297"/>
      <c r="W35" s="297"/>
      <c r="X35" s="39">
        <f t="shared" si="75"/>
        <v>0</v>
      </c>
      <c r="Y35" s="45">
        <f t="shared" si="76"/>
        <v>0</v>
      </c>
      <c r="Z35" s="41"/>
      <c r="AA35" s="42"/>
      <c r="AB35" s="39">
        <f t="shared" si="71"/>
        <v>0</v>
      </c>
      <c r="AC35" s="42"/>
      <c r="AD35" s="39">
        <f t="shared" si="72"/>
        <v>0</v>
      </c>
      <c r="AE35" s="42"/>
      <c r="AF35" s="39">
        <f t="shared" si="34"/>
        <v>0</v>
      </c>
      <c r="AG35" s="42"/>
      <c r="AH35" s="39">
        <f t="shared" si="35"/>
        <v>0</v>
      </c>
      <c r="AI35" s="42"/>
      <c r="AJ35" s="39">
        <f t="shared" si="36"/>
        <v>0</v>
      </c>
      <c r="AK35" s="42"/>
      <c r="AL35" s="39">
        <f t="shared" si="37"/>
        <v>0</v>
      </c>
      <c r="AM35" s="42"/>
      <c r="AN35" s="46">
        <f t="shared" si="38"/>
        <v>0</v>
      </c>
      <c r="AO35" s="42"/>
      <c r="AP35" s="39">
        <f t="shared" si="39"/>
        <v>0</v>
      </c>
      <c r="AQ35" s="43"/>
      <c r="AR35" s="129">
        <f t="shared" si="0"/>
        <v>44389</v>
      </c>
      <c r="AS35" s="44"/>
      <c r="AT35" s="39">
        <f t="shared" si="55"/>
        <v>0</v>
      </c>
      <c r="AU35" s="43"/>
      <c r="AV35" s="44"/>
      <c r="AW35" s="39">
        <f t="shared" si="56"/>
        <v>0</v>
      </c>
      <c r="AX35" s="42"/>
      <c r="AY35" s="47">
        <f t="shared" si="57"/>
        <v>0</v>
      </c>
      <c r="AZ35" s="39">
        <f t="shared" si="58"/>
        <v>0</v>
      </c>
      <c r="BA35" s="44"/>
      <c r="BB35" s="39">
        <f t="shared" si="43"/>
        <v>0</v>
      </c>
      <c r="BC35" s="44"/>
      <c r="BD35" s="39">
        <f t="shared" si="44"/>
        <v>0</v>
      </c>
      <c r="BE35" s="44"/>
      <c r="BF35" s="39">
        <f t="shared" si="45"/>
        <v>0</v>
      </c>
      <c r="BI35" s="49">
        <f t="shared" si="1"/>
        <v>0</v>
      </c>
      <c r="BL35" s="131"/>
      <c r="BM35" s="131"/>
      <c r="BN35" s="49">
        <f t="shared" si="2"/>
        <v>0</v>
      </c>
      <c r="BR35" s="49">
        <f t="shared" si="3"/>
        <v>0</v>
      </c>
      <c r="BU35" s="106"/>
      <c r="BV35" s="49">
        <f t="shared" si="4"/>
        <v>0</v>
      </c>
      <c r="BW35" s="107"/>
      <c r="BX35" s="108"/>
      <c r="BY35" s="106"/>
      <c r="BZ35" s="108"/>
      <c r="CA35" s="106"/>
      <c r="CB35" s="43"/>
      <c r="CC35" s="49">
        <f t="shared" si="5"/>
        <v>0</v>
      </c>
      <c r="CF35" s="131"/>
      <c r="CG35" s="131"/>
      <c r="CH35" s="131"/>
      <c r="CI35" s="49">
        <f t="shared" si="6"/>
        <v>0</v>
      </c>
      <c r="CL35" s="131"/>
      <c r="CM35" s="132"/>
      <c r="CN35" s="49">
        <f t="shared" si="7"/>
        <v>0</v>
      </c>
      <c r="CP35" s="133"/>
      <c r="CQ35" s="110"/>
      <c r="CR35" s="49">
        <f t="shared" si="8"/>
        <v>0</v>
      </c>
      <c r="CU35" s="131"/>
      <c r="CV35" s="132"/>
      <c r="CW35" s="49">
        <f t="shared" si="9"/>
        <v>0</v>
      </c>
      <c r="CZ35" s="131"/>
      <c r="DD35" s="134"/>
      <c r="DE35" s="134"/>
      <c r="DF35" s="134"/>
      <c r="DG35" s="134"/>
      <c r="DH35" s="135"/>
      <c r="DI35" s="136"/>
      <c r="DJ35" s="136"/>
    </row>
    <row r="36" spans="2:114" s="130" customFormat="1" x14ac:dyDescent="0.25">
      <c r="B36" s="82">
        <v>44396</v>
      </c>
      <c r="C36" s="296"/>
      <c r="D36" s="296"/>
      <c r="E36" s="39">
        <f t="shared" si="89"/>
        <v>0</v>
      </c>
      <c r="F36" s="296"/>
      <c r="G36" s="296"/>
      <c r="H36" s="39">
        <f t="shared" si="90"/>
        <v>0</v>
      </c>
      <c r="I36" s="296"/>
      <c r="J36" s="296"/>
      <c r="K36" s="39">
        <f t="shared" si="27"/>
        <v>0</v>
      </c>
      <c r="L36" s="296"/>
      <c r="M36" s="296"/>
      <c r="N36" s="39">
        <f t="shared" si="13"/>
        <v>0</v>
      </c>
      <c r="O36" s="296"/>
      <c r="P36" s="296"/>
      <c r="Q36" s="39">
        <f t="shared" si="82"/>
        <v>0</v>
      </c>
      <c r="R36" s="40"/>
      <c r="S36" s="296"/>
      <c r="T36" s="296"/>
      <c r="U36" s="39">
        <f t="shared" si="83"/>
        <v>0</v>
      </c>
      <c r="V36" s="297"/>
      <c r="W36" s="297"/>
      <c r="X36" s="39">
        <f t="shared" si="75"/>
        <v>0</v>
      </c>
      <c r="Y36" s="45">
        <f t="shared" si="76"/>
        <v>0</v>
      </c>
      <c r="Z36" s="41"/>
      <c r="AA36" s="42"/>
      <c r="AB36" s="39">
        <f t="shared" si="71"/>
        <v>0</v>
      </c>
      <c r="AC36" s="42"/>
      <c r="AD36" s="39">
        <f t="shared" si="72"/>
        <v>0</v>
      </c>
      <c r="AE36" s="42"/>
      <c r="AF36" s="39">
        <f t="shared" si="34"/>
        <v>0</v>
      </c>
      <c r="AG36" s="42"/>
      <c r="AH36" s="39">
        <f t="shared" si="35"/>
        <v>0</v>
      </c>
      <c r="AI36" s="42"/>
      <c r="AJ36" s="39">
        <f t="shared" si="36"/>
        <v>0</v>
      </c>
      <c r="AK36" s="42"/>
      <c r="AL36" s="39">
        <f t="shared" si="37"/>
        <v>0</v>
      </c>
      <c r="AM36" s="42"/>
      <c r="AN36" s="46">
        <f t="shared" si="38"/>
        <v>0</v>
      </c>
      <c r="AO36" s="42"/>
      <c r="AP36" s="39">
        <f t="shared" si="39"/>
        <v>0</v>
      </c>
      <c r="AQ36" s="43"/>
      <c r="AR36" s="129">
        <f t="shared" si="0"/>
        <v>44396</v>
      </c>
      <c r="AS36" s="44"/>
      <c r="AT36" s="39">
        <f t="shared" si="55"/>
        <v>0</v>
      </c>
      <c r="AU36" s="43"/>
      <c r="AV36" s="44"/>
      <c r="AW36" s="39">
        <f t="shared" si="56"/>
        <v>0</v>
      </c>
      <c r="AX36" s="42"/>
      <c r="AY36" s="47">
        <f t="shared" si="57"/>
        <v>0</v>
      </c>
      <c r="AZ36" s="39">
        <f t="shared" si="58"/>
        <v>0</v>
      </c>
      <c r="BA36" s="44"/>
      <c r="BB36" s="39">
        <f t="shared" si="43"/>
        <v>0</v>
      </c>
      <c r="BC36" s="44"/>
      <c r="BD36" s="39">
        <f t="shared" si="44"/>
        <v>0</v>
      </c>
      <c r="BE36" s="44"/>
      <c r="BF36" s="39">
        <f t="shared" si="45"/>
        <v>0</v>
      </c>
      <c r="BI36" s="49">
        <f t="shared" si="1"/>
        <v>0</v>
      </c>
      <c r="BL36" s="131"/>
      <c r="BM36" s="131"/>
      <c r="BN36" s="49">
        <f t="shared" si="2"/>
        <v>0</v>
      </c>
      <c r="BR36" s="49">
        <f t="shared" si="3"/>
        <v>0</v>
      </c>
      <c r="BU36" s="106"/>
      <c r="BV36" s="49">
        <f t="shared" si="4"/>
        <v>0</v>
      </c>
      <c r="BW36" s="107"/>
      <c r="BX36" s="108"/>
      <c r="BY36" s="106"/>
      <c r="BZ36" s="108"/>
      <c r="CA36" s="106"/>
      <c r="CB36" s="43"/>
      <c r="CC36" s="49">
        <f t="shared" si="5"/>
        <v>0</v>
      </c>
      <c r="CF36" s="131"/>
      <c r="CG36" s="131"/>
      <c r="CH36" s="131"/>
      <c r="CI36" s="49">
        <f t="shared" si="6"/>
        <v>0</v>
      </c>
      <c r="CL36" s="131"/>
      <c r="CM36" s="132"/>
      <c r="CN36" s="49">
        <f t="shared" si="7"/>
        <v>0</v>
      </c>
      <c r="CP36" s="133"/>
      <c r="CQ36" s="110"/>
      <c r="CR36" s="49">
        <f t="shared" si="8"/>
        <v>0</v>
      </c>
      <c r="CU36" s="131"/>
      <c r="CV36" s="132"/>
      <c r="CW36" s="49">
        <f t="shared" si="9"/>
        <v>0</v>
      </c>
      <c r="CZ36" s="131"/>
      <c r="DD36" s="134"/>
      <c r="DE36" s="134"/>
      <c r="DF36" s="134"/>
      <c r="DG36" s="134"/>
      <c r="DH36" s="135"/>
      <c r="DI36" s="136"/>
      <c r="DJ36" s="136"/>
    </row>
    <row r="37" spans="2:114" s="130" customFormat="1" x14ac:dyDescent="0.25">
      <c r="B37" s="82">
        <v>44403</v>
      </c>
      <c r="C37" s="296"/>
      <c r="D37" s="296"/>
      <c r="E37" s="39">
        <f t="shared" si="89"/>
        <v>0</v>
      </c>
      <c r="F37" s="296"/>
      <c r="G37" s="296"/>
      <c r="H37" s="39">
        <f t="shared" si="90"/>
        <v>0</v>
      </c>
      <c r="I37" s="296"/>
      <c r="J37" s="296"/>
      <c r="K37" s="39">
        <f t="shared" si="27"/>
        <v>0</v>
      </c>
      <c r="L37" s="296"/>
      <c r="M37" s="296"/>
      <c r="N37" s="39">
        <f t="shared" si="13"/>
        <v>0</v>
      </c>
      <c r="O37" s="296"/>
      <c r="P37" s="296"/>
      <c r="Q37" s="39">
        <f t="shared" si="82"/>
        <v>0</v>
      </c>
      <c r="R37" s="40"/>
      <c r="S37" s="296"/>
      <c r="T37" s="296"/>
      <c r="U37" s="39">
        <f t="shared" si="83"/>
        <v>0</v>
      </c>
      <c r="V37" s="297"/>
      <c r="W37" s="297"/>
      <c r="X37" s="39">
        <f t="shared" si="75"/>
        <v>0</v>
      </c>
      <c r="Y37" s="45">
        <f t="shared" si="76"/>
        <v>0</v>
      </c>
      <c r="Z37" s="41"/>
      <c r="AA37" s="42"/>
      <c r="AB37" s="39">
        <f t="shared" si="71"/>
        <v>0</v>
      </c>
      <c r="AC37" s="42"/>
      <c r="AD37" s="39">
        <f t="shared" si="72"/>
        <v>0</v>
      </c>
      <c r="AE37" s="42"/>
      <c r="AF37" s="39">
        <f t="shared" si="34"/>
        <v>0</v>
      </c>
      <c r="AG37" s="42"/>
      <c r="AH37" s="39">
        <f t="shared" si="35"/>
        <v>0</v>
      </c>
      <c r="AI37" s="42"/>
      <c r="AJ37" s="39">
        <f t="shared" si="36"/>
        <v>0</v>
      </c>
      <c r="AK37" s="42"/>
      <c r="AL37" s="39">
        <f t="shared" si="37"/>
        <v>0</v>
      </c>
      <c r="AM37" s="42"/>
      <c r="AN37" s="46">
        <f t="shared" si="38"/>
        <v>0</v>
      </c>
      <c r="AO37" s="42"/>
      <c r="AP37" s="39">
        <f t="shared" si="39"/>
        <v>0</v>
      </c>
      <c r="AQ37" s="43"/>
      <c r="AR37" s="129">
        <f t="shared" si="0"/>
        <v>44403</v>
      </c>
      <c r="AS37" s="44"/>
      <c r="AT37" s="39">
        <f t="shared" si="55"/>
        <v>0</v>
      </c>
      <c r="AU37" s="43"/>
      <c r="AV37" s="44"/>
      <c r="AW37" s="39">
        <f t="shared" si="56"/>
        <v>0</v>
      </c>
      <c r="AX37" s="42"/>
      <c r="AY37" s="47">
        <f t="shared" si="57"/>
        <v>0</v>
      </c>
      <c r="AZ37" s="39">
        <f t="shared" si="58"/>
        <v>0</v>
      </c>
      <c r="BA37" s="44"/>
      <c r="BB37" s="39">
        <f t="shared" si="43"/>
        <v>0</v>
      </c>
      <c r="BC37" s="44"/>
      <c r="BD37" s="39">
        <f t="shared" si="44"/>
        <v>0</v>
      </c>
      <c r="BE37" s="44"/>
      <c r="BF37" s="39">
        <f t="shared" si="45"/>
        <v>0</v>
      </c>
      <c r="BI37" s="49">
        <f t="shared" si="1"/>
        <v>0</v>
      </c>
      <c r="BL37" s="131"/>
      <c r="BM37" s="131"/>
      <c r="BN37" s="49">
        <f t="shared" si="2"/>
        <v>0</v>
      </c>
      <c r="BR37" s="49">
        <f t="shared" si="3"/>
        <v>0</v>
      </c>
      <c r="BU37" s="106"/>
      <c r="BV37" s="49">
        <f t="shared" si="4"/>
        <v>0</v>
      </c>
      <c r="BW37" s="107"/>
      <c r="BX37" s="108"/>
      <c r="BY37" s="106"/>
      <c r="BZ37" s="108"/>
      <c r="CA37" s="106"/>
      <c r="CB37" s="43"/>
      <c r="CC37" s="49">
        <f t="shared" si="5"/>
        <v>0</v>
      </c>
      <c r="CF37" s="131"/>
      <c r="CG37" s="131"/>
      <c r="CH37" s="131"/>
      <c r="CI37" s="49">
        <f t="shared" si="6"/>
        <v>0</v>
      </c>
      <c r="CL37" s="131"/>
      <c r="CM37" s="132"/>
      <c r="CN37" s="49">
        <f t="shared" si="7"/>
        <v>0</v>
      </c>
      <c r="CP37" s="133"/>
      <c r="CQ37" s="110"/>
      <c r="CR37" s="49">
        <f t="shared" si="8"/>
        <v>0</v>
      </c>
      <c r="CU37" s="131"/>
      <c r="CV37" s="132"/>
      <c r="CW37" s="49">
        <f t="shared" si="9"/>
        <v>0</v>
      </c>
      <c r="CZ37" s="131"/>
      <c r="DD37" s="134"/>
      <c r="DE37" s="134"/>
      <c r="DF37" s="134"/>
      <c r="DG37" s="134"/>
      <c r="DH37" s="135"/>
      <c r="DI37" s="136"/>
      <c r="DJ37" s="136"/>
    </row>
    <row r="38" spans="2:114" s="130" customFormat="1" x14ac:dyDescent="0.25">
      <c r="B38" s="82">
        <v>44409</v>
      </c>
      <c r="C38" s="296"/>
      <c r="D38" s="296"/>
      <c r="E38" s="39">
        <f t="shared" si="89"/>
        <v>0</v>
      </c>
      <c r="F38" s="296"/>
      <c r="G38" s="296"/>
      <c r="H38" s="39">
        <f t="shared" si="90"/>
        <v>0</v>
      </c>
      <c r="I38" s="296"/>
      <c r="J38" s="296"/>
      <c r="K38" s="39">
        <f t="shared" si="27"/>
        <v>0</v>
      </c>
      <c r="L38" s="296"/>
      <c r="M38" s="296"/>
      <c r="N38" s="39">
        <f t="shared" si="13"/>
        <v>0</v>
      </c>
      <c r="O38" s="296"/>
      <c r="P38" s="296"/>
      <c r="Q38" s="39">
        <f t="shared" si="82"/>
        <v>0</v>
      </c>
      <c r="R38" s="40"/>
      <c r="S38" s="296"/>
      <c r="T38" s="296"/>
      <c r="U38" s="39">
        <f t="shared" si="83"/>
        <v>0</v>
      </c>
      <c r="V38" s="297"/>
      <c r="W38" s="297"/>
      <c r="X38" s="39">
        <f t="shared" si="75"/>
        <v>0</v>
      </c>
      <c r="Y38" s="45">
        <f t="shared" si="76"/>
        <v>0</v>
      </c>
      <c r="Z38" s="41"/>
      <c r="AA38" s="42"/>
      <c r="AB38" s="39">
        <f t="shared" si="71"/>
        <v>0</v>
      </c>
      <c r="AC38" s="42"/>
      <c r="AD38" s="39">
        <f t="shared" si="72"/>
        <v>0</v>
      </c>
      <c r="AE38" s="42"/>
      <c r="AF38" s="39">
        <f t="shared" si="34"/>
        <v>0</v>
      </c>
      <c r="AG38" s="42"/>
      <c r="AH38" s="39">
        <f t="shared" si="35"/>
        <v>0</v>
      </c>
      <c r="AI38" s="42"/>
      <c r="AJ38" s="39">
        <f t="shared" si="36"/>
        <v>0</v>
      </c>
      <c r="AK38" s="42"/>
      <c r="AL38" s="39">
        <f t="shared" si="37"/>
        <v>0</v>
      </c>
      <c r="AM38" s="42"/>
      <c r="AN38" s="46">
        <f t="shared" si="38"/>
        <v>0</v>
      </c>
      <c r="AO38" s="42"/>
      <c r="AP38" s="39">
        <f t="shared" si="39"/>
        <v>0</v>
      </c>
      <c r="AQ38" s="43"/>
      <c r="AR38" s="129">
        <f t="shared" si="0"/>
        <v>44409</v>
      </c>
      <c r="AS38" s="44"/>
      <c r="AT38" s="39">
        <f t="shared" si="55"/>
        <v>0</v>
      </c>
      <c r="AU38" s="43"/>
      <c r="AV38" s="44"/>
      <c r="AW38" s="39">
        <f t="shared" si="56"/>
        <v>0</v>
      </c>
      <c r="AX38" s="42"/>
      <c r="AY38" s="47">
        <f t="shared" si="57"/>
        <v>0</v>
      </c>
      <c r="AZ38" s="39">
        <f t="shared" si="58"/>
        <v>0</v>
      </c>
      <c r="BA38" s="44"/>
      <c r="BB38" s="39">
        <f t="shared" si="43"/>
        <v>0</v>
      </c>
      <c r="BC38" s="44"/>
      <c r="BD38" s="39">
        <f t="shared" si="44"/>
        <v>0</v>
      </c>
      <c r="BE38" s="44"/>
      <c r="BF38" s="39">
        <f t="shared" si="45"/>
        <v>0</v>
      </c>
      <c r="BI38" s="49">
        <f t="shared" si="1"/>
        <v>0</v>
      </c>
      <c r="BJ38" s="22">
        <v>388283</v>
      </c>
      <c r="BK38" s="21">
        <f>SUM(BJ38-BJ33)</f>
        <v>3213</v>
      </c>
      <c r="BL38" s="84">
        <f>SUM(BK38*1.1251)+2076.11</f>
        <v>5691.0563000000002</v>
      </c>
      <c r="BM38" s="102">
        <v>11680.53</v>
      </c>
      <c r="BN38" s="49">
        <f t="shared" si="2"/>
        <v>0</v>
      </c>
      <c r="BO38" s="22">
        <v>45447</v>
      </c>
      <c r="BP38" s="21">
        <f>SUM(BO38-BO33)</f>
        <v>496</v>
      </c>
      <c r="BQ38" s="84">
        <f>SUM(BP38*0.8868)+1712.96</f>
        <v>2152.8128000000002</v>
      </c>
      <c r="BR38" s="49">
        <f t="shared" si="3"/>
        <v>0</v>
      </c>
      <c r="BS38" s="22">
        <v>650560</v>
      </c>
      <c r="BT38" s="22">
        <v>30750.35</v>
      </c>
      <c r="BU38" s="115">
        <v>25075.15</v>
      </c>
      <c r="BV38" s="49">
        <f t="shared" si="4"/>
        <v>0</v>
      </c>
      <c r="BW38" s="116">
        <v>26328</v>
      </c>
      <c r="BX38" s="50">
        <v>0</v>
      </c>
      <c r="BY38" s="115">
        <v>0</v>
      </c>
      <c r="BZ38" s="127">
        <f t="shared" ref="BZ38" si="91">SUM(BT38+BX38)</f>
        <v>30750.35</v>
      </c>
      <c r="CA38" s="115">
        <v>6828.29</v>
      </c>
      <c r="CB38" s="43"/>
      <c r="CC38" s="49">
        <f t="shared" si="5"/>
        <v>0</v>
      </c>
      <c r="CD38" s="138">
        <v>6885</v>
      </c>
      <c r="CE38" s="98">
        <f>SUM(CD38-CD33)</f>
        <v>9</v>
      </c>
      <c r="CF38" s="84">
        <f>SUM(CE38*1.1251)+129.67</f>
        <v>139.79589999999999</v>
      </c>
      <c r="CG38" s="102">
        <v>56.61</v>
      </c>
      <c r="CH38" s="102">
        <v>1102.8699999999999</v>
      </c>
      <c r="CI38" s="49">
        <f t="shared" si="6"/>
        <v>0</v>
      </c>
      <c r="CJ38" s="22">
        <v>17166</v>
      </c>
      <c r="CK38" s="21">
        <f>SUM(CJ38-CJ33)</f>
        <v>31</v>
      </c>
      <c r="CL38" s="84">
        <f>SUM(CK38*1.1251+207.57)</f>
        <v>242.44809999999998</v>
      </c>
      <c r="CM38" s="119">
        <v>194.99</v>
      </c>
      <c r="CN38" s="49">
        <f t="shared" si="7"/>
        <v>0</v>
      </c>
      <c r="CO38" s="22">
        <v>6981</v>
      </c>
      <c r="CP38" s="27">
        <v>605.1</v>
      </c>
      <c r="CQ38" s="118">
        <v>495.26</v>
      </c>
      <c r="CR38" s="49">
        <f t="shared" si="8"/>
        <v>0</v>
      </c>
      <c r="CS38" s="22">
        <v>3728</v>
      </c>
      <c r="CT38" s="21">
        <f>SUM(CS38-CS33)</f>
        <v>2</v>
      </c>
      <c r="CU38" s="84">
        <f>SUM(CT38*1.1251)+207.57</f>
        <v>209.8202</v>
      </c>
      <c r="CV38" s="132"/>
      <c r="CW38" s="49">
        <f t="shared" si="9"/>
        <v>0</v>
      </c>
      <c r="CX38" s="22">
        <v>410264</v>
      </c>
      <c r="CY38" s="21">
        <f>SUM(CX38-CX33)</f>
        <v>7368</v>
      </c>
      <c r="CZ38" s="84">
        <f>SUM(CY38*0.8868)+1070.52</f>
        <v>7604.4624000000003</v>
      </c>
      <c r="DC38" s="22">
        <f>SUM(E3033,E38)</f>
        <v>0</v>
      </c>
      <c r="DD38" s="102" t="e">
        <f>SUM(BL38+CF38+CL38+#REF!+CU38)</f>
        <v>#REF!</v>
      </c>
      <c r="DE38" s="102">
        <f>SUM(BQ38+CZ38)</f>
        <v>9757.2752</v>
      </c>
      <c r="DF38" s="102">
        <f>SUM(BM38+CG38+CV38)</f>
        <v>11737.140000000001</v>
      </c>
      <c r="DG38" s="102" t="e">
        <f>SUM(DD38:DF38)</f>
        <v>#REF!</v>
      </c>
      <c r="DH38"/>
      <c r="DI38" s="121">
        <f>SUM(BU38+CQ38+BY38)</f>
        <v>25570.41</v>
      </c>
      <c r="DJ38" s="121">
        <f>SUM(CA38+CH38)</f>
        <v>7931.16</v>
      </c>
    </row>
    <row r="39" spans="2:114" s="130" customFormat="1" x14ac:dyDescent="0.25">
      <c r="B39" s="82">
        <v>44410</v>
      </c>
      <c r="C39" s="296"/>
      <c r="D39" s="296"/>
      <c r="E39" s="39">
        <f t="shared" ref="E39:E40" si="92">SUM(C39-C38)*10</f>
        <v>0</v>
      </c>
      <c r="F39" s="296"/>
      <c r="G39" s="296"/>
      <c r="H39" s="39">
        <f t="shared" ref="H39:H40" si="93">SUM(F39-F38)*10</f>
        <v>0</v>
      </c>
      <c r="I39" s="296"/>
      <c r="J39" s="296"/>
      <c r="K39" s="39">
        <f t="shared" si="27"/>
        <v>0</v>
      </c>
      <c r="L39" s="296"/>
      <c r="M39" s="296"/>
      <c r="N39" s="39">
        <f t="shared" si="13"/>
        <v>0</v>
      </c>
      <c r="O39" s="296"/>
      <c r="P39" s="296"/>
      <c r="Q39" s="39">
        <f t="shared" si="82"/>
        <v>0</v>
      </c>
      <c r="R39" s="40"/>
      <c r="S39" s="296"/>
      <c r="T39" s="296"/>
      <c r="U39" s="39">
        <f t="shared" si="83"/>
        <v>0</v>
      </c>
      <c r="V39" s="297"/>
      <c r="W39" s="297"/>
      <c r="X39" s="39">
        <f t="shared" si="75"/>
        <v>0</v>
      </c>
      <c r="Y39" s="45">
        <f t="shared" si="76"/>
        <v>0</v>
      </c>
      <c r="Z39" s="41"/>
      <c r="AA39" s="42"/>
      <c r="AB39" s="39">
        <f t="shared" si="71"/>
        <v>0</v>
      </c>
      <c r="AC39" s="42"/>
      <c r="AD39" s="39">
        <f t="shared" si="72"/>
        <v>0</v>
      </c>
      <c r="AE39" s="42"/>
      <c r="AF39" s="39">
        <f t="shared" si="34"/>
        <v>0</v>
      </c>
      <c r="AG39" s="42"/>
      <c r="AH39" s="39">
        <f t="shared" si="35"/>
        <v>0</v>
      </c>
      <c r="AI39" s="42"/>
      <c r="AJ39" s="39">
        <f t="shared" si="36"/>
        <v>0</v>
      </c>
      <c r="AK39" s="42"/>
      <c r="AL39" s="39">
        <f t="shared" si="37"/>
        <v>0</v>
      </c>
      <c r="AM39" s="42"/>
      <c r="AN39" s="46">
        <f t="shared" si="38"/>
        <v>0</v>
      </c>
      <c r="AO39" s="42"/>
      <c r="AP39" s="39">
        <f t="shared" si="39"/>
        <v>0</v>
      </c>
      <c r="AQ39" s="43"/>
      <c r="AR39" s="129">
        <f t="shared" si="0"/>
        <v>44410</v>
      </c>
      <c r="AS39" s="44"/>
      <c r="AT39" s="39">
        <f t="shared" si="55"/>
        <v>0</v>
      </c>
      <c r="AU39" s="43"/>
      <c r="AV39" s="44"/>
      <c r="AW39" s="39">
        <f t="shared" si="56"/>
        <v>0</v>
      </c>
      <c r="AX39" s="42"/>
      <c r="AY39" s="47">
        <f t="shared" si="57"/>
        <v>0</v>
      </c>
      <c r="AZ39" s="39">
        <f t="shared" si="58"/>
        <v>0</v>
      </c>
      <c r="BA39" s="44"/>
      <c r="BB39" s="39">
        <f t="shared" si="43"/>
        <v>0</v>
      </c>
      <c r="BC39" s="44"/>
      <c r="BD39" s="39">
        <f t="shared" si="44"/>
        <v>0</v>
      </c>
      <c r="BE39" s="44"/>
      <c r="BF39" s="39">
        <f t="shared" si="45"/>
        <v>0</v>
      </c>
      <c r="BI39" s="49">
        <f t="shared" si="1"/>
        <v>0</v>
      </c>
      <c r="BL39" s="131"/>
      <c r="BM39" s="131"/>
      <c r="BN39" s="49">
        <f t="shared" si="2"/>
        <v>0</v>
      </c>
      <c r="BR39" s="49">
        <f t="shared" si="3"/>
        <v>0</v>
      </c>
      <c r="BU39" s="106"/>
      <c r="BV39" s="49">
        <f t="shared" si="4"/>
        <v>0</v>
      </c>
      <c r="BW39" s="107"/>
      <c r="BX39" s="108"/>
      <c r="BY39" s="106"/>
      <c r="BZ39" s="108"/>
      <c r="CA39" s="106"/>
      <c r="CB39" s="43"/>
      <c r="CC39" s="49">
        <f t="shared" si="5"/>
        <v>0</v>
      </c>
      <c r="CF39" s="131"/>
      <c r="CG39" s="131"/>
      <c r="CH39" s="131"/>
      <c r="CI39" s="49">
        <f t="shared" si="6"/>
        <v>0</v>
      </c>
      <c r="CL39" s="131"/>
      <c r="CM39" s="132"/>
      <c r="CN39" s="49">
        <f t="shared" si="7"/>
        <v>0</v>
      </c>
      <c r="CP39" s="133"/>
      <c r="CQ39" s="110"/>
      <c r="CR39" s="49">
        <f t="shared" si="8"/>
        <v>0</v>
      </c>
      <c r="CU39" s="131"/>
      <c r="CV39" s="132"/>
      <c r="CW39" s="49">
        <f t="shared" si="9"/>
        <v>0</v>
      </c>
      <c r="CZ39" s="131"/>
      <c r="DD39" s="134"/>
      <c r="DE39" s="134"/>
      <c r="DF39" s="134"/>
      <c r="DG39" s="134"/>
      <c r="DH39" s="135"/>
      <c r="DI39" s="136"/>
      <c r="DJ39" s="136"/>
    </row>
    <row r="40" spans="2:114" s="130" customFormat="1" x14ac:dyDescent="0.25">
      <c r="B40" s="82">
        <v>44417</v>
      </c>
      <c r="C40" s="296"/>
      <c r="D40" s="296"/>
      <c r="E40" s="39">
        <f t="shared" si="92"/>
        <v>0</v>
      </c>
      <c r="F40" s="296"/>
      <c r="G40" s="296"/>
      <c r="H40" s="39">
        <f t="shared" si="93"/>
        <v>0</v>
      </c>
      <c r="I40" s="296"/>
      <c r="J40" s="296"/>
      <c r="K40" s="39">
        <f t="shared" si="27"/>
        <v>0</v>
      </c>
      <c r="L40" s="296"/>
      <c r="M40" s="296"/>
      <c r="N40" s="39">
        <f t="shared" si="13"/>
        <v>0</v>
      </c>
      <c r="O40" s="296"/>
      <c r="P40" s="296"/>
      <c r="Q40" s="39">
        <f t="shared" si="82"/>
        <v>0</v>
      </c>
      <c r="R40" s="40"/>
      <c r="S40" s="296"/>
      <c r="T40" s="296"/>
      <c r="U40" s="39">
        <f t="shared" si="83"/>
        <v>0</v>
      </c>
      <c r="V40" s="297"/>
      <c r="W40" s="297"/>
      <c r="X40" s="39">
        <f t="shared" si="75"/>
        <v>0</v>
      </c>
      <c r="Y40" s="45">
        <f t="shared" si="76"/>
        <v>0</v>
      </c>
      <c r="Z40" s="41"/>
      <c r="AA40" s="42"/>
      <c r="AB40" s="39">
        <f t="shared" si="71"/>
        <v>0</v>
      </c>
      <c r="AC40" s="42"/>
      <c r="AD40" s="39">
        <f t="shared" si="72"/>
        <v>0</v>
      </c>
      <c r="AE40" s="42"/>
      <c r="AF40" s="39">
        <f t="shared" si="34"/>
        <v>0</v>
      </c>
      <c r="AG40" s="42"/>
      <c r="AH40" s="39">
        <f t="shared" si="35"/>
        <v>0</v>
      </c>
      <c r="AI40" s="42"/>
      <c r="AJ40" s="39">
        <f t="shared" si="36"/>
        <v>0</v>
      </c>
      <c r="AK40" s="42"/>
      <c r="AL40" s="39">
        <f t="shared" si="37"/>
        <v>0</v>
      </c>
      <c r="AM40" s="42"/>
      <c r="AN40" s="46">
        <f t="shared" si="38"/>
        <v>0</v>
      </c>
      <c r="AO40" s="42"/>
      <c r="AP40" s="39">
        <f t="shared" si="39"/>
        <v>0</v>
      </c>
      <c r="AQ40" s="43"/>
      <c r="AR40" s="129">
        <f t="shared" si="0"/>
        <v>44417</v>
      </c>
      <c r="AS40" s="44"/>
      <c r="AT40" s="39">
        <f t="shared" si="55"/>
        <v>0</v>
      </c>
      <c r="AU40" s="43"/>
      <c r="AV40" s="44"/>
      <c r="AW40" s="39">
        <f t="shared" si="56"/>
        <v>0</v>
      </c>
      <c r="AX40" s="42"/>
      <c r="AY40" s="47">
        <f t="shared" si="57"/>
        <v>0</v>
      </c>
      <c r="AZ40" s="39">
        <f t="shared" si="58"/>
        <v>0</v>
      </c>
      <c r="BA40" s="44"/>
      <c r="BB40" s="39">
        <f t="shared" si="43"/>
        <v>0</v>
      </c>
      <c r="BC40" s="44"/>
      <c r="BD40" s="39">
        <f t="shared" si="44"/>
        <v>0</v>
      </c>
      <c r="BE40" s="44"/>
      <c r="BF40" s="39">
        <f t="shared" si="45"/>
        <v>0</v>
      </c>
      <c r="BI40" s="49">
        <f t="shared" si="1"/>
        <v>0</v>
      </c>
      <c r="BL40" s="131"/>
      <c r="BM40" s="131"/>
      <c r="BN40" s="49">
        <f t="shared" si="2"/>
        <v>0</v>
      </c>
      <c r="BR40" s="49">
        <f t="shared" si="3"/>
        <v>0</v>
      </c>
      <c r="BU40" s="106"/>
      <c r="BV40" s="49">
        <f t="shared" si="4"/>
        <v>0</v>
      </c>
      <c r="BW40" s="107"/>
      <c r="BX40" s="108"/>
      <c r="BY40" s="106"/>
      <c r="BZ40" s="108"/>
      <c r="CA40" s="106"/>
      <c r="CB40" s="43"/>
      <c r="CC40" s="49">
        <f t="shared" si="5"/>
        <v>0</v>
      </c>
      <c r="CF40" s="131"/>
      <c r="CG40" s="131"/>
      <c r="CH40" s="131"/>
      <c r="CI40" s="49">
        <f t="shared" si="6"/>
        <v>0</v>
      </c>
      <c r="CL40" s="131"/>
      <c r="CM40" s="132"/>
      <c r="CN40" s="49">
        <f t="shared" si="7"/>
        <v>0</v>
      </c>
      <c r="CP40" s="133"/>
      <c r="CQ40" s="110"/>
      <c r="CR40" s="49">
        <f t="shared" si="8"/>
        <v>0</v>
      </c>
      <c r="CU40" s="131"/>
      <c r="CV40" s="132"/>
      <c r="CW40" s="49">
        <f t="shared" si="9"/>
        <v>0</v>
      </c>
      <c r="CZ40" s="131"/>
      <c r="DD40" s="134"/>
      <c r="DE40" s="134"/>
      <c r="DF40" s="134"/>
      <c r="DG40" s="134"/>
      <c r="DH40" s="135"/>
      <c r="DI40" s="136"/>
      <c r="DJ40" s="136"/>
    </row>
    <row r="41" spans="2:114" s="130" customFormat="1" x14ac:dyDescent="0.25">
      <c r="B41" s="82">
        <v>44424</v>
      </c>
      <c r="C41" s="296"/>
      <c r="D41" s="296"/>
      <c r="E41" s="39">
        <f t="shared" ref="E41" si="94">SUM(C41-C40)*10</f>
        <v>0</v>
      </c>
      <c r="F41" s="296"/>
      <c r="G41" s="296"/>
      <c r="H41" s="39">
        <f t="shared" ref="H41" si="95">SUM(F41-F40)*10</f>
        <v>0</v>
      </c>
      <c r="I41" s="296"/>
      <c r="J41" s="296"/>
      <c r="K41" s="39">
        <f t="shared" si="27"/>
        <v>0</v>
      </c>
      <c r="L41" s="296"/>
      <c r="M41" s="296"/>
      <c r="N41" s="39">
        <f t="shared" si="13"/>
        <v>0</v>
      </c>
      <c r="O41" s="296"/>
      <c r="P41" s="296"/>
      <c r="Q41" s="39">
        <f t="shared" si="82"/>
        <v>0</v>
      </c>
      <c r="R41" s="40"/>
      <c r="S41" s="296"/>
      <c r="T41" s="296"/>
      <c r="U41" s="39">
        <f t="shared" si="83"/>
        <v>0</v>
      </c>
      <c r="V41" s="297"/>
      <c r="W41" s="297"/>
      <c r="X41" s="39">
        <f t="shared" si="75"/>
        <v>0</v>
      </c>
      <c r="Y41" s="45">
        <f t="shared" si="76"/>
        <v>0</v>
      </c>
      <c r="Z41" s="41"/>
      <c r="AA41" s="42"/>
      <c r="AB41" s="39">
        <f t="shared" si="71"/>
        <v>0</v>
      </c>
      <c r="AC41" s="42"/>
      <c r="AD41" s="39">
        <f t="shared" si="72"/>
        <v>0</v>
      </c>
      <c r="AE41" s="42"/>
      <c r="AF41" s="39">
        <f t="shared" si="34"/>
        <v>0</v>
      </c>
      <c r="AG41" s="42"/>
      <c r="AH41" s="39">
        <f t="shared" si="35"/>
        <v>0</v>
      </c>
      <c r="AI41" s="42"/>
      <c r="AJ41" s="39">
        <f t="shared" si="36"/>
        <v>0</v>
      </c>
      <c r="AK41" s="42"/>
      <c r="AL41" s="39">
        <f t="shared" si="37"/>
        <v>0</v>
      </c>
      <c r="AM41" s="42"/>
      <c r="AN41" s="46">
        <f t="shared" si="38"/>
        <v>0</v>
      </c>
      <c r="AO41" s="42"/>
      <c r="AP41" s="39">
        <f t="shared" si="39"/>
        <v>0</v>
      </c>
      <c r="AQ41" s="43"/>
      <c r="AR41" s="129">
        <f t="shared" si="0"/>
        <v>44424</v>
      </c>
      <c r="AS41" s="44"/>
      <c r="AT41" s="39">
        <f t="shared" si="55"/>
        <v>0</v>
      </c>
      <c r="AU41" s="43"/>
      <c r="AV41" s="44"/>
      <c r="AW41" s="39">
        <f t="shared" si="56"/>
        <v>0</v>
      </c>
      <c r="AX41" s="42"/>
      <c r="AY41" s="47">
        <f t="shared" si="57"/>
        <v>0</v>
      </c>
      <c r="AZ41" s="39">
        <f t="shared" si="58"/>
        <v>0</v>
      </c>
      <c r="BA41" s="44"/>
      <c r="BB41" s="39">
        <f t="shared" si="43"/>
        <v>0</v>
      </c>
      <c r="BD41" s="39">
        <f t="shared" si="44"/>
        <v>0</v>
      </c>
      <c r="BE41" s="44"/>
      <c r="BF41" s="39">
        <f t="shared" si="45"/>
        <v>0</v>
      </c>
      <c r="BI41" s="49">
        <f t="shared" si="1"/>
        <v>0</v>
      </c>
      <c r="BL41" s="131"/>
      <c r="BM41" s="131"/>
      <c r="BN41" s="49">
        <f t="shared" si="2"/>
        <v>0</v>
      </c>
      <c r="BR41" s="49">
        <f t="shared" si="3"/>
        <v>0</v>
      </c>
      <c r="BU41" s="106"/>
      <c r="BV41" s="49">
        <f t="shared" si="4"/>
        <v>0</v>
      </c>
      <c r="BW41" s="107"/>
      <c r="BX41" s="108"/>
      <c r="BY41" s="106"/>
      <c r="BZ41" s="108"/>
      <c r="CA41" s="106"/>
      <c r="CB41" s="43"/>
      <c r="CC41" s="49">
        <f t="shared" si="5"/>
        <v>0</v>
      </c>
      <c r="CF41" s="131"/>
      <c r="CG41" s="131"/>
      <c r="CH41" s="131"/>
      <c r="CI41" s="49">
        <f t="shared" si="6"/>
        <v>0</v>
      </c>
      <c r="CL41" s="131"/>
      <c r="CM41" s="132"/>
      <c r="CN41" s="49">
        <f t="shared" si="7"/>
        <v>0</v>
      </c>
      <c r="CP41" s="133"/>
      <c r="CQ41" s="110"/>
      <c r="CR41" s="49">
        <f>(BC42)</f>
        <v>0</v>
      </c>
      <c r="CU41" s="131"/>
      <c r="CV41" s="132"/>
      <c r="CW41" s="49">
        <f t="shared" si="9"/>
        <v>0</v>
      </c>
      <c r="CZ41" s="131"/>
      <c r="DD41" s="134"/>
      <c r="DE41" s="134"/>
      <c r="DF41" s="134"/>
      <c r="DG41" s="134"/>
      <c r="DH41" s="135"/>
      <c r="DI41" s="136"/>
      <c r="DJ41" s="136"/>
    </row>
    <row r="42" spans="2:114" s="130" customFormat="1" x14ac:dyDescent="0.25">
      <c r="B42" s="82">
        <v>44431</v>
      </c>
      <c r="C42" s="296"/>
      <c r="D42" s="296"/>
      <c r="E42" s="39">
        <f t="shared" ref="E42" si="96">SUM(C42-C41)*10</f>
        <v>0</v>
      </c>
      <c r="F42" s="296"/>
      <c r="G42" s="296"/>
      <c r="H42" s="39">
        <f t="shared" ref="H42" si="97">SUM(F42-F41)*10</f>
        <v>0</v>
      </c>
      <c r="I42" s="296"/>
      <c r="J42" s="296"/>
      <c r="K42" s="39">
        <f t="shared" si="27"/>
        <v>0</v>
      </c>
      <c r="L42" s="296"/>
      <c r="M42" s="296"/>
      <c r="N42" s="39">
        <f t="shared" si="13"/>
        <v>0</v>
      </c>
      <c r="O42" s="296"/>
      <c r="P42" s="296"/>
      <c r="Q42" s="39">
        <f t="shared" si="82"/>
        <v>0</v>
      </c>
      <c r="R42" s="40"/>
      <c r="S42" s="296"/>
      <c r="T42" s="296"/>
      <c r="U42" s="39">
        <f t="shared" si="83"/>
        <v>0</v>
      </c>
      <c r="V42" s="297"/>
      <c r="W42" s="297"/>
      <c r="X42" s="39">
        <f t="shared" si="75"/>
        <v>0</v>
      </c>
      <c r="Y42" s="45">
        <f t="shared" si="76"/>
        <v>0</v>
      </c>
      <c r="Z42" s="41"/>
      <c r="AA42" s="42"/>
      <c r="AB42" s="39">
        <f t="shared" si="71"/>
        <v>0</v>
      </c>
      <c r="AC42" s="42"/>
      <c r="AD42" s="39">
        <f t="shared" si="72"/>
        <v>0</v>
      </c>
      <c r="AE42" s="42"/>
      <c r="AF42" s="39">
        <f t="shared" si="34"/>
        <v>0</v>
      </c>
      <c r="AG42" s="42"/>
      <c r="AH42" s="39">
        <f t="shared" si="35"/>
        <v>0</v>
      </c>
      <c r="AI42" s="42"/>
      <c r="AJ42" s="39">
        <f t="shared" si="36"/>
        <v>0</v>
      </c>
      <c r="AK42" s="42"/>
      <c r="AL42" s="39">
        <f t="shared" si="37"/>
        <v>0</v>
      </c>
      <c r="AM42" s="42"/>
      <c r="AN42" s="46">
        <f t="shared" si="38"/>
        <v>0</v>
      </c>
      <c r="AO42" s="42"/>
      <c r="AP42" s="39">
        <f t="shared" si="39"/>
        <v>0</v>
      </c>
      <c r="AQ42" s="43"/>
      <c r="AR42" s="129">
        <f t="shared" si="0"/>
        <v>44431</v>
      </c>
      <c r="AS42" s="44"/>
      <c r="AT42" s="39">
        <f t="shared" si="55"/>
        <v>0</v>
      </c>
      <c r="AU42" s="43"/>
      <c r="AV42" s="44"/>
      <c r="AW42" s="39">
        <f t="shared" si="56"/>
        <v>0</v>
      </c>
      <c r="AX42" s="42"/>
      <c r="AY42" s="47">
        <f t="shared" si="57"/>
        <v>0</v>
      </c>
      <c r="AZ42" s="39">
        <f t="shared" si="58"/>
        <v>0</v>
      </c>
      <c r="BA42" s="44"/>
      <c r="BB42" s="39">
        <f t="shared" si="43"/>
        <v>0</v>
      </c>
      <c r="BD42" s="39">
        <f t="shared" si="44"/>
        <v>0</v>
      </c>
      <c r="BE42" s="44"/>
      <c r="BF42" s="39">
        <f t="shared" si="45"/>
        <v>0</v>
      </c>
      <c r="BI42" s="49">
        <f t="shared" si="1"/>
        <v>0</v>
      </c>
      <c r="BL42" s="131"/>
      <c r="BM42" s="131"/>
      <c r="BN42" s="49">
        <f t="shared" si="2"/>
        <v>0</v>
      </c>
      <c r="BR42" s="49">
        <f t="shared" si="3"/>
        <v>0</v>
      </c>
      <c r="BU42" s="106"/>
      <c r="BV42" s="49">
        <f t="shared" si="4"/>
        <v>0</v>
      </c>
      <c r="BW42" s="107"/>
      <c r="BX42" s="108"/>
      <c r="BY42" s="106"/>
      <c r="BZ42" s="108"/>
      <c r="CA42" s="106"/>
      <c r="CB42" s="43"/>
      <c r="CC42" s="49">
        <f t="shared" si="5"/>
        <v>0</v>
      </c>
      <c r="CF42" s="131"/>
      <c r="CG42" s="131"/>
      <c r="CH42" s="131"/>
      <c r="CI42" s="49">
        <f t="shared" si="6"/>
        <v>0</v>
      </c>
      <c r="CL42" s="131"/>
      <c r="CM42" s="132"/>
      <c r="CN42" s="49">
        <f t="shared" si="7"/>
        <v>0</v>
      </c>
      <c r="CP42" s="133"/>
      <c r="CQ42" s="110"/>
      <c r="CR42" s="49">
        <f>(BC43)</f>
        <v>0</v>
      </c>
      <c r="CU42" s="131"/>
      <c r="CV42" s="132"/>
      <c r="CW42" s="49">
        <f t="shared" si="9"/>
        <v>0</v>
      </c>
      <c r="CZ42" s="131"/>
      <c r="DD42" s="134"/>
      <c r="DE42" s="134"/>
      <c r="DF42" s="134"/>
      <c r="DG42" s="134"/>
      <c r="DH42" s="135"/>
      <c r="DI42" s="136"/>
      <c r="DJ42" s="136"/>
    </row>
    <row r="43" spans="2:114" s="130" customFormat="1" x14ac:dyDescent="0.25">
      <c r="B43" s="82">
        <v>44438</v>
      </c>
      <c r="C43" s="296"/>
      <c r="D43" s="296"/>
      <c r="E43" s="39">
        <f t="shared" ref="E43" si="98">SUM(C43-C42)*10</f>
        <v>0</v>
      </c>
      <c r="F43" s="296"/>
      <c r="G43" s="296"/>
      <c r="H43" s="39">
        <f t="shared" ref="H43" si="99">SUM(F43-F42)*10</f>
        <v>0</v>
      </c>
      <c r="I43" s="296"/>
      <c r="J43" s="296"/>
      <c r="K43" s="39">
        <f t="shared" si="27"/>
        <v>0</v>
      </c>
      <c r="L43" s="296"/>
      <c r="M43" s="296"/>
      <c r="N43" s="39">
        <f t="shared" si="13"/>
        <v>0</v>
      </c>
      <c r="O43" s="296"/>
      <c r="P43" s="296"/>
      <c r="Q43" s="39">
        <f t="shared" si="82"/>
        <v>0</v>
      </c>
      <c r="R43" s="40"/>
      <c r="S43" s="296"/>
      <c r="T43" s="296"/>
      <c r="U43" s="39">
        <f t="shared" si="83"/>
        <v>0</v>
      </c>
      <c r="V43" s="297"/>
      <c r="W43" s="297"/>
      <c r="X43" s="39">
        <f t="shared" si="75"/>
        <v>0</v>
      </c>
      <c r="Y43" s="45">
        <f t="shared" si="76"/>
        <v>0</v>
      </c>
      <c r="Z43" s="41"/>
      <c r="AA43" s="42"/>
      <c r="AB43" s="39">
        <f t="shared" si="71"/>
        <v>0</v>
      </c>
      <c r="AC43" s="42"/>
      <c r="AD43" s="39">
        <f t="shared" si="72"/>
        <v>0</v>
      </c>
      <c r="AE43" s="42"/>
      <c r="AF43" s="39">
        <f t="shared" si="34"/>
        <v>0</v>
      </c>
      <c r="AG43" s="42"/>
      <c r="AH43" s="39">
        <f t="shared" si="35"/>
        <v>0</v>
      </c>
      <c r="AI43" s="42"/>
      <c r="AJ43" s="39">
        <f t="shared" si="36"/>
        <v>0</v>
      </c>
      <c r="AK43" s="42"/>
      <c r="AL43" s="39">
        <f t="shared" si="37"/>
        <v>0</v>
      </c>
      <c r="AM43" s="42"/>
      <c r="AN43" s="46">
        <f t="shared" si="38"/>
        <v>0</v>
      </c>
      <c r="AO43" s="42"/>
      <c r="AP43" s="39">
        <f t="shared" si="39"/>
        <v>0</v>
      </c>
      <c r="AQ43" s="43"/>
      <c r="AR43" s="129">
        <f t="shared" si="0"/>
        <v>44438</v>
      </c>
      <c r="AS43" s="44"/>
      <c r="AT43" s="39">
        <f t="shared" si="55"/>
        <v>0</v>
      </c>
      <c r="AU43" s="43"/>
      <c r="AV43" s="44"/>
      <c r="AW43" s="39">
        <f t="shared" si="56"/>
        <v>0</v>
      </c>
      <c r="AX43" s="42"/>
      <c r="AY43" s="47">
        <f t="shared" si="57"/>
        <v>0</v>
      </c>
      <c r="AZ43" s="39">
        <f t="shared" si="58"/>
        <v>0</v>
      </c>
      <c r="BA43" s="44"/>
      <c r="BB43" s="39">
        <f t="shared" si="43"/>
        <v>0</v>
      </c>
      <c r="BD43" s="39">
        <f t="shared" si="44"/>
        <v>0</v>
      </c>
      <c r="BE43" s="44"/>
      <c r="BF43" s="39">
        <f t="shared" si="45"/>
        <v>0</v>
      </c>
      <c r="BI43" s="49">
        <f t="shared" si="1"/>
        <v>0</v>
      </c>
      <c r="BL43" s="131"/>
      <c r="BM43" s="131"/>
      <c r="BN43" s="49">
        <f t="shared" si="2"/>
        <v>0</v>
      </c>
      <c r="BR43" s="49">
        <f t="shared" si="3"/>
        <v>0</v>
      </c>
      <c r="BU43" s="106"/>
      <c r="BV43" s="49">
        <f t="shared" si="4"/>
        <v>0</v>
      </c>
      <c r="BW43" s="107"/>
      <c r="BX43" s="108"/>
      <c r="BY43" s="106"/>
      <c r="BZ43" s="108"/>
      <c r="CA43" s="106"/>
      <c r="CB43" s="43"/>
      <c r="CC43" s="49">
        <f t="shared" si="5"/>
        <v>0</v>
      </c>
      <c r="CF43" s="131"/>
      <c r="CG43" s="131"/>
      <c r="CH43" s="131"/>
      <c r="CI43" s="49">
        <f t="shared" si="6"/>
        <v>0</v>
      </c>
      <c r="CL43" s="131"/>
      <c r="CM43" s="132"/>
      <c r="CN43" s="49">
        <f t="shared" si="7"/>
        <v>0</v>
      </c>
      <c r="CP43" s="133"/>
      <c r="CQ43" s="110"/>
      <c r="CR43" s="49">
        <f>(BC44)</f>
        <v>0</v>
      </c>
      <c r="CU43" s="131"/>
      <c r="CV43" s="132"/>
      <c r="CW43" s="49">
        <f t="shared" si="9"/>
        <v>0</v>
      </c>
      <c r="CZ43" s="131"/>
      <c r="DD43" s="134"/>
      <c r="DE43" s="134"/>
      <c r="DF43" s="134"/>
      <c r="DG43" s="134"/>
      <c r="DH43" s="135"/>
      <c r="DI43" s="136"/>
      <c r="DJ43" s="136"/>
    </row>
    <row r="44" spans="2:114" s="130" customFormat="1" x14ac:dyDescent="0.25">
      <c r="B44" s="82">
        <v>44445</v>
      </c>
      <c r="C44" s="296"/>
      <c r="D44" s="296"/>
      <c r="E44" s="39">
        <f t="shared" ref="E44:E51" si="100">SUM(C44-C43)*10</f>
        <v>0</v>
      </c>
      <c r="F44" s="296"/>
      <c r="G44" s="296"/>
      <c r="H44" s="39">
        <f t="shared" ref="H44:H51" si="101">SUM(F44-F43)*10</f>
        <v>0</v>
      </c>
      <c r="I44" s="296"/>
      <c r="J44" s="296"/>
      <c r="K44" s="39">
        <f t="shared" si="27"/>
        <v>0</v>
      </c>
      <c r="L44" s="296"/>
      <c r="M44" s="296"/>
      <c r="N44" s="39">
        <f t="shared" si="13"/>
        <v>0</v>
      </c>
      <c r="O44" s="296"/>
      <c r="P44" s="296"/>
      <c r="Q44" s="39">
        <f t="shared" si="82"/>
        <v>0</v>
      </c>
      <c r="R44" s="40"/>
      <c r="S44" s="296"/>
      <c r="T44" s="296"/>
      <c r="U44" s="39">
        <f t="shared" si="83"/>
        <v>0</v>
      </c>
      <c r="V44" s="297"/>
      <c r="W44" s="297"/>
      <c r="X44" s="39">
        <f t="shared" si="75"/>
        <v>0</v>
      </c>
      <c r="Y44" s="45">
        <f t="shared" si="76"/>
        <v>0</v>
      </c>
      <c r="Z44" s="41"/>
      <c r="AA44" s="42"/>
      <c r="AB44" s="39">
        <f t="shared" si="71"/>
        <v>0</v>
      </c>
      <c r="AC44" s="42"/>
      <c r="AD44" s="39">
        <f t="shared" si="72"/>
        <v>0</v>
      </c>
      <c r="AE44" s="42"/>
      <c r="AF44" s="39">
        <f t="shared" si="34"/>
        <v>0</v>
      </c>
      <c r="AG44" s="42"/>
      <c r="AH44" s="39">
        <f t="shared" si="35"/>
        <v>0</v>
      </c>
      <c r="AI44" s="42"/>
      <c r="AJ44" s="39">
        <f t="shared" si="36"/>
        <v>0</v>
      </c>
      <c r="AK44" s="42"/>
      <c r="AL44" s="39">
        <f t="shared" si="37"/>
        <v>0</v>
      </c>
      <c r="AM44" s="42"/>
      <c r="AN44" s="46">
        <f t="shared" si="38"/>
        <v>0</v>
      </c>
      <c r="AO44" s="42"/>
      <c r="AP44" s="39">
        <f t="shared" si="39"/>
        <v>0</v>
      </c>
      <c r="AQ44" s="43"/>
      <c r="AR44" s="129">
        <f t="shared" si="0"/>
        <v>44445</v>
      </c>
      <c r="AS44" s="44"/>
      <c r="AT44" s="39">
        <f t="shared" si="55"/>
        <v>0</v>
      </c>
      <c r="AU44" s="43"/>
      <c r="AV44" s="44"/>
      <c r="AW44" s="39">
        <f t="shared" si="56"/>
        <v>0</v>
      </c>
      <c r="AX44" s="42"/>
      <c r="AY44" s="47">
        <f t="shared" si="57"/>
        <v>0</v>
      </c>
      <c r="AZ44" s="39">
        <f t="shared" si="58"/>
        <v>0</v>
      </c>
      <c r="BA44" s="44"/>
      <c r="BB44" s="39">
        <f t="shared" si="43"/>
        <v>0</v>
      </c>
      <c r="BD44" s="39">
        <f t="shared" si="44"/>
        <v>0</v>
      </c>
      <c r="BE44" s="44"/>
      <c r="BF44" s="39">
        <f t="shared" si="45"/>
        <v>0</v>
      </c>
      <c r="BI44" s="49">
        <f t="shared" si="1"/>
        <v>0</v>
      </c>
      <c r="BL44" s="131"/>
      <c r="BM44" s="131"/>
      <c r="BN44" s="49">
        <f t="shared" si="2"/>
        <v>0</v>
      </c>
      <c r="BR44" s="49">
        <f t="shared" si="3"/>
        <v>0</v>
      </c>
      <c r="BU44" s="106"/>
      <c r="BV44" s="49">
        <f t="shared" si="4"/>
        <v>0</v>
      </c>
      <c r="BW44" s="107"/>
      <c r="BX44" s="108"/>
      <c r="BY44" s="106"/>
      <c r="BZ44" s="108"/>
      <c r="CA44" s="106"/>
      <c r="CB44" s="43"/>
      <c r="CC44" s="49">
        <f t="shared" si="5"/>
        <v>0</v>
      </c>
      <c r="CF44" s="131"/>
      <c r="CG44" s="131"/>
      <c r="CH44" s="131"/>
      <c r="CI44" s="49">
        <f t="shared" si="6"/>
        <v>0</v>
      </c>
      <c r="CL44" s="131"/>
      <c r="CM44" s="132"/>
      <c r="CN44" s="49">
        <f t="shared" si="7"/>
        <v>0</v>
      </c>
      <c r="CP44" s="133"/>
      <c r="CQ44" s="110"/>
      <c r="CR44" s="49">
        <f>(BC45)</f>
        <v>0</v>
      </c>
      <c r="CU44" s="131"/>
      <c r="CV44" s="132"/>
      <c r="CW44" s="49">
        <f t="shared" si="9"/>
        <v>0</v>
      </c>
      <c r="CZ44" s="131"/>
      <c r="DD44" s="134"/>
      <c r="DE44" s="134"/>
      <c r="DF44" s="134"/>
      <c r="DG44" s="134"/>
      <c r="DH44" s="135"/>
      <c r="DI44" s="136"/>
      <c r="DJ44" s="136"/>
    </row>
    <row r="45" spans="2:114" x14ac:dyDescent="0.25">
      <c r="B45" s="82">
        <f>B44+7</f>
        <v>44452</v>
      </c>
      <c r="C45" s="268"/>
      <c r="D45" s="269"/>
      <c r="E45" s="39">
        <f t="shared" si="100"/>
        <v>0</v>
      </c>
      <c r="F45" s="268"/>
      <c r="G45" s="269"/>
      <c r="H45" s="39">
        <f t="shared" si="101"/>
        <v>0</v>
      </c>
      <c r="I45" s="268"/>
      <c r="J45" s="269"/>
      <c r="K45" s="39">
        <f t="shared" si="27"/>
        <v>0</v>
      </c>
      <c r="L45" s="268"/>
      <c r="M45" s="269"/>
      <c r="N45" s="39">
        <f t="shared" si="13"/>
        <v>0</v>
      </c>
      <c r="O45" s="268"/>
      <c r="P45" s="269"/>
      <c r="Q45" s="39">
        <f t="shared" si="82"/>
        <v>0</v>
      </c>
      <c r="R45" s="40"/>
      <c r="S45" s="268"/>
      <c r="T45" s="269"/>
      <c r="U45" s="39">
        <f t="shared" si="83"/>
        <v>0</v>
      </c>
      <c r="V45" s="268"/>
      <c r="W45" s="269"/>
      <c r="X45" s="39">
        <f t="shared" ref="X45:X51" si="102">SUM(V45-V44)*100</f>
        <v>0</v>
      </c>
      <c r="Y45" s="45">
        <f t="shared" ref="Y45:Y51" si="103">SUM(U45+X45)</f>
        <v>0</v>
      </c>
      <c r="Z45" s="41"/>
      <c r="AA45" s="199"/>
      <c r="AB45" s="39">
        <f t="shared" si="71"/>
        <v>0</v>
      </c>
      <c r="AC45" s="199"/>
      <c r="AD45" s="39">
        <f t="shared" si="72"/>
        <v>0</v>
      </c>
      <c r="AE45" s="199"/>
      <c r="AF45" s="39">
        <f t="shared" si="34"/>
        <v>0</v>
      </c>
      <c r="AG45" s="199"/>
      <c r="AH45" s="39">
        <f t="shared" si="35"/>
        <v>0</v>
      </c>
      <c r="AI45" s="199"/>
      <c r="AJ45" s="39">
        <f t="shared" si="36"/>
        <v>0</v>
      </c>
      <c r="AK45" s="199"/>
      <c r="AL45" s="39">
        <f t="shared" si="37"/>
        <v>0</v>
      </c>
      <c r="AM45" s="42"/>
      <c r="AN45" s="46">
        <f t="shared" si="38"/>
        <v>0</v>
      </c>
      <c r="AO45" s="199"/>
      <c r="AP45" s="39">
        <f t="shared" si="39"/>
        <v>0</v>
      </c>
      <c r="AQ45" s="43"/>
      <c r="AR45" s="129">
        <v>44080</v>
      </c>
      <c r="AS45" s="199"/>
      <c r="AT45" s="39">
        <f t="shared" si="55"/>
        <v>0</v>
      </c>
      <c r="AU45" s="43"/>
      <c r="AV45" s="199"/>
      <c r="AW45" s="39">
        <f t="shared" si="56"/>
        <v>0</v>
      </c>
      <c r="AX45" s="199"/>
      <c r="AY45" s="47">
        <f t="shared" si="57"/>
        <v>0</v>
      </c>
      <c r="AZ45" s="39">
        <f t="shared" si="58"/>
        <v>0</v>
      </c>
      <c r="BA45" s="199"/>
      <c r="BB45" s="39">
        <f t="shared" si="43"/>
        <v>0</v>
      </c>
      <c r="BC45" s="201"/>
      <c r="BD45" s="39">
        <f t="shared" si="44"/>
        <v>0</v>
      </c>
      <c r="BE45" s="199"/>
      <c r="BF45" s="39">
        <f t="shared" si="45"/>
        <v>0</v>
      </c>
    </row>
    <row r="46" spans="2:114" x14ac:dyDescent="0.25">
      <c r="B46" s="82">
        <f t="shared" ref="B46:B47" si="104">B45+7</f>
        <v>44459</v>
      </c>
      <c r="C46" s="268"/>
      <c r="D46" s="269"/>
      <c r="E46" s="39">
        <f t="shared" si="100"/>
        <v>0</v>
      </c>
      <c r="F46" s="268"/>
      <c r="G46" s="269"/>
      <c r="H46" s="39">
        <f t="shared" si="101"/>
        <v>0</v>
      </c>
      <c r="I46" s="268"/>
      <c r="J46" s="269"/>
      <c r="K46" s="39">
        <f t="shared" si="27"/>
        <v>0</v>
      </c>
      <c r="L46" s="268"/>
      <c r="M46" s="269"/>
      <c r="N46" s="39">
        <f t="shared" si="13"/>
        <v>0</v>
      </c>
      <c r="O46" s="268"/>
      <c r="P46" s="269"/>
      <c r="Q46" s="39">
        <f t="shared" si="82"/>
        <v>0</v>
      </c>
      <c r="R46" s="40"/>
      <c r="S46" s="268"/>
      <c r="T46" s="269"/>
      <c r="U46" s="39">
        <f t="shared" si="83"/>
        <v>0</v>
      </c>
      <c r="V46" s="268"/>
      <c r="W46" s="269"/>
      <c r="X46" s="39">
        <f t="shared" si="102"/>
        <v>0</v>
      </c>
      <c r="Y46" s="45">
        <f t="shared" si="103"/>
        <v>0</v>
      </c>
      <c r="Z46" s="41"/>
      <c r="AA46" s="199"/>
      <c r="AB46" s="39">
        <f t="shared" si="71"/>
        <v>0</v>
      </c>
      <c r="AC46" s="199"/>
      <c r="AD46" s="39">
        <f t="shared" si="72"/>
        <v>0</v>
      </c>
      <c r="AE46" s="199"/>
      <c r="AF46" s="39">
        <f t="shared" si="34"/>
        <v>0</v>
      </c>
      <c r="AG46" s="199"/>
      <c r="AH46" s="39">
        <f t="shared" si="35"/>
        <v>0</v>
      </c>
      <c r="AI46" s="199"/>
      <c r="AJ46" s="39">
        <f t="shared" si="36"/>
        <v>0</v>
      </c>
      <c r="AK46" s="199"/>
      <c r="AL46" s="39">
        <f t="shared" si="37"/>
        <v>0</v>
      </c>
      <c r="AM46" s="42"/>
      <c r="AN46" s="46">
        <f t="shared" si="38"/>
        <v>0</v>
      </c>
      <c r="AO46" s="199"/>
      <c r="AP46" s="39">
        <f t="shared" si="39"/>
        <v>0</v>
      </c>
      <c r="AQ46" s="43"/>
      <c r="AR46" s="26">
        <f>AR45+7</f>
        <v>44087</v>
      </c>
      <c r="AS46" s="199"/>
      <c r="AT46" s="39">
        <f t="shared" si="55"/>
        <v>0</v>
      </c>
      <c r="AU46" s="43"/>
      <c r="AV46" s="199"/>
      <c r="AW46" s="39">
        <f t="shared" si="56"/>
        <v>0</v>
      </c>
      <c r="AX46" s="199"/>
      <c r="AY46" s="47">
        <f t="shared" si="57"/>
        <v>0</v>
      </c>
      <c r="AZ46" s="39">
        <f t="shared" si="58"/>
        <v>0</v>
      </c>
      <c r="BA46" s="199"/>
      <c r="BB46" s="39">
        <f t="shared" si="43"/>
        <v>0</v>
      </c>
      <c r="BC46" s="201"/>
      <c r="BD46" s="39">
        <f t="shared" si="44"/>
        <v>0</v>
      </c>
      <c r="BE46" s="199"/>
      <c r="BF46" s="39">
        <f t="shared" si="45"/>
        <v>0</v>
      </c>
    </row>
    <row r="47" spans="2:114" x14ac:dyDescent="0.25">
      <c r="B47" s="82">
        <f t="shared" si="104"/>
        <v>44466</v>
      </c>
      <c r="C47" s="268"/>
      <c r="D47" s="269"/>
      <c r="E47" s="39">
        <f t="shared" si="100"/>
        <v>0</v>
      </c>
      <c r="F47" s="268"/>
      <c r="G47" s="269"/>
      <c r="H47" s="39">
        <f t="shared" si="101"/>
        <v>0</v>
      </c>
      <c r="I47" s="268"/>
      <c r="J47" s="269"/>
      <c r="K47" s="39">
        <f t="shared" si="27"/>
        <v>0</v>
      </c>
      <c r="L47" s="268"/>
      <c r="M47" s="269"/>
      <c r="N47" s="39">
        <f t="shared" si="13"/>
        <v>0</v>
      </c>
      <c r="O47" s="268"/>
      <c r="P47" s="269"/>
      <c r="Q47" s="39">
        <f t="shared" si="82"/>
        <v>0</v>
      </c>
      <c r="R47" s="40"/>
      <c r="S47" s="268"/>
      <c r="T47" s="269"/>
      <c r="U47" s="39">
        <f t="shared" si="83"/>
        <v>0</v>
      </c>
      <c r="V47" s="268"/>
      <c r="W47" s="269"/>
      <c r="X47" s="39">
        <f t="shared" si="102"/>
        <v>0</v>
      </c>
      <c r="Y47" s="45">
        <f t="shared" si="103"/>
        <v>0</v>
      </c>
      <c r="Z47" s="41"/>
      <c r="AA47" s="199"/>
      <c r="AB47" s="39">
        <f t="shared" si="71"/>
        <v>0</v>
      </c>
      <c r="AC47" s="199"/>
      <c r="AD47" s="39">
        <f t="shared" si="72"/>
        <v>0</v>
      </c>
      <c r="AE47" s="199"/>
      <c r="AF47" s="39">
        <f t="shared" si="34"/>
        <v>0</v>
      </c>
      <c r="AG47" s="199"/>
      <c r="AH47" s="39">
        <f t="shared" si="35"/>
        <v>0</v>
      </c>
      <c r="AI47" s="199"/>
      <c r="AJ47" s="39">
        <f t="shared" si="36"/>
        <v>0</v>
      </c>
      <c r="AK47" s="199"/>
      <c r="AL47" s="39">
        <f t="shared" si="37"/>
        <v>0</v>
      </c>
      <c r="AM47" s="42"/>
      <c r="AN47" s="46">
        <f t="shared" si="38"/>
        <v>0</v>
      </c>
      <c r="AO47" s="199"/>
      <c r="AP47" s="39">
        <f t="shared" si="39"/>
        <v>0</v>
      </c>
      <c r="AQ47" s="43"/>
      <c r="AR47" s="26">
        <f t="shared" ref="AR47:AR48" si="105">AR46+7</f>
        <v>44094</v>
      </c>
      <c r="AS47" s="199"/>
      <c r="AT47" s="39">
        <f t="shared" si="55"/>
        <v>0</v>
      </c>
      <c r="AU47" s="43"/>
      <c r="AV47" s="199"/>
      <c r="AW47" s="39">
        <f t="shared" si="56"/>
        <v>0</v>
      </c>
      <c r="AX47" s="199"/>
      <c r="AY47" s="47">
        <f t="shared" si="57"/>
        <v>0</v>
      </c>
      <c r="AZ47" s="39">
        <f t="shared" si="58"/>
        <v>0</v>
      </c>
      <c r="BA47" s="199"/>
      <c r="BB47" s="39">
        <f t="shared" si="43"/>
        <v>0</v>
      </c>
      <c r="BC47" s="201"/>
      <c r="BD47" s="39">
        <f t="shared" si="44"/>
        <v>0</v>
      </c>
      <c r="BE47" s="199"/>
      <c r="BF47" s="39">
        <f t="shared" si="45"/>
        <v>0</v>
      </c>
    </row>
    <row r="48" spans="2:114" x14ac:dyDescent="0.25">
      <c r="B48" s="82">
        <v>44470</v>
      </c>
      <c r="C48" s="268"/>
      <c r="D48" s="269"/>
      <c r="E48" s="39">
        <f t="shared" si="100"/>
        <v>0</v>
      </c>
      <c r="F48" s="268"/>
      <c r="G48" s="269"/>
      <c r="H48" s="39">
        <f t="shared" si="101"/>
        <v>0</v>
      </c>
      <c r="I48" s="268"/>
      <c r="J48" s="269"/>
      <c r="K48" s="39">
        <f t="shared" si="27"/>
        <v>0</v>
      </c>
      <c r="L48" s="268"/>
      <c r="M48" s="269"/>
      <c r="N48" s="39">
        <f t="shared" si="13"/>
        <v>0</v>
      </c>
      <c r="O48" s="268"/>
      <c r="P48" s="269"/>
      <c r="Q48" s="39">
        <f t="shared" si="82"/>
        <v>0</v>
      </c>
      <c r="R48" s="40"/>
      <c r="S48" s="268"/>
      <c r="T48" s="269"/>
      <c r="U48" s="39">
        <f t="shared" si="83"/>
        <v>0</v>
      </c>
      <c r="V48" s="268"/>
      <c r="W48" s="269"/>
      <c r="X48" s="39">
        <f t="shared" si="102"/>
        <v>0</v>
      </c>
      <c r="Y48" s="45">
        <f t="shared" si="103"/>
        <v>0</v>
      </c>
      <c r="Z48" s="41"/>
      <c r="AA48" s="199"/>
      <c r="AB48" s="39">
        <f t="shared" si="71"/>
        <v>0</v>
      </c>
      <c r="AC48" s="199"/>
      <c r="AD48" s="39">
        <f t="shared" si="72"/>
        <v>0</v>
      </c>
      <c r="AE48" s="199"/>
      <c r="AF48" s="39">
        <f t="shared" si="34"/>
        <v>0</v>
      </c>
      <c r="AG48" s="199"/>
      <c r="AH48" s="39">
        <f t="shared" si="35"/>
        <v>0</v>
      </c>
      <c r="AI48" s="199"/>
      <c r="AJ48" s="39">
        <f t="shared" si="36"/>
        <v>0</v>
      </c>
      <c r="AK48" s="199"/>
      <c r="AL48" s="39">
        <f t="shared" si="37"/>
        <v>0</v>
      </c>
      <c r="AM48" s="42"/>
      <c r="AN48" s="46">
        <f t="shared" si="38"/>
        <v>0</v>
      </c>
      <c r="AO48" s="199"/>
      <c r="AP48" s="39">
        <f t="shared" si="39"/>
        <v>0</v>
      </c>
      <c r="AQ48" s="43"/>
      <c r="AR48" s="26">
        <f t="shared" si="105"/>
        <v>44101</v>
      </c>
      <c r="AS48" s="199"/>
      <c r="AT48" s="39">
        <f t="shared" si="55"/>
        <v>0</v>
      </c>
      <c r="AU48" s="43"/>
      <c r="AV48" s="199"/>
      <c r="AW48" s="39">
        <f t="shared" si="56"/>
        <v>0</v>
      </c>
      <c r="AX48" s="199"/>
      <c r="AY48" s="47">
        <f t="shared" si="57"/>
        <v>0</v>
      </c>
      <c r="AZ48" s="39">
        <f t="shared" si="58"/>
        <v>0</v>
      </c>
      <c r="BA48" s="199"/>
      <c r="BB48" s="39">
        <f t="shared" si="43"/>
        <v>0</v>
      </c>
      <c r="BC48" s="201"/>
      <c r="BD48" s="39">
        <f t="shared" si="44"/>
        <v>0</v>
      </c>
      <c r="BE48" s="199"/>
      <c r="BF48" s="39">
        <f t="shared" si="45"/>
        <v>0</v>
      </c>
    </row>
    <row r="49" spans="2:58" x14ac:dyDescent="0.25">
      <c r="B49" s="82">
        <v>44473</v>
      </c>
      <c r="C49" s="268"/>
      <c r="D49" s="269"/>
      <c r="E49" s="39">
        <f t="shared" si="100"/>
        <v>0</v>
      </c>
      <c r="F49" s="268"/>
      <c r="G49" s="269"/>
      <c r="H49" s="39">
        <f t="shared" si="101"/>
        <v>0</v>
      </c>
      <c r="I49" s="268"/>
      <c r="J49" s="269"/>
      <c r="K49" s="39">
        <f t="shared" si="27"/>
        <v>0</v>
      </c>
      <c r="L49" s="268"/>
      <c r="M49" s="269"/>
      <c r="N49" s="39">
        <f t="shared" si="13"/>
        <v>0</v>
      </c>
      <c r="O49" s="268"/>
      <c r="P49" s="269"/>
      <c r="Q49" s="39">
        <f t="shared" si="82"/>
        <v>0</v>
      </c>
      <c r="R49" s="40"/>
      <c r="S49" s="268"/>
      <c r="T49" s="269"/>
      <c r="U49" s="39">
        <f t="shared" si="83"/>
        <v>0</v>
      </c>
      <c r="V49" s="268"/>
      <c r="W49" s="269"/>
      <c r="X49" s="39">
        <f t="shared" si="102"/>
        <v>0</v>
      </c>
      <c r="Y49" s="45">
        <f t="shared" si="103"/>
        <v>0</v>
      </c>
      <c r="Z49" s="41"/>
      <c r="AA49" s="199"/>
      <c r="AB49" s="39">
        <f t="shared" si="71"/>
        <v>0</v>
      </c>
      <c r="AC49" s="199"/>
      <c r="AD49" s="39">
        <f t="shared" si="72"/>
        <v>0</v>
      </c>
      <c r="AE49" s="199"/>
      <c r="AF49" s="39">
        <f t="shared" si="34"/>
        <v>0</v>
      </c>
      <c r="AG49" s="199"/>
      <c r="AH49" s="39">
        <f t="shared" si="35"/>
        <v>0</v>
      </c>
      <c r="AI49" s="199"/>
      <c r="AJ49" s="39">
        <f t="shared" si="36"/>
        <v>0</v>
      </c>
      <c r="AK49" s="199"/>
      <c r="AL49" s="39">
        <f t="shared" si="37"/>
        <v>0</v>
      </c>
      <c r="AM49" s="42"/>
      <c r="AN49" s="46">
        <f t="shared" si="38"/>
        <v>0</v>
      </c>
      <c r="AO49" s="199"/>
      <c r="AP49" s="39">
        <f t="shared" si="39"/>
        <v>0</v>
      </c>
      <c r="AQ49" s="43"/>
      <c r="AR49" s="26">
        <v>44105</v>
      </c>
      <c r="AS49" s="199"/>
      <c r="AT49" s="39">
        <f t="shared" si="55"/>
        <v>0</v>
      </c>
      <c r="AU49" s="43"/>
      <c r="AV49" s="199"/>
      <c r="AW49" s="39">
        <f t="shared" si="56"/>
        <v>0</v>
      </c>
      <c r="AX49" s="199"/>
      <c r="AY49" s="47">
        <f t="shared" si="57"/>
        <v>0</v>
      </c>
      <c r="AZ49" s="39">
        <f t="shared" si="58"/>
        <v>0</v>
      </c>
      <c r="BA49" s="199"/>
      <c r="BB49" s="39">
        <f t="shared" si="43"/>
        <v>0</v>
      </c>
      <c r="BC49" s="201"/>
      <c r="BD49" s="39">
        <f t="shared" si="44"/>
        <v>0</v>
      </c>
      <c r="BE49" s="199"/>
      <c r="BF49" s="39">
        <f t="shared" si="45"/>
        <v>0</v>
      </c>
    </row>
    <row r="50" spans="2:58" x14ac:dyDescent="0.25">
      <c r="B50" s="82">
        <f>B49+7</f>
        <v>44480</v>
      </c>
      <c r="C50" s="268"/>
      <c r="D50" s="269"/>
      <c r="E50" s="39">
        <f t="shared" si="100"/>
        <v>0</v>
      </c>
      <c r="F50" s="268"/>
      <c r="G50" s="269"/>
      <c r="H50" s="39">
        <f t="shared" si="101"/>
        <v>0</v>
      </c>
      <c r="I50" s="268"/>
      <c r="J50" s="269"/>
      <c r="K50" s="39">
        <f t="shared" si="27"/>
        <v>0</v>
      </c>
      <c r="L50" s="268"/>
      <c r="M50" s="269"/>
      <c r="N50" s="39">
        <f t="shared" si="13"/>
        <v>0</v>
      </c>
      <c r="O50" s="268"/>
      <c r="P50" s="269"/>
      <c r="Q50" s="39">
        <f t="shared" si="82"/>
        <v>0</v>
      </c>
      <c r="R50" s="40"/>
      <c r="S50" s="268"/>
      <c r="T50" s="269"/>
      <c r="U50" s="39">
        <f t="shared" si="83"/>
        <v>0</v>
      </c>
      <c r="V50" s="268"/>
      <c r="W50" s="269"/>
      <c r="X50" s="39">
        <f t="shared" si="102"/>
        <v>0</v>
      </c>
      <c r="Y50" s="45">
        <f t="shared" si="103"/>
        <v>0</v>
      </c>
      <c r="Z50" s="41"/>
      <c r="AA50" s="199"/>
      <c r="AB50" s="39">
        <f t="shared" si="71"/>
        <v>0</v>
      </c>
      <c r="AC50" s="199"/>
      <c r="AD50" s="39">
        <f t="shared" si="72"/>
        <v>0</v>
      </c>
      <c r="AE50" s="199"/>
      <c r="AF50" s="39">
        <f t="shared" si="34"/>
        <v>0</v>
      </c>
      <c r="AG50" s="199"/>
      <c r="AH50" s="39">
        <f t="shared" si="35"/>
        <v>0</v>
      </c>
      <c r="AI50" s="199"/>
      <c r="AJ50" s="39">
        <f t="shared" si="36"/>
        <v>0</v>
      </c>
      <c r="AK50" s="199"/>
      <c r="AL50" s="39">
        <f t="shared" si="37"/>
        <v>0</v>
      </c>
      <c r="AM50" s="42"/>
      <c r="AN50" s="46">
        <f t="shared" si="38"/>
        <v>0</v>
      </c>
      <c r="AO50" s="199"/>
      <c r="AP50" s="39">
        <f t="shared" si="39"/>
        <v>0</v>
      </c>
      <c r="AQ50" s="43"/>
      <c r="AR50" s="26">
        <v>44109</v>
      </c>
      <c r="AS50" s="199"/>
      <c r="AT50" s="39">
        <f t="shared" si="55"/>
        <v>0</v>
      </c>
      <c r="AU50" s="43"/>
      <c r="AV50" s="199"/>
      <c r="AW50" s="39">
        <f t="shared" si="56"/>
        <v>0</v>
      </c>
      <c r="AX50" s="199"/>
      <c r="AY50" s="47">
        <f t="shared" si="57"/>
        <v>0</v>
      </c>
      <c r="AZ50" s="39">
        <f t="shared" si="58"/>
        <v>0</v>
      </c>
      <c r="BA50" s="199"/>
      <c r="BB50" s="39">
        <f t="shared" si="43"/>
        <v>0</v>
      </c>
      <c r="BC50" s="201"/>
      <c r="BD50" s="39">
        <f t="shared" si="44"/>
        <v>0</v>
      </c>
      <c r="BE50" s="199"/>
      <c r="BF50" s="39">
        <f t="shared" si="45"/>
        <v>0</v>
      </c>
    </row>
    <row r="51" spans="2:58" x14ac:dyDescent="0.25">
      <c r="B51" s="82">
        <f t="shared" ref="B51:B52" si="106">B50+7</f>
        <v>44487</v>
      </c>
      <c r="C51" s="268"/>
      <c r="D51" s="269"/>
      <c r="E51" s="39">
        <f t="shared" si="100"/>
        <v>0</v>
      </c>
      <c r="F51" s="268"/>
      <c r="G51" s="269"/>
      <c r="H51" s="39">
        <f t="shared" si="101"/>
        <v>0</v>
      </c>
      <c r="I51" s="268"/>
      <c r="J51" s="269"/>
      <c r="K51" s="39">
        <f t="shared" si="27"/>
        <v>0</v>
      </c>
      <c r="L51" s="268"/>
      <c r="M51" s="269"/>
      <c r="N51" s="39">
        <f t="shared" si="13"/>
        <v>0</v>
      </c>
      <c r="O51" s="268"/>
      <c r="P51" s="269"/>
      <c r="Q51" s="39">
        <f t="shared" si="82"/>
        <v>0</v>
      </c>
      <c r="R51" s="40"/>
      <c r="S51" s="268"/>
      <c r="T51" s="269"/>
      <c r="U51" s="39">
        <f t="shared" si="83"/>
        <v>0</v>
      </c>
      <c r="V51" s="268"/>
      <c r="W51" s="269"/>
      <c r="X51" s="39">
        <f t="shared" si="102"/>
        <v>0</v>
      </c>
      <c r="Y51" s="45">
        <f t="shared" si="103"/>
        <v>0</v>
      </c>
      <c r="Z51" s="41"/>
      <c r="AA51" s="199"/>
      <c r="AB51" s="39">
        <f t="shared" si="71"/>
        <v>0</v>
      </c>
      <c r="AC51" s="199"/>
      <c r="AD51" s="39">
        <f t="shared" si="72"/>
        <v>0</v>
      </c>
      <c r="AE51" s="199"/>
      <c r="AF51" s="39">
        <f t="shared" si="34"/>
        <v>0</v>
      </c>
      <c r="AG51" s="199"/>
      <c r="AH51" s="39">
        <f t="shared" si="35"/>
        <v>0</v>
      </c>
      <c r="AI51" s="199"/>
      <c r="AJ51" s="39">
        <f t="shared" si="36"/>
        <v>0</v>
      </c>
      <c r="AK51" s="199"/>
      <c r="AL51" s="39">
        <f t="shared" si="37"/>
        <v>0</v>
      </c>
      <c r="AM51" s="42"/>
      <c r="AN51" s="46">
        <f t="shared" si="38"/>
        <v>0</v>
      </c>
      <c r="AO51" s="199"/>
      <c r="AP51" s="39">
        <f t="shared" si="39"/>
        <v>0</v>
      </c>
      <c r="AQ51" s="43"/>
      <c r="AR51" s="26">
        <f>AR50+7</f>
        <v>44116</v>
      </c>
      <c r="AS51" s="199"/>
      <c r="AT51" s="39">
        <f t="shared" si="55"/>
        <v>0</v>
      </c>
      <c r="AU51" s="43"/>
      <c r="AV51" s="199"/>
      <c r="AW51" s="39">
        <f t="shared" si="56"/>
        <v>0</v>
      </c>
      <c r="AX51" s="199"/>
      <c r="AY51" s="47">
        <f t="shared" si="57"/>
        <v>0</v>
      </c>
      <c r="AZ51" s="39">
        <f t="shared" si="58"/>
        <v>0</v>
      </c>
      <c r="BA51" s="199"/>
      <c r="BB51" s="39">
        <f t="shared" si="43"/>
        <v>0</v>
      </c>
      <c r="BC51" s="201"/>
      <c r="BD51" s="39">
        <f t="shared" si="44"/>
        <v>0</v>
      </c>
      <c r="BE51" s="199"/>
      <c r="BF51" s="39">
        <f t="shared" si="45"/>
        <v>0</v>
      </c>
    </row>
    <row r="52" spans="2:58" x14ac:dyDescent="0.25">
      <c r="B52" s="82">
        <f t="shared" si="106"/>
        <v>44494</v>
      </c>
      <c r="AQ52" s="43"/>
      <c r="AR52" s="26">
        <f t="shared" ref="AR52:AR53" si="107">AR51+7</f>
        <v>44123</v>
      </c>
    </row>
    <row r="53" spans="2:58" x14ac:dyDescent="0.25">
      <c r="B53" s="82">
        <v>44501</v>
      </c>
      <c r="AR53" s="26">
        <f t="shared" si="107"/>
        <v>44130</v>
      </c>
    </row>
    <row r="54" spans="2:58" x14ac:dyDescent="0.25">
      <c r="B54" s="82">
        <v>44508</v>
      </c>
      <c r="AR54" s="26">
        <v>44136</v>
      </c>
    </row>
    <row r="55" spans="2:58" x14ac:dyDescent="0.25">
      <c r="B55" s="82">
        <f>B54+7</f>
        <v>44515</v>
      </c>
      <c r="AR55" s="26">
        <v>44137</v>
      </c>
    </row>
    <row r="56" spans="2:58" x14ac:dyDescent="0.25">
      <c r="B56" s="82">
        <f t="shared" ref="B56:B58" si="108">B55+7</f>
        <v>44522</v>
      </c>
      <c r="AR56" s="26">
        <f>AR55+7</f>
        <v>44144</v>
      </c>
    </row>
    <row r="57" spans="2:58" x14ac:dyDescent="0.25">
      <c r="B57" s="82">
        <f t="shared" si="108"/>
        <v>44529</v>
      </c>
      <c r="AR57" s="26">
        <f t="shared" ref="AR57:AR59" si="109">AR56+7</f>
        <v>44151</v>
      </c>
    </row>
    <row r="58" spans="2:58" x14ac:dyDescent="0.25">
      <c r="B58" s="82">
        <f t="shared" si="108"/>
        <v>44536</v>
      </c>
      <c r="AR58" s="26">
        <f t="shared" si="109"/>
        <v>44158</v>
      </c>
    </row>
    <row r="59" spans="2:58" x14ac:dyDescent="0.25">
      <c r="B59" s="82">
        <v>44531</v>
      </c>
      <c r="AR59" s="26">
        <f t="shared" si="109"/>
        <v>44165</v>
      </c>
    </row>
    <row r="60" spans="2:58" x14ac:dyDescent="0.25">
      <c r="B60" s="82">
        <v>44537</v>
      </c>
      <c r="AR60" s="26">
        <v>44166</v>
      </c>
    </row>
    <row r="61" spans="2:58" x14ac:dyDescent="0.25">
      <c r="B61" s="82">
        <f>B60+7</f>
        <v>44544</v>
      </c>
      <c r="AR61" s="26">
        <v>44172</v>
      </c>
    </row>
    <row r="62" spans="2:58" x14ac:dyDescent="0.25">
      <c r="B62" s="82">
        <f t="shared" ref="B62:B63" si="110">B61+7</f>
        <v>44551</v>
      </c>
      <c r="AR62" s="26">
        <f>AR61+7</f>
        <v>44179</v>
      </c>
    </row>
    <row r="63" spans="2:58" x14ac:dyDescent="0.25">
      <c r="B63" s="82">
        <f t="shared" si="110"/>
        <v>44558</v>
      </c>
      <c r="AR63" s="26">
        <f t="shared" ref="AR63:AR64" si="111">AR62+7</f>
        <v>44186</v>
      </c>
    </row>
    <row r="64" spans="2:58" x14ac:dyDescent="0.25">
      <c r="B64" s="82">
        <v>44562</v>
      </c>
      <c r="AR64" s="26">
        <f t="shared" si="111"/>
        <v>44193</v>
      </c>
    </row>
    <row r="65" spans="44:44" x14ac:dyDescent="0.25">
      <c r="AR65" s="26">
        <v>44197</v>
      </c>
    </row>
  </sheetData>
  <mergeCells count="396">
    <mergeCell ref="V44:W44"/>
    <mergeCell ref="C44:D44"/>
    <mergeCell ref="F44:G44"/>
    <mergeCell ref="I44:J44"/>
    <mergeCell ref="L44:M44"/>
    <mergeCell ref="O44:P44"/>
    <mergeCell ref="S44:T44"/>
    <mergeCell ref="V42:W42"/>
    <mergeCell ref="C43:D43"/>
    <mergeCell ref="F43:G43"/>
    <mergeCell ref="I43:J43"/>
    <mergeCell ref="L43:M43"/>
    <mergeCell ref="O43:P43"/>
    <mergeCell ref="S43:T43"/>
    <mergeCell ref="V43:W43"/>
    <mergeCell ref="C42:D42"/>
    <mergeCell ref="F42:G42"/>
    <mergeCell ref="I42:J42"/>
    <mergeCell ref="L42:M42"/>
    <mergeCell ref="O42:P42"/>
    <mergeCell ref="S42:T42"/>
    <mergeCell ref="V40:W40"/>
    <mergeCell ref="C41:D41"/>
    <mergeCell ref="F41:G41"/>
    <mergeCell ref="I41:J41"/>
    <mergeCell ref="L41:M41"/>
    <mergeCell ref="O41:P41"/>
    <mergeCell ref="S41:T41"/>
    <mergeCell ref="V41:W41"/>
    <mergeCell ref="C40:D40"/>
    <mergeCell ref="F40:G40"/>
    <mergeCell ref="I40:J40"/>
    <mergeCell ref="L40:M40"/>
    <mergeCell ref="O40:P40"/>
    <mergeCell ref="S40:T40"/>
    <mergeCell ref="V38:W38"/>
    <mergeCell ref="C39:D39"/>
    <mergeCell ref="F39:G39"/>
    <mergeCell ref="I39:J39"/>
    <mergeCell ref="L39:M39"/>
    <mergeCell ref="O39:P39"/>
    <mergeCell ref="S39:T39"/>
    <mergeCell ref="V39:W39"/>
    <mergeCell ref="C38:D38"/>
    <mergeCell ref="F38:G38"/>
    <mergeCell ref="I38:J38"/>
    <mergeCell ref="L38:M38"/>
    <mergeCell ref="O38:P38"/>
    <mergeCell ref="S38:T38"/>
    <mergeCell ref="V36:W36"/>
    <mergeCell ref="C37:D37"/>
    <mergeCell ref="F37:G37"/>
    <mergeCell ref="I37:J37"/>
    <mergeCell ref="L37:M37"/>
    <mergeCell ref="O37:P37"/>
    <mergeCell ref="S37:T37"/>
    <mergeCell ref="V37:W37"/>
    <mergeCell ref="C36:D36"/>
    <mergeCell ref="F36:G36"/>
    <mergeCell ref="I36:J36"/>
    <mergeCell ref="L36:M36"/>
    <mergeCell ref="O36:P36"/>
    <mergeCell ref="S36:T36"/>
    <mergeCell ref="V34:W34"/>
    <mergeCell ref="C35:D35"/>
    <mergeCell ref="F35:G35"/>
    <mergeCell ref="I35:J35"/>
    <mergeCell ref="L35:M35"/>
    <mergeCell ref="O35:P35"/>
    <mergeCell ref="S35:T35"/>
    <mergeCell ref="V35:W35"/>
    <mergeCell ref="C34:D34"/>
    <mergeCell ref="F34:G34"/>
    <mergeCell ref="I34:J34"/>
    <mergeCell ref="L34:M34"/>
    <mergeCell ref="O34:P34"/>
    <mergeCell ref="S34:T34"/>
    <mergeCell ref="V32:W32"/>
    <mergeCell ref="C33:D33"/>
    <mergeCell ref="F33:G33"/>
    <mergeCell ref="I33:J33"/>
    <mergeCell ref="L33:M33"/>
    <mergeCell ref="O33:P33"/>
    <mergeCell ref="S33:T33"/>
    <mergeCell ref="V33:W33"/>
    <mergeCell ref="C32:D32"/>
    <mergeCell ref="F32:G32"/>
    <mergeCell ref="I32:J32"/>
    <mergeCell ref="L32:M32"/>
    <mergeCell ref="O32:P32"/>
    <mergeCell ref="S32:T32"/>
    <mergeCell ref="V30:W30"/>
    <mergeCell ref="C31:D31"/>
    <mergeCell ref="F31:G31"/>
    <mergeCell ref="I31:J31"/>
    <mergeCell ref="L31:M31"/>
    <mergeCell ref="O31:P31"/>
    <mergeCell ref="S31:T31"/>
    <mergeCell ref="V31:W31"/>
    <mergeCell ref="C30:D30"/>
    <mergeCell ref="F30:G30"/>
    <mergeCell ref="I30:J30"/>
    <mergeCell ref="L30:M30"/>
    <mergeCell ref="O30:P30"/>
    <mergeCell ref="S30:T30"/>
    <mergeCell ref="V28:W28"/>
    <mergeCell ref="C29:D29"/>
    <mergeCell ref="F29:G29"/>
    <mergeCell ref="I29:J29"/>
    <mergeCell ref="L29:M29"/>
    <mergeCell ref="O29:P29"/>
    <mergeCell ref="S29:T29"/>
    <mergeCell ref="V29:W29"/>
    <mergeCell ref="C28:D28"/>
    <mergeCell ref="F28:G28"/>
    <mergeCell ref="I28:J28"/>
    <mergeCell ref="L28:M28"/>
    <mergeCell ref="O28:P28"/>
    <mergeCell ref="S28:T28"/>
    <mergeCell ref="V26:W26"/>
    <mergeCell ref="C27:D27"/>
    <mergeCell ref="F27:G27"/>
    <mergeCell ref="I27:J27"/>
    <mergeCell ref="L27:M27"/>
    <mergeCell ref="O27:P27"/>
    <mergeCell ref="S27:T27"/>
    <mergeCell ref="V27:W27"/>
    <mergeCell ref="C26:D26"/>
    <mergeCell ref="F26:G26"/>
    <mergeCell ref="I26:J26"/>
    <mergeCell ref="L26:M26"/>
    <mergeCell ref="O26:P26"/>
    <mergeCell ref="S26:T26"/>
    <mergeCell ref="V24:W24"/>
    <mergeCell ref="C25:D25"/>
    <mergeCell ref="F25:G25"/>
    <mergeCell ref="I25:J25"/>
    <mergeCell ref="L25:M25"/>
    <mergeCell ref="O25:P25"/>
    <mergeCell ref="S25:T25"/>
    <mergeCell ref="V25:W25"/>
    <mergeCell ref="C24:D24"/>
    <mergeCell ref="F24:G24"/>
    <mergeCell ref="I24:J24"/>
    <mergeCell ref="L24:M24"/>
    <mergeCell ref="O24:P24"/>
    <mergeCell ref="S24:T24"/>
    <mergeCell ref="V22:W22"/>
    <mergeCell ref="C23:D23"/>
    <mergeCell ref="F23:G23"/>
    <mergeCell ref="I23:J23"/>
    <mergeCell ref="L23:M23"/>
    <mergeCell ref="O23:P23"/>
    <mergeCell ref="S23:T23"/>
    <mergeCell ref="V23:W23"/>
    <mergeCell ref="C22:D22"/>
    <mergeCell ref="F22:G22"/>
    <mergeCell ref="I22:J22"/>
    <mergeCell ref="L22:M22"/>
    <mergeCell ref="O22:P22"/>
    <mergeCell ref="S22:T22"/>
    <mergeCell ref="V20:W20"/>
    <mergeCell ref="C21:D21"/>
    <mergeCell ref="F21:G21"/>
    <mergeCell ref="I21:J21"/>
    <mergeCell ref="L21:M21"/>
    <mergeCell ref="O21:P21"/>
    <mergeCell ref="S21:T21"/>
    <mergeCell ref="V21:W21"/>
    <mergeCell ref="C20:D20"/>
    <mergeCell ref="F20:G20"/>
    <mergeCell ref="I20:J20"/>
    <mergeCell ref="L20:M20"/>
    <mergeCell ref="O20:P20"/>
    <mergeCell ref="S20:T20"/>
    <mergeCell ref="V18:W18"/>
    <mergeCell ref="C19:D19"/>
    <mergeCell ref="F19:G19"/>
    <mergeCell ref="I19:J19"/>
    <mergeCell ref="L19:M19"/>
    <mergeCell ref="O19:P19"/>
    <mergeCell ref="S19:T19"/>
    <mergeCell ref="V19:W19"/>
    <mergeCell ref="C18:D18"/>
    <mergeCell ref="F18:G18"/>
    <mergeCell ref="I18:J18"/>
    <mergeCell ref="L18:M18"/>
    <mergeCell ref="O18:P18"/>
    <mergeCell ref="S18:T18"/>
    <mergeCell ref="V16:W16"/>
    <mergeCell ref="C17:D17"/>
    <mergeCell ref="F17:G17"/>
    <mergeCell ref="I17:J17"/>
    <mergeCell ref="L17:M17"/>
    <mergeCell ref="O17:P17"/>
    <mergeCell ref="S17:T17"/>
    <mergeCell ref="V17:W17"/>
    <mergeCell ref="C16:D16"/>
    <mergeCell ref="F16:G16"/>
    <mergeCell ref="I16:J16"/>
    <mergeCell ref="L16:M16"/>
    <mergeCell ref="O16:P16"/>
    <mergeCell ref="S16:T16"/>
    <mergeCell ref="V14:W14"/>
    <mergeCell ref="C15:D15"/>
    <mergeCell ref="F15:G15"/>
    <mergeCell ref="I15:J15"/>
    <mergeCell ref="L15:M15"/>
    <mergeCell ref="O15:P15"/>
    <mergeCell ref="S15:T15"/>
    <mergeCell ref="V15:W15"/>
    <mergeCell ref="C14:D14"/>
    <mergeCell ref="F14:G14"/>
    <mergeCell ref="I14:J14"/>
    <mergeCell ref="L14:M14"/>
    <mergeCell ref="O14:P14"/>
    <mergeCell ref="S14:T14"/>
    <mergeCell ref="V12:W12"/>
    <mergeCell ref="C13:D13"/>
    <mergeCell ref="F13:G13"/>
    <mergeCell ref="I13:J13"/>
    <mergeCell ref="L13:M13"/>
    <mergeCell ref="O13:P13"/>
    <mergeCell ref="S13:T13"/>
    <mergeCell ref="V13:W13"/>
    <mergeCell ref="C12:D12"/>
    <mergeCell ref="F12:G12"/>
    <mergeCell ref="I12:J12"/>
    <mergeCell ref="L12:M12"/>
    <mergeCell ref="O12:P12"/>
    <mergeCell ref="S12:T12"/>
    <mergeCell ref="V10:W10"/>
    <mergeCell ref="C11:D11"/>
    <mergeCell ref="F11:G11"/>
    <mergeCell ref="I11:J11"/>
    <mergeCell ref="L11:M11"/>
    <mergeCell ref="O11:P11"/>
    <mergeCell ref="S11:T11"/>
    <mergeCell ref="V11:W11"/>
    <mergeCell ref="C10:D10"/>
    <mergeCell ref="F10:G10"/>
    <mergeCell ref="I10:J10"/>
    <mergeCell ref="L10:M10"/>
    <mergeCell ref="O10:P10"/>
    <mergeCell ref="S10:T10"/>
    <mergeCell ref="V8:W8"/>
    <mergeCell ref="C9:D9"/>
    <mergeCell ref="F9:G9"/>
    <mergeCell ref="I9:J9"/>
    <mergeCell ref="L9:M9"/>
    <mergeCell ref="O9:P9"/>
    <mergeCell ref="S9:T9"/>
    <mergeCell ref="V9:W9"/>
    <mergeCell ref="C8:D8"/>
    <mergeCell ref="F8:G8"/>
    <mergeCell ref="I8:J8"/>
    <mergeCell ref="L8:M8"/>
    <mergeCell ref="O8:P8"/>
    <mergeCell ref="S8:T8"/>
    <mergeCell ref="V6:W6"/>
    <mergeCell ref="C7:D7"/>
    <mergeCell ref="F7:G7"/>
    <mergeCell ref="I7:J7"/>
    <mergeCell ref="L7:M7"/>
    <mergeCell ref="O7:P7"/>
    <mergeCell ref="S7:T7"/>
    <mergeCell ref="V7:W7"/>
    <mergeCell ref="C6:D6"/>
    <mergeCell ref="F6:G6"/>
    <mergeCell ref="I6:J6"/>
    <mergeCell ref="L6:M6"/>
    <mergeCell ref="O6:P6"/>
    <mergeCell ref="S6:T6"/>
    <mergeCell ref="V4:W4"/>
    <mergeCell ref="C5:D5"/>
    <mergeCell ref="F5:G5"/>
    <mergeCell ref="I5:J5"/>
    <mergeCell ref="L5:M5"/>
    <mergeCell ref="O5:P5"/>
    <mergeCell ref="S5:T5"/>
    <mergeCell ref="V5:W5"/>
    <mergeCell ref="C4:D4"/>
    <mergeCell ref="F4:G4"/>
    <mergeCell ref="I4:J4"/>
    <mergeCell ref="L4:M4"/>
    <mergeCell ref="O4:P4"/>
    <mergeCell ref="S4:T4"/>
    <mergeCell ref="CW2:CZ2"/>
    <mergeCell ref="C3:D3"/>
    <mergeCell ref="F3:G3"/>
    <mergeCell ref="I3:J3"/>
    <mergeCell ref="L3:M3"/>
    <mergeCell ref="O3:P3"/>
    <mergeCell ref="S3:T3"/>
    <mergeCell ref="V3:W3"/>
    <mergeCell ref="CG2:CG3"/>
    <mergeCell ref="CH2:CH3"/>
    <mergeCell ref="CI2:CL2"/>
    <mergeCell ref="CM2:CM3"/>
    <mergeCell ref="CN2:CQ2"/>
    <mergeCell ref="CR2:CU2"/>
    <mergeCell ref="AO2:AP2"/>
    <mergeCell ref="BI2:BM2"/>
    <mergeCell ref="BN2:BQ2"/>
    <mergeCell ref="BR2:BU2"/>
    <mergeCell ref="BV2:BY2"/>
    <mergeCell ref="CC2:CF2"/>
    <mergeCell ref="CV1:CV3"/>
    <mergeCell ref="CW1:CZ1"/>
    <mergeCell ref="O2:P2"/>
    <mergeCell ref="AA2:AB2"/>
    <mergeCell ref="AC2:AD2"/>
    <mergeCell ref="AE2:AF2"/>
    <mergeCell ref="AG2:AH2"/>
    <mergeCell ref="AI2:AJ2"/>
    <mergeCell ref="AK2:AL2"/>
    <mergeCell ref="AM2:AN2"/>
    <mergeCell ref="BV1:BY1"/>
    <mergeCell ref="CC1:CF1"/>
    <mergeCell ref="CG1:CH1"/>
    <mergeCell ref="AK1:AL1"/>
    <mergeCell ref="AM1:AN1"/>
    <mergeCell ref="AO1:AP1"/>
    <mergeCell ref="AS1:AT1"/>
    <mergeCell ref="AV1:AW1"/>
    <mergeCell ref="AX1:AY1"/>
    <mergeCell ref="CI1:CL1"/>
    <mergeCell ref="CN1:CQ1"/>
    <mergeCell ref="CR1:CU1"/>
    <mergeCell ref="BA1:BB1"/>
    <mergeCell ref="BC1:BD1"/>
    <mergeCell ref="BE1:BF1"/>
    <mergeCell ref="BI1:BM1"/>
    <mergeCell ref="BN1:BQ1"/>
    <mergeCell ref="BR1:BU1"/>
    <mergeCell ref="V1:X1"/>
    <mergeCell ref="AA1:AB1"/>
    <mergeCell ref="AC1:AD1"/>
    <mergeCell ref="AE1:AF1"/>
    <mergeCell ref="AG1:AH1"/>
    <mergeCell ref="AI1:AJ1"/>
    <mergeCell ref="C1:E1"/>
    <mergeCell ref="F1:H1"/>
    <mergeCell ref="I1:K1"/>
    <mergeCell ref="L1:N1"/>
    <mergeCell ref="O1:Q1"/>
    <mergeCell ref="S1:U1"/>
    <mergeCell ref="C45:D45"/>
    <mergeCell ref="C46:D46"/>
    <mergeCell ref="C47:D47"/>
    <mergeCell ref="C48:D48"/>
    <mergeCell ref="C49:D49"/>
    <mergeCell ref="C50:D50"/>
    <mergeCell ref="C51:D51"/>
    <mergeCell ref="F45:G45"/>
    <mergeCell ref="F46:G46"/>
    <mergeCell ref="F47:G47"/>
    <mergeCell ref="F48:G48"/>
    <mergeCell ref="F49:G49"/>
    <mergeCell ref="F50:G50"/>
    <mergeCell ref="F51:G51"/>
    <mergeCell ref="I45:J45"/>
    <mergeCell ref="I46:J46"/>
    <mergeCell ref="I47:J47"/>
    <mergeCell ref="I48:J48"/>
    <mergeCell ref="I49:J49"/>
    <mergeCell ref="I50:J50"/>
    <mergeCell ref="I51:J51"/>
    <mergeCell ref="L45:M45"/>
    <mergeCell ref="L46:M46"/>
    <mergeCell ref="L47:M47"/>
    <mergeCell ref="L48:M48"/>
    <mergeCell ref="L49:M49"/>
    <mergeCell ref="L50:M50"/>
    <mergeCell ref="L51:M51"/>
    <mergeCell ref="V45:W45"/>
    <mergeCell ref="V46:W46"/>
    <mergeCell ref="V47:W47"/>
    <mergeCell ref="V48:W48"/>
    <mergeCell ref="V49:W49"/>
    <mergeCell ref="V50:W50"/>
    <mergeCell ref="V51:W51"/>
    <mergeCell ref="O45:P45"/>
    <mergeCell ref="O46:P46"/>
    <mergeCell ref="O47:P47"/>
    <mergeCell ref="O48:P48"/>
    <mergeCell ref="O49:P49"/>
    <mergeCell ref="O50:P50"/>
    <mergeCell ref="O51:P51"/>
    <mergeCell ref="S45:T45"/>
    <mergeCell ref="S46:T46"/>
    <mergeCell ref="S47:T47"/>
    <mergeCell ref="S48:T48"/>
    <mergeCell ref="S49:T49"/>
    <mergeCell ref="S50:T50"/>
    <mergeCell ref="S51:T51"/>
  </mergeCells>
  <pageMargins left="0.7" right="0.7" top="0.75" bottom="0.75" header="0.3" footer="0.3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439"/>
  <sheetViews>
    <sheetView topLeftCell="A46" workbookViewId="0">
      <selection activeCell="D2" sqref="D2"/>
    </sheetView>
  </sheetViews>
  <sheetFormatPr defaultColWidth="13.28515625" defaultRowHeight="15" x14ac:dyDescent="0.25"/>
  <cols>
    <col min="1" max="1" width="18" style="212" customWidth="1"/>
    <col min="2" max="2" width="3" style="212" customWidth="1"/>
    <col min="3" max="3" width="17.42578125" style="212" customWidth="1"/>
    <col min="4" max="4" width="40.85546875" style="212" customWidth="1"/>
    <col min="5" max="10" width="14.28515625" style="212" customWidth="1"/>
    <col min="11" max="18" width="13.28515625" style="212"/>
    <col min="19" max="19" width="19" style="212" customWidth="1"/>
    <col min="20" max="16384" width="13.28515625" style="212"/>
  </cols>
  <sheetData>
    <row r="1" spans="1:10" x14ac:dyDescent="0.25">
      <c r="A1" s="211"/>
      <c r="B1" s="211"/>
      <c r="C1" s="211" t="s">
        <v>449</v>
      </c>
      <c r="D1" s="211" t="s">
        <v>450</v>
      </c>
      <c r="E1" s="211" t="s">
        <v>451</v>
      </c>
      <c r="F1" s="211" t="s">
        <v>452</v>
      </c>
      <c r="G1" s="211" t="s">
        <v>453</v>
      </c>
      <c r="H1" s="211"/>
      <c r="I1" s="211"/>
      <c r="J1" s="211"/>
    </row>
    <row r="2" spans="1:10" x14ac:dyDescent="0.25">
      <c r="A2" s="211"/>
      <c r="B2" s="211"/>
      <c r="C2" s="211" t="s">
        <v>454</v>
      </c>
      <c r="D2" s="211" t="s">
        <v>454</v>
      </c>
      <c r="E2" s="211" t="s">
        <v>454</v>
      </c>
      <c r="F2" s="211" t="s">
        <v>454</v>
      </c>
      <c r="G2" s="211" t="s">
        <v>454</v>
      </c>
      <c r="H2" s="211" t="s">
        <v>454</v>
      </c>
      <c r="I2" s="211" t="s">
        <v>455</v>
      </c>
      <c r="J2" s="211" t="s">
        <v>455</v>
      </c>
    </row>
    <row r="3" spans="1:10" x14ac:dyDescent="0.25">
      <c r="A3" s="211"/>
      <c r="B3" s="211"/>
      <c r="C3" s="211" t="s">
        <v>456</v>
      </c>
      <c r="D3" s="211" t="s">
        <v>456</v>
      </c>
      <c r="E3" s="211" t="s">
        <v>456</v>
      </c>
      <c r="F3" s="211" t="s">
        <v>456</v>
      </c>
      <c r="G3" s="211" t="s">
        <v>456</v>
      </c>
      <c r="H3" s="211" t="s">
        <v>456</v>
      </c>
      <c r="I3" s="211" t="s">
        <v>456</v>
      </c>
      <c r="J3" s="211" t="s">
        <v>468</v>
      </c>
    </row>
    <row r="4" spans="1:10" x14ac:dyDescent="0.25">
      <c r="A4" s="211"/>
      <c r="B4" s="211"/>
      <c r="C4" s="213" t="s">
        <v>457</v>
      </c>
      <c r="D4" s="213" t="s">
        <v>458</v>
      </c>
      <c r="E4" s="213" t="s">
        <v>459</v>
      </c>
      <c r="F4" s="213" t="s">
        <v>460</v>
      </c>
      <c r="G4" s="213" t="s">
        <v>461</v>
      </c>
      <c r="H4" s="213" t="s">
        <v>462</v>
      </c>
      <c r="I4" s="213" t="s">
        <v>463</v>
      </c>
      <c r="J4" s="213" t="s">
        <v>464</v>
      </c>
    </row>
    <row r="5" spans="1:10" x14ac:dyDescent="0.25">
      <c r="A5" s="211"/>
      <c r="B5" s="211"/>
      <c r="C5" s="211" t="s">
        <v>465</v>
      </c>
      <c r="D5" s="211" t="s">
        <v>465</v>
      </c>
      <c r="E5" s="211" t="s">
        <v>465</v>
      </c>
      <c r="F5" s="211" t="s">
        <v>465</v>
      </c>
      <c r="G5" s="211" t="s">
        <v>465</v>
      </c>
      <c r="H5" s="211" t="s">
        <v>465</v>
      </c>
      <c r="I5" s="211" t="s">
        <v>465</v>
      </c>
      <c r="J5" s="211" t="s">
        <v>465</v>
      </c>
    </row>
    <row r="6" spans="1:10" x14ac:dyDescent="0.25">
      <c r="A6" s="211"/>
      <c r="B6" s="211"/>
      <c r="C6" s="211" t="s">
        <v>406</v>
      </c>
      <c r="D6" s="211" t="s">
        <v>406</v>
      </c>
      <c r="E6" s="211" t="s">
        <v>406</v>
      </c>
      <c r="F6" s="211" t="s">
        <v>406</v>
      </c>
      <c r="G6" s="211" t="s">
        <v>406</v>
      </c>
      <c r="H6" s="211" t="s">
        <v>406</v>
      </c>
      <c r="I6" s="211" t="s">
        <v>406</v>
      </c>
      <c r="J6" s="211" t="s">
        <v>406</v>
      </c>
    </row>
    <row r="7" spans="1:10" x14ac:dyDescent="0.25">
      <c r="A7" s="211"/>
      <c r="B7" s="211"/>
      <c r="C7" s="211"/>
      <c r="D7" s="211"/>
      <c r="E7" s="211"/>
      <c r="F7" s="211"/>
      <c r="G7" s="211"/>
      <c r="H7" s="211"/>
      <c r="I7" s="211"/>
      <c r="J7" s="211"/>
    </row>
    <row r="8" spans="1:10" x14ac:dyDescent="0.25">
      <c r="A8" s="211" t="s">
        <v>409</v>
      </c>
      <c r="B8" s="213" t="s">
        <v>408</v>
      </c>
      <c r="C8" s="211">
        <v>0</v>
      </c>
      <c r="D8" s="211">
        <v>281</v>
      </c>
      <c r="E8" s="211">
        <v>359</v>
      </c>
      <c r="F8" s="211">
        <v>309</v>
      </c>
      <c r="G8" s="211">
        <v>368</v>
      </c>
      <c r="H8" s="211">
        <v>410</v>
      </c>
      <c r="I8" s="211">
        <v>377</v>
      </c>
      <c r="J8" s="211">
        <v>283</v>
      </c>
    </row>
    <row r="9" spans="1:10" x14ac:dyDescent="0.25">
      <c r="A9" s="211" t="s">
        <v>409</v>
      </c>
      <c r="B9" s="213" t="s">
        <v>410</v>
      </c>
      <c r="C9" s="211">
        <v>0</v>
      </c>
      <c r="D9" s="211">
        <v>281</v>
      </c>
      <c r="E9" s="211">
        <v>261</v>
      </c>
      <c r="F9" s="211">
        <v>232</v>
      </c>
      <c r="G9" s="211">
        <v>316</v>
      </c>
      <c r="H9" s="211">
        <v>427</v>
      </c>
      <c r="I9" s="211">
        <v>379</v>
      </c>
      <c r="J9" s="211">
        <v>194</v>
      </c>
    </row>
    <row r="10" spans="1:10" x14ac:dyDescent="0.25">
      <c r="A10" s="211" t="s">
        <v>409</v>
      </c>
      <c r="B10" s="213" t="s">
        <v>411</v>
      </c>
      <c r="C10" s="211">
        <v>0</v>
      </c>
      <c r="D10" s="211">
        <v>243</v>
      </c>
      <c r="E10" s="211">
        <v>237</v>
      </c>
      <c r="F10" s="211">
        <v>307</v>
      </c>
      <c r="G10" s="211">
        <v>382</v>
      </c>
      <c r="H10" s="211">
        <v>415</v>
      </c>
      <c r="I10" s="211">
        <v>314</v>
      </c>
      <c r="J10" s="211">
        <v>109</v>
      </c>
    </row>
    <row r="11" spans="1:10" x14ac:dyDescent="0.25">
      <c r="A11" s="211" t="s">
        <v>409</v>
      </c>
      <c r="B11" s="213" t="s">
        <v>412</v>
      </c>
      <c r="C11" s="211">
        <v>0</v>
      </c>
      <c r="D11" s="211">
        <v>206</v>
      </c>
      <c r="E11" s="211">
        <v>341</v>
      </c>
      <c r="F11" s="211">
        <v>350</v>
      </c>
      <c r="G11" s="211">
        <v>421</v>
      </c>
      <c r="H11" s="211">
        <v>388</v>
      </c>
      <c r="I11" s="211">
        <v>210</v>
      </c>
      <c r="J11" s="211">
        <v>85</v>
      </c>
    </row>
    <row r="12" spans="1:10" x14ac:dyDescent="0.25">
      <c r="A12" s="211" t="s">
        <v>409</v>
      </c>
      <c r="B12" s="213" t="s">
        <v>413</v>
      </c>
      <c r="C12" s="211">
        <v>0</v>
      </c>
      <c r="D12" s="211">
        <v>240</v>
      </c>
      <c r="E12" s="211">
        <v>414</v>
      </c>
      <c r="F12" s="211">
        <v>337</v>
      </c>
      <c r="G12" s="211">
        <v>400</v>
      </c>
      <c r="H12" s="211">
        <v>287</v>
      </c>
      <c r="I12" s="211">
        <v>157</v>
      </c>
      <c r="J12" s="211">
        <v>85</v>
      </c>
    </row>
    <row r="13" spans="1:10" x14ac:dyDescent="0.25">
      <c r="A13" s="211" t="s">
        <v>409</v>
      </c>
      <c r="B13" s="213" t="s">
        <v>414</v>
      </c>
      <c r="C13" s="211">
        <v>0</v>
      </c>
      <c r="D13" s="211">
        <v>296</v>
      </c>
      <c r="E13" s="211">
        <v>408</v>
      </c>
      <c r="F13" s="211">
        <v>342</v>
      </c>
      <c r="G13" s="211">
        <v>341</v>
      </c>
      <c r="H13" s="211">
        <v>250</v>
      </c>
      <c r="I13" s="211">
        <v>146</v>
      </c>
      <c r="J13" s="211">
        <v>87</v>
      </c>
    </row>
    <row r="14" spans="1:10" x14ac:dyDescent="0.25">
      <c r="A14" s="211" t="s">
        <v>409</v>
      </c>
      <c r="B14" s="213" t="s">
        <v>415</v>
      </c>
      <c r="C14" s="211">
        <v>0</v>
      </c>
      <c r="D14" s="211">
        <v>287</v>
      </c>
      <c r="E14" s="211">
        <v>428</v>
      </c>
      <c r="F14" s="211">
        <v>370</v>
      </c>
      <c r="G14" s="211">
        <v>337</v>
      </c>
      <c r="H14" s="211">
        <v>300</v>
      </c>
      <c r="I14" s="211">
        <v>174</v>
      </c>
      <c r="J14" s="211">
        <v>96</v>
      </c>
    </row>
    <row r="15" spans="1:10" x14ac:dyDescent="0.25">
      <c r="A15" s="211" t="s">
        <v>409</v>
      </c>
      <c r="B15" s="213" t="s">
        <v>416</v>
      </c>
      <c r="C15" s="211">
        <v>0</v>
      </c>
      <c r="D15" s="211">
        <v>294</v>
      </c>
      <c r="E15" s="211">
        <v>349</v>
      </c>
      <c r="F15" s="211">
        <v>302</v>
      </c>
      <c r="G15" s="211">
        <v>398</v>
      </c>
      <c r="H15" s="211">
        <v>385</v>
      </c>
      <c r="I15" s="211">
        <v>219</v>
      </c>
      <c r="J15" s="211">
        <v>111</v>
      </c>
    </row>
    <row r="16" spans="1:10" x14ac:dyDescent="0.25">
      <c r="A16" s="211" t="s">
        <v>409</v>
      </c>
      <c r="B16" s="213" t="s">
        <v>417</v>
      </c>
      <c r="C16" s="211">
        <v>0</v>
      </c>
      <c r="D16" s="211">
        <v>234</v>
      </c>
      <c r="E16" s="211">
        <v>377</v>
      </c>
      <c r="F16" s="211">
        <v>388</v>
      </c>
      <c r="G16" s="211">
        <v>413</v>
      </c>
      <c r="H16" s="211">
        <v>345</v>
      </c>
      <c r="I16" s="211">
        <v>190</v>
      </c>
      <c r="J16" s="211">
        <v>93</v>
      </c>
    </row>
    <row r="17" spans="1:10" x14ac:dyDescent="0.25">
      <c r="A17" s="211" t="s">
        <v>409</v>
      </c>
      <c r="B17" s="213" t="s">
        <v>418</v>
      </c>
      <c r="C17" s="211">
        <v>0</v>
      </c>
      <c r="D17" s="211">
        <v>317</v>
      </c>
      <c r="E17" s="211">
        <v>392</v>
      </c>
      <c r="F17" s="211">
        <v>429</v>
      </c>
      <c r="G17" s="211">
        <v>397</v>
      </c>
      <c r="H17" s="211">
        <v>340</v>
      </c>
      <c r="I17" s="211">
        <v>217</v>
      </c>
      <c r="J17" s="211">
        <v>130</v>
      </c>
    </row>
    <row r="18" spans="1:10" x14ac:dyDescent="0.25">
      <c r="A18" s="211" t="s">
        <v>409</v>
      </c>
      <c r="B18" s="213" t="s">
        <v>419</v>
      </c>
      <c r="C18" s="211">
        <v>0</v>
      </c>
      <c r="D18" s="211">
        <v>330</v>
      </c>
      <c r="E18" s="211">
        <v>379</v>
      </c>
      <c r="F18" s="211">
        <v>370</v>
      </c>
      <c r="G18" s="211">
        <v>324</v>
      </c>
      <c r="H18" s="211">
        <v>240</v>
      </c>
      <c r="I18" s="211">
        <v>232</v>
      </c>
      <c r="J18" s="211">
        <v>122</v>
      </c>
    </row>
    <row r="19" spans="1:10" x14ac:dyDescent="0.25">
      <c r="A19" s="211" t="s">
        <v>409</v>
      </c>
      <c r="B19" s="213" t="s">
        <v>420</v>
      </c>
      <c r="C19" s="211">
        <v>0</v>
      </c>
      <c r="D19" s="211">
        <v>346</v>
      </c>
      <c r="E19" s="211">
        <v>332</v>
      </c>
      <c r="F19" s="211">
        <v>332</v>
      </c>
      <c r="G19" s="211">
        <v>427</v>
      </c>
      <c r="H19" s="211">
        <v>227</v>
      </c>
      <c r="I19" s="211">
        <v>192</v>
      </c>
      <c r="J19" s="211">
        <v>53</v>
      </c>
    </row>
    <row r="20" spans="1:10" x14ac:dyDescent="0.25">
      <c r="A20" s="211" t="s">
        <v>409</v>
      </c>
      <c r="B20" s="213" t="s">
        <v>421</v>
      </c>
      <c r="C20" s="211">
        <v>0</v>
      </c>
      <c r="D20" s="211">
        <v>335</v>
      </c>
      <c r="E20" s="211">
        <v>244</v>
      </c>
      <c r="F20" s="211">
        <v>312</v>
      </c>
      <c r="G20" s="211">
        <v>357</v>
      </c>
      <c r="H20" s="211">
        <v>256</v>
      </c>
      <c r="I20" s="211">
        <v>369</v>
      </c>
      <c r="J20" s="211">
        <v>54</v>
      </c>
    </row>
    <row r="21" spans="1:10" x14ac:dyDescent="0.25">
      <c r="A21" s="211" t="s">
        <v>409</v>
      </c>
      <c r="B21" s="213" t="s">
        <v>422</v>
      </c>
      <c r="C21" s="211">
        <v>0</v>
      </c>
      <c r="D21" s="211">
        <v>282</v>
      </c>
      <c r="E21" s="211">
        <v>324</v>
      </c>
      <c r="F21" s="211">
        <v>363</v>
      </c>
      <c r="G21" s="211">
        <v>348</v>
      </c>
      <c r="H21" s="211">
        <v>324</v>
      </c>
      <c r="I21" s="211">
        <v>369</v>
      </c>
      <c r="J21" s="211">
        <v>88</v>
      </c>
    </row>
    <row r="22" spans="1:10" x14ac:dyDescent="0.25">
      <c r="A22" s="211" t="s">
        <v>409</v>
      </c>
      <c r="B22" s="213" t="s">
        <v>423</v>
      </c>
      <c r="C22" s="211">
        <v>0</v>
      </c>
      <c r="D22" s="211">
        <v>176</v>
      </c>
      <c r="E22" s="211">
        <v>319</v>
      </c>
      <c r="F22" s="211">
        <v>384</v>
      </c>
      <c r="G22" s="211">
        <v>382</v>
      </c>
      <c r="H22" s="211">
        <v>320</v>
      </c>
      <c r="I22" s="211">
        <v>407</v>
      </c>
      <c r="J22" s="211">
        <v>141</v>
      </c>
    </row>
    <row r="23" spans="1:10" x14ac:dyDescent="0.25">
      <c r="A23" s="211" t="s">
        <v>409</v>
      </c>
      <c r="B23" s="213" t="s">
        <v>424</v>
      </c>
      <c r="C23" s="211">
        <v>0</v>
      </c>
      <c r="D23" s="211">
        <v>253</v>
      </c>
      <c r="E23" s="211">
        <v>371</v>
      </c>
      <c r="F23" s="211">
        <v>319</v>
      </c>
      <c r="G23" s="211">
        <v>391</v>
      </c>
      <c r="H23" s="211">
        <v>314</v>
      </c>
      <c r="I23" s="211">
        <v>407</v>
      </c>
      <c r="J23" s="211">
        <v>181</v>
      </c>
    </row>
    <row r="24" spans="1:10" x14ac:dyDescent="0.25">
      <c r="A24" s="211" t="s">
        <v>409</v>
      </c>
      <c r="B24" s="213" t="s">
        <v>425</v>
      </c>
      <c r="C24" s="211">
        <v>0</v>
      </c>
      <c r="D24" s="211">
        <v>305</v>
      </c>
      <c r="E24" s="211">
        <v>337</v>
      </c>
      <c r="F24" s="211">
        <v>383</v>
      </c>
      <c r="G24" s="211">
        <v>275</v>
      </c>
      <c r="H24" s="211">
        <v>284</v>
      </c>
      <c r="I24" s="211">
        <v>388</v>
      </c>
      <c r="J24" s="211">
        <v>151</v>
      </c>
    </row>
    <row r="25" spans="1:10" x14ac:dyDescent="0.25">
      <c r="A25" s="211" t="s">
        <v>409</v>
      </c>
      <c r="B25" s="213" t="s">
        <v>426</v>
      </c>
      <c r="C25" s="211">
        <v>0</v>
      </c>
      <c r="D25" s="211">
        <v>267</v>
      </c>
      <c r="E25" s="211">
        <v>226</v>
      </c>
      <c r="F25" s="211">
        <v>377</v>
      </c>
      <c r="G25" s="211">
        <v>247</v>
      </c>
      <c r="H25" s="211">
        <v>413</v>
      </c>
      <c r="I25" s="211">
        <v>394</v>
      </c>
      <c r="J25" s="211">
        <v>104</v>
      </c>
    </row>
    <row r="26" spans="1:10" x14ac:dyDescent="0.25">
      <c r="A26" s="211" t="s">
        <v>409</v>
      </c>
      <c r="B26" s="213" t="s">
        <v>427</v>
      </c>
      <c r="C26" s="211">
        <v>0</v>
      </c>
      <c r="D26" s="211">
        <v>187</v>
      </c>
      <c r="E26" s="211">
        <v>346</v>
      </c>
      <c r="F26" s="211">
        <v>382</v>
      </c>
      <c r="G26" s="211">
        <v>219</v>
      </c>
      <c r="H26" s="211">
        <v>423</v>
      </c>
      <c r="I26" s="211">
        <v>377</v>
      </c>
      <c r="J26" s="211">
        <v>129</v>
      </c>
    </row>
    <row r="27" spans="1:10" x14ac:dyDescent="0.25">
      <c r="A27" s="211" t="s">
        <v>409</v>
      </c>
      <c r="B27" s="213" t="s">
        <v>428</v>
      </c>
      <c r="C27" s="211">
        <v>0</v>
      </c>
      <c r="D27" s="211">
        <v>221</v>
      </c>
      <c r="E27" s="211">
        <v>412</v>
      </c>
      <c r="F27" s="211">
        <v>427</v>
      </c>
      <c r="G27" s="211">
        <v>253</v>
      </c>
      <c r="H27" s="211">
        <v>400</v>
      </c>
      <c r="I27" s="211">
        <v>387</v>
      </c>
      <c r="J27" s="211">
        <v>144</v>
      </c>
    </row>
    <row r="28" spans="1:10" x14ac:dyDescent="0.25">
      <c r="A28" s="211" t="s">
        <v>409</v>
      </c>
      <c r="B28" s="213" t="s">
        <v>429</v>
      </c>
      <c r="C28" s="211">
        <v>0</v>
      </c>
      <c r="D28" s="211">
        <v>359</v>
      </c>
      <c r="E28" s="211">
        <v>409</v>
      </c>
      <c r="F28" s="211">
        <v>237</v>
      </c>
      <c r="G28" s="211">
        <v>225</v>
      </c>
      <c r="H28" s="211">
        <v>355</v>
      </c>
      <c r="I28" s="211">
        <v>344</v>
      </c>
      <c r="J28" s="211">
        <v>161</v>
      </c>
    </row>
    <row r="29" spans="1:10" x14ac:dyDescent="0.25">
      <c r="A29" s="211" t="s">
        <v>409</v>
      </c>
      <c r="B29" s="213" t="s">
        <v>430</v>
      </c>
      <c r="C29" s="211">
        <v>0</v>
      </c>
      <c r="D29" s="211">
        <v>307</v>
      </c>
      <c r="E29" s="211">
        <v>320</v>
      </c>
      <c r="F29" s="211">
        <v>198</v>
      </c>
      <c r="G29" s="211">
        <v>285</v>
      </c>
      <c r="H29" s="211">
        <v>403</v>
      </c>
      <c r="I29" s="211">
        <v>401</v>
      </c>
      <c r="J29" s="211">
        <v>286</v>
      </c>
    </row>
    <row r="30" spans="1:10" x14ac:dyDescent="0.25">
      <c r="A30" s="211" t="s">
        <v>409</v>
      </c>
      <c r="B30" s="213" t="s">
        <v>431</v>
      </c>
      <c r="C30" s="211">
        <v>0</v>
      </c>
      <c r="D30" s="211">
        <v>323</v>
      </c>
      <c r="E30" s="211">
        <v>313</v>
      </c>
      <c r="F30" s="211">
        <v>206</v>
      </c>
      <c r="G30" s="211">
        <v>323</v>
      </c>
      <c r="H30" s="211">
        <v>359</v>
      </c>
      <c r="I30" s="211">
        <v>392</v>
      </c>
      <c r="J30" s="211">
        <v>291</v>
      </c>
    </row>
    <row r="31" spans="1:10" x14ac:dyDescent="0.25">
      <c r="A31" s="211" t="s">
        <v>409</v>
      </c>
      <c r="B31" s="213" t="s">
        <v>432</v>
      </c>
      <c r="C31" s="211">
        <v>0</v>
      </c>
      <c r="D31" s="211">
        <v>214</v>
      </c>
      <c r="E31" s="211">
        <v>197</v>
      </c>
      <c r="F31" s="211">
        <v>395</v>
      </c>
      <c r="G31" s="211">
        <v>322</v>
      </c>
      <c r="H31" s="211">
        <v>381</v>
      </c>
      <c r="I31" s="211">
        <v>416</v>
      </c>
      <c r="J31" s="211">
        <v>233</v>
      </c>
    </row>
    <row r="32" spans="1:10" x14ac:dyDescent="0.25">
      <c r="A32" s="211" t="s">
        <v>409</v>
      </c>
      <c r="B32" s="213" t="s">
        <v>433</v>
      </c>
      <c r="C32" s="211">
        <v>0</v>
      </c>
      <c r="D32" s="211">
        <v>353</v>
      </c>
      <c r="E32" s="211">
        <v>253</v>
      </c>
      <c r="F32" s="211">
        <v>416</v>
      </c>
      <c r="G32" s="211">
        <v>264</v>
      </c>
      <c r="H32" s="211">
        <v>265</v>
      </c>
      <c r="I32" s="211">
        <v>237</v>
      </c>
      <c r="J32" s="211">
        <v>210</v>
      </c>
    </row>
    <row r="33" spans="1:10" x14ac:dyDescent="0.25">
      <c r="A33" s="211" t="s">
        <v>409</v>
      </c>
      <c r="B33" s="213" t="s">
        <v>434</v>
      </c>
      <c r="C33" s="211">
        <v>0</v>
      </c>
      <c r="D33" s="211">
        <v>358</v>
      </c>
      <c r="E33" s="211">
        <v>295</v>
      </c>
      <c r="F33" s="211">
        <v>413</v>
      </c>
      <c r="G33" s="211">
        <v>249</v>
      </c>
      <c r="H33" s="211">
        <v>352</v>
      </c>
      <c r="I33" s="211">
        <v>374</v>
      </c>
      <c r="J33" s="211">
        <v>73</v>
      </c>
    </row>
    <row r="34" spans="1:10" x14ac:dyDescent="0.25">
      <c r="A34" s="211" t="s">
        <v>409</v>
      </c>
      <c r="B34" s="213" t="s">
        <v>435</v>
      </c>
      <c r="C34" s="211">
        <v>0</v>
      </c>
      <c r="D34" s="211">
        <v>342</v>
      </c>
      <c r="E34" s="211">
        <v>331</v>
      </c>
      <c r="F34" s="211">
        <v>417</v>
      </c>
      <c r="G34" s="211">
        <v>345</v>
      </c>
      <c r="H34" s="211">
        <v>345</v>
      </c>
      <c r="I34" s="211">
        <v>383</v>
      </c>
      <c r="J34" s="211">
        <v>66</v>
      </c>
    </row>
    <row r="35" spans="1:10" x14ac:dyDescent="0.25">
      <c r="A35" s="211" t="s">
        <v>409</v>
      </c>
      <c r="B35" s="213" t="s">
        <v>436</v>
      </c>
      <c r="C35" s="211">
        <v>0</v>
      </c>
      <c r="D35" s="211">
        <v>172</v>
      </c>
      <c r="E35" s="211">
        <v>369</v>
      </c>
      <c r="F35" s="211">
        <v>382</v>
      </c>
      <c r="G35" s="211">
        <v>411</v>
      </c>
      <c r="H35" s="211">
        <v>364</v>
      </c>
      <c r="I35" s="211">
        <v>352</v>
      </c>
      <c r="J35" s="211">
        <v>88</v>
      </c>
    </row>
    <row r="36" spans="1:10" x14ac:dyDescent="0.25">
      <c r="A36" s="211" t="s">
        <v>409</v>
      </c>
      <c r="B36" s="213" t="s">
        <v>437</v>
      </c>
      <c r="C36" s="211">
        <v>0</v>
      </c>
      <c r="D36" s="211">
        <v>197</v>
      </c>
      <c r="E36" s="211">
        <v>383</v>
      </c>
      <c r="F36" s="211">
        <v>260</v>
      </c>
      <c r="G36" s="211">
        <v>383</v>
      </c>
      <c r="H36" s="211">
        <v>344</v>
      </c>
      <c r="I36" s="211">
        <v>407</v>
      </c>
      <c r="J36" s="211">
        <v>136</v>
      </c>
    </row>
    <row r="37" spans="1:10" x14ac:dyDescent="0.25">
      <c r="A37" s="211" t="s">
        <v>409</v>
      </c>
      <c r="B37" s="213" t="s">
        <v>438</v>
      </c>
      <c r="C37" s="211">
        <v>0</v>
      </c>
      <c r="D37" s="211">
        <v>121</v>
      </c>
      <c r="E37" s="211">
        <v>412</v>
      </c>
      <c r="F37" s="211">
        <v>413</v>
      </c>
      <c r="G37" s="211">
        <v>372</v>
      </c>
      <c r="H37" s="211">
        <v>340</v>
      </c>
      <c r="I37" s="211">
        <v>364</v>
      </c>
      <c r="J37" s="211">
        <v>150</v>
      </c>
    </row>
    <row r="38" spans="1:10" x14ac:dyDescent="0.25">
      <c r="A38" s="211" t="s">
        <v>409</v>
      </c>
      <c r="B38" s="213" t="s">
        <v>439</v>
      </c>
      <c r="C38" s="211">
        <v>0</v>
      </c>
      <c r="D38" s="211">
        <v>152</v>
      </c>
      <c r="E38" s="211">
        <v>256</v>
      </c>
      <c r="F38" s="211">
        <v>415</v>
      </c>
      <c r="G38" s="211">
        <v>274</v>
      </c>
      <c r="H38" s="211">
        <v>296</v>
      </c>
      <c r="I38" s="211">
        <v>246</v>
      </c>
      <c r="J38" s="211">
        <v>78</v>
      </c>
    </row>
    <row r="39" spans="1:10" x14ac:dyDescent="0.25">
      <c r="A39" s="211" t="s">
        <v>440</v>
      </c>
      <c r="B39" s="213" t="s">
        <v>408</v>
      </c>
      <c r="C39" s="211">
        <v>0</v>
      </c>
      <c r="D39" s="211">
        <v>208</v>
      </c>
      <c r="E39" s="211">
        <v>386</v>
      </c>
      <c r="F39" s="211">
        <v>226</v>
      </c>
      <c r="G39" s="211">
        <v>311</v>
      </c>
      <c r="H39" s="211">
        <v>305</v>
      </c>
      <c r="I39" s="211">
        <v>264</v>
      </c>
      <c r="J39" s="211">
        <v>110</v>
      </c>
    </row>
    <row r="40" spans="1:10" x14ac:dyDescent="0.25">
      <c r="A40" s="211" t="s">
        <v>440</v>
      </c>
      <c r="B40" s="213" t="s">
        <v>410</v>
      </c>
      <c r="C40" s="211">
        <v>0</v>
      </c>
      <c r="D40" s="211">
        <v>279</v>
      </c>
      <c r="E40" s="211">
        <v>398</v>
      </c>
      <c r="F40" s="211">
        <v>265</v>
      </c>
      <c r="G40" s="211">
        <v>239</v>
      </c>
      <c r="H40" s="211">
        <v>365</v>
      </c>
      <c r="I40" s="211">
        <v>271</v>
      </c>
      <c r="J40" s="211">
        <v>111</v>
      </c>
    </row>
    <row r="41" spans="1:10" x14ac:dyDescent="0.25">
      <c r="A41" s="211" t="s">
        <v>440</v>
      </c>
      <c r="B41" s="213" t="s">
        <v>411</v>
      </c>
      <c r="C41" s="211">
        <v>0</v>
      </c>
      <c r="D41" s="211">
        <v>263</v>
      </c>
      <c r="E41" s="211">
        <v>355</v>
      </c>
      <c r="F41" s="211">
        <v>296</v>
      </c>
      <c r="G41" s="211">
        <v>218</v>
      </c>
      <c r="H41" s="211">
        <v>268</v>
      </c>
      <c r="I41" s="211">
        <v>418</v>
      </c>
      <c r="J41" s="211">
        <v>132</v>
      </c>
    </row>
    <row r="42" spans="1:10" x14ac:dyDescent="0.25">
      <c r="A42" s="211" t="s">
        <v>440</v>
      </c>
      <c r="B42" s="213" t="s">
        <v>412</v>
      </c>
      <c r="C42" s="211">
        <v>0</v>
      </c>
      <c r="D42" s="211">
        <v>183</v>
      </c>
      <c r="E42" s="211">
        <v>206</v>
      </c>
      <c r="F42" s="211">
        <v>310</v>
      </c>
      <c r="G42" s="211">
        <v>212</v>
      </c>
      <c r="H42" s="211">
        <v>308</v>
      </c>
      <c r="I42" s="211">
        <v>417</v>
      </c>
      <c r="J42" s="211">
        <v>87</v>
      </c>
    </row>
    <row r="43" spans="1:10" x14ac:dyDescent="0.25">
      <c r="A43" s="211" t="s">
        <v>440</v>
      </c>
      <c r="B43" s="213" t="s">
        <v>413</v>
      </c>
      <c r="C43" s="211">
        <v>0</v>
      </c>
      <c r="D43" s="211">
        <v>134</v>
      </c>
      <c r="E43" s="211">
        <v>278</v>
      </c>
      <c r="F43" s="211">
        <v>317</v>
      </c>
      <c r="G43" s="211">
        <v>365</v>
      </c>
      <c r="H43" s="211">
        <v>231</v>
      </c>
      <c r="I43" s="211">
        <v>349</v>
      </c>
      <c r="J43" s="211">
        <v>112</v>
      </c>
    </row>
    <row r="44" spans="1:10" x14ac:dyDescent="0.25">
      <c r="A44" s="211" t="s">
        <v>440</v>
      </c>
      <c r="B44" s="213" t="s">
        <v>414</v>
      </c>
      <c r="C44" s="211">
        <v>0</v>
      </c>
      <c r="D44" s="211">
        <v>161</v>
      </c>
      <c r="E44" s="211">
        <v>285</v>
      </c>
      <c r="F44" s="211">
        <v>308</v>
      </c>
      <c r="G44" s="211">
        <v>393</v>
      </c>
      <c r="H44" s="211">
        <v>410</v>
      </c>
      <c r="I44" s="211">
        <v>354</v>
      </c>
      <c r="J44" s="211">
        <v>126</v>
      </c>
    </row>
    <row r="45" spans="1:10" x14ac:dyDescent="0.25">
      <c r="A45" s="211" t="s">
        <v>440</v>
      </c>
      <c r="B45" s="213" t="s">
        <v>415</v>
      </c>
      <c r="C45" s="211">
        <v>0</v>
      </c>
      <c r="D45" s="211">
        <v>175</v>
      </c>
      <c r="E45" s="211">
        <v>345</v>
      </c>
      <c r="F45" s="211">
        <v>332</v>
      </c>
      <c r="G45" s="211">
        <v>345</v>
      </c>
      <c r="H45" s="211">
        <v>404</v>
      </c>
      <c r="I45" s="211">
        <v>404</v>
      </c>
      <c r="J45" s="211">
        <v>71</v>
      </c>
    </row>
    <row r="46" spans="1:10" x14ac:dyDescent="0.25">
      <c r="A46" s="211" t="s">
        <v>440</v>
      </c>
      <c r="B46" s="213" t="s">
        <v>416</v>
      </c>
      <c r="C46" s="211">
        <v>0</v>
      </c>
      <c r="D46" s="211">
        <v>137</v>
      </c>
      <c r="E46" s="211">
        <v>419</v>
      </c>
      <c r="F46" s="211">
        <v>327</v>
      </c>
      <c r="G46" s="211">
        <v>364</v>
      </c>
      <c r="H46" s="211">
        <v>432</v>
      </c>
      <c r="I46" s="211">
        <v>349</v>
      </c>
      <c r="J46" s="211">
        <v>59</v>
      </c>
    </row>
    <row r="47" spans="1:10" x14ac:dyDescent="0.25">
      <c r="A47" s="211" t="s">
        <v>440</v>
      </c>
      <c r="B47" s="213" t="s">
        <v>417</v>
      </c>
      <c r="C47" s="211">
        <v>0</v>
      </c>
      <c r="D47" s="211">
        <v>230</v>
      </c>
      <c r="E47" s="211">
        <v>390</v>
      </c>
      <c r="F47" s="211">
        <v>327</v>
      </c>
      <c r="G47" s="211">
        <v>330</v>
      </c>
      <c r="H47" s="211">
        <v>216</v>
      </c>
      <c r="I47" s="211">
        <v>296</v>
      </c>
      <c r="J47" s="211">
        <v>63</v>
      </c>
    </row>
    <row r="48" spans="1:10" x14ac:dyDescent="0.25">
      <c r="A48" s="211" t="s">
        <v>440</v>
      </c>
      <c r="B48" s="213" t="s">
        <v>418</v>
      </c>
      <c r="C48" s="211">
        <v>0</v>
      </c>
      <c r="D48" s="211">
        <v>243</v>
      </c>
      <c r="E48" s="211">
        <v>395</v>
      </c>
      <c r="F48" s="211">
        <v>328</v>
      </c>
      <c r="G48" s="211">
        <v>332</v>
      </c>
      <c r="H48" s="211">
        <v>240</v>
      </c>
      <c r="I48" s="211">
        <v>290</v>
      </c>
      <c r="J48" s="211">
        <v>82</v>
      </c>
    </row>
    <row r="49" spans="1:10" x14ac:dyDescent="0.25">
      <c r="A49" s="211" t="s">
        <v>440</v>
      </c>
      <c r="B49" s="213" t="s">
        <v>419</v>
      </c>
      <c r="C49" s="211">
        <v>0</v>
      </c>
      <c r="D49" s="211">
        <v>212</v>
      </c>
      <c r="E49" s="211">
        <v>347</v>
      </c>
      <c r="F49" s="211">
        <v>263</v>
      </c>
      <c r="G49" s="211">
        <v>326</v>
      </c>
      <c r="H49" s="211">
        <v>407</v>
      </c>
      <c r="I49" s="211">
        <v>232</v>
      </c>
      <c r="J49" s="211">
        <v>134</v>
      </c>
    </row>
    <row r="50" spans="1:10" x14ac:dyDescent="0.25">
      <c r="A50" s="211" t="s">
        <v>440</v>
      </c>
      <c r="B50" s="213" t="s">
        <v>420</v>
      </c>
      <c r="C50" s="211">
        <v>0</v>
      </c>
      <c r="D50" s="211">
        <v>226</v>
      </c>
      <c r="E50" s="211">
        <v>331</v>
      </c>
      <c r="F50" s="211">
        <v>248</v>
      </c>
      <c r="G50" s="211">
        <v>340</v>
      </c>
      <c r="H50" s="211">
        <v>405</v>
      </c>
      <c r="I50" s="211">
        <v>267</v>
      </c>
      <c r="J50" s="211">
        <v>212</v>
      </c>
    </row>
    <row r="51" spans="1:10" x14ac:dyDescent="0.25">
      <c r="A51" s="211" t="s">
        <v>440</v>
      </c>
      <c r="B51" s="213" t="s">
        <v>421</v>
      </c>
      <c r="C51" s="211">
        <v>0</v>
      </c>
      <c r="D51" s="211">
        <v>321</v>
      </c>
      <c r="E51" s="211">
        <v>406</v>
      </c>
      <c r="F51" s="211">
        <v>327</v>
      </c>
      <c r="G51" s="211">
        <v>389</v>
      </c>
      <c r="H51" s="211">
        <v>242</v>
      </c>
      <c r="I51" s="211">
        <v>329</v>
      </c>
      <c r="J51" s="211">
        <v>219</v>
      </c>
    </row>
    <row r="52" spans="1:10" x14ac:dyDescent="0.25">
      <c r="A52" s="211" t="s">
        <v>440</v>
      </c>
      <c r="B52" s="213" t="s">
        <v>422</v>
      </c>
      <c r="C52" s="211">
        <v>0</v>
      </c>
      <c r="D52" s="211">
        <v>409</v>
      </c>
      <c r="E52" s="211">
        <v>428</v>
      </c>
      <c r="F52" s="211">
        <v>359</v>
      </c>
      <c r="G52" s="211">
        <v>317</v>
      </c>
      <c r="H52" s="211">
        <v>317</v>
      </c>
      <c r="I52" s="211">
        <v>377</v>
      </c>
      <c r="J52" s="211">
        <v>180</v>
      </c>
    </row>
    <row r="53" spans="1:10" x14ac:dyDescent="0.25">
      <c r="A53" s="211" t="s">
        <v>440</v>
      </c>
      <c r="B53" s="213" t="s">
        <v>423</v>
      </c>
      <c r="C53" s="211">
        <v>0</v>
      </c>
      <c r="D53" s="211">
        <v>381</v>
      </c>
      <c r="E53" s="211">
        <v>410</v>
      </c>
      <c r="F53" s="211">
        <v>392</v>
      </c>
      <c r="G53" s="211">
        <v>384</v>
      </c>
      <c r="H53" s="211">
        <v>404</v>
      </c>
      <c r="I53" s="211">
        <v>435</v>
      </c>
      <c r="J53" s="211">
        <v>146</v>
      </c>
    </row>
    <row r="54" spans="1:10" x14ac:dyDescent="0.25">
      <c r="A54" s="211" t="s">
        <v>440</v>
      </c>
      <c r="B54" s="213" t="s">
        <v>424</v>
      </c>
      <c r="C54" s="211">
        <v>0</v>
      </c>
      <c r="D54" s="211">
        <v>275</v>
      </c>
      <c r="E54" s="211">
        <v>386</v>
      </c>
      <c r="F54" s="211">
        <v>373</v>
      </c>
      <c r="G54" s="211">
        <v>433</v>
      </c>
      <c r="H54" s="211">
        <v>432</v>
      </c>
      <c r="I54" s="211">
        <v>425</v>
      </c>
      <c r="J54" s="211">
        <v>145</v>
      </c>
    </row>
    <row r="55" spans="1:10" x14ac:dyDescent="0.25">
      <c r="A55" s="211" t="s">
        <v>440</v>
      </c>
      <c r="B55" s="213" t="s">
        <v>425</v>
      </c>
      <c r="C55" s="211">
        <v>0</v>
      </c>
      <c r="D55" s="211">
        <v>208</v>
      </c>
      <c r="E55" s="211">
        <v>395</v>
      </c>
      <c r="F55" s="211">
        <v>424</v>
      </c>
      <c r="G55" s="211">
        <v>435</v>
      </c>
      <c r="H55" s="211">
        <v>406</v>
      </c>
      <c r="I55" s="211">
        <v>317</v>
      </c>
      <c r="J55" s="211">
        <v>151</v>
      </c>
    </row>
    <row r="56" spans="1:10" x14ac:dyDescent="0.25">
      <c r="A56" s="211" t="s">
        <v>440</v>
      </c>
      <c r="B56" s="213" t="s">
        <v>426</v>
      </c>
      <c r="C56" s="211">
        <v>0</v>
      </c>
      <c r="D56" s="211">
        <v>250</v>
      </c>
      <c r="E56" s="211">
        <v>373</v>
      </c>
      <c r="F56" s="211">
        <v>440</v>
      </c>
      <c r="G56" s="211">
        <v>433</v>
      </c>
      <c r="H56" s="211">
        <v>346</v>
      </c>
      <c r="I56" s="211">
        <v>317</v>
      </c>
      <c r="J56" s="211">
        <v>153</v>
      </c>
    </row>
    <row r="57" spans="1:10" x14ac:dyDescent="0.25">
      <c r="A57" s="211" t="s">
        <v>440</v>
      </c>
      <c r="B57" s="213" t="s">
        <v>427</v>
      </c>
      <c r="C57" s="211">
        <v>0</v>
      </c>
      <c r="D57" s="211">
        <v>254</v>
      </c>
      <c r="E57" s="211">
        <v>409</v>
      </c>
      <c r="F57" s="211">
        <v>440</v>
      </c>
      <c r="G57" s="211">
        <v>392</v>
      </c>
      <c r="H57" s="211">
        <v>434</v>
      </c>
      <c r="I57" s="211">
        <v>436</v>
      </c>
      <c r="J57" s="211">
        <v>197</v>
      </c>
    </row>
    <row r="58" spans="1:10" x14ac:dyDescent="0.25">
      <c r="A58" s="211" t="s">
        <v>440</v>
      </c>
      <c r="B58" s="213" t="s">
        <v>428</v>
      </c>
      <c r="C58" s="211">
        <v>0</v>
      </c>
      <c r="D58" s="211">
        <v>248</v>
      </c>
      <c r="E58" s="211">
        <v>399</v>
      </c>
      <c r="F58" s="211">
        <v>350</v>
      </c>
      <c r="G58" s="211">
        <v>415</v>
      </c>
      <c r="H58" s="211">
        <v>436</v>
      </c>
      <c r="I58" s="211">
        <v>432</v>
      </c>
      <c r="J58" s="211">
        <v>188</v>
      </c>
    </row>
    <row r="59" spans="1:10" x14ac:dyDescent="0.25">
      <c r="A59" s="211" t="s">
        <v>440</v>
      </c>
      <c r="B59" s="213" t="s">
        <v>429</v>
      </c>
      <c r="C59" s="211">
        <v>0</v>
      </c>
      <c r="D59" s="211">
        <v>225</v>
      </c>
      <c r="E59" s="211">
        <v>360</v>
      </c>
      <c r="F59" s="211">
        <v>305</v>
      </c>
      <c r="G59" s="211">
        <v>420</v>
      </c>
      <c r="H59" s="211">
        <v>309</v>
      </c>
      <c r="I59" s="211">
        <v>369</v>
      </c>
      <c r="J59" s="211">
        <v>104</v>
      </c>
    </row>
    <row r="60" spans="1:10" x14ac:dyDescent="0.25">
      <c r="A60" s="211" t="s">
        <v>440</v>
      </c>
      <c r="B60" s="213" t="s">
        <v>430</v>
      </c>
      <c r="C60" s="211">
        <v>0</v>
      </c>
      <c r="D60" s="211">
        <v>201</v>
      </c>
      <c r="E60" s="211">
        <v>219</v>
      </c>
      <c r="F60" s="211">
        <v>376</v>
      </c>
      <c r="G60" s="211">
        <v>342</v>
      </c>
      <c r="H60" s="211">
        <v>363</v>
      </c>
      <c r="I60" s="211">
        <v>388</v>
      </c>
      <c r="J60" s="211">
        <v>121</v>
      </c>
    </row>
    <row r="61" spans="1:10" x14ac:dyDescent="0.25">
      <c r="A61" s="211" t="s">
        <v>440</v>
      </c>
      <c r="B61" s="213" t="s">
        <v>431</v>
      </c>
      <c r="C61" s="211">
        <v>0</v>
      </c>
      <c r="D61" s="211">
        <v>256</v>
      </c>
      <c r="E61" s="211">
        <v>219</v>
      </c>
      <c r="F61" s="211">
        <v>422</v>
      </c>
      <c r="G61" s="211">
        <v>355</v>
      </c>
      <c r="H61" s="211">
        <v>390</v>
      </c>
      <c r="I61" s="211">
        <v>364</v>
      </c>
      <c r="J61" s="211">
        <v>126</v>
      </c>
    </row>
    <row r="62" spans="1:10" x14ac:dyDescent="0.25">
      <c r="A62" s="211" t="s">
        <v>440</v>
      </c>
      <c r="B62" s="213" t="s">
        <v>432</v>
      </c>
      <c r="C62" s="211">
        <v>0</v>
      </c>
      <c r="D62" s="211">
        <v>258</v>
      </c>
      <c r="E62" s="211">
        <v>352</v>
      </c>
      <c r="F62" s="211">
        <v>416</v>
      </c>
      <c r="G62" s="211">
        <v>390</v>
      </c>
      <c r="H62" s="211">
        <v>399</v>
      </c>
      <c r="I62" s="211">
        <v>382</v>
      </c>
      <c r="J62" s="211">
        <v>174</v>
      </c>
    </row>
    <row r="63" spans="1:10" x14ac:dyDescent="0.25">
      <c r="A63" s="211" t="s">
        <v>440</v>
      </c>
      <c r="B63" s="213" t="s">
        <v>433</v>
      </c>
      <c r="C63" s="211">
        <v>0</v>
      </c>
      <c r="D63" s="211">
        <v>156</v>
      </c>
      <c r="E63" s="211">
        <v>336</v>
      </c>
      <c r="F63" s="211">
        <v>390</v>
      </c>
      <c r="G63" s="211">
        <v>320</v>
      </c>
      <c r="H63" s="211">
        <v>370</v>
      </c>
      <c r="I63" s="211">
        <v>334</v>
      </c>
      <c r="J63" s="211">
        <v>221</v>
      </c>
    </row>
    <row r="64" spans="1:10" x14ac:dyDescent="0.25">
      <c r="A64" s="211" t="s">
        <v>440</v>
      </c>
      <c r="B64" s="213" t="s">
        <v>434</v>
      </c>
      <c r="C64" s="211">
        <v>0</v>
      </c>
      <c r="D64" s="211">
        <v>125</v>
      </c>
      <c r="E64" s="211">
        <v>227</v>
      </c>
      <c r="F64" s="211">
        <v>291</v>
      </c>
      <c r="G64" s="211">
        <v>309</v>
      </c>
      <c r="H64" s="211">
        <v>329</v>
      </c>
      <c r="I64" s="211">
        <v>389</v>
      </c>
      <c r="J64" s="211">
        <v>265</v>
      </c>
    </row>
    <row r="65" spans="1:10" x14ac:dyDescent="0.25">
      <c r="A65" s="211" t="s">
        <v>440</v>
      </c>
      <c r="B65" s="213" t="s">
        <v>435</v>
      </c>
      <c r="C65" s="211">
        <v>0</v>
      </c>
      <c r="D65" s="211">
        <v>138</v>
      </c>
      <c r="E65" s="211">
        <v>267</v>
      </c>
      <c r="F65" s="211">
        <v>384</v>
      </c>
      <c r="G65" s="211">
        <v>206</v>
      </c>
      <c r="H65" s="211">
        <v>343</v>
      </c>
      <c r="I65" s="211">
        <v>355</v>
      </c>
      <c r="J65" s="211">
        <v>287</v>
      </c>
    </row>
    <row r="66" spans="1:10" x14ac:dyDescent="0.25">
      <c r="A66" s="211" t="s">
        <v>440</v>
      </c>
      <c r="B66" s="213" t="s">
        <v>436</v>
      </c>
      <c r="C66" s="211">
        <v>0</v>
      </c>
      <c r="D66" s="211">
        <v>150</v>
      </c>
      <c r="E66" s="211">
        <v>293</v>
      </c>
      <c r="F66" s="211">
        <v>363</v>
      </c>
      <c r="G66" s="211">
        <v>408</v>
      </c>
      <c r="H66" s="211">
        <v>407</v>
      </c>
      <c r="I66" s="211">
        <v>274</v>
      </c>
      <c r="J66" s="211">
        <v>161</v>
      </c>
    </row>
    <row r="67" spans="1:10" x14ac:dyDescent="0.25">
      <c r="A67" s="211" t="s">
        <v>440</v>
      </c>
      <c r="B67" s="213" t="s">
        <v>437</v>
      </c>
      <c r="C67" s="211">
        <v>0</v>
      </c>
      <c r="D67" s="211">
        <v>0</v>
      </c>
      <c r="E67" s="211">
        <v>311</v>
      </c>
      <c r="F67" s="211">
        <v>0</v>
      </c>
      <c r="G67" s="211">
        <v>0</v>
      </c>
      <c r="H67" s="211">
        <v>0</v>
      </c>
      <c r="I67" s="211">
        <v>284</v>
      </c>
      <c r="J67" s="211">
        <v>0</v>
      </c>
    </row>
    <row r="68" spans="1:10" x14ac:dyDescent="0.25">
      <c r="A68" s="211" t="s">
        <v>441</v>
      </c>
      <c r="B68" s="213" t="s">
        <v>408</v>
      </c>
      <c r="C68" s="211">
        <v>0</v>
      </c>
      <c r="D68" s="211">
        <v>128</v>
      </c>
      <c r="E68" s="211">
        <v>325</v>
      </c>
      <c r="F68" s="211">
        <v>366</v>
      </c>
      <c r="G68" s="211">
        <v>414</v>
      </c>
      <c r="H68" s="211">
        <v>366</v>
      </c>
      <c r="I68" s="211">
        <v>260</v>
      </c>
      <c r="J68" s="211">
        <v>161</v>
      </c>
    </row>
    <row r="69" spans="1:10" x14ac:dyDescent="0.25">
      <c r="A69" s="211" t="s">
        <v>441</v>
      </c>
      <c r="B69" s="213" t="s">
        <v>410</v>
      </c>
      <c r="C69" s="211">
        <v>0</v>
      </c>
      <c r="D69" s="211">
        <v>115</v>
      </c>
      <c r="E69" s="211">
        <v>343</v>
      </c>
      <c r="F69" s="211">
        <v>336</v>
      </c>
      <c r="G69" s="211">
        <v>416</v>
      </c>
      <c r="H69" s="211">
        <v>407</v>
      </c>
      <c r="I69" s="211">
        <v>311</v>
      </c>
      <c r="J69" s="211">
        <v>127</v>
      </c>
    </row>
    <row r="70" spans="1:10" x14ac:dyDescent="0.25">
      <c r="A70" s="211" t="s">
        <v>441</v>
      </c>
      <c r="B70" s="213" t="s">
        <v>411</v>
      </c>
      <c r="C70" s="211">
        <v>0</v>
      </c>
      <c r="D70" s="211">
        <v>142</v>
      </c>
      <c r="E70" s="211">
        <v>372</v>
      </c>
      <c r="F70" s="211">
        <v>387</v>
      </c>
      <c r="G70" s="211">
        <v>277</v>
      </c>
      <c r="H70" s="211">
        <v>307</v>
      </c>
      <c r="I70" s="211">
        <v>314</v>
      </c>
      <c r="J70" s="211">
        <v>74</v>
      </c>
    </row>
    <row r="71" spans="1:10" x14ac:dyDescent="0.25">
      <c r="A71" s="211" t="s">
        <v>441</v>
      </c>
      <c r="B71" s="213" t="s">
        <v>412</v>
      </c>
      <c r="C71" s="211">
        <v>0</v>
      </c>
      <c r="D71" s="211">
        <v>168</v>
      </c>
      <c r="E71" s="211">
        <v>371</v>
      </c>
      <c r="F71" s="211">
        <v>419</v>
      </c>
      <c r="G71" s="211">
        <v>348</v>
      </c>
      <c r="H71" s="211">
        <v>392</v>
      </c>
      <c r="I71" s="211">
        <v>368</v>
      </c>
      <c r="J71" s="211">
        <v>98</v>
      </c>
    </row>
    <row r="72" spans="1:10" x14ac:dyDescent="0.25">
      <c r="A72" s="211" t="s">
        <v>441</v>
      </c>
      <c r="B72" s="213" t="s">
        <v>413</v>
      </c>
      <c r="C72" s="211">
        <v>0</v>
      </c>
      <c r="D72" s="211">
        <v>172</v>
      </c>
      <c r="E72" s="211">
        <v>396</v>
      </c>
      <c r="F72" s="211">
        <v>351</v>
      </c>
      <c r="G72" s="211">
        <v>408</v>
      </c>
      <c r="H72" s="211">
        <v>393</v>
      </c>
      <c r="I72" s="211">
        <v>332</v>
      </c>
      <c r="J72" s="211">
        <v>151</v>
      </c>
    </row>
    <row r="73" spans="1:10" x14ac:dyDescent="0.25">
      <c r="A73" s="211" t="s">
        <v>441</v>
      </c>
      <c r="B73" s="213" t="s">
        <v>414</v>
      </c>
      <c r="C73" s="211">
        <v>0</v>
      </c>
      <c r="D73" s="211">
        <v>184</v>
      </c>
      <c r="E73" s="211">
        <v>250</v>
      </c>
      <c r="F73" s="211">
        <v>367</v>
      </c>
      <c r="G73" s="211">
        <v>290</v>
      </c>
      <c r="H73" s="211">
        <v>407</v>
      </c>
      <c r="I73" s="211">
        <v>291</v>
      </c>
      <c r="J73" s="211">
        <v>170</v>
      </c>
    </row>
    <row r="74" spans="1:10" x14ac:dyDescent="0.25">
      <c r="A74" s="211" t="s">
        <v>441</v>
      </c>
      <c r="B74" s="213" t="s">
        <v>415</v>
      </c>
      <c r="C74" s="211">
        <v>0</v>
      </c>
      <c r="D74" s="211">
        <v>330</v>
      </c>
      <c r="E74" s="211">
        <v>248</v>
      </c>
      <c r="F74" s="211">
        <v>331</v>
      </c>
      <c r="G74" s="211">
        <v>356</v>
      </c>
      <c r="H74" s="211">
        <v>431</v>
      </c>
      <c r="I74" s="211">
        <v>220</v>
      </c>
      <c r="J74" s="211">
        <v>120</v>
      </c>
    </row>
    <row r="75" spans="1:10" x14ac:dyDescent="0.25">
      <c r="A75" s="211" t="s">
        <v>441</v>
      </c>
      <c r="B75" s="213" t="s">
        <v>416</v>
      </c>
      <c r="C75" s="211">
        <v>0</v>
      </c>
      <c r="D75" s="211">
        <v>408</v>
      </c>
      <c r="E75" s="211">
        <v>247</v>
      </c>
      <c r="F75" s="211">
        <v>293</v>
      </c>
      <c r="G75" s="211">
        <v>361</v>
      </c>
      <c r="H75" s="211">
        <v>358</v>
      </c>
      <c r="I75" s="211">
        <v>204</v>
      </c>
      <c r="J75" s="211">
        <v>111</v>
      </c>
    </row>
    <row r="76" spans="1:10" x14ac:dyDescent="0.25">
      <c r="A76" s="211" t="s">
        <v>441</v>
      </c>
      <c r="B76" s="213" t="s">
        <v>417</v>
      </c>
      <c r="C76" s="211">
        <v>0</v>
      </c>
      <c r="D76" s="211">
        <v>388</v>
      </c>
      <c r="E76" s="211">
        <v>261</v>
      </c>
      <c r="F76" s="211">
        <v>310</v>
      </c>
      <c r="G76" s="211">
        <v>331</v>
      </c>
      <c r="H76" s="211">
        <v>362</v>
      </c>
      <c r="I76" s="211">
        <v>229</v>
      </c>
      <c r="J76" s="211">
        <v>99</v>
      </c>
    </row>
    <row r="77" spans="1:10" x14ac:dyDescent="0.25">
      <c r="A77" s="211" t="s">
        <v>441</v>
      </c>
      <c r="B77" s="213" t="s">
        <v>418</v>
      </c>
      <c r="C77" s="211">
        <v>0</v>
      </c>
      <c r="D77" s="211">
        <v>202</v>
      </c>
      <c r="E77" s="211">
        <v>289</v>
      </c>
      <c r="F77" s="211">
        <v>373</v>
      </c>
      <c r="G77" s="211">
        <v>345</v>
      </c>
      <c r="H77" s="211">
        <v>327</v>
      </c>
      <c r="I77" s="211">
        <v>210</v>
      </c>
      <c r="J77" s="211">
        <v>114</v>
      </c>
    </row>
    <row r="78" spans="1:10" x14ac:dyDescent="0.25">
      <c r="A78" s="211" t="s">
        <v>441</v>
      </c>
      <c r="B78" s="213" t="s">
        <v>419</v>
      </c>
      <c r="C78" s="211">
        <v>0</v>
      </c>
      <c r="D78" s="211">
        <v>298</v>
      </c>
      <c r="E78" s="211">
        <v>315</v>
      </c>
      <c r="F78" s="211">
        <v>400</v>
      </c>
      <c r="G78" s="211">
        <v>322</v>
      </c>
      <c r="H78" s="211">
        <v>413</v>
      </c>
      <c r="I78" s="211">
        <v>198</v>
      </c>
      <c r="J78" s="211">
        <v>117</v>
      </c>
    </row>
    <row r="79" spans="1:10" x14ac:dyDescent="0.25">
      <c r="A79" s="211" t="s">
        <v>441</v>
      </c>
      <c r="B79" s="213" t="s">
        <v>420</v>
      </c>
      <c r="C79" s="211">
        <v>0</v>
      </c>
      <c r="D79" s="211">
        <v>229</v>
      </c>
      <c r="E79" s="211">
        <v>334</v>
      </c>
      <c r="F79" s="211">
        <v>395</v>
      </c>
      <c r="G79" s="211">
        <v>393</v>
      </c>
      <c r="H79" s="211">
        <v>409</v>
      </c>
      <c r="I79" s="211">
        <v>207</v>
      </c>
      <c r="J79" s="211">
        <v>205</v>
      </c>
    </row>
    <row r="80" spans="1:10" x14ac:dyDescent="0.25">
      <c r="A80" s="211" t="s">
        <v>441</v>
      </c>
      <c r="B80" s="213" t="s">
        <v>421</v>
      </c>
      <c r="C80" s="211">
        <v>0</v>
      </c>
      <c r="D80" s="211">
        <v>295</v>
      </c>
      <c r="E80" s="211">
        <v>317</v>
      </c>
      <c r="F80" s="211">
        <v>439</v>
      </c>
      <c r="G80" s="211">
        <v>399</v>
      </c>
      <c r="H80" s="211">
        <v>356</v>
      </c>
      <c r="I80" s="211">
        <v>234</v>
      </c>
      <c r="J80" s="211">
        <v>250</v>
      </c>
    </row>
    <row r="81" spans="1:10" x14ac:dyDescent="0.25">
      <c r="A81" s="211" t="s">
        <v>441</v>
      </c>
      <c r="B81" s="213" t="s">
        <v>422</v>
      </c>
      <c r="C81" s="211">
        <v>0</v>
      </c>
      <c r="D81" s="211">
        <v>383</v>
      </c>
      <c r="E81" s="211">
        <v>423</v>
      </c>
      <c r="F81" s="211">
        <v>436</v>
      </c>
      <c r="G81" s="211">
        <v>378</v>
      </c>
      <c r="H81" s="211">
        <v>324</v>
      </c>
      <c r="I81" s="211">
        <v>180</v>
      </c>
      <c r="J81" s="211">
        <v>183</v>
      </c>
    </row>
    <row r="82" spans="1:10" x14ac:dyDescent="0.25">
      <c r="A82" s="211" t="s">
        <v>441</v>
      </c>
      <c r="B82" s="213" t="s">
        <v>423</v>
      </c>
      <c r="C82" s="211">
        <v>0</v>
      </c>
      <c r="D82" s="211">
        <v>358</v>
      </c>
      <c r="E82" s="211">
        <v>433</v>
      </c>
      <c r="F82" s="211">
        <v>407</v>
      </c>
      <c r="G82" s="211">
        <v>372</v>
      </c>
      <c r="H82" s="211">
        <v>319</v>
      </c>
      <c r="I82" s="211">
        <v>96</v>
      </c>
      <c r="J82" s="211">
        <v>182</v>
      </c>
    </row>
    <row r="83" spans="1:10" x14ac:dyDescent="0.25">
      <c r="A83" s="211" t="s">
        <v>441</v>
      </c>
      <c r="B83" s="213" t="s">
        <v>424</v>
      </c>
      <c r="C83" s="211">
        <v>0</v>
      </c>
      <c r="D83" s="211">
        <v>414</v>
      </c>
      <c r="E83" s="211">
        <v>375</v>
      </c>
      <c r="F83" s="211">
        <v>410</v>
      </c>
      <c r="G83" s="211">
        <v>373</v>
      </c>
      <c r="H83" s="211">
        <v>290</v>
      </c>
      <c r="I83" s="211">
        <v>61</v>
      </c>
      <c r="J83" s="211">
        <v>199</v>
      </c>
    </row>
    <row r="84" spans="1:10" x14ac:dyDescent="0.25">
      <c r="A84" s="211" t="s">
        <v>441</v>
      </c>
      <c r="B84" s="213" t="s">
        <v>425</v>
      </c>
      <c r="C84" s="211">
        <v>0</v>
      </c>
      <c r="D84" s="211">
        <v>424</v>
      </c>
      <c r="E84" s="211">
        <v>286</v>
      </c>
      <c r="F84" s="211">
        <v>401</v>
      </c>
      <c r="G84" s="211">
        <v>394</v>
      </c>
      <c r="H84" s="211">
        <v>351</v>
      </c>
      <c r="I84" s="211">
        <v>58</v>
      </c>
      <c r="J84" s="211">
        <v>205</v>
      </c>
    </row>
    <row r="85" spans="1:10" x14ac:dyDescent="0.25">
      <c r="A85" s="211" t="s">
        <v>441</v>
      </c>
      <c r="B85" s="213" t="s">
        <v>426</v>
      </c>
      <c r="C85" s="211">
        <v>0</v>
      </c>
      <c r="D85" s="211">
        <v>351</v>
      </c>
      <c r="E85" s="211">
        <v>339</v>
      </c>
      <c r="F85" s="211">
        <v>411</v>
      </c>
      <c r="G85" s="211">
        <v>379</v>
      </c>
      <c r="H85" s="211">
        <v>373</v>
      </c>
      <c r="I85" s="211">
        <v>49</v>
      </c>
      <c r="J85" s="211">
        <v>226</v>
      </c>
    </row>
    <row r="86" spans="1:10" x14ac:dyDescent="0.25">
      <c r="A86" s="211" t="s">
        <v>441</v>
      </c>
      <c r="B86" s="213" t="s">
        <v>427</v>
      </c>
      <c r="C86" s="211">
        <v>0</v>
      </c>
      <c r="D86" s="211">
        <v>281</v>
      </c>
      <c r="E86" s="211">
        <v>417</v>
      </c>
      <c r="F86" s="211">
        <v>331</v>
      </c>
      <c r="G86" s="211">
        <v>408</v>
      </c>
      <c r="H86" s="211">
        <v>363</v>
      </c>
      <c r="I86" s="211">
        <v>32</v>
      </c>
      <c r="J86" s="211">
        <v>244</v>
      </c>
    </row>
    <row r="87" spans="1:10" x14ac:dyDescent="0.25">
      <c r="A87" s="211" t="s">
        <v>441</v>
      </c>
      <c r="B87" s="213" t="s">
        <v>428</v>
      </c>
      <c r="C87" s="211">
        <v>0</v>
      </c>
      <c r="D87" s="211">
        <v>284</v>
      </c>
      <c r="E87" s="211">
        <v>405</v>
      </c>
      <c r="F87" s="211">
        <v>396</v>
      </c>
      <c r="G87" s="211">
        <v>405</v>
      </c>
      <c r="H87" s="211">
        <v>377</v>
      </c>
      <c r="I87" s="211">
        <v>23</v>
      </c>
      <c r="J87" s="211">
        <v>244</v>
      </c>
    </row>
    <row r="88" spans="1:10" x14ac:dyDescent="0.25">
      <c r="A88" s="211" t="s">
        <v>441</v>
      </c>
      <c r="B88" s="213" t="s">
        <v>429</v>
      </c>
      <c r="C88" s="211">
        <v>0</v>
      </c>
      <c r="D88" s="211">
        <v>315</v>
      </c>
      <c r="E88" s="211">
        <v>426</v>
      </c>
      <c r="F88" s="211">
        <v>417</v>
      </c>
      <c r="G88" s="211">
        <v>406</v>
      </c>
      <c r="H88" s="211">
        <v>333</v>
      </c>
      <c r="I88" s="211">
        <v>14</v>
      </c>
      <c r="J88" s="211">
        <v>233</v>
      </c>
    </row>
    <row r="89" spans="1:10" x14ac:dyDescent="0.25">
      <c r="A89" s="211" t="s">
        <v>441</v>
      </c>
      <c r="B89" s="213" t="s">
        <v>430</v>
      </c>
      <c r="C89" s="211">
        <v>0</v>
      </c>
      <c r="D89" s="211">
        <v>248</v>
      </c>
      <c r="E89" s="211">
        <v>418</v>
      </c>
      <c r="F89" s="211">
        <v>425</v>
      </c>
      <c r="G89" s="211">
        <v>347</v>
      </c>
      <c r="H89" s="211">
        <v>397</v>
      </c>
      <c r="I89" s="211">
        <v>5</v>
      </c>
      <c r="J89" s="211">
        <v>234</v>
      </c>
    </row>
    <row r="90" spans="1:10" x14ac:dyDescent="0.25">
      <c r="A90" s="211" t="s">
        <v>441</v>
      </c>
      <c r="B90" s="213" t="s">
        <v>431</v>
      </c>
      <c r="C90" s="211">
        <v>0</v>
      </c>
      <c r="D90" s="211">
        <v>247</v>
      </c>
      <c r="E90" s="211">
        <v>411</v>
      </c>
      <c r="F90" s="211">
        <v>405</v>
      </c>
      <c r="G90" s="211">
        <v>354</v>
      </c>
      <c r="H90" s="211">
        <v>416</v>
      </c>
      <c r="I90" s="211">
        <v>0</v>
      </c>
      <c r="J90" s="211">
        <v>237</v>
      </c>
    </row>
    <row r="91" spans="1:10" x14ac:dyDescent="0.25">
      <c r="A91" s="211" t="s">
        <v>441</v>
      </c>
      <c r="B91" s="213" t="s">
        <v>432</v>
      </c>
      <c r="C91" s="211">
        <v>0</v>
      </c>
      <c r="D91" s="211">
        <v>255</v>
      </c>
      <c r="E91" s="211">
        <v>418</v>
      </c>
      <c r="F91" s="211">
        <v>366</v>
      </c>
      <c r="G91" s="211">
        <v>398</v>
      </c>
      <c r="H91" s="211">
        <v>351</v>
      </c>
      <c r="I91" s="211">
        <v>0</v>
      </c>
      <c r="J91" s="211">
        <v>232</v>
      </c>
    </row>
    <row r="92" spans="1:10" x14ac:dyDescent="0.25">
      <c r="A92" s="211" t="s">
        <v>441</v>
      </c>
      <c r="B92" s="213" t="s">
        <v>433</v>
      </c>
      <c r="C92" s="211">
        <v>0</v>
      </c>
      <c r="D92" s="211">
        <v>237</v>
      </c>
      <c r="E92" s="211">
        <v>414</v>
      </c>
      <c r="F92" s="211">
        <v>392</v>
      </c>
      <c r="G92" s="211">
        <v>373</v>
      </c>
      <c r="H92" s="211">
        <v>417</v>
      </c>
      <c r="I92" s="211">
        <v>0</v>
      </c>
      <c r="J92" s="211">
        <v>229</v>
      </c>
    </row>
    <row r="93" spans="1:10" x14ac:dyDescent="0.25">
      <c r="A93" s="211" t="s">
        <v>441</v>
      </c>
      <c r="B93" s="213" t="s">
        <v>434</v>
      </c>
      <c r="C93" s="211">
        <v>0</v>
      </c>
      <c r="D93" s="211">
        <v>246</v>
      </c>
      <c r="E93" s="211">
        <v>398</v>
      </c>
      <c r="F93" s="211">
        <v>319</v>
      </c>
      <c r="G93" s="211">
        <v>426</v>
      </c>
      <c r="H93" s="211">
        <v>422</v>
      </c>
      <c r="I93" s="211">
        <v>0</v>
      </c>
      <c r="J93" s="211">
        <v>230</v>
      </c>
    </row>
    <row r="94" spans="1:10" x14ac:dyDescent="0.25">
      <c r="A94" s="211" t="s">
        <v>441</v>
      </c>
      <c r="B94" s="213" t="s">
        <v>435</v>
      </c>
      <c r="C94" s="211">
        <v>0</v>
      </c>
      <c r="D94" s="211">
        <v>256</v>
      </c>
      <c r="E94" s="211">
        <v>345</v>
      </c>
      <c r="F94" s="211">
        <v>327</v>
      </c>
      <c r="G94" s="211">
        <v>434</v>
      </c>
      <c r="H94" s="211">
        <v>413</v>
      </c>
      <c r="I94" s="211">
        <v>0</v>
      </c>
      <c r="J94" s="211">
        <v>241</v>
      </c>
    </row>
    <row r="95" spans="1:10" x14ac:dyDescent="0.25">
      <c r="A95" s="211" t="s">
        <v>441</v>
      </c>
      <c r="B95" s="213" t="s">
        <v>436</v>
      </c>
      <c r="C95" s="211">
        <v>0</v>
      </c>
      <c r="D95" s="211">
        <v>265</v>
      </c>
      <c r="E95" s="211">
        <v>403</v>
      </c>
      <c r="F95" s="211">
        <v>359</v>
      </c>
      <c r="G95" s="211">
        <v>398</v>
      </c>
      <c r="H95" s="211">
        <v>383</v>
      </c>
      <c r="I95" s="211">
        <v>0</v>
      </c>
      <c r="J95" s="211">
        <v>227</v>
      </c>
    </row>
    <row r="96" spans="1:10" x14ac:dyDescent="0.25">
      <c r="A96" s="211" t="s">
        <v>441</v>
      </c>
      <c r="B96" s="213" t="s">
        <v>437</v>
      </c>
      <c r="C96" s="211">
        <v>0</v>
      </c>
      <c r="D96" s="211">
        <v>227</v>
      </c>
      <c r="E96" s="211">
        <v>409</v>
      </c>
      <c r="F96" s="211">
        <v>343</v>
      </c>
      <c r="G96" s="211">
        <v>429</v>
      </c>
      <c r="H96" s="211">
        <v>313</v>
      </c>
      <c r="I96" s="211">
        <v>0</v>
      </c>
      <c r="J96" s="211">
        <v>234</v>
      </c>
    </row>
    <row r="97" spans="1:10" x14ac:dyDescent="0.25">
      <c r="A97" s="211" t="s">
        <v>441</v>
      </c>
      <c r="B97" s="213" t="s">
        <v>438</v>
      </c>
      <c r="C97" s="211">
        <v>0</v>
      </c>
      <c r="D97" s="211">
        <v>282</v>
      </c>
      <c r="E97" s="211">
        <v>411</v>
      </c>
      <c r="F97" s="211">
        <v>364</v>
      </c>
      <c r="G97" s="211">
        <v>425</v>
      </c>
      <c r="H97" s="211">
        <v>319</v>
      </c>
      <c r="I97" s="211">
        <v>0</v>
      </c>
      <c r="J97" s="211">
        <v>234</v>
      </c>
    </row>
    <row r="98" spans="1:10" x14ac:dyDescent="0.25">
      <c r="A98" s="211" t="s">
        <v>441</v>
      </c>
      <c r="B98" s="213" t="s">
        <v>439</v>
      </c>
      <c r="C98" s="211">
        <v>0</v>
      </c>
      <c r="D98" s="211">
        <v>323</v>
      </c>
      <c r="E98" s="211">
        <v>400</v>
      </c>
      <c r="F98" s="211">
        <v>337</v>
      </c>
      <c r="G98" s="211">
        <v>424</v>
      </c>
      <c r="H98" s="211">
        <v>224</v>
      </c>
      <c r="I98" s="211">
        <v>0</v>
      </c>
      <c r="J98" s="211">
        <v>231</v>
      </c>
    </row>
    <row r="99" spans="1:10" x14ac:dyDescent="0.25">
      <c r="A99" s="211" t="s">
        <v>442</v>
      </c>
      <c r="B99" s="213" t="s">
        <v>408</v>
      </c>
      <c r="C99" s="211">
        <v>0</v>
      </c>
      <c r="D99" s="211">
        <v>371</v>
      </c>
      <c r="E99" s="211">
        <v>332</v>
      </c>
      <c r="F99" s="211">
        <v>363</v>
      </c>
      <c r="G99" s="211">
        <v>410</v>
      </c>
      <c r="H99" s="211">
        <v>292</v>
      </c>
      <c r="I99" s="211">
        <v>0</v>
      </c>
      <c r="J99" s="211">
        <v>250</v>
      </c>
    </row>
    <row r="100" spans="1:10" x14ac:dyDescent="0.25">
      <c r="A100" s="211" t="s">
        <v>442</v>
      </c>
      <c r="B100" s="213" t="s">
        <v>410</v>
      </c>
      <c r="C100" s="211">
        <v>0</v>
      </c>
      <c r="D100" s="211">
        <v>399</v>
      </c>
      <c r="E100" s="211">
        <v>402</v>
      </c>
      <c r="F100" s="211">
        <v>272</v>
      </c>
      <c r="G100" s="211">
        <v>431</v>
      </c>
      <c r="H100" s="211">
        <v>333</v>
      </c>
      <c r="I100" s="211">
        <v>0</v>
      </c>
      <c r="J100" s="211">
        <v>256</v>
      </c>
    </row>
    <row r="101" spans="1:10" x14ac:dyDescent="0.25">
      <c r="A101" s="211" t="s">
        <v>442</v>
      </c>
      <c r="B101" s="213" t="s">
        <v>411</v>
      </c>
      <c r="C101" s="211">
        <v>0</v>
      </c>
      <c r="D101" s="211">
        <v>405</v>
      </c>
      <c r="E101" s="211">
        <v>416</v>
      </c>
      <c r="F101" s="211">
        <v>286</v>
      </c>
      <c r="G101" s="211">
        <v>431</v>
      </c>
      <c r="H101" s="211">
        <v>373</v>
      </c>
      <c r="I101" s="211">
        <v>0</v>
      </c>
      <c r="J101" s="211">
        <v>256</v>
      </c>
    </row>
    <row r="102" spans="1:10" x14ac:dyDescent="0.25">
      <c r="A102" s="211" t="s">
        <v>442</v>
      </c>
      <c r="B102" s="213" t="s">
        <v>412</v>
      </c>
      <c r="C102" s="211">
        <v>0</v>
      </c>
      <c r="D102" s="211">
        <v>392</v>
      </c>
      <c r="E102" s="211">
        <v>394</v>
      </c>
      <c r="F102" s="211">
        <v>289</v>
      </c>
      <c r="G102" s="211">
        <v>431</v>
      </c>
      <c r="H102" s="211">
        <v>354</v>
      </c>
      <c r="I102" s="211">
        <v>0</v>
      </c>
      <c r="J102" s="211">
        <v>252</v>
      </c>
    </row>
    <row r="103" spans="1:10" x14ac:dyDescent="0.25">
      <c r="A103" s="211" t="s">
        <v>442</v>
      </c>
      <c r="B103" s="213" t="s">
        <v>413</v>
      </c>
      <c r="C103" s="211">
        <v>0</v>
      </c>
      <c r="D103" s="211">
        <v>346</v>
      </c>
      <c r="E103" s="211">
        <v>231</v>
      </c>
      <c r="F103" s="211">
        <v>302</v>
      </c>
      <c r="G103" s="211">
        <v>418</v>
      </c>
      <c r="H103" s="211">
        <v>328</v>
      </c>
      <c r="I103" s="211">
        <v>0</v>
      </c>
      <c r="J103" s="211">
        <v>250</v>
      </c>
    </row>
    <row r="104" spans="1:10" x14ac:dyDescent="0.25">
      <c r="A104" s="211" t="s">
        <v>442</v>
      </c>
      <c r="B104" s="213" t="s">
        <v>414</v>
      </c>
      <c r="C104" s="211">
        <v>0</v>
      </c>
      <c r="D104" s="211">
        <v>391</v>
      </c>
      <c r="E104" s="211">
        <v>266</v>
      </c>
      <c r="F104" s="211">
        <v>292</v>
      </c>
      <c r="G104" s="211">
        <v>366</v>
      </c>
      <c r="H104" s="211">
        <v>320</v>
      </c>
      <c r="I104" s="211">
        <v>0</v>
      </c>
      <c r="J104" s="211">
        <v>249</v>
      </c>
    </row>
    <row r="105" spans="1:10" x14ac:dyDescent="0.25">
      <c r="A105" s="211" t="s">
        <v>442</v>
      </c>
      <c r="B105" s="213" t="s">
        <v>415</v>
      </c>
      <c r="C105" s="211">
        <v>0</v>
      </c>
      <c r="D105" s="211">
        <v>398</v>
      </c>
      <c r="E105" s="211">
        <v>362</v>
      </c>
      <c r="F105" s="211">
        <v>338</v>
      </c>
      <c r="G105" s="211">
        <v>412</v>
      </c>
      <c r="H105" s="211">
        <v>286</v>
      </c>
      <c r="I105" s="211">
        <v>0</v>
      </c>
      <c r="J105" s="211">
        <v>249</v>
      </c>
    </row>
    <row r="106" spans="1:10" x14ac:dyDescent="0.25">
      <c r="A106" s="211" t="s">
        <v>442</v>
      </c>
      <c r="B106" s="213" t="s">
        <v>416</v>
      </c>
      <c r="C106" s="211">
        <v>0</v>
      </c>
      <c r="D106" s="211">
        <v>399</v>
      </c>
      <c r="E106" s="211">
        <v>377</v>
      </c>
      <c r="F106" s="211">
        <v>392</v>
      </c>
      <c r="G106" s="211">
        <v>425</v>
      </c>
      <c r="H106" s="211">
        <v>328</v>
      </c>
      <c r="I106" s="211">
        <v>0</v>
      </c>
      <c r="J106" s="211">
        <v>239</v>
      </c>
    </row>
    <row r="107" spans="1:10" x14ac:dyDescent="0.25">
      <c r="A107" s="211" t="s">
        <v>442</v>
      </c>
      <c r="B107" s="213" t="s">
        <v>417</v>
      </c>
      <c r="C107" s="211">
        <v>0</v>
      </c>
      <c r="D107" s="211">
        <v>418</v>
      </c>
      <c r="E107" s="211">
        <v>365</v>
      </c>
      <c r="F107" s="211">
        <v>387</v>
      </c>
      <c r="G107" s="211">
        <v>414</v>
      </c>
      <c r="H107" s="211">
        <v>383</v>
      </c>
      <c r="I107" s="211">
        <v>0</v>
      </c>
      <c r="J107" s="211">
        <v>244</v>
      </c>
    </row>
    <row r="108" spans="1:10" x14ac:dyDescent="0.25">
      <c r="A108" s="211" t="s">
        <v>442</v>
      </c>
      <c r="B108" s="213" t="s">
        <v>418</v>
      </c>
      <c r="C108" s="211">
        <v>0</v>
      </c>
      <c r="D108" s="211">
        <v>408</v>
      </c>
      <c r="E108" s="211">
        <v>250</v>
      </c>
      <c r="F108" s="211">
        <v>389</v>
      </c>
      <c r="G108" s="211">
        <v>205</v>
      </c>
      <c r="H108" s="211">
        <v>355</v>
      </c>
      <c r="I108" s="211">
        <v>0</v>
      </c>
      <c r="J108" s="211">
        <v>236</v>
      </c>
    </row>
    <row r="109" spans="1:10" x14ac:dyDescent="0.25">
      <c r="A109" s="211" t="s">
        <v>442</v>
      </c>
      <c r="B109" s="213" t="s">
        <v>419</v>
      </c>
      <c r="C109" s="211">
        <v>0</v>
      </c>
      <c r="D109" s="211">
        <v>383</v>
      </c>
      <c r="E109" s="211">
        <v>409</v>
      </c>
      <c r="F109" s="211">
        <v>391</v>
      </c>
      <c r="G109" s="211">
        <v>361</v>
      </c>
      <c r="H109" s="211">
        <v>361</v>
      </c>
      <c r="I109" s="211">
        <v>0</v>
      </c>
      <c r="J109" s="211">
        <v>120</v>
      </c>
    </row>
    <row r="110" spans="1:10" x14ac:dyDescent="0.25">
      <c r="A110" s="211" t="s">
        <v>442</v>
      </c>
      <c r="B110" s="213" t="s">
        <v>420</v>
      </c>
      <c r="C110" s="211">
        <v>0</v>
      </c>
      <c r="D110" s="211">
        <v>332</v>
      </c>
      <c r="E110" s="211">
        <v>416</v>
      </c>
      <c r="F110" s="211">
        <v>419</v>
      </c>
      <c r="G110" s="211">
        <v>419</v>
      </c>
      <c r="H110" s="211">
        <v>326</v>
      </c>
      <c r="I110" s="211">
        <v>0</v>
      </c>
      <c r="J110" s="211">
        <v>107</v>
      </c>
    </row>
    <row r="111" spans="1:10" x14ac:dyDescent="0.25">
      <c r="A111" s="211" t="s">
        <v>442</v>
      </c>
      <c r="B111" s="213" t="s">
        <v>421</v>
      </c>
      <c r="C111" s="211">
        <v>0</v>
      </c>
      <c r="D111" s="211">
        <v>398</v>
      </c>
      <c r="E111" s="211">
        <v>370</v>
      </c>
      <c r="F111" s="211">
        <v>436</v>
      </c>
      <c r="G111" s="211">
        <v>401</v>
      </c>
      <c r="H111" s="211">
        <v>400</v>
      </c>
      <c r="I111" s="211">
        <v>0</v>
      </c>
      <c r="J111" s="211">
        <v>117</v>
      </c>
    </row>
    <row r="112" spans="1:10" x14ac:dyDescent="0.25">
      <c r="A112" s="211" t="s">
        <v>442</v>
      </c>
      <c r="B112" s="213" t="s">
        <v>422</v>
      </c>
      <c r="C112" s="211">
        <v>0</v>
      </c>
      <c r="D112" s="211">
        <v>402</v>
      </c>
      <c r="E112" s="211">
        <v>374</v>
      </c>
      <c r="F112" s="211">
        <v>438</v>
      </c>
      <c r="G112" s="211">
        <v>407</v>
      </c>
      <c r="H112" s="211">
        <v>337</v>
      </c>
      <c r="I112" s="211">
        <v>0</v>
      </c>
      <c r="J112" s="211">
        <v>115</v>
      </c>
    </row>
    <row r="113" spans="1:10" x14ac:dyDescent="0.25">
      <c r="A113" s="211" t="s">
        <v>442</v>
      </c>
      <c r="B113" s="213" t="s">
        <v>423</v>
      </c>
      <c r="C113" s="211">
        <v>0</v>
      </c>
      <c r="D113" s="211">
        <v>320</v>
      </c>
      <c r="E113" s="211">
        <v>416</v>
      </c>
      <c r="F113" s="211">
        <v>397</v>
      </c>
      <c r="G113" s="211">
        <v>269</v>
      </c>
      <c r="H113" s="211">
        <v>384</v>
      </c>
      <c r="I113" s="211">
        <v>0</v>
      </c>
      <c r="J113" s="211">
        <v>98</v>
      </c>
    </row>
    <row r="114" spans="1:10" x14ac:dyDescent="0.25">
      <c r="A114" s="211" t="s">
        <v>442</v>
      </c>
      <c r="B114" s="213" t="s">
        <v>424</v>
      </c>
      <c r="C114" s="211">
        <v>0</v>
      </c>
      <c r="D114" s="211">
        <v>303</v>
      </c>
      <c r="E114" s="211">
        <v>382</v>
      </c>
      <c r="F114" s="211">
        <v>338</v>
      </c>
      <c r="G114" s="211">
        <v>260</v>
      </c>
      <c r="H114" s="211">
        <v>404</v>
      </c>
      <c r="I114" s="211">
        <v>0</v>
      </c>
      <c r="J114" s="211">
        <v>115</v>
      </c>
    </row>
    <row r="115" spans="1:10" x14ac:dyDescent="0.25">
      <c r="A115" s="211" t="s">
        <v>442</v>
      </c>
      <c r="B115" s="213" t="s">
        <v>425</v>
      </c>
      <c r="C115" s="211">
        <v>0</v>
      </c>
      <c r="D115" s="211">
        <v>233</v>
      </c>
      <c r="E115" s="211">
        <v>215</v>
      </c>
      <c r="F115" s="211">
        <v>356</v>
      </c>
      <c r="G115" s="211">
        <v>303</v>
      </c>
      <c r="H115" s="211">
        <v>408</v>
      </c>
      <c r="I115" s="211">
        <v>0</v>
      </c>
      <c r="J115" s="211">
        <v>115</v>
      </c>
    </row>
    <row r="116" spans="1:10" x14ac:dyDescent="0.25">
      <c r="A116" s="211" t="s">
        <v>442</v>
      </c>
      <c r="B116" s="213" t="s">
        <v>426</v>
      </c>
      <c r="C116" s="211">
        <v>0</v>
      </c>
      <c r="D116" s="211">
        <v>293</v>
      </c>
      <c r="E116" s="211">
        <v>313</v>
      </c>
      <c r="F116" s="211">
        <v>340</v>
      </c>
      <c r="G116" s="211">
        <v>315</v>
      </c>
      <c r="H116" s="211">
        <v>430</v>
      </c>
      <c r="I116" s="211">
        <v>0</v>
      </c>
      <c r="J116" s="211">
        <v>85</v>
      </c>
    </row>
    <row r="117" spans="1:10" x14ac:dyDescent="0.25">
      <c r="A117" s="211" t="s">
        <v>442</v>
      </c>
      <c r="B117" s="213" t="s">
        <v>427</v>
      </c>
      <c r="C117" s="211">
        <v>0</v>
      </c>
      <c r="D117" s="211">
        <v>326</v>
      </c>
      <c r="E117" s="211">
        <v>336</v>
      </c>
      <c r="F117" s="211">
        <v>429</v>
      </c>
      <c r="G117" s="211">
        <v>366</v>
      </c>
      <c r="H117" s="211">
        <v>421</v>
      </c>
      <c r="I117" s="211">
        <v>0</v>
      </c>
      <c r="J117" s="211">
        <v>82</v>
      </c>
    </row>
    <row r="118" spans="1:10" x14ac:dyDescent="0.25">
      <c r="A118" s="211" t="s">
        <v>442</v>
      </c>
      <c r="B118" s="213" t="s">
        <v>428</v>
      </c>
      <c r="C118" s="211">
        <v>0</v>
      </c>
      <c r="D118" s="211">
        <v>316</v>
      </c>
      <c r="E118" s="211">
        <v>327</v>
      </c>
      <c r="F118" s="211">
        <v>414</v>
      </c>
      <c r="G118" s="211">
        <v>400</v>
      </c>
      <c r="H118" s="211">
        <v>401</v>
      </c>
      <c r="I118" s="211">
        <v>0</v>
      </c>
      <c r="J118" s="211">
        <v>81</v>
      </c>
    </row>
    <row r="119" spans="1:10" x14ac:dyDescent="0.25">
      <c r="A119" s="211" t="s">
        <v>442</v>
      </c>
      <c r="B119" s="213" t="s">
        <v>429</v>
      </c>
      <c r="C119" s="211">
        <v>0</v>
      </c>
      <c r="D119" s="211">
        <v>314</v>
      </c>
      <c r="E119" s="211">
        <v>344</v>
      </c>
      <c r="F119" s="211">
        <v>408</v>
      </c>
      <c r="G119" s="211">
        <v>402</v>
      </c>
      <c r="H119" s="211">
        <v>284</v>
      </c>
      <c r="I119" s="211">
        <v>0</v>
      </c>
      <c r="J119" s="211">
        <v>81</v>
      </c>
    </row>
    <row r="120" spans="1:10" x14ac:dyDescent="0.25">
      <c r="A120" s="211" t="s">
        <v>442</v>
      </c>
      <c r="B120" s="213" t="s">
        <v>430</v>
      </c>
      <c r="C120" s="211">
        <v>0</v>
      </c>
      <c r="D120" s="211">
        <v>334</v>
      </c>
      <c r="E120" s="211">
        <v>282</v>
      </c>
      <c r="F120" s="211">
        <v>423</v>
      </c>
      <c r="G120" s="211">
        <v>199</v>
      </c>
      <c r="H120" s="211">
        <v>268</v>
      </c>
      <c r="I120" s="211">
        <v>0</v>
      </c>
      <c r="J120" s="211">
        <v>84</v>
      </c>
    </row>
    <row r="121" spans="1:10" x14ac:dyDescent="0.25">
      <c r="A121" s="211" t="s">
        <v>442</v>
      </c>
      <c r="B121" s="213" t="s">
        <v>431</v>
      </c>
      <c r="C121" s="211">
        <v>0</v>
      </c>
      <c r="D121" s="211">
        <v>255</v>
      </c>
      <c r="E121" s="211">
        <v>315</v>
      </c>
      <c r="F121" s="211">
        <v>366</v>
      </c>
      <c r="G121" s="211">
        <v>328</v>
      </c>
      <c r="H121" s="211">
        <v>246</v>
      </c>
      <c r="I121" s="211">
        <v>0</v>
      </c>
      <c r="J121" s="211">
        <v>100</v>
      </c>
    </row>
    <row r="122" spans="1:10" x14ac:dyDescent="0.25">
      <c r="A122" s="211" t="s">
        <v>442</v>
      </c>
      <c r="B122" s="213" t="s">
        <v>432</v>
      </c>
      <c r="C122" s="211">
        <v>0</v>
      </c>
      <c r="D122" s="211">
        <v>336</v>
      </c>
      <c r="E122" s="211">
        <v>293</v>
      </c>
      <c r="F122" s="211">
        <v>312</v>
      </c>
      <c r="G122" s="211">
        <v>347</v>
      </c>
      <c r="H122" s="211">
        <v>266</v>
      </c>
      <c r="I122" s="211">
        <v>0</v>
      </c>
      <c r="J122" s="211">
        <v>100</v>
      </c>
    </row>
    <row r="123" spans="1:10" x14ac:dyDescent="0.25">
      <c r="A123" s="211" t="s">
        <v>442</v>
      </c>
      <c r="B123" s="213" t="s">
        <v>433</v>
      </c>
      <c r="C123" s="211">
        <v>0</v>
      </c>
      <c r="D123" s="211">
        <v>351</v>
      </c>
      <c r="E123" s="211">
        <v>352</v>
      </c>
      <c r="F123" s="211">
        <v>338</v>
      </c>
      <c r="G123" s="211">
        <v>404</v>
      </c>
      <c r="H123" s="211">
        <v>310</v>
      </c>
      <c r="I123" s="211">
        <v>0</v>
      </c>
      <c r="J123" s="211">
        <v>67</v>
      </c>
    </row>
    <row r="124" spans="1:10" x14ac:dyDescent="0.25">
      <c r="A124" s="211" t="s">
        <v>442</v>
      </c>
      <c r="B124" s="213" t="s">
        <v>434</v>
      </c>
      <c r="C124" s="211">
        <v>0</v>
      </c>
      <c r="D124" s="211">
        <v>253</v>
      </c>
      <c r="E124" s="211">
        <v>357</v>
      </c>
      <c r="F124" s="211">
        <v>231</v>
      </c>
      <c r="G124" s="211">
        <v>379</v>
      </c>
      <c r="H124" s="211">
        <v>312</v>
      </c>
      <c r="I124" s="211">
        <v>0</v>
      </c>
      <c r="J124" s="211">
        <v>65</v>
      </c>
    </row>
    <row r="125" spans="1:10" x14ac:dyDescent="0.25">
      <c r="A125" s="211" t="s">
        <v>442</v>
      </c>
      <c r="B125" s="213" t="s">
        <v>435</v>
      </c>
      <c r="C125" s="211">
        <v>0</v>
      </c>
      <c r="D125" s="211">
        <v>249</v>
      </c>
      <c r="E125" s="211">
        <v>340</v>
      </c>
      <c r="F125" s="211">
        <v>265</v>
      </c>
      <c r="G125" s="211">
        <v>418</v>
      </c>
      <c r="H125" s="211">
        <v>307</v>
      </c>
      <c r="I125" s="211">
        <v>0</v>
      </c>
      <c r="J125" s="211">
        <v>64</v>
      </c>
    </row>
    <row r="126" spans="1:10" x14ac:dyDescent="0.25">
      <c r="A126" s="211" t="s">
        <v>442</v>
      </c>
      <c r="B126" s="213" t="s">
        <v>436</v>
      </c>
      <c r="C126" s="211">
        <v>0</v>
      </c>
      <c r="D126" s="211">
        <v>261</v>
      </c>
      <c r="E126" s="211">
        <v>397</v>
      </c>
      <c r="F126" s="211">
        <v>333</v>
      </c>
      <c r="G126" s="211">
        <v>416</v>
      </c>
      <c r="H126" s="211">
        <v>373</v>
      </c>
      <c r="I126" s="211">
        <v>0</v>
      </c>
      <c r="J126" s="211">
        <v>64</v>
      </c>
    </row>
    <row r="127" spans="1:10" x14ac:dyDescent="0.25">
      <c r="A127" s="211" t="s">
        <v>442</v>
      </c>
      <c r="B127" s="213" t="s">
        <v>437</v>
      </c>
      <c r="C127" s="211">
        <v>0</v>
      </c>
      <c r="D127" s="211">
        <v>261</v>
      </c>
      <c r="E127" s="211">
        <v>405</v>
      </c>
      <c r="F127" s="211">
        <v>412</v>
      </c>
      <c r="G127" s="211">
        <v>392</v>
      </c>
      <c r="H127" s="211">
        <v>419</v>
      </c>
      <c r="I127" s="211">
        <v>0</v>
      </c>
      <c r="J127" s="211">
        <v>67</v>
      </c>
    </row>
    <row r="128" spans="1:10" x14ac:dyDescent="0.25">
      <c r="A128" s="211" t="s">
        <v>442</v>
      </c>
      <c r="B128" s="213" t="s">
        <v>438</v>
      </c>
      <c r="C128" s="211">
        <v>0</v>
      </c>
      <c r="D128" s="211">
        <v>298</v>
      </c>
      <c r="E128" s="211">
        <v>383</v>
      </c>
      <c r="F128" s="211">
        <v>277</v>
      </c>
      <c r="G128" s="211">
        <v>419</v>
      </c>
      <c r="H128" s="211">
        <v>380</v>
      </c>
      <c r="I128" s="211">
        <v>0</v>
      </c>
      <c r="J128" s="211">
        <v>88</v>
      </c>
    </row>
    <row r="129" spans="1:10" x14ac:dyDescent="0.25">
      <c r="A129" s="211" t="s">
        <v>443</v>
      </c>
      <c r="B129" s="213" t="s">
        <v>408</v>
      </c>
      <c r="C129" s="211">
        <v>0</v>
      </c>
      <c r="D129" s="211">
        <v>280</v>
      </c>
      <c r="E129" s="211">
        <v>236</v>
      </c>
      <c r="F129" s="211">
        <v>389</v>
      </c>
      <c r="G129" s="211">
        <v>363</v>
      </c>
      <c r="H129" s="211">
        <v>226</v>
      </c>
      <c r="I129" s="211">
        <v>0</v>
      </c>
      <c r="J129" s="211">
        <v>204</v>
      </c>
    </row>
    <row r="130" spans="1:10" x14ac:dyDescent="0.25">
      <c r="A130" s="211" t="s">
        <v>443</v>
      </c>
      <c r="B130" s="213" t="s">
        <v>410</v>
      </c>
      <c r="C130" s="211">
        <v>0</v>
      </c>
      <c r="D130" s="211">
        <v>315</v>
      </c>
      <c r="E130" s="211">
        <v>220</v>
      </c>
      <c r="F130" s="211">
        <v>380</v>
      </c>
      <c r="G130" s="211">
        <v>248</v>
      </c>
      <c r="H130" s="211">
        <v>314</v>
      </c>
      <c r="I130" s="211">
        <v>0</v>
      </c>
      <c r="J130" s="211">
        <v>138</v>
      </c>
    </row>
    <row r="131" spans="1:10" x14ac:dyDescent="0.25">
      <c r="A131" s="211" t="s">
        <v>443</v>
      </c>
      <c r="B131" s="213" t="s">
        <v>411</v>
      </c>
      <c r="C131" s="211">
        <v>0</v>
      </c>
      <c r="D131" s="211">
        <v>180</v>
      </c>
      <c r="E131" s="211">
        <v>231</v>
      </c>
      <c r="F131" s="211">
        <v>428</v>
      </c>
      <c r="G131" s="211">
        <v>371</v>
      </c>
      <c r="H131" s="211">
        <v>396</v>
      </c>
      <c r="I131" s="211">
        <v>0</v>
      </c>
      <c r="J131" s="211">
        <v>288</v>
      </c>
    </row>
    <row r="132" spans="1:10" x14ac:dyDescent="0.25">
      <c r="A132" s="211" t="s">
        <v>443</v>
      </c>
      <c r="B132" s="213" t="s">
        <v>412</v>
      </c>
      <c r="C132" s="211">
        <v>0</v>
      </c>
      <c r="D132" s="211">
        <v>234</v>
      </c>
      <c r="E132" s="211">
        <v>364</v>
      </c>
      <c r="F132" s="211">
        <v>407</v>
      </c>
      <c r="G132" s="211">
        <v>397</v>
      </c>
      <c r="H132" s="211">
        <v>401</v>
      </c>
      <c r="I132" s="211">
        <v>0</v>
      </c>
      <c r="J132" s="211">
        <v>289</v>
      </c>
    </row>
    <row r="133" spans="1:10" x14ac:dyDescent="0.25">
      <c r="A133" s="211" t="s">
        <v>443</v>
      </c>
      <c r="B133" s="213" t="s">
        <v>413</v>
      </c>
      <c r="C133" s="211">
        <v>0</v>
      </c>
      <c r="D133" s="211">
        <v>338</v>
      </c>
      <c r="E133" s="211">
        <v>318</v>
      </c>
      <c r="F133" s="211">
        <v>430</v>
      </c>
      <c r="G133" s="211">
        <v>408</v>
      </c>
      <c r="H133" s="211">
        <v>343</v>
      </c>
      <c r="I133" s="211">
        <v>0</v>
      </c>
      <c r="J133" s="211">
        <v>300</v>
      </c>
    </row>
    <row r="134" spans="1:10" x14ac:dyDescent="0.25">
      <c r="A134" s="211" t="s">
        <v>443</v>
      </c>
      <c r="B134" s="213" t="s">
        <v>414</v>
      </c>
      <c r="C134" s="211">
        <v>0</v>
      </c>
      <c r="D134" s="211">
        <v>373</v>
      </c>
      <c r="E134" s="211">
        <v>309</v>
      </c>
      <c r="F134" s="211">
        <v>419</v>
      </c>
      <c r="G134" s="211">
        <v>301</v>
      </c>
      <c r="H134" s="211">
        <v>389</v>
      </c>
      <c r="I134" s="211">
        <v>0</v>
      </c>
      <c r="J134" s="211">
        <v>312</v>
      </c>
    </row>
    <row r="135" spans="1:10" x14ac:dyDescent="0.25">
      <c r="A135" s="211" t="s">
        <v>443</v>
      </c>
      <c r="B135" s="213" t="s">
        <v>415</v>
      </c>
      <c r="C135" s="211">
        <v>0</v>
      </c>
      <c r="D135" s="211">
        <v>347</v>
      </c>
      <c r="E135" s="211">
        <v>370</v>
      </c>
      <c r="F135" s="211">
        <v>235</v>
      </c>
      <c r="G135" s="211">
        <v>333</v>
      </c>
      <c r="H135" s="211">
        <v>395</v>
      </c>
      <c r="I135" s="211">
        <v>0</v>
      </c>
      <c r="J135" s="211">
        <v>207</v>
      </c>
    </row>
    <row r="136" spans="1:10" x14ac:dyDescent="0.25">
      <c r="A136" s="211" t="s">
        <v>443</v>
      </c>
      <c r="B136" s="213" t="s">
        <v>416</v>
      </c>
      <c r="C136" s="211">
        <v>0</v>
      </c>
      <c r="D136" s="211">
        <v>234</v>
      </c>
      <c r="E136" s="211">
        <v>255</v>
      </c>
      <c r="F136" s="211">
        <v>217</v>
      </c>
      <c r="G136" s="211">
        <v>289</v>
      </c>
      <c r="H136" s="211">
        <v>401</v>
      </c>
      <c r="I136" s="211">
        <v>0</v>
      </c>
      <c r="J136" s="211">
        <v>215</v>
      </c>
    </row>
    <row r="137" spans="1:10" x14ac:dyDescent="0.25">
      <c r="A137" s="211" t="s">
        <v>443</v>
      </c>
      <c r="B137" s="213" t="s">
        <v>417</v>
      </c>
      <c r="C137" s="211">
        <v>0</v>
      </c>
      <c r="D137" s="211">
        <v>247</v>
      </c>
      <c r="E137" s="211">
        <v>391</v>
      </c>
      <c r="F137" s="211">
        <v>211</v>
      </c>
      <c r="G137" s="211">
        <v>375</v>
      </c>
      <c r="H137" s="211">
        <v>373</v>
      </c>
      <c r="I137" s="211">
        <v>0</v>
      </c>
      <c r="J137" s="211">
        <v>163</v>
      </c>
    </row>
    <row r="138" spans="1:10" x14ac:dyDescent="0.25">
      <c r="A138" s="211" t="s">
        <v>443</v>
      </c>
      <c r="B138" s="213" t="s">
        <v>418</v>
      </c>
      <c r="C138" s="211">
        <v>0</v>
      </c>
      <c r="D138" s="211">
        <v>137</v>
      </c>
      <c r="E138" s="211">
        <v>395</v>
      </c>
      <c r="F138" s="211">
        <v>229</v>
      </c>
      <c r="G138" s="211">
        <v>398</v>
      </c>
      <c r="H138" s="211">
        <v>358</v>
      </c>
      <c r="I138" s="211">
        <v>0</v>
      </c>
      <c r="J138" s="211">
        <v>152</v>
      </c>
    </row>
    <row r="139" spans="1:10" x14ac:dyDescent="0.25">
      <c r="A139" s="211" t="s">
        <v>443</v>
      </c>
      <c r="B139" s="213" t="s">
        <v>419</v>
      </c>
      <c r="C139" s="211">
        <v>0</v>
      </c>
      <c r="D139" s="211">
        <v>110</v>
      </c>
      <c r="E139" s="211">
        <v>321</v>
      </c>
      <c r="F139" s="211">
        <v>273</v>
      </c>
      <c r="G139" s="211">
        <v>384</v>
      </c>
      <c r="H139" s="211">
        <v>423</v>
      </c>
      <c r="I139" s="211">
        <v>0</v>
      </c>
      <c r="J139" s="211">
        <v>150</v>
      </c>
    </row>
    <row r="140" spans="1:10" x14ac:dyDescent="0.25">
      <c r="A140" s="211" t="s">
        <v>443</v>
      </c>
      <c r="B140" s="213" t="s">
        <v>420</v>
      </c>
      <c r="C140" s="211">
        <v>0</v>
      </c>
      <c r="D140" s="211">
        <v>130</v>
      </c>
      <c r="E140" s="211">
        <v>368</v>
      </c>
      <c r="F140" s="211">
        <v>350</v>
      </c>
      <c r="G140" s="211">
        <v>357</v>
      </c>
      <c r="H140" s="211">
        <v>252</v>
      </c>
      <c r="I140" s="211">
        <v>0</v>
      </c>
      <c r="J140" s="211">
        <v>126</v>
      </c>
    </row>
    <row r="141" spans="1:10" x14ac:dyDescent="0.25">
      <c r="A141" s="211" t="s">
        <v>443</v>
      </c>
      <c r="B141" s="213" t="s">
        <v>421</v>
      </c>
      <c r="C141" s="211">
        <v>0</v>
      </c>
      <c r="D141" s="211">
        <v>141</v>
      </c>
      <c r="E141" s="211">
        <v>377</v>
      </c>
      <c r="F141" s="211">
        <v>392</v>
      </c>
      <c r="G141" s="211">
        <v>193</v>
      </c>
      <c r="H141" s="211">
        <v>339</v>
      </c>
      <c r="I141" s="211">
        <v>0</v>
      </c>
      <c r="J141" s="211">
        <v>188</v>
      </c>
    </row>
    <row r="142" spans="1:10" x14ac:dyDescent="0.25">
      <c r="A142" s="211" t="s">
        <v>443</v>
      </c>
      <c r="B142" s="213" t="s">
        <v>422</v>
      </c>
      <c r="C142" s="211">
        <v>0</v>
      </c>
      <c r="D142" s="211">
        <v>240</v>
      </c>
      <c r="E142" s="211">
        <v>364</v>
      </c>
      <c r="F142" s="211">
        <v>180</v>
      </c>
      <c r="G142" s="211">
        <v>307</v>
      </c>
      <c r="H142" s="211">
        <v>344</v>
      </c>
      <c r="I142" s="211">
        <v>0</v>
      </c>
      <c r="J142" s="211">
        <v>261</v>
      </c>
    </row>
    <row r="143" spans="1:10" x14ac:dyDescent="0.25">
      <c r="A143" s="211" t="s">
        <v>443</v>
      </c>
      <c r="B143" s="213" t="s">
        <v>423</v>
      </c>
      <c r="C143" s="211">
        <v>0</v>
      </c>
      <c r="D143" s="211">
        <v>304</v>
      </c>
      <c r="E143" s="211">
        <v>234</v>
      </c>
      <c r="F143" s="211">
        <v>201</v>
      </c>
      <c r="G143" s="211">
        <v>373</v>
      </c>
      <c r="H143" s="211">
        <v>325</v>
      </c>
      <c r="I143" s="211">
        <v>0</v>
      </c>
      <c r="J143" s="211">
        <v>241</v>
      </c>
    </row>
    <row r="144" spans="1:10" x14ac:dyDescent="0.25">
      <c r="A144" s="211" t="s">
        <v>443</v>
      </c>
      <c r="B144" s="213" t="s">
        <v>424</v>
      </c>
      <c r="C144" s="211">
        <v>0</v>
      </c>
      <c r="D144" s="211">
        <v>360</v>
      </c>
      <c r="E144" s="211">
        <v>280</v>
      </c>
      <c r="F144" s="211">
        <v>413</v>
      </c>
      <c r="G144" s="211">
        <v>382</v>
      </c>
      <c r="H144" s="211">
        <v>285</v>
      </c>
      <c r="I144" s="211">
        <v>0</v>
      </c>
      <c r="J144" s="211">
        <v>131</v>
      </c>
    </row>
    <row r="145" spans="1:10" x14ac:dyDescent="0.25">
      <c r="A145" s="211" t="s">
        <v>443</v>
      </c>
      <c r="B145" s="213" t="s">
        <v>425</v>
      </c>
      <c r="C145" s="211">
        <v>0</v>
      </c>
      <c r="D145" s="211">
        <v>292</v>
      </c>
      <c r="E145" s="211">
        <v>313</v>
      </c>
      <c r="F145" s="211">
        <v>408</v>
      </c>
      <c r="G145" s="211">
        <v>273</v>
      </c>
      <c r="H145" s="211">
        <v>327</v>
      </c>
      <c r="I145" s="211">
        <v>0</v>
      </c>
      <c r="J145" s="211">
        <v>137</v>
      </c>
    </row>
    <row r="146" spans="1:10" x14ac:dyDescent="0.25">
      <c r="A146" s="211" t="s">
        <v>443</v>
      </c>
      <c r="B146" s="213" t="s">
        <v>426</v>
      </c>
      <c r="C146" s="211">
        <v>0</v>
      </c>
      <c r="D146" s="211">
        <v>319</v>
      </c>
      <c r="E146" s="211">
        <v>303</v>
      </c>
      <c r="F146" s="211">
        <v>397</v>
      </c>
      <c r="G146" s="211">
        <v>336</v>
      </c>
      <c r="H146" s="211">
        <v>353</v>
      </c>
      <c r="I146" s="211">
        <v>0</v>
      </c>
      <c r="J146" s="211">
        <v>142</v>
      </c>
    </row>
    <row r="147" spans="1:10" x14ac:dyDescent="0.25">
      <c r="A147" s="211" t="s">
        <v>443</v>
      </c>
      <c r="B147" s="213" t="s">
        <v>427</v>
      </c>
      <c r="C147" s="211">
        <v>0</v>
      </c>
      <c r="D147" s="211">
        <v>277</v>
      </c>
      <c r="E147" s="211">
        <v>371</v>
      </c>
      <c r="F147" s="211">
        <v>293</v>
      </c>
      <c r="G147" s="211">
        <v>365</v>
      </c>
      <c r="H147" s="211">
        <v>371</v>
      </c>
      <c r="I147" s="211">
        <v>0</v>
      </c>
      <c r="J147" s="211">
        <v>125</v>
      </c>
    </row>
    <row r="148" spans="1:10" x14ac:dyDescent="0.25">
      <c r="A148" s="211" t="s">
        <v>443</v>
      </c>
      <c r="B148" s="213" t="s">
        <v>428</v>
      </c>
      <c r="C148" s="211">
        <v>0</v>
      </c>
      <c r="D148" s="211">
        <v>224</v>
      </c>
      <c r="E148" s="211">
        <v>351</v>
      </c>
      <c r="F148" s="211">
        <v>369</v>
      </c>
      <c r="G148" s="211">
        <v>303</v>
      </c>
      <c r="H148" s="211">
        <v>393</v>
      </c>
      <c r="I148" s="211">
        <v>0</v>
      </c>
      <c r="J148" s="211">
        <v>146</v>
      </c>
    </row>
    <row r="149" spans="1:10" x14ac:dyDescent="0.25">
      <c r="A149" s="211" t="s">
        <v>443</v>
      </c>
      <c r="B149" s="213" t="s">
        <v>429</v>
      </c>
      <c r="C149" s="211">
        <v>0</v>
      </c>
      <c r="D149" s="211">
        <v>241</v>
      </c>
      <c r="E149" s="211">
        <v>321</v>
      </c>
      <c r="F149" s="211">
        <v>302</v>
      </c>
      <c r="G149" s="211">
        <v>284</v>
      </c>
      <c r="H149" s="211">
        <v>412</v>
      </c>
      <c r="I149" s="211">
        <v>0</v>
      </c>
      <c r="J149" s="211">
        <v>222</v>
      </c>
    </row>
    <row r="150" spans="1:10" x14ac:dyDescent="0.25">
      <c r="A150" s="211" t="s">
        <v>443</v>
      </c>
      <c r="B150" s="213" t="s">
        <v>430</v>
      </c>
      <c r="C150" s="211">
        <v>0</v>
      </c>
      <c r="D150" s="211">
        <v>313</v>
      </c>
      <c r="E150" s="211">
        <v>262</v>
      </c>
      <c r="F150" s="211">
        <v>347</v>
      </c>
      <c r="G150" s="211">
        <v>286</v>
      </c>
      <c r="H150" s="211">
        <v>262</v>
      </c>
      <c r="I150" s="211">
        <v>0</v>
      </c>
      <c r="J150" s="211">
        <v>246</v>
      </c>
    </row>
    <row r="151" spans="1:10" x14ac:dyDescent="0.25">
      <c r="A151" s="211" t="s">
        <v>443</v>
      </c>
      <c r="B151" s="213" t="s">
        <v>431</v>
      </c>
      <c r="C151" s="211">
        <v>0</v>
      </c>
      <c r="D151" s="211">
        <v>396</v>
      </c>
      <c r="E151" s="211">
        <v>379</v>
      </c>
      <c r="F151" s="211">
        <v>317</v>
      </c>
      <c r="G151" s="211">
        <v>268</v>
      </c>
      <c r="H151" s="211">
        <v>343</v>
      </c>
      <c r="I151" s="211">
        <v>0</v>
      </c>
      <c r="J151" s="211">
        <v>143</v>
      </c>
    </row>
    <row r="152" spans="1:10" x14ac:dyDescent="0.25">
      <c r="A152" s="211" t="s">
        <v>443</v>
      </c>
      <c r="B152" s="213" t="s">
        <v>432</v>
      </c>
      <c r="C152" s="211">
        <v>0</v>
      </c>
      <c r="D152" s="211">
        <v>381</v>
      </c>
      <c r="E152" s="211">
        <v>366</v>
      </c>
      <c r="F152" s="211">
        <v>303</v>
      </c>
      <c r="G152" s="211">
        <v>246</v>
      </c>
      <c r="H152" s="211">
        <v>378</v>
      </c>
      <c r="I152" s="211">
        <v>0</v>
      </c>
      <c r="J152" s="211">
        <v>143</v>
      </c>
    </row>
    <row r="153" spans="1:10" x14ac:dyDescent="0.25">
      <c r="A153" s="211" t="s">
        <v>443</v>
      </c>
      <c r="B153" s="213" t="s">
        <v>433</v>
      </c>
      <c r="C153" s="211">
        <v>0</v>
      </c>
      <c r="D153" s="211">
        <v>169</v>
      </c>
      <c r="E153" s="211">
        <v>365</v>
      </c>
      <c r="F153" s="211">
        <v>234</v>
      </c>
      <c r="G153" s="211">
        <v>378</v>
      </c>
      <c r="H153" s="211">
        <v>435</v>
      </c>
      <c r="I153" s="211">
        <v>0</v>
      </c>
      <c r="J153" s="211">
        <v>157</v>
      </c>
    </row>
    <row r="154" spans="1:10" x14ac:dyDescent="0.25">
      <c r="A154" s="211" t="s">
        <v>443</v>
      </c>
      <c r="B154" s="213" t="s">
        <v>434</v>
      </c>
      <c r="C154" s="211">
        <v>0</v>
      </c>
      <c r="D154" s="211">
        <v>136</v>
      </c>
      <c r="E154" s="211">
        <v>373</v>
      </c>
      <c r="F154" s="211">
        <v>387</v>
      </c>
      <c r="G154" s="211">
        <v>408</v>
      </c>
      <c r="H154" s="211">
        <v>423</v>
      </c>
      <c r="I154" s="211">
        <v>0</v>
      </c>
      <c r="J154" s="211">
        <v>167</v>
      </c>
    </row>
    <row r="155" spans="1:10" x14ac:dyDescent="0.25">
      <c r="A155" s="211" t="s">
        <v>443</v>
      </c>
      <c r="B155" s="213" t="s">
        <v>435</v>
      </c>
      <c r="C155" s="211">
        <v>0</v>
      </c>
      <c r="D155" s="211">
        <v>155</v>
      </c>
      <c r="E155" s="211">
        <v>367</v>
      </c>
      <c r="F155" s="211">
        <v>439</v>
      </c>
      <c r="G155" s="211">
        <v>381</v>
      </c>
      <c r="H155" s="211">
        <v>304</v>
      </c>
      <c r="I155" s="211">
        <v>0</v>
      </c>
      <c r="J155" s="211">
        <v>227</v>
      </c>
    </row>
    <row r="156" spans="1:10" x14ac:dyDescent="0.25">
      <c r="A156" s="211" t="s">
        <v>443</v>
      </c>
      <c r="B156" s="213" t="s">
        <v>436</v>
      </c>
      <c r="C156" s="211">
        <v>0</v>
      </c>
      <c r="D156" s="211">
        <v>164</v>
      </c>
      <c r="E156" s="211">
        <v>421</v>
      </c>
      <c r="F156" s="211">
        <v>418</v>
      </c>
      <c r="G156" s="211">
        <v>272</v>
      </c>
      <c r="H156" s="211">
        <v>270</v>
      </c>
      <c r="I156" s="211">
        <v>0</v>
      </c>
      <c r="J156" s="211">
        <v>319</v>
      </c>
    </row>
    <row r="157" spans="1:10" x14ac:dyDescent="0.25">
      <c r="A157" s="211" t="s">
        <v>443</v>
      </c>
      <c r="B157" s="213" t="s">
        <v>437</v>
      </c>
      <c r="C157" s="211">
        <v>0</v>
      </c>
      <c r="D157" s="211">
        <v>201</v>
      </c>
      <c r="E157" s="211">
        <v>411</v>
      </c>
      <c r="F157" s="211">
        <v>269</v>
      </c>
      <c r="G157" s="211">
        <v>366</v>
      </c>
      <c r="H157" s="211">
        <v>277</v>
      </c>
      <c r="I157" s="211">
        <v>0</v>
      </c>
      <c r="J157" s="211">
        <v>347</v>
      </c>
    </row>
    <row r="158" spans="1:10" x14ac:dyDescent="0.25">
      <c r="A158" s="211" t="s">
        <v>443</v>
      </c>
      <c r="B158" s="213" t="s">
        <v>438</v>
      </c>
      <c r="C158" s="211">
        <v>0</v>
      </c>
      <c r="D158" s="211">
        <v>234</v>
      </c>
      <c r="E158" s="211">
        <v>217</v>
      </c>
      <c r="F158" s="211">
        <v>261</v>
      </c>
      <c r="G158" s="211">
        <v>405</v>
      </c>
      <c r="H158" s="211">
        <v>298</v>
      </c>
      <c r="I158" s="211">
        <v>0</v>
      </c>
      <c r="J158" s="211">
        <v>344</v>
      </c>
    </row>
    <row r="159" spans="1:10" x14ac:dyDescent="0.25">
      <c r="A159" s="211" t="s">
        <v>443</v>
      </c>
      <c r="B159" s="213" t="s">
        <v>439</v>
      </c>
      <c r="C159" s="211">
        <v>0</v>
      </c>
      <c r="D159" s="211">
        <v>211</v>
      </c>
      <c r="E159" s="211">
        <v>223</v>
      </c>
      <c r="F159" s="211">
        <v>271</v>
      </c>
      <c r="G159" s="211">
        <v>396</v>
      </c>
      <c r="H159" s="211">
        <v>343</v>
      </c>
      <c r="I159" s="211">
        <v>0</v>
      </c>
      <c r="J159" s="211">
        <v>202</v>
      </c>
    </row>
    <row r="160" spans="1:10" x14ac:dyDescent="0.25">
      <c r="A160" s="211" t="s">
        <v>444</v>
      </c>
      <c r="B160" s="213" t="s">
        <v>408</v>
      </c>
      <c r="C160" s="211">
        <v>0</v>
      </c>
      <c r="D160" s="211">
        <v>272</v>
      </c>
      <c r="E160" s="211">
        <v>242</v>
      </c>
      <c r="F160" s="211">
        <v>275</v>
      </c>
      <c r="G160" s="211">
        <v>347</v>
      </c>
      <c r="H160" s="211">
        <v>386</v>
      </c>
      <c r="I160" s="211">
        <v>0</v>
      </c>
      <c r="J160" s="211">
        <v>131</v>
      </c>
    </row>
    <row r="161" spans="1:10" x14ac:dyDescent="0.25">
      <c r="A161" s="211" t="s">
        <v>444</v>
      </c>
      <c r="B161" s="213" t="s">
        <v>410</v>
      </c>
      <c r="C161" s="211">
        <v>0</v>
      </c>
      <c r="D161" s="211">
        <v>269</v>
      </c>
      <c r="E161" s="211">
        <v>279</v>
      </c>
      <c r="F161" s="211">
        <v>370</v>
      </c>
      <c r="G161" s="211">
        <v>344</v>
      </c>
      <c r="H161" s="211">
        <v>386</v>
      </c>
      <c r="I161" s="211">
        <v>0</v>
      </c>
      <c r="J161" s="211">
        <v>148</v>
      </c>
    </row>
    <row r="162" spans="1:10" x14ac:dyDescent="0.25">
      <c r="A162" s="211" t="s">
        <v>444</v>
      </c>
      <c r="B162" s="213" t="s">
        <v>411</v>
      </c>
      <c r="C162" s="211">
        <v>0</v>
      </c>
      <c r="D162" s="211">
        <v>209</v>
      </c>
      <c r="E162" s="211">
        <v>333</v>
      </c>
      <c r="F162" s="211">
        <v>338</v>
      </c>
      <c r="G162" s="211">
        <v>226</v>
      </c>
      <c r="H162" s="211">
        <v>388</v>
      </c>
      <c r="I162" s="211">
        <v>0</v>
      </c>
      <c r="J162" s="211">
        <v>213</v>
      </c>
    </row>
    <row r="163" spans="1:10" x14ac:dyDescent="0.25">
      <c r="A163" s="211" t="s">
        <v>444</v>
      </c>
      <c r="B163" s="213" t="s">
        <v>412</v>
      </c>
      <c r="C163" s="211">
        <v>0</v>
      </c>
      <c r="D163" s="211">
        <v>164</v>
      </c>
      <c r="E163" s="211">
        <v>342</v>
      </c>
      <c r="F163" s="211">
        <v>205</v>
      </c>
      <c r="G163" s="211">
        <v>263</v>
      </c>
      <c r="H163" s="211">
        <v>380</v>
      </c>
      <c r="I163" s="211">
        <v>0</v>
      </c>
      <c r="J163" s="211">
        <v>293</v>
      </c>
    </row>
    <row r="164" spans="1:10" x14ac:dyDescent="0.25">
      <c r="A164" s="211" t="s">
        <v>444</v>
      </c>
      <c r="B164" s="213" t="s">
        <v>413</v>
      </c>
      <c r="C164" s="211">
        <v>0</v>
      </c>
      <c r="D164" s="211">
        <v>191</v>
      </c>
      <c r="E164" s="211">
        <v>213</v>
      </c>
      <c r="F164" s="211">
        <v>217</v>
      </c>
      <c r="G164" s="211">
        <v>272</v>
      </c>
      <c r="H164" s="211">
        <v>364</v>
      </c>
      <c r="I164" s="211">
        <v>0</v>
      </c>
      <c r="J164" s="211">
        <v>304</v>
      </c>
    </row>
    <row r="165" spans="1:10" x14ac:dyDescent="0.25">
      <c r="A165" s="211" t="s">
        <v>444</v>
      </c>
      <c r="B165" s="213" t="s">
        <v>414</v>
      </c>
      <c r="C165" s="211">
        <v>0</v>
      </c>
      <c r="D165" s="211">
        <v>235</v>
      </c>
      <c r="E165" s="211">
        <v>191</v>
      </c>
      <c r="F165" s="211">
        <v>225</v>
      </c>
      <c r="G165" s="211">
        <v>362</v>
      </c>
      <c r="H165" s="211">
        <v>331</v>
      </c>
      <c r="I165" s="211">
        <v>0</v>
      </c>
      <c r="J165" s="211">
        <v>143</v>
      </c>
    </row>
    <row r="166" spans="1:10" x14ac:dyDescent="0.25">
      <c r="A166" s="211" t="s">
        <v>444</v>
      </c>
      <c r="B166" s="213" t="s">
        <v>415</v>
      </c>
      <c r="C166" s="211">
        <v>0</v>
      </c>
      <c r="D166" s="211">
        <v>159</v>
      </c>
      <c r="E166" s="211">
        <v>252</v>
      </c>
      <c r="F166" s="211">
        <v>243</v>
      </c>
      <c r="G166" s="211">
        <v>370</v>
      </c>
      <c r="H166" s="211">
        <v>277</v>
      </c>
      <c r="I166" s="211">
        <v>0</v>
      </c>
      <c r="J166" s="211">
        <v>110</v>
      </c>
    </row>
    <row r="167" spans="1:10" x14ac:dyDescent="0.25">
      <c r="A167" s="211" t="s">
        <v>444</v>
      </c>
      <c r="B167" s="213" t="s">
        <v>416</v>
      </c>
      <c r="C167" s="211">
        <v>0</v>
      </c>
      <c r="D167" s="211">
        <v>149</v>
      </c>
      <c r="E167" s="211">
        <v>325</v>
      </c>
      <c r="F167" s="211">
        <v>329</v>
      </c>
      <c r="G167" s="211">
        <v>329</v>
      </c>
      <c r="H167" s="211">
        <v>315</v>
      </c>
      <c r="I167" s="211">
        <v>0</v>
      </c>
      <c r="J167" s="211">
        <v>155</v>
      </c>
    </row>
    <row r="168" spans="1:10" x14ac:dyDescent="0.25">
      <c r="A168" s="211" t="s">
        <v>444</v>
      </c>
      <c r="B168" s="213" t="s">
        <v>417</v>
      </c>
      <c r="C168" s="211">
        <v>0</v>
      </c>
      <c r="D168" s="211">
        <v>140</v>
      </c>
      <c r="E168" s="211">
        <v>325</v>
      </c>
      <c r="F168" s="211">
        <v>402</v>
      </c>
      <c r="G168" s="211">
        <v>327</v>
      </c>
      <c r="H168" s="211">
        <v>322</v>
      </c>
      <c r="I168" s="211">
        <v>0</v>
      </c>
      <c r="J168" s="211">
        <v>263</v>
      </c>
    </row>
    <row r="169" spans="1:10" x14ac:dyDescent="0.25">
      <c r="A169" s="211" t="s">
        <v>444</v>
      </c>
      <c r="B169" s="213" t="s">
        <v>418</v>
      </c>
      <c r="C169" s="211">
        <v>0</v>
      </c>
      <c r="D169" s="211">
        <v>195</v>
      </c>
      <c r="E169" s="211">
        <v>291</v>
      </c>
      <c r="F169" s="211">
        <v>380</v>
      </c>
      <c r="G169" s="211">
        <v>335</v>
      </c>
      <c r="H169" s="211">
        <v>405</v>
      </c>
      <c r="I169" s="211">
        <v>0</v>
      </c>
      <c r="J169" s="211">
        <v>337</v>
      </c>
    </row>
    <row r="170" spans="1:10" x14ac:dyDescent="0.25">
      <c r="A170" s="211" t="s">
        <v>444</v>
      </c>
      <c r="B170" s="213" t="s">
        <v>419</v>
      </c>
      <c r="C170" s="211">
        <v>0</v>
      </c>
      <c r="D170" s="211">
        <v>245</v>
      </c>
      <c r="E170" s="211">
        <v>378</v>
      </c>
      <c r="F170" s="211">
        <v>236</v>
      </c>
      <c r="G170" s="211">
        <v>341</v>
      </c>
      <c r="H170" s="211">
        <v>380</v>
      </c>
      <c r="I170" s="211">
        <v>0</v>
      </c>
      <c r="J170" s="211">
        <v>381</v>
      </c>
    </row>
    <row r="171" spans="1:10" x14ac:dyDescent="0.25">
      <c r="A171" s="211" t="s">
        <v>444</v>
      </c>
      <c r="B171" s="213" t="s">
        <v>420</v>
      </c>
      <c r="C171" s="211">
        <v>0</v>
      </c>
      <c r="D171" s="211">
        <v>345</v>
      </c>
      <c r="E171" s="211">
        <v>370</v>
      </c>
      <c r="F171" s="211">
        <v>278</v>
      </c>
      <c r="G171" s="211">
        <v>330</v>
      </c>
      <c r="H171" s="211">
        <v>339</v>
      </c>
      <c r="I171" s="211">
        <v>0</v>
      </c>
      <c r="J171" s="211">
        <v>290</v>
      </c>
    </row>
    <row r="172" spans="1:10" x14ac:dyDescent="0.25">
      <c r="A172" s="211" t="s">
        <v>444</v>
      </c>
      <c r="B172" s="213" t="s">
        <v>421</v>
      </c>
      <c r="C172" s="211">
        <v>0</v>
      </c>
      <c r="D172" s="211">
        <v>324</v>
      </c>
      <c r="E172" s="211">
        <v>365</v>
      </c>
      <c r="F172" s="211">
        <v>380</v>
      </c>
      <c r="G172" s="211">
        <v>336</v>
      </c>
      <c r="H172" s="211">
        <v>292</v>
      </c>
      <c r="I172" s="211">
        <v>0</v>
      </c>
      <c r="J172" s="211">
        <v>169</v>
      </c>
    </row>
    <row r="173" spans="1:10" x14ac:dyDescent="0.25">
      <c r="A173" s="211" t="s">
        <v>444</v>
      </c>
      <c r="B173" s="213" t="s">
        <v>422</v>
      </c>
      <c r="C173" s="211">
        <v>0</v>
      </c>
      <c r="D173" s="211">
        <v>213</v>
      </c>
      <c r="E173" s="211">
        <v>376</v>
      </c>
      <c r="F173" s="211">
        <v>408</v>
      </c>
      <c r="G173" s="211">
        <v>351</v>
      </c>
      <c r="H173" s="211">
        <v>391</v>
      </c>
      <c r="I173" s="211">
        <v>0</v>
      </c>
      <c r="J173" s="211">
        <v>153</v>
      </c>
    </row>
    <row r="174" spans="1:10" x14ac:dyDescent="0.25">
      <c r="A174" s="211" t="s">
        <v>444</v>
      </c>
      <c r="B174" s="213" t="s">
        <v>423</v>
      </c>
      <c r="C174" s="211">
        <v>0</v>
      </c>
      <c r="D174" s="211">
        <v>176</v>
      </c>
      <c r="E174" s="211">
        <v>369</v>
      </c>
      <c r="F174" s="211">
        <v>409</v>
      </c>
      <c r="G174" s="211">
        <v>338</v>
      </c>
      <c r="H174" s="211">
        <v>406</v>
      </c>
      <c r="I174" s="211">
        <v>0</v>
      </c>
      <c r="J174" s="211">
        <v>135</v>
      </c>
    </row>
    <row r="175" spans="1:10" x14ac:dyDescent="0.25">
      <c r="A175" s="211" t="s">
        <v>444</v>
      </c>
      <c r="B175" s="213" t="s">
        <v>424</v>
      </c>
      <c r="C175" s="211">
        <v>0</v>
      </c>
      <c r="D175" s="211">
        <v>207</v>
      </c>
      <c r="E175" s="211">
        <v>288</v>
      </c>
      <c r="F175" s="211">
        <v>396</v>
      </c>
      <c r="G175" s="211">
        <v>366</v>
      </c>
      <c r="H175" s="211">
        <v>300</v>
      </c>
      <c r="I175" s="211">
        <v>0</v>
      </c>
      <c r="J175" s="211">
        <v>176</v>
      </c>
    </row>
    <row r="176" spans="1:10" x14ac:dyDescent="0.25">
      <c r="A176" s="211" t="s">
        <v>444</v>
      </c>
      <c r="B176" s="213" t="s">
        <v>425</v>
      </c>
      <c r="C176" s="211">
        <v>0</v>
      </c>
      <c r="D176" s="211">
        <v>196</v>
      </c>
      <c r="E176" s="211">
        <v>282</v>
      </c>
      <c r="F176" s="211">
        <v>400</v>
      </c>
      <c r="G176" s="211">
        <v>261</v>
      </c>
      <c r="H176" s="211">
        <v>405</v>
      </c>
      <c r="I176" s="211">
        <v>0</v>
      </c>
      <c r="J176" s="211">
        <v>187</v>
      </c>
    </row>
    <row r="177" spans="1:10" x14ac:dyDescent="0.25">
      <c r="A177" s="211" t="s">
        <v>444</v>
      </c>
      <c r="B177" s="213" t="s">
        <v>426</v>
      </c>
      <c r="C177" s="211">
        <v>0</v>
      </c>
      <c r="D177" s="211">
        <v>185</v>
      </c>
      <c r="E177" s="211">
        <v>288</v>
      </c>
      <c r="F177" s="211">
        <v>216</v>
      </c>
      <c r="G177" s="211">
        <v>253</v>
      </c>
      <c r="H177" s="211">
        <v>310</v>
      </c>
      <c r="I177" s="211">
        <v>0</v>
      </c>
      <c r="J177" s="211">
        <v>225</v>
      </c>
    </row>
    <row r="178" spans="1:10" x14ac:dyDescent="0.25">
      <c r="A178" s="211" t="s">
        <v>444</v>
      </c>
      <c r="B178" s="213" t="s">
        <v>427</v>
      </c>
      <c r="C178" s="211">
        <v>0</v>
      </c>
      <c r="D178" s="211">
        <v>215</v>
      </c>
      <c r="E178" s="211">
        <v>237</v>
      </c>
      <c r="F178" s="211">
        <v>299</v>
      </c>
      <c r="G178" s="211">
        <v>274</v>
      </c>
      <c r="H178" s="211">
        <v>404</v>
      </c>
      <c r="I178" s="211">
        <v>0</v>
      </c>
      <c r="J178" s="211">
        <v>231</v>
      </c>
    </row>
    <row r="179" spans="1:10" x14ac:dyDescent="0.25">
      <c r="A179" s="211" t="s">
        <v>444</v>
      </c>
      <c r="B179" s="213" t="s">
        <v>428</v>
      </c>
      <c r="C179" s="211">
        <v>0</v>
      </c>
      <c r="D179" s="211">
        <v>200</v>
      </c>
      <c r="E179" s="211">
        <v>298</v>
      </c>
      <c r="F179" s="211">
        <v>292</v>
      </c>
      <c r="G179" s="211">
        <v>361</v>
      </c>
      <c r="H179" s="211">
        <v>397</v>
      </c>
      <c r="I179" s="211">
        <v>0</v>
      </c>
      <c r="J179" s="211">
        <v>131</v>
      </c>
    </row>
    <row r="180" spans="1:10" x14ac:dyDescent="0.25">
      <c r="A180" s="211" t="s">
        <v>444</v>
      </c>
      <c r="B180" s="213" t="s">
        <v>429</v>
      </c>
      <c r="C180" s="211">
        <v>0</v>
      </c>
      <c r="D180" s="211">
        <v>189</v>
      </c>
      <c r="E180" s="211">
        <v>324</v>
      </c>
      <c r="F180" s="211">
        <v>396</v>
      </c>
      <c r="G180" s="211">
        <v>340</v>
      </c>
      <c r="H180" s="211">
        <v>316</v>
      </c>
      <c r="I180" s="211">
        <v>0</v>
      </c>
      <c r="J180" s="211">
        <v>133</v>
      </c>
    </row>
    <row r="181" spans="1:10" x14ac:dyDescent="0.25">
      <c r="A181" s="211" t="s">
        <v>444</v>
      </c>
      <c r="B181" s="213" t="s">
        <v>430</v>
      </c>
      <c r="C181" s="211">
        <v>0</v>
      </c>
      <c r="D181" s="211">
        <v>263</v>
      </c>
      <c r="E181" s="211">
        <v>295</v>
      </c>
      <c r="F181" s="211">
        <v>407</v>
      </c>
      <c r="G181" s="211">
        <v>391</v>
      </c>
      <c r="H181" s="211">
        <v>368</v>
      </c>
      <c r="I181" s="211">
        <v>0</v>
      </c>
      <c r="J181" s="211">
        <v>186</v>
      </c>
    </row>
    <row r="182" spans="1:10" x14ac:dyDescent="0.25">
      <c r="A182" s="211" t="s">
        <v>444</v>
      </c>
      <c r="B182" s="213" t="s">
        <v>431</v>
      </c>
      <c r="C182" s="211">
        <v>0</v>
      </c>
      <c r="D182" s="211">
        <v>245</v>
      </c>
      <c r="E182" s="211">
        <v>307</v>
      </c>
      <c r="F182" s="211">
        <v>418</v>
      </c>
      <c r="G182" s="211">
        <v>401</v>
      </c>
      <c r="H182" s="211">
        <v>411</v>
      </c>
      <c r="I182" s="211">
        <v>0</v>
      </c>
      <c r="J182" s="211">
        <v>188</v>
      </c>
    </row>
    <row r="183" spans="1:10" x14ac:dyDescent="0.25">
      <c r="A183" s="211" t="s">
        <v>444</v>
      </c>
      <c r="B183" s="213" t="s">
        <v>432</v>
      </c>
      <c r="C183" s="211">
        <v>0</v>
      </c>
      <c r="D183" s="211">
        <v>256</v>
      </c>
      <c r="E183" s="211">
        <v>338</v>
      </c>
      <c r="F183" s="211">
        <v>422</v>
      </c>
      <c r="G183" s="211">
        <v>279</v>
      </c>
      <c r="H183" s="211">
        <v>409</v>
      </c>
      <c r="I183" s="211">
        <v>0</v>
      </c>
      <c r="J183" s="211">
        <v>192</v>
      </c>
    </row>
    <row r="184" spans="1:10" x14ac:dyDescent="0.25">
      <c r="A184" s="211" t="s">
        <v>444</v>
      </c>
      <c r="B184" s="213" t="s">
        <v>433</v>
      </c>
      <c r="C184" s="211">
        <v>0</v>
      </c>
      <c r="D184" s="211">
        <v>284</v>
      </c>
      <c r="E184" s="211">
        <v>340</v>
      </c>
      <c r="F184" s="211">
        <v>212</v>
      </c>
      <c r="G184" s="211">
        <v>392</v>
      </c>
      <c r="H184" s="211">
        <v>409</v>
      </c>
      <c r="I184" s="211">
        <v>0</v>
      </c>
      <c r="J184" s="211">
        <v>229</v>
      </c>
    </row>
    <row r="185" spans="1:10" x14ac:dyDescent="0.25">
      <c r="A185" s="211" t="s">
        <v>444</v>
      </c>
      <c r="B185" s="213" t="s">
        <v>434</v>
      </c>
      <c r="C185" s="211">
        <v>0</v>
      </c>
      <c r="D185" s="211">
        <v>303</v>
      </c>
      <c r="E185" s="211">
        <v>399</v>
      </c>
      <c r="F185" s="211">
        <v>264</v>
      </c>
      <c r="G185" s="211">
        <v>399</v>
      </c>
      <c r="H185" s="211">
        <v>410</v>
      </c>
      <c r="I185" s="211">
        <v>0</v>
      </c>
      <c r="J185" s="211">
        <v>234</v>
      </c>
    </row>
    <row r="186" spans="1:10" x14ac:dyDescent="0.25">
      <c r="A186" s="211" t="s">
        <v>444</v>
      </c>
      <c r="B186" s="213" t="s">
        <v>435</v>
      </c>
      <c r="C186" s="211">
        <v>0</v>
      </c>
      <c r="D186" s="211">
        <v>316</v>
      </c>
      <c r="E186" s="211">
        <v>408</v>
      </c>
      <c r="F186" s="211">
        <v>298</v>
      </c>
      <c r="G186" s="211">
        <v>403</v>
      </c>
      <c r="H186" s="211">
        <v>323</v>
      </c>
      <c r="I186" s="211">
        <v>0</v>
      </c>
      <c r="J186" s="211">
        <v>177</v>
      </c>
    </row>
    <row r="187" spans="1:10" x14ac:dyDescent="0.25">
      <c r="A187" s="211" t="s">
        <v>444</v>
      </c>
      <c r="B187" s="213" t="s">
        <v>436</v>
      </c>
      <c r="C187" s="211">
        <v>0</v>
      </c>
      <c r="D187" s="211">
        <v>162</v>
      </c>
      <c r="E187" s="211">
        <v>421</v>
      </c>
      <c r="F187" s="211">
        <v>321</v>
      </c>
      <c r="G187" s="211">
        <v>281</v>
      </c>
      <c r="H187" s="211">
        <v>327</v>
      </c>
      <c r="I187" s="211">
        <v>0</v>
      </c>
      <c r="J187" s="211">
        <v>133</v>
      </c>
    </row>
    <row r="188" spans="1:10" x14ac:dyDescent="0.25">
      <c r="A188" s="211" t="s">
        <v>444</v>
      </c>
      <c r="B188" s="213" t="s">
        <v>437</v>
      </c>
      <c r="C188" s="211">
        <v>0</v>
      </c>
      <c r="D188" s="211">
        <v>138</v>
      </c>
      <c r="E188" s="211">
        <v>231</v>
      </c>
      <c r="F188" s="211">
        <v>396</v>
      </c>
      <c r="G188" s="211">
        <v>333</v>
      </c>
      <c r="H188" s="211">
        <v>335</v>
      </c>
      <c r="I188" s="211">
        <v>0</v>
      </c>
      <c r="J188" s="211">
        <v>133</v>
      </c>
    </row>
    <row r="189" spans="1:10" x14ac:dyDescent="0.25">
      <c r="A189" s="211" t="s">
        <v>444</v>
      </c>
      <c r="B189" s="213" t="s">
        <v>438</v>
      </c>
      <c r="C189" s="211">
        <v>0</v>
      </c>
      <c r="D189" s="211">
        <v>124</v>
      </c>
      <c r="E189" s="211">
        <v>248</v>
      </c>
      <c r="F189" s="211">
        <v>417</v>
      </c>
      <c r="G189" s="211">
        <v>320</v>
      </c>
      <c r="H189" s="211">
        <v>276</v>
      </c>
      <c r="I189" s="211">
        <v>0</v>
      </c>
      <c r="J189" s="211">
        <v>133</v>
      </c>
    </row>
    <row r="190" spans="1:10" x14ac:dyDescent="0.25">
      <c r="A190" s="211" t="s">
        <v>445</v>
      </c>
      <c r="B190" s="213" t="s">
        <v>408</v>
      </c>
      <c r="C190" s="211">
        <v>0</v>
      </c>
      <c r="D190" s="211">
        <v>142</v>
      </c>
      <c r="E190" s="211">
        <v>313</v>
      </c>
      <c r="F190" s="211">
        <v>397</v>
      </c>
      <c r="G190" s="211">
        <v>285</v>
      </c>
      <c r="H190" s="211">
        <v>416</v>
      </c>
      <c r="I190" s="211">
        <v>79</v>
      </c>
      <c r="J190" s="211">
        <v>219</v>
      </c>
    </row>
    <row r="191" spans="1:10" x14ac:dyDescent="0.25">
      <c r="A191" s="211" t="s">
        <v>445</v>
      </c>
      <c r="B191" s="213" t="s">
        <v>410</v>
      </c>
      <c r="C191" s="211">
        <v>0</v>
      </c>
      <c r="D191" s="211">
        <v>175</v>
      </c>
      <c r="E191" s="211">
        <v>382</v>
      </c>
      <c r="F191" s="211">
        <v>312</v>
      </c>
      <c r="G191" s="211">
        <v>298</v>
      </c>
      <c r="H191" s="211">
        <v>413</v>
      </c>
      <c r="I191" s="211">
        <v>124</v>
      </c>
      <c r="J191" s="211">
        <v>322</v>
      </c>
    </row>
    <row r="192" spans="1:10" x14ac:dyDescent="0.25">
      <c r="A192" s="211" t="s">
        <v>445</v>
      </c>
      <c r="B192" s="213" t="s">
        <v>411</v>
      </c>
      <c r="C192" s="211">
        <v>0</v>
      </c>
      <c r="D192" s="211">
        <v>199</v>
      </c>
      <c r="E192" s="211">
        <v>402</v>
      </c>
      <c r="F192" s="211">
        <v>316</v>
      </c>
      <c r="G192" s="211">
        <v>327</v>
      </c>
      <c r="H192" s="211">
        <v>337</v>
      </c>
      <c r="I192" s="211">
        <v>208</v>
      </c>
      <c r="J192" s="211">
        <v>335</v>
      </c>
    </row>
    <row r="193" spans="1:10" x14ac:dyDescent="0.25">
      <c r="A193" s="211" t="s">
        <v>445</v>
      </c>
      <c r="B193" s="213" t="s">
        <v>412</v>
      </c>
      <c r="C193" s="211">
        <v>0</v>
      </c>
      <c r="D193" s="211">
        <v>229</v>
      </c>
      <c r="E193" s="211">
        <v>348</v>
      </c>
      <c r="F193" s="211">
        <v>287</v>
      </c>
      <c r="G193" s="211">
        <v>350</v>
      </c>
      <c r="H193" s="211">
        <v>401</v>
      </c>
      <c r="I193" s="211">
        <v>218</v>
      </c>
      <c r="J193" s="211">
        <v>264</v>
      </c>
    </row>
    <row r="194" spans="1:10" x14ac:dyDescent="0.25">
      <c r="A194" s="211" t="s">
        <v>445</v>
      </c>
      <c r="B194" s="213" t="s">
        <v>413</v>
      </c>
      <c r="C194" s="211">
        <v>0</v>
      </c>
      <c r="D194" s="211">
        <v>142</v>
      </c>
      <c r="E194" s="211">
        <v>389</v>
      </c>
      <c r="F194" s="211">
        <v>386</v>
      </c>
      <c r="G194" s="211">
        <v>325</v>
      </c>
      <c r="H194" s="211">
        <v>399</v>
      </c>
      <c r="I194" s="211">
        <v>88</v>
      </c>
      <c r="J194" s="211">
        <v>182</v>
      </c>
    </row>
    <row r="195" spans="1:10" x14ac:dyDescent="0.25">
      <c r="A195" s="211" t="s">
        <v>445</v>
      </c>
      <c r="B195" s="213" t="s">
        <v>414</v>
      </c>
      <c r="C195" s="211">
        <v>0</v>
      </c>
      <c r="D195" s="211">
        <v>156</v>
      </c>
      <c r="E195" s="211">
        <v>387</v>
      </c>
      <c r="F195" s="211">
        <v>388</v>
      </c>
      <c r="G195" s="211">
        <v>329</v>
      </c>
      <c r="H195" s="211">
        <v>416</v>
      </c>
      <c r="I195" s="211">
        <v>69</v>
      </c>
      <c r="J195" s="211">
        <v>171</v>
      </c>
    </row>
    <row r="196" spans="1:10" x14ac:dyDescent="0.25">
      <c r="A196" s="211" t="s">
        <v>445</v>
      </c>
      <c r="B196" s="213" t="s">
        <v>415</v>
      </c>
      <c r="C196" s="211">
        <v>0</v>
      </c>
      <c r="D196" s="211">
        <v>164</v>
      </c>
      <c r="E196" s="211">
        <v>256</v>
      </c>
      <c r="F196" s="211">
        <v>267</v>
      </c>
      <c r="G196" s="211">
        <v>305</v>
      </c>
      <c r="H196" s="211">
        <v>316</v>
      </c>
      <c r="I196" s="211">
        <v>55</v>
      </c>
      <c r="J196" s="211">
        <v>207</v>
      </c>
    </row>
    <row r="197" spans="1:10" x14ac:dyDescent="0.25">
      <c r="A197" s="211" t="s">
        <v>445</v>
      </c>
      <c r="B197" s="213" t="s">
        <v>416</v>
      </c>
      <c r="C197" s="211">
        <v>0</v>
      </c>
      <c r="D197" s="211">
        <v>170</v>
      </c>
      <c r="E197" s="211">
        <v>346</v>
      </c>
      <c r="F197" s="211">
        <v>289</v>
      </c>
      <c r="G197" s="211">
        <v>242</v>
      </c>
      <c r="H197" s="211">
        <v>332</v>
      </c>
      <c r="I197" s="211">
        <v>48</v>
      </c>
      <c r="J197" s="211">
        <v>310</v>
      </c>
    </row>
    <row r="198" spans="1:10" x14ac:dyDescent="0.25">
      <c r="A198" s="211" t="s">
        <v>445</v>
      </c>
      <c r="B198" s="213" t="s">
        <v>417</v>
      </c>
      <c r="C198" s="211">
        <v>0</v>
      </c>
      <c r="D198" s="211">
        <v>161</v>
      </c>
      <c r="E198" s="211">
        <v>356</v>
      </c>
      <c r="F198" s="211">
        <v>259</v>
      </c>
      <c r="G198" s="211">
        <v>318</v>
      </c>
      <c r="H198" s="211">
        <v>384</v>
      </c>
      <c r="I198" s="211">
        <v>67</v>
      </c>
      <c r="J198" s="211">
        <v>338</v>
      </c>
    </row>
    <row r="199" spans="1:10" x14ac:dyDescent="0.25">
      <c r="A199" s="211" t="s">
        <v>445</v>
      </c>
      <c r="B199" s="213" t="s">
        <v>418</v>
      </c>
      <c r="C199" s="211">
        <v>0</v>
      </c>
      <c r="D199" s="211">
        <v>168</v>
      </c>
      <c r="E199" s="211">
        <v>310</v>
      </c>
      <c r="F199" s="211">
        <v>295</v>
      </c>
      <c r="G199" s="211">
        <v>316</v>
      </c>
      <c r="H199" s="211">
        <v>420</v>
      </c>
      <c r="I199" s="211">
        <v>100</v>
      </c>
      <c r="J199" s="211">
        <v>315</v>
      </c>
    </row>
    <row r="200" spans="1:10" x14ac:dyDescent="0.25">
      <c r="A200" s="211" t="s">
        <v>445</v>
      </c>
      <c r="B200" s="213" t="s">
        <v>419</v>
      </c>
      <c r="C200" s="211">
        <v>0</v>
      </c>
      <c r="D200" s="211">
        <v>183</v>
      </c>
      <c r="E200" s="211">
        <v>354</v>
      </c>
      <c r="F200" s="211">
        <v>312</v>
      </c>
      <c r="G200" s="211">
        <v>388</v>
      </c>
      <c r="H200" s="211">
        <v>394</v>
      </c>
      <c r="I200" s="211">
        <v>111</v>
      </c>
      <c r="J200" s="211">
        <v>246</v>
      </c>
    </row>
    <row r="201" spans="1:10" x14ac:dyDescent="0.25">
      <c r="A201" s="211" t="s">
        <v>445</v>
      </c>
      <c r="B201" s="213" t="s">
        <v>420</v>
      </c>
      <c r="C201" s="211">
        <v>0</v>
      </c>
      <c r="D201" s="211">
        <v>178</v>
      </c>
      <c r="E201" s="211">
        <v>409</v>
      </c>
      <c r="F201" s="211">
        <v>353</v>
      </c>
      <c r="G201" s="211">
        <v>388</v>
      </c>
      <c r="H201" s="211">
        <v>284</v>
      </c>
      <c r="I201" s="211">
        <v>59</v>
      </c>
      <c r="J201" s="211">
        <v>243</v>
      </c>
    </row>
    <row r="202" spans="1:10" x14ac:dyDescent="0.25">
      <c r="A202" s="211" t="s">
        <v>445</v>
      </c>
      <c r="B202" s="213" t="s">
        <v>421</v>
      </c>
      <c r="C202" s="211">
        <v>0</v>
      </c>
      <c r="D202" s="211">
        <v>214</v>
      </c>
      <c r="E202" s="211">
        <v>391</v>
      </c>
      <c r="F202" s="211">
        <v>403</v>
      </c>
      <c r="G202" s="211">
        <v>274</v>
      </c>
      <c r="H202" s="211">
        <v>291</v>
      </c>
      <c r="I202" s="211">
        <v>39</v>
      </c>
      <c r="J202" s="211">
        <v>256</v>
      </c>
    </row>
    <row r="203" spans="1:10" x14ac:dyDescent="0.25">
      <c r="A203" s="211" t="s">
        <v>445</v>
      </c>
      <c r="B203" s="213" t="s">
        <v>422</v>
      </c>
      <c r="C203" s="211">
        <v>0</v>
      </c>
      <c r="D203" s="211">
        <v>250</v>
      </c>
      <c r="E203" s="211">
        <v>383</v>
      </c>
      <c r="F203" s="211">
        <v>418</v>
      </c>
      <c r="G203" s="211">
        <v>333</v>
      </c>
      <c r="H203" s="211">
        <v>282</v>
      </c>
      <c r="I203" s="211">
        <v>42</v>
      </c>
      <c r="J203" s="211">
        <v>257</v>
      </c>
    </row>
    <row r="204" spans="1:10" x14ac:dyDescent="0.25">
      <c r="A204" s="211" t="s">
        <v>445</v>
      </c>
      <c r="B204" s="213" t="s">
        <v>423</v>
      </c>
      <c r="C204" s="211">
        <v>0</v>
      </c>
      <c r="D204" s="211">
        <v>257</v>
      </c>
      <c r="E204" s="211">
        <v>362</v>
      </c>
      <c r="F204" s="211">
        <v>421</v>
      </c>
      <c r="G204" s="211">
        <v>286</v>
      </c>
      <c r="H204" s="211">
        <v>300</v>
      </c>
      <c r="I204" s="211">
        <v>55</v>
      </c>
      <c r="J204" s="211">
        <v>257</v>
      </c>
    </row>
    <row r="205" spans="1:10" x14ac:dyDescent="0.25">
      <c r="A205" s="211" t="s">
        <v>445</v>
      </c>
      <c r="B205" s="213" t="s">
        <v>424</v>
      </c>
      <c r="C205" s="211">
        <v>0</v>
      </c>
      <c r="D205" s="211">
        <v>251</v>
      </c>
      <c r="E205" s="211">
        <v>378</v>
      </c>
      <c r="F205" s="211">
        <v>261</v>
      </c>
      <c r="G205" s="211">
        <v>287</v>
      </c>
      <c r="H205" s="211">
        <v>314</v>
      </c>
      <c r="I205" s="211">
        <v>84</v>
      </c>
      <c r="J205" s="211">
        <v>219</v>
      </c>
    </row>
    <row r="206" spans="1:10" x14ac:dyDescent="0.25">
      <c r="A206" s="211" t="s">
        <v>445</v>
      </c>
      <c r="B206" s="213" t="s">
        <v>425</v>
      </c>
      <c r="C206" s="211">
        <v>0</v>
      </c>
      <c r="D206" s="211">
        <v>280</v>
      </c>
      <c r="E206" s="211">
        <v>333</v>
      </c>
      <c r="F206" s="211">
        <v>235</v>
      </c>
      <c r="G206" s="211">
        <v>286</v>
      </c>
      <c r="H206" s="211">
        <v>317</v>
      </c>
      <c r="I206" s="211">
        <v>123</v>
      </c>
      <c r="J206" s="211">
        <v>218</v>
      </c>
    </row>
    <row r="207" spans="1:10" x14ac:dyDescent="0.25">
      <c r="A207" s="211" t="s">
        <v>445</v>
      </c>
      <c r="B207" s="213" t="s">
        <v>426</v>
      </c>
      <c r="C207" s="211">
        <v>0</v>
      </c>
      <c r="D207" s="211">
        <v>311</v>
      </c>
      <c r="E207" s="211">
        <v>340</v>
      </c>
      <c r="F207" s="211">
        <v>255</v>
      </c>
      <c r="G207" s="211">
        <v>278</v>
      </c>
      <c r="H207" s="211">
        <v>360</v>
      </c>
      <c r="I207" s="211">
        <v>152</v>
      </c>
      <c r="J207" s="211">
        <v>172</v>
      </c>
    </row>
    <row r="208" spans="1:10" x14ac:dyDescent="0.25">
      <c r="A208" s="211" t="s">
        <v>445</v>
      </c>
      <c r="B208" s="213" t="s">
        <v>427</v>
      </c>
      <c r="C208" s="211">
        <v>0</v>
      </c>
      <c r="D208" s="211">
        <v>198</v>
      </c>
      <c r="E208" s="211">
        <v>323</v>
      </c>
      <c r="F208" s="211">
        <v>371</v>
      </c>
      <c r="G208" s="211">
        <v>275</v>
      </c>
      <c r="H208" s="211">
        <v>424</v>
      </c>
      <c r="I208" s="211">
        <v>92</v>
      </c>
      <c r="J208" s="211">
        <v>173</v>
      </c>
    </row>
    <row r="209" spans="1:10" x14ac:dyDescent="0.25">
      <c r="A209" s="211" t="s">
        <v>445</v>
      </c>
      <c r="B209" s="213" t="s">
        <v>428</v>
      </c>
      <c r="C209" s="211">
        <v>0</v>
      </c>
      <c r="D209" s="211">
        <v>206</v>
      </c>
      <c r="E209" s="211">
        <v>373</v>
      </c>
      <c r="F209" s="211">
        <v>402</v>
      </c>
      <c r="G209" s="211">
        <v>274</v>
      </c>
      <c r="H209" s="211">
        <v>416</v>
      </c>
      <c r="I209" s="211">
        <v>63</v>
      </c>
      <c r="J209" s="211">
        <v>170</v>
      </c>
    </row>
    <row r="210" spans="1:10" x14ac:dyDescent="0.25">
      <c r="A210" s="211" t="s">
        <v>445</v>
      </c>
      <c r="B210" s="213" t="s">
        <v>429</v>
      </c>
      <c r="C210" s="211">
        <v>0</v>
      </c>
      <c r="D210" s="211">
        <v>215</v>
      </c>
      <c r="E210" s="211">
        <v>368</v>
      </c>
      <c r="F210" s="211">
        <v>368</v>
      </c>
      <c r="G210" s="211">
        <v>324</v>
      </c>
      <c r="H210" s="211">
        <v>392</v>
      </c>
      <c r="I210" s="211">
        <v>50</v>
      </c>
      <c r="J210" s="211">
        <v>168</v>
      </c>
    </row>
    <row r="211" spans="1:10" x14ac:dyDescent="0.25">
      <c r="A211" s="211" t="s">
        <v>445</v>
      </c>
      <c r="B211" s="213" t="s">
        <v>430</v>
      </c>
      <c r="C211" s="211">
        <v>0</v>
      </c>
      <c r="D211" s="211">
        <v>257</v>
      </c>
      <c r="E211" s="211">
        <v>351</v>
      </c>
      <c r="F211" s="211">
        <v>403</v>
      </c>
      <c r="G211" s="211">
        <v>377</v>
      </c>
      <c r="H211" s="211">
        <v>341</v>
      </c>
      <c r="I211" s="211">
        <v>66</v>
      </c>
      <c r="J211" s="211">
        <v>159</v>
      </c>
    </row>
    <row r="212" spans="1:10" x14ac:dyDescent="0.25">
      <c r="A212" s="211" t="s">
        <v>445</v>
      </c>
      <c r="B212" s="213" t="s">
        <v>431</v>
      </c>
      <c r="C212" s="211">
        <v>0</v>
      </c>
      <c r="D212" s="211">
        <v>299</v>
      </c>
      <c r="E212" s="211">
        <v>362</v>
      </c>
      <c r="F212" s="211">
        <v>246</v>
      </c>
      <c r="G212" s="211">
        <v>400</v>
      </c>
      <c r="H212" s="211">
        <v>312</v>
      </c>
      <c r="I212" s="211">
        <v>72</v>
      </c>
      <c r="J212" s="211">
        <v>223</v>
      </c>
    </row>
    <row r="213" spans="1:10" x14ac:dyDescent="0.25">
      <c r="A213" s="211" t="s">
        <v>445</v>
      </c>
      <c r="B213" s="213" t="s">
        <v>432</v>
      </c>
      <c r="C213" s="211">
        <v>0</v>
      </c>
      <c r="D213" s="211">
        <v>346</v>
      </c>
      <c r="E213" s="211">
        <v>305</v>
      </c>
      <c r="F213" s="211">
        <v>281</v>
      </c>
      <c r="G213" s="211">
        <v>368</v>
      </c>
      <c r="H213" s="211">
        <v>325</v>
      </c>
      <c r="I213" s="211">
        <v>125</v>
      </c>
      <c r="J213" s="211">
        <v>223</v>
      </c>
    </row>
    <row r="214" spans="1:10" x14ac:dyDescent="0.25">
      <c r="A214" s="211" t="s">
        <v>445</v>
      </c>
      <c r="B214" s="213" t="s">
        <v>433</v>
      </c>
      <c r="C214" s="211">
        <v>74</v>
      </c>
      <c r="D214" s="211">
        <v>378</v>
      </c>
      <c r="E214" s="211">
        <v>240</v>
      </c>
      <c r="F214" s="211">
        <v>302</v>
      </c>
      <c r="G214" s="211">
        <v>269</v>
      </c>
      <c r="H214" s="211">
        <v>378</v>
      </c>
      <c r="I214" s="211">
        <v>138</v>
      </c>
      <c r="J214" s="211">
        <v>179</v>
      </c>
    </row>
    <row r="215" spans="1:10" x14ac:dyDescent="0.25">
      <c r="A215" s="211" t="s">
        <v>445</v>
      </c>
      <c r="B215" s="213" t="s">
        <v>434</v>
      </c>
      <c r="C215" s="211">
        <v>101</v>
      </c>
      <c r="D215" s="211">
        <v>309</v>
      </c>
      <c r="E215" s="211">
        <v>251</v>
      </c>
      <c r="F215" s="211">
        <v>312</v>
      </c>
      <c r="G215" s="211">
        <v>270</v>
      </c>
      <c r="H215" s="211">
        <v>411</v>
      </c>
      <c r="I215" s="211">
        <v>78</v>
      </c>
      <c r="J215" s="211">
        <v>180</v>
      </c>
    </row>
    <row r="216" spans="1:10" x14ac:dyDescent="0.25">
      <c r="A216" s="211" t="s">
        <v>445</v>
      </c>
      <c r="B216" s="213" t="s">
        <v>435</v>
      </c>
      <c r="C216" s="211">
        <v>96</v>
      </c>
      <c r="D216" s="211">
        <v>335</v>
      </c>
      <c r="E216" s="211">
        <v>268</v>
      </c>
      <c r="F216" s="211">
        <v>394</v>
      </c>
      <c r="G216" s="211">
        <v>287</v>
      </c>
      <c r="H216" s="211">
        <v>411</v>
      </c>
      <c r="I216" s="211">
        <v>68</v>
      </c>
      <c r="J216" s="211">
        <v>180</v>
      </c>
    </row>
    <row r="217" spans="1:10" x14ac:dyDescent="0.25">
      <c r="A217" s="211" t="s">
        <v>445</v>
      </c>
      <c r="B217" s="213" t="s">
        <v>436</v>
      </c>
      <c r="C217" s="211">
        <v>93</v>
      </c>
      <c r="D217" s="211">
        <v>318</v>
      </c>
      <c r="E217" s="211">
        <v>286</v>
      </c>
      <c r="F217" s="211">
        <v>430</v>
      </c>
      <c r="G217" s="211">
        <v>310</v>
      </c>
      <c r="H217" s="211">
        <v>334</v>
      </c>
      <c r="I217" s="211">
        <v>71</v>
      </c>
      <c r="J217" s="211">
        <v>181</v>
      </c>
    </row>
    <row r="218" spans="1:10" x14ac:dyDescent="0.25">
      <c r="A218" s="211" t="s">
        <v>445</v>
      </c>
      <c r="B218" s="213" t="s">
        <v>437</v>
      </c>
      <c r="C218" s="211">
        <v>72</v>
      </c>
      <c r="D218" s="211">
        <v>258</v>
      </c>
      <c r="E218" s="211">
        <v>397</v>
      </c>
      <c r="F218" s="211">
        <v>422</v>
      </c>
      <c r="G218" s="211">
        <v>287</v>
      </c>
      <c r="H218" s="211">
        <v>338</v>
      </c>
      <c r="I218" s="211">
        <v>68</v>
      </c>
      <c r="J218" s="211">
        <v>187</v>
      </c>
    </row>
    <row r="219" spans="1:10" x14ac:dyDescent="0.25">
      <c r="A219" s="211" t="s">
        <v>445</v>
      </c>
      <c r="B219" s="213" t="s">
        <v>438</v>
      </c>
      <c r="C219" s="211">
        <v>73</v>
      </c>
      <c r="D219" s="211">
        <v>295</v>
      </c>
      <c r="E219" s="211">
        <v>363</v>
      </c>
      <c r="F219" s="211">
        <v>298</v>
      </c>
      <c r="G219" s="211">
        <v>352</v>
      </c>
      <c r="H219" s="211">
        <v>327</v>
      </c>
      <c r="I219" s="211">
        <v>84</v>
      </c>
      <c r="J219" s="211">
        <v>227</v>
      </c>
    </row>
    <row r="220" spans="1:10" x14ac:dyDescent="0.25">
      <c r="A220" s="211" t="s">
        <v>445</v>
      </c>
      <c r="B220" s="213" t="s">
        <v>439</v>
      </c>
      <c r="C220" s="211">
        <v>86</v>
      </c>
      <c r="D220" s="211">
        <v>342</v>
      </c>
      <c r="E220" s="211">
        <v>253</v>
      </c>
      <c r="F220" s="211">
        <v>251</v>
      </c>
      <c r="G220" s="211">
        <v>339</v>
      </c>
      <c r="H220" s="211">
        <v>335</v>
      </c>
      <c r="I220" s="211">
        <v>120</v>
      </c>
      <c r="J220" s="211">
        <v>227</v>
      </c>
    </row>
    <row r="221" spans="1:10" x14ac:dyDescent="0.25">
      <c r="A221" s="211" t="s">
        <v>446</v>
      </c>
      <c r="B221" s="213" t="s">
        <v>408</v>
      </c>
      <c r="C221" s="211">
        <v>81</v>
      </c>
      <c r="D221" s="211">
        <v>355</v>
      </c>
      <c r="E221" s="211">
        <v>238</v>
      </c>
      <c r="F221" s="211">
        <v>314</v>
      </c>
      <c r="G221" s="211">
        <v>379</v>
      </c>
      <c r="H221" s="211">
        <v>339</v>
      </c>
      <c r="I221" s="211">
        <v>124</v>
      </c>
      <c r="J221" s="211">
        <v>252</v>
      </c>
    </row>
    <row r="222" spans="1:10" x14ac:dyDescent="0.25">
      <c r="A222" s="211" t="s">
        <v>446</v>
      </c>
      <c r="B222" s="213" t="s">
        <v>410</v>
      </c>
      <c r="C222" s="211">
        <v>28</v>
      </c>
      <c r="D222" s="211">
        <v>299</v>
      </c>
      <c r="E222" s="211">
        <v>251</v>
      </c>
      <c r="F222" s="211">
        <v>352</v>
      </c>
      <c r="G222" s="211">
        <v>342</v>
      </c>
      <c r="H222" s="211">
        <v>366</v>
      </c>
      <c r="I222" s="211">
        <v>67</v>
      </c>
      <c r="J222" s="211">
        <v>246</v>
      </c>
    </row>
    <row r="223" spans="1:10" x14ac:dyDescent="0.25">
      <c r="A223" s="211" t="s">
        <v>446</v>
      </c>
      <c r="B223" s="213" t="s">
        <v>411</v>
      </c>
      <c r="C223" s="211">
        <v>86</v>
      </c>
      <c r="D223" s="211">
        <v>315</v>
      </c>
      <c r="E223" s="211">
        <v>281</v>
      </c>
      <c r="F223" s="211">
        <v>355</v>
      </c>
      <c r="G223" s="211">
        <v>339</v>
      </c>
      <c r="H223" s="211">
        <v>387</v>
      </c>
      <c r="I223" s="211">
        <v>69</v>
      </c>
      <c r="J223" s="211">
        <v>248</v>
      </c>
    </row>
    <row r="224" spans="1:10" x14ac:dyDescent="0.25">
      <c r="A224" s="211" t="s">
        <v>446</v>
      </c>
      <c r="B224" s="213" t="s">
        <v>412</v>
      </c>
      <c r="C224" s="211">
        <v>113</v>
      </c>
      <c r="D224" s="211">
        <v>303</v>
      </c>
      <c r="E224" s="211">
        <v>306</v>
      </c>
      <c r="F224" s="211">
        <v>416</v>
      </c>
      <c r="G224" s="211">
        <v>362</v>
      </c>
      <c r="H224" s="211">
        <v>328</v>
      </c>
      <c r="I224" s="211">
        <v>92</v>
      </c>
      <c r="J224" s="211">
        <v>249</v>
      </c>
    </row>
    <row r="225" spans="1:10" x14ac:dyDescent="0.25">
      <c r="A225" s="211" t="s">
        <v>446</v>
      </c>
      <c r="B225" s="213" t="s">
        <v>413</v>
      </c>
      <c r="C225" s="211">
        <v>143</v>
      </c>
      <c r="D225" s="211">
        <v>359</v>
      </c>
      <c r="E225" s="211">
        <v>346</v>
      </c>
      <c r="F225" s="211">
        <v>436</v>
      </c>
      <c r="G225" s="211">
        <v>368</v>
      </c>
      <c r="H225" s="211">
        <v>359</v>
      </c>
      <c r="I225" s="211">
        <v>122</v>
      </c>
      <c r="J225" s="211">
        <v>259</v>
      </c>
    </row>
    <row r="226" spans="1:10" x14ac:dyDescent="0.25">
      <c r="A226" s="211" t="s">
        <v>446</v>
      </c>
      <c r="B226" s="213" t="s">
        <v>414</v>
      </c>
      <c r="C226" s="211">
        <v>131</v>
      </c>
      <c r="D226" s="211">
        <v>368</v>
      </c>
      <c r="E226" s="211">
        <v>348</v>
      </c>
      <c r="F226" s="211">
        <v>311</v>
      </c>
      <c r="G226" s="211">
        <v>332</v>
      </c>
      <c r="H226" s="211">
        <v>333</v>
      </c>
      <c r="I226" s="211">
        <v>141</v>
      </c>
      <c r="J226" s="211">
        <v>284</v>
      </c>
    </row>
    <row r="227" spans="1:10" x14ac:dyDescent="0.25">
      <c r="A227" s="211" t="s">
        <v>446</v>
      </c>
      <c r="B227" s="213" t="s">
        <v>415</v>
      </c>
      <c r="C227" s="211">
        <v>136</v>
      </c>
      <c r="D227" s="211">
        <v>385</v>
      </c>
      <c r="E227" s="211">
        <v>303</v>
      </c>
      <c r="F227" s="211">
        <v>315</v>
      </c>
      <c r="G227" s="211">
        <v>271</v>
      </c>
      <c r="H227" s="211">
        <v>342</v>
      </c>
      <c r="I227" s="211">
        <v>194</v>
      </c>
      <c r="J227" s="211">
        <v>281</v>
      </c>
    </row>
    <row r="228" spans="1:10" x14ac:dyDescent="0.25">
      <c r="A228" s="211" t="s">
        <v>446</v>
      </c>
      <c r="B228" s="213" t="s">
        <v>416</v>
      </c>
      <c r="C228" s="211">
        <v>135</v>
      </c>
      <c r="D228" s="211">
        <v>328</v>
      </c>
      <c r="E228" s="211">
        <v>314</v>
      </c>
      <c r="F228" s="211">
        <v>321</v>
      </c>
      <c r="G228" s="211">
        <v>257</v>
      </c>
      <c r="H228" s="211">
        <v>356</v>
      </c>
      <c r="I228" s="211">
        <v>183</v>
      </c>
      <c r="J228" s="211">
        <v>215</v>
      </c>
    </row>
    <row r="229" spans="1:10" x14ac:dyDescent="0.25">
      <c r="A229" s="211" t="s">
        <v>446</v>
      </c>
      <c r="B229" s="213" t="s">
        <v>417</v>
      </c>
      <c r="C229" s="211">
        <v>137</v>
      </c>
      <c r="D229" s="211">
        <v>278</v>
      </c>
      <c r="E229" s="211">
        <v>364</v>
      </c>
      <c r="F229" s="211">
        <v>349</v>
      </c>
      <c r="G229" s="211">
        <v>287</v>
      </c>
      <c r="H229" s="211">
        <v>353</v>
      </c>
      <c r="I229" s="211">
        <v>106</v>
      </c>
      <c r="J229" s="211">
        <v>198</v>
      </c>
    </row>
    <row r="230" spans="1:10" x14ac:dyDescent="0.25">
      <c r="A230" s="211" t="s">
        <v>446</v>
      </c>
      <c r="B230" s="213" t="s">
        <v>418</v>
      </c>
      <c r="C230" s="211">
        <v>140</v>
      </c>
      <c r="D230" s="211">
        <v>288</v>
      </c>
      <c r="E230" s="211">
        <v>402</v>
      </c>
      <c r="F230" s="211">
        <v>337</v>
      </c>
      <c r="G230" s="211">
        <v>334</v>
      </c>
      <c r="H230" s="211">
        <v>322</v>
      </c>
      <c r="I230" s="211">
        <v>102</v>
      </c>
      <c r="J230" s="211">
        <v>189</v>
      </c>
    </row>
    <row r="231" spans="1:10" x14ac:dyDescent="0.25">
      <c r="A231" s="211" t="s">
        <v>446</v>
      </c>
      <c r="B231" s="213" t="s">
        <v>419</v>
      </c>
      <c r="C231" s="211">
        <v>144</v>
      </c>
      <c r="D231" s="211">
        <v>288</v>
      </c>
      <c r="E231" s="211">
        <v>422</v>
      </c>
      <c r="F231" s="211">
        <v>349</v>
      </c>
      <c r="G231" s="211">
        <v>364</v>
      </c>
      <c r="H231" s="211">
        <v>285</v>
      </c>
      <c r="I231" s="211">
        <v>95</v>
      </c>
      <c r="J231" s="211">
        <v>247</v>
      </c>
    </row>
    <row r="232" spans="1:10" x14ac:dyDescent="0.25">
      <c r="A232" s="211" t="s">
        <v>446</v>
      </c>
      <c r="B232" s="213" t="s">
        <v>420</v>
      </c>
      <c r="C232" s="211">
        <v>146</v>
      </c>
      <c r="D232" s="211">
        <v>283</v>
      </c>
      <c r="E232" s="211">
        <v>424</v>
      </c>
      <c r="F232" s="211">
        <v>345</v>
      </c>
      <c r="G232" s="211">
        <v>346</v>
      </c>
      <c r="H232" s="211">
        <v>315</v>
      </c>
      <c r="I232" s="211">
        <v>95</v>
      </c>
      <c r="J232" s="211">
        <v>250</v>
      </c>
    </row>
    <row r="233" spans="1:10" x14ac:dyDescent="0.25">
      <c r="A233" s="211" t="s">
        <v>446</v>
      </c>
      <c r="B233" s="213" t="s">
        <v>421</v>
      </c>
      <c r="C233" s="211">
        <v>160</v>
      </c>
      <c r="D233" s="211">
        <v>250</v>
      </c>
      <c r="E233" s="211">
        <v>410</v>
      </c>
      <c r="F233" s="211">
        <v>295</v>
      </c>
      <c r="G233" s="211">
        <v>367</v>
      </c>
      <c r="H233" s="211">
        <v>277</v>
      </c>
      <c r="I233" s="211">
        <v>125</v>
      </c>
      <c r="J233" s="211">
        <v>243</v>
      </c>
    </row>
    <row r="234" spans="1:10" x14ac:dyDescent="0.25">
      <c r="A234" s="211" t="s">
        <v>446</v>
      </c>
      <c r="B234" s="213" t="s">
        <v>422</v>
      </c>
      <c r="C234" s="211">
        <v>151</v>
      </c>
      <c r="D234" s="211">
        <v>273</v>
      </c>
      <c r="E234" s="211">
        <v>222</v>
      </c>
      <c r="F234" s="211">
        <v>305</v>
      </c>
      <c r="G234" s="211">
        <v>332</v>
      </c>
      <c r="H234" s="211">
        <v>262</v>
      </c>
      <c r="I234" s="211">
        <v>195</v>
      </c>
      <c r="J234" s="211">
        <v>242</v>
      </c>
    </row>
    <row r="235" spans="1:10" x14ac:dyDescent="0.25">
      <c r="A235" s="211" t="s">
        <v>446</v>
      </c>
      <c r="B235" s="213" t="s">
        <v>423</v>
      </c>
      <c r="C235" s="211">
        <v>161</v>
      </c>
      <c r="D235" s="211">
        <v>293</v>
      </c>
      <c r="E235" s="211">
        <v>279</v>
      </c>
      <c r="F235" s="211">
        <v>302</v>
      </c>
      <c r="G235" s="211">
        <v>346</v>
      </c>
      <c r="H235" s="211">
        <v>307</v>
      </c>
      <c r="I235" s="211">
        <v>209</v>
      </c>
      <c r="J235" s="211">
        <v>148</v>
      </c>
    </row>
    <row r="236" spans="1:10" x14ac:dyDescent="0.25">
      <c r="A236" s="211" t="s">
        <v>446</v>
      </c>
      <c r="B236" s="213" t="s">
        <v>424</v>
      </c>
      <c r="C236" s="211">
        <v>147</v>
      </c>
      <c r="D236" s="211">
        <v>255</v>
      </c>
      <c r="E236" s="211">
        <v>288</v>
      </c>
      <c r="F236" s="211">
        <v>270</v>
      </c>
      <c r="G236" s="211">
        <v>329</v>
      </c>
      <c r="H236" s="211">
        <v>319</v>
      </c>
      <c r="I236" s="211">
        <v>77</v>
      </c>
      <c r="J236" s="211">
        <v>130</v>
      </c>
    </row>
    <row r="237" spans="1:10" x14ac:dyDescent="0.25">
      <c r="A237" s="211" t="s">
        <v>446</v>
      </c>
      <c r="B237" s="213" t="s">
        <v>425</v>
      </c>
      <c r="C237" s="211">
        <v>132</v>
      </c>
      <c r="D237" s="211">
        <v>241</v>
      </c>
      <c r="E237" s="211">
        <v>264</v>
      </c>
      <c r="F237" s="211">
        <v>308</v>
      </c>
      <c r="G237" s="211">
        <v>357</v>
      </c>
      <c r="H237" s="211">
        <v>367</v>
      </c>
      <c r="I237" s="211">
        <v>60</v>
      </c>
      <c r="J237" s="211">
        <v>133</v>
      </c>
    </row>
    <row r="238" spans="1:10" x14ac:dyDescent="0.25">
      <c r="A238" s="211" t="s">
        <v>446</v>
      </c>
      <c r="B238" s="213" t="s">
        <v>426</v>
      </c>
      <c r="C238" s="211">
        <v>121</v>
      </c>
      <c r="D238" s="211">
        <v>233</v>
      </c>
      <c r="E238" s="211">
        <v>267</v>
      </c>
      <c r="F238" s="211">
        <v>365</v>
      </c>
      <c r="G238" s="211">
        <v>390</v>
      </c>
      <c r="H238" s="211">
        <v>265</v>
      </c>
      <c r="I238" s="211">
        <v>75</v>
      </c>
      <c r="J238" s="211">
        <v>133</v>
      </c>
    </row>
    <row r="239" spans="1:10" x14ac:dyDescent="0.25">
      <c r="A239" s="211" t="s">
        <v>446</v>
      </c>
      <c r="B239" s="213" t="s">
        <v>427</v>
      </c>
      <c r="C239" s="211">
        <v>133</v>
      </c>
      <c r="D239" s="211">
        <v>227</v>
      </c>
      <c r="E239" s="211">
        <v>332</v>
      </c>
      <c r="F239" s="211">
        <v>402</v>
      </c>
      <c r="G239" s="211">
        <v>238</v>
      </c>
      <c r="H239" s="211">
        <v>250</v>
      </c>
      <c r="I239" s="211">
        <v>68</v>
      </c>
      <c r="J239" s="211">
        <v>175</v>
      </c>
    </row>
    <row r="240" spans="1:10" x14ac:dyDescent="0.25">
      <c r="A240" s="211" t="s">
        <v>446</v>
      </c>
      <c r="B240" s="213" t="s">
        <v>428</v>
      </c>
      <c r="C240" s="211">
        <v>134</v>
      </c>
      <c r="D240" s="211">
        <v>235</v>
      </c>
      <c r="E240" s="211">
        <v>344</v>
      </c>
      <c r="F240" s="211">
        <v>253</v>
      </c>
      <c r="G240" s="211">
        <v>257</v>
      </c>
      <c r="H240" s="211">
        <v>300</v>
      </c>
      <c r="I240" s="211">
        <v>90</v>
      </c>
      <c r="J240" s="211">
        <v>227</v>
      </c>
    </row>
    <row r="241" spans="1:10" x14ac:dyDescent="0.25">
      <c r="A241" s="211" t="s">
        <v>446</v>
      </c>
      <c r="B241" s="213" t="s">
        <v>429</v>
      </c>
      <c r="C241" s="211">
        <v>143</v>
      </c>
      <c r="D241" s="211">
        <v>285</v>
      </c>
      <c r="E241" s="211">
        <v>268</v>
      </c>
      <c r="F241" s="211">
        <v>274</v>
      </c>
      <c r="G241" s="211">
        <v>249</v>
      </c>
      <c r="H241" s="211">
        <v>281</v>
      </c>
      <c r="I241" s="211">
        <v>180</v>
      </c>
      <c r="J241" s="211">
        <v>233</v>
      </c>
    </row>
    <row r="242" spans="1:10" x14ac:dyDescent="0.25">
      <c r="A242" s="211" t="s">
        <v>446</v>
      </c>
      <c r="B242" s="213" t="s">
        <v>430</v>
      </c>
      <c r="C242" s="211">
        <v>159</v>
      </c>
      <c r="D242" s="211">
        <v>318</v>
      </c>
      <c r="E242" s="211">
        <v>279</v>
      </c>
      <c r="F242" s="211">
        <v>290</v>
      </c>
      <c r="G242" s="211">
        <v>258</v>
      </c>
      <c r="H242" s="211">
        <v>264</v>
      </c>
      <c r="I242" s="211">
        <v>223</v>
      </c>
      <c r="J242" s="211">
        <v>414</v>
      </c>
    </row>
    <row r="243" spans="1:10" x14ac:dyDescent="0.25">
      <c r="A243" s="211" t="s">
        <v>446</v>
      </c>
      <c r="B243" s="213" t="s">
        <v>431</v>
      </c>
      <c r="C243" s="211">
        <v>156</v>
      </c>
      <c r="D243" s="211">
        <v>189</v>
      </c>
      <c r="E243" s="211">
        <v>246</v>
      </c>
      <c r="F243" s="211">
        <v>429</v>
      </c>
      <c r="G243" s="211">
        <v>282</v>
      </c>
      <c r="H243" s="211">
        <v>356</v>
      </c>
      <c r="I243" s="211">
        <v>99</v>
      </c>
      <c r="J243" s="211">
        <v>428</v>
      </c>
    </row>
    <row r="244" spans="1:10" x14ac:dyDescent="0.25">
      <c r="A244" s="211" t="s">
        <v>446</v>
      </c>
      <c r="B244" s="213" t="s">
        <v>432</v>
      </c>
      <c r="C244" s="211">
        <v>102</v>
      </c>
      <c r="D244" s="211">
        <v>199</v>
      </c>
      <c r="E244" s="211">
        <v>250</v>
      </c>
      <c r="F244" s="211">
        <v>296</v>
      </c>
      <c r="G244" s="211">
        <v>341</v>
      </c>
      <c r="H244" s="211">
        <v>390</v>
      </c>
      <c r="I244" s="211">
        <v>60</v>
      </c>
      <c r="J244" s="211">
        <v>192</v>
      </c>
    </row>
    <row r="245" spans="1:10" x14ac:dyDescent="0.25">
      <c r="A245" s="211" t="s">
        <v>446</v>
      </c>
      <c r="B245" s="213" t="s">
        <v>433</v>
      </c>
      <c r="C245" s="211">
        <v>98</v>
      </c>
      <c r="D245" s="211">
        <v>193</v>
      </c>
      <c r="E245" s="211">
        <v>274</v>
      </c>
      <c r="F245" s="211">
        <v>338</v>
      </c>
      <c r="G245" s="211">
        <v>366</v>
      </c>
      <c r="H245" s="211">
        <v>242</v>
      </c>
      <c r="I245" s="211">
        <v>56</v>
      </c>
      <c r="J245" s="211">
        <v>173</v>
      </c>
    </row>
    <row r="246" spans="1:10" x14ac:dyDescent="0.25">
      <c r="A246" s="211" t="s">
        <v>446</v>
      </c>
      <c r="B246" s="213" t="s">
        <v>434</v>
      </c>
      <c r="C246" s="211">
        <v>88</v>
      </c>
      <c r="D246" s="211">
        <v>184</v>
      </c>
      <c r="E246" s="211">
        <v>300</v>
      </c>
      <c r="F246" s="211">
        <v>386</v>
      </c>
      <c r="G246" s="211">
        <v>250</v>
      </c>
      <c r="H246" s="211">
        <v>223</v>
      </c>
      <c r="I246" s="211">
        <v>67</v>
      </c>
      <c r="J246" s="211">
        <v>174</v>
      </c>
    </row>
    <row r="247" spans="1:10" x14ac:dyDescent="0.25">
      <c r="A247" s="211" t="s">
        <v>446</v>
      </c>
      <c r="B247" s="213" t="s">
        <v>435</v>
      </c>
      <c r="C247" s="211">
        <v>89</v>
      </c>
      <c r="D247" s="211">
        <v>185</v>
      </c>
      <c r="E247" s="211">
        <v>316</v>
      </c>
      <c r="F247" s="211">
        <v>270</v>
      </c>
      <c r="G247" s="211">
        <v>327</v>
      </c>
      <c r="H247" s="211">
        <v>215</v>
      </c>
      <c r="I247" s="211">
        <v>82</v>
      </c>
      <c r="J247" s="211">
        <v>182</v>
      </c>
    </row>
    <row r="248" spans="1:10" x14ac:dyDescent="0.25">
      <c r="A248" s="211" t="s">
        <v>446</v>
      </c>
      <c r="B248" s="213" t="s">
        <v>436</v>
      </c>
      <c r="C248" s="211">
        <v>113</v>
      </c>
      <c r="D248" s="211">
        <v>218</v>
      </c>
      <c r="E248" s="211">
        <v>256</v>
      </c>
      <c r="F248" s="211">
        <v>294</v>
      </c>
      <c r="G248" s="211">
        <v>306</v>
      </c>
      <c r="H248" s="211">
        <v>201</v>
      </c>
      <c r="I248" s="211">
        <v>145</v>
      </c>
      <c r="J248" s="211">
        <v>196</v>
      </c>
    </row>
    <row r="249" spans="1:10" x14ac:dyDescent="0.25">
      <c r="A249" s="211" t="s">
        <v>446</v>
      </c>
      <c r="B249" s="213" t="s">
        <v>437</v>
      </c>
      <c r="C249" s="211">
        <v>144</v>
      </c>
      <c r="D249" s="211">
        <v>200</v>
      </c>
      <c r="E249" s="211">
        <v>207</v>
      </c>
      <c r="F249" s="211">
        <v>289</v>
      </c>
      <c r="G249" s="211">
        <v>307</v>
      </c>
      <c r="H249" s="211">
        <v>194</v>
      </c>
      <c r="I249" s="211">
        <v>185</v>
      </c>
      <c r="J249" s="211">
        <v>229</v>
      </c>
    </row>
    <row r="250" spans="1:10" x14ac:dyDescent="0.25">
      <c r="A250" s="211" t="s">
        <v>446</v>
      </c>
      <c r="B250" s="213" t="s">
        <v>438</v>
      </c>
      <c r="C250" s="211">
        <v>163</v>
      </c>
      <c r="D250" s="211">
        <v>141</v>
      </c>
      <c r="E250" s="211">
        <v>220</v>
      </c>
      <c r="F250" s="211">
        <v>325</v>
      </c>
      <c r="G250" s="211">
        <v>256</v>
      </c>
      <c r="H250" s="211">
        <v>211</v>
      </c>
      <c r="I250" s="211">
        <v>68</v>
      </c>
      <c r="J250" s="211">
        <v>230</v>
      </c>
    </row>
    <row r="251" spans="1:10" x14ac:dyDescent="0.25">
      <c r="A251" s="211" t="s">
        <v>446</v>
      </c>
      <c r="B251" s="213" t="s">
        <v>439</v>
      </c>
      <c r="C251" s="211">
        <v>156</v>
      </c>
      <c r="D251" s="211">
        <v>125</v>
      </c>
      <c r="E251" s="211">
        <v>218</v>
      </c>
      <c r="F251" s="211">
        <v>286</v>
      </c>
      <c r="G251" s="211">
        <v>349</v>
      </c>
      <c r="H251" s="211">
        <v>206</v>
      </c>
      <c r="I251" s="211">
        <v>56</v>
      </c>
      <c r="J251" s="211">
        <v>230</v>
      </c>
    </row>
    <row r="252" spans="1:10" x14ac:dyDescent="0.25">
      <c r="A252" s="211" t="s">
        <v>447</v>
      </c>
      <c r="B252" s="213" t="s">
        <v>408</v>
      </c>
      <c r="C252" s="211">
        <v>68</v>
      </c>
      <c r="D252" s="211">
        <v>120</v>
      </c>
      <c r="E252" s="211">
        <v>248</v>
      </c>
      <c r="F252" s="211">
        <v>374</v>
      </c>
      <c r="G252" s="211">
        <v>419</v>
      </c>
      <c r="H252" s="211">
        <v>195</v>
      </c>
      <c r="I252" s="211">
        <v>45</v>
      </c>
      <c r="J252" s="211">
        <v>203</v>
      </c>
    </row>
    <row r="253" spans="1:10" x14ac:dyDescent="0.25">
      <c r="A253" s="211" t="s">
        <v>447</v>
      </c>
      <c r="B253" s="213" t="s">
        <v>410</v>
      </c>
      <c r="C253" s="211">
        <v>63</v>
      </c>
      <c r="D253" s="211">
        <v>152</v>
      </c>
      <c r="E253" s="211">
        <v>313</v>
      </c>
      <c r="F253" s="211">
        <v>439</v>
      </c>
      <c r="G253" s="211">
        <v>375</v>
      </c>
      <c r="H253" s="211">
        <v>151</v>
      </c>
      <c r="I253" s="211">
        <v>53</v>
      </c>
      <c r="J253" s="211">
        <v>237</v>
      </c>
    </row>
    <row r="254" spans="1:10" x14ac:dyDescent="0.25">
      <c r="A254" s="211" t="s">
        <v>447</v>
      </c>
      <c r="B254" s="213" t="s">
        <v>411</v>
      </c>
      <c r="C254" s="211">
        <v>74</v>
      </c>
      <c r="D254" s="211">
        <v>145</v>
      </c>
      <c r="E254" s="211">
        <v>390</v>
      </c>
      <c r="F254" s="211">
        <v>401</v>
      </c>
      <c r="G254" s="211">
        <v>90</v>
      </c>
      <c r="H254" s="211">
        <v>121</v>
      </c>
      <c r="I254" s="211">
        <v>69</v>
      </c>
      <c r="J254" s="211">
        <v>315</v>
      </c>
    </row>
    <row r="255" spans="1:10" x14ac:dyDescent="0.25">
      <c r="A255" s="211" t="s">
        <v>447</v>
      </c>
      <c r="B255" s="213" t="s">
        <v>412</v>
      </c>
      <c r="C255" s="211">
        <v>89</v>
      </c>
      <c r="D255" s="211">
        <v>220</v>
      </c>
      <c r="E255" s="211">
        <v>365</v>
      </c>
      <c r="F255" s="211">
        <v>138</v>
      </c>
      <c r="G255" s="211">
        <v>93</v>
      </c>
      <c r="H255" s="211">
        <v>95</v>
      </c>
      <c r="I255" s="211">
        <v>177</v>
      </c>
      <c r="J255" s="211">
        <v>398</v>
      </c>
    </row>
    <row r="256" spans="1:10" x14ac:dyDescent="0.25">
      <c r="A256" s="211" t="s">
        <v>447</v>
      </c>
      <c r="B256" s="213" t="s">
        <v>413</v>
      </c>
      <c r="C256" s="211">
        <v>114</v>
      </c>
      <c r="D256" s="211">
        <v>327</v>
      </c>
      <c r="E256" s="211">
        <v>172</v>
      </c>
      <c r="F256" s="211">
        <v>114</v>
      </c>
      <c r="G256" s="211">
        <v>145</v>
      </c>
      <c r="H256" s="211">
        <v>104</v>
      </c>
      <c r="I256" s="211">
        <v>244</v>
      </c>
      <c r="J256" s="211">
        <v>394</v>
      </c>
    </row>
    <row r="257" spans="1:10" x14ac:dyDescent="0.25">
      <c r="A257" s="211" t="s">
        <v>447</v>
      </c>
      <c r="B257" s="213" t="s">
        <v>414</v>
      </c>
      <c r="C257" s="211">
        <v>123</v>
      </c>
      <c r="D257" s="211">
        <v>287</v>
      </c>
      <c r="E257" s="211">
        <v>152</v>
      </c>
      <c r="F257" s="211">
        <v>216</v>
      </c>
      <c r="G257" s="211">
        <v>182</v>
      </c>
      <c r="H257" s="211">
        <v>196</v>
      </c>
      <c r="I257" s="211">
        <v>235</v>
      </c>
      <c r="J257" s="211">
        <v>154</v>
      </c>
    </row>
    <row r="258" spans="1:10" x14ac:dyDescent="0.25">
      <c r="A258" s="211" t="s">
        <v>447</v>
      </c>
      <c r="B258" s="213" t="s">
        <v>415</v>
      </c>
      <c r="C258" s="211">
        <v>100</v>
      </c>
      <c r="D258" s="211">
        <v>90</v>
      </c>
      <c r="E258" s="211">
        <v>165</v>
      </c>
      <c r="F258" s="211">
        <v>233</v>
      </c>
      <c r="G258" s="211">
        <v>228</v>
      </c>
      <c r="H258" s="211">
        <v>243</v>
      </c>
      <c r="I258" s="211">
        <v>59</v>
      </c>
      <c r="J258" s="211">
        <v>129</v>
      </c>
    </row>
    <row r="259" spans="1:10" x14ac:dyDescent="0.25">
      <c r="A259" s="211" t="s">
        <v>447</v>
      </c>
      <c r="B259" s="213" t="s">
        <v>416</v>
      </c>
      <c r="C259" s="211">
        <v>165</v>
      </c>
      <c r="D259" s="211">
        <v>81</v>
      </c>
      <c r="E259" s="211">
        <v>183</v>
      </c>
      <c r="F259" s="211">
        <v>204</v>
      </c>
      <c r="G259" s="211">
        <v>301</v>
      </c>
      <c r="H259" s="211">
        <v>153</v>
      </c>
      <c r="I259" s="211">
        <v>65</v>
      </c>
      <c r="J259" s="211">
        <v>120</v>
      </c>
    </row>
    <row r="260" spans="1:10" x14ac:dyDescent="0.25">
      <c r="A260" s="211" t="s">
        <v>447</v>
      </c>
      <c r="B260" s="213" t="s">
        <v>417</v>
      </c>
      <c r="C260" s="211">
        <v>161</v>
      </c>
      <c r="D260" s="211">
        <v>98</v>
      </c>
      <c r="E260" s="211">
        <v>204</v>
      </c>
      <c r="F260" s="211">
        <v>202</v>
      </c>
      <c r="G260" s="211">
        <v>164</v>
      </c>
      <c r="H260" s="211">
        <v>192</v>
      </c>
      <c r="I260" s="211">
        <v>77</v>
      </c>
      <c r="J260" s="211">
        <v>119</v>
      </c>
    </row>
    <row r="261" spans="1:10" x14ac:dyDescent="0.25">
      <c r="A261" s="211" t="s">
        <v>447</v>
      </c>
      <c r="B261" s="213" t="s">
        <v>418</v>
      </c>
      <c r="C261" s="211">
        <v>99</v>
      </c>
      <c r="D261" s="211">
        <v>128</v>
      </c>
      <c r="E261" s="211">
        <v>211</v>
      </c>
      <c r="F261" s="211">
        <v>197</v>
      </c>
      <c r="G261" s="211">
        <v>220</v>
      </c>
      <c r="H261" s="211">
        <v>378</v>
      </c>
      <c r="I261" s="211">
        <v>90</v>
      </c>
      <c r="J261" s="211">
        <v>233</v>
      </c>
    </row>
    <row r="262" spans="1:10" x14ac:dyDescent="0.25">
      <c r="A262" s="211" t="s">
        <v>447</v>
      </c>
      <c r="B262" s="213" t="s">
        <v>419</v>
      </c>
      <c r="C262" s="211">
        <v>70</v>
      </c>
      <c r="D262" s="211">
        <v>213</v>
      </c>
      <c r="E262" s="211">
        <v>215</v>
      </c>
      <c r="F262" s="211">
        <v>176</v>
      </c>
      <c r="G262" s="211">
        <v>250</v>
      </c>
      <c r="H262" s="211">
        <v>360</v>
      </c>
      <c r="I262" s="211">
        <v>165</v>
      </c>
      <c r="J262" s="211">
        <v>245</v>
      </c>
    </row>
    <row r="263" spans="1:10" x14ac:dyDescent="0.25">
      <c r="A263" s="211" t="s">
        <v>447</v>
      </c>
      <c r="B263" s="213" t="s">
        <v>420</v>
      </c>
      <c r="C263" s="211">
        <v>118</v>
      </c>
      <c r="D263" s="211">
        <v>287</v>
      </c>
      <c r="E263" s="211">
        <v>277</v>
      </c>
      <c r="F263" s="211">
        <v>103</v>
      </c>
      <c r="G263" s="211">
        <v>394</v>
      </c>
      <c r="H263" s="211">
        <v>334</v>
      </c>
      <c r="I263" s="211">
        <v>199</v>
      </c>
      <c r="J263" s="211">
        <v>145</v>
      </c>
    </row>
    <row r="264" spans="1:10" x14ac:dyDescent="0.25">
      <c r="A264" s="211" t="s">
        <v>447</v>
      </c>
      <c r="B264" s="213" t="s">
        <v>421</v>
      </c>
      <c r="C264" s="211">
        <v>153</v>
      </c>
      <c r="D264" s="211">
        <v>235</v>
      </c>
      <c r="E264" s="211">
        <v>298</v>
      </c>
      <c r="F264" s="211">
        <v>90</v>
      </c>
      <c r="G264" s="211">
        <v>396</v>
      </c>
      <c r="H264" s="211">
        <v>195</v>
      </c>
      <c r="I264" s="211">
        <v>64</v>
      </c>
      <c r="J264" s="211">
        <v>141</v>
      </c>
    </row>
    <row r="265" spans="1:10" x14ac:dyDescent="0.25">
      <c r="A265" s="211" t="s">
        <v>447</v>
      </c>
      <c r="B265" s="213" t="s">
        <v>422</v>
      </c>
      <c r="C265" s="211">
        <v>153</v>
      </c>
      <c r="D265" s="211">
        <v>238</v>
      </c>
      <c r="E265" s="211">
        <v>300</v>
      </c>
      <c r="F265" s="211">
        <v>159</v>
      </c>
      <c r="G265" s="211">
        <v>250</v>
      </c>
      <c r="H265" s="211">
        <v>227</v>
      </c>
      <c r="I265" s="211">
        <v>40</v>
      </c>
      <c r="J265" s="211">
        <v>307</v>
      </c>
    </row>
    <row r="266" spans="1:10" x14ac:dyDescent="0.25">
      <c r="A266" s="211" t="s">
        <v>447</v>
      </c>
      <c r="B266" s="213" t="s">
        <v>423</v>
      </c>
      <c r="C266" s="211">
        <v>206</v>
      </c>
      <c r="D266" s="211">
        <v>205</v>
      </c>
      <c r="E266" s="211">
        <v>256</v>
      </c>
      <c r="F266" s="211">
        <v>329</v>
      </c>
      <c r="G266" s="211">
        <v>285</v>
      </c>
      <c r="H266" s="211">
        <v>280</v>
      </c>
      <c r="I266" s="211">
        <v>41</v>
      </c>
      <c r="J266" s="211">
        <v>330</v>
      </c>
    </row>
    <row r="267" spans="1:10" x14ac:dyDescent="0.25">
      <c r="A267" s="211" t="s">
        <v>447</v>
      </c>
      <c r="B267" s="213" t="s">
        <v>424</v>
      </c>
      <c r="C267" s="211">
        <v>190</v>
      </c>
      <c r="D267" s="211">
        <v>177</v>
      </c>
      <c r="E267" s="211">
        <v>251</v>
      </c>
      <c r="F267" s="211">
        <v>285</v>
      </c>
      <c r="G267" s="211">
        <v>155</v>
      </c>
      <c r="H267" s="211">
        <v>385</v>
      </c>
      <c r="I267" s="211">
        <v>36</v>
      </c>
      <c r="J267" s="211">
        <v>315</v>
      </c>
    </row>
    <row r="268" spans="1:10" x14ac:dyDescent="0.25">
      <c r="A268" s="211" t="s">
        <v>447</v>
      </c>
      <c r="B268" s="213" t="s">
        <v>425</v>
      </c>
      <c r="C268" s="211">
        <v>192</v>
      </c>
      <c r="D268" s="211">
        <v>223</v>
      </c>
      <c r="E268" s="211">
        <v>295</v>
      </c>
      <c r="F268" s="211">
        <v>256</v>
      </c>
      <c r="G268" s="211">
        <v>153</v>
      </c>
      <c r="H268" s="211">
        <v>382</v>
      </c>
      <c r="I268" s="211">
        <v>57</v>
      </c>
      <c r="J268" s="211">
        <v>183</v>
      </c>
    </row>
    <row r="269" spans="1:10" x14ac:dyDescent="0.25">
      <c r="A269" s="211" t="s">
        <v>447</v>
      </c>
      <c r="B269" s="213" t="s">
        <v>426</v>
      </c>
      <c r="C269" s="211">
        <v>109</v>
      </c>
      <c r="D269" s="211">
        <v>236</v>
      </c>
      <c r="E269" s="211">
        <v>199</v>
      </c>
      <c r="F269" s="211">
        <v>274</v>
      </c>
      <c r="G269" s="211">
        <v>147</v>
      </c>
      <c r="H269" s="211">
        <v>391</v>
      </c>
      <c r="I269" s="211">
        <v>157</v>
      </c>
      <c r="J269" s="211">
        <v>191</v>
      </c>
    </row>
    <row r="270" spans="1:10" x14ac:dyDescent="0.25">
      <c r="A270" s="211" t="s">
        <v>447</v>
      </c>
      <c r="B270" s="213" t="s">
        <v>427</v>
      </c>
      <c r="C270" s="211">
        <v>146</v>
      </c>
      <c r="D270" s="211">
        <v>374</v>
      </c>
      <c r="E270" s="211">
        <v>266</v>
      </c>
      <c r="F270" s="211">
        <v>287</v>
      </c>
      <c r="G270" s="211">
        <v>170</v>
      </c>
      <c r="H270" s="211">
        <v>118</v>
      </c>
      <c r="I270" s="211">
        <v>196</v>
      </c>
      <c r="J270" s="211">
        <v>127</v>
      </c>
    </row>
    <row r="271" spans="1:10" x14ac:dyDescent="0.25">
      <c r="A271" s="211" t="s">
        <v>447</v>
      </c>
      <c r="B271" s="213" t="s">
        <v>428</v>
      </c>
      <c r="C271" s="211">
        <v>157</v>
      </c>
      <c r="D271" s="211">
        <v>287</v>
      </c>
      <c r="E271" s="211">
        <v>266</v>
      </c>
      <c r="F271" s="211">
        <v>372</v>
      </c>
      <c r="G271" s="211">
        <v>191</v>
      </c>
      <c r="H271" s="211">
        <v>231</v>
      </c>
      <c r="I271" s="211">
        <v>69</v>
      </c>
      <c r="J271" s="211">
        <v>102</v>
      </c>
    </row>
    <row r="272" spans="1:10" x14ac:dyDescent="0.25">
      <c r="A272" s="211" t="s">
        <v>447</v>
      </c>
      <c r="B272" s="213" t="s">
        <v>429</v>
      </c>
      <c r="C272" s="211">
        <v>208</v>
      </c>
      <c r="D272" s="211">
        <v>283</v>
      </c>
      <c r="E272" s="211">
        <v>291</v>
      </c>
      <c r="F272" s="211">
        <v>360</v>
      </c>
      <c r="G272" s="211">
        <v>261</v>
      </c>
      <c r="H272" s="211">
        <v>275</v>
      </c>
      <c r="I272" s="211">
        <v>69</v>
      </c>
      <c r="J272" s="211">
        <v>80</v>
      </c>
    </row>
    <row r="273" spans="1:10" x14ac:dyDescent="0.25">
      <c r="A273" s="211" t="s">
        <v>447</v>
      </c>
      <c r="B273" s="213" t="s">
        <v>430</v>
      </c>
      <c r="C273" s="211">
        <v>200</v>
      </c>
      <c r="D273" s="211">
        <v>244</v>
      </c>
      <c r="E273" s="211">
        <v>202</v>
      </c>
      <c r="F273" s="211">
        <v>356</v>
      </c>
      <c r="G273" s="211">
        <v>306</v>
      </c>
      <c r="H273" s="211">
        <v>174</v>
      </c>
      <c r="I273" s="211">
        <v>65</v>
      </c>
      <c r="J273" s="211">
        <v>96</v>
      </c>
    </row>
    <row r="274" spans="1:10" x14ac:dyDescent="0.25">
      <c r="A274" s="211" t="s">
        <v>447</v>
      </c>
      <c r="B274" s="213" t="s">
        <v>431</v>
      </c>
      <c r="C274" s="211">
        <v>204</v>
      </c>
      <c r="D274" s="211">
        <v>263</v>
      </c>
      <c r="E274" s="211">
        <v>243</v>
      </c>
      <c r="F274" s="211">
        <v>369</v>
      </c>
      <c r="G274" s="211">
        <v>290</v>
      </c>
      <c r="H274" s="211">
        <v>171</v>
      </c>
      <c r="I274" s="211">
        <v>79</v>
      </c>
      <c r="J274" s="211">
        <v>186</v>
      </c>
    </row>
    <row r="275" spans="1:10" x14ac:dyDescent="0.25">
      <c r="A275" s="211" t="s">
        <v>447</v>
      </c>
      <c r="B275" s="213" t="s">
        <v>432</v>
      </c>
      <c r="C275" s="211">
        <v>105</v>
      </c>
      <c r="D275" s="211">
        <v>338</v>
      </c>
      <c r="E275" s="211">
        <v>375</v>
      </c>
      <c r="F275" s="211">
        <v>306</v>
      </c>
      <c r="G275" s="211">
        <v>347</v>
      </c>
      <c r="H275" s="211">
        <v>232</v>
      </c>
      <c r="I275" s="211">
        <v>142</v>
      </c>
      <c r="J275" s="211">
        <v>282</v>
      </c>
    </row>
    <row r="276" spans="1:10" x14ac:dyDescent="0.25">
      <c r="A276" s="211" t="s">
        <v>447</v>
      </c>
      <c r="B276" s="213" t="s">
        <v>433</v>
      </c>
      <c r="C276" s="211">
        <v>151</v>
      </c>
      <c r="D276" s="211">
        <v>293</v>
      </c>
      <c r="E276" s="211">
        <v>341</v>
      </c>
      <c r="F276" s="211">
        <v>331</v>
      </c>
      <c r="G276" s="211">
        <v>381</v>
      </c>
      <c r="H276" s="211">
        <v>318</v>
      </c>
      <c r="I276" s="211">
        <v>226</v>
      </c>
      <c r="J276" s="211">
        <v>314</v>
      </c>
    </row>
    <row r="277" spans="1:10" x14ac:dyDescent="0.25">
      <c r="A277" s="211" t="s">
        <v>447</v>
      </c>
      <c r="B277" s="213" t="s">
        <v>434</v>
      </c>
      <c r="C277" s="211">
        <v>178</v>
      </c>
      <c r="D277" s="211">
        <v>326</v>
      </c>
      <c r="E277" s="211">
        <v>364</v>
      </c>
      <c r="F277" s="211">
        <v>321</v>
      </c>
      <c r="G277" s="211">
        <v>354</v>
      </c>
      <c r="H277" s="211">
        <v>379</v>
      </c>
      <c r="I277" s="211">
        <v>239</v>
      </c>
      <c r="J277" s="211">
        <v>285</v>
      </c>
    </row>
    <row r="278" spans="1:10" x14ac:dyDescent="0.25">
      <c r="A278" s="211" t="s">
        <v>447</v>
      </c>
      <c r="B278" s="213" t="s">
        <v>435</v>
      </c>
      <c r="C278" s="211">
        <v>182</v>
      </c>
      <c r="D278" s="211">
        <v>305</v>
      </c>
      <c r="E278" s="211">
        <v>345</v>
      </c>
      <c r="F278" s="211">
        <v>237</v>
      </c>
      <c r="G278" s="211">
        <v>332</v>
      </c>
      <c r="H278" s="211">
        <v>414</v>
      </c>
      <c r="I278" s="211">
        <v>136</v>
      </c>
      <c r="J278" s="211">
        <v>283</v>
      </c>
    </row>
    <row r="279" spans="1:10" x14ac:dyDescent="0.25">
      <c r="A279" s="211" t="s">
        <v>447</v>
      </c>
      <c r="B279" s="213" t="s">
        <v>436</v>
      </c>
      <c r="C279" s="211">
        <v>140</v>
      </c>
      <c r="D279" s="211">
        <v>410</v>
      </c>
      <c r="E279" s="211">
        <v>379</v>
      </c>
      <c r="F279" s="211">
        <v>237</v>
      </c>
      <c r="G279" s="211">
        <v>395</v>
      </c>
      <c r="H279" s="211">
        <v>427</v>
      </c>
      <c r="I279" s="211">
        <v>93</v>
      </c>
      <c r="J279" s="211">
        <v>271</v>
      </c>
    </row>
    <row r="280" spans="1:10" x14ac:dyDescent="0.25">
      <c r="A280" s="211" t="s">
        <v>447</v>
      </c>
      <c r="B280" s="213" t="s">
        <v>437</v>
      </c>
      <c r="C280" s="211">
        <v>164</v>
      </c>
      <c r="D280" s="211">
        <v>404</v>
      </c>
      <c r="E280" s="211">
        <v>371</v>
      </c>
      <c r="F280" s="211">
        <v>312</v>
      </c>
      <c r="G280" s="211">
        <v>364</v>
      </c>
      <c r="H280" s="211">
        <v>425</v>
      </c>
      <c r="I280" s="211">
        <v>67</v>
      </c>
      <c r="J280" s="211">
        <v>263</v>
      </c>
    </row>
    <row r="281" spans="1:10" x14ac:dyDescent="0.25">
      <c r="A281" s="211" t="s">
        <v>447</v>
      </c>
      <c r="B281" s="213" t="s">
        <v>438</v>
      </c>
      <c r="C281" s="211">
        <v>178</v>
      </c>
      <c r="D281" s="211">
        <v>404</v>
      </c>
      <c r="E281" s="211">
        <v>289</v>
      </c>
      <c r="F281" s="211">
        <v>374</v>
      </c>
      <c r="G281" s="211">
        <v>227</v>
      </c>
      <c r="H281" s="211">
        <v>283</v>
      </c>
      <c r="I281" s="211">
        <v>68</v>
      </c>
      <c r="J281" s="211">
        <v>164</v>
      </c>
    </row>
    <row r="282" spans="1:10" x14ac:dyDescent="0.25">
      <c r="A282" s="211" t="s">
        <v>448</v>
      </c>
      <c r="B282" s="213" t="s">
        <v>408</v>
      </c>
      <c r="C282" s="211">
        <v>175</v>
      </c>
      <c r="D282" s="211">
        <v>316</v>
      </c>
      <c r="E282" s="211">
        <v>367</v>
      </c>
      <c r="F282" s="211">
        <v>221</v>
      </c>
      <c r="G282" s="211">
        <v>351</v>
      </c>
      <c r="H282" s="211">
        <v>245</v>
      </c>
      <c r="I282" s="211">
        <v>74</v>
      </c>
      <c r="J282" s="211">
        <v>339</v>
      </c>
    </row>
    <row r="283" spans="1:10" x14ac:dyDescent="0.25">
      <c r="A283" s="211" t="s">
        <v>448</v>
      </c>
      <c r="B283" s="213" t="s">
        <v>410</v>
      </c>
      <c r="C283" s="211">
        <v>227</v>
      </c>
      <c r="D283" s="211">
        <v>310</v>
      </c>
      <c r="E283" s="211">
        <v>232</v>
      </c>
      <c r="F283" s="211">
        <v>371</v>
      </c>
      <c r="G283" s="211">
        <v>367</v>
      </c>
      <c r="H283" s="211">
        <v>276</v>
      </c>
      <c r="I283" s="211">
        <v>122</v>
      </c>
      <c r="J283" s="211">
        <v>342</v>
      </c>
    </row>
    <row r="284" spans="1:10" x14ac:dyDescent="0.25">
      <c r="A284" s="211" t="s">
        <v>448</v>
      </c>
      <c r="B284" s="213" t="s">
        <v>411</v>
      </c>
      <c r="C284" s="211">
        <v>281</v>
      </c>
      <c r="D284" s="211">
        <v>389</v>
      </c>
      <c r="E284" s="211">
        <v>122</v>
      </c>
      <c r="F284" s="211">
        <v>382</v>
      </c>
      <c r="G284" s="211">
        <v>386</v>
      </c>
      <c r="H284" s="211">
        <v>271</v>
      </c>
      <c r="I284" s="211">
        <v>131</v>
      </c>
      <c r="J284" s="211">
        <v>295</v>
      </c>
    </row>
    <row r="285" spans="1:10" x14ac:dyDescent="0.25">
      <c r="A285" s="211" t="s">
        <v>448</v>
      </c>
      <c r="B285" s="213" t="s">
        <v>412</v>
      </c>
      <c r="C285" s="211">
        <v>300</v>
      </c>
      <c r="D285" s="211">
        <v>244</v>
      </c>
      <c r="E285" s="211">
        <v>85</v>
      </c>
      <c r="F285" s="211">
        <v>199</v>
      </c>
      <c r="G285" s="211">
        <v>389</v>
      </c>
      <c r="H285" s="211">
        <v>343</v>
      </c>
      <c r="I285" s="211">
        <v>65</v>
      </c>
      <c r="J285" s="211">
        <v>288</v>
      </c>
    </row>
    <row r="286" spans="1:10" x14ac:dyDescent="0.25">
      <c r="A286" s="211" t="s">
        <v>448</v>
      </c>
      <c r="B286" s="213" t="s">
        <v>413</v>
      </c>
      <c r="C286" s="211">
        <v>188</v>
      </c>
      <c r="D286" s="211">
        <v>390</v>
      </c>
      <c r="E286" s="211">
        <v>170</v>
      </c>
      <c r="F286" s="211">
        <v>249</v>
      </c>
      <c r="G286" s="211">
        <v>329</v>
      </c>
      <c r="H286" s="211">
        <v>315</v>
      </c>
      <c r="I286" s="211">
        <v>70</v>
      </c>
      <c r="J286" s="211">
        <v>294</v>
      </c>
    </row>
    <row r="287" spans="1:10" x14ac:dyDescent="0.25">
      <c r="A287" s="211" t="s">
        <v>448</v>
      </c>
      <c r="B287" s="213" t="s">
        <v>414</v>
      </c>
      <c r="C287" s="211">
        <v>201</v>
      </c>
      <c r="D287" s="211">
        <v>354</v>
      </c>
      <c r="E287" s="211">
        <v>223</v>
      </c>
      <c r="F287" s="211">
        <v>393</v>
      </c>
      <c r="G287" s="211">
        <v>385</v>
      </c>
      <c r="H287" s="211">
        <v>180</v>
      </c>
      <c r="I287" s="211">
        <v>67</v>
      </c>
      <c r="J287" s="211">
        <v>162</v>
      </c>
    </row>
    <row r="288" spans="1:10" x14ac:dyDescent="0.25">
      <c r="A288" s="211" t="s">
        <v>448</v>
      </c>
      <c r="B288" s="213" t="s">
        <v>415</v>
      </c>
      <c r="C288" s="211">
        <v>217</v>
      </c>
      <c r="D288" s="211">
        <v>345</v>
      </c>
      <c r="E288" s="211">
        <v>232</v>
      </c>
      <c r="F288" s="211">
        <v>418</v>
      </c>
      <c r="G288" s="211">
        <v>302</v>
      </c>
      <c r="H288" s="211">
        <v>151</v>
      </c>
      <c r="I288" s="211">
        <v>81</v>
      </c>
      <c r="J288" s="211">
        <v>208</v>
      </c>
    </row>
    <row r="289" spans="1:10" x14ac:dyDescent="0.25">
      <c r="A289" s="211" t="s">
        <v>448</v>
      </c>
      <c r="B289" s="213" t="s">
        <v>416</v>
      </c>
      <c r="C289" s="211">
        <v>258</v>
      </c>
      <c r="D289" s="211">
        <v>378</v>
      </c>
      <c r="E289" s="211">
        <v>254</v>
      </c>
      <c r="F289" s="211">
        <v>365</v>
      </c>
      <c r="G289" s="211">
        <v>204</v>
      </c>
      <c r="H289" s="211">
        <v>216</v>
      </c>
      <c r="I289" s="211">
        <v>125</v>
      </c>
      <c r="J289" s="211">
        <v>340</v>
      </c>
    </row>
    <row r="290" spans="1:10" x14ac:dyDescent="0.25">
      <c r="A290" s="211" t="s">
        <v>448</v>
      </c>
      <c r="B290" s="213" t="s">
        <v>417</v>
      </c>
      <c r="C290" s="211">
        <v>307</v>
      </c>
      <c r="D290" s="211">
        <v>337</v>
      </c>
      <c r="E290" s="211">
        <v>238</v>
      </c>
      <c r="F290" s="211">
        <v>256</v>
      </c>
      <c r="G290" s="211">
        <v>171</v>
      </c>
      <c r="H290" s="211">
        <v>270</v>
      </c>
      <c r="I290" s="211">
        <v>200</v>
      </c>
      <c r="J290" s="211">
        <v>391</v>
      </c>
    </row>
    <row r="291" spans="1:10" x14ac:dyDescent="0.25">
      <c r="A291" s="211" t="s">
        <v>448</v>
      </c>
      <c r="B291" s="213" t="s">
        <v>418</v>
      </c>
      <c r="C291" s="211">
        <v>294</v>
      </c>
      <c r="D291" s="211">
        <v>376</v>
      </c>
      <c r="E291" s="211">
        <v>255</v>
      </c>
      <c r="F291" s="211">
        <v>235</v>
      </c>
      <c r="G291" s="211">
        <v>223</v>
      </c>
      <c r="H291" s="211">
        <v>348</v>
      </c>
      <c r="I291" s="211">
        <v>205</v>
      </c>
      <c r="J291" s="211">
        <v>417</v>
      </c>
    </row>
    <row r="292" spans="1:10" x14ac:dyDescent="0.25">
      <c r="A292" s="211" t="s">
        <v>448</v>
      </c>
      <c r="B292" s="213" t="s">
        <v>419</v>
      </c>
      <c r="C292" s="211">
        <v>306</v>
      </c>
      <c r="D292" s="211">
        <v>359</v>
      </c>
      <c r="E292" s="211">
        <v>265</v>
      </c>
      <c r="F292" s="211">
        <v>253</v>
      </c>
      <c r="G292" s="211">
        <v>276</v>
      </c>
      <c r="H292" s="211">
        <v>394</v>
      </c>
      <c r="I292" s="211">
        <v>124</v>
      </c>
      <c r="J292" s="211">
        <v>229</v>
      </c>
    </row>
    <row r="293" spans="1:10" x14ac:dyDescent="0.25">
      <c r="A293" s="211" t="s">
        <v>448</v>
      </c>
      <c r="B293" s="213" t="s">
        <v>420</v>
      </c>
      <c r="C293" s="211">
        <v>307</v>
      </c>
      <c r="D293" s="211">
        <v>317</v>
      </c>
      <c r="E293" s="211">
        <v>251</v>
      </c>
      <c r="F293" s="211">
        <v>340</v>
      </c>
      <c r="G293" s="211">
        <v>335</v>
      </c>
      <c r="H293" s="211">
        <v>405</v>
      </c>
      <c r="I293" s="211">
        <v>82</v>
      </c>
      <c r="J293" s="211">
        <v>229</v>
      </c>
    </row>
    <row r="294" spans="1:10" x14ac:dyDescent="0.25">
      <c r="A294" s="211" t="s">
        <v>448</v>
      </c>
      <c r="B294" s="213" t="s">
        <v>421</v>
      </c>
      <c r="C294" s="211">
        <v>220</v>
      </c>
      <c r="D294" s="211">
        <v>333</v>
      </c>
      <c r="E294" s="211">
        <v>307</v>
      </c>
      <c r="F294" s="211">
        <v>405</v>
      </c>
      <c r="G294" s="211">
        <v>352</v>
      </c>
      <c r="H294" s="211">
        <v>354</v>
      </c>
      <c r="I294" s="211">
        <v>51</v>
      </c>
      <c r="J294" s="211">
        <v>405</v>
      </c>
    </row>
    <row r="295" spans="1:10" x14ac:dyDescent="0.25">
      <c r="A295" s="211" t="s">
        <v>448</v>
      </c>
      <c r="B295" s="213" t="s">
        <v>422</v>
      </c>
      <c r="C295" s="211">
        <v>262</v>
      </c>
      <c r="D295" s="211">
        <v>368</v>
      </c>
      <c r="E295" s="211">
        <v>356</v>
      </c>
      <c r="F295" s="211">
        <v>426</v>
      </c>
      <c r="G295" s="211">
        <v>282</v>
      </c>
      <c r="H295" s="211">
        <v>249</v>
      </c>
      <c r="I295" s="211">
        <v>90</v>
      </c>
      <c r="J295" s="211">
        <v>410</v>
      </c>
    </row>
    <row r="296" spans="1:10" x14ac:dyDescent="0.25">
      <c r="A296" s="211" t="s">
        <v>448</v>
      </c>
      <c r="B296" s="213" t="s">
        <v>423</v>
      </c>
      <c r="C296" s="211">
        <v>302</v>
      </c>
      <c r="D296" s="211">
        <v>316</v>
      </c>
      <c r="E296" s="211">
        <v>348</v>
      </c>
      <c r="F296" s="211">
        <v>200</v>
      </c>
      <c r="G296" s="211">
        <v>264</v>
      </c>
      <c r="H296" s="211">
        <v>268</v>
      </c>
      <c r="I296" s="211">
        <v>111</v>
      </c>
      <c r="J296" s="211">
        <v>223</v>
      </c>
    </row>
    <row r="297" spans="1:10" x14ac:dyDescent="0.25">
      <c r="A297" s="211" t="s">
        <v>448</v>
      </c>
      <c r="B297" s="213" t="s">
        <v>424</v>
      </c>
      <c r="C297" s="211">
        <v>340</v>
      </c>
      <c r="D297" s="211">
        <v>334</v>
      </c>
      <c r="E297" s="211">
        <v>262</v>
      </c>
      <c r="F297" s="211">
        <v>149</v>
      </c>
      <c r="G297" s="211">
        <v>277</v>
      </c>
      <c r="H297" s="211">
        <v>404</v>
      </c>
      <c r="I297" s="211">
        <v>149</v>
      </c>
      <c r="J297" s="211">
        <v>210</v>
      </c>
    </row>
    <row r="298" spans="1:10" x14ac:dyDescent="0.25">
      <c r="A298" s="211" t="s">
        <v>448</v>
      </c>
      <c r="B298" s="213" t="s">
        <v>425</v>
      </c>
      <c r="C298" s="211">
        <v>349</v>
      </c>
      <c r="D298" s="211">
        <v>386</v>
      </c>
      <c r="E298" s="211">
        <v>415</v>
      </c>
      <c r="F298" s="211">
        <v>151</v>
      </c>
      <c r="G298" s="211">
        <v>284</v>
      </c>
      <c r="H298" s="211">
        <v>433</v>
      </c>
      <c r="I298" s="211">
        <v>165</v>
      </c>
      <c r="J298" s="211">
        <v>337</v>
      </c>
    </row>
    <row r="299" spans="1:10" x14ac:dyDescent="0.25">
      <c r="A299" s="211" t="s">
        <v>448</v>
      </c>
      <c r="B299" s="213" t="s">
        <v>426</v>
      </c>
      <c r="C299" s="211">
        <v>374</v>
      </c>
      <c r="D299" s="211">
        <v>353</v>
      </c>
      <c r="E299" s="211">
        <v>402</v>
      </c>
      <c r="F299" s="211">
        <v>194</v>
      </c>
      <c r="G299" s="211">
        <v>277</v>
      </c>
      <c r="H299" s="211">
        <v>355</v>
      </c>
      <c r="I299" s="211">
        <v>95</v>
      </c>
      <c r="J299" s="211">
        <v>342</v>
      </c>
    </row>
    <row r="300" spans="1:10" x14ac:dyDescent="0.25">
      <c r="A300" s="211" t="s">
        <v>448</v>
      </c>
      <c r="B300" s="213" t="s">
        <v>427</v>
      </c>
      <c r="C300" s="211">
        <v>184</v>
      </c>
      <c r="D300" s="211">
        <v>329</v>
      </c>
      <c r="E300" s="211">
        <v>296</v>
      </c>
      <c r="F300" s="211">
        <v>274</v>
      </c>
      <c r="G300" s="211">
        <v>344</v>
      </c>
      <c r="H300" s="211">
        <v>430</v>
      </c>
      <c r="I300" s="211">
        <v>70</v>
      </c>
      <c r="J300" s="211">
        <v>343</v>
      </c>
    </row>
    <row r="301" spans="1:10" x14ac:dyDescent="0.25">
      <c r="A301" s="211" t="s">
        <v>448</v>
      </c>
      <c r="B301" s="213" t="s">
        <v>428</v>
      </c>
      <c r="C301" s="211">
        <v>275</v>
      </c>
      <c r="D301" s="211">
        <v>348</v>
      </c>
      <c r="E301" s="211">
        <v>382</v>
      </c>
      <c r="F301" s="211">
        <v>377</v>
      </c>
      <c r="G301" s="211">
        <v>379</v>
      </c>
      <c r="H301" s="211">
        <v>337</v>
      </c>
      <c r="I301" s="211">
        <v>68</v>
      </c>
      <c r="J301" s="211">
        <v>339</v>
      </c>
    </row>
    <row r="302" spans="1:10" x14ac:dyDescent="0.25">
      <c r="A302" s="211" t="s">
        <v>448</v>
      </c>
      <c r="B302" s="213" t="s">
        <v>429</v>
      </c>
      <c r="C302" s="211">
        <v>287</v>
      </c>
      <c r="D302" s="211">
        <v>382</v>
      </c>
      <c r="E302" s="211">
        <v>398</v>
      </c>
      <c r="F302" s="211">
        <v>399</v>
      </c>
      <c r="G302" s="211">
        <v>387</v>
      </c>
      <c r="H302" s="211">
        <v>389</v>
      </c>
      <c r="I302" s="211">
        <v>58</v>
      </c>
      <c r="J302" s="211">
        <v>206</v>
      </c>
    </row>
    <row r="303" spans="1:10" x14ac:dyDescent="0.25">
      <c r="A303" s="211" t="s">
        <v>448</v>
      </c>
      <c r="B303" s="213" t="s">
        <v>430</v>
      </c>
      <c r="C303" s="211">
        <v>235</v>
      </c>
      <c r="D303" s="211">
        <v>309</v>
      </c>
      <c r="E303" s="211">
        <v>431</v>
      </c>
      <c r="F303" s="211">
        <v>426</v>
      </c>
      <c r="G303" s="211">
        <v>388</v>
      </c>
      <c r="H303" s="211">
        <v>399</v>
      </c>
      <c r="I303" s="211">
        <v>83</v>
      </c>
      <c r="J303" s="211">
        <v>241</v>
      </c>
    </row>
    <row r="304" spans="1:10" x14ac:dyDescent="0.25">
      <c r="A304" s="211" t="s">
        <v>448</v>
      </c>
      <c r="B304" s="213" t="s">
        <v>431</v>
      </c>
      <c r="C304" s="211">
        <v>246</v>
      </c>
      <c r="D304" s="211">
        <v>357</v>
      </c>
      <c r="E304" s="211">
        <v>331</v>
      </c>
      <c r="F304" s="211">
        <v>390</v>
      </c>
      <c r="G304" s="211">
        <v>253</v>
      </c>
      <c r="H304" s="211">
        <v>362</v>
      </c>
      <c r="I304" s="211">
        <v>131</v>
      </c>
      <c r="J304" s="211">
        <v>297</v>
      </c>
    </row>
    <row r="305" spans="1:10" x14ac:dyDescent="0.25">
      <c r="A305" s="211" t="s">
        <v>448</v>
      </c>
      <c r="B305" s="213" t="s">
        <v>432</v>
      </c>
      <c r="C305" s="211">
        <v>228</v>
      </c>
      <c r="D305" s="211">
        <v>369</v>
      </c>
      <c r="E305" s="211">
        <v>346</v>
      </c>
      <c r="F305" s="211">
        <v>407</v>
      </c>
      <c r="G305" s="211">
        <v>264</v>
      </c>
      <c r="H305" s="211">
        <v>345</v>
      </c>
      <c r="I305" s="211">
        <v>151</v>
      </c>
      <c r="J305" s="211">
        <v>258</v>
      </c>
    </row>
    <row r="306" spans="1:10" x14ac:dyDescent="0.25">
      <c r="A306" s="211" t="s">
        <v>448</v>
      </c>
      <c r="B306" s="213" t="s">
        <v>433</v>
      </c>
      <c r="C306" s="211">
        <v>204</v>
      </c>
      <c r="D306" s="211">
        <v>309</v>
      </c>
      <c r="E306" s="211">
        <v>266</v>
      </c>
      <c r="F306" s="211">
        <v>296</v>
      </c>
      <c r="G306" s="211">
        <v>340</v>
      </c>
      <c r="H306" s="211">
        <v>407</v>
      </c>
      <c r="I306" s="211">
        <v>62</v>
      </c>
      <c r="J306" s="211">
        <v>233</v>
      </c>
    </row>
    <row r="307" spans="1:10" x14ac:dyDescent="0.25">
      <c r="A307" s="211" t="s">
        <v>448</v>
      </c>
      <c r="B307" s="213" t="s">
        <v>434</v>
      </c>
      <c r="C307" s="211">
        <v>214</v>
      </c>
      <c r="D307" s="211">
        <v>313</v>
      </c>
      <c r="E307" s="211">
        <v>241</v>
      </c>
      <c r="F307" s="211">
        <v>373</v>
      </c>
      <c r="G307" s="211">
        <v>391</v>
      </c>
      <c r="H307" s="211">
        <v>421</v>
      </c>
      <c r="I307" s="211">
        <v>59</v>
      </c>
      <c r="J307" s="211">
        <v>233</v>
      </c>
    </row>
    <row r="308" spans="1:10" x14ac:dyDescent="0.25">
      <c r="A308" s="211" t="s">
        <v>448</v>
      </c>
      <c r="B308" s="213" t="s">
        <v>435</v>
      </c>
      <c r="C308" s="211">
        <v>197</v>
      </c>
      <c r="D308" s="211">
        <v>379</v>
      </c>
      <c r="E308" s="211">
        <v>266</v>
      </c>
      <c r="F308" s="211">
        <v>418</v>
      </c>
      <c r="G308" s="211">
        <v>398</v>
      </c>
      <c r="H308" s="211">
        <v>313</v>
      </c>
      <c r="I308" s="211">
        <v>56</v>
      </c>
      <c r="J308" s="211">
        <v>233</v>
      </c>
    </row>
    <row r="309" spans="1:10" x14ac:dyDescent="0.25">
      <c r="A309" s="211" t="s">
        <v>448</v>
      </c>
      <c r="B309" s="213" t="s">
        <v>436</v>
      </c>
      <c r="C309" s="211">
        <v>202</v>
      </c>
      <c r="D309" s="211">
        <v>325</v>
      </c>
      <c r="E309" s="211">
        <v>354</v>
      </c>
      <c r="F309" s="211">
        <v>361</v>
      </c>
      <c r="G309" s="211">
        <v>296</v>
      </c>
      <c r="H309" s="211">
        <v>266</v>
      </c>
      <c r="I309" s="211">
        <v>57</v>
      </c>
      <c r="J309" s="211">
        <v>253</v>
      </c>
    </row>
    <row r="310" spans="1:10" x14ac:dyDescent="0.25">
      <c r="A310" s="211" t="s">
        <v>448</v>
      </c>
      <c r="B310" s="213" t="s">
        <v>437</v>
      </c>
      <c r="C310" s="211">
        <v>174</v>
      </c>
      <c r="D310" s="211">
        <v>365</v>
      </c>
      <c r="E310" s="211">
        <v>371</v>
      </c>
      <c r="F310" s="211">
        <v>229</v>
      </c>
      <c r="G310" s="211">
        <v>273</v>
      </c>
      <c r="H310" s="211">
        <v>262</v>
      </c>
      <c r="I310" s="211">
        <v>66</v>
      </c>
      <c r="J310" s="211">
        <v>249</v>
      </c>
    </row>
    <row r="311" spans="1:10" x14ac:dyDescent="0.25">
      <c r="A311" s="211" t="s">
        <v>448</v>
      </c>
      <c r="B311" s="213" t="s">
        <v>438</v>
      </c>
      <c r="C311" s="211">
        <v>149</v>
      </c>
      <c r="D311" s="211">
        <v>262</v>
      </c>
      <c r="E311" s="211">
        <v>280</v>
      </c>
      <c r="F311" s="211">
        <v>207</v>
      </c>
      <c r="G311" s="211">
        <v>252</v>
      </c>
      <c r="H311" s="211">
        <v>326</v>
      </c>
      <c r="I311" s="211">
        <v>110</v>
      </c>
      <c r="J311" s="211">
        <v>236</v>
      </c>
    </row>
    <row r="312" spans="1:10" x14ac:dyDescent="0.25">
      <c r="A312" s="211" t="s">
        <v>448</v>
      </c>
      <c r="B312" s="213" t="s">
        <v>439</v>
      </c>
      <c r="C312" s="211">
        <v>154</v>
      </c>
      <c r="D312" s="211">
        <v>266</v>
      </c>
      <c r="E312" s="211">
        <v>288</v>
      </c>
      <c r="F312" s="211">
        <v>261</v>
      </c>
      <c r="G312" s="211">
        <v>254</v>
      </c>
      <c r="H312" s="211">
        <v>331</v>
      </c>
      <c r="I312" s="211">
        <v>125</v>
      </c>
      <c r="J312" s="211">
        <v>155</v>
      </c>
    </row>
    <row r="313" spans="1:10" x14ac:dyDescent="0.25">
      <c r="A313" s="211" t="s">
        <v>466</v>
      </c>
      <c r="B313" s="213" t="s">
        <v>408</v>
      </c>
      <c r="C313" s="211">
        <v>178</v>
      </c>
      <c r="D313" s="211">
        <v>272</v>
      </c>
      <c r="E313" s="211">
        <v>325</v>
      </c>
      <c r="F313" s="211">
        <v>352</v>
      </c>
      <c r="G313" s="211">
        <v>285</v>
      </c>
      <c r="H313" s="211">
        <v>333</v>
      </c>
      <c r="I313" s="211">
        <v>78</v>
      </c>
      <c r="J313" s="211">
        <v>261</v>
      </c>
    </row>
    <row r="314" spans="1:10" x14ac:dyDescent="0.25">
      <c r="A314" s="211" t="s">
        <v>466</v>
      </c>
      <c r="B314" s="213" t="s">
        <v>410</v>
      </c>
      <c r="C314" s="211">
        <v>221</v>
      </c>
      <c r="D314" s="211">
        <v>267</v>
      </c>
      <c r="E314" s="211">
        <v>417</v>
      </c>
      <c r="F314" s="211">
        <v>341</v>
      </c>
      <c r="G314" s="211">
        <v>327</v>
      </c>
      <c r="H314" s="211">
        <v>331</v>
      </c>
      <c r="I314" s="211">
        <v>56</v>
      </c>
      <c r="J314" s="211">
        <v>261</v>
      </c>
    </row>
    <row r="315" spans="1:10" x14ac:dyDescent="0.25">
      <c r="A315" s="211" t="s">
        <v>466</v>
      </c>
      <c r="B315" s="213" t="s">
        <v>411</v>
      </c>
      <c r="C315" s="211">
        <v>376</v>
      </c>
      <c r="D315" s="211">
        <v>255</v>
      </c>
      <c r="E315" s="211">
        <v>426</v>
      </c>
      <c r="F315" s="211">
        <v>417</v>
      </c>
      <c r="G315" s="211">
        <v>341</v>
      </c>
      <c r="H315" s="211">
        <v>181</v>
      </c>
      <c r="I315" s="211">
        <v>58</v>
      </c>
      <c r="J315" s="211">
        <v>261</v>
      </c>
    </row>
    <row r="316" spans="1:10" x14ac:dyDescent="0.25">
      <c r="A316" s="211" t="s">
        <v>466</v>
      </c>
      <c r="B316" s="213" t="s">
        <v>412</v>
      </c>
      <c r="C316" s="211">
        <v>379</v>
      </c>
      <c r="D316" s="211">
        <v>296</v>
      </c>
      <c r="E316" s="211">
        <v>356</v>
      </c>
      <c r="F316" s="211">
        <v>417</v>
      </c>
      <c r="G316" s="211">
        <v>279</v>
      </c>
      <c r="H316" s="211">
        <v>199</v>
      </c>
      <c r="I316" s="211">
        <v>75</v>
      </c>
      <c r="J316" s="211">
        <v>197</v>
      </c>
    </row>
    <row r="317" spans="1:10" x14ac:dyDescent="0.25">
      <c r="A317" s="211" t="s">
        <v>466</v>
      </c>
      <c r="B317" s="213" t="s">
        <v>413</v>
      </c>
      <c r="C317" s="211">
        <v>233</v>
      </c>
      <c r="D317" s="211">
        <v>394</v>
      </c>
      <c r="E317" s="211">
        <v>304</v>
      </c>
      <c r="F317" s="211">
        <v>258</v>
      </c>
      <c r="G317" s="211">
        <v>289</v>
      </c>
      <c r="H317" s="211">
        <v>256</v>
      </c>
      <c r="I317" s="211">
        <v>98</v>
      </c>
      <c r="J317" s="211">
        <v>215</v>
      </c>
    </row>
    <row r="318" spans="1:10" x14ac:dyDescent="0.25">
      <c r="A318" s="211" t="s">
        <v>466</v>
      </c>
      <c r="B318" s="213" t="s">
        <v>414</v>
      </c>
      <c r="C318" s="211">
        <v>252</v>
      </c>
      <c r="D318" s="211">
        <v>336</v>
      </c>
      <c r="E318" s="211">
        <v>344</v>
      </c>
      <c r="F318" s="211">
        <v>245</v>
      </c>
      <c r="G318" s="211">
        <v>284</v>
      </c>
      <c r="H318" s="211">
        <v>352</v>
      </c>
      <c r="I318" s="211">
        <v>162</v>
      </c>
      <c r="J318" s="211">
        <v>230</v>
      </c>
    </row>
    <row r="319" spans="1:10" x14ac:dyDescent="0.25">
      <c r="A319" s="211" t="s">
        <v>466</v>
      </c>
      <c r="B319" s="213" t="s">
        <v>415</v>
      </c>
      <c r="C319" s="211">
        <v>320</v>
      </c>
      <c r="D319" s="211">
        <v>373</v>
      </c>
      <c r="E319" s="211">
        <v>356</v>
      </c>
      <c r="F319" s="211">
        <v>231</v>
      </c>
      <c r="G319" s="211">
        <v>333</v>
      </c>
      <c r="H319" s="211">
        <v>408</v>
      </c>
      <c r="I319" s="211">
        <v>165</v>
      </c>
      <c r="J319" s="211">
        <v>278</v>
      </c>
    </row>
    <row r="320" spans="1:10" x14ac:dyDescent="0.25">
      <c r="A320" s="211" t="s">
        <v>466</v>
      </c>
      <c r="B320" s="213" t="s">
        <v>416</v>
      </c>
      <c r="C320" s="211">
        <v>351</v>
      </c>
      <c r="D320" s="211">
        <v>382</v>
      </c>
      <c r="E320" s="211">
        <v>352</v>
      </c>
      <c r="F320" s="211">
        <v>352</v>
      </c>
      <c r="G320" s="211">
        <v>364</v>
      </c>
      <c r="H320" s="211">
        <v>434</v>
      </c>
      <c r="I320" s="211">
        <v>76</v>
      </c>
      <c r="J320" s="211">
        <v>292</v>
      </c>
    </row>
    <row r="321" spans="1:10" x14ac:dyDescent="0.25">
      <c r="A321" s="211" t="s">
        <v>466</v>
      </c>
      <c r="B321" s="213" t="s">
        <v>417</v>
      </c>
      <c r="C321" s="211">
        <v>232</v>
      </c>
      <c r="D321" s="211">
        <v>395</v>
      </c>
      <c r="E321" s="211">
        <v>277</v>
      </c>
      <c r="F321" s="211">
        <v>418</v>
      </c>
      <c r="G321" s="211">
        <v>326</v>
      </c>
      <c r="H321" s="211">
        <v>430</v>
      </c>
      <c r="I321" s="211">
        <v>51</v>
      </c>
      <c r="J321" s="211">
        <v>304</v>
      </c>
    </row>
    <row r="322" spans="1:10" x14ac:dyDescent="0.25">
      <c r="A322" s="211" t="s">
        <v>466</v>
      </c>
      <c r="B322" s="213" t="s">
        <v>418</v>
      </c>
      <c r="C322" s="211">
        <v>208</v>
      </c>
      <c r="D322" s="211">
        <v>385</v>
      </c>
      <c r="E322" s="211">
        <v>357</v>
      </c>
      <c r="F322" s="211">
        <v>425</v>
      </c>
      <c r="G322" s="211">
        <v>369</v>
      </c>
      <c r="H322" s="211">
        <v>263</v>
      </c>
      <c r="I322" s="211">
        <v>45</v>
      </c>
      <c r="J322" s="211">
        <v>250</v>
      </c>
    </row>
    <row r="323" spans="1:10" x14ac:dyDescent="0.25">
      <c r="A323" s="211" t="s">
        <v>466</v>
      </c>
      <c r="B323" s="213" t="s">
        <v>419</v>
      </c>
      <c r="C323" s="211">
        <v>224</v>
      </c>
      <c r="D323" s="211">
        <v>408</v>
      </c>
      <c r="E323" s="211">
        <v>363</v>
      </c>
      <c r="F323" s="211">
        <v>423</v>
      </c>
      <c r="G323" s="211">
        <v>270</v>
      </c>
      <c r="H323" s="211">
        <v>359</v>
      </c>
      <c r="I323" s="211">
        <v>46</v>
      </c>
      <c r="J323" s="211">
        <v>293</v>
      </c>
    </row>
    <row r="324" spans="1:10" x14ac:dyDescent="0.25">
      <c r="A324" s="211" t="s">
        <v>466</v>
      </c>
      <c r="B324" s="213" t="s">
        <v>420</v>
      </c>
      <c r="C324" s="211">
        <v>309</v>
      </c>
      <c r="D324" s="211">
        <v>299</v>
      </c>
      <c r="E324" s="211">
        <v>385</v>
      </c>
      <c r="F324" s="211">
        <v>217</v>
      </c>
      <c r="G324" s="211">
        <v>346</v>
      </c>
      <c r="H324" s="211">
        <v>324</v>
      </c>
      <c r="I324" s="211">
        <v>87</v>
      </c>
      <c r="J324" s="211">
        <v>239</v>
      </c>
    </row>
    <row r="325" spans="1:10" x14ac:dyDescent="0.25">
      <c r="A325" s="211" t="s">
        <v>466</v>
      </c>
      <c r="B325" s="213" t="s">
        <v>421</v>
      </c>
      <c r="C325" s="211">
        <v>252</v>
      </c>
      <c r="D325" s="211">
        <v>368</v>
      </c>
      <c r="E325" s="211">
        <v>338</v>
      </c>
      <c r="F325" s="211">
        <v>397</v>
      </c>
      <c r="G325" s="211">
        <v>350</v>
      </c>
      <c r="H325" s="211">
        <v>349</v>
      </c>
      <c r="I325" s="211">
        <v>134</v>
      </c>
      <c r="J325" s="211">
        <v>266</v>
      </c>
    </row>
    <row r="326" spans="1:10" x14ac:dyDescent="0.25">
      <c r="A326" s="211" t="s">
        <v>466</v>
      </c>
      <c r="B326" s="213" t="s">
        <v>422</v>
      </c>
      <c r="C326" s="211">
        <v>273</v>
      </c>
      <c r="D326" s="211">
        <v>386</v>
      </c>
      <c r="E326" s="211">
        <v>373</v>
      </c>
      <c r="F326" s="211">
        <v>414</v>
      </c>
      <c r="G326" s="211">
        <v>403</v>
      </c>
      <c r="H326" s="211">
        <v>395</v>
      </c>
      <c r="I326" s="211">
        <v>154</v>
      </c>
      <c r="J326" s="211">
        <v>163</v>
      </c>
    </row>
    <row r="327" spans="1:10" x14ac:dyDescent="0.25">
      <c r="A327" s="211" t="s">
        <v>466</v>
      </c>
      <c r="B327" s="213" t="s">
        <v>423</v>
      </c>
      <c r="C327" s="211">
        <v>258</v>
      </c>
      <c r="D327" s="211">
        <v>216</v>
      </c>
      <c r="E327" s="211">
        <v>396</v>
      </c>
      <c r="F327" s="211">
        <v>327</v>
      </c>
      <c r="G327" s="211">
        <v>347</v>
      </c>
      <c r="H327" s="211">
        <v>330</v>
      </c>
      <c r="I327" s="211">
        <v>66</v>
      </c>
      <c r="J327" s="211">
        <v>153</v>
      </c>
    </row>
    <row r="328" spans="1:10" x14ac:dyDescent="0.25">
      <c r="A328" s="211" t="s">
        <v>466</v>
      </c>
      <c r="B328" s="213" t="s">
        <v>424</v>
      </c>
      <c r="C328" s="211">
        <v>184</v>
      </c>
      <c r="D328" s="211">
        <v>300</v>
      </c>
      <c r="E328" s="211">
        <v>202</v>
      </c>
      <c r="F328" s="211">
        <v>287</v>
      </c>
      <c r="G328" s="211">
        <v>334</v>
      </c>
      <c r="H328" s="211">
        <v>383</v>
      </c>
      <c r="I328" s="211">
        <v>54</v>
      </c>
      <c r="J328" s="211">
        <v>133</v>
      </c>
    </row>
    <row r="329" spans="1:10" x14ac:dyDescent="0.25">
      <c r="A329" s="211" t="s">
        <v>466</v>
      </c>
      <c r="B329" s="213" t="s">
        <v>425</v>
      </c>
      <c r="C329" s="211">
        <v>227</v>
      </c>
      <c r="D329" s="211">
        <v>396</v>
      </c>
      <c r="E329" s="211">
        <v>205</v>
      </c>
      <c r="F329" s="211">
        <v>348</v>
      </c>
      <c r="G329" s="211">
        <v>374</v>
      </c>
      <c r="H329" s="211">
        <v>330</v>
      </c>
      <c r="I329" s="211">
        <v>60</v>
      </c>
      <c r="J329" s="211">
        <v>203</v>
      </c>
    </row>
    <row r="330" spans="1:10" x14ac:dyDescent="0.25">
      <c r="A330" s="211" t="s">
        <v>466</v>
      </c>
      <c r="B330" s="213" t="s">
        <v>426</v>
      </c>
      <c r="C330" s="211">
        <v>234</v>
      </c>
      <c r="D330" s="211">
        <v>385</v>
      </c>
      <c r="E330" s="211">
        <v>291</v>
      </c>
      <c r="F330" s="211">
        <v>414</v>
      </c>
      <c r="G330" s="211">
        <v>364</v>
      </c>
      <c r="H330" s="211">
        <v>332</v>
      </c>
      <c r="I330" s="211">
        <v>70</v>
      </c>
      <c r="J330" s="211">
        <v>249</v>
      </c>
    </row>
    <row r="331" spans="1:10" x14ac:dyDescent="0.25">
      <c r="A331" s="211" t="s">
        <v>466</v>
      </c>
      <c r="B331" s="213" t="s">
        <v>427</v>
      </c>
      <c r="C331" s="211">
        <v>232</v>
      </c>
      <c r="D331" s="211">
        <v>401</v>
      </c>
      <c r="E331" s="211">
        <v>348</v>
      </c>
      <c r="F331" s="211">
        <v>363</v>
      </c>
      <c r="G331" s="211">
        <v>348</v>
      </c>
      <c r="H331" s="211">
        <v>324</v>
      </c>
      <c r="I331" s="211">
        <v>72</v>
      </c>
      <c r="J331" s="211">
        <v>376</v>
      </c>
    </row>
    <row r="332" spans="1:10" x14ac:dyDescent="0.25">
      <c r="A332" s="211" t="s">
        <v>466</v>
      </c>
      <c r="B332" s="213" t="s">
        <v>428</v>
      </c>
      <c r="C332" s="211">
        <v>291</v>
      </c>
      <c r="D332" s="211">
        <v>364</v>
      </c>
      <c r="E332" s="211">
        <v>237</v>
      </c>
      <c r="F332" s="211">
        <v>332</v>
      </c>
      <c r="G332" s="211">
        <v>350</v>
      </c>
      <c r="H332" s="211">
        <v>299</v>
      </c>
      <c r="I332" s="211">
        <v>194</v>
      </c>
      <c r="J332" s="211">
        <v>341</v>
      </c>
    </row>
    <row r="333" spans="1:10" x14ac:dyDescent="0.25">
      <c r="A333" s="211" t="s">
        <v>466</v>
      </c>
      <c r="B333" s="213" t="s">
        <v>429</v>
      </c>
      <c r="C333" s="211">
        <v>250</v>
      </c>
      <c r="D333" s="211">
        <v>353</v>
      </c>
      <c r="E333" s="211">
        <v>221</v>
      </c>
      <c r="F333" s="211">
        <v>332</v>
      </c>
      <c r="G333" s="211">
        <v>387</v>
      </c>
      <c r="H333" s="211">
        <v>172</v>
      </c>
      <c r="I333" s="211">
        <v>246</v>
      </c>
      <c r="J333" s="211">
        <v>259</v>
      </c>
    </row>
    <row r="334" spans="1:10" x14ac:dyDescent="0.25">
      <c r="A334" s="211" t="s">
        <v>466</v>
      </c>
      <c r="B334" s="213" t="s">
        <v>430</v>
      </c>
      <c r="C334" s="211">
        <v>290</v>
      </c>
      <c r="D334" s="211">
        <v>335</v>
      </c>
      <c r="E334" s="211">
        <v>277</v>
      </c>
      <c r="F334" s="211">
        <v>376</v>
      </c>
      <c r="G334" s="211">
        <v>383</v>
      </c>
      <c r="H334" s="211">
        <v>323</v>
      </c>
      <c r="I334" s="211">
        <v>156</v>
      </c>
      <c r="J334" s="211">
        <v>299</v>
      </c>
    </row>
    <row r="335" spans="1:10" x14ac:dyDescent="0.25">
      <c r="A335" s="211" t="s">
        <v>466</v>
      </c>
      <c r="B335" s="213" t="s">
        <v>431</v>
      </c>
      <c r="C335" s="211">
        <v>205</v>
      </c>
      <c r="D335" s="211">
        <v>357</v>
      </c>
      <c r="E335" s="211">
        <v>302</v>
      </c>
      <c r="F335" s="211">
        <v>415</v>
      </c>
      <c r="G335" s="211">
        <v>390</v>
      </c>
      <c r="H335" s="211">
        <v>381</v>
      </c>
      <c r="I335" s="211">
        <v>144</v>
      </c>
      <c r="J335" s="211">
        <v>322</v>
      </c>
    </row>
    <row r="336" spans="1:10" x14ac:dyDescent="0.25">
      <c r="A336" s="211" t="s">
        <v>466</v>
      </c>
      <c r="B336" s="213" t="s">
        <v>432</v>
      </c>
      <c r="C336" s="211">
        <v>203</v>
      </c>
      <c r="D336" s="211">
        <v>324</v>
      </c>
      <c r="E336" s="211">
        <v>321</v>
      </c>
      <c r="F336" s="211">
        <v>429</v>
      </c>
      <c r="G336" s="211">
        <v>346</v>
      </c>
      <c r="H336" s="211">
        <v>294</v>
      </c>
      <c r="I336" s="211">
        <v>161</v>
      </c>
      <c r="J336" s="211">
        <v>370</v>
      </c>
    </row>
    <row r="337" spans="1:10" x14ac:dyDescent="0.25">
      <c r="A337" s="211" t="s">
        <v>466</v>
      </c>
      <c r="B337" s="213" t="s">
        <v>433</v>
      </c>
      <c r="C337" s="211">
        <v>247</v>
      </c>
      <c r="D337" s="211">
        <v>329</v>
      </c>
      <c r="E337" s="211">
        <v>340</v>
      </c>
      <c r="F337" s="211">
        <v>349</v>
      </c>
      <c r="G337" s="211">
        <v>195</v>
      </c>
      <c r="H337" s="211">
        <v>281</v>
      </c>
      <c r="I337" s="211">
        <v>181</v>
      </c>
      <c r="J337" s="211">
        <v>361</v>
      </c>
    </row>
    <row r="338" spans="1:10" x14ac:dyDescent="0.25">
      <c r="A338" s="211" t="s">
        <v>466</v>
      </c>
      <c r="B338" s="213" t="s">
        <v>434</v>
      </c>
      <c r="C338" s="211">
        <v>293</v>
      </c>
      <c r="D338" s="211">
        <v>361</v>
      </c>
      <c r="E338" s="211">
        <v>255</v>
      </c>
      <c r="F338" s="211">
        <v>113</v>
      </c>
      <c r="G338" s="211">
        <v>190</v>
      </c>
      <c r="H338" s="211">
        <v>297</v>
      </c>
      <c r="I338" s="211">
        <v>195</v>
      </c>
      <c r="J338" s="211">
        <v>370</v>
      </c>
    </row>
    <row r="339" spans="1:10" x14ac:dyDescent="0.25">
      <c r="A339" s="211" t="s">
        <v>466</v>
      </c>
      <c r="B339" s="213" t="s">
        <v>435</v>
      </c>
      <c r="C339" s="211">
        <v>329</v>
      </c>
      <c r="D339" s="211">
        <v>376</v>
      </c>
      <c r="E339" s="211">
        <v>100</v>
      </c>
      <c r="F339" s="211">
        <v>128</v>
      </c>
      <c r="G339" s="211">
        <v>417</v>
      </c>
      <c r="H339" s="211">
        <v>330</v>
      </c>
      <c r="I339" s="211">
        <v>222</v>
      </c>
      <c r="J339" s="211">
        <v>337</v>
      </c>
    </row>
    <row r="340" spans="1:10" x14ac:dyDescent="0.25">
      <c r="A340" s="211" t="s">
        <v>466</v>
      </c>
      <c r="B340" s="213" t="s">
        <v>436</v>
      </c>
      <c r="C340" s="211">
        <v>332</v>
      </c>
      <c r="D340" s="211">
        <v>311</v>
      </c>
      <c r="E340" s="211">
        <v>121</v>
      </c>
      <c r="F340" s="211">
        <v>410</v>
      </c>
      <c r="G340" s="211">
        <v>401</v>
      </c>
      <c r="H340" s="211">
        <v>370</v>
      </c>
      <c r="I340" s="211">
        <v>188</v>
      </c>
      <c r="J340" s="211">
        <v>245</v>
      </c>
    </row>
    <row r="341" spans="1:10" x14ac:dyDescent="0.25">
      <c r="A341" s="211" t="s">
        <v>466</v>
      </c>
      <c r="B341" s="213" t="s">
        <v>437</v>
      </c>
      <c r="C341" s="211">
        <v>268</v>
      </c>
      <c r="D341" s="211">
        <v>171</v>
      </c>
      <c r="E341" s="211">
        <v>393</v>
      </c>
      <c r="F341" s="211">
        <v>419</v>
      </c>
      <c r="G341" s="211">
        <v>256</v>
      </c>
      <c r="H341" s="211">
        <v>384</v>
      </c>
      <c r="I341" s="211">
        <v>87</v>
      </c>
      <c r="J341" s="211">
        <v>212</v>
      </c>
    </row>
    <row r="342" spans="1:10" x14ac:dyDescent="0.25">
      <c r="A342" s="211" t="s">
        <v>466</v>
      </c>
      <c r="B342" s="213" t="s">
        <v>438</v>
      </c>
      <c r="C342" s="211">
        <v>209</v>
      </c>
      <c r="D342" s="211">
        <v>141</v>
      </c>
      <c r="E342" s="211">
        <v>406</v>
      </c>
      <c r="F342" s="211">
        <v>207</v>
      </c>
      <c r="G342" s="211">
        <v>273</v>
      </c>
      <c r="H342" s="211">
        <v>312</v>
      </c>
      <c r="I342" s="211">
        <v>97</v>
      </c>
      <c r="J342" s="211">
        <v>185</v>
      </c>
    </row>
    <row r="343" spans="1:10" x14ac:dyDescent="0.25">
      <c r="A343" s="211" t="s">
        <v>467</v>
      </c>
      <c r="B343" s="213" t="s">
        <v>408</v>
      </c>
      <c r="C343" s="211">
        <v>240</v>
      </c>
      <c r="D343" s="211">
        <v>304</v>
      </c>
      <c r="E343" s="211">
        <v>265</v>
      </c>
      <c r="F343" s="211">
        <v>296</v>
      </c>
      <c r="G343" s="211">
        <v>276</v>
      </c>
      <c r="H343" s="211">
        <v>208</v>
      </c>
      <c r="I343" s="211">
        <v>58</v>
      </c>
      <c r="J343" s="211">
        <v>165</v>
      </c>
    </row>
    <row r="344" spans="1:10" x14ac:dyDescent="0.25">
      <c r="A344" s="211" t="s">
        <v>467</v>
      </c>
      <c r="B344" s="213" t="s">
        <v>410</v>
      </c>
      <c r="C344" s="211">
        <v>286</v>
      </c>
      <c r="D344" s="211">
        <v>339</v>
      </c>
      <c r="E344" s="211">
        <v>356</v>
      </c>
      <c r="F344" s="211">
        <v>301</v>
      </c>
      <c r="G344" s="211">
        <v>151</v>
      </c>
      <c r="H344" s="211">
        <v>229</v>
      </c>
      <c r="I344" s="211">
        <v>67</v>
      </c>
      <c r="J344" s="211">
        <v>131</v>
      </c>
    </row>
    <row r="345" spans="1:10" x14ac:dyDescent="0.25">
      <c r="A345" s="211" t="s">
        <v>467</v>
      </c>
      <c r="B345" s="213" t="s">
        <v>411</v>
      </c>
      <c r="C345" s="211">
        <v>310</v>
      </c>
      <c r="D345" s="211">
        <v>394</v>
      </c>
      <c r="E345" s="211">
        <v>346</v>
      </c>
      <c r="F345" s="211">
        <v>236</v>
      </c>
      <c r="G345" s="211">
        <v>194</v>
      </c>
      <c r="H345" s="211">
        <v>230</v>
      </c>
      <c r="I345" s="211">
        <v>89</v>
      </c>
      <c r="J345" s="211">
        <v>219</v>
      </c>
    </row>
    <row r="346" spans="1:10" x14ac:dyDescent="0.25">
      <c r="A346" s="211" t="s">
        <v>467</v>
      </c>
      <c r="B346" s="213" t="s">
        <v>412</v>
      </c>
      <c r="C346" s="211">
        <v>357</v>
      </c>
      <c r="D346" s="211">
        <v>376</v>
      </c>
      <c r="E346" s="211">
        <v>172</v>
      </c>
      <c r="F346" s="211">
        <v>248</v>
      </c>
      <c r="G346" s="211">
        <v>243</v>
      </c>
      <c r="H346" s="211">
        <v>302</v>
      </c>
      <c r="I346" s="211">
        <v>157</v>
      </c>
      <c r="J346" s="211">
        <v>242</v>
      </c>
    </row>
    <row r="347" spans="1:10" x14ac:dyDescent="0.25">
      <c r="A347" s="211" t="s">
        <v>467</v>
      </c>
      <c r="B347" s="213" t="s">
        <v>413</v>
      </c>
      <c r="C347" s="211">
        <v>306</v>
      </c>
      <c r="D347" s="211">
        <v>390</v>
      </c>
      <c r="E347" s="211">
        <v>291</v>
      </c>
      <c r="F347" s="211">
        <v>277</v>
      </c>
      <c r="G347" s="211">
        <v>299</v>
      </c>
      <c r="H347" s="211">
        <v>358</v>
      </c>
      <c r="I347" s="211">
        <v>192</v>
      </c>
      <c r="J347" s="211">
        <v>252</v>
      </c>
    </row>
    <row r="348" spans="1:10" x14ac:dyDescent="0.25">
      <c r="A348" s="211" t="s">
        <v>467</v>
      </c>
      <c r="B348" s="213" t="s">
        <v>414</v>
      </c>
      <c r="C348" s="211">
        <v>353</v>
      </c>
      <c r="D348" s="211">
        <v>386</v>
      </c>
      <c r="E348" s="211">
        <v>289</v>
      </c>
      <c r="F348" s="211">
        <v>261</v>
      </c>
      <c r="G348" s="211">
        <v>370</v>
      </c>
      <c r="H348" s="211">
        <v>383</v>
      </c>
      <c r="I348" s="211">
        <v>81</v>
      </c>
      <c r="J348" s="211">
        <v>240</v>
      </c>
    </row>
    <row r="349" spans="1:10" x14ac:dyDescent="0.25">
      <c r="A349" s="211" t="s">
        <v>467</v>
      </c>
      <c r="B349" s="213" t="s">
        <v>415</v>
      </c>
      <c r="C349" s="211">
        <v>256</v>
      </c>
      <c r="D349" s="211">
        <v>235</v>
      </c>
      <c r="E349" s="211">
        <v>180</v>
      </c>
      <c r="F349" s="211">
        <v>383</v>
      </c>
      <c r="G349" s="211">
        <v>392</v>
      </c>
      <c r="H349" s="211">
        <v>408</v>
      </c>
      <c r="I349" s="211">
        <v>59</v>
      </c>
      <c r="J349" s="211">
        <v>175</v>
      </c>
    </row>
    <row r="350" spans="1:10" x14ac:dyDescent="0.25">
      <c r="A350" s="211" t="s">
        <v>467</v>
      </c>
      <c r="B350" s="213" t="s">
        <v>416</v>
      </c>
      <c r="C350" s="211">
        <v>256</v>
      </c>
      <c r="D350" s="211">
        <v>165</v>
      </c>
      <c r="E350" s="211">
        <v>216</v>
      </c>
      <c r="F350" s="211">
        <v>344</v>
      </c>
      <c r="G350" s="211">
        <v>257</v>
      </c>
      <c r="H350" s="211">
        <v>254</v>
      </c>
      <c r="I350" s="211">
        <v>45</v>
      </c>
      <c r="J350" s="211">
        <v>170</v>
      </c>
    </row>
    <row r="351" spans="1:10" x14ac:dyDescent="0.25">
      <c r="A351" s="211" t="s">
        <v>467</v>
      </c>
      <c r="B351" s="213" t="s">
        <v>417</v>
      </c>
      <c r="C351" s="211">
        <v>258</v>
      </c>
      <c r="D351" s="211">
        <v>162</v>
      </c>
      <c r="E351" s="211">
        <v>261</v>
      </c>
      <c r="F351" s="211">
        <v>389</v>
      </c>
      <c r="G351" s="211">
        <v>158</v>
      </c>
      <c r="H351" s="211">
        <v>222</v>
      </c>
      <c r="I351" s="211">
        <v>43</v>
      </c>
      <c r="J351" s="211">
        <v>233</v>
      </c>
    </row>
    <row r="352" spans="1:10" x14ac:dyDescent="0.25">
      <c r="A352" s="211" t="s">
        <v>467</v>
      </c>
      <c r="B352" s="213" t="s">
        <v>418</v>
      </c>
      <c r="C352" s="211">
        <v>172</v>
      </c>
      <c r="D352" s="211">
        <v>206</v>
      </c>
      <c r="E352" s="211">
        <v>322</v>
      </c>
      <c r="F352" s="211">
        <v>198</v>
      </c>
      <c r="G352" s="211">
        <v>147</v>
      </c>
      <c r="H352" s="211">
        <v>195</v>
      </c>
      <c r="I352" s="211">
        <v>66</v>
      </c>
      <c r="J352" s="211">
        <v>277</v>
      </c>
    </row>
    <row r="353" spans="1:10" x14ac:dyDescent="0.25">
      <c r="A353" s="211" t="s">
        <v>467</v>
      </c>
      <c r="B353" s="213" t="s">
        <v>419</v>
      </c>
      <c r="C353" s="211">
        <v>190</v>
      </c>
      <c r="D353" s="211">
        <v>281</v>
      </c>
      <c r="E353" s="211">
        <v>193</v>
      </c>
      <c r="F353" s="211">
        <v>170</v>
      </c>
      <c r="G353" s="211">
        <v>151</v>
      </c>
      <c r="H353" s="211">
        <v>181</v>
      </c>
      <c r="I353" s="211">
        <v>112</v>
      </c>
      <c r="J353" s="211">
        <v>288</v>
      </c>
    </row>
    <row r="354" spans="1:10" x14ac:dyDescent="0.25">
      <c r="A354" s="211" t="s">
        <v>467</v>
      </c>
      <c r="B354" s="213" t="s">
        <v>420</v>
      </c>
      <c r="C354" s="211">
        <v>267</v>
      </c>
      <c r="D354" s="211">
        <v>327</v>
      </c>
      <c r="E354" s="211">
        <v>309</v>
      </c>
      <c r="F354" s="211">
        <v>170</v>
      </c>
      <c r="G354" s="211">
        <v>178</v>
      </c>
      <c r="H354" s="211">
        <v>234</v>
      </c>
      <c r="I354" s="211">
        <v>112</v>
      </c>
      <c r="J354" s="211">
        <v>255</v>
      </c>
    </row>
    <row r="355" spans="1:10" x14ac:dyDescent="0.25">
      <c r="A355" s="211" t="s">
        <v>467</v>
      </c>
      <c r="B355" s="213" t="s">
        <v>421</v>
      </c>
      <c r="C355" s="211">
        <v>345</v>
      </c>
      <c r="D355" s="211">
        <v>138</v>
      </c>
      <c r="E355" s="211">
        <v>331</v>
      </c>
      <c r="F355" s="211">
        <v>236</v>
      </c>
      <c r="G355" s="211">
        <v>219</v>
      </c>
      <c r="H355" s="211">
        <v>310</v>
      </c>
      <c r="I355" s="211">
        <v>65</v>
      </c>
      <c r="J355" s="211">
        <v>239</v>
      </c>
    </row>
    <row r="356" spans="1:10" x14ac:dyDescent="0.25">
      <c r="A356" s="211" t="s">
        <v>467</v>
      </c>
      <c r="B356" s="213" t="s">
        <v>422</v>
      </c>
      <c r="C356" s="211">
        <v>207</v>
      </c>
      <c r="D356" s="211">
        <v>132</v>
      </c>
      <c r="E356" s="211">
        <v>299</v>
      </c>
      <c r="F356" s="211">
        <v>307</v>
      </c>
      <c r="G356" s="211">
        <v>330</v>
      </c>
      <c r="H356" s="211">
        <v>331</v>
      </c>
      <c r="I356" s="211">
        <v>56</v>
      </c>
      <c r="J356" s="211">
        <v>250</v>
      </c>
    </row>
    <row r="357" spans="1:10" x14ac:dyDescent="0.25">
      <c r="A357" s="211" t="s">
        <v>467</v>
      </c>
      <c r="B357" s="213" t="s">
        <v>423</v>
      </c>
      <c r="C357" s="211">
        <v>124</v>
      </c>
      <c r="D357" s="211">
        <v>156</v>
      </c>
      <c r="E357" s="211">
        <v>186</v>
      </c>
      <c r="F357" s="211">
        <v>351</v>
      </c>
      <c r="G357" s="211">
        <v>363</v>
      </c>
      <c r="H357" s="211">
        <v>202</v>
      </c>
      <c r="I357" s="211">
        <v>52</v>
      </c>
      <c r="J357" s="211">
        <v>193</v>
      </c>
    </row>
    <row r="358" spans="1:10" x14ac:dyDescent="0.25">
      <c r="A358" s="211" t="s">
        <v>467</v>
      </c>
      <c r="B358" s="213" t="s">
        <v>424</v>
      </c>
      <c r="C358" s="211">
        <v>103</v>
      </c>
      <c r="D358" s="211">
        <v>173</v>
      </c>
      <c r="E358" s="211">
        <v>234</v>
      </c>
      <c r="F358" s="211">
        <v>364</v>
      </c>
      <c r="G358" s="211">
        <v>238</v>
      </c>
      <c r="H358" s="211">
        <v>212</v>
      </c>
      <c r="I358" s="211">
        <v>47</v>
      </c>
      <c r="J358" s="211">
        <v>181</v>
      </c>
    </row>
    <row r="359" spans="1:10" x14ac:dyDescent="0.25">
      <c r="A359" s="211" t="s">
        <v>467</v>
      </c>
      <c r="B359" s="213" t="s">
        <v>425</v>
      </c>
      <c r="C359" s="211">
        <v>87</v>
      </c>
      <c r="D359" s="211">
        <v>207</v>
      </c>
      <c r="E359" s="211">
        <v>302</v>
      </c>
      <c r="F359" s="211">
        <v>267</v>
      </c>
      <c r="G359" s="211">
        <v>203</v>
      </c>
      <c r="H359" s="211">
        <v>141</v>
      </c>
      <c r="I359" s="211">
        <v>66</v>
      </c>
      <c r="J359" s="211">
        <v>223</v>
      </c>
    </row>
    <row r="360" spans="1:10" x14ac:dyDescent="0.25">
      <c r="A360" s="211" t="s">
        <v>467</v>
      </c>
      <c r="B360" s="213" t="s">
        <v>426</v>
      </c>
      <c r="C360" s="211">
        <v>118</v>
      </c>
      <c r="D360" s="211">
        <v>281</v>
      </c>
      <c r="E360" s="211">
        <v>247</v>
      </c>
      <c r="F360" s="211">
        <v>263</v>
      </c>
      <c r="G360" s="211">
        <v>195</v>
      </c>
      <c r="H360" s="211">
        <v>154</v>
      </c>
      <c r="I360" s="211">
        <v>122</v>
      </c>
      <c r="J360" s="211">
        <v>303</v>
      </c>
    </row>
    <row r="361" spans="1:10" x14ac:dyDescent="0.25">
      <c r="A361" s="211" t="s">
        <v>467</v>
      </c>
      <c r="B361" s="213" t="s">
        <v>427</v>
      </c>
      <c r="C361" s="211">
        <v>157</v>
      </c>
      <c r="D361" s="211">
        <v>335</v>
      </c>
      <c r="E361" s="211">
        <v>239</v>
      </c>
      <c r="F361" s="211">
        <v>284</v>
      </c>
      <c r="G361" s="211">
        <v>206</v>
      </c>
      <c r="H361" s="211">
        <v>239</v>
      </c>
      <c r="I361" s="211">
        <v>173</v>
      </c>
      <c r="J361" s="211">
        <v>171</v>
      </c>
    </row>
    <row r="362" spans="1:10" x14ac:dyDescent="0.25">
      <c r="A362" s="211" t="s">
        <v>467</v>
      </c>
      <c r="B362" s="213" t="s">
        <v>428</v>
      </c>
      <c r="C362" s="211">
        <v>172</v>
      </c>
      <c r="D362" s="211">
        <v>310</v>
      </c>
      <c r="E362" s="211">
        <v>257</v>
      </c>
      <c r="F362" s="211">
        <v>290</v>
      </c>
      <c r="G362" s="211">
        <v>251</v>
      </c>
      <c r="H362" s="211">
        <v>352</v>
      </c>
      <c r="I362" s="211">
        <v>166</v>
      </c>
      <c r="J362" s="211">
        <v>174</v>
      </c>
    </row>
    <row r="363" spans="1:10" x14ac:dyDescent="0.25">
      <c r="A363" s="211" t="s">
        <v>467</v>
      </c>
      <c r="B363" s="213" t="s">
        <v>429</v>
      </c>
      <c r="C363" s="211">
        <v>177</v>
      </c>
      <c r="D363" s="211">
        <v>263</v>
      </c>
      <c r="E363" s="211">
        <v>258</v>
      </c>
      <c r="F363" s="211">
        <v>324</v>
      </c>
      <c r="G363" s="211">
        <v>266</v>
      </c>
      <c r="H363" s="211">
        <v>370</v>
      </c>
      <c r="I363" s="211">
        <v>168</v>
      </c>
      <c r="J363" s="211">
        <v>173</v>
      </c>
    </row>
    <row r="364" spans="1:10" x14ac:dyDescent="0.25">
      <c r="A364" s="211" t="s">
        <v>467</v>
      </c>
      <c r="B364" s="213" t="s">
        <v>430</v>
      </c>
      <c r="C364" s="211">
        <v>177</v>
      </c>
      <c r="D364" s="211">
        <v>234</v>
      </c>
      <c r="E364" s="211">
        <v>216</v>
      </c>
      <c r="F364" s="211">
        <v>342</v>
      </c>
      <c r="G364" s="211">
        <v>279</v>
      </c>
      <c r="H364" s="211">
        <v>343</v>
      </c>
      <c r="I364" s="211">
        <v>160</v>
      </c>
      <c r="J364" s="211">
        <v>177</v>
      </c>
    </row>
    <row r="365" spans="1:10" x14ac:dyDescent="0.25">
      <c r="A365" s="211" t="s">
        <v>467</v>
      </c>
      <c r="B365" s="213" t="s">
        <v>431</v>
      </c>
      <c r="C365" s="211">
        <v>152</v>
      </c>
      <c r="D365" s="211">
        <v>216</v>
      </c>
      <c r="E365" s="211">
        <v>224</v>
      </c>
      <c r="F365" s="211">
        <v>334</v>
      </c>
      <c r="G365" s="211">
        <v>292</v>
      </c>
      <c r="H365" s="211">
        <v>309</v>
      </c>
      <c r="I365" s="211">
        <v>166</v>
      </c>
      <c r="J365" s="211">
        <v>196</v>
      </c>
    </row>
    <row r="366" spans="1:10" x14ac:dyDescent="0.25">
      <c r="A366" s="211" t="s">
        <v>467</v>
      </c>
      <c r="B366" s="213" t="s">
        <v>432</v>
      </c>
      <c r="C366" s="211">
        <v>146</v>
      </c>
      <c r="D366" s="211">
        <v>200</v>
      </c>
      <c r="E366" s="211">
        <v>226</v>
      </c>
      <c r="F366" s="211">
        <v>333</v>
      </c>
      <c r="G366" s="211">
        <v>291</v>
      </c>
      <c r="H366" s="211">
        <v>290</v>
      </c>
      <c r="I366" s="211">
        <v>172</v>
      </c>
      <c r="J366" s="211">
        <v>270</v>
      </c>
    </row>
    <row r="367" spans="1:10" x14ac:dyDescent="0.25">
      <c r="A367" s="211" t="s">
        <v>467</v>
      </c>
      <c r="B367" s="213" t="s">
        <v>433</v>
      </c>
      <c r="C367" s="211">
        <v>152</v>
      </c>
      <c r="D367" s="211">
        <v>207</v>
      </c>
      <c r="E367" s="211">
        <v>213</v>
      </c>
      <c r="F367" s="211">
        <v>335</v>
      </c>
      <c r="G367" s="211">
        <v>288</v>
      </c>
      <c r="H367" s="211">
        <v>294</v>
      </c>
      <c r="I367" s="211">
        <v>194</v>
      </c>
      <c r="J367" s="211">
        <v>268</v>
      </c>
    </row>
    <row r="368" spans="1:10" x14ac:dyDescent="0.25">
      <c r="A368" s="211" t="s">
        <v>467</v>
      </c>
      <c r="B368" s="213" t="s">
        <v>434</v>
      </c>
      <c r="C368" s="211">
        <v>183</v>
      </c>
      <c r="D368" s="211">
        <v>256</v>
      </c>
      <c r="E368" s="211">
        <v>247</v>
      </c>
      <c r="F368" s="211">
        <v>372</v>
      </c>
      <c r="G368" s="211">
        <v>390</v>
      </c>
      <c r="H368" s="211">
        <v>327</v>
      </c>
      <c r="I368" s="211">
        <v>203</v>
      </c>
      <c r="J368" s="211">
        <v>333</v>
      </c>
    </row>
    <row r="369" spans="1:10" x14ac:dyDescent="0.25">
      <c r="A369" s="211" t="s">
        <v>467</v>
      </c>
      <c r="B369" s="213" t="s">
        <v>435</v>
      </c>
      <c r="C369" s="211">
        <v>220</v>
      </c>
      <c r="D369" s="211">
        <v>308</v>
      </c>
      <c r="E369" s="211">
        <v>289</v>
      </c>
      <c r="F369" s="211">
        <v>415</v>
      </c>
      <c r="G369" s="211">
        <v>427</v>
      </c>
      <c r="H369" s="211">
        <v>394</v>
      </c>
      <c r="I369" s="211">
        <v>213</v>
      </c>
      <c r="J369" s="211">
        <v>366</v>
      </c>
    </row>
    <row r="370" spans="1:10" x14ac:dyDescent="0.25">
      <c r="A370" s="211" t="s">
        <v>467</v>
      </c>
      <c r="B370" s="213" t="s">
        <v>436</v>
      </c>
      <c r="C370" s="211">
        <v>257</v>
      </c>
      <c r="D370" s="211">
        <v>353</v>
      </c>
      <c r="E370" s="211">
        <v>360</v>
      </c>
      <c r="F370" s="211">
        <v>430</v>
      </c>
      <c r="G370" s="211">
        <v>430</v>
      </c>
      <c r="H370" s="211">
        <v>412</v>
      </c>
      <c r="I370" s="211">
        <v>263</v>
      </c>
      <c r="J370" s="211">
        <v>368</v>
      </c>
    </row>
    <row r="371" spans="1:10" x14ac:dyDescent="0.25">
      <c r="A371" s="211" t="s">
        <v>467</v>
      </c>
      <c r="B371" s="213" t="s">
        <v>437</v>
      </c>
      <c r="C371" s="211">
        <v>284</v>
      </c>
      <c r="D371" s="211">
        <v>365</v>
      </c>
      <c r="E371" s="211">
        <v>413</v>
      </c>
      <c r="F371" s="211">
        <v>439</v>
      </c>
      <c r="G371" s="211">
        <v>442</v>
      </c>
      <c r="H371" s="211">
        <v>397</v>
      </c>
      <c r="I371" s="211">
        <v>267</v>
      </c>
      <c r="J371" s="211">
        <v>370</v>
      </c>
    </row>
    <row r="372" spans="1:10" x14ac:dyDescent="0.25">
      <c r="A372" s="211" t="s">
        <v>467</v>
      </c>
      <c r="B372" s="213" t="s">
        <v>438</v>
      </c>
      <c r="C372" s="211">
        <v>286</v>
      </c>
      <c r="D372" s="211">
        <v>386</v>
      </c>
      <c r="E372" s="211">
        <v>394</v>
      </c>
      <c r="F372" s="211">
        <v>440</v>
      </c>
      <c r="G372" s="211">
        <v>433</v>
      </c>
      <c r="H372" s="211">
        <v>378</v>
      </c>
      <c r="I372" s="211">
        <v>293</v>
      </c>
      <c r="J372" s="211">
        <v>375</v>
      </c>
    </row>
    <row r="373" spans="1:10" x14ac:dyDescent="0.25">
      <c r="A373" s="211" t="s">
        <v>467</v>
      </c>
      <c r="B373" s="213" t="s">
        <v>439</v>
      </c>
      <c r="C373" s="211">
        <v>271</v>
      </c>
      <c r="D373" s="211">
        <v>414</v>
      </c>
      <c r="E373" s="211">
        <v>398</v>
      </c>
      <c r="F373" s="211">
        <v>441</v>
      </c>
      <c r="G373" s="211">
        <v>441</v>
      </c>
      <c r="H373" s="211">
        <v>402</v>
      </c>
      <c r="I373" s="211">
        <v>309</v>
      </c>
      <c r="J373" s="211">
        <v>379</v>
      </c>
    </row>
    <row r="374" spans="1:10" x14ac:dyDescent="0.25">
      <c r="A374"/>
      <c r="B374"/>
      <c r="C374"/>
      <c r="D374"/>
      <c r="E374"/>
      <c r="F374"/>
      <c r="G374"/>
      <c r="H374"/>
      <c r="I374"/>
      <c r="J374"/>
    </row>
    <row r="375" spans="1:10" x14ac:dyDescent="0.25">
      <c r="A375"/>
      <c r="B375"/>
      <c r="C375"/>
      <c r="D375"/>
      <c r="E375"/>
      <c r="F375"/>
      <c r="G375"/>
      <c r="H375"/>
      <c r="I375"/>
      <c r="J375"/>
    </row>
    <row r="376" spans="1:10" x14ac:dyDescent="0.25">
      <c r="A376"/>
      <c r="B376"/>
      <c r="C376"/>
      <c r="D376"/>
      <c r="E376"/>
      <c r="F376"/>
      <c r="G376"/>
      <c r="H376"/>
      <c r="I376"/>
      <c r="J376"/>
    </row>
    <row r="377" spans="1:10" x14ac:dyDescent="0.25">
      <c r="A377"/>
      <c r="B377"/>
      <c r="C377"/>
      <c r="D377"/>
      <c r="E377"/>
      <c r="F377"/>
      <c r="G377"/>
      <c r="H377"/>
      <c r="I377"/>
      <c r="J377"/>
    </row>
    <row r="378" spans="1:10" x14ac:dyDescent="0.25">
      <c r="A378"/>
      <c r="B378"/>
      <c r="C378"/>
      <c r="D378"/>
      <c r="E378"/>
      <c r="F378"/>
      <c r="G378"/>
      <c r="H378"/>
      <c r="I378"/>
      <c r="J378"/>
    </row>
    <row r="379" spans="1:10" x14ac:dyDescent="0.25">
      <c r="A379"/>
      <c r="B379"/>
      <c r="C379"/>
      <c r="D379"/>
      <c r="E379"/>
      <c r="F379"/>
      <c r="G379"/>
      <c r="H379"/>
      <c r="I379"/>
      <c r="J379"/>
    </row>
    <row r="380" spans="1:10" x14ac:dyDescent="0.25">
      <c r="A380"/>
      <c r="B380"/>
      <c r="C380"/>
      <c r="D380"/>
      <c r="E380"/>
      <c r="F380"/>
      <c r="G380"/>
      <c r="H380"/>
      <c r="I380"/>
      <c r="J380"/>
    </row>
    <row r="381" spans="1:10" x14ac:dyDescent="0.25">
      <c r="A381"/>
      <c r="B381"/>
      <c r="C381"/>
      <c r="D381"/>
      <c r="E381"/>
      <c r="F381"/>
      <c r="G381"/>
      <c r="H381"/>
      <c r="I381"/>
      <c r="J381"/>
    </row>
    <row r="382" spans="1:10" x14ac:dyDescent="0.25">
      <c r="A382"/>
      <c r="B382"/>
      <c r="C382"/>
      <c r="D382"/>
      <c r="E382"/>
      <c r="F382"/>
      <c r="G382"/>
      <c r="H382"/>
      <c r="I382"/>
      <c r="J382"/>
    </row>
    <row r="383" spans="1:10" x14ac:dyDescent="0.25">
      <c r="A383"/>
      <c r="B383"/>
      <c r="C383"/>
      <c r="D383"/>
      <c r="E383"/>
      <c r="F383"/>
      <c r="G383"/>
      <c r="H383"/>
      <c r="I383"/>
      <c r="J383"/>
    </row>
    <row r="384" spans="1:10" x14ac:dyDescent="0.25">
      <c r="A384"/>
      <c r="B384"/>
      <c r="C384"/>
      <c r="D384"/>
      <c r="E384"/>
      <c r="F384"/>
      <c r="G384"/>
      <c r="H384"/>
      <c r="I384"/>
      <c r="J384"/>
    </row>
    <row r="385" spans="1:10" x14ac:dyDescent="0.25">
      <c r="A385"/>
      <c r="B385"/>
      <c r="C385"/>
      <c r="D385"/>
      <c r="E385"/>
      <c r="F385"/>
      <c r="G385"/>
      <c r="H385"/>
      <c r="I385"/>
      <c r="J385"/>
    </row>
    <row r="386" spans="1:10" x14ac:dyDescent="0.25">
      <c r="A386"/>
      <c r="B386"/>
      <c r="C386"/>
      <c r="D386"/>
      <c r="E386"/>
      <c r="F386"/>
      <c r="G386"/>
      <c r="H386"/>
      <c r="I386"/>
      <c r="J386"/>
    </row>
    <row r="387" spans="1:10" x14ac:dyDescent="0.25">
      <c r="A387"/>
      <c r="B387"/>
      <c r="C387"/>
      <c r="D387"/>
      <c r="E387"/>
      <c r="F387"/>
      <c r="G387"/>
      <c r="H387"/>
      <c r="I387"/>
      <c r="J387"/>
    </row>
    <row r="388" spans="1:10" x14ac:dyDescent="0.25">
      <c r="A388"/>
      <c r="B388"/>
      <c r="C388"/>
      <c r="D388"/>
      <c r="E388"/>
      <c r="F388"/>
      <c r="G388"/>
      <c r="H388"/>
      <c r="I388"/>
      <c r="J388"/>
    </row>
    <row r="389" spans="1:10" x14ac:dyDescent="0.25">
      <c r="A389"/>
      <c r="B389"/>
      <c r="C389"/>
      <c r="D389"/>
      <c r="E389"/>
      <c r="F389"/>
      <c r="G389"/>
      <c r="H389"/>
      <c r="I389"/>
      <c r="J389"/>
    </row>
    <row r="390" spans="1:10" x14ac:dyDescent="0.25">
      <c r="A390"/>
      <c r="B390"/>
      <c r="C390"/>
      <c r="D390"/>
      <c r="E390"/>
      <c r="F390"/>
      <c r="G390"/>
      <c r="H390"/>
      <c r="I390"/>
      <c r="J390"/>
    </row>
    <row r="391" spans="1:10" x14ac:dyDescent="0.25">
      <c r="A391"/>
      <c r="B391"/>
      <c r="C391"/>
      <c r="D391"/>
      <c r="E391"/>
      <c r="F391"/>
      <c r="G391"/>
      <c r="H391"/>
      <c r="I391"/>
      <c r="J391"/>
    </row>
    <row r="392" spans="1:10" x14ac:dyDescent="0.25">
      <c r="A392"/>
      <c r="B392"/>
      <c r="C392"/>
      <c r="D392"/>
      <c r="E392"/>
      <c r="F392"/>
      <c r="G392"/>
      <c r="H392"/>
      <c r="I392"/>
      <c r="J392"/>
    </row>
    <row r="393" spans="1:10" x14ac:dyDescent="0.25">
      <c r="A393"/>
      <c r="B393"/>
      <c r="C393"/>
      <c r="D393"/>
      <c r="E393"/>
      <c r="F393"/>
      <c r="G393"/>
      <c r="H393"/>
      <c r="I393"/>
      <c r="J393"/>
    </row>
    <row r="394" spans="1:10" x14ac:dyDescent="0.25">
      <c r="A394"/>
      <c r="B394"/>
      <c r="C394"/>
      <c r="D394"/>
      <c r="E394"/>
      <c r="F394"/>
      <c r="G394"/>
      <c r="H394"/>
      <c r="I394"/>
      <c r="J394"/>
    </row>
    <row r="395" spans="1:10" x14ac:dyDescent="0.25">
      <c r="A395"/>
      <c r="B395"/>
      <c r="C395"/>
      <c r="D395"/>
      <c r="E395"/>
      <c r="F395"/>
      <c r="G395"/>
      <c r="H395"/>
      <c r="I395"/>
      <c r="J395"/>
    </row>
    <row r="396" spans="1:10" x14ac:dyDescent="0.25">
      <c r="A396"/>
      <c r="B396"/>
      <c r="C396"/>
      <c r="D396"/>
      <c r="E396"/>
      <c r="F396"/>
      <c r="G396"/>
      <c r="H396"/>
      <c r="I396"/>
      <c r="J396"/>
    </row>
    <row r="397" spans="1:10" x14ac:dyDescent="0.25">
      <c r="A397"/>
      <c r="B397"/>
      <c r="C397"/>
      <c r="D397"/>
      <c r="E397"/>
      <c r="F397"/>
      <c r="G397"/>
      <c r="H397"/>
      <c r="I397"/>
      <c r="J397"/>
    </row>
    <row r="398" spans="1:10" x14ac:dyDescent="0.25">
      <c r="A398"/>
      <c r="B398"/>
      <c r="C398"/>
      <c r="D398"/>
      <c r="E398"/>
      <c r="F398"/>
      <c r="G398"/>
      <c r="H398"/>
      <c r="I398"/>
      <c r="J398"/>
    </row>
    <row r="399" spans="1:10" x14ac:dyDescent="0.25">
      <c r="A399"/>
      <c r="B399"/>
      <c r="C399"/>
      <c r="D399"/>
      <c r="E399"/>
      <c r="F399"/>
      <c r="G399"/>
      <c r="H399"/>
      <c r="I399"/>
      <c r="J399"/>
    </row>
    <row r="400" spans="1:10" x14ac:dyDescent="0.25">
      <c r="A400"/>
      <c r="B400"/>
      <c r="C400"/>
      <c r="D400"/>
      <c r="E400"/>
      <c r="F400"/>
      <c r="G400"/>
      <c r="H400"/>
      <c r="I400"/>
      <c r="J400"/>
    </row>
    <row r="401" spans="1:10" x14ac:dyDescent="0.25">
      <c r="A401"/>
      <c r="B401"/>
      <c r="C401"/>
      <c r="D401"/>
      <c r="E401"/>
      <c r="F401"/>
      <c r="G401"/>
      <c r="H401"/>
      <c r="I401"/>
      <c r="J401"/>
    </row>
    <row r="402" spans="1:10" x14ac:dyDescent="0.25">
      <c r="A402"/>
      <c r="B402"/>
      <c r="C402"/>
      <c r="D402"/>
      <c r="E402"/>
      <c r="F402"/>
      <c r="G402"/>
      <c r="H402"/>
      <c r="I402"/>
      <c r="J402"/>
    </row>
    <row r="403" spans="1:10" x14ac:dyDescent="0.25">
      <c r="A403"/>
      <c r="B403"/>
      <c r="C403"/>
      <c r="D403"/>
      <c r="E403"/>
      <c r="F403"/>
      <c r="G403"/>
      <c r="H403"/>
      <c r="I403"/>
      <c r="J403"/>
    </row>
    <row r="404" spans="1:10" x14ac:dyDescent="0.25">
      <c r="A404"/>
      <c r="B404"/>
      <c r="C404"/>
      <c r="D404"/>
      <c r="E404"/>
      <c r="F404"/>
      <c r="G404"/>
      <c r="H404"/>
      <c r="I404"/>
      <c r="J404"/>
    </row>
    <row r="405" spans="1:10" x14ac:dyDescent="0.25">
      <c r="A405"/>
      <c r="B405"/>
      <c r="C405"/>
      <c r="D405"/>
      <c r="E405"/>
      <c r="F405"/>
      <c r="G405"/>
      <c r="H405"/>
      <c r="I405"/>
      <c r="J405"/>
    </row>
    <row r="406" spans="1:10" x14ac:dyDescent="0.25">
      <c r="A406"/>
      <c r="B406"/>
      <c r="C406"/>
      <c r="D406"/>
      <c r="E406"/>
      <c r="F406"/>
      <c r="G406"/>
      <c r="H406"/>
      <c r="I406"/>
      <c r="J406"/>
    </row>
    <row r="407" spans="1:10" x14ac:dyDescent="0.25">
      <c r="A407"/>
      <c r="B407"/>
      <c r="C407"/>
      <c r="D407"/>
      <c r="E407"/>
      <c r="F407"/>
      <c r="G407"/>
      <c r="H407"/>
      <c r="I407"/>
      <c r="J407"/>
    </row>
    <row r="408" spans="1:10" x14ac:dyDescent="0.25">
      <c r="A408"/>
      <c r="B408"/>
      <c r="C408"/>
      <c r="D408"/>
      <c r="E408"/>
      <c r="F408"/>
      <c r="G408"/>
      <c r="H408"/>
      <c r="I408"/>
      <c r="J408"/>
    </row>
    <row r="409" spans="1:10" x14ac:dyDescent="0.25">
      <c r="A409"/>
      <c r="B409"/>
      <c r="C409"/>
      <c r="D409"/>
      <c r="E409"/>
      <c r="F409"/>
      <c r="G409"/>
      <c r="H409"/>
      <c r="I409"/>
      <c r="J409"/>
    </row>
    <row r="410" spans="1:10" x14ac:dyDescent="0.25">
      <c r="A410"/>
      <c r="B410"/>
      <c r="C410"/>
      <c r="D410"/>
      <c r="E410"/>
      <c r="F410"/>
      <c r="G410"/>
      <c r="H410"/>
      <c r="I410"/>
      <c r="J410"/>
    </row>
    <row r="411" spans="1:10" x14ac:dyDescent="0.25">
      <c r="A411"/>
      <c r="B411"/>
      <c r="C411"/>
      <c r="D411"/>
      <c r="E411"/>
      <c r="F411"/>
      <c r="G411"/>
      <c r="H411"/>
      <c r="I411"/>
      <c r="J411"/>
    </row>
    <row r="412" spans="1:10" x14ac:dyDescent="0.25">
      <c r="A412"/>
      <c r="B412"/>
      <c r="C412"/>
      <c r="D412"/>
      <c r="E412"/>
      <c r="F412"/>
      <c r="G412"/>
      <c r="H412"/>
      <c r="I412"/>
      <c r="J412"/>
    </row>
    <row r="413" spans="1:10" x14ac:dyDescent="0.25">
      <c r="A413"/>
      <c r="B413"/>
      <c r="C413"/>
      <c r="D413"/>
      <c r="E413"/>
      <c r="F413"/>
      <c r="G413"/>
      <c r="H413"/>
      <c r="I413"/>
      <c r="J413"/>
    </row>
    <row r="414" spans="1:10" x14ac:dyDescent="0.25">
      <c r="A414"/>
      <c r="B414"/>
      <c r="C414"/>
      <c r="D414"/>
      <c r="E414"/>
      <c r="F414"/>
      <c r="G414"/>
      <c r="H414"/>
      <c r="I414"/>
      <c r="J414"/>
    </row>
    <row r="415" spans="1:10" x14ac:dyDescent="0.25">
      <c r="A415"/>
      <c r="B415"/>
      <c r="C415"/>
      <c r="D415"/>
      <c r="E415"/>
      <c r="F415"/>
      <c r="G415"/>
      <c r="H415"/>
      <c r="I415"/>
      <c r="J415"/>
    </row>
    <row r="416" spans="1:10" x14ac:dyDescent="0.25">
      <c r="A416"/>
      <c r="B416"/>
      <c r="C416"/>
      <c r="D416"/>
      <c r="E416"/>
      <c r="F416"/>
      <c r="G416"/>
      <c r="H416"/>
      <c r="I416"/>
      <c r="J416"/>
    </row>
    <row r="417" spans="1:10" x14ac:dyDescent="0.25">
      <c r="A417"/>
      <c r="B417"/>
      <c r="C417"/>
      <c r="D417"/>
      <c r="E417"/>
      <c r="F417"/>
      <c r="G417"/>
      <c r="H417"/>
      <c r="I417"/>
      <c r="J417"/>
    </row>
    <row r="418" spans="1:10" x14ac:dyDescent="0.25">
      <c r="A418"/>
      <c r="B418"/>
      <c r="C418"/>
      <c r="D418"/>
      <c r="E418"/>
      <c r="F418"/>
      <c r="G418"/>
      <c r="H418"/>
      <c r="I418"/>
      <c r="J418"/>
    </row>
    <row r="419" spans="1:10" x14ac:dyDescent="0.25">
      <c r="A419"/>
      <c r="B419"/>
      <c r="C419"/>
      <c r="D419"/>
      <c r="E419"/>
      <c r="F419"/>
      <c r="G419"/>
      <c r="H419"/>
      <c r="I419"/>
      <c r="J419"/>
    </row>
    <row r="420" spans="1:10" x14ac:dyDescent="0.25">
      <c r="A420"/>
      <c r="B420"/>
      <c r="C420"/>
      <c r="D420"/>
      <c r="E420"/>
      <c r="F420"/>
      <c r="G420"/>
      <c r="H420"/>
      <c r="I420"/>
      <c r="J420"/>
    </row>
    <row r="421" spans="1:10" x14ac:dyDescent="0.25">
      <c r="A421"/>
      <c r="B421"/>
      <c r="C421"/>
      <c r="D421"/>
      <c r="E421"/>
      <c r="F421"/>
      <c r="G421"/>
      <c r="H421"/>
      <c r="I421"/>
      <c r="J421"/>
    </row>
    <row r="422" spans="1:10" x14ac:dyDescent="0.25">
      <c r="A422"/>
      <c r="B422"/>
      <c r="C422"/>
      <c r="D422"/>
      <c r="E422"/>
      <c r="F422"/>
      <c r="G422"/>
      <c r="H422"/>
      <c r="I422"/>
      <c r="J422"/>
    </row>
    <row r="423" spans="1:10" x14ac:dyDescent="0.25">
      <c r="A423"/>
      <c r="B423"/>
      <c r="C423"/>
      <c r="D423"/>
      <c r="E423"/>
      <c r="F423"/>
      <c r="G423"/>
      <c r="H423"/>
      <c r="I423"/>
      <c r="J423"/>
    </row>
    <row r="424" spans="1:10" x14ac:dyDescent="0.25">
      <c r="A424"/>
      <c r="B424"/>
      <c r="C424"/>
      <c r="D424"/>
      <c r="E424"/>
      <c r="F424"/>
      <c r="G424"/>
      <c r="H424"/>
      <c r="I424"/>
      <c r="J424"/>
    </row>
    <row r="425" spans="1:10" x14ac:dyDescent="0.25">
      <c r="A425"/>
      <c r="B425"/>
      <c r="C425"/>
      <c r="D425"/>
      <c r="E425"/>
      <c r="F425"/>
      <c r="G425"/>
      <c r="H425"/>
      <c r="I425"/>
      <c r="J425"/>
    </row>
    <row r="426" spans="1:10" x14ac:dyDescent="0.25">
      <c r="A426"/>
      <c r="B426"/>
      <c r="C426"/>
      <c r="D426"/>
      <c r="E426"/>
      <c r="F426"/>
      <c r="G426"/>
      <c r="H426"/>
      <c r="I426"/>
      <c r="J426"/>
    </row>
    <row r="427" spans="1:10" x14ac:dyDescent="0.25">
      <c r="A427"/>
      <c r="B427"/>
      <c r="C427"/>
      <c r="D427"/>
      <c r="E427"/>
      <c r="F427"/>
      <c r="G427"/>
      <c r="H427"/>
      <c r="I427"/>
      <c r="J427"/>
    </row>
    <row r="428" spans="1:10" x14ac:dyDescent="0.25">
      <c r="A428"/>
      <c r="B428"/>
      <c r="C428"/>
      <c r="D428"/>
      <c r="E428"/>
      <c r="F428"/>
      <c r="G428"/>
      <c r="H428"/>
      <c r="I428"/>
      <c r="J428"/>
    </row>
    <row r="429" spans="1:10" x14ac:dyDescent="0.25">
      <c r="A429"/>
      <c r="B429"/>
      <c r="C429"/>
      <c r="D429"/>
      <c r="E429"/>
      <c r="F429"/>
      <c r="G429"/>
      <c r="H429"/>
      <c r="I429"/>
      <c r="J429"/>
    </row>
    <row r="430" spans="1:10" x14ac:dyDescent="0.25">
      <c r="A430"/>
      <c r="B430"/>
      <c r="C430"/>
      <c r="D430"/>
      <c r="E430"/>
      <c r="F430"/>
      <c r="G430"/>
      <c r="H430"/>
      <c r="I430"/>
      <c r="J430"/>
    </row>
    <row r="431" spans="1:10" x14ac:dyDescent="0.25">
      <c r="A431"/>
      <c r="B431"/>
      <c r="C431"/>
      <c r="D431"/>
      <c r="E431"/>
      <c r="F431"/>
      <c r="G431"/>
      <c r="H431"/>
      <c r="I431"/>
      <c r="J431"/>
    </row>
    <row r="432" spans="1:10" x14ac:dyDescent="0.25">
      <c r="A432"/>
      <c r="B432"/>
      <c r="C432"/>
      <c r="D432"/>
      <c r="E432"/>
      <c r="F432"/>
      <c r="G432"/>
      <c r="H432"/>
      <c r="I432"/>
      <c r="J432"/>
    </row>
    <row r="433" spans="1:10" x14ac:dyDescent="0.25">
      <c r="A433"/>
      <c r="B433"/>
      <c r="C433"/>
      <c r="D433"/>
      <c r="E433"/>
      <c r="F433"/>
      <c r="G433"/>
      <c r="H433"/>
      <c r="I433"/>
      <c r="J433"/>
    </row>
    <row r="434" spans="1:10" x14ac:dyDescent="0.25">
      <c r="A434"/>
      <c r="B434"/>
      <c r="C434"/>
      <c r="D434"/>
      <c r="E434"/>
      <c r="F434"/>
      <c r="G434"/>
      <c r="H434"/>
      <c r="I434"/>
      <c r="J434"/>
    </row>
    <row r="435" spans="1:10" x14ac:dyDescent="0.25">
      <c r="A435"/>
      <c r="B435"/>
      <c r="C435"/>
      <c r="D435"/>
      <c r="E435"/>
      <c r="F435"/>
      <c r="G435"/>
      <c r="H435"/>
      <c r="I435"/>
      <c r="J435"/>
    </row>
    <row r="436" spans="1:10" x14ac:dyDescent="0.25">
      <c r="A436"/>
      <c r="B436"/>
      <c r="C436"/>
      <c r="D436"/>
      <c r="E436"/>
      <c r="F436"/>
      <c r="G436"/>
      <c r="H436"/>
      <c r="I436"/>
      <c r="J436"/>
    </row>
    <row r="437" spans="1:10" x14ac:dyDescent="0.25">
      <c r="A437"/>
      <c r="B437"/>
      <c r="C437"/>
      <c r="D437"/>
      <c r="E437"/>
      <c r="F437"/>
      <c r="G437"/>
      <c r="H437"/>
      <c r="I437"/>
      <c r="J437"/>
    </row>
    <row r="438" spans="1:10" x14ac:dyDescent="0.25">
      <c r="A438"/>
      <c r="B438"/>
      <c r="C438"/>
      <c r="D438"/>
      <c r="E438"/>
      <c r="F438"/>
      <c r="G438"/>
      <c r="H438"/>
      <c r="I438"/>
      <c r="J438"/>
    </row>
    <row r="439" spans="1:10" x14ac:dyDescent="0.25">
      <c r="A439"/>
      <c r="B439"/>
      <c r="C439"/>
      <c r="D439"/>
      <c r="E439"/>
      <c r="F439"/>
      <c r="G439"/>
      <c r="H439"/>
      <c r="I439"/>
      <c r="J439"/>
    </row>
  </sheetData>
  <dataValidations count="1">
    <dataValidation type="list" allowBlank="1" showInputMessage="1" sqref="C1:G1" xr:uid="{00000000-0002-0000-0A00-000000000000}">
      <formula1>"..."</formula1>
    </dataValidation>
  </dataValidations>
  <pageMargins left="0.7" right="0.7" top="0.75" bottom="0.75" header="0.3" footer="0.3"/>
  <customProperties>
    <customPr name="ConnName" r:id="rId1"/>
    <customPr name="ConnPOV" r:id="rId2"/>
    <customPr name="HyperionPOVXML" r:id="rId3"/>
    <customPr name="HyperionXML" r:id="rId4"/>
    <customPr name="SheetHasParityContent" r:id="rId5"/>
    <customPr name="SheetOptions" r:id="rId6"/>
    <customPr name="ShowPOV" r:id="rId7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47CC794813E498F4E0E4373AD9880" ma:contentTypeVersion="13" ma:contentTypeDescription="Create a new document." ma:contentTypeScope="" ma:versionID="19bd0f3f098e4554af442974769715ad">
  <xsd:schema xmlns:xsd="http://www.w3.org/2001/XMLSchema" xmlns:xs="http://www.w3.org/2001/XMLSchema" xmlns:p="http://schemas.microsoft.com/office/2006/metadata/properties" xmlns:ns3="ed2f2222-2bff-489f-89bb-9539c67e7b9c" xmlns:ns4="77842aba-bda6-4832-96cd-e75cb5324294" targetNamespace="http://schemas.microsoft.com/office/2006/metadata/properties" ma:root="true" ma:fieldsID="c4812caaf550288760edcdace7872f1e" ns3:_="" ns4:_="">
    <xsd:import namespace="ed2f2222-2bff-489f-89bb-9539c67e7b9c"/>
    <xsd:import namespace="77842aba-bda6-4832-96cd-e75cb53242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ingHintHash" minOccurs="0"/>
                <xsd:element ref="ns3:SharedWithDetails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f2222-2bff-489f-89bb-9539c67e7b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hidden="true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42aba-bda6-4832-96cd-e75cb5324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60EF89F-258D-4656-B645-0F5675E8D65F}">
  <ds:schemaRefs>
    <ds:schemaRef ds:uri="http://purl.org/dc/terms/"/>
    <ds:schemaRef ds:uri="http://purl.org/dc/elements/1.1/"/>
    <ds:schemaRef ds:uri="http://www.w3.org/XML/1998/namespace"/>
    <ds:schemaRef ds:uri="http://purl.org/dc/dcmitype/"/>
    <ds:schemaRef ds:uri="http://schemas.microsoft.com/office/infopath/2007/PartnerControls"/>
    <ds:schemaRef ds:uri="ed2f2222-2bff-489f-89bb-9539c67e7b9c"/>
    <ds:schemaRef ds:uri="http://schemas.microsoft.com/office/2006/documentManagement/types"/>
    <ds:schemaRef ds:uri="http://schemas.openxmlformats.org/package/2006/metadata/core-properties"/>
    <ds:schemaRef ds:uri="77842aba-bda6-4832-96cd-e75cb5324294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B259AB9-BFEB-4459-A99C-CE123988A32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C916660-9B9A-4685-82C6-42A91D9068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f2222-2bff-489f-89bb-9539c67e7b9c"/>
    <ds:schemaRef ds:uri="77842aba-bda6-4832-96cd-e75cb53242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TOTAL</vt:lpstr>
      <vt:lpstr>Submetering</vt:lpstr>
      <vt:lpstr>Info</vt:lpstr>
      <vt:lpstr>Logsheet</vt:lpstr>
      <vt:lpstr>Golf Logsheet</vt:lpstr>
      <vt:lpstr>Graphs</vt:lpstr>
      <vt:lpstr>Drawing</vt:lpstr>
      <vt:lpstr>Occupancy</vt:lpstr>
      <vt:lpstr>Elect</vt:lpstr>
      <vt:lpstr>Wtr-Gas</vt:lpstr>
      <vt:lpstr>Essbase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Tom Wuebben</cp:lastModifiedBy>
  <cp:revision/>
  <dcterms:created xsi:type="dcterms:W3CDTF">2017-05-03T09:23:30Z</dcterms:created>
  <dcterms:modified xsi:type="dcterms:W3CDTF">2021-03-01T15:19:20Z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0x010100E0047CC794813E498F4E0E4373AD9880</vt:lpwstr>
  </property>
</Properties>
</file>