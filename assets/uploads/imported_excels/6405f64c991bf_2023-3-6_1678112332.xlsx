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d9a\AC\Temp\"/>
    </mc:Choice>
  </mc:AlternateContent>
  <xr:revisionPtr revIDLastSave="4" documentId="8_{619E375F-5038-4B00-A556-F9373D7F4EF9}" xr6:coauthVersionLast="47" xr6:coauthVersionMax="47" xr10:uidLastSave="{6CEB4162-2614-4A06-AFF9-8B1188CEFCC3}"/>
  <bookViews>
    <workbookView xWindow="-60" yWindow="-60" windowWidth="15480" windowHeight="11640" xr2:uid="{00000000-000D-0000-FFFF-FFFF00000000}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BE4" i="2"/>
  <c r="BC4" i="2"/>
  <c r="BB4" i="2"/>
  <c r="BA4" i="2"/>
  <c r="AZ4" i="2"/>
  <c r="AV4" i="2"/>
  <c r="AL36" i="2"/>
  <c r="Q5" i="2"/>
  <c r="H3" i="4"/>
  <c r="F4" i="2"/>
  <c r="AT36" i="2"/>
  <c r="AS36" i="2"/>
  <c r="AR36" i="2"/>
  <c r="AN36" i="2"/>
  <c r="AJ36" i="2"/>
  <c r="AG36" i="2"/>
  <c r="AD36" i="2"/>
  <c r="AB37" i="2"/>
  <c r="AJ37" i="2"/>
  <c r="AA36" i="2"/>
  <c r="X36" i="2"/>
  <c r="T36" i="2"/>
  <c r="R36" i="2"/>
  <c r="P36" i="2"/>
  <c r="BI35" i="2"/>
  <c r="BH35" i="2"/>
  <c r="BG35" i="2"/>
  <c r="BF35" i="2"/>
  <c r="BE35" i="2"/>
  <c r="BD35" i="2"/>
  <c r="BC35" i="2"/>
  <c r="BB35" i="2"/>
  <c r="BA35" i="2"/>
  <c r="AZ35" i="2"/>
  <c r="AW35" i="2"/>
  <c r="AQ35" i="2"/>
  <c r="AM35" i="2"/>
  <c r="AI35" i="2"/>
  <c r="AF35" i="2"/>
  <c r="AC35" i="2"/>
  <c r="U35" i="2"/>
  <c r="S35" i="2"/>
  <c r="I33" i="4"/>
  <c r="Q35" i="2"/>
  <c r="H33" i="4"/>
  <c r="O35" i="2"/>
  <c r="K35" i="2"/>
  <c r="I35" i="2"/>
  <c r="M35" i="2"/>
  <c r="G35" i="2"/>
  <c r="F33" i="4"/>
  <c r="E35" i="2"/>
  <c r="BI34" i="2"/>
  <c r="BH34" i="2"/>
  <c r="BG34" i="2"/>
  <c r="BF34" i="2"/>
  <c r="BE34" i="2"/>
  <c r="BD34" i="2"/>
  <c r="BC34" i="2"/>
  <c r="BB34" i="2"/>
  <c r="BA34" i="2"/>
  <c r="AZ34" i="2"/>
  <c r="AY34" i="2"/>
  <c r="AY35" i="2"/>
  <c r="AW34" i="2"/>
  <c r="AQ34" i="2"/>
  <c r="AM34" i="2"/>
  <c r="AI34" i="2"/>
  <c r="AF34" i="2"/>
  <c r="AC34" i="2"/>
  <c r="U34" i="2"/>
  <c r="S34" i="2"/>
  <c r="Q34" i="2"/>
  <c r="H32" i="4"/>
  <c r="O34" i="2"/>
  <c r="G32" i="4"/>
  <c r="K34" i="2"/>
  <c r="I34" i="2"/>
  <c r="M34" i="2"/>
  <c r="G34" i="2"/>
  <c r="E34" i="2"/>
  <c r="BI33" i="2"/>
  <c r="BH33" i="2"/>
  <c r="BG33" i="2"/>
  <c r="BF33" i="2"/>
  <c r="BE33" i="2"/>
  <c r="BD33" i="2"/>
  <c r="BC33" i="2"/>
  <c r="BB33" i="2"/>
  <c r="BA33" i="2"/>
  <c r="AZ33" i="2"/>
  <c r="AW33" i="2"/>
  <c r="AQ33" i="2"/>
  <c r="AM33" i="2"/>
  <c r="AI33" i="2"/>
  <c r="AF33" i="2"/>
  <c r="AC33" i="2"/>
  <c r="U33" i="2"/>
  <c r="S33" i="2"/>
  <c r="I31" i="4"/>
  <c r="Q33" i="2"/>
  <c r="O33" i="2"/>
  <c r="G31" i="4"/>
  <c r="K33" i="2"/>
  <c r="I33" i="2"/>
  <c r="M33" i="2"/>
  <c r="G33" i="2"/>
  <c r="E33" i="2"/>
  <c r="BI32" i="2"/>
  <c r="BH32" i="2"/>
  <c r="BG32" i="2"/>
  <c r="BF32" i="2"/>
  <c r="BE32" i="2"/>
  <c r="BD32" i="2"/>
  <c r="AW32" i="2"/>
  <c r="AQ32" i="2"/>
  <c r="AM32" i="2"/>
  <c r="AI32" i="2"/>
  <c r="AF32" i="2"/>
  <c r="AC32" i="2"/>
  <c r="U32" i="2"/>
  <c r="S32" i="2"/>
  <c r="Q32" i="2"/>
  <c r="O32" i="2"/>
  <c r="G30" i="4"/>
  <c r="K32" i="2"/>
  <c r="I32" i="2"/>
  <c r="M32" i="2"/>
  <c r="G32" i="2"/>
  <c r="F30" i="4"/>
  <c r="E32" i="2"/>
  <c r="BI31" i="2"/>
  <c r="BH31" i="2"/>
  <c r="BG31" i="2"/>
  <c r="BF31" i="2"/>
  <c r="BE31" i="2"/>
  <c r="BD31" i="2"/>
  <c r="AW31" i="2"/>
  <c r="AQ31" i="2"/>
  <c r="AM31" i="2"/>
  <c r="AI31" i="2"/>
  <c r="AF31" i="2"/>
  <c r="AC31" i="2"/>
  <c r="U31" i="2"/>
  <c r="J29" i="4"/>
  <c r="S31" i="2"/>
  <c r="I29" i="4"/>
  <c r="Q31" i="2"/>
  <c r="O31" i="2"/>
  <c r="K31" i="2"/>
  <c r="I31" i="2"/>
  <c r="M31" i="2"/>
  <c r="G31" i="2"/>
  <c r="E31" i="2"/>
  <c r="E29" i="4"/>
  <c r="BI30" i="2"/>
  <c r="BH30" i="2"/>
  <c r="BG30" i="2"/>
  <c r="BF30" i="2"/>
  <c r="BE30" i="2"/>
  <c r="BD30" i="2"/>
  <c r="AW30" i="2"/>
  <c r="AQ30" i="2"/>
  <c r="AM30" i="2"/>
  <c r="AI30" i="2"/>
  <c r="AF30" i="2"/>
  <c r="AC30" i="2"/>
  <c r="U30" i="2"/>
  <c r="S30" i="2"/>
  <c r="I28" i="4"/>
  <c r="Q30" i="2"/>
  <c r="H28" i="4"/>
  <c r="O30" i="2"/>
  <c r="G28" i="4"/>
  <c r="K30" i="2"/>
  <c r="I30" i="2"/>
  <c r="M30" i="2"/>
  <c r="G30" i="2"/>
  <c r="E30" i="2"/>
  <c r="E28" i="4"/>
  <c r="A30" i="2"/>
  <c r="BC30" i="2"/>
  <c r="BI29" i="2"/>
  <c r="BH29" i="2"/>
  <c r="BG29" i="2"/>
  <c r="BF29" i="2"/>
  <c r="BE29" i="2"/>
  <c r="BD29" i="2"/>
  <c r="BC29" i="2"/>
  <c r="BB29" i="2"/>
  <c r="BA29" i="2"/>
  <c r="AZ29" i="2"/>
  <c r="AW29" i="2"/>
  <c r="AQ29" i="2"/>
  <c r="AM29" i="2"/>
  <c r="AI29" i="2"/>
  <c r="AF29" i="2"/>
  <c r="AC29" i="2"/>
  <c r="U29" i="2"/>
  <c r="J27" i="4"/>
  <c r="S29" i="2"/>
  <c r="Q29" i="2"/>
  <c r="O29" i="2"/>
  <c r="K29" i="2"/>
  <c r="I29" i="2"/>
  <c r="M29" i="2"/>
  <c r="G29" i="2"/>
  <c r="F27" i="4"/>
  <c r="E29" i="2"/>
  <c r="BC28" i="2"/>
  <c r="BB28" i="2"/>
  <c r="BA28" i="2"/>
  <c r="AZ28" i="2"/>
  <c r="U28" i="2"/>
  <c r="J26" i="4"/>
  <c r="S28" i="2"/>
  <c r="I26" i="4"/>
  <c r="Q28" i="2"/>
  <c r="H26" i="4"/>
  <c r="O28" i="2"/>
  <c r="K28" i="2"/>
  <c r="I28" i="2"/>
  <c r="G28" i="2"/>
  <c r="E28" i="2"/>
  <c r="E26" i="4"/>
  <c r="BI27" i="2"/>
  <c r="BH27" i="2"/>
  <c r="BG27" i="2"/>
  <c r="BF27" i="2"/>
  <c r="BE27" i="2"/>
  <c r="BD27" i="2"/>
  <c r="AW27" i="2"/>
  <c r="AQ27" i="2"/>
  <c r="AM27" i="2"/>
  <c r="AI27" i="2"/>
  <c r="AF27" i="2"/>
  <c r="AC27" i="2"/>
  <c r="U27" i="2"/>
  <c r="J25" i="4"/>
  <c r="S27" i="2"/>
  <c r="Q27" i="2"/>
  <c r="H25" i="4"/>
  <c r="O27" i="2"/>
  <c r="K27" i="2"/>
  <c r="I27" i="2"/>
  <c r="M27" i="2"/>
  <c r="G27" i="2"/>
  <c r="E27" i="2"/>
  <c r="E25" i="4"/>
  <c r="BI26" i="2"/>
  <c r="BH26" i="2"/>
  <c r="BG26" i="2"/>
  <c r="BF26" i="2"/>
  <c r="BE26" i="2"/>
  <c r="BD26" i="2"/>
  <c r="AW26" i="2"/>
  <c r="AQ26" i="2"/>
  <c r="AM26" i="2"/>
  <c r="AI26" i="2"/>
  <c r="AF26" i="2"/>
  <c r="AC26" i="2"/>
  <c r="U26" i="2"/>
  <c r="S26" i="2"/>
  <c r="Q26" i="2"/>
  <c r="O26" i="2"/>
  <c r="K26" i="2"/>
  <c r="I26" i="2"/>
  <c r="M26" i="2"/>
  <c r="G26" i="2"/>
  <c r="E26" i="2"/>
  <c r="BI25" i="2"/>
  <c r="BH25" i="2"/>
  <c r="BG25" i="2"/>
  <c r="BF25" i="2"/>
  <c r="BE25" i="2"/>
  <c r="BD25" i="2"/>
  <c r="AW25" i="2"/>
  <c r="AQ25" i="2"/>
  <c r="AM25" i="2"/>
  <c r="AI25" i="2"/>
  <c r="AF25" i="2"/>
  <c r="AC25" i="2"/>
  <c r="U25" i="2"/>
  <c r="J23" i="4"/>
  <c r="S25" i="2"/>
  <c r="I23" i="4"/>
  <c r="Q25" i="2"/>
  <c r="O25" i="2"/>
  <c r="K25" i="2"/>
  <c r="I25" i="2"/>
  <c r="M25" i="2"/>
  <c r="G25" i="2"/>
  <c r="E25" i="2"/>
  <c r="E23" i="4"/>
  <c r="BI24" i="2"/>
  <c r="BH24" i="2"/>
  <c r="BG24" i="2"/>
  <c r="BF24" i="2"/>
  <c r="BE24" i="2"/>
  <c r="AW24" i="2"/>
  <c r="AQ24" i="2"/>
  <c r="AM24" i="2"/>
  <c r="AI24" i="2"/>
  <c r="AF24" i="2"/>
  <c r="AC24" i="2"/>
  <c r="U24" i="2"/>
  <c r="S24" i="2"/>
  <c r="Q24" i="2"/>
  <c r="O24" i="2"/>
  <c r="K24" i="2"/>
  <c r="I24" i="2"/>
  <c r="M24" i="2"/>
  <c r="G24" i="2"/>
  <c r="F22" i="4"/>
  <c r="E24" i="2"/>
  <c r="BI23" i="2"/>
  <c r="BH23" i="2"/>
  <c r="BG23" i="2"/>
  <c r="BF23" i="2"/>
  <c r="BE23" i="2"/>
  <c r="BD23" i="2"/>
  <c r="AW23" i="2"/>
  <c r="AQ23" i="2"/>
  <c r="AM23" i="2"/>
  <c r="AI23" i="2"/>
  <c r="AF23" i="2"/>
  <c r="AC23" i="2"/>
  <c r="U23" i="2"/>
  <c r="S23" i="2"/>
  <c r="Q23" i="2"/>
  <c r="O23" i="2"/>
  <c r="G21" i="4"/>
  <c r="K23" i="2"/>
  <c r="I23" i="2"/>
  <c r="M23" i="2"/>
  <c r="G23" i="2"/>
  <c r="F21" i="4"/>
  <c r="E23" i="2"/>
  <c r="BI22" i="2"/>
  <c r="BH22" i="2"/>
  <c r="BG22" i="2"/>
  <c r="BF22" i="2"/>
  <c r="BE22" i="2"/>
  <c r="BD22" i="2"/>
  <c r="AW22" i="2"/>
  <c r="AQ22" i="2"/>
  <c r="AM22" i="2"/>
  <c r="AI22" i="2"/>
  <c r="AF22" i="2"/>
  <c r="AC22" i="2"/>
  <c r="U22" i="2"/>
  <c r="S22" i="2"/>
  <c r="I20" i="4"/>
  <c r="Q22" i="2"/>
  <c r="O22" i="2"/>
  <c r="K22" i="2"/>
  <c r="I22" i="2"/>
  <c r="M22" i="2"/>
  <c r="G22" i="2"/>
  <c r="E22" i="2"/>
  <c r="E20" i="4"/>
  <c r="BI21" i="2"/>
  <c r="BH21" i="2"/>
  <c r="BG21" i="2"/>
  <c r="BF21" i="2"/>
  <c r="BE21" i="2"/>
  <c r="BD21" i="2"/>
  <c r="AW21" i="2"/>
  <c r="AQ21" i="2"/>
  <c r="AM21" i="2"/>
  <c r="AI21" i="2"/>
  <c r="AF21" i="2"/>
  <c r="AC21" i="2"/>
  <c r="U21" i="2"/>
  <c r="S21" i="2"/>
  <c r="I19" i="4"/>
  <c r="Q21" i="2"/>
  <c r="O21" i="2"/>
  <c r="G19" i="4"/>
  <c r="K21" i="2"/>
  <c r="I21" i="2"/>
  <c r="M21" i="2"/>
  <c r="G21" i="2"/>
  <c r="E21" i="2"/>
  <c r="BI20" i="2"/>
  <c r="BH20" i="2"/>
  <c r="BG20" i="2"/>
  <c r="BF20" i="2"/>
  <c r="BE20" i="2"/>
  <c r="BD20" i="2"/>
  <c r="AW20" i="2"/>
  <c r="AQ20" i="2"/>
  <c r="AM20" i="2"/>
  <c r="AI20" i="2"/>
  <c r="AF20" i="2"/>
  <c r="AC20" i="2"/>
  <c r="U20" i="2"/>
  <c r="S20" i="2"/>
  <c r="Q20" i="2"/>
  <c r="O20" i="2"/>
  <c r="G18" i="4"/>
  <c r="K20" i="2"/>
  <c r="I20" i="2"/>
  <c r="M20" i="2"/>
  <c r="G20" i="2"/>
  <c r="F18" i="4"/>
  <c r="E20" i="2"/>
  <c r="BI19" i="2"/>
  <c r="BH19" i="2"/>
  <c r="BG19" i="2"/>
  <c r="BF19" i="2"/>
  <c r="BE19" i="2"/>
  <c r="BD19" i="2"/>
  <c r="AW19" i="2"/>
  <c r="AQ19" i="2"/>
  <c r="AM19" i="2"/>
  <c r="AI19" i="2"/>
  <c r="AF19" i="2"/>
  <c r="AC19" i="2"/>
  <c r="U19" i="2"/>
  <c r="J17" i="4"/>
  <c r="S19" i="2"/>
  <c r="Q19" i="2"/>
  <c r="O19" i="2"/>
  <c r="K19" i="2"/>
  <c r="I19" i="2"/>
  <c r="M19" i="2"/>
  <c r="G19" i="2"/>
  <c r="F17" i="4"/>
  <c r="E19" i="2"/>
  <c r="E17" i="4"/>
  <c r="BI18" i="2"/>
  <c r="BH18" i="2"/>
  <c r="BG18" i="2"/>
  <c r="BF18" i="2"/>
  <c r="BE18" i="2"/>
  <c r="BD18" i="2"/>
  <c r="AW18" i="2"/>
  <c r="AQ18" i="2"/>
  <c r="AM18" i="2"/>
  <c r="AI18" i="2"/>
  <c r="AF18" i="2"/>
  <c r="AC18" i="2"/>
  <c r="U18" i="2"/>
  <c r="S18" i="2"/>
  <c r="I16" i="4"/>
  <c r="Q18" i="2"/>
  <c r="O18" i="2"/>
  <c r="K18" i="2"/>
  <c r="I18" i="2"/>
  <c r="M18" i="2"/>
  <c r="G18" i="2"/>
  <c r="E18" i="2"/>
  <c r="E16" i="4"/>
  <c r="A18" i="2"/>
  <c r="BC18" i="2" s="1"/>
  <c r="BA18" i="2"/>
  <c r="BI17" i="2"/>
  <c r="BH17" i="2"/>
  <c r="BG17" i="2"/>
  <c r="BF17" i="2"/>
  <c r="BE17" i="2"/>
  <c r="BD17" i="2"/>
  <c r="BC17" i="2"/>
  <c r="BB17" i="2"/>
  <c r="BA17" i="2"/>
  <c r="AZ17" i="2"/>
  <c r="AW17" i="2"/>
  <c r="AQ17" i="2"/>
  <c r="AM17" i="2"/>
  <c r="AI17" i="2"/>
  <c r="AF17" i="2"/>
  <c r="AC17" i="2"/>
  <c r="U17" i="2"/>
  <c r="S17" i="2"/>
  <c r="Q17" i="2"/>
  <c r="H15" i="4"/>
  <c r="O17" i="2"/>
  <c r="K17" i="2"/>
  <c r="I17" i="2"/>
  <c r="M17" i="2"/>
  <c r="G17" i="2"/>
  <c r="E17" i="2"/>
  <c r="BI16" i="2"/>
  <c r="BH16" i="2"/>
  <c r="BG16" i="2"/>
  <c r="BF16" i="2"/>
  <c r="BE16" i="2"/>
  <c r="BD16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9" i="2"/>
  <c r="AY30" i="2"/>
  <c r="AY31" i="2"/>
  <c r="AY32" i="2"/>
  <c r="AW16" i="2"/>
  <c r="AQ16" i="2"/>
  <c r="AM16" i="2"/>
  <c r="AI16" i="2"/>
  <c r="AF16" i="2"/>
  <c r="AC16" i="2"/>
  <c r="U16" i="2"/>
  <c r="J14" i="4"/>
  <c r="S16" i="2"/>
  <c r="Q16" i="2"/>
  <c r="O16" i="2"/>
  <c r="K16" i="2"/>
  <c r="I16" i="2"/>
  <c r="M16" i="2"/>
  <c r="G16" i="2"/>
  <c r="E16" i="2"/>
  <c r="E14" i="4"/>
  <c r="BI15" i="2"/>
  <c r="BH15" i="2"/>
  <c r="BG15" i="2"/>
  <c r="BF15" i="2"/>
  <c r="BE15" i="2"/>
  <c r="BD15" i="2"/>
  <c r="AW15" i="2"/>
  <c r="AQ15" i="2"/>
  <c r="AM15" i="2"/>
  <c r="AI15" i="2"/>
  <c r="AF15" i="2"/>
  <c r="AC15" i="2"/>
  <c r="U15" i="2"/>
  <c r="S15" i="2"/>
  <c r="I13" i="4"/>
  <c r="Q15" i="2"/>
  <c r="O15" i="2"/>
  <c r="K15" i="2"/>
  <c r="I15" i="2"/>
  <c r="M15" i="2"/>
  <c r="G15" i="2"/>
  <c r="E15" i="2"/>
  <c r="BI14" i="2"/>
  <c r="BH14" i="2"/>
  <c r="BG14" i="2"/>
  <c r="BF14" i="2"/>
  <c r="BE14" i="2"/>
  <c r="AW14" i="2"/>
  <c r="AQ14" i="2"/>
  <c r="AM14" i="2"/>
  <c r="AI14" i="2"/>
  <c r="AF14" i="2"/>
  <c r="AC14" i="2"/>
  <c r="U14" i="2"/>
  <c r="S14" i="2"/>
  <c r="I12" i="4"/>
  <c r="Q14" i="2"/>
  <c r="O14" i="2"/>
  <c r="G12" i="4"/>
  <c r="K14" i="2"/>
  <c r="I14" i="2"/>
  <c r="M14" i="2"/>
  <c r="G14" i="2"/>
  <c r="F12" i="4"/>
  <c r="E14" i="2"/>
  <c r="A14" i="2"/>
  <c r="AZ14" i="2" s="1"/>
  <c r="BC14" i="2"/>
  <c r="BI13" i="2"/>
  <c r="BH13" i="2"/>
  <c r="BG13" i="2"/>
  <c r="BF13" i="2"/>
  <c r="BE13" i="2"/>
  <c r="BD13" i="2"/>
  <c r="BC13" i="2"/>
  <c r="BB13" i="2"/>
  <c r="BA13" i="2"/>
  <c r="AZ13" i="2"/>
  <c r="AW13" i="2"/>
  <c r="AQ13" i="2"/>
  <c r="AM13" i="2"/>
  <c r="AI13" i="2"/>
  <c r="AF13" i="2"/>
  <c r="AC13" i="2"/>
  <c r="U13" i="2"/>
  <c r="J11" i="4"/>
  <c r="S13" i="2"/>
  <c r="Q13" i="2"/>
  <c r="O13" i="2"/>
  <c r="G11" i="4"/>
  <c r="K13" i="2"/>
  <c r="I13" i="2"/>
  <c r="M13" i="2"/>
  <c r="G13" i="2"/>
  <c r="E13" i="2"/>
  <c r="E11" i="4"/>
  <c r="BI12" i="2"/>
  <c r="BH12" i="2"/>
  <c r="BG12" i="2"/>
  <c r="BF12" i="2"/>
  <c r="BE12" i="2"/>
  <c r="BD12" i="2"/>
  <c r="AW12" i="2"/>
  <c r="AQ12" i="2"/>
  <c r="AM12" i="2"/>
  <c r="AI12" i="2"/>
  <c r="AF12" i="2"/>
  <c r="AC12" i="2"/>
  <c r="U12" i="2"/>
  <c r="J10" i="4"/>
  <c r="S12" i="2"/>
  <c r="I10" i="4"/>
  <c r="Q12" i="2"/>
  <c r="O12" i="2"/>
  <c r="K12" i="2"/>
  <c r="I12" i="2"/>
  <c r="M12" i="2"/>
  <c r="G12" i="2"/>
  <c r="E12" i="2"/>
  <c r="E10" i="4"/>
  <c r="BI11" i="2"/>
  <c r="BH11" i="2"/>
  <c r="BG11" i="2"/>
  <c r="BF11" i="2"/>
  <c r="BE11" i="2"/>
  <c r="BD11" i="2"/>
  <c r="AW11" i="2"/>
  <c r="AQ11" i="2"/>
  <c r="AM11" i="2"/>
  <c r="AI11" i="2"/>
  <c r="AF11" i="2"/>
  <c r="AC11" i="2"/>
  <c r="U11" i="2"/>
  <c r="J9" i="4"/>
  <c r="S11" i="2"/>
  <c r="Q11" i="2"/>
  <c r="O11" i="2"/>
  <c r="G9" i="4"/>
  <c r="K11" i="2"/>
  <c r="I11" i="2"/>
  <c r="M11" i="2"/>
  <c r="G11" i="2"/>
  <c r="E11" i="2"/>
  <c r="E9" i="4"/>
  <c r="BI10" i="2"/>
  <c r="BH10" i="2"/>
  <c r="BG10" i="2"/>
  <c r="BF10" i="2"/>
  <c r="BE10" i="2"/>
  <c r="BD10" i="2"/>
  <c r="AW10" i="2"/>
  <c r="AQ10" i="2"/>
  <c r="AM10" i="2"/>
  <c r="AI10" i="2"/>
  <c r="AF10" i="2"/>
  <c r="AC10" i="2"/>
  <c r="U10" i="2"/>
  <c r="J8" i="4"/>
  <c r="S10" i="2"/>
  <c r="Q10" i="2"/>
  <c r="O10" i="2"/>
  <c r="G8" i="4"/>
  <c r="K10" i="2"/>
  <c r="I10" i="2"/>
  <c r="M10" i="2"/>
  <c r="G10" i="2"/>
  <c r="F8" i="4"/>
  <c r="E10" i="2"/>
  <c r="BI9" i="2"/>
  <c r="BH9" i="2"/>
  <c r="BG9" i="2"/>
  <c r="BF9" i="2"/>
  <c r="BE9" i="2"/>
  <c r="BD9" i="2"/>
  <c r="AW9" i="2"/>
  <c r="AQ9" i="2"/>
  <c r="AM9" i="2"/>
  <c r="AI9" i="2"/>
  <c r="AF9" i="2"/>
  <c r="AC9" i="2"/>
  <c r="U9" i="2"/>
  <c r="J7" i="4"/>
  <c r="S9" i="2"/>
  <c r="I7" i="4"/>
  <c r="Q9" i="2"/>
  <c r="O9" i="2"/>
  <c r="K9" i="2"/>
  <c r="I9" i="2"/>
  <c r="M9" i="2"/>
  <c r="G9" i="2"/>
  <c r="F7" i="4"/>
  <c r="E9" i="2"/>
  <c r="BI8" i="2"/>
  <c r="BH8" i="2"/>
  <c r="BG8" i="2"/>
  <c r="BF8" i="2"/>
  <c r="BE8" i="2"/>
  <c r="BD8" i="2"/>
  <c r="AW8" i="2"/>
  <c r="AQ8" i="2"/>
  <c r="AM8" i="2"/>
  <c r="AI8" i="2"/>
  <c r="AF8" i="2"/>
  <c r="AC8" i="2"/>
  <c r="U8" i="2"/>
  <c r="S8" i="2"/>
  <c r="I6" i="4"/>
  <c r="Q8" i="2"/>
  <c r="H6" i="4"/>
  <c r="O8" i="2"/>
  <c r="K8" i="2"/>
  <c r="I8" i="2"/>
  <c r="M8" i="2"/>
  <c r="G8" i="2"/>
  <c r="E8" i="2"/>
  <c r="BI7" i="2"/>
  <c r="BH7" i="2"/>
  <c r="BG7" i="2"/>
  <c r="BF7" i="2"/>
  <c r="BE7" i="2"/>
  <c r="BD7" i="2"/>
  <c r="AW7" i="2"/>
  <c r="AQ7" i="2"/>
  <c r="AM7" i="2"/>
  <c r="AI7" i="2"/>
  <c r="AF7" i="2"/>
  <c r="AC7" i="2"/>
  <c r="U7" i="2"/>
  <c r="S7" i="2"/>
  <c r="I5" i="4"/>
  <c r="Q7" i="2"/>
  <c r="O7" i="2"/>
  <c r="K7" i="2"/>
  <c r="I7" i="2"/>
  <c r="M7" i="2" s="1"/>
  <c r="G7" i="2"/>
  <c r="F5" i="4"/>
  <c r="E7" i="2"/>
  <c r="E5" i="4"/>
  <c r="BI6" i="2"/>
  <c r="BH6" i="2"/>
  <c r="BG6" i="2"/>
  <c r="BF6" i="2"/>
  <c r="BE6" i="2"/>
  <c r="BD6" i="2"/>
  <c r="AY6" i="2"/>
  <c r="AY7" i="2"/>
  <c r="AY8" i="2"/>
  <c r="AY9" i="2"/>
  <c r="AY10" i="2"/>
  <c r="AY11" i="2"/>
  <c r="AY12" i="2"/>
  <c r="AY13" i="2"/>
  <c r="AY14" i="2"/>
  <c r="AW6" i="2"/>
  <c r="AQ6" i="2"/>
  <c r="AM6" i="2"/>
  <c r="AI6" i="2"/>
  <c r="AF6" i="2"/>
  <c r="AC6" i="2"/>
  <c r="U6" i="2"/>
  <c r="S6" i="2"/>
  <c r="Q6" i="2"/>
  <c r="H4" i="4"/>
  <c r="O6" i="2"/>
  <c r="K6" i="2"/>
  <c r="I6" i="2"/>
  <c r="M6" i="2" s="1"/>
  <c r="G6" i="2"/>
  <c r="E6" i="2"/>
  <c r="A6" i="2"/>
  <c r="BC6" i="2"/>
  <c r="A7" i="2"/>
  <c r="AZ7" i="2"/>
  <c r="BI5" i="2"/>
  <c r="BH5" i="2"/>
  <c r="BG5" i="2"/>
  <c r="BF5" i="2"/>
  <c r="BE5" i="2"/>
  <c r="BD5" i="2"/>
  <c r="BC5" i="2"/>
  <c r="BB5" i="2"/>
  <c r="BA5" i="2"/>
  <c r="AZ5" i="2"/>
  <c r="AW5" i="2"/>
  <c r="AQ5" i="2"/>
  <c r="AM5" i="2"/>
  <c r="AI5" i="2"/>
  <c r="AF5" i="2"/>
  <c r="AC5" i="2"/>
  <c r="O5" i="2"/>
  <c r="G3" i="4"/>
  <c r="E5" i="2"/>
  <c r="AP36" i="2"/>
  <c r="AH36" i="2"/>
  <c r="AE36" i="2"/>
  <c r="AB36" i="2"/>
  <c r="Y36" i="2"/>
  <c r="V36" i="2"/>
  <c r="U5" i="2"/>
  <c r="J3" i="4"/>
  <c r="N36" i="2"/>
  <c r="K5" i="2"/>
  <c r="I5" i="2"/>
  <c r="M5" i="2"/>
  <c r="G5" i="2"/>
  <c r="F3" i="4"/>
  <c r="D36" i="2"/>
  <c r="J33" i="4"/>
  <c r="J32" i="4"/>
  <c r="F32" i="4"/>
  <c r="F29" i="4"/>
  <c r="E27" i="4"/>
  <c r="F26" i="4"/>
  <c r="G25" i="4"/>
  <c r="J24" i="4"/>
  <c r="I24" i="4"/>
  <c r="H22" i="4"/>
  <c r="G22" i="4"/>
  <c r="H19" i="4"/>
  <c r="G17" i="4"/>
  <c r="J16" i="4"/>
  <c r="F15" i="4"/>
  <c r="H13" i="4"/>
  <c r="H10" i="4"/>
  <c r="H7" i="4"/>
  <c r="G5" i="4"/>
  <c r="G4" i="4"/>
  <c r="F4" i="4"/>
  <c r="I30" i="4"/>
  <c r="I25" i="4"/>
  <c r="J22" i="4"/>
  <c r="H20" i="4"/>
  <c r="I17" i="4"/>
  <c r="G15" i="4"/>
  <c r="G14" i="4"/>
  <c r="F13" i="4"/>
  <c r="I11" i="4"/>
  <c r="F10" i="4"/>
  <c r="I8" i="4"/>
  <c r="G6" i="4"/>
  <c r="H5" i="4"/>
  <c r="G29" i="4"/>
  <c r="F24" i="4"/>
  <c r="J21" i="4"/>
  <c r="E21" i="4"/>
  <c r="J15" i="4"/>
  <c r="E15" i="4"/>
  <c r="I14" i="4"/>
  <c r="H11" i="4"/>
  <c r="H9" i="4"/>
  <c r="F9" i="4"/>
  <c r="J5" i="4"/>
  <c r="J4" i="4"/>
  <c r="F31" i="4"/>
  <c r="G24" i="4"/>
  <c r="G10" i="4"/>
  <c r="I4" i="4"/>
  <c r="I22" i="4"/>
  <c r="H21" i="4"/>
  <c r="J20" i="4"/>
  <c r="G20" i="4"/>
  <c r="F19" i="4"/>
  <c r="E18" i="4"/>
  <c r="H17" i="4"/>
  <c r="I15" i="4"/>
  <c r="H14" i="4"/>
  <c r="G13" i="4"/>
  <c r="F16" i="4"/>
  <c r="H18" i="4"/>
  <c r="I18" i="4"/>
  <c r="E19" i="4"/>
  <c r="J19" i="4"/>
  <c r="G23" i="4"/>
  <c r="H23" i="4"/>
  <c r="F20" i="4"/>
  <c r="J13" i="4"/>
  <c r="F14" i="4"/>
  <c r="H16" i="4"/>
  <c r="J18" i="4"/>
  <c r="J12" i="4"/>
  <c r="H12" i="4"/>
  <c r="K12" i="4"/>
  <c r="F11" i="4"/>
  <c r="F6" i="4"/>
  <c r="I32" i="4"/>
  <c r="J31" i="4"/>
  <c r="H31" i="4"/>
  <c r="E31" i="4"/>
  <c r="J30" i="4"/>
  <c r="I27" i="4"/>
  <c r="G27" i="4"/>
  <c r="G26" i="4"/>
  <c r="H24" i="4"/>
  <c r="I9" i="4"/>
  <c r="G7" i="4"/>
  <c r="J6" i="4"/>
  <c r="G33" i="4"/>
  <c r="E33" i="4"/>
  <c r="F25" i="4"/>
  <c r="E32" i="5"/>
  <c r="E31" i="5"/>
  <c r="O33" i="4"/>
  <c r="O32" i="4"/>
  <c r="N33" i="4"/>
  <c r="N32" i="4"/>
  <c r="M33" i="4"/>
  <c r="M32" i="4"/>
  <c r="L33" i="4"/>
  <c r="L32" i="4"/>
  <c r="K33" i="4"/>
  <c r="K32" i="4"/>
  <c r="F23" i="4"/>
  <c r="I3" i="4"/>
  <c r="H29" i="4"/>
  <c r="F28" i="4"/>
  <c r="H27" i="4"/>
  <c r="G16" i="4"/>
  <c r="I21" i="4"/>
  <c r="H8" i="4"/>
  <c r="J28" i="4"/>
  <c r="H30" i="4"/>
  <c r="N8" i="4"/>
  <c r="L8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N4" i="4"/>
  <c r="N5" i="4"/>
  <c r="N6" i="4"/>
  <c r="N7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K4" i="4"/>
  <c r="K5" i="4"/>
  <c r="K6" i="4"/>
  <c r="K7" i="4"/>
  <c r="K9" i="4"/>
  <c r="K10" i="4"/>
  <c r="K11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O3" i="4"/>
  <c r="N3" i="4"/>
  <c r="M3" i="4"/>
  <c r="K3" i="4"/>
  <c r="L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E6" i="4"/>
  <c r="E12" i="4"/>
  <c r="E32" i="4"/>
  <c r="E30" i="4"/>
  <c r="E8" i="4"/>
  <c r="E13" i="4"/>
  <c r="E22" i="4"/>
  <c r="BC7" i="2"/>
  <c r="BB7" i="2"/>
  <c r="BA7" i="2"/>
  <c r="BD14" i="2"/>
  <c r="F36" i="2"/>
  <c r="AZ30" i="2"/>
  <c r="BA30" i="2"/>
  <c r="H36" i="2"/>
  <c r="BB30" i="2"/>
  <c r="A31" i="2"/>
  <c r="A32" i="2"/>
  <c r="AZ6" i="2"/>
  <c r="BA14" i="2"/>
  <c r="BA6" i="2"/>
  <c r="BB14" i="2"/>
  <c r="A15" i="2"/>
  <c r="BB15" i="2"/>
  <c r="BB6" i="2"/>
  <c r="E4" i="4"/>
  <c r="E7" i="4"/>
  <c r="E24" i="4"/>
  <c r="BA15" i="2"/>
  <c r="AZ15" i="2"/>
  <c r="BC15" i="2"/>
  <c r="A16" i="2"/>
  <c r="BC16" i="2"/>
  <c r="BC31" i="2"/>
  <c r="BB16" i="2"/>
  <c r="AZ16" i="2"/>
  <c r="BC32" i="2"/>
  <c r="BA32" i="2"/>
  <c r="BB32" i="2"/>
  <c r="AZ32" i="2"/>
  <c r="BA16" i="2"/>
  <c r="A19" i="2"/>
  <c r="A8" i="2"/>
  <c r="BB18" i="2"/>
  <c r="AZ31" i="2"/>
  <c r="AZ18" i="2"/>
  <c r="BA31" i="2"/>
  <c r="BB31" i="2"/>
  <c r="E3" i="4"/>
  <c r="A9" i="2"/>
  <c r="BA8" i="2"/>
  <c r="AZ8" i="2"/>
  <c r="BC8" i="2"/>
  <c r="BB8" i="2"/>
  <c r="BB19" i="2"/>
  <c r="A20" i="2"/>
  <c r="BA19" i="2"/>
  <c r="BC19" i="2"/>
  <c r="AZ19" i="2"/>
  <c r="BA20" i="2"/>
  <c r="AZ20" i="2"/>
  <c r="A21" i="2"/>
  <c r="BB20" i="2"/>
  <c r="BC20" i="2"/>
  <c r="BC9" i="2"/>
  <c r="AZ9" i="2"/>
  <c r="A10" i="2"/>
  <c r="BB9" i="2"/>
  <c r="BA9" i="2"/>
  <c r="BC10" i="2"/>
  <c r="A11" i="2"/>
  <c r="BB10" i="2"/>
  <c r="BA10" i="2"/>
  <c r="AZ10" i="2"/>
  <c r="BA21" i="2"/>
  <c r="AZ21" i="2"/>
  <c r="A22" i="2"/>
  <c r="BB21" i="2"/>
  <c r="BC21" i="2"/>
  <c r="BC22" i="2"/>
  <c r="BA22" i="2"/>
  <c r="A23" i="2"/>
  <c r="BB22" i="2"/>
  <c r="AZ22" i="2"/>
  <c r="BB11" i="2"/>
  <c r="BA11" i="2"/>
  <c r="AZ11" i="2"/>
  <c r="BC11" i="2"/>
  <c r="A12" i="2"/>
  <c r="BB23" i="2"/>
  <c r="BA23" i="2"/>
  <c r="A24" i="2"/>
  <c r="AZ23" i="2"/>
  <c r="BC23" i="2"/>
  <c r="AZ12" i="2"/>
  <c r="BB12" i="2"/>
  <c r="BC12" i="2"/>
  <c r="BA12" i="2"/>
  <c r="BB24" i="2"/>
  <c r="BD24" i="2"/>
  <c r="BA24" i="2"/>
  <c r="A25" i="2"/>
  <c r="AZ24" i="2"/>
  <c r="BC24" i="2"/>
  <c r="A26" i="2"/>
  <c r="BC25" i="2"/>
  <c r="BB25" i="2"/>
  <c r="AZ25" i="2"/>
  <c r="BA25" i="2"/>
  <c r="AZ26" i="2"/>
  <c r="BC26" i="2"/>
  <c r="A27" i="2"/>
  <c r="BB26" i="2"/>
  <c r="BA26" i="2"/>
  <c r="BC27" i="2"/>
  <c r="BA27" i="2"/>
  <c r="AZ27" i="2"/>
  <c r="BB27" i="2"/>
</calcChain>
</file>

<file path=xl/sharedStrings.xml><?xml version="1.0" encoding="utf-8"?>
<sst xmlns="http://schemas.openxmlformats.org/spreadsheetml/2006/main" count="207" uniqueCount="83">
  <si>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</si>
  <si>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</si>
  <si>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</si>
  <si>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</si>
  <si>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</si>
  <si>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</si>
  <si>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</si>
  <si>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</si>
  <si>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</si>
  <si>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</si>
  <si>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</si>
  <si>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</si>
  <si>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</si>
  <si>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</si>
  <si>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</si>
  <si>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</si>
  <si>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</si>
  <si>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</si>
  <si>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</si>
  <si>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</si>
  <si>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</si>
  <si>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</si>
  <si>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</si>
  <si>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</si>
  <si>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 xml:space="preserve">  GAS RISCALD.</t>
  </si>
  <si>
    <t xml:space="preserve">  GAS CUCINA</t>
  </si>
  <si>
    <t xml:space="preserve">  H2O GENERALE</t>
  </si>
  <si>
    <t>H2O CONDIZION.ADD</t>
  </si>
  <si>
    <t>REINT. H2O ADD</t>
  </si>
  <si>
    <t>H2O ADD F CUC P</t>
  </si>
  <si>
    <t>H2O SANIT. CALDA</t>
  </si>
  <si>
    <t xml:space="preserve">  ENEL ATTIVA</t>
  </si>
  <si>
    <t>ENEL REATT.</t>
  </si>
  <si>
    <t xml:space="preserve">       ENEL CUC.PRINC. P</t>
  </si>
  <si>
    <t xml:space="preserve">    ENEL CUC.PRINC. N.</t>
  </si>
  <si>
    <t xml:space="preserve">         ENEL CUC.PREP.</t>
  </si>
  <si>
    <t xml:space="preserve">         ENEL CUC.VERANDA       </t>
  </si>
  <si>
    <t xml:space="preserve">      ENEL LAVANDERIA</t>
  </si>
  <si>
    <t xml:space="preserve"> TEMPER.GG.</t>
  </si>
  <si>
    <t>n°Ric</t>
  </si>
  <si>
    <t>Ricarica auto el.</t>
  </si>
  <si>
    <t>lt/ G</t>
  </si>
  <si>
    <t>GAS RISCALD</t>
  </si>
  <si>
    <t>GAS CUCINA</t>
  </si>
  <si>
    <t>ACQUA GENER.</t>
  </si>
  <si>
    <t>ACQUA CONDIZ.</t>
  </si>
  <si>
    <t>ENERGIA</t>
  </si>
  <si>
    <t>Proiezione BA</t>
  </si>
  <si>
    <t>ENEL CUC.PRINC</t>
  </si>
  <si>
    <t>ENEL CUC.PREP</t>
  </si>
  <si>
    <t>ENEL CUC.VER</t>
  </si>
  <si>
    <t>ENEL LAVAND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</si>
  <si>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</si>
  <si>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</si>
  <si>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</si>
  <si>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</si>
  <si>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</si>
  <si>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</si>
  <si>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</si>
  <si>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</si>
  <si>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</si>
  <si>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</si>
  <si>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</si>
  <si>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LET. KWH</t>
  </si>
  <si>
    <t>LET. KWH*80</t>
  </si>
  <si>
    <t>COVERS</t>
  </si>
  <si>
    <t>MIN</t>
  </si>
  <si>
    <t>MAX</t>
  </si>
  <si>
    <t>KW/h</t>
  </si>
  <si>
    <t>00:00</t>
  </si>
  <si>
    <t>GF4 comp. B fermo</t>
  </si>
  <si>
    <t>UTA meet off</t>
  </si>
  <si>
    <t>"  "</t>
  </si>
  <si>
    <t>"   "</t>
  </si>
  <si>
    <t xml:space="preserve">TOTALE </t>
  </si>
  <si>
    <t>CONSUMI</t>
  </si>
  <si>
    <t xml:space="preserve">         MEDIA</t>
  </si>
  <si>
    <t>BUDGET</t>
  </si>
  <si>
    <t>RIMECO 15</t>
  </si>
  <si>
    <t>RIMECO 16</t>
  </si>
  <si>
    <t>RIMECO 17</t>
  </si>
  <si>
    <t>RIMECO 18</t>
  </si>
  <si>
    <t>RIMECO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</si>
</sst>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.000_-;\-* #,##0.000_-;_-* &quot;-&quot;_-;_-@_-"/>
    <numFmt numFmtId="167" formatCode="#,##0_ ;\-#,##0\ "/>
    <numFmt numFmtId="168" formatCode="_-* #,##0.00_-;\-* #,##0.00_-;_-* &quot;-&quot;_-;_-@_-"/>
  </numFmts>
  <fonts count="16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  <font>
      <sz val="12"/>
      <color rgb="FF00B0F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medium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117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166" fontId="6" fillId="0" borderId="4" xfId="1" applyNumberFormat="1" applyFont="1" applyBorder="1" applyProtection="1"/>
    <xf numFmtId="3" fontId="5" fillId="0" borderId="4" xfId="1" applyNumberFormat="1" applyFont="1" applyBorder="1" applyProtection="1"/>
    <xf numFmtId="168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 applyProtection="1"/>
    <xf numFmtId="164" fontId="1" fillId="0" borderId="6" xfId="1" applyFont="1" applyBorder="1" applyProtection="1"/>
    <xf numFmtId="164" fontId="1" fillId="0" borderId="7" xfId="1" applyFont="1" applyBorder="1"/>
    <xf numFmtId="164" fontId="2" fillId="0" borderId="8" xfId="1" applyFont="1" applyBorder="1" applyProtection="1"/>
    <xf numFmtId="164" fontId="2" fillId="0" borderId="9" xfId="1" applyFont="1" applyBorder="1" applyProtection="1"/>
    <xf numFmtId="164" fontId="2" fillId="0" borderId="0" xfId="1" applyFont="1" applyBorder="1" applyProtection="1"/>
    <xf numFmtId="164" fontId="1" fillId="2" borderId="10" xfId="1" applyFont="1" applyFill="1" applyBorder="1"/>
    <xf numFmtId="164" fontId="1" fillId="0" borderId="10" xfId="1" applyFont="1" applyBorder="1"/>
    <xf numFmtId="164" fontId="1" fillId="0" borderId="1" xfId="1" applyFont="1" applyBorder="1"/>
    <xf numFmtId="164" fontId="2" fillId="5" borderId="11" xfId="1" applyFont="1" applyFill="1" applyBorder="1"/>
    <xf numFmtId="164" fontId="2" fillId="0" borderId="0" xfId="1" applyFont="1" applyAlignment="1" applyProtection="1">
      <alignment horizontal="center"/>
    </xf>
    <xf numFmtId="168" fontId="2" fillId="0" borderId="0" xfId="1" applyNumberFormat="1" applyFont="1" applyBorder="1" applyProtection="1"/>
    <xf numFmtId="168" fontId="1" fillId="0" borderId="0" xfId="1" applyNumberFormat="1" applyFont="1"/>
    <xf numFmtId="1" fontId="0" fillId="0" borderId="0" xfId="0" applyNumberFormat="1"/>
    <xf numFmtId="1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1" fontId="8" fillId="0" borderId="0" xfId="0" applyNumberFormat="1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164" fontId="1" fillId="0" borderId="12" xfId="1" applyFont="1" applyBorder="1" applyProtection="1"/>
    <xf numFmtId="164" fontId="1" fillId="0" borderId="13" xfId="1" applyFont="1" applyBorder="1" applyProtection="1"/>
    <xf numFmtId="1" fontId="10" fillId="0" borderId="0" xfId="0" applyNumberFormat="1" applyFont="1"/>
    <xf numFmtId="164" fontId="10" fillId="0" borderId="0" xfId="0" applyNumberFormat="1" applyFont="1"/>
    <xf numFmtId="1" fontId="13" fillId="0" borderId="0" xfId="0" applyNumberFormat="1" applyFont="1" applyAlignment="1">
      <alignment wrapText="1"/>
    </xf>
    <xf numFmtId="1" fontId="12" fillId="0" borderId="0" xfId="0" applyNumberFormat="1" applyFont="1"/>
    <xf numFmtId="1" fontId="9" fillId="0" borderId="0" xfId="0" applyNumberFormat="1" applyFont="1"/>
    <xf numFmtId="164" fontId="1" fillId="3" borderId="14" xfId="1" applyFont="1" applyFill="1" applyBorder="1" applyAlignment="1">
      <alignment horizontal="center" vertical="center" wrapText="1"/>
    </xf>
    <xf numFmtId="164" fontId="1" fillId="3" borderId="15" xfId="1" applyFont="1" applyFill="1" applyBorder="1" applyAlignment="1">
      <alignment horizontal="center" vertical="center" wrapText="1"/>
    </xf>
    <xf numFmtId="164" fontId="1" fillId="3" borderId="16" xfId="1" applyFont="1" applyFill="1" applyBorder="1" applyAlignment="1">
      <alignment horizontal="center" vertical="center" wrapText="1"/>
    </xf>
    <xf numFmtId="164" fontId="1" fillId="0" borderId="0" xfId="1" applyFont="1" applyBorder="1"/>
    <xf numFmtId="4" fontId="1" fillId="0" borderId="4" xfId="1" quotePrefix="1" applyNumberFormat="1" applyFont="1" applyBorder="1" applyAlignment="1" applyProtection="1">
      <alignment horizontal="left"/>
    </xf>
    <xf numFmtId="164" fontId="2" fillId="0" borderId="0" xfId="1" applyFont="1" applyAlignment="1" applyProtection="1">
      <alignment horizontal="left"/>
    </xf>
    <xf numFmtId="164" fontId="2" fillId="0" borderId="17" xfId="1" applyFont="1" applyBorder="1" applyProtection="1"/>
    <xf numFmtId="164" fontId="5" fillId="0" borderId="5" xfId="1" applyFont="1" applyBorder="1" applyProtection="1"/>
    <xf numFmtId="164" fontId="5" fillId="0" borderId="6" xfId="1" applyFont="1" applyBorder="1" applyProtection="1"/>
    <xf numFmtId="164" fontId="3" fillId="0" borderId="6" xfId="1" applyFont="1" applyFill="1" applyBorder="1"/>
    <xf numFmtId="164" fontId="14" fillId="0" borderId="4" xfId="1" applyFont="1" applyBorder="1" applyProtection="1"/>
    <xf numFmtId="165" fontId="5" fillId="0" borderId="4" xfId="1" applyNumberFormat="1" applyFont="1" applyBorder="1" applyProtection="1"/>
    <xf numFmtId="1" fontId="5" fillId="0" borderId="4" xfId="1" applyNumberFormat="1" applyFont="1" applyFill="1" applyBorder="1" applyProtection="1"/>
    <xf numFmtId="165" fontId="5" fillId="0" borderId="4" xfId="1" applyNumberFormat="1" applyFont="1" applyFill="1" applyBorder="1" applyProtection="1"/>
    <xf numFmtId="164" fontId="1" fillId="3" borderId="18" xfId="1" applyFont="1" applyFill="1" applyBorder="1" applyAlignment="1">
      <alignment horizontal="center"/>
    </xf>
    <xf numFmtId="164" fontId="3" fillId="0" borderId="4" xfId="1" applyFont="1" applyBorder="1" applyAlignment="1" applyProtection="1">
      <alignment horizontal="left"/>
    </xf>
    <xf numFmtId="4" fontId="5" fillId="0" borderId="4" xfId="1" applyNumberFormat="1" applyFont="1" applyBorder="1" applyProtection="1"/>
    <xf numFmtId="3" fontId="5" fillId="0" borderId="1" xfId="1" applyNumberFormat="1" applyFont="1" applyBorder="1" applyProtection="1"/>
    <xf numFmtId="166" fontId="5" fillId="0" borderId="4" xfId="1" applyNumberFormat="1" applyFont="1" applyBorder="1" applyProtection="1"/>
    <xf numFmtId="164" fontId="2" fillId="4" borderId="18" xfId="1" applyFont="1" applyFill="1" applyBorder="1" applyAlignment="1" applyProtection="1">
      <alignment horizontal="center"/>
    </xf>
    <xf numFmtId="166" fontId="5" fillId="0" borderId="4" xfId="1" applyNumberFormat="1" applyFont="1" applyBorder="1" applyAlignment="1" applyProtection="1"/>
    <xf numFmtId="164" fontId="5" fillId="0" borderId="19" xfId="1" applyFont="1" applyBorder="1" applyProtection="1"/>
    <xf numFmtId="164" fontId="5" fillId="0" borderId="6" xfId="1" applyFont="1" applyFill="1" applyBorder="1" applyProtection="1"/>
    <xf numFmtId="3" fontId="5" fillId="0" borderId="4" xfId="1" applyNumberFormat="1" applyFont="1" applyFill="1" applyBorder="1" applyProtection="1"/>
    <xf numFmtId="164" fontId="3" fillId="0" borderId="4" xfId="1" applyFont="1" applyBorder="1"/>
    <xf numFmtId="164" fontId="3" fillId="0" borderId="6" xfId="1" applyFont="1" applyBorder="1" applyProtection="1"/>
    <xf numFmtId="164" fontId="2" fillId="0" borderId="20" xfId="1" applyFont="1" applyBorder="1"/>
    <xf numFmtId="164" fontId="2" fillId="0" borderId="21" xfId="1" applyFont="1" applyBorder="1" applyProtection="1"/>
    <xf numFmtId="164" fontId="2" fillId="0" borderId="22" xfId="1" applyFont="1" applyFill="1" applyBorder="1"/>
    <xf numFmtId="164" fontId="2" fillId="4" borderId="5" xfId="1" applyFont="1" applyFill="1" applyBorder="1" applyProtection="1"/>
    <xf numFmtId="164" fontId="2" fillId="3" borderId="23" xfId="1" applyFont="1" applyFill="1" applyBorder="1" applyAlignment="1" applyProtection="1">
      <alignment horizontal="center"/>
    </xf>
    <xf numFmtId="164" fontId="2" fillId="3" borderId="1" xfId="1" applyFont="1" applyFill="1" applyBorder="1" applyAlignment="1" applyProtection="1">
      <alignment horizontal="center"/>
    </xf>
    <xf numFmtId="164" fontId="2" fillId="3" borderId="7" xfId="1" applyFont="1" applyFill="1" applyBorder="1" applyAlignment="1" applyProtection="1">
      <alignment horizontal="center"/>
    </xf>
    <xf numFmtId="164" fontId="2" fillId="3" borderId="7" xfId="1" applyFont="1" applyFill="1" applyBorder="1" applyAlignment="1" applyProtection="1">
      <alignment horizontal="left"/>
    </xf>
    <xf numFmtId="164" fontId="2" fillId="3" borderId="0" xfId="1" applyFont="1" applyFill="1" applyBorder="1" applyAlignment="1" applyProtection="1">
      <alignment horizontal="left"/>
    </xf>
    <xf numFmtId="164" fontId="2" fillId="3" borderId="24" xfId="1" applyFont="1" applyFill="1" applyBorder="1" applyAlignment="1" applyProtection="1">
      <alignment horizontal="left"/>
    </xf>
    <xf numFmtId="164" fontId="2" fillId="3" borderId="25" xfId="1" applyFont="1" applyFill="1" applyBorder="1" applyAlignment="1" applyProtection="1">
      <alignment horizontal="left"/>
    </xf>
    <xf numFmtId="164" fontId="2" fillId="3" borderId="10" xfId="1" applyFont="1" applyFill="1" applyBorder="1" applyAlignment="1" applyProtection="1">
      <alignment horizontal="center"/>
    </xf>
    <xf numFmtId="164" fontId="2" fillId="3" borderId="26" xfId="1" applyFont="1" applyFill="1" applyBorder="1"/>
    <xf numFmtId="164" fontId="1" fillId="2" borderId="5" xfId="1" applyFont="1" applyFill="1" applyBorder="1"/>
    <xf numFmtId="167" fontId="3" fillId="0" borderId="6" xfId="1" applyNumberFormat="1" applyFont="1" applyFill="1" applyBorder="1"/>
    <xf numFmtId="3" fontId="15" fillId="0" borderId="4" xfId="1" applyNumberFormat="1" applyFont="1" applyBorder="1" applyProtection="1"/>
    <xf numFmtId="3" fontId="5" fillId="6" borderId="4" xfId="1" applyNumberFormat="1" applyFont="1" applyFill="1" applyBorder="1" applyProtection="1"/>
    <xf numFmtId="164" fontId="5" fillId="6" borderId="4" xfId="1" applyFont="1" applyFill="1" applyBorder="1" applyProtection="1"/>
    <xf numFmtId="164" fontId="1" fillId="5" borderId="0" xfId="1" applyFont="1" applyFill="1"/>
    <xf numFmtId="168" fontId="5" fillId="7" borderId="4" xfId="1" applyNumberFormat="1" applyFont="1" applyFill="1" applyBorder="1" applyProtection="1"/>
    <xf numFmtId="164" fontId="2" fillId="3" borderId="31" xfId="1" applyFont="1" applyFill="1" applyBorder="1" applyAlignment="1">
      <alignment horizontal="center" vertical="center" wrapText="1"/>
    </xf>
    <xf numFmtId="164" fontId="2" fillId="3" borderId="20" xfId="1" applyFont="1" applyFill="1" applyBorder="1" applyAlignment="1">
      <alignment horizontal="center" vertical="center" wrapText="1"/>
    </xf>
    <xf numFmtId="164" fontId="1" fillId="3" borderId="14" xfId="1" applyFont="1" applyFill="1" applyBorder="1" applyAlignment="1">
      <alignment horizontal="center"/>
    </xf>
    <xf numFmtId="164" fontId="1" fillId="3" borderId="37" xfId="1" applyFont="1" applyFill="1" applyBorder="1" applyAlignment="1">
      <alignment horizontal="center"/>
    </xf>
    <xf numFmtId="164" fontId="1" fillId="3" borderId="38" xfId="1" applyFont="1" applyFill="1" applyBorder="1" applyAlignment="1">
      <alignment horizontal="center"/>
    </xf>
    <xf numFmtId="164" fontId="1" fillId="3" borderId="15" xfId="1" applyFont="1" applyFill="1" applyBorder="1" applyAlignment="1">
      <alignment horizontal="center"/>
    </xf>
    <xf numFmtId="164" fontId="1" fillId="3" borderId="39" xfId="1" applyFont="1" applyFill="1" applyBorder="1" applyAlignment="1">
      <alignment horizontal="center"/>
    </xf>
    <xf numFmtId="164" fontId="1" fillId="3" borderId="40" xfId="1" applyFont="1" applyFill="1" applyBorder="1" applyAlignment="1">
      <alignment horizontal="center"/>
    </xf>
    <xf numFmtId="164" fontId="2" fillId="3" borderId="31" xfId="1" applyFont="1" applyFill="1" applyBorder="1" applyAlignment="1" applyProtection="1">
      <alignment horizontal="center" vertical="center" wrapText="1"/>
    </xf>
    <xf numFmtId="164" fontId="2" fillId="3" borderId="20" xfId="1" applyFont="1" applyFill="1" applyBorder="1" applyAlignment="1" applyProtection="1">
      <alignment horizontal="center" vertical="center" wrapText="1"/>
    </xf>
    <xf numFmtId="164" fontId="2" fillId="3" borderId="41" xfId="1" applyFont="1" applyFill="1" applyBorder="1" applyAlignment="1" applyProtection="1">
      <alignment horizontal="center" vertical="center" wrapText="1"/>
    </xf>
    <xf numFmtId="164" fontId="2" fillId="3" borderId="42" xfId="1" applyFont="1" applyFill="1" applyBorder="1" applyAlignment="1" applyProtection="1">
      <alignment horizontal="center" vertical="center" wrapText="1"/>
    </xf>
    <xf numFmtId="164" fontId="2" fillId="3" borderId="32" xfId="1" applyFont="1" applyFill="1" applyBorder="1" applyAlignment="1" applyProtection="1">
      <alignment horizontal="center" vertical="center" wrapText="1"/>
    </xf>
    <xf numFmtId="164" fontId="2" fillId="3" borderId="6" xfId="1" applyFont="1" applyFill="1" applyBorder="1" applyAlignment="1" applyProtection="1">
      <alignment horizontal="center" vertical="center" wrapText="1"/>
    </xf>
    <xf numFmtId="164" fontId="2" fillId="3" borderId="33" xfId="1" applyFont="1" applyFill="1" applyBorder="1" applyAlignment="1" applyProtection="1">
      <alignment horizontal="center" vertical="center" wrapText="1"/>
    </xf>
    <xf numFmtId="4" fontId="2" fillId="3" borderId="31" xfId="1" applyNumberFormat="1" applyFont="1" applyFill="1" applyBorder="1" applyAlignment="1">
      <alignment horizontal="center" vertical="center" wrapText="1"/>
    </xf>
    <xf numFmtId="4" fontId="2" fillId="3" borderId="20" xfId="1" applyNumberFormat="1" applyFont="1" applyFill="1" applyBorder="1" applyAlignment="1">
      <alignment horizontal="center" vertical="center" wrapText="1"/>
    </xf>
    <xf numFmtId="164" fontId="2" fillId="5" borderId="34" xfId="1" applyFont="1" applyFill="1" applyBorder="1" applyAlignment="1">
      <alignment horizontal="center"/>
    </xf>
    <xf numFmtId="164" fontId="1" fillId="5" borderId="35" xfId="1" applyFont="1" applyFill="1" applyBorder="1" applyAlignment="1">
      <alignment horizontal="center"/>
    </xf>
    <xf numFmtId="164" fontId="2" fillId="5" borderId="36" xfId="1" applyFont="1" applyFill="1" applyBorder="1" applyAlignment="1">
      <alignment horizontal="center"/>
    </xf>
    <xf numFmtId="4" fontId="2" fillId="3" borderId="31" xfId="1" applyNumberFormat="1" applyFont="1" applyFill="1" applyBorder="1" applyAlignment="1" applyProtection="1">
      <alignment horizontal="center" vertical="center" wrapText="1"/>
    </xf>
    <xf numFmtId="4" fontId="2" fillId="3" borderId="20" xfId="1" applyNumberFormat="1" applyFont="1" applyFill="1" applyBorder="1" applyAlignment="1" applyProtection="1">
      <alignment horizontal="center" vertical="center" wrapText="1"/>
    </xf>
    <xf numFmtId="164" fontId="2" fillId="3" borderId="27" xfId="1" applyFont="1" applyFill="1" applyBorder="1" applyAlignment="1" applyProtection="1">
      <alignment horizontal="center" vertical="center" wrapText="1"/>
    </xf>
    <xf numFmtId="164" fontId="2" fillId="3" borderId="28" xfId="1" applyFont="1" applyFill="1" applyBorder="1" applyAlignment="1" applyProtection="1">
      <alignment horizontal="center" vertical="center" wrapText="1"/>
    </xf>
    <xf numFmtId="164" fontId="2" fillId="3" borderId="25" xfId="1" applyFont="1" applyFill="1" applyBorder="1" applyAlignment="1" applyProtection="1">
      <alignment horizontal="center" vertical="center" wrapText="1"/>
    </xf>
    <xf numFmtId="164" fontId="2" fillId="3" borderId="29" xfId="1" applyFont="1" applyFill="1" applyBorder="1" applyAlignment="1">
      <alignment horizontal="center"/>
    </xf>
    <xf numFmtId="164" fontId="2" fillId="3" borderId="30" xfId="1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F35">
            <v>7050</v>
          </cell>
          <cell r="AV35"/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130" zoomScaleNormal="130" workbookViewId="0">
      <selection activeCell="I25" sqref="I25"/>
    </sheetView>
  </sheetViews>
  <sheetFormatPr defaultColWidth="11.5703125" defaultRowHeight="15"/>
  <cols>
    <col min="4" max="4" width="13.42578125" customWidth="1"/>
    <col min="5" max="5" width="13" style="43" customWidth="1"/>
    <col min="6" max="6" width="12.5703125" customWidth="1"/>
    <col min="7" max="7" width="13" style="28" customWidth="1"/>
  </cols>
  <sheetData>
    <row r="1" spans="1:12" s="32" customFormat="1" ht="60">
      <c r="A1" s="32" t="s">
        <v>0</v>
      </c>
      <c r="B1" s="32" t="s">
        <v>1</v>
      </c>
      <c r="C1" s="32" t="s">
        <v>2</v>
      </c>
      <c r="D1" s="32" t="s">
        <v>3</v>
      </c>
      <c r="E1" s="41" t="s">
        <v>4</v>
      </c>
      <c r="F1" s="31" t="s">
        <v>5</v>
      </c>
      <c r="G1" s="33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</row>
    <row r="2" spans="1:12" s="34" customFormat="1" ht="12.75">
      <c r="A2" s="34" t="s">
        <v>12</v>
      </c>
      <c r="B2" s="34">
        <v>1</v>
      </c>
      <c r="C2" s="36">
        <v>8</v>
      </c>
      <c r="D2" s="34">
        <v>2022</v>
      </c>
      <c r="E2" s="42">
        <f>'Hotel Data'!X5</f>
        <v>17604</v>
      </c>
      <c r="F2" s="34">
        <v>0.73309999999999997</v>
      </c>
      <c r="G2" s="39">
        <f>INT('Hotel Data'!E5)</f>
        <v>215</v>
      </c>
      <c r="H2" s="34">
        <v>1.8705000000000001</v>
      </c>
      <c r="I2" s="40">
        <f>INT('Hotel Data'!K5)</f>
        <v>373</v>
      </c>
      <c r="J2" s="34">
        <v>0.78380000000000005</v>
      </c>
      <c r="K2" s="34">
        <v>81</v>
      </c>
      <c r="L2" s="34">
        <v>149</v>
      </c>
    </row>
    <row r="3" spans="1:12" s="35" customFormat="1">
      <c r="A3" s="35" t="s">
        <v>12</v>
      </c>
      <c r="B3" s="35">
        <f>B2+1</f>
        <v>2</v>
      </c>
      <c r="C3" s="36">
        <v>8</v>
      </c>
      <c r="D3" s="34">
        <v>2022</v>
      </c>
      <c r="E3" s="42">
        <f>'Hotel Data'!X6</f>
        <v>17671</v>
      </c>
      <c r="F3" s="34">
        <v>0.73309999999999997</v>
      </c>
      <c r="G3" s="39">
        <f>INT('Hotel Data'!E6)</f>
        <v>198</v>
      </c>
      <c r="H3" s="34">
        <v>1.8705000000000001</v>
      </c>
      <c r="I3" s="40">
        <f>INT('Hotel Data'!K6)</f>
        <v>317</v>
      </c>
      <c r="J3" s="34">
        <v>0.78380000000000005</v>
      </c>
      <c r="K3" s="34">
        <v>85</v>
      </c>
      <c r="L3" s="34">
        <v>159</v>
      </c>
    </row>
    <row r="4" spans="1:12" s="35" customFormat="1">
      <c r="A4" s="35" t="s">
        <v>12</v>
      </c>
      <c r="B4" s="35">
        <f t="shared" ref="B4:B32" si="0">B3+1</f>
        <v>3</v>
      </c>
      <c r="C4" s="36">
        <v>8</v>
      </c>
      <c r="D4" s="34">
        <v>2022</v>
      </c>
      <c r="E4" s="42">
        <f>'Hotel Data'!X7</f>
        <v>17843</v>
      </c>
      <c r="F4" s="34">
        <v>0.73309999999999997</v>
      </c>
      <c r="G4" s="39">
        <f>INT('Hotel Data'!E7)</f>
        <v>227</v>
      </c>
      <c r="H4" s="34">
        <v>1.8705000000000001</v>
      </c>
      <c r="I4" s="40">
        <f>INT('Hotel Data'!K7)</f>
        <v>349</v>
      </c>
      <c r="J4" s="34">
        <v>0.78380000000000005</v>
      </c>
      <c r="K4" s="34">
        <v>93</v>
      </c>
      <c r="L4" s="34">
        <v>179</v>
      </c>
    </row>
    <row r="5" spans="1:12" s="35" customFormat="1">
      <c r="A5" s="35" t="s">
        <v>12</v>
      </c>
      <c r="B5" s="35">
        <f t="shared" si="0"/>
        <v>4</v>
      </c>
      <c r="C5" s="36">
        <v>8</v>
      </c>
      <c r="D5" s="34">
        <v>2022</v>
      </c>
      <c r="E5" s="42">
        <f>'Hotel Data'!X8</f>
        <v>17936</v>
      </c>
      <c r="F5" s="34">
        <v>0.73309999999999997</v>
      </c>
      <c r="G5" s="39">
        <f>INT('Hotel Data'!E8)</f>
        <v>201</v>
      </c>
      <c r="H5" s="34">
        <v>1.8705000000000001</v>
      </c>
      <c r="I5" s="40">
        <f>INT('Hotel Data'!K8)</f>
        <v>344</v>
      </c>
      <c r="J5" s="34">
        <v>0.78380000000000005</v>
      </c>
      <c r="K5" s="34">
        <v>109</v>
      </c>
      <c r="L5" s="34">
        <v>206</v>
      </c>
    </row>
    <row r="6" spans="1:12" s="35" customFormat="1">
      <c r="A6" s="35" t="s">
        <v>12</v>
      </c>
      <c r="B6" s="35">
        <f t="shared" si="0"/>
        <v>5</v>
      </c>
      <c r="C6" s="36">
        <v>8</v>
      </c>
      <c r="D6" s="34">
        <v>2022</v>
      </c>
      <c r="E6" s="42">
        <f>'Hotel Data'!X9</f>
        <v>18419</v>
      </c>
      <c r="F6" s="34">
        <v>0.73309999999999997</v>
      </c>
      <c r="G6" s="39">
        <f>INT('Hotel Data'!E9)</f>
        <v>275</v>
      </c>
      <c r="H6" s="34">
        <v>1.8705000000000001</v>
      </c>
      <c r="I6" s="40">
        <f>INT('Hotel Data'!K9)</f>
        <v>360</v>
      </c>
      <c r="J6" s="34">
        <v>0.78380000000000005</v>
      </c>
      <c r="K6" s="34">
        <v>78</v>
      </c>
      <c r="L6" s="34">
        <v>150</v>
      </c>
    </row>
    <row r="7" spans="1:12" s="35" customFormat="1">
      <c r="A7" s="35" t="s">
        <v>12</v>
      </c>
      <c r="B7" s="35">
        <f t="shared" si="0"/>
        <v>6</v>
      </c>
      <c r="C7" s="36">
        <v>8</v>
      </c>
      <c r="D7" s="34">
        <v>2022</v>
      </c>
      <c r="E7" s="42">
        <f>'Hotel Data'!X10</f>
        <v>18829</v>
      </c>
      <c r="F7" s="34">
        <v>0.73309999999999997</v>
      </c>
      <c r="G7" s="39">
        <f>INT('Hotel Data'!E10)</f>
        <v>153</v>
      </c>
      <c r="H7" s="34">
        <v>1.8705000000000001</v>
      </c>
      <c r="I7" s="40">
        <f>INT('Hotel Data'!K10)</f>
        <v>348</v>
      </c>
      <c r="J7" s="34">
        <v>0.78380000000000005</v>
      </c>
      <c r="K7" s="34">
        <v>75</v>
      </c>
      <c r="L7" s="34">
        <v>146</v>
      </c>
    </row>
    <row r="8" spans="1:12" s="35" customFormat="1">
      <c r="A8" s="35" t="s">
        <v>12</v>
      </c>
      <c r="B8" s="35">
        <f t="shared" si="0"/>
        <v>7</v>
      </c>
      <c r="C8" s="36">
        <v>8</v>
      </c>
      <c r="D8" s="34">
        <v>2022</v>
      </c>
      <c r="E8" s="42">
        <f>'Hotel Data'!X11</f>
        <v>17584</v>
      </c>
      <c r="F8" s="34">
        <v>0.73309999999999997</v>
      </c>
      <c r="G8" s="39">
        <f>INT('Hotel Data'!E11)</f>
        <v>193</v>
      </c>
      <c r="H8" s="34">
        <v>1.8705000000000001</v>
      </c>
      <c r="I8" s="40">
        <f>INT('Hotel Data'!K11)</f>
        <v>294</v>
      </c>
      <c r="J8" s="34">
        <v>0.78380000000000005</v>
      </c>
      <c r="K8" s="34">
        <v>80</v>
      </c>
      <c r="L8" s="34">
        <v>133</v>
      </c>
    </row>
    <row r="9" spans="1:12" s="35" customFormat="1">
      <c r="A9" s="35" t="s">
        <v>12</v>
      </c>
      <c r="B9" s="35">
        <f t="shared" si="0"/>
        <v>8</v>
      </c>
      <c r="C9" s="36">
        <v>8</v>
      </c>
      <c r="D9" s="34">
        <v>2022</v>
      </c>
      <c r="E9" s="42">
        <f>'Hotel Data'!X12</f>
        <v>17554</v>
      </c>
      <c r="F9" s="34">
        <v>0.73309999999999997</v>
      </c>
      <c r="G9" s="39">
        <f>INT('Hotel Data'!E12)</f>
        <v>226</v>
      </c>
      <c r="H9" s="34">
        <v>1.8705000000000001</v>
      </c>
      <c r="I9" s="40">
        <f>INT('Hotel Data'!K12)</f>
        <v>311</v>
      </c>
      <c r="J9" s="34">
        <v>0.78380000000000005</v>
      </c>
      <c r="K9" s="34">
        <v>109</v>
      </c>
      <c r="L9" s="34">
        <v>159</v>
      </c>
    </row>
    <row r="10" spans="1:12" s="35" customFormat="1">
      <c r="A10" s="35" t="s">
        <v>12</v>
      </c>
      <c r="B10" s="35">
        <f t="shared" si="0"/>
        <v>9</v>
      </c>
      <c r="C10" s="36">
        <v>8</v>
      </c>
      <c r="D10" s="34">
        <v>2022</v>
      </c>
      <c r="E10" s="42">
        <f>'Hotel Data'!X13</f>
        <v>17815</v>
      </c>
      <c r="F10" s="34">
        <v>0.73309999999999997</v>
      </c>
      <c r="G10" s="39">
        <f>INT('Hotel Data'!E13)</f>
        <v>201</v>
      </c>
      <c r="H10" s="34">
        <v>1.8705000000000001</v>
      </c>
      <c r="I10" s="40">
        <f>INT('Hotel Data'!K13)</f>
        <v>321</v>
      </c>
      <c r="J10" s="34">
        <v>0.78380000000000005</v>
      </c>
      <c r="K10" s="34">
        <v>97</v>
      </c>
      <c r="L10" s="34">
        <v>139</v>
      </c>
    </row>
    <row r="11" spans="1:12" s="35" customFormat="1">
      <c r="A11" s="35" t="s">
        <v>12</v>
      </c>
      <c r="B11" s="35">
        <f t="shared" si="0"/>
        <v>10</v>
      </c>
      <c r="C11" s="36">
        <v>8</v>
      </c>
      <c r="D11" s="34">
        <v>2022</v>
      </c>
      <c r="E11" s="42">
        <f>'Hotel Data'!X14</f>
        <v>17502</v>
      </c>
      <c r="F11" s="34">
        <v>0.73309999999999997</v>
      </c>
      <c r="G11" s="39">
        <f>INT('Hotel Data'!E14)</f>
        <v>198</v>
      </c>
      <c r="H11" s="34">
        <v>1.8705000000000001</v>
      </c>
      <c r="I11" s="40">
        <f>INT('Hotel Data'!K14)</f>
        <v>335</v>
      </c>
      <c r="J11" s="34">
        <v>0.78380000000000005</v>
      </c>
      <c r="K11" s="34">
        <v>96</v>
      </c>
      <c r="L11" s="34">
        <v>144</v>
      </c>
    </row>
    <row r="12" spans="1:12" s="35" customFormat="1">
      <c r="A12" s="35" t="s">
        <v>12</v>
      </c>
      <c r="B12" s="35">
        <f t="shared" si="0"/>
        <v>11</v>
      </c>
      <c r="C12" s="36">
        <v>8</v>
      </c>
      <c r="D12" s="34">
        <v>2022</v>
      </c>
      <c r="E12" s="42">
        <f>'Hotel Data'!X15</f>
        <v>17114</v>
      </c>
      <c r="F12" s="34">
        <v>0.73309999999999997</v>
      </c>
      <c r="G12" s="39">
        <f>INT('Hotel Data'!E15)</f>
        <v>201</v>
      </c>
      <c r="H12" s="34">
        <v>1.8705000000000001</v>
      </c>
      <c r="I12" s="40">
        <f>INT('Hotel Data'!K15)</f>
        <v>320</v>
      </c>
      <c r="J12" s="34">
        <v>0.78380000000000005</v>
      </c>
      <c r="K12" s="34">
        <v>105</v>
      </c>
      <c r="L12" s="34">
        <v>164</v>
      </c>
    </row>
    <row r="13" spans="1:12" s="35" customFormat="1">
      <c r="A13" s="35" t="s">
        <v>12</v>
      </c>
      <c r="B13" s="35">
        <f t="shared" si="0"/>
        <v>12</v>
      </c>
      <c r="C13" s="36">
        <v>8</v>
      </c>
      <c r="D13" s="34">
        <v>2022</v>
      </c>
      <c r="E13" s="42">
        <f>'Hotel Data'!X16</f>
        <v>16839</v>
      </c>
      <c r="F13" s="34">
        <v>0.73309999999999997</v>
      </c>
      <c r="G13" s="39">
        <f>INT('Hotel Data'!E16)</f>
        <v>209</v>
      </c>
      <c r="H13" s="34">
        <v>1.8705000000000001</v>
      </c>
      <c r="I13" s="40">
        <f>INT('Hotel Data'!K16)</f>
        <v>301</v>
      </c>
      <c r="J13" s="34">
        <v>0.78380000000000005</v>
      </c>
      <c r="K13" s="34">
        <v>82</v>
      </c>
      <c r="L13" s="34">
        <v>153</v>
      </c>
    </row>
    <row r="14" spans="1:12" s="35" customFormat="1">
      <c r="A14" s="35" t="s">
        <v>12</v>
      </c>
      <c r="B14" s="35">
        <f t="shared" si="0"/>
        <v>13</v>
      </c>
      <c r="C14" s="36">
        <v>8</v>
      </c>
      <c r="D14" s="34">
        <v>2022</v>
      </c>
      <c r="E14" s="42">
        <f>'Hotel Data'!X17</f>
        <v>16332</v>
      </c>
      <c r="F14" s="34">
        <v>0.73309999999999997</v>
      </c>
      <c r="G14" s="39">
        <f>INT('Hotel Data'!E17)</f>
        <v>208</v>
      </c>
      <c r="H14" s="34">
        <v>1.8705000000000001</v>
      </c>
      <c r="I14" s="40">
        <f>INT('Hotel Data'!K17)</f>
        <v>256</v>
      </c>
      <c r="J14" s="34">
        <v>0.78380000000000005</v>
      </c>
      <c r="K14" s="34">
        <v>67</v>
      </c>
      <c r="L14" s="34">
        <v>139</v>
      </c>
    </row>
    <row r="15" spans="1:12" s="35" customFormat="1">
      <c r="A15" s="35" t="s">
        <v>12</v>
      </c>
      <c r="B15" s="35">
        <f t="shared" si="0"/>
        <v>14</v>
      </c>
      <c r="C15" s="36">
        <v>8</v>
      </c>
      <c r="D15" s="34">
        <v>2022</v>
      </c>
      <c r="E15" s="42">
        <f>'Hotel Data'!X18</f>
        <v>16365</v>
      </c>
      <c r="F15" s="34">
        <v>0.73309999999999997</v>
      </c>
      <c r="G15" s="39">
        <f>INT('Hotel Data'!E18)</f>
        <v>210</v>
      </c>
      <c r="H15" s="34">
        <v>1.8705000000000001</v>
      </c>
      <c r="I15" s="40">
        <f>INT('Hotel Data'!K18)</f>
        <v>253</v>
      </c>
      <c r="J15" s="34">
        <v>0.78380000000000005</v>
      </c>
      <c r="K15" s="34">
        <v>64</v>
      </c>
      <c r="L15" s="34">
        <v>134</v>
      </c>
    </row>
    <row r="16" spans="1:12" s="35" customFormat="1">
      <c r="A16" s="35" t="s">
        <v>12</v>
      </c>
      <c r="B16" s="35">
        <f t="shared" si="0"/>
        <v>15</v>
      </c>
      <c r="C16" s="36">
        <v>8</v>
      </c>
      <c r="D16" s="34">
        <v>2022</v>
      </c>
      <c r="E16" s="42">
        <f>'Hotel Data'!X19</f>
        <v>16925</v>
      </c>
      <c r="F16" s="34">
        <v>0.73309999999999997</v>
      </c>
      <c r="G16" s="39">
        <f>INT('Hotel Data'!E19)</f>
        <v>204</v>
      </c>
      <c r="H16" s="34">
        <v>1.8705000000000001</v>
      </c>
      <c r="I16" s="40">
        <f>INT('Hotel Data'!K19)</f>
        <v>264</v>
      </c>
      <c r="J16" s="34">
        <v>0.78380000000000005</v>
      </c>
      <c r="K16" s="34">
        <v>76</v>
      </c>
      <c r="L16" s="34">
        <v>145</v>
      </c>
    </row>
    <row r="17" spans="1:12" s="35" customFormat="1">
      <c r="A17" s="35" t="s">
        <v>12</v>
      </c>
      <c r="B17" s="35">
        <f t="shared" si="0"/>
        <v>16</v>
      </c>
      <c r="C17" s="36">
        <v>8</v>
      </c>
      <c r="D17" s="34">
        <v>2022</v>
      </c>
      <c r="E17" s="42">
        <f>'Hotel Data'!X20</f>
        <v>17480</v>
      </c>
      <c r="F17" s="34">
        <v>0.73309999999999997</v>
      </c>
      <c r="G17" s="39">
        <f>INT('Hotel Data'!E20)</f>
        <v>200</v>
      </c>
      <c r="H17" s="34">
        <v>1.8705000000000001</v>
      </c>
      <c r="I17" s="40">
        <f>INT('Hotel Data'!K20)</f>
        <v>269</v>
      </c>
      <c r="J17" s="34">
        <v>0.78380000000000005</v>
      </c>
      <c r="K17" s="34">
        <v>71</v>
      </c>
      <c r="L17" s="34">
        <v>146</v>
      </c>
    </row>
    <row r="18" spans="1:12" s="35" customFormat="1">
      <c r="A18" s="35" t="s">
        <v>12</v>
      </c>
      <c r="B18" s="35">
        <f t="shared" si="0"/>
        <v>17</v>
      </c>
      <c r="C18" s="36">
        <v>8</v>
      </c>
      <c r="D18" s="34">
        <v>2022</v>
      </c>
      <c r="E18" s="42">
        <f>'Hotel Data'!X21</f>
        <v>17943</v>
      </c>
      <c r="F18" s="34">
        <v>0.73309999999999997</v>
      </c>
      <c r="G18" s="39">
        <f>INT('Hotel Data'!E21)</f>
        <v>208</v>
      </c>
      <c r="H18" s="34">
        <v>1.8705000000000001</v>
      </c>
      <c r="I18" s="40">
        <f>INT('Hotel Data'!K21)</f>
        <v>276</v>
      </c>
      <c r="J18" s="34">
        <v>0.78380000000000005</v>
      </c>
      <c r="K18" s="34">
        <v>61</v>
      </c>
      <c r="L18" s="34">
        <v>126</v>
      </c>
    </row>
    <row r="19" spans="1:12" s="35" customFormat="1">
      <c r="A19" s="35" t="s">
        <v>12</v>
      </c>
      <c r="B19" s="35">
        <f t="shared" si="0"/>
        <v>18</v>
      </c>
      <c r="C19" s="36">
        <v>8</v>
      </c>
      <c r="D19" s="34">
        <v>2022</v>
      </c>
      <c r="E19" s="42">
        <f>'Hotel Data'!X22</f>
        <v>16790</v>
      </c>
      <c r="F19" s="34">
        <v>0.73309999999999997</v>
      </c>
      <c r="G19" s="39">
        <f>INT('Hotel Data'!E22)</f>
        <v>211</v>
      </c>
      <c r="H19" s="34">
        <v>1.8705000000000001</v>
      </c>
      <c r="I19" s="40">
        <f>INT('Hotel Data'!K22)</f>
        <v>249</v>
      </c>
      <c r="J19" s="34">
        <v>0.78380000000000005</v>
      </c>
      <c r="K19" s="34">
        <v>66</v>
      </c>
      <c r="L19" s="34">
        <v>143</v>
      </c>
    </row>
    <row r="20" spans="1:12" s="35" customFormat="1">
      <c r="A20" s="35" t="s">
        <v>12</v>
      </c>
      <c r="B20" s="35">
        <f t="shared" si="0"/>
        <v>19</v>
      </c>
      <c r="C20" s="36">
        <v>8</v>
      </c>
      <c r="D20" s="34">
        <v>2022</v>
      </c>
      <c r="E20" s="42">
        <f>'Hotel Data'!X23</f>
        <v>16328</v>
      </c>
      <c r="F20" s="34">
        <v>0.73309999999999997</v>
      </c>
      <c r="G20" s="39">
        <f>INT('Hotel Data'!E23)</f>
        <v>212</v>
      </c>
      <c r="H20" s="34">
        <v>1.8705000000000001</v>
      </c>
      <c r="I20" s="40">
        <f>INT('Hotel Data'!K23)</f>
        <v>250</v>
      </c>
      <c r="J20" s="34">
        <v>0.78380000000000005</v>
      </c>
      <c r="K20" s="34">
        <v>74</v>
      </c>
      <c r="L20" s="34">
        <v>148</v>
      </c>
    </row>
    <row r="21" spans="1:12" s="35" customFormat="1">
      <c r="A21" s="35" t="s">
        <v>12</v>
      </c>
      <c r="B21" s="35">
        <f t="shared" si="0"/>
        <v>20</v>
      </c>
      <c r="C21" s="36">
        <v>8</v>
      </c>
      <c r="D21" s="34">
        <v>2022</v>
      </c>
      <c r="E21" s="42">
        <f>'Hotel Data'!X24</f>
        <v>16363</v>
      </c>
      <c r="F21" s="34">
        <v>0.73309999999999997</v>
      </c>
      <c r="G21" s="39">
        <f>INT('Hotel Data'!E24)</f>
        <v>198</v>
      </c>
      <c r="H21" s="34">
        <v>1.8705000000000001</v>
      </c>
      <c r="I21" s="40">
        <f>INT('Hotel Data'!K24)</f>
        <v>250</v>
      </c>
      <c r="J21" s="34">
        <v>0.78380000000000005</v>
      </c>
      <c r="K21" s="34">
        <v>83</v>
      </c>
      <c r="L21" s="34">
        <v>166</v>
      </c>
    </row>
    <row r="22" spans="1:12" s="35" customFormat="1">
      <c r="A22" s="35" t="s">
        <v>12</v>
      </c>
      <c r="B22" s="35">
        <f t="shared" si="0"/>
        <v>21</v>
      </c>
      <c r="C22" s="36">
        <v>8</v>
      </c>
      <c r="D22" s="34">
        <v>2022</v>
      </c>
      <c r="E22" s="42">
        <f>'Hotel Data'!X25</f>
        <v>16162</v>
      </c>
      <c r="F22" s="34">
        <v>0.73309999999999997</v>
      </c>
      <c r="G22" s="39">
        <f>INT('Hotel Data'!E25)</f>
        <v>200</v>
      </c>
      <c r="H22" s="34">
        <v>1.8705000000000001</v>
      </c>
      <c r="I22" s="40">
        <f>INT('Hotel Data'!K25)</f>
        <v>252</v>
      </c>
      <c r="J22" s="34">
        <v>0.78380000000000005</v>
      </c>
      <c r="K22" s="34">
        <v>77</v>
      </c>
      <c r="L22" s="34">
        <v>152</v>
      </c>
    </row>
    <row r="23" spans="1:12" s="35" customFormat="1">
      <c r="A23" s="35" t="s">
        <v>12</v>
      </c>
      <c r="B23" s="35">
        <f t="shared" si="0"/>
        <v>22</v>
      </c>
      <c r="C23" s="36">
        <v>8</v>
      </c>
      <c r="D23" s="34">
        <v>2022</v>
      </c>
      <c r="E23" s="42">
        <f>'Hotel Data'!X26</f>
        <v>16685</v>
      </c>
      <c r="F23" s="34">
        <v>0.73309999999999997</v>
      </c>
      <c r="G23" s="39">
        <f>INT('Hotel Data'!E26)</f>
        <v>214</v>
      </c>
      <c r="H23" s="34">
        <v>1.8705000000000001</v>
      </c>
      <c r="I23" s="40">
        <f>INT('Hotel Data'!K26)</f>
        <v>269</v>
      </c>
      <c r="J23" s="34">
        <v>0.78380000000000005</v>
      </c>
      <c r="K23" s="34">
        <v>54</v>
      </c>
      <c r="L23" s="34">
        <v>109</v>
      </c>
    </row>
    <row r="24" spans="1:12" s="35" customFormat="1">
      <c r="A24" s="35" t="s">
        <v>12</v>
      </c>
      <c r="B24" s="35">
        <f t="shared" si="0"/>
        <v>23</v>
      </c>
      <c r="C24" s="36">
        <v>8</v>
      </c>
      <c r="D24" s="34">
        <v>2022</v>
      </c>
      <c r="E24" s="42">
        <f>'Hotel Data'!X27</f>
        <v>16609</v>
      </c>
      <c r="F24" s="34">
        <v>0.73309999999999997</v>
      </c>
      <c r="G24" s="39">
        <f>INT('Hotel Data'!E27)</f>
        <v>243</v>
      </c>
      <c r="H24" s="34">
        <v>1.8705000000000001</v>
      </c>
      <c r="I24" s="40">
        <f>INT('Hotel Data'!K27)</f>
        <v>243</v>
      </c>
      <c r="J24" s="34">
        <v>0.78380000000000005</v>
      </c>
      <c r="K24" s="34">
        <v>52</v>
      </c>
      <c r="L24" s="34">
        <v>96</v>
      </c>
    </row>
    <row r="25" spans="1:12" s="35" customFormat="1">
      <c r="A25" s="35" t="s">
        <v>12</v>
      </c>
      <c r="B25" s="35">
        <f t="shared" si="0"/>
        <v>24</v>
      </c>
      <c r="C25" s="36">
        <v>8</v>
      </c>
      <c r="D25" s="34">
        <v>2022</v>
      </c>
      <c r="E25" s="42">
        <f>'Hotel Data'!X28</f>
        <v>16395</v>
      </c>
      <c r="F25" s="34">
        <v>0.73309999999999997</v>
      </c>
      <c r="G25" s="39">
        <f>INT('Hotel Data'!E28)</f>
        <v>150</v>
      </c>
      <c r="H25" s="34">
        <v>1.8705000000000001</v>
      </c>
      <c r="I25" s="40">
        <f>INT('Hotel Data'!K28)</f>
        <v>248</v>
      </c>
      <c r="J25" s="34">
        <v>0.78380000000000005</v>
      </c>
      <c r="K25" s="34">
        <v>63</v>
      </c>
      <c r="L25" s="34">
        <v>116</v>
      </c>
    </row>
    <row r="26" spans="1:12" s="35" customFormat="1">
      <c r="A26" s="35" t="s">
        <v>12</v>
      </c>
      <c r="B26" s="35">
        <f>B25+1</f>
        <v>25</v>
      </c>
      <c r="C26" s="36">
        <v>8</v>
      </c>
      <c r="D26" s="34">
        <v>2022</v>
      </c>
      <c r="E26" s="42">
        <f>'Hotel Data'!X29</f>
        <v>16513</v>
      </c>
      <c r="F26" s="34">
        <v>0.73309999999999997</v>
      </c>
      <c r="G26" s="39">
        <f>INT('Hotel Data'!E29)</f>
        <v>224</v>
      </c>
      <c r="H26" s="34">
        <v>1.8705000000000001</v>
      </c>
      <c r="I26" s="40">
        <f>INT('Hotel Data'!K29)</f>
        <v>252</v>
      </c>
      <c r="J26" s="34">
        <v>0.78380000000000005</v>
      </c>
      <c r="K26" s="34">
        <v>90</v>
      </c>
      <c r="L26" s="34">
        <v>165</v>
      </c>
    </row>
    <row r="27" spans="1:12" s="35" customFormat="1">
      <c r="A27" s="35" t="s">
        <v>12</v>
      </c>
      <c r="B27" s="35">
        <f t="shared" si="0"/>
        <v>26</v>
      </c>
      <c r="C27" s="36">
        <v>8</v>
      </c>
      <c r="D27" s="34">
        <v>2022</v>
      </c>
      <c r="E27" s="42">
        <f>'Hotel Data'!X30</f>
        <v>16586</v>
      </c>
      <c r="F27" s="34">
        <v>0.73309999999999997</v>
      </c>
      <c r="G27" s="39">
        <f>INT('Hotel Data'!E30)</f>
        <v>261</v>
      </c>
      <c r="H27" s="34">
        <v>1.8705000000000001</v>
      </c>
      <c r="I27" s="40">
        <f>INT('Hotel Data'!K30)</f>
        <v>264</v>
      </c>
      <c r="J27" s="34">
        <v>0.78380000000000005</v>
      </c>
      <c r="K27" s="34">
        <v>94</v>
      </c>
      <c r="L27" s="34">
        <v>164</v>
      </c>
    </row>
    <row r="28" spans="1:12" s="35" customFormat="1">
      <c r="A28" s="35" t="s">
        <v>12</v>
      </c>
      <c r="B28" s="35">
        <f t="shared" si="0"/>
        <v>27</v>
      </c>
      <c r="C28" s="36">
        <v>8</v>
      </c>
      <c r="D28" s="34">
        <v>2022</v>
      </c>
      <c r="E28" s="42">
        <f>'Hotel Data'!X31</f>
        <v>16516</v>
      </c>
      <c r="F28" s="34">
        <v>0.73309999999999997</v>
      </c>
      <c r="G28" s="39">
        <f>INT('Hotel Data'!E31)</f>
        <v>278</v>
      </c>
      <c r="H28" s="34">
        <v>1.8705000000000001</v>
      </c>
      <c r="I28" s="40">
        <f>INT('Hotel Data'!K31)</f>
        <v>285</v>
      </c>
      <c r="J28" s="34">
        <v>0.78380000000000005</v>
      </c>
      <c r="K28" s="34">
        <v>97</v>
      </c>
      <c r="L28" s="34">
        <v>179</v>
      </c>
    </row>
    <row r="29" spans="1:12" s="35" customFormat="1">
      <c r="A29" s="35" t="s">
        <v>12</v>
      </c>
      <c r="B29" s="35">
        <f t="shared" si="0"/>
        <v>28</v>
      </c>
      <c r="C29" s="36">
        <v>8</v>
      </c>
      <c r="D29" s="34">
        <v>2022</v>
      </c>
      <c r="E29" s="42">
        <f>'Hotel Data'!X32</f>
        <v>16279</v>
      </c>
      <c r="F29" s="34">
        <v>0.73309999999999997</v>
      </c>
      <c r="G29" s="39">
        <f>INT('Hotel Data'!E32)</f>
        <v>267</v>
      </c>
      <c r="H29" s="34">
        <v>1.8705000000000001</v>
      </c>
      <c r="I29" s="40">
        <f>INT('Hotel Data'!K32)</f>
        <v>260</v>
      </c>
      <c r="J29" s="34">
        <v>0.78380000000000005</v>
      </c>
      <c r="K29" s="34">
        <v>75</v>
      </c>
      <c r="L29" s="34">
        <v>147</v>
      </c>
    </row>
    <row r="30" spans="1:12" s="35" customFormat="1">
      <c r="A30" s="35" t="s">
        <v>12</v>
      </c>
      <c r="B30" s="35">
        <f t="shared" si="0"/>
        <v>29</v>
      </c>
      <c r="C30" s="36">
        <v>8</v>
      </c>
      <c r="D30" s="34">
        <v>2022</v>
      </c>
      <c r="E30" s="42">
        <f>'Hotel Data'!X33</f>
        <v>17255</v>
      </c>
      <c r="F30" s="34">
        <v>0.73309999999999997</v>
      </c>
      <c r="G30" s="39">
        <f>INT('Hotel Data'!E33)</f>
        <v>277</v>
      </c>
      <c r="H30" s="34">
        <v>1.8705000000000001</v>
      </c>
      <c r="I30" s="40">
        <f>INT('Hotel Data'!K33)</f>
        <v>275</v>
      </c>
      <c r="J30" s="34">
        <v>0.78380000000000005</v>
      </c>
      <c r="K30" s="34">
        <v>57</v>
      </c>
      <c r="L30" s="34">
        <v>116</v>
      </c>
    </row>
    <row r="31" spans="1:12" s="34" customFormat="1">
      <c r="A31" s="34" t="s">
        <v>12</v>
      </c>
      <c r="B31" s="35">
        <f t="shared" si="0"/>
        <v>30</v>
      </c>
      <c r="C31" s="36">
        <v>8</v>
      </c>
      <c r="D31" s="34">
        <v>2022</v>
      </c>
      <c r="E31" s="42">
        <f>'Hotel Data'!X34</f>
        <v>17422</v>
      </c>
      <c r="F31" s="34">
        <v>0.73309999999999997</v>
      </c>
      <c r="G31" s="39">
        <f>INT('Hotel Data'!E34)</f>
        <v>239</v>
      </c>
      <c r="H31" s="34">
        <v>1.8705000000000001</v>
      </c>
      <c r="I31" s="40">
        <f>INT('Hotel Data'!K34)</f>
        <v>278</v>
      </c>
      <c r="J31" s="34">
        <v>0.78380000000000005</v>
      </c>
      <c r="K31" s="34">
        <v>76</v>
      </c>
      <c r="L31" s="34">
        <v>139</v>
      </c>
    </row>
    <row r="32" spans="1:12" s="34" customFormat="1">
      <c r="A32" s="34" t="s">
        <v>12</v>
      </c>
      <c r="B32" s="35">
        <f t="shared" si="0"/>
        <v>31</v>
      </c>
      <c r="C32" s="36">
        <v>8</v>
      </c>
      <c r="D32" s="34">
        <v>2022</v>
      </c>
      <c r="E32" s="42">
        <f>'Hotel Data'!X35</f>
        <v>15399</v>
      </c>
      <c r="F32" s="34">
        <v>0.73309999999999997</v>
      </c>
      <c r="G32" s="39">
        <f>INT('Hotel Data'!E35)</f>
        <v>298</v>
      </c>
      <c r="H32" s="34">
        <v>1.8705000000000001</v>
      </c>
      <c r="I32" s="40">
        <f>INT('Hotel Data'!K35)</f>
        <v>222</v>
      </c>
      <c r="J32" s="34">
        <v>0.78380000000000005</v>
      </c>
      <c r="K32" s="34">
        <v>84</v>
      </c>
      <c r="L32" s="34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workbookViewId="0">
      <selection activeCell="Q28" sqref="Q28"/>
    </sheetView>
  </sheetViews>
  <sheetFormatPr defaultColWidth="11.5703125" defaultRowHeight="15"/>
  <cols>
    <col min="4" max="4" width="13.42578125" customWidth="1"/>
    <col min="5" max="5" width="13" style="28" customWidth="1"/>
    <col min="6" max="6" width="12.5703125" customWidth="1"/>
    <col min="7" max="7" width="13" style="28" customWidth="1"/>
    <col min="12" max="12" width="11.5703125" style="28"/>
    <col min="15" max="15" width="14" customWidth="1"/>
  </cols>
  <sheetData>
    <row r="1" spans="1:16" s="32" customFormat="1" ht="45">
      <c r="A1" s="32" t="s">
        <v>0</v>
      </c>
      <c r="B1" s="32" t="s">
        <v>1</v>
      </c>
      <c r="C1" s="32" t="s">
        <v>2</v>
      </c>
      <c r="D1" s="32" t="s">
        <v>3</v>
      </c>
      <c r="E1" s="29" t="s">
        <v>13</v>
      </c>
      <c r="F1" s="29" t="s">
        <v>14</v>
      </c>
      <c r="G1" s="29" t="s">
        <v>15</v>
      </c>
      <c r="H1" s="30" t="s">
        <v>16</v>
      </c>
      <c r="I1" s="30" t="s">
        <v>17</v>
      </c>
      <c r="J1" s="30" t="s">
        <v>18</v>
      </c>
      <c r="K1" s="30" t="s">
        <v>19</v>
      </c>
      <c r="L1" s="29" t="s">
        <v>20</v>
      </c>
      <c r="M1" s="30" t="s">
        <v>21</v>
      </c>
      <c r="N1" s="30" t="s">
        <v>22</v>
      </c>
      <c r="O1" s="31" t="s">
        <v>23</v>
      </c>
      <c r="P1" s="31" t="s">
        <v>10</v>
      </c>
    </row>
    <row r="2" spans="1:16" s="32" customFormat="1">
      <c r="E2" s="29"/>
      <c r="F2" s="29"/>
      <c r="G2" s="29"/>
      <c r="H2" s="30"/>
      <c r="I2" s="30"/>
      <c r="J2" s="30"/>
      <c r="K2" s="30"/>
      <c r="L2" s="29"/>
      <c r="M2" s="30"/>
      <c r="N2" s="30"/>
      <c r="O2" s="31"/>
      <c r="P2" s="31"/>
    </row>
    <row r="3" spans="1:16" s="34" customFormat="1">
      <c r="A3" s="34" t="s">
        <v>12</v>
      </c>
      <c r="B3" s="34">
        <v>1</v>
      </c>
      <c r="C3" s="36">
        <v>8</v>
      </c>
      <c r="D3" s="34">
        <v>2022</v>
      </c>
      <c r="E3" s="39">
        <f>'Hotel Data'!E5</f>
        <v>215</v>
      </c>
      <c r="F3" s="39">
        <f>'Hotel Data'!G5</f>
        <v>0</v>
      </c>
      <c r="G3" s="39">
        <f>'Hotel Data'!O5</f>
        <v>82</v>
      </c>
      <c r="H3" s="39">
        <f>'Hotel Data'!Q5</f>
        <v>117</v>
      </c>
      <c r="I3" s="39">
        <f>'Hotel Data'!S5</f>
        <v>0</v>
      </c>
      <c r="J3" s="39">
        <f>'Hotel Data'!U5</f>
        <v>149</v>
      </c>
      <c r="K3" s="39">
        <f>'Hotel Data'!AD5</f>
        <v>344</v>
      </c>
      <c r="L3" s="39">
        <f>'Hotel Data'!AG5</f>
        <v>1130</v>
      </c>
      <c r="M3" s="40">
        <f>'Hotel Data'!AJ5</f>
        <v>152</v>
      </c>
      <c r="N3" s="40">
        <f>'Hotel Data'!AN5</f>
        <v>507</v>
      </c>
      <c r="O3" s="40">
        <f>'Hotel Data'!AR5</f>
        <v>296</v>
      </c>
      <c r="P3" s="35"/>
    </row>
    <row r="4" spans="1:16" s="35" customFormat="1">
      <c r="A4" s="35" t="s">
        <v>12</v>
      </c>
      <c r="B4" s="35">
        <f>B3+1</f>
        <v>2</v>
      </c>
      <c r="C4" s="36">
        <v>8</v>
      </c>
      <c r="D4" s="34">
        <v>2022</v>
      </c>
      <c r="E4" s="39">
        <f>'Hotel Data'!E6</f>
        <v>198</v>
      </c>
      <c r="F4" s="39">
        <f>'Hotel Data'!G6</f>
        <v>0</v>
      </c>
      <c r="G4" s="39">
        <f>'Hotel Data'!O6</f>
        <v>69</v>
      </c>
      <c r="H4" s="39">
        <f>'Hotel Data'!Q6</f>
        <v>100</v>
      </c>
      <c r="I4" s="39">
        <f>'Hotel Data'!S6</f>
        <v>0</v>
      </c>
      <c r="J4" s="39">
        <f>'Hotel Data'!U6</f>
        <v>122</v>
      </c>
      <c r="K4" s="39">
        <f>'Hotel Data'!AD6</f>
        <v>333</v>
      </c>
      <c r="L4" s="39">
        <f>'Hotel Data'!AG6</f>
        <v>1160</v>
      </c>
      <c r="M4" s="40">
        <f>'Hotel Data'!AJ6</f>
        <v>160</v>
      </c>
      <c r="N4" s="40">
        <f>'Hotel Data'!AN6</f>
        <v>458</v>
      </c>
      <c r="O4" s="40">
        <f>'Hotel Data'!AR6</f>
        <v>280</v>
      </c>
    </row>
    <row r="5" spans="1:16" s="35" customFormat="1">
      <c r="A5" s="35" t="s">
        <v>12</v>
      </c>
      <c r="B5" s="35">
        <f t="shared" ref="B5:B33" si="0">B4+1</f>
        <v>3</v>
      </c>
      <c r="C5" s="36">
        <v>8</v>
      </c>
      <c r="D5" s="34">
        <v>2022</v>
      </c>
      <c r="E5" s="39">
        <f>'Hotel Data'!E7</f>
        <v>227</v>
      </c>
      <c r="F5" s="39">
        <f>'Hotel Data'!G7</f>
        <v>0</v>
      </c>
      <c r="G5" s="39">
        <f>'Hotel Data'!O7</f>
        <v>90</v>
      </c>
      <c r="H5" s="39">
        <f>'Hotel Data'!Q7</f>
        <v>98</v>
      </c>
      <c r="I5" s="39">
        <f>'Hotel Data'!S7</f>
        <v>0</v>
      </c>
      <c r="J5" s="39">
        <f>'Hotel Data'!U7</f>
        <v>121</v>
      </c>
      <c r="K5" s="39">
        <f>'Hotel Data'!AD7</f>
        <v>336</v>
      </c>
      <c r="L5" s="39">
        <f>'Hotel Data'!AG7</f>
        <v>1191</v>
      </c>
      <c r="M5" s="40">
        <f>'Hotel Data'!AJ7</f>
        <v>192</v>
      </c>
      <c r="N5" s="40">
        <f>'Hotel Data'!AN7</f>
        <v>442</v>
      </c>
      <c r="O5" s="40">
        <f>'Hotel Data'!AR7</f>
        <v>264</v>
      </c>
    </row>
    <row r="6" spans="1:16" s="35" customFormat="1">
      <c r="A6" s="35" t="s">
        <v>12</v>
      </c>
      <c r="B6" s="35">
        <f t="shared" si="0"/>
        <v>4</v>
      </c>
      <c r="C6" s="36">
        <v>8</v>
      </c>
      <c r="D6" s="34">
        <v>2022</v>
      </c>
      <c r="E6" s="39">
        <f>'Hotel Data'!E8</f>
        <v>201</v>
      </c>
      <c r="F6" s="39">
        <f>'Hotel Data'!G8</f>
        <v>1</v>
      </c>
      <c r="G6" s="39">
        <f>'Hotel Data'!O8</f>
        <v>92</v>
      </c>
      <c r="H6" s="39">
        <f>'Hotel Data'!Q8</f>
        <v>96</v>
      </c>
      <c r="I6" s="39">
        <f>'Hotel Data'!S8</f>
        <v>0</v>
      </c>
      <c r="J6" s="39">
        <f>'Hotel Data'!U8</f>
        <v>124</v>
      </c>
      <c r="K6" s="39">
        <f>'Hotel Data'!AD8</f>
        <v>365</v>
      </c>
      <c r="L6" s="39">
        <f>'Hotel Data'!AG8</f>
        <v>1098</v>
      </c>
      <c r="M6" s="40">
        <f>'Hotel Data'!AJ8</f>
        <v>160</v>
      </c>
      <c r="N6" s="40">
        <f>'Hotel Data'!AN8</f>
        <v>426</v>
      </c>
      <c r="O6" s="40">
        <f>'Hotel Data'!AR8</f>
        <v>280</v>
      </c>
    </row>
    <row r="7" spans="1:16" s="35" customFormat="1">
      <c r="A7" s="35" t="s">
        <v>12</v>
      </c>
      <c r="B7" s="35">
        <f t="shared" si="0"/>
        <v>5</v>
      </c>
      <c r="C7" s="36">
        <v>8</v>
      </c>
      <c r="D7" s="34">
        <v>2022</v>
      </c>
      <c r="E7" s="39">
        <f>'Hotel Data'!E9</f>
        <v>275</v>
      </c>
      <c r="F7" s="39">
        <f>'Hotel Data'!G9</f>
        <v>0</v>
      </c>
      <c r="G7" s="39">
        <f>'Hotel Data'!O9</f>
        <v>93</v>
      </c>
      <c r="H7" s="39">
        <f>'Hotel Data'!Q9</f>
        <v>96</v>
      </c>
      <c r="I7" s="39">
        <f>'Hotel Data'!S9</f>
        <v>0</v>
      </c>
      <c r="J7" s="39">
        <f>'Hotel Data'!U9</f>
        <v>127</v>
      </c>
      <c r="K7" s="39">
        <f>'Hotel Data'!AD9</f>
        <v>330</v>
      </c>
      <c r="L7" s="39">
        <f>'Hotel Data'!AG9</f>
        <v>1178</v>
      </c>
      <c r="M7" s="40">
        <f>'Hotel Data'!AJ9</f>
        <v>168</v>
      </c>
      <c r="N7" s="40">
        <f>'Hotel Data'!AN9</f>
        <v>472</v>
      </c>
      <c r="O7" s="40">
        <f>'Hotel Data'!AR9</f>
        <v>280</v>
      </c>
    </row>
    <row r="8" spans="1:16" s="35" customFormat="1">
      <c r="A8" s="35" t="s">
        <v>12</v>
      </c>
      <c r="B8" s="35">
        <f t="shared" si="0"/>
        <v>6</v>
      </c>
      <c r="C8" s="36">
        <v>8</v>
      </c>
      <c r="D8" s="34">
        <v>2022</v>
      </c>
      <c r="E8" s="39">
        <f>'Hotel Data'!E10</f>
        <v>153</v>
      </c>
      <c r="F8" s="39">
        <f>'Hotel Data'!G10</f>
        <v>0</v>
      </c>
      <c r="G8" s="39">
        <f>'Hotel Data'!O10</f>
        <v>95</v>
      </c>
      <c r="H8" s="39">
        <f>'Hotel Data'!Q10</f>
        <v>93</v>
      </c>
      <c r="I8" s="39">
        <f>'Hotel Data'!S10</f>
        <v>0</v>
      </c>
      <c r="J8" s="39">
        <f>'Hotel Data'!U10</f>
        <v>120</v>
      </c>
      <c r="K8" s="39">
        <f>'Hotel Data'!AD10</f>
        <v>348</v>
      </c>
      <c r="L8" s="39">
        <f>'Hotel Data'!AG10</f>
        <v>1239</v>
      </c>
      <c r="M8" s="40">
        <f>'Hotel Data'!AJ10</f>
        <v>144</v>
      </c>
      <c r="N8" s="40">
        <f>'Hotel Data'!AN10</f>
        <v>471</v>
      </c>
      <c r="O8" s="40">
        <f>'Hotel Data'!AR10</f>
        <v>264</v>
      </c>
    </row>
    <row r="9" spans="1:16" s="35" customFormat="1">
      <c r="A9" s="35" t="s">
        <v>12</v>
      </c>
      <c r="B9" s="35">
        <f t="shared" si="0"/>
        <v>7</v>
      </c>
      <c r="C9" s="36">
        <v>8</v>
      </c>
      <c r="D9" s="34">
        <v>2022</v>
      </c>
      <c r="E9" s="39">
        <f>'Hotel Data'!E11</f>
        <v>193</v>
      </c>
      <c r="F9" s="39">
        <f>'Hotel Data'!G11</f>
        <v>0</v>
      </c>
      <c r="G9" s="39">
        <f>'Hotel Data'!O11</f>
        <v>78</v>
      </c>
      <c r="H9" s="39">
        <f>'Hotel Data'!Q11</f>
        <v>90</v>
      </c>
      <c r="I9" s="39">
        <f>'Hotel Data'!S11</f>
        <v>0</v>
      </c>
      <c r="J9" s="39">
        <f>'Hotel Data'!U11</f>
        <v>118</v>
      </c>
      <c r="K9" s="39">
        <f>'Hotel Data'!AD11</f>
        <v>351</v>
      </c>
      <c r="L9" s="39">
        <f>'Hotel Data'!AG11</f>
        <v>1083</v>
      </c>
      <c r="M9" s="40">
        <f>'Hotel Data'!AJ11</f>
        <v>136</v>
      </c>
      <c r="N9" s="40">
        <f>'Hotel Data'!AN11</f>
        <v>488</v>
      </c>
      <c r="O9" s="40">
        <f>'Hotel Data'!AR11</f>
        <v>256</v>
      </c>
    </row>
    <row r="10" spans="1:16" s="35" customFormat="1">
      <c r="A10" s="35" t="s">
        <v>12</v>
      </c>
      <c r="B10" s="35">
        <f t="shared" si="0"/>
        <v>8</v>
      </c>
      <c r="C10" s="36">
        <v>8</v>
      </c>
      <c r="D10" s="34">
        <v>2022</v>
      </c>
      <c r="E10" s="39">
        <f>'Hotel Data'!E12</f>
        <v>226</v>
      </c>
      <c r="F10" s="39">
        <f>'Hotel Data'!G12</f>
        <v>0</v>
      </c>
      <c r="G10" s="39">
        <f>'Hotel Data'!O12</f>
        <v>77</v>
      </c>
      <c r="H10" s="39">
        <f>'Hotel Data'!Q12</f>
        <v>93</v>
      </c>
      <c r="I10" s="39">
        <f>'Hotel Data'!S12</f>
        <v>0</v>
      </c>
      <c r="J10" s="39">
        <f>'Hotel Data'!U12</f>
        <v>120</v>
      </c>
      <c r="K10" s="39">
        <f>'Hotel Data'!AD12</f>
        <v>347</v>
      </c>
      <c r="L10" s="39">
        <f>'Hotel Data'!AG12</f>
        <v>1123</v>
      </c>
      <c r="M10" s="40">
        <f>'Hotel Data'!AJ12</f>
        <v>152</v>
      </c>
      <c r="N10" s="40">
        <f>'Hotel Data'!AN12</f>
        <v>485</v>
      </c>
      <c r="O10" s="40">
        <f>'Hotel Data'!AR12</f>
        <v>272</v>
      </c>
    </row>
    <row r="11" spans="1:16" s="35" customFormat="1">
      <c r="A11" s="35" t="s">
        <v>12</v>
      </c>
      <c r="B11" s="35">
        <f t="shared" si="0"/>
        <v>9</v>
      </c>
      <c r="C11" s="36">
        <v>8</v>
      </c>
      <c r="D11" s="34">
        <v>2022</v>
      </c>
      <c r="E11" s="39">
        <f>'Hotel Data'!E13</f>
        <v>201</v>
      </c>
      <c r="F11" s="39">
        <f>'Hotel Data'!G13</f>
        <v>1</v>
      </c>
      <c r="G11" s="39">
        <f>'Hotel Data'!O13</f>
        <v>82</v>
      </c>
      <c r="H11" s="39">
        <f>'Hotel Data'!Q13</f>
        <v>88</v>
      </c>
      <c r="I11" s="39">
        <f>'Hotel Data'!S13</f>
        <v>0</v>
      </c>
      <c r="J11" s="39">
        <f>'Hotel Data'!U13</f>
        <v>117</v>
      </c>
      <c r="K11" s="39">
        <f>'Hotel Data'!AD13</f>
        <v>340</v>
      </c>
      <c r="L11" s="39">
        <f>'Hotel Data'!AG13</f>
        <v>1184</v>
      </c>
      <c r="M11" s="40">
        <f>'Hotel Data'!AJ13</f>
        <v>168</v>
      </c>
      <c r="N11" s="40">
        <f>'Hotel Data'!AN13</f>
        <v>458</v>
      </c>
      <c r="O11" s="40">
        <f>'Hotel Data'!AR13</f>
        <v>248</v>
      </c>
    </row>
    <row r="12" spans="1:16" s="35" customFormat="1">
      <c r="A12" s="35" t="s">
        <v>12</v>
      </c>
      <c r="B12" s="35">
        <f t="shared" si="0"/>
        <v>10</v>
      </c>
      <c r="C12" s="36">
        <v>8</v>
      </c>
      <c r="D12" s="34">
        <v>2022</v>
      </c>
      <c r="E12" s="39">
        <f>'Hotel Data'!E14</f>
        <v>198</v>
      </c>
      <c r="F12" s="39">
        <f>'Hotel Data'!G14</f>
        <v>1</v>
      </c>
      <c r="G12" s="39">
        <f>'Hotel Data'!O14</f>
        <v>80</v>
      </c>
      <c r="H12" s="39">
        <f>'Hotel Data'!Q14</f>
        <v>93</v>
      </c>
      <c r="I12" s="39">
        <f>'Hotel Data'!S14</f>
        <v>0</v>
      </c>
      <c r="J12" s="39">
        <f>'Hotel Data'!U14</f>
        <v>125</v>
      </c>
      <c r="K12" s="39">
        <f>'Hotel Data'!AD14</f>
        <v>366</v>
      </c>
      <c r="L12" s="39">
        <f>'Hotel Data'!AG14</f>
        <v>1302</v>
      </c>
      <c r="M12" s="40">
        <f>'Hotel Data'!AJ14</f>
        <v>144</v>
      </c>
      <c r="N12" s="40">
        <f>'Hotel Data'!AN14</f>
        <v>467</v>
      </c>
      <c r="O12" s="40">
        <f>'Hotel Data'!AR14</f>
        <v>296</v>
      </c>
    </row>
    <row r="13" spans="1:16" s="35" customFormat="1">
      <c r="A13" s="35" t="s">
        <v>12</v>
      </c>
      <c r="B13" s="35">
        <f t="shared" si="0"/>
        <v>11</v>
      </c>
      <c r="C13" s="36">
        <v>8</v>
      </c>
      <c r="D13" s="34">
        <v>2022</v>
      </c>
      <c r="E13" s="39">
        <f>'Hotel Data'!E15</f>
        <v>201</v>
      </c>
      <c r="F13" s="39">
        <f>'Hotel Data'!G15</f>
        <v>0</v>
      </c>
      <c r="G13" s="39">
        <f>'Hotel Data'!O15</f>
        <v>79</v>
      </c>
      <c r="H13" s="39">
        <f>'Hotel Data'!Q15</f>
        <v>93</v>
      </c>
      <c r="I13" s="39">
        <f>'Hotel Data'!S15</f>
        <v>0</v>
      </c>
      <c r="J13" s="39">
        <f>'Hotel Data'!U15</f>
        <v>123</v>
      </c>
      <c r="K13" s="39">
        <f>'Hotel Data'!AD15</f>
        <v>337</v>
      </c>
      <c r="L13" s="39">
        <f>'Hotel Data'!AG15</f>
        <v>1231</v>
      </c>
      <c r="M13" s="40">
        <f>'Hotel Data'!AJ15</f>
        <v>136</v>
      </c>
      <c r="N13" s="40">
        <f>'Hotel Data'!AN15</f>
        <v>437</v>
      </c>
      <c r="O13" s="40">
        <f>'Hotel Data'!AR15</f>
        <v>312</v>
      </c>
    </row>
    <row r="14" spans="1:16" s="35" customFormat="1">
      <c r="A14" s="35" t="s">
        <v>12</v>
      </c>
      <c r="B14" s="35">
        <f t="shared" si="0"/>
        <v>12</v>
      </c>
      <c r="C14" s="36">
        <v>8</v>
      </c>
      <c r="D14" s="34">
        <v>2022</v>
      </c>
      <c r="E14" s="39">
        <f>'Hotel Data'!E16</f>
        <v>209</v>
      </c>
      <c r="F14" s="39">
        <f>'Hotel Data'!G16</f>
        <v>0</v>
      </c>
      <c r="G14" s="39">
        <f>'Hotel Data'!O16</f>
        <v>70</v>
      </c>
      <c r="H14" s="39">
        <f>'Hotel Data'!Q16</f>
        <v>79</v>
      </c>
      <c r="I14" s="39">
        <f>'Hotel Data'!S16</f>
        <v>0</v>
      </c>
      <c r="J14" s="39">
        <f>'Hotel Data'!U16</f>
        <v>107</v>
      </c>
      <c r="K14" s="39">
        <f>'Hotel Data'!AD16</f>
        <v>366</v>
      </c>
      <c r="L14" s="39">
        <f>'Hotel Data'!AG16</f>
        <v>1228</v>
      </c>
      <c r="M14" s="40">
        <f>'Hotel Data'!AJ16</f>
        <v>168</v>
      </c>
      <c r="N14" s="40">
        <f>'Hotel Data'!AN16</f>
        <v>452</v>
      </c>
      <c r="O14" s="40">
        <f>'Hotel Data'!AR16</f>
        <v>256</v>
      </c>
    </row>
    <row r="15" spans="1:16" s="35" customFormat="1">
      <c r="A15" s="35" t="s">
        <v>12</v>
      </c>
      <c r="B15" s="35">
        <f t="shared" si="0"/>
        <v>13</v>
      </c>
      <c r="C15" s="36">
        <v>8</v>
      </c>
      <c r="D15" s="34">
        <v>2022</v>
      </c>
      <c r="E15" s="39">
        <f>'Hotel Data'!E17</f>
        <v>208</v>
      </c>
      <c r="F15" s="39">
        <f>'Hotel Data'!G17</f>
        <v>0</v>
      </c>
      <c r="G15" s="39">
        <f>'Hotel Data'!O17</f>
        <v>63</v>
      </c>
      <c r="H15" s="39">
        <f>'Hotel Data'!Q17</f>
        <v>53</v>
      </c>
      <c r="I15" s="39">
        <f>'Hotel Data'!S17</f>
        <v>0</v>
      </c>
      <c r="J15" s="39">
        <f>'Hotel Data'!U17</f>
        <v>77</v>
      </c>
      <c r="K15" s="39">
        <f>'Hotel Data'!AD17</f>
        <v>339</v>
      </c>
      <c r="L15" s="39">
        <f>'Hotel Data'!AG17</f>
        <v>1182</v>
      </c>
      <c r="M15" s="40">
        <f>'Hotel Data'!AJ17</f>
        <v>168</v>
      </c>
      <c r="N15" s="40">
        <f>'Hotel Data'!AN17</f>
        <v>466</v>
      </c>
      <c r="O15" s="40">
        <f>'Hotel Data'!AR17</f>
        <v>240</v>
      </c>
    </row>
    <row r="16" spans="1:16" s="35" customFormat="1">
      <c r="A16" s="35" t="s">
        <v>12</v>
      </c>
      <c r="B16" s="35">
        <f t="shared" si="0"/>
        <v>14</v>
      </c>
      <c r="C16" s="36">
        <v>8</v>
      </c>
      <c r="D16" s="34">
        <v>2022</v>
      </c>
      <c r="E16" s="39">
        <f>'Hotel Data'!E18</f>
        <v>210</v>
      </c>
      <c r="F16" s="39">
        <f>'Hotel Data'!G18</f>
        <v>1</v>
      </c>
      <c r="G16" s="39">
        <f>'Hotel Data'!O18</f>
        <v>66</v>
      </c>
      <c r="H16" s="39">
        <f>'Hotel Data'!Q18</f>
        <v>49</v>
      </c>
      <c r="I16" s="39">
        <f>'Hotel Data'!S18</f>
        <v>0</v>
      </c>
      <c r="J16" s="39">
        <f>'Hotel Data'!U18</f>
        <v>76</v>
      </c>
      <c r="K16" s="39">
        <f>'Hotel Data'!AD18</f>
        <v>349</v>
      </c>
      <c r="L16" s="39">
        <f>'Hotel Data'!AG18</f>
        <v>1135</v>
      </c>
      <c r="M16" s="40">
        <f>'Hotel Data'!AJ18</f>
        <v>168</v>
      </c>
      <c r="N16" s="40">
        <f>'Hotel Data'!AN18</f>
        <v>464</v>
      </c>
      <c r="O16" s="40">
        <f>'Hotel Data'!AR18</f>
        <v>240</v>
      </c>
    </row>
    <row r="17" spans="1:16" s="35" customFormat="1">
      <c r="A17" s="35" t="s">
        <v>12</v>
      </c>
      <c r="B17" s="35">
        <f t="shared" si="0"/>
        <v>15</v>
      </c>
      <c r="C17" s="36">
        <v>8</v>
      </c>
      <c r="D17" s="34">
        <v>2022</v>
      </c>
      <c r="E17" s="39">
        <f>'Hotel Data'!E19</f>
        <v>204</v>
      </c>
      <c r="F17" s="39">
        <f>'Hotel Data'!G19</f>
        <v>0</v>
      </c>
      <c r="G17" s="39">
        <f>'Hotel Data'!O19</f>
        <v>70</v>
      </c>
      <c r="H17" s="39">
        <f>'Hotel Data'!Q19</f>
        <v>47</v>
      </c>
      <c r="I17" s="39">
        <f>'Hotel Data'!S19</f>
        <v>0</v>
      </c>
      <c r="J17" s="39">
        <f>'Hotel Data'!U19</f>
        <v>70</v>
      </c>
      <c r="K17" s="39">
        <f>'Hotel Data'!AD19</f>
        <v>345</v>
      </c>
      <c r="L17" s="39">
        <f>'Hotel Data'!AG19</f>
        <v>1056</v>
      </c>
      <c r="M17" s="40">
        <f>'Hotel Data'!AJ19</f>
        <v>152</v>
      </c>
      <c r="N17" s="40">
        <f>'Hotel Data'!AN19</f>
        <v>486</v>
      </c>
      <c r="O17" s="40">
        <f>'Hotel Data'!AR19</f>
        <v>240</v>
      </c>
    </row>
    <row r="18" spans="1:16" s="35" customFormat="1">
      <c r="A18" s="35" t="s">
        <v>12</v>
      </c>
      <c r="B18" s="35">
        <f t="shared" si="0"/>
        <v>16</v>
      </c>
      <c r="C18" s="36">
        <v>8</v>
      </c>
      <c r="D18" s="34">
        <v>2022</v>
      </c>
      <c r="E18" s="39">
        <f>'Hotel Data'!E20</f>
        <v>200</v>
      </c>
      <c r="F18" s="39">
        <f>'Hotel Data'!G20</f>
        <v>0</v>
      </c>
      <c r="G18" s="39">
        <f>'Hotel Data'!O20</f>
        <v>74</v>
      </c>
      <c r="H18" s="39">
        <f>'Hotel Data'!Q20</f>
        <v>50</v>
      </c>
      <c r="I18" s="39">
        <f>'Hotel Data'!S20</f>
        <v>1</v>
      </c>
      <c r="J18" s="39">
        <f>'Hotel Data'!U20</f>
        <v>73</v>
      </c>
      <c r="K18" s="39">
        <f>'Hotel Data'!AD20</f>
        <v>359</v>
      </c>
      <c r="L18" s="39">
        <f>'Hotel Data'!AG20</f>
        <v>1136</v>
      </c>
      <c r="M18" s="40">
        <f>'Hotel Data'!AJ20</f>
        <v>168</v>
      </c>
      <c r="N18" s="40">
        <f>'Hotel Data'!AN20</f>
        <v>466</v>
      </c>
      <c r="O18" s="40">
        <f>'Hotel Data'!AR20</f>
        <v>256</v>
      </c>
    </row>
    <row r="19" spans="1:16" s="35" customFormat="1">
      <c r="A19" s="35" t="s">
        <v>12</v>
      </c>
      <c r="B19" s="35">
        <f t="shared" si="0"/>
        <v>17</v>
      </c>
      <c r="C19" s="36">
        <v>8</v>
      </c>
      <c r="D19" s="34">
        <v>2022</v>
      </c>
      <c r="E19" s="39">
        <f>'Hotel Data'!E21</f>
        <v>208</v>
      </c>
      <c r="F19" s="39">
        <f>'Hotel Data'!G21</f>
        <v>0</v>
      </c>
      <c r="G19" s="39">
        <f>'Hotel Data'!O21</f>
        <v>74</v>
      </c>
      <c r="H19" s="39">
        <f>'Hotel Data'!Q21</f>
        <v>46</v>
      </c>
      <c r="I19" s="39">
        <f>'Hotel Data'!S21</f>
        <v>0</v>
      </c>
      <c r="J19" s="39">
        <f>'Hotel Data'!U21</f>
        <v>77</v>
      </c>
      <c r="K19" s="39">
        <f>'Hotel Data'!AD21</f>
        <v>359</v>
      </c>
      <c r="L19" s="39">
        <f>'Hotel Data'!AG21</f>
        <v>1149</v>
      </c>
      <c r="M19" s="40">
        <f>'Hotel Data'!AJ21</f>
        <v>176</v>
      </c>
      <c r="N19" s="40">
        <f>'Hotel Data'!AN21</f>
        <v>484</v>
      </c>
      <c r="O19" s="40">
        <f>'Hotel Data'!AR21</f>
        <v>280</v>
      </c>
    </row>
    <row r="20" spans="1:16" s="35" customFormat="1">
      <c r="A20" s="35" t="s">
        <v>12</v>
      </c>
      <c r="B20" s="35">
        <f t="shared" si="0"/>
        <v>18</v>
      </c>
      <c r="C20" s="36">
        <v>8</v>
      </c>
      <c r="D20" s="34">
        <v>2022</v>
      </c>
      <c r="E20" s="39">
        <f>'Hotel Data'!E22</f>
        <v>211</v>
      </c>
      <c r="F20" s="39">
        <f>'Hotel Data'!G22</f>
        <v>0</v>
      </c>
      <c r="G20" s="39">
        <f>'Hotel Data'!O22</f>
        <v>56</v>
      </c>
      <c r="H20" s="39">
        <f>'Hotel Data'!Q22</f>
        <v>48</v>
      </c>
      <c r="I20" s="39">
        <f>'Hotel Data'!S22</f>
        <v>0</v>
      </c>
      <c r="J20" s="39">
        <f>'Hotel Data'!U22</f>
        <v>75</v>
      </c>
      <c r="K20" s="39">
        <f>'Hotel Data'!AD22</f>
        <v>335</v>
      </c>
      <c r="L20" s="39">
        <f>'Hotel Data'!AG22</f>
        <v>1048</v>
      </c>
      <c r="M20" s="40">
        <f>'Hotel Data'!AJ22</f>
        <v>176</v>
      </c>
      <c r="N20" s="40">
        <f>'Hotel Data'!AN22</f>
        <v>465</v>
      </c>
      <c r="O20" s="40">
        <f>'Hotel Data'!AR22</f>
        <v>256</v>
      </c>
    </row>
    <row r="21" spans="1:16" s="35" customFormat="1">
      <c r="A21" s="35" t="s">
        <v>12</v>
      </c>
      <c r="B21" s="35">
        <f t="shared" si="0"/>
        <v>19</v>
      </c>
      <c r="C21" s="36">
        <v>8</v>
      </c>
      <c r="D21" s="34">
        <v>2022</v>
      </c>
      <c r="E21" s="39">
        <f>'Hotel Data'!E23</f>
        <v>212</v>
      </c>
      <c r="F21" s="39">
        <f>'Hotel Data'!G23</f>
        <v>0</v>
      </c>
      <c r="G21" s="39">
        <f>'Hotel Data'!O23</f>
        <v>57</v>
      </c>
      <c r="H21" s="39">
        <f>'Hotel Data'!Q23</f>
        <v>39</v>
      </c>
      <c r="I21" s="39">
        <f>'Hotel Data'!S23</f>
        <v>0</v>
      </c>
      <c r="J21" s="39">
        <f>'Hotel Data'!U23</f>
        <v>67</v>
      </c>
      <c r="K21" s="39">
        <f>'Hotel Data'!AD23</f>
        <v>335</v>
      </c>
      <c r="L21" s="39">
        <f>'Hotel Data'!AG23</f>
        <v>1236</v>
      </c>
      <c r="M21" s="40">
        <f>'Hotel Data'!AJ23</f>
        <v>160</v>
      </c>
      <c r="N21" s="40">
        <f>'Hotel Data'!AN23</f>
        <v>481</v>
      </c>
      <c r="O21" s="40">
        <f>'Hotel Data'!AR23</f>
        <v>248</v>
      </c>
    </row>
    <row r="22" spans="1:16" s="35" customFormat="1">
      <c r="A22" s="35" t="s">
        <v>12</v>
      </c>
      <c r="B22" s="35">
        <f t="shared" si="0"/>
        <v>20</v>
      </c>
      <c r="C22" s="36">
        <v>8</v>
      </c>
      <c r="D22" s="34">
        <v>2022</v>
      </c>
      <c r="E22" s="39">
        <f>'Hotel Data'!E24</f>
        <v>198</v>
      </c>
      <c r="F22" s="39">
        <f>'Hotel Data'!G24</f>
        <v>0</v>
      </c>
      <c r="G22" s="39">
        <f>'Hotel Data'!O24</f>
        <v>68</v>
      </c>
      <c r="H22" s="39">
        <f>'Hotel Data'!Q24</f>
        <v>37</v>
      </c>
      <c r="I22" s="39">
        <f>'Hotel Data'!S24</f>
        <v>0</v>
      </c>
      <c r="J22" s="39">
        <f>'Hotel Data'!U24</f>
        <v>61</v>
      </c>
      <c r="K22" s="39">
        <f>'Hotel Data'!AD24</f>
        <v>336</v>
      </c>
      <c r="L22" s="39">
        <f>'Hotel Data'!AG24</f>
        <v>1087</v>
      </c>
      <c r="M22" s="40">
        <f>'Hotel Data'!AJ24</f>
        <v>168</v>
      </c>
      <c r="N22" s="40">
        <f>'Hotel Data'!AN24</f>
        <v>476</v>
      </c>
      <c r="O22" s="40">
        <f>'Hotel Data'!AR24</f>
        <v>224</v>
      </c>
    </row>
    <row r="23" spans="1:16" s="35" customFormat="1">
      <c r="A23" s="35" t="s">
        <v>12</v>
      </c>
      <c r="B23" s="35">
        <f t="shared" si="0"/>
        <v>21</v>
      </c>
      <c r="C23" s="36">
        <v>8</v>
      </c>
      <c r="D23" s="34">
        <v>2022</v>
      </c>
      <c r="E23" s="39">
        <f>'Hotel Data'!E25</f>
        <v>200</v>
      </c>
      <c r="F23" s="39">
        <f>'Hotel Data'!G25</f>
        <v>0</v>
      </c>
      <c r="G23" s="39">
        <f>'Hotel Data'!O25</f>
        <v>69</v>
      </c>
      <c r="H23" s="39">
        <f>'Hotel Data'!Q25</f>
        <v>38</v>
      </c>
      <c r="I23" s="39">
        <f>'Hotel Data'!S25</f>
        <v>0</v>
      </c>
      <c r="J23" s="39">
        <f>'Hotel Data'!U25</f>
        <v>64</v>
      </c>
      <c r="K23" s="39">
        <f>'Hotel Data'!AD25</f>
        <v>327</v>
      </c>
      <c r="L23" s="39">
        <f>'Hotel Data'!AG25</f>
        <v>894</v>
      </c>
      <c r="M23" s="40">
        <f>'Hotel Data'!AJ25</f>
        <v>264</v>
      </c>
      <c r="N23" s="40">
        <f>'Hotel Data'!AN25</f>
        <v>473</v>
      </c>
      <c r="O23" s="40">
        <f>'Hotel Data'!AR25</f>
        <v>272</v>
      </c>
    </row>
    <row r="24" spans="1:16" s="35" customFormat="1">
      <c r="A24" s="35" t="s">
        <v>12</v>
      </c>
      <c r="B24" s="35">
        <f t="shared" si="0"/>
        <v>22</v>
      </c>
      <c r="C24" s="36">
        <v>8</v>
      </c>
      <c r="D24" s="34">
        <v>2022</v>
      </c>
      <c r="E24" s="39">
        <f>'Hotel Data'!E26</f>
        <v>214</v>
      </c>
      <c r="F24" s="39">
        <f>'Hotel Data'!G26</f>
        <v>0.23999999999978172</v>
      </c>
      <c r="G24" s="39">
        <f>'Hotel Data'!O26</f>
        <v>59</v>
      </c>
      <c r="H24" s="39">
        <f>'Hotel Data'!Q26</f>
        <v>39</v>
      </c>
      <c r="I24" s="39">
        <f>'Hotel Data'!S26</f>
        <v>0</v>
      </c>
      <c r="J24" s="39">
        <f>'Hotel Data'!U26</f>
        <v>58</v>
      </c>
      <c r="K24" s="39">
        <f>'Hotel Data'!AD26</f>
        <v>337</v>
      </c>
      <c r="L24" s="39">
        <f>'Hotel Data'!AG26</f>
        <v>1038</v>
      </c>
      <c r="M24" s="40">
        <f>'Hotel Data'!AJ26</f>
        <v>264</v>
      </c>
      <c r="N24" s="40">
        <f>'Hotel Data'!AN26</f>
        <v>467</v>
      </c>
      <c r="O24" s="40">
        <f>'Hotel Data'!AR26</f>
        <v>264</v>
      </c>
    </row>
    <row r="25" spans="1:16" s="35" customFormat="1">
      <c r="A25" s="35" t="s">
        <v>12</v>
      </c>
      <c r="B25" s="35">
        <f t="shared" si="0"/>
        <v>23</v>
      </c>
      <c r="C25" s="36">
        <v>8</v>
      </c>
      <c r="D25" s="34">
        <v>2022</v>
      </c>
      <c r="E25" s="39">
        <f>'Hotel Data'!E27</f>
        <v>243</v>
      </c>
      <c r="F25" s="39">
        <f>'Hotel Data'!G27</f>
        <v>-0.23999999999978172</v>
      </c>
      <c r="G25" s="39">
        <f>'Hotel Data'!O27</f>
        <v>75</v>
      </c>
      <c r="H25" s="39">
        <f>'Hotel Data'!Q27</f>
        <v>44</v>
      </c>
      <c r="I25" s="39">
        <f>'Hotel Data'!S27</f>
        <v>0</v>
      </c>
      <c r="J25" s="39">
        <f>'Hotel Data'!U27</f>
        <v>66</v>
      </c>
      <c r="K25" s="39">
        <f>'Hotel Data'!AD27</f>
        <v>376</v>
      </c>
      <c r="L25" s="39">
        <f>'Hotel Data'!AG27</f>
        <v>1138</v>
      </c>
      <c r="M25" s="40">
        <f>'Hotel Data'!AJ27</f>
        <v>160</v>
      </c>
      <c r="N25" s="40">
        <f>'Hotel Data'!AN27</f>
        <v>485</v>
      </c>
      <c r="O25" s="40">
        <f>'Hotel Data'!AR27</f>
        <v>184</v>
      </c>
    </row>
    <row r="26" spans="1:16" s="35" customFormat="1">
      <c r="A26" s="35" t="s">
        <v>12</v>
      </c>
      <c r="B26" s="35">
        <f t="shared" si="0"/>
        <v>24</v>
      </c>
      <c r="C26" s="36">
        <v>8</v>
      </c>
      <c r="D26" s="34">
        <v>2022</v>
      </c>
      <c r="E26" s="39">
        <f>'Hotel Data'!E28</f>
        <v>150</v>
      </c>
      <c r="F26" s="39">
        <f>'Hotel Data'!G28</f>
        <v>0</v>
      </c>
      <c r="G26" s="39">
        <f>'Hotel Data'!O28</f>
        <v>75</v>
      </c>
      <c r="H26" s="39">
        <f>'Hotel Data'!Q28</f>
        <v>47</v>
      </c>
      <c r="I26" s="39">
        <f>'Hotel Data'!S28</f>
        <v>0</v>
      </c>
      <c r="J26" s="39">
        <f>'Hotel Data'!U28</f>
        <v>70</v>
      </c>
      <c r="K26" s="39">
        <f>'Hotel Data'!AD28</f>
        <v>345</v>
      </c>
      <c r="L26" s="39">
        <f>'Hotel Data'!AG28</f>
        <v>1155</v>
      </c>
      <c r="M26" s="40">
        <f>'Hotel Data'!AJ28</f>
        <v>168</v>
      </c>
      <c r="N26" s="40">
        <f>'Hotel Data'!AN28</f>
        <v>500</v>
      </c>
      <c r="O26" s="40">
        <f>'Hotel Data'!AR28</f>
        <v>208</v>
      </c>
    </row>
    <row r="27" spans="1:16" s="35" customFormat="1">
      <c r="A27" s="35" t="s">
        <v>12</v>
      </c>
      <c r="B27" s="35">
        <f>B26+1</f>
        <v>25</v>
      </c>
      <c r="C27" s="36">
        <v>8</v>
      </c>
      <c r="D27" s="34">
        <v>2022</v>
      </c>
      <c r="E27" s="39">
        <f>'Hotel Data'!E29</f>
        <v>224</v>
      </c>
      <c r="F27" s="39">
        <f>'Hotel Data'!G29</f>
        <v>0</v>
      </c>
      <c r="G27" s="39">
        <f>'Hotel Data'!O29</f>
        <v>66</v>
      </c>
      <c r="H27" s="39">
        <f>'Hotel Data'!Q29</f>
        <v>81</v>
      </c>
      <c r="I27" s="39">
        <f>'Hotel Data'!S29</f>
        <v>0</v>
      </c>
      <c r="J27" s="39">
        <f>'Hotel Data'!U29</f>
        <v>58</v>
      </c>
      <c r="K27" s="39">
        <f>'Hotel Data'!AD29</f>
        <v>355</v>
      </c>
      <c r="L27" s="39">
        <f>'Hotel Data'!AG29</f>
        <v>1130</v>
      </c>
      <c r="M27" s="40">
        <f>'Hotel Data'!AJ29</f>
        <v>160</v>
      </c>
      <c r="N27" s="40">
        <f>'Hotel Data'!AN29</f>
        <v>469</v>
      </c>
      <c r="O27" s="40">
        <f>'Hotel Data'!AR29</f>
        <v>232</v>
      </c>
    </row>
    <row r="28" spans="1:16" s="35" customFormat="1">
      <c r="A28" s="35" t="s">
        <v>12</v>
      </c>
      <c r="B28" s="35">
        <f t="shared" si="0"/>
        <v>26</v>
      </c>
      <c r="C28" s="36">
        <v>8</v>
      </c>
      <c r="D28" s="34">
        <v>2022</v>
      </c>
      <c r="E28" s="39">
        <f>'Hotel Data'!E30</f>
        <v>261</v>
      </c>
      <c r="F28" s="39">
        <f>'Hotel Data'!G30</f>
        <v>0</v>
      </c>
      <c r="G28" s="39">
        <f>'Hotel Data'!O30</f>
        <v>70</v>
      </c>
      <c r="H28" s="39">
        <f>'Hotel Data'!Q30</f>
        <v>39</v>
      </c>
      <c r="I28" s="39">
        <f>'Hotel Data'!S30</f>
        <v>0</v>
      </c>
      <c r="J28" s="39">
        <f>'Hotel Data'!U30</f>
        <v>62</v>
      </c>
      <c r="K28" s="39">
        <f>'Hotel Data'!AD30</f>
        <v>324</v>
      </c>
      <c r="L28" s="39">
        <f>'Hotel Data'!AG30</f>
        <v>1121</v>
      </c>
      <c r="M28" s="40">
        <f>'Hotel Data'!AJ30</f>
        <v>160</v>
      </c>
      <c r="N28" s="40">
        <f>'Hotel Data'!AN30</f>
        <v>443</v>
      </c>
      <c r="O28" s="40">
        <f>'Hotel Data'!AR30</f>
        <v>272</v>
      </c>
    </row>
    <row r="29" spans="1:16" s="35" customFormat="1">
      <c r="A29" s="35" t="s">
        <v>12</v>
      </c>
      <c r="B29" s="35">
        <f t="shared" si="0"/>
        <v>27</v>
      </c>
      <c r="C29" s="36">
        <v>8</v>
      </c>
      <c r="D29" s="34">
        <v>2022</v>
      </c>
      <c r="E29" s="39">
        <f>'Hotel Data'!E31</f>
        <v>278</v>
      </c>
      <c r="F29" s="39">
        <f>'Hotel Data'!G31</f>
        <v>0</v>
      </c>
      <c r="G29" s="39">
        <f>'Hotel Data'!O31</f>
        <v>74</v>
      </c>
      <c r="H29" s="39">
        <f>'Hotel Data'!Q31</f>
        <v>45</v>
      </c>
      <c r="I29" s="39">
        <f>'Hotel Data'!S31</f>
        <v>0</v>
      </c>
      <c r="J29" s="39">
        <f>'Hotel Data'!U31</f>
        <v>81</v>
      </c>
      <c r="K29" s="39">
        <f>'Hotel Data'!AD31</f>
        <v>339</v>
      </c>
      <c r="L29" s="39">
        <f>'Hotel Data'!AG31</f>
        <v>1152</v>
      </c>
      <c r="M29" s="40">
        <f>'Hotel Data'!AJ31</f>
        <v>192</v>
      </c>
      <c r="N29" s="40">
        <f>'Hotel Data'!AN31</f>
        <v>488</v>
      </c>
      <c r="O29" s="40">
        <f>'Hotel Data'!AR31</f>
        <v>288</v>
      </c>
    </row>
    <row r="30" spans="1:16" s="35" customFormat="1">
      <c r="A30" s="35" t="s">
        <v>12</v>
      </c>
      <c r="B30" s="35">
        <f t="shared" si="0"/>
        <v>28</v>
      </c>
      <c r="C30" s="36">
        <v>8</v>
      </c>
      <c r="D30" s="34">
        <v>2022</v>
      </c>
      <c r="E30" s="39">
        <f>'Hotel Data'!E32</f>
        <v>267</v>
      </c>
      <c r="F30" s="39">
        <f>'Hotel Data'!G32</f>
        <v>0</v>
      </c>
      <c r="G30" s="39">
        <f>'Hotel Data'!O32</f>
        <v>62</v>
      </c>
      <c r="H30" s="39">
        <f>'Hotel Data'!Q32</f>
        <v>43</v>
      </c>
      <c r="I30" s="39">
        <f>'Hotel Data'!S32</f>
        <v>0</v>
      </c>
      <c r="J30" s="39">
        <f>'Hotel Data'!U32</f>
        <v>73</v>
      </c>
      <c r="K30" s="39">
        <f>'Hotel Data'!AD32</f>
        <v>336</v>
      </c>
      <c r="L30" s="39">
        <f>'Hotel Data'!AG32</f>
        <v>1105</v>
      </c>
      <c r="M30" s="40">
        <f>'Hotel Data'!AJ32</f>
        <v>168</v>
      </c>
      <c r="N30" s="40">
        <f>'Hotel Data'!AN32</f>
        <v>500</v>
      </c>
      <c r="O30" s="40">
        <f>'Hotel Data'!AR32</f>
        <v>264</v>
      </c>
    </row>
    <row r="31" spans="1:16" s="35" customFormat="1">
      <c r="A31" s="35" t="s">
        <v>12</v>
      </c>
      <c r="B31" s="35">
        <f t="shared" si="0"/>
        <v>29</v>
      </c>
      <c r="C31" s="36">
        <v>8</v>
      </c>
      <c r="D31" s="34">
        <v>2022</v>
      </c>
      <c r="E31" s="39">
        <f>'Hotel Data'!E33</f>
        <v>277</v>
      </c>
      <c r="F31" s="39">
        <f>'Hotel Data'!G33</f>
        <v>0</v>
      </c>
      <c r="G31" s="39">
        <f>'Hotel Data'!O33</f>
        <v>74</v>
      </c>
      <c r="H31" s="39">
        <f>'Hotel Data'!Q33</f>
        <v>46</v>
      </c>
      <c r="I31" s="39">
        <f>'Hotel Data'!S33</f>
        <v>0</v>
      </c>
      <c r="J31" s="39">
        <f>'Hotel Data'!U33</f>
        <v>72</v>
      </c>
      <c r="K31" s="39">
        <f>'Hotel Data'!AD33</f>
        <v>339</v>
      </c>
      <c r="L31" s="39">
        <f>'Hotel Data'!AG33</f>
        <v>1083</v>
      </c>
      <c r="M31" s="40">
        <f>'Hotel Data'!AJ33</f>
        <v>144</v>
      </c>
      <c r="N31" s="40">
        <f>'Hotel Data'!AN33</f>
        <v>466</v>
      </c>
      <c r="O31" s="40">
        <f>'Hotel Data'!AR33</f>
        <v>208</v>
      </c>
    </row>
    <row r="32" spans="1:16" s="34" customFormat="1">
      <c r="A32" s="34" t="s">
        <v>12</v>
      </c>
      <c r="B32" s="34">
        <f t="shared" si="0"/>
        <v>30</v>
      </c>
      <c r="C32" s="36">
        <v>8</v>
      </c>
      <c r="D32" s="34">
        <v>2022</v>
      </c>
      <c r="E32" s="39">
        <f>'Hotel Data'!E34</f>
        <v>239</v>
      </c>
      <c r="F32" s="39">
        <f>'Hotel Data'!G34</f>
        <v>0</v>
      </c>
      <c r="G32" s="39">
        <f>'Hotel Data'!O34</f>
        <v>67</v>
      </c>
      <c r="H32" s="39">
        <f>'Hotel Data'!Q34</f>
        <v>39</v>
      </c>
      <c r="I32" s="39">
        <f>'Hotel Data'!S34</f>
        <v>0</v>
      </c>
      <c r="J32" s="39">
        <f>'Hotel Data'!U34</f>
        <v>71</v>
      </c>
      <c r="K32" s="39">
        <f>'Hotel Data'!AD34</f>
        <v>350</v>
      </c>
      <c r="L32" s="39">
        <f>'Hotel Data'!AG34</f>
        <v>1079</v>
      </c>
      <c r="M32" s="40">
        <f>'Hotel Data'!AJ34</f>
        <v>160</v>
      </c>
      <c r="N32" s="40">
        <f>'Hotel Data'!AN34</f>
        <v>493</v>
      </c>
      <c r="O32" s="40">
        <f>'Hotel Data'!AR34</f>
        <v>248</v>
      </c>
      <c r="P32" s="35"/>
    </row>
    <row r="33" spans="1:16" s="34" customFormat="1">
      <c r="A33" s="34" t="s">
        <v>12</v>
      </c>
      <c r="B33" s="34">
        <f t="shared" si="0"/>
        <v>31</v>
      </c>
      <c r="C33" s="36">
        <v>8</v>
      </c>
      <c r="D33" s="34">
        <v>2022</v>
      </c>
      <c r="E33" s="39">
        <f>'Hotel Data'!E35</f>
        <v>298</v>
      </c>
      <c r="F33" s="39">
        <f>'Hotel Data'!G35</f>
        <v>2</v>
      </c>
      <c r="G33" s="39">
        <f>'Hotel Data'!O35</f>
        <v>58</v>
      </c>
      <c r="H33" s="39">
        <f>'Hotel Data'!Q35</f>
        <v>48</v>
      </c>
      <c r="I33" s="39">
        <f>'Hotel Data'!S35</f>
        <v>0</v>
      </c>
      <c r="J33" s="39">
        <f>'Hotel Data'!U35</f>
        <v>62</v>
      </c>
      <c r="K33" s="39">
        <f>'Hotel Data'!AD35</f>
        <v>340</v>
      </c>
      <c r="L33" s="39">
        <f>'Hotel Data'!AG35</f>
        <v>1035</v>
      </c>
      <c r="M33" s="40">
        <f>'Hotel Data'!AJ35</f>
        <v>128</v>
      </c>
      <c r="N33" s="40">
        <f>'Hotel Data'!AN35</f>
        <v>449</v>
      </c>
      <c r="O33" s="40">
        <f>'Hotel Data'!AR35</f>
        <v>224</v>
      </c>
      <c r="P33" s="3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4"/>
  <sheetViews>
    <sheetView topLeftCell="G1" zoomScale="85" zoomScaleNormal="85" workbookViewId="0">
      <selection activeCell="V36" sqref="V36"/>
    </sheetView>
  </sheetViews>
  <sheetFormatPr defaultColWidth="8.5703125" defaultRowHeight="15"/>
  <cols>
    <col min="1" max="1" width="6" style="47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7" customWidth="1"/>
    <col min="26" max="26" width="16.42578125" style="1" customWidth="1"/>
    <col min="27" max="27" width="11.5703125" style="1" customWidth="1"/>
    <col min="28" max="28" width="16.5703125" style="47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4.8554687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5" customHeight="1">
      <c r="A1" s="92"/>
      <c r="B1" s="93"/>
      <c r="C1" s="94"/>
      <c r="D1" s="98" t="s">
        <v>24</v>
      </c>
      <c r="E1" s="98"/>
      <c r="F1" s="98" t="s">
        <v>25</v>
      </c>
      <c r="G1" s="98"/>
      <c r="H1" s="100" t="s">
        <v>26</v>
      </c>
      <c r="I1" s="100"/>
      <c r="J1" s="100"/>
      <c r="K1" s="100"/>
      <c r="L1" s="100"/>
      <c r="M1" s="100"/>
      <c r="N1" s="98" t="s">
        <v>27</v>
      </c>
      <c r="O1" s="98"/>
      <c r="P1" s="90" t="s">
        <v>28</v>
      </c>
      <c r="Q1" s="90"/>
      <c r="R1" s="90" t="s">
        <v>29</v>
      </c>
      <c r="S1" s="90"/>
      <c r="T1" s="90" t="s">
        <v>30</v>
      </c>
      <c r="U1" s="90"/>
      <c r="V1" s="98" t="s">
        <v>31</v>
      </c>
      <c r="W1" s="98"/>
      <c r="X1" s="98"/>
      <c r="Y1" s="98" t="s">
        <v>32</v>
      </c>
      <c r="Z1" s="98"/>
      <c r="AA1" s="98"/>
      <c r="AB1" s="98" t="s">
        <v>33</v>
      </c>
      <c r="AC1" s="98"/>
      <c r="AD1" s="98"/>
      <c r="AE1" s="98" t="s">
        <v>34</v>
      </c>
      <c r="AF1" s="98"/>
      <c r="AG1" s="98"/>
      <c r="AH1" s="98" t="s">
        <v>35</v>
      </c>
      <c r="AI1" s="98"/>
      <c r="AJ1" s="98"/>
      <c r="AK1" s="98"/>
      <c r="AL1" s="98" t="s">
        <v>36</v>
      </c>
      <c r="AM1" s="98"/>
      <c r="AN1" s="98"/>
      <c r="AO1" s="98"/>
      <c r="AP1" s="98" t="s">
        <v>37</v>
      </c>
      <c r="AQ1" s="98"/>
      <c r="AR1" s="98"/>
      <c r="AS1" s="98" t="s">
        <v>38</v>
      </c>
      <c r="AT1" s="98"/>
      <c r="AU1" s="90" t="s">
        <v>39</v>
      </c>
      <c r="AV1" s="105" t="s">
        <v>40</v>
      </c>
      <c r="AW1" s="110" t="s">
        <v>41</v>
      </c>
      <c r="AY1" s="44"/>
      <c r="AZ1" s="102" t="s">
        <v>42</v>
      </c>
      <c r="BA1" s="102" t="s">
        <v>43</v>
      </c>
      <c r="BB1" s="102" t="s">
        <v>44</v>
      </c>
      <c r="BC1" s="102" t="s">
        <v>45</v>
      </c>
      <c r="BD1" s="102" t="s">
        <v>46</v>
      </c>
      <c r="BE1" s="102" t="s">
        <v>47</v>
      </c>
      <c r="BF1" s="102" t="s">
        <v>48</v>
      </c>
      <c r="BG1" s="102" t="s">
        <v>49</v>
      </c>
      <c r="BH1" s="102" t="s">
        <v>50</v>
      </c>
      <c r="BI1" s="112" t="s">
        <v>51</v>
      </c>
    </row>
    <row r="2" spans="1:61" ht="23.25" customHeight="1" thickBot="1">
      <c r="A2" s="95"/>
      <c r="B2" s="96"/>
      <c r="C2" s="97"/>
      <c r="D2" s="99"/>
      <c r="E2" s="99"/>
      <c r="F2" s="99"/>
      <c r="G2" s="99"/>
      <c r="H2" s="101"/>
      <c r="I2" s="101"/>
      <c r="J2" s="101"/>
      <c r="K2" s="101"/>
      <c r="L2" s="101"/>
      <c r="M2" s="101"/>
      <c r="N2" s="99"/>
      <c r="O2" s="99"/>
      <c r="P2" s="91"/>
      <c r="Q2" s="91"/>
      <c r="R2" s="91"/>
      <c r="S2" s="91"/>
      <c r="T2" s="91"/>
      <c r="U2" s="91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1"/>
      <c r="AV2" s="106"/>
      <c r="AW2" s="111"/>
      <c r="AY2" s="46"/>
      <c r="AZ2" s="103"/>
      <c r="BA2" s="103"/>
      <c r="BB2" s="103"/>
      <c r="BC2" s="103"/>
      <c r="BD2" s="103"/>
      <c r="BE2" s="103"/>
      <c r="BF2" s="103"/>
      <c r="BG2" s="103"/>
      <c r="BH2" s="103"/>
      <c r="BI2" s="113"/>
    </row>
    <row r="3" spans="1:61" ht="36.75" customHeight="1" thickBot="1">
      <c r="A3" s="74" t="s">
        <v>52</v>
      </c>
      <c r="B3" s="75" t="s">
        <v>53</v>
      </c>
      <c r="C3" s="76" t="s">
        <v>54</v>
      </c>
      <c r="D3" s="77" t="s">
        <v>55</v>
      </c>
      <c r="E3" s="78" t="s">
        <v>56</v>
      </c>
      <c r="F3" s="3" t="s">
        <v>55</v>
      </c>
      <c r="G3" s="3" t="s">
        <v>56</v>
      </c>
      <c r="H3" s="3" t="s">
        <v>55</v>
      </c>
      <c r="I3" s="3" t="s">
        <v>56</v>
      </c>
      <c r="J3" s="4" t="s">
        <v>57</v>
      </c>
      <c r="K3" s="5" t="s">
        <v>56</v>
      </c>
      <c r="L3" s="3" t="s">
        <v>58</v>
      </c>
      <c r="M3" s="3" t="s">
        <v>59</v>
      </c>
      <c r="N3" s="3" t="s">
        <v>55</v>
      </c>
      <c r="O3" s="3" t="s">
        <v>56</v>
      </c>
      <c r="P3" s="79" t="s">
        <v>55</v>
      </c>
      <c r="Q3" s="80" t="s">
        <v>56</v>
      </c>
      <c r="R3" s="79" t="s">
        <v>55</v>
      </c>
      <c r="S3" s="80" t="s">
        <v>56</v>
      </c>
      <c r="T3" s="79" t="s">
        <v>55</v>
      </c>
      <c r="U3" s="80" t="s">
        <v>56</v>
      </c>
      <c r="V3" s="4" t="s">
        <v>60</v>
      </c>
      <c r="W3" s="3" t="s">
        <v>56</v>
      </c>
      <c r="X3" s="3" t="s">
        <v>61</v>
      </c>
      <c r="Y3" s="3" t="s">
        <v>62</v>
      </c>
      <c r="Z3" s="3" t="s">
        <v>56</v>
      </c>
      <c r="AA3" s="3" t="s">
        <v>61</v>
      </c>
      <c r="AB3" s="3" t="s">
        <v>63</v>
      </c>
      <c r="AC3" s="3" t="s">
        <v>56</v>
      </c>
      <c r="AD3" s="3" t="s">
        <v>61</v>
      </c>
      <c r="AE3" s="3" t="s">
        <v>63</v>
      </c>
      <c r="AF3" s="3" t="s">
        <v>56</v>
      </c>
      <c r="AG3" s="3" t="s">
        <v>61</v>
      </c>
      <c r="AH3" s="3" t="s">
        <v>64</v>
      </c>
      <c r="AI3" s="3" t="s">
        <v>56</v>
      </c>
      <c r="AJ3" s="3" t="s">
        <v>61</v>
      </c>
      <c r="AK3" s="3" t="s">
        <v>65</v>
      </c>
      <c r="AL3" s="3" t="s">
        <v>63</v>
      </c>
      <c r="AM3" s="3" t="s">
        <v>56</v>
      </c>
      <c r="AN3" s="3" t="s">
        <v>61</v>
      </c>
      <c r="AO3" s="3" t="s">
        <v>65</v>
      </c>
      <c r="AP3" s="3" t="s">
        <v>64</v>
      </c>
      <c r="AQ3" s="3" t="s">
        <v>56</v>
      </c>
      <c r="AR3" s="3" t="s">
        <v>61</v>
      </c>
      <c r="AS3" s="75" t="s">
        <v>66</v>
      </c>
      <c r="AT3" s="81" t="s">
        <v>67</v>
      </c>
      <c r="AU3" s="115" t="s">
        <v>68</v>
      </c>
      <c r="AV3" s="116"/>
      <c r="AW3" s="82"/>
      <c r="AY3" s="45"/>
      <c r="AZ3" s="104"/>
      <c r="BA3" s="104"/>
      <c r="BB3" s="104"/>
      <c r="BC3" s="104"/>
      <c r="BD3" s="104"/>
      <c r="BE3" s="104"/>
      <c r="BF3" s="104"/>
      <c r="BG3" s="104"/>
      <c r="BH3" s="104"/>
      <c r="BI3" s="114"/>
    </row>
    <row r="4" spans="1:61" ht="13.9" customHeight="1">
      <c r="A4" s="58"/>
      <c r="B4" s="48"/>
      <c r="C4" s="59"/>
      <c r="D4" s="6">
        <v>323766</v>
      </c>
      <c r="E4" s="60"/>
      <c r="F4" s="6">
        <f>'[1]July '!F35</f>
        <v>7050</v>
      </c>
      <c r="G4" s="60"/>
      <c r="H4" s="6">
        <v>84957</v>
      </c>
      <c r="I4" s="60"/>
      <c r="J4" s="54">
        <v>600015</v>
      </c>
      <c r="K4" s="60"/>
      <c r="L4" s="7"/>
      <c r="M4" s="7"/>
      <c r="N4" s="6">
        <v>11078</v>
      </c>
      <c r="O4" s="60"/>
      <c r="P4" s="6">
        <v>94582</v>
      </c>
      <c r="Q4" s="61"/>
      <c r="R4" s="6">
        <v>36</v>
      </c>
      <c r="S4" s="61"/>
      <c r="T4" s="6">
        <v>197834</v>
      </c>
      <c r="U4" s="61"/>
      <c r="V4" s="89">
        <v>4998.4399999999996</v>
      </c>
      <c r="W4" s="6"/>
      <c r="X4" s="54"/>
      <c r="Y4" s="13">
        <v>956.38</v>
      </c>
      <c r="Z4" s="12"/>
      <c r="AA4" s="54"/>
      <c r="AB4" s="6">
        <v>1746536</v>
      </c>
      <c r="AC4" s="12"/>
      <c r="AD4" s="54"/>
      <c r="AE4" s="6">
        <v>5152419</v>
      </c>
      <c r="AF4" s="12"/>
      <c r="AG4" s="54"/>
      <c r="AH4" s="6">
        <v>34068</v>
      </c>
      <c r="AI4" s="60"/>
      <c r="AJ4" s="54"/>
      <c r="AK4" s="6"/>
      <c r="AL4" s="6">
        <v>202543</v>
      </c>
      <c r="AM4" s="60"/>
      <c r="AN4" s="54"/>
      <c r="AO4" s="6"/>
      <c r="AP4" s="6">
        <v>46711</v>
      </c>
      <c r="AQ4" s="60"/>
      <c r="AR4" s="54"/>
      <c r="AS4" s="14"/>
      <c r="AT4" s="14"/>
      <c r="AU4" s="60"/>
      <c r="AV4" s="62">
        <f>'[1]July '!AV35</f>
        <v>0</v>
      </c>
      <c r="AW4" s="12"/>
      <c r="AY4" s="83"/>
      <c r="AZ4" s="51">
        <f>D39</f>
        <v>7000</v>
      </c>
      <c r="BA4" s="51">
        <f>F39</f>
        <v>50</v>
      </c>
      <c r="BB4" s="51">
        <f>H39</f>
        <v>5200</v>
      </c>
      <c r="BC4" s="51">
        <f>N39</f>
        <v>6500</v>
      </c>
      <c r="BD4" s="52">
        <v>550000</v>
      </c>
      <c r="BE4" s="52">
        <f>BD4</f>
        <v>550000</v>
      </c>
      <c r="BF4" s="84"/>
      <c r="BG4" s="53">
        <v>9439</v>
      </c>
      <c r="BH4" s="53">
        <v>13443</v>
      </c>
      <c r="BI4" s="53">
        <v>11344</v>
      </c>
    </row>
    <row r="5" spans="1:61" ht="15.75">
      <c r="A5" s="63">
        <v>1</v>
      </c>
      <c r="B5" s="48" t="s">
        <v>69</v>
      </c>
      <c r="C5" s="10"/>
      <c r="D5" s="6">
        <v>323981</v>
      </c>
      <c r="E5" s="8">
        <f>IF(ISBLANK(D5),0,D5-D4)</f>
        <v>215</v>
      </c>
      <c r="F5" s="6">
        <v>7050</v>
      </c>
      <c r="G5" s="8">
        <f t="shared" ref="G5:G35" si="0">IF(ISBLANK(F5),0,F5-F4)</f>
        <v>0</v>
      </c>
      <c r="H5" s="6">
        <v>85344</v>
      </c>
      <c r="I5" s="8">
        <f t="shared" ref="I5:K35" si="1">IF(ISBLANK(H5),0,H5-H4)</f>
        <v>387</v>
      </c>
      <c r="J5" s="54">
        <v>600388</v>
      </c>
      <c r="K5" s="8">
        <f t="shared" si="1"/>
        <v>373</v>
      </c>
      <c r="L5" s="7"/>
      <c r="M5" s="11" t="e">
        <f>I5/L5</f>
        <v>#DIV/0!</v>
      </c>
      <c r="N5" s="6">
        <v>11160</v>
      </c>
      <c r="O5" s="8">
        <f t="shared" ref="O5:O35" si="2">IF(ISBLANK(N5),0,N5-N4)</f>
        <v>82</v>
      </c>
      <c r="P5" s="12">
        <v>94699</v>
      </c>
      <c r="Q5" s="9">
        <f t="shared" ref="Q5:Q35" si="3">IF(ISBLANK(P5),0,P5-P4)</f>
        <v>117</v>
      </c>
      <c r="R5" s="12">
        <v>36</v>
      </c>
      <c r="S5" s="9">
        <v>0</v>
      </c>
      <c r="T5" s="12">
        <v>197983</v>
      </c>
      <c r="U5" s="9">
        <f t="shared" ref="U5:U35" si="4">IF(ISBLANK(T5),0,T5-T4)</f>
        <v>149</v>
      </c>
      <c r="V5" s="13"/>
      <c r="W5" s="8"/>
      <c r="X5" s="54">
        <v>17604</v>
      </c>
      <c r="Y5" s="6"/>
      <c r="Z5" s="8"/>
      <c r="AA5" s="54">
        <v>2790</v>
      </c>
      <c r="AB5" s="6"/>
      <c r="AC5" s="9">
        <f>IF(ISBLANK(AB5),0,SUM(AB5-AB4))</f>
        <v>0</v>
      </c>
      <c r="AD5" s="54">
        <v>344</v>
      </c>
      <c r="AE5" s="12"/>
      <c r="AF5" s="9">
        <f>IF(ISBLANK(AE5),0,SUM(AE5-AE4))</f>
        <v>0</v>
      </c>
      <c r="AG5" s="54">
        <v>1130</v>
      </c>
      <c r="AH5" s="6"/>
      <c r="AI5" s="8">
        <f>IF(ISBLANK(AH5),0,SUM(AH5-AH4)*80)</f>
        <v>0</v>
      </c>
      <c r="AJ5" s="54">
        <v>152</v>
      </c>
      <c r="AK5" s="7"/>
      <c r="AL5" s="6"/>
      <c r="AM5" s="8">
        <f t="shared" ref="AM5:AM35" si="5">IF(ISBLANK(AL5),0,AL5-AL4)</f>
        <v>0</v>
      </c>
      <c r="AN5" s="54">
        <v>507</v>
      </c>
      <c r="AO5" s="7"/>
      <c r="AP5" s="6"/>
      <c r="AQ5" s="8">
        <f>IF(ISBLANK(AP5),0,SUM(AP5-AP4)*80)</f>
        <v>0</v>
      </c>
      <c r="AR5" s="54">
        <v>296</v>
      </c>
      <c r="AS5" s="14">
        <v>21</v>
      </c>
      <c r="AT5" s="14">
        <v>36</v>
      </c>
      <c r="AU5" s="7"/>
      <c r="AV5" s="64"/>
      <c r="AW5" s="65">
        <f>IF(ISBLANK(AV6),0,AV6-AV5)</f>
        <v>0</v>
      </c>
      <c r="AY5" s="73">
        <v>1</v>
      </c>
      <c r="AZ5" s="15">
        <f>IF(D5&lt;&gt;0,(+D5-D$10)/A5*31,0)</f>
        <v>-32674</v>
      </c>
      <c r="BA5" s="15">
        <f>IF(F5&lt;&gt;0,(+F5-F$10)/$A5*31,0)</f>
        <v>-31</v>
      </c>
      <c r="BB5" s="15">
        <f>IF(H5&lt;&gt;0,(+H5-H$10)/$A5*31,0)</f>
        <v>-55273</v>
      </c>
      <c r="BC5" s="15">
        <f>IF(N5&lt;&gt;0,(+N5-N$10)/$A5*31,0)</f>
        <v>-13609</v>
      </c>
      <c r="BD5" s="16">
        <f>IF(V5&lt;&gt;0,(+V5-V$10)*2200/$A5*31,0)</f>
        <v>0</v>
      </c>
      <c r="BE5" s="15">
        <f>IF(X5&lt;&gt;0,AVERAGE(X5:X$11)*31,)</f>
        <v>557495.14285714284</v>
      </c>
      <c r="BF5" s="15">
        <f>IF(AD5+AG5&lt;&gt;0,AVERAGE(AD5:AD$11)*31+AVERAGE(AG5:AG$11)*31,)</f>
        <v>46438</v>
      </c>
      <c r="BG5" s="16">
        <f>IF(AJ5&lt;&gt;0,AVERAGE(AJ5:AJ$11)*31,)</f>
        <v>4924.5714285714284</v>
      </c>
      <c r="BH5" s="16">
        <f>IF(AN5&lt;&gt;0,AVERAGE(AN5:AN$11)*31,)</f>
        <v>14454.857142857143</v>
      </c>
      <c r="BI5" s="16">
        <f>IF(AR5&lt;&gt;0,AVERAGE(AR5:AR$11)*31,)</f>
        <v>8502.8571428571431</v>
      </c>
    </row>
    <row r="6" spans="1:61" ht="15.75">
      <c r="A6" s="63">
        <f t="shared" ref="A6:A12" si="6">1+A5</f>
        <v>2</v>
      </c>
      <c r="B6" s="48" t="s">
        <v>69</v>
      </c>
      <c r="C6" s="10"/>
      <c r="D6" s="6">
        <v>324179</v>
      </c>
      <c r="E6" s="8">
        <f t="shared" ref="E6:E35" si="7">IF(ISBLANK(D6),0,D6-D5)</f>
        <v>198</v>
      </c>
      <c r="F6" s="6">
        <v>7050</v>
      </c>
      <c r="G6" s="8">
        <f t="shared" si="0"/>
        <v>0</v>
      </c>
      <c r="H6" s="6">
        <v>85673</v>
      </c>
      <c r="I6" s="8">
        <f t="shared" si="1"/>
        <v>329</v>
      </c>
      <c r="J6" s="54">
        <v>600705</v>
      </c>
      <c r="K6" s="8">
        <f t="shared" si="1"/>
        <v>317</v>
      </c>
      <c r="L6" s="7"/>
      <c r="M6" s="11" t="e">
        <f t="shared" ref="M6:M35" si="8">I6/L6</f>
        <v>#DIV/0!</v>
      </c>
      <c r="N6" s="6">
        <v>11229</v>
      </c>
      <c r="O6" s="8">
        <f t="shared" si="2"/>
        <v>69</v>
      </c>
      <c r="P6" s="12">
        <v>94799</v>
      </c>
      <c r="Q6" s="9">
        <f t="shared" si="3"/>
        <v>100</v>
      </c>
      <c r="R6" s="12">
        <v>36</v>
      </c>
      <c r="S6" s="9">
        <f>IF(ISBLANK(R6),0,R6-R5)</f>
        <v>0</v>
      </c>
      <c r="T6" s="12">
        <v>198105</v>
      </c>
      <c r="U6" s="9">
        <f t="shared" si="4"/>
        <v>122</v>
      </c>
      <c r="V6" s="13"/>
      <c r="W6" s="8"/>
      <c r="X6" s="54">
        <v>17671</v>
      </c>
      <c r="Y6" s="55"/>
      <c r="Z6" s="8"/>
      <c r="AA6" s="54">
        <v>2992</v>
      </c>
      <c r="AB6" s="6"/>
      <c r="AC6" s="9">
        <f t="shared" ref="AC6:AC35" si="9">IF(ISBLANK(AB6),0,SUM(AB6-AB5))</f>
        <v>0</v>
      </c>
      <c r="AD6" s="54">
        <v>333</v>
      </c>
      <c r="AE6" s="12"/>
      <c r="AF6" s="9">
        <f t="shared" ref="AF6:AF35" si="10">IF(ISBLANK(AE6),0,SUM(AE6-AE5))</f>
        <v>0</v>
      </c>
      <c r="AG6" s="54">
        <v>1160</v>
      </c>
      <c r="AH6" s="6"/>
      <c r="AI6" s="8">
        <f t="shared" ref="AI6:AI35" si="11">IF(ISBLANK(AH6),0,SUM(AH6-AH5)*80)</f>
        <v>0</v>
      </c>
      <c r="AJ6" s="54">
        <v>160</v>
      </c>
      <c r="AK6" s="7"/>
      <c r="AL6" s="6"/>
      <c r="AM6" s="8">
        <f t="shared" si="5"/>
        <v>0</v>
      </c>
      <c r="AN6" s="54">
        <v>458</v>
      </c>
      <c r="AO6" s="7"/>
      <c r="AP6" s="6"/>
      <c r="AQ6" s="8">
        <f t="shared" ref="AQ6:AQ35" si="12">IF(ISBLANK(AP6),0,SUM(AP6-AP5)*80)</f>
        <v>0</v>
      </c>
      <c r="AR6" s="54">
        <v>280</v>
      </c>
      <c r="AS6" s="14">
        <v>22</v>
      </c>
      <c r="AT6" s="14">
        <v>34</v>
      </c>
      <c r="AU6" s="7"/>
      <c r="AV6" s="64"/>
      <c r="AW6" s="65">
        <f t="shared" ref="AW6:AW35" si="13">IF(ISBLANK(AV7),0,AV7-AV6)</f>
        <v>0</v>
      </c>
      <c r="AY6" s="73">
        <f t="shared" ref="AY6:AY14" si="14">1+AY5</f>
        <v>2</v>
      </c>
      <c r="AZ6" s="15">
        <f t="shared" ref="AZ6:AZ35" si="15">IF(D6&lt;&gt;0,(+D6-D$10)/A6*31,0)</f>
        <v>-13268</v>
      </c>
      <c r="BA6" s="15">
        <f t="shared" ref="BA6:BA35" si="16">IF(F6&lt;&gt;0,(+F6-F$10)/$A6*31,0)</f>
        <v>-15.5</v>
      </c>
      <c r="BB6" s="15">
        <f t="shared" ref="BB6:BB35" si="17">IF(H6&lt;&gt;0,(+H6-H$10)/$A6*31,0)</f>
        <v>-22537</v>
      </c>
      <c r="BC6" s="15">
        <f t="shared" ref="BC6:BC35" si="18">IF(N6&lt;&gt;0,(+N6-N$10)/$A6*31,0)</f>
        <v>-5735</v>
      </c>
      <c r="BD6" s="16">
        <f t="shared" ref="BD6:BD35" si="19">IF(V6&lt;&gt;0,(+V6-V$10)*2200/$A6*31,0)</f>
        <v>0</v>
      </c>
      <c r="BE6" s="15">
        <f>IF(X6&lt;&gt;0,AVERAGE(X6:X$11)*31,)</f>
        <v>559457</v>
      </c>
      <c r="BF6" s="15">
        <f>IF(AD6+AG6&lt;&gt;0,AVERAGE(AD6:AD$11)*31+AVERAGE(AG6:AG$11)*31,)</f>
        <v>46562</v>
      </c>
      <c r="BG6" s="16">
        <f>IF(AJ6&lt;&gt;0,AVERAGE(AJ6:AJ$11)*31,)</f>
        <v>4960</v>
      </c>
      <c r="BH6" s="16">
        <f>IF(AN6&lt;&gt;0,AVERAGE(AN6:AN$11)*31,)</f>
        <v>14244.5</v>
      </c>
      <c r="BI6" s="16">
        <f>IF(AR6&lt;&gt;0,AVERAGE(AR6:AR$11)*31,)</f>
        <v>8390.6666666666679</v>
      </c>
    </row>
    <row r="7" spans="1:61" ht="15.75">
      <c r="A7" s="63">
        <f t="shared" si="6"/>
        <v>3</v>
      </c>
      <c r="B7" s="48" t="s">
        <v>69</v>
      </c>
      <c r="C7" s="10"/>
      <c r="D7" s="6">
        <v>324406</v>
      </c>
      <c r="E7" s="8">
        <f t="shared" si="7"/>
        <v>227</v>
      </c>
      <c r="F7" s="6">
        <v>7050</v>
      </c>
      <c r="G7" s="8">
        <f t="shared" si="0"/>
        <v>0</v>
      </c>
      <c r="H7" s="6">
        <v>86035</v>
      </c>
      <c r="I7" s="8">
        <f t="shared" si="1"/>
        <v>362</v>
      </c>
      <c r="J7" s="54">
        <v>601054</v>
      </c>
      <c r="K7" s="8">
        <f t="shared" si="1"/>
        <v>349</v>
      </c>
      <c r="L7" s="7"/>
      <c r="M7" s="11" t="e">
        <f t="shared" si="8"/>
        <v>#DIV/0!</v>
      </c>
      <c r="N7" s="6">
        <v>11319</v>
      </c>
      <c r="O7" s="8">
        <f t="shared" si="2"/>
        <v>90</v>
      </c>
      <c r="P7" s="12">
        <v>94897</v>
      </c>
      <c r="Q7" s="9">
        <f t="shared" si="3"/>
        <v>98</v>
      </c>
      <c r="R7" s="12">
        <v>36</v>
      </c>
      <c r="S7" s="9">
        <f t="shared" ref="S7:S28" si="20">IF(ISBLANK(R7),0,R7-R6)</f>
        <v>0</v>
      </c>
      <c r="T7" s="12">
        <v>198226</v>
      </c>
      <c r="U7" s="9">
        <f t="shared" si="4"/>
        <v>121</v>
      </c>
      <c r="V7" s="13"/>
      <c r="W7" s="8"/>
      <c r="X7" s="54">
        <v>17843</v>
      </c>
      <c r="Y7" s="55"/>
      <c r="Z7" s="8"/>
      <c r="AA7" s="54">
        <v>2833</v>
      </c>
      <c r="AB7" s="6"/>
      <c r="AC7" s="9">
        <f t="shared" si="9"/>
        <v>0</v>
      </c>
      <c r="AD7" s="54">
        <v>336</v>
      </c>
      <c r="AE7" s="12"/>
      <c r="AF7" s="9">
        <f t="shared" si="10"/>
        <v>0</v>
      </c>
      <c r="AG7" s="54">
        <v>1191</v>
      </c>
      <c r="AH7" s="6"/>
      <c r="AI7" s="8">
        <f t="shared" si="11"/>
        <v>0</v>
      </c>
      <c r="AJ7" s="54">
        <v>192</v>
      </c>
      <c r="AK7" s="7"/>
      <c r="AL7" s="6"/>
      <c r="AM7" s="8">
        <f t="shared" si="5"/>
        <v>0</v>
      </c>
      <c r="AN7" s="54">
        <v>442</v>
      </c>
      <c r="AO7" s="7"/>
      <c r="AP7" s="6"/>
      <c r="AQ7" s="8">
        <f t="shared" si="12"/>
        <v>0</v>
      </c>
      <c r="AR7" s="54">
        <v>264</v>
      </c>
      <c r="AS7" s="14">
        <v>22</v>
      </c>
      <c r="AT7" s="14">
        <v>34</v>
      </c>
      <c r="AU7" s="7"/>
      <c r="AV7" s="64"/>
      <c r="AW7" s="65">
        <f t="shared" si="13"/>
        <v>0</v>
      </c>
      <c r="AY7" s="73">
        <f t="shared" si="14"/>
        <v>3</v>
      </c>
      <c r="AZ7" s="15">
        <f t="shared" si="15"/>
        <v>-6499.6666666666661</v>
      </c>
      <c r="BA7" s="15">
        <f t="shared" si="16"/>
        <v>-10.333333333333332</v>
      </c>
      <c r="BB7" s="15">
        <f t="shared" si="17"/>
        <v>-11284</v>
      </c>
      <c r="BC7" s="15">
        <f t="shared" si="18"/>
        <v>-2893.333333333333</v>
      </c>
      <c r="BD7" s="16">
        <f t="shared" si="19"/>
        <v>0</v>
      </c>
      <c r="BE7" s="15">
        <f>IF(X7&lt;&gt;0,AVERAGE(X7:X$11)*31,)</f>
        <v>561788.20000000007</v>
      </c>
      <c r="BF7" s="15">
        <f>IF(AD7+AG7&lt;&gt;0,AVERAGE(AD7:AD$11)*31+AVERAGE(AG7:AG$11)*31,)</f>
        <v>46617.799999999996</v>
      </c>
      <c r="BG7" s="16">
        <f>IF(AJ7&lt;&gt;0,AVERAGE(AJ7:AJ$11)*31,)</f>
        <v>4960</v>
      </c>
      <c r="BH7" s="16">
        <f>IF(AN7&lt;&gt;0,AVERAGE(AN7:AN$11)*31,)</f>
        <v>14253.800000000001</v>
      </c>
      <c r="BI7" s="16">
        <f>IF(AR7&lt;&gt;0,AVERAGE(AR7:AR$11)*31,)</f>
        <v>8332.8000000000011</v>
      </c>
    </row>
    <row r="8" spans="1:61" ht="15.75">
      <c r="A8" s="63">
        <f t="shared" si="6"/>
        <v>4</v>
      </c>
      <c r="B8" s="48" t="s">
        <v>69</v>
      </c>
      <c r="C8" s="10"/>
      <c r="D8" s="6">
        <v>324607</v>
      </c>
      <c r="E8" s="8">
        <f t="shared" si="7"/>
        <v>201</v>
      </c>
      <c r="F8" s="6">
        <v>7051</v>
      </c>
      <c r="G8" s="8">
        <f t="shared" si="0"/>
        <v>1</v>
      </c>
      <c r="H8" s="6">
        <v>86392</v>
      </c>
      <c r="I8" s="8">
        <f t="shared" si="1"/>
        <v>357</v>
      </c>
      <c r="J8" s="54">
        <v>601398</v>
      </c>
      <c r="K8" s="8">
        <f t="shared" si="1"/>
        <v>344</v>
      </c>
      <c r="L8" s="7"/>
      <c r="M8" s="11" t="e">
        <f t="shared" si="8"/>
        <v>#DIV/0!</v>
      </c>
      <c r="N8" s="6">
        <v>11411</v>
      </c>
      <c r="O8" s="8">
        <f t="shared" si="2"/>
        <v>92</v>
      </c>
      <c r="P8" s="12">
        <v>94993</v>
      </c>
      <c r="Q8" s="9">
        <f t="shared" si="3"/>
        <v>96</v>
      </c>
      <c r="R8" s="12">
        <v>36</v>
      </c>
      <c r="S8" s="9">
        <f t="shared" si="20"/>
        <v>0</v>
      </c>
      <c r="T8" s="12">
        <v>198350</v>
      </c>
      <c r="U8" s="9">
        <f t="shared" si="4"/>
        <v>124</v>
      </c>
      <c r="V8" s="13"/>
      <c r="W8" s="8"/>
      <c r="X8" s="54">
        <v>17936</v>
      </c>
      <c r="Y8" s="55"/>
      <c r="Z8" s="8"/>
      <c r="AA8" s="54">
        <v>2848</v>
      </c>
      <c r="AB8" s="6"/>
      <c r="AC8" s="9">
        <f t="shared" si="9"/>
        <v>0</v>
      </c>
      <c r="AD8" s="54">
        <v>365</v>
      </c>
      <c r="AE8" s="12"/>
      <c r="AF8" s="9">
        <f t="shared" si="10"/>
        <v>0</v>
      </c>
      <c r="AG8" s="54">
        <v>1098</v>
      </c>
      <c r="AH8" s="6"/>
      <c r="AI8" s="8">
        <f t="shared" si="11"/>
        <v>0</v>
      </c>
      <c r="AJ8" s="54">
        <v>160</v>
      </c>
      <c r="AK8" s="7"/>
      <c r="AL8" s="6"/>
      <c r="AM8" s="8">
        <f t="shared" si="5"/>
        <v>0</v>
      </c>
      <c r="AN8" s="54">
        <v>426</v>
      </c>
      <c r="AO8" s="7"/>
      <c r="AP8" s="6"/>
      <c r="AQ8" s="8">
        <f t="shared" si="12"/>
        <v>0</v>
      </c>
      <c r="AR8" s="54">
        <v>280</v>
      </c>
      <c r="AS8" s="14">
        <v>26</v>
      </c>
      <c r="AT8" s="66">
        <v>36</v>
      </c>
      <c r="AU8" s="7"/>
      <c r="AV8" s="64"/>
      <c r="AW8" s="65">
        <f t="shared" si="13"/>
        <v>0</v>
      </c>
      <c r="AY8" s="73">
        <f t="shared" si="14"/>
        <v>4</v>
      </c>
      <c r="AZ8" s="15">
        <f t="shared" si="15"/>
        <v>-3317</v>
      </c>
      <c r="BA8" s="15">
        <f t="shared" si="16"/>
        <v>0</v>
      </c>
      <c r="BB8" s="15">
        <f t="shared" si="17"/>
        <v>-5696.25</v>
      </c>
      <c r="BC8" s="15">
        <f t="shared" si="18"/>
        <v>-1457</v>
      </c>
      <c r="BD8" s="16">
        <f t="shared" si="19"/>
        <v>0</v>
      </c>
      <c r="BE8" s="15">
        <f>IF(X8&lt;&gt;0,AVERAGE(X8:X$11)*31,)</f>
        <v>563952</v>
      </c>
      <c r="BF8" s="15">
        <f>IF(AD8+AG8&lt;&gt;0,AVERAGE(AD8:AD$11)*31+AVERAGE(AG8:AG$11)*31,)</f>
        <v>46438</v>
      </c>
      <c r="BG8" s="16">
        <f>IF(AJ8&lt;&gt;0,AVERAGE(AJ8:AJ$11)*31,)</f>
        <v>4712</v>
      </c>
      <c r="BH8" s="16">
        <f>IF(AN8&lt;&gt;0,AVERAGE(AN8:AN$11)*31,)</f>
        <v>14391.75</v>
      </c>
      <c r="BI8" s="16">
        <f>IF(AR8&lt;&gt;0,AVERAGE(AR8:AR$11)*31,)</f>
        <v>8370</v>
      </c>
    </row>
    <row r="9" spans="1:61" ht="15.75">
      <c r="A9" s="63">
        <f t="shared" si="6"/>
        <v>5</v>
      </c>
      <c r="B9" s="48" t="s">
        <v>69</v>
      </c>
      <c r="C9" s="10"/>
      <c r="D9" s="6">
        <v>324882</v>
      </c>
      <c r="E9" s="8">
        <f t="shared" si="7"/>
        <v>275</v>
      </c>
      <c r="F9" s="6">
        <v>7051</v>
      </c>
      <c r="G9" s="8">
        <f t="shared" si="0"/>
        <v>0</v>
      </c>
      <c r="H9" s="6">
        <v>86766</v>
      </c>
      <c r="I9" s="8">
        <f t="shared" si="1"/>
        <v>374</v>
      </c>
      <c r="J9" s="54">
        <v>601758</v>
      </c>
      <c r="K9" s="8">
        <f t="shared" si="1"/>
        <v>360</v>
      </c>
      <c r="L9" s="7"/>
      <c r="M9" s="11" t="e">
        <f t="shared" si="8"/>
        <v>#DIV/0!</v>
      </c>
      <c r="N9" s="6">
        <v>11504</v>
      </c>
      <c r="O9" s="8">
        <f t="shared" si="2"/>
        <v>93</v>
      </c>
      <c r="P9" s="12">
        <v>95089</v>
      </c>
      <c r="Q9" s="9">
        <f t="shared" si="3"/>
        <v>96</v>
      </c>
      <c r="R9" s="12">
        <v>36</v>
      </c>
      <c r="S9" s="9">
        <f t="shared" si="20"/>
        <v>0</v>
      </c>
      <c r="T9" s="12">
        <v>198477</v>
      </c>
      <c r="U9" s="9">
        <f t="shared" si="4"/>
        <v>127</v>
      </c>
      <c r="V9" s="13"/>
      <c r="W9" s="8"/>
      <c r="X9" s="54">
        <v>18419</v>
      </c>
      <c r="Y9" s="55"/>
      <c r="Z9" s="8"/>
      <c r="AA9" s="54">
        <v>3146</v>
      </c>
      <c r="AB9" s="6"/>
      <c r="AC9" s="9">
        <f t="shared" si="9"/>
        <v>0</v>
      </c>
      <c r="AD9" s="54">
        <v>330</v>
      </c>
      <c r="AE9" s="12"/>
      <c r="AF9" s="9">
        <f t="shared" si="10"/>
        <v>0</v>
      </c>
      <c r="AG9" s="54">
        <v>1178</v>
      </c>
      <c r="AH9" s="6"/>
      <c r="AI9" s="8">
        <f t="shared" si="11"/>
        <v>0</v>
      </c>
      <c r="AJ9" s="54">
        <v>168</v>
      </c>
      <c r="AK9" s="7"/>
      <c r="AL9" s="6"/>
      <c r="AM9" s="8">
        <f t="shared" si="5"/>
        <v>0</v>
      </c>
      <c r="AN9" s="54">
        <v>472</v>
      </c>
      <c r="AO9" s="7"/>
      <c r="AP9" s="6"/>
      <c r="AQ9" s="8">
        <f t="shared" si="12"/>
        <v>0</v>
      </c>
      <c r="AR9" s="54">
        <v>280</v>
      </c>
      <c r="AS9" s="14">
        <v>27</v>
      </c>
      <c r="AT9" s="14">
        <v>37</v>
      </c>
      <c r="AU9" s="7"/>
      <c r="AV9" s="64"/>
      <c r="AW9" s="65">
        <f t="shared" si="13"/>
        <v>0</v>
      </c>
      <c r="AY9" s="73">
        <f t="shared" si="14"/>
        <v>5</v>
      </c>
      <c r="AZ9" s="15">
        <f t="shared" si="15"/>
        <v>-948.6</v>
      </c>
      <c r="BA9" s="15">
        <f t="shared" si="16"/>
        <v>0</v>
      </c>
      <c r="BB9" s="15">
        <f t="shared" si="17"/>
        <v>-2238.2000000000003</v>
      </c>
      <c r="BC9" s="15">
        <f t="shared" si="18"/>
        <v>-589</v>
      </c>
      <c r="BD9" s="16">
        <f t="shared" si="19"/>
        <v>0</v>
      </c>
      <c r="BE9" s="15">
        <f>IF(X9&lt;&gt;0,AVERAGE(X9:X$11)*31,)</f>
        <v>566597.33333333326</v>
      </c>
      <c r="BF9" s="15">
        <f>IF(AD9+AG9&lt;&gt;0,AVERAGE(AD9:AD$11)*31+AVERAGE(AG9:AG$11)*31,)</f>
        <v>46799.666666666672</v>
      </c>
      <c r="BG9" s="16">
        <f>IF(AJ9&lt;&gt;0,AVERAGE(AJ9:AJ$11)*31,)</f>
        <v>4629.3333333333339</v>
      </c>
      <c r="BH9" s="16">
        <f>IF(AN9&lt;&gt;0,AVERAGE(AN9:AN$11)*31,)</f>
        <v>14787</v>
      </c>
      <c r="BI9" s="16">
        <f>IF(AR9&lt;&gt;0,AVERAGE(AR9:AR$11)*31,)</f>
        <v>8266.6666666666679</v>
      </c>
    </row>
    <row r="10" spans="1:61" ht="15.75">
      <c r="A10" s="63">
        <f t="shared" si="6"/>
        <v>6</v>
      </c>
      <c r="B10" s="48" t="s">
        <v>69</v>
      </c>
      <c r="C10" s="10"/>
      <c r="D10" s="6">
        <v>325035</v>
      </c>
      <c r="E10" s="8">
        <f t="shared" si="7"/>
        <v>153</v>
      </c>
      <c r="F10" s="6">
        <v>7051</v>
      </c>
      <c r="G10" s="8">
        <f t="shared" si="0"/>
        <v>0</v>
      </c>
      <c r="H10" s="6">
        <v>87127</v>
      </c>
      <c r="I10" s="8">
        <f t="shared" si="1"/>
        <v>361</v>
      </c>
      <c r="J10" s="54">
        <v>602106</v>
      </c>
      <c r="K10" s="8">
        <f t="shared" si="1"/>
        <v>348</v>
      </c>
      <c r="L10" s="7"/>
      <c r="M10" s="11" t="e">
        <f t="shared" si="8"/>
        <v>#DIV/0!</v>
      </c>
      <c r="N10" s="6">
        <v>11599</v>
      </c>
      <c r="O10" s="8">
        <f t="shared" si="2"/>
        <v>95</v>
      </c>
      <c r="P10" s="12">
        <v>95182</v>
      </c>
      <c r="Q10" s="9">
        <f t="shared" si="3"/>
        <v>93</v>
      </c>
      <c r="R10" s="12">
        <v>36</v>
      </c>
      <c r="S10" s="9">
        <f t="shared" si="20"/>
        <v>0</v>
      </c>
      <c r="T10" s="12">
        <v>198597</v>
      </c>
      <c r="U10" s="9">
        <f t="shared" si="4"/>
        <v>120</v>
      </c>
      <c r="V10" s="13"/>
      <c r="W10" s="8"/>
      <c r="X10" s="54">
        <v>18829</v>
      </c>
      <c r="Y10" s="55"/>
      <c r="Z10" s="8"/>
      <c r="AA10" s="54">
        <v>3246</v>
      </c>
      <c r="AB10" s="6"/>
      <c r="AC10" s="9">
        <f t="shared" si="9"/>
        <v>0</v>
      </c>
      <c r="AD10" s="54">
        <v>348</v>
      </c>
      <c r="AE10" s="12"/>
      <c r="AF10" s="9">
        <f t="shared" si="10"/>
        <v>0</v>
      </c>
      <c r="AG10" s="54">
        <v>1239</v>
      </c>
      <c r="AH10" s="6"/>
      <c r="AI10" s="8">
        <f t="shared" si="11"/>
        <v>0</v>
      </c>
      <c r="AJ10" s="54">
        <v>144</v>
      </c>
      <c r="AK10" s="7"/>
      <c r="AL10" s="6"/>
      <c r="AM10" s="8">
        <f t="shared" si="5"/>
        <v>0</v>
      </c>
      <c r="AN10" s="54">
        <v>471</v>
      </c>
      <c r="AO10" s="7"/>
      <c r="AP10" s="6"/>
      <c r="AQ10" s="8">
        <f t="shared" si="12"/>
        <v>0</v>
      </c>
      <c r="AR10" s="54">
        <v>264</v>
      </c>
      <c r="AS10" s="14">
        <v>26</v>
      </c>
      <c r="AT10" s="14">
        <v>36</v>
      </c>
      <c r="AU10" s="7"/>
      <c r="AV10" s="64"/>
      <c r="AW10" s="65">
        <f t="shared" si="13"/>
        <v>0</v>
      </c>
      <c r="AY10" s="73">
        <f t="shared" si="14"/>
        <v>6</v>
      </c>
      <c r="AZ10" s="15">
        <f t="shared" si="15"/>
        <v>0</v>
      </c>
      <c r="BA10" s="15">
        <f t="shared" si="16"/>
        <v>0</v>
      </c>
      <c r="BB10" s="15">
        <f t="shared" si="17"/>
        <v>0</v>
      </c>
      <c r="BC10" s="15">
        <f t="shared" si="18"/>
        <v>0</v>
      </c>
      <c r="BD10" s="16">
        <f t="shared" si="19"/>
        <v>0</v>
      </c>
      <c r="BE10" s="15">
        <f>IF(X10&lt;&gt;0,AVERAGE(X10:X$11)*31,)</f>
        <v>564401.5</v>
      </c>
      <c r="BF10" s="15">
        <f>IF(AD10+AG10&lt;&gt;0,AVERAGE(AD10:AD$11)*31+AVERAGE(AG10:AG$11)*31,)</f>
        <v>46825.5</v>
      </c>
      <c r="BG10" s="16">
        <f>IF(AJ10&lt;&gt;0,AVERAGE(AJ10:AJ$11)*31,)</f>
        <v>4340</v>
      </c>
      <c r="BH10" s="16">
        <f>IF(AN10&lt;&gt;0,AVERAGE(AN10:AN$11)*31,)</f>
        <v>14864.5</v>
      </c>
      <c r="BI10" s="16">
        <f>IF(AR10&lt;&gt;0,AVERAGE(AR10:AR$11)*31,)</f>
        <v>8060</v>
      </c>
    </row>
    <row r="11" spans="1:61" ht="15.75">
      <c r="A11" s="63">
        <f t="shared" si="6"/>
        <v>7</v>
      </c>
      <c r="B11" s="48" t="s">
        <v>69</v>
      </c>
      <c r="C11" s="10"/>
      <c r="D11" s="6">
        <v>325228</v>
      </c>
      <c r="E11" s="8">
        <f t="shared" si="7"/>
        <v>193</v>
      </c>
      <c r="F11" s="6">
        <v>7051</v>
      </c>
      <c r="G11" s="8">
        <f t="shared" si="0"/>
        <v>0</v>
      </c>
      <c r="H11" s="6">
        <v>87432</v>
      </c>
      <c r="I11" s="8">
        <f t="shared" si="1"/>
        <v>305</v>
      </c>
      <c r="J11" s="54">
        <v>602400</v>
      </c>
      <c r="K11" s="8">
        <f t="shared" si="1"/>
        <v>294</v>
      </c>
      <c r="L11" s="7"/>
      <c r="M11" s="11" t="e">
        <f t="shared" si="8"/>
        <v>#DIV/0!</v>
      </c>
      <c r="N11" s="6">
        <v>11677</v>
      </c>
      <c r="O11" s="8">
        <f t="shared" si="2"/>
        <v>78</v>
      </c>
      <c r="P11" s="12">
        <v>95272</v>
      </c>
      <c r="Q11" s="9">
        <f t="shared" si="3"/>
        <v>90</v>
      </c>
      <c r="R11" s="12">
        <v>36</v>
      </c>
      <c r="S11" s="9">
        <f t="shared" si="20"/>
        <v>0</v>
      </c>
      <c r="T11" s="12">
        <v>198715</v>
      </c>
      <c r="U11" s="9">
        <f t="shared" si="4"/>
        <v>118</v>
      </c>
      <c r="V11" s="13"/>
      <c r="W11" s="8"/>
      <c r="X11" s="54">
        <v>17584</v>
      </c>
      <c r="Y11" s="55"/>
      <c r="Z11" s="8"/>
      <c r="AA11" s="54">
        <v>2790</v>
      </c>
      <c r="AB11" s="6"/>
      <c r="AC11" s="9">
        <f t="shared" si="9"/>
        <v>0</v>
      </c>
      <c r="AD11" s="54">
        <v>351</v>
      </c>
      <c r="AE11" s="12"/>
      <c r="AF11" s="9">
        <f t="shared" si="10"/>
        <v>0</v>
      </c>
      <c r="AG11" s="54">
        <v>1083</v>
      </c>
      <c r="AH11" s="6"/>
      <c r="AI11" s="8">
        <f t="shared" si="11"/>
        <v>0</v>
      </c>
      <c r="AJ11" s="54">
        <v>136</v>
      </c>
      <c r="AK11" s="7"/>
      <c r="AL11" s="6"/>
      <c r="AM11" s="8">
        <f t="shared" si="5"/>
        <v>0</v>
      </c>
      <c r="AN11" s="54">
        <v>488</v>
      </c>
      <c r="AO11" s="7"/>
      <c r="AP11" s="6"/>
      <c r="AQ11" s="8">
        <f t="shared" si="12"/>
        <v>0</v>
      </c>
      <c r="AR11" s="54">
        <v>256</v>
      </c>
      <c r="AS11" s="14">
        <v>22</v>
      </c>
      <c r="AT11" s="14">
        <v>32</v>
      </c>
      <c r="AU11" s="7"/>
      <c r="AV11" s="64"/>
      <c r="AW11" s="65">
        <f t="shared" si="13"/>
        <v>0</v>
      </c>
      <c r="AY11" s="73">
        <f t="shared" si="14"/>
        <v>7</v>
      </c>
      <c r="AZ11" s="15">
        <f t="shared" si="15"/>
        <v>854.71428571428578</v>
      </c>
      <c r="BA11" s="15">
        <f t="shared" si="16"/>
        <v>0</v>
      </c>
      <c r="BB11" s="15">
        <f t="shared" si="17"/>
        <v>1350.7142857142856</v>
      </c>
      <c r="BC11" s="15">
        <f t="shared" si="18"/>
        <v>345.42857142857139</v>
      </c>
      <c r="BD11" s="16">
        <f t="shared" si="19"/>
        <v>0</v>
      </c>
      <c r="BE11" s="15">
        <f>IF(X11&lt;&gt;0,AVERAGE(X$11:X11)*31,)</f>
        <v>545104</v>
      </c>
      <c r="BF11" s="15">
        <f>IF(AD11+AG11&lt;&gt;0,AVERAGE(AD$11:AD11)*31+AVERAGE(AG$11:AG11)*31,)</f>
        <v>44454</v>
      </c>
      <c r="BG11" s="16">
        <f>IF(AJ11&lt;&gt;0,AVERAGE(AJ$11:AJ11)*31,)</f>
        <v>4216</v>
      </c>
      <c r="BH11" s="16">
        <f>IF(AN11&lt;&gt;0,AVERAGE(AN$11:AN11)*31,)</f>
        <v>15128</v>
      </c>
      <c r="BI11" s="16">
        <f>IF(AR11&lt;&gt;0,AVERAGE(AR$11:AR11)*31,)</f>
        <v>7936</v>
      </c>
    </row>
    <row r="12" spans="1:61" ht="15.75">
      <c r="A12" s="63">
        <f t="shared" si="6"/>
        <v>8</v>
      </c>
      <c r="B12" s="48" t="s">
        <v>69</v>
      </c>
      <c r="C12" s="10"/>
      <c r="D12" s="6">
        <v>325454</v>
      </c>
      <c r="E12" s="8">
        <f t="shared" si="7"/>
        <v>226</v>
      </c>
      <c r="F12" s="6">
        <v>7051</v>
      </c>
      <c r="G12" s="8">
        <f t="shared" si="0"/>
        <v>0</v>
      </c>
      <c r="H12" s="6">
        <v>87755</v>
      </c>
      <c r="I12" s="8">
        <f t="shared" si="1"/>
        <v>323</v>
      </c>
      <c r="J12" s="54">
        <v>602711</v>
      </c>
      <c r="K12" s="8">
        <f t="shared" si="1"/>
        <v>311</v>
      </c>
      <c r="L12" s="7"/>
      <c r="M12" s="11" t="e">
        <f t="shared" si="8"/>
        <v>#DIV/0!</v>
      </c>
      <c r="N12" s="6">
        <v>11754</v>
      </c>
      <c r="O12" s="8">
        <f t="shared" si="2"/>
        <v>77</v>
      </c>
      <c r="P12" s="12">
        <v>95365</v>
      </c>
      <c r="Q12" s="9">
        <f t="shared" si="3"/>
        <v>93</v>
      </c>
      <c r="R12" s="12">
        <v>36</v>
      </c>
      <c r="S12" s="9">
        <f t="shared" si="20"/>
        <v>0</v>
      </c>
      <c r="T12" s="12">
        <v>198835</v>
      </c>
      <c r="U12" s="9">
        <f t="shared" si="4"/>
        <v>120</v>
      </c>
      <c r="V12" s="13"/>
      <c r="W12" s="8"/>
      <c r="X12" s="54">
        <v>17554</v>
      </c>
      <c r="Y12" s="55"/>
      <c r="Z12" s="8"/>
      <c r="AA12" s="54">
        <v>2792</v>
      </c>
      <c r="AB12" s="6"/>
      <c r="AC12" s="9">
        <f t="shared" si="9"/>
        <v>0</v>
      </c>
      <c r="AD12" s="54">
        <v>347</v>
      </c>
      <c r="AE12" s="12"/>
      <c r="AF12" s="9">
        <f t="shared" si="10"/>
        <v>0</v>
      </c>
      <c r="AG12" s="54">
        <v>1123</v>
      </c>
      <c r="AH12" s="6"/>
      <c r="AI12" s="8">
        <f t="shared" si="11"/>
        <v>0</v>
      </c>
      <c r="AJ12" s="54">
        <v>152</v>
      </c>
      <c r="AK12" s="7"/>
      <c r="AL12" s="6"/>
      <c r="AM12" s="8">
        <f t="shared" si="5"/>
        <v>0</v>
      </c>
      <c r="AN12" s="54">
        <v>485</v>
      </c>
      <c r="AO12" s="7"/>
      <c r="AP12" s="6"/>
      <c r="AQ12" s="8">
        <f t="shared" si="12"/>
        <v>0</v>
      </c>
      <c r="AR12" s="54">
        <v>272</v>
      </c>
      <c r="AS12" s="14">
        <v>21</v>
      </c>
      <c r="AT12" s="14">
        <v>31</v>
      </c>
      <c r="AU12" s="7"/>
      <c r="AV12" s="64"/>
      <c r="AW12" s="65">
        <f t="shared" si="13"/>
        <v>0</v>
      </c>
      <c r="AY12" s="73">
        <f t="shared" si="14"/>
        <v>8</v>
      </c>
      <c r="AZ12" s="15">
        <f t="shared" si="15"/>
        <v>1623.625</v>
      </c>
      <c r="BA12" s="15">
        <f t="shared" si="16"/>
        <v>0</v>
      </c>
      <c r="BB12" s="15">
        <f t="shared" si="17"/>
        <v>2433.5</v>
      </c>
      <c r="BC12" s="15">
        <f t="shared" si="18"/>
        <v>600.625</v>
      </c>
      <c r="BD12" s="16">
        <f t="shared" si="19"/>
        <v>0</v>
      </c>
      <c r="BE12" s="15">
        <f>IF(X12&lt;&gt;0,AVERAGE(X$11:X12)*31,)</f>
        <v>544639</v>
      </c>
      <c r="BF12" s="15">
        <f>IF(AD12+AG12&lt;&gt;0,AVERAGE(AD$11:AD12)*31+AVERAGE(AG$11:AG12)*31,)</f>
        <v>45012</v>
      </c>
      <c r="BG12" s="16">
        <f>IF(AJ12&lt;&gt;0,AVERAGE(AJ$11:AJ12)*31,)</f>
        <v>4464</v>
      </c>
      <c r="BH12" s="16">
        <f>IF(AN12&lt;&gt;0,AVERAGE(AN$11:AN12)*31,)</f>
        <v>15081.5</v>
      </c>
      <c r="BI12" s="16">
        <f>IF(AR12&lt;&gt;0,AVERAGE(AR$11:AR12)*31,)</f>
        <v>8184</v>
      </c>
    </row>
    <row r="13" spans="1:61" ht="15.75">
      <c r="A13" s="63">
        <v>9</v>
      </c>
      <c r="B13" s="48" t="s">
        <v>69</v>
      </c>
      <c r="C13" s="10"/>
      <c r="D13" s="6">
        <v>325655</v>
      </c>
      <c r="E13" s="8">
        <f t="shared" si="7"/>
        <v>201</v>
      </c>
      <c r="F13" s="6">
        <v>7052</v>
      </c>
      <c r="G13" s="8">
        <f t="shared" si="0"/>
        <v>1</v>
      </c>
      <c r="H13" s="6">
        <v>88089</v>
      </c>
      <c r="I13" s="8">
        <f t="shared" si="1"/>
        <v>334</v>
      </c>
      <c r="J13" s="54">
        <v>603032</v>
      </c>
      <c r="K13" s="8">
        <f t="shared" si="1"/>
        <v>321</v>
      </c>
      <c r="L13" s="7"/>
      <c r="M13" s="11" t="e">
        <f t="shared" si="8"/>
        <v>#DIV/0!</v>
      </c>
      <c r="N13" s="6">
        <v>11836</v>
      </c>
      <c r="O13" s="8">
        <f t="shared" si="2"/>
        <v>82</v>
      </c>
      <c r="P13" s="12">
        <v>95453</v>
      </c>
      <c r="Q13" s="9">
        <f t="shared" si="3"/>
        <v>88</v>
      </c>
      <c r="R13" s="12">
        <v>36</v>
      </c>
      <c r="S13" s="9">
        <f t="shared" si="20"/>
        <v>0</v>
      </c>
      <c r="T13" s="12">
        <v>198952</v>
      </c>
      <c r="U13" s="9">
        <f t="shared" si="4"/>
        <v>117</v>
      </c>
      <c r="V13" s="13"/>
      <c r="W13" s="8"/>
      <c r="X13" s="54">
        <v>17815</v>
      </c>
      <c r="Y13" s="55"/>
      <c r="Z13" s="8"/>
      <c r="AA13" s="54">
        <v>3087</v>
      </c>
      <c r="AB13" s="6"/>
      <c r="AC13" s="9">
        <f t="shared" si="9"/>
        <v>0</v>
      </c>
      <c r="AD13" s="54">
        <v>340</v>
      </c>
      <c r="AE13" s="12"/>
      <c r="AF13" s="9">
        <f t="shared" si="10"/>
        <v>0</v>
      </c>
      <c r="AG13" s="54">
        <v>1184</v>
      </c>
      <c r="AH13" s="6"/>
      <c r="AI13" s="8">
        <f t="shared" si="11"/>
        <v>0</v>
      </c>
      <c r="AJ13" s="54">
        <v>168</v>
      </c>
      <c r="AK13" s="7"/>
      <c r="AL13" s="6"/>
      <c r="AM13" s="8">
        <f t="shared" si="5"/>
        <v>0</v>
      </c>
      <c r="AN13" s="54">
        <v>458</v>
      </c>
      <c r="AO13" s="7"/>
      <c r="AP13" s="6"/>
      <c r="AQ13" s="8">
        <f t="shared" si="12"/>
        <v>0</v>
      </c>
      <c r="AR13" s="54">
        <v>248</v>
      </c>
      <c r="AS13" s="14">
        <v>22</v>
      </c>
      <c r="AT13" s="14">
        <v>30</v>
      </c>
      <c r="AU13" s="7"/>
      <c r="AV13" s="64"/>
      <c r="AW13" s="65">
        <f t="shared" si="13"/>
        <v>0</v>
      </c>
      <c r="AY13" s="73">
        <f t="shared" si="14"/>
        <v>9</v>
      </c>
      <c r="AZ13" s="15">
        <f t="shared" si="15"/>
        <v>2135.5555555555557</v>
      </c>
      <c r="BA13" s="15">
        <f t="shared" si="16"/>
        <v>3.4444444444444442</v>
      </c>
      <c r="BB13" s="15">
        <f t="shared" si="17"/>
        <v>3313.5555555555557</v>
      </c>
      <c r="BC13" s="15">
        <f t="shared" si="18"/>
        <v>816.33333333333326</v>
      </c>
      <c r="BD13" s="16">
        <f t="shared" si="19"/>
        <v>0</v>
      </c>
      <c r="BE13" s="15">
        <f>IF(X13&lt;&gt;0,AVERAGE(X$11:X13)*31,)</f>
        <v>547181</v>
      </c>
      <c r="BF13" s="15">
        <f>IF(AD13+AG13&lt;&gt;0,AVERAGE(AD$11:AD13)*31+AVERAGE(AG$11:AG13)*31,)</f>
        <v>45756</v>
      </c>
      <c r="BG13" s="16">
        <f>IF(AJ13&lt;&gt;0,AVERAGE(AJ$11:AJ13)*31,)</f>
        <v>4712</v>
      </c>
      <c r="BH13" s="16">
        <f>IF(AN13&lt;&gt;0,AVERAGE(AN$11:AN13)*31,)</f>
        <v>14787</v>
      </c>
      <c r="BI13" s="16">
        <f>IF(AR13&lt;&gt;0,AVERAGE(AR$11:AR13)*31,)</f>
        <v>8018.666666666667</v>
      </c>
    </row>
    <row r="14" spans="1:61" ht="15.75">
      <c r="A14" s="63">
        <f>1+A13</f>
        <v>10</v>
      </c>
      <c r="B14" s="48" t="s">
        <v>69</v>
      </c>
      <c r="D14" s="6">
        <v>325853</v>
      </c>
      <c r="E14" s="8">
        <f t="shared" si="7"/>
        <v>198</v>
      </c>
      <c r="F14" s="6">
        <v>7053</v>
      </c>
      <c r="G14" s="8">
        <f t="shared" si="0"/>
        <v>1</v>
      </c>
      <c r="H14" s="6">
        <v>88436</v>
      </c>
      <c r="I14" s="8">
        <f t="shared" si="1"/>
        <v>347</v>
      </c>
      <c r="J14" s="54">
        <v>603367</v>
      </c>
      <c r="K14" s="8">
        <f t="shared" si="1"/>
        <v>335</v>
      </c>
      <c r="L14" s="7"/>
      <c r="M14" s="11" t="e">
        <f t="shared" si="8"/>
        <v>#DIV/0!</v>
      </c>
      <c r="N14" s="6">
        <v>11916</v>
      </c>
      <c r="O14" s="8">
        <f t="shared" si="2"/>
        <v>80</v>
      </c>
      <c r="P14" s="12">
        <v>95546</v>
      </c>
      <c r="Q14" s="9">
        <f t="shared" si="3"/>
        <v>93</v>
      </c>
      <c r="R14" s="12">
        <v>36</v>
      </c>
      <c r="S14" s="9">
        <f t="shared" si="20"/>
        <v>0</v>
      </c>
      <c r="T14" s="12">
        <v>199077</v>
      </c>
      <c r="U14" s="9">
        <f t="shared" si="4"/>
        <v>125</v>
      </c>
      <c r="V14" s="13">
        <v>5082.4279999999999</v>
      </c>
      <c r="W14" s="8"/>
      <c r="X14" s="54">
        <v>17502</v>
      </c>
      <c r="Y14" s="55">
        <v>971.22</v>
      </c>
      <c r="Z14" s="8"/>
      <c r="AA14" s="54">
        <v>2729</v>
      </c>
      <c r="AB14" s="6">
        <v>1749999</v>
      </c>
      <c r="AC14" s="9">
        <f t="shared" si="9"/>
        <v>1749999</v>
      </c>
      <c r="AD14" s="54">
        <v>366</v>
      </c>
      <c r="AE14" s="12">
        <v>5164121</v>
      </c>
      <c r="AF14" s="9">
        <f t="shared" si="10"/>
        <v>5164121</v>
      </c>
      <c r="AG14" s="54">
        <v>1302</v>
      </c>
      <c r="AH14" s="6">
        <v>34087</v>
      </c>
      <c r="AI14" s="8">
        <f t="shared" si="11"/>
        <v>2726960</v>
      </c>
      <c r="AJ14" s="54">
        <v>144</v>
      </c>
      <c r="AK14" s="7"/>
      <c r="AL14" s="6">
        <v>207219</v>
      </c>
      <c r="AM14" s="8">
        <f t="shared" si="5"/>
        <v>207219</v>
      </c>
      <c r="AN14" s="54">
        <v>467</v>
      </c>
      <c r="AO14" s="7"/>
      <c r="AP14" s="6">
        <v>46746</v>
      </c>
      <c r="AQ14" s="8">
        <f t="shared" si="12"/>
        <v>3739680</v>
      </c>
      <c r="AR14" s="54">
        <v>296</v>
      </c>
      <c r="AS14" s="14">
        <v>22</v>
      </c>
      <c r="AT14" s="14">
        <v>32</v>
      </c>
      <c r="AU14" s="7"/>
      <c r="AV14" s="64"/>
      <c r="AW14" s="65">
        <f t="shared" si="13"/>
        <v>0</v>
      </c>
      <c r="AY14" s="73">
        <f t="shared" si="14"/>
        <v>10</v>
      </c>
      <c r="AZ14" s="15">
        <f t="shared" si="15"/>
        <v>2535.7999999999997</v>
      </c>
      <c r="BA14" s="15">
        <f t="shared" si="16"/>
        <v>6.2</v>
      </c>
      <c r="BB14" s="15">
        <f t="shared" si="17"/>
        <v>4057.9</v>
      </c>
      <c r="BC14" s="15">
        <f t="shared" si="18"/>
        <v>982.69999999999993</v>
      </c>
      <c r="BD14" s="16">
        <f t="shared" si="19"/>
        <v>34662158.960000001</v>
      </c>
      <c r="BE14" s="15">
        <f>IF(X14&lt;&gt;0,AVERAGE(X$11:X14)*31,)</f>
        <v>546026.25</v>
      </c>
      <c r="BF14" s="15">
        <f>IF(AD14+AG14&lt;&gt;0,AVERAGE(AD$11:AD14)*31+AVERAGE(AG$11:AG14)*31,)</f>
        <v>47244</v>
      </c>
      <c r="BG14" s="16">
        <f>IF(AJ14&lt;&gt;0,AVERAGE(AJ$11:AJ14)*31,)</f>
        <v>4650</v>
      </c>
      <c r="BH14" s="16">
        <f>IF(AN14&lt;&gt;0,AVERAGE(AN$11:AN14)*31,)</f>
        <v>14709.5</v>
      </c>
      <c r="BI14" s="16">
        <f>IF(AR14&lt;&gt;0,AVERAGE(AR$11:AR14)*31,)</f>
        <v>8308</v>
      </c>
    </row>
    <row r="15" spans="1:61" ht="15.75">
      <c r="A15" s="63">
        <f>1+A14</f>
        <v>11</v>
      </c>
      <c r="B15" s="48" t="s">
        <v>69</v>
      </c>
      <c r="C15" s="10"/>
      <c r="D15" s="6">
        <v>326054</v>
      </c>
      <c r="E15" s="8">
        <f t="shared" si="7"/>
        <v>201</v>
      </c>
      <c r="F15" s="6">
        <v>7053</v>
      </c>
      <c r="G15" s="8">
        <f t="shared" si="0"/>
        <v>0</v>
      </c>
      <c r="H15" s="6">
        <v>88769</v>
      </c>
      <c r="I15" s="8">
        <f t="shared" si="1"/>
        <v>333</v>
      </c>
      <c r="J15" s="54">
        <v>603687</v>
      </c>
      <c r="K15" s="8">
        <f t="shared" si="1"/>
        <v>320</v>
      </c>
      <c r="L15" s="7"/>
      <c r="M15" s="11" t="e">
        <f t="shared" si="8"/>
        <v>#DIV/0!</v>
      </c>
      <c r="N15" s="6">
        <v>11995</v>
      </c>
      <c r="O15" s="8">
        <f t="shared" si="2"/>
        <v>79</v>
      </c>
      <c r="P15" s="12">
        <v>95639</v>
      </c>
      <c r="Q15" s="9">
        <f t="shared" si="3"/>
        <v>93</v>
      </c>
      <c r="R15" s="12">
        <v>36</v>
      </c>
      <c r="S15" s="9">
        <f t="shared" si="20"/>
        <v>0</v>
      </c>
      <c r="T15" s="12">
        <v>199200</v>
      </c>
      <c r="U15" s="9">
        <f t="shared" si="4"/>
        <v>123</v>
      </c>
      <c r="V15" s="13"/>
      <c r="W15" s="8"/>
      <c r="X15" s="54">
        <v>17114</v>
      </c>
      <c r="Y15" s="55"/>
      <c r="Z15" s="8"/>
      <c r="AA15" s="54">
        <v>2832</v>
      </c>
      <c r="AB15" s="6"/>
      <c r="AC15" s="9">
        <f t="shared" si="9"/>
        <v>0</v>
      </c>
      <c r="AD15" s="54">
        <v>337</v>
      </c>
      <c r="AE15" s="12"/>
      <c r="AF15" s="9">
        <f t="shared" si="10"/>
        <v>0</v>
      </c>
      <c r="AG15" s="54">
        <v>1231</v>
      </c>
      <c r="AH15" s="6"/>
      <c r="AI15" s="8">
        <f t="shared" si="11"/>
        <v>0</v>
      </c>
      <c r="AJ15" s="54">
        <v>136</v>
      </c>
      <c r="AK15" s="7"/>
      <c r="AL15" s="6"/>
      <c r="AM15" s="8">
        <f t="shared" si="5"/>
        <v>0</v>
      </c>
      <c r="AN15" s="54">
        <v>437</v>
      </c>
      <c r="AO15" s="7"/>
      <c r="AP15" s="6"/>
      <c r="AQ15" s="8">
        <f t="shared" si="12"/>
        <v>0</v>
      </c>
      <c r="AR15" s="54">
        <v>312</v>
      </c>
      <c r="AS15" s="14">
        <v>22</v>
      </c>
      <c r="AT15" s="14">
        <v>32</v>
      </c>
      <c r="AU15" s="7"/>
      <c r="AV15" s="64"/>
      <c r="AW15" s="65">
        <f t="shared" si="13"/>
        <v>0</v>
      </c>
      <c r="AY15" s="73">
        <v>11</v>
      </c>
      <c r="AZ15" s="15">
        <f t="shared" si="15"/>
        <v>2871.727272727273</v>
      </c>
      <c r="BA15" s="15">
        <f t="shared" si="16"/>
        <v>5.6363636363636367</v>
      </c>
      <c r="BB15" s="15">
        <f t="shared" si="17"/>
        <v>4627.454545454546</v>
      </c>
      <c r="BC15" s="15">
        <f t="shared" si="18"/>
        <v>1116</v>
      </c>
      <c r="BD15" s="16">
        <f t="shared" si="19"/>
        <v>0</v>
      </c>
      <c r="BE15" s="15">
        <f>IF(X15&lt;&gt;0,AVERAGE(X$11:X15)*31,)</f>
        <v>542927.79999999993</v>
      </c>
      <c r="BF15" s="15">
        <f>IF(AD15+AG15&lt;&gt;0,AVERAGE(AD$11:AD15)*31+AVERAGE(AG$11:AG15)*31,)</f>
        <v>47516.799999999996</v>
      </c>
      <c r="BG15" s="16">
        <f>IF(AJ15&lt;&gt;0,AVERAGE(AJ$11:AJ15)*31,)</f>
        <v>4563.2</v>
      </c>
      <c r="BH15" s="16">
        <f>IF(AN15&lt;&gt;0,AVERAGE(AN$11:AN15)*31,)</f>
        <v>14477</v>
      </c>
      <c r="BI15" s="16">
        <f>IF(AR15&lt;&gt;0,AVERAGE(AR$11:AR15)*31,)</f>
        <v>8580.8000000000011</v>
      </c>
    </row>
    <row r="16" spans="1:61" ht="15.75">
      <c r="A16" s="63">
        <f>1+A15</f>
        <v>12</v>
      </c>
      <c r="B16" s="48" t="s">
        <v>69</v>
      </c>
      <c r="C16" s="10"/>
      <c r="D16" s="6">
        <v>326263</v>
      </c>
      <c r="E16" s="8">
        <f t="shared" si="7"/>
        <v>209</v>
      </c>
      <c r="F16" s="6">
        <v>7053</v>
      </c>
      <c r="G16" s="8">
        <f t="shared" si="0"/>
        <v>0</v>
      </c>
      <c r="H16" s="6">
        <v>89082</v>
      </c>
      <c r="I16" s="8">
        <f t="shared" si="1"/>
        <v>313</v>
      </c>
      <c r="J16" s="54">
        <v>603988</v>
      </c>
      <c r="K16" s="8">
        <f t="shared" si="1"/>
        <v>301</v>
      </c>
      <c r="L16" s="7"/>
      <c r="M16" s="11" t="e">
        <f t="shared" si="8"/>
        <v>#DIV/0!</v>
      </c>
      <c r="N16" s="6">
        <v>12065</v>
      </c>
      <c r="O16" s="8">
        <f t="shared" si="2"/>
        <v>70</v>
      </c>
      <c r="P16" s="12">
        <v>95718</v>
      </c>
      <c r="Q16" s="9">
        <f t="shared" si="3"/>
        <v>79</v>
      </c>
      <c r="R16" s="12">
        <v>36</v>
      </c>
      <c r="S16" s="9">
        <f t="shared" si="20"/>
        <v>0</v>
      </c>
      <c r="T16" s="12">
        <v>199307</v>
      </c>
      <c r="U16" s="9">
        <f t="shared" si="4"/>
        <v>107</v>
      </c>
      <c r="V16" s="13"/>
      <c r="W16" s="8"/>
      <c r="X16" s="54">
        <v>16839</v>
      </c>
      <c r="Y16" s="55"/>
      <c r="Z16" s="8"/>
      <c r="AA16" s="54">
        <v>3041</v>
      </c>
      <c r="AB16" s="6"/>
      <c r="AC16" s="9">
        <f t="shared" si="9"/>
        <v>0</v>
      </c>
      <c r="AD16" s="54">
        <v>366</v>
      </c>
      <c r="AE16" s="12"/>
      <c r="AF16" s="9">
        <f t="shared" si="10"/>
        <v>0</v>
      </c>
      <c r="AG16" s="54">
        <v>1228</v>
      </c>
      <c r="AH16" s="6"/>
      <c r="AI16" s="8">
        <f t="shared" si="11"/>
        <v>0</v>
      </c>
      <c r="AJ16" s="54">
        <v>168</v>
      </c>
      <c r="AK16" s="7"/>
      <c r="AL16" s="6"/>
      <c r="AM16" s="8">
        <f t="shared" si="5"/>
        <v>0</v>
      </c>
      <c r="AN16" s="54">
        <v>452</v>
      </c>
      <c r="AO16" s="7"/>
      <c r="AP16" s="6"/>
      <c r="AQ16" s="8">
        <f t="shared" si="12"/>
        <v>0</v>
      </c>
      <c r="AR16" s="54">
        <v>256</v>
      </c>
      <c r="AS16" s="14">
        <v>19</v>
      </c>
      <c r="AT16" s="14">
        <v>31</v>
      </c>
      <c r="AU16" s="7"/>
      <c r="AV16" s="64"/>
      <c r="AW16" s="65">
        <f t="shared" si="13"/>
        <v>0</v>
      </c>
      <c r="AY16" s="73">
        <f t="shared" ref="AY16:AY35" si="21">1+AY15</f>
        <v>12</v>
      </c>
      <c r="AZ16" s="15">
        <f t="shared" si="15"/>
        <v>3172.333333333333</v>
      </c>
      <c r="BA16" s="15">
        <f t="shared" si="16"/>
        <v>5.1666666666666661</v>
      </c>
      <c r="BB16" s="15">
        <f t="shared" si="17"/>
        <v>5050.4166666666661</v>
      </c>
      <c r="BC16" s="15">
        <f t="shared" si="18"/>
        <v>1203.8333333333335</v>
      </c>
      <c r="BD16" s="16">
        <f t="shared" si="19"/>
        <v>0</v>
      </c>
      <c r="BE16" s="15">
        <f>IF(X16&lt;&gt;0,AVERAGE(X$11:X16)*31,)</f>
        <v>539441.33333333326</v>
      </c>
      <c r="BF16" s="15">
        <f>IF(AD16+AG16&lt;&gt;0,AVERAGE(AD$11:AD16)*31+AVERAGE(AG$11:AG16)*31,)</f>
        <v>47833</v>
      </c>
      <c r="BG16" s="16">
        <f>IF(AJ16&lt;&gt;0,AVERAGE(AJ$11:AJ16)*31,)</f>
        <v>4670.6666666666661</v>
      </c>
      <c r="BH16" s="16">
        <f>IF(AN16&lt;&gt;0,AVERAGE(AN$11:AN16)*31,)</f>
        <v>14399.5</v>
      </c>
      <c r="BI16" s="16">
        <f>IF(AR16&lt;&gt;0,AVERAGE(AR$11:AR16)*31,)</f>
        <v>8473.3333333333321</v>
      </c>
    </row>
    <row r="17" spans="1:61" ht="15.75">
      <c r="A17" s="63">
        <v>13</v>
      </c>
      <c r="B17" s="48" t="s">
        <v>69</v>
      </c>
      <c r="C17" s="10"/>
      <c r="D17" s="6">
        <v>326471</v>
      </c>
      <c r="E17" s="8">
        <f t="shared" si="7"/>
        <v>208</v>
      </c>
      <c r="F17" s="6">
        <v>7053</v>
      </c>
      <c r="G17" s="8">
        <f t="shared" si="0"/>
        <v>0</v>
      </c>
      <c r="H17" s="6">
        <v>89347</v>
      </c>
      <c r="I17" s="8">
        <f t="shared" si="1"/>
        <v>265</v>
      </c>
      <c r="J17" s="54">
        <v>604244</v>
      </c>
      <c r="K17" s="8">
        <f t="shared" si="1"/>
        <v>256</v>
      </c>
      <c r="L17" s="7"/>
      <c r="M17" s="11" t="e">
        <f t="shared" si="8"/>
        <v>#DIV/0!</v>
      </c>
      <c r="N17" s="6">
        <v>12128</v>
      </c>
      <c r="O17" s="8">
        <f t="shared" si="2"/>
        <v>63</v>
      </c>
      <c r="P17" s="12">
        <v>95771</v>
      </c>
      <c r="Q17" s="9">
        <f t="shared" si="3"/>
        <v>53</v>
      </c>
      <c r="R17" s="12">
        <v>36</v>
      </c>
      <c r="S17" s="9">
        <f t="shared" si="20"/>
        <v>0</v>
      </c>
      <c r="T17" s="12">
        <v>199384</v>
      </c>
      <c r="U17" s="9">
        <f t="shared" si="4"/>
        <v>77</v>
      </c>
      <c r="V17" s="13"/>
      <c r="W17" s="8"/>
      <c r="X17" s="54">
        <v>16332</v>
      </c>
      <c r="Y17" s="55"/>
      <c r="Z17" s="8"/>
      <c r="AA17" s="54">
        <v>2935</v>
      </c>
      <c r="AB17" s="6"/>
      <c r="AC17" s="9">
        <f t="shared" si="9"/>
        <v>0</v>
      </c>
      <c r="AD17" s="54">
        <v>339</v>
      </c>
      <c r="AE17" s="12"/>
      <c r="AF17" s="9">
        <f t="shared" si="10"/>
        <v>0</v>
      </c>
      <c r="AG17" s="54">
        <v>1182</v>
      </c>
      <c r="AH17" s="6"/>
      <c r="AI17" s="8">
        <f t="shared" si="11"/>
        <v>0</v>
      </c>
      <c r="AJ17" s="54">
        <v>168</v>
      </c>
      <c r="AK17" s="7"/>
      <c r="AL17" s="6"/>
      <c r="AM17" s="8">
        <f t="shared" si="5"/>
        <v>0</v>
      </c>
      <c r="AN17" s="54">
        <v>466</v>
      </c>
      <c r="AO17" s="7"/>
      <c r="AP17" s="6"/>
      <c r="AQ17" s="8">
        <f t="shared" si="12"/>
        <v>0</v>
      </c>
      <c r="AR17" s="54">
        <v>240</v>
      </c>
      <c r="AS17" s="14">
        <v>18</v>
      </c>
      <c r="AT17" s="14">
        <v>31</v>
      </c>
      <c r="AU17" s="7"/>
      <c r="AV17" s="64"/>
      <c r="AW17" s="65">
        <f t="shared" si="13"/>
        <v>0</v>
      </c>
      <c r="AY17" s="73">
        <f t="shared" si="21"/>
        <v>13</v>
      </c>
      <c r="AZ17" s="15">
        <f t="shared" si="15"/>
        <v>3424.3076923076924</v>
      </c>
      <c r="BA17" s="15">
        <f t="shared" si="16"/>
        <v>4.7692307692307692</v>
      </c>
      <c r="BB17" s="15">
        <f t="shared" si="17"/>
        <v>5293.8461538461543</v>
      </c>
      <c r="BC17" s="15">
        <f t="shared" si="18"/>
        <v>1261.4615384615386</v>
      </c>
      <c r="BD17" s="16">
        <f t="shared" si="19"/>
        <v>0</v>
      </c>
      <c r="BE17" s="15">
        <f>IF(X17&lt;&gt;0,AVERAGE(X$11:X17)*31,)</f>
        <v>534705.7142857142</v>
      </c>
      <c r="BF17" s="15">
        <f>IF(AD17+AG17&lt;&gt;0,AVERAGE(AD$11:AD17)*31+AVERAGE(AG$11:AG17)*31,)</f>
        <v>47735.571428571428</v>
      </c>
      <c r="BG17" s="16">
        <f>IF(AJ17&lt;&gt;0,AVERAGE(AJ$11:AJ17)*31,)</f>
        <v>4747.4285714285716</v>
      </c>
      <c r="BH17" s="16">
        <f>IF(AN17&lt;&gt;0,AVERAGE(AN$11:AN17)*31,)</f>
        <v>14406.142857142857</v>
      </c>
      <c r="BI17" s="16">
        <f>IF(AR17&lt;&gt;0,AVERAGE(AR$11:AR17)*31,)</f>
        <v>8325.7142857142844</v>
      </c>
    </row>
    <row r="18" spans="1:61" ht="15.75">
      <c r="A18" s="63">
        <f t="shared" ref="A18:A32" si="22">1+A17</f>
        <v>14</v>
      </c>
      <c r="B18" s="48" t="s">
        <v>69</v>
      </c>
      <c r="C18" s="10"/>
      <c r="D18" s="6">
        <v>326681</v>
      </c>
      <c r="E18" s="8">
        <f t="shared" si="7"/>
        <v>210</v>
      </c>
      <c r="F18" s="6">
        <v>7054</v>
      </c>
      <c r="G18" s="8">
        <f t="shared" si="0"/>
        <v>1</v>
      </c>
      <c r="H18" s="6">
        <v>89611</v>
      </c>
      <c r="I18" s="8">
        <f t="shared" si="1"/>
        <v>264</v>
      </c>
      <c r="J18" s="54">
        <v>604497</v>
      </c>
      <c r="K18" s="8">
        <f t="shared" si="1"/>
        <v>253</v>
      </c>
      <c r="L18" s="7"/>
      <c r="M18" s="11" t="e">
        <f t="shared" si="8"/>
        <v>#DIV/0!</v>
      </c>
      <c r="N18" s="6">
        <v>12194</v>
      </c>
      <c r="O18" s="8">
        <f t="shared" si="2"/>
        <v>66</v>
      </c>
      <c r="P18" s="12">
        <v>95820</v>
      </c>
      <c r="Q18" s="9">
        <f t="shared" si="3"/>
        <v>49</v>
      </c>
      <c r="R18" s="12">
        <v>36</v>
      </c>
      <c r="S18" s="9">
        <f t="shared" si="20"/>
        <v>0</v>
      </c>
      <c r="T18" s="12">
        <v>199460</v>
      </c>
      <c r="U18" s="9">
        <f t="shared" si="4"/>
        <v>76</v>
      </c>
      <c r="V18" s="13"/>
      <c r="W18" s="8"/>
      <c r="X18" s="54">
        <v>16365</v>
      </c>
      <c r="Y18" s="55"/>
      <c r="Z18" s="8"/>
      <c r="AA18" s="54">
        <v>2890</v>
      </c>
      <c r="AB18" s="6"/>
      <c r="AC18" s="9">
        <f t="shared" si="9"/>
        <v>0</v>
      </c>
      <c r="AD18" s="54">
        <v>349</v>
      </c>
      <c r="AE18" s="12"/>
      <c r="AF18" s="9">
        <f t="shared" si="10"/>
        <v>0</v>
      </c>
      <c r="AG18" s="54">
        <v>1135</v>
      </c>
      <c r="AH18" s="6"/>
      <c r="AI18" s="8">
        <f t="shared" si="11"/>
        <v>0</v>
      </c>
      <c r="AJ18" s="54">
        <v>168</v>
      </c>
      <c r="AK18" s="7"/>
      <c r="AL18" s="6"/>
      <c r="AM18" s="8">
        <f t="shared" si="5"/>
        <v>0</v>
      </c>
      <c r="AN18" s="54">
        <v>464</v>
      </c>
      <c r="AO18" s="7"/>
      <c r="AP18" s="6"/>
      <c r="AQ18" s="8">
        <f t="shared" si="12"/>
        <v>0</v>
      </c>
      <c r="AR18" s="54">
        <v>240</v>
      </c>
      <c r="AS18" s="14">
        <v>19</v>
      </c>
      <c r="AT18" s="14">
        <v>31</v>
      </c>
      <c r="AU18" s="7"/>
      <c r="AV18" s="64"/>
      <c r="AW18" s="65">
        <f t="shared" si="13"/>
        <v>0</v>
      </c>
      <c r="AY18" s="73">
        <f t="shared" si="21"/>
        <v>14</v>
      </c>
      <c r="AZ18" s="15">
        <f t="shared" si="15"/>
        <v>3644.7142857142858</v>
      </c>
      <c r="BA18" s="15">
        <f t="shared" si="16"/>
        <v>6.6428571428571423</v>
      </c>
      <c r="BB18" s="15">
        <f t="shared" si="17"/>
        <v>5500.2857142857138</v>
      </c>
      <c r="BC18" s="15">
        <f t="shared" si="18"/>
        <v>1317.5</v>
      </c>
      <c r="BD18" s="16">
        <f t="shared" si="19"/>
        <v>0</v>
      </c>
      <c r="BE18" s="15">
        <f>IF(X18&lt;&gt;0,AVERAGE(X$11:X18)*31,)</f>
        <v>531281.875</v>
      </c>
      <c r="BF18" s="15">
        <f>IF(AD18+AG18&lt;&gt;0,AVERAGE(AD$11:AD18)*31+AVERAGE(AG$11:AG18)*31,)</f>
        <v>47519.125</v>
      </c>
      <c r="BG18" s="16">
        <f>IF(AJ18&lt;&gt;0,AVERAGE(AJ$11:AJ18)*31,)</f>
        <v>4805</v>
      </c>
      <c r="BH18" s="16">
        <f>IF(AN18&lt;&gt;0,AVERAGE(AN$11:AN18)*31,)</f>
        <v>14403.375</v>
      </c>
      <c r="BI18" s="16">
        <f>IF(AR18&lt;&gt;0,AVERAGE(AR$11:AR18)*31,)</f>
        <v>8215</v>
      </c>
    </row>
    <row r="19" spans="1:61" ht="15.75">
      <c r="A19" s="63">
        <f t="shared" si="22"/>
        <v>15</v>
      </c>
      <c r="B19" s="48" t="s">
        <v>69</v>
      </c>
      <c r="C19" s="10"/>
      <c r="D19" s="6">
        <v>326885</v>
      </c>
      <c r="E19" s="8">
        <f t="shared" si="7"/>
        <v>204</v>
      </c>
      <c r="F19" s="6">
        <v>7054</v>
      </c>
      <c r="G19" s="8">
        <f t="shared" si="0"/>
        <v>0</v>
      </c>
      <c r="H19" s="6">
        <v>89886</v>
      </c>
      <c r="I19" s="8">
        <f t="shared" si="1"/>
        <v>275</v>
      </c>
      <c r="J19" s="54">
        <v>604761</v>
      </c>
      <c r="K19" s="8">
        <f t="shared" si="1"/>
        <v>264</v>
      </c>
      <c r="L19" s="7"/>
      <c r="M19" s="11" t="e">
        <f t="shared" si="8"/>
        <v>#DIV/0!</v>
      </c>
      <c r="N19" s="6">
        <v>12264</v>
      </c>
      <c r="O19" s="8">
        <f t="shared" si="2"/>
        <v>70</v>
      </c>
      <c r="P19" s="12">
        <v>95867</v>
      </c>
      <c r="Q19" s="9">
        <f t="shared" si="3"/>
        <v>47</v>
      </c>
      <c r="R19" s="12">
        <v>36</v>
      </c>
      <c r="S19" s="9">
        <f t="shared" si="20"/>
        <v>0</v>
      </c>
      <c r="T19" s="12">
        <v>199530</v>
      </c>
      <c r="U19" s="9">
        <f t="shared" si="4"/>
        <v>70</v>
      </c>
      <c r="V19" s="13"/>
      <c r="W19" s="8"/>
      <c r="X19" s="54">
        <v>16925</v>
      </c>
      <c r="Y19" s="55"/>
      <c r="Z19" s="8"/>
      <c r="AA19" s="54">
        <v>2987</v>
      </c>
      <c r="AB19" s="6"/>
      <c r="AC19" s="9">
        <f t="shared" si="9"/>
        <v>0</v>
      </c>
      <c r="AD19" s="54">
        <v>345</v>
      </c>
      <c r="AE19" s="12"/>
      <c r="AF19" s="9">
        <f t="shared" si="10"/>
        <v>0</v>
      </c>
      <c r="AG19" s="54">
        <v>1056</v>
      </c>
      <c r="AH19" s="6"/>
      <c r="AI19" s="8">
        <f t="shared" si="11"/>
        <v>0</v>
      </c>
      <c r="AJ19" s="54">
        <v>152</v>
      </c>
      <c r="AK19" s="7"/>
      <c r="AL19" s="6"/>
      <c r="AM19" s="8">
        <f t="shared" si="5"/>
        <v>0</v>
      </c>
      <c r="AN19" s="54">
        <v>486</v>
      </c>
      <c r="AO19" s="7"/>
      <c r="AP19" s="6"/>
      <c r="AQ19" s="8">
        <f t="shared" si="12"/>
        <v>0</v>
      </c>
      <c r="AR19" s="54">
        <v>240</v>
      </c>
      <c r="AS19" s="14">
        <v>21</v>
      </c>
      <c r="AT19" s="14">
        <v>32</v>
      </c>
      <c r="AU19" s="7"/>
      <c r="AV19" s="64"/>
      <c r="AW19" s="65">
        <f t="shared" si="13"/>
        <v>0</v>
      </c>
      <c r="AY19" s="73">
        <f t="shared" si="21"/>
        <v>15</v>
      </c>
      <c r="AZ19" s="15">
        <f t="shared" si="15"/>
        <v>3823.333333333333</v>
      </c>
      <c r="BA19" s="15">
        <f t="shared" si="16"/>
        <v>6.2</v>
      </c>
      <c r="BB19" s="15">
        <f t="shared" si="17"/>
        <v>5701.9333333333334</v>
      </c>
      <c r="BC19" s="15">
        <f t="shared" si="18"/>
        <v>1374.3333333333335</v>
      </c>
      <c r="BD19" s="16">
        <f t="shared" si="19"/>
        <v>0</v>
      </c>
      <c r="BE19" s="15">
        <f>IF(X19&lt;&gt;0,AVERAGE(X$11:X19)*31,)</f>
        <v>530547.77777777775</v>
      </c>
      <c r="BF19" s="15">
        <f>IF(AD19+AG19&lt;&gt;0,AVERAGE(AD$11:AD19)*31+AVERAGE(AG$11:AG19)*31,)</f>
        <v>47064.888888888883</v>
      </c>
      <c r="BG19" s="16">
        <f>IF(AJ19&lt;&gt;0,AVERAGE(AJ$11:AJ19)*31,)</f>
        <v>4794.6666666666661</v>
      </c>
      <c r="BH19" s="16">
        <f>IF(AN19&lt;&gt;0,AVERAGE(AN$11:AN19)*31,)</f>
        <v>14477</v>
      </c>
      <c r="BI19" s="16">
        <f>IF(AR19&lt;&gt;0,AVERAGE(AR$11:AR19)*31,)</f>
        <v>8128.8888888888887</v>
      </c>
    </row>
    <row r="20" spans="1:61" ht="15.75">
      <c r="A20" s="63">
        <f t="shared" si="22"/>
        <v>16</v>
      </c>
      <c r="B20" s="48" t="s">
        <v>69</v>
      </c>
      <c r="C20" s="10"/>
      <c r="D20" s="6">
        <v>327085</v>
      </c>
      <c r="E20" s="8">
        <f t="shared" si="7"/>
        <v>200</v>
      </c>
      <c r="F20" s="6">
        <v>7054</v>
      </c>
      <c r="G20" s="8">
        <f t="shared" si="0"/>
        <v>0</v>
      </c>
      <c r="H20" s="6">
        <v>90165</v>
      </c>
      <c r="I20" s="8">
        <f t="shared" si="1"/>
        <v>279</v>
      </c>
      <c r="J20" s="54">
        <v>605030</v>
      </c>
      <c r="K20" s="8">
        <f t="shared" si="1"/>
        <v>269</v>
      </c>
      <c r="L20" s="7"/>
      <c r="M20" s="11" t="e">
        <f t="shared" si="8"/>
        <v>#DIV/0!</v>
      </c>
      <c r="N20" s="6">
        <v>12338</v>
      </c>
      <c r="O20" s="8">
        <f t="shared" si="2"/>
        <v>74</v>
      </c>
      <c r="P20" s="12">
        <v>95917</v>
      </c>
      <c r="Q20" s="9">
        <f t="shared" si="3"/>
        <v>50</v>
      </c>
      <c r="R20" s="12">
        <v>37</v>
      </c>
      <c r="S20" s="9">
        <f t="shared" si="20"/>
        <v>1</v>
      </c>
      <c r="T20" s="12">
        <v>199603</v>
      </c>
      <c r="U20" s="9">
        <f t="shared" si="4"/>
        <v>73</v>
      </c>
      <c r="V20" s="13"/>
      <c r="W20" s="8"/>
      <c r="X20" s="54">
        <v>17480</v>
      </c>
      <c r="Y20" s="55"/>
      <c r="Z20" s="8"/>
      <c r="AA20" s="54">
        <v>3064</v>
      </c>
      <c r="AB20" s="6"/>
      <c r="AC20" s="9">
        <f t="shared" si="9"/>
        <v>0</v>
      </c>
      <c r="AD20" s="54">
        <v>359</v>
      </c>
      <c r="AE20" s="12"/>
      <c r="AF20" s="9">
        <f t="shared" si="10"/>
        <v>0</v>
      </c>
      <c r="AG20" s="54">
        <v>1136</v>
      </c>
      <c r="AH20" s="6"/>
      <c r="AI20" s="8">
        <f t="shared" si="11"/>
        <v>0</v>
      </c>
      <c r="AJ20" s="54">
        <v>168</v>
      </c>
      <c r="AK20" s="7"/>
      <c r="AL20" s="6"/>
      <c r="AM20" s="8">
        <f t="shared" si="5"/>
        <v>0</v>
      </c>
      <c r="AN20" s="54">
        <v>466</v>
      </c>
      <c r="AO20" s="7"/>
      <c r="AP20" s="6"/>
      <c r="AQ20" s="8">
        <f t="shared" si="12"/>
        <v>0</v>
      </c>
      <c r="AR20" s="54">
        <v>256</v>
      </c>
      <c r="AS20" s="14">
        <v>24</v>
      </c>
      <c r="AT20" s="14">
        <v>33</v>
      </c>
      <c r="AU20" s="7"/>
      <c r="AV20" s="64"/>
      <c r="AW20" s="65">
        <f t="shared" si="13"/>
        <v>0</v>
      </c>
      <c r="AY20" s="73">
        <f t="shared" si="21"/>
        <v>16</v>
      </c>
      <c r="AZ20" s="15">
        <f t="shared" si="15"/>
        <v>3971.875</v>
      </c>
      <c r="BA20" s="15">
        <f t="shared" si="16"/>
        <v>5.8125</v>
      </c>
      <c r="BB20" s="15">
        <f t="shared" si="17"/>
        <v>5886.125</v>
      </c>
      <c r="BC20" s="15">
        <f t="shared" si="18"/>
        <v>1431.8125</v>
      </c>
      <c r="BD20" s="16">
        <f t="shared" si="19"/>
        <v>0</v>
      </c>
      <c r="BE20" s="15">
        <f>IF(X20&lt;&gt;0,AVERAGE(X$11:X20)*31,)</f>
        <v>531681</v>
      </c>
      <c r="BF20" s="15">
        <f>IF(AD20+AG20&lt;&gt;0,AVERAGE(AD$11:AD20)*31+AVERAGE(AG$11:AG20)*31,)</f>
        <v>46992.9</v>
      </c>
      <c r="BG20" s="16">
        <f>IF(AJ20&lt;&gt;0,AVERAGE(AJ$11:AJ20)*31,)</f>
        <v>4836</v>
      </c>
      <c r="BH20" s="16">
        <f>IF(AN20&lt;&gt;0,AVERAGE(AN$11:AN20)*31,)</f>
        <v>14473.9</v>
      </c>
      <c r="BI20" s="16">
        <f>IF(AR20&lt;&gt;0,AVERAGE(AR$11:AR20)*31,)</f>
        <v>8109.6</v>
      </c>
    </row>
    <row r="21" spans="1:61" ht="15.75">
      <c r="A21" s="63">
        <f t="shared" si="22"/>
        <v>17</v>
      </c>
      <c r="B21" s="48" t="s">
        <v>69</v>
      </c>
      <c r="C21" s="10"/>
      <c r="D21" s="6">
        <v>327293</v>
      </c>
      <c r="E21" s="8">
        <f t="shared" si="7"/>
        <v>208</v>
      </c>
      <c r="F21" s="6">
        <v>7054</v>
      </c>
      <c r="G21" s="8">
        <f t="shared" si="0"/>
        <v>0</v>
      </c>
      <c r="H21" s="6">
        <v>90452</v>
      </c>
      <c r="I21" s="8">
        <f t="shared" si="1"/>
        <v>287</v>
      </c>
      <c r="J21" s="54">
        <v>605306</v>
      </c>
      <c r="K21" s="8">
        <f t="shared" si="1"/>
        <v>276</v>
      </c>
      <c r="L21" s="7"/>
      <c r="M21" s="11" t="e">
        <f t="shared" si="8"/>
        <v>#DIV/0!</v>
      </c>
      <c r="N21" s="6">
        <v>12412</v>
      </c>
      <c r="O21" s="8">
        <f t="shared" si="2"/>
        <v>74</v>
      </c>
      <c r="P21" s="12">
        <v>95963</v>
      </c>
      <c r="Q21" s="9">
        <f t="shared" si="3"/>
        <v>46</v>
      </c>
      <c r="R21" s="12">
        <v>37</v>
      </c>
      <c r="S21" s="9">
        <f t="shared" si="20"/>
        <v>0</v>
      </c>
      <c r="T21" s="12">
        <v>199680</v>
      </c>
      <c r="U21" s="9">
        <f t="shared" si="4"/>
        <v>77</v>
      </c>
      <c r="V21" s="13"/>
      <c r="W21" s="8"/>
      <c r="X21" s="54">
        <v>17943</v>
      </c>
      <c r="Y21" s="57"/>
      <c r="Z21" s="8"/>
      <c r="AA21" s="54">
        <v>2921</v>
      </c>
      <c r="AB21" s="6"/>
      <c r="AC21" s="9">
        <f t="shared" si="9"/>
        <v>0</v>
      </c>
      <c r="AD21" s="54">
        <v>359</v>
      </c>
      <c r="AE21" s="12"/>
      <c r="AF21" s="9">
        <f t="shared" si="10"/>
        <v>0</v>
      </c>
      <c r="AG21" s="54">
        <v>1149</v>
      </c>
      <c r="AH21" s="6"/>
      <c r="AI21" s="8">
        <f t="shared" si="11"/>
        <v>0</v>
      </c>
      <c r="AJ21" s="54">
        <v>176</v>
      </c>
      <c r="AK21" s="7"/>
      <c r="AL21" s="6"/>
      <c r="AM21" s="8">
        <f t="shared" si="5"/>
        <v>0</v>
      </c>
      <c r="AN21" s="54">
        <v>484</v>
      </c>
      <c r="AO21" s="7"/>
      <c r="AP21" s="6"/>
      <c r="AQ21" s="8">
        <f t="shared" si="12"/>
        <v>0</v>
      </c>
      <c r="AR21" s="54">
        <v>280</v>
      </c>
      <c r="AS21" s="14">
        <v>22</v>
      </c>
      <c r="AT21" s="14">
        <v>30</v>
      </c>
      <c r="AU21" s="7"/>
      <c r="AV21" s="64"/>
      <c r="AW21" s="65">
        <f t="shared" si="13"/>
        <v>0</v>
      </c>
      <c r="AY21" s="73">
        <f t="shared" si="21"/>
        <v>17</v>
      </c>
      <c r="AZ21" s="15">
        <f t="shared" si="15"/>
        <v>4117.5294117647054</v>
      </c>
      <c r="BA21" s="15">
        <f t="shared" si="16"/>
        <v>5.4705882352941178</v>
      </c>
      <c r="BB21" s="15">
        <f t="shared" si="17"/>
        <v>6063.2352941176468</v>
      </c>
      <c r="BC21" s="15">
        <f t="shared" si="18"/>
        <v>1482.5294117647059</v>
      </c>
      <c r="BD21" s="16">
        <f t="shared" si="19"/>
        <v>0</v>
      </c>
      <c r="BE21" s="15">
        <f>IF(X21&lt;&gt;0,AVERAGE(X$11:X21)*31,)</f>
        <v>533913</v>
      </c>
      <c r="BF21" s="15">
        <f>IF(AD21+AG21&lt;&gt;0,AVERAGE(AD$11:AD21)*31+AVERAGE(AG$11:AG21)*31,)</f>
        <v>46970.636363636368</v>
      </c>
      <c r="BG21" s="16">
        <f>IF(AJ21&lt;&gt;0,AVERAGE(AJ$11:AJ21)*31,)</f>
        <v>4892.363636363636</v>
      </c>
      <c r="BH21" s="16">
        <f>IF(AN21&lt;&gt;0,AVERAGE(AN$11:AN21)*31,)</f>
        <v>14522.090909090908</v>
      </c>
      <c r="BI21" s="16">
        <f>IF(AR21&lt;&gt;0,AVERAGE(AR$11:AR21)*31,)</f>
        <v>8161.454545454545</v>
      </c>
    </row>
    <row r="22" spans="1:61" ht="15.75">
      <c r="A22" s="63">
        <f t="shared" si="22"/>
        <v>18</v>
      </c>
      <c r="B22" s="48" t="s">
        <v>69</v>
      </c>
      <c r="C22" s="10"/>
      <c r="D22" s="6">
        <v>327504</v>
      </c>
      <c r="E22" s="8">
        <f t="shared" si="7"/>
        <v>211</v>
      </c>
      <c r="F22" s="6">
        <v>7054</v>
      </c>
      <c r="G22" s="8">
        <f t="shared" si="0"/>
        <v>0</v>
      </c>
      <c r="H22" s="6">
        <v>90710</v>
      </c>
      <c r="I22" s="8">
        <f t="shared" si="1"/>
        <v>258</v>
      </c>
      <c r="J22" s="54">
        <v>605555</v>
      </c>
      <c r="K22" s="8">
        <f t="shared" si="1"/>
        <v>249</v>
      </c>
      <c r="L22" s="7"/>
      <c r="M22" s="11" t="e">
        <f t="shared" si="8"/>
        <v>#DIV/0!</v>
      </c>
      <c r="N22" s="6">
        <v>12468</v>
      </c>
      <c r="O22" s="8">
        <f t="shared" si="2"/>
        <v>56</v>
      </c>
      <c r="P22" s="12">
        <v>96011</v>
      </c>
      <c r="Q22" s="9">
        <f t="shared" si="3"/>
        <v>48</v>
      </c>
      <c r="R22" s="85">
        <v>37</v>
      </c>
      <c r="S22" s="9">
        <f t="shared" si="20"/>
        <v>0</v>
      </c>
      <c r="T22" s="12">
        <v>199755</v>
      </c>
      <c r="U22" s="9">
        <f t="shared" si="4"/>
        <v>75</v>
      </c>
      <c r="V22" s="13"/>
      <c r="W22" s="8"/>
      <c r="X22" s="54">
        <v>16790</v>
      </c>
      <c r="Y22" s="55"/>
      <c r="Z22" s="8"/>
      <c r="AA22" s="54">
        <v>2907</v>
      </c>
      <c r="AB22" s="6"/>
      <c r="AC22" s="9">
        <f t="shared" si="9"/>
        <v>0</v>
      </c>
      <c r="AD22" s="54">
        <v>335</v>
      </c>
      <c r="AE22" s="12"/>
      <c r="AF22" s="9">
        <f t="shared" si="10"/>
        <v>0</v>
      </c>
      <c r="AG22" s="54">
        <v>1048</v>
      </c>
      <c r="AH22" s="6"/>
      <c r="AI22" s="8">
        <f t="shared" si="11"/>
        <v>0</v>
      </c>
      <c r="AJ22" s="54">
        <v>176</v>
      </c>
      <c r="AK22" s="7"/>
      <c r="AL22" s="6"/>
      <c r="AM22" s="8">
        <f t="shared" si="5"/>
        <v>0</v>
      </c>
      <c r="AN22" s="54">
        <v>465</v>
      </c>
      <c r="AO22" s="7"/>
      <c r="AP22" s="6"/>
      <c r="AQ22" s="8">
        <f t="shared" si="12"/>
        <v>0</v>
      </c>
      <c r="AR22" s="54">
        <v>256</v>
      </c>
      <c r="AS22" s="14">
        <v>20</v>
      </c>
      <c r="AT22" s="14">
        <v>24</v>
      </c>
      <c r="AU22" s="7"/>
      <c r="AV22" s="64"/>
      <c r="AW22" s="65">
        <f t="shared" si="13"/>
        <v>0</v>
      </c>
      <c r="AY22" s="73">
        <f t="shared" si="21"/>
        <v>18</v>
      </c>
      <c r="AZ22" s="15">
        <f t="shared" si="15"/>
        <v>4252.1666666666661</v>
      </c>
      <c r="BA22" s="15">
        <f t="shared" si="16"/>
        <v>5.1666666666666661</v>
      </c>
      <c r="BB22" s="15">
        <f t="shared" si="17"/>
        <v>6170.7222222222217</v>
      </c>
      <c r="BC22" s="15">
        <f t="shared" si="18"/>
        <v>1496.6111111111111</v>
      </c>
      <c r="BD22" s="16">
        <f t="shared" si="19"/>
        <v>0</v>
      </c>
      <c r="BE22" s="15">
        <f>IF(X22&lt;&gt;0,AVERAGE(X$11:X22)*31,)</f>
        <v>532794.41666666674</v>
      </c>
      <c r="BF22" s="15">
        <f>IF(AD22+AG22&lt;&gt;0,AVERAGE(AD$11:AD22)*31+AVERAGE(AG$11:AG22)*31,)</f>
        <v>46629.166666666672</v>
      </c>
      <c r="BG22" s="16">
        <f>IF(AJ22&lt;&gt;0,AVERAGE(AJ$11:AJ22)*31,)</f>
        <v>4939.3333333333339</v>
      </c>
      <c r="BH22" s="16">
        <f>IF(AN22&lt;&gt;0,AVERAGE(AN$11:AN22)*31,)</f>
        <v>14513.166666666668</v>
      </c>
      <c r="BI22" s="16">
        <f>IF(AR22&lt;&gt;0,AVERAGE(AR$11:AR22)*31,)</f>
        <v>8142.666666666667</v>
      </c>
    </row>
    <row r="23" spans="1:61" ht="15.75">
      <c r="A23" s="63">
        <f t="shared" si="22"/>
        <v>19</v>
      </c>
      <c r="B23" s="48" t="s">
        <v>69</v>
      </c>
      <c r="C23" s="10"/>
      <c r="D23" s="6">
        <v>327716</v>
      </c>
      <c r="E23" s="8">
        <f t="shared" si="7"/>
        <v>212</v>
      </c>
      <c r="F23" s="6">
        <v>7054</v>
      </c>
      <c r="G23" s="8">
        <f t="shared" si="0"/>
        <v>0</v>
      </c>
      <c r="H23" s="6">
        <v>90970</v>
      </c>
      <c r="I23" s="8">
        <f t="shared" si="1"/>
        <v>260</v>
      </c>
      <c r="J23" s="54">
        <v>605805</v>
      </c>
      <c r="K23" s="8">
        <f t="shared" si="1"/>
        <v>250</v>
      </c>
      <c r="L23" s="7"/>
      <c r="M23" s="11" t="e">
        <f t="shared" si="8"/>
        <v>#DIV/0!</v>
      </c>
      <c r="N23" s="6">
        <v>12525</v>
      </c>
      <c r="O23" s="8">
        <f t="shared" si="2"/>
        <v>57</v>
      </c>
      <c r="P23" s="12">
        <v>96050</v>
      </c>
      <c r="Q23" s="9">
        <f t="shared" si="3"/>
        <v>39</v>
      </c>
      <c r="R23" s="85">
        <v>37</v>
      </c>
      <c r="S23" s="9">
        <f t="shared" si="20"/>
        <v>0</v>
      </c>
      <c r="T23" s="12">
        <v>199822</v>
      </c>
      <c r="U23" s="9">
        <f t="shared" si="4"/>
        <v>67</v>
      </c>
      <c r="V23" s="13"/>
      <c r="W23" s="8"/>
      <c r="X23" s="54">
        <v>16328</v>
      </c>
      <c r="Y23" s="55"/>
      <c r="Z23" s="8"/>
      <c r="AA23" s="54">
        <v>2800</v>
      </c>
      <c r="AB23" s="6"/>
      <c r="AC23" s="9">
        <f t="shared" si="9"/>
        <v>0</v>
      </c>
      <c r="AD23" s="54">
        <v>335</v>
      </c>
      <c r="AE23" s="12"/>
      <c r="AF23" s="9">
        <f t="shared" si="10"/>
        <v>0</v>
      </c>
      <c r="AG23" s="54">
        <v>1236</v>
      </c>
      <c r="AH23" s="6"/>
      <c r="AI23" s="8">
        <f t="shared" si="11"/>
        <v>0</v>
      </c>
      <c r="AJ23" s="54">
        <v>160</v>
      </c>
      <c r="AK23" s="7"/>
      <c r="AL23" s="6"/>
      <c r="AM23" s="8">
        <f t="shared" si="5"/>
        <v>0</v>
      </c>
      <c r="AN23" s="54">
        <v>481</v>
      </c>
      <c r="AO23" s="7"/>
      <c r="AP23" s="6"/>
      <c r="AQ23" s="8">
        <f t="shared" si="12"/>
        <v>0</v>
      </c>
      <c r="AR23" s="54">
        <v>248</v>
      </c>
      <c r="AS23" s="14">
        <v>19</v>
      </c>
      <c r="AT23" s="14">
        <v>29</v>
      </c>
      <c r="AU23" s="7"/>
      <c r="AV23" s="64"/>
      <c r="AW23" s="65">
        <f t="shared" si="13"/>
        <v>0</v>
      </c>
      <c r="AY23" s="73">
        <f t="shared" si="21"/>
        <v>19</v>
      </c>
      <c r="AZ23" s="15">
        <f t="shared" si="15"/>
        <v>4374.2631578947367</v>
      </c>
      <c r="BA23" s="15">
        <f t="shared" si="16"/>
        <v>4.8947368421052628</v>
      </c>
      <c r="BB23" s="15">
        <f t="shared" si="17"/>
        <v>6270.1578947368425</v>
      </c>
      <c r="BC23" s="15">
        <f t="shared" si="18"/>
        <v>1510.8421052631579</v>
      </c>
      <c r="BD23" s="16">
        <f t="shared" si="19"/>
        <v>0</v>
      </c>
      <c r="BE23" s="15">
        <f>IF(X23&lt;&gt;0,AVERAGE(X$11:X23)*31,)</f>
        <v>530746.23076923075</v>
      </c>
      <c r="BF23" s="15">
        <f>IF(AD23+AG23&lt;&gt;0,AVERAGE(AD$11:AD23)*31+AVERAGE(AG$11:AG23)*31,)</f>
        <v>46788.538461538461</v>
      </c>
      <c r="BG23" s="16">
        <f>IF(AJ23&lt;&gt;0,AVERAGE(AJ$11:AJ23)*31,)</f>
        <v>4940.9230769230771</v>
      </c>
      <c r="BH23" s="16">
        <f>IF(AN23&lt;&gt;0,AVERAGE(AN$11:AN23)*31,)</f>
        <v>14543.76923076923</v>
      </c>
      <c r="BI23" s="16">
        <f>IF(AR23&lt;&gt;0,AVERAGE(AR$11:AR23)*31,)</f>
        <v>8107.6923076923076</v>
      </c>
    </row>
    <row r="24" spans="1:61" ht="15.75">
      <c r="A24" s="63">
        <f t="shared" si="22"/>
        <v>20</v>
      </c>
      <c r="B24" s="48" t="s">
        <v>69</v>
      </c>
      <c r="C24" s="10"/>
      <c r="D24" s="6">
        <v>327914</v>
      </c>
      <c r="E24" s="8">
        <f t="shared" si="7"/>
        <v>198</v>
      </c>
      <c r="F24" s="6">
        <v>7054</v>
      </c>
      <c r="G24" s="8">
        <f t="shared" si="0"/>
        <v>0</v>
      </c>
      <c r="H24" s="6">
        <v>91231</v>
      </c>
      <c r="I24" s="8">
        <f t="shared" si="1"/>
        <v>261</v>
      </c>
      <c r="J24" s="54">
        <v>606055</v>
      </c>
      <c r="K24" s="8">
        <f t="shared" si="1"/>
        <v>250</v>
      </c>
      <c r="L24" s="7"/>
      <c r="M24" s="11" t="e">
        <f t="shared" si="8"/>
        <v>#DIV/0!</v>
      </c>
      <c r="N24" s="6">
        <v>12593</v>
      </c>
      <c r="O24" s="8">
        <f t="shared" si="2"/>
        <v>68</v>
      </c>
      <c r="P24" s="12">
        <v>96087</v>
      </c>
      <c r="Q24" s="9">
        <f t="shared" si="3"/>
        <v>37</v>
      </c>
      <c r="R24" s="85">
        <v>37</v>
      </c>
      <c r="S24" s="9">
        <f t="shared" si="20"/>
        <v>0</v>
      </c>
      <c r="T24" s="12">
        <v>199883</v>
      </c>
      <c r="U24" s="9">
        <f t="shared" si="4"/>
        <v>61</v>
      </c>
      <c r="V24" s="13">
        <v>5160.0929999999998</v>
      </c>
      <c r="W24" s="8"/>
      <c r="X24" s="54">
        <v>16363</v>
      </c>
      <c r="Y24" s="55">
        <v>985.58199999999999</v>
      </c>
      <c r="Z24" s="8"/>
      <c r="AA24" s="54">
        <v>2890</v>
      </c>
      <c r="AB24" s="6">
        <v>1753455</v>
      </c>
      <c r="AC24" s="9">
        <f t="shared" si="9"/>
        <v>1753455</v>
      </c>
      <c r="AD24" s="54">
        <v>336</v>
      </c>
      <c r="AE24" s="12">
        <v>5176762</v>
      </c>
      <c r="AF24" s="9">
        <f t="shared" si="10"/>
        <v>5176762</v>
      </c>
      <c r="AG24" s="54">
        <v>1087</v>
      </c>
      <c r="AH24" s="6">
        <v>34091</v>
      </c>
      <c r="AI24" s="8">
        <f t="shared" si="11"/>
        <v>2727280</v>
      </c>
      <c r="AJ24" s="54">
        <v>168</v>
      </c>
      <c r="AK24" s="7"/>
      <c r="AL24" s="6">
        <v>211894</v>
      </c>
      <c r="AM24" s="8">
        <f t="shared" si="5"/>
        <v>211894</v>
      </c>
      <c r="AN24" s="54">
        <v>476</v>
      </c>
      <c r="AO24" s="7"/>
      <c r="AP24" s="6">
        <v>48777</v>
      </c>
      <c r="AQ24" s="8">
        <f t="shared" si="12"/>
        <v>3902160</v>
      </c>
      <c r="AR24" s="54">
        <v>224</v>
      </c>
      <c r="AS24" s="14">
        <v>20</v>
      </c>
      <c r="AT24" s="14">
        <v>33</v>
      </c>
      <c r="AU24" s="7"/>
      <c r="AV24" s="64"/>
      <c r="AW24" s="65">
        <f t="shared" si="13"/>
        <v>0</v>
      </c>
      <c r="AY24" s="73">
        <f t="shared" si="21"/>
        <v>20</v>
      </c>
      <c r="AZ24" s="15">
        <f t="shared" si="15"/>
        <v>4462.45</v>
      </c>
      <c r="BA24" s="15">
        <f t="shared" si="16"/>
        <v>4.6499999999999995</v>
      </c>
      <c r="BB24" s="15">
        <f t="shared" si="17"/>
        <v>6361.2</v>
      </c>
      <c r="BC24" s="15">
        <f t="shared" si="18"/>
        <v>1540.7</v>
      </c>
      <c r="BD24" s="16">
        <f t="shared" si="19"/>
        <v>17595917.129999999</v>
      </c>
      <c r="BE24" s="15">
        <f>IF(X24&lt;&gt;0,AVERAGE(X$11:X24)*31,)</f>
        <v>529068.14285714284</v>
      </c>
      <c r="BF24" s="15">
        <f>IF(AD24+AG24&lt;&gt;0,AVERAGE(AD$11:AD24)*31+AVERAGE(AG$11:AG24)*31,)</f>
        <v>46597.42857142858</v>
      </c>
      <c r="BG24" s="16">
        <f>IF(AJ24&lt;&gt;0,AVERAGE(AJ$11:AJ24)*31,)</f>
        <v>4960</v>
      </c>
      <c r="BH24" s="16">
        <f>IF(AN24&lt;&gt;0,AVERAGE(AN$11:AN24)*31,)</f>
        <v>14558.928571428572</v>
      </c>
      <c r="BI24" s="16">
        <f>IF(AR24&lt;&gt;0,AVERAGE(AR$11:AR24)*31,)</f>
        <v>8024.5714285714275</v>
      </c>
    </row>
    <row r="25" spans="1:61" ht="15.75">
      <c r="A25" s="63">
        <f t="shared" si="22"/>
        <v>21</v>
      </c>
      <c r="B25" s="48" t="s">
        <v>69</v>
      </c>
      <c r="C25" s="10"/>
      <c r="D25" s="6">
        <v>328114</v>
      </c>
      <c r="E25" s="8">
        <f t="shared" si="7"/>
        <v>200</v>
      </c>
      <c r="F25" s="6">
        <v>7054</v>
      </c>
      <c r="G25" s="8">
        <f t="shared" si="0"/>
        <v>0</v>
      </c>
      <c r="H25" s="6">
        <v>91492</v>
      </c>
      <c r="I25" s="8">
        <f t="shared" si="1"/>
        <v>261</v>
      </c>
      <c r="J25" s="54">
        <v>606307</v>
      </c>
      <c r="K25" s="8">
        <f t="shared" si="1"/>
        <v>252</v>
      </c>
      <c r="L25" s="7"/>
      <c r="M25" s="11" t="e">
        <f t="shared" si="8"/>
        <v>#DIV/0!</v>
      </c>
      <c r="N25" s="6">
        <v>12662</v>
      </c>
      <c r="O25" s="8">
        <f t="shared" si="2"/>
        <v>69</v>
      </c>
      <c r="P25" s="12">
        <v>96125</v>
      </c>
      <c r="Q25" s="9">
        <f t="shared" si="3"/>
        <v>38</v>
      </c>
      <c r="R25" s="12">
        <v>37</v>
      </c>
      <c r="S25" s="9">
        <f t="shared" si="20"/>
        <v>0</v>
      </c>
      <c r="T25" s="12">
        <v>199947</v>
      </c>
      <c r="U25" s="9">
        <f t="shared" si="4"/>
        <v>64</v>
      </c>
      <c r="V25" s="13"/>
      <c r="W25" s="8"/>
      <c r="X25" s="54">
        <v>16162</v>
      </c>
      <c r="Y25" s="55"/>
      <c r="Z25" s="8"/>
      <c r="AA25" s="54">
        <v>2887</v>
      </c>
      <c r="AB25" s="6"/>
      <c r="AC25" s="9">
        <f t="shared" si="9"/>
        <v>0</v>
      </c>
      <c r="AD25" s="54">
        <v>327</v>
      </c>
      <c r="AE25" s="12"/>
      <c r="AF25" s="9">
        <f t="shared" si="10"/>
        <v>0</v>
      </c>
      <c r="AG25" s="54">
        <v>894</v>
      </c>
      <c r="AH25" s="6"/>
      <c r="AI25" s="8">
        <f t="shared" si="11"/>
        <v>0</v>
      </c>
      <c r="AJ25" s="54">
        <v>264</v>
      </c>
      <c r="AK25" s="7"/>
      <c r="AL25" s="6"/>
      <c r="AM25" s="8">
        <f t="shared" si="5"/>
        <v>0</v>
      </c>
      <c r="AN25" s="54">
        <v>473</v>
      </c>
      <c r="AO25" s="7"/>
      <c r="AP25" s="6"/>
      <c r="AQ25" s="8">
        <f t="shared" si="12"/>
        <v>0</v>
      </c>
      <c r="AR25" s="54">
        <v>272</v>
      </c>
      <c r="AS25" s="14">
        <v>19</v>
      </c>
      <c r="AT25" s="14">
        <v>32</v>
      </c>
      <c r="AU25" s="7"/>
      <c r="AV25" s="64"/>
      <c r="AW25" s="65">
        <f t="shared" si="13"/>
        <v>0</v>
      </c>
      <c r="AY25" s="73">
        <f t="shared" si="21"/>
        <v>21</v>
      </c>
      <c r="AZ25" s="15">
        <f t="shared" si="15"/>
        <v>4545.1904761904761</v>
      </c>
      <c r="BA25" s="15">
        <f t="shared" si="16"/>
        <v>4.4285714285714279</v>
      </c>
      <c r="BB25" s="15">
        <f t="shared" si="17"/>
        <v>6443.5714285714284</v>
      </c>
      <c r="BC25" s="15">
        <f t="shared" si="18"/>
        <v>1569.1904761904761</v>
      </c>
      <c r="BD25" s="16">
        <f t="shared" si="19"/>
        <v>0</v>
      </c>
      <c r="BE25" s="15">
        <f>IF(X25&lt;&gt;0,AVERAGE(X$11:X25)*31,)</f>
        <v>527198.4</v>
      </c>
      <c r="BF25" s="15">
        <f>IF(AD25+AG25&lt;&gt;0,AVERAGE(AD$11:AD25)*31+AVERAGE(AG$11:AG25)*31,)</f>
        <v>46014.333333333328</v>
      </c>
      <c r="BG25" s="16">
        <f>IF(AJ25&lt;&gt;0,AVERAGE(AJ$11:AJ25)*31,)</f>
        <v>5174.9333333333334</v>
      </c>
      <c r="BH25" s="16">
        <f>IF(AN25&lt;&gt;0,AVERAGE(AN$11:AN25)*31,)</f>
        <v>14565.866666666667</v>
      </c>
      <c r="BI25" s="16">
        <f>IF(AR25&lt;&gt;0,AVERAGE(AR$11:AR25)*31,)</f>
        <v>8051.7333333333336</v>
      </c>
    </row>
    <row r="26" spans="1:61" ht="15.75">
      <c r="A26" s="63">
        <f t="shared" si="22"/>
        <v>22</v>
      </c>
      <c r="B26" s="48" t="s">
        <v>69</v>
      </c>
      <c r="C26" s="10"/>
      <c r="D26" s="6">
        <v>328328</v>
      </c>
      <c r="E26" s="8">
        <f t="shared" si="7"/>
        <v>214</v>
      </c>
      <c r="F26" s="6">
        <v>7054.24</v>
      </c>
      <c r="G26" s="8">
        <f t="shared" si="0"/>
        <v>0.23999999999978172</v>
      </c>
      <c r="H26" s="6">
        <v>91771</v>
      </c>
      <c r="I26" s="8">
        <f t="shared" si="1"/>
        <v>279</v>
      </c>
      <c r="J26" s="54">
        <v>606576</v>
      </c>
      <c r="K26" s="8">
        <f t="shared" si="1"/>
        <v>269</v>
      </c>
      <c r="L26" s="7"/>
      <c r="M26" s="11" t="e">
        <f t="shared" si="8"/>
        <v>#DIV/0!</v>
      </c>
      <c r="N26" s="6">
        <v>12721</v>
      </c>
      <c r="O26" s="8">
        <f t="shared" si="2"/>
        <v>59</v>
      </c>
      <c r="P26" s="12">
        <v>96164</v>
      </c>
      <c r="Q26" s="9">
        <f t="shared" si="3"/>
        <v>39</v>
      </c>
      <c r="R26" s="12">
        <v>37</v>
      </c>
      <c r="S26" s="9">
        <f t="shared" si="20"/>
        <v>0</v>
      </c>
      <c r="T26" s="12">
        <v>200005</v>
      </c>
      <c r="U26" s="9">
        <f t="shared" si="4"/>
        <v>58</v>
      </c>
      <c r="V26" s="13"/>
      <c r="W26" s="8"/>
      <c r="X26" s="54">
        <v>16685</v>
      </c>
      <c r="Y26" s="55"/>
      <c r="Z26" s="8"/>
      <c r="AA26" s="54">
        <v>2650</v>
      </c>
      <c r="AB26" s="6"/>
      <c r="AC26" s="9">
        <f t="shared" si="9"/>
        <v>0</v>
      </c>
      <c r="AD26" s="54">
        <v>337</v>
      </c>
      <c r="AE26" s="12"/>
      <c r="AF26" s="9">
        <f t="shared" si="10"/>
        <v>0</v>
      </c>
      <c r="AG26" s="54">
        <v>1038</v>
      </c>
      <c r="AH26" s="6"/>
      <c r="AI26" s="8">
        <f t="shared" si="11"/>
        <v>0</v>
      </c>
      <c r="AJ26" s="54">
        <v>264</v>
      </c>
      <c r="AK26" s="7"/>
      <c r="AL26" s="6"/>
      <c r="AM26" s="8">
        <f t="shared" si="5"/>
        <v>0</v>
      </c>
      <c r="AN26" s="54">
        <v>467</v>
      </c>
      <c r="AO26" s="7"/>
      <c r="AP26" s="6"/>
      <c r="AQ26" s="8">
        <f t="shared" si="12"/>
        <v>0</v>
      </c>
      <c r="AR26" s="54">
        <v>264</v>
      </c>
      <c r="AS26" s="14">
        <v>22</v>
      </c>
      <c r="AT26" s="14">
        <v>33</v>
      </c>
      <c r="AU26" s="7"/>
      <c r="AV26" s="64"/>
      <c r="AW26" s="65">
        <f t="shared" si="13"/>
        <v>0</v>
      </c>
      <c r="AY26" s="73">
        <f t="shared" si="21"/>
        <v>22</v>
      </c>
      <c r="AZ26" s="15">
        <f t="shared" si="15"/>
        <v>4640.136363636364</v>
      </c>
      <c r="BA26" s="15">
        <f t="shared" si="16"/>
        <v>4.5654545454542372</v>
      </c>
      <c r="BB26" s="15">
        <f t="shared" si="17"/>
        <v>6543.818181818182</v>
      </c>
      <c r="BC26" s="15">
        <f t="shared" si="18"/>
        <v>1581</v>
      </c>
      <c r="BD26" s="16">
        <f t="shared" si="19"/>
        <v>0</v>
      </c>
      <c r="BE26" s="15">
        <f>IF(X26&lt;&gt;0,AVERAGE(X$11:X26)*31,)</f>
        <v>526575.6875</v>
      </c>
      <c r="BF26" s="15">
        <f>IF(AD26+AG26&lt;&gt;0,AVERAGE(AD$11:AD26)*31+AVERAGE(AG$11:AG26)*31,)</f>
        <v>45802.5</v>
      </c>
      <c r="BG26" s="16">
        <f>IF(AJ26&lt;&gt;0,AVERAGE(AJ$11:AJ26)*31,)</f>
        <v>5363</v>
      </c>
      <c r="BH26" s="16">
        <f>IF(AN26&lt;&gt;0,AVERAGE(AN$11:AN26)*31,)</f>
        <v>14560.3125</v>
      </c>
      <c r="BI26" s="16">
        <f>IF(AR26&lt;&gt;0,AVERAGE(AR$11:AR26)*31,)</f>
        <v>8060</v>
      </c>
    </row>
    <row r="27" spans="1:61" ht="15.75">
      <c r="A27" s="63">
        <f t="shared" si="22"/>
        <v>23</v>
      </c>
      <c r="B27" s="48" t="s">
        <v>69</v>
      </c>
      <c r="C27" s="10"/>
      <c r="D27" s="6">
        <v>328571</v>
      </c>
      <c r="E27" s="8">
        <f t="shared" si="7"/>
        <v>243</v>
      </c>
      <c r="F27" s="6">
        <v>7054</v>
      </c>
      <c r="G27" s="8">
        <f t="shared" si="0"/>
        <v>-0.23999999999978172</v>
      </c>
      <c r="H27" s="6">
        <v>92024</v>
      </c>
      <c r="I27" s="8">
        <f t="shared" si="1"/>
        <v>253</v>
      </c>
      <c r="J27" s="54">
        <v>606819</v>
      </c>
      <c r="K27" s="8">
        <f t="shared" si="1"/>
        <v>243</v>
      </c>
      <c r="L27" s="7"/>
      <c r="M27" s="11" t="e">
        <f t="shared" si="8"/>
        <v>#DIV/0!</v>
      </c>
      <c r="N27" s="6">
        <v>12796</v>
      </c>
      <c r="O27" s="8">
        <f t="shared" si="2"/>
        <v>75</v>
      </c>
      <c r="P27" s="12">
        <v>96208</v>
      </c>
      <c r="Q27" s="9">
        <f t="shared" si="3"/>
        <v>44</v>
      </c>
      <c r="R27" s="12">
        <v>37</v>
      </c>
      <c r="S27" s="9">
        <f t="shared" si="20"/>
        <v>0</v>
      </c>
      <c r="T27" s="12">
        <v>200071</v>
      </c>
      <c r="U27" s="9">
        <f t="shared" si="4"/>
        <v>66</v>
      </c>
      <c r="V27" s="13"/>
      <c r="W27" s="8"/>
      <c r="X27" s="54">
        <v>16609</v>
      </c>
      <c r="Y27" s="55"/>
      <c r="Z27" s="8"/>
      <c r="AA27" s="54">
        <v>2802</v>
      </c>
      <c r="AB27" s="6"/>
      <c r="AC27" s="9">
        <f t="shared" si="9"/>
        <v>0</v>
      </c>
      <c r="AD27" s="54">
        <v>376</v>
      </c>
      <c r="AE27" s="12"/>
      <c r="AF27" s="9">
        <f t="shared" si="10"/>
        <v>0</v>
      </c>
      <c r="AG27" s="54">
        <v>1138</v>
      </c>
      <c r="AH27" s="6"/>
      <c r="AI27" s="8">
        <f t="shared" si="11"/>
        <v>0</v>
      </c>
      <c r="AJ27" s="54">
        <v>160</v>
      </c>
      <c r="AK27" s="7"/>
      <c r="AL27" s="6"/>
      <c r="AM27" s="8">
        <f t="shared" si="5"/>
        <v>0</v>
      </c>
      <c r="AN27" s="54">
        <v>485</v>
      </c>
      <c r="AO27" s="7"/>
      <c r="AP27" s="6"/>
      <c r="AQ27" s="8">
        <f t="shared" si="12"/>
        <v>0</v>
      </c>
      <c r="AR27" s="54">
        <v>184</v>
      </c>
      <c r="AS27" s="14">
        <v>24</v>
      </c>
      <c r="AT27" s="14">
        <v>33</v>
      </c>
      <c r="AU27" s="7"/>
      <c r="AV27" s="64"/>
      <c r="AW27" s="65">
        <f>IF(ISBLANK(AV29),0,AV29-AV27)</f>
        <v>0</v>
      </c>
      <c r="AY27" s="73">
        <f t="shared" si="21"/>
        <v>23</v>
      </c>
      <c r="AZ27" s="15">
        <f t="shared" si="15"/>
        <v>4765.9130434782601</v>
      </c>
      <c r="BA27" s="15">
        <f t="shared" si="16"/>
        <v>4.0434782608695654</v>
      </c>
      <c r="BB27" s="15">
        <f t="shared" si="17"/>
        <v>6600.304347826087</v>
      </c>
      <c r="BC27" s="15">
        <f t="shared" si="18"/>
        <v>1613.3478260869565</v>
      </c>
      <c r="BD27" s="16">
        <f t="shared" si="19"/>
        <v>0</v>
      </c>
      <c r="BE27" s="15">
        <f>IF(X27&lt;&gt;0,AVERAGE(X$11:X27)*31,)</f>
        <v>525887.64705882361</v>
      </c>
      <c r="BF27" s="15">
        <f>IF(AD27+AG27&lt;&gt;0,AVERAGE(AD$11:AD27)*31+AVERAGE(AG$11:AG27)*31,)</f>
        <v>45869.058823529413</v>
      </c>
      <c r="BG27" s="16">
        <f>IF(AJ27&lt;&gt;0,AVERAGE(AJ$11:AJ27)*31,)</f>
        <v>5339.2941176470595</v>
      </c>
      <c r="BH27" s="16">
        <f>IF(AN27&lt;&gt;0,AVERAGE(AN$11:AN27)*31,)</f>
        <v>14588.235294117647</v>
      </c>
      <c r="BI27" s="16">
        <f>IF(AR27&lt;&gt;0,AVERAGE(AR$11:AR27)*31,)</f>
        <v>7921.411764705882</v>
      </c>
    </row>
    <row r="28" spans="1:61" ht="15.75">
      <c r="A28" s="63">
        <v>24</v>
      </c>
      <c r="B28" s="48">
        <v>34</v>
      </c>
      <c r="C28" s="10"/>
      <c r="D28" s="6">
        <v>328721</v>
      </c>
      <c r="E28" s="8">
        <f t="shared" si="7"/>
        <v>150</v>
      </c>
      <c r="F28" s="6">
        <v>7054</v>
      </c>
      <c r="G28" s="8">
        <f t="shared" si="0"/>
        <v>0</v>
      </c>
      <c r="H28" s="6">
        <v>92281</v>
      </c>
      <c r="I28" s="8">
        <f t="shared" si="1"/>
        <v>257</v>
      </c>
      <c r="J28" s="54">
        <v>607067</v>
      </c>
      <c r="K28" s="8">
        <f t="shared" si="1"/>
        <v>248</v>
      </c>
      <c r="L28" s="7"/>
      <c r="M28" s="11" t="e">
        <v>#DIV/0!</v>
      </c>
      <c r="N28" s="6">
        <v>12871</v>
      </c>
      <c r="O28" s="8">
        <f t="shared" si="2"/>
        <v>75</v>
      </c>
      <c r="P28" s="12">
        <v>96255</v>
      </c>
      <c r="Q28" s="9">
        <f t="shared" si="3"/>
        <v>47</v>
      </c>
      <c r="R28" s="12">
        <v>37</v>
      </c>
      <c r="S28" s="9">
        <f t="shared" si="20"/>
        <v>0</v>
      </c>
      <c r="T28" s="12">
        <v>200141</v>
      </c>
      <c r="U28" s="9">
        <f t="shared" si="4"/>
        <v>70</v>
      </c>
      <c r="V28" s="13"/>
      <c r="W28" s="8"/>
      <c r="X28" s="54">
        <v>16395</v>
      </c>
      <c r="Y28" s="55"/>
      <c r="Z28" s="8"/>
      <c r="AA28" s="54">
        <v>2322</v>
      </c>
      <c r="AB28" s="6"/>
      <c r="AC28" s="9">
        <v>0</v>
      </c>
      <c r="AD28" s="54">
        <v>345</v>
      </c>
      <c r="AE28" s="12"/>
      <c r="AF28" s="9">
        <v>0</v>
      </c>
      <c r="AG28" s="54">
        <v>1155</v>
      </c>
      <c r="AH28" s="6"/>
      <c r="AI28" s="8">
        <v>0</v>
      </c>
      <c r="AJ28" s="54">
        <v>168</v>
      </c>
      <c r="AK28" s="7"/>
      <c r="AL28" s="6"/>
      <c r="AM28" s="8">
        <v>0</v>
      </c>
      <c r="AN28" s="54">
        <v>500</v>
      </c>
      <c r="AO28" s="7"/>
      <c r="AP28" s="6"/>
      <c r="AQ28" s="8">
        <v>0</v>
      </c>
      <c r="AR28" s="54">
        <v>208</v>
      </c>
      <c r="AS28" s="14">
        <v>24</v>
      </c>
      <c r="AT28" s="14">
        <v>33</v>
      </c>
      <c r="AU28" s="7"/>
      <c r="AV28" s="64"/>
      <c r="AW28" s="65">
        <v>0</v>
      </c>
      <c r="AY28" s="73">
        <v>24</v>
      </c>
      <c r="AZ28" s="15">
        <f t="shared" si="15"/>
        <v>4761.0833333333339</v>
      </c>
      <c r="BA28" s="15">
        <f t="shared" si="16"/>
        <v>3.875</v>
      </c>
      <c r="BB28" s="15">
        <f t="shared" si="17"/>
        <v>6657.25</v>
      </c>
      <c r="BC28" s="15">
        <f t="shared" si="18"/>
        <v>1643</v>
      </c>
      <c r="BD28" s="16">
        <v>0</v>
      </c>
      <c r="BE28" s="15">
        <v>0</v>
      </c>
      <c r="BF28" s="15">
        <v>0</v>
      </c>
      <c r="BG28" s="16">
        <v>0</v>
      </c>
      <c r="BH28" s="16">
        <v>0</v>
      </c>
      <c r="BI28" s="16">
        <v>0</v>
      </c>
    </row>
    <row r="29" spans="1:61" ht="15.75">
      <c r="A29" s="63">
        <v>25</v>
      </c>
      <c r="B29" s="48">
        <v>34</v>
      </c>
      <c r="C29" s="10" t="s">
        <v>70</v>
      </c>
      <c r="D29" s="6">
        <v>328945</v>
      </c>
      <c r="E29" s="8">
        <f t="shared" si="7"/>
        <v>224</v>
      </c>
      <c r="F29" s="6">
        <v>7054</v>
      </c>
      <c r="G29" s="8">
        <f t="shared" si="0"/>
        <v>0</v>
      </c>
      <c r="H29" s="6">
        <v>92544</v>
      </c>
      <c r="I29" s="8">
        <f t="shared" si="1"/>
        <v>263</v>
      </c>
      <c r="J29" s="54">
        <v>607319</v>
      </c>
      <c r="K29" s="8">
        <f t="shared" si="1"/>
        <v>252</v>
      </c>
      <c r="L29" s="7"/>
      <c r="M29" s="11" t="e">
        <f t="shared" si="8"/>
        <v>#DIV/0!</v>
      </c>
      <c r="N29" s="6">
        <v>12937</v>
      </c>
      <c r="O29" s="8">
        <f t="shared" si="2"/>
        <v>66</v>
      </c>
      <c r="P29" s="67">
        <v>96289</v>
      </c>
      <c r="Q29" s="9">
        <f>IF(ISBLANK(P29),0,P29-P27)</f>
        <v>81</v>
      </c>
      <c r="R29" s="12">
        <v>37</v>
      </c>
      <c r="S29" s="9">
        <f>IF(ISBLANK(R29),0,R29-R28)</f>
        <v>0</v>
      </c>
      <c r="T29" s="12">
        <v>200199</v>
      </c>
      <c r="U29" s="9">
        <f t="shared" si="4"/>
        <v>58</v>
      </c>
      <c r="V29" s="13"/>
      <c r="W29" s="8"/>
      <c r="X29" s="54">
        <v>16513</v>
      </c>
      <c r="Y29" s="55"/>
      <c r="Z29" s="8"/>
      <c r="AA29" s="54">
        <v>2722</v>
      </c>
      <c r="AB29" s="6"/>
      <c r="AC29" s="9">
        <f>IF(ISBLANK(AB29),0,SUM(AB29-AB27))</f>
        <v>0</v>
      </c>
      <c r="AD29" s="54">
        <v>355</v>
      </c>
      <c r="AE29" s="12"/>
      <c r="AF29" s="9">
        <f>IF(ISBLANK(AE29),0,SUM(AE29-AE27))</f>
        <v>0</v>
      </c>
      <c r="AG29" s="54">
        <v>1130</v>
      </c>
      <c r="AH29" s="6"/>
      <c r="AI29" s="8">
        <f>IF(ISBLANK(AH29),0,SUM(AH29-AH27)*80)</f>
        <v>0</v>
      </c>
      <c r="AJ29" s="54">
        <v>160</v>
      </c>
      <c r="AK29" s="7"/>
      <c r="AL29" s="6"/>
      <c r="AM29" s="8">
        <f>IF(ISBLANK(AL29),0,AL29-AL27)</f>
        <v>0</v>
      </c>
      <c r="AN29" s="54">
        <v>469</v>
      </c>
      <c r="AO29" s="7"/>
      <c r="AP29" s="6"/>
      <c r="AQ29" s="8">
        <f>IF(ISBLANK(AP29),0,SUM(AP29-AP27)*80)</f>
        <v>0</v>
      </c>
      <c r="AR29" s="54">
        <v>232</v>
      </c>
      <c r="AS29" s="14">
        <v>23</v>
      </c>
      <c r="AT29" s="14">
        <v>31</v>
      </c>
      <c r="AU29" s="7"/>
      <c r="AV29" s="64"/>
      <c r="AW29" s="65">
        <f t="shared" si="13"/>
        <v>0</v>
      </c>
      <c r="AY29" s="73">
        <f>1+AY27</f>
        <v>24</v>
      </c>
      <c r="AZ29" s="15">
        <f t="shared" si="15"/>
        <v>4848.4000000000005</v>
      </c>
      <c r="BA29" s="15">
        <f t="shared" si="16"/>
        <v>3.7199999999999998</v>
      </c>
      <c r="BB29" s="15">
        <f t="shared" si="17"/>
        <v>6717.08</v>
      </c>
      <c r="BC29" s="15">
        <f t="shared" si="18"/>
        <v>1659.1200000000001</v>
      </c>
      <c r="BD29" s="16">
        <f t="shared" si="19"/>
        <v>0</v>
      </c>
      <c r="BE29" s="15">
        <f>IF(X29&lt;&gt;0,AVERAGE(X$11:X29)*31,)</f>
        <v>524223.05263157899</v>
      </c>
      <c r="BF29" s="15">
        <f>IF(AD29+AG29&lt;&gt;0,AVERAGE(AD$11:AD29)*31+AVERAGE(AG$11:AG29)*31,)</f>
        <v>45911</v>
      </c>
      <c r="BG29" s="16">
        <f>IF(AJ29&lt;&gt;0,AVERAGE(AJ$11:AJ29)*31,)</f>
        <v>5312.4210526315792</v>
      </c>
      <c r="BH29" s="16">
        <f>IF(AN29&lt;&gt;0,AVERAGE(AN$11:AN29)*31,)</f>
        <v>14633.631578947368</v>
      </c>
      <c r="BI29" s="16">
        <f>IF(AR29&lt;&gt;0,AVERAGE(AR$11:AR29)*31,)</f>
        <v>7805.4736842105258</v>
      </c>
    </row>
    <row r="30" spans="1:61" ht="15.75">
      <c r="A30" s="63">
        <f t="shared" si="22"/>
        <v>26</v>
      </c>
      <c r="B30" s="48" t="s">
        <v>69</v>
      </c>
      <c r="C30" s="10" t="s">
        <v>71</v>
      </c>
      <c r="D30" s="6">
        <v>329206</v>
      </c>
      <c r="E30" s="8">
        <f t="shared" si="7"/>
        <v>261</v>
      </c>
      <c r="F30" s="6">
        <v>7054</v>
      </c>
      <c r="G30" s="8">
        <f t="shared" si="0"/>
        <v>0</v>
      </c>
      <c r="H30" s="6">
        <v>92818</v>
      </c>
      <c r="I30" s="8">
        <f t="shared" si="1"/>
        <v>274</v>
      </c>
      <c r="J30" s="54">
        <v>607583</v>
      </c>
      <c r="K30" s="8">
        <f t="shared" si="1"/>
        <v>264</v>
      </c>
      <c r="L30" s="7"/>
      <c r="M30" s="11" t="e">
        <f t="shared" si="8"/>
        <v>#DIV/0!</v>
      </c>
      <c r="N30" s="6">
        <v>13007</v>
      </c>
      <c r="O30" s="8">
        <f t="shared" si="2"/>
        <v>70</v>
      </c>
      <c r="P30" s="67">
        <v>96328</v>
      </c>
      <c r="Q30" s="9">
        <f t="shared" si="3"/>
        <v>39</v>
      </c>
      <c r="R30" s="12">
        <v>37</v>
      </c>
      <c r="S30" s="9">
        <f t="shared" ref="S30:S35" si="23">IF(ISBLANK(R30),0,R30-R29)</f>
        <v>0</v>
      </c>
      <c r="T30" s="12">
        <v>200261</v>
      </c>
      <c r="U30" s="9">
        <f t="shared" si="4"/>
        <v>62</v>
      </c>
      <c r="V30" s="13"/>
      <c r="W30" s="8"/>
      <c r="X30" s="54">
        <v>16586</v>
      </c>
      <c r="Y30" s="55"/>
      <c r="Z30" s="8"/>
      <c r="AA30" s="54">
        <v>2815</v>
      </c>
      <c r="AB30" s="6"/>
      <c r="AC30" s="9">
        <f t="shared" si="9"/>
        <v>0</v>
      </c>
      <c r="AD30" s="54">
        <v>324</v>
      </c>
      <c r="AE30" s="12"/>
      <c r="AF30" s="9">
        <f t="shared" si="10"/>
        <v>0</v>
      </c>
      <c r="AG30" s="54">
        <v>1121</v>
      </c>
      <c r="AH30" s="6"/>
      <c r="AI30" s="8">
        <f t="shared" si="11"/>
        <v>0</v>
      </c>
      <c r="AJ30" s="54">
        <v>160</v>
      </c>
      <c r="AK30" s="7"/>
      <c r="AL30" s="6"/>
      <c r="AM30" s="8">
        <f t="shared" si="5"/>
        <v>0</v>
      </c>
      <c r="AN30" s="54">
        <v>443</v>
      </c>
      <c r="AO30" s="7"/>
      <c r="AP30" s="6"/>
      <c r="AQ30" s="8">
        <f t="shared" si="12"/>
        <v>0</v>
      </c>
      <c r="AR30" s="54">
        <v>272</v>
      </c>
      <c r="AS30" s="14">
        <v>24</v>
      </c>
      <c r="AT30" s="14">
        <v>33</v>
      </c>
      <c r="AU30" s="7"/>
      <c r="AV30" s="64"/>
      <c r="AW30" s="65">
        <f t="shared" si="13"/>
        <v>0</v>
      </c>
      <c r="AY30" s="73">
        <f t="shared" si="21"/>
        <v>25</v>
      </c>
      <c r="AZ30" s="15">
        <f t="shared" si="15"/>
        <v>4973.1153846153848</v>
      </c>
      <c r="BA30" s="15">
        <f t="shared" si="16"/>
        <v>3.5769230769230771</v>
      </c>
      <c r="BB30" s="15">
        <f t="shared" si="17"/>
        <v>6785.4230769230771</v>
      </c>
      <c r="BC30" s="15">
        <f t="shared" si="18"/>
        <v>1678.7692307692307</v>
      </c>
      <c r="BD30" s="16">
        <f t="shared" si="19"/>
        <v>0</v>
      </c>
      <c r="BE30" s="15">
        <f>IF(X30&lt;&gt;0,AVERAGE(X$11:X30)*31,)</f>
        <v>523720.2</v>
      </c>
      <c r="BF30" s="15">
        <f>IF(AD30+AG30&lt;&gt;0,AVERAGE(AD$11:AD30)*31+AVERAGE(AG$11:AG30)*31,)</f>
        <v>45855.199999999997</v>
      </c>
      <c r="BG30" s="16">
        <f>IF(AJ30&lt;&gt;0,AVERAGE(AJ$11:AJ30)*31,)</f>
        <v>5294.8</v>
      </c>
      <c r="BH30" s="16">
        <f>IF(AN30&lt;&gt;0,AVERAGE(AN$11:AN30)*31,)</f>
        <v>14588.6</v>
      </c>
      <c r="BI30" s="16">
        <f>IF(AR30&lt;&gt;0,AVERAGE(AR$11:AR30)*31,)</f>
        <v>7836.8</v>
      </c>
    </row>
    <row r="31" spans="1:61" ht="15.75">
      <c r="A31" s="63">
        <f t="shared" si="22"/>
        <v>27</v>
      </c>
      <c r="B31" s="48" t="s">
        <v>69</v>
      </c>
      <c r="C31" s="10" t="s">
        <v>72</v>
      </c>
      <c r="D31" s="6">
        <v>329484</v>
      </c>
      <c r="E31" s="8">
        <f t="shared" si="7"/>
        <v>278</v>
      </c>
      <c r="F31" s="6">
        <v>7054</v>
      </c>
      <c r="G31" s="8">
        <f t="shared" si="0"/>
        <v>0</v>
      </c>
      <c r="H31" s="6">
        <v>93115</v>
      </c>
      <c r="I31" s="8">
        <f t="shared" si="1"/>
        <v>297</v>
      </c>
      <c r="J31" s="54">
        <v>607868</v>
      </c>
      <c r="K31" s="8">
        <f t="shared" si="1"/>
        <v>285</v>
      </c>
      <c r="L31" s="7"/>
      <c r="M31" s="11" t="e">
        <f t="shared" si="8"/>
        <v>#DIV/0!</v>
      </c>
      <c r="N31" s="6">
        <v>13081</v>
      </c>
      <c r="O31" s="8">
        <f t="shared" si="2"/>
        <v>74</v>
      </c>
      <c r="P31" s="67">
        <v>96373</v>
      </c>
      <c r="Q31" s="9">
        <f t="shared" si="3"/>
        <v>45</v>
      </c>
      <c r="R31" s="12">
        <v>37</v>
      </c>
      <c r="S31" s="9">
        <f t="shared" si="23"/>
        <v>0</v>
      </c>
      <c r="T31" s="12">
        <v>200342</v>
      </c>
      <c r="U31" s="9">
        <f t="shared" si="4"/>
        <v>81</v>
      </c>
      <c r="V31" s="13"/>
      <c r="W31" s="8"/>
      <c r="X31" s="54">
        <v>16516</v>
      </c>
      <c r="Y31" s="55"/>
      <c r="Z31" s="8"/>
      <c r="AA31" s="54">
        <v>2740</v>
      </c>
      <c r="AB31" s="6"/>
      <c r="AC31" s="9">
        <f t="shared" si="9"/>
        <v>0</v>
      </c>
      <c r="AD31" s="54">
        <v>339</v>
      </c>
      <c r="AE31" s="12"/>
      <c r="AF31" s="9">
        <f t="shared" si="10"/>
        <v>0</v>
      </c>
      <c r="AG31" s="54">
        <v>1152</v>
      </c>
      <c r="AH31" s="6"/>
      <c r="AI31" s="8">
        <f t="shared" si="11"/>
        <v>0</v>
      </c>
      <c r="AJ31" s="54">
        <v>192</v>
      </c>
      <c r="AK31" s="7"/>
      <c r="AL31" s="6"/>
      <c r="AM31" s="8">
        <f t="shared" si="5"/>
        <v>0</v>
      </c>
      <c r="AN31" s="54">
        <v>488</v>
      </c>
      <c r="AO31" s="7"/>
      <c r="AP31" s="6"/>
      <c r="AQ31" s="8">
        <f t="shared" si="12"/>
        <v>0</v>
      </c>
      <c r="AR31" s="54">
        <v>288</v>
      </c>
      <c r="AS31" s="14">
        <v>20</v>
      </c>
      <c r="AT31" s="14">
        <v>31</v>
      </c>
      <c r="AU31" s="7"/>
      <c r="AV31" s="64"/>
      <c r="AW31" s="65">
        <f t="shared" si="13"/>
        <v>0</v>
      </c>
      <c r="AY31" s="73">
        <f t="shared" si="21"/>
        <v>26</v>
      </c>
      <c r="AZ31" s="15">
        <f t="shared" si="15"/>
        <v>5108.1111111111113</v>
      </c>
      <c r="BA31" s="15">
        <f t="shared" si="16"/>
        <v>3.4444444444444442</v>
      </c>
      <c r="BB31" s="15">
        <f t="shared" si="17"/>
        <v>6875.1111111111113</v>
      </c>
      <c r="BC31" s="15">
        <f t="shared" si="18"/>
        <v>1701.5555555555554</v>
      </c>
      <c r="BD31" s="16">
        <f t="shared" si="19"/>
        <v>0</v>
      </c>
      <c r="BE31" s="15">
        <f>IF(X31&lt;&gt;0,AVERAGE(X$11:X31)*31,)</f>
        <v>523161.90476190479</v>
      </c>
      <c r="BF31" s="15">
        <f>IF(AD31+AG31&lt;&gt;0,AVERAGE(AD$11:AD31)*31+AVERAGE(AG$11:AG31)*31,)</f>
        <v>45872.619047619053</v>
      </c>
      <c r="BG31" s="16">
        <f>IF(AJ31&lt;&gt;0,AVERAGE(AJ$11:AJ31)*31,)</f>
        <v>5326.0952380952376</v>
      </c>
      <c r="BH31" s="16">
        <f>IF(AN31&lt;&gt;0,AVERAGE(AN$11:AN31)*31,)</f>
        <v>14614.285714285716</v>
      </c>
      <c r="BI31" s="16">
        <f>IF(AR31&lt;&gt;0,AVERAGE(AR$11:AR31)*31,)</f>
        <v>7888.7619047619046</v>
      </c>
    </row>
    <row r="32" spans="1:61" ht="15.75">
      <c r="A32" s="63">
        <f t="shared" si="22"/>
        <v>28</v>
      </c>
      <c r="B32" s="48" t="s">
        <v>69</v>
      </c>
      <c r="C32" s="10" t="s">
        <v>73</v>
      </c>
      <c r="D32" s="6">
        <v>329751</v>
      </c>
      <c r="E32" s="8">
        <f t="shared" si="7"/>
        <v>267</v>
      </c>
      <c r="F32" s="6">
        <v>7054</v>
      </c>
      <c r="G32" s="8">
        <f t="shared" si="0"/>
        <v>0</v>
      </c>
      <c r="H32" s="6">
        <v>93385</v>
      </c>
      <c r="I32" s="8">
        <f t="shared" si="1"/>
        <v>270</v>
      </c>
      <c r="J32" s="54">
        <v>608128</v>
      </c>
      <c r="K32" s="8">
        <f t="shared" si="1"/>
        <v>260</v>
      </c>
      <c r="L32" s="7"/>
      <c r="M32" s="11" t="e">
        <f t="shared" si="8"/>
        <v>#DIV/0!</v>
      </c>
      <c r="N32" s="6">
        <v>13143</v>
      </c>
      <c r="O32" s="8">
        <f t="shared" si="2"/>
        <v>62</v>
      </c>
      <c r="P32" s="67">
        <v>96416</v>
      </c>
      <c r="Q32" s="9">
        <f t="shared" si="3"/>
        <v>43</v>
      </c>
      <c r="R32" s="12">
        <v>37</v>
      </c>
      <c r="S32" s="9">
        <f t="shared" si="23"/>
        <v>0</v>
      </c>
      <c r="T32" s="12">
        <v>200415</v>
      </c>
      <c r="U32" s="9">
        <f t="shared" si="4"/>
        <v>73</v>
      </c>
      <c r="V32" s="13"/>
      <c r="W32" s="8"/>
      <c r="X32" s="54">
        <v>16279</v>
      </c>
      <c r="Y32" s="55"/>
      <c r="Z32" s="8"/>
      <c r="AA32" s="54">
        <v>3146</v>
      </c>
      <c r="AB32" s="6"/>
      <c r="AC32" s="9">
        <f t="shared" si="9"/>
        <v>0</v>
      </c>
      <c r="AD32" s="54">
        <v>336</v>
      </c>
      <c r="AE32" s="12"/>
      <c r="AF32" s="9">
        <f t="shared" si="10"/>
        <v>0</v>
      </c>
      <c r="AG32" s="54">
        <v>1105</v>
      </c>
      <c r="AH32" s="6"/>
      <c r="AI32" s="8">
        <f t="shared" si="11"/>
        <v>0</v>
      </c>
      <c r="AJ32" s="54">
        <v>168</v>
      </c>
      <c r="AK32" s="7"/>
      <c r="AL32" s="6"/>
      <c r="AM32" s="8">
        <f t="shared" si="5"/>
        <v>0</v>
      </c>
      <c r="AN32" s="54">
        <v>500</v>
      </c>
      <c r="AO32" s="7"/>
      <c r="AP32" s="6"/>
      <c r="AQ32" s="8">
        <f t="shared" si="12"/>
        <v>0</v>
      </c>
      <c r="AR32" s="54">
        <v>264</v>
      </c>
      <c r="AS32" s="14">
        <v>20</v>
      </c>
      <c r="AT32" s="14">
        <v>31</v>
      </c>
      <c r="AU32" s="68"/>
      <c r="AV32" s="64"/>
      <c r="AW32" s="65">
        <f t="shared" si="13"/>
        <v>0</v>
      </c>
      <c r="AY32" s="73">
        <f t="shared" si="21"/>
        <v>27</v>
      </c>
      <c r="AZ32" s="15">
        <f t="shared" si="15"/>
        <v>5221.2857142857138</v>
      </c>
      <c r="BA32" s="15">
        <f t="shared" si="16"/>
        <v>3.3214285714285712</v>
      </c>
      <c r="BB32" s="15">
        <f t="shared" si="17"/>
        <v>6928.5</v>
      </c>
      <c r="BC32" s="15">
        <f t="shared" si="18"/>
        <v>1709.4285714285716</v>
      </c>
      <c r="BD32" s="16">
        <f t="shared" si="19"/>
        <v>0</v>
      </c>
      <c r="BE32" s="15">
        <f>IF(X32&lt;&gt;0,AVERAGE(X$11:X32)*31,)</f>
        <v>522320.40909090912</v>
      </c>
      <c r="BF32" s="15">
        <f>IF(AD32+AG32&lt;&gt;0,AVERAGE(AD$11:AD32)*31+AVERAGE(AG$11:AG32)*31,)</f>
        <v>45818</v>
      </c>
      <c r="BG32" s="16">
        <f>IF(AJ32&lt;&gt;0,AVERAGE(AJ$11:AJ32)*31,)</f>
        <v>5320.7272727272721</v>
      </c>
      <c r="BH32" s="16">
        <f>IF(AN32&lt;&gt;0,AVERAGE(AN$11:AN32)*31,)</f>
        <v>14654.545454545456</v>
      </c>
      <c r="BI32" s="16">
        <f>IF(AR32&lt;&gt;0,AVERAGE(AR$11:AR32)*31,)</f>
        <v>7902.181818181818</v>
      </c>
    </row>
    <row r="33" spans="1:61" ht="15.75">
      <c r="A33" s="63">
        <v>29</v>
      </c>
      <c r="B33" s="48" t="s">
        <v>69</v>
      </c>
      <c r="C33" s="8"/>
      <c r="D33" s="6">
        <v>330028</v>
      </c>
      <c r="E33" s="8">
        <f t="shared" si="7"/>
        <v>277</v>
      </c>
      <c r="F33" s="6">
        <v>7054</v>
      </c>
      <c r="G33" s="8">
        <f t="shared" si="0"/>
        <v>0</v>
      </c>
      <c r="H33" s="6">
        <v>93671</v>
      </c>
      <c r="I33" s="8">
        <f t="shared" si="1"/>
        <v>286</v>
      </c>
      <c r="J33" s="54">
        <v>608403</v>
      </c>
      <c r="K33" s="8">
        <f t="shared" si="1"/>
        <v>275</v>
      </c>
      <c r="L33" s="7"/>
      <c r="M33" s="11" t="e">
        <f t="shared" si="8"/>
        <v>#DIV/0!</v>
      </c>
      <c r="N33" s="6">
        <v>13217</v>
      </c>
      <c r="O33" s="8">
        <f t="shared" si="2"/>
        <v>74</v>
      </c>
      <c r="P33" s="67">
        <v>96462</v>
      </c>
      <c r="Q33" s="9">
        <f t="shared" si="3"/>
        <v>46</v>
      </c>
      <c r="R33" s="12">
        <v>37</v>
      </c>
      <c r="S33" s="9">
        <f t="shared" si="23"/>
        <v>0</v>
      </c>
      <c r="T33" s="12">
        <v>200487</v>
      </c>
      <c r="U33" s="9">
        <f t="shared" si="4"/>
        <v>72</v>
      </c>
      <c r="V33" s="13"/>
      <c r="W33" s="8"/>
      <c r="X33" s="54">
        <v>17255</v>
      </c>
      <c r="Y33" s="55"/>
      <c r="Z33" s="8"/>
      <c r="AA33" s="54">
        <v>3064</v>
      </c>
      <c r="AB33" s="6"/>
      <c r="AC33" s="9">
        <f t="shared" si="9"/>
        <v>0</v>
      </c>
      <c r="AD33" s="54">
        <v>339</v>
      </c>
      <c r="AE33" s="12"/>
      <c r="AF33" s="9">
        <f t="shared" si="10"/>
        <v>0</v>
      </c>
      <c r="AG33" s="54">
        <v>1083</v>
      </c>
      <c r="AH33" s="6"/>
      <c r="AI33" s="8">
        <f t="shared" si="11"/>
        <v>0</v>
      </c>
      <c r="AJ33" s="54">
        <v>144</v>
      </c>
      <c r="AK33" s="7"/>
      <c r="AL33" s="6"/>
      <c r="AM33" s="8">
        <f t="shared" si="5"/>
        <v>0</v>
      </c>
      <c r="AN33" s="54">
        <v>466</v>
      </c>
      <c r="AO33" s="7"/>
      <c r="AP33" s="6"/>
      <c r="AQ33" s="8">
        <f t="shared" si="12"/>
        <v>0</v>
      </c>
      <c r="AR33" s="54">
        <v>208</v>
      </c>
      <c r="AS33" s="14">
        <v>20</v>
      </c>
      <c r="AT33" s="14">
        <v>31</v>
      </c>
      <c r="AU33" s="7"/>
      <c r="AV33" s="64"/>
      <c r="AW33" s="65">
        <f t="shared" si="13"/>
        <v>0</v>
      </c>
      <c r="AY33" s="73">
        <v>28</v>
      </c>
      <c r="AZ33" s="15">
        <f t="shared" si="15"/>
        <v>5337.3448275862074</v>
      </c>
      <c r="BA33" s="15">
        <f t="shared" si="16"/>
        <v>3.2068965517241379</v>
      </c>
      <c r="BB33" s="15">
        <f t="shared" si="17"/>
        <v>6995.3103448275861</v>
      </c>
      <c r="BC33" s="15">
        <f t="shared" si="18"/>
        <v>1729.5862068965519</v>
      </c>
      <c r="BD33" s="16">
        <f t="shared" si="19"/>
        <v>0</v>
      </c>
      <c r="BE33" s="15">
        <f>IF(X33&lt;&gt;0,AVERAGE(X$11:X33)*31,)</f>
        <v>522867.5652173913</v>
      </c>
      <c r="BF33" s="15">
        <f>IF(AD33+AG33&lt;&gt;0,AVERAGE(AD$11:AD33)*31+AVERAGE(AG$11:AG33)*31,)</f>
        <v>45742.52173913044</v>
      </c>
      <c r="BG33" s="16">
        <f>IF(AJ33&lt;&gt;0,AVERAGE(AJ$11:AJ33)*31,)</f>
        <v>5283.478260869565</v>
      </c>
      <c r="BH33" s="16">
        <f>IF(AN33&lt;&gt;0,AVERAGE(AN$11:AN33)*31,)</f>
        <v>14645.478260869564</v>
      </c>
      <c r="BI33" s="16">
        <f>IF(AR33&lt;&gt;0,AVERAGE(AR$11:AR33)*31,)</f>
        <v>7838.9565217391309</v>
      </c>
    </row>
    <row r="34" spans="1:61" ht="15.75">
      <c r="A34" s="63">
        <v>30</v>
      </c>
      <c r="B34" s="48" t="s">
        <v>69</v>
      </c>
      <c r="C34" s="10"/>
      <c r="D34" s="6">
        <v>330267</v>
      </c>
      <c r="E34" s="8">
        <f t="shared" si="7"/>
        <v>239</v>
      </c>
      <c r="F34" s="6">
        <v>7054</v>
      </c>
      <c r="G34" s="8">
        <f t="shared" si="0"/>
        <v>0</v>
      </c>
      <c r="H34" s="6">
        <v>93951</v>
      </c>
      <c r="I34" s="8">
        <f t="shared" si="1"/>
        <v>280</v>
      </c>
      <c r="J34" s="54">
        <v>608681</v>
      </c>
      <c r="K34" s="8">
        <f t="shared" si="1"/>
        <v>278</v>
      </c>
      <c r="L34" s="7"/>
      <c r="M34" s="11" t="e">
        <f t="shared" si="8"/>
        <v>#DIV/0!</v>
      </c>
      <c r="N34" s="6">
        <v>13284</v>
      </c>
      <c r="O34" s="8">
        <f t="shared" si="2"/>
        <v>67</v>
      </c>
      <c r="P34" s="67">
        <v>96501</v>
      </c>
      <c r="Q34" s="9">
        <f t="shared" si="3"/>
        <v>39</v>
      </c>
      <c r="R34" s="12">
        <v>37</v>
      </c>
      <c r="S34" s="9">
        <f t="shared" si="23"/>
        <v>0</v>
      </c>
      <c r="T34" s="12">
        <v>200558</v>
      </c>
      <c r="U34" s="9">
        <f t="shared" si="4"/>
        <v>71</v>
      </c>
      <c r="V34" s="13"/>
      <c r="W34" s="8"/>
      <c r="X34" s="54">
        <v>17422</v>
      </c>
      <c r="Y34" s="55"/>
      <c r="Z34" s="8"/>
      <c r="AA34" s="54">
        <v>3019</v>
      </c>
      <c r="AB34" s="6"/>
      <c r="AC34" s="9">
        <f t="shared" si="9"/>
        <v>0</v>
      </c>
      <c r="AD34" s="54">
        <v>350</v>
      </c>
      <c r="AE34" s="86"/>
      <c r="AF34" s="9">
        <f t="shared" si="10"/>
        <v>0</v>
      </c>
      <c r="AG34" s="54">
        <v>1079</v>
      </c>
      <c r="AH34" s="6"/>
      <c r="AI34" s="8">
        <f t="shared" si="11"/>
        <v>0</v>
      </c>
      <c r="AJ34" s="54">
        <v>160</v>
      </c>
      <c r="AK34" s="7"/>
      <c r="AL34" s="87"/>
      <c r="AM34" s="8">
        <f t="shared" si="5"/>
        <v>0</v>
      </c>
      <c r="AN34" s="54">
        <v>493</v>
      </c>
      <c r="AO34" s="7"/>
      <c r="AP34" s="6"/>
      <c r="AQ34" s="8">
        <f t="shared" si="12"/>
        <v>0</v>
      </c>
      <c r="AR34" s="54">
        <v>248</v>
      </c>
      <c r="AS34" s="14">
        <v>20</v>
      </c>
      <c r="AT34" s="14">
        <v>30</v>
      </c>
      <c r="AU34" s="69"/>
      <c r="AV34" s="64"/>
      <c r="AW34" s="65">
        <f t="shared" si="13"/>
        <v>0</v>
      </c>
      <c r="AY34" s="73">
        <f t="shared" si="21"/>
        <v>29</v>
      </c>
      <c r="AZ34" s="15">
        <f t="shared" si="15"/>
        <v>5406.4000000000005</v>
      </c>
      <c r="BA34" s="15">
        <f t="shared" si="16"/>
        <v>3.1</v>
      </c>
      <c r="BB34" s="15">
        <f t="shared" si="17"/>
        <v>7051.4666666666672</v>
      </c>
      <c r="BC34" s="15">
        <f t="shared" si="18"/>
        <v>1741.1666666666665</v>
      </c>
      <c r="BD34" s="16">
        <f t="shared" si="19"/>
        <v>0</v>
      </c>
      <c r="BE34" s="15">
        <f>IF(X34&lt;&gt;0,AVERAGE(X$11:X34)*31,)</f>
        <v>523584.83333333331</v>
      </c>
      <c r="BF34" s="15">
        <f>IF(AD34+AG34&lt;&gt;0,AVERAGE(AD$11:AD34)*31+AVERAGE(AG$11:AG34)*31,)</f>
        <v>45682.375</v>
      </c>
      <c r="BG34" s="16">
        <f>IF(AJ34&lt;&gt;0,AVERAGE(AJ$11:AJ34)*31,)</f>
        <v>5270</v>
      </c>
      <c r="BH34" s="16">
        <f>IF(AN34&lt;&gt;0,AVERAGE(AN$11:AN34)*31,)</f>
        <v>14672.041666666668</v>
      </c>
      <c r="BI34" s="16">
        <f>IF(AR34&lt;&gt;0,AVERAGE(AR$11:AR34)*31,)</f>
        <v>7832.6666666666661</v>
      </c>
    </row>
    <row r="35" spans="1:61" ht="16.5" customHeight="1" thickBot="1">
      <c r="A35" s="63">
        <v>31</v>
      </c>
      <c r="B35" s="48" t="s">
        <v>69</v>
      </c>
      <c r="C35" s="10"/>
      <c r="D35" s="6">
        <v>330565</v>
      </c>
      <c r="E35" s="8">
        <f t="shared" si="7"/>
        <v>298</v>
      </c>
      <c r="F35" s="6">
        <v>7056</v>
      </c>
      <c r="G35" s="8">
        <f t="shared" si="0"/>
        <v>2</v>
      </c>
      <c r="H35" s="6">
        <v>94191</v>
      </c>
      <c r="I35" s="8">
        <f t="shared" si="1"/>
        <v>240</v>
      </c>
      <c r="J35" s="54">
        <v>608903</v>
      </c>
      <c r="K35" s="8">
        <f t="shared" si="1"/>
        <v>222</v>
      </c>
      <c r="L35" s="7"/>
      <c r="M35" s="11" t="e">
        <f t="shared" si="8"/>
        <v>#DIV/0!</v>
      </c>
      <c r="N35" s="6">
        <v>13342</v>
      </c>
      <c r="O35" s="8">
        <f t="shared" si="2"/>
        <v>58</v>
      </c>
      <c r="P35" s="56">
        <v>96549</v>
      </c>
      <c r="Q35" s="9">
        <f t="shared" si="3"/>
        <v>48</v>
      </c>
      <c r="R35" s="12">
        <v>37</v>
      </c>
      <c r="S35" s="9">
        <f t="shared" si="23"/>
        <v>0</v>
      </c>
      <c r="T35" s="12">
        <v>200620</v>
      </c>
      <c r="U35" s="9">
        <f t="shared" si="4"/>
        <v>62</v>
      </c>
      <c r="V35" s="13">
        <v>5243.8</v>
      </c>
      <c r="W35" s="8"/>
      <c r="X35" s="54">
        <v>15399</v>
      </c>
      <c r="Y35" s="55">
        <v>1001.05</v>
      </c>
      <c r="Z35" s="8"/>
      <c r="AA35" s="54">
        <v>2200</v>
      </c>
      <c r="AB35" s="6">
        <v>1757227</v>
      </c>
      <c r="AC35" s="9">
        <f t="shared" si="9"/>
        <v>1757227</v>
      </c>
      <c r="AD35" s="54">
        <v>340</v>
      </c>
      <c r="AE35" s="12">
        <v>5187529</v>
      </c>
      <c r="AF35" s="9">
        <f t="shared" si="10"/>
        <v>5187529</v>
      </c>
      <c r="AG35" s="54">
        <v>1035</v>
      </c>
      <c r="AH35" s="6">
        <v>34098</v>
      </c>
      <c r="AI35" s="8">
        <f t="shared" si="11"/>
        <v>2727840</v>
      </c>
      <c r="AJ35" s="54">
        <v>128</v>
      </c>
      <c r="AK35" s="7"/>
      <c r="AL35" s="6">
        <v>217127</v>
      </c>
      <c r="AM35" s="8">
        <f t="shared" si="5"/>
        <v>217127</v>
      </c>
      <c r="AN35" s="54">
        <v>449</v>
      </c>
      <c r="AO35" s="7"/>
      <c r="AP35" s="6">
        <v>46810</v>
      </c>
      <c r="AQ35" s="8">
        <f t="shared" si="12"/>
        <v>3744800</v>
      </c>
      <c r="AR35" s="54">
        <v>224</v>
      </c>
      <c r="AS35" s="14">
        <v>19</v>
      </c>
      <c r="AT35" s="14">
        <v>29</v>
      </c>
      <c r="AU35" s="7"/>
      <c r="AV35" s="64"/>
      <c r="AW35" s="65">
        <f t="shared" si="13"/>
        <v>0</v>
      </c>
      <c r="AX35" s="88">
        <v>1</v>
      </c>
      <c r="AY35" s="73">
        <f t="shared" si="21"/>
        <v>30</v>
      </c>
      <c r="AZ35" s="15">
        <f t="shared" si="15"/>
        <v>5530</v>
      </c>
      <c r="BA35" s="15">
        <f t="shared" si="16"/>
        <v>5</v>
      </c>
      <c r="BB35" s="15">
        <f t="shared" si="17"/>
        <v>7064</v>
      </c>
      <c r="BC35" s="15">
        <f t="shared" si="18"/>
        <v>1743</v>
      </c>
      <c r="BD35" s="16">
        <f t="shared" si="19"/>
        <v>11536360</v>
      </c>
      <c r="BE35" s="15">
        <f>IF(X35&lt;&gt;0,AVERAGE(X$11:X35)*31,)</f>
        <v>521736.2</v>
      </c>
      <c r="BF35" s="15">
        <f>IF(AD35+AG35&lt;&gt;0,AVERAGE(AD$11:AD35)*31+AVERAGE(AG$11:AG35)*31,)</f>
        <v>45560.08</v>
      </c>
      <c r="BG35" s="16">
        <f>IF(AJ35&lt;&gt;0,AVERAGE(AJ$11:AJ35)*31,)</f>
        <v>5217.92</v>
      </c>
      <c r="BH35" s="16">
        <f>IF(AN35&lt;&gt;0,AVERAGE(AN$11:AN35)*31,)</f>
        <v>14641.92</v>
      </c>
      <c r="BI35" s="16">
        <f>IF(AR35&lt;&gt;0,AVERAGE(AR$11:AR35)*31,)</f>
        <v>7797.12</v>
      </c>
    </row>
    <row r="36" spans="1:61" ht="16.5" customHeight="1" thickTop="1" thickBot="1">
      <c r="A36" s="49" t="s">
        <v>74</v>
      </c>
      <c r="C36" s="17"/>
      <c r="D36" s="18">
        <f>D35-D4</f>
        <v>6799</v>
      </c>
      <c r="F36" s="18">
        <f>F35-F4</f>
        <v>6</v>
      </c>
      <c r="G36" s="2"/>
      <c r="H36" s="18">
        <f>H35-H4</f>
        <v>9234</v>
      </c>
      <c r="I36" s="2"/>
      <c r="J36" s="2"/>
      <c r="K36" s="2"/>
      <c r="L36" s="2"/>
      <c r="M36" s="2"/>
      <c r="N36" s="18">
        <f>N35-N4</f>
        <v>2264</v>
      </c>
      <c r="O36" s="2"/>
      <c r="P36" s="18">
        <f>P35-P5</f>
        <v>1850</v>
      </c>
      <c r="Q36" s="2"/>
      <c r="R36" s="18">
        <f>R35-R5</f>
        <v>1</v>
      </c>
      <c r="S36" s="2"/>
      <c r="T36" s="18">
        <f>T35-T5</f>
        <v>2637</v>
      </c>
      <c r="U36" s="2"/>
      <c r="V36" s="18">
        <f>SUM(+V35-V4)*2200</f>
        <v>539792.00000000128</v>
      </c>
      <c r="W36" s="2"/>
      <c r="X36" s="18">
        <f>SUM(X4:X35)</f>
        <v>529057</v>
      </c>
      <c r="Y36" s="18">
        <f>Y35-Y4</f>
        <v>44.669999999999959</v>
      </c>
      <c r="Z36" s="2"/>
      <c r="AA36" s="70">
        <f>SUM(AA4:AA35)</f>
        <v>88887</v>
      </c>
      <c r="AB36" s="19">
        <f>SUM(+AB35-AB4)</f>
        <v>10691</v>
      </c>
      <c r="AC36" s="2"/>
      <c r="AD36" s="70">
        <f>SUM(AD4:AD35)</f>
        <v>10688</v>
      </c>
      <c r="AE36" s="19">
        <f>SUM(+AE35-AE4)</f>
        <v>35110</v>
      </c>
      <c r="AF36" s="2"/>
      <c r="AG36" s="70">
        <f>SUM(AG4:AG35)</f>
        <v>35106</v>
      </c>
      <c r="AH36" s="18">
        <f>SUM(+AH35-AH4)*80</f>
        <v>2400</v>
      </c>
      <c r="AI36" s="2"/>
      <c r="AJ36" s="70">
        <f>SUM(AJ4:AJ35)</f>
        <v>5184</v>
      </c>
      <c r="AK36" s="2"/>
      <c r="AL36" s="18">
        <f>SUM(+AL35-AL4)</f>
        <v>14584</v>
      </c>
      <c r="AM36" s="2"/>
      <c r="AN36" s="70">
        <f>SUM(AN4:AN35)</f>
        <v>14584</v>
      </c>
      <c r="AO36" s="2"/>
      <c r="AP36" s="18">
        <f>SUM(+AP35-AP4)*80</f>
        <v>7920</v>
      </c>
      <c r="AQ36" s="2"/>
      <c r="AR36" s="70">
        <f>SUM(AR4:AR35)</f>
        <v>7952</v>
      </c>
      <c r="AS36" s="71">
        <f>AVERAGE(AS5:AS35)</f>
        <v>21.612903225806452</v>
      </c>
      <c r="AT36" s="50">
        <f>AVERAGE(AT5:AT35)</f>
        <v>31.967741935483872</v>
      </c>
      <c r="AU36" s="20"/>
      <c r="AY36" s="21">
        <v>31</v>
      </c>
      <c r="AZ36" s="22"/>
      <c r="BA36" s="22"/>
      <c r="BB36" s="22"/>
      <c r="BC36" s="22"/>
      <c r="BD36" s="23"/>
      <c r="BE36" s="38"/>
      <c r="BF36" s="38"/>
      <c r="BG36" s="37"/>
      <c r="BH36" s="37"/>
      <c r="BI36" s="37"/>
    </row>
    <row r="37" spans="1:61" ht="16.5" customHeight="1" thickTop="1" thickBot="1">
      <c r="A37" s="49" t="s">
        <v>75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07">
        <f>AD36+AG36</f>
        <v>45794</v>
      </c>
      <c r="AC37" s="108"/>
      <c r="AD37" s="108"/>
      <c r="AE37" s="109"/>
      <c r="AF37" s="2"/>
      <c r="AG37" s="2"/>
      <c r="AH37" s="2"/>
      <c r="AI37" s="72"/>
      <c r="AJ37" s="24">
        <f>AB37+AJ36</f>
        <v>50978</v>
      </c>
      <c r="AK37" s="2"/>
      <c r="AL37" s="2"/>
      <c r="AM37" s="2"/>
      <c r="AN37" s="2"/>
      <c r="AO37" s="2"/>
      <c r="AP37" s="2"/>
      <c r="AQ37" s="2"/>
      <c r="AR37" s="2"/>
      <c r="AS37" s="25" t="s">
        <v>76</v>
      </c>
      <c r="AT37" s="2"/>
      <c r="AU37" s="2"/>
    </row>
    <row r="38" spans="1:61" ht="15.75">
      <c r="A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6"/>
      <c r="AT38" s="27"/>
      <c r="AU38" s="2"/>
    </row>
    <row r="39" spans="1:61">
      <c r="A39" s="47" t="s">
        <v>77</v>
      </c>
      <c r="D39" s="1">
        <v>7000</v>
      </c>
      <c r="F39" s="1">
        <v>50</v>
      </c>
      <c r="H39" s="1">
        <v>5200</v>
      </c>
      <c r="N39" s="1">
        <v>6500</v>
      </c>
      <c r="V39" s="1">
        <v>550000</v>
      </c>
    </row>
    <row r="40" spans="1:61">
      <c r="A40" s="47" t="s">
        <v>78</v>
      </c>
      <c r="D40" s="1">
        <v>6838</v>
      </c>
      <c r="F40" s="1">
        <v>107</v>
      </c>
      <c r="H40" s="1">
        <v>5501</v>
      </c>
      <c r="N40" s="1">
        <v>1281</v>
      </c>
      <c r="V40" s="1">
        <v>557339</v>
      </c>
    </row>
    <row r="41" spans="1:61">
      <c r="A41" s="47" t="s">
        <v>79</v>
      </c>
      <c r="D41" s="1">
        <v>10312</v>
      </c>
      <c r="F41" s="1">
        <v>91</v>
      </c>
      <c r="H41" s="1">
        <v>6541</v>
      </c>
      <c r="N41" s="1">
        <v>974</v>
      </c>
      <c r="V41" s="1">
        <v>517912</v>
      </c>
    </row>
    <row r="42" spans="1:61">
      <c r="A42" s="47" t="s">
        <v>80</v>
      </c>
      <c r="D42" s="1">
        <v>4814</v>
      </c>
      <c r="F42" s="1">
        <v>63</v>
      </c>
      <c r="H42" s="1">
        <v>5713</v>
      </c>
      <c r="N42" s="1">
        <v>933</v>
      </c>
      <c r="V42" s="1">
        <v>567068</v>
      </c>
    </row>
    <row r="43" spans="1:61">
      <c r="A43" s="47" t="s">
        <v>81</v>
      </c>
      <c r="D43" s="1">
        <v>6223</v>
      </c>
      <c r="F43" s="1">
        <v>32</v>
      </c>
      <c r="H43" s="1">
        <v>6603</v>
      </c>
      <c r="N43" s="1">
        <v>410</v>
      </c>
      <c r="V43" s="1">
        <v>558100</v>
      </c>
    </row>
    <row r="44" spans="1:61">
      <c r="A44" s="47" t="s">
        <v>82</v>
      </c>
      <c r="D44" s="1">
        <v>8846</v>
      </c>
      <c r="F44" s="1">
        <v>42</v>
      </c>
      <c r="H44" s="1">
        <v>12525</v>
      </c>
      <c r="N44" s="1">
        <v>556</v>
      </c>
      <c r="V44" s="1">
        <v>516115</v>
      </c>
    </row>
  </sheetData>
  <mergeCells count="31">
    <mergeCell ref="BI1:BI3"/>
    <mergeCell ref="AU3:AV3"/>
    <mergeCell ref="AP1:AR2"/>
    <mergeCell ref="AS1:AT2"/>
    <mergeCell ref="AZ1:AZ3"/>
    <mergeCell ref="BH1:BH3"/>
    <mergeCell ref="BG1:BG3"/>
    <mergeCell ref="AB37:AE37"/>
    <mergeCell ref="Y1:AA2"/>
    <mergeCell ref="AB1:AD2"/>
    <mergeCell ref="AE1:AG2"/>
    <mergeCell ref="BD1:BD3"/>
    <mergeCell ref="AL1:AO2"/>
    <mergeCell ref="AW1:AW2"/>
    <mergeCell ref="BC1:BC3"/>
    <mergeCell ref="T1:U2"/>
    <mergeCell ref="BB1:BB3"/>
    <mergeCell ref="AH1:AK2"/>
    <mergeCell ref="V1:X2"/>
    <mergeCell ref="BF1:BF3"/>
    <mergeCell ref="BE1:BE3"/>
    <mergeCell ref="AU1:AU2"/>
    <mergeCell ref="AV1:AV2"/>
    <mergeCell ref="BA1:BA3"/>
    <mergeCell ref="R1:S2"/>
    <mergeCell ref="P1:Q2"/>
    <mergeCell ref="A1:C2"/>
    <mergeCell ref="D1:E2"/>
    <mergeCell ref="F1:G2"/>
    <mergeCell ref="H1:M2"/>
    <mergeCell ref="N1: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98F3F4D-EA8C-46CF-8BB8-EBB7A20C3117}"/>
</file>

<file path=customXml/itemProps2.xml><?xml version="1.0" encoding="utf-8"?>
<ds:datastoreItem xmlns:ds="http://schemas.openxmlformats.org/officeDocument/2006/customXml" ds:itemID="{5730B4A0-E708-4403-9D9E-24C0E498C7CB}"/>
</file>

<file path=customXml/itemProps3.xml><?xml version="1.0" encoding="utf-8"?>
<ds:datastoreItem xmlns:ds="http://schemas.openxmlformats.org/officeDocument/2006/customXml" ds:itemID="{477EC3DA-003F-440F-95DA-7274036F4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2023-03-06T14:07:04Z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Paolo Battistin</vt:lpwstr>
  </property>
  <property fmtid="{D5CDD505-2E9C-101B-9397-08002B2CF9AE}" pid="3" name="Order">
    <vt:lpwstr>2416600.00000000</vt:lpwstr>
  </property>
  <property fmtid="{D5CDD505-2E9C-101B-9397-08002B2CF9AE}" pid="4" name="display_urn:schemas-microsoft-com:office:office#Author">
    <vt:lpwstr>Paolo Battistin</vt:lpwstr>
  </property>
</Properties>
</file>