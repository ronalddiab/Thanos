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2" i="5"/>
  <c r="S32" i="9" l="1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AU6" i="7"/>
  <c r="AV36" i="7" l="1"/>
  <c r="AW36" i="7" s="1"/>
  <c r="AV37" i="7"/>
  <c r="AW37" i="7" s="1"/>
  <c r="AH37" i="7"/>
  <c r="AI37" i="7"/>
  <c r="AL37" i="7"/>
  <c r="AM37" i="7"/>
  <c r="AP37" i="7"/>
  <c r="AQ37" i="7"/>
  <c r="Q37" i="7"/>
  <c r="AF37" i="7" s="1"/>
  <c r="R37" i="7"/>
  <c r="AG37" i="7" s="1"/>
  <c r="S37" i="7"/>
  <c r="T37" i="7"/>
  <c r="U37" i="7"/>
  <c r="AJ37" i="7" s="1"/>
  <c r="V37" i="7"/>
  <c r="AK37" i="7" s="1"/>
  <c r="W37" i="7"/>
  <c r="X37" i="7"/>
  <c r="Y37" i="7"/>
  <c r="AN37" i="7" s="1"/>
  <c r="Z37" i="7"/>
  <c r="AO37" i="7" s="1"/>
  <c r="AA37" i="7"/>
  <c r="AB37" i="7"/>
  <c r="AC37" i="7"/>
  <c r="AR37" i="7" s="1"/>
  <c r="AD37" i="7"/>
  <c r="AS37" i="7" l="1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W12" i="7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I4" i="9"/>
  <c r="AJ9" i="7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K6" i="9"/>
  <c r="X11" i="7"/>
  <c r="AM11" i="7" s="1"/>
  <c r="Y11" i="7"/>
  <c r="M6" i="9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/>
  <c r="AA28" i="7"/>
  <c r="O23" i="9" s="1"/>
  <c r="AB28" i="7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AG8" i="7"/>
  <c r="T8" i="7"/>
  <c r="AI8" i="7" s="1"/>
  <c r="U8" i="7"/>
  <c r="I3" i="9" s="1"/>
  <c r="V8" i="7"/>
  <c r="AK8" i="7" s="1"/>
  <c r="W8" i="7"/>
  <c r="K3" i="9" s="1"/>
  <c r="X8" i="7"/>
  <c r="AM8" i="7" s="1"/>
  <c r="L3" i="9"/>
  <c r="Y8" i="7"/>
  <c r="M3" i="9" s="1"/>
  <c r="Z8" i="7"/>
  <c r="AO8" i="7" s="1"/>
  <c r="AA8" i="7"/>
  <c r="AP8" i="7" s="1"/>
  <c r="AB8" i="7"/>
  <c r="P3" i="9" s="1"/>
  <c r="AQ8" i="7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/>
  <c r="AC23" i="7"/>
  <c r="Q18" i="9" s="1"/>
  <c r="X22" i="7"/>
  <c r="L17" i="9" s="1"/>
  <c r="AK20" i="7"/>
  <c r="AH22" i="7"/>
  <c r="AI25" i="7"/>
  <c r="R28" i="9"/>
  <c r="G28" i="5" s="1"/>
  <c r="F20" i="9"/>
  <c r="N23" i="9"/>
  <c r="T20" i="7"/>
  <c r="T21" i="7"/>
  <c r="AI21" i="7" s="1"/>
  <c r="F22" i="9"/>
  <c r="AP27" i="7"/>
  <c r="AW17" i="7"/>
  <c r="G18" i="9"/>
  <c r="AR22" i="7"/>
  <c r="AG21" i="7"/>
  <c r="AN20" i="7"/>
  <c r="L4" i="9"/>
  <c r="K21" i="9"/>
  <c r="I27" i="9"/>
  <c r="Q30" i="9"/>
  <c r="O6" i="9"/>
  <c r="AP20" i="7"/>
  <c r="AJ35" i="7"/>
  <c r="AO31" i="7"/>
  <c r="AH21" i="7"/>
  <c r="AO24" i="7"/>
  <c r="AL21" i="7"/>
  <c r="AQ24" i="7"/>
  <c r="K26" i="9"/>
  <c r="I15" i="9"/>
  <c r="K7" i="9"/>
  <c r="AN27" i="7"/>
  <c r="R29" i="9"/>
  <c r="G29" i="5" s="1"/>
  <c r="F14" i="9"/>
  <c r="AM22" i="7"/>
  <c r="F19" i="9"/>
  <c r="AN25" i="7"/>
  <c r="F31" i="9"/>
  <c r="AN21" i="7"/>
  <c r="AI14" i="7"/>
  <c r="AP10" i="7"/>
  <c r="AR12" i="7"/>
  <c r="AN14" i="7"/>
  <c r="H9" i="9"/>
  <c r="N12" i="9"/>
  <c r="K12" i="9"/>
  <c r="AK17" i="7"/>
  <c r="P17" i="9"/>
  <c r="AW15" i="7"/>
  <c r="K11" i="9"/>
  <c r="AL16" i="7"/>
  <c r="H21" i="9"/>
  <c r="AH15" i="7"/>
  <c r="AN11" i="7"/>
  <c r="AP35" i="7"/>
  <c r="I9" i="9"/>
  <c r="AQ9" i="7"/>
  <c r="J13" i="9"/>
  <c r="AO19" i="7"/>
  <c r="K14" i="9"/>
  <c r="AI19" i="7"/>
  <c r="AK19" i="7"/>
  <c r="AQ21" i="7"/>
  <c r="R17" i="9"/>
  <c r="G17" i="5"/>
  <c r="L16" i="9"/>
  <c r="P18" i="9"/>
  <c r="H18" i="9"/>
  <c r="F17" i="9"/>
  <c r="AN23" i="7"/>
  <c r="Q20" i="9"/>
  <c r="Q19" i="9"/>
  <c r="AP24" i="7"/>
  <c r="AJ24" i="7"/>
  <c r="G19" i="9"/>
  <c r="Q21" i="9"/>
  <c r="AI26" i="7"/>
  <c r="P21" i="9"/>
  <c r="AM28" i="7"/>
  <c r="Q24" i="9"/>
  <c r="H24" i="9"/>
  <c r="AH29" i="7"/>
  <c r="H25" i="9"/>
  <c r="F24" i="9"/>
  <c r="AR31" i="7"/>
  <c r="N27" i="9"/>
  <c r="J26" i="9"/>
  <c r="G26" i="9"/>
  <c r="AL32" i="7"/>
  <c r="AL33" i="7"/>
  <c r="AG33" i="7"/>
  <c r="M28" i="9"/>
  <c r="AJ33" i="7"/>
  <c r="AO35" i="7"/>
  <c r="G29" i="9"/>
  <c r="F30" i="9"/>
  <c r="R30" i="9"/>
  <c r="G30" i="5" s="1"/>
  <c r="R21" i="9"/>
  <c r="G21" i="5" s="1"/>
  <c r="AN34" i="7"/>
  <c r="K25" i="9"/>
  <c r="AG10" i="7"/>
  <c r="P22" i="9"/>
  <c r="AQ28" i="7"/>
  <c r="P23" i="9"/>
  <c r="P25" i="9"/>
  <c r="AI9" i="7"/>
  <c r="J7" i="9"/>
  <c r="AF11" i="7"/>
  <c r="AW13" i="7"/>
  <c r="P8" i="9"/>
  <c r="AO12" i="7"/>
  <c r="AJ12" i="7"/>
  <c r="J8" i="9"/>
  <c r="G13" i="9"/>
  <c r="M11" i="9"/>
  <c r="G12" i="9"/>
  <c r="AJ15" i="7"/>
  <c r="P9" i="9"/>
  <c r="O9" i="9"/>
  <c r="AK15" i="7"/>
  <c r="E9" i="9"/>
  <c r="R6" i="9"/>
  <c r="G6" i="5" s="1"/>
  <c r="AW19" i="7"/>
  <c r="L11" i="9"/>
  <c r="F11" i="9"/>
  <c r="AQ19" i="7"/>
  <c r="K2" i="9"/>
  <c r="AG18" i="7"/>
  <c r="AM12" i="7"/>
  <c r="P10" i="9"/>
  <c r="AN7" i="7"/>
  <c r="AL9" i="7"/>
  <c r="AR18" i="7"/>
  <c r="N3" i="9"/>
  <c r="AL8" i="7"/>
  <c r="AN12" i="7"/>
  <c r="AI11" i="7"/>
  <c r="AH12" i="7"/>
  <c r="I6" i="9"/>
  <c r="G6" i="9"/>
  <c r="AI12" i="7"/>
  <c r="N5" i="9" l="1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E4" i="5" s="1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S11" i="7" s="1"/>
  <c r="AI13" i="7"/>
  <c r="AR11" i="7"/>
  <c r="AF8" i="7"/>
  <c r="AD7" i="7"/>
  <c r="AJ7" i="7"/>
  <c r="AQ17" i="7"/>
  <c r="AP9" i="7"/>
  <c r="AL14" i="7"/>
  <c r="AS14" i="7" s="1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S10" i="7"/>
  <c r="AP33" i="7"/>
  <c r="AR30" i="7"/>
  <c r="J25" i="9"/>
  <c r="AM18" i="7"/>
  <c r="AR36" i="7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AS34" i="7" s="1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AS26" i="7" s="1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S24" i="7" s="1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E14" i="5" s="1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E9" i="5" s="1"/>
  <c r="AH14" i="7"/>
  <c r="AG14" i="7"/>
  <c r="AR14" i="7"/>
  <c r="K8" i="9"/>
  <c r="AJ13" i="7"/>
  <c r="G8" i="9"/>
  <c r="R9" i="9"/>
  <c r="G9" i="5" s="1"/>
  <c r="AC38" i="7"/>
  <c r="Q8" i="9"/>
  <c r="AQ12" i="7"/>
  <c r="AS12" i="7" s="1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E5" i="5" l="1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<sst xmlns="http://schemas.openxmlformats.org/spreadsheetml/2006/main" count="128" uniqueCount="49">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</sst>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57830</v>
      </c>
      <c r="F2" s="11">
        <v>5.0000000000000001E-3</v>
      </c>
      <c r="G2" s="12">
        <f>Submetering!R2</f>
        <v>623.83556799999997</v>
      </c>
      <c r="H2" s="11">
        <v>0.52800000000000002</v>
      </c>
      <c r="I2" s="12">
        <f>Hotel!B7</f>
        <v>273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84330</v>
      </c>
      <c r="F3" s="11">
        <v>5.0000000000000001E-3</v>
      </c>
      <c r="G3" s="12">
        <f>Submetering!R3</f>
        <v>670.01756999999998</v>
      </c>
      <c r="H3" s="11">
        <v>0.52800000000000002</v>
      </c>
      <c r="I3" s="12">
        <f>Hotel!B8</f>
        <v>277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66190</v>
      </c>
      <c r="F4" s="11">
        <v>5.0000000000000001E-3</v>
      </c>
      <c r="G4" s="12">
        <f>Submetering!R4</f>
        <v>689.32316100000003</v>
      </c>
      <c r="H4" s="11">
        <v>0.52800000000000002</v>
      </c>
      <c r="I4" s="12">
        <f>Hotel!B9</f>
        <v>266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67740</v>
      </c>
      <c r="F5" s="11">
        <v>5.0000000000000001E-3</v>
      </c>
      <c r="G5" s="12">
        <f>Submetering!R5</f>
        <v>567.81150000000002</v>
      </c>
      <c r="H5" s="11">
        <v>0.52800000000000002</v>
      </c>
      <c r="I5" s="12">
        <f>Hotel!B10</f>
        <v>159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P28" sqref="P2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2020</v>
      </c>
      <c r="E2" s="4">
        <f>Hotel!Q7</f>
        <v>530</v>
      </c>
      <c r="F2" s="4">
        <f>Hotel!R7</f>
        <v>10880</v>
      </c>
      <c r="G2" s="4">
        <f>Hotel!S7</f>
        <v>0</v>
      </c>
      <c r="H2" s="4">
        <f>Hotel!T7</f>
        <v>1480</v>
      </c>
      <c r="I2" s="4">
        <f>Hotel!U7</f>
        <v>8010</v>
      </c>
      <c r="J2" s="4">
        <f>Hotel!V7</f>
        <v>4780</v>
      </c>
      <c r="K2" s="4">
        <f>Hotel!W7</f>
        <v>2960</v>
      </c>
      <c r="L2" s="4">
        <f>Hotel!X7</f>
        <v>5060</v>
      </c>
      <c r="M2" s="4">
        <f>Hotel!Y7</f>
        <v>5770</v>
      </c>
      <c r="N2" s="4">
        <f>Hotel!Z7</f>
        <v>3230</v>
      </c>
      <c r="O2" s="4">
        <f>Hotel!AA7</f>
        <v>3950</v>
      </c>
      <c r="P2" s="4">
        <f>Hotel!AB7</f>
        <v>7630</v>
      </c>
      <c r="Q2" s="4">
        <f>Hotel!AC7</f>
        <v>3550</v>
      </c>
      <c r="R2" s="4">
        <f>Hotel!AV7*0.00378541*100</f>
        <v>623.83556799999997</v>
      </c>
      <c r="S2" s="4">
        <f>Hotel!B7</f>
        <v>273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2020</v>
      </c>
      <c r="E3" s="4">
        <f>Hotel!Q8</f>
        <v>550</v>
      </c>
      <c r="F3" s="4">
        <f>Hotel!R8</f>
        <v>11520</v>
      </c>
      <c r="G3" s="4">
        <f>Hotel!S8</f>
        <v>0</v>
      </c>
      <c r="H3" s="4">
        <f>Hotel!T8</f>
        <v>1550</v>
      </c>
      <c r="I3" s="4">
        <f>Hotel!U8</f>
        <v>8110</v>
      </c>
      <c r="J3" s="4">
        <f>Hotel!V8</f>
        <v>4960</v>
      </c>
      <c r="K3" s="4">
        <f>Hotel!W8</f>
        <v>3560</v>
      </c>
      <c r="L3" s="4">
        <f>Hotel!X8</f>
        <v>5180</v>
      </c>
      <c r="M3" s="4">
        <f>Hotel!Y8</f>
        <v>5840</v>
      </c>
      <c r="N3" s="4">
        <f>Hotel!Z8</f>
        <v>3300</v>
      </c>
      <c r="O3" s="4">
        <f>Hotel!AA8</f>
        <v>4150</v>
      </c>
      <c r="P3" s="4">
        <f>Hotel!AB8</f>
        <v>7780</v>
      </c>
      <c r="Q3" s="4">
        <f>Hotel!AC8</f>
        <v>27830</v>
      </c>
      <c r="R3" s="4">
        <f>Hotel!AV8*0.00378541*100</f>
        <v>670.01756999999998</v>
      </c>
      <c r="S3" s="4">
        <f>Hotel!B8</f>
        <v>277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2020</v>
      </c>
      <c r="E4" s="4">
        <f>Hotel!Q9</f>
        <v>500</v>
      </c>
      <c r="F4" s="4">
        <f>Hotel!R9</f>
        <v>11440</v>
      </c>
      <c r="G4" s="4">
        <f>Hotel!S9</f>
        <v>10</v>
      </c>
      <c r="H4" s="4">
        <f>Hotel!T9</f>
        <v>1420</v>
      </c>
      <c r="I4" s="4">
        <f>Hotel!U9</f>
        <v>7390</v>
      </c>
      <c r="J4" s="4">
        <f>Hotel!V9</f>
        <v>4450</v>
      </c>
      <c r="K4" s="4">
        <f>Hotel!W9</f>
        <v>3070</v>
      </c>
      <c r="L4" s="4">
        <f>Hotel!X9</f>
        <v>4730</v>
      </c>
      <c r="M4" s="4">
        <f>Hotel!Y9</f>
        <v>5150</v>
      </c>
      <c r="N4" s="4">
        <f>Hotel!Z9</f>
        <v>3030</v>
      </c>
      <c r="O4" s="4">
        <f>Hotel!AA9</f>
        <v>3690</v>
      </c>
      <c r="P4" s="4">
        <f>Hotel!AB9</f>
        <v>7060</v>
      </c>
      <c r="Q4" s="4">
        <f>Hotel!AC9</f>
        <v>14250</v>
      </c>
      <c r="R4" s="4">
        <f>Hotel!AV9*0.00378541*100</f>
        <v>689.32316100000003</v>
      </c>
      <c r="S4" s="4">
        <f>Hotel!B9</f>
        <v>266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2020</v>
      </c>
      <c r="E5" s="4">
        <f>Hotel!Q10</f>
        <v>530</v>
      </c>
      <c r="F5" s="4">
        <f>Hotel!R10</f>
        <v>11350</v>
      </c>
      <c r="G5" s="4">
        <f>Hotel!S10</f>
        <v>0</v>
      </c>
      <c r="H5" s="4">
        <f>Hotel!T10</f>
        <v>1490</v>
      </c>
      <c r="I5" s="4">
        <f>Hotel!U10</f>
        <v>7490</v>
      </c>
      <c r="J5" s="4">
        <f>Hotel!V10</f>
        <v>4660</v>
      </c>
      <c r="K5" s="4">
        <f>Hotel!W10</f>
        <v>3140</v>
      </c>
      <c r="L5" s="4">
        <f>Hotel!X10</f>
        <v>4370</v>
      </c>
      <c r="M5" s="4">
        <f>Hotel!Y10</f>
        <v>5400</v>
      </c>
      <c r="N5" s="4">
        <f>Hotel!Z10</f>
        <v>3010</v>
      </c>
      <c r="O5" s="4">
        <f>Hotel!AA10</f>
        <v>4040</v>
      </c>
      <c r="P5" s="4">
        <f>Hotel!AB10</f>
        <v>7310</v>
      </c>
      <c r="Q5" s="4">
        <f>Hotel!AC10</f>
        <v>14950</v>
      </c>
      <c r="R5" s="4">
        <f>Hotel!AV10*0.00378541*100</f>
        <v>567.81150000000002</v>
      </c>
      <c r="S5" s="4">
        <f>Hotel!B10</f>
        <v>159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2020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7" zoomScale="93" zoomScaleNormal="93" workbookViewId="0">
      <selection activeCell="AG14" sqref="AG1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268</v>
      </c>
      <c r="C2" s="24">
        <v>5922650</v>
      </c>
      <c r="D2" s="24">
        <v>12400680</v>
      </c>
      <c r="E2" s="24">
        <v>1470300</v>
      </c>
      <c r="F2" s="24">
        <v>2645180</v>
      </c>
      <c r="G2" s="24">
        <v>8095250</v>
      </c>
      <c r="H2" s="24">
        <v>3883440</v>
      </c>
      <c r="I2" s="24">
        <v>3835760</v>
      </c>
      <c r="J2" s="24">
        <v>4359090</v>
      </c>
      <c r="K2" s="24">
        <v>6992140</v>
      </c>
      <c r="L2" s="24">
        <v>2517750</v>
      </c>
      <c r="M2" s="24">
        <v>6424900</v>
      </c>
      <c r="N2" s="24">
        <v>8852410</v>
      </c>
      <c r="O2" s="24">
        <v>11689960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716808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716808</v>
      </c>
    </row>
    <row r="7" spans="1:49" x14ac:dyDescent="0.25">
      <c r="A7" s="23">
        <v>43831</v>
      </c>
      <c r="B7" s="40">
        <v>273</v>
      </c>
      <c r="C7" s="24">
        <v>5923180</v>
      </c>
      <c r="D7" s="24">
        <v>12411560</v>
      </c>
      <c r="E7" s="24">
        <v>1470300</v>
      </c>
      <c r="F7" s="24">
        <v>2646660</v>
      </c>
      <c r="G7" s="24">
        <v>8103260</v>
      </c>
      <c r="H7" s="24">
        <v>3888220</v>
      </c>
      <c r="I7" s="24">
        <v>3838720</v>
      </c>
      <c r="J7" s="24">
        <v>4364150</v>
      </c>
      <c r="K7" s="24">
        <v>6997910</v>
      </c>
      <c r="L7" s="24">
        <v>2520980</v>
      </c>
      <c r="M7" s="24">
        <v>6428850</v>
      </c>
      <c r="N7" s="24">
        <v>8860040</v>
      </c>
      <c r="O7" s="24">
        <v>11693510</v>
      </c>
      <c r="Q7" s="37">
        <f>IF((C7-C2&lt;0), "0",C7-C2)</f>
        <v>530</v>
      </c>
      <c r="R7" s="37">
        <f t="shared" ref="R7:AC7" si="0">IF((D7-D2&lt;0), "0",D7-D2)</f>
        <v>10880</v>
      </c>
      <c r="S7" s="37">
        <f>IF((E7-E2&lt;0), "0",E7-E2)</f>
        <v>0</v>
      </c>
      <c r="T7" s="37">
        <f t="shared" si="0"/>
        <v>1480</v>
      </c>
      <c r="U7" s="37">
        <f t="shared" si="0"/>
        <v>8010</v>
      </c>
      <c r="V7" s="37">
        <f t="shared" si="0"/>
        <v>4780</v>
      </c>
      <c r="W7" s="37">
        <f t="shared" si="0"/>
        <v>2960</v>
      </c>
      <c r="X7" s="37">
        <f t="shared" si="0"/>
        <v>5060</v>
      </c>
      <c r="Y7" s="37">
        <f t="shared" si="0"/>
        <v>5770</v>
      </c>
      <c r="Z7" s="37">
        <f t="shared" si="0"/>
        <v>3230</v>
      </c>
      <c r="AA7" s="37">
        <f t="shared" si="0"/>
        <v>3950</v>
      </c>
      <c r="AB7" s="37">
        <f t="shared" si="0"/>
        <v>7630</v>
      </c>
      <c r="AC7" s="37">
        <f t="shared" si="0"/>
        <v>3550</v>
      </c>
      <c r="AD7" s="34">
        <f>SUM(Q7:AC7)</f>
        <v>57830</v>
      </c>
      <c r="AF7" s="20">
        <f t="shared" ref="AF7:AF36" si="1">Q7*$D$39</f>
        <v>2.65</v>
      </c>
      <c r="AG7" s="20">
        <f t="shared" ref="AG7:AG36" si="2">R7*$D$39</f>
        <v>54.4</v>
      </c>
      <c r="AH7" s="20">
        <f t="shared" ref="AH7:AH36" si="3">S7*$D$39</f>
        <v>0</v>
      </c>
      <c r="AI7" s="20">
        <f t="shared" ref="AI7:AI36" si="4">T7*$D$39</f>
        <v>7.4</v>
      </c>
      <c r="AJ7" s="20">
        <f t="shared" ref="AJ7:AJ36" si="5">U7*$D$39</f>
        <v>40.050000000000004</v>
      </c>
      <c r="AK7" s="20">
        <f t="shared" ref="AK7:AK36" si="6">V7*$D$39</f>
        <v>23.900000000000002</v>
      </c>
      <c r="AL7" s="20">
        <f t="shared" ref="AL7:AL36" si="7">W7*$D$39</f>
        <v>14.8</v>
      </c>
      <c r="AM7" s="20">
        <f t="shared" ref="AM7:AM36" si="8">X7*$D$39</f>
        <v>25.3</v>
      </c>
      <c r="AN7" s="20">
        <f t="shared" ref="AN7:AN36" si="9">Y7*$D$39</f>
        <v>28.85</v>
      </c>
      <c r="AO7" s="20">
        <f t="shared" ref="AO7:AO36" si="10">Z7*$D$39</f>
        <v>16.149999999999999</v>
      </c>
      <c r="AP7" s="20">
        <f t="shared" ref="AP7:AP36" si="11">AA7*$D$39</f>
        <v>19.75</v>
      </c>
      <c r="AQ7" s="20">
        <f t="shared" ref="AQ7:AQ36" si="12">AB7*$D$39</f>
        <v>38.15</v>
      </c>
      <c r="AR7" s="20">
        <f t="shared" ref="AR7:AR36" si="13">AC7*$D$39</f>
        <v>17.75</v>
      </c>
      <c r="AS7" s="35">
        <f>SUM(AF7:AR7)</f>
        <v>289.15000000000003</v>
      </c>
      <c r="AU7" s="47">
        <v>718456</v>
      </c>
      <c r="AV7" s="37">
        <f>IF((AU7-AU6&lt;0),"0",AU7-AU6)</f>
        <v>1648</v>
      </c>
      <c r="AW7" s="50">
        <v>0</v>
      </c>
    </row>
    <row r="8" spans="1:49" x14ac:dyDescent="0.25">
      <c r="A8" s="23">
        <v>43832</v>
      </c>
      <c r="B8" s="40">
        <v>277</v>
      </c>
      <c r="C8" s="24">
        <v>5923730</v>
      </c>
      <c r="D8" s="24">
        <v>12423080</v>
      </c>
      <c r="E8" s="24">
        <v>1470300</v>
      </c>
      <c r="F8" s="24">
        <v>2648210</v>
      </c>
      <c r="G8" s="24">
        <v>8111370</v>
      </c>
      <c r="H8" s="24">
        <v>3893180</v>
      </c>
      <c r="I8" s="24">
        <v>3842280</v>
      </c>
      <c r="J8" s="24">
        <v>4369330</v>
      </c>
      <c r="K8" s="24">
        <v>7003750</v>
      </c>
      <c r="L8" s="24">
        <v>2524280</v>
      </c>
      <c r="M8" s="24">
        <v>6433000</v>
      </c>
      <c r="N8" s="24">
        <v>8867820</v>
      </c>
      <c r="O8" s="24">
        <v>11721340</v>
      </c>
      <c r="Q8" s="37">
        <f>IF((C8-C7&lt;0), "0",C8-C7)</f>
        <v>550</v>
      </c>
      <c r="R8" s="37">
        <f t="shared" ref="R8:AC8" si="14">IF((D8-D7&lt;0), "0",D8-D7)</f>
        <v>11520</v>
      </c>
      <c r="S8" s="37">
        <f t="shared" ref="S8:S35" si="15">IF((E8-E7&lt;0), "0",E8-E7)</f>
        <v>0</v>
      </c>
      <c r="T8" s="37">
        <f t="shared" si="14"/>
        <v>1550</v>
      </c>
      <c r="U8" s="37">
        <f t="shared" si="14"/>
        <v>8110</v>
      </c>
      <c r="V8" s="37">
        <f t="shared" si="14"/>
        <v>4960</v>
      </c>
      <c r="W8" s="37">
        <f t="shared" si="14"/>
        <v>3560</v>
      </c>
      <c r="X8" s="37">
        <f t="shared" si="14"/>
        <v>5180</v>
      </c>
      <c r="Y8" s="37">
        <f t="shared" si="14"/>
        <v>5840</v>
      </c>
      <c r="Z8" s="37">
        <f t="shared" si="14"/>
        <v>3300</v>
      </c>
      <c r="AA8" s="37">
        <f t="shared" si="14"/>
        <v>4150</v>
      </c>
      <c r="AB8" s="37">
        <f t="shared" si="14"/>
        <v>7780</v>
      </c>
      <c r="AC8" s="37">
        <f t="shared" si="14"/>
        <v>27830</v>
      </c>
      <c r="AD8" s="35">
        <f>SUM(Q8:AC8)</f>
        <v>84330</v>
      </c>
      <c r="AF8" s="20">
        <f t="shared" si="1"/>
        <v>2.75</v>
      </c>
      <c r="AG8" s="20">
        <f t="shared" si="2"/>
        <v>57.6</v>
      </c>
      <c r="AH8" s="20">
        <f t="shared" si="3"/>
        <v>0</v>
      </c>
      <c r="AI8" s="20">
        <f t="shared" si="4"/>
        <v>7.75</v>
      </c>
      <c r="AJ8" s="20">
        <f t="shared" si="5"/>
        <v>40.550000000000004</v>
      </c>
      <c r="AK8" s="20">
        <f t="shared" si="6"/>
        <v>24.8</v>
      </c>
      <c r="AL8" s="20">
        <f t="shared" si="7"/>
        <v>17.8</v>
      </c>
      <c r="AM8" s="20">
        <f t="shared" si="8"/>
        <v>25.900000000000002</v>
      </c>
      <c r="AN8" s="20">
        <f t="shared" si="9"/>
        <v>29.2</v>
      </c>
      <c r="AO8" s="20">
        <f t="shared" si="10"/>
        <v>16.5</v>
      </c>
      <c r="AP8" s="20">
        <f t="shared" si="11"/>
        <v>20.75</v>
      </c>
      <c r="AQ8" s="20">
        <f t="shared" si="12"/>
        <v>38.9</v>
      </c>
      <c r="AR8" s="20">
        <f t="shared" si="13"/>
        <v>139.15</v>
      </c>
      <c r="AS8" s="35">
        <f>SUM(AF8:AR8)</f>
        <v>421.65</v>
      </c>
      <c r="AU8" s="47">
        <v>720226</v>
      </c>
      <c r="AV8" s="37">
        <f>IF((AU8-AU7&lt;0),"0",AU8-AU7)</f>
        <v>1770</v>
      </c>
      <c r="AW8" s="35">
        <v>0</v>
      </c>
    </row>
    <row r="9" spans="1:49" x14ac:dyDescent="0.25">
      <c r="A9" s="23">
        <v>43833</v>
      </c>
      <c r="B9" s="40">
        <v>266</v>
      </c>
      <c r="C9" s="24">
        <v>5924230</v>
      </c>
      <c r="D9" s="24">
        <v>12434520</v>
      </c>
      <c r="E9" s="24">
        <v>1470310</v>
      </c>
      <c r="F9" s="24">
        <v>2649630</v>
      </c>
      <c r="G9" s="24">
        <v>8118760</v>
      </c>
      <c r="H9" s="24">
        <v>3897630</v>
      </c>
      <c r="I9" s="24">
        <v>3845350</v>
      </c>
      <c r="J9" s="24">
        <v>4374060</v>
      </c>
      <c r="K9" s="24">
        <v>7008900</v>
      </c>
      <c r="L9" s="24">
        <v>2527310</v>
      </c>
      <c r="M9" s="24">
        <v>6436690</v>
      </c>
      <c r="N9" s="24">
        <v>8874880</v>
      </c>
      <c r="O9" s="24">
        <v>11735590</v>
      </c>
      <c r="Q9" s="37">
        <f t="shared" ref="Q9:Q35" si="16">IF((C9-C8&lt;0), "0",C9-C8)</f>
        <v>500</v>
      </c>
      <c r="R9" s="37">
        <f t="shared" ref="R9:R35" si="17">IF((D9-D8&lt;0), "0",D9-D8)</f>
        <v>11440</v>
      </c>
      <c r="S9" s="37">
        <f t="shared" si="15"/>
        <v>10</v>
      </c>
      <c r="T9" s="37">
        <f t="shared" ref="T9:T35" si="18">IF((F9-F8&lt;0), "0",F9-F8)</f>
        <v>1420</v>
      </c>
      <c r="U9" s="37">
        <f t="shared" ref="U9:U35" si="19">IF((G9-G8&lt;0), "0",G9-G8)</f>
        <v>7390</v>
      </c>
      <c r="V9" s="37">
        <f t="shared" ref="V9:V35" si="20">IF((H9-H8&lt;0), "0",H9-H8)</f>
        <v>4450</v>
      </c>
      <c r="W9" s="37">
        <f t="shared" ref="W9:W35" si="21">IF((I9-I8&lt;0), "0",I9-I8)</f>
        <v>3070</v>
      </c>
      <c r="X9" s="37">
        <f t="shared" ref="X9:X35" si="22">IF((J9-J8&lt;0), "0",J9-J8)</f>
        <v>4730</v>
      </c>
      <c r="Y9" s="37">
        <f t="shared" ref="Y9:Y35" si="23">IF((K9-K8&lt;0), "0",K9-K8)</f>
        <v>5150</v>
      </c>
      <c r="Z9" s="37">
        <f t="shared" ref="Z9:Z35" si="24">IF((L9-L8&lt;0), "0",L9-L8)</f>
        <v>3030</v>
      </c>
      <c r="AA9" s="37">
        <f t="shared" ref="AA9:AA35" si="25">IF((M9-M8&lt;0), "0",M9-M8)</f>
        <v>3690</v>
      </c>
      <c r="AB9" s="37">
        <f t="shared" ref="AB9:AB35" si="26">IF((N9-N8&lt;0), "0",N9-N8)</f>
        <v>7060</v>
      </c>
      <c r="AC9" s="37">
        <f t="shared" ref="AC9:AC35" si="27">IF((O9-O8&lt;0), "0",O9-O8)</f>
        <v>14250</v>
      </c>
      <c r="AD9" s="35">
        <f t="shared" ref="AD9:AD34" si="28">SUM(Q9:AC9)</f>
        <v>66190</v>
      </c>
      <c r="AF9" s="20">
        <f t="shared" si="1"/>
        <v>2.5</v>
      </c>
      <c r="AG9" s="20">
        <f t="shared" si="2"/>
        <v>57.2</v>
      </c>
      <c r="AH9" s="20">
        <f t="shared" si="3"/>
        <v>0.05</v>
      </c>
      <c r="AI9" s="20">
        <f t="shared" si="4"/>
        <v>7.1000000000000005</v>
      </c>
      <c r="AJ9" s="20">
        <f t="shared" si="5"/>
        <v>36.950000000000003</v>
      </c>
      <c r="AK9" s="20">
        <f t="shared" si="6"/>
        <v>22.25</v>
      </c>
      <c r="AL9" s="20">
        <f t="shared" si="7"/>
        <v>15.35</v>
      </c>
      <c r="AM9" s="20">
        <f t="shared" si="8"/>
        <v>23.650000000000002</v>
      </c>
      <c r="AN9" s="20">
        <f t="shared" si="9"/>
        <v>25.75</v>
      </c>
      <c r="AO9" s="20">
        <f t="shared" si="10"/>
        <v>15.15</v>
      </c>
      <c r="AP9" s="20">
        <f t="shared" si="11"/>
        <v>18.45</v>
      </c>
      <c r="AQ9" s="20">
        <f t="shared" si="12"/>
        <v>35.300000000000004</v>
      </c>
      <c r="AR9" s="20">
        <f t="shared" si="13"/>
        <v>71.25</v>
      </c>
      <c r="AS9" s="35">
        <f t="shared" ref="AS9:AS34" si="29">SUM(AF9:AR9)</f>
        <v>330.95</v>
      </c>
      <c r="AU9" s="47">
        <v>722047</v>
      </c>
      <c r="AV9" s="37">
        <f>IF((AU9-AU8&lt;0),"0",AU9-AU8)</f>
        <v>1821</v>
      </c>
      <c r="AW9" s="35">
        <f t="shared" ref="AW9:AW35" si="30">AV9*$D$40</f>
        <v>3.6419999999999999</v>
      </c>
    </row>
    <row r="10" spans="1:49" x14ac:dyDescent="0.25">
      <c r="A10" s="23">
        <v>43834</v>
      </c>
      <c r="B10" s="40">
        <v>159</v>
      </c>
      <c r="C10" s="24">
        <v>5924760</v>
      </c>
      <c r="D10" s="24">
        <v>12445870</v>
      </c>
      <c r="E10" s="24">
        <v>1470310</v>
      </c>
      <c r="F10" s="24">
        <v>2651120</v>
      </c>
      <c r="G10" s="24">
        <v>8126250</v>
      </c>
      <c r="H10" s="24">
        <v>3902290</v>
      </c>
      <c r="I10" s="24">
        <v>3848490</v>
      </c>
      <c r="J10" s="24">
        <v>4378430</v>
      </c>
      <c r="K10" s="24">
        <v>7014300</v>
      </c>
      <c r="L10" s="24">
        <v>2530320</v>
      </c>
      <c r="M10" s="24">
        <v>6440730</v>
      </c>
      <c r="N10" s="24">
        <v>8882190</v>
      </c>
      <c r="O10" s="24">
        <v>11750540</v>
      </c>
      <c r="Q10" s="37">
        <f t="shared" si="16"/>
        <v>530</v>
      </c>
      <c r="R10" s="37">
        <f t="shared" si="17"/>
        <v>11350</v>
      </c>
      <c r="S10" s="37">
        <f t="shared" si="15"/>
        <v>0</v>
      </c>
      <c r="T10" s="37">
        <f t="shared" si="18"/>
        <v>1490</v>
      </c>
      <c r="U10" s="37">
        <f t="shared" si="19"/>
        <v>7490</v>
      </c>
      <c r="V10" s="37">
        <f t="shared" si="20"/>
        <v>4660</v>
      </c>
      <c r="W10" s="37">
        <f t="shared" si="21"/>
        <v>3140</v>
      </c>
      <c r="X10" s="37">
        <f t="shared" si="22"/>
        <v>4370</v>
      </c>
      <c r="Y10" s="37">
        <f t="shared" si="23"/>
        <v>5400</v>
      </c>
      <c r="Z10" s="37">
        <f t="shared" si="24"/>
        <v>3010</v>
      </c>
      <c r="AA10" s="37">
        <f t="shared" si="25"/>
        <v>4040</v>
      </c>
      <c r="AB10" s="37">
        <f t="shared" si="26"/>
        <v>7310</v>
      </c>
      <c r="AC10" s="37">
        <f t="shared" si="27"/>
        <v>14950</v>
      </c>
      <c r="AD10" s="35">
        <f t="shared" si="28"/>
        <v>67740</v>
      </c>
      <c r="AF10" s="20">
        <f t="shared" si="1"/>
        <v>2.65</v>
      </c>
      <c r="AG10" s="20">
        <f t="shared" si="2"/>
        <v>56.75</v>
      </c>
      <c r="AH10" s="20">
        <f t="shared" si="3"/>
        <v>0</v>
      </c>
      <c r="AI10" s="20">
        <f t="shared" si="4"/>
        <v>7.45</v>
      </c>
      <c r="AJ10" s="20">
        <f t="shared" si="5"/>
        <v>37.450000000000003</v>
      </c>
      <c r="AK10" s="20">
        <f t="shared" si="6"/>
        <v>23.3</v>
      </c>
      <c r="AL10" s="20">
        <f t="shared" si="7"/>
        <v>15.700000000000001</v>
      </c>
      <c r="AM10" s="20">
        <f t="shared" si="8"/>
        <v>21.85</v>
      </c>
      <c r="AN10" s="20">
        <f t="shared" si="9"/>
        <v>27</v>
      </c>
      <c r="AO10" s="20">
        <f t="shared" si="10"/>
        <v>15.05</v>
      </c>
      <c r="AP10" s="20">
        <f t="shared" si="11"/>
        <v>20.2</v>
      </c>
      <c r="AQ10" s="20">
        <f t="shared" si="12"/>
        <v>36.550000000000004</v>
      </c>
      <c r="AR10" s="20">
        <f t="shared" si="13"/>
        <v>74.75</v>
      </c>
      <c r="AS10" s="35">
        <f t="shared" si="29"/>
        <v>338.7</v>
      </c>
      <c r="AU10" s="47">
        <v>723547</v>
      </c>
      <c r="AV10" s="37">
        <f t="shared" ref="AV10:AV26" si="31">IF((AU10-AU9&lt;0),"0",AU10-AU9)</f>
        <v>1500</v>
      </c>
      <c r="AW10" s="35">
        <f t="shared" si="30"/>
        <v>3</v>
      </c>
    </row>
    <row r="11" spans="1:49" x14ac:dyDescent="0.25">
      <c r="A11" s="23">
        <v>43835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43836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si="18"/>
        <v>0</v>
      </c>
      <c r="U12" s="37">
        <f t="shared" si="19"/>
        <v>0</v>
      </c>
      <c r="V12" s="37">
        <f t="shared" si="20"/>
        <v>0</v>
      </c>
      <c r="W12" s="37">
        <f t="shared" si="21"/>
        <v>0</v>
      </c>
      <c r="X12" s="37">
        <f t="shared" si="22"/>
        <v>0</v>
      </c>
      <c r="Y12" s="37">
        <f t="shared" si="23"/>
        <v>0</v>
      </c>
      <c r="Z12" s="37">
        <f t="shared" si="24"/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43837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18"/>
        <v>0</v>
      </c>
      <c r="U13" s="37">
        <f t="shared" si="19"/>
        <v>0</v>
      </c>
      <c r="V13" s="37">
        <f t="shared" si="20"/>
        <v>0</v>
      </c>
      <c r="W13" s="37">
        <f t="shared" si="21"/>
        <v>0</v>
      </c>
      <c r="X13" s="37">
        <f t="shared" si="22"/>
        <v>0</v>
      </c>
      <c r="Y13" s="37">
        <f t="shared" si="23"/>
        <v>0</v>
      </c>
      <c r="Z13" s="37">
        <f t="shared" si="24"/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43838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18"/>
        <v>0</v>
      </c>
      <c r="U14" s="37">
        <f t="shared" si="19"/>
        <v>0</v>
      </c>
      <c r="V14" s="37">
        <f t="shared" si="20"/>
        <v>0</v>
      </c>
      <c r="W14" s="37">
        <f t="shared" si="21"/>
        <v>0</v>
      </c>
      <c r="X14" s="37">
        <f t="shared" si="22"/>
        <v>0</v>
      </c>
      <c r="Y14" s="37">
        <f t="shared" si="23"/>
        <v>0</v>
      </c>
      <c r="Z14" s="37">
        <f t="shared" si="24"/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43839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43840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43841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43842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43843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43844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43845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3">IF((AU29-AU28&lt;0),"0",AU29-AU28)</f>
        <v>0</v>
      </c>
      <c r="AW29" s="35">
        <f t="shared" si="30"/>
        <v>0</v>
      </c>
    </row>
    <row r="30" spans="1:49" x14ac:dyDescent="0.25">
      <c r="A30" s="23">
        <v>43854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43855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43856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43857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43858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43860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5">IF((AU36-AU35&lt;0),"0",AU36-AU35)</f>
        <v>0</v>
      </c>
      <c r="AW36" s="35">
        <f t="shared" ref="AW36:AW37" si="36">AV36*$D$40</f>
        <v>0</v>
      </c>
    </row>
    <row r="37" spans="1:49" x14ac:dyDescent="0.25">
      <c r="A37" s="23">
        <v>43861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ref="R37" si="38">IF((D37-D36&lt;0), "0",D37-D36)</f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ref="X37" si="44">IF((J37-J36&lt;0), "0",J37-J36)</f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ref="AB37" si="48">IF((N37-N36&lt;0), "0",N37-N36)</f>
        <v>0</v>
      </c>
      <c r="AC37" s="37">
        <f t="shared" ref="AC37" si="49">IF((O37-O36&lt;0), "0",O37-O36)</f>
        <v>0</v>
      </c>
      <c r="AD37" s="35">
        <f>SUM(Q37:AC37)</f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47"/>
      <c r="AV37" s="37">
        <f t="shared" si="35"/>
        <v>0</v>
      </c>
      <c r="AW37" s="35">
        <f t="shared" si="36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3">SUM(Q7:Q34)</f>
        <v>2110</v>
      </c>
      <c r="R38" s="30">
        <f t="shared" si="63"/>
        <v>45190</v>
      </c>
      <c r="S38" s="30">
        <f t="shared" si="63"/>
        <v>10</v>
      </c>
      <c r="T38" s="30">
        <f t="shared" si="63"/>
        <v>5940</v>
      </c>
      <c r="U38" s="30">
        <f t="shared" si="63"/>
        <v>31000</v>
      </c>
      <c r="V38" s="30">
        <f t="shared" si="63"/>
        <v>18850</v>
      </c>
      <c r="W38" s="30">
        <f t="shared" si="63"/>
        <v>12730</v>
      </c>
      <c r="X38" s="30">
        <f t="shared" si="63"/>
        <v>19340</v>
      </c>
      <c r="Y38" s="30">
        <f t="shared" si="63"/>
        <v>22160</v>
      </c>
      <c r="Z38" s="30">
        <f t="shared" si="63"/>
        <v>12570</v>
      </c>
      <c r="AA38" s="30">
        <f t="shared" si="63"/>
        <v>15830</v>
      </c>
      <c r="AB38" s="30">
        <f t="shared" si="63"/>
        <v>29780</v>
      </c>
      <c r="AC38" s="30">
        <f t="shared" si="63"/>
        <v>60580</v>
      </c>
      <c r="AD38" s="35">
        <f t="shared" si="63"/>
        <v>276090</v>
      </c>
      <c r="AF38" s="35">
        <f t="shared" ref="AF38:AS38" si="64">SUM(AF7:AF34)</f>
        <v>10.55</v>
      </c>
      <c r="AG38" s="35">
        <f t="shared" si="64"/>
        <v>225.95</v>
      </c>
      <c r="AH38" s="35">
        <f t="shared" si="64"/>
        <v>0.05</v>
      </c>
      <c r="AI38" s="35">
        <f t="shared" si="64"/>
        <v>29.7</v>
      </c>
      <c r="AJ38" s="35">
        <f t="shared" si="64"/>
        <v>155</v>
      </c>
      <c r="AK38" s="35">
        <f t="shared" si="64"/>
        <v>94.25</v>
      </c>
      <c r="AL38" s="35">
        <f t="shared" si="64"/>
        <v>63.650000000000006</v>
      </c>
      <c r="AM38" s="35">
        <f t="shared" si="64"/>
        <v>96.700000000000017</v>
      </c>
      <c r="AN38" s="35">
        <f t="shared" si="64"/>
        <v>110.8</v>
      </c>
      <c r="AO38" s="35">
        <f t="shared" si="64"/>
        <v>62.849999999999994</v>
      </c>
      <c r="AP38" s="35">
        <f t="shared" si="64"/>
        <v>79.150000000000006</v>
      </c>
      <c r="AQ38" s="35">
        <f t="shared" si="64"/>
        <v>148.9</v>
      </c>
      <c r="AR38" s="35">
        <f t="shared" si="64"/>
        <v>302.89999999999998</v>
      </c>
      <c r="AS38" s="35">
        <f t="shared" si="64"/>
        <v>1380.45</v>
      </c>
      <c r="AU38" s="48"/>
      <c r="AV38" s="35">
        <f>SUM(AV7:AV34)</f>
        <v>6739</v>
      </c>
      <c r="AW38" s="35">
        <f>SUM(AW7:AW34)</f>
        <v>6.6419999999999995</v>
      </c>
    </row>
    <row r="39" spans="1:49" x14ac:dyDescent="0.25">
      <c r="D39">
        <v>5.0000000000000001E-3</v>
      </c>
      <c r="AV39" s="36">
        <f>AV38*0.00378541*1000</f>
        <v>25509.877990000001</v>
      </c>
    </row>
    <row r="40" spans="1:49" x14ac:dyDescent="0.25">
      <c r="D40">
        <v>2E-3</v>
      </c>
      <c r="AV40">
        <f>AV39/31</f>
        <v>822.89929000000006</v>
      </c>
    </row>
    <row r="41" spans="1:49" x14ac:dyDescent="0.25">
      <c r="AV41">
        <f>AV38*0.00378541</f>
        <v>25.50987799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2020-01-05T06:26:00Z</dcterms:modified>
</cp:coreProperties>
</file>