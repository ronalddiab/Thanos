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 activeTab="1"/>
  </bookViews>
  <sheets>
    <sheet name="TOTAL" sheetId="6" r:id="rId1"/>
    <sheet name="Submetering" sheetId="10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  <sheet name="Sheet1" sheetId="9" r:id="rId9"/>
  </sheets>
  <definedNames>
    <definedName name="_xlnm.Print_Area" localSheetId="2">'Kwh Reading'!$A$1:$S$31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3" i="10" l="1"/>
  <c r="BL4" i="10"/>
  <c r="BL5" i="10"/>
  <c r="BL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2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2" i="10"/>
  <c r="AT31" i="10"/>
  <c r="AS31" i="10"/>
  <c r="AR31" i="10"/>
  <c r="AQ31" i="10"/>
  <c r="AP31" i="10"/>
  <c r="AO31" i="10"/>
  <c r="AN31" i="10"/>
  <c r="AM31" i="10"/>
  <c r="AL31" i="10"/>
  <c r="AT30" i="10"/>
  <c r="AS30" i="10"/>
  <c r="AR30" i="10"/>
  <c r="AQ30" i="10"/>
  <c r="AP30" i="10"/>
  <c r="AO30" i="10"/>
  <c r="AN30" i="10"/>
  <c r="AM30" i="10"/>
  <c r="AL30" i="10"/>
  <c r="AT29" i="10"/>
  <c r="AS29" i="10"/>
  <c r="AR29" i="10"/>
  <c r="AQ29" i="10"/>
  <c r="AP29" i="10"/>
  <c r="AO29" i="10"/>
  <c r="AN29" i="10"/>
  <c r="AM29" i="10"/>
  <c r="AL29" i="10"/>
  <c r="AT28" i="10"/>
  <c r="AS28" i="10"/>
  <c r="AR28" i="10"/>
  <c r="AQ28" i="10"/>
  <c r="AP28" i="10"/>
  <c r="AO28" i="10"/>
  <c r="AN28" i="10"/>
  <c r="AM28" i="10"/>
  <c r="AL28" i="10"/>
  <c r="AT27" i="10"/>
  <c r="AS27" i="10"/>
  <c r="AR27" i="10"/>
  <c r="AQ27" i="10"/>
  <c r="AP27" i="10"/>
  <c r="AO27" i="10"/>
  <c r="AN27" i="10"/>
  <c r="AM27" i="10"/>
  <c r="AL27" i="10"/>
  <c r="AT26" i="10"/>
  <c r="AS26" i="10"/>
  <c r="AR26" i="10"/>
  <c r="AQ26" i="10"/>
  <c r="AP26" i="10"/>
  <c r="AO26" i="10"/>
  <c r="AN26" i="10"/>
  <c r="AM26" i="10"/>
  <c r="AL26" i="10"/>
  <c r="AT25" i="10"/>
  <c r="AS25" i="10"/>
  <c r="AR25" i="10"/>
  <c r="AQ25" i="10"/>
  <c r="AP25" i="10"/>
  <c r="AO25" i="10"/>
  <c r="AN25" i="10"/>
  <c r="AM25" i="10"/>
  <c r="AL25" i="10"/>
  <c r="AT24" i="10"/>
  <c r="AS24" i="10"/>
  <c r="AR24" i="10"/>
  <c r="AQ24" i="10"/>
  <c r="AP24" i="10"/>
  <c r="AO24" i="10"/>
  <c r="AN24" i="10"/>
  <c r="AM24" i="10"/>
  <c r="AL24" i="10"/>
  <c r="AT23" i="10"/>
  <c r="AS23" i="10"/>
  <c r="AR23" i="10"/>
  <c r="AQ23" i="10"/>
  <c r="AP23" i="10"/>
  <c r="AO23" i="10"/>
  <c r="AN23" i="10"/>
  <c r="AM23" i="10"/>
  <c r="AL23" i="10"/>
  <c r="AT22" i="10"/>
  <c r="AS22" i="10"/>
  <c r="AR22" i="10"/>
  <c r="AQ22" i="10"/>
  <c r="AP22" i="10"/>
  <c r="AO22" i="10"/>
  <c r="AN22" i="10"/>
  <c r="AM22" i="10"/>
  <c r="AL22" i="10"/>
  <c r="AT21" i="10"/>
  <c r="AS21" i="10"/>
  <c r="AR21" i="10"/>
  <c r="AQ21" i="10"/>
  <c r="AP21" i="10"/>
  <c r="AO21" i="10"/>
  <c r="AN21" i="10"/>
  <c r="AM21" i="10"/>
  <c r="AL21" i="10"/>
  <c r="AT20" i="10"/>
  <c r="AS20" i="10"/>
  <c r="AR20" i="10"/>
  <c r="AQ20" i="10"/>
  <c r="AP20" i="10"/>
  <c r="AO20" i="10"/>
  <c r="AN20" i="10"/>
  <c r="AM20" i="10"/>
  <c r="AL20" i="10"/>
  <c r="AT19" i="10"/>
  <c r="AS19" i="10"/>
  <c r="AR19" i="10"/>
  <c r="AQ19" i="10"/>
  <c r="AP19" i="10"/>
  <c r="AO19" i="10"/>
  <c r="AN19" i="10"/>
  <c r="AM19" i="10"/>
  <c r="AL19" i="10"/>
  <c r="AT18" i="10"/>
  <c r="AS18" i="10"/>
  <c r="AR18" i="10"/>
  <c r="AQ18" i="10"/>
  <c r="AP18" i="10"/>
  <c r="AO18" i="10"/>
  <c r="AN18" i="10"/>
  <c r="AM18" i="10"/>
  <c r="AL18" i="10"/>
  <c r="AT17" i="10"/>
  <c r="AS17" i="10"/>
  <c r="AR17" i="10"/>
  <c r="AQ17" i="10"/>
  <c r="AP17" i="10"/>
  <c r="AO17" i="10"/>
  <c r="AN17" i="10"/>
  <c r="AM17" i="10"/>
  <c r="AL17" i="10"/>
  <c r="AT16" i="10"/>
  <c r="AS16" i="10"/>
  <c r="AR16" i="10"/>
  <c r="AQ16" i="10"/>
  <c r="AP16" i="10"/>
  <c r="AO16" i="10"/>
  <c r="AN16" i="10"/>
  <c r="AM16" i="10"/>
  <c r="AL16" i="10"/>
  <c r="AT15" i="10"/>
  <c r="AS15" i="10"/>
  <c r="AR15" i="10"/>
  <c r="AQ15" i="10"/>
  <c r="AP15" i="10"/>
  <c r="AO15" i="10"/>
  <c r="AN15" i="10"/>
  <c r="AM15" i="10"/>
  <c r="AL15" i="10"/>
  <c r="AT14" i="10"/>
  <c r="AS14" i="10"/>
  <c r="AR14" i="10"/>
  <c r="AQ14" i="10"/>
  <c r="AP14" i="10"/>
  <c r="AO14" i="10"/>
  <c r="AN14" i="10"/>
  <c r="AM14" i="10"/>
  <c r="AL14" i="10"/>
  <c r="AT13" i="10"/>
  <c r="AS13" i="10"/>
  <c r="AR13" i="10"/>
  <c r="AQ13" i="10"/>
  <c r="AP13" i="10"/>
  <c r="AO13" i="10"/>
  <c r="AN13" i="10"/>
  <c r="AM13" i="10"/>
  <c r="AL13" i="10"/>
  <c r="AT12" i="10"/>
  <c r="AS12" i="10"/>
  <c r="AR12" i="10"/>
  <c r="AQ12" i="10"/>
  <c r="AP12" i="10"/>
  <c r="AO12" i="10"/>
  <c r="AN12" i="10"/>
  <c r="AM12" i="10"/>
  <c r="AL12" i="10"/>
  <c r="AT11" i="10"/>
  <c r="AS11" i="10"/>
  <c r="AR11" i="10"/>
  <c r="AQ11" i="10"/>
  <c r="AP11" i="10"/>
  <c r="AO11" i="10"/>
  <c r="AN11" i="10"/>
  <c r="AM11" i="10"/>
  <c r="AL11" i="10"/>
  <c r="AT10" i="10"/>
  <c r="AS10" i="10"/>
  <c r="AR10" i="10"/>
  <c r="AQ10" i="10"/>
  <c r="AP10" i="10"/>
  <c r="AO10" i="10"/>
  <c r="AN10" i="10"/>
  <c r="AM10" i="10"/>
  <c r="AL10" i="10"/>
  <c r="AT9" i="10"/>
  <c r="AS9" i="10"/>
  <c r="AR9" i="10"/>
  <c r="AQ9" i="10"/>
  <c r="AP9" i="10"/>
  <c r="AO9" i="10"/>
  <c r="AN9" i="10"/>
  <c r="AM9" i="10"/>
  <c r="AL9" i="10"/>
  <c r="AT8" i="10"/>
  <c r="AS8" i="10"/>
  <c r="AR8" i="10"/>
  <c r="AQ8" i="10"/>
  <c r="AP8" i="10"/>
  <c r="AO8" i="10"/>
  <c r="AN8" i="10"/>
  <c r="AM8" i="10"/>
  <c r="AL8" i="10"/>
  <c r="AT7" i="10"/>
  <c r="AS7" i="10"/>
  <c r="AR7" i="10"/>
  <c r="AQ7" i="10"/>
  <c r="AP7" i="10"/>
  <c r="AO7" i="10"/>
  <c r="AN7" i="10"/>
  <c r="AM7" i="10"/>
  <c r="AL7" i="10"/>
  <c r="AT6" i="10"/>
  <c r="AS6" i="10"/>
  <c r="AR6" i="10"/>
  <c r="AQ6" i="10"/>
  <c r="AP6" i="10"/>
  <c r="AO6" i="10"/>
  <c r="AN6" i="10"/>
  <c r="AM6" i="10"/>
  <c r="AL6" i="10"/>
  <c r="AT5" i="10"/>
  <c r="AS5" i="10"/>
  <c r="AR5" i="10"/>
  <c r="AQ5" i="10"/>
  <c r="AP5" i="10"/>
  <c r="AO5" i="10"/>
  <c r="AN5" i="10"/>
  <c r="AM5" i="10"/>
  <c r="AL5" i="10"/>
  <c r="AT4" i="10"/>
  <c r="AS4" i="10"/>
  <c r="AR4" i="10"/>
  <c r="AQ4" i="10"/>
  <c r="AP4" i="10"/>
  <c r="AO4" i="10"/>
  <c r="AN4" i="10"/>
  <c r="AM4" i="10"/>
  <c r="AL4" i="10"/>
  <c r="AT3" i="10"/>
  <c r="AS3" i="10"/>
  <c r="AR3" i="10"/>
  <c r="AQ3" i="10"/>
  <c r="AP3" i="10"/>
  <c r="AO3" i="10"/>
  <c r="AN3" i="10"/>
  <c r="AM3" i="10"/>
  <c r="AL3" i="10"/>
  <c r="AT2" i="10"/>
  <c r="AS2" i="10"/>
  <c r="AR2" i="10"/>
  <c r="AQ2" i="10"/>
  <c r="AP2" i="10"/>
  <c r="AO2" i="10"/>
  <c r="AN2" i="10"/>
  <c r="AM2" i="10"/>
  <c r="AL2" i="10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Z34" i="1"/>
  <c r="Y34" i="1"/>
  <c r="X34" i="1"/>
  <c r="B34" i="4" l="1"/>
  <c r="B35" i="8"/>
  <c r="K33" i="6"/>
  <c r="J33" i="6"/>
  <c r="I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G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<sst xmlns="http://schemas.openxmlformats.org/spreadsheetml/2006/main" count="290" uniqueCount="129">
  <si>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</si>
  <si>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</si>
  <si>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</si>
  <si>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</si>
  <si>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</si>
  <si>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</si>
  <si>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</si>
  <si>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</si>
  <si>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</si>
  <si>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</si>
  <si>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</si>
  <si>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</si>
  <si>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</si>
  <si>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</si>
  <si>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</si>
  <si>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</si>
  <si>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</si>
  <si>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</si>
  <si>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</si>
  <si>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</si>
  <si>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</si>
  <si>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</si>
  <si>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</si>
  <si>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</si>
  <si>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</si>
  <si>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</si>
  <si>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</si>
  <si>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</si>
  <si>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</si>
  <si>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</si>
  <si>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</si>
  <si>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</si>
  <si>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</si>
  <si>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</si>
  <si>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</si>
  <si>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</si>
  <si>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</si>
  <si>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</si>
  <si>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</si>
  <si>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</si>
  <si>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</si>
  <si>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</si>
  <si>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</si>
  <si>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</si>
  <si>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</si>
  <si>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</si>
  <si>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</si>
  <si>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</si>
  <si>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</si>
  <si>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</si>
  <si>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</si>
  <si>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</si>
  <si>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</si>
  <si>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</si>
  <si>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</si>
  <si>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</si>
  <si>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</si>
  <si>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</si>
  <si>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</si>
  <si>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</si>
  <si>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</si>
  <si>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</si>
  <si>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</si>
  <si>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</si>
  <si>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</si>
  <si>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</si>
  <si>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</si>
  <si>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</si>
  <si>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</si>
  <si>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</si>
  <si>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</si>
  <si>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</si>
  <si>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</si>
  <si>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</si>
  <si>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</si>
  <si>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</si>
  <si>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</si>
  <si>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</si>
  <si>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</si>
  <si>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</si>
  <si>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</si>
  <si>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</si>
  <si>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</si>
  <si>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</si>
  <si>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</si>
  <si>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</si>
  <si>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</si>
  <si>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</si>
  <si>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</si>
  <si>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</si>
  <si>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</si>
  <si>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</si>
  <si>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</si>
  <si>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</si>
  <si>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</si>
  <si>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</si>
  <si>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</si>
  <si>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</si>
  <si>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</si>
  <si>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</si>
  <si>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</si>
  <si>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</si>
  <si>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</si>
  <si>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</si>
  <si>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</si>
  <si>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</si>
  <si>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</si>
  <si>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</si>
  <si>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</si>
  <si>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</si>
  <si>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</si>
  <si>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</si>
  <si>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</si>
  <si>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</si>
  <si>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</si>
  <si>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</si>
  <si>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</si>
  <si>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</si>
  <si>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</si>
  <si>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</si>
  <si>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Total Fuel Oil  (Liters) </t>
  </si>
  <si>
    <t>Water Utility Supply (m3) m3</t>
  </si>
  <si>
    <t>Water Utility Supply (m3) $/m3</t>
  </si>
  <si>
    <t>Laundry MWH A</t>
  </si>
  <si>
    <t>Laundry MWH B</t>
  </si>
  <si>
    <t>Laundry MWH C</t>
  </si>
  <si>
    <t xml:space="preserve"> Laundry</t>
  </si>
  <si>
    <t xml:space="preserve"> Guest Room Water Bungalow KWH</t>
  </si>
  <si>
    <t>Feeder 301-319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</si>
</sst>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4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center" vertical="center" wrapText="1"/>
    </xf>
    <xf numFmtId="0" fontId="5" fillId="0" borderId="0" xfId="1"/>
    <xf numFmtId="0" fontId="7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9" fillId="8" borderId="13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4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5" fillId="9" borderId="1" xfId="1" applyNumberFormat="1" applyFill="1" applyBorder="1" applyAlignment="1">
      <alignment horizontal="center"/>
    </xf>
    <xf numFmtId="1" fontId="5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/>
    </xf>
    <xf numFmtId="165" fontId="11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4" fillId="3" borderId="1" xfId="0" applyNumberFormat="1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horizontal="center" vertical="center"/>
    </xf>
    <xf numFmtId="43" fontId="4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5" fillId="9" borderId="1" xfId="1" applyNumberFormat="1" applyFill="1" applyBorder="1" applyAlignment="1">
      <alignment horizontal="center" vertical="center"/>
    </xf>
    <xf numFmtId="166" fontId="5" fillId="9" borderId="1" xfId="1" applyNumberFormat="1" applyFill="1" applyBorder="1" applyAlignment="1">
      <alignment horizontal="left" vertical="center"/>
    </xf>
    <xf numFmtId="43" fontId="5" fillId="4" borderId="1" xfId="1" applyNumberFormat="1" applyFill="1" applyBorder="1" applyAlignment="1">
      <alignment vertical="center"/>
    </xf>
    <xf numFmtId="166" fontId="5" fillId="9" borderId="1" xfId="2" applyNumberFormat="1" applyFont="1" applyFill="1" applyBorder="1" applyAlignment="1">
      <alignment horizontal="center" vertical="center"/>
    </xf>
    <xf numFmtId="1" fontId="10" fillId="5" borderId="1" xfId="1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8" fillId="8" borderId="1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1" xfId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/>
    </xf>
    <xf numFmtId="0" fontId="17" fillId="0" borderId="0" xfId="0" applyFont="1"/>
    <xf numFmtId="0" fontId="18" fillId="0" borderId="1" xfId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7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9AB6-4945-89E5-67BB821920C9}"/>
                </c:ex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9AB6-4945-89E5-67BB821920C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E-9AB6-4945-89E5-67BB821920C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7240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81054608"/>
        <c:axId val="-1281053520"/>
      </c:barChart>
      <c:catAx>
        <c:axId val="-1281054608"/>
        <c:scaling>
          <c:orientation val="minMax"/>
        </c:scaling>
        <c:delete val="1"/>
        <c:axPos val="b"/>
        <c:majorTickMark val="none"/>
        <c:minorTickMark val="none"/>
        <c:tickLblPos val="nextTo"/>
        <c:crossAx val="-1281053520"/>
        <c:crosses val="autoZero"/>
        <c:auto val="1"/>
        <c:lblAlgn val="ctr"/>
        <c:lblOffset val="100"/>
        <c:noMultiLvlLbl val="0"/>
      </c:catAx>
      <c:valAx>
        <c:axId val="-12810535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-1281054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85" zoomScaleNormal="85" workbookViewId="0">
      <selection activeCell="E1" sqref="E1"/>
    </sheetView>
  </sheetViews>
  <sheetFormatPr defaultRowHeight="12.75" x14ac:dyDescent="0.2"/>
  <cols>
    <col min="1" max="1" width="23" style="42" bestFit="1" customWidth="1"/>
    <col min="2" max="4" width="9.140625" style="42"/>
    <col min="5" max="5" width="11" style="42" customWidth="1"/>
    <col min="6" max="6" width="12.140625" style="42" customWidth="1"/>
    <col min="7" max="7" width="10.85546875" style="42" customWidth="1"/>
    <col min="8" max="8" width="9.85546875" style="42" customWidth="1"/>
    <col min="9" max="11" width="10.28515625" style="42" bestFit="1" customWidth="1"/>
    <col min="12" max="16384" width="9.140625" style="42"/>
  </cols>
  <sheetData>
    <row r="1" spans="1:11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  <c r="F1" s="41" t="s">
        <v>5</v>
      </c>
      <c r="G1" s="40" t="s">
        <v>121</v>
      </c>
      <c r="H1" s="41" t="s">
        <v>122</v>
      </c>
      <c r="I1" s="40" t="s">
        <v>6</v>
      </c>
      <c r="J1" s="40" t="s">
        <v>7</v>
      </c>
      <c r="K1" s="40" t="s">
        <v>8</v>
      </c>
    </row>
    <row r="2" spans="1:11" ht="15" x14ac:dyDescent="0.25">
      <c r="A2" s="43" t="s">
        <v>9</v>
      </c>
      <c r="B2" s="44">
        <v>1</v>
      </c>
      <c r="C2" s="45">
        <v>6</v>
      </c>
      <c r="D2" s="44">
        <v>2021</v>
      </c>
      <c r="E2" s="102">
        <v>22750.000000000684</v>
      </c>
      <c r="F2" s="46">
        <v>0.14000000000000001</v>
      </c>
      <c r="G2" s="63">
        <v>428</v>
      </c>
      <c r="H2" s="74">
        <v>0.4</v>
      </c>
      <c r="I2" s="70">
        <v>20</v>
      </c>
      <c r="J2" s="70">
        <v>46</v>
      </c>
      <c r="K2" s="70">
        <v>141</v>
      </c>
    </row>
    <row r="3" spans="1:11" ht="15" x14ac:dyDescent="0.25">
      <c r="A3" s="43" t="s">
        <v>9</v>
      </c>
      <c r="B3" s="44">
        <f>B2+1</f>
        <v>2</v>
      </c>
      <c r="C3" s="45">
        <v>6</v>
      </c>
      <c r="D3" s="44">
        <v>2021</v>
      </c>
      <c r="E3" s="102">
        <v>23169.999999999618</v>
      </c>
      <c r="F3" s="46">
        <v>0.14000000000000001</v>
      </c>
      <c r="G3" s="63">
        <v>334</v>
      </c>
      <c r="H3" s="74">
        <v>0.4</v>
      </c>
      <c r="I3" s="70">
        <v>20</v>
      </c>
      <c r="J3" s="70">
        <v>47</v>
      </c>
      <c r="K3" s="70">
        <v>130</v>
      </c>
    </row>
    <row r="4" spans="1:11" ht="15" x14ac:dyDescent="0.25">
      <c r="A4" s="43" t="s">
        <v>9</v>
      </c>
      <c r="B4" s="44">
        <f t="shared" ref="B4:B32" si="0">B3+1</f>
        <v>3</v>
      </c>
      <c r="C4" s="45">
        <v>6</v>
      </c>
      <c r="D4" s="44">
        <v>2021</v>
      </c>
      <c r="E4" s="102">
        <v>22990.00000000024</v>
      </c>
      <c r="F4" s="46">
        <v>0.14000000000000001</v>
      </c>
      <c r="G4" s="63">
        <v>346</v>
      </c>
      <c r="H4" s="74">
        <v>0.4</v>
      </c>
      <c r="I4" s="70">
        <v>19</v>
      </c>
      <c r="J4" s="70">
        <v>46</v>
      </c>
      <c r="K4" s="70">
        <v>130</v>
      </c>
    </row>
    <row r="5" spans="1:11" ht="15" x14ac:dyDescent="0.25">
      <c r="A5" s="43" t="s">
        <v>9</v>
      </c>
      <c r="B5" s="44">
        <f t="shared" si="0"/>
        <v>4</v>
      </c>
      <c r="C5" s="45">
        <v>6</v>
      </c>
      <c r="D5" s="44">
        <v>2021</v>
      </c>
      <c r="E5" s="102">
        <v>22279.99999999952</v>
      </c>
      <c r="F5" s="46">
        <v>0.14000000000000001</v>
      </c>
      <c r="G5" s="63">
        <v>292</v>
      </c>
      <c r="H5" s="74">
        <v>0.4</v>
      </c>
      <c r="I5" s="70">
        <v>16</v>
      </c>
      <c r="J5" s="70">
        <v>40</v>
      </c>
      <c r="K5" s="70">
        <v>99</v>
      </c>
    </row>
    <row r="6" spans="1:11" ht="15" x14ac:dyDescent="0.25">
      <c r="A6" s="43" t="s">
        <v>9</v>
      </c>
      <c r="B6" s="44">
        <f t="shared" si="0"/>
        <v>5</v>
      </c>
      <c r="C6" s="45">
        <v>6</v>
      </c>
      <c r="D6" s="44">
        <v>2021</v>
      </c>
      <c r="E6" s="102">
        <v>22609.999999999673</v>
      </c>
      <c r="F6" s="46">
        <v>0.14000000000000001</v>
      </c>
      <c r="G6" s="63">
        <v>347</v>
      </c>
      <c r="H6" s="74">
        <v>0.4</v>
      </c>
      <c r="I6" s="70">
        <v>14</v>
      </c>
      <c r="J6" s="70">
        <v>36</v>
      </c>
      <c r="K6" s="70">
        <v>137</v>
      </c>
    </row>
    <row r="7" spans="1:11" ht="15" x14ac:dyDescent="0.25">
      <c r="A7" s="43" t="s">
        <v>9</v>
      </c>
      <c r="B7" s="44">
        <f t="shared" si="0"/>
        <v>6</v>
      </c>
      <c r="C7" s="45">
        <v>6</v>
      </c>
      <c r="D7" s="44">
        <v>2021</v>
      </c>
      <c r="E7" s="102">
        <v>22650.000000001004</v>
      </c>
      <c r="F7" s="46">
        <v>0.14000000000000001</v>
      </c>
      <c r="G7" s="63">
        <v>328</v>
      </c>
      <c r="H7" s="74">
        <v>0.4</v>
      </c>
      <c r="I7" s="70">
        <v>9</v>
      </c>
      <c r="J7" s="70">
        <v>24</v>
      </c>
      <c r="K7" s="70">
        <v>51</v>
      </c>
    </row>
    <row r="8" spans="1:11" ht="15" x14ac:dyDescent="0.25">
      <c r="A8" s="43" t="s">
        <v>9</v>
      </c>
      <c r="B8" s="44">
        <f t="shared" si="0"/>
        <v>7</v>
      </c>
      <c r="C8" s="45">
        <v>6</v>
      </c>
      <c r="D8" s="44">
        <v>2021</v>
      </c>
      <c r="E8" s="102">
        <v>23299.999999999498</v>
      </c>
      <c r="F8" s="46">
        <v>0.14000000000000001</v>
      </c>
      <c r="G8" s="63">
        <v>314</v>
      </c>
      <c r="H8" s="74">
        <v>0.4</v>
      </c>
      <c r="I8" s="70">
        <v>10</v>
      </c>
      <c r="J8" s="70">
        <v>26</v>
      </c>
      <c r="K8" s="70">
        <v>125</v>
      </c>
    </row>
    <row r="9" spans="1:11" ht="15" x14ac:dyDescent="0.25">
      <c r="A9" s="43" t="s">
        <v>9</v>
      </c>
      <c r="B9" s="44">
        <f t="shared" si="0"/>
        <v>8</v>
      </c>
      <c r="C9" s="45">
        <v>6</v>
      </c>
      <c r="D9" s="44">
        <v>2021</v>
      </c>
      <c r="E9" s="102">
        <v>22609.999999999447</v>
      </c>
      <c r="F9" s="46">
        <v>0.14000000000000001</v>
      </c>
      <c r="G9" s="63">
        <v>387</v>
      </c>
      <c r="H9" s="74">
        <v>0.4</v>
      </c>
      <c r="I9" s="70">
        <v>13</v>
      </c>
      <c r="J9" s="70">
        <v>32</v>
      </c>
      <c r="K9" s="70">
        <v>80</v>
      </c>
    </row>
    <row r="10" spans="1:11" ht="15" x14ac:dyDescent="0.25">
      <c r="A10" s="43" t="s">
        <v>9</v>
      </c>
      <c r="B10" s="44">
        <f t="shared" si="0"/>
        <v>9</v>
      </c>
      <c r="C10" s="45">
        <v>6</v>
      </c>
      <c r="D10" s="44">
        <v>2021</v>
      </c>
      <c r="E10" s="102">
        <v>23510.000000001128</v>
      </c>
      <c r="F10" s="46">
        <v>0.14000000000000001</v>
      </c>
      <c r="G10" s="63">
        <v>254</v>
      </c>
      <c r="H10" s="74">
        <v>0.4</v>
      </c>
      <c r="I10" s="70">
        <v>17</v>
      </c>
      <c r="J10" s="70">
        <v>39</v>
      </c>
      <c r="K10" s="70">
        <v>140</v>
      </c>
    </row>
    <row r="11" spans="1:11" ht="15" x14ac:dyDescent="0.25">
      <c r="A11" s="43" t="s">
        <v>9</v>
      </c>
      <c r="B11" s="44">
        <f t="shared" si="0"/>
        <v>10</v>
      </c>
      <c r="C11" s="45">
        <v>6</v>
      </c>
      <c r="D11" s="44">
        <v>2021</v>
      </c>
      <c r="E11" s="102">
        <v>23329.999999999927</v>
      </c>
      <c r="F11" s="46">
        <v>0.14000000000000001</v>
      </c>
      <c r="G11" s="63">
        <v>343</v>
      </c>
      <c r="H11" s="74">
        <v>0.4</v>
      </c>
      <c r="I11" s="70">
        <v>16</v>
      </c>
      <c r="J11" s="70">
        <v>40</v>
      </c>
      <c r="K11" s="70">
        <v>112</v>
      </c>
    </row>
    <row r="12" spans="1:11" ht="15" x14ac:dyDescent="0.25">
      <c r="A12" s="43" t="s">
        <v>9</v>
      </c>
      <c r="B12" s="44">
        <f t="shared" si="0"/>
        <v>11</v>
      </c>
      <c r="C12" s="45">
        <v>6</v>
      </c>
      <c r="D12" s="44">
        <v>2021</v>
      </c>
      <c r="E12" s="102">
        <v>22709.999999999127</v>
      </c>
      <c r="F12" s="46">
        <v>0.14000000000000001</v>
      </c>
      <c r="G12" s="63">
        <v>257</v>
      </c>
      <c r="H12" s="74">
        <v>0.4</v>
      </c>
      <c r="I12" s="70">
        <v>19</v>
      </c>
      <c r="J12" s="70">
        <v>44</v>
      </c>
      <c r="K12" s="70">
        <v>116</v>
      </c>
    </row>
    <row r="13" spans="1:11" ht="15" x14ac:dyDescent="0.25">
      <c r="A13" s="43" t="s">
        <v>9</v>
      </c>
      <c r="B13" s="44">
        <f t="shared" si="0"/>
        <v>12</v>
      </c>
      <c r="C13" s="45">
        <v>6</v>
      </c>
      <c r="D13" s="44">
        <v>2021</v>
      </c>
      <c r="E13" s="102">
        <v>22700.000000001637</v>
      </c>
      <c r="F13" s="46">
        <v>0.14000000000000001</v>
      </c>
      <c r="G13" s="63">
        <v>273</v>
      </c>
      <c r="H13" s="74">
        <v>0.4</v>
      </c>
      <c r="I13" s="70">
        <v>20</v>
      </c>
      <c r="J13" s="70">
        <v>50</v>
      </c>
      <c r="K13" s="70">
        <v>151</v>
      </c>
    </row>
    <row r="14" spans="1:11" ht="15" x14ac:dyDescent="0.25">
      <c r="A14" s="43" t="s">
        <v>9</v>
      </c>
      <c r="B14" s="44">
        <f t="shared" si="0"/>
        <v>13</v>
      </c>
      <c r="C14" s="45">
        <v>6</v>
      </c>
      <c r="D14" s="44">
        <v>2021</v>
      </c>
      <c r="E14" s="102">
        <v>23749.999999999091</v>
      </c>
      <c r="F14" s="46">
        <v>0.14000000000000001</v>
      </c>
      <c r="G14" s="63">
        <v>291</v>
      </c>
      <c r="H14" s="74">
        <v>0.4</v>
      </c>
      <c r="I14" s="70">
        <v>18</v>
      </c>
      <c r="J14" s="70">
        <v>49</v>
      </c>
      <c r="K14" s="70">
        <v>144</v>
      </c>
    </row>
    <row r="15" spans="1:11" ht="15" x14ac:dyDescent="0.25">
      <c r="A15" s="43" t="s">
        <v>9</v>
      </c>
      <c r="B15" s="44">
        <f t="shared" si="0"/>
        <v>14</v>
      </c>
      <c r="C15" s="45">
        <v>6</v>
      </c>
      <c r="D15" s="44">
        <v>2021</v>
      </c>
      <c r="E15" s="102">
        <v>22739.999999999782</v>
      </c>
      <c r="F15" s="46">
        <v>0.14000000000000001</v>
      </c>
      <c r="G15" s="63">
        <v>274</v>
      </c>
      <c r="H15" s="74">
        <v>0.4</v>
      </c>
      <c r="I15" s="70">
        <v>11</v>
      </c>
      <c r="J15" s="70">
        <v>32</v>
      </c>
      <c r="K15" s="70">
        <v>78</v>
      </c>
    </row>
    <row r="16" spans="1:11" ht="15" x14ac:dyDescent="0.25">
      <c r="A16" s="43" t="s">
        <v>9</v>
      </c>
      <c r="B16" s="44">
        <f t="shared" si="0"/>
        <v>15</v>
      </c>
      <c r="C16" s="45">
        <v>6</v>
      </c>
      <c r="D16" s="44">
        <v>2021</v>
      </c>
      <c r="E16" s="102">
        <v>22609.999999999902</v>
      </c>
      <c r="F16" s="46">
        <v>0.14000000000000001</v>
      </c>
      <c r="G16" s="63">
        <v>329</v>
      </c>
      <c r="H16" s="74">
        <v>0.4</v>
      </c>
      <c r="I16" s="70">
        <v>9</v>
      </c>
      <c r="J16" s="70">
        <v>30</v>
      </c>
      <c r="K16" s="70">
        <v>69</v>
      </c>
    </row>
    <row r="17" spans="1:11" ht="15" x14ac:dyDescent="0.25">
      <c r="A17" s="43" t="s">
        <v>9</v>
      </c>
      <c r="B17" s="44">
        <f t="shared" si="0"/>
        <v>16</v>
      </c>
      <c r="C17" s="45">
        <v>6</v>
      </c>
      <c r="D17" s="44">
        <v>2021</v>
      </c>
      <c r="E17" s="102">
        <v>18020.000000000211</v>
      </c>
      <c r="F17" s="46">
        <v>0.14000000000000001</v>
      </c>
      <c r="G17" s="63">
        <v>281</v>
      </c>
      <c r="H17" s="74">
        <v>0.4</v>
      </c>
      <c r="I17" s="70">
        <v>14</v>
      </c>
      <c r="J17" s="70">
        <v>41</v>
      </c>
      <c r="K17" s="70">
        <v>104</v>
      </c>
    </row>
    <row r="18" spans="1:11" ht="15" x14ac:dyDescent="0.25">
      <c r="A18" s="43" t="s">
        <v>9</v>
      </c>
      <c r="B18" s="44">
        <f t="shared" si="0"/>
        <v>17</v>
      </c>
      <c r="C18" s="45">
        <v>6</v>
      </c>
      <c r="D18" s="44">
        <v>2021</v>
      </c>
      <c r="E18" s="102">
        <v>28610.000000000124</v>
      </c>
      <c r="F18" s="46">
        <v>0.14000000000000001</v>
      </c>
      <c r="G18" s="63">
        <v>346</v>
      </c>
      <c r="H18" s="74">
        <v>0.4</v>
      </c>
      <c r="I18" s="70">
        <v>13</v>
      </c>
      <c r="J18" s="70">
        <v>33</v>
      </c>
      <c r="K18" s="70">
        <v>90</v>
      </c>
    </row>
    <row r="19" spans="1:11" ht="15" x14ac:dyDescent="0.25">
      <c r="A19" s="43" t="s">
        <v>9</v>
      </c>
      <c r="B19" s="44">
        <f t="shared" si="0"/>
        <v>18</v>
      </c>
      <c r="C19" s="45">
        <v>6</v>
      </c>
      <c r="D19" s="44">
        <v>2021</v>
      </c>
      <c r="E19" s="102">
        <v>23489.999999999327</v>
      </c>
      <c r="F19" s="46">
        <v>0.14000000000000001</v>
      </c>
      <c r="G19" s="63">
        <v>327</v>
      </c>
      <c r="H19" s="74">
        <v>0.4</v>
      </c>
      <c r="I19" s="70">
        <v>17</v>
      </c>
      <c r="J19" s="70">
        <v>41</v>
      </c>
      <c r="K19" s="70">
        <v>120</v>
      </c>
    </row>
    <row r="20" spans="1:11" ht="15" x14ac:dyDescent="0.25">
      <c r="A20" s="43" t="s">
        <v>9</v>
      </c>
      <c r="B20" s="44">
        <f t="shared" si="0"/>
        <v>19</v>
      </c>
      <c r="C20" s="45">
        <v>6</v>
      </c>
      <c r="D20" s="44">
        <v>2021</v>
      </c>
      <c r="E20" s="102">
        <v>23380.000000000109</v>
      </c>
      <c r="F20" s="46">
        <v>0.14000000000000001</v>
      </c>
      <c r="G20" s="63">
        <v>283</v>
      </c>
      <c r="H20" s="74">
        <v>0.4</v>
      </c>
      <c r="I20" s="70">
        <v>21</v>
      </c>
      <c r="J20" s="70">
        <v>50</v>
      </c>
      <c r="K20" s="70">
        <v>153</v>
      </c>
    </row>
    <row r="21" spans="1:11" ht="15" x14ac:dyDescent="0.25">
      <c r="A21" s="43" t="s">
        <v>9</v>
      </c>
      <c r="B21" s="44">
        <f t="shared" si="0"/>
        <v>20</v>
      </c>
      <c r="C21" s="45">
        <v>6</v>
      </c>
      <c r="D21" s="44">
        <v>2021</v>
      </c>
      <c r="E21" s="102">
        <v>22530.00000000111</v>
      </c>
      <c r="F21" s="46">
        <v>0.14000000000000001</v>
      </c>
      <c r="G21" s="63">
        <v>273</v>
      </c>
      <c r="H21" s="74">
        <v>0.4</v>
      </c>
      <c r="I21" s="70">
        <v>23</v>
      </c>
      <c r="J21" s="70">
        <v>56</v>
      </c>
      <c r="K21" s="70">
        <v>176</v>
      </c>
    </row>
    <row r="22" spans="1:11" ht="15" x14ac:dyDescent="0.25">
      <c r="A22" s="43" t="s">
        <v>9</v>
      </c>
      <c r="B22" s="44">
        <f t="shared" si="0"/>
        <v>21</v>
      </c>
      <c r="C22" s="45">
        <v>6</v>
      </c>
      <c r="D22" s="44">
        <v>2021</v>
      </c>
      <c r="E22" s="102">
        <v>24279.999999999061</v>
      </c>
      <c r="F22" s="46">
        <v>0.14000000000000001</v>
      </c>
      <c r="G22" s="63">
        <v>298</v>
      </c>
      <c r="H22" s="74">
        <v>0.4</v>
      </c>
      <c r="I22" s="70">
        <v>18</v>
      </c>
      <c r="J22" s="70">
        <v>52</v>
      </c>
      <c r="K22" s="70">
        <v>135</v>
      </c>
    </row>
    <row r="23" spans="1:11" ht="15" x14ac:dyDescent="0.25">
      <c r="A23" s="43" t="s">
        <v>9</v>
      </c>
      <c r="B23" s="44">
        <f t="shared" si="0"/>
        <v>22</v>
      </c>
      <c r="C23" s="45">
        <v>6</v>
      </c>
      <c r="D23" s="44">
        <v>2021</v>
      </c>
      <c r="E23" s="102">
        <v>23740.000000000236</v>
      </c>
      <c r="F23" s="46">
        <v>0.14000000000000001</v>
      </c>
      <c r="G23" s="63">
        <v>321</v>
      </c>
      <c r="H23" s="74">
        <v>0.4</v>
      </c>
      <c r="I23" s="70">
        <v>11</v>
      </c>
      <c r="J23" s="70">
        <v>34</v>
      </c>
      <c r="K23" s="70">
        <v>111</v>
      </c>
    </row>
    <row r="24" spans="1:11" ht="15" x14ac:dyDescent="0.25">
      <c r="A24" s="43" t="s">
        <v>9</v>
      </c>
      <c r="B24" s="44">
        <f t="shared" si="0"/>
        <v>23</v>
      </c>
      <c r="C24" s="45">
        <v>6</v>
      </c>
      <c r="D24" s="44">
        <v>2021</v>
      </c>
      <c r="E24" s="102">
        <v>22890.000000000098</v>
      </c>
      <c r="F24" s="46">
        <v>0.14000000000000001</v>
      </c>
      <c r="G24" s="63">
        <v>273</v>
      </c>
      <c r="H24" s="74">
        <v>0.4</v>
      </c>
      <c r="I24" s="70">
        <v>17</v>
      </c>
      <c r="J24" s="70">
        <v>50</v>
      </c>
      <c r="K24" s="70">
        <v>104</v>
      </c>
    </row>
    <row r="25" spans="1:11" ht="15" x14ac:dyDescent="0.25">
      <c r="A25" s="43" t="s">
        <v>9</v>
      </c>
      <c r="B25" s="44">
        <f t="shared" si="0"/>
        <v>24</v>
      </c>
      <c r="C25" s="45">
        <v>6</v>
      </c>
      <c r="D25" s="44">
        <v>2021</v>
      </c>
      <c r="E25" s="102"/>
      <c r="F25" s="46">
        <v>0.14000000000000001</v>
      </c>
      <c r="G25" s="63"/>
      <c r="H25" s="74">
        <v>0.4</v>
      </c>
      <c r="I25" s="70"/>
      <c r="J25" s="70"/>
      <c r="K25" s="70"/>
    </row>
    <row r="26" spans="1:11" ht="15" x14ac:dyDescent="0.25">
      <c r="A26" s="43" t="s">
        <v>9</v>
      </c>
      <c r="B26" s="44">
        <f>B25+1</f>
        <v>25</v>
      </c>
      <c r="C26" s="45">
        <v>6</v>
      </c>
      <c r="D26" s="44">
        <v>2021</v>
      </c>
      <c r="E26" s="102"/>
      <c r="F26" s="46">
        <v>0.14000000000000001</v>
      </c>
      <c r="G26" s="63"/>
      <c r="H26" s="74">
        <v>0.4</v>
      </c>
      <c r="I26" s="70"/>
      <c r="J26" s="70"/>
      <c r="K26" s="70"/>
    </row>
    <row r="27" spans="1:11" ht="15" x14ac:dyDescent="0.25">
      <c r="A27" s="43" t="s">
        <v>9</v>
      </c>
      <c r="B27" s="44">
        <f t="shared" si="0"/>
        <v>26</v>
      </c>
      <c r="C27" s="45">
        <v>6</v>
      </c>
      <c r="D27" s="44">
        <v>2021</v>
      </c>
      <c r="E27" s="102"/>
      <c r="F27" s="46">
        <v>0.14000000000000001</v>
      </c>
      <c r="G27" s="63"/>
      <c r="H27" s="74">
        <v>0.4</v>
      </c>
      <c r="I27" s="70"/>
      <c r="J27" s="70"/>
      <c r="K27" s="70"/>
    </row>
    <row r="28" spans="1:11" ht="15" x14ac:dyDescent="0.25">
      <c r="A28" s="43" t="s">
        <v>9</v>
      </c>
      <c r="B28" s="44">
        <f t="shared" si="0"/>
        <v>27</v>
      </c>
      <c r="C28" s="45">
        <v>6</v>
      </c>
      <c r="D28" s="44">
        <v>2021</v>
      </c>
      <c r="E28" s="102"/>
      <c r="F28" s="46">
        <v>0.14000000000000001</v>
      </c>
      <c r="G28" s="63"/>
      <c r="H28" s="74">
        <v>0.4</v>
      </c>
      <c r="I28" s="70"/>
      <c r="J28" s="70"/>
      <c r="K28" s="70"/>
    </row>
    <row r="29" spans="1:11" ht="15" x14ac:dyDescent="0.25">
      <c r="A29" s="43" t="s">
        <v>9</v>
      </c>
      <c r="B29" s="44">
        <f t="shared" si="0"/>
        <v>28</v>
      </c>
      <c r="C29" s="45">
        <v>6</v>
      </c>
      <c r="D29" s="44">
        <v>2021</v>
      </c>
      <c r="E29" s="102"/>
      <c r="F29" s="46">
        <v>0.14000000000000001</v>
      </c>
      <c r="G29" s="63"/>
      <c r="H29" s="74">
        <v>0.4</v>
      </c>
      <c r="I29" s="70"/>
      <c r="J29" s="70"/>
      <c r="K29" s="70"/>
    </row>
    <row r="30" spans="1:11" ht="15" x14ac:dyDescent="0.25">
      <c r="A30" s="43" t="s">
        <v>9</v>
      </c>
      <c r="B30" s="44">
        <f t="shared" si="0"/>
        <v>29</v>
      </c>
      <c r="C30" s="45">
        <v>6</v>
      </c>
      <c r="D30" s="44">
        <v>2021</v>
      </c>
      <c r="E30" s="102"/>
      <c r="F30" s="46">
        <v>0.14000000000000001</v>
      </c>
      <c r="G30" s="63"/>
      <c r="H30" s="74">
        <v>0.4</v>
      </c>
      <c r="I30" s="70"/>
      <c r="J30" s="70"/>
      <c r="K30" s="70"/>
    </row>
    <row r="31" spans="1:11" ht="15" x14ac:dyDescent="0.25">
      <c r="A31" s="43" t="s">
        <v>9</v>
      </c>
      <c r="B31" s="44">
        <f t="shared" si="0"/>
        <v>30</v>
      </c>
      <c r="C31" s="45">
        <v>6</v>
      </c>
      <c r="D31" s="44">
        <v>2021</v>
      </c>
      <c r="E31" s="102"/>
      <c r="F31" s="46">
        <v>0.14000000000000001</v>
      </c>
      <c r="G31" s="63"/>
      <c r="H31" s="74">
        <v>0.4</v>
      </c>
      <c r="I31" s="70"/>
      <c r="J31" s="70"/>
      <c r="K31" s="70"/>
    </row>
    <row r="32" spans="1:11" ht="15" x14ac:dyDescent="0.25">
      <c r="A32" s="43" t="s">
        <v>9</v>
      </c>
      <c r="B32" s="44">
        <f t="shared" si="0"/>
        <v>31</v>
      </c>
      <c r="C32" s="45">
        <v>6</v>
      </c>
      <c r="D32" s="44">
        <v>2021</v>
      </c>
      <c r="E32" s="102"/>
      <c r="F32" s="46">
        <v>0.14000000000000001</v>
      </c>
      <c r="G32" s="63"/>
      <c r="H32" s="74">
        <v>0.4</v>
      </c>
      <c r="I32" s="70"/>
      <c r="J32" s="70"/>
      <c r="K32" s="70"/>
    </row>
    <row r="33" spans="1:11" ht="18.75" customHeight="1" x14ac:dyDescent="0.2">
      <c r="A33" s="106" t="s">
        <v>51</v>
      </c>
      <c r="B33" s="106"/>
      <c r="C33" s="106"/>
      <c r="D33" s="106"/>
      <c r="E33" s="98">
        <f>SUM(E2:E32)</f>
        <v>530650.00000000047</v>
      </c>
      <c r="F33" s="100">
        <v>0</v>
      </c>
      <c r="G33" s="99">
        <f>SUM(G2:G32)</f>
        <v>7199</v>
      </c>
      <c r="H33" s="100">
        <v>0</v>
      </c>
      <c r="I33" s="101">
        <f t="shared" ref="I33:K33" si="1">SUM(I2:I32)</f>
        <v>365</v>
      </c>
      <c r="J33" s="101">
        <f t="shared" si="1"/>
        <v>938</v>
      </c>
      <c r="K33" s="101">
        <f t="shared" si="1"/>
        <v>2696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L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"/>
    </sheetView>
  </sheetViews>
  <sheetFormatPr defaultColWidth="11.5703125" defaultRowHeight="15" x14ac:dyDescent="0.25"/>
  <cols>
    <col min="1" max="1" width="22" style="132" bestFit="1" customWidth="1"/>
    <col min="2" max="2" width="11.5703125" style="15" customWidth="1"/>
    <col min="3" max="3" width="11.5703125" style="133" customWidth="1"/>
    <col min="4" max="4" width="13.42578125" style="15" customWidth="1"/>
    <col min="5" max="5" width="22.85546875" style="142" bestFit="1" customWidth="1"/>
    <col min="6" max="6" width="12" style="142" bestFit="1" customWidth="1"/>
    <col min="7" max="7" width="19.5703125" style="142" bestFit="1" customWidth="1"/>
    <col min="8" max="8" width="20" style="142" bestFit="1" customWidth="1"/>
    <col min="9" max="9" width="12.85546875" style="142" bestFit="1" customWidth="1"/>
    <col min="10" max="10" width="20.28515625" style="142" bestFit="1" customWidth="1"/>
    <col min="11" max="11" width="14.5703125" style="142" bestFit="1" customWidth="1"/>
    <col min="12" max="12" width="19.85546875" style="142" bestFit="1" customWidth="1"/>
    <col min="13" max="13" width="15.42578125" style="142" bestFit="1" customWidth="1"/>
    <col min="14" max="19" width="12.5703125" style="142" customWidth="1"/>
    <col min="20" max="23" width="11.5703125" style="142"/>
    <col min="24" max="24" width="11.5703125" style="143"/>
    <col min="25" max="25" width="11.5703125" style="142"/>
    <col min="26" max="46" width="11.5703125" style="144"/>
    <col min="47" max="63" width="11.5703125" style="139"/>
    <col min="64" max="64" width="11.5703125" style="136"/>
  </cols>
  <sheetData>
    <row r="1" spans="1:64" s="132" customFormat="1" ht="51" customHeight="1" x14ac:dyDescent="0.25">
      <c r="A1" s="38" t="s">
        <v>0</v>
      </c>
      <c r="B1" s="38" t="s">
        <v>1</v>
      </c>
      <c r="C1" s="39" t="s">
        <v>2</v>
      </c>
      <c r="D1" s="38" t="s">
        <v>3</v>
      </c>
      <c r="E1" s="140" t="s">
        <v>10</v>
      </c>
      <c r="F1" s="140" t="s">
        <v>11</v>
      </c>
      <c r="G1" s="140" t="s">
        <v>12</v>
      </c>
      <c r="H1" s="140" t="s">
        <v>128</v>
      </c>
      <c r="I1" s="140" t="s">
        <v>14</v>
      </c>
      <c r="J1" s="140" t="s">
        <v>15</v>
      </c>
      <c r="K1" s="140" t="s">
        <v>16</v>
      </c>
      <c r="L1" s="140" t="s">
        <v>17</v>
      </c>
      <c r="M1" s="140" t="s">
        <v>123</v>
      </c>
      <c r="N1" s="140" t="s">
        <v>124</v>
      </c>
      <c r="O1" s="140" t="s">
        <v>125</v>
      </c>
      <c r="P1" s="140" t="s">
        <v>18</v>
      </c>
      <c r="Q1" s="140" t="s">
        <v>19</v>
      </c>
      <c r="R1" s="140" t="s">
        <v>20</v>
      </c>
      <c r="S1" s="140" t="s">
        <v>21</v>
      </c>
      <c r="T1" s="140" t="s">
        <v>22</v>
      </c>
      <c r="U1" s="140" t="s">
        <v>23</v>
      </c>
      <c r="V1" s="140" t="s">
        <v>24</v>
      </c>
      <c r="W1" s="140" t="s">
        <v>25</v>
      </c>
      <c r="X1" s="140" t="s">
        <v>36</v>
      </c>
      <c r="Y1" s="140" t="s">
        <v>37</v>
      </c>
      <c r="Z1" s="140" t="s">
        <v>38</v>
      </c>
      <c r="AA1" s="140" t="s">
        <v>43</v>
      </c>
      <c r="AB1" s="140" t="s">
        <v>44</v>
      </c>
      <c r="AC1" s="140" t="s">
        <v>45</v>
      </c>
      <c r="AD1" s="140" t="s">
        <v>46</v>
      </c>
      <c r="AE1" s="140" t="s">
        <v>47</v>
      </c>
      <c r="AF1" s="140" t="s">
        <v>48</v>
      </c>
      <c r="AG1" s="140" t="s">
        <v>49</v>
      </c>
      <c r="AH1" s="140" t="s">
        <v>50</v>
      </c>
      <c r="AI1" s="140" t="s">
        <v>41</v>
      </c>
      <c r="AJ1" s="140" t="s">
        <v>42</v>
      </c>
      <c r="AK1" s="140" t="s">
        <v>52</v>
      </c>
      <c r="AL1" s="140" t="s">
        <v>53</v>
      </c>
      <c r="AM1" s="140" t="s">
        <v>54</v>
      </c>
      <c r="AN1" s="140" t="s">
        <v>55</v>
      </c>
      <c r="AO1" s="140" t="s">
        <v>56</v>
      </c>
      <c r="AP1" s="140" t="s">
        <v>57</v>
      </c>
      <c r="AQ1" s="140" t="s">
        <v>39</v>
      </c>
      <c r="AR1" s="140" t="s">
        <v>127</v>
      </c>
      <c r="AS1" s="140" t="s">
        <v>59</v>
      </c>
      <c r="AT1" s="140" t="s">
        <v>60</v>
      </c>
      <c r="AU1" s="137" t="s">
        <v>90</v>
      </c>
      <c r="AV1" s="137" t="s">
        <v>91</v>
      </c>
      <c r="AW1" s="137" t="s">
        <v>92</v>
      </c>
      <c r="AX1" s="137" t="s">
        <v>93</v>
      </c>
      <c r="AY1" s="137" t="s">
        <v>94</v>
      </c>
      <c r="AZ1" s="137" t="s">
        <v>126</v>
      </c>
      <c r="BA1" s="137" t="s">
        <v>96</v>
      </c>
      <c r="BB1" s="137" t="s">
        <v>97</v>
      </c>
      <c r="BC1" s="137" t="s">
        <v>98</v>
      </c>
      <c r="BD1" s="137" t="s">
        <v>99</v>
      </c>
      <c r="BE1" s="137" t="s">
        <v>100</v>
      </c>
      <c r="BF1" s="137" t="s">
        <v>101</v>
      </c>
      <c r="BG1" s="137" t="s">
        <v>102</v>
      </c>
      <c r="BH1" s="137" t="s">
        <v>103</v>
      </c>
      <c r="BI1" s="137" t="s">
        <v>104</v>
      </c>
      <c r="BJ1" s="137" t="s">
        <v>105</v>
      </c>
      <c r="BK1" s="137" t="s">
        <v>106</v>
      </c>
      <c r="BL1" s="134" t="s">
        <v>120</v>
      </c>
    </row>
    <row r="2" spans="1:64" x14ac:dyDescent="0.25">
      <c r="A2" s="43" t="s">
        <v>9</v>
      </c>
      <c r="B2" s="44">
        <v>1</v>
      </c>
      <c r="C2" s="45">
        <v>6</v>
      </c>
      <c r="D2" s="44">
        <v>2021</v>
      </c>
      <c r="E2" s="141">
        <f>'Kwh Reading'!B3</f>
        <v>941.59</v>
      </c>
      <c r="F2" s="141">
        <f>'Kwh Reading'!C3</f>
        <v>222.83</v>
      </c>
      <c r="G2" s="141">
        <f>'Kwh Reading'!D3</f>
        <v>7406516.4000000004</v>
      </c>
      <c r="H2" s="141">
        <f>'Kwh Reading'!E3</f>
        <v>8087986.3700000001</v>
      </c>
      <c r="I2" s="141">
        <f>'Kwh Reading'!F3</f>
        <v>2.3081</v>
      </c>
      <c r="J2" s="141">
        <f>'Kwh Reading'!G3</f>
        <v>719.09</v>
      </c>
      <c r="K2" s="141">
        <f>'Kwh Reading'!H3</f>
        <v>608.01</v>
      </c>
      <c r="L2" s="141">
        <f>'Kwh Reading'!I3</f>
        <v>226.28</v>
      </c>
      <c r="M2" s="141">
        <f>'Kwh Reading'!J3</f>
        <v>310.55</v>
      </c>
      <c r="N2" s="141">
        <f>'Kwh Reading'!K3</f>
        <v>333.63</v>
      </c>
      <c r="O2" s="141">
        <f>'Kwh Reading'!L3</f>
        <v>228.43</v>
      </c>
      <c r="P2" s="141">
        <f>'Kwh Reading'!M3</f>
        <v>494.46</v>
      </c>
      <c r="Q2" s="141">
        <f>'Kwh Reading'!N3</f>
        <v>448.54</v>
      </c>
      <c r="R2" s="141">
        <f>'Kwh Reading'!O3</f>
        <v>144.04</v>
      </c>
      <c r="S2" s="141">
        <f>'Kwh Reading'!P3</f>
        <v>586.59</v>
      </c>
      <c r="T2" s="141">
        <f>'Kwh Reading'!Q3</f>
        <v>439.13</v>
      </c>
      <c r="U2" s="141">
        <f>'Kwh Reading'!R3</f>
        <v>148.63999999999999</v>
      </c>
      <c r="V2" s="141">
        <f>'Kwh Reading'!S3</f>
        <v>111.34</v>
      </c>
      <c r="W2" s="141">
        <f>'Kwh Reading'!T3</f>
        <v>407.66</v>
      </c>
      <c r="X2" s="141">
        <f>'Kwh Consumption'!J4</f>
        <v>119.99999999999034</v>
      </c>
      <c r="Y2" s="141">
        <f>'Kwh Consumption'!K4</f>
        <v>310.00000000000227</v>
      </c>
      <c r="Z2" s="141">
        <f>'Kwh Consumption'!L4</f>
        <v>1179.99999999995</v>
      </c>
      <c r="AA2" s="141">
        <f>'Kwh Consumption'!M4</f>
        <v>780.00000000002956</v>
      </c>
      <c r="AB2" s="141">
        <f>'Kwh Consumption'!N4</f>
        <v>509.99999999999091</v>
      </c>
      <c r="AC2" s="141">
        <f>'Kwh Consumption'!O4</f>
        <v>1089.9999999999181</v>
      </c>
      <c r="AD2" s="141">
        <f>'Kwh Consumption'!P4</f>
        <v>929.99999999994998</v>
      </c>
      <c r="AE2" s="141">
        <f>'Kwh Consumption'!Q4</f>
        <v>670.00000000001592</v>
      </c>
      <c r="AF2" s="141">
        <f>'Kwh Consumption'!R4</f>
        <v>769.99999999998181</v>
      </c>
      <c r="AG2" s="141">
        <f>'Kwh Consumption'!S4</f>
        <v>3109.160000000149</v>
      </c>
      <c r="AH2" s="141">
        <f>'Kwh Consumption'!T4</f>
        <v>2552.5599999995902</v>
      </c>
      <c r="AI2" s="141">
        <f>'Kwh Consumption'!U4</f>
        <v>260.00000000001933</v>
      </c>
      <c r="AJ2" s="141">
        <f>'Kwh Consumption'!V4</f>
        <v>9668.2800000006937</v>
      </c>
      <c r="AK2" s="141">
        <f>'Kwh area wise '!C3</f>
        <v>479.99999999996135</v>
      </c>
      <c r="AL2" s="141">
        <f>'Kwh area wise '!D3</f>
        <v>1999.9999999997797</v>
      </c>
      <c r="AM2" s="141">
        <f>'Kwh area wise '!E3</f>
        <v>209.99999999997954</v>
      </c>
      <c r="AN2" s="141">
        <f>'Kwh area wise '!F3</f>
        <v>549.99999999998295</v>
      </c>
      <c r="AO2" s="141">
        <f>'Kwh area wise '!G3</f>
        <v>450.00000000000284</v>
      </c>
      <c r="AP2" s="141">
        <f>'Kwh area wise '!H3</f>
        <v>1489.9999999999523</v>
      </c>
      <c r="AQ2" s="141">
        <f>'Kwh area wise '!I3</f>
        <v>4749.9999999998863</v>
      </c>
      <c r="AR2" s="141">
        <f>'Kwh area wise '!J3</f>
        <v>5661.7199999997392</v>
      </c>
      <c r="AS2" s="141">
        <f>'Kwh area wise '!K3</f>
        <v>260.00000000001933</v>
      </c>
      <c r="AT2" s="141">
        <f>'Kwh area wise '!L3</f>
        <v>6898.280000001384</v>
      </c>
      <c r="AU2" s="138">
        <f>'Water Reading'!B3</f>
        <v>160897</v>
      </c>
      <c r="AV2" s="138">
        <f>'Water Reading'!C3</f>
        <v>121531</v>
      </c>
      <c r="AW2" s="138">
        <f>'Water Reading'!D3</f>
        <v>204645</v>
      </c>
      <c r="AX2" s="138">
        <f>'Water Reading'!E3</f>
        <v>245992</v>
      </c>
      <c r="AY2" s="138">
        <f>'Water Reading'!F3</f>
        <v>66906</v>
      </c>
      <c r="AZ2" s="138">
        <f>'Water Reading'!G3</f>
        <v>111170</v>
      </c>
      <c r="BA2" s="138">
        <f>'Water Reading'!H3</f>
        <v>51028</v>
      </c>
      <c r="BB2" s="138">
        <f>'Water Reading'!I3</f>
        <v>62884</v>
      </c>
      <c r="BC2" s="138">
        <f>'Water Reading'!J3</f>
        <v>19755</v>
      </c>
      <c r="BD2" s="138">
        <f>'Water Reading'!K3</f>
        <v>1024</v>
      </c>
      <c r="BE2" s="138">
        <f>'Water Reading'!L3</f>
        <v>17035</v>
      </c>
      <c r="BF2" s="138">
        <f>'Water Reading'!M3</f>
        <v>23724</v>
      </c>
      <c r="BG2" s="138">
        <f>'Water Reading'!N3</f>
        <v>7075</v>
      </c>
      <c r="BH2" s="138">
        <f>'Water Reading'!O3</f>
        <v>1640</v>
      </c>
      <c r="BI2" s="138">
        <f>'Water Reading'!P3</f>
        <v>26689</v>
      </c>
      <c r="BJ2" s="138">
        <f>'Water Reading'!Q3</f>
        <v>503</v>
      </c>
      <c r="BK2" s="138">
        <f>'Water Reading'!R3</f>
        <v>6107</v>
      </c>
      <c r="BL2" s="135">
        <f>'Kwh Reading'!U3</f>
        <v>6559</v>
      </c>
    </row>
    <row r="3" spans="1:64" x14ac:dyDescent="0.25">
      <c r="A3" s="43" t="s">
        <v>9</v>
      </c>
      <c r="B3" s="44">
        <f>B2+1</f>
        <v>2</v>
      </c>
      <c r="C3" s="45">
        <v>6</v>
      </c>
      <c r="D3" s="44">
        <v>2021</v>
      </c>
      <c r="E3" s="141">
        <f>'Kwh Reading'!B4</f>
        <v>942.77</v>
      </c>
      <c r="F3" s="141">
        <f>'Kwh Reading'!C4</f>
        <v>223.04</v>
      </c>
      <c r="G3" s="141">
        <f>'Kwh Reading'!D4</f>
        <v>7409068.96</v>
      </c>
      <c r="H3" s="141">
        <f>'Kwh Reading'!E4</f>
        <v>8091095.5300000003</v>
      </c>
      <c r="I3" s="141">
        <f>'Kwh Reading'!F4</f>
        <v>2.3100999999999998</v>
      </c>
      <c r="J3" s="141">
        <f>'Kwh Reading'!G4</f>
        <v>720.02</v>
      </c>
      <c r="K3" s="141">
        <f>'Kwh Reading'!H4</f>
        <v>608.52</v>
      </c>
      <c r="L3" s="141">
        <f>'Kwh Reading'!I4</f>
        <v>226.59</v>
      </c>
      <c r="M3" s="141">
        <f>'Kwh Reading'!J4</f>
        <v>310.7</v>
      </c>
      <c r="N3" s="141">
        <f>'Kwh Reading'!K4</f>
        <v>333.86</v>
      </c>
      <c r="O3" s="141">
        <f>'Kwh Reading'!L4</f>
        <v>228.6</v>
      </c>
      <c r="P3" s="141">
        <f>'Kwh Reading'!M4</f>
        <v>495.24</v>
      </c>
      <c r="Q3" s="141">
        <f>'Kwh Reading'!N4</f>
        <v>449.31</v>
      </c>
      <c r="R3" s="141">
        <f>'Kwh Reading'!O4</f>
        <v>144.30000000000001</v>
      </c>
      <c r="S3" s="141">
        <f>'Kwh Reading'!P4</f>
        <v>587.67999999999995</v>
      </c>
      <c r="T3" s="141">
        <f>'Kwh Reading'!Q4</f>
        <v>439.8</v>
      </c>
      <c r="U3" s="141">
        <f>'Kwh Reading'!R4</f>
        <v>148.97</v>
      </c>
      <c r="V3" s="141">
        <f>'Kwh Reading'!S4</f>
        <v>111.46</v>
      </c>
      <c r="W3" s="141">
        <f>'Kwh Reading'!T4</f>
        <v>408.14</v>
      </c>
      <c r="X3" s="141">
        <f>'Kwh Consumption'!J5</f>
        <v>150.00000000000568</v>
      </c>
      <c r="Y3" s="141">
        <f>'Kwh Consumption'!K5</f>
        <v>329.99999999998408</v>
      </c>
      <c r="Z3" s="141">
        <f>'Kwh Consumption'!L5</f>
        <v>1240.0000000000091</v>
      </c>
      <c r="AA3" s="141">
        <f>'Kwh Consumption'!M5</f>
        <v>769.99999999998181</v>
      </c>
      <c r="AB3" s="141">
        <f>'Kwh Consumption'!N5</f>
        <v>580.00000000004093</v>
      </c>
      <c r="AC3" s="141">
        <f>'Kwh Consumption'!O5</f>
        <v>1150.0000000000909</v>
      </c>
      <c r="AD3" s="141">
        <f>'Kwh Consumption'!P5</f>
        <v>990.00000000000909</v>
      </c>
      <c r="AE3" s="141">
        <f>'Kwh Consumption'!Q5</f>
        <v>729.99999999996135</v>
      </c>
      <c r="AF3" s="141">
        <f>'Kwh Consumption'!R5</f>
        <v>819.99999999999318</v>
      </c>
      <c r="AG3" s="141">
        <f>'Kwh Consumption'!S5</f>
        <v>3181.7900000000373</v>
      </c>
      <c r="AH3" s="141">
        <f>'Kwh Consumption'!T5</f>
        <v>2623.1299999998882</v>
      </c>
      <c r="AI3" s="141">
        <f>'Kwh Consumption'!U5</f>
        <v>269.99999999998181</v>
      </c>
      <c r="AJ3" s="141">
        <f>'Kwh Consumption'!V5</f>
        <v>6415.0799999996307</v>
      </c>
      <c r="AK3" s="141">
        <f>'Kwh area wise '!C4</f>
        <v>500</v>
      </c>
      <c r="AL3" s="141">
        <f>'Kwh area wise '!D4</f>
        <v>2299.9999999999686</v>
      </c>
      <c r="AM3" s="141">
        <f>'Kwh area wise '!E4</f>
        <v>210.00000000000796</v>
      </c>
      <c r="AN3" s="141">
        <f>'Kwh area wise '!F4</f>
        <v>580.00000000001251</v>
      </c>
      <c r="AO3" s="141">
        <f>'Kwh area wise '!G4</f>
        <v>480.00000000001819</v>
      </c>
      <c r="AP3" s="141">
        <f>'Kwh area wise '!H4</f>
        <v>1569.9999999999932</v>
      </c>
      <c r="AQ3" s="141">
        <f>'Kwh area wise '!I4</f>
        <v>5040.0000000000764</v>
      </c>
      <c r="AR3" s="141">
        <f>'Kwh area wise '!J4</f>
        <v>5804.9199999999255</v>
      </c>
      <c r="AS3" s="141">
        <f>'Kwh area wise '!K4</f>
        <v>269.99999999998181</v>
      </c>
      <c r="AT3" s="141">
        <f>'Kwh area wise '!L4</f>
        <v>6415.0799999996379</v>
      </c>
      <c r="AU3" s="138">
        <f>'Water Reading'!B4</f>
        <v>161062</v>
      </c>
      <c r="AV3" s="138">
        <f>'Water Reading'!C4</f>
        <v>121808</v>
      </c>
      <c r="AW3" s="138">
        <f>'Water Reading'!D4</f>
        <v>204812</v>
      </c>
      <c r="AX3" s="138">
        <f>'Water Reading'!E4</f>
        <v>246049</v>
      </c>
      <c r="AY3" s="138">
        <f>'Water Reading'!F4</f>
        <v>66907</v>
      </c>
      <c r="AZ3" s="138">
        <f>'Water Reading'!G4</f>
        <v>111184</v>
      </c>
      <c r="BA3" s="138">
        <f>'Water Reading'!H4</f>
        <v>51123</v>
      </c>
      <c r="BB3" s="138">
        <f>'Water Reading'!I4</f>
        <v>63020</v>
      </c>
      <c r="BC3" s="138">
        <f>'Water Reading'!J4</f>
        <v>19768</v>
      </c>
      <c r="BD3" s="138">
        <f>'Water Reading'!K4</f>
        <v>1024</v>
      </c>
      <c r="BE3" s="138">
        <f>'Water Reading'!L4</f>
        <v>17042</v>
      </c>
      <c r="BF3" s="138">
        <f>'Water Reading'!M4</f>
        <v>23739</v>
      </c>
      <c r="BG3" s="138">
        <f>'Water Reading'!N4</f>
        <v>7078</v>
      </c>
      <c r="BH3" s="138">
        <f>'Water Reading'!O4</f>
        <v>1641</v>
      </c>
      <c r="BI3" s="138">
        <f>'Water Reading'!P4</f>
        <v>26789</v>
      </c>
      <c r="BJ3" s="138">
        <f>'Water Reading'!Q4</f>
        <v>505.3</v>
      </c>
      <c r="BK3" s="138">
        <f>'Water Reading'!R4</f>
        <v>6111</v>
      </c>
      <c r="BL3" s="135">
        <f>'Kwh Reading'!U4</f>
        <v>6159</v>
      </c>
    </row>
    <row r="4" spans="1:64" x14ac:dyDescent="0.25">
      <c r="A4" s="43" t="s">
        <v>9</v>
      </c>
      <c r="B4" s="44">
        <f t="shared" ref="B4:B31" si="0">B3+1</f>
        <v>3</v>
      </c>
      <c r="C4" s="45">
        <v>6</v>
      </c>
      <c r="D4" s="44">
        <v>2021</v>
      </c>
      <c r="E4" s="141">
        <f>'Kwh Reading'!B5</f>
        <v>944.01</v>
      </c>
      <c r="F4" s="141">
        <f>'Kwh Reading'!C5</f>
        <v>223.25</v>
      </c>
      <c r="G4" s="141">
        <f>'Kwh Reading'!D5</f>
        <v>7411692.0899999999</v>
      </c>
      <c r="H4" s="141">
        <f>'Kwh Reading'!E5</f>
        <v>8094277.3200000003</v>
      </c>
      <c r="I4" s="141">
        <f>'Kwh Reading'!F5</f>
        <v>2.3123999999999998</v>
      </c>
      <c r="J4" s="141">
        <f>'Kwh Reading'!G5</f>
        <v>721.01</v>
      </c>
      <c r="K4" s="141">
        <f>'Kwh Reading'!H5</f>
        <v>609.1</v>
      </c>
      <c r="L4" s="141">
        <f>'Kwh Reading'!I5</f>
        <v>226.92</v>
      </c>
      <c r="M4" s="141">
        <f>'Kwh Reading'!J5</f>
        <v>310.87</v>
      </c>
      <c r="N4" s="141">
        <f>'Kwh Reading'!K5</f>
        <v>334.11</v>
      </c>
      <c r="O4" s="141">
        <f>'Kwh Reading'!L5</f>
        <v>228.76</v>
      </c>
      <c r="P4" s="141">
        <f>'Kwh Reading'!M5</f>
        <v>496.01</v>
      </c>
      <c r="Q4" s="141">
        <f>'Kwh Reading'!N5</f>
        <v>450.13</v>
      </c>
      <c r="R4" s="141">
        <f>'Kwh Reading'!O5</f>
        <v>144.57</v>
      </c>
      <c r="S4" s="141">
        <f>'Kwh Reading'!P5</f>
        <v>588.83000000000004</v>
      </c>
      <c r="T4" s="141">
        <f>'Kwh Reading'!Q5</f>
        <v>440.53</v>
      </c>
      <c r="U4" s="141">
        <f>'Kwh Reading'!R5</f>
        <v>149.30000000000001</v>
      </c>
      <c r="V4" s="141">
        <f>'Kwh Reading'!S5</f>
        <v>111.61</v>
      </c>
      <c r="W4" s="141">
        <f>'Kwh Reading'!T5</f>
        <v>408.64</v>
      </c>
      <c r="X4" s="141">
        <f>'Kwh Consumption'!J6</f>
        <v>120.00000000000455</v>
      </c>
      <c r="Y4" s="141">
        <f>'Kwh Consumption'!K6</f>
        <v>360.00000000001364</v>
      </c>
      <c r="Z4" s="141">
        <f>'Kwh Consumption'!L6</f>
        <v>1289.9999999999636</v>
      </c>
      <c r="AA4" s="141">
        <f>'Kwh Consumption'!M6</f>
        <v>790.00000000002046</v>
      </c>
      <c r="AB4" s="141">
        <f>'Kwh Consumption'!N6</f>
        <v>569.99999999993634</v>
      </c>
      <c r="AC4" s="141">
        <f>'Kwh Consumption'!O6</f>
        <v>1139.9999999999864</v>
      </c>
      <c r="AD4" s="141">
        <f>'Kwh Consumption'!P6</f>
        <v>970.00000000002728</v>
      </c>
      <c r="AE4" s="141">
        <f>'Kwh Consumption'!Q6</f>
        <v>670.00000000001592</v>
      </c>
      <c r="AF4" s="141">
        <f>'Kwh Consumption'!R6</f>
        <v>879.99999999999545</v>
      </c>
      <c r="AG4" s="141">
        <f>'Kwh Consumption'!S6</f>
        <v>3190.7799999993294</v>
      </c>
      <c r="AH4" s="141">
        <f>'Kwh Consumption'!T6</f>
        <v>2636.910000000149</v>
      </c>
      <c r="AI4" s="141">
        <f>'Kwh Consumption'!U6</f>
        <v>230.00000000001819</v>
      </c>
      <c r="AJ4" s="141">
        <f>'Kwh Consumption'!V6</f>
        <v>6062.3100000005616</v>
      </c>
      <c r="AK4" s="141">
        <f>'Kwh area wise '!C5</f>
        <v>520.00000000003865</v>
      </c>
      <c r="AL4" s="141">
        <f>'Kwh area wise '!D5</f>
        <v>2400.0000000001796</v>
      </c>
      <c r="AM4" s="141">
        <f>'Kwh area wise '!E5</f>
        <v>219.99999999999886</v>
      </c>
      <c r="AN4" s="141">
        <f>'Kwh area wise '!F5</f>
        <v>600.00000000002274</v>
      </c>
      <c r="AO4" s="141">
        <f>'Kwh area wise '!G5</f>
        <v>459.99999999997954</v>
      </c>
      <c r="AP4" s="141">
        <f>'Kwh area wise '!H5</f>
        <v>1649.9999999999773</v>
      </c>
      <c r="AQ4" s="141">
        <f>'Kwh area wise '!I5</f>
        <v>5019.9999999999818</v>
      </c>
      <c r="AR4" s="141">
        <f>'Kwh area wise '!J5</f>
        <v>5827.6899999994785</v>
      </c>
      <c r="AS4" s="141">
        <f>'Kwh area wise '!K5</f>
        <v>230.00000000001819</v>
      </c>
      <c r="AT4" s="141">
        <f>'Kwh area wise '!L5</f>
        <v>6062.3100000005652</v>
      </c>
      <c r="AU4" s="138">
        <f>'Water Reading'!B5</f>
        <v>161221</v>
      </c>
      <c r="AV4" s="138">
        <f>'Water Reading'!C5</f>
        <v>121993</v>
      </c>
      <c r="AW4" s="138">
        <f>'Water Reading'!D5</f>
        <v>205001</v>
      </c>
      <c r="AX4" s="138">
        <f>'Water Reading'!E5</f>
        <v>246104</v>
      </c>
      <c r="AY4" s="138">
        <f>'Water Reading'!F5</f>
        <v>66907</v>
      </c>
      <c r="AZ4" s="138">
        <f>'Water Reading'!G5</f>
        <v>111198</v>
      </c>
      <c r="BA4" s="138">
        <f>'Water Reading'!H5</f>
        <v>51231</v>
      </c>
      <c r="BB4" s="138">
        <f>'Water Reading'!I5</f>
        <v>63032</v>
      </c>
      <c r="BC4" s="138">
        <f>'Water Reading'!J5</f>
        <v>19781</v>
      </c>
      <c r="BD4" s="138">
        <f>'Water Reading'!K5</f>
        <v>1024</v>
      </c>
      <c r="BE4" s="138">
        <f>'Water Reading'!L5</f>
        <v>17047</v>
      </c>
      <c r="BF4" s="138">
        <f>'Water Reading'!M5</f>
        <v>23755</v>
      </c>
      <c r="BG4" s="138">
        <f>'Water Reading'!N5</f>
        <v>7082</v>
      </c>
      <c r="BH4" s="138">
        <f>'Water Reading'!O5</f>
        <v>1642</v>
      </c>
      <c r="BI4" s="138">
        <f>'Water Reading'!P5</f>
        <v>26789</v>
      </c>
      <c r="BJ4" s="138">
        <f>'Water Reading'!Q5</f>
        <v>513.70000000000005</v>
      </c>
      <c r="BK4" s="138">
        <f>'Water Reading'!R5</f>
        <v>6116</v>
      </c>
      <c r="BL4" s="135">
        <f>'Kwh Reading'!U5</f>
        <v>6405</v>
      </c>
    </row>
    <row r="5" spans="1:64" x14ac:dyDescent="0.25">
      <c r="A5" s="43" t="s">
        <v>9</v>
      </c>
      <c r="B5" s="44">
        <f t="shared" si="0"/>
        <v>4</v>
      </c>
      <c r="C5" s="45">
        <v>6</v>
      </c>
      <c r="D5" s="44">
        <v>2021</v>
      </c>
      <c r="E5" s="141">
        <f>'Kwh Reading'!B6</f>
        <v>945.3</v>
      </c>
      <c r="F5" s="141">
        <f>'Kwh Reading'!C6</f>
        <v>223.47</v>
      </c>
      <c r="G5" s="141">
        <f>'Kwh Reading'!D6</f>
        <v>7414329</v>
      </c>
      <c r="H5" s="141">
        <f>'Kwh Reading'!E6</f>
        <v>8097468.0999999996</v>
      </c>
      <c r="I5" s="141">
        <f>'Kwh Reading'!F6</f>
        <v>2.3148</v>
      </c>
      <c r="J5" s="141">
        <f>'Kwh Reading'!G6</f>
        <v>721.98</v>
      </c>
      <c r="K5" s="141">
        <f>'Kwh Reading'!H6</f>
        <v>609.66999999999996</v>
      </c>
      <c r="L5" s="141">
        <f>'Kwh Reading'!I6</f>
        <v>227.28</v>
      </c>
      <c r="M5" s="141">
        <f>'Kwh Reading'!J6</f>
        <v>311.05</v>
      </c>
      <c r="N5" s="141">
        <f>'Kwh Reading'!K6</f>
        <v>334.35</v>
      </c>
      <c r="O5" s="141">
        <f>'Kwh Reading'!L6</f>
        <v>228.94</v>
      </c>
      <c r="P5" s="141">
        <f>'Kwh Reading'!M6</f>
        <v>496.8</v>
      </c>
      <c r="Q5" s="141">
        <f>'Kwh Reading'!N6</f>
        <v>451.01</v>
      </c>
      <c r="R5" s="141">
        <f>'Kwh Reading'!O6</f>
        <v>144.80000000000001</v>
      </c>
      <c r="S5" s="141">
        <f>'Kwh Reading'!P6</f>
        <v>589.97</v>
      </c>
      <c r="T5" s="141">
        <f>'Kwh Reading'!Q6</f>
        <v>441.2</v>
      </c>
      <c r="U5" s="141">
        <f>'Kwh Reading'!R6</f>
        <v>149.63999999999999</v>
      </c>
      <c r="V5" s="141">
        <f>'Kwh Reading'!S6</f>
        <v>111.73</v>
      </c>
      <c r="W5" s="141">
        <f>'Kwh Reading'!T6</f>
        <v>409.16</v>
      </c>
      <c r="X5" s="141">
        <f>'Kwh Consumption'!J7</f>
        <v>119.99999999999034</v>
      </c>
      <c r="Y5" s="141">
        <f>'Kwh Consumption'!K7</f>
        <v>330.00000000001251</v>
      </c>
      <c r="Z5" s="141">
        <f>'Kwh Consumption'!L7</f>
        <v>1270.0000000000955</v>
      </c>
      <c r="AA5" s="141">
        <f>'Kwh Consumption'!M7</f>
        <v>800.00000000001137</v>
      </c>
      <c r="AB5" s="141">
        <f>'Kwh Consumption'!N7</f>
        <v>530.0000000000864</v>
      </c>
      <c r="AC5" s="141">
        <f>'Kwh Consumption'!O7</f>
        <v>1069.9999999999363</v>
      </c>
      <c r="AD5" s="141">
        <f>'Kwh Consumption'!P7</f>
        <v>1000</v>
      </c>
      <c r="AE5" s="141">
        <f>'Kwh Consumption'!Q7</f>
        <v>710.00000000003638</v>
      </c>
      <c r="AF5" s="141">
        <f>'Kwh Consumption'!R7</f>
        <v>850.00000000002274</v>
      </c>
      <c r="AG5" s="141">
        <f>'Kwh Consumption'!S7</f>
        <v>2897.820000000298</v>
      </c>
      <c r="AH5" s="141">
        <f>'Kwh Consumption'!T7</f>
        <v>2605.1200000001118</v>
      </c>
      <c r="AI5" s="141">
        <f>'Kwh Consumption'!U7</f>
        <v>229.99999999998977</v>
      </c>
      <c r="AJ5" s="141">
        <f>'Kwh Consumption'!V7</f>
        <v>6067.0599999990482</v>
      </c>
      <c r="AK5" s="141">
        <f>'Kwh area wise '!C6</f>
        <v>289.99999999996362</v>
      </c>
      <c r="AL5" s="141">
        <f>'Kwh area wise '!D6</f>
        <v>2299.9999999999686</v>
      </c>
      <c r="AM5" s="141">
        <f>'Kwh area wise '!E6</f>
        <v>250</v>
      </c>
      <c r="AN5" s="141">
        <f>'Kwh area wise '!F6</f>
        <v>659.99999999993975</v>
      </c>
      <c r="AO5" s="141">
        <f>'Kwh area wise '!G6</f>
        <v>420.00000000000171</v>
      </c>
      <c r="AP5" s="141">
        <f>'Kwh area wise '!H6</f>
        <v>1600.000000000108</v>
      </c>
      <c r="AQ5" s="141">
        <f>'Kwh area wise '!I6</f>
        <v>4960.0000000000937</v>
      </c>
      <c r="AR5" s="141">
        <f>'Kwh area wise '!J6</f>
        <v>5502.9400000004098</v>
      </c>
      <c r="AS5" s="141">
        <f>'Kwh area wise '!K6</f>
        <v>229.99999999998977</v>
      </c>
      <c r="AT5" s="141">
        <f>'Kwh area wise '!L6</f>
        <v>6067.0599999990472</v>
      </c>
      <c r="AU5" s="138">
        <f>'Water Reading'!B6</f>
        <v>161337</v>
      </c>
      <c r="AV5" s="138">
        <f>'Water Reading'!C6</f>
        <v>122122</v>
      </c>
      <c r="AW5" s="138">
        <f>'Water Reading'!D6</f>
        <v>205144</v>
      </c>
      <c r="AX5" s="138">
        <f>'Water Reading'!E6</f>
        <v>246168</v>
      </c>
      <c r="AY5" s="138">
        <f>'Water Reading'!F6</f>
        <v>66908</v>
      </c>
      <c r="AZ5" s="138">
        <f>'Water Reading'!G6</f>
        <v>111214</v>
      </c>
      <c r="BA5" s="138">
        <f>'Water Reading'!H6</f>
        <v>51312</v>
      </c>
      <c r="BB5" s="138">
        <f>'Water Reading'!I6</f>
        <v>63057</v>
      </c>
      <c r="BC5" s="138">
        <f>'Water Reading'!J6</f>
        <v>19794</v>
      </c>
      <c r="BD5" s="138">
        <f>'Water Reading'!K6</f>
        <v>1024</v>
      </c>
      <c r="BE5" s="138">
        <f>'Water Reading'!L6</f>
        <v>17054</v>
      </c>
      <c r="BF5" s="138">
        <f>'Water Reading'!M6</f>
        <v>23777</v>
      </c>
      <c r="BG5" s="138">
        <f>'Water Reading'!N6</f>
        <v>7085</v>
      </c>
      <c r="BH5" s="138">
        <f>'Water Reading'!O6</f>
        <v>1643</v>
      </c>
      <c r="BI5" s="138">
        <f>'Water Reading'!P6</f>
        <v>26795</v>
      </c>
      <c r="BJ5" s="138">
        <f>'Water Reading'!Q6</f>
        <v>515</v>
      </c>
      <c r="BK5" s="138">
        <f>'Water Reading'!R6</f>
        <v>6122</v>
      </c>
      <c r="BL5" s="135">
        <f>'Kwh Reading'!U6</f>
        <v>6004</v>
      </c>
    </row>
    <row r="6" spans="1:64" x14ac:dyDescent="0.25">
      <c r="A6" s="43" t="s">
        <v>9</v>
      </c>
      <c r="B6" s="44">
        <f t="shared" si="0"/>
        <v>5</v>
      </c>
      <c r="C6" s="45">
        <v>6</v>
      </c>
      <c r="D6" s="44">
        <v>2021</v>
      </c>
      <c r="E6" s="141">
        <f>'Kwh Reading'!B7</f>
        <v>946.57</v>
      </c>
      <c r="F6" s="141">
        <f>'Kwh Reading'!C7</f>
        <v>223.72</v>
      </c>
      <c r="G6" s="141">
        <f>'Kwh Reading'!D7</f>
        <v>7416934.1200000001</v>
      </c>
      <c r="H6" s="141">
        <f>'Kwh Reading'!E7</f>
        <v>8100365.9199999999</v>
      </c>
      <c r="I6" s="141">
        <f>'Kwh Reading'!F7</f>
        <v>2.3170999999999999</v>
      </c>
      <c r="J6" s="141">
        <f>'Kwh Reading'!G7</f>
        <v>722.98</v>
      </c>
      <c r="K6" s="141">
        <f>'Kwh Reading'!H7</f>
        <v>610.20000000000005</v>
      </c>
      <c r="L6" s="141">
        <f>'Kwh Reading'!I7</f>
        <v>227.61</v>
      </c>
      <c r="M6" s="141">
        <f>'Kwh Reading'!J7</f>
        <v>311.27999999999997</v>
      </c>
      <c r="N6" s="141">
        <f>'Kwh Reading'!K7</f>
        <v>334.56</v>
      </c>
      <c r="O6" s="141">
        <f>'Kwh Reading'!L7</f>
        <v>229.16</v>
      </c>
      <c r="P6" s="141">
        <f>'Kwh Reading'!M7</f>
        <v>497.6</v>
      </c>
      <c r="Q6" s="141">
        <f>'Kwh Reading'!N7</f>
        <v>451.86</v>
      </c>
      <c r="R6" s="141">
        <f>'Kwh Reading'!O7</f>
        <v>145.03</v>
      </c>
      <c r="S6" s="141">
        <f>'Kwh Reading'!P7</f>
        <v>591.04</v>
      </c>
      <c r="T6" s="141">
        <f>'Kwh Reading'!Q7</f>
        <v>441.91</v>
      </c>
      <c r="U6" s="141">
        <f>'Kwh Reading'!R7</f>
        <v>149.94</v>
      </c>
      <c r="V6" s="141">
        <f>'Kwh Reading'!S7</f>
        <v>111.85</v>
      </c>
      <c r="W6" s="141">
        <f>'Kwh Reading'!T7</f>
        <v>409.45</v>
      </c>
      <c r="X6" s="141">
        <f>'Kwh Consumption'!J8</f>
        <v>140.00000000000057</v>
      </c>
      <c r="Y6" s="141">
        <f>'Kwh Consumption'!K8</f>
        <v>299.99999999998295</v>
      </c>
      <c r="Z6" s="141">
        <f>'Kwh Consumption'!L8</f>
        <v>1189.9999999999409</v>
      </c>
      <c r="AA6" s="141">
        <f>'Kwh Consumption'!M8</f>
        <v>769.99999999998181</v>
      </c>
      <c r="AB6" s="141">
        <f>'Kwh Consumption'!N8</f>
        <v>490.00000000000909</v>
      </c>
      <c r="AC6" s="141">
        <f>'Kwh Consumption'!O8</f>
        <v>1070.00000000005</v>
      </c>
      <c r="AD6" s="141">
        <f>'Kwh Consumption'!P8</f>
        <v>970.00000000002728</v>
      </c>
      <c r="AE6" s="141">
        <f>'Kwh Consumption'!Q8</f>
        <v>669.99999999995907</v>
      </c>
      <c r="AF6" s="141">
        <f>'Kwh Consumption'!R8</f>
        <v>959.99999999997954</v>
      </c>
      <c r="AG6" s="141">
        <f>'Kwh Consumption'!S8</f>
        <v>3076.3600000003353</v>
      </c>
      <c r="AH6" s="141">
        <f>'Kwh Consumption'!T8</f>
        <v>2368.25</v>
      </c>
      <c r="AI6" s="141">
        <f>'Kwh Consumption'!U8</f>
        <v>240.00000000000909</v>
      </c>
      <c r="AJ6" s="141">
        <f>'Kwh Consumption'!V8</f>
        <v>6705.3899999994137</v>
      </c>
      <c r="AK6" s="141">
        <f>'Kwh area wise '!C7</f>
        <v>480.00000000001819</v>
      </c>
      <c r="AL6" s="141">
        <f>'Kwh area wise '!D7</f>
        <v>2299.9999999999686</v>
      </c>
      <c r="AM6" s="141">
        <f>'Kwh area wise '!E7</f>
        <v>259.99999999999091</v>
      </c>
      <c r="AN6" s="141">
        <f>'Kwh area wise '!F7</f>
        <v>289.99999999999204</v>
      </c>
      <c r="AO6" s="141">
        <f>'Kwh area wise '!G7</f>
        <v>470.00000000001307</v>
      </c>
      <c r="AP6" s="141">
        <f>'Kwh area wise '!H7</f>
        <v>1489.9999999999238</v>
      </c>
      <c r="AQ6" s="141">
        <f>'Kwh area wise '!I7</f>
        <v>4930.0000000000073</v>
      </c>
      <c r="AR6" s="141">
        <f>'Kwh area wise '!J7</f>
        <v>5444.6100000003353</v>
      </c>
      <c r="AS6" s="141">
        <f>'Kwh area wise '!K7</f>
        <v>240.00000000000909</v>
      </c>
      <c r="AT6" s="141">
        <f>'Kwh area wise '!L7</f>
        <v>6705.3899999994119</v>
      </c>
      <c r="AU6" s="138">
        <f>'Water Reading'!B7</f>
        <v>161532</v>
      </c>
      <c r="AV6" s="138">
        <f>'Water Reading'!C7</f>
        <v>122374</v>
      </c>
      <c r="AW6" s="138">
        <f>'Water Reading'!D7</f>
        <v>205336</v>
      </c>
      <c r="AX6" s="138">
        <f>'Water Reading'!E7</f>
        <v>246233</v>
      </c>
      <c r="AY6" s="138">
        <f>'Water Reading'!F7</f>
        <v>66908</v>
      </c>
      <c r="AZ6" s="138">
        <f>'Water Reading'!G7</f>
        <v>111227</v>
      </c>
      <c r="BA6" s="138">
        <f>'Water Reading'!H7</f>
        <v>51318</v>
      </c>
      <c r="BB6" s="138">
        <f>'Water Reading'!I7</f>
        <v>63066</v>
      </c>
      <c r="BC6" s="138">
        <f>'Water Reading'!J7</f>
        <v>19809</v>
      </c>
      <c r="BD6" s="138">
        <f>'Water Reading'!K7</f>
        <v>1024</v>
      </c>
      <c r="BE6" s="138">
        <f>'Water Reading'!L7</f>
        <v>17061</v>
      </c>
      <c r="BF6" s="138">
        <f>'Water Reading'!M7</f>
        <v>23784</v>
      </c>
      <c r="BG6" s="138">
        <f>'Water Reading'!N7</f>
        <v>7087</v>
      </c>
      <c r="BH6" s="138">
        <f>'Water Reading'!O7</f>
        <v>1644</v>
      </c>
      <c r="BI6" s="138">
        <f>'Water Reading'!P7</f>
        <v>26799</v>
      </c>
      <c r="BJ6" s="138">
        <f>'Water Reading'!Q7</f>
        <v>579</v>
      </c>
      <c r="BK6" s="138">
        <f>'Water Reading'!R7</f>
        <v>6124</v>
      </c>
      <c r="BL6" s="135">
        <f>'Kwh Reading'!U7</f>
        <v>5993</v>
      </c>
    </row>
    <row r="7" spans="1:64" x14ac:dyDescent="0.25">
      <c r="A7" s="43" t="s">
        <v>9</v>
      </c>
      <c r="B7" s="44">
        <f t="shared" si="0"/>
        <v>6</v>
      </c>
      <c r="C7" s="45">
        <v>6</v>
      </c>
      <c r="D7" s="44">
        <v>2021</v>
      </c>
      <c r="E7" s="141">
        <f>'Kwh Reading'!B8</f>
        <v>947.76</v>
      </c>
      <c r="F7" s="141">
        <f>'Kwh Reading'!C8</f>
        <v>223.98</v>
      </c>
      <c r="G7" s="141">
        <f>'Kwh Reading'!D8</f>
        <v>7419302.3700000001</v>
      </c>
      <c r="H7" s="141">
        <f>'Kwh Reading'!E8</f>
        <v>8103442.2800000003</v>
      </c>
      <c r="I7" s="141">
        <f>'Kwh Reading'!F8</f>
        <v>2.3193999999999999</v>
      </c>
      <c r="J7" s="141">
        <f>'Kwh Reading'!G8</f>
        <v>723.95</v>
      </c>
      <c r="K7" s="141">
        <f>'Kwh Reading'!H8</f>
        <v>610.69000000000005</v>
      </c>
      <c r="L7" s="141">
        <f>'Kwh Reading'!I8</f>
        <v>227.91</v>
      </c>
      <c r="M7" s="141">
        <f>'Kwh Reading'!J8</f>
        <v>311.38</v>
      </c>
      <c r="N7" s="141">
        <f>'Kwh Reading'!K8</f>
        <v>334.65</v>
      </c>
      <c r="O7" s="141">
        <f>'Kwh Reading'!L8</f>
        <v>229.26</v>
      </c>
      <c r="P7" s="141">
        <f>'Kwh Reading'!M8</f>
        <v>498.37</v>
      </c>
      <c r="Q7" s="141">
        <f>'Kwh Reading'!N8</f>
        <v>452.82</v>
      </c>
      <c r="R7" s="141">
        <f>'Kwh Reading'!O8</f>
        <v>145.27000000000001</v>
      </c>
      <c r="S7" s="141">
        <f>'Kwh Reading'!P8</f>
        <v>592.11</v>
      </c>
      <c r="T7" s="141">
        <f>'Kwh Reading'!Q8</f>
        <v>442.58</v>
      </c>
      <c r="U7" s="141">
        <f>'Kwh Reading'!R8</f>
        <v>150.27000000000001</v>
      </c>
      <c r="V7" s="141">
        <f>'Kwh Reading'!S8</f>
        <v>111.99</v>
      </c>
      <c r="W7" s="141">
        <f>'Kwh Reading'!T8</f>
        <v>409.93</v>
      </c>
      <c r="X7" s="141">
        <f>'Kwh Consumption'!J9</f>
        <v>109.99999999999943</v>
      </c>
      <c r="Y7" s="141">
        <f>'Kwh Consumption'!K9</f>
        <v>319.99999999999318</v>
      </c>
      <c r="Z7" s="141">
        <f>'Kwh Consumption'!L9</f>
        <v>1350.0000000000227</v>
      </c>
      <c r="AA7" s="141">
        <f>'Kwh Consumption'!M9</f>
        <v>860.00000000001364</v>
      </c>
      <c r="AB7" s="141">
        <f>'Kwh Consumption'!N9</f>
        <v>539.99999999996362</v>
      </c>
      <c r="AC7" s="141">
        <f>'Kwh Consumption'!O9</f>
        <v>1090.0000000000318</v>
      </c>
      <c r="AD7" s="141">
        <f>'Kwh Consumption'!P9</f>
        <v>939.99999999994088</v>
      </c>
      <c r="AE7" s="141">
        <f>'Kwh Consumption'!Q9</f>
        <v>819.99999999999318</v>
      </c>
      <c r="AF7" s="141">
        <f>'Kwh Consumption'!R9</f>
        <v>579.99999999998408</v>
      </c>
      <c r="AG7" s="141">
        <f>'Kwh Consumption'!S9</f>
        <v>3034.3999999994412</v>
      </c>
      <c r="AH7" s="141">
        <f>'Kwh Consumption'!T9</f>
        <v>2475.269999999553</v>
      </c>
      <c r="AI7" s="141">
        <f>'Kwh Consumption'!U9</f>
        <v>259.99999999999091</v>
      </c>
      <c r="AJ7" s="141">
        <f>'Kwh Consumption'!V9</f>
        <v>6220.3300000019008</v>
      </c>
      <c r="AK7" s="141">
        <f>'Kwh area wise '!C8</f>
        <v>420.00000000001592</v>
      </c>
      <c r="AL7" s="141">
        <f>'Kwh area wise '!D8</f>
        <v>2600.0000000001578</v>
      </c>
      <c r="AM7" s="141">
        <f>'Kwh area wise '!E8</f>
        <v>170.00000000001592</v>
      </c>
      <c r="AN7" s="141">
        <f>'Kwh area wise '!F8</f>
        <v>689.99999999999773</v>
      </c>
      <c r="AO7" s="141">
        <f>'Kwh area wise '!G8</f>
        <v>279.99999999998693</v>
      </c>
      <c r="AP7" s="141">
        <f>'Kwh area wise '!H8</f>
        <v>1670.0000000000159</v>
      </c>
      <c r="AQ7" s="141">
        <f>'Kwh area wise '!I8</f>
        <v>4829.9999999999272</v>
      </c>
      <c r="AR7" s="141">
        <f>'Kwh area wise '!J8</f>
        <v>5509.6699999989942</v>
      </c>
      <c r="AS7" s="141">
        <f>'Kwh area wise '!K8</f>
        <v>259.99999999999091</v>
      </c>
      <c r="AT7" s="141">
        <f>'Kwh area wise '!L8</f>
        <v>6220.3300000019099</v>
      </c>
      <c r="AU7" s="138">
        <f>'Water Reading'!B8</f>
        <v>161708</v>
      </c>
      <c r="AV7" s="138">
        <f>'Water Reading'!C8</f>
        <v>122553</v>
      </c>
      <c r="AW7" s="138">
        <f>'Water Reading'!D8</f>
        <v>205574</v>
      </c>
      <c r="AX7" s="138">
        <f>'Water Reading'!E8</f>
        <v>246298</v>
      </c>
      <c r="AY7" s="138">
        <f>'Water Reading'!F8</f>
        <v>66909</v>
      </c>
      <c r="AZ7" s="138">
        <f>'Water Reading'!G8</f>
        <v>111235</v>
      </c>
      <c r="BA7" s="138">
        <f>'Water Reading'!H8</f>
        <v>51441</v>
      </c>
      <c r="BB7" s="138">
        <f>'Water Reading'!I8</f>
        <v>63089</v>
      </c>
      <c r="BC7" s="138">
        <f>'Water Reading'!J8</f>
        <v>19825</v>
      </c>
      <c r="BD7" s="138">
        <f>'Water Reading'!K8</f>
        <v>1024</v>
      </c>
      <c r="BE7" s="138">
        <f>'Water Reading'!L8</f>
        <v>17067</v>
      </c>
      <c r="BF7" s="138">
        <f>'Water Reading'!M8</f>
        <v>23797</v>
      </c>
      <c r="BG7" s="138">
        <f>'Water Reading'!N8</f>
        <v>7092</v>
      </c>
      <c r="BH7" s="138">
        <f>'Water Reading'!O8</f>
        <v>1645</v>
      </c>
      <c r="BI7" s="138">
        <f>'Water Reading'!P8</f>
        <v>26812</v>
      </c>
      <c r="BJ7" s="138">
        <f>'Water Reading'!Q8</f>
        <v>521</v>
      </c>
      <c r="BK7" s="138">
        <f>'Water Reading'!R8</f>
        <v>6128</v>
      </c>
      <c r="BL7" s="135">
        <f>'Kwh Reading'!U8</f>
        <v>6523</v>
      </c>
    </row>
    <row r="8" spans="1:64" x14ac:dyDescent="0.25">
      <c r="A8" s="43" t="s">
        <v>9</v>
      </c>
      <c r="B8" s="44">
        <f t="shared" si="0"/>
        <v>7</v>
      </c>
      <c r="C8" s="45">
        <v>6</v>
      </c>
      <c r="D8" s="44">
        <v>2021</v>
      </c>
      <c r="E8" s="141">
        <f>'Kwh Reading'!B9</f>
        <v>949.11</v>
      </c>
      <c r="F8" s="141">
        <f>'Kwh Reading'!C9</f>
        <v>224.15</v>
      </c>
      <c r="G8" s="141">
        <f>'Kwh Reading'!D9</f>
        <v>7421777.6399999997</v>
      </c>
      <c r="H8" s="141">
        <f>'Kwh Reading'!E9</f>
        <v>8106476.6799999997</v>
      </c>
      <c r="I8" s="141">
        <f>'Kwh Reading'!F9</f>
        <v>2.3220000000000001</v>
      </c>
      <c r="J8" s="141">
        <f>'Kwh Reading'!G9</f>
        <v>724.89</v>
      </c>
      <c r="K8" s="141">
        <f>'Kwh Reading'!H9</f>
        <v>611.23</v>
      </c>
      <c r="L8" s="141">
        <f>'Kwh Reading'!I9</f>
        <v>228.23</v>
      </c>
      <c r="M8" s="141">
        <f>'Kwh Reading'!J9</f>
        <v>311.58999999999997</v>
      </c>
      <c r="N8" s="141">
        <f>'Kwh Reading'!K9</f>
        <v>334.94</v>
      </c>
      <c r="O8" s="141">
        <f>'Kwh Reading'!L9</f>
        <v>229.45</v>
      </c>
      <c r="P8" s="141">
        <f>'Kwh Reading'!M9</f>
        <v>499.23</v>
      </c>
      <c r="Q8" s="141">
        <f>'Kwh Reading'!N9</f>
        <v>453.4</v>
      </c>
      <c r="R8" s="141">
        <f>'Kwh Reading'!O9</f>
        <v>145.53</v>
      </c>
      <c r="S8" s="141">
        <f>'Kwh Reading'!P9</f>
        <v>593.20000000000005</v>
      </c>
      <c r="T8" s="141">
        <f>'Kwh Reading'!Q9</f>
        <v>443.4</v>
      </c>
      <c r="U8" s="141">
        <f>'Kwh Reading'!R9</f>
        <v>150.44</v>
      </c>
      <c r="V8" s="141">
        <f>'Kwh Reading'!S9</f>
        <v>112.1</v>
      </c>
      <c r="W8" s="141">
        <f>'Kwh Reading'!T9</f>
        <v>410.35</v>
      </c>
      <c r="X8" s="141">
        <f>'Kwh Consumption'!J10</f>
        <v>120.00000000000455</v>
      </c>
      <c r="Y8" s="141">
        <f>'Kwh Consumption'!K10</f>
        <v>320.0000000000216</v>
      </c>
      <c r="Z8" s="141">
        <f>'Kwh Consumption'!L10</f>
        <v>1340.0000000000318</v>
      </c>
      <c r="AA8" s="141">
        <f>'Kwh Consumption'!M10</f>
        <v>909.99999999996817</v>
      </c>
      <c r="AB8" s="141">
        <f>'Kwh Consumption'!N10</f>
        <v>529.99999999997272</v>
      </c>
      <c r="AC8" s="141">
        <f>'Kwh Consumption'!O10</f>
        <v>1049.9999999999545</v>
      </c>
      <c r="AD8" s="141">
        <f>'Kwh Consumption'!P10</f>
        <v>909.99999999996817</v>
      </c>
      <c r="AE8" s="141">
        <f>'Kwh Consumption'!Q10</f>
        <v>820.00000000005002</v>
      </c>
      <c r="AF8" s="141">
        <f>'Kwh Consumption'!R10</f>
        <v>780.00000000002956</v>
      </c>
      <c r="AG8" s="141">
        <f>'Kwh Consumption'!S10</f>
        <v>3187.0800000000745</v>
      </c>
      <c r="AH8" s="141">
        <f>'Kwh Consumption'!T10</f>
        <v>2342.0500000007451</v>
      </c>
      <c r="AI8" s="141">
        <f>'Kwh Consumption'!U10</f>
        <v>289.99999999999204</v>
      </c>
      <c r="AJ8" s="141">
        <f>'Kwh Consumption'!V10</f>
        <v>6880.869999998733</v>
      </c>
      <c r="AK8" s="141">
        <f>'Kwh area wise '!C9</f>
        <v>409.99999999996817</v>
      </c>
      <c r="AL8" s="141">
        <f>'Kwh area wise '!D9</f>
        <v>2299.9999999999686</v>
      </c>
      <c r="AM8" s="141">
        <f>'Kwh area wise '!E9</f>
        <v>199.99999999998863</v>
      </c>
      <c r="AN8" s="141">
        <f>'Kwh area wise '!F9</f>
        <v>600.00000000002274</v>
      </c>
      <c r="AO8" s="141">
        <f>'Kwh area wise '!G9</f>
        <v>430.00000000000682</v>
      </c>
      <c r="AP8" s="141">
        <f>'Kwh area wise '!H9</f>
        <v>1660.0000000000534</v>
      </c>
      <c r="AQ8" s="141">
        <f>'Kwh area wise '!I9</f>
        <v>4999.9999999999436</v>
      </c>
      <c r="AR8" s="141">
        <f>'Kwh area wise '!J9</f>
        <v>5529.1300000008196</v>
      </c>
      <c r="AS8" s="141">
        <f>'Kwh area wise '!K9</f>
        <v>289.99999999999204</v>
      </c>
      <c r="AT8" s="141">
        <f>'Kwh area wise '!L9</f>
        <v>6880.8699999987357</v>
      </c>
      <c r="AU8" s="138">
        <f>'Water Reading'!B9</f>
        <v>162036</v>
      </c>
      <c r="AV8" s="138">
        <f>'Water Reading'!C9</f>
        <v>122867</v>
      </c>
      <c r="AW8" s="138">
        <f>'Water Reading'!D9</f>
        <v>205728</v>
      </c>
      <c r="AX8" s="138">
        <f>'Water Reading'!E9</f>
        <v>246365</v>
      </c>
      <c r="AY8" s="138">
        <f>'Water Reading'!F9</f>
        <v>66910</v>
      </c>
      <c r="AZ8" s="138">
        <f>'Water Reading'!G9</f>
        <v>111253</v>
      </c>
      <c r="BA8" s="138">
        <f>'Water Reading'!H9</f>
        <v>51517</v>
      </c>
      <c r="BB8" s="138">
        <f>'Water Reading'!I9</f>
        <v>63119</v>
      </c>
      <c r="BC8" s="138">
        <f>'Water Reading'!J9</f>
        <v>19841</v>
      </c>
      <c r="BD8" s="138">
        <f>'Water Reading'!K9</f>
        <v>1024</v>
      </c>
      <c r="BE8" s="138">
        <f>'Water Reading'!L9</f>
        <v>17074</v>
      </c>
      <c r="BF8" s="138">
        <f>'Water Reading'!M9</f>
        <v>23813</v>
      </c>
      <c r="BG8" s="138">
        <f>'Water Reading'!N9</f>
        <v>7094</v>
      </c>
      <c r="BH8" s="138">
        <f>'Water Reading'!O9</f>
        <v>1646</v>
      </c>
      <c r="BI8" s="138">
        <f>'Water Reading'!P9</f>
        <v>26830</v>
      </c>
      <c r="BJ8" s="138">
        <f>'Water Reading'!Q9</f>
        <v>529</v>
      </c>
      <c r="BK8" s="138">
        <f>'Water Reading'!R9</f>
        <v>6131</v>
      </c>
      <c r="BL8" s="135">
        <f>'Kwh Reading'!U9</f>
        <v>6177</v>
      </c>
    </row>
    <row r="9" spans="1:64" x14ac:dyDescent="0.25">
      <c r="A9" s="43" t="s">
        <v>9</v>
      </c>
      <c r="B9" s="44">
        <f t="shared" si="0"/>
        <v>8</v>
      </c>
      <c r="C9" s="45">
        <v>6</v>
      </c>
      <c r="D9" s="44">
        <v>2021</v>
      </c>
      <c r="E9" s="141">
        <f>'Kwh Reading'!B10</f>
        <v>950.45</v>
      </c>
      <c r="F9" s="141">
        <f>'Kwh Reading'!C10</f>
        <v>224.35</v>
      </c>
      <c r="G9" s="141">
        <f>'Kwh Reading'!D10</f>
        <v>7424119.6900000004</v>
      </c>
      <c r="H9" s="141">
        <f>'Kwh Reading'!E10</f>
        <v>8109663.7599999998</v>
      </c>
      <c r="I9" s="141">
        <f>'Kwh Reading'!F10</f>
        <v>2.3243</v>
      </c>
      <c r="J9" s="141">
        <f>'Kwh Reading'!G10</f>
        <v>725.8</v>
      </c>
      <c r="K9" s="141">
        <f>'Kwh Reading'!H10</f>
        <v>611.76</v>
      </c>
      <c r="L9" s="141">
        <f>'Kwh Reading'!I10</f>
        <v>228.55</v>
      </c>
      <c r="M9" s="141">
        <f>'Kwh Reading'!J10</f>
        <v>311.77999999999997</v>
      </c>
      <c r="N9" s="141">
        <f>'Kwh Reading'!K10</f>
        <v>335.16</v>
      </c>
      <c r="O9" s="141">
        <f>'Kwh Reading'!L10</f>
        <v>229.64</v>
      </c>
      <c r="P9" s="141">
        <f>'Kwh Reading'!M10</f>
        <v>500.14</v>
      </c>
      <c r="Q9" s="141">
        <f>'Kwh Reading'!N10</f>
        <v>454.18</v>
      </c>
      <c r="R9" s="141">
        <f>'Kwh Reading'!O10</f>
        <v>145.82</v>
      </c>
      <c r="S9" s="141">
        <f>'Kwh Reading'!P10</f>
        <v>594.25</v>
      </c>
      <c r="T9" s="141">
        <f>'Kwh Reading'!Q10</f>
        <v>444.22</v>
      </c>
      <c r="U9" s="141">
        <f>'Kwh Reading'!R10</f>
        <v>150.75</v>
      </c>
      <c r="V9" s="141">
        <f>'Kwh Reading'!S10</f>
        <v>112.22</v>
      </c>
      <c r="W9" s="141">
        <f>'Kwh Reading'!T10</f>
        <v>410.76</v>
      </c>
      <c r="X9" s="141">
        <f>'Kwh Consumption'!J11</f>
        <v>150.00000000000568</v>
      </c>
      <c r="Y9" s="141">
        <f>'Kwh Consumption'!K11</f>
        <v>319.99999999999318</v>
      </c>
      <c r="Z9" s="141">
        <f>'Kwh Consumption'!L11</f>
        <v>1240.0000000000091</v>
      </c>
      <c r="AA9" s="141">
        <f>'Kwh Consumption'!M11</f>
        <v>900.00000000003411</v>
      </c>
      <c r="AB9" s="141">
        <f>'Kwh Consumption'!N11</f>
        <v>470.00000000002728</v>
      </c>
      <c r="AC9" s="141">
        <f>'Kwh Consumption'!O11</f>
        <v>1039.9999999999636</v>
      </c>
      <c r="AD9" s="141">
        <f>'Kwh Consumption'!P11</f>
        <v>960.00000000003638</v>
      </c>
      <c r="AE9" s="141">
        <f>'Kwh Consumption'!Q11</f>
        <v>699.99999999998863</v>
      </c>
      <c r="AF9" s="141">
        <f>'Kwh Consumption'!R11</f>
        <v>819.99999999999318</v>
      </c>
      <c r="AG9" s="141">
        <f>'Kwh Consumption'!S11</f>
        <v>3252.570000000298</v>
      </c>
      <c r="AH9" s="141">
        <f>'Kwh Consumption'!T11</f>
        <v>2364.7900000000373</v>
      </c>
      <c r="AI9" s="141">
        <f>'Kwh Consumption'!U11</f>
        <v>290.00000000002046</v>
      </c>
      <c r="AJ9" s="141">
        <f>'Kwh Consumption'!V11</f>
        <v>6272.6399999990135</v>
      </c>
      <c r="AK9" s="141">
        <f>'Kwh area wise '!C10</f>
        <v>410.00000000002501</v>
      </c>
      <c r="AL9" s="141">
        <f>'Kwh area wise '!D10</f>
        <v>2299.9999999999686</v>
      </c>
      <c r="AM9" s="141">
        <f>'Kwh area wise '!E10</f>
        <v>219.99999999999886</v>
      </c>
      <c r="AN9" s="141">
        <f>'Kwh area wise '!F10</f>
        <v>590.00000000003183</v>
      </c>
      <c r="AO9" s="141">
        <f>'Kwh area wise '!G10</f>
        <v>460.00000000000796</v>
      </c>
      <c r="AP9" s="141">
        <f>'Kwh area wise '!H10</f>
        <v>1560.0000000000023</v>
      </c>
      <c r="AQ9" s="141">
        <f>'Kwh area wise '!I10</f>
        <v>4890.0000000000437</v>
      </c>
      <c r="AR9" s="141">
        <f>'Kwh area wise '!J10</f>
        <v>5617.3600000003353</v>
      </c>
      <c r="AS9" s="141">
        <f>'Kwh area wise '!K10</f>
        <v>290.00000000002046</v>
      </c>
      <c r="AT9" s="141">
        <f>'Kwh area wise '!L10</f>
        <v>6272.6399999990117</v>
      </c>
      <c r="AU9" s="138">
        <f>'Water Reading'!B10</f>
        <v>162367</v>
      </c>
      <c r="AV9" s="138">
        <f>'Water Reading'!C10</f>
        <v>123131</v>
      </c>
      <c r="AW9" s="138">
        <f>'Water Reading'!D10</f>
        <v>205904</v>
      </c>
      <c r="AX9" s="138">
        <f>'Water Reading'!E10</f>
        <v>246437</v>
      </c>
      <c r="AY9" s="138">
        <f>'Water Reading'!F10</f>
        <v>66911</v>
      </c>
      <c r="AZ9" s="138">
        <f>'Water Reading'!G10</f>
        <v>111266</v>
      </c>
      <c r="BA9" s="138">
        <f>'Water Reading'!H10</f>
        <v>51598</v>
      </c>
      <c r="BB9" s="138">
        <f>'Water Reading'!I10</f>
        <v>63140</v>
      </c>
      <c r="BC9" s="138">
        <f>'Water Reading'!J10</f>
        <v>19857</v>
      </c>
      <c r="BD9" s="138">
        <f>'Water Reading'!K10</f>
        <v>1024</v>
      </c>
      <c r="BE9" s="138">
        <f>'Water Reading'!L10</f>
        <v>17080</v>
      </c>
      <c r="BF9" s="138">
        <f>'Water Reading'!M10</f>
        <v>238298</v>
      </c>
      <c r="BG9" s="138">
        <f>'Water Reading'!N10</f>
        <v>7099</v>
      </c>
      <c r="BH9" s="138">
        <f>'Water Reading'!O10</f>
        <v>1646</v>
      </c>
      <c r="BI9" s="138">
        <f>'Water Reading'!P10</f>
        <v>26837</v>
      </c>
      <c r="BJ9" s="138">
        <f>'Water Reading'!Q10</f>
        <v>535</v>
      </c>
      <c r="BK9" s="138">
        <f>'Water Reading'!R10</f>
        <v>6135</v>
      </c>
      <c r="BL9" s="135">
        <f>'Kwh Reading'!U10</f>
        <v>6181</v>
      </c>
    </row>
    <row r="10" spans="1:64" x14ac:dyDescent="0.25">
      <c r="A10" s="43" t="s">
        <v>9</v>
      </c>
      <c r="B10" s="44">
        <f t="shared" si="0"/>
        <v>9</v>
      </c>
      <c r="C10" s="45">
        <v>6</v>
      </c>
      <c r="D10" s="44">
        <v>2021</v>
      </c>
      <c r="E10" s="141">
        <f>'Kwh Reading'!B11</f>
        <v>951.69</v>
      </c>
      <c r="F10" s="141">
        <f>'Kwh Reading'!C11</f>
        <v>224.57</v>
      </c>
      <c r="G10" s="141">
        <f>'Kwh Reading'!D11</f>
        <v>7426484.4800000004</v>
      </c>
      <c r="H10" s="141">
        <f>'Kwh Reading'!E11</f>
        <v>8112916.3300000001</v>
      </c>
      <c r="I10" s="141">
        <f>'Kwh Reading'!F11</f>
        <v>2.3266</v>
      </c>
      <c r="J10" s="141">
        <f>'Kwh Reading'!G11</f>
        <v>726.76</v>
      </c>
      <c r="K10" s="141">
        <f>'Kwh Reading'!H11</f>
        <v>612.23</v>
      </c>
      <c r="L10" s="141">
        <f>'Kwh Reading'!I11</f>
        <v>228.87</v>
      </c>
      <c r="M10" s="141">
        <f>'Kwh Reading'!J11</f>
        <v>311.99</v>
      </c>
      <c r="N10" s="141">
        <f>'Kwh Reading'!K11</f>
        <v>335.38</v>
      </c>
      <c r="O10" s="141">
        <f>'Kwh Reading'!L11</f>
        <v>229.8</v>
      </c>
      <c r="P10" s="141">
        <f>'Kwh Reading'!M11</f>
        <v>501.04</v>
      </c>
      <c r="Q10" s="141">
        <f>'Kwh Reading'!N11</f>
        <v>455</v>
      </c>
      <c r="R10" s="141">
        <f>'Kwh Reading'!O11</f>
        <v>146.11000000000001</v>
      </c>
      <c r="S10" s="141">
        <f>'Kwh Reading'!P11</f>
        <v>595.29</v>
      </c>
      <c r="T10" s="141">
        <f>'Kwh Reading'!Q11</f>
        <v>444.92</v>
      </c>
      <c r="U10" s="141">
        <f>'Kwh Reading'!R11</f>
        <v>151.06</v>
      </c>
      <c r="V10" s="141">
        <f>'Kwh Reading'!S11</f>
        <v>112.37</v>
      </c>
      <c r="W10" s="141">
        <f>'Kwh Reading'!T11</f>
        <v>411.17</v>
      </c>
      <c r="X10" s="141">
        <f>'Kwh Consumption'!J12</f>
        <v>140.00000000000057</v>
      </c>
      <c r="Y10" s="141">
        <f>'Kwh Consumption'!K12</f>
        <v>329.99999999998408</v>
      </c>
      <c r="Z10" s="141">
        <f>'Kwh Consumption'!L12</f>
        <v>1279.9999999999727</v>
      </c>
      <c r="AA10" s="141">
        <f>'Kwh Consumption'!M12</f>
        <v>919.99999999995907</v>
      </c>
      <c r="AB10" s="141">
        <f>'Kwh Consumption'!N12</f>
        <v>429.99999999994998</v>
      </c>
      <c r="AC10" s="141">
        <f>'Kwh Consumption'!O12</f>
        <v>1150.0000000000909</v>
      </c>
      <c r="AD10" s="141">
        <f>'Kwh Consumption'!P12</f>
        <v>950.00000000004547</v>
      </c>
      <c r="AE10" s="141">
        <f>'Kwh Consumption'!Q12</f>
        <v>1060.0000000000023</v>
      </c>
      <c r="AF10" s="141">
        <f>'Kwh Consumption'!R12</f>
        <v>839.99999999997499</v>
      </c>
      <c r="AG10" s="141">
        <f>'Kwh Consumption'!S12</f>
        <v>3432.75</v>
      </c>
      <c r="AH10" s="141">
        <f>'Kwh Consumption'!T12</f>
        <v>2460.6999999992549</v>
      </c>
      <c r="AI10" s="141">
        <f>'Kwh Consumption'!U12</f>
        <v>279.99999999997272</v>
      </c>
      <c r="AJ10" s="141">
        <f>'Kwh Consumption'!V12</f>
        <v>6276.550000001771</v>
      </c>
      <c r="AK10" s="141">
        <f>'Kwh area wise '!C11</f>
        <v>469.99999999997044</v>
      </c>
      <c r="AL10" s="141">
        <f>'Kwh area wise '!D11</f>
        <v>2400.0000000001796</v>
      </c>
      <c r="AM10" s="141">
        <f>'Kwh area wise '!E11</f>
        <v>219.99999999999886</v>
      </c>
      <c r="AN10" s="141">
        <f>'Kwh area wise '!F11</f>
        <v>530.00000000000114</v>
      </c>
      <c r="AO10" s="141">
        <f>'Kwh area wise '!G11</f>
        <v>480.00000000000398</v>
      </c>
      <c r="AP10" s="141">
        <f>'Kwh area wise '!H11</f>
        <v>1609.9999999999568</v>
      </c>
      <c r="AQ10" s="141">
        <f>'Kwh area wise '!I11</f>
        <v>5350.0000000000218</v>
      </c>
      <c r="AR10" s="141">
        <f>'Kwh area wise '!J11</f>
        <v>5893.4499999992549</v>
      </c>
      <c r="AS10" s="141">
        <f>'Kwh area wise '!K11</f>
        <v>279.99999999997272</v>
      </c>
      <c r="AT10" s="141">
        <f>'Kwh area wise '!L11</f>
        <v>6276.5500000017691</v>
      </c>
      <c r="AU10" s="138">
        <f>'Water Reading'!B11</f>
        <v>162677</v>
      </c>
      <c r="AV10" s="138">
        <f>'Water Reading'!C11</f>
        <v>123466</v>
      </c>
      <c r="AW10" s="138">
        <f>'Water Reading'!D11</f>
        <v>206120</v>
      </c>
      <c r="AX10" s="138">
        <f>'Water Reading'!E11</f>
        <v>246505</v>
      </c>
      <c r="AY10" s="138">
        <f>'Water Reading'!F11</f>
        <v>66912</v>
      </c>
      <c r="AZ10" s="138">
        <f>'Water Reading'!G11</f>
        <v>111278</v>
      </c>
      <c r="BA10" s="138">
        <f>'Water Reading'!H11</f>
        <v>51665</v>
      </c>
      <c r="BB10" s="138">
        <f>'Water Reading'!I11</f>
        <v>63148</v>
      </c>
      <c r="BC10" s="138">
        <f>'Water Reading'!J11</f>
        <v>19873</v>
      </c>
      <c r="BD10" s="138">
        <f>'Water Reading'!K11</f>
        <v>1024</v>
      </c>
      <c r="BE10" s="138">
        <f>'Water Reading'!L11</f>
        <v>17087</v>
      </c>
      <c r="BF10" s="138">
        <f>'Water Reading'!M11</f>
        <v>23843</v>
      </c>
      <c r="BG10" s="138">
        <f>'Water Reading'!N11</f>
        <v>7110</v>
      </c>
      <c r="BH10" s="138">
        <f>'Water Reading'!O11</f>
        <v>1649</v>
      </c>
      <c r="BI10" s="138">
        <f>'Water Reading'!P11</f>
        <v>26837</v>
      </c>
      <c r="BJ10" s="138">
        <f>'Water Reading'!Q11</f>
        <v>536</v>
      </c>
      <c r="BK10" s="138">
        <f>'Water Reading'!R11</f>
        <v>6138</v>
      </c>
      <c r="BL10" s="135">
        <f>'Kwh Reading'!U11</f>
        <v>6746</v>
      </c>
    </row>
    <row r="11" spans="1:64" x14ac:dyDescent="0.25">
      <c r="A11" s="43" t="s">
        <v>9</v>
      </c>
      <c r="B11" s="44">
        <f t="shared" si="0"/>
        <v>10</v>
      </c>
      <c r="C11" s="45">
        <v>6</v>
      </c>
      <c r="D11" s="44">
        <v>2021</v>
      </c>
      <c r="E11" s="141">
        <f>'Kwh Reading'!B12</f>
        <v>952.97</v>
      </c>
      <c r="F11" s="141">
        <f>'Kwh Reading'!C12</f>
        <v>224.79</v>
      </c>
      <c r="G11" s="141">
        <f>'Kwh Reading'!D12</f>
        <v>7428945.1799999997</v>
      </c>
      <c r="H11" s="141">
        <f>'Kwh Reading'!E12</f>
        <v>8116349.0800000001</v>
      </c>
      <c r="I11" s="141">
        <f>'Kwh Reading'!F12</f>
        <v>2.3290000000000002</v>
      </c>
      <c r="J11" s="141">
        <f>'Kwh Reading'!G12</f>
        <v>727.71</v>
      </c>
      <c r="K11" s="141">
        <f>'Kwh Reading'!H12</f>
        <v>612.66</v>
      </c>
      <c r="L11" s="141">
        <f>'Kwh Reading'!I12</f>
        <v>229.2</v>
      </c>
      <c r="M11" s="141">
        <f>'Kwh Reading'!J12</f>
        <v>312.19</v>
      </c>
      <c r="N11" s="141">
        <f>'Kwh Reading'!K12</f>
        <v>335.54</v>
      </c>
      <c r="O11" s="141">
        <f>'Kwh Reading'!L12</f>
        <v>229.97</v>
      </c>
      <c r="P11" s="141">
        <f>'Kwh Reading'!M12</f>
        <v>501.96</v>
      </c>
      <c r="Q11" s="141">
        <f>'Kwh Reading'!N12</f>
        <v>455.84</v>
      </c>
      <c r="R11" s="141">
        <f>'Kwh Reading'!O12</f>
        <v>146.38999999999999</v>
      </c>
      <c r="S11" s="141">
        <f>'Kwh Reading'!P12</f>
        <v>596.44000000000005</v>
      </c>
      <c r="T11" s="141">
        <f>'Kwh Reading'!Q12</f>
        <v>445.98</v>
      </c>
      <c r="U11" s="141">
        <f>'Kwh Reading'!R12</f>
        <v>151.4</v>
      </c>
      <c r="V11" s="141">
        <f>'Kwh Reading'!S12</f>
        <v>112.51</v>
      </c>
      <c r="W11" s="141">
        <f>'Kwh Reading'!T12</f>
        <v>411.64</v>
      </c>
      <c r="X11" s="141">
        <f>'Kwh Consumption'!J13</f>
        <v>119.99999999999034</v>
      </c>
      <c r="Y11" s="141">
        <f>'Kwh Consumption'!K13</f>
        <v>320.0000000000216</v>
      </c>
      <c r="Z11" s="141">
        <f>'Kwh Consumption'!L13</f>
        <v>1309.9999999999454</v>
      </c>
      <c r="AA11" s="141">
        <f>'Kwh Consumption'!M13</f>
        <v>890.0000000000432</v>
      </c>
      <c r="AB11" s="141">
        <f>'Kwh Consumption'!N13</f>
        <v>450.00000000004547</v>
      </c>
      <c r="AC11" s="141">
        <f>'Kwh Consumption'!O13</f>
        <v>1119.9999999998909</v>
      </c>
      <c r="AD11" s="141">
        <f>'Kwh Consumption'!P13</f>
        <v>1019.9999999999818</v>
      </c>
      <c r="AE11" s="141">
        <f>'Kwh Consumption'!Q13</f>
        <v>589.99999999997499</v>
      </c>
      <c r="AF11" s="141">
        <f>'Kwh Consumption'!R13</f>
        <v>850.00000000002274</v>
      </c>
      <c r="AG11" s="141">
        <f>'Kwh Consumption'!S13</f>
        <v>3314.2299999995157</v>
      </c>
      <c r="AH11" s="141">
        <f>'Kwh Consumption'!T13</f>
        <v>2537.1299999998882</v>
      </c>
      <c r="AI11" s="141">
        <f>'Kwh Consumption'!U13</f>
        <v>220.00000000002728</v>
      </c>
      <c r="AJ11" s="141">
        <f>'Kwh Consumption'!V13</f>
        <v>6558.6400000006324</v>
      </c>
      <c r="AK11" s="141">
        <f>'Kwh area wise '!C12</f>
        <v>460.00000000003638</v>
      </c>
      <c r="AL11" s="141">
        <f>'Kwh area wise '!D12</f>
        <v>2499.9999999999468</v>
      </c>
      <c r="AM11" s="141">
        <f>'Kwh area wise '!E12</f>
        <v>219.99999999999886</v>
      </c>
      <c r="AN11" s="141">
        <f>'Kwh area wise '!F12</f>
        <v>589.99999999997499</v>
      </c>
      <c r="AO11" s="141">
        <f>'Kwh area wise '!G12</f>
        <v>379.99999999998124</v>
      </c>
      <c r="AP11" s="141">
        <f>'Kwh area wise '!H12</f>
        <v>1629.999999999967</v>
      </c>
      <c r="AQ11" s="141">
        <f>'Kwh area wise '!I12</f>
        <v>4919.9999999999591</v>
      </c>
      <c r="AR11" s="141">
        <f>'Kwh area wise '!J12</f>
        <v>5851.359999999404</v>
      </c>
      <c r="AS11" s="141">
        <f>'Kwh area wise '!K12</f>
        <v>220.00000000002728</v>
      </c>
      <c r="AT11" s="141">
        <f>'Kwh area wise '!L12</f>
        <v>6558.6400000006306</v>
      </c>
      <c r="AU11" s="138">
        <f>'Water Reading'!B12</f>
        <v>162883</v>
      </c>
      <c r="AV11" s="138">
        <f>'Water Reading'!C12</f>
        <v>123604</v>
      </c>
      <c r="AW11" s="138">
        <f>'Water Reading'!D12</f>
        <v>206277</v>
      </c>
      <c r="AX11" s="138">
        <f>'Water Reading'!E12</f>
        <v>246570</v>
      </c>
      <c r="AY11" s="138">
        <f>'Water Reading'!F12</f>
        <v>66913</v>
      </c>
      <c r="AZ11" s="138">
        <f>'Water Reading'!G12</f>
        <v>111291</v>
      </c>
      <c r="BA11" s="138">
        <f>'Water Reading'!H12</f>
        <v>51724</v>
      </c>
      <c r="BB11" s="138">
        <f>'Water Reading'!I12</f>
        <v>63173</v>
      </c>
      <c r="BC11" s="138">
        <f>'Water Reading'!J12</f>
        <v>19890</v>
      </c>
      <c r="BD11" s="138">
        <f>'Water Reading'!K12</f>
        <v>1024</v>
      </c>
      <c r="BE11" s="138">
        <f>'Water Reading'!L12</f>
        <v>17094</v>
      </c>
      <c r="BF11" s="138">
        <f>'Water Reading'!M12</f>
        <v>23858</v>
      </c>
      <c r="BG11" s="138">
        <f>'Water Reading'!N12</f>
        <v>7118</v>
      </c>
      <c r="BH11" s="138">
        <f>'Water Reading'!O12</f>
        <v>1650</v>
      </c>
      <c r="BI11" s="138">
        <f>'Water Reading'!P12</f>
        <v>26852</v>
      </c>
      <c r="BJ11" s="138">
        <f>'Water Reading'!Q12</f>
        <v>541</v>
      </c>
      <c r="BK11" s="138">
        <f>'Water Reading'!R12</f>
        <v>6142</v>
      </c>
      <c r="BL11" s="135">
        <f>'Kwh Reading'!U12</f>
        <v>6041</v>
      </c>
    </row>
    <row r="12" spans="1:64" x14ac:dyDescent="0.25">
      <c r="A12" s="43" t="s">
        <v>9</v>
      </c>
      <c r="B12" s="44">
        <f t="shared" si="0"/>
        <v>11</v>
      </c>
      <c r="C12" s="45">
        <v>6</v>
      </c>
      <c r="D12" s="44">
        <v>2021</v>
      </c>
      <c r="E12" s="141">
        <f>'Kwh Reading'!B13</f>
        <v>954.28</v>
      </c>
      <c r="F12" s="141">
        <f>'Kwh Reading'!C13</f>
        <v>225.01</v>
      </c>
      <c r="G12" s="141">
        <f>'Kwh Reading'!D13</f>
        <v>7431482.3099999996</v>
      </c>
      <c r="H12" s="141">
        <f>'Kwh Reading'!E13</f>
        <v>8119663.3099999996</v>
      </c>
      <c r="I12" s="141">
        <f>'Kwh Reading'!F13</f>
        <v>2.3315000000000001</v>
      </c>
      <c r="J12" s="141">
        <f>'Kwh Reading'!G13</f>
        <v>728.73</v>
      </c>
      <c r="K12" s="141">
        <f>'Kwh Reading'!H13</f>
        <v>613.11</v>
      </c>
      <c r="L12" s="141">
        <f>'Kwh Reading'!I13</f>
        <v>229.52</v>
      </c>
      <c r="M12" s="141">
        <f>'Kwh Reading'!J13</f>
        <v>312.33999999999997</v>
      </c>
      <c r="N12" s="141">
        <f>'Kwh Reading'!K13</f>
        <v>335.8</v>
      </c>
      <c r="O12" s="141">
        <f>'Kwh Reading'!L13</f>
        <v>230.15</v>
      </c>
      <c r="P12" s="141">
        <f>'Kwh Reading'!M13</f>
        <v>502.85</v>
      </c>
      <c r="Q12" s="141">
        <f>'Kwh Reading'!N13</f>
        <v>456.69</v>
      </c>
      <c r="R12" s="141">
        <f>'Kwh Reading'!O13</f>
        <v>146.61000000000001</v>
      </c>
      <c r="S12" s="141">
        <f>'Kwh Reading'!P13</f>
        <v>597.55999999999995</v>
      </c>
      <c r="T12" s="141">
        <f>'Kwh Reading'!Q13</f>
        <v>446.57</v>
      </c>
      <c r="U12" s="141">
        <f>'Kwh Reading'!R13</f>
        <v>151.66</v>
      </c>
      <c r="V12" s="141">
        <f>'Kwh Reading'!S13</f>
        <v>112.63</v>
      </c>
      <c r="W12" s="141">
        <f>'Kwh Reading'!T13</f>
        <v>412.1</v>
      </c>
      <c r="X12" s="141">
        <f>'Kwh Consumption'!J14</f>
        <v>109.99999999999943</v>
      </c>
      <c r="Y12" s="141">
        <f>'Kwh Consumption'!K14</f>
        <v>329.99999999998408</v>
      </c>
      <c r="Z12" s="141">
        <f>'Kwh Consumption'!L14</f>
        <v>1410.0000000000819</v>
      </c>
      <c r="AA12" s="141">
        <f>'Kwh Consumption'!M14</f>
        <v>810.00000000000227</v>
      </c>
      <c r="AB12" s="141">
        <f>'Kwh Consumption'!N14</f>
        <v>419.99999999995907</v>
      </c>
      <c r="AC12" s="141">
        <f>'Kwh Consumption'!O14</f>
        <v>1170.0000000000728</v>
      </c>
      <c r="AD12" s="141">
        <f>'Kwh Consumption'!P14</f>
        <v>1009.9999999999909</v>
      </c>
      <c r="AE12" s="141">
        <f>'Kwh Consumption'!Q14</f>
        <v>759.99999999999091</v>
      </c>
      <c r="AF12" s="141">
        <f>'Kwh Consumption'!R14</f>
        <v>970.00000000002728</v>
      </c>
      <c r="AG12" s="141">
        <f>'Kwh Consumption'!S14</f>
        <v>3028.5400000000373</v>
      </c>
      <c r="AH12" s="141">
        <f>'Kwh Consumption'!T14</f>
        <v>2510.640000000596</v>
      </c>
      <c r="AI12" s="141">
        <f>'Kwh Consumption'!U14</f>
        <v>299.99999999998295</v>
      </c>
      <c r="AJ12" s="141">
        <f>'Kwh Consumption'!V14</f>
        <v>5840.8199999986937</v>
      </c>
      <c r="AK12" s="141">
        <f>'Kwh area wise '!C13</f>
        <v>269.99999999998181</v>
      </c>
      <c r="AL12" s="141">
        <f>'Kwh area wise '!D13</f>
        <v>2599.9999999997135</v>
      </c>
      <c r="AM12" s="141">
        <f>'Kwh area wise '!E13</f>
        <v>250</v>
      </c>
      <c r="AN12" s="141">
        <f>'Kwh area wise '!F13</f>
        <v>620.00000000000455</v>
      </c>
      <c r="AO12" s="141">
        <f>'Kwh area wise '!G13</f>
        <v>410.0000000000108</v>
      </c>
      <c r="AP12" s="141">
        <f>'Kwh area wise '!H13</f>
        <v>1740.0000000000659</v>
      </c>
      <c r="AQ12" s="141">
        <f>'Kwh area wise '!I13</f>
        <v>5140.0000000000437</v>
      </c>
      <c r="AR12" s="141">
        <f>'Kwh area wise '!J13</f>
        <v>5539.1800000006333</v>
      </c>
      <c r="AS12" s="141">
        <f>'Kwh area wise '!K13</f>
        <v>299.99999999998295</v>
      </c>
      <c r="AT12" s="141">
        <f>'Kwh area wise '!L13</f>
        <v>5840.8199999986928</v>
      </c>
      <c r="AU12" s="138">
        <f>'Water Reading'!B13</f>
        <v>163035</v>
      </c>
      <c r="AV12" s="138">
        <f>'Water Reading'!C13</f>
        <v>123927</v>
      </c>
      <c r="AW12" s="138">
        <f>'Water Reading'!D13</f>
        <v>206400</v>
      </c>
      <c r="AX12" s="138">
        <f>'Water Reading'!E13</f>
        <v>246636</v>
      </c>
      <c r="AY12" s="138">
        <f>'Water Reading'!F13</f>
        <v>66913</v>
      </c>
      <c r="AZ12" s="138">
        <f>'Water Reading'!G13</f>
        <v>111309</v>
      </c>
      <c r="BA12" s="138">
        <f>'Water Reading'!H13</f>
        <v>51793</v>
      </c>
      <c r="BB12" s="138">
        <f>'Water Reading'!I13</f>
        <v>63197</v>
      </c>
      <c r="BC12" s="138">
        <f>'Water Reading'!J13</f>
        <v>19906</v>
      </c>
      <c r="BD12" s="138">
        <f>'Water Reading'!K13</f>
        <v>1024</v>
      </c>
      <c r="BE12" s="138">
        <f>'Water Reading'!L13</f>
        <v>17100</v>
      </c>
      <c r="BF12" s="138">
        <f>'Water Reading'!M13</f>
        <v>23877</v>
      </c>
      <c r="BG12" s="138">
        <f>'Water Reading'!N13</f>
        <v>7131</v>
      </c>
      <c r="BH12" s="138">
        <f>'Water Reading'!O13</f>
        <v>1652</v>
      </c>
      <c r="BI12" s="138">
        <f>'Water Reading'!P13</f>
        <v>26859</v>
      </c>
      <c r="BJ12" s="138">
        <f>'Water Reading'!Q13</f>
        <v>542</v>
      </c>
      <c r="BK12" s="138">
        <f>'Water Reading'!R13</f>
        <v>6146</v>
      </c>
      <c r="BL12" s="135">
        <f>'Kwh Reading'!U13</f>
        <v>5988</v>
      </c>
    </row>
    <row r="13" spans="1:64" x14ac:dyDescent="0.25">
      <c r="A13" s="43" t="s">
        <v>9</v>
      </c>
      <c r="B13" s="44">
        <f t="shared" si="0"/>
        <v>12</v>
      </c>
      <c r="C13" s="45">
        <v>6</v>
      </c>
      <c r="D13" s="44">
        <v>2021</v>
      </c>
      <c r="E13" s="141">
        <f>'Kwh Reading'!B14</f>
        <v>955.69</v>
      </c>
      <c r="F13" s="141">
        <f>'Kwh Reading'!C14</f>
        <v>225.26</v>
      </c>
      <c r="G13" s="141">
        <f>'Kwh Reading'!D14</f>
        <v>7433992.9500000002</v>
      </c>
      <c r="H13" s="141">
        <f>'Kwh Reading'!E14</f>
        <v>8122691.8499999996</v>
      </c>
      <c r="I13" s="141">
        <f>'Kwh Reading'!F14</f>
        <v>2.3340999999999998</v>
      </c>
      <c r="J13" s="141">
        <f>'Kwh Reading'!G14</f>
        <v>729.74</v>
      </c>
      <c r="K13" s="141">
        <f>'Kwh Reading'!H14</f>
        <v>613.53</v>
      </c>
      <c r="L13" s="141">
        <f>'Kwh Reading'!I14</f>
        <v>229.85</v>
      </c>
      <c r="M13" s="141">
        <f>'Kwh Reading'!J14</f>
        <v>312.52</v>
      </c>
      <c r="N13" s="141">
        <f>'Kwh Reading'!K14</f>
        <v>336.06</v>
      </c>
      <c r="O13" s="141">
        <f>'Kwh Reading'!L14</f>
        <v>230.33</v>
      </c>
      <c r="P13" s="141">
        <f>'Kwh Reading'!M14</f>
        <v>503.66</v>
      </c>
      <c r="Q13" s="141">
        <f>'Kwh Reading'!N14</f>
        <v>457.66</v>
      </c>
      <c r="R13" s="141">
        <f>'Kwh Reading'!O14</f>
        <v>146.91</v>
      </c>
      <c r="S13" s="141">
        <f>'Kwh Reading'!P14</f>
        <v>598.73</v>
      </c>
      <c r="T13" s="141">
        <f>'Kwh Reading'!Q14</f>
        <v>447.33</v>
      </c>
      <c r="U13" s="141">
        <f>'Kwh Reading'!R14</f>
        <v>151.96</v>
      </c>
      <c r="V13" s="141">
        <f>'Kwh Reading'!S14</f>
        <v>112.74</v>
      </c>
      <c r="W13" s="141">
        <f>'Kwh Reading'!T14</f>
        <v>412.37</v>
      </c>
      <c r="X13" s="141">
        <f>'Kwh Consumption'!J15</f>
        <v>109.99999999999943</v>
      </c>
      <c r="Y13" s="141">
        <f>'Kwh Consumption'!K15</f>
        <v>300.00000000001137</v>
      </c>
      <c r="Z13" s="141">
        <f>'Kwh Consumption'!L15</f>
        <v>1329.9999999999272</v>
      </c>
      <c r="AA13" s="141">
        <f>'Kwh Consumption'!M15</f>
        <v>699.99999999998863</v>
      </c>
      <c r="AB13" s="141">
        <f>'Kwh Consumption'!N15</f>
        <v>389.99999999998636</v>
      </c>
      <c r="AC13" s="141">
        <f>'Kwh Consumption'!O15</f>
        <v>1120.0000000000045</v>
      </c>
      <c r="AD13" s="141">
        <f>'Kwh Consumption'!P15</f>
        <v>919.99999999995907</v>
      </c>
      <c r="AE13" s="141">
        <f>'Kwh Consumption'!Q15</f>
        <v>730.00000000001819</v>
      </c>
      <c r="AF13" s="141">
        <f>'Kwh Consumption'!R15</f>
        <v>929.99999999994998</v>
      </c>
      <c r="AG13" s="141">
        <f>'Kwh Consumption'!S15</f>
        <v>3179.4599999999627</v>
      </c>
      <c r="AH13" s="141">
        <f>'Kwh Consumption'!T15</f>
        <v>2512.1499999994412</v>
      </c>
      <c r="AI13" s="141">
        <f>'Kwh Consumption'!U15</f>
        <v>270.00000000001023</v>
      </c>
      <c r="AJ13" s="141">
        <f>'Kwh Consumption'!V15</f>
        <v>6208.3900000021749</v>
      </c>
      <c r="AK13" s="141">
        <f>'Kwh area wise '!C14</f>
        <v>480.00000000001819</v>
      </c>
      <c r="AL13" s="141">
        <f>'Kwh area wise '!D14</f>
        <v>2400.0000000001796</v>
      </c>
      <c r="AM13" s="141">
        <f>'Kwh area wise '!E14</f>
        <v>210.00000000000796</v>
      </c>
      <c r="AN13" s="141">
        <f>'Kwh area wise '!F14</f>
        <v>580.00000000001251</v>
      </c>
      <c r="AO13" s="141">
        <f>'Kwh area wise '!G14</f>
        <v>439.99999999998352</v>
      </c>
      <c r="AP13" s="141">
        <f>'Kwh area wise '!H14</f>
        <v>1629.9999999999386</v>
      </c>
      <c r="AQ13" s="141">
        <f>'Kwh area wise '!I14</f>
        <v>4789.9999999999072</v>
      </c>
      <c r="AR13" s="141">
        <f>'Kwh area wise '!J14</f>
        <v>5691.609999999404</v>
      </c>
      <c r="AS13" s="141">
        <f>'Kwh area wise '!K14</f>
        <v>270.00000000001023</v>
      </c>
      <c r="AT13" s="141">
        <f>'Kwh area wise '!L14</f>
        <v>6208.3900000021813</v>
      </c>
      <c r="AU13" s="138">
        <f>'Water Reading'!B14</f>
        <v>163126</v>
      </c>
      <c r="AV13" s="138">
        <f>'Water Reading'!C14</f>
        <v>124130</v>
      </c>
      <c r="AW13" s="138">
        <f>'Water Reading'!D14</f>
        <v>206514</v>
      </c>
      <c r="AX13" s="138">
        <f>'Water Reading'!E14</f>
        <v>246698</v>
      </c>
      <c r="AY13" s="138">
        <f>'Water Reading'!F14</f>
        <v>66914</v>
      </c>
      <c r="AZ13" s="138">
        <f>'Water Reading'!G14</f>
        <v>111326</v>
      </c>
      <c r="BA13" s="138">
        <f>'Water Reading'!H14</f>
        <v>51856</v>
      </c>
      <c r="BB13" s="138">
        <f>'Water Reading'!I14</f>
        <v>63216</v>
      </c>
      <c r="BC13" s="138">
        <f>'Water Reading'!J14</f>
        <v>19924</v>
      </c>
      <c r="BD13" s="138">
        <f>'Water Reading'!K14</f>
        <v>1024</v>
      </c>
      <c r="BE13" s="138">
        <f>'Water Reading'!L14</f>
        <v>17107</v>
      </c>
      <c r="BF13" s="138">
        <f>'Water Reading'!M14</f>
        <v>23888</v>
      </c>
      <c r="BG13" s="138">
        <f>'Water Reading'!N14</f>
        <v>7140</v>
      </c>
      <c r="BH13" s="138">
        <f>'Water Reading'!O14</f>
        <v>1652</v>
      </c>
      <c r="BI13" s="138">
        <f>'Water Reading'!P14</f>
        <v>26863</v>
      </c>
      <c r="BJ13" s="138">
        <f>'Water Reading'!Q14</f>
        <v>544</v>
      </c>
      <c r="BK13" s="138">
        <f>'Water Reading'!R14</f>
        <v>6147</v>
      </c>
      <c r="BL13" s="135">
        <f>'Kwh Reading'!U14</f>
        <v>6353</v>
      </c>
    </row>
    <row r="14" spans="1:64" x14ac:dyDescent="0.25">
      <c r="A14" s="43" t="s">
        <v>9</v>
      </c>
      <c r="B14" s="44">
        <f t="shared" si="0"/>
        <v>13</v>
      </c>
      <c r="C14" s="45">
        <v>6</v>
      </c>
      <c r="D14" s="44">
        <v>2021</v>
      </c>
      <c r="E14" s="141">
        <f>'Kwh Reading'!B15</f>
        <v>957.02</v>
      </c>
      <c r="F14" s="141">
        <f>'Kwh Reading'!C15</f>
        <v>225.47</v>
      </c>
      <c r="G14" s="141">
        <f>'Kwh Reading'!D15</f>
        <v>7436505.0999999996</v>
      </c>
      <c r="H14" s="141">
        <f>'Kwh Reading'!E15</f>
        <v>8125871.3099999996</v>
      </c>
      <c r="I14" s="141">
        <f>'Kwh Reading'!F15</f>
        <v>2.3365</v>
      </c>
      <c r="J14" s="141">
        <f>'Kwh Reading'!G15</f>
        <v>730.66</v>
      </c>
      <c r="K14" s="141">
        <f>'Kwh Reading'!H15</f>
        <v>613.91999999999996</v>
      </c>
      <c r="L14" s="141">
        <f>'Kwh Reading'!I15</f>
        <v>230.15</v>
      </c>
      <c r="M14" s="141">
        <f>'Kwh Reading'!J15</f>
        <v>312.7</v>
      </c>
      <c r="N14" s="141">
        <f>'Kwh Reading'!K15</f>
        <v>336.29</v>
      </c>
      <c r="O14" s="141">
        <f>'Kwh Reading'!L15</f>
        <v>230.5</v>
      </c>
      <c r="P14" s="141">
        <f>'Kwh Reading'!M15</f>
        <v>504.36</v>
      </c>
      <c r="Q14" s="141">
        <f>'Kwh Reading'!N15</f>
        <v>458.59</v>
      </c>
      <c r="R14" s="141">
        <f>'Kwh Reading'!O15</f>
        <v>147.18</v>
      </c>
      <c r="S14" s="141">
        <f>'Kwh Reading'!P15</f>
        <v>599.85</v>
      </c>
      <c r="T14" s="141">
        <f>'Kwh Reading'!Q15</f>
        <v>448.06</v>
      </c>
      <c r="U14" s="141">
        <f>'Kwh Reading'!R15</f>
        <v>152.29</v>
      </c>
      <c r="V14" s="141">
        <f>'Kwh Reading'!S15</f>
        <v>112.85</v>
      </c>
      <c r="W14" s="141">
        <f>'Kwh Reading'!T15</f>
        <v>412.85</v>
      </c>
      <c r="X14" s="141">
        <f>'Kwh Consumption'!J16</f>
        <v>160.0000000000108</v>
      </c>
      <c r="Y14" s="141">
        <f>'Kwh Consumption'!K16</f>
        <v>530.00000000000114</v>
      </c>
      <c r="Z14" s="141">
        <f>'Kwh Consumption'!L16</f>
        <v>1300.0000000000682</v>
      </c>
      <c r="AA14" s="141">
        <f>'Kwh Consumption'!M16</f>
        <v>740.00000000000909</v>
      </c>
      <c r="AB14" s="141">
        <f>'Kwh Consumption'!N16</f>
        <v>410.00000000008185</v>
      </c>
      <c r="AC14" s="141">
        <f>'Kwh Consumption'!O16</f>
        <v>1199.9999999999318</v>
      </c>
      <c r="AD14" s="141">
        <f>'Kwh Consumption'!P16</f>
        <v>970.00000000002728</v>
      </c>
      <c r="AE14" s="141">
        <f>'Kwh Consumption'!Q16</f>
        <v>649.99999999997726</v>
      </c>
      <c r="AF14" s="141">
        <f>'Kwh Consumption'!R16</f>
        <v>980.00000000001819</v>
      </c>
      <c r="AG14" s="141">
        <f>'Kwh Consumption'!S16</f>
        <v>3381.5500000007451</v>
      </c>
      <c r="AH14" s="141">
        <f>'Kwh Consumption'!T16</f>
        <v>2621.7800000002608</v>
      </c>
      <c r="AI14" s="141">
        <f>'Kwh Consumption'!U16</f>
        <v>299.99999999998295</v>
      </c>
      <c r="AJ14" s="141">
        <f>'Kwh Consumption'!V16</f>
        <v>6376.669999998092</v>
      </c>
      <c r="AK14" s="141">
        <f>'Kwh area wise '!C15</f>
        <v>489.99999999995225</v>
      </c>
      <c r="AL14" s="141">
        <f>'Kwh area wise '!D15</f>
        <v>2499.9999999999468</v>
      </c>
      <c r="AM14" s="141">
        <f>'Kwh area wise '!E15</f>
        <v>240.00000000000909</v>
      </c>
      <c r="AN14" s="141">
        <f>'Kwh area wise '!F15</f>
        <v>589.99999999997499</v>
      </c>
      <c r="AO14" s="141">
        <f>'Kwh area wise '!G15</f>
        <v>470.00000000001307</v>
      </c>
      <c r="AP14" s="141">
        <f>'Kwh area wise '!H15</f>
        <v>1830.0000000000693</v>
      </c>
      <c r="AQ14" s="141">
        <f>'Kwh area wise '!I15</f>
        <v>4950.0000000000455</v>
      </c>
      <c r="AR14" s="141">
        <f>'Kwh area wise '!J15</f>
        <v>6003.3300000010058</v>
      </c>
      <c r="AS14" s="141">
        <f>'Kwh area wise '!K15</f>
        <v>299.99999999998295</v>
      </c>
      <c r="AT14" s="141">
        <f>'Kwh area wise '!L15</f>
        <v>6376.6699999980929</v>
      </c>
      <c r="AU14" s="138">
        <f>'Water Reading'!B15</f>
        <v>164135</v>
      </c>
      <c r="AV14" s="138">
        <f>'Water Reading'!C15</f>
        <v>124437</v>
      </c>
      <c r="AW14" s="138">
        <f>'Water Reading'!D15</f>
        <v>206612</v>
      </c>
      <c r="AX14" s="138">
        <f>'Water Reading'!E15</f>
        <v>246756</v>
      </c>
      <c r="AY14" s="138">
        <f>'Water Reading'!F15</f>
        <v>66915</v>
      </c>
      <c r="AZ14" s="138">
        <f>'Water Reading'!G15</f>
        <v>111340</v>
      </c>
      <c r="BA14" s="138">
        <f>'Water Reading'!H15</f>
        <v>51921</v>
      </c>
      <c r="BB14" s="138">
        <f>'Water Reading'!I15</f>
        <v>63243</v>
      </c>
      <c r="BC14" s="138">
        <f>'Water Reading'!J15</f>
        <v>19941</v>
      </c>
      <c r="BD14" s="138">
        <f>'Water Reading'!K15</f>
        <v>1024</v>
      </c>
      <c r="BE14" s="138">
        <f>'Water Reading'!L15</f>
        <v>17113</v>
      </c>
      <c r="BF14" s="138">
        <f>'Water Reading'!M15</f>
        <v>23902</v>
      </c>
      <c r="BG14" s="138">
        <f>'Water Reading'!N15</f>
        <v>7152</v>
      </c>
      <c r="BH14" s="138">
        <f>'Water Reading'!O15</f>
        <v>1652</v>
      </c>
      <c r="BI14" s="138">
        <f>'Water Reading'!P15</f>
        <v>26879</v>
      </c>
      <c r="BJ14" s="138">
        <f>'Water Reading'!Q15</f>
        <v>551</v>
      </c>
      <c r="BK14" s="138">
        <f>'Water Reading'!R15</f>
        <v>6153</v>
      </c>
      <c r="BL14" s="135">
        <f>'Kwh Reading'!U15</f>
        <v>6542</v>
      </c>
    </row>
    <row r="15" spans="1:64" x14ac:dyDescent="0.25">
      <c r="A15" s="43" t="s">
        <v>9</v>
      </c>
      <c r="B15" s="44">
        <f t="shared" si="0"/>
        <v>14</v>
      </c>
      <c r="C15" s="45">
        <v>6</v>
      </c>
      <c r="D15" s="44">
        <v>2021</v>
      </c>
      <c r="E15" s="141">
        <f>'Kwh Reading'!B16</f>
        <v>958.32</v>
      </c>
      <c r="F15" s="141">
        <f>'Kwh Reading'!C16</f>
        <v>225.71</v>
      </c>
      <c r="G15" s="141">
        <f>'Kwh Reading'!D16</f>
        <v>7439126.8799999999</v>
      </c>
      <c r="H15" s="141">
        <f>'Kwh Reading'!E16</f>
        <v>8129252.8600000003</v>
      </c>
      <c r="I15" s="141">
        <f>'Kwh Reading'!F16</f>
        <v>2.339</v>
      </c>
      <c r="J15" s="141">
        <f>'Kwh Reading'!G16</f>
        <v>731.63</v>
      </c>
      <c r="K15" s="141">
        <f>'Kwh Reading'!H16</f>
        <v>614.33000000000004</v>
      </c>
      <c r="L15" s="141">
        <f>'Kwh Reading'!I16</f>
        <v>230.68</v>
      </c>
      <c r="M15" s="141">
        <f>'Kwh Reading'!J16</f>
        <v>312.87</v>
      </c>
      <c r="N15" s="141">
        <f>'Kwh Reading'!K16</f>
        <v>336.53</v>
      </c>
      <c r="O15" s="141">
        <f>'Kwh Reading'!L16</f>
        <v>230.68</v>
      </c>
      <c r="P15" s="141">
        <f>'Kwh Reading'!M16</f>
        <v>505.1</v>
      </c>
      <c r="Q15" s="141">
        <f>'Kwh Reading'!N16</f>
        <v>459.57</v>
      </c>
      <c r="R15" s="141">
        <f>'Kwh Reading'!O16</f>
        <v>147.47999999999999</v>
      </c>
      <c r="S15" s="141">
        <f>'Kwh Reading'!P16</f>
        <v>601.04999999999995</v>
      </c>
      <c r="T15" s="141">
        <f>'Kwh Reading'!Q16</f>
        <v>448.71</v>
      </c>
      <c r="U15" s="141">
        <f>'Kwh Reading'!R16</f>
        <v>152.6</v>
      </c>
      <c r="V15" s="141">
        <f>'Kwh Reading'!S16</f>
        <v>113.01</v>
      </c>
      <c r="W15" s="141">
        <f>'Kwh Reading'!T16</f>
        <v>413.34</v>
      </c>
      <c r="X15" s="141">
        <f>'Kwh Consumption'!J17</f>
        <v>129.99999999999545</v>
      </c>
      <c r="Y15" s="141">
        <f>'Kwh Consumption'!K17</f>
        <v>129.99999999999545</v>
      </c>
      <c r="Z15" s="141">
        <f>'Kwh Consumption'!L17</f>
        <v>1399.9999999999773</v>
      </c>
      <c r="AA15" s="141">
        <f>'Kwh Consumption'!M17</f>
        <v>859.9999999999568</v>
      </c>
      <c r="AB15" s="141">
        <f>'Kwh Consumption'!N17</f>
        <v>409.99999999996817</v>
      </c>
      <c r="AC15" s="141">
        <f>'Kwh Consumption'!O17</f>
        <v>1030.0000000000864</v>
      </c>
      <c r="AD15" s="141">
        <f>'Kwh Consumption'!P17</f>
        <v>1039.9999999999636</v>
      </c>
      <c r="AE15" s="141">
        <f>'Kwh Consumption'!Q17</f>
        <v>720.00000000002728</v>
      </c>
      <c r="AF15" s="141">
        <f>'Kwh Consumption'!R17</f>
        <v>910.00000000002501</v>
      </c>
      <c r="AG15" s="141">
        <f>'Kwh Consumption'!S17</f>
        <v>3257.3199999993667</v>
      </c>
      <c r="AH15" s="141">
        <f>'Kwh Consumption'!T17</f>
        <v>2676.1500000003725</v>
      </c>
      <c r="AI15" s="141">
        <f>'Kwh Consumption'!U17</f>
        <v>280.00000000000114</v>
      </c>
      <c r="AJ15" s="141">
        <f>'Kwh Consumption'!V17</f>
        <v>5436.5299999998751</v>
      </c>
      <c r="AK15" s="141">
        <f>'Kwh area wise '!C16</f>
        <v>420.00000000001592</v>
      </c>
      <c r="AL15" s="141">
        <f>'Kwh area wise '!D16</f>
        <v>2600.0000000001578</v>
      </c>
      <c r="AM15" s="141">
        <f>'Kwh area wise '!E16</f>
        <v>250</v>
      </c>
      <c r="AN15" s="141">
        <f>'Kwh area wise '!F16</f>
        <v>879.99999999999545</v>
      </c>
      <c r="AO15" s="141">
        <f>'Kwh area wise '!G16</f>
        <v>439.99999999999773</v>
      </c>
      <c r="AP15" s="141">
        <f>'Kwh area wise '!H16</f>
        <v>1529.9999999999727</v>
      </c>
      <c r="AQ15" s="141">
        <f>'Kwh area wise '!I16</f>
        <v>4970.0000000000273</v>
      </c>
      <c r="AR15" s="141">
        <f>'Kwh area wise '!J16</f>
        <v>5933.4699999997392</v>
      </c>
      <c r="AS15" s="141">
        <f>'Kwh area wise '!K16</f>
        <v>280.00000000000114</v>
      </c>
      <c r="AT15" s="141">
        <f>'Kwh area wise '!L16</f>
        <v>5436.5299999998761</v>
      </c>
      <c r="AU15" s="138">
        <f>'Water Reading'!B16</f>
        <v>164329</v>
      </c>
      <c r="AV15" s="138">
        <f>'Water Reading'!C16</f>
        <v>124453</v>
      </c>
      <c r="AW15" s="138">
        <f>'Water Reading'!D16</f>
        <v>206833</v>
      </c>
      <c r="AX15" s="138">
        <f>'Water Reading'!E16</f>
        <v>246819</v>
      </c>
      <c r="AY15" s="138">
        <f>'Water Reading'!F16</f>
        <v>66916</v>
      </c>
      <c r="AZ15" s="138">
        <f>'Water Reading'!G16</f>
        <v>111358</v>
      </c>
      <c r="BA15" s="138">
        <f>'Water Reading'!H16</f>
        <v>51927</v>
      </c>
      <c r="BB15" s="138">
        <f>'Water Reading'!I16</f>
        <v>63278</v>
      </c>
      <c r="BC15" s="138">
        <f>'Water Reading'!J16</f>
        <v>19960</v>
      </c>
      <c r="BD15" s="138">
        <f>'Water Reading'!K16</f>
        <v>1024</v>
      </c>
      <c r="BE15" s="138">
        <f>'Water Reading'!L16</f>
        <v>17121</v>
      </c>
      <c r="BF15" s="138">
        <f>'Water Reading'!M16</f>
        <v>23915</v>
      </c>
      <c r="BG15" s="138">
        <f>'Water Reading'!N16</f>
        <v>7166</v>
      </c>
      <c r="BH15" s="138">
        <f>'Water Reading'!O16</f>
        <v>1653</v>
      </c>
      <c r="BI15" s="138">
        <f>'Water Reading'!P16</f>
        <v>26891</v>
      </c>
      <c r="BJ15" s="138">
        <f>'Water Reading'!Q16</f>
        <v>556</v>
      </c>
      <c r="BK15" s="138">
        <f>'Water Reading'!R16</f>
        <v>6158</v>
      </c>
      <c r="BL15" s="135">
        <f>'Kwh Reading'!U16</f>
        <v>6216</v>
      </c>
    </row>
    <row r="16" spans="1:64" x14ac:dyDescent="0.25">
      <c r="A16" s="43" t="s">
        <v>9</v>
      </c>
      <c r="B16" s="44">
        <f t="shared" si="0"/>
        <v>15</v>
      </c>
      <c r="C16" s="45">
        <v>6</v>
      </c>
      <c r="D16" s="44">
        <v>2021</v>
      </c>
      <c r="E16" s="141">
        <f>'Kwh Reading'!B17</f>
        <v>959.72</v>
      </c>
      <c r="F16" s="141">
        <f>'Kwh Reading'!C17</f>
        <v>225.96</v>
      </c>
      <c r="G16" s="141">
        <f>'Kwh Reading'!D17</f>
        <v>7441803.0300000003</v>
      </c>
      <c r="H16" s="141">
        <f>'Kwh Reading'!E17</f>
        <v>8132510.1799999997</v>
      </c>
      <c r="I16" s="141">
        <f>'Kwh Reading'!F17</f>
        <v>2.3416000000000001</v>
      </c>
      <c r="J16" s="141">
        <f>'Kwh Reading'!G17</f>
        <v>732.67</v>
      </c>
      <c r="K16" s="141">
        <f>'Kwh Reading'!H17</f>
        <v>614.74</v>
      </c>
      <c r="L16" s="141">
        <f>'Kwh Reading'!I17</f>
        <v>230.81</v>
      </c>
      <c r="M16" s="141">
        <f>'Kwh Reading'!J17</f>
        <v>313.2</v>
      </c>
      <c r="N16" s="141">
        <f>'Kwh Reading'!K17</f>
        <v>336.83</v>
      </c>
      <c r="O16" s="141">
        <f>'Kwh Reading'!L17</f>
        <v>230.93</v>
      </c>
      <c r="P16" s="141">
        <f>'Kwh Reading'!M17</f>
        <v>505.96</v>
      </c>
      <c r="Q16" s="141">
        <f>'Kwh Reading'!N17</f>
        <v>460.48</v>
      </c>
      <c r="R16" s="141">
        <f>'Kwh Reading'!O17</f>
        <v>147.76</v>
      </c>
      <c r="S16" s="141">
        <f>'Kwh Reading'!P17</f>
        <v>602.08000000000004</v>
      </c>
      <c r="T16" s="141">
        <f>'Kwh Reading'!Q17</f>
        <v>449.43</v>
      </c>
      <c r="U16" s="141">
        <f>'Kwh Reading'!R17</f>
        <v>152.91</v>
      </c>
      <c r="V16" s="141">
        <f>'Kwh Reading'!S17</f>
        <v>113.14</v>
      </c>
      <c r="W16" s="141">
        <f>'Kwh Reading'!T17</f>
        <v>413.76</v>
      </c>
      <c r="X16" s="141">
        <f>'Kwh Consumption'!J18</f>
        <v>60.000000000002274</v>
      </c>
      <c r="Y16" s="141">
        <f>'Kwh Consumption'!K18</f>
        <v>300.00000000001137</v>
      </c>
      <c r="Z16" s="141">
        <f>'Kwh Consumption'!L18</f>
        <v>1299.9999999999545</v>
      </c>
      <c r="AA16" s="141">
        <f>'Kwh Consumption'!M18</f>
        <v>780.00000000002956</v>
      </c>
      <c r="AB16" s="141">
        <f>'Kwh Consumption'!N18</f>
        <v>419.99999999995907</v>
      </c>
      <c r="AC16" s="141">
        <f>'Kwh Consumption'!O18</f>
        <v>929.99999999994998</v>
      </c>
      <c r="AD16" s="141">
        <f>'Kwh Consumption'!P18</f>
        <v>879.99999999999545</v>
      </c>
      <c r="AE16" s="141">
        <f>'Kwh Consumption'!Q18</f>
        <v>759.99999999999091</v>
      </c>
      <c r="AF16" s="141">
        <f>'Kwh Consumption'!R18</f>
        <v>769.99999999998181</v>
      </c>
      <c r="AG16" s="141">
        <f>'Kwh Consumption'!S18</f>
        <v>3050.25</v>
      </c>
      <c r="AH16" s="141">
        <f>'Kwh Consumption'!T18</f>
        <v>2376.2099999999627</v>
      </c>
      <c r="AI16" s="141">
        <f>'Kwh Consumption'!U18</f>
        <v>240.00000000000909</v>
      </c>
      <c r="AJ16" s="141">
        <f>'Kwh Consumption'!V18</f>
        <v>7163.5400000002155</v>
      </c>
      <c r="AK16" s="141">
        <f>'Kwh area wise '!C17</f>
        <v>420.00000000001592</v>
      </c>
      <c r="AL16" s="141">
        <f>'Kwh area wise '!D17</f>
        <v>2199.9999999997576</v>
      </c>
      <c r="AM16" s="141">
        <f>'Kwh area wise '!E17</f>
        <v>229.99999999998977</v>
      </c>
      <c r="AN16" s="141">
        <f>'Kwh area wise '!F17</f>
        <v>400.00000000006253</v>
      </c>
      <c r="AO16" s="141">
        <f>'Kwh area wise '!G17</f>
        <v>390.00000000001478</v>
      </c>
      <c r="AP16" s="141">
        <f>'Kwh area wise '!H17</f>
        <v>1599.9999999999659</v>
      </c>
      <c r="AQ16" s="141">
        <f>'Kwh area wise '!I17</f>
        <v>4539.9999999999072</v>
      </c>
      <c r="AR16" s="141">
        <f>'Kwh area wise '!J17</f>
        <v>5426.4599999999627</v>
      </c>
      <c r="AS16" s="141">
        <f>'Kwh area wise '!K17</f>
        <v>240.00000000000909</v>
      </c>
      <c r="AT16" s="141">
        <f>'Kwh area wise '!L17</f>
        <v>7163.5400000002192</v>
      </c>
      <c r="AU16" s="138">
        <f>'Water Reading'!B17</f>
        <v>164560</v>
      </c>
      <c r="AV16" s="138">
        <f>'Water Reading'!C17</f>
        <v>124460</v>
      </c>
      <c r="AW16" s="138">
        <f>'Water Reading'!D17</f>
        <v>206953</v>
      </c>
      <c r="AX16" s="138">
        <f>'Water Reading'!E17</f>
        <v>246873</v>
      </c>
      <c r="AY16" s="138">
        <f>'Water Reading'!F17</f>
        <v>66917</v>
      </c>
      <c r="AZ16" s="138">
        <f>'Water Reading'!G17</f>
        <v>111373</v>
      </c>
      <c r="BA16" s="138">
        <f>'Water Reading'!H17</f>
        <v>52048</v>
      </c>
      <c r="BB16" s="138">
        <f>'Water Reading'!I17</f>
        <v>63304</v>
      </c>
      <c r="BC16" s="138">
        <f>'Water Reading'!J17</f>
        <v>19978</v>
      </c>
      <c r="BD16" s="138">
        <f>'Water Reading'!K17</f>
        <v>1024</v>
      </c>
      <c r="BE16" s="138">
        <f>'Water Reading'!L17</f>
        <v>17127</v>
      </c>
      <c r="BF16" s="138">
        <f>'Water Reading'!M17</f>
        <v>23928</v>
      </c>
      <c r="BG16" s="138">
        <f>'Water Reading'!N17</f>
        <v>7176</v>
      </c>
      <c r="BH16" s="138">
        <f>'Water Reading'!O17</f>
        <v>1654</v>
      </c>
      <c r="BI16" s="138">
        <f>'Water Reading'!P17</f>
        <v>26901</v>
      </c>
      <c r="BJ16" s="138">
        <f>'Water Reading'!Q17</f>
        <v>562</v>
      </c>
      <c r="BK16" s="138">
        <f>'Water Reading'!R17</f>
        <v>6161</v>
      </c>
      <c r="BL16" s="135">
        <f>'Kwh Reading'!U17</f>
        <v>6361</v>
      </c>
    </row>
    <row r="17" spans="1:64" x14ac:dyDescent="0.25">
      <c r="A17" s="43" t="s">
        <v>9</v>
      </c>
      <c r="B17" s="44">
        <f t="shared" si="0"/>
        <v>16</v>
      </c>
      <c r="C17" s="45">
        <v>6</v>
      </c>
      <c r="D17" s="44">
        <v>2021</v>
      </c>
      <c r="E17" s="141">
        <f>'Kwh Reading'!B18</f>
        <v>961.02</v>
      </c>
      <c r="F17" s="141">
        <f>'Kwh Reading'!C18</f>
        <v>226.19</v>
      </c>
      <c r="G17" s="141">
        <f>'Kwh Reading'!D18</f>
        <v>7444179.2400000002</v>
      </c>
      <c r="H17" s="141">
        <f>'Kwh Reading'!E18</f>
        <v>8135560.4299999997</v>
      </c>
      <c r="I17" s="141">
        <f>'Kwh Reading'!F18</f>
        <v>2.3437999999999999</v>
      </c>
      <c r="J17" s="141">
        <f>'Kwh Reading'!G18</f>
        <v>733.55</v>
      </c>
      <c r="K17" s="141">
        <f>'Kwh Reading'!H18</f>
        <v>615.16</v>
      </c>
      <c r="L17" s="141">
        <f>'Kwh Reading'!I18</f>
        <v>231.11</v>
      </c>
      <c r="M17" s="141">
        <f>'Kwh Reading'!J18</f>
        <v>313.29000000000002</v>
      </c>
      <c r="N17" s="141">
        <f>'Kwh Reading'!K18</f>
        <v>336.99</v>
      </c>
      <c r="O17" s="141">
        <f>'Kwh Reading'!L18</f>
        <v>231.08</v>
      </c>
      <c r="P17" s="141">
        <f>'Kwh Reading'!M18</f>
        <v>506.74</v>
      </c>
      <c r="Q17" s="141">
        <f>'Kwh Reading'!N18</f>
        <v>461.25</v>
      </c>
      <c r="R17" s="141">
        <f>'Kwh Reading'!O18</f>
        <v>148</v>
      </c>
      <c r="S17" s="141">
        <f>'Kwh Reading'!P18</f>
        <v>603.01</v>
      </c>
      <c r="T17" s="141">
        <f>'Kwh Reading'!Q18</f>
        <v>450.19</v>
      </c>
      <c r="U17" s="141">
        <f>'Kwh Reading'!R18</f>
        <v>153.24</v>
      </c>
      <c r="V17" s="141">
        <f>'Kwh Reading'!S18</f>
        <v>113.2</v>
      </c>
      <c r="W17" s="141">
        <f>'Kwh Reading'!T18</f>
        <v>414.18</v>
      </c>
      <c r="X17" s="141">
        <f>'Kwh Consumption'!J19</f>
        <v>280.00000000000114</v>
      </c>
      <c r="Y17" s="141">
        <f>'Kwh Consumption'!K19</f>
        <v>339.99999999997499</v>
      </c>
      <c r="Z17" s="141">
        <f>'Kwh Consumption'!L19</f>
        <v>1399.9999999999773</v>
      </c>
      <c r="AA17" s="141">
        <f>'Kwh Consumption'!M19</f>
        <v>889.99999999998636</v>
      </c>
      <c r="AB17" s="141">
        <f>'Kwh Consumption'!N19</f>
        <v>420.00000000007276</v>
      </c>
      <c r="AC17" s="141">
        <f>'Kwh Consumption'!O19</f>
        <v>1200.0000000000455</v>
      </c>
      <c r="AD17" s="141">
        <f>'Kwh Consumption'!P19</f>
        <v>910.00000000008185</v>
      </c>
      <c r="AE17" s="141">
        <f>'Kwh Consumption'!Q19</f>
        <v>780.00000000002956</v>
      </c>
      <c r="AF17" s="141">
        <f>'Kwh Consumption'!R19</f>
        <v>800.00000000001137</v>
      </c>
      <c r="AG17" s="141">
        <f>'Kwh Consumption'!S19</f>
        <v>3452.7200000006706</v>
      </c>
      <c r="AH17" s="141">
        <f>'Kwh Consumption'!T19</f>
        <v>1902.9399999994785</v>
      </c>
      <c r="AI17" s="141">
        <f>'Kwh Consumption'!U19</f>
        <v>250</v>
      </c>
      <c r="AJ17" s="141">
        <f>'Kwh Consumption'!V19</f>
        <v>1214.3399999997418</v>
      </c>
      <c r="AK17" s="141">
        <f>'Kwh area wise '!C18</f>
        <v>500</v>
      </c>
      <c r="AL17" s="141">
        <f>'Kwh area wise '!D18</f>
        <v>2600.0000000001578</v>
      </c>
      <c r="AM17" s="141">
        <f>'Kwh area wise '!E18</f>
        <v>210.00000000000796</v>
      </c>
      <c r="AN17" s="141">
        <f>'Kwh area wise '!F18</f>
        <v>549.99999999998295</v>
      </c>
      <c r="AO17" s="141">
        <f>'Kwh area wise '!G18</f>
        <v>599.99999999999432</v>
      </c>
      <c r="AP17" s="141">
        <f>'Kwh area wise '!H18</f>
        <v>1739.9999999999523</v>
      </c>
      <c r="AQ17" s="141">
        <f>'Kwh area wise '!I18</f>
        <v>5000.0000000002274</v>
      </c>
      <c r="AR17" s="141">
        <f>'Kwh area wise '!J18</f>
        <v>5355.660000000149</v>
      </c>
      <c r="AS17" s="141">
        <f>'Kwh area wise '!K18</f>
        <v>250</v>
      </c>
      <c r="AT17" s="141">
        <f>'Kwh area wise '!L18</f>
        <v>1214.3399999997382</v>
      </c>
      <c r="AU17" s="138">
        <f>'Water Reading'!B18</f>
        <v>164877</v>
      </c>
      <c r="AV17" s="138">
        <f>'Water Reading'!C18</f>
        <v>124468</v>
      </c>
      <c r="AW17" s="138">
        <f>'Water Reading'!D18</f>
        <v>207095</v>
      </c>
      <c r="AX17" s="138">
        <f>'Water Reading'!E18</f>
        <v>246932</v>
      </c>
      <c r="AY17" s="138">
        <f>'Water Reading'!F18</f>
        <v>66918</v>
      </c>
      <c r="AZ17" s="138">
        <f>'Water Reading'!G18</f>
        <v>111388</v>
      </c>
      <c r="BA17" s="138">
        <f>'Water Reading'!H18</f>
        <v>52143</v>
      </c>
      <c r="BB17" s="138">
        <f>'Water Reading'!I18</f>
        <v>63329</v>
      </c>
      <c r="BC17" s="138">
        <f>'Water Reading'!J18</f>
        <v>19996</v>
      </c>
      <c r="BD17" s="138">
        <f>'Water Reading'!K18</f>
        <v>1024</v>
      </c>
      <c r="BE17" s="138">
        <f>'Water Reading'!L18</f>
        <v>17133</v>
      </c>
      <c r="BF17" s="138">
        <f>'Water Reading'!M18</f>
        <v>23944</v>
      </c>
      <c r="BG17" s="138">
        <f>'Water Reading'!N18</f>
        <v>7187</v>
      </c>
      <c r="BH17" s="138">
        <f>'Water Reading'!O18</f>
        <v>1655</v>
      </c>
      <c r="BI17" s="138">
        <f>'Water Reading'!P18</f>
        <v>26915</v>
      </c>
      <c r="BJ17" s="138">
        <f>'Water Reading'!Q18</f>
        <v>563</v>
      </c>
      <c r="BK17" s="138">
        <f>'Water Reading'!R18</f>
        <v>6165</v>
      </c>
      <c r="BL17" s="135">
        <f>'Kwh Reading'!U18</f>
        <v>6325</v>
      </c>
    </row>
    <row r="18" spans="1:64" x14ac:dyDescent="0.25">
      <c r="A18" s="43" t="s">
        <v>9</v>
      </c>
      <c r="B18" s="44">
        <f t="shared" si="0"/>
        <v>17</v>
      </c>
      <c r="C18" s="45">
        <v>6</v>
      </c>
      <c r="D18" s="44">
        <v>2021</v>
      </c>
      <c r="E18" s="141">
        <f>'Kwh Reading'!B19</f>
        <v>962.42</v>
      </c>
      <c r="F18" s="141">
        <f>'Kwh Reading'!C19</f>
        <v>226.4</v>
      </c>
      <c r="G18" s="141">
        <f>'Kwh Reading'!D19</f>
        <v>7446082.1799999997</v>
      </c>
      <c r="H18" s="141">
        <f>'Kwh Reading'!E19</f>
        <v>8139013.1500000004</v>
      </c>
      <c r="I18" s="141">
        <f>'Kwh Reading'!F19</f>
        <v>2.3464</v>
      </c>
      <c r="J18" s="141">
        <f>'Kwh Reading'!G19</f>
        <v>734.46</v>
      </c>
      <c r="K18" s="141">
        <f>'Kwh Reading'!H19</f>
        <v>615.58000000000004</v>
      </c>
      <c r="L18" s="141">
        <f>'Kwh Reading'!I19</f>
        <v>231.45</v>
      </c>
      <c r="M18" s="141">
        <f>'Kwh Reading'!J19</f>
        <v>313.47000000000003</v>
      </c>
      <c r="N18" s="141">
        <f>'Kwh Reading'!K19</f>
        <v>337.19</v>
      </c>
      <c r="O18" s="141">
        <f>'Kwh Reading'!L19</f>
        <v>231.25</v>
      </c>
      <c r="P18" s="141">
        <f>'Kwh Reading'!M19</f>
        <v>507.63</v>
      </c>
      <c r="Q18" s="141">
        <f>'Kwh Reading'!N19</f>
        <v>462.05</v>
      </c>
      <c r="R18" s="141">
        <f>'Kwh Reading'!O19</f>
        <v>148.25</v>
      </c>
      <c r="S18" s="141">
        <f>'Kwh Reading'!P19</f>
        <v>604.21</v>
      </c>
      <c r="T18" s="141">
        <f>'Kwh Reading'!Q19</f>
        <v>450.97</v>
      </c>
      <c r="U18" s="141">
        <f>'Kwh Reading'!R19</f>
        <v>153.56</v>
      </c>
      <c r="V18" s="141">
        <f>'Kwh Reading'!S19</f>
        <v>113.48</v>
      </c>
      <c r="W18" s="141">
        <f>'Kwh Reading'!T19</f>
        <v>414.68</v>
      </c>
      <c r="X18" s="141">
        <f>'Kwh Consumption'!J20</f>
        <v>79.999999999998295</v>
      </c>
      <c r="Y18" s="141">
        <f>'Kwh Consumption'!K20</f>
        <v>290.00000000002046</v>
      </c>
      <c r="Z18" s="141">
        <f>'Kwh Consumption'!L20</f>
        <v>1470.0000000000273</v>
      </c>
      <c r="AA18" s="141">
        <f>'Kwh Consumption'!M20</f>
        <v>870.00000000000455</v>
      </c>
      <c r="AB18" s="141">
        <f>'Kwh Consumption'!N20</f>
        <v>419.99999999995907</v>
      </c>
      <c r="AC18" s="141">
        <f>'Kwh Consumption'!O20</f>
        <v>1069.9999999999363</v>
      </c>
      <c r="AD18" s="141">
        <f>'Kwh Consumption'!P20</f>
        <v>889.99999999998636</v>
      </c>
      <c r="AE18" s="141">
        <f>'Kwh Consumption'!Q20</f>
        <v>759.99999999999091</v>
      </c>
      <c r="AF18" s="141">
        <f>'Kwh Consumption'!R20</f>
        <v>810.00000000000227</v>
      </c>
      <c r="AG18" s="141">
        <f>'Kwh Consumption'!S20</f>
        <v>3126.269999999553</v>
      </c>
      <c r="AH18" s="141">
        <f>'Kwh Consumption'!T20</f>
        <v>3185.730000000447</v>
      </c>
      <c r="AI18" s="141">
        <f>'Kwh Consumption'!U20</f>
        <v>270.00000000001023</v>
      </c>
      <c r="AJ18" s="141">
        <f>'Kwh Consumption'!V20</f>
        <v>11278.000000000266</v>
      </c>
      <c r="AK18" s="141">
        <f>'Kwh area wise '!C19</f>
        <v>420.00000000001592</v>
      </c>
      <c r="AL18" s="141">
        <f>'Kwh area wise '!D19</f>
        <v>2499.9999999999468</v>
      </c>
      <c r="AM18" s="141">
        <f>'Kwh area wise '!E19</f>
        <v>199.99999999998863</v>
      </c>
      <c r="AN18" s="141">
        <f>'Kwh area wise '!F19</f>
        <v>709.99999999997954</v>
      </c>
      <c r="AO18" s="141">
        <f>'Kwh area wise '!G19</f>
        <v>339.9999999999892</v>
      </c>
      <c r="AP18" s="141">
        <f>'Kwh area wise '!H19</f>
        <v>1760.0000000000477</v>
      </c>
      <c r="AQ18" s="141">
        <f>'Kwh area wise '!I19</f>
        <v>4819.9999999998799</v>
      </c>
      <c r="AR18" s="141">
        <f>'Kwh area wise '!J19</f>
        <v>6312</v>
      </c>
      <c r="AS18" s="141">
        <f>'Kwh area wise '!K19</f>
        <v>270.00000000001023</v>
      </c>
      <c r="AT18" s="141">
        <f>'Kwh area wise '!L19</f>
        <v>11278.000000000269</v>
      </c>
      <c r="AU18" s="138">
        <f>'Water Reading'!B19</f>
        <v>165030</v>
      </c>
      <c r="AV18" s="138">
        <f>'Water Reading'!C19</f>
        <v>125197</v>
      </c>
      <c r="AW18" s="138">
        <f>'Water Reading'!D19</f>
        <v>207244</v>
      </c>
      <c r="AX18" s="138">
        <f>'Water Reading'!E19</f>
        <v>246994</v>
      </c>
      <c r="AY18" s="138">
        <f>'Water Reading'!F19</f>
        <v>66919</v>
      </c>
      <c r="AZ18" s="138">
        <f>'Water Reading'!G19</f>
        <v>111404</v>
      </c>
      <c r="BA18" s="138">
        <f>'Water Reading'!H19</f>
        <v>52210</v>
      </c>
      <c r="BB18" s="138">
        <f>'Water Reading'!I19</f>
        <v>63340</v>
      </c>
      <c r="BC18" s="138">
        <f>'Water Reading'!J19</f>
        <v>20013</v>
      </c>
      <c r="BD18" s="138">
        <f>'Water Reading'!K19</f>
        <v>1024</v>
      </c>
      <c r="BE18" s="138">
        <f>'Water Reading'!L19</f>
        <v>17140</v>
      </c>
      <c r="BF18" s="138">
        <f>'Water Reading'!M19</f>
        <v>23959</v>
      </c>
      <c r="BG18" s="138">
        <f>'Water Reading'!N19</f>
        <v>7197</v>
      </c>
      <c r="BH18" s="138">
        <f>'Water Reading'!O19</f>
        <v>1656</v>
      </c>
      <c r="BI18" s="138">
        <f>'Water Reading'!P19</f>
        <v>26915</v>
      </c>
      <c r="BJ18" s="138">
        <f>'Water Reading'!Q19</f>
        <v>571</v>
      </c>
      <c r="BK18" s="138">
        <f>'Water Reading'!R19</f>
        <v>6170</v>
      </c>
      <c r="BL18" s="135">
        <f>'Kwh Reading'!U19</f>
        <v>6346</v>
      </c>
    </row>
    <row r="19" spans="1:64" x14ac:dyDescent="0.25">
      <c r="A19" s="43" t="s">
        <v>9</v>
      </c>
      <c r="B19" s="44">
        <f t="shared" si="0"/>
        <v>18</v>
      </c>
      <c r="C19" s="45">
        <v>6</v>
      </c>
      <c r="D19" s="44">
        <v>2021</v>
      </c>
      <c r="E19" s="141">
        <f>'Kwh Reading'!B20</f>
        <v>963.89</v>
      </c>
      <c r="F19" s="141">
        <f>'Kwh Reading'!C20</f>
        <v>226.6</v>
      </c>
      <c r="G19" s="141">
        <f>'Kwh Reading'!D20</f>
        <v>7449267.9100000001</v>
      </c>
      <c r="H19" s="141">
        <f>'Kwh Reading'!E20</f>
        <v>8142139.4199999999</v>
      </c>
      <c r="I19" s="141">
        <f>'Kwh Reading'!F20</f>
        <v>2.3489</v>
      </c>
      <c r="J19" s="141">
        <f>'Kwh Reading'!G20</f>
        <v>735.35</v>
      </c>
      <c r="K19" s="141">
        <f>'Kwh Reading'!H20</f>
        <v>616</v>
      </c>
      <c r="L19" s="141">
        <f>'Kwh Reading'!I20</f>
        <v>231.74</v>
      </c>
      <c r="M19" s="141">
        <f>'Kwh Reading'!J20</f>
        <v>313.72000000000003</v>
      </c>
      <c r="N19" s="141">
        <f>'Kwh Reading'!K20</f>
        <v>337.46</v>
      </c>
      <c r="O19" s="141">
        <f>'Kwh Reading'!L20</f>
        <v>231.44</v>
      </c>
      <c r="P19" s="141">
        <f>'Kwh Reading'!M20</f>
        <v>508.5</v>
      </c>
      <c r="Q19" s="141">
        <f>'Kwh Reading'!N20</f>
        <v>462.86</v>
      </c>
      <c r="R19" s="141">
        <f>'Kwh Reading'!O20</f>
        <v>148.52000000000001</v>
      </c>
      <c r="S19" s="141">
        <f>'Kwh Reading'!P20</f>
        <v>605.28</v>
      </c>
      <c r="T19" s="141">
        <f>'Kwh Reading'!Q20</f>
        <v>451.73</v>
      </c>
      <c r="U19" s="141">
        <f>'Kwh Reading'!R20</f>
        <v>153.82</v>
      </c>
      <c r="V19" s="141">
        <f>'Kwh Reading'!S20</f>
        <v>113.56</v>
      </c>
      <c r="W19" s="141">
        <f>'Kwh Reading'!T20</f>
        <v>415.1</v>
      </c>
      <c r="X19" s="141">
        <f>'Kwh Consumption'!J21</f>
        <v>90.000000000003411</v>
      </c>
      <c r="Y19" s="141">
        <f>'Kwh Consumption'!K21</f>
        <v>389.99999999998636</v>
      </c>
      <c r="Z19" s="141">
        <f>'Kwh Consumption'!L21</f>
        <v>1460.0000000000364</v>
      </c>
      <c r="AA19" s="141">
        <f>'Kwh Consumption'!M21</f>
        <v>850.00000000002274</v>
      </c>
      <c r="AB19" s="141">
        <f>'Kwh Consumption'!N21</f>
        <v>389.99999999998636</v>
      </c>
      <c r="AC19" s="141">
        <f>'Kwh Consumption'!O21</f>
        <v>1139.9999999999864</v>
      </c>
      <c r="AD19" s="141">
        <f>'Kwh Consumption'!P21</f>
        <v>939.99999999994088</v>
      </c>
      <c r="AE19" s="141">
        <f>'Kwh Consumption'!Q21</f>
        <v>859.9999999999568</v>
      </c>
      <c r="AF19" s="141">
        <f>'Kwh Consumption'!R21</f>
        <v>789.99999999996362</v>
      </c>
      <c r="AG19" s="141">
        <f>'Kwh Consumption'!S21</f>
        <v>3202.0499999998137</v>
      </c>
      <c r="AH19" s="141">
        <f>'Kwh Consumption'!T21</f>
        <v>2726.3899999996647</v>
      </c>
      <c r="AI19" s="141">
        <f>'Kwh Consumption'!U21</f>
        <v>269.99999999998181</v>
      </c>
      <c r="AJ19" s="141">
        <f>'Kwh Consumption'!V21</f>
        <v>6331.5599999998667</v>
      </c>
      <c r="AK19" s="141">
        <f>'Kwh area wise '!C20</f>
        <v>299.99999999995453</v>
      </c>
      <c r="AL19" s="141">
        <f>'Kwh area wise '!D20</f>
        <v>2600.0000000001578</v>
      </c>
      <c r="AM19" s="141">
        <f>'Kwh area wise '!E20</f>
        <v>230.00000000001819</v>
      </c>
      <c r="AN19" s="141">
        <f>'Kwh area wise '!F20</f>
        <v>639.99999999998636</v>
      </c>
      <c r="AO19" s="141">
        <f>'Kwh area wise '!G20</f>
        <v>370.00000000000455</v>
      </c>
      <c r="AP19" s="141">
        <f>'Kwh area wise '!H20</f>
        <v>1850.0000000000227</v>
      </c>
      <c r="AQ19" s="141">
        <f>'Kwh area wise '!I20</f>
        <v>4969.9999999998563</v>
      </c>
      <c r="AR19" s="141">
        <f>'Kwh area wise '!J20</f>
        <v>5928.4399999994785</v>
      </c>
      <c r="AS19" s="141">
        <f>'Kwh area wise '!K20</f>
        <v>269.99999999998181</v>
      </c>
      <c r="AT19" s="141">
        <f>'Kwh area wise '!L20</f>
        <v>6331.5599999998722</v>
      </c>
      <c r="AU19" s="138">
        <f>'Water Reading'!B20</f>
        <v>165111</v>
      </c>
      <c r="AV19" s="138">
        <f>'Water Reading'!C20</f>
        <v>125439</v>
      </c>
      <c r="AW19" s="138">
        <f>'Water Reading'!D20</f>
        <v>207405</v>
      </c>
      <c r="AX19" s="138">
        <f>'Water Reading'!E20</f>
        <v>247090</v>
      </c>
      <c r="AY19" s="138">
        <f>'Water Reading'!F20</f>
        <v>66919</v>
      </c>
      <c r="AZ19" s="138">
        <f>'Water Reading'!G20</f>
        <v>111422</v>
      </c>
      <c r="BA19" s="138">
        <f>'Water Reading'!H20</f>
        <v>52252</v>
      </c>
      <c r="BB19" s="138">
        <f>'Water Reading'!I20</f>
        <v>63371</v>
      </c>
      <c r="BC19" s="138">
        <f>'Water Reading'!J20</f>
        <v>20034</v>
      </c>
      <c r="BD19" s="138">
        <f>'Water Reading'!K20</f>
        <v>1024</v>
      </c>
      <c r="BE19" s="138">
        <f>'Water Reading'!L20</f>
        <v>17144</v>
      </c>
      <c r="BF19" s="138">
        <f>'Water Reading'!M20</f>
        <v>23976</v>
      </c>
      <c r="BG19" s="138">
        <f>'Water Reading'!N20</f>
        <v>7205</v>
      </c>
      <c r="BH19" s="138">
        <f>'Water Reading'!O20</f>
        <v>1657</v>
      </c>
      <c r="BI19" s="138">
        <f>'Water Reading'!P20</f>
        <v>26930</v>
      </c>
      <c r="BJ19" s="138">
        <f>'Water Reading'!Q20</f>
        <v>577</v>
      </c>
      <c r="BK19" s="138">
        <f>'Water Reading'!R20</f>
        <v>6174</v>
      </c>
      <c r="BL19" s="135">
        <f>'Kwh Reading'!U20</f>
        <v>6276</v>
      </c>
    </row>
    <row r="20" spans="1:64" x14ac:dyDescent="0.25">
      <c r="A20" s="43" t="s">
        <v>9</v>
      </c>
      <c r="B20" s="44">
        <f t="shared" si="0"/>
        <v>19</v>
      </c>
      <c r="C20" s="45">
        <v>6</v>
      </c>
      <c r="D20" s="44">
        <v>2021</v>
      </c>
      <c r="E20" s="141">
        <f>'Kwh Reading'!B21</f>
        <v>965.35</v>
      </c>
      <c r="F20" s="141">
        <f>'Kwh Reading'!C21</f>
        <v>226.83</v>
      </c>
      <c r="G20" s="141">
        <f>'Kwh Reading'!D21</f>
        <v>7451994.2999999998</v>
      </c>
      <c r="H20" s="141">
        <f>'Kwh Reading'!E21</f>
        <v>8145341.4699999997</v>
      </c>
      <c r="I20" s="141">
        <f>'Kwh Reading'!F21</f>
        <v>2.3515000000000001</v>
      </c>
      <c r="J20" s="141">
        <f>'Kwh Reading'!G21</f>
        <v>736.29</v>
      </c>
      <c r="K20" s="141">
        <f>'Kwh Reading'!H21</f>
        <v>616.39</v>
      </c>
      <c r="L20" s="141">
        <f>'Kwh Reading'!I21</f>
        <v>232.13</v>
      </c>
      <c r="M20" s="141">
        <f>'Kwh Reading'!J21</f>
        <v>313.92</v>
      </c>
      <c r="N20" s="141">
        <f>'Kwh Reading'!K21</f>
        <v>337.71</v>
      </c>
      <c r="O20" s="141">
        <f>'Kwh Reading'!L21</f>
        <v>231.63</v>
      </c>
      <c r="P20" s="141">
        <f>'Kwh Reading'!M21</f>
        <v>509.35</v>
      </c>
      <c r="Q20" s="141">
        <f>'Kwh Reading'!N21</f>
        <v>463.65</v>
      </c>
      <c r="R20" s="141">
        <f>'Kwh Reading'!O21</f>
        <v>148.79</v>
      </c>
      <c r="S20" s="141">
        <f>'Kwh Reading'!P21</f>
        <v>606.41999999999996</v>
      </c>
      <c r="T20" s="141">
        <f>'Kwh Reading'!Q21</f>
        <v>452.59</v>
      </c>
      <c r="U20" s="141">
        <f>'Kwh Reading'!R21</f>
        <v>154.1</v>
      </c>
      <c r="V20" s="141">
        <f>'Kwh Reading'!S21</f>
        <v>113.65</v>
      </c>
      <c r="W20" s="141">
        <f>'Kwh Reading'!T21</f>
        <v>415.4</v>
      </c>
      <c r="X20" s="141">
        <f>'Kwh Consumption'!J22</f>
        <v>140.00000000000057</v>
      </c>
      <c r="Y20" s="141">
        <f>'Kwh Consumption'!K22</f>
        <v>349.99999999999432</v>
      </c>
      <c r="Z20" s="141">
        <f>'Kwh Consumption'!L22</f>
        <v>1309.9999999999454</v>
      </c>
      <c r="AA20" s="141">
        <f>'Kwh Consumption'!M22</f>
        <v>739.99999999995225</v>
      </c>
      <c r="AB20" s="141">
        <f>'Kwh Consumption'!N22</f>
        <v>430.00000000006366</v>
      </c>
      <c r="AC20" s="141">
        <f>'Kwh Consumption'!O22</f>
        <v>1090.0000000000318</v>
      </c>
      <c r="AD20" s="141">
        <f>'Kwh Consumption'!P22</f>
        <v>889.99999999998636</v>
      </c>
      <c r="AE20" s="141">
        <f>'Kwh Consumption'!Q22</f>
        <v>770.00000000003865</v>
      </c>
      <c r="AF20" s="141">
        <f>'Kwh Consumption'!R22</f>
        <v>750</v>
      </c>
      <c r="AG20" s="141">
        <f>'Kwh Consumption'!S22</f>
        <v>3584.230000000447</v>
      </c>
      <c r="AH20" s="141">
        <f>'Kwh Consumption'!T22</f>
        <v>2603.339999999851</v>
      </c>
      <c r="AI20" s="141">
        <f>'Kwh Consumption'!U22</f>
        <v>219.99999999999886</v>
      </c>
      <c r="AJ20" s="141">
        <f>'Kwh Consumption'!V22</f>
        <v>6002.4300000000148</v>
      </c>
      <c r="AK20" s="141">
        <f>'Kwh area wise '!C21</f>
        <v>460.00000000003638</v>
      </c>
      <c r="AL20" s="141">
        <f>'Kwh area wise '!D21</f>
        <v>2399.9999999997358</v>
      </c>
      <c r="AM20" s="141">
        <f>'Kwh area wise '!E21</f>
        <v>799.99999999998295</v>
      </c>
      <c r="AN20" s="141">
        <f>'Kwh area wise '!F21</f>
        <v>520.00000000003865</v>
      </c>
      <c r="AO20" s="141">
        <f>'Kwh area wise '!G21</f>
        <v>459.99999999999375</v>
      </c>
      <c r="AP20" s="141">
        <f>'Kwh area wise '!H21</f>
        <v>1659.9999999999397</v>
      </c>
      <c r="AQ20" s="141">
        <f>'Kwh area wise '!I21</f>
        <v>4670.0000000000728</v>
      </c>
      <c r="AR20" s="141">
        <f>'Kwh area wise '!J21</f>
        <v>6187.570000000298</v>
      </c>
      <c r="AS20" s="141">
        <f>'Kwh area wise '!K21</f>
        <v>219.99999999999886</v>
      </c>
      <c r="AT20" s="141">
        <f>'Kwh area wise '!L21</f>
        <v>6002.4300000000158</v>
      </c>
      <c r="AU20" s="138">
        <f>'Water Reading'!B21</f>
        <v>165363</v>
      </c>
      <c r="AV20" s="138">
        <f>'Water Reading'!C21</f>
        <v>125484</v>
      </c>
      <c r="AW20" s="138">
        <f>'Water Reading'!D21</f>
        <v>207548</v>
      </c>
      <c r="AX20" s="138">
        <f>'Water Reading'!E21</f>
        <v>247193</v>
      </c>
      <c r="AY20" s="138">
        <f>'Water Reading'!F21</f>
        <v>66921</v>
      </c>
      <c r="AZ20" s="138">
        <f>'Water Reading'!G21</f>
        <v>111439</v>
      </c>
      <c r="BA20" s="138">
        <f>'Water Reading'!H21</f>
        <v>52307</v>
      </c>
      <c r="BB20" s="138">
        <f>'Water Reading'!I21</f>
        <v>63384</v>
      </c>
      <c r="BC20" s="138">
        <f>'Water Reading'!J21</f>
        <v>20050</v>
      </c>
      <c r="BD20" s="138">
        <f>'Water Reading'!K21</f>
        <v>1024</v>
      </c>
      <c r="BE20" s="138">
        <f>'Water Reading'!L21</f>
        <v>17150</v>
      </c>
      <c r="BF20" s="138">
        <f>'Water Reading'!M21</f>
        <v>23983</v>
      </c>
      <c r="BG20" s="138">
        <f>'Water Reading'!N21</f>
        <v>7213</v>
      </c>
      <c r="BH20" s="138">
        <f>'Water Reading'!O21</f>
        <v>1658</v>
      </c>
      <c r="BI20" s="138">
        <f>'Water Reading'!P21</f>
        <v>26930</v>
      </c>
      <c r="BJ20" s="138">
        <f>'Water Reading'!Q21</f>
        <v>579</v>
      </c>
      <c r="BK20" s="138">
        <f>'Water Reading'!R21</f>
        <v>6175</v>
      </c>
      <c r="BL20" s="135">
        <f>'Kwh Reading'!U21</f>
        <v>6239</v>
      </c>
    </row>
    <row r="21" spans="1:64" x14ac:dyDescent="0.25">
      <c r="A21" s="43" t="s">
        <v>9</v>
      </c>
      <c r="B21" s="44">
        <f t="shared" si="0"/>
        <v>20</v>
      </c>
      <c r="C21" s="45">
        <v>6</v>
      </c>
      <c r="D21" s="44">
        <v>2021</v>
      </c>
      <c r="E21" s="141">
        <f>'Kwh Reading'!B22</f>
        <v>966.66</v>
      </c>
      <c r="F21" s="141">
        <f>'Kwh Reading'!C22</f>
        <v>227.63</v>
      </c>
      <c r="G21" s="141">
        <f>'Kwh Reading'!D22</f>
        <v>7454597.6399999997</v>
      </c>
      <c r="H21" s="141">
        <f>'Kwh Reading'!E22</f>
        <v>8148925.7000000002</v>
      </c>
      <c r="I21" s="141">
        <f>'Kwh Reading'!F22</f>
        <v>2.3538999999999999</v>
      </c>
      <c r="J21" s="141">
        <f>'Kwh Reading'!G22</f>
        <v>737.18</v>
      </c>
      <c r="K21" s="141">
        <f>'Kwh Reading'!H22</f>
        <v>616.82000000000005</v>
      </c>
      <c r="L21" s="141">
        <f>'Kwh Reading'!I22</f>
        <v>232.48</v>
      </c>
      <c r="M21" s="141">
        <f>'Kwh Reading'!J22</f>
        <v>314.05</v>
      </c>
      <c r="N21" s="141">
        <f>'Kwh Reading'!K22</f>
        <v>337.92</v>
      </c>
      <c r="O21" s="141">
        <f>'Kwh Reading'!L22</f>
        <v>231.81</v>
      </c>
      <c r="P21" s="141">
        <f>'Kwh Reading'!M22</f>
        <v>510.09</v>
      </c>
      <c r="Q21" s="141">
        <f>'Kwh Reading'!N22</f>
        <v>464.4</v>
      </c>
      <c r="R21" s="141">
        <f>'Kwh Reading'!O22</f>
        <v>149.01</v>
      </c>
      <c r="S21" s="141">
        <f>'Kwh Reading'!P22</f>
        <v>607.51</v>
      </c>
      <c r="T21" s="141">
        <f>'Kwh Reading'!Q22</f>
        <v>453.36</v>
      </c>
      <c r="U21" s="141">
        <f>'Kwh Reading'!R22</f>
        <v>154.41999999999999</v>
      </c>
      <c r="V21" s="141">
        <f>'Kwh Reading'!S22</f>
        <v>113.79</v>
      </c>
      <c r="W21" s="141">
        <f>'Kwh Reading'!T22</f>
        <v>415.86</v>
      </c>
      <c r="X21" s="141">
        <f>'Kwh Consumption'!J23</f>
        <v>129.99999999999545</v>
      </c>
      <c r="Y21" s="141">
        <f>'Kwh Consumption'!K23</f>
        <v>350.00000000002274</v>
      </c>
      <c r="Z21" s="141">
        <f>'Kwh Consumption'!L23</f>
        <v>1259.9999999999909</v>
      </c>
      <c r="AA21" s="141">
        <f>'Kwh Consumption'!M23</f>
        <v>780.00000000002956</v>
      </c>
      <c r="AB21" s="141">
        <f>'Kwh Consumption'!N23</f>
        <v>519.99999999998181</v>
      </c>
      <c r="AC21" s="141">
        <f>'Kwh Consumption'!O23</f>
        <v>1060.0000000000591</v>
      </c>
      <c r="AD21" s="141">
        <f>'Kwh Consumption'!P23</f>
        <v>890.00000000010004</v>
      </c>
      <c r="AE21" s="141">
        <f>'Kwh Consumption'!Q23</f>
        <v>759.99999999999091</v>
      </c>
      <c r="AF21" s="141">
        <f>'Kwh Consumption'!R23</f>
        <v>760.00000000004775</v>
      </c>
      <c r="AG21" s="141">
        <f>'Kwh Consumption'!S23</f>
        <v>3554.4799999995157</v>
      </c>
      <c r="AH21" s="141">
        <f>'Kwh Consumption'!T23</f>
        <v>2639.570000000298</v>
      </c>
      <c r="AI21" s="141">
        <f>'Kwh Consumption'!U23</f>
        <v>230.00000000001819</v>
      </c>
      <c r="AJ21" s="141">
        <f>'Kwh Consumption'!V23</f>
        <v>5995.9500000011722</v>
      </c>
      <c r="AK21" s="141">
        <f>'Kwh area wise '!C22</f>
        <v>459.99999999997954</v>
      </c>
      <c r="AL21" s="141">
        <f>'Kwh area wise '!D22</f>
        <v>2499.9999999999468</v>
      </c>
      <c r="AM21" s="141">
        <f>'Kwh area wise '!E22</f>
        <v>-389.99999999998636</v>
      </c>
      <c r="AN21" s="141">
        <f>'Kwh area wise '!F22</f>
        <v>529.99999999994429</v>
      </c>
      <c r="AO21" s="141">
        <f>'Kwh area wise '!G22</f>
        <v>629.99999999999545</v>
      </c>
      <c r="AP21" s="141">
        <f>'Kwh area wise '!H22</f>
        <v>1610.0000000000136</v>
      </c>
      <c r="AQ21" s="141">
        <f>'Kwh area wise '!I22</f>
        <v>4770.0000000002092</v>
      </c>
      <c r="AR21" s="141">
        <f>'Kwh area wise '!J22</f>
        <v>6194.0499999998137</v>
      </c>
      <c r="AS21" s="141">
        <f>'Kwh area wise '!K22</f>
        <v>230.00000000001819</v>
      </c>
      <c r="AT21" s="141">
        <f>'Kwh area wise '!L22</f>
        <v>5995.950000001174</v>
      </c>
      <c r="AU21" s="138">
        <f>'Water Reading'!B22</f>
        <v>165531</v>
      </c>
      <c r="AV21" s="138">
        <f>'Water Reading'!C22</f>
        <v>125812</v>
      </c>
      <c r="AW21" s="138">
        <f>'Water Reading'!D22</f>
        <v>207687</v>
      </c>
      <c r="AX21" s="138">
        <f>'Water Reading'!E22</f>
        <v>247244</v>
      </c>
      <c r="AY21" s="138">
        <f>'Water Reading'!F22</f>
        <v>66922</v>
      </c>
      <c r="AZ21" s="138">
        <f>'Water Reading'!G22</f>
        <v>111453</v>
      </c>
      <c r="BA21" s="138">
        <f>'Water Reading'!H22</f>
        <v>52382</v>
      </c>
      <c r="BB21" s="138">
        <f>'Water Reading'!I22</f>
        <v>63411</v>
      </c>
      <c r="BC21" s="138">
        <f>'Water Reading'!J22</f>
        <v>20067</v>
      </c>
      <c r="BD21" s="138">
        <f>'Water Reading'!K22</f>
        <v>1024</v>
      </c>
      <c r="BE21" s="138">
        <f>'Water Reading'!L22</f>
        <v>17157</v>
      </c>
      <c r="BF21" s="138">
        <f>'Water Reading'!M22</f>
        <v>23998</v>
      </c>
      <c r="BG21" s="138">
        <f>'Water Reading'!N22</f>
        <v>7223</v>
      </c>
      <c r="BH21" s="138">
        <f>'Water Reading'!O22</f>
        <v>1659</v>
      </c>
      <c r="BI21" s="138">
        <f>'Water Reading'!P22</f>
        <v>26942</v>
      </c>
      <c r="BJ21" s="138">
        <f>'Water Reading'!Q22</f>
        <v>580</v>
      </c>
      <c r="BK21" s="138">
        <f>'Water Reading'!R22</f>
        <v>6180</v>
      </c>
      <c r="BL21" s="135">
        <f>'Kwh Reading'!U22</f>
        <v>6230</v>
      </c>
    </row>
    <row r="22" spans="1:64" x14ac:dyDescent="0.25">
      <c r="A22" s="43" t="s">
        <v>9</v>
      </c>
      <c r="B22" s="44">
        <f t="shared" si="0"/>
        <v>21</v>
      </c>
      <c r="C22" s="45">
        <v>6</v>
      </c>
      <c r="D22" s="44">
        <v>2021</v>
      </c>
      <c r="E22" s="141">
        <f>'Kwh Reading'!B23</f>
        <v>967.92</v>
      </c>
      <c r="F22" s="141">
        <f>'Kwh Reading'!C23</f>
        <v>227.24</v>
      </c>
      <c r="G22" s="141">
        <f>'Kwh Reading'!D23</f>
        <v>7457237.21</v>
      </c>
      <c r="H22" s="141">
        <f>'Kwh Reading'!E23</f>
        <v>8152480.1799999997</v>
      </c>
      <c r="I22" s="141">
        <f>'Kwh Reading'!F23</f>
        <v>2.3563999999999998</v>
      </c>
      <c r="J22" s="141">
        <f>'Kwh Reading'!G23</f>
        <v>738.07</v>
      </c>
      <c r="K22" s="141">
        <f>'Kwh Reading'!H23</f>
        <v>617.34</v>
      </c>
      <c r="L22" s="141">
        <f>'Kwh Reading'!I23</f>
        <v>232.83</v>
      </c>
      <c r="M22" s="141">
        <f>'Kwh Reading'!J23</f>
        <v>314.18</v>
      </c>
      <c r="N22" s="141">
        <f>'Kwh Reading'!K23</f>
        <v>338.15</v>
      </c>
      <c r="O22" s="141">
        <f>'Kwh Reading'!L23</f>
        <v>231.98</v>
      </c>
      <c r="P22" s="141">
        <f>'Kwh Reading'!M23</f>
        <v>510.87</v>
      </c>
      <c r="Q22" s="141">
        <f>'Kwh Reading'!N23</f>
        <v>465.16</v>
      </c>
      <c r="R22" s="141">
        <f>'Kwh Reading'!O23</f>
        <v>149.24</v>
      </c>
      <c r="S22" s="141">
        <f>'Kwh Reading'!P23</f>
        <v>608.57000000000005</v>
      </c>
      <c r="T22" s="141">
        <f>'Kwh Reading'!Q23</f>
        <v>454.12</v>
      </c>
      <c r="U22" s="141">
        <f>'Kwh Reading'!R23</f>
        <v>154.91999999999999</v>
      </c>
      <c r="V22" s="141">
        <f>'Kwh Reading'!S23</f>
        <v>113.92</v>
      </c>
      <c r="W22" s="141">
        <f>'Kwh Reading'!T23</f>
        <v>416.32</v>
      </c>
      <c r="X22" s="141">
        <f>'Kwh Consumption'!J24</f>
        <v>140.00000000000057</v>
      </c>
      <c r="Y22" s="141">
        <f>'Kwh Consumption'!K24</f>
        <v>369.99999999997613</v>
      </c>
      <c r="Z22" s="141">
        <f>'Kwh Consumption'!L24</f>
        <v>1440.0000000000546</v>
      </c>
      <c r="AA22" s="141">
        <f>'Kwh Consumption'!M24</f>
        <v>810.00000000000227</v>
      </c>
      <c r="AB22" s="141">
        <f>'Kwh Consumption'!N24</f>
        <v>480.00000000001819</v>
      </c>
      <c r="AC22" s="141">
        <f>'Kwh Consumption'!O24</f>
        <v>1059.9999999999454</v>
      </c>
      <c r="AD22" s="141">
        <f>'Kwh Consumption'!P24</f>
        <v>959.99999999992269</v>
      </c>
      <c r="AE22" s="141">
        <f>'Kwh Consumption'!Q24</f>
        <v>779.99999999997272</v>
      </c>
      <c r="AF22" s="141">
        <f>'Kwh Consumption'!R24</f>
        <v>799.99999999995453</v>
      </c>
      <c r="AG22" s="141">
        <f>'Kwh Consumption'!S24</f>
        <v>3759.4300000006333</v>
      </c>
      <c r="AH22" s="141">
        <f>'Kwh Consumption'!T24</f>
        <v>2788.0599999995902</v>
      </c>
      <c r="AI22" s="141">
        <f>'Kwh Consumption'!U24</f>
        <v>229.99999999998977</v>
      </c>
      <c r="AJ22" s="141">
        <f>'Kwh Consumption'!V24</f>
        <v>6542.5099999985505</v>
      </c>
      <c r="AK22" s="141">
        <f>'Kwh area wise '!C23</f>
        <v>509.99999999999091</v>
      </c>
      <c r="AL22" s="141">
        <f>'Kwh area wise '!D23</f>
        <v>2500.0000000003906</v>
      </c>
      <c r="AM22" s="141">
        <f>'Kwh area wise '!E23</f>
        <v>259.99999999999091</v>
      </c>
      <c r="AN22" s="141">
        <f>'Kwh area wise '!F23</f>
        <v>720.00000000005571</v>
      </c>
      <c r="AO22" s="141">
        <f>'Kwh area wise '!G23</f>
        <v>270.00000000002444</v>
      </c>
      <c r="AP22" s="141">
        <f>'Kwh area wise '!H23</f>
        <v>1810.0000000000307</v>
      </c>
      <c r="AQ22" s="141">
        <f>'Kwh area wise '!I23</f>
        <v>4889.9999999998163</v>
      </c>
      <c r="AR22" s="141">
        <f>'Kwh area wise '!J23</f>
        <v>6547.4900000002235</v>
      </c>
      <c r="AS22" s="141">
        <f>'Kwh area wise '!K23</f>
        <v>229.99999999998977</v>
      </c>
      <c r="AT22" s="141">
        <f>'Kwh area wise '!L23</f>
        <v>6542.5099999985514</v>
      </c>
      <c r="AU22" s="138">
        <f>'Water Reading'!B23</f>
        <v>165625</v>
      </c>
      <c r="AV22" s="138">
        <f>'Water Reading'!C23</f>
        <v>126142</v>
      </c>
      <c r="AW22" s="138">
        <f>'Water Reading'!D23</f>
        <v>207832</v>
      </c>
      <c r="AX22" s="138">
        <f>'Water Reading'!E23</f>
        <v>247297</v>
      </c>
      <c r="AY22" s="138">
        <f>'Water Reading'!F23</f>
        <v>66922</v>
      </c>
      <c r="AZ22" s="138">
        <f>'Water Reading'!G23</f>
        <v>111469</v>
      </c>
      <c r="BA22" s="138">
        <f>'Water Reading'!H23</f>
        <v>52440</v>
      </c>
      <c r="BB22" s="138">
        <f>'Water Reading'!I23</f>
        <v>63436</v>
      </c>
      <c r="BC22" s="138">
        <f>'Water Reading'!J23</f>
        <v>20087</v>
      </c>
      <c r="BD22" s="138">
        <f>'Water Reading'!K23</f>
        <v>1024</v>
      </c>
      <c r="BE22" s="138">
        <f>'Water Reading'!L23</f>
        <v>17163</v>
      </c>
      <c r="BF22" s="138">
        <f>'Water Reading'!M23</f>
        <v>24108</v>
      </c>
      <c r="BG22" s="138">
        <f>'Water Reading'!N23</f>
        <v>7237</v>
      </c>
      <c r="BH22" s="138">
        <f>'Water Reading'!O23</f>
        <v>1659</v>
      </c>
      <c r="BI22" s="138">
        <f>'Water Reading'!P23</f>
        <v>26954</v>
      </c>
      <c r="BJ22" s="138">
        <f>'Water Reading'!Q23</f>
        <v>591</v>
      </c>
      <c r="BK22" s="138">
        <f>'Water Reading'!R23</f>
        <v>6186</v>
      </c>
      <c r="BL22" s="135">
        <f>'Kwh Reading'!U23</f>
        <v>6554</v>
      </c>
    </row>
    <row r="23" spans="1:64" x14ac:dyDescent="0.25">
      <c r="A23" s="43" t="s">
        <v>9</v>
      </c>
      <c r="B23" s="44">
        <f t="shared" si="0"/>
        <v>22</v>
      </c>
      <c r="C23" s="45">
        <v>6</v>
      </c>
      <c r="D23" s="44">
        <v>2021</v>
      </c>
      <c r="E23" s="141">
        <f>'Kwh Reading'!B24</f>
        <v>969.36</v>
      </c>
      <c r="F23" s="141">
        <f>'Kwh Reading'!C24</f>
        <v>227.5</v>
      </c>
      <c r="G23" s="141">
        <f>'Kwh Reading'!D24</f>
        <v>7460025.2699999996</v>
      </c>
      <c r="H23" s="141">
        <f>'Kwh Reading'!E24</f>
        <v>8156239.6100000003</v>
      </c>
      <c r="I23" s="141">
        <f>'Kwh Reading'!F24</f>
        <v>2.3589000000000002</v>
      </c>
      <c r="J23" s="141">
        <f>'Kwh Reading'!G24</f>
        <v>739.03</v>
      </c>
      <c r="K23" s="141">
        <f>'Kwh Reading'!H24</f>
        <v>617.82000000000005</v>
      </c>
      <c r="L23" s="141">
        <f>'Kwh Reading'!I24</f>
        <v>233.2</v>
      </c>
      <c r="M23" s="141">
        <f>'Kwh Reading'!J24</f>
        <v>314.42</v>
      </c>
      <c r="N23" s="141">
        <f>'Kwh Reading'!K24</f>
        <v>338.43</v>
      </c>
      <c r="O23" s="141">
        <f>'Kwh Reading'!L24</f>
        <v>232.18</v>
      </c>
      <c r="P23" s="141">
        <f>'Kwh Reading'!M24</f>
        <v>511.68</v>
      </c>
      <c r="Q23" s="141">
        <f>'Kwh Reading'!N24</f>
        <v>465.96</v>
      </c>
      <c r="R23" s="141">
        <f>'Kwh Reading'!O24</f>
        <v>149.47</v>
      </c>
      <c r="S23" s="141">
        <f>'Kwh Reading'!P24</f>
        <v>609.63</v>
      </c>
      <c r="T23" s="141">
        <f>'Kwh Reading'!Q24</f>
        <v>454.9</v>
      </c>
      <c r="U23" s="141">
        <f>'Kwh Reading'!R24</f>
        <v>155.05000000000001</v>
      </c>
      <c r="V23" s="141">
        <f>'Kwh Reading'!S24</f>
        <v>114.06</v>
      </c>
      <c r="W23" s="141">
        <f>'Kwh Reading'!T24</f>
        <v>416.83</v>
      </c>
      <c r="X23" s="141">
        <f>'Kwh Consumption'!J25</f>
        <v>140.00000000000057</v>
      </c>
      <c r="Y23" s="141">
        <f>'Kwh Consumption'!K25</f>
        <v>370.00000000000455</v>
      </c>
      <c r="Z23" s="141">
        <f>'Kwh Consumption'!L25</f>
        <v>1370.0000000000045</v>
      </c>
      <c r="AA23" s="141">
        <f>'Kwh Consumption'!M25</f>
        <v>859.9999999999568</v>
      </c>
      <c r="AB23" s="141">
        <f>'Kwh Consumption'!N25</f>
        <v>529.99999999997272</v>
      </c>
      <c r="AC23" s="141">
        <f>'Kwh Consumption'!O25</f>
        <v>1070.00000000005</v>
      </c>
      <c r="AD23" s="141">
        <f>'Kwh Consumption'!P25</f>
        <v>910.00000000008185</v>
      </c>
      <c r="AE23" s="141">
        <f>'Kwh Consumption'!Q25</f>
        <v>750</v>
      </c>
      <c r="AF23" s="141">
        <f>'Kwh Consumption'!R25</f>
        <v>760.00000000004775</v>
      </c>
      <c r="AG23" s="141">
        <f>'Kwh Consumption'!S25</f>
        <v>3679.7399999992922</v>
      </c>
      <c r="AH23" s="141">
        <f>'Kwh Consumption'!T25</f>
        <v>2643.8000000007451</v>
      </c>
      <c r="AI23" s="141">
        <f>'Kwh Consumption'!U25</f>
        <v>199.99999999998863</v>
      </c>
      <c r="AJ23" s="141">
        <f>'Kwh Consumption'!V25</f>
        <v>6256.4600000001592</v>
      </c>
      <c r="AK23" s="141">
        <f>'Kwh area wise '!C24</f>
        <v>470.00000000002728</v>
      </c>
      <c r="AL23" s="141">
        <f>'Kwh area wise '!D24</f>
        <v>2499.9999999999468</v>
      </c>
      <c r="AM23" s="141">
        <f>'Kwh area wise '!E24</f>
        <v>240.00000000000909</v>
      </c>
      <c r="AN23" s="141">
        <f>'Kwh area wise '!F24</f>
        <v>679.99999999994998</v>
      </c>
      <c r="AO23" s="141">
        <f>'Kwh area wise '!G24</f>
        <v>450.00000000000284</v>
      </c>
      <c r="AP23" s="141">
        <f>'Kwh area wise '!H24</f>
        <v>1740.0000000000091</v>
      </c>
      <c r="AQ23" s="141">
        <f>'Kwh area wise '!I24</f>
        <v>4880.0000000001091</v>
      </c>
      <c r="AR23" s="141">
        <f>'Kwh area wise '!J24</f>
        <v>6323.5400000000373</v>
      </c>
      <c r="AS23" s="141">
        <f>'Kwh area wise '!K24</f>
        <v>199.99999999998863</v>
      </c>
      <c r="AT23" s="141">
        <f>'Kwh area wise '!L24</f>
        <v>6256.4600000001556</v>
      </c>
      <c r="AU23" s="138">
        <f>'Water Reading'!B24</f>
        <v>165754</v>
      </c>
      <c r="AV23" s="138">
        <f>'Water Reading'!C24</f>
        <v>126470</v>
      </c>
      <c r="AW23" s="138">
        <f>'Water Reading'!D24</f>
        <v>207981</v>
      </c>
      <c r="AX23" s="138">
        <f>'Water Reading'!E24</f>
        <v>247352</v>
      </c>
      <c r="AY23" s="138">
        <f>'Water Reading'!F24</f>
        <v>66923</v>
      </c>
      <c r="AZ23" s="138">
        <f>'Water Reading'!G24</f>
        <v>111487</v>
      </c>
      <c r="BA23" s="138">
        <f>'Water Reading'!H24</f>
        <v>52485</v>
      </c>
      <c r="BB23" s="138">
        <f>'Water Reading'!I24</f>
        <v>63466</v>
      </c>
      <c r="BC23" s="138">
        <f>'Water Reading'!J24</f>
        <v>20106</v>
      </c>
      <c r="BD23" s="138">
        <f>'Water Reading'!K24</f>
        <v>1024</v>
      </c>
      <c r="BE23" s="138">
        <f>'Water Reading'!L24</f>
        <v>17170</v>
      </c>
      <c r="BF23" s="138">
        <f>'Water Reading'!M24</f>
        <v>24025</v>
      </c>
      <c r="BG23" s="138">
        <f>'Water Reading'!N24</f>
        <v>7239</v>
      </c>
      <c r="BH23" s="138">
        <f>'Water Reading'!O24</f>
        <v>1660</v>
      </c>
      <c r="BI23" s="138">
        <f>'Water Reading'!P24</f>
        <v>26966</v>
      </c>
      <c r="BJ23" s="138">
        <f>'Water Reading'!Q24</f>
        <v>599</v>
      </c>
      <c r="BK23" s="138">
        <f>'Water Reading'!R24</f>
        <v>6190</v>
      </c>
      <c r="BL23" s="135">
        <f>'Kwh Reading'!U24</f>
        <v>6270</v>
      </c>
    </row>
    <row r="24" spans="1:64" x14ac:dyDescent="0.25">
      <c r="A24" s="43" t="s">
        <v>9</v>
      </c>
      <c r="B24" s="44">
        <f t="shared" si="0"/>
        <v>23</v>
      </c>
      <c r="C24" s="45">
        <v>6</v>
      </c>
      <c r="D24" s="44">
        <v>2021</v>
      </c>
      <c r="E24" s="141">
        <f>'Kwh Reading'!B25</f>
        <v>970.73</v>
      </c>
      <c r="F24" s="141">
        <f>'Kwh Reading'!C25</f>
        <v>227.74</v>
      </c>
      <c r="G24" s="141">
        <f>'Kwh Reading'!D25</f>
        <v>7462669.0700000003</v>
      </c>
      <c r="H24" s="141">
        <f>'Kwh Reading'!E25</f>
        <v>8159919.3499999996</v>
      </c>
      <c r="I24" s="141">
        <f>'Kwh Reading'!F25</f>
        <v>2.3614000000000002</v>
      </c>
      <c r="J24" s="141">
        <f>'Kwh Reading'!G25</f>
        <v>739.94</v>
      </c>
      <c r="K24" s="141">
        <f>'Kwh Reading'!H25</f>
        <v>618.35</v>
      </c>
      <c r="L24" s="141">
        <f>'Kwh Reading'!I25</f>
        <v>233.57</v>
      </c>
      <c r="M24" s="141">
        <f>'Kwh Reading'!J25</f>
        <v>314.63</v>
      </c>
      <c r="N24" s="141">
        <f>'Kwh Reading'!K25</f>
        <v>338.7</v>
      </c>
      <c r="O24" s="141">
        <f>'Kwh Reading'!L25</f>
        <v>232.38</v>
      </c>
      <c r="P24" s="141">
        <f>'Kwh Reading'!M25</f>
        <v>512.54</v>
      </c>
      <c r="Q24" s="141">
        <f>'Kwh Reading'!N25</f>
        <v>466.72</v>
      </c>
      <c r="R24" s="141">
        <f>'Kwh Reading'!O25</f>
        <v>149.66999999999999</v>
      </c>
      <c r="S24" s="141">
        <f>'Kwh Reading'!P25</f>
        <v>610.70000000000005</v>
      </c>
      <c r="T24" s="141">
        <f>'Kwh Reading'!Q25</f>
        <v>455.65</v>
      </c>
      <c r="U24" s="141">
        <f>'Kwh Reading'!R25</f>
        <v>155.36000000000001</v>
      </c>
      <c r="V24" s="141">
        <f>'Kwh Reading'!S25</f>
        <v>114.2</v>
      </c>
      <c r="W24" s="141">
        <f>'Kwh Reading'!T25</f>
        <v>417.3</v>
      </c>
      <c r="X24" s="141">
        <f>'Kwh Consumption'!J26</f>
        <v>129.99999999999545</v>
      </c>
      <c r="Y24" s="141">
        <f>'Kwh Consumption'!K26</f>
        <v>360.00000000001364</v>
      </c>
      <c r="Z24" s="141">
        <f>'Kwh Consumption'!L26</f>
        <v>1340.0000000000318</v>
      </c>
      <c r="AA24" s="141">
        <f>'Kwh Consumption'!M26</f>
        <v>750</v>
      </c>
      <c r="AB24" s="141">
        <f>'Kwh Consumption'!N26</f>
        <v>500</v>
      </c>
      <c r="AC24" s="141">
        <f>'Kwh Consumption'!O26</f>
        <v>1099.9999999999091</v>
      </c>
      <c r="AD24" s="141">
        <f>'Kwh Consumption'!P26</f>
        <v>869.99999999989086</v>
      </c>
      <c r="AE24" s="141">
        <f>'Kwh Consumption'!Q26</f>
        <v>740.00000000000909</v>
      </c>
      <c r="AF24" s="141">
        <f>'Kwh Consumption'!R26</f>
        <v>759.99999999999091</v>
      </c>
      <c r="AG24" s="141">
        <f>'Kwh Consumption'!S26</f>
        <v>3659.4700000006706</v>
      </c>
      <c r="AH24" s="141">
        <f>'Kwh Consumption'!T26</f>
        <v>2279.8700000001118</v>
      </c>
      <c r="AI24" s="141">
        <f>'Kwh Consumption'!U26</f>
        <v>300.00000000001137</v>
      </c>
      <c r="AJ24" s="141">
        <f>'Kwh Consumption'!V26</f>
        <v>105880.6599999996</v>
      </c>
      <c r="AK24" s="141">
        <f>'Kwh area wise '!C25</f>
        <v>449.99999999998863</v>
      </c>
      <c r="AL24" s="141">
        <f>'Kwh area wise '!D25</f>
        <v>-97500.000000000146</v>
      </c>
      <c r="AM24" s="141">
        <f>'Kwh area wise '!E25</f>
        <v>239.99999999998067</v>
      </c>
      <c r="AN24" s="141">
        <f>'Kwh area wise '!F25</f>
        <v>700.00000000004547</v>
      </c>
      <c r="AO24" s="141">
        <f>'Kwh area wise '!G25</f>
        <v>459.99999999997954</v>
      </c>
      <c r="AP24" s="141">
        <f>'Kwh area wise '!H25</f>
        <v>1700.0000000000455</v>
      </c>
      <c r="AQ24" s="141">
        <f>'Kwh area wise '!I25</f>
        <v>4719.9999999997999</v>
      </c>
      <c r="AR24" s="141">
        <f>'Kwh area wise '!J25</f>
        <v>5939.3400000007823</v>
      </c>
      <c r="AS24" s="141">
        <f>'Kwh area wise '!K25</f>
        <v>300.00000000001137</v>
      </c>
      <c r="AT24" s="141">
        <f>'Kwh area wise '!L25</f>
        <v>105880.65999999961</v>
      </c>
      <c r="AU24" s="138">
        <f>'Water Reading'!B25</f>
        <v>165909</v>
      </c>
      <c r="AV24" s="138">
        <f>'Water Reading'!C25</f>
        <v>126525</v>
      </c>
      <c r="AW24" s="138">
        <f>'Water Reading'!D25</f>
        <v>208153</v>
      </c>
      <c r="AX24" s="138">
        <f>'Water Reading'!E25</f>
        <v>247420</v>
      </c>
      <c r="AY24" s="138">
        <f>'Water Reading'!F25</f>
        <v>66924</v>
      </c>
      <c r="AZ24" s="138">
        <f>'Water Reading'!G25</f>
        <v>111503</v>
      </c>
      <c r="BA24" s="138">
        <f>'Water Reading'!H25</f>
        <v>52559</v>
      </c>
      <c r="BB24" s="138">
        <f>'Water Reading'!I25</f>
        <v>63479</v>
      </c>
      <c r="BC24" s="138">
        <f>'Water Reading'!J25</f>
        <v>20125</v>
      </c>
      <c r="BD24" s="138">
        <f>'Water Reading'!K25</f>
        <v>1024</v>
      </c>
      <c r="BE24" s="138">
        <f>'Water Reading'!L25</f>
        <v>17175</v>
      </c>
      <c r="BF24" s="138">
        <f>'Water Reading'!M25</f>
        <v>24040</v>
      </c>
      <c r="BG24" s="138">
        <f>'Water Reading'!N25</f>
        <v>7247</v>
      </c>
      <c r="BH24" s="138">
        <f>'Water Reading'!O25</f>
        <v>1662</v>
      </c>
      <c r="BI24" s="138">
        <f>'Water Reading'!P25</f>
        <v>26966</v>
      </c>
      <c r="BJ24" s="138">
        <f>'Water Reading'!Q25</f>
        <v>601</v>
      </c>
      <c r="BK24" s="138">
        <f>'Water Reading'!R25</f>
        <v>6196</v>
      </c>
      <c r="BL24" s="135">
        <f>'Kwh Reading'!U25</f>
        <v>6383</v>
      </c>
    </row>
    <row r="25" spans="1:64" x14ac:dyDescent="0.25">
      <c r="A25" s="43" t="s">
        <v>9</v>
      </c>
      <c r="B25" s="44">
        <f t="shared" si="0"/>
        <v>24</v>
      </c>
      <c r="C25" s="45">
        <v>6</v>
      </c>
      <c r="D25" s="44">
        <v>2021</v>
      </c>
      <c r="E25" s="141">
        <f>'Kwh Reading'!B26</f>
        <v>972.07</v>
      </c>
      <c r="F25" s="141">
        <f>'Kwh Reading'!C26</f>
        <v>227.98</v>
      </c>
      <c r="G25" s="141">
        <f>'Kwh Reading'!D26</f>
        <v>7464948.9400000004</v>
      </c>
      <c r="H25" s="141">
        <f>'Kwh Reading'!E26</f>
        <v>8163578.8200000003</v>
      </c>
      <c r="I25" s="141">
        <f>'Kwh Reading'!F26</f>
        <v>2.2639</v>
      </c>
      <c r="J25" s="141">
        <f>'Kwh Reading'!G26</f>
        <v>740.81</v>
      </c>
      <c r="K25" s="141">
        <f>'Kwh Reading'!H26</f>
        <v>618.85</v>
      </c>
      <c r="L25" s="141">
        <f>'Kwh Reading'!I26</f>
        <v>233.93</v>
      </c>
      <c r="M25" s="141">
        <f>'Kwh Reading'!J26</f>
        <v>314.87</v>
      </c>
      <c r="N25" s="141">
        <f>'Kwh Reading'!K26</f>
        <v>338.97</v>
      </c>
      <c r="O25" s="141">
        <f>'Kwh Reading'!L26</f>
        <v>232.57</v>
      </c>
      <c r="P25" s="141">
        <f>'Kwh Reading'!M26</f>
        <v>513.29</v>
      </c>
      <c r="Q25" s="141">
        <f>'Kwh Reading'!N26</f>
        <v>467.48</v>
      </c>
      <c r="R25" s="141">
        <f>'Kwh Reading'!O26</f>
        <v>149.97</v>
      </c>
      <c r="S25" s="141">
        <f>'Kwh Reading'!P26</f>
        <v>611.79999999999995</v>
      </c>
      <c r="T25" s="141">
        <f>'Kwh Reading'!Q26</f>
        <v>456.39</v>
      </c>
      <c r="U25" s="141">
        <f>'Kwh Reading'!R26</f>
        <v>155.69</v>
      </c>
      <c r="V25" s="141">
        <f>'Kwh Reading'!S26</f>
        <v>114.33</v>
      </c>
      <c r="W25" s="141">
        <f>'Kwh Reading'!T26</f>
        <v>417.75</v>
      </c>
      <c r="X25" s="141">
        <f>'Kwh Consumption'!J27</f>
        <v>-114330</v>
      </c>
      <c r="Y25" s="141">
        <f>'Kwh Consumption'!K27</f>
        <v>-233930</v>
      </c>
      <c r="Z25" s="141">
        <f>'Kwh Consumption'!L27</f>
        <v>-972070</v>
      </c>
      <c r="AA25" s="141">
        <f>'Kwh Consumption'!M27</f>
        <v>-513289.99999999994</v>
      </c>
      <c r="AB25" s="141">
        <f>'Kwh Consumption'!N27</f>
        <v>-618850</v>
      </c>
      <c r="AC25" s="141">
        <f>'Kwh Consumption'!O27</f>
        <v>-611800</v>
      </c>
      <c r="AD25" s="141">
        <f>'Kwh Consumption'!P27</f>
        <v>-740810</v>
      </c>
      <c r="AE25" s="141">
        <f>'Kwh Consumption'!Q27</f>
        <v>-456390</v>
      </c>
      <c r="AF25" s="141">
        <f>'Kwh Consumption'!R27</f>
        <v>-467480</v>
      </c>
      <c r="AG25" s="141">
        <f>'Kwh Consumption'!S27</f>
        <v>-8163578.8200000003</v>
      </c>
      <c r="AH25" s="141">
        <f>'Kwh Consumption'!T27</f>
        <v>-7464948.9400000004</v>
      </c>
      <c r="AI25" s="141">
        <f>'Kwh Consumption'!U27</f>
        <v>-149970</v>
      </c>
      <c r="AJ25" s="141">
        <f>'Kwh Consumption'!V27</f>
        <v>24459177.760000002</v>
      </c>
      <c r="AK25" s="141">
        <f>'Kwh area wise '!C26</f>
        <v>-417750</v>
      </c>
      <c r="AL25" s="141">
        <f>'Kwh area wise '!D26</f>
        <v>-2263900</v>
      </c>
      <c r="AM25" s="141">
        <f>'Kwh area wise '!E26</f>
        <v>-227980</v>
      </c>
      <c r="AN25" s="141">
        <f>'Kwh area wise '!F26</f>
        <v>-886410</v>
      </c>
      <c r="AO25" s="141">
        <f>'Kwh area wise '!G26</f>
        <v>-270020</v>
      </c>
      <c r="AP25" s="141">
        <f>'Kwh area wise '!H26</f>
        <v>-1206000</v>
      </c>
      <c r="AQ25" s="141">
        <f>'Kwh area wise '!I26</f>
        <v>-3408620</v>
      </c>
      <c r="AR25" s="141">
        <f>'Kwh area wise '!J26</f>
        <v>-15628527.760000002</v>
      </c>
      <c r="AS25" s="141">
        <f>'Kwh area wise '!K26</f>
        <v>-149970</v>
      </c>
      <c r="AT25" s="141">
        <f>'Kwh area wise '!L26</f>
        <v>24459177.760000002</v>
      </c>
      <c r="AU25" s="138">
        <f>'Water Reading'!B26</f>
        <v>166258</v>
      </c>
      <c r="AV25" s="138">
        <f>'Water Reading'!C26</f>
        <v>126537</v>
      </c>
      <c r="AW25" s="138">
        <f>'Water Reading'!D26</f>
        <v>208281</v>
      </c>
      <c r="AX25" s="138">
        <f>'Water Reading'!E26</f>
        <v>247478</v>
      </c>
      <c r="AY25" s="138">
        <f>'Water Reading'!F26</f>
        <v>66924</v>
      </c>
      <c r="AZ25" s="138">
        <f>'Water Reading'!G26</f>
        <v>111520</v>
      </c>
      <c r="BA25" s="138">
        <f>'Water Reading'!H26</f>
        <v>52611</v>
      </c>
      <c r="BB25" s="138">
        <f>'Water Reading'!I26</f>
        <v>63503</v>
      </c>
      <c r="BC25" s="138">
        <f>'Water Reading'!J26</f>
        <v>20145</v>
      </c>
      <c r="BD25" s="138">
        <f>'Water Reading'!K26</f>
        <v>1024</v>
      </c>
      <c r="BE25" s="138">
        <f>'Water Reading'!L26</f>
        <v>17182</v>
      </c>
      <c r="BF25" s="138">
        <f>'Water Reading'!M26</f>
        <v>24055</v>
      </c>
      <c r="BG25" s="138">
        <f>'Water Reading'!N26</f>
        <v>7255</v>
      </c>
      <c r="BH25" s="138">
        <f>'Water Reading'!O26</f>
        <v>1664</v>
      </c>
      <c r="BI25" s="138">
        <f>'Water Reading'!P26</f>
        <v>26982</v>
      </c>
      <c r="BJ25" s="138">
        <f>'Water Reading'!Q26</f>
        <v>618</v>
      </c>
      <c r="BK25" s="138">
        <f>'Water Reading'!R26</f>
        <v>6200</v>
      </c>
      <c r="BL25" s="135">
        <f>'Kwh Reading'!U26</f>
        <v>0</v>
      </c>
    </row>
    <row r="26" spans="1:64" x14ac:dyDescent="0.25">
      <c r="A26" s="43" t="s">
        <v>9</v>
      </c>
      <c r="B26" s="44">
        <f>B25+1</f>
        <v>25</v>
      </c>
      <c r="C26" s="45">
        <v>6</v>
      </c>
      <c r="D26" s="44">
        <v>2021</v>
      </c>
      <c r="E26" s="141">
        <f>'Kwh Reading'!B27</f>
        <v>0</v>
      </c>
      <c r="F26" s="141">
        <f>'Kwh Reading'!C27</f>
        <v>0</v>
      </c>
      <c r="G26" s="141">
        <f>'Kwh Reading'!D27</f>
        <v>0</v>
      </c>
      <c r="H26" s="141">
        <f>'Kwh Reading'!E27</f>
        <v>0</v>
      </c>
      <c r="I26" s="141">
        <f>'Kwh Reading'!F27</f>
        <v>0</v>
      </c>
      <c r="J26" s="141">
        <f>'Kwh Reading'!G27</f>
        <v>0</v>
      </c>
      <c r="K26" s="141">
        <f>'Kwh Reading'!H27</f>
        <v>0</v>
      </c>
      <c r="L26" s="141">
        <f>'Kwh Reading'!I27</f>
        <v>0</v>
      </c>
      <c r="M26" s="141">
        <f>'Kwh Reading'!J27</f>
        <v>0</v>
      </c>
      <c r="N26" s="141">
        <f>'Kwh Reading'!K27</f>
        <v>0</v>
      </c>
      <c r="O26" s="141">
        <f>'Kwh Reading'!L27</f>
        <v>0</v>
      </c>
      <c r="P26" s="141">
        <f>'Kwh Reading'!M27</f>
        <v>0</v>
      </c>
      <c r="Q26" s="141">
        <f>'Kwh Reading'!N27</f>
        <v>0</v>
      </c>
      <c r="R26" s="141">
        <f>'Kwh Reading'!O27</f>
        <v>0</v>
      </c>
      <c r="S26" s="141">
        <f>'Kwh Reading'!P27</f>
        <v>0</v>
      </c>
      <c r="T26" s="141">
        <f>'Kwh Reading'!Q27</f>
        <v>0</v>
      </c>
      <c r="U26" s="141">
        <f>'Kwh Reading'!R27</f>
        <v>0</v>
      </c>
      <c r="V26" s="141">
        <f>'Kwh Reading'!S27</f>
        <v>0</v>
      </c>
      <c r="W26" s="141">
        <f>'Kwh Reading'!T27</f>
        <v>0</v>
      </c>
      <c r="X26" s="141">
        <f>'Kwh Consumption'!J28</f>
        <v>0</v>
      </c>
      <c r="Y26" s="141">
        <f>'Kwh Consumption'!K28</f>
        <v>0</v>
      </c>
      <c r="Z26" s="141">
        <f>'Kwh Consumption'!L28</f>
        <v>0</v>
      </c>
      <c r="AA26" s="141">
        <f>'Kwh Consumption'!M28</f>
        <v>0</v>
      </c>
      <c r="AB26" s="141">
        <f>'Kwh Consumption'!N28</f>
        <v>0</v>
      </c>
      <c r="AC26" s="141">
        <f>'Kwh Consumption'!O28</f>
        <v>0</v>
      </c>
      <c r="AD26" s="141">
        <f>'Kwh Consumption'!P28</f>
        <v>0</v>
      </c>
      <c r="AE26" s="141">
        <f>'Kwh Consumption'!Q28</f>
        <v>0</v>
      </c>
      <c r="AF26" s="141">
        <f>'Kwh Consumption'!R28</f>
        <v>0</v>
      </c>
      <c r="AG26" s="141">
        <f>'Kwh Consumption'!S28</f>
        <v>0</v>
      </c>
      <c r="AH26" s="141">
        <f>'Kwh Consumption'!T28</f>
        <v>0</v>
      </c>
      <c r="AI26" s="141">
        <f>'Kwh Consumption'!U28</f>
        <v>0</v>
      </c>
      <c r="AJ26" s="141">
        <f>'Kwh Consumption'!V28</f>
        <v>0</v>
      </c>
      <c r="AK26" s="141">
        <f>'Kwh area wise '!C27</f>
        <v>0</v>
      </c>
      <c r="AL26" s="141">
        <f>'Kwh area wise '!D27</f>
        <v>0</v>
      </c>
      <c r="AM26" s="141">
        <f>'Kwh area wise '!E27</f>
        <v>0</v>
      </c>
      <c r="AN26" s="141">
        <f>'Kwh area wise '!F27</f>
        <v>0</v>
      </c>
      <c r="AO26" s="141">
        <f>'Kwh area wise '!G27</f>
        <v>0</v>
      </c>
      <c r="AP26" s="141">
        <f>'Kwh area wise '!H27</f>
        <v>0</v>
      </c>
      <c r="AQ26" s="141">
        <f>'Kwh area wise '!I27</f>
        <v>0</v>
      </c>
      <c r="AR26" s="141">
        <f>'Kwh area wise '!J27</f>
        <v>0</v>
      </c>
      <c r="AS26" s="141">
        <f>'Kwh area wise '!K27</f>
        <v>0</v>
      </c>
      <c r="AT26" s="141">
        <f>'Kwh area wise '!L27</f>
        <v>0</v>
      </c>
      <c r="AU26" s="138">
        <f>'Water Reading'!B27</f>
        <v>0</v>
      </c>
      <c r="AV26" s="138">
        <f>'Water Reading'!C27</f>
        <v>0</v>
      </c>
      <c r="AW26" s="138">
        <f>'Water Reading'!D27</f>
        <v>0</v>
      </c>
      <c r="AX26" s="138">
        <f>'Water Reading'!E27</f>
        <v>0</v>
      </c>
      <c r="AY26" s="138">
        <f>'Water Reading'!F27</f>
        <v>0</v>
      </c>
      <c r="AZ26" s="138">
        <f>'Water Reading'!G27</f>
        <v>0</v>
      </c>
      <c r="BA26" s="138">
        <f>'Water Reading'!H27</f>
        <v>0</v>
      </c>
      <c r="BB26" s="138">
        <f>'Water Reading'!I27</f>
        <v>0</v>
      </c>
      <c r="BC26" s="138">
        <f>'Water Reading'!J27</f>
        <v>0</v>
      </c>
      <c r="BD26" s="138">
        <f>'Water Reading'!K27</f>
        <v>0</v>
      </c>
      <c r="BE26" s="138">
        <f>'Water Reading'!L27</f>
        <v>0</v>
      </c>
      <c r="BF26" s="138">
        <f>'Water Reading'!M27</f>
        <v>0</v>
      </c>
      <c r="BG26" s="138">
        <f>'Water Reading'!N27</f>
        <v>0</v>
      </c>
      <c r="BH26" s="138">
        <f>'Water Reading'!O27</f>
        <v>0</v>
      </c>
      <c r="BI26" s="138">
        <f>'Water Reading'!P27</f>
        <v>0</v>
      </c>
      <c r="BJ26" s="138">
        <f>'Water Reading'!Q27</f>
        <v>0</v>
      </c>
      <c r="BK26" s="138">
        <f>'Water Reading'!R27</f>
        <v>0</v>
      </c>
      <c r="BL26" s="135">
        <f>'Kwh Reading'!U27</f>
        <v>0</v>
      </c>
    </row>
    <row r="27" spans="1:64" x14ac:dyDescent="0.25">
      <c r="A27" s="43" t="s">
        <v>9</v>
      </c>
      <c r="B27" s="44">
        <f t="shared" si="0"/>
        <v>26</v>
      </c>
      <c r="C27" s="45">
        <v>6</v>
      </c>
      <c r="D27" s="44">
        <v>2021</v>
      </c>
      <c r="E27" s="141">
        <f>'Kwh Reading'!B28</f>
        <v>0</v>
      </c>
      <c r="F27" s="141">
        <f>'Kwh Reading'!C28</f>
        <v>0</v>
      </c>
      <c r="G27" s="141">
        <f>'Kwh Reading'!D28</f>
        <v>0</v>
      </c>
      <c r="H27" s="141">
        <f>'Kwh Reading'!E28</f>
        <v>0</v>
      </c>
      <c r="I27" s="141">
        <f>'Kwh Reading'!F28</f>
        <v>0</v>
      </c>
      <c r="J27" s="141">
        <f>'Kwh Reading'!G28</f>
        <v>0</v>
      </c>
      <c r="K27" s="141">
        <f>'Kwh Reading'!H28</f>
        <v>0</v>
      </c>
      <c r="L27" s="141">
        <f>'Kwh Reading'!I28</f>
        <v>0</v>
      </c>
      <c r="M27" s="141">
        <f>'Kwh Reading'!J28</f>
        <v>0</v>
      </c>
      <c r="N27" s="141">
        <f>'Kwh Reading'!K28</f>
        <v>0</v>
      </c>
      <c r="O27" s="141">
        <f>'Kwh Reading'!L28</f>
        <v>0</v>
      </c>
      <c r="P27" s="141">
        <f>'Kwh Reading'!M28</f>
        <v>0</v>
      </c>
      <c r="Q27" s="141">
        <f>'Kwh Reading'!N28</f>
        <v>0</v>
      </c>
      <c r="R27" s="141">
        <f>'Kwh Reading'!O28</f>
        <v>0</v>
      </c>
      <c r="S27" s="141">
        <f>'Kwh Reading'!P28</f>
        <v>0</v>
      </c>
      <c r="T27" s="141">
        <f>'Kwh Reading'!Q28</f>
        <v>0</v>
      </c>
      <c r="U27" s="141">
        <f>'Kwh Reading'!R28</f>
        <v>0</v>
      </c>
      <c r="V27" s="141">
        <f>'Kwh Reading'!S28</f>
        <v>0</v>
      </c>
      <c r="W27" s="141">
        <f>'Kwh Reading'!T28</f>
        <v>0</v>
      </c>
      <c r="X27" s="141">
        <f>'Kwh Consumption'!J29</f>
        <v>0</v>
      </c>
      <c r="Y27" s="141">
        <f>'Kwh Consumption'!K29</f>
        <v>0</v>
      </c>
      <c r="Z27" s="141">
        <f>'Kwh Consumption'!L29</f>
        <v>0</v>
      </c>
      <c r="AA27" s="141">
        <f>'Kwh Consumption'!M29</f>
        <v>0</v>
      </c>
      <c r="AB27" s="141">
        <f>'Kwh Consumption'!N29</f>
        <v>0</v>
      </c>
      <c r="AC27" s="141">
        <f>'Kwh Consumption'!O29</f>
        <v>0</v>
      </c>
      <c r="AD27" s="141">
        <f>'Kwh Consumption'!P29</f>
        <v>0</v>
      </c>
      <c r="AE27" s="141">
        <f>'Kwh Consumption'!Q29</f>
        <v>0</v>
      </c>
      <c r="AF27" s="141">
        <f>'Kwh Consumption'!R29</f>
        <v>0</v>
      </c>
      <c r="AG27" s="141">
        <f>'Kwh Consumption'!S29</f>
        <v>0</v>
      </c>
      <c r="AH27" s="141">
        <f>'Kwh Consumption'!T29</f>
        <v>0</v>
      </c>
      <c r="AI27" s="141">
        <f>'Kwh Consumption'!U29</f>
        <v>0</v>
      </c>
      <c r="AJ27" s="141">
        <f>'Kwh Consumption'!V29</f>
        <v>0</v>
      </c>
      <c r="AK27" s="141">
        <f>'Kwh area wise '!C28</f>
        <v>0</v>
      </c>
      <c r="AL27" s="141">
        <f>'Kwh area wise '!D28</f>
        <v>0</v>
      </c>
      <c r="AM27" s="141">
        <f>'Kwh area wise '!E28</f>
        <v>0</v>
      </c>
      <c r="AN27" s="141">
        <f>'Kwh area wise '!F28</f>
        <v>0</v>
      </c>
      <c r="AO27" s="141">
        <f>'Kwh area wise '!G28</f>
        <v>0</v>
      </c>
      <c r="AP27" s="141">
        <f>'Kwh area wise '!H28</f>
        <v>0</v>
      </c>
      <c r="AQ27" s="141">
        <f>'Kwh area wise '!I28</f>
        <v>0</v>
      </c>
      <c r="AR27" s="141">
        <f>'Kwh area wise '!J28</f>
        <v>0</v>
      </c>
      <c r="AS27" s="141">
        <f>'Kwh area wise '!K28</f>
        <v>0</v>
      </c>
      <c r="AT27" s="141">
        <f>'Kwh area wise '!L28</f>
        <v>0</v>
      </c>
      <c r="AU27" s="138">
        <f>'Water Reading'!B28</f>
        <v>0</v>
      </c>
      <c r="AV27" s="138">
        <f>'Water Reading'!C28</f>
        <v>0</v>
      </c>
      <c r="AW27" s="138">
        <f>'Water Reading'!D28</f>
        <v>0</v>
      </c>
      <c r="AX27" s="138">
        <f>'Water Reading'!E28</f>
        <v>0</v>
      </c>
      <c r="AY27" s="138">
        <f>'Water Reading'!F28</f>
        <v>0</v>
      </c>
      <c r="AZ27" s="138">
        <f>'Water Reading'!G28</f>
        <v>0</v>
      </c>
      <c r="BA27" s="138">
        <f>'Water Reading'!H28</f>
        <v>0</v>
      </c>
      <c r="BB27" s="138">
        <f>'Water Reading'!I28</f>
        <v>0</v>
      </c>
      <c r="BC27" s="138">
        <f>'Water Reading'!J28</f>
        <v>0</v>
      </c>
      <c r="BD27" s="138">
        <f>'Water Reading'!K28</f>
        <v>0</v>
      </c>
      <c r="BE27" s="138">
        <f>'Water Reading'!L28</f>
        <v>0</v>
      </c>
      <c r="BF27" s="138">
        <f>'Water Reading'!M28</f>
        <v>0</v>
      </c>
      <c r="BG27" s="138">
        <f>'Water Reading'!N28</f>
        <v>0</v>
      </c>
      <c r="BH27" s="138">
        <f>'Water Reading'!O28</f>
        <v>0</v>
      </c>
      <c r="BI27" s="138">
        <f>'Water Reading'!P28</f>
        <v>0</v>
      </c>
      <c r="BJ27" s="138">
        <f>'Water Reading'!Q28</f>
        <v>0</v>
      </c>
      <c r="BK27" s="138">
        <f>'Water Reading'!R28</f>
        <v>0</v>
      </c>
      <c r="BL27" s="135">
        <f>'Kwh Reading'!U28</f>
        <v>0</v>
      </c>
    </row>
    <row r="28" spans="1:64" x14ac:dyDescent="0.25">
      <c r="A28" s="43" t="s">
        <v>9</v>
      </c>
      <c r="B28" s="44">
        <f t="shared" si="0"/>
        <v>27</v>
      </c>
      <c r="C28" s="45">
        <v>6</v>
      </c>
      <c r="D28" s="44">
        <v>2021</v>
      </c>
      <c r="E28" s="141">
        <f>'Kwh Reading'!B29</f>
        <v>0</v>
      </c>
      <c r="F28" s="141">
        <f>'Kwh Reading'!C29</f>
        <v>0</v>
      </c>
      <c r="G28" s="141">
        <f>'Kwh Reading'!D29</f>
        <v>0</v>
      </c>
      <c r="H28" s="141">
        <f>'Kwh Reading'!E29</f>
        <v>0</v>
      </c>
      <c r="I28" s="141">
        <f>'Kwh Reading'!F29</f>
        <v>0</v>
      </c>
      <c r="J28" s="141">
        <f>'Kwh Reading'!G29</f>
        <v>0</v>
      </c>
      <c r="K28" s="141">
        <f>'Kwh Reading'!H29</f>
        <v>0</v>
      </c>
      <c r="L28" s="141">
        <f>'Kwh Reading'!I29</f>
        <v>0</v>
      </c>
      <c r="M28" s="141">
        <f>'Kwh Reading'!J29</f>
        <v>0</v>
      </c>
      <c r="N28" s="141">
        <f>'Kwh Reading'!K29</f>
        <v>0</v>
      </c>
      <c r="O28" s="141">
        <f>'Kwh Reading'!L29</f>
        <v>0</v>
      </c>
      <c r="P28" s="141">
        <f>'Kwh Reading'!M29</f>
        <v>0</v>
      </c>
      <c r="Q28" s="141">
        <f>'Kwh Reading'!N29</f>
        <v>0</v>
      </c>
      <c r="R28" s="141">
        <f>'Kwh Reading'!O29</f>
        <v>0</v>
      </c>
      <c r="S28" s="141">
        <f>'Kwh Reading'!P29</f>
        <v>0</v>
      </c>
      <c r="T28" s="141">
        <f>'Kwh Reading'!Q29</f>
        <v>0</v>
      </c>
      <c r="U28" s="141">
        <f>'Kwh Reading'!R29</f>
        <v>0</v>
      </c>
      <c r="V28" s="141">
        <f>'Kwh Reading'!S29</f>
        <v>0</v>
      </c>
      <c r="W28" s="141">
        <f>'Kwh Reading'!T29</f>
        <v>0</v>
      </c>
      <c r="X28" s="141">
        <f>'Kwh Consumption'!J30</f>
        <v>0</v>
      </c>
      <c r="Y28" s="141">
        <f>'Kwh Consumption'!K30</f>
        <v>0</v>
      </c>
      <c r="Z28" s="141">
        <f>'Kwh Consumption'!L30</f>
        <v>0</v>
      </c>
      <c r="AA28" s="141">
        <f>'Kwh Consumption'!M30</f>
        <v>0</v>
      </c>
      <c r="AB28" s="141">
        <f>'Kwh Consumption'!N30</f>
        <v>0</v>
      </c>
      <c r="AC28" s="141">
        <f>'Kwh Consumption'!O30</f>
        <v>0</v>
      </c>
      <c r="AD28" s="141">
        <f>'Kwh Consumption'!P30</f>
        <v>0</v>
      </c>
      <c r="AE28" s="141">
        <f>'Kwh Consumption'!Q30</f>
        <v>0</v>
      </c>
      <c r="AF28" s="141">
        <f>'Kwh Consumption'!R30</f>
        <v>0</v>
      </c>
      <c r="AG28" s="141">
        <f>'Kwh Consumption'!S30</f>
        <v>0</v>
      </c>
      <c r="AH28" s="141">
        <f>'Kwh Consumption'!T30</f>
        <v>0</v>
      </c>
      <c r="AI28" s="141">
        <f>'Kwh Consumption'!U30</f>
        <v>0</v>
      </c>
      <c r="AJ28" s="141">
        <f>'Kwh Consumption'!V30</f>
        <v>0</v>
      </c>
      <c r="AK28" s="141">
        <f>'Kwh area wise '!C29</f>
        <v>0</v>
      </c>
      <c r="AL28" s="141">
        <f>'Kwh area wise '!D29</f>
        <v>0</v>
      </c>
      <c r="AM28" s="141">
        <f>'Kwh area wise '!E29</f>
        <v>0</v>
      </c>
      <c r="AN28" s="141">
        <f>'Kwh area wise '!F29</f>
        <v>0</v>
      </c>
      <c r="AO28" s="141">
        <f>'Kwh area wise '!G29</f>
        <v>0</v>
      </c>
      <c r="AP28" s="141">
        <f>'Kwh area wise '!H29</f>
        <v>0</v>
      </c>
      <c r="AQ28" s="141">
        <f>'Kwh area wise '!I29</f>
        <v>0</v>
      </c>
      <c r="AR28" s="141">
        <f>'Kwh area wise '!J29</f>
        <v>0</v>
      </c>
      <c r="AS28" s="141">
        <f>'Kwh area wise '!K29</f>
        <v>0</v>
      </c>
      <c r="AT28" s="141">
        <f>'Kwh area wise '!L29</f>
        <v>0</v>
      </c>
      <c r="AU28" s="138">
        <f>'Water Reading'!B29</f>
        <v>0</v>
      </c>
      <c r="AV28" s="138">
        <f>'Water Reading'!C29</f>
        <v>0</v>
      </c>
      <c r="AW28" s="138">
        <f>'Water Reading'!D29</f>
        <v>0</v>
      </c>
      <c r="AX28" s="138">
        <f>'Water Reading'!E29</f>
        <v>0</v>
      </c>
      <c r="AY28" s="138">
        <f>'Water Reading'!F29</f>
        <v>0</v>
      </c>
      <c r="AZ28" s="138">
        <f>'Water Reading'!G29</f>
        <v>0</v>
      </c>
      <c r="BA28" s="138">
        <f>'Water Reading'!H29</f>
        <v>0</v>
      </c>
      <c r="BB28" s="138">
        <f>'Water Reading'!I29</f>
        <v>0</v>
      </c>
      <c r="BC28" s="138">
        <f>'Water Reading'!J29</f>
        <v>0</v>
      </c>
      <c r="BD28" s="138">
        <f>'Water Reading'!K29</f>
        <v>0</v>
      </c>
      <c r="BE28" s="138">
        <f>'Water Reading'!L29</f>
        <v>0</v>
      </c>
      <c r="BF28" s="138">
        <f>'Water Reading'!M29</f>
        <v>0</v>
      </c>
      <c r="BG28" s="138">
        <f>'Water Reading'!N29</f>
        <v>0</v>
      </c>
      <c r="BH28" s="138">
        <f>'Water Reading'!O29</f>
        <v>0</v>
      </c>
      <c r="BI28" s="138">
        <f>'Water Reading'!P29</f>
        <v>0</v>
      </c>
      <c r="BJ28" s="138">
        <f>'Water Reading'!Q29</f>
        <v>0</v>
      </c>
      <c r="BK28" s="138">
        <f>'Water Reading'!R29</f>
        <v>0</v>
      </c>
      <c r="BL28" s="135">
        <f>'Kwh Reading'!U29</f>
        <v>0</v>
      </c>
    </row>
    <row r="29" spans="1:64" x14ac:dyDescent="0.25">
      <c r="A29" s="43" t="s">
        <v>9</v>
      </c>
      <c r="B29" s="44">
        <f t="shared" si="0"/>
        <v>28</v>
      </c>
      <c r="C29" s="45">
        <v>6</v>
      </c>
      <c r="D29" s="44">
        <v>2021</v>
      </c>
      <c r="E29" s="141">
        <f>'Kwh Reading'!B30</f>
        <v>0</v>
      </c>
      <c r="F29" s="141">
        <f>'Kwh Reading'!C30</f>
        <v>0</v>
      </c>
      <c r="G29" s="141">
        <f>'Kwh Reading'!D30</f>
        <v>0</v>
      </c>
      <c r="H29" s="141">
        <f>'Kwh Reading'!E30</f>
        <v>0</v>
      </c>
      <c r="I29" s="141">
        <f>'Kwh Reading'!F30</f>
        <v>0</v>
      </c>
      <c r="J29" s="141">
        <f>'Kwh Reading'!G30</f>
        <v>0</v>
      </c>
      <c r="K29" s="141">
        <f>'Kwh Reading'!H30</f>
        <v>0</v>
      </c>
      <c r="L29" s="141">
        <f>'Kwh Reading'!I30</f>
        <v>0</v>
      </c>
      <c r="M29" s="141">
        <f>'Kwh Reading'!J30</f>
        <v>0</v>
      </c>
      <c r="N29" s="141">
        <f>'Kwh Reading'!K30</f>
        <v>0</v>
      </c>
      <c r="O29" s="141">
        <f>'Kwh Reading'!L30</f>
        <v>0</v>
      </c>
      <c r="P29" s="141">
        <f>'Kwh Reading'!M30</f>
        <v>0</v>
      </c>
      <c r="Q29" s="141">
        <f>'Kwh Reading'!N30</f>
        <v>0</v>
      </c>
      <c r="R29" s="141">
        <f>'Kwh Reading'!O30</f>
        <v>0</v>
      </c>
      <c r="S29" s="141">
        <f>'Kwh Reading'!P30</f>
        <v>0</v>
      </c>
      <c r="T29" s="141">
        <f>'Kwh Reading'!Q30</f>
        <v>0</v>
      </c>
      <c r="U29" s="141">
        <f>'Kwh Reading'!R30</f>
        <v>0</v>
      </c>
      <c r="V29" s="141">
        <f>'Kwh Reading'!S30</f>
        <v>0</v>
      </c>
      <c r="W29" s="141">
        <f>'Kwh Reading'!T30</f>
        <v>0</v>
      </c>
      <c r="X29" s="141">
        <f>'Kwh Consumption'!J31</f>
        <v>0</v>
      </c>
      <c r="Y29" s="141">
        <f>'Kwh Consumption'!K31</f>
        <v>0</v>
      </c>
      <c r="Z29" s="141">
        <f>'Kwh Consumption'!L31</f>
        <v>0</v>
      </c>
      <c r="AA29" s="141">
        <f>'Kwh Consumption'!M31</f>
        <v>0</v>
      </c>
      <c r="AB29" s="141">
        <f>'Kwh Consumption'!N31</f>
        <v>0</v>
      </c>
      <c r="AC29" s="141">
        <f>'Kwh Consumption'!O31</f>
        <v>0</v>
      </c>
      <c r="AD29" s="141">
        <f>'Kwh Consumption'!P31</f>
        <v>0</v>
      </c>
      <c r="AE29" s="141">
        <f>'Kwh Consumption'!Q31</f>
        <v>0</v>
      </c>
      <c r="AF29" s="141">
        <f>'Kwh Consumption'!R31</f>
        <v>0</v>
      </c>
      <c r="AG29" s="141">
        <f>'Kwh Consumption'!S31</f>
        <v>0</v>
      </c>
      <c r="AH29" s="141">
        <f>'Kwh Consumption'!T31</f>
        <v>0</v>
      </c>
      <c r="AI29" s="141">
        <f>'Kwh Consumption'!U31</f>
        <v>0</v>
      </c>
      <c r="AJ29" s="141">
        <f>'Kwh Consumption'!V31</f>
        <v>0</v>
      </c>
      <c r="AK29" s="141">
        <f>'Kwh area wise '!C30</f>
        <v>0</v>
      </c>
      <c r="AL29" s="141">
        <f>'Kwh area wise '!D30</f>
        <v>0</v>
      </c>
      <c r="AM29" s="141">
        <f>'Kwh area wise '!E30</f>
        <v>0</v>
      </c>
      <c r="AN29" s="141">
        <f>'Kwh area wise '!F30</f>
        <v>0</v>
      </c>
      <c r="AO29" s="141">
        <f>'Kwh area wise '!G30</f>
        <v>0</v>
      </c>
      <c r="AP29" s="141">
        <f>'Kwh area wise '!H30</f>
        <v>0</v>
      </c>
      <c r="AQ29" s="141">
        <f>'Kwh area wise '!I30</f>
        <v>0</v>
      </c>
      <c r="AR29" s="141">
        <f>'Kwh area wise '!J30</f>
        <v>0</v>
      </c>
      <c r="AS29" s="141">
        <f>'Kwh area wise '!K30</f>
        <v>0</v>
      </c>
      <c r="AT29" s="141">
        <f>'Kwh area wise '!L30</f>
        <v>0</v>
      </c>
      <c r="AU29" s="138">
        <f>'Water Reading'!B30</f>
        <v>0</v>
      </c>
      <c r="AV29" s="138">
        <f>'Water Reading'!C30</f>
        <v>0</v>
      </c>
      <c r="AW29" s="138">
        <f>'Water Reading'!D30</f>
        <v>0</v>
      </c>
      <c r="AX29" s="138">
        <f>'Water Reading'!E30</f>
        <v>0</v>
      </c>
      <c r="AY29" s="138">
        <f>'Water Reading'!F30</f>
        <v>0</v>
      </c>
      <c r="AZ29" s="138">
        <f>'Water Reading'!G30</f>
        <v>0</v>
      </c>
      <c r="BA29" s="138">
        <f>'Water Reading'!H30</f>
        <v>0</v>
      </c>
      <c r="BB29" s="138">
        <f>'Water Reading'!I30</f>
        <v>0</v>
      </c>
      <c r="BC29" s="138">
        <f>'Water Reading'!J30</f>
        <v>0</v>
      </c>
      <c r="BD29" s="138">
        <f>'Water Reading'!K30</f>
        <v>0</v>
      </c>
      <c r="BE29" s="138">
        <f>'Water Reading'!L30</f>
        <v>0</v>
      </c>
      <c r="BF29" s="138">
        <f>'Water Reading'!M30</f>
        <v>0</v>
      </c>
      <c r="BG29" s="138">
        <f>'Water Reading'!N30</f>
        <v>0</v>
      </c>
      <c r="BH29" s="138">
        <f>'Water Reading'!O30</f>
        <v>0</v>
      </c>
      <c r="BI29" s="138">
        <f>'Water Reading'!P30</f>
        <v>0</v>
      </c>
      <c r="BJ29" s="138">
        <f>'Water Reading'!Q30</f>
        <v>0</v>
      </c>
      <c r="BK29" s="138">
        <f>'Water Reading'!R30</f>
        <v>0</v>
      </c>
      <c r="BL29" s="135">
        <f>'Kwh Reading'!U30</f>
        <v>0</v>
      </c>
    </row>
    <row r="30" spans="1:64" x14ac:dyDescent="0.25">
      <c r="A30" s="43" t="s">
        <v>9</v>
      </c>
      <c r="B30" s="44">
        <f t="shared" si="0"/>
        <v>29</v>
      </c>
      <c r="C30" s="45">
        <v>6</v>
      </c>
      <c r="D30" s="44">
        <v>2021</v>
      </c>
      <c r="E30" s="141">
        <f>'Kwh Reading'!B31</f>
        <v>0</v>
      </c>
      <c r="F30" s="141">
        <f>'Kwh Reading'!C31</f>
        <v>0</v>
      </c>
      <c r="G30" s="141">
        <f>'Kwh Reading'!D31</f>
        <v>0</v>
      </c>
      <c r="H30" s="141">
        <f>'Kwh Reading'!E31</f>
        <v>0</v>
      </c>
      <c r="I30" s="141">
        <f>'Kwh Reading'!F31</f>
        <v>0</v>
      </c>
      <c r="J30" s="141">
        <f>'Kwh Reading'!G31</f>
        <v>0</v>
      </c>
      <c r="K30" s="141">
        <f>'Kwh Reading'!H31</f>
        <v>0</v>
      </c>
      <c r="L30" s="141">
        <f>'Kwh Reading'!I31</f>
        <v>0</v>
      </c>
      <c r="M30" s="141">
        <f>'Kwh Reading'!J31</f>
        <v>0</v>
      </c>
      <c r="N30" s="141">
        <f>'Kwh Reading'!K31</f>
        <v>0</v>
      </c>
      <c r="O30" s="141">
        <f>'Kwh Reading'!L31</f>
        <v>0</v>
      </c>
      <c r="P30" s="141">
        <f>'Kwh Reading'!M31</f>
        <v>0</v>
      </c>
      <c r="Q30" s="141">
        <f>'Kwh Reading'!N31</f>
        <v>0</v>
      </c>
      <c r="R30" s="141">
        <f>'Kwh Reading'!O31</f>
        <v>0</v>
      </c>
      <c r="S30" s="141">
        <f>'Kwh Reading'!P31</f>
        <v>0</v>
      </c>
      <c r="T30" s="141">
        <f>'Kwh Reading'!Q31</f>
        <v>0</v>
      </c>
      <c r="U30" s="141">
        <f>'Kwh Reading'!R31</f>
        <v>0</v>
      </c>
      <c r="V30" s="141">
        <f>'Kwh Reading'!S31</f>
        <v>0</v>
      </c>
      <c r="W30" s="141">
        <f>'Kwh Reading'!T31</f>
        <v>0</v>
      </c>
      <c r="X30" s="141">
        <f>'Kwh Consumption'!J32</f>
        <v>0</v>
      </c>
      <c r="Y30" s="141">
        <f>'Kwh Consumption'!K32</f>
        <v>0</v>
      </c>
      <c r="Z30" s="141">
        <f>'Kwh Consumption'!L32</f>
        <v>0</v>
      </c>
      <c r="AA30" s="141">
        <f>'Kwh Consumption'!M32</f>
        <v>0</v>
      </c>
      <c r="AB30" s="141">
        <f>'Kwh Consumption'!N32</f>
        <v>0</v>
      </c>
      <c r="AC30" s="141">
        <f>'Kwh Consumption'!O32</f>
        <v>0</v>
      </c>
      <c r="AD30" s="141">
        <f>'Kwh Consumption'!P32</f>
        <v>0</v>
      </c>
      <c r="AE30" s="141">
        <f>'Kwh Consumption'!Q32</f>
        <v>0</v>
      </c>
      <c r="AF30" s="141">
        <f>'Kwh Consumption'!R32</f>
        <v>0</v>
      </c>
      <c r="AG30" s="141">
        <f>'Kwh Consumption'!S32</f>
        <v>0</v>
      </c>
      <c r="AH30" s="141">
        <f>'Kwh Consumption'!T32</f>
        <v>0</v>
      </c>
      <c r="AI30" s="141">
        <f>'Kwh Consumption'!U32</f>
        <v>0</v>
      </c>
      <c r="AJ30" s="141">
        <f>'Kwh Consumption'!V32</f>
        <v>0</v>
      </c>
      <c r="AK30" s="141">
        <f>'Kwh area wise '!C31</f>
        <v>0</v>
      </c>
      <c r="AL30" s="141">
        <f>'Kwh area wise '!D31</f>
        <v>0</v>
      </c>
      <c r="AM30" s="141">
        <f>'Kwh area wise '!E31</f>
        <v>0</v>
      </c>
      <c r="AN30" s="141">
        <f>'Kwh area wise '!F31</f>
        <v>0</v>
      </c>
      <c r="AO30" s="141">
        <f>'Kwh area wise '!G31</f>
        <v>0</v>
      </c>
      <c r="AP30" s="141">
        <f>'Kwh area wise '!H31</f>
        <v>0</v>
      </c>
      <c r="AQ30" s="141">
        <f>'Kwh area wise '!I31</f>
        <v>0</v>
      </c>
      <c r="AR30" s="141">
        <f>'Kwh area wise '!J31</f>
        <v>0</v>
      </c>
      <c r="AS30" s="141">
        <f>'Kwh area wise '!K31</f>
        <v>0</v>
      </c>
      <c r="AT30" s="141">
        <f>'Kwh area wise '!L31</f>
        <v>0</v>
      </c>
      <c r="AU30" s="138">
        <f>'Water Reading'!B31</f>
        <v>0</v>
      </c>
      <c r="AV30" s="138">
        <f>'Water Reading'!C31</f>
        <v>0</v>
      </c>
      <c r="AW30" s="138">
        <f>'Water Reading'!D31</f>
        <v>0</v>
      </c>
      <c r="AX30" s="138">
        <f>'Water Reading'!E31</f>
        <v>0</v>
      </c>
      <c r="AY30" s="138">
        <f>'Water Reading'!F31</f>
        <v>0</v>
      </c>
      <c r="AZ30" s="138">
        <f>'Water Reading'!G31</f>
        <v>0</v>
      </c>
      <c r="BA30" s="138">
        <f>'Water Reading'!H31</f>
        <v>0</v>
      </c>
      <c r="BB30" s="138">
        <f>'Water Reading'!I31</f>
        <v>0</v>
      </c>
      <c r="BC30" s="138">
        <f>'Water Reading'!J31</f>
        <v>0</v>
      </c>
      <c r="BD30" s="138">
        <f>'Water Reading'!K31</f>
        <v>0</v>
      </c>
      <c r="BE30" s="138">
        <f>'Water Reading'!L31</f>
        <v>0</v>
      </c>
      <c r="BF30" s="138">
        <f>'Water Reading'!M31</f>
        <v>0</v>
      </c>
      <c r="BG30" s="138">
        <f>'Water Reading'!N31</f>
        <v>0</v>
      </c>
      <c r="BH30" s="138">
        <f>'Water Reading'!O31</f>
        <v>0</v>
      </c>
      <c r="BI30" s="138">
        <f>'Water Reading'!P31</f>
        <v>0</v>
      </c>
      <c r="BJ30" s="138">
        <f>'Water Reading'!Q31</f>
        <v>0</v>
      </c>
      <c r="BK30" s="138">
        <f>'Water Reading'!R31</f>
        <v>0</v>
      </c>
      <c r="BL30" s="135">
        <f>'Kwh Reading'!U31</f>
        <v>0</v>
      </c>
    </row>
    <row r="31" spans="1:64" x14ac:dyDescent="0.25">
      <c r="A31" s="43" t="s">
        <v>9</v>
      </c>
      <c r="B31" s="44">
        <f t="shared" si="0"/>
        <v>30</v>
      </c>
      <c r="C31" s="45">
        <v>6</v>
      </c>
      <c r="D31" s="44">
        <v>2021</v>
      </c>
      <c r="E31" s="141">
        <f>'Kwh Reading'!B32</f>
        <v>0</v>
      </c>
      <c r="F31" s="141">
        <f>'Kwh Reading'!C32</f>
        <v>0</v>
      </c>
      <c r="G31" s="141">
        <f>'Kwh Reading'!D32</f>
        <v>0</v>
      </c>
      <c r="H31" s="141">
        <f>'Kwh Reading'!E32</f>
        <v>0</v>
      </c>
      <c r="I31" s="141">
        <f>'Kwh Reading'!F32</f>
        <v>0</v>
      </c>
      <c r="J31" s="141">
        <f>'Kwh Reading'!G32</f>
        <v>0</v>
      </c>
      <c r="K31" s="141">
        <f>'Kwh Reading'!H32</f>
        <v>0</v>
      </c>
      <c r="L31" s="141">
        <f>'Kwh Reading'!I32</f>
        <v>0</v>
      </c>
      <c r="M31" s="141">
        <f>'Kwh Reading'!J32</f>
        <v>0</v>
      </c>
      <c r="N31" s="141">
        <f>'Kwh Reading'!K32</f>
        <v>0</v>
      </c>
      <c r="O31" s="141">
        <f>'Kwh Reading'!L32</f>
        <v>0</v>
      </c>
      <c r="P31" s="141">
        <f>'Kwh Reading'!M32</f>
        <v>0</v>
      </c>
      <c r="Q31" s="141">
        <f>'Kwh Reading'!N32</f>
        <v>0</v>
      </c>
      <c r="R31" s="141">
        <f>'Kwh Reading'!O32</f>
        <v>0</v>
      </c>
      <c r="S31" s="141">
        <f>'Kwh Reading'!P32</f>
        <v>0</v>
      </c>
      <c r="T31" s="141">
        <f>'Kwh Reading'!Q32</f>
        <v>0</v>
      </c>
      <c r="U31" s="141">
        <f>'Kwh Reading'!R32</f>
        <v>0</v>
      </c>
      <c r="V31" s="141">
        <f>'Kwh Reading'!S32</f>
        <v>0</v>
      </c>
      <c r="W31" s="141">
        <f>'Kwh Reading'!T32</f>
        <v>0</v>
      </c>
      <c r="X31" s="141">
        <f>'Kwh Consumption'!J33</f>
        <v>0</v>
      </c>
      <c r="Y31" s="141">
        <f>'Kwh Consumption'!K33</f>
        <v>0</v>
      </c>
      <c r="Z31" s="141">
        <f>'Kwh Consumption'!L33</f>
        <v>0</v>
      </c>
      <c r="AA31" s="141">
        <f>'Kwh Consumption'!M33</f>
        <v>0</v>
      </c>
      <c r="AB31" s="141">
        <f>'Kwh Consumption'!N33</f>
        <v>0</v>
      </c>
      <c r="AC31" s="141">
        <f>'Kwh Consumption'!O33</f>
        <v>0</v>
      </c>
      <c r="AD31" s="141">
        <f>'Kwh Consumption'!P33</f>
        <v>0</v>
      </c>
      <c r="AE31" s="141">
        <f>'Kwh Consumption'!Q33</f>
        <v>0</v>
      </c>
      <c r="AF31" s="141">
        <f>'Kwh Consumption'!R33</f>
        <v>0</v>
      </c>
      <c r="AG31" s="141">
        <f>'Kwh Consumption'!S33</f>
        <v>0</v>
      </c>
      <c r="AH31" s="141">
        <f>'Kwh Consumption'!T33</f>
        <v>0</v>
      </c>
      <c r="AI31" s="141">
        <f>'Kwh Consumption'!U33</f>
        <v>0</v>
      </c>
      <c r="AJ31" s="141">
        <f>'Kwh Consumption'!V33</f>
        <v>0</v>
      </c>
      <c r="AK31" s="141">
        <f>'Kwh area wise '!C32</f>
        <v>0</v>
      </c>
      <c r="AL31" s="141">
        <f>'Kwh area wise '!D32</f>
        <v>0</v>
      </c>
      <c r="AM31" s="141">
        <f>'Kwh area wise '!E32</f>
        <v>0</v>
      </c>
      <c r="AN31" s="141">
        <f>'Kwh area wise '!F32</f>
        <v>0</v>
      </c>
      <c r="AO31" s="141">
        <f>'Kwh area wise '!G32</f>
        <v>0</v>
      </c>
      <c r="AP31" s="141">
        <f>'Kwh area wise '!H32</f>
        <v>0</v>
      </c>
      <c r="AQ31" s="141">
        <f>'Kwh area wise '!I32</f>
        <v>0</v>
      </c>
      <c r="AR31" s="141">
        <f>'Kwh area wise '!J32</f>
        <v>0</v>
      </c>
      <c r="AS31" s="141">
        <f>'Kwh area wise '!K32</f>
        <v>0</v>
      </c>
      <c r="AT31" s="141">
        <f>'Kwh area wise '!L32</f>
        <v>0</v>
      </c>
      <c r="AU31" s="138">
        <f>'Water Reading'!B32</f>
        <v>0</v>
      </c>
      <c r="AV31" s="138">
        <f>'Water Reading'!C32</f>
        <v>0</v>
      </c>
      <c r="AW31" s="138">
        <f>'Water Reading'!D32</f>
        <v>0</v>
      </c>
      <c r="AX31" s="138">
        <f>'Water Reading'!E32</f>
        <v>0</v>
      </c>
      <c r="AY31" s="138">
        <f>'Water Reading'!F32</f>
        <v>0</v>
      </c>
      <c r="AZ31" s="138">
        <f>'Water Reading'!G32</f>
        <v>0</v>
      </c>
      <c r="BA31" s="138">
        <f>'Water Reading'!H32</f>
        <v>0</v>
      </c>
      <c r="BB31" s="138">
        <f>'Water Reading'!I32</f>
        <v>0</v>
      </c>
      <c r="BC31" s="138">
        <f>'Water Reading'!J32</f>
        <v>0</v>
      </c>
      <c r="BD31" s="138">
        <f>'Water Reading'!K32</f>
        <v>0</v>
      </c>
      <c r="BE31" s="138">
        <f>'Water Reading'!L32</f>
        <v>0</v>
      </c>
      <c r="BF31" s="138">
        <f>'Water Reading'!M32</f>
        <v>0</v>
      </c>
      <c r="BG31" s="138">
        <f>'Water Reading'!N32</f>
        <v>0</v>
      </c>
      <c r="BH31" s="138">
        <f>'Water Reading'!O32</f>
        <v>0</v>
      </c>
      <c r="BI31" s="138">
        <f>'Water Reading'!P32</f>
        <v>0</v>
      </c>
      <c r="BJ31" s="138">
        <f>'Water Reading'!Q32</f>
        <v>0</v>
      </c>
      <c r="BK31" s="138">
        <f>'Water Reading'!R32</f>
        <v>0</v>
      </c>
      <c r="BL31" s="135">
        <f>'Kwh Reading'!U32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zoomScale="78" zoomScaleNormal="78" workbookViewId="0">
      <selection activeCell="U1" sqref="U1:U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4" max="24" width="10.140625" customWidth="1"/>
    <col min="25" max="25" width="11.28515625" customWidth="1"/>
    <col min="26" max="26" width="10.5703125" customWidth="1"/>
  </cols>
  <sheetData>
    <row r="1" spans="1:27" s="17" customFormat="1" ht="33" customHeight="1" x14ac:dyDescent="0.25">
      <c r="A1" s="28" t="s">
        <v>2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10" t="s">
        <v>15</v>
      </c>
      <c r="H1" s="112" t="s">
        <v>16</v>
      </c>
      <c r="I1" s="107" t="s">
        <v>17</v>
      </c>
      <c r="J1" s="110" t="s">
        <v>123</v>
      </c>
      <c r="K1" s="110" t="s">
        <v>124</v>
      </c>
      <c r="L1" s="110" t="s">
        <v>125</v>
      </c>
      <c r="M1" s="110" t="s">
        <v>18</v>
      </c>
      <c r="N1" s="112" t="s">
        <v>19</v>
      </c>
      <c r="O1" s="113" t="s">
        <v>20</v>
      </c>
      <c r="P1" s="112" t="s">
        <v>21</v>
      </c>
      <c r="Q1" s="115" t="s">
        <v>22</v>
      </c>
      <c r="R1" s="107" t="s">
        <v>23</v>
      </c>
      <c r="S1" s="107" t="s">
        <v>24</v>
      </c>
      <c r="T1" s="107" t="s">
        <v>25</v>
      </c>
      <c r="U1" s="107" t="s">
        <v>120</v>
      </c>
      <c r="X1" s="109" t="s">
        <v>6</v>
      </c>
      <c r="Y1" s="109" t="s">
        <v>7</v>
      </c>
      <c r="Z1" s="109" t="s">
        <v>8</v>
      </c>
    </row>
    <row r="2" spans="1:27" s="17" customFormat="1" ht="45" customHeight="1" x14ac:dyDescent="0.25">
      <c r="A2" s="29"/>
      <c r="B2" s="108"/>
      <c r="C2" s="108"/>
      <c r="D2" s="108"/>
      <c r="E2" s="108"/>
      <c r="F2" s="108"/>
      <c r="G2" s="111"/>
      <c r="H2" s="112"/>
      <c r="I2" s="108"/>
      <c r="J2" s="111"/>
      <c r="K2" s="111"/>
      <c r="L2" s="111"/>
      <c r="M2" s="111"/>
      <c r="N2" s="112"/>
      <c r="O2" s="114"/>
      <c r="P2" s="112"/>
      <c r="Q2" s="116"/>
      <c r="R2" s="108"/>
      <c r="S2" s="108"/>
      <c r="T2" s="108"/>
      <c r="U2" s="108"/>
      <c r="X2" s="109"/>
      <c r="Y2" s="109"/>
      <c r="Z2" s="109"/>
    </row>
    <row r="3" spans="1:27" ht="21" customHeight="1" x14ac:dyDescent="0.25">
      <c r="A3" s="8">
        <v>44348</v>
      </c>
      <c r="B3" s="1">
        <v>941.59</v>
      </c>
      <c r="C3" s="1">
        <v>222.83</v>
      </c>
      <c r="D3" s="1">
        <v>7406516.4000000004</v>
      </c>
      <c r="E3" s="1">
        <v>8087986.3700000001</v>
      </c>
      <c r="F3" s="1">
        <v>2.3081</v>
      </c>
      <c r="G3" s="1">
        <v>719.09</v>
      </c>
      <c r="H3" s="1">
        <v>608.01</v>
      </c>
      <c r="I3" s="1">
        <v>226.28</v>
      </c>
      <c r="J3" s="1">
        <v>310.55</v>
      </c>
      <c r="K3" s="1">
        <v>333.63</v>
      </c>
      <c r="L3" s="1">
        <v>228.43</v>
      </c>
      <c r="M3" s="1">
        <v>494.46</v>
      </c>
      <c r="N3" s="1">
        <v>448.54</v>
      </c>
      <c r="O3" s="1">
        <v>144.04</v>
      </c>
      <c r="P3" s="1">
        <v>586.59</v>
      </c>
      <c r="Q3" s="1">
        <v>439.13</v>
      </c>
      <c r="R3" s="1">
        <v>148.63999999999999</v>
      </c>
      <c r="S3" s="1">
        <v>111.34</v>
      </c>
      <c r="T3" s="1">
        <v>407.66</v>
      </c>
      <c r="U3" s="1">
        <v>6559</v>
      </c>
      <c r="X3" s="69">
        <v>20</v>
      </c>
      <c r="Y3" s="69">
        <v>46</v>
      </c>
      <c r="Z3" s="69">
        <v>141</v>
      </c>
      <c r="AA3" s="17"/>
    </row>
    <row r="4" spans="1:27" ht="21" customHeight="1" x14ac:dyDescent="0.25">
      <c r="A4" s="8">
        <v>44349</v>
      </c>
      <c r="B4" s="1">
        <v>942.77</v>
      </c>
      <c r="C4" s="1">
        <v>223.04</v>
      </c>
      <c r="D4" s="1">
        <v>7409068.96</v>
      </c>
      <c r="E4" s="1">
        <v>8091095.5300000003</v>
      </c>
      <c r="F4" s="1">
        <v>2.3100999999999998</v>
      </c>
      <c r="G4" s="1">
        <v>720.02</v>
      </c>
      <c r="H4" s="1">
        <v>608.52</v>
      </c>
      <c r="I4" s="1">
        <v>226.59</v>
      </c>
      <c r="J4" s="1">
        <v>310.7</v>
      </c>
      <c r="K4" s="1">
        <v>333.86</v>
      </c>
      <c r="L4" s="1">
        <v>228.6</v>
      </c>
      <c r="M4" s="1">
        <v>495.24</v>
      </c>
      <c r="N4" s="1">
        <v>449.31</v>
      </c>
      <c r="O4" s="1">
        <v>144.30000000000001</v>
      </c>
      <c r="P4" s="1">
        <v>587.67999999999995</v>
      </c>
      <c r="Q4" s="1">
        <v>439.8</v>
      </c>
      <c r="R4" s="1">
        <v>148.97</v>
      </c>
      <c r="S4" s="1">
        <v>111.46</v>
      </c>
      <c r="T4" s="1">
        <v>408.14</v>
      </c>
      <c r="U4" s="1">
        <v>6159</v>
      </c>
      <c r="X4" s="69">
        <v>20</v>
      </c>
      <c r="Y4" s="69">
        <v>47</v>
      </c>
      <c r="Z4" s="69">
        <v>130</v>
      </c>
      <c r="AA4" s="17"/>
    </row>
    <row r="5" spans="1:27" ht="21" customHeight="1" x14ac:dyDescent="0.25">
      <c r="A5" s="8">
        <v>44350</v>
      </c>
      <c r="B5" s="1">
        <v>944.01</v>
      </c>
      <c r="C5" s="1">
        <v>223.25</v>
      </c>
      <c r="D5" s="1">
        <v>7411692.0899999999</v>
      </c>
      <c r="E5" s="1">
        <v>8094277.3200000003</v>
      </c>
      <c r="F5" s="1">
        <v>2.3123999999999998</v>
      </c>
      <c r="G5" s="1">
        <v>721.01</v>
      </c>
      <c r="H5" s="1">
        <v>609.1</v>
      </c>
      <c r="I5" s="1">
        <v>226.92</v>
      </c>
      <c r="J5" s="1">
        <v>310.87</v>
      </c>
      <c r="K5" s="1">
        <v>334.11</v>
      </c>
      <c r="L5" s="1">
        <v>228.76</v>
      </c>
      <c r="M5" s="1">
        <v>496.01</v>
      </c>
      <c r="N5" s="1">
        <v>450.13</v>
      </c>
      <c r="O5" s="1">
        <v>144.57</v>
      </c>
      <c r="P5" s="1">
        <v>588.83000000000004</v>
      </c>
      <c r="Q5" s="1">
        <v>440.53</v>
      </c>
      <c r="R5" s="1">
        <v>149.30000000000001</v>
      </c>
      <c r="S5" s="1">
        <v>111.61</v>
      </c>
      <c r="T5" s="1">
        <v>408.64</v>
      </c>
      <c r="U5" s="1">
        <v>6405</v>
      </c>
      <c r="X5" s="69">
        <v>19</v>
      </c>
      <c r="Y5" s="69">
        <v>46</v>
      </c>
      <c r="Z5" s="69">
        <v>130</v>
      </c>
      <c r="AA5" s="17"/>
    </row>
    <row r="6" spans="1:27" ht="21" customHeight="1" x14ac:dyDescent="0.25">
      <c r="A6" s="8">
        <v>44351</v>
      </c>
      <c r="B6" s="1">
        <v>945.3</v>
      </c>
      <c r="C6" s="1">
        <v>223.47</v>
      </c>
      <c r="D6" s="103">
        <v>7414329</v>
      </c>
      <c r="E6" s="1">
        <v>8097468.0999999996</v>
      </c>
      <c r="F6" s="1">
        <v>2.3148</v>
      </c>
      <c r="G6" s="1">
        <v>721.98</v>
      </c>
      <c r="H6" s="1">
        <v>609.66999999999996</v>
      </c>
      <c r="I6" s="1">
        <v>227.28</v>
      </c>
      <c r="J6" s="1">
        <v>311.05</v>
      </c>
      <c r="K6" s="1">
        <v>334.35</v>
      </c>
      <c r="L6" s="1">
        <v>228.94</v>
      </c>
      <c r="M6" s="1">
        <v>496.8</v>
      </c>
      <c r="N6" s="1">
        <v>451.01</v>
      </c>
      <c r="O6" s="1">
        <v>144.80000000000001</v>
      </c>
      <c r="P6" s="1">
        <v>589.97</v>
      </c>
      <c r="Q6" s="1">
        <v>441.2</v>
      </c>
      <c r="R6" s="1">
        <v>149.63999999999999</v>
      </c>
      <c r="S6" s="1">
        <v>111.73</v>
      </c>
      <c r="T6" s="1">
        <v>409.16</v>
      </c>
      <c r="U6" s="1">
        <v>6004</v>
      </c>
      <c r="X6" s="69">
        <v>16</v>
      </c>
      <c r="Y6" s="69">
        <v>40</v>
      </c>
      <c r="Z6" s="69">
        <v>99</v>
      </c>
      <c r="AA6" s="17"/>
    </row>
    <row r="7" spans="1:27" ht="21" customHeight="1" x14ac:dyDescent="0.25">
      <c r="A7" s="8">
        <v>44352</v>
      </c>
      <c r="B7" s="1">
        <v>946.57</v>
      </c>
      <c r="C7" s="1">
        <v>223.72</v>
      </c>
      <c r="D7" s="1">
        <v>7416934.1200000001</v>
      </c>
      <c r="E7" s="1">
        <v>8100365.9199999999</v>
      </c>
      <c r="F7" s="1">
        <v>2.3170999999999999</v>
      </c>
      <c r="G7" s="1">
        <v>722.98</v>
      </c>
      <c r="H7" s="1">
        <v>610.20000000000005</v>
      </c>
      <c r="I7" s="1">
        <v>227.61</v>
      </c>
      <c r="J7" s="1">
        <v>311.27999999999997</v>
      </c>
      <c r="K7" s="1">
        <v>334.56</v>
      </c>
      <c r="L7" s="1">
        <v>229.16</v>
      </c>
      <c r="M7" s="1">
        <v>497.6</v>
      </c>
      <c r="N7" s="1">
        <v>451.86</v>
      </c>
      <c r="O7" s="1">
        <v>145.03</v>
      </c>
      <c r="P7" s="1">
        <v>591.04</v>
      </c>
      <c r="Q7" s="1">
        <v>441.91</v>
      </c>
      <c r="R7" s="1">
        <v>149.94</v>
      </c>
      <c r="S7" s="1">
        <v>111.85</v>
      </c>
      <c r="T7" s="1">
        <v>409.45</v>
      </c>
      <c r="U7" s="1">
        <v>5993</v>
      </c>
      <c r="X7" s="69">
        <v>14</v>
      </c>
      <c r="Y7" s="69">
        <v>36</v>
      </c>
      <c r="Z7" s="69">
        <v>137</v>
      </c>
      <c r="AA7" s="17"/>
    </row>
    <row r="8" spans="1:27" ht="21" customHeight="1" x14ac:dyDescent="0.25">
      <c r="A8" s="8">
        <v>44353</v>
      </c>
      <c r="B8" s="105">
        <v>947.76</v>
      </c>
      <c r="C8" s="15">
        <v>223.98</v>
      </c>
      <c r="D8" s="105">
        <v>7419302.3700000001</v>
      </c>
      <c r="E8" s="105">
        <v>8103442.2800000003</v>
      </c>
      <c r="F8" s="15">
        <v>2.3193999999999999</v>
      </c>
      <c r="G8" s="105">
        <v>723.95</v>
      </c>
      <c r="H8" s="105">
        <v>610.69000000000005</v>
      </c>
      <c r="I8" s="105">
        <v>227.91</v>
      </c>
      <c r="J8" s="1">
        <v>311.38</v>
      </c>
      <c r="K8" s="1">
        <v>334.65</v>
      </c>
      <c r="L8" s="1">
        <v>229.26</v>
      </c>
      <c r="M8" s="1">
        <v>498.37</v>
      </c>
      <c r="N8" s="1">
        <v>452.82</v>
      </c>
      <c r="O8" s="1">
        <v>145.27000000000001</v>
      </c>
      <c r="P8" s="1">
        <v>592.11</v>
      </c>
      <c r="Q8" s="1">
        <v>442.58</v>
      </c>
      <c r="R8" s="1">
        <v>150.27000000000001</v>
      </c>
      <c r="S8" s="1">
        <v>111.99</v>
      </c>
      <c r="T8" s="1">
        <v>409.93</v>
      </c>
      <c r="U8" s="1">
        <v>6523</v>
      </c>
      <c r="X8" s="69">
        <v>9</v>
      </c>
      <c r="Y8" s="69">
        <v>24</v>
      </c>
      <c r="Z8" s="69">
        <v>51</v>
      </c>
      <c r="AA8" s="17"/>
    </row>
    <row r="9" spans="1:27" ht="21" customHeight="1" x14ac:dyDescent="0.25">
      <c r="A9" s="8">
        <v>44354</v>
      </c>
      <c r="B9" s="1">
        <v>949.11</v>
      </c>
      <c r="C9" s="1">
        <v>224.15</v>
      </c>
      <c r="D9" s="1">
        <v>7421777.6399999997</v>
      </c>
      <c r="E9" s="1">
        <v>8106476.6799999997</v>
      </c>
      <c r="F9" s="1">
        <v>2.3220000000000001</v>
      </c>
      <c r="G9" s="1">
        <v>724.89</v>
      </c>
      <c r="H9" s="1">
        <v>611.23</v>
      </c>
      <c r="I9" s="1">
        <v>228.23</v>
      </c>
      <c r="J9" s="1">
        <v>311.58999999999997</v>
      </c>
      <c r="K9" s="1">
        <v>334.94</v>
      </c>
      <c r="L9" s="1">
        <v>229.45</v>
      </c>
      <c r="M9" s="1">
        <v>499.23</v>
      </c>
      <c r="N9" s="1">
        <v>453.4</v>
      </c>
      <c r="O9" s="1">
        <v>145.53</v>
      </c>
      <c r="P9" s="1">
        <v>593.20000000000005</v>
      </c>
      <c r="Q9" s="1">
        <v>443.4</v>
      </c>
      <c r="R9" s="1">
        <v>150.44</v>
      </c>
      <c r="S9" s="1">
        <v>112.1</v>
      </c>
      <c r="T9" s="1">
        <v>410.35</v>
      </c>
      <c r="U9" s="1">
        <v>6177</v>
      </c>
      <c r="X9" s="69">
        <v>10</v>
      </c>
      <c r="Y9" s="69">
        <v>26</v>
      </c>
      <c r="Z9" s="69">
        <v>125</v>
      </c>
      <c r="AA9" s="17"/>
    </row>
    <row r="10" spans="1:27" ht="21" customHeight="1" x14ac:dyDescent="0.25">
      <c r="A10" s="8">
        <v>44355</v>
      </c>
      <c r="B10" s="1">
        <v>950.45</v>
      </c>
      <c r="C10" s="1">
        <v>224.35</v>
      </c>
      <c r="D10" s="1">
        <v>7424119.6900000004</v>
      </c>
      <c r="E10" s="1">
        <v>8109663.7599999998</v>
      </c>
      <c r="F10" s="1">
        <v>2.3243</v>
      </c>
      <c r="G10" s="1">
        <v>725.8</v>
      </c>
      <c r="H10" s="1">
        <v>611.76</v>
      </c>
      <c r="I10" s="1">
        <v>228.55</v>
      </c>
      <c r="J10" s="1">
        <v>311.77999999999997</v>
      </c>
      <c r="K10" s="1">
        <v>335.16</v>
      </c>
      <c r="L10" s="1">
        <v>229.64</v>
      </c>
      <c r="M10" s="1">
        <v>500.14</v>
      </c>
      <c r="N10" s="1">
        <v>454.18</v>
      </c>
      <c r="O10" s="1">
        <v>145.82</v>
      </c>
      <c r="P10" s="1">
        <v>594.25</v>
      </c>
      <c r="Q10" s="1">
        <v>444.22</v>
      </c>
      <c r="R10" s="1">
        <v>150.75</v>
      </c>
      <c r="S10" s="1">
        <v>112.22</v>
      </c>
      <c r="T10" s="1">
        <v>410.76</v>
      </c>
      <c r="U10" s="1">
        <v>6181</v>
      </c>
      <c r="X10" s="69">
        <v>13</v>
      </c>
      <c r="Y10" s="69">
        <v>32</v>
      </c>
      <c r="Z10" s="69">
        <v>80</v>
      </c>
      <c r="AA10" s="17"/>
    </row>
    <row r="11" spans="1:27" ht="21" customHeight="1" x14ac:dyDescent="0.25">
      <c r="A11" s="8">
        <v>44356</v>
      </c>
      <c r="B11" s="1">
        <v>951.69</v>
      </c>
      <c r="C11" s="1">
        <v>224.57</v>
      </c>
      <c r="D11" s="1">
        <v>7426484.4800000004</v>
      </c>
      <c r="E11" s="1">
        <v>8112916.3300000001</v>
      </c>
      <c r="F11" s="1">
        <v>2.3266</v>
      </c>
      <c r="G11" s="1">
        <v>726.76</v>
      </c>
      <c r="H11" s="1">
        <v>612.23</v>
      </c>
      <c r="I11" s="1">
        <v>228.87</v>
      </c>
      <c r="J11" s="1">
        <v>311.99</v>
      </c>
      <c r="K11" s="1">
        <v>335.38</v>
      </c>
      <c r="L11" s="1">
        <v>229.8</v>
      </c>
      <c r="M11" s="1">
        <v>501.04</v>
      </c>
      <c r="N11" s="1">
        <v>455</v>
      </c>
      <c r="O11" s="1">
        <v>146.11000000000001</v>
      </c>
      <c r="P11" s="1">
        <v>595.29</v>
      </c>
      <c r="Q11" s="1">
        <v>444.92</v>
      </c>
      <c r="R11" s="1">
        <v>151.06</v>
      </c>
      <c r="S11" s="1">
        <v>112.37</v>
      </c>
      <c r="T11" s="1">
        <v>411.17</v>
      </c>
      <c r="U11" s="1">
        <v>6746</v>
      </c>
      <c r="X11" s="69">
        <v>17</v>
      </c>
      <c r="Y11" s="69">
        <v>39</v>
      </c>
      <c r="Z11" s="69">
        <v>140</v>
      </c>
      <c r="AA11" s="17"/>
    </row>
    <row r="12" spans="1:27" ht="21" customHeight="1" x14ac:dyDescent="0.25">
      <c r="A12" s="8">
        <v>44357</v>
      </c>
      <c r="B12" s="1">
        <v>952.97</v>
      </c>
      <c r="C12" s="1">
        <v>224.79</v>
      </c>
      <c r="D12" s="1">
        <v>7428945.1799999997</v>
      </c>
      <c r="E12" s="1">
        <v>8116349.0800000001</v>
      </c>
      <c r="F12" s="1">
        <v>2.3290000000000002</v>
      </c>
      <c r="G12" s="1">
        <v>727.71</v>
      </c>
      <c r="H12" s="1">
        <v>612.66</v>
      </c>
      <c r="I12" s="1">
        <v>229.2</v>
      </c>
      <c r="J12" s="1">
        <v>312.19</v>
      </c>
      <c r="K12" s="1">
        <v>335.54</v>
      </c>
      <c r="L12" s="1">
        <v>229.97</v>
      </c>
      <c r="M12" s="1">
        <v>501.96</v>
      </c>
      <c r="N12" s="1">
        <v>455.84</v>
      </c>
      <c r="O12" s="1">
        <v>146.38999999999999</v>
      </c>
      <c r="P12" s="1">
        <v>596.44000000000005</v>
      </c>
      <c r="Q12" s="1">
        <v>445.98</v>
      </c>
      <c r="R12" s="1">
        <v>151.4</v>
      </c>
      <c r="S12" s="1">
        <v>112.51</v>
      </c>
      <c r="T12" s="1">
        <v>411.64</v>
      </c>
      <c r="U12" s="1">
        <v>6041</v>
      </c>
      <c r="X12" s="69">
        <v>16</v>
      </c>
      <c r="Y12" s="69">
        <v>40</v>
      </c>
      <c r="Z12" s="69">
        <v>112</v>
      </c>
      <c r="AA12" s="17"/>
    </row>
    <row r="13" spans="1:27" ht="21" customHeight="1" x14ac:dyDescent="0.25">
      <c r="A13" s="8">
        <v>44358</v>
      </c>
      <c r="B13" s="1">
        <v>954.28</v>
      </c>
      <c r="C13" s="1">
        <v>225.01</v>
      </c>
      <c r="D13" s="1">
        <v>7431482.3099999996</v>
      </c>
      <c r="E13" s="1">
        <v>8119663.3099999996</v>
      </c>
      <c r="F13" s="1">
        <v>2.3315000000000001</v>
      </c>
      <c r="G13" s="1">
        <v>728.73</v>
      </c>
      <c r="H13" s="1">
        <v>613.11</v>
      </c>
      <c r="I13" s="1">
        <v>229.52</v>
      </c>
      <c r="J13" s="1">
        <v>312.33999999999997</v>
      </c>
      <c r="K13" s="1">
        <v>335.8</v>
      </c>
      <c r="L13" s="1">
        <v>230.15</v>
      </c>
      <c r="M13" s="1">
        <v>502.85</v>
      </c>
      <c r="N13" s="1">
        <v>456.69</v>
      </c>
      <c r="O13" s="1">
        <v>146.61000000000001</v>
      </c>
      <c r="P13" s="1">
        <v>597.55999999999995</v>
      </c>
      <c r="Q13" s="1">
        <v>446.57</v>
      </c>
      <c r="R13" s="1">
        <v>151.66</v>
      </c>
      <c r="S13" s="1">
        <v>112.63</v>
      </c>
      <c r="T13" s="1">
        <v>412.1</v>
      </c>
      <c r="U13" s="1">
        <v>5988</v>
      </c>
      <c r="X13" s="69">
        <v>19</v>
      </c>
      <c r="Y13" s="69">
        <v>44</v>
      </c>
      <c r="Z13" s="69">
        <v>116</v>
      </c>
      <c r="AA13" s="17"/>
    </row>
    <row r="14" spans="1:27" ht="21" customHeight="1" x14ac:dyDescent="0.25">
      <c r="A14" s="8">
        <v>44359</v>
      </c>
      <c r="B14" s="1">
        <v>955.69</v>
      </c>
      <c r="C14" s="1">
        <v>225.26</v>
      </c>
      <c r="D14" s="1">
        <v>7433992.9500000002</v>
      </c>
      <c r="E14" s="1">
        <v>8122691.8499999996</v>
      </c>
      <c r="F14" s="1">
        <v>2.3340999999999998</v>
      </c>
      <c r="G14" s="1">
        <v>729.74</v>
      </c>
      <c r="H14" s="1">
        <v>613.53</v>
      </c>
      <c r="I14" s="1">
        <v>229.85</v>
      </c>
      <c r="J14" s="1">
        <v>312.52</v>
      </c>
      <c r="K14" s="1">
        <v>336.06</v>
      </c>
      <c r="L14" s="1">
        <v>230.33</v>
      </c>
      <c r="M14" s="1">
        <v>503.66</v>
      </c>
      <c r="N14" s="1">
        <v>457.66</v>
      </c>
      <c r="O14" s="1">
        <v>146.91</v>
      </c>
      <c r="P14" s="1">
        <v>598.73</v>
      </c>
      <c r="Q14" s="1">
        <v>447.33</v>
      </c>
      <c r="R14" s="1">
        <v>151.96</v>
      </c>
      <c r="S14" s="1">
        <v>112.74</v>
      </c>
      <c r="T14" s="1">
        <v>412.37</v>
      </c>
      <c r="U14" s="1">
        <v>6353</v>
      </c>
      <c r="X14" s="69">
        <v>20</v>
      </c>
      <c r="Y14" s="69">
        <v>50</v>
      </c>
      <c r="Z14" s="69">
        <v>151</v>
      </c>
      <c r="AA14" s="17"/>
    </row>
    <row r="15" spans="1:27" ht="21" customHeight="1" x14ac:dyDescent="0.25">
      <c r="A15" s="8">
        <v>44360</v>
      </c>
      <c r="B15" s="1">
        <v>957.02</v>
      </c>
      <c r="C15" s="1">
        <v>225.47</v>
      </c>
      <c r="D15" s="1">
        <v>7436505.0999999996</v>
      </c>
      <c r="E15" s="1">
        <v>8125871.3099999996</v>
      </c>
      <c r="F15" s="1">
        <v>2.3365</v>
      </c>
      <c r="G15" s="1">
        <v>730.66</v>
      </c>
      <c r="H15" s="1">
        <v>613.91999999999996</v>
      </c>
      <c r="I15" s="1">
        <v>230.15</v>
      </c>
      <c r="J15" s="1">
        <v>312.7</v>
      </c>
      <c r="K15" s="1">
        <v>336.29</v>
      </c>
      <c r="L15" s="1">
        <v>230.5</v>
      </c>
      <c r="M15" s="1">
        <v>504.36</v>
      </c>
      <c r="N15" s="1">
        <v>458.59</v>
      </c>
      <c r="O15" s="1">
        <v>147.18</v>
      </c>
      <c r="P15" s="1">
        <v>599.85</v>
      </c>
      <c r="Q15" s="1">
        <v>448.06</v>
      </c>
      <c r="R15" s="1">
        <v>152.29</v>
      </c>
      <c r="S15" s="1">
        <v>112.85</v>
      </c>
      <c r="T15" s="1">
        <v>412.85</v>
      </c>
      <c r="U15" s="1">
        <v>6542</v>
      </c>
      <c r="X15" s="69">
        <v>18</v>
      </c>
      <c r="Y15" s="69">
        <v>49</v>
      </c>
      <c r="Z15" s="69">
        <v>144</v>
      </c>
      <c r="AA15" s="17"/>
    </row>
    <row r="16" spans="1:27" ht="21" customHeight="1" x14ac:dyDescent="0.25">
      <c r="A16" s="8">
        <v>44361</v>
      </c>
      <c r="B16" s="1">
        <v>958.32</v>
      </c>
      <c r="C16" s="1">
        <v>225.71</v>
      </c>
      <c r="D16" s="1">
        <v>7439126.8799999999</v>
      </c>
      <c r="E16" s="1">
        <v>8129252.8600000003</v>
      </c>
      <c r="F16" s="1">
        <v>2.339</v>
      </c>
      <c r="G16" s="1">
        <v>731.63</v>
      </c>
      <c r="H16" s="1">
        <v>614.33000000000004</v>
      </c>
      <c r="I16" s="1">
        <v>230.68</v>
      </c>
      <c r="J16" s="1">
        <v>312.87</v>
      </c>
      <c r="K16" s="1">
        <v>336.53</v>
      </c>
      <c r="L16" s="1">
        <v>230.68</v>
      </c>
      <c r="M16" s="1">
        <v>505.1</v>
      </c>
      <c r="N16" s="1">
        <v>459.57</v>
      </c>
      <c r="O16" s="1">
        <v>147.47999999999999</v>
      </c>
      <c r="P16" s="1">
        <v>601.04999999999995</v>
      </c>
      <c r="Q16" s="1">
        <v>448.71</v>
      </c>
      <c r="R16" s="1">
        <v>152.6</v>
      </c>
      <c r="S16" s="1">
        <v>113.01</v>
      </c>
      <c r="T16" s="1">
        <v>413.34</v>
      </c>
      <c r="U16" s="1">
        <v>6216</v>
      </c>
      <c r="X16" s="69">
        <v>11</v>
      </c>
      <c r="Y16" s="69">
        <v>32</v>
      </c>
      <c r="Z16" s="69">
        <v>78</v>
      </c>
      <c r="AA16" s="17"/>
    </row>
    <row r="17" spans="1:27" ht="21" customHeight="1" x14ac:dyDescent="0.25">
      <c r="A17" s="8">
        <v>44362</v>
      </c>
      <c r="B17" s="1">
        <v>959.72</v>
      </c>
      <c r="C17" s="1">
        <v>225.96</v>
      </c>
      <c r="D17" s="1">
        <v>7441803.0300000003</v>
      </c>
      <c r="E17" s="1">
        <v>8132510.1799999997</v>
      </c>
      <c r="F17" s="1">
        <v>2.3416000000000001</v>
      </c>
      <c r="G17" s="1">
        <v>732.67</v>
      </c>
      <c r="H17" s="1">
        <v>614.74</v>
      </c>
      <c r="I17" s="1">
        <v>230.81</v>
      </c>
      <c r="J17" s="1">
        <v>313.2</v>
      </c>
      <c r="K17" s="1">
        <v>336.83</v>
      </c>
      <c r="L17" s="1">
        <v>230.93</v>
      </c>
      <c r="M17" s="1">
        <v>505.96</v>
      </c>
      <c r="N17" s="1">
        <v>460.48</v>
      </c>
      <c r="O17" s="1">
        <v>147.76</v>
      </c>
      <c r="P17" s="1">
        <v>602.08000000000004</v>
      </c>
      <c r="Q17" s="1">
        <v>449.43</v>
      </c>
      <c r="R17" s="1">
        <v>152.91</v>
      </c>
      <c r="S17" s="1">
        <v>113.14</v>
      </c>
      <c r="T17" s="1">
        <v>413.76</v>
      </c>
      <c r="U17" s="1">
        <v>6361</v>
      </c>
      <c r="X17" s="69">
        <v>9</v>
      </c>
      <c r="Y17" s="69">
        <v>30</v>
      </c>
      <c r="Z17" s="69">
        <v>69</v>
      </c>
      <c r="AA17" s="17"/>
    </row>
    <row r="18" spans="1:27" ht="21" customHeight="1" x14ac:dyDescent="0.25">
      <c r="A18" s="8">
        <v>44363</v>
      </c>
      <c r="B18" s="1">
        <v>961.02</v>
      </c>
      <c r="C18" s="1">
        <v>226.19</v>
      </c>
      <c r="D18" s="1">
        <v>7444179.2400000002</v>
      </c>
      <c r="E18" s="1">
        <v>8135560.4299999997</v>
      </c>
      <c r="F18" s="1">
        <v>2.3437999999999999</v>
      </c>
      <c r="G18" s="1">
        <v>733.55</v>
      </c>
      <c r="H18" s="1">
        <v>615.16</v>
      </c>
      <c r="I18" s="1">
        <v>231.11</v>
      </c>
      <c r="J18" s="1">
        <v>313.29000000000002</v>
      </c>
      <c r="K18" s="1">
        <v>336.99</v>
      </c>
      <c r="L18" s="1">
        <v>231.08</v>
      </c>
      <c r="M18" s="1">
        <v>506.74</v>
      </c>
      <c r="N18" s="1">
        <v>461.25</v>
      </c>
      <c r="O18" s="1">
        <v>148</v>
      </c>
      <c r="P18" s="1">
        <v>603.01</v>
      </c>
      <c r="Q18" s="1">
        <v>450.19</v>
      </c>
      <c r="R18" s="1">
        <v>153.24</v>
      </c>
      <c r="S18" s="1">
        <v>113.2</v>
      </c>
      <c r="T18" s="1">
        <v>414.18</v>
      </c>
      <c r="U18" s="1">
        <v>6325</v>
      </c>
      <c r="X18" s="69">
        <v>14</v>
      </c>
      <c r="Y18" s="69">
        <v>41</v>
      </c>
      <c r="Z18" s="69">
        <v>104</v>
      </c>
      <c r="AA18" s="17"/>
    </row>
    <row r="19" spans="1:27" ht="21" customHeight="1" x14ac:dyDescent="0.25">
      <c r="A19" s="8">
        <v>44364</v>
      </c>
      <c r="B19" s="1">
        <v>962.42</v>
      </c>
      <c r="C19" s="1">
        <v>226.4</v>
      </c>
      <c r="D19" s="1">
        <v>7446082.1799999997</v>
      </c>
      <c r="E19" s="1">
        <v>8139013.1500000004</v>
      </c>
      <c r="F19" s="1">
        <v>2.3464</v>
      </c>
      <c r="G19" s="1">
        <v>734.46</v>
      </c>
      <c r="H19" s="1">
        <v>615.58000000000004</v>
      </c>
      <c r="I19" s="1">
        <v>231.45</v>
      </c>
      <c r="J19" s="1">
        <v>313.47000000000003</v>
      </c>
      <c r="K19" s="1">
        <v>337.19</v>
      </c>
      <c r="L19" s="1">
        <v>231.25</v>
      </c>
      <c r="M19" s="1">
        <v>507.63</v>
      </c>
      <c r="N19" s="1">
        <v>462.05</v>
      </c>
      <c r="O19" s="1">
        <v>148.25</v>
      </c>
      <c r="P19" s="1">
        <v>604.21</v>
      </c>
      <c r="Q19" s="1">
        <v>450.97</v>
      </c>
      <c r="R19" s="1">
        <v>153.56</v>
      </c>
      <c r="S19" s="1">
        <v>113.48</v>
      </c>
      <c r="T19" s="1">
        <v>414.68</v>
      </c>
      <c r="U19" s="1">
        <v>6346</v>
      </c>
      <c r="X19" s="69">
        <v>13</v>
      </c>
      <c r="Y19" s="69">
        <v>33</v>
      </c>
      <c r="Z19" s="69">
        <v>90</v>
      </c>
      <c r="AA19" s="17"/>
    </row>
    <row r="20" spans="1:27" ht="21" customHeight="1" x14ac:dyDescent="0.25">
      <c r="A20" s="8">
        <v>44365</v>
      </c>
      <c r="B20" s="1">
        <v>963.89</v>
      </c>
      <c r="C20" s="1">
        <v>226.6</v>
      </c>
      <c r="D20" s="1">
        <v>7449267.9100000001</v>
      </c>
      <c r="E20" s="1">
        <v>8142139.4199999999</v>
      </c>
      <c r="F20" s="1">
        <v>2.3489</v>
      </c>
      <c r="G20" s="1">
        <v>735.35</v>
      </c>
      <c r="H20" s="1">
        <v>616</v>
      </c>
      <c r="I20" s="1">
        <v>231.74</v>
      </c>
      <c r="J20" s="1">
        <v>313.72000000000003</v>
      </c>
      <c r="K20" s="1">
        <v>337.46</v>
      </c>
      <c r="L20" s="1">
        <v>231.44</v>
      </c>
      <c r="M20" s="1">
        <v>508.5</v>
      </c>
      <c r="N20" s="1">
        <v>462.86</v>
      </c>
      <c r="O20" s="1">
        <v>148.52000000000001</v>
      </c>
      <c r="P20" s="1">
        <v>605.28</v>
      </c>
      <c r="Q20" s="1">
        <v>451.73</v>
      </c>
      <c r="R20" s="1">
        <v>153.82</v>
      </c>
      <c r="S20" s="1">
        <v>113.56</v>
      </c>
      <c r="T20" s="1">
        <v>415.1</v>
      </c>
      <c r="U20" s="1">
        <v>6276</v>
      </c>
      <c r="X20" s="69">
        <v>17</v>
      </c>
      <c r="Y20" s="69">
        <v>41</v>
      </c>
      <c r="Z20" s="69">
        <v>120</v>
      </c>
      <c r="AA20" s="17"/>
    </row>
    <row r="21" spans="1:27" ht="21" customHeight="1" x14ac:dyDescent="0.25">
      <c r="A21" s="8">
        <v>44366</v>
      </c>
      <c r="B21" s="1">
        <v>965.35</v>
      </c>
      <c r="C21" s="1">
        <v>226.83</v>
      </c>
      <c r="D21" s="1">
        <v>7451994.2999999998</v>
      </c>
      <c r="E21" s="1">
        <v>8145341.4699999997</v>
      </c>
      <c r="F21" s="1">
        <v>2.3515000000000001</v>
      </c>
      <c r="G21" s="1">
        <v>736.29</v>
      </c>
      <c r="H21" s="1">
        <v>616.39</v>
      </c>
      <c r="I21" s="1">
        <v>232.13</v>
      </c>
      <c r="J21" s="1">
        <v>313.92</v>
      </c>
      <c r="K21" s="1">
        <v>337.71</v>
      </c>
      <c r="L21" s="1">
        <v>231.63</v>
      </c>
      <c r="M21" s="1">
        <v>509.35</v>
      </c>
      <c r="N21" s="1">
        <v>463.65</v>
      </c>
      <c r="O21" s="1">
        <v>148.79</v>
      </c>
      <c r="P21" s="1">
        <v>606.41999999999996</v>
      </c>
      <c r="Q21" s="1">
        <v>452.59</v>
      </c>
      <c r="R21" s="27">
        <v>154.1</v>
      </c>
      <c r="S21" s="27">
        <v>113.65</v>
      </c>
      <c r="T21" s="1">
        <v>415.4</v>
      </c>
      <c r="U21" s="1">
        <v>6239</v>
      </c>
      <c r="X21" s="69">
        <v>21</v>
      </c>
      <c r="Y21" s="69">
        <v>50</v>
      </c>
      <c r="Z21" s="69">
        <v>153</v>
      </c>
      <c r="AA21" s="17"/>
    </row>
    <row r="22" spans="1:27" ht="21" customHeight="1" x14ac:dyDescent="0.25">
      <c r="A22" s="8">
        <v>44367</v>
      </c>
      <c r="B22" s="1">
        <v>966.66</v>
      </c>
      <c r="C22" s="1">
        <v>227.63</v>
      </c>
      <c r="D22" s="1">
        <v>7454597.6399999997</v>
      </c>
      <c r="E22" s="1">
        <v>8148925.7000000002</v>
      </c>
      <c r="F22" s="1">
        <v>2.3538999999999999</v>
      </c>
      <c r="G22" s="1">
        <v>737.18</v>
      </c>
      <c r="H22" s="1">
        <v>616.82000000000005</v>
      </c>
      <c r="I22" s="1">
        <v>232.48</v>
      </c>
      <c r="J22" s="1">
        <v>314.05</v>
      </c>
      <c r="K22" s="1">
        <v>337.92</v>
      </c>
      <c r="L22" s="1">
        <v>231.81</v>
      </c>
      <c r="M22" s="1">
        <v>510.09</v>
      </c>
      <c r="N22" s="1">
        <v>464.4</v>
      </c>
      <c r="O22" s="1">
        <v>149.01</v>
      </c>
      <c r="P22" s="1">
        <v>607.51</v>
      </c>
      <c r="Q22" s="1">
        <v>453.36</v>
      </c>
      <c r="R22" s="1">
        <v>154.41999999999999</v>
      </c>
      <c r="S22" s="1">
        <v>113.79</v>
      </c>
      <c r="T22" s="1">
        <v>415.86</v>
      </c>
      <c r="U22" s="1">
        <v>6230</v>
      </c>
      <c r="X22" s="69">
        <v>23</v>
      </c>
      <c r="Y22" s="69">
        <v>56</v>
      </c>
      <c r="Z22" s="69">
        <v>176</v>
      </c>
      <c r="AA22" s="17"/>
    </row>
    <row r="23" spans="1:27" ht="21" customHeight="1" x14ac:dyDescent="0.25">
      <c r="A23" s="8">
        <v>44368</v>
      </c>
      <c r="B23" s="1">
        <v>967.92</v>
      </c>
      <c r="C23" s="1">
        <v>227.24</v>
      </c>
      <c r="D23" s="1">
        <v>7457237.21</v>
      </c>
      <c r="E23" s="1">
        <v>8152480.1799999997</v>
      </c>
      <c r="F23" s="1">
        <v>2.3563999999999998</v>
      </c>
      <c r="G23" s="1">
        <v>738.07</v>
      </c>
      <c r="H23" s="1">
        <v>617.34</v>
      </c>
      <c r="I23" s="1">
        <v>232.83</v>
      </c>
      <c r="J23" s="1">
        <v>314.18</v>
      </c>
      <c r="K23" s="1">
        <v>338.15</v>
      </c>
      <c r="L23" s="1">
        <v>231.98</v>
      </c>
      <c r="M23" s="1">
        <v>510.87</v>
      </c>
      <c r="N23" s="1">
        <v>465.16</v>
      </c>
      <c r="O23" s="1">
        <v>149.24</v>
      </c>
      <c r="P23" s="1">
        <v>608.57000000000005</v>
      </c>
      <c r="Q23" s="1">
        <v>454.12</v>
      </c>
      <c r="R23" s="1">
        <v>154.91999999999999</v>
      </c>
      <c r="S23" s="1">
        <v>113.92</v>
      </c>
      <c r="T23" s="1">
        <v>416.32</v>
      </c>
      <c r="U23" s="1">
        <v>6554</v>
      </c>
      <c r="X23" s="69">
        <v>18</v>
      </c>
      <c r="Y23" s="69">
        <v>52</v>
      </c>
      <c r="Z23" s="69">
        <v>135</v>
      </c>
      <c r="AA23" s="17"/>
    </row>
    <row r="24" spans="1:27" ht="21" customHeight="1" x14ac:dyDescent="0.25">
      <c r="A24" s="8">
        <v>44369</v>
      </c>
      <c r="B24" s="1">
        <v>969.36</v>
      </c>
      <c r="C24" s="1">
        <v>227.5</v>
      </c>
      <c r="D24" s="1">
        <v>7460025.2699999996</v>
      </c>
      <c r="E24" s="1">
        <v>8156239.6100000003</v>
      </c>
      <c r="F24" s="1">
        <v>2.3589000000000002</v>
      </c>
      <c r="G24" s="1">
        <v>739.03</v>
      </c>
      <c r="H24" s="1">
        <v>617.82000000000005</v>
      </c>
      <c r="I24" s="1">
        <v>233.2</v>
      </c>
      <c r="J24" s="1">
        <v>314.42</v>
      </c>
      <c r="K24" s="1">
        <v>338.43</v>
      </c>
      <c r="L24" s="1">
        <v>232.18</v>
      </c>
      <c r="M24" s="1">
        <v>511.68</v>
      </c>
      <c r="N24" s="1">
        <v>465.96</v>
      </c>
      <c r="O24" s="1">
        <v>149.47</v>
      </c>
      <c r="P24" s="1">
        <v>609.63</v>
      </c>
      <c r="Q24" s="1">
        <v>454.9</v>
      </c>
      <c r="R24" s="1">
        <v>155.05000000000001</v>
      </c>
      <c r="S24" s="1">
        <v>114.06</v>
      </c>
      <c r="T24" s="1">
        <v>416.83</v>
      </c>
      <c r="U24" s="1">
        <v>6270</v>
      </c>
      <c r="X24" s="69">
        <v>11</v>
      </c>
      <c r="Y24" s="69">
        <v>34</v>
      </c>
      <c r="Z24" s="69">
        <v>111</v>
      </c>
      <c r="AA24" s="17"/>
    </row>
    <row r="25" spans="1:27" ht="21" customHeight="1" x14ac:dyDescent="0.25">
      <c r="A25" s="8">
        <v>44370</v>
      </c>
      <c r="B25" s="1">
        <v>970.73</v>
      </c>
      <c r="C25" s="1">
        <v>227.74</v>
      </c>
      <c r="D25" s="1">
        <v>7462669.0700000003</v>
      </c>
      <c r="E25" s="1">
        <v>8159919.3499999996</v>
      </c>
      <c r="F25" s="1">
        <v>2.3614000000000002</v>
      </c>
      <c r="G25" s="1">
        <v>739.94</v>
      </c>
      <c r="H25" s="1">
        <v>618.35</v>
      </c>
      <c r="I25" s="1">
        <v>233.57</v>
      </c>
      <c r="J25" s="1">
        <v>314.63</v>
      </c>
      <c r="K25" s="1">
        <v>338.7</v>
      </c>
      <c r="L25" s="1">
        <v>232.38</v>
      </c>
      <c r="M25" s="1">
        <v>512.54</v>
      </c>
      <c r="N25" s="1">
        <v>466.72</v>
      </c>
      <c r="O25" s="1">
        <v>149.66999999999999</v>
      </c>
      <c r="P25" s="1">
        <v>610.70000000000005</v>
      </c>
      <c r="Q25" s="1">
        <v>455.65</v>
      </c>
      <c r="R25" s="1">
        <v>155.36000000000001</v>
      </c>
      <c r="S25" s="1">
        <v>114.2</v>
      </c>
      <c r="T25" s="1">
        <v>417.3</v>
      </c>
      <c r="U25" s="1">
        <v>6383</v>
      </c>
      <c r="X25" s="69">
        <v>17</v>
      </c>
      <c r="Y25" s="69">
        <v>50</v>
      </c>
      <c r="Z25" s="69">
        <v>104</v>
      </c>
      <c r="AA25" s="17"/>
    </row>
    <row r="26" spans="1:27" ht="21" customHeight="1" x14ac:dyDescent="0.25">
      <c r="A26" s="8">
        <v>44371</v>
      </c>
      <c r="B26" s="1">
        <v>972.07</v>
      </c>
      <c r="C26" s="1">
        <v>227.98</v>
      </c>
      <c r="D26" s="1">
        <v>7464948.9400000004</v>
      </c>
      <c r="E26" s="1">
        <v>8163578.8200000003</v>
      </c>
      <c r="F26" s="1">
        <v>2.2639</v>
      </c>
      <c r="G26" s="1">
        <v>740.81</v>
      </c>
      <c r="H26" s="1">
        <v>618.85</v>
      </c>
      <c r="I26" s="1">
        <v>233.93</v>
      </c>
      <c r="J26" s="1">
        <v>314.87</v>
      </c>
      <c r="K26" s="1">
        <v>338.97</v>
      </c>
      <c r="L26" s="1">
        <v>232.57</v>
      </c>
      <c r="M26" s="1">
        <v>513.29</v>
      </c>
      <c r="N26" s="1">
        <v>467.48</v>
      </c>
      <c r="O26" s="1">
        <v>149.97</v>
      </c>
      <c r="P26" s="1">
        <v>611.79999999999995</v>
      </c>
      <c r="Q26" s="1">
        <v>456.39</v>
      </c>
      <c r="R26" s="1">
        <v>155.69</v>
      </c>
      <c r="S26" s="1">
        <v>114.33</v>
      </c>
      <c r="T26" s="1">
        <v>417.75</v>
      </c>
      <c r="U26" s="1"/>
      <c r="X26" s="69"/>
      <c r="Y26" s="69"/>
      <c r="Z26" s="69"/>
      <c r="AA26" s="17"/>
    </row>
    <row r="27" spans="1:27" ht="21" customHeight="1" x14ac:dyDescent="0.25">
      <c r="A27" s="8">
        <v>44372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69"/>
      <c r="Y27" s="69"/>
      <c r="Z27" s="69"/>
      <c r="AA27" s="17"/>
    </row>
    <row r="28" spans="1:27" ht="21" customHeight="1" x14ac:dyDescent="0.25">
      <c r="A28" s="8">
        <v>44373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69"/>
      <c r="Y28" s="69"/>
      <c r="Z28" s="69"/>
      <c r="AA28" s="17"/>
    </row>
    <row r="29" spans="1:27" ht="21" customHeight="1" x14ac:dyDescent="0.25">
      <c r="A29" s="8">
        <v>44374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69"/>
      <c r="Y29" s="69"/>
      <c r="Z29" s="69"/>
      <c r="AA29" s="17"/>
    </row>
    <row r="30" spans="1:27" ht="21" customHeight="1" x14ac:dyDescent="0.25">
      <c r="A30" s="8">
        <v>44375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69"/>
      <c r="Y30" s="69"/>
      <c r="Z30" s="69"/>
      <c r="AA30" s="17"/>
    </row>
    <row r="31" spans="1:27" ht="21" customHeight="1" x14ac:dyDescent="0.25">
      <c r="A31" s="8">
        <v>44376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69"/>
      <c r="Y31" s="69"/>
      <c r="Z31" s="69"/>
      <c r="AA31" s="17"/>
    </row>
    <row r="32" spans="1:27" ht="19.5" customHeight="1" x14ac:dyDescent="0.25">
      <c r="A32" s="8">
        <v>44377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69"/>
      <c r="Y32" s="69"/>
      <c r="Z32" s="69"/>
      <c r="AA32" s="17"/>
    </row>
    <row r="33" spans="1:26" ht="19.5" customHeight="1" x14ac:dyDescent="0.25">
      <c r="A33" s="8">
        <v>44378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69"/>
      <c r="Y33" s="69"/>
      <c r="Z33" s="69"/>
    </row>
    <row r="34" spans="1:26" ht="21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75">
        <f>SUM(X3:X33)</f>
        <v>365</v>
      </c>
      <c r="Y34" s="75">
        <f>SUM(Y3:Y33)</f>
        <v>938</v>
      </c>
      <c r="Z34" s="75">
        <f>SUM(Z3:Z33)</f>
        <v>2696</v>
      </c>
    </row>
    <row r="41" spans="1:26" x14ac:dyDescent="0.25">
      <c r="T41" s="15" t="s">
        <v>29</v>
      </c>
    </row>
  </sheetData>
  <sheetProtection insertColumns="0" insertRows="0" insertHyperlinks="0" deleteColumns="0" deleteRows="0"/>
  <mergeCells count="23">
    <mergeCell ref="J1:J2"/>
    <mergeCell ref="K1:K2"/>
    <mergeCell ref="L1:L2"/>
    <mergeCell ref="G1:G2"/>
    <mergeCell ref="M1:M2"/>
    <mergeCell ref="N1:N2"/>
    <mergeCell ref="O1:O2"/>
    <mergeCell ref="P1:P2"/>
    <mergeCell ref="H1:H2"/>
    <mergeCell ref="I1:I2"/>
    <mergeCell ref="B1:B2"/>
    <mergeCell ref="C1:C2"/>
    <mergeCell ref="D1:D2"/>
    <mergeCell ref="E1:E2"/>
    <mergeCell ref="F1:F2"/>
    <mergeCell ref="Q1:Q2"/>
    <mergeCell ref="R1:R2"/>
    <mergeCell ref="S1:S2"/>
    <mergeCell ref="X1:X2"/>
    <mergeCell ref="Y1:Y2"/>
    <mergeCell ref="Z1:Z2"/>
    <mergeCell ref="T1:T2"/>
    <mergeCell ref="U1:U2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J4" sqref="J4:V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3" t="s">
        <v>30</v>
      </c>
      <c r="B2" s="107" t="s">
        <v>31</v>
      </c>
      <c r="C2" s="107" t="s">
        <v>32</v>
      </c>
      <c r="D2" s="107" t="s">
        <v>118</v>
      </c>
      <c r="E2" s="113" t="s">
        <v>33</v>
      </c>
      <c r="F2" s="117" t="s">
        <v>34</v>
      </c>
      <c r="G2" s="118"/>
      <c r="H2" s="119"/>
      <c r="I2" s="120" t="s">
        <v>35</v>
      </c>
      <c r="J2" s="120" t="s">
        <v>36</v>
      </c>
      <c r="K2" s="120" t="s">
        <v>37</v>
      </c>
      <c r="L2" s="120" t="s">
        <v>38</v>
      </c>
      <c r="M2" s="121" t="s">
        <v>39</v>
      </c>
      <c r="N2" s="121"/>
      <c r="O2" s="121"/>
      <c r="P2" s="121"/>
      <c r="Q2" s="121"/>
      <c r="R2" s="121"/>
      <c r="S2" s="120" t="s">
        <v>40</v>
      </c>
      <c r="T2" s="120"/>
      <c r="U2" s="130" t="s">
        <v>41</v>
      </c>
      <c r="V2" s="120" t="s">
        <v>42</v>
      </c>
    </row>
    <row r="3" spans="1:22" x14ac:dyDescent="0.25">
      <c r="A3" s="114"/>
      <c r="B3" s="108"/>
      <c r="C3" s="108"/>
      <c r="D3" s="108"/>
      <c r="E3" s="114"/>
      <c r="F3" s="6" t="s">
        <v>26</v>
      </c>
      <c r="G3" s="6" t="s">
        <v>27</v>
      </c>
      <c r="H3" s="6" t="s">
        <v>28</v>
      </c>
      <c r="I3" s="120"/>
      <c r="J3" s="120"/>
      <c r="K3" s="120"/>
      <c r="L3" s="120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31"/>
      <c r="V3" s="120"/>
    </row>
    <row r="4" spans="1:22" x14ac:dyDescent="0.25">
      <c r="A4" s="3">
        <f>'Kwh Reading'!A3</f>
        <v>44348</v>
      </c>
      <c r="B4" s="25">
        <v>25520</v>
      </c>
      <c r="C4" s="4">
        <f>('Kwh Reading'!T4-'Kwh Reading'!T3)*1000</f>
        <v>479.99999999996135</v>
      </c>
      <c r="D4" s="2">
        <f>('Kwh Reading'!F4-'Kwh Reading'!F3)*1000000</f>
        <v>1999.9999999997797</v>
      </c>
      <c r="E4" s="2">
        <f>('Kwh Reading'!C4-'Kwh Reading'!C3)*1000</f>
        <v>209.99999999997954</v>
      </c>
      <c r="F4" s="2">
        <f>('Kwh Reading'!J4-'Kwh Reading'!J3)*1000</f>
        <v>149.99999999997726</v>
      </c>
      <c r="G4" s="2">
        <f>('Kwh Reading'!K4-'Kwh Reading'!K3)*1000</f>
        <v>230.00000000001819</v>
      </c>
      <c r="H4" s="2">
        <f>('Kwh Reading'!L4-'Kwh Reading'!L3)*1000</f>
        <v>169.99999999998749</v>
      </c>
      <c r="I4" s="2">
        <f>('Kwh Reading'!R4-'Kwh Reading'!R3)*1000</f>
        <v>330.00000000001251</v>
      </c>
      <c r="J4" s="2">
        <f>('Kwh Reading'!S4-'Kwh Reading'!S3)*1000</f>
        <v>119.99999999999034</v>
      </c>
      <c r="K4" s="2">
        <f>('Kwh Reading'!I4-'Kwh Reading'!I3)*1000</f>
        <v>310.00000000000227</v>
      </c>
      <c r="L4" s="2">
        <f>('Kwh Reading'!B4-'Kwh Reading'!B3)*1000</f>
        <v>1179.99999999995</v>
      </c>
      <c r="M4" s="2">
        <f>('Kwh Reading'!M4-'Kwh Reading'!M3)*1000</f>
        <v>780.00000000002956</v>
      </c>
      <c r="N4" s="2">
        <f>('Kwh Reading'!H4-'Kwh Reading'!H3)*1000</f>
        <v>509.99999999999091</v>
      </c>
      <c r="O4" s="2">
        <f>('Kwh Reading'!P4-'Kwh Reading'!P3)*1000</f>
        <v>1089.9999999999181</v>
      </c>
      <c r="P4" s="2">
        <f>('Kwh Reading'!G4-'Kwh Reading'!G3)*1000</f>
        <v>929.99999999994998</v>
      </c>
      <c r="Q4" s="2">
        <f>('Kwh Reading'!Q4-'Kwh Reading'!Q3)*1000</f>
        <v>670.00000000001592</v>
      </c>
      <c r="R4" s="2">
        <f>('Kwh Reading'!N4-'Kwh Reading'!N3)*1000</f>
        <v>769.99999999998181</v>
      </c>
      <c r="S4" s="2">
        <f>'Kwh Reading'!E4-'Kwh Reading'!E3</f>
        <v>3109.160000000149</v>
      </c>
      <c r="T4" s="2">
        <f>'Kwh Reading'!D4-'Kwh Reading'!D3</f>
        <v>2552.5599999995902</v>
      </c>
      <c r="U4" s="26">
        <f>('Kwh Reading'!O4-'Kwh Reading'!O3)*1000</f>
        <v>260.00000000001933</v>
      </c>
      <c r="V4" s="16">
        <f>B4-(SUM(C4:U4))</f>
        <v>9668.2800000006937</v>
      </c>
    </row>
    <row r="5" spans="1:22" x14ac:dyDescent="0.25">
      <c r="A5" s="3">
        <f>'Kwh Reading'!A4</f>
        <v>44349</v>
      </c>
      <c r="B5" s="25">
        <f>TOTAL!E3</f>
        <v>23169.999999999618</v>
      </c>
      <c r="C5" s="4">
        <f>('Kwh Reading'!T5-'Kwh Reading'!T4)*1000</f>
        <v>500</v>
      </c>
      <c r="D5" s="2">
        <f>('Kwh Reading'!F5-'Kwh Reading'!F4)*1000000</f>
        <v>2299.9999999999686</v>
      </c>
      <c r="E5" s="2">
        <f>('Kwh Reading'!C5-'Kwh Reading'!C4)*1000</f>
        <v>210.00000000000796</v>
      </c>
      <c r="F5" s="2">
        <f>('Kwh Reading'!J5-'Kwh Reading'!J4)*1000</f>
        <v>170.00000000001592</v>
      </c>
      <c r="G5" s="2">
        <f>('Kwh Reading'!K5-'Kwh Reading'!K4)*1000</f>
        <v>250</v>
      </c>
      <c r="H5" s="2">
        <f>('Kwh Reading'!L5-'Kwh Reading'!L4)*1000</f>
        <v>159.99999999999659</v>
      </c>
      <c r="I5" s="2">
        <f>('Kwh Reading'!R5-'Kwh Reading'!R4)*1000</f>
        <v>330.00000000001251</v>
      </c>
      <c r="J5" s="2">
        <f>('Kwh Reading'!S5-'Kwh Reading'!S4)*1000</f>
        <v>150.00000000000568</v>
      </c>
      <c r="K5" s="2">
        <f>('Kwh Reading'!I5-'Kwh Reading'!I4)*1000</f>
        <v>329.99999999998408</v>
      </c>
      <c r="L5" s="2">
        <f>('Kwh Reading'!B5-'Kwh Reading'!B4)*1000</f>
        <v>1240.0000000000091</v>
      </c>
      <c r="M5" s="2">
        <f>('Kwh Reading'!M5-'Kwh Reading'!M4)*1000</f>
        <v>769.99999999998181</v>
      </c>
      <c r="N5" s="2">
        <f>('Kwh Reading'!H5-'Kwh Reading'!H4)*1000</f>
        <v>580.00000000004093</v>
      </c>
      <c r="O5" s="2">
        <f>('Kwh Reading'!P5-'Kwh Reading'!P4)*1000</f>
        <v>1150.0000000000909</v>
      </c>
      <c r="P5" s="2">
        <f>('Kwh Reading'!G5-'Kwh Reading'!G4)*1000</f>
        <v>990.00000000000909</v>
      </c>
      <c r="Q5" s="2">
        <f>('Kwh Reading'!Q5-'Kwh Reading'!Q4)*1000</f>
        <v>729.99999999996135</v>
      </c>
      <c r="R5" s="2">
        <f>('Kwh Reading'!N5-'Kwh Reading'!N4)*1000</f>
        <v>819.99999999999318</v>
      </c>
      <c r="S5" s="2">
        <f>'Kwh Reading'!E5-'Kwh Reading'!E4</f>
        <v>3181.7900000000373</v>
      </c>
      <c r="T5" s="2">
        <f>'Kwh Reading'!D5-'Kwh Reading'!D4</f>
        <v>2623.1299999998882</v>
      </c>
      <c r="U5" s="26">
        <f>('Kwh Reading'!O5-'Kwh Reading'!O4)*1000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Reading'!A5</f>
        <v>44350</v>
      </c>
      <c r="B6" s="25">
        <f>TOTAL!E4</f>
        <v>22990.00000000024</v>
      </c>
      <c r="C6" s="4">
        <f>('Kwh Reading'!T6-'Kwh Reading'!T5)*1000</f>
        <v>520.00000000003865</v>
      </c>
      <c r="D6" s="2">
        <f>('Kwh Reading'!F6-'Kwh Reading'!F5)*1000000</f>
        <v>2400.0000000001796</v>
      </c>
      <c r="E6" s="2">
        <f>('Kwh Reading'!C6-'Kwh Reading'!C5)*1000</f>
        <v>219.99999999999886</v>
      </c>
      <c r="F6" s="2">
        <f>('Kwh Reading'!J6-'Kwh Reading'!J5)*1000</f>
        <v>180.00000000000682</v>
      </c>
      <c r="G6" s="2">
        <f>('Kwh Reading'!K6-'Kwh Reading'!K5)*1000</f>
        <v>240.00000000000909</v>
      </c>
      <c r="H6" s="2">
        <f>('Kwh Reading'!L6-'Kwh Reading'!L5)*1000</f>
        <v>180.00000000000682</v>
      </c>
      <c r="I6" s="2">
        <f>('Kwh Reading'!R6-'Kwh Reading'!R5)*1000</f>
        <v>339.99999999997499</v>
      </c>
      <c r="J6" s="2">
        <f>('Kwh Reading'!S6-'Kwh Reading'!S5)*1000</f>
        <v>120.00000000000455</v>
      </c>
      <c r="K6" s="2">
        <f>('Kwh Reading'!I6-'Kwh Reading'!I5)*1000</f>
        <v>360.00000000001364</v>
      </c>
      <c r="L6" s="2">
        <f>('Kwh Reading'!B6-'Kwh Reading'!B5)*1000</f>
        <v>1289.9999999999636</v>
      </c>
      <c r="M6" s="2">
        <f>('Kwh Reading'!M6-'Kwh Reading'!M5)*1000</f>
        <v>790.00000000002046</v>
      </c>
      <c r="N6" s="2">
        <f>('Kwh Reading'!H6-'Kwh Reading'!H5)*1000</f>
        <v>569.99999999993634</v>
      </c>
      <c r="O6" s="2">
        <f>('Kwh Reading'!P6-'Kwh Reading'!P5)*1000</f>
        <v>1139.9999999999864</v>
      </c>
      <c r="P6" s="2">
        <f>('Kwh Reading'!G6-'Kwh Reading'!G5)*1000</f>
        <v>970.00000000002728</v>
      </c>
      <c r="Q6" s="2">
        <f>('Kwh Reading'!Q6-'Kwh Reading'!Q5)*1000</f>
        <v>670.00000000001592</v>
      </c>
      <c r="R6" s="2">
        <f>('Kwh Reading'!N6-'Kwh Reading'!N5)*1000</f>
        <v>879.99999999999545</v>
      </c>
      <c r="S6" s="2">
        <f>'Kwh Reading'!E6-'Kwh Reading'!E5</f>
        <v>3190.7799999993294</v>
      </c>
      <c r="T6" s="2">
        <f>'Kwh Reading'!D6-'Kwh Reading'!D5</f>
        <v>2636.910000000149</v>
      </c>
      <c r="U6" s="26">
        <f>('Kwh Reading'!O6-'Kwh Reading'!O5)*1000</f>
        <v>230.00000000001819</v>
      </c>
      <c r="V6" s="16">
        <f t="shared" si="0"/>
        <v>6062.3100000005616</v>
      </c>
    </row>
    <row r="7" spans="1:22" x14ac:dyDescent="0.25">
      <c r="A7" s="3">
        <f>'Kwh Reading'!A6</f>
        <v>44351</v>
      </c>
      <c r="B7" s="25">
        <f>TOTAL!E5</f>
        <v>22279.99999999952</v>
      </c>
      <c r="C7" s="4">
        <f>('Kwh Reading'!T7-'Kwh Reading'!T6)*1000</f>
        <v>289.99999999996362</v>
      </c>
      <c r="D7" s="2">
        <f>('Kwh Reading'!F7-'Kwh Reading'!F6)*1000000</f>
        <v>2299.9999999999686</v>
      </c>
      <c r="E7" s="2">
        <f>('Kwh Reading'!C7-'Kwh Reading'!C6)*1000</f>
        <v>250</v>
      </c>
      <c r="F7" s="2">
        <f>('Kwh Reading'!J7-'Kwh Reading'!J6)*1000</f>
        <v>229.99999999996135</v>
      </c>
      <c r="G7" s="2">
        <f>('Kwh Reading'!K7-'Kwh Reading'!K6)*1000</f>
        <v>209.99999999997954</v>
      </c>
      <c r="H7" s="2">
        <f>('Kwh Reading'!L7-'Kwh Reading'!L6)*1000</f>
        <v>219.99999999999886</v>
      </c>
      <c r="I7" s="2">
        <f>('Kwh Reading'!R7-'Kwh Reading'!R6)*1000</f>
        <v>300.00000000001137</v>
      </c>
      <c r="J7" s="2">
        <f>('Kwh Reading'!S7-'Kwh Reading'!S6)*1000</f>
        <v>119.99999999999034</v>
      </c>
      <c r="K7" s="2">
        <f>('Kwh Reading'!I7-'Kwh Reading'!I6)*1000</f>
        <v>330.00000000001251</v>
      </c>
      <c r="L7" s="2">
        <f>('Kwh Reading'!B7-'Kwh Reading'!B6)*1000</f>
        <v>1270.0000000000955</v>
      </c>
      <c r="M7" s="2">
        <f>('Kwh Reading'!M7-'Kwh Reading'!M6)*1000</f>
        <v>800.00000000001137</v>
      </c>
      <c r="N7" s="2">
        <f>('Kwh Reading'!H7-'Kwh Reading'!H6)*1000</f>
        <v>530.0000000000864</v>
      </c>
      <c r="O7" s="2">
        <f>('Kwh Reading'!P7-'Kwh Reading'!P6)*1000</f>
        <v>1069.9999999999363</v>
      </c>
      <c r="P7" s="2">
        <f>('Kwh Reading'!G7-'Kwh Reading'!G6)*1000</f>
        <v>1000</v>
      </c>
      <c r="Q7" s="2">
        <f>('Kwh Reading'!Q7-'Kwh Reading'!Q6)*1000</f>
        <v>710.00000000003638</v>
      </c>
      <c r="R7" s="2">
        <f>('Kwh Reading'!N7-'Kwh Reading'!N6)*1000</f>
        <v>850.00000000002274</v>
      </c>
      <c r="S7" s="2">
        <f>'Kwh Reading'!E7-'Kwh Reading'!E6</f>
        <v>2897.820000000298</v>
      </c>
      <c r="T7" s="2">
        <f>'Kwh Reading'!D7-'Kwh Reading'!D6</f>
        <v>2605.1200000001118</v>
      </c>
      <c r="U7" s="26">
        <f>('Kwh Reading'!O7-'Kwh Reading'!O6)*1000</f>
        <v>229.99999999998977</v>
      </c>
      <c r="V7" s="16">
        <f t="shared" si="0"/>
        <v>6067.0599999990482</v>
      </c>
    </row>
    <row r="8" spans="1:22" x14ac:dyDescent="0.25">
      <c r="A8" s="3">
        <f>'Kwh Reading'!A7</f>
        <v>44352</v>
      </c>
      <c r="B8" s="25">
        <f>TOTAL!E6</f>
        <v>22609.999999999673</v>
      </c>
      <c r="C8" s="4">
        <f>('Kwh Reading'!T8-'Kwh Reading'!T7)*1000</f>
        <v>480.00000000001819</v>
      </c>
      <c r="D8" s="2">
        <f>('Kwh Reading'!F8-'Kwh Reading'!F7)*1000000</f>
        <v>2299.9999999999686</v>
      </c>
      <c r="E8" s="2">
        <f>('Kwh Reading'!C8-'Kwh Reading'!C7)*1000</f>
        <v>259.99999999999091</v>
      </c>
      <c r="F8" s="2">
        <f>('Kwh Reading'!J8-'Kwh Reading'!J7)*1000</f>
        <v>100.00000000002274</v>
      </c>
      <c r="G8" s="2">
        <f>('Kwh Reading'!K8-'Kwh Reading'!K7)*1000</f>
        <v>89.999999999974989</v>
      </c>
      <c r="H8" s="2">
        <f>('Kwh Reading'!L8-'Kwh Reading'!L7)*1000</f>
        <v>99.999999999994316</v>
      </c>
      <c r="I8" s="2">
        <f>('Kwh Reading'!R8-'Kwh Reading'!R7)*1000</f>
        <v>330.00000000001251</v>
      </c>
      <c r="J8" s="2">
        <f>('Kwh Reading'!S8-'Kwh Reading'!S7)*1000</f>
        <v>140.00000000000057</v>
      </c>
      <c r="K8" s="2">
        <f>('Kwh Reading'!I8-'Kwh Reading'!I7)*1000</f>
        <v>299.99999999998295</v>
      </c>
      <c r="L8" s="2">
        <f>('Kwh Reading'!B8-'Kwh Reading'!B7)*1000</f>
        <v>1189.9999999999409</v>
      </c>
      <c r="M8" s="2">
        <f>('Kwh Reading'!M8-'Kwh Reading'!M7)*1000</f>
        <v>769.99999999998181</v>
      </c>
      <c r="N8" s="2">
        <f>('Kwh Reading'!H8-'Kwh Reading'!H7)*1000</f>
        <v>490.00000000000909</v>
      </c>
      <c r="O8" s="2">
        <f>('Kwh Reading'!P8-'Kwh Reading'!P7)*1000</f>
        <v>1070.00000000005</v>
      </c>
      <c r="P8" s="2">
        <f>('Kwh Reading'!G8-'Kwh Reading'!G7)*1000</f>
        <v>970.00000000002728</v>
      </c>
      <c r="Q8" s="2">
        <f>('Kwh Reading'!Q8-'Kwh Reading'!Q7)*1000</f>
        <v>669.99999999995907</v>
      </c>
      <c r="R8" s="2">
        <f>('Kwh Reading'!N8-'Kwh Reading'!N7)*1000</f>
        <v>959.99999999997954</v>
      </c>
      <c r="S8" s="2">
        <f>'Kwh Reading'!E8-'Kwh Reading'!E7</f>
        <v>3076.3600000003353</v>
      </c>
      <c r="T8" s="2">
        <f>'Kwh Reading'!D8-'Kwh Reading'!D7</f>
        <v>2368.25</v>
      </c>
      <c r="U8" s="26">
        <f>('Kwh Reading'!O8-'Kwh Reading'!O7)*1000</f>
        <v>240.00000000000909</v>
      </c>
      <c r="V8" s="16">
        <f t="shared" si="0"/>
        <v>6705.3899999994137</v>
      </c>
    </row>
    <row r="9" spans="1:22" x14ac:dyDescent="0.25">
      <c r="A9" s="3">
        <f>'Kwh Reading'!A8</f>
        <v>44353</v>
      </c>
      <c r="B9" s="25">
        <f>TOTAL!E7</f>
        <v>22650.000000001004</v>
      </c>
      <c r="C9" s="4">
        <f>('Kwh Reading'!T9-'Kwh Reading'!T8)*1000</f>
        <v>420.00000000001592</v>
      </c>
      <c r="D9" s="2">
        <f>('Kwh Reading'!F9-'Kwh Reading'!F8)*1000000</f>
        <v>2600.0000000001578</v>
      </c>
      <c r="E9" s="2">
        <f>('Kwh Reading'!C9-'Kwh Reading'!C8)*1000</f>
        <v>170.00000000001592</v>
      </c>
      <c r="F9" s="2">
        <f>('Kwh Reading'!J9-'Kwh Reading'!J8)*1000</f>
        <v>209.99999999997954</v>
      </c>
      <c r="G9" s="2">
        <f>('Kwh Reading'!K9-'Kwh Reading'!K8)*1000</f>
        <v>290.00000000002046</v>
      </c>
      <c r="H9" s="2">
        <f>('Kwh Reading'!L9-'Kwh Reading'!L8)*1000</f>
        <v>189.99999999999773</v>
      </c>
      <c r="I9" s="2">
        <f>('Kwh Reading'!R9-'Kwh Reading'!R8)*1000</f>
        <v>169.99999999998749</v>
      </c>
      <c r="J9" s="2">
        <f>('Kwh Reading'!S9-'Kwh Reading'!S8)*1000</f>
        <v>109.99999999999943</v>
      </c>
      <c r="K9" s="2">
        <f>('Kwh Reading'!I9-'Kwh Reading'!I8)*1000</f>
        <v>319.99999999999318</v>
      </c>
      <c r="L9" s="2">
        <f>('Kwh Reading'!B9-'Kwh Reading'!B8)*1000</f>
        <v>1350.0000000000227</v>
      </c>
      <c r="M9" s="2">
        <f>('Kwh Reading'!M9-'Kwh Reading'!M8)*1000</f>
        <v>860.00000000001364</v>
      </c>
      <c r="N9" s="2">
        <f>('Kwh Reading'!H9-'Kwh Reading'!H8)*1000</f>
        <v>539.99999999996362</v>
      </c>
      <c r="O9" s="2">
        <f>('Kwh Reading'!P9-'Kwh Reading'!P8)*1000</f>
        <v>1090.0000000000318</v>
      </c>
      <c r="P9" s="2">
        <f>('Kwh Reading'!G9-'Kwh Reading'!G8)*1000</f>
        <v>939.99999999994088</v>
      </c>
      <c r="Q9" s="2">
        <f>('Kwh Reading'!Q9-'Kwh Reading'!Q8)*1000</f>
        <v>819.99999999999318</v>
      </c>
      <c r="R9" s="2">
        <f>('Kwh Reading'!N9-'Kwh Reading'!N8)*1000</f>
        <v>579.99999999998408</v>
      </c>
      <c r="S9" s="2">
        <f>'Kwh Reading'!E9-'Kwh Reading'!E8</f>
        <v>3034.3999999994412</v>
      </c>
      <c r="T9" s="2">
        <f>'Kwh Reading'!D9-'Kwh Reading'!D8</f>
        <v>2475.269999999553</v>
      </c>
      <c r="U9" s="26">
        <f>('Kwh Reading'!O9-'Kwh Reading'!O8)*1000</f>
        <v>259.99999999999091</v>
      </c>
      <c r="V9" s="16">
        <f t="shared" si="0"/>
        <v>6220.3300000019008</v>
      </c>
    </row>
    <row r="10" spans="1:22" x14ac:dyDescent="0.25">
      <c r="A10" s="3">
        <f>'Kwh Reading'!A9</f>
        <v>44354</v>
      </c>
      <c r="B10" s="25">
        <f>TOTAL!E8</f>
        <v>23299.999999999498</v>
      </c>
      <c r="C10" s="4">
        <f>('Kwh Reading'!T10-'Kwh Reading'!T9)*1000</f>
        <v>409.99999999996817</v>
      </c>
      <c r="D10" s="2">
        <f>('Kwh Reading'!F10-'Kwh Reading'!F9)*1000000</f>
        <v>2299.9999999999686</v>
      </c>
      <c r="E10" s="2">
        <f>('Kwh Reading'!C10-'Kwh Reading'!C9)*1000</f>
        <v>199.99999999998863</v>
      </c>
      <c r="F10" s="2">
        <f>('Kwh Reading'!J10-'Kwh Reading'!J9)*1000</f>
        <v>189.99999999999773</v>
      </c>
      <c r="G10" s="2">
        <f>('Kwh Reading'!K10-'Kwh Reading'!K9)*1000</f>
        <v>220.00000000002728</v>
      </c>
      <c r="H10" s="2">
        <f>('Kwh Reading'!L10-'Kwh Reading'!L9)*1000</f>
        <v>189.99999999999773</v>
      </c>
      <c r="I10" s="2">
        <f>('Kwh Reading'!R10-'Kwh Reading'!R9)*1000</f>
        <v>310.00000000000227</v>
      </c>
      <c r="J10" s="2">
        <f>('Kwh Reading'!S10-'Kwh Reading'!S9)*1000</f>
        <v>120.00000000000455</v>
      </c>
      <c r="K10" s="2">
        <f>('Kwh Reading'!I10-'Kwh Reading'!I9)*1000</f>
        <v>320.0000000000216</v>
      </c>
      <c r="L10" s="2">
        <f>('Kwh Reading'!B10-'Kwh Reading'!B9)*1000</f>
        <v>1340.0000000000318</v>
      </c>
      <c r="M10" s="2">
        <f>('Kwh Reading'!M10-'Kwh Reading'!M9)*1000</f>
        <v>909.99999999996817</v>
      </c>
      <c r="N10" s="2">
        <f>('Kwh Reading'!H10-'Kwh Reading'!H9)*1000</f>
        <v>529.99999999997272</v>
      </c>
      <c r="O10" s="2">
        <f>('Kwh Reading'!P10-'Kwh Reading'!P9)*1000</f>
        <v>1049.9999999999545</v>
      </c>
      <c r="P10" s="2">
        <f>('Kwh Reading'!G10-'Kwh Reading'!G9)*1000</f>
        <v>909.99999999996817</v>
      </c>
      <c r="Q10" s="2">
        <f>('Kwh Reading'!Q10-'Kwh Reading'!Q9)*1000</f>
        <v>820.00000000005002</v>
      </c>
      <c r="R10" s="2">
        <f>('Kwh Reading'!N10-'Kwh Reading'!N9)*1000</f>
        <v>780.00000000002956</v>
      </c>
      <c r="S10" s="33">
        <f>'Kwh Reading'!E10-'Kwh Reading'!E9</f>
        <v>3187.0800000000745</v>
      </c>
      <c r="T10" s="33">
        <f>'Kwh Reading'!D10-'Kwh Reading'!D9</f>
        <v>2342.0500000007451</v>
      </c>
      <c r="U10" s="26">
        <f>('Kwh Reading'!O10-'Kwh Reading'!O9)*1000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Reading'!A10</f>
        <v>44355</v>
      </c>
      <c r="B11" s="25">
        <f>TOTAL!E9</f>
        <v>22609.999999999447</v>
      </c>
      <c r="C11" s="4">
        <f>('Kwh Reading'!T11-'Kwh Reading'!T10)*1000</f>
        <v>410.00000000002501</v>
      </c>
      <c r="D11" s="2">
        <f>('Kwh Reading'!F11-'Kwh Reading'!F10)*1000000</f>
        <v>2299.9999999999686</v>
      </c>
      <c r="E11" s="2">
        <f>('Kwh Reading'!C11-'Kwh Reading'!C10)*1000</f>
        <v>219.99999999999886</v>
      </c>
      <c r="F11" s="2">
        <f>('Kwh Reading'!J11-'Kwh Reading'!J10)*1000</f>
        <v>210.00000000003638</v>
      </c>
      <c r="G11" s="2">
        <f>('Kwh Reading'!K11-'Kwh Reading'!K10)*1000</f>
        <v>219.99999999997044</v>
      </c>
      <c r="H11" s="2">
        <f>('Kwh Reading'!L11-'Kwh Reading'!L10)*1000</f>
        <v>160.00000000002501</v>
      </c>
      <c r="I11" s="2">
        <f>('Kwh Reading'!R11-'Kwh Reading'!R10)*1000</f>
        <v>310.00000000000227</v>
      </c>
      <c r="J11" s="2">
        <f>('Kwh Reading'!S11-'Kwh Reading'!S10)*1000</f>
        <v>150.00000000000568</v>
      </c>
      <c r="K11" s="2">
        <f>('Kwh Reading'!I11-'Kwh Reading'!I10)*1000</f>
        <v>319.99999999999318</v>
      </c>
      <c r="L11" s="2">
        <f>('Kwh Reading'!B11-'Kwh Reading'!B10)*1000</f>
        <v>1240.0000000000091</v>
      </c>
      <c r="M11" s="2">
        <f>('Kwh Reading'!M11-'Kwh Reading'!M10)*1000</f>
        <v>900.00000000003411</v>
      </c>
      <c r="N11" s="2">
        <f>('Kwh Reading'!H11-'Kwh Reading'!H10)*1000</f>
        <v>470.00000000002728</v>
      </c>
      <c r="O11" s="2">
        <f>('Kwh Reading'!P11-'Kwh Reading'!P10)*1000</f>
        <v>1039.9999999999636</v>
      </c>
      <c r="P11" s="2">
        <f>('Kwh Reading'!G11-'Kwh Reading'!G10)*1000</f>
        <v>960.00000000003638</v>
      </c>
      <c r="Q11" s="2">
        <f>('Kwh Reading'!Q11-'Kwh Reading'!Q10)*1000</f>
        <v>699.99999999998863</v>
      </c>
      <c r="R11" s="2">
        <f>('Kwh Reading'!N11-'Kwh Reading'!N10)*1000</f>
        <v>819.99999999999318</v>
      </c>
      <c r="S11" s="33">
        <f>'Kwh Reading'!E11-'Kwh Reading'!E10</f>
        <v>3252.570000000298</v>
      </c>
      <c r="T11" s="33">
        <f>'Kwh Reading'!D11-'Kwh Reading'!D10</f>
        <v>2364.7900000000373</v>
      </c>
      <c r="U11" s="26">
        <f>('Kwh Reading'!O11-'Kwh Reading'!O10)*1000</f>
        <v>290.00000000002046</v>
      </c>
      <c r="V11" s="16">
        <f t="shared" si="1"/>
        <v>6272.6399999990135</v>
      </c>
    </row>
    <row r="12" spans="1:22" x14ac:dyDescent="0.25">
      <c r="A12" s="3">
        <f>'Kwh Reading'!A11</f>
        <v>44356</v>
      </c>
      <c r="B12" s="25">
        <f>TOTAL!E10</f>
        <v>23510.000000001128</v>
      </c>
      <c r="C12" s="4">
        <f>('Kwh Reading'!T12-'Kwh Reading'!T11)*1000</f>
        <v>469.99999999997044</v>
      </c>
      <c r="D12" s="2">
        <f>('Kwh Reading'!F12-'Kwh Reading'!F11)*1000000</f>
        <v>2400.0000000001796</v>
      </c>
      <c r="E12" s="2">
        <f>('Kwh Reading'!C12-'Kwh Reading'!C11)*1000</f>
        <v>219.99999999999886</v>
      </c>
      <c r="F12" s="2">
        <f>('Kwh Reading'!J12-'Kwh Reading'!J11)*1000</f>
        <v>199.99999999998863</v>
      </c>
      <c r="G12" s="2">
        <f>('Kwh Reading'!K12-'Kwh Reading'!K11)*1000</f>
        <v>160.00000000002501</v>
      </c>
      <c r="H12" s="2">
        <f>('Kwh Reading'!L12-'Kwh Reading'!L11)*1000</f>
        <v>169.99999999998749</v>
      </c>
      <c r="I12" s="2">
        <f>('Kwh Reading'!R12-'Kwh Reading'!R11)*1000</f>
        <v>340.00000000000341</v>
      </c>
      <c r="J12" s="2">
        <f>('Kwh Reading'!S12-'Kwh Reading'!S11)*1000</f>
        <v>140.00000000000057</v>
      </c>
      <c r="K12" s="2">
        <f>('Kwh Reading'!I12-'Kwh Reading'!I11)*1000</f>
        <v>329.99999999998408</v>
      </c>
      <c r="L12" s="2">
        <f>('Kwh Reading'!B12-'Kwh Reading'!B11)*1000</f>
        <v>1279.9999999999727</v>
      </c>
      <c r="M12" s="2">
        <f>('Kwh Reading'!M12-'Kwh Reading'!M11)*1000</f>
        <v>919.99999999995907</v>
      </c>
      <c r="N12" s="2">
        <f>('Kwh Reading'!H12-'Kwh Reading'!H11)*1000</f>
        <v>429.99999999994998</v>
      </c>
      <c r="O12" s="2">
        <f>('Kwh Reading'!P12-'Kwh Reading'!P11)*1000</f>
        <v>1150.0000000000909</v>
      </c>
      <c r="P12" s="2">
        <f>('Kwh Reading'!G12-'Kwh Reading'!G11)*1000</f>
        <v>950.00000000004547</v>
      </c>
      <c r="Q12" s="2">
        <f>('Kwh Reading'!Q12-'Kwh Reading'!Q11)*1000</f>
        <v>1060.0000000000023</v>
      </c>
      <c r="R12" s="2">
        <f>('Kwh Reading'!N12-'Kwh Reading'!N11)*1000</f>
        <v>839.99999999997499</v>
      </c>
      <c r="S12" s="33">
        <f>'Kwh Reading'!E12-'Kwh Reading'!E11</f>
        <v>3432.75</v>
      </c>
      <c r="T12" s="33">
        <f>'Kwh Reading'!D12-'Kwh Reading'!D11</f>
        <v>2460.6999999992549</v>
      </c>
      <c r="U12" s="26">
        <f>('Kwh Reading'!O12-'Kwh Reading'!O11)*1000</f>
        <v>279.99999999997272</v>
      </c>
      <c r="V12" s="16">
        <f t="shared" si="1"/>
        <v>6276.550000001771</v>
      </c>
    </row>
    <row r="13" spans="1:22" x14ac:dyDescent="0.25">
      <c r="A13" s="3">
        <f>'Kwh Reading'!A12</f>
        <v>44357</v>
      </c>
      <c r="B13" s="25">
        <f>TOTAL!E11</f>
        <v>23329.999999999927</v>
      </c>
      <c r="C13" s="4">
        <f>('Kwh Reading'!T13-'Kwh Reading'!T12)*1000</f>
        <v>460.00000000003638</v>
      </c>
      <c r="D13" s="2">
        <f>('Kwh Reading'!F13-'Kwh Reading'!F12)*1000000</f>
        <v>2499.9999999999468</v>
      </c>
      <c r="E13" s="2">
        <f>('Kwh Reading'!C13-'Kwh Reading'!C12)*1000</f>
        <v>219.99999999999886</v>
      </c>
      <c r="F13" s="2">
        <f>('Kwh Reading'!J13-'Kwh Reading'!J12)*1000</f>
        <v>149.99999999997726</v>
      </c>
      <c r="G13" s="2">
        <f>('Kwh Reading'!K13-'Kwh Reading'!K12)*1000</f>
        <v>259.99999999999091</v>
      </c>
      <c r="H13" s="2">
        <f>('Kwh Reading'!L13-'Kwh Reading'!L12)*1000</f>
        <v>180.00000000000682</v>
      </c>
      <c r="I13" s="2">
        <f>('Kwh Reading'!R13-'Kwh Reading'!R12)*1000</f>
        <v>259.99999999999091</v>
      </c>
      <c r="J13" s="2">
        <f>('Kwh Reading'!S13-'Kwh Reading'!S12)*1000</f>
        <v>119.99999999999034</v>
      </c>
      <c r="K13" s="2">
        <f>('Kwh Reading'!I13-'Kwh Reading'!I12)*1000</f>
        <v>320.0000000000216</v>
      </c>
      <c r="L13" s="2">
        <f>('Kwh Reading'!B13-'Kwh Reading'!B12)*1000</f>
        <v>1309.9999999999454</v>
      </c>
      <c r="M13" s="2">
        <f>('Kwh Reading'!M13-'Kwh Reading'!M12)*1000</f>
        <v>890.0000000000432</v>
      </c>
      <c r="N13" s="2">
        <f>('Kwh Reading'!H13-'Kwh Reading'!H12)*1000</f>
        <v>450.00000000004547</v>
      </c>
      <c r="O13" s="2">
        <f>('Kwh Reading'!P13-'Kwh Reading'!P12)*1000</f>
        <v>1119.9999999998909</v>
      </c>
      <c r="P13" s="2">
        <f>('Kwh Reading'!G13-'Kwh Reading'!G12)*1000</f>
        <v>1019.9999999999818</v>
      </c>
      <c r="Q13" s="2">
        <f>('Kwh Reading'!Q13-'Kwh Reading'!Q12)*1000</f>
        <v>589.99999999997499</v>
      </c>
      <c r="R13" s="2">
        <f>('Kwh Reading'!N13-'Kwh Reading'!N12)*1000</f>
        <v>850.00000000002274</v>
      </c>
      <c r="S13" s="33">
        <f>'Kwh Reading'!E13-'Kwh Reading'!E12</f>
        <v>3314.2299999995157</v>
      </c>
      <c r="T13" s="33">
        <f>'Kwh Reading'!D13-'Kwh Reading'!D12</f>
        <v>2537.1299999998882</v>
      </c>
      <c r="U13" s="26">
        <f>('Kwh Reading'!O13-'Kwh Reading'!O12)*1000</f>
        <v>220.00000000002728</v>
      </c>
      <c r="V13" s="16">
        <f t="shared" si="1"/>
        <v>6558.6400000006324</v>
      </c>
    </row>
    <row r="14" spans="1:22" x14ac:dyDescent="0.25">
      <c r="A14" s="3">
        <f>'Kwh Reading'!A13</f>
        <v>44358</v>
      </c>
      <c r="B14" s="25">
        <f>TOTAL!E12</f>
        <v>22709.999999999127</v>
      </c>
      <c r="C14" s="4">
        <f>('Kwh Reading'!T14-'Kwh Reading'!T13)*1000</f>
        <v>269.99999999998181</v>
      </c>
      <c r="D14" s="2">
        <f>('Kwh Reading'!F14-'Kwh Reading'!F13)*1000000</f>
        <v>2599.9999999997135</v>
      </c>
      <c r="E14" s="2">
        <f>('Kwh Reading'!C14-'Kwh Reading'!C13)*1000</f>
        <v>250</v>
      </c>
      <c r="F14" s="2">
        <f>('Kwh Reading'!J14-'Kwh Reading'!J13)*1000</f>
        <v>180.00000000000682</v>
      </c>
      <c r="G14" s="2">
        <f>('Kwh Reading'!K14-'Kwh Reading'!K13)*1000</f>
        <v>259.99999999999091</v>
      </c>
      <c r="H14" s="2">
        <f>('Kwh Reading'!L14-'Kwh Reading'!L13)*1000</f>
        <v>180.00000000000682</v>
      </c>
      <c r="I14" s="2">
        <f>('Kwh Reading'!R14-'Kwh Reading'!R13)*1000</f>
        <v>300.00000000001137</v>
      </c>
      <c r="J14" s="2">
        <f>('Kwh Reading'!S14-'Kwh Reading'!S13)*1000</f>
        <v>109.99999999999943</v>
      </c>
      <c r="K14" s="2">
        <f>('Kwh Reading'!I14-'Kwh Reading'!I13)*1000</f>
        <v>329.99999999998408</v>
      </c>
      <c r="L14" s="2">
        <f>('Kwh Reading'!B14-'Kwh Reading'!B13)*1000</f>
        <v>1410.0000000000819</v>
      </c>
      <c r="M14" s="2">
        <f>('Kwh Reading'!M14-'Kwh Reading'!M13)*1000</f>
        <v>810.00000000000227</v>
      </c>
      <c r="N14" s="2">
        <f>('Kwh Reading'!H14-'Kwh Reading'!H13)*1000</f>
        <v>419.99999999995907</v>
      </c>
      <c r="O14" s="2">
        <f>('Kwh Reading'!P14-'Kwh Reading'!P13)*1000</f>
        <v>1170.0000000000728</v>
      </c>
      <c r="P14" s="2">
        <f>('Kwh Reading'!G14-'Kwh Reading'!G13)*1000</f>
        <v>1009.9999999999909</v>
      </c>
      <c r="Q14" s="2">
        <f>('Kwh Reading'!Q14-'Kwh Reading'!Q13)*1000</f>
        <v>759.99999999999091</v>
      </c>
      <c r="R14" s="2">
        <f>('Kwh Reading'!N14-'Kwh Reading'!N13)*1000</f>
        <v>970.00000000002728</v>
      </c>
      <c r="S14" s="33">
        <f>'Kwh Reading'!E14-'Kwh Reading'!E13</f>
        <v>3028.5400000000373</v>
      </c>
      <c r="T14" s="33">
        <f>'Kwh Reading'!D14-'Kwh Reading'!D13</f>
        <v>2510.640000000596</v>
      </c>
      <c r="U14" s="26">
        <f>('Kwh Reading'!O14-'Kwh Reading'!O13)*1000</f>
        <v>299.99999999998295</v>
      </c>
      <c r="V14" s="16">
        <f t="shared" si="1"/>
        <v>5840.8199999986937</v>
      </c>
    </row>
    <row r="15" spans="1:22" x14ac:dyDescent="0.25">
      <c r="A15" s="3">
        <f>'Kwh Reading'!A14</f>
        <v>44359</v>
      </c>
      <c r="B15" s="25">
        <f>TOTAL!E13</f>
        <v>22700.000000001637</v>
      </c>
      <c r="C15" s="4">
        <f>('Kwh Reading'!T15-'Kwh Reading'!T14)*1000</f>
        <v>480.00000000001819</v>
      </c>
      <c r="D15" s="2">
        <f>('Kwh Reading'!F15-'Kwh Reading'!F14)*1000000</f>
        <v>2400.0000000001796</v>
      </c>
      <c r="E15" s="2">
        <f>('Kwh Reading'!C15-'Kwh Reading'!C14)*1000</f>
        <v>210.00000000000796</v>
      </c>
      <c r="F15" s="2">
        <f>('Kwh Reading'!J15-'Kwh Reading'!J14)*1000</f>
        <v>180.00000000000682</v>
      </c>
      <c r="G15" s="2">
        <f>('Kwh Reading'!K15-'Kwh Reading'!K14)*1000</f>
        <v>230.00000000001819</v>
      </c>
      <c r="H15" s="2">
        <f>('Kwh Reading'!L15-'Kwh Reading'!L14)*1000</f>
        <v>169.99999999998749</v>
      </c>
      <c r="I15" s="2">
        <f>('Kwh Reading'!R15-'Kwh Reading'!R14)*1000</f>
        <v>329.99999999998408</v>
      </c>
      <c r="J15" s="2">
        <f>('Kwh Reading'!S15-'Kwh Reading'!S14)*1000</f>
        <v>109.99999999999943</v>
      </c>
      <c r="K15" s="2">
        <f>('Kwh Reading'!I15-'Kwh Reading'!I14)*1000</f>
        <v>300.00000000001137</v>
      </c>
      <c r="L15" s="2">
        <f>('Kwh Reading'!B15-'Kwh Reading'!B14)*1000</f>
        <v>1329.9999999999272</v>
      </c>
      <c r="M15" s="2">
        <f>('Kwh Reading'!M15-'Kwh Reading'!M14)*1000</f>
        <v>699.99999999998863</v>
      </c>
      <c r="N15" s="2">
        <f>('Kwh Reading'!H15-'Kwh Reading'!H14)*1000</f>
        <v>389.99999999998636</v>
      </c>
      <c r="O15" s="2">
        <f>('Kwh Reading'!P15-'Kwh Reading'!P14)*1000</f>
        <v>1120.0000000000045</v>
      </c>
      <c r="P15" s="2">
        <f>('Kwh Reading'!G15-'Kwh Reading'!G14)*1000</f>
        <v>919.99999999995907</v>
      </c>
      <c r="Q15" s="2">
        <f>('Kwh Reading'!Q15-'Kwh Reading'!Q14)*1000</f>
        <v>730.00000000001819</v>
      </c>
      <c r="R15" s="2">
        <f>('Kwh Reading'!N15-'Kwh Reading'!N14)*1000</f>
        <v>929.99999999994998</v>
      </c>
      <c r="S15" s="33">
        <f>'Kwh Reading'!E15-'Kwh Reading'!E14</f>
        <v>3179.4599999999627</v>
      </c>
      <c r="T15" s="33">
        <f>'Kwh Reading'!D15-'Kwh Reading'!D14</f>
        <v>2512.1499999994412</v>
      </c>
      <c r="U15" s="26">
        <f>('Kwh Reading'!O15-'Kwh Reading'!O14)*1000</f>
        <v>270.00000000001023</v>
      </c>
      <c r="V15" s="16">
        <f t="shared" si="1"/>
        <v>6208.3900000021749</v>
      </c>
    </row>
    <row r="16" spans="1:22" x14ac:dyDescent="0.25">
      <c r="A16" s="3">
        <f>'Kwh Reading'!A15</f>
        <v>44360</v>
      </c>
      <c r="B16" s="25">
        <f>TOTAL!E14</f>
        <v>23749.999999999091</v>
      </c>
      <c r="C16" s="4">
        <f>('Kwh Reading'!T16-'Kwh Reading'!T15)*1000</f>
        <v>489.99999999995225</v>
      </c>
      <c r="D16" s="2">
        <f>('Kwh Reading'!F16-'Kwh Reading'!F15)*1000000</f>
        <v>2499.9999999999468</v>
      </c>
      <c r="E16" s="2">
        <f>('Kwh Reading'!C16-'Kwh Reading'!C15)*1000</f>
        <v>240.00000000000909</v>
      </c>
      <c r="F16" s="2">
        <f>('Kwh Reading'!J16-'Kwh Reading'!J15)*1000</f>
        <v>170.00000000001592</v>
      </c>
      <c r="G16" s="2">
        <f>('Kwh Reading'!K16-'Kwh Reading'!K15)*1000</f>
        <v>239.99999999995225</v>
      </c>
      <c r="H16" s="2">
        <f>('Kwh Reading'!L16-'Kwh Reading'!L15)*1000</f>
        <v>180.00000000000682</v>
      </c>
      <c r="I16" s="2">
        <f>('Kwh Reading'!R16-'Kwh Reading'!R15)*1000</f>
        <v>310.00000000000227</v>
      </c>
      <c r="J16" s="2">
        <f>('Kwh Reading'!S16-'Kwh Reading'!S15)*1000</f>
        <v>160.0000000000108</v>
      </c>
      <c r="K16" s="2">
        <f>('Kwh Reading'!I16-'Kwh Reading'!I15)*1000</f>
        <v>530.00000000000114</v>
      </c>
      <c r="L16" s="2">
        <f>('Kwh Reading'!B16-'Kwh Reading'!B15)*1000</f>
        <v>1300.0000000000682</v>
      </c>
      <c r="M16" s="2">
        <f>('Kwh Reading'!M16-'Kwh Reading'!M15)*1000</f>
        <v>740.00000000000909</v>
      </c>
      <c r="N16" s="2">
        <f>('Kwh Reading'!H16-'Kwh Reading'!H15)*1000</f>
        <v>410.00000000008185</v>
      </c>
      <c r="O16" s="2">
        <f>('Kwh Reading'!P16-'Kwh Reading'!P15)*1000</f>
        <v>1199.9999999999318</v>
      </c>
      <c r="P16" s="2">
        <f>('Kwh Reading'!G16-'Kwh Reading'!G15)*1000</f>
        <v>970.00000000002728</v>
      </c>
      <c r="Q16" s="2">
        <f>('Kwh Reading'!Q16-'Kwh Reading'!Q15)*1000</f>
        <v>649.99999999997726</v>
      </c>
      <c r="R16" s="2">
        <f>('Kwh Reading'!N16-'Kwh Reading'!N15)*1000</f>
        <v>980.00000000001819</v>
      </c>
      <c r="S16" s="33">
        <f>'Kwh Reading'!E16-'Kwh Reading'!E15</f>
        <v>3381.5500000007451</v>
      </c>
      <c r="T16" s="33">
        <f>'Kwh Reading'!D16-'Kwh Reading'!D15</f>
        <v>2621.7800000002608</v>
      </c>
      <c r="U16" s="26">
        <f>('Kwh Reading'!O16-'Kwh Reading'!O15)*1000</f>
        <v>299.99999999998295</v>
      </c>
      <c r="V16" s="16">
        <f t="shared" si="1"/>
        <v>6376.669999998092</v>
      </c>
    </row>
    <row r="17" spans="1:22" x14ac:dyDescent="0.25">
      <c r="A17" s="3">
        <f>'Kwh Reading'!A16</f>
        <v>44361</v>
      </c>
      <c r="B17" s="25">
        <f>TOTAL!E15</f>
        <v>22739.999999999782</v>
      </c>
      <c r="C17" s="4">
        <f>('Kwh Reading'!T17-'Kwh Reading'!T16)*1000</f>
        <v>420.00000000001592</v>
      </c>
      <c r="D17" s="2">
        <f>('Kwh Reading'!F17-'Kwh Reading'!F16)*1000000</f>
        <v>2600.0000000001578</v>
      </c>
      <c r="E17" s="2">
        <f>('Kwh Reading'!C17-'Kwh Reading'!C16)*1000</f>
        <v>250</v>
      </c>
      <c r="F17" s="2">
        <f>('Kwh Reading'!J17-'Kwh Reading'!J16)*1000</f>
        <v>329.99999999998408</v>
      </c>
      <c r="G17" s="2">
        <f>('Kwh Reading'!K17-'Kwh Reading'!K16)*1000</f>
        <v>300.00000000001137</v>
      </c>
      <c r="H17" s="2">
        <f>('Kwh Reading'!L17-'Kwh Reading'!L16)*1000</f>
        <v>250</v>
      </c>
      <c r="I17" s="2">
        <f>('Kwh Reading'!R17-'Kwh Reading'!R16)*1000</f>
        <v>310.00000000000227</v>
      </c>
      <c r="J17" s="2">
        <f>('Kwh Reading'!S17-'Kwh Reading'!S16)*1000</f>
        <v>129.99999999999545</v>
      </c>
      <c r="K17" s="2">
        <f>('Kwh Reading'!I17-'Kwh Reading'!I16)*1000</f>
        <v>129.99999999999545</v>
      </c>
      <c r="L17" s="2">
        <f>('Kwh Reading'!B17-'Kwh Reading'!B16)*1000</f>
        <v>1399.9999999999773</v>
      </c>
      <c r="M17" s="2">
        <f>('Kwh Reading'!M17-'Kwh Reading'!M16)*1000</f>
        <v>859.9999999999568</v>
      </c>
      <c r="N17" s="2">
        <f>('Kwh Reading'!H17-'Kwh Reading'!H16)*1000</f>
        <v>409.99999999996817</v>
      </c>
      <c r="O17" s="2">
        <f>('Kwh Reading'!P17-'Kwh Reading'!P16)*1000</f>
        <v>1030.0000000000864</v>
      </c>
      <c r="P17" s="2">
        <f>('Kwh Reading'!G17-'Kwh Reading'!G16)*1000</f>
        <v>1039.9999999999636</v>
      </c>
      <c r="Q17" s="2">
        <f>('Kwh Reading'!Q17-'Kwh Reading'!Q16)*1000</f>
        <v>720.00000000002728</v>
      </c>
      <c r="R17" s="2">
        <f>('Kwh Reading'!N17-'Kwh Reading'!N16)*1000</f>
        <v>910.00000000002501</v>
      </c>
      <c r="S17" s="33">
        <f>'Kwh Reading'!E17-'Kwh Reading'!E16</f>
        <v>3257.3199999993667</v>
      </c>
      <c r="T17" s="33">
        <f>'Kwh Reading'!D17-'Kwh Reading'!D16</f>
        <v>2676.1500000003725</v>
      </c>
      <c r="U17" s="26">
        <f>('Kwh Reading'!O17-'Kwh Reading'!O16)*1000</f>
        <v>280.00000000000114</v>
      </c>
      <c r="V17" s="16">
        <f t="shared" si="1"/>
        <v>5436.5299999998751</v>
      </c>
    </row>
    <row r="18" spans="1:22" x14ac:dyDescent="0.25">
      <c r="A18" s="3">
        <f>'Kwh Reading'!A17</f>
        <v>44362</v>
      </c>
      <c r="B18" s="25">
        <f>TOTAL!E16</f>
        <v>22609.999999999902</v>
      </c>
      <c r="C18" s="4">
        <f>('Kwh Reading'!T18-'Kwh Reading'!T17)*1000</f>
        <v>420.00000000001592</v>
      </c>
      <c r="D18" s="2">
        <f>('Kwh Reading'!F18-'Kwh Reading'!F17)*1000000</f>
        <v>2199.9999999997576</v>
      </c>
      <c r="E18" s="2">
        <f>('Kwh Reading'!C18-'Kwh Reading'!C17)*1000</f>
        <v>229.99999999998977</v>
      </c>
      <c r="F18" s="2">
        <f>('Kwh Reading'!J18-'Kwh Reading'!J17)*1000</f>
        <v>90.000000000031832</v>
      </c>
      <c r="G18" s="2">
        <f>('Kwh Reading'!K18-'Kwh Reading'!K17)*1000</f>
        <v>160.00000000002501</v>
      </c>
      <c r="H18" s="2">
        <f>('Kwh Reading'!L18-'Kwh Reading'!L17)*1000</f>
        <v>150.00000000000568</v>
      </c>
      <c r="I18" s="2">
        <f>('Kwh Reading'!R18-'Kwh Reading'!R17)*1000</f>
        <v>330.00000000001251</v>
      </c>
      <c r="J18" s="2">
        <f>('Kwh Reading'!S18-'Kwh Reading'!S17)*1000</f>
        <v>60.000000000002274</v>
      </c>
      <c r="K18" s="2">
        <f>('Kwh Reading'!I18-'Kwh Reading'!I17)*1000</f>
        <v>300.00000000001137</v>
      </c>
      <c r="L18" s="2">
        <f>('Kwh Reading'!B18-'Kwh Reading'!B17)*1000</f>
        <v>1299.9999999999545</v>
      </c>
      <c r="M18" s="2">
        <f>('Kwh Reading'!M18-'Kwh Reading'!M17)*1000</f>
        <v>780.00000000002956</v>
      </c>
      <c r="N18" s="2">
        <f>('Kwh Reading'!H18-'Kwh Reading'!H17)*1000</f>
        <v>419.99999999995907</v>
      </c>
      <c r="O18" s="2">
        <f>('Kwh Reading'!P18-'Kwh Reading'!P17)*1000</f>
        <v>929.99999999994998</v>
      </c>
      <c r="P18" s="2">
        <f>('Kwh Reading'!G18-'Kwh Reading'!G17)*1000</f>
        <v>879.99999999999545</v>
      </c>
      <c r="Q18" s="2">
        <f>('Kwh Reading'!Q18-'Kwh Reading'!Q17)*1000</f>
        <v>759.99999999999091</v>
      </c>
      <c r="R18" s="2">
        <f>('Kwh Reading'!N18-'Kwh Reading'!N17)*1000</f>
        <v>769.99999999998181</v>
      </c>
      <c r="S18" s="33">
        <f>'Kwh Reading'!E18-'Kwh Reading'!E17</f>
        <v>3050.25</v>
      </c>
      <c r="T18" s="33">
        <f>'Kwh Reading'!D18-'Kwh Reading'!D17</f>
        <v>2376.2099999999627</v>
      </c>
      <c r="U18" s="26">
        <f>('Kwh Reading'!O18-'Kwh Reading'!O17)*1000</f>
        <v>240.00000000000909</v>
      </c>
      <c r="V18" s="16">
        <f t="shared" si="1"/>
        <v>7163.5400000002155</v>
      </c>
    </row>
    <row r="19" spans="1:22" x14ac:dyDescent="0.25">
      <c r="A19" s="3">
        <f>'Kwh Reading'!A18</f>
        <v>44363</v>
      </c>
      <c r="B19" s="25">
        <f>TOTAL!E17</f>
        <v>18020.000000000211</v>
      </c>
      <c r="C19" s="4">
        <f>('Kwh Reading'!T19-'Kwh Reading'!T18)*1000</f>
        <v>500</v>
      </c>
      <c r="D19" s="2">
        <f>('Kwh Reading'!F19-'Kwh Reading'!F18)*1000000</f>
        <v>2600.0000000001578</v>
      </c>
      <c r="E19" s="2">
        <f>('Kwh Reading'!C19-'Kwh Reading'!C18)*1000</f>
        <v>210.00000000000796</v>
      </c>
      <c r="F19" s="2">
        <f>('Kwh Reading'!J19-'Kwh Reading'!J18)*1000</f>
        <v>180.00000000000682</v>
      </c>
      <c r="G19" s="2">
        <f>('Kwh Reading'!K19-'Kwh Reading'!K18)*1000</f>
        <v>199.99999999998863</v>
      </c>
      <c r="H19" s="2">
        <f>('Kwh Reading'!L19-'Kwh Reading'!L18)*1000</f>
        <v>169.99999999998749</v>
      </c>
      <c r="I19" s="2">
        <f>('Kwh Reading'!R19-'Kwh Reading'!R18)*1000</f>
        <v>319.99999999999318</v>
      </c>
      <c r="J19" s="2">
        <f>('Kwh Reading'!S19-'Kwh Reading'!S18)*1000</f>
        <v>280.00000000000114</v>
      </c>
      <c r="K19" s="2">
        <f>('Kwh Reading'!I19-'Kwh Reading'!I18)*1000</f>
        <v>339.99999999997499</v>
      </c>
      <c r="L19" s="2">
        <f>('Kwh Reading'!B19-'Kwh Reading'!B18)*1000</f>
        <v>1399.9999999999773</v>
      </c>
      <c r="M19" s="2">
        <f>('Kwh Reading'!M19-'Kwh Reading'!M18)*1000</f>
        <v>889.99999999998636</v>
      </c>
      <c r="N19" s="2">
        <f>('Kwh Reading'!H19-'Kwh Reading'!H18)*1000</f>
        <v>420.00000000007276</v>
      </c>
      <c r="O19" s="2">
        <f>('Kwh Reading'!P19-'Kwh Reading'!P18)*1000</f>
        <v>1200.0000000000455</v>
      </c>
      <c r="P19" s="2">
        <f>('Kwh Reading'!G19-'Kwh Reading'!G18)*1000</f>
        <v>910.00000000008185</v>
      </c>
      <c r="Q19" s="2">
        <f>('Kwh Reading'!Q19-'Kwh Reading'!Q18)*1000</f>
        <v>780.00000000002956</v>
      </c>
      <c r="R19" s="2">
        <f>('Kwh Reading'!N19-'Kwh Reading'!N18)*1000</f>
        <v>800.00000000001137</v>
      </c>
      <c r="S19" s="33">
        <f>'Kwh Reading'!E19-'Kwh Reading'!E18</f>
        <v>3452.7200000006706</v>
      </c>
      <c r="T19" s="33">
        <f>'Kwh Reading'!D19-'Kwh Reading'!D18</f>
        <v>1902.9399999994785</v>
      </c>
      <c r="U19" s="26">
        <f>('Kwh Reading'!O19-'Kwh Reading'!O18)*1000</f>
        <v>250</v>
      </c>
      <c r="V19" s="16">
        <f t="shared" si="1"/>
        <v>1214.3399999997418</v>
      </c>
    </row>
    <row r="20" spans="1:22" x14ac:dyDescent="0.25">
      <c r="A20" s="3">
        <f>'Kwh Reading'!A19</f>
        <v>44364</v>
      </c>
      <c r="B20" s="25">
        <f>TOTAL!E18</f>
        <v>28610.000000000124</v>
      </c>
      <c r="C20" s="4">
        <f>('Kwh Reading'!T20-'Kwh Reading'!T19)*1000</f>
        <v>420.00000000001592</v>
      </c>
      <c r="D20" s="2">
        <f>('Kwh Reading'!F20-'Kwh Reading'!F19)*1000000</f>
        <v>2499.9999999999468</v>
      </c>
      <c r="E20" s="2">
        <f>('Kwh Reading'!C20-'Kwh Reading'!C19)*1000</f>
        <v>199.99999999998863</v>
      </c>
      <c r="F20" s="2">
        <f>('Kwh Reading'!J20-'Kwh Reading'!J19)*1000</f>
        <v>250</v>
      </c>
      <c r="G20" s="2">
        <f>('Kwh Reading'!K20-'Kwh Reading'!K19)*1000</f>
        <v>269.99999999998181</v>
      </c>
      <c r="H20" s="2">
        <f>('Kwh Reading'!L20-'Kwh Reading'!L19)*1000</f>
        <v>189.99999999999773</v>
      </c>
      <c r="I20" s="2">
        <f>('Kwh Reading'!R20-'Kwh Reading'!R19)*1000</f>
        <v>259.99999999999091</v>
      </c>
      <c r="J20" s="2">
        <f>('Kwh Reading'!S20-'Kwh Reading'!S19)*1000</f>
        <v>79.999999999998295</v>
      </c>
      <c r="K20" s="2">
        <f>('Kwh Reading'!I20-'Kwh Reading'!I19)*1000</f>
        <v>290.00000000002046</v>
      </c>
      <c r="L20" s="2">
        <f>('Kwh Reading'!B20-'Kwh Reading'!B19)*1000</f>
        <v>1470.0000000000273</v>
      </c>
      <c r="M20" s="2">
        <f>('Kwh Reading'!M20-'Kwh Reading'!M19)*1000</f>
        <v>870.00000000000455</v>
      </c>
      <c r="N20" s="2">
        <f>('Kwh Reading'!H20-'Kwh Reading'!H19)*1000</f>
        <v>419.99999999995907</v>
      </c>
      <c r="O20" s="2">
        <f>('Kwh Reading'!P20-'Kwh Reading'!P19)*1000</f>
        <v>1069.9999999999363</v>
      </c>
      <c r="P20" s="2">
        <f>('Kwh Reading'!G20-'Kwh Reading'!G19)*1000</f>
        <v>889.99999999998636</v>
      </c>
      <c r="Q20" s="2">
        <f>('Kwh Reading'!Q20-'Kwh Reading'!Q19)*1000</f>
        <v>759.99999999999091</v>
      </c>
      <c r="R20" s="2">
        <f>('Kwh Reading'!N20-'Kwh Reading'!N19)*1000</f>
        <v>810.00000000000227</v>
      </c>
      <c r="S20" s="33">
        <f>'Kwh Reading'!E20-'Kwh Reading'!E19</f>
        <v>3126.269999999553</v>
      </c>
      <c r="T20" s="33">
        <f>'Kwh Reading'!D20-'Kwh Reading'!D19</f>
        <v>3185.730000000447</v>
      </c>
      <c r="U20" s="26">
        <f>('Kwh Reading'!O20-'Kwh Reading'!O19)*1000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Reading'!A20</f>
        <v>44365</v>
      </c>
      <c r="B21" s="25">
        <f>TOTAL!E19</f>
        <v>23489.999999999327</v>
      </c>
      <c r="C21" s="4">
        <f>('Kwh Reading'!T21-'Kwh Reading'!T20)*1000</f>
        <v>299.99999999995453</v>
      </c>
      <c r="D21" s="2">
        <f>('Kwh Reading'!F21-'Kwh Reading'!F20)*1000000</f>
        <v>2600.0000000001578</v>
      </c>
      <c r="E21" s="2">
        <f>('Kwh Reading'!C21-'Kwh Reading'!C20)*1000</f>
        <v>230.00000000001819</v>
      </c>
      <c r="F21" s="2">
        <f>('Kwh Reading'!J21-'Kwh Reading'!J20)*1000</f>
        <v>199.99999999998863</v>
      </c>
      <c r="G21" s="2">
        <f>('Kwh Reading'!K21-'Kwh Reading'!K20)*1000</f>
        <v>250</v>
      </c>
      <c r="H21" s="2">
        <f>('Kwh Reading'!L21-'Kwh Reading'!L20)*1000</f>
        <v>189.99999999999773</v>
      </c>
      <c r="I21" s="2">
        <f>('Kwh Reading'!R21-'Kwh Reading'!R20)*1000</f>
        <v>280.00000000000114</v>
      </c>
      <c r="J21" s="2">
        <f>('Kwh Reading'!S21-'Kwh Reading'!S20)*1000</f>
        <v>90.000000000003411</v>
      </c>
      <c r="K21" s="2">
        <f>('Kwh Reading'!I21-'Kwh Reading'!I20)*1000</f>
        <v>389.99999999998636</v>
      </c>
      <c r="L21" s="2">
        <f>('Kwh Reading'!B21-'Kwh Reading'!B20)*1000</f>
        <v>1460.0000000000364</v>
      </c>
      <c r="M21" s="2">
        <f>('Kwh Reading'!M21-'Kwh Reading'!M20)*1000</f>
        <v>850.00000000002274</v>
      </c>
      <c r="N21" s="2">
        <f>('Kwh Reading'!H21-'Kwh Reading'!H20)*1000</f>
        <v>389.99999999998636</v>
      </c>
      <c r="O21" s="2">
        <f>('Kwh Reading'!P21-'Kwh Reading'!P20)*1000</f>
        <v>1139.9999999999864</v>
      </c>
      <c r="P21" s="2">
        <f>('Kwh Reading'!G21-'Kwh Reading'!G20)*1000</f>
        <v>939.99999999994088</v>
      </c>
      <c r="Q21" s="2">
        <f>('Kwh Reading'!Q21-'Kwh Reading'!Q20)*1000</f>
        <v>859.9999999999568</v>
      </c>
      <c r="R21" s="2">
        <f>('Kwh Reading'!N21-'Kwh Reading'!N20)*1000</f>
        <v>789.99999999996362</v>
      </c>
      <c r="S21" s="33">
        <f>'Kwh Reading'!E21-'Kwh Reading'!E20</f>
        <v>3202.0499999998137</v>
      </c>
      <c r="T21" s="33">
        <f>'Kwh Reading'!D21-'Kwh Reading'!D20</f>
        <v>2726.3899999996647</v>
      </c>
      <c r="U21" s="26">
        <f>('Kwh Reading'!O21-'Kwh Reading'!O20)*1000</f>
        <v>269.99999999998181</v>
      </c>
      <c r="V21" s="16">
        <f t="shared" si="1"/>
        <v>6331.5599999998667</v>
      </c>
    </row>
    <row r="22" spans="1:22" x14ac:dyDescent="0.25">
      <c r="A22" s="3">
        <f>'Kwh Reading'!A21</f>
        <v>44366</v>
      </c>
      <c r="B22" s="25">
        <f>TOTAL!E20</f>
        <v>23380.000000000109</v>
      </c>
      <c r="C22" s="4">
        <f>('Kwh Reading'!T22-'Kwh Reading'!T21)*1000</f>
        <v>460.00000000003638</v>
      </c>
      <c r="D22" s="2">
        <f>('Kwh Reading'!F22-'Kwh Reading'!F21)*1000000</f>
        <v>2399.9999999997358</v>
      </c>
      <c r="E22" s="2">
        <f>('Kwh Reading'!C22-'Kwh Reading'!C21)*1000</f>
        <v>799.99999999998295</v>
      </c>
      <c r="F22" s="2">
        <f>('Kwh Reading'!J22-'Kwh Reading'!J21)*1000</f>
        <v>129.99999999999545</v>
      </c>
      <c r="G22" s="2">
        <f>('Kwh Reading'!K22-'Kwh Reading'!K21)*1000</f>
        <v>210.00000000003638</v>
      </c>
      <c r="H22" s="2">
        <f>('Kwh Reading'!L22-'Kwh Reading'!L21)*1000</f>
        <v>180.00000000000682</v>
      </c>
      <c r="I22" s="2">
        <f>('Kwh Reading'!R22-'Kwh Reading'!R21)*1000</f>
        <v>319.99999999999318</v>
      </c>
      <c r="J22" s="2">
        <f>('Kwh Reading'!S22-'Kwh Reading'!S21)*1000</f>
        <v>140.00000000000057</v>
      </c>
      <c r="K22" s="2">
        <f>('Kwh Reading'!I22-'Kwh Reading'!I21)*1000</f>
        <v>349.99999999999432</v>
      </c>
      <c r="L22" s="2">
        <f>('Kwh Reading'!B22-'Kwh Reading'!B21)*1000</f>
        <v>1309.9999999999454</v>
      </c>
      <c r="M22" s="2">
        <f>('Kwh Reading'!M22-'Kwh Reading'!M21)*1000</f>
        <v>739.99999999995225</v>
      </c>
      <c r="N22" s="2">
        <f>('Kwh Reading'!H22-'Kwh Reading'!H21)*1000</f>
        <v>430.00000000006366</v>
      </c>
      <c r="O22" s="2">
        <f>('Kwh Reading'!P22-'Kwh Reading'!P21)*1000</f>
        <v>1090.0000000000318</v>
      </c>
      <c r="P22" s="2">
        <f>('Kwh Reading'!G22-'Kwh Reading'!G21)*1000</f>
        <v>889.99999999998636</v>
      </c>
      <c r="Q22" s="2">
        <f>('Kwh Reading'!Q22-'Kwh Reading'!Q21)*1000</f>
        <v>770.00000000003865</v>
      </c>
      <c r="R22" s="2">
        <f>('Kwh Reading'!N22-'Kwh Reading'!N21)*1000</f>
        <v>750</v>
      </c>
      <c r="S22" s="33">
        <f>'Kwh Reading'!E22-'Kwh Reading'!E21</f>
        <v>3584.230000000447</v>
      </c>
      <c r="T22" s="33">
        <f>'Kwh Reading'!D22-'Kwh Reading'!D21</f>
        <v>2603.339999999851</v>
      </c>
      <c r="U22" s="26">
        <f>('Kwh Reading'!O22-'Kwh Reading'!O21)*1000</f>
        <v>219.99999999999886</v>
      </c>
      <c r="V22" s="16">
        <f t="shared" si="1"/>
        <v>6002.4300000000148</v>
      </c>
    </row>
    <row r="23" spans="1:22" x14ac:dyDescent="0.25">
      <c r="A23" s="3">
        <f>'Kwh Reading'!A22</f>
        <v>44367</v>
      </c>
      <c r="B23" s="25">
        <f>TOTAL!E21</f>
        <v>22530.00000000111</v>
      </c>
      <c r="C23" s="4">
        <f>('Kwh Reading'!T23-'Kwh Reading'!T22)*1000</f>
        <v>459.99999999997954</v>
      </c>
      <c r="D23" s="2">
        <f>('Kwh Reading'!F23-'Kwh Reading'!F22)*1000000</f>
        <v>2499.9999999999468</v>
      </c>
      <c r="E23" s="2">
        <f>('Kwh Reading'!C23-'Kwh Reading'!C22)*1000</f>
        <v>-389.99999999998636</v>
      </c>
      <c r="F23" s="2">
        <f>('Kwh Reading'!J23-'Kwh Reading'!J22)*1000</f>
        <v>129.99999999999545</v>
      </c>
      <c r="G23" s="2">
        <f>('Kwh Reading'!K23-'Kwh Reading'!K22)*1000</f>
        <v>229.99999999996135</v>
      </c>
      <c r="H23" s="2">
        <f>('Kwh Reading'!L23-'Kwh Reading'!L22)*1000</f>
        <v>169.99999999998749</v>
      </c>
      <c r="I23" s="2">
        <f>('Kwh Reading'!R23-'Kwh Reading'!R22)*1000</f>
        <v>500</v>
      </c>
      <c r="J23" s="2">
        <f>('Kwh Reading'!S23-'Kwh Reading'!S22)*1000</f>
        <v>129.99999999999545</v>
      </c>
      <c r="K23" s="2">
        <f>('Kwh Reading'!I23-'Kwh Reading'!I22)*1000</f>
        <v>350.00000000002274</v>
      </c>
      <c r="L23" s="2">
        <f>('Kwh Reading'!B23-'Kwh Reading'!B22)*1000</f>
        <v>1259.9999999999909</v>
      </c>
      <c r="M23" s="2">
        <f>('Kwh Reading'!M23-'Kwh Reading'!M22)*1000</f>
        <v>780.00000000002956</v>
      </c>
      <c r="N23" s="2">
        <f>('Kwh Reading'!H23-'Kwh Reading'!H22)*1000</f>
        <v>519.99999999998181</v>
      </c>
      <c r="O23" s="2">
        <f>('Kwh Reading'!P23-'Kwh Reading'!P22)*1000</f>
        <v>1060.0000000000591</v>
      </c>
      <c r="P23" s="2">
        <f>('Kwh Reading'!G23-'Kwh Reading'!G22)*1000</f>
        <v>890.00000000010004</v>
      </c>
      <c r="Q23" s="2">
        <f>('Kwh Reading'!Q23-'Kwh Reading'!Q22)*1000</f>
        <v>759.99999999999091</v>
      </c>
      <c r="R23" s="2">
        <f>('Kwh Reading'!N23-'Kwh Reading'!N22)*1000</f>
        <v>760.00000000004775</v>
      </c>
      <c r="S23" s="33">
        <f>'Kwh Reading'!E23-'Kwh Reading'!E22</f>
        <v>3554.4799999995157</v>
      </c>
      <c r="T23" s="33">
        <f>'Kwh Reading'!D23-'Kwh Reading'!D22</f>
        <v>2639.570000000298</v>
      </c>
      <c r="U23" s="26">
        <f>('Kwh Reading'!O23-'Kwh Reading'!O22)*1000</f>
        <v>230.00000000001819</v>
      </c>
      <c r="V23" s="16">
        <f t="shared" si="1"/>
        <v>5995.9500000011722</v>
      </c>
    </row>
    <row r="24" spans="1:22" x14ac:dyDescent="0.25">
      <c r="A24" s="3">
        <f>'Kwh Reading'!A23</f>
        <v>44368</v>
      </c>
      <c r="B24" s="25">
        <f>TOTAL!E22</f>
        <v>24279.999999999061</v>
      </c>
      <c r="C24" s="4">
        <f>('Kwh Reading'!T24-'Kwh Reading'!T23)*1000</f>
        <v>509.99999999999091</v>
      </c>
      <c r="D24" s="2">
        <f>('Kwh Reading'!F24-'Kwh Reading'!F23)*1000000</f>
        <v>2500.0000000003906</v>
      </c>
      <c r="E24" s="2">
        <f>('Kwh Reading'!C24-'Kwh Reading'!C23)*1000</f>
        <v>259.99999999999091</v>
      </c>
      <c r="F24" s="2">
        <f>('Kwh Reading'!J24-'Kwh Reading'!J23)*1000</f>
        <v>240.00000000000909</v>
      </c>
      <c r="G24" s="2">
        <f>('Kwh Reading'!K24-'Kwh Reading'!K23)*1000</f>
        <v>280.00000000002956</v>
      </c>
      <c r="H24" s="2">
        <f>('Kwh Reading'!L24-'Kwh Reading'!L23)*1000</f>
        <v>200.00000000001705</v>
      </c>
      <c r="I24" s="2">
        <f>('Kwh Reading'!R24-'Kwh Reading'!R23)*1000</f>
        <v>130.00000000002387</v>
      </c>
      <c r="J24" s="2">
        <f>('Kwh Reading'!S24-'Kwh Reading'!S23)*1000</f>
        <v>140.00000000000057</v>
      </c>
      <c r="K24" s="2">
        <f>('Kwh Reading'!I24-'Kwh Reading'!I23)*1000</f>
        <v>369.99999999997613</v>
      </c>
      <c r="L24" s="2">
        <f>('Kwh Reading'!B24-'Kwh Reading'!B23)*1000</f>
        <v>1440.0000000000546</v>
      </c>
      <c r="M24" s="2">
        <f>('Kwh Reading'!M24-'Kwh Reading'!M23)*1000</f>
        <v>810.00000000000227</v>
      </c>
      <c r="N24" s="2">
        <f>('Kwh Reading'!H24-'Kwh Reading'!H23)*1000</f>
        <v>480.00000000001819</v>
      </c>
      <c r="O24" s="2">
        <f>('Kwh Reading'!P24-'Kwh Reading'!P23)*1000</f>
        <v>1059.9999999999454</v>
      </c>
      <c r="P24" s="2">
        <f>('Kwh Reading'!G24-'Kwh Reading'!G23)*1000</f>
        <v>959.99999999992269</v>
      </c>
      <c r="Q24" s="2">
        <f>('Kwh Reading'!Q24-'Kwh Reading'!Q23)*1000</f>
        <v>779.99999999997272</v>
      </c>
      <c r="R24" s="2">
        <f>('Kwh Reading'!N24-'Kwh Reading'!N23)*1000</f>
        <v>799.99999999995453</v>
      </c>
      <c r="S24" s="2">
        <f>'Kwh Reading'!E24-'Kwh Reading'!E23</f>
        <v>3759.4300000006333</v>
      </c>
      <c r="T24" s="2">
        <f>'Kwh Reading'!D24-'Kwh Reading'!D23</f>
        <v>2788.0599999995902</v>
      </c>
      <c r="U24" s="26">
        <f>('Kwh Reading'!O24-'Kwh Reading'!O23)*1000</f>
        <v>229.99999999998977</v>
      </c>
      <c r="V24" s="16">
        <f t="shared" si="1"/>
        <v>6542.5099999985505</v>
      </c>
    </row>
    <row r="25" spans="1:22" x14ac:dyDescent="0.25">
      <c r="A25" s="3">
        <f>'Kwh Reading'!A24</f>
        <v>44369</v>
      </c>
      <c r="B25" s="25">
        <f>TOTAL!E23</f>
        <v>23740.000000000236</v>
      </c>
      <c r="C25" s="4">
        <f>('Kwh Reading'!T25-'Kwh Reading'!T24)*1000</f>
        <v>470.00000000002728</v>
      </c>
      <c r="D25" s="2">
        <f>('Kwh Reading'!F25-'Kwh Reading'!F24)*1000000</f>
        <v>2499.9999999999468</v>
      </c>
      <c r="E25" s="2">
        <f>('Kwh Reading'!C25-'Kwh Reading'!C24)*1000</f>
        <v>240.00000000000909</v>
      </c>
      <c r="F25" s="2">
        <f>('Kwh Reading'!J25-'Kwh Reading'!J24)*1000</f>
        <v>209.99999999997954</v>
      </c>
      <c r="G25" s="2">
        <f>('Kwh Reading'!K25-'Kwh Reading'!K24)*1000</f>
        <v>269.99999999998181</v>
      </c>
      <c r="H25" s="2">
        <f>('Kwh Reading'!L25-'Kwh Reading'!L24)*1000</f>
        <v>199.99999999998863</v>
      </c>
      <c r="I25" s="2">
        <f>('Kwh Reading'!R25-'Kwh Reading'!R24)*1000</f>
        <v>310.00000000000227</v>
      </c>
      <c r="J25" s="2">
        <f>('Kwh Reading'!S25-'Kwh Reading'!S24)*1000</f>
        <v>140.00000000000057</v>
      </c>
      <c r="K25" s="2">
        <f>('Kwh Reading'!I25-'Kwh Reading'!I24)*1000</f>
        <v>370.00000000000455</v>
      </c>
      <c r="L25" s="2">
        <f>('Kwh Reading'!B25-'Kwh Reading'!B24)*1000</f>
        <v>1370.0000000000045</v>
      </c>
      <c r="M25" s="2">
        <f>('Kwh Reading'!M25-'Kwh Reading'!M24)*1000</f>
        <v>859.9999999999568</v>
      </c>
      <c r="N25" s="2">
        <f>('Kwh Reading'!H25-'Kwh Reading'!H24)*1000</f>
        <v>529.99999999997272</v>
      </c>
      <c r="O25" s="2">
        <f>('Kwh Reading'!P25-'Kwh Reading'!P24)*1000</f>
        <v>1070.00000000005</v>
      </c>
      <c r="P25" s="2">
        <f>('Kwh Reading'!G25-'Kwh Reading'!G24)*1000</f>
        <v>910.00000000008185</v>
      </c>
      <c r="Q25" s="2">
        <f>('Kwh Reading'!Q25-'Kwh Reading'!Q24)*1000</f>
        <v>750</v>
      </c>
      <c r="R25" s="2">
        <f>('Kwh Reading'!N25-'Kwh Reading'!N24)*1000</f>
        <v>760.00000000004775</v>
      </c>
      <c r="S25" s="2">
        <f>'Kwh Reading'!E25-'Kwh Reading'!E24</f>
        <v>3679.7399999992922</v>
      </c>
      <c r="T25" s="2">
        <f>'Kwh Reading'!D25-'Kwh Reading'!D24</f>
        <v>2643.8000000007451</v>
      </c>
      <c r="U25" s="26">
        <f>('Kwh Reading'!O25-'Kwh Reading'!O24)*1000</f>
        <v>199.99999999998863</v>
      </c>
      <c r="V25" s="16">
        <f t="shared" si="1"/>
        <v>6256.4600000001592</v>
      </c>
    </row>
    <row r="26" spans="1:22" x14ac:dyDescent="0.25">
      <c r="A26" s="3">
        <f>'Kwh Reading'!A25</f>
        <v>44370</v>
      </c>
      <c r="B26" s="25">
        <f>TOTAL!E24</f>
        <v>22890.000000000098</v>
      </c>
      <c r="C26" s="4">
        <f>('Kwh Reading'!T26-'Kwh Reading'!T25)*1000</f>
        <v>449.99999999998863</v>
      </c>
      <c r="D26" s="2">
        <f>('Kwh Reading'!F26-'Kwh Reading'!F25)*1000000</f>
        <v>-97500.000000000146</v>
      </c>
      <c r="E26" s="2">
        <f>('Kwh Reading'!C26-'Kwh Reading'!C25)*1000</f>
        <v>239.99999999998067</v>
      </c>
      <c r="F26" s="2">
        <f>('Kwh Reading'!J26-'Kwh Reading'!J25)*1000</f>
        <v>240.00000000000909</v>
      </c>
      <c r="G26" s="2">
        <f>('Kwh Reading'!K26-'Kwh Reading'!K25)*1000</f>
        <v>270.00000000003865</v>
      </c>
      <c r="H26" s="2">
        <f>('Kwh Reading'!L26-'Kwh Reading'!L25)*1000</f>
        <v>189.99999999999773</v>
      </c>
      <c r="I26" s="2">
        <f>('Kwh Reading'!R26-'Kwh Reading'!R25)*1000</f>
        <v>329.99999999998408</v>
      </c>
      <c r="J26" s="2">
        <f>('Kwh Reading'!S26-'Kwh Reading'!S25)*1000</f>
        <v>129.99999999999545</v>
      </c>
      <c r="K26" s="2">
        <f>('Kwh Reading'!I26-'Kwh Reading'!I25)*1000</f>
        <v>360.00000000001364</v>
      </c>
      <c r="L26" s="2">
        <f>('Kwh Reading'!B26-'Kwh Reading'!B25)*1000</f>
        <v>1340.0000000000318</v>
      </c>
      <c r="M26" s="2">
        <f>('Kwh Reading'!M26-'Kwh Reading'!M25)*1000</f>
        <v>750</v>
      </c>
      <c r="N26" s="2">
        <f>('Kwh Reading'!H26-'Kwh Reading'!H25)*1000</f>
        <v>500</v>
      </c>
      <c r="O26" s="2">
        <f>('Kwh Reading'!P26-'Kwh Reading'!P25)*1000</f>
        <v>1099.9999999999091</v>
      </c>
      <c r="P26" s="2">
        <f>('Kwh Reading'!G26-'Kwh Reading'!G25)*1000</f>
        <v>869.99999999989086</v>
      </c>
      <c r="Q26" s="2">
        <f>('Kwh Reading'!Q26-'Kwh Reading'!Q25)*1000</f>
        <v>740.00000000000909</v>
      </c>
      <c r="R26" s="2">
        <f>('Kwh Reading'!N26-'Kwh Reading'!N25)*1000</f>
        <v>759.99999999999091</v>
      </c>
      <c r="S26" s="2">
        <f>'Kwh Reading'!E26-'Kwh Reading'!E25</f>
        <v>3659.4700000006706</v>
      </c>
      <c r="T26" s="2">
        <f>'Kwh Reading'!D26-'Kwh Reading'!D25</f>
        <v>2279.8700000001118</v>
      </c>
      <c r="U26" s="26">
        <f>('Kwh Reading'!O26-'Kwh Reading'!O25)*1000</f>
        <v>300.00000000001137</v>
      </c>
      <c r="V26" s="16">
        <f t="shared" si="1"/>
        <v>105880.6599999996</v>
      </c>
    </row>
    <row r="27" spans="1:22" x14ac:dyDescent="0.25">
      <c r="A27" s="3">
        <f>'Kwh Reading'!A26</f>
        <v>44371</v>
      </c>
      <c r="B27" s="25">
        <f>TOTAL!E25</f>
        <v>0</v>
      </c>
      <c r="C27" s="4">
        <f>('Kwh Reading'!T27-'Kwh Reading'!T26)*1000</f>
        <v>-417750</v>
      </c>
      <c r="D27" s="2">
        <f>('Kwh Reading'!F27-'Kwh Reading'!F26)*1000000</f>
        <v>-2263900</v>
      </c>
      <c r="E27" s="2">
        <f>('Kwh Reading'!C27-'Kwh Reading'!C26)*1000</f>
        <v>-227980</v>
      </c>
      <c r="F27" s="2">
        <f>('Kwh Reading'!J27-'Kwh Reading'!J26)*1000</f>
        <v>-314870</v>
      </c>
      <c r="G27" s="2">
        <f>('Kwh Reading'!K27-'Kwh Reading'!K26)*1000</f>
        <v>-338970</v>
      </c>
      <c r="H27" s="2">
        <f>('Kwh Reading'!L27-'Kwh Reading'!L26)*1000</f>
        <v>-232570</v>
      </c>
      <c r="I27" s="2">
        <f>('Kwh Reading'!R27-'Kwh Reading'!R26)*1000</f>
        <v>-155690</v>
      </c>
      <c r="J27" s="2">
        <f>('Kwh Reading'!S27-'Kwh Reading'!S26)*1000</f>
        <v>-114330</v>
      </c>
      <c r="K27" s="2">
        <f>('Kwh Reading'!I27-'Kwh Reading'!I26)*1000</f>
        <v>-233930</v>
      </c>
      <c r="L27" s="2">
        <f>('Kwh Reading'!B27-'Kwh Reading'!B26)*1000</f>
        <v>-972070</v>
      </c>
      <c r="M27" s="2">
        <f>('Kwh Reading'!M27-'Kwh Reading'!M26)*1000</f>
        <v>-513289.99999999994</v>
      </c>
      <c r="N27" s="2">
        <f>('Kwh Reading'!H27-'Kwh Reading'!H26)*1000</f>
        <v>-618850</v>
      </c>
      <c r="O27" s="2">
        <f>('Kwh Reading'!P27-'Kwh Reading'!P26)*1000</f>
        <v>-611800</v>
      </c>
      <c r="P27" s="2">
        <f>('Kwh Reading'!G27-'Kwh Reading'!G26)*1000</f>
        <v>-740810</v>
      </c>
      <c r="Q27" s="2">
        <f>('Kwh Reading'!Q27-'Kwh Reading'!Q26)*1000</f>
        <v>-456390</v>
      </c>
      <c r="R27" s="2">
        <f>('Kwh Reading'!N27-'Kwh Reading'!N26)*1000</f>
        <v>-467480</v>
      </c>
      <c r="S27" s="2">
        <f>'Kwh Reading'!E27-'Kwh Reading'!E26</f>
        <v>-8163578.8200000003</v>
      </c>
      <c r="T27" s="2">
        <f>'Kwh Reading'!D27-'Kwh Reading'!D26</f>
        <v>-7464948.9400000004</v>
      </c>
      <c r="U27" s="26">
        <f>('Kwh Reading'!O27-'Kwh Reading'!O26)*1000</f>
        <v>-149970</v>
      </c>
      <c r="V27" s="16">
        <f t="shared" si="1"/>
        <v>24459177.760000002</v>
      </c>
    </row>
    <row r="28" spans="1:22" x14ac:dyDescent="0.25">
      <c r="A28" s="3">
        <f>'Kwh Reading'!A27</f>
        <v>44372</v>
      </c>
      <c r="B28" s="25">
        <f>TOTAL!E26</f>
        <v>0</v>
      </c>
      <c r="C28" s="4">
        <f>('Kwh Reading'!T28-'Kwh Reading'!T27)*1000</f>
        <v>0</v>
      </c>
      <c r="D28" s="2">
        <f>('Kwh Reading'!F28-'Kwh Reading'!F27)*1000000</f>
        <v>0</v>
      </c>
      <c r="E28" s="2">
        <f>('Kwh Reading'!C28-'Kwh Reading'!C27)*1000</f>
        <v>0</v>
      </c>
      <c r="F28" s="2">
        <f>('Kwh Reading'!J28-'Kwh Reading'!J27)*1000</f>
        <v>0</v>
      </c>
      <c r="G28" s="2">
        <f>('Kwh Reading'!K28-'Kwh Reading'!K27)*1000</f>
        <v>0</v>
      </c>
      <c r="H28" s="2">
        <f>('Kwh Reading'!L28-'Kwh Reading'!L27)*1000</f>
        <v>0</v>
      </c>
      <c r="I28" s="2">
        <f>('Kwh Reading'!R28-'Kwh Reading'!R27)*1000</f>
        <v>0</v>
      </c>
      <c r="J28" s="2">
        <f>('Kwh Reading'!S28-'Kwh Reading'!S27)*1000</f>
        <v>0</v>
      </c>
      <c r="K28" s="2">
        <f>('Kwh Reading'!I28-'Kwh Reading'!I27)*1000</f>
        <v>0</v>
      </c>
      <c r="L28" s="2">
        <f>('Kwh Reading'!B28-'Kwh Reading'!B27)*1000</f>
        <v>0</v>
      </c>
      <c r="M28" s="2">
        <f>('Kwh Reading'!M28-'Kwh Reading'!M27)*1000</f>
        <v>0</v>
      </c>
      <c r="N28" s="2">
        <f>('Kwh Reading'!H28-'Kwh Reading'!H27)*1000</f>
        <v>0</v>
      </c>
      <c r="O28" s="2">
        <f>('Kwh Reading'!P28-'Kwh Reading'!P27)*1000</f>
        <v>0</v>
      </c>
      <c r="P28" s="2">
        <f>('Kwh Reading'!G28-'Kwh Reading'!G27)*1000</f>
        <v>0</v>
      </c>
      <c r="Q28" s="2">
        <f>('Kwh Reading'!Q28-'Kwh Reading'!Q27)*1000</f>
        <v>0</v>
      </c>
      <c r="R28" s="2">
        <f>('Kwh Reading'!N28-'Kwh Reading'!N27)*1000</f>
        <v>0</v>
      </c>
      <c r="S28" s="2">
        <f>'Kwh Reading'!E28-'Kwh Reading'!E27</f>
        <v>0</v>
      </c>
      <c r="T28" s="2">
        <f>'Kwh Reading'!D28-'Kwh Reading'!D27</f>
        <v>0</v>
      </c>
      <c r="U28" s="26">
        <f>('Kwh Reading'!O28-'Kwh Reading'!O27)*1000</f>
        <v>0</v>
      </c>
      <c r="V28" s="16">
        <f t="shared" si="1"/>
        <v>0</v>
      </c>
    </row>
    <row r="29" spans="1:22" x14ac:dyDescent="0.25">
      <c r="A29" s="3">
        <f>'Kwh Reading'!A28</f>
        <v>44373</v>
      </c>
      <c r="B29" s="25">
        <f>TOTAL!E27</f>
        <v>0</v>
      </c>
      <c r="C29" s="4">
        <f>('Kwh Reading'!T29-'Kwh Reading'!T28)*1000</f>
        <v>0</v>
      </c>
      <c r="D29" s="2">
        <f>('Kwh Reading'!F29-'Kwh Reading'!F28)*1000000</f>
        <v>0</v>
      </c>
      <c r="E29" s="2">
        <f>('Kwh Reading'!C29-'Kwh Reading'!C28)*1000</f>
        <v>0</v>
      </c>
      <c r="F29" s="2">
        <f>('Kwh Reading'!J29-'Kwh Reading'!J28)*1000</f>
        <v>0</v>
      </c>
      <c r="G29" s="2">
        <f>('Kwh Reading'!K29-'Kwh Reading'!K28)*1000</f>
        <v>0</v>
      </c>
      <c r="H29" s="2">
        <f>('Kwh Reading'!L29-'Kwh Reading'!L28)*1000</f>
        <v>0</v>
      </c>
      <c r="I29" s="2">
        <f>('Kwh Reading'!R29-'Kwh Reading'!R28)*1000</f>
        <v>0</v>
      </c>
      <c r="J29" s="2">
        <f>('Kwh Reading'!S29-'Kwh Reading'!S28)*1000</f>
        <v>0</v>
      </c>
      <c r="K29" s="2">
        <f>('Kwh Reading'!I29-'Kwh Reading'!I28)*1000</f>
        <v>0</v>
      </c>
      <c r="L29" s="2">
        <f>('Kwh Reading'!B29-'Kwh Reading'!B28)*1000</f>
        <v>0</v>
      </c>
      <c r="M29" s="2">
        <f>('Kwh Reading'!M29-'Kwh Reading'!M28)*1000</f>
        <v>0</v>
      </c>
      <c r="N29" s="2">
        <f>('Kwh Reading'!H29-'Kwh Reading'!H28)*1000</f>
        <v>0</v>
      </c>
      <c r="O29" s="2">
        <f>('Kwh Reading'!P29-'Kwh Reading'!P28)*1000</f>
        <v>0</v>
      </c>
      <c r="P29" s="2">
        <f>('Kwh Reading'!G29-'Kwh Reading'!G28)*1000</f>
        <v>0</v>
      </c>
      <c r="Q29" s="2">
        <f>('Kwh Reading'!Q29-'Kwh Reading'!Q28)*1000</f>
        <v>0</v>
      </c>
      <c r="R29" s="2">
        <f>('Kwh Reading'!N29-'Kwh Reading'!N28)*1000</f>
        <v>0</v>
      </c>
      <c r="S29" s="2">
        <f>'Kwh Reading'!E29-'Kwh Reading'!E28</f>
        <v>0</v>
      </c>
      <c r="T29" s="2">
        <f>'Kwh Reading'!D29-'Kwh Reading'!D28</f>
        <v>0</v>
      </c>
      <c r="U29" s="26">
        <f>('Kwh Reading'!O29-'Kwh Reading'!O28)*1000</f>
        <v>0</v>
      </c>
      <c r="V29" s="16">
        <f t="shared" si="1"/>
        <v>0</v>
      </c>
    </row>
    <row r="30" spans="1:22" x14ac:dyDescent="0.25">
      <c r="A30" s="3">
        <f>'Kwh Reading'!A29</f>
        <v>44374</v>
      </c>
      <c r="B30" s="25">
        <f>TOTAL!E28</f>
        <v>0</v>
      </c>
      <c r="C30" s="4">
        <f>('Kwh Reading'!T30-'Kwh Reading'!T29)*1000</f>
        <v>0</v>
      </c>
      <c r="D30" s="2">
        <f>('Kwh Reading'!F30-'Kwh Reading'!F29)*1000000</f>
        <v>0</v>
      </c>
      <c r="E30" s="2">
        <f>('Kwh Reading'!C30-'Kwh Reading'!C29)*1000</f>
        <v>0</v>
      </c>
      <c r="F30" s="2">
        <f>('Kwh Reading'!J30-'Kwh Reading'!J29)*1000</f>
        <v>0</v>
      </c>
      <c r="G30" s="2">
        <f>('Kwh Reading'!K30-'Kwh Reading'!K29)*1000</f>
        <v>0</v>
      </c>
      <c r="H30" s="2">
        <f>('Kwh Reading'!L30-'Kwh Reading'!L29)*1000</f>
        <v>0</v>
      </c>
      <c r="I30" s="2">
        <f>('Kwh Reading'!R30-'Kwh Reading'!R29)*1000</f>
        <v>0</v>
      </c>
      <c r="J30" s="2">
        <f>('Kwh Reading'!S30-'Kwh Reading'!S29)*1000</f>
        <v>0</v>
      </c>
      <c r="K30" s="2">
        <f>('Kwh Reading'!I30-'Kwh Reading'!I29)*1000</f>
        <v>0</v>
      </c>
      <c r="L30" s="2">
        <f>('Kwh Reading'!B30-'Kwh Reading'!B29)*1000</f>
        <v>0</v>
      </c>
      <c r="M30" s="2">
        <f>('Kwh Reading'!M30-'Kwh Reading'!M29)*1000</f>
        <v>0</v>
      </c>
      <c r="N30" s="2">
        <f>('Kwh Reading'!H30-'Kwh Reading'!H29)*1000</f>
        <v>0</v>
      </c>
      <c r="O30" s="2">
        <f>('Kwh Reading'!P30-'Kwh Reading'!P29)*1000</f>
        <v>0</v>
      </c>
      <c r="P30" s="2">
        <f>('Kwh Reading'!G30-'Kwh Reading'!G29)*1000</f>
        <v>0</v>
      </c>
      <c r="Q30" s="2">
        <f>('Kwh Reading'!Q30-'Kwh Reading'!Q29)*1000</f>
        <v>0</v>
      </c>
      <c r="R30" s="2">
        <f>('Kwh Reading'!N30-'Kwh Reading'!N29)*1000</f>
        <v>0</v>
      </c>
      <c r="S30" s="2">
        <f>'Kwh Reading'!E30-'Kwh Reading'!E29</f>
        <v>0</v>
      </c>
      <c r="T30" s="2">
        <f>'Kwh Reading'!D30-'Kwh Reading'!D29</f>
        <v>0</v>
      </c>
      <c r="U30" s="26">
        <f>('Kwh Reading'!O30-'Kwh Reading'!O29)*1000</f>
        <v>0</v>
      </c>
      <c r="V30" s="16">
        <f t="shared" si="1"/>
        <v>0</v>
      </c>
    </row>
    <row r="31" spans="1:22" x14ac:dyDescent="0.25">
      <c r="A31" s="3">
        <f>'Kwh Reading'!A30</f>
        <v>44375</v>
      </c>
      <c r="B31" s="25">
        <f>TOTAL!E29</f>
        <v>0</v>
      </c>
      <c r="C31" s="4">
        <f>('Kwh Reading'!T31-'Kwh Reading'!T30)*1000</f>
        <v>0</v>
      </c>
      <c r="D31" s="2">
        <f>('Kwh Reading'!F31-'Kwh Reading'!F30)*1000000</f>
        <v>0</v>
      </c>
      <c r="E31" s="2">
        <f>('Kwh Reading'!C31-'Kwh Reading'!C30)*1000</f>
        <v>0</v>
      </c>
      <c r="F31" s="2">
        <f>('Kwh Reading'!J31-'Kwh Reading'!J30)*1000</f>
        <v>0</v>
      </c>
      <c r="G31" s="2">
        <f>('Kwh Reading'!K31-'Kwh Reading'!K30)*1000</f>
        <v>0</v>
      </c>
      <c r="H31" s="2">
        <f>('Kwh Reading'!L31-'Kwh Reading'!L30)*1000</f>
        <v>0</v>
      </c>
      <c r="I31" s="2">
        <f>('Kwh Reading'!R31-'Kwh Reading'!R30)*1000</f>
        <v>0</v>
      </c>
      <c r="J31" s="2">
        <f>('Kwh Reading'!S31-'Kwh Reading'!S30)*1000</f>
        <v>0</v>
      </c>
      <c r="K31" s="2">
        <f>('Kwh Reading'!I31-'Kwh Reading'!I30)*1000</f>
        <v>0</v>
      </c>
      <c r="L31" s="2">
        <f>('Kwh Reading'!B31-'Kwh Reading'!B30)*1000</f>
        <v>0</v>
      </c>
      <c r="M31" s="2">
        <f>('Kwh Reading'!M31-'Kwh Reading'!M30)*1000</f>
        <v>0</v>
      </c>
      <c r="N31" s="2">
        <f>('Kwh Reading'!H31-'Kwh Reading'!H30)*1000</f>
        <v>0</v>
      </c>
      <c r="O31" s="2">
        <f>('Kwh Reading'!P31-'Kwh Reading'!P30)*1000</f>
        <v>0</v>
      </c>
      <c r="P31" s="2">
        <f>('Kwh Reading'!G31-'Kwh Reading'!G30)*1000</f>
        <v>0</v>
      </c>
      <c r="Q31" s="2">
        <f>('Kwh Reading'!Q31-'Kwh Reading'!Q30)*1000</f>
        <v>0</v>
      </c>
      <c r="R31" s="2">
        <f>('Kwh Reading'!N31-'Kwh Reading'!N30)*1000</f>
        <v>0</v>
      </c>
      <c r="S31" s="2">
        <f>'Kwh Reading'!E31-'Kwh Reading'!E30</f>
        <v>0</v>
      </c>
      <c r="T31" s="2">
        <f>'Kwh Reading'!D31-'Kwh Reading'!D30</f>
        <v>0</v>
      </c>
      <c r="U31" s="26">
        <f>('Kwh Reading'!O31-'Kwh Reading'!O30)*1000</f>
        <v>0</v>
      </c>
      <c r="V31" s="16">
        <f t="shared" si="1"/>
        <v>0</v>
      </c>
    </row>
    <row r="32" spans="1:22" x14ac:dyDescent="0.25">
      <c r="A32" s="3">
        <f>'Kwh Reading'!A31</f>
        <v>44376</v>
      </c>
      <c r="B32" s="25">
        <f>TOTAL!E30</f>
        <v>0</v>
      </c>
      <c r="C32" s="4">
        <f>('Kwh Reading'!T32-'Kwh Reading'!T31)*1000</f>
        <v>0</v>
      </c>
      <c r="D32" s="2">
        <f>('Kwh Reading'!F32-'Kwh Reading'!F31)*1000000</f>
        <v>0</v>
      </c>
      <c r="E32" s="2">
        <f>('Kwh Reading'!C32-'Kwh Reading'!C31)*1000</f>
        <v>0</v>
      </c>
      <c r="F32" s="2">
        <f>('Kwh Reading'!J32-'Kwh Reading'!J31)*1000</f>
        <v>0</v>
      </c>
      <c r="G32" s="2">
        <f>('Kwh Reading'!K32-'Kwh Reading'!K31)*1000</f>
        <v>0</v>
      </c>
      <c r="H32" s="2">
        <f>('Kwh Reading'!L32-'Kwh Reading'!L31)*1000</f>
        <v>0</v>
      </c>
      <c r="I32" s="2">
        <f>('Kwh Reading'!R32-'Kwh Reading'!R31)*1000</f>
        <v>0</v>
      </c>
      <c r="J32" s="2">
        <f>('Kwh Reading'!S32-'Kwh Reading'!S31)*1000</f>
        <v>0</v>
      </c>
      <c r="K32" s="2">
        <f>('Kwh Reading'!I32-'Kwh Reading'!I31)*1000</f>
        <v>0</v>
      </c>
      <c r="L32" s="2">
        <f>('Kwh Reading'!B32-'Kwh Reading'!B31)*1000</f>
        <v>0</v>
      </c>
      <c r="M32" s="2">
        <f>('Kwh Reading'!M32-'Kwh Reading'!M31)*1000</f>
        <v>0</v>
      </c>
      <c r="N32" s="2">
        <f>('Kwh Reading'!H32-'Kwh Reading'!H31)*1000</f>
        <v>0</v>
      </c>
      <c r="O32" s="2">
        <f>('Kwh Reading'!P32-'Kwh Reading'!P31)*1000</f>
        <v>0</v>
      </c>
      <c r="P32" s="2">
        <f>('Kwh Reading'!G32-'Kwh Reading'!G31)*1000</f>
        <v>0</v>
      </c>
      <c r="Q32" s="2">
        <f>('Kwh Reading'!Q32-'Kwh Reading'!Q31)*1000</f>
        <v>0</v>
      </c>
      <c r="R32" s="2">
        <f>('Kwh Reading'!N32-'Kwh Reading'!N31)*1000</f>
        <v>0</v>
      </c>
      <c r="S32" s="2">
        <f>'Kwh Reading'!E32-'Kwh Reading'!E31</f>
        <v>0</v>
      </c>
      <c r="T32" s="2">
        <f>'Kwh Reading'!D32-'Kwh Reading'!D31</f>
        <v>0</v>
      </c>
      <c r="U32" s="26">
        <f>('Kwh Reading'!O32-'Kwh Reading'!O31)*1000</f>
        <v>0</v>
      </c>
      <c r="V32" s="16">
        <f t="shared" si="1"/>
        <v>0</v>
      </c>
    </row>
    <row r="33" spans="1:22" x14ac:dyDescent="0.25">
      <c r="A33" s="3">
        <f>'Kwh Reading'!A32</f>
        <v>44377</v>
      </c>
      <c r="B33" s="25">
        <f>TOTAL!E31</f>
        <v>0</v>
      </c>
      <c r="C33" s="4">
        <f>('Kwh Reading'!T33-'Kwh Reading'!T32)*1000</f>
        <v>0</v>
      </c>
      <c r="D33" s="2">
        <f>('Kwh Reading'!F33-'Kwh Reading'!F32)*1000000</f>
        <v>0</v>
      </c>
      <c r="E33" s="2">
        <f>('Kwh Reading'!C33-'Kwh Reading'!C32)*1000</f>
        <v>0</v>
      </c>
      <c r="F33" s="2">
        <f>('Kwh Reading'!J33-'Kwh Reading'!J32)*1000</f>
        <v>0</v>
      </c>
      <c r="G33" s="2">
        <f>('Kwh Reading'!K33-'Kwh Reading'!K32)*1000</f>
        <v>0</v>
      </c>
      <c r="H33" s="2">
        <f>('Kwh Reading'!L33-'Kwh Reading'!L32)*1000</f>
        <v>0</v>
      </c>
      <c r="I33" s="2">
        <f>('Kwh Reading'!R33-'Kwh Reading'!R32)*1000</f>
        <v>0</v>
      </c>
      <c r="J33" s="2">
        <f>('Kwh Reading'!S33-'Kwh Reading'!S32)*1000</f>
        <v>0</v>
      </c>
      <c r="K33" s="2">
        <f>('Kwh Reading'!I33-'Kwh Reading'!I32)*1000</f>
        <v>0</v>
      </c>
      <c r="L33" s="2">
        <f>('Kwh Reading'!B33-'Kwh Reading'!B32)*1000</f>
        <v>0</v>
      </c>
      <c r="M33" s="2">
        <f>('Kwh Reading'!M33-'Kwh Reading'!M32)*1000</f>
        <v>0</v>
      </c>
      <c r="N33" s="2">
        <f>('Kwh Reading'!H33-'Kwh Reading'!H32)*1000</f>
        <v>0</v>
      </c>
      <c r="O33" s="2">
        <f>('Kwh Reading'!P33-'Kwh Reading'!P32)*1000</f>
        <v>0</v>
      </c>
      <c r="P33" s="2">
        <f>('Kwh Reading'!G33-'Kwh Reading'!G32)*1000</f>
        <v>0</v>
      </c>
      <c r="Q33" s="2">
        <f>('Kwh Reading'!Q33-'Kwh Reading'!Q32)*1000</f>
        <v>0</v>
      </c>
      <c r="R33" s="2">
        <f>('Kwh Reading'!N33-'Kwh Reading'!N32)*1000</f>
        <v>0</v>
      </c>
      <c r="S33" s="2">
        <f>'Kwh Reading'!E33-'Kwh Reading'!E32</f>
        <v>0</v>
      </c>
      <c r="T33" s="2">
        <f>'Kwh Reading'!D33-'Kwh Reading'!D32</f>
        <v>0</v>
      </c>
      <c r="U33" s="26">
        <f>('Kwh Reading'!O33-'Kwh Reading'!O32)*1000</f>
        <v>0</v>
      </c>
      <c r="V33" s="16">
        <f t="shared" si="1"/>
        <v>0</v>
      </c>
    </row>
    <row r="34" spans="1:22" x14ac:dyDescent="0.25">
      <c r="A34" s="3">
        <f>'Kwh Reading'!A33</f>
        <v>44378</v>
      </c>
      <c r="B34" s="25">
        <f>TOTAL!E32</f>
        <v>0</v>
      </c>
      <c r="C34" s="4">
        <f>('Kwh Reading'!T34-'Kwh Reading'!T33)*1000</f>
        <v>0</v>
      </c>
      <c r="D34" s="2">
        <f>('Kwh Reading'!F34-'Kwh Reading'!F33)*1000000</f>
        <v>0</v>
      </c>
      <c r="E34" s="2">
        <f>('Kwh Reading'!C34-'Kwh Reading'!C33)*1000</f>
        <v>0</v>
      </c>
      <c r="F34" s="2">
        <f>('Kwh Reading'!J34-'Kwh Reading'!J33)*1000</f>
        <v>0</v>
      </c>
      <c r="G34" s="2">
        <f>('Kwh Reading'!K34-'Kwh Reading'!K33)*1000</f>
        <v>0</v>
      </c>
      <c r="H34" s="2">
        <f>('Kwh Reading'!L34-'Kwh Reading'!L33)*1000</f>
        <v>0</v>
      </c>
      <c r="I34" s="2">
        <f>('Kwh Reading'!R34-'Kwh Reading'!R33)*1000</f>
        <v>0</v>
      </c>
      <c r="J34" s="2">
        <f>('Kwh Reading'!S34-'Kwh Reading'!S33)*1000</f>
        <v>0</v>
      </c>
      <c r="K34" s="2">
        <f>('Kwh Reading'!I34-'Kwh Reading'!I33)*1000</f>
        <v>0</v>
      </c>
      <c r="L34" s="2">
        <f>('Kwh Reading'!B34-'Kwh Reading'!B33)*1000</f>
        <v>0</v>
      </c>
      <c r="M34" s="2">
        <f>('Kwh Reading'!M34-'Kwh Reading'!M33)*1000</f>
        <v>0</v>
      </c>
      <c r="N34" s="2">
        <f>('Kwh Reading'!H34-'Kwh Reading'!H33)*1000</f>
        <v>0</v>
      </c>
      <c r="O34" s="2">
        <f>('Kwh Reading'!P34-'Kwh Reading'!P33)*1000</f>
        <v>0</v>
      </c>
      <c r="P34" s="2">
        <f>('Kwh Reading'!G34-'Kwh Reading'!G33)*1000</f>
        <v>0</v>
      </c>
      <c r="Q34" s="2">
        <f>('Kwh Reading'!Q34-'Kwh Reading'!Q33)*1000</f>
        <v>0</v>
      </c>
      <c r="R34" s="2">
        <f>('Kwh Reading'!N34-'Kwh Reading'!N33)*1000</f>
        <v>0</v>
      </c>
      <c r="S34" s="2">
        <f>'Kwh Reading'!E34-'Kwh Reading'!E33</f>
        <v>0</v>
      </c>
      <c r="T34" s="2">
        <f>'Kwh Reading'!D34-'Kwh Reading'!D33</f>
        <v>0</v>
      </c>
      <c r="U34" s="26">
        <f>('Kwh Reading'!O34-'Kwh Reading'!O33)*1000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533419.99999999977</v>
      </c>
      <c r="C35" s="73">
        <f t="shared" ref="C35" si="2">SUM(C4:C34)</f>
        <v>-407660</v>
      </c>
      <c r="D35" s="73">
        <f t="shared" ref="D35" si="3">SUM(D4:D34)</f>
        <v>-2308100</v>
      </c>
      <c r="E35" s="73">
        <f t="shared" ref="E35" si="4">SUM(E4:E34)</f>
        <v>-222830.00000000003</v>
      </c>
      <c r="F35" s="73">
        <f t="shared" ref="F35" si="5">SUM(F4:F34)</f>
        <v>-310550</v>
      </c>
      <c r="G35" s="73">
        <f t="shared" ref="G35:U35" si="6">SUM(G4:G34)</f>
        <v>-333629.99999999994</v>
      </c>
      <c r="H35" s="73">
        <f t="shared" si="6"/>
        <v>-228430</v>
      </c>
      <c r="I35" s="73">
        <f t="shared" si="6"/>
        <v>-148640</v>
      </c>
      <c r="J35" s="73">
        <f t="shared" si="6"/>
        <v>-111340</v>
      </c>
      <c r="K35" s="73">
        <f t="shared" si="6"/>
        <v>-226280</v>
      </c>
      <c r="L35" s="73">
        <f t="shared" si="6"/>
        <v>-941590</v>
      </c>
      <c r="M35" s="73">
        <f t="shared" si="6"/>
        <v>-494459.99999999994</v>
      </c>
      <c r="N35" s="73">
        <f t="shared" si="6"/>
        <v>-608010</v>
      </c>
      <c r="O35" s="73">
        <f t="shared" si="6"/>
        <v>-586590.00000000012</v>
      </c>
      <c r="P35" s="73">
        <f t="shared" si="6"/>
        <v>-719090.00000000012</v>
      </c>
      <c r="Q35" s="73">
        <f t="shared" si="6"/>
        <v>-439130</v>
      </c>
      <c r="R35" s="73">
        <f t="shared" si="6"/>
        <v>-448540</v>
      </c>
      <c r="S35" s="73">
        <f t="shared" si="6"/>
        <v>-8087986.3700000001</v>
      </c>
      <c r="T35" s="73">
        <f t="shared" si="6"/>
        <v>-7406516.4000000004</v>
      </c>
      <c r="U35" s="73">
        <f t="shared" si="6"/>
        <v>-144040</v>
      </c>
      <c r="V35" s="73">
        <f>SUM(V4:V34)</f>
        <v>24706832.770000003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L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19" t="s">
        <v>56</v>
      </c>
      <c r="H2" s="71" t="s">
        <v>57</v>
      </c>
      <c r="I2" s="22" t="s">
        <v>39</v>
      </c>
      <c r="J2" s="22" t="s">
        <v>58</v>
      </c>
      <c r="K2" s="22" t="s">
        <v>59</v>
      </c>
      <c r="L2" s="37" t="s">
        <v>60</v>
      </c>
    </row>
    <row r="3" spans="1:12" x14ac:dyDescent="0.25">
      <c r="A3" s="14">
        <f>'Kwh Reading'!A3</f>
        <v>44348</v>
      </c>
      <c r="B3" s="80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1">
        <f t="shared" ref="L3:L33" si="0">B3-C3-D3-E3-F3-G3-H3-I3-J3-K3</f>
        <v>6898.280000001384</v>
      </c>
    </row>
    <row r="4" spans="1:12" x14ac:dyDescent="0.25">
      <c r="A4" s="14">
        <f>'Kwh Reading'!A4</f>
        <v>44349</v>
      </c>
      <c r="B4" s="80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1">
        <f t="shared" si="0"/>
        <v>6415.0799999996379</v>
      </c>
    </row>
    <row r="5" spans="1:12" x14ac:dyDescent="0.25">
      <c r="A5" s="14">
        <f>'Kwh Reading'!A5</f>
        <v>44350</v>
      </c>
      <c r="B5" s="80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1">
        <f t="shared" si="0"/>
        <v>6062.3100000005652</v>
      </c>
    </row>
    <row r="6" spans="1:12" x14ac:dyDescent="0.25">
      <c r="A6" s="14">
        <f>'Kwh Reading'!A6</f>
        <v>44351</v>
      </c>
      <c r="B6" s="80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1">
        <f t="shared" si="0"/>
        <v>6067.0599999990472</v>
      </c>
    </row>
    <row r="7" spans="1:12" x14ac:dyDescent="0.25">
      <c r="A7" s="14">
        <f>'Kwh Reading'!A7</f>
        <v>44352</v>
      </c>
      <c r="B7" s="80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1">
        <f t="shared" si="0"/>
        <v>6705.3899999994119</v>
      </c>
    </row>
    <row r="8" spans="1:12" x14ac:dyDescent="0.25">
      <c r="A8" s="14">
        <f>'Kwh Reading'!A8</f>
        <v>44353</v>
      </c>
      <c r="B8" s="80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1">
        <f t="shared" si="0"/>
        <v>6220.3300000019099</v>
      </c>
    </row>
    <row r="9" spans="1:12" x14ac:dyDescent="0.25">
      <c r="A9" s="14">
        <f>'Kwh Reading'!A9</f>
        <v>44354</v>
      </c>
      <c r="B9" s="80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1">
        <f t="shared" si="0"/>
        <v>6880.8699999987357</v>
      </c>
    </row>
    <row r="10" spans="1:12" x14ac:dyDescent="0.25">
      <c r="A10" s="14">
        <f>'Kwh Reading'!A10</f>
        <v>44355</v>
      </c>
      <c r="B10" s="80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1">
        <f t="shared" si="0"/>
        <v>6272.6399999990117</v>
      </c>
    </row>
    <row r="11" spans="1:12" x14ac:dyDescent="0.25">
      <c r="A11" s="14">
        <f>'Kwh Reading'!A11</f>
        <v>44356</v>
      </c>
      <c r="B11" s="80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1">
        <f t="shared" si="0"/>
        <v>6276.5500000017691</v>
      </c>
    </row>
    <row r="12" spans="1:12" x14ac:dyDescent="0.25">
      <c r="A12" s="14">
        <f>'Kwh Reading'!A12</f>
        <v>44357</v>
      </c>
      <c r="B12" s="80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1">
        <f t="shared" si="0"/>
        <v>6558.6400000006306</v>
      </c>
    </row>
    <row r="13" spans="1:12" x14ac:dyDescent="0.25">
      <c r="A13" s="14">
        <f>'Kwh Reading'!A13</f>
        <v>44358</v>
      </c>
      <c r="B13" s="80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1">
        <f t="shared" si="0"/>
        <v>5840.8199999986928</v>
      </c>
    </row>
    <row r="14" spans="1:12" x14ac:dyDescent="0.25">
      <c r="A14" s="14">
        <f>'Kwh Reading'!A14</f>
        <v>44359</v>
      </c>
      <c r="B14" s="80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1">
        <f t="shared" si="0"/>
        <v>6208.3900000021813</v>
      </c>
    </row>
    <row r="15" spans="1:12" x14ac:dyDescent="0.25">
      <c r="A15" s="14">
        <f>'Kwh Reading'!A15</f>
        <v>44360</v>
      </c>
      <c r="B15" s="80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1">
        <f t="shared" si="0"/>
        <v>6376.6699999980929</v>
      </c>
    </row>
    <row r="16" spans="1:12" x14ac:dyDescent="0.25">
      <c r="A16" s="14">
        <f>'Kwh Reading'!A16</f>
        <v>44361</v>
      </c>
      <c r="B16" s="80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1">
        <f t="shared" si="0"/>
        <v>5436.5299999998761</v>
      </c>
    </row>
    <row r="17" spans="1:12" x14ac:dyDescent="0.25">
      <c r="A17" s="14">
        <f>'Kwh Reading'!A17</f>
        <v>44362</v>
      </c>
      <c r="B17" s="80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0">
        <f>'Kwh Consumption'!U18</f>
        <v>240.00000000000909</v>
      </c>
      <c r="L17" s="31">
        <f t="shared" si="0"/>
        <v>7163.5400000002192</v>
      </c>
    </row>
    <row r="18" spans="1:12" x14ac:dyDescent="0.25">
      <c r="A18" s="14">
        <f>'Kwh Reading'!A18</f>
        <v>44363</v>
      </c>
      <c r="B18" s="80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0">
        <f>'Kwh Consumption'!U19</f>
        <v>250</v>
      </c>
      <c r="L18" s="31">
        <f t="shared" si="0"/>
        <v>1214.3399999997382</v>
      </c>
    </row>
    <row r="19" spans="1:12" x14ac:dyDescent="0.25">
      <c r="A19" s="14">
        <f>'Kwh Reading'!A19</f>
        <v>44364</v>
      </c>
      <c r="B19" s="80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1">
        <f t="shared" si="0"/>
        <v>11278.000000000269</v>
      </c>
    </row>
    <row r="20" spans="1:12" x14ac:dyDescent="0.25">
      <c r="A20" s="14">
        <f>'Kwh Reading'!A20</f>
        <v>44365</v>
      </c>
      <c r="B20" s="80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1">
        <f t="shared" si="0"/>
        <v>6331.5599999998722</v>
      </c>
    </row>
    <row r="21" spans="1:12" x14ac:dyDescent="0.25">
      <c r="A21" s="14">
        <f>'Kwh Reading'!A21</f>
        <v>44366</v>
      </c>
      <c r="B21" s="80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1">
        <f t="shared" si="0"/>
        <v>6002.4300000000158</v>
      </c>
    </row>
    <row r="22" spans="1:12" x14ac:dyDescent="0.25">
      <c r="A22" s="14">
        <f>'Kwh Reading'!A22</f>
        <v>44367</v>
      </c>
      <c r="B22" s="80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1">
        <f t="shared" si="0"/>
        <v>5995.950000001174</v>
      </c>
    </row>
    <row r="23" spans="1:12" x14ac:dyDescent="0.25">
      <c r="A23" s="14">
        <f>'Kwh Reading'!A23</f>
        <v>44368</v>
      </c>
      <c r="B23" s="80">
        <f>TOTAL!E22</f>
        <v>24279.999999999061</v>
      </c>
      <c r="C23" s="1">
        <f>'Kwh Consumption'!C24</f>
        <v>509.99999999999091</v>
      </c>
      <c r="D23" s="1">
        <f>'Kwh Consumption'!D24</f>
        <v>2500.0000000003906</v>
      </c>
      <c r="E23" s="1">
        <f>'Kwh Consumption'!E24</f>
        <v>259.99999999999091</v>
      </c>
      <c r="F23" s="1">
        <f>('Kwh Consumption'!F24+'Kwh Consumption'!G24+'Kwh Consumption'!H24)</f>
        <v>720.00000000005571</v>
      </c>
      <c r="G23" s="16">
        <f>('Kwh Consumption'!I24+'Kwh Consumption'!J24)</f>
        <v>270.00000000002444</v>
      </c>
      <c r="H23" s="1">
        <f>('Kwh Consumption'!K24+'Kwh Consumption'!L24)</f>
        <v>1810.0000000000307</v>
      </c>
      <c r="I23" s="1">
        <f>('Kwh Consumption'!M24+'Kwh Consumption'!N24+'Kwh Consumption'!O24+'Kwh Consumption'!P24+'Kwh Consumption'!Q24+'Kwh Consumption'!R24)</f>
        <v>4889.9999999998163</v>
      </c>
      <c r="J23" s="1">
        <f>('Kwh Consumption'!S24+'Kwh Consumption'!T24)</f>
        <v>6547.4900000002235</v>
      </c>
      <c r="K23" s="1">
        <f>'Kwh Consumption'!U24</f>
        <v>229.99999999998977</v>
      </c>
      <c r="L23" s="31">
        <f t="shared" si="0"/>
        <v>6542.5099999985514</v>
      </c>
    </row>
    <row r="24" spans="1:12" x14ac:dyDescent="0.25">
      <c r="A24" s="14">
        <f>'Kwh Reading'!A24</f>
        <v>44369</v>
      </c>
      <c r="B24" s="80">
        <f>TOTAL!E23</f>
        <v>23740.000000000236</v>
      </c>
      <c r="C24" s="1">
        <f>'Kwh Consumption'!C25</f>
        <v>470.00000000002728</v>
      </c>
      <c r="D24" s="1">
        <f>'Kwh Consumption'!D25</f>
        <v>2499.9999999999468</v>
      </c>
      <c r="E24" s="1">
        <f>'Kwh Consumption'!E25</f>
        <v>240.00000000000909</v>
      </c>
      <c r="F24" s="1">
        <f>('Kwh Consumption'!F25+'Kwh Consumption'!G25+'Kwh Consumption'!H25)</f>
        <v>679.99999999994998</v>
      </c>
      <c r="G24" s="16">
        <f>('Kwh Consumption'!I25+'Kwh Consumption'!J25)</f>
        <v>450.00000000000284</v>
      </c>
      <c r="H24" s="1">
        <f>('Kwh Consumption'!K25+'Kwh Consumption'!L25)</f>
        <v>1740.0000000000091</v>
      </c>
      <c r="I24" s="1">
        <f>('Kwh Consumption'!M25+'Kwh Consumption'!N25+'Kwh Consumption'!O25+'Kwh Consumption'!P25+'Kwh Consumption'!Q25+'Kwh Consumption'!R25)</f>
        <v>4880.0000000001091</v>
      </c>
      <c r="J24" s="1">
        <f>('Kwh Consumption'!S25+'Kwh Consumption'!T25)</f>
        <v>6323.5400000000373</v>
      </c>
      <c r="K24" s="1">
        <f>'Kwh Consumption'!U25</f>
        <v>199.99999999998863</v>
      </c>
      <c r="L24" s="31">
        <f t="shared" si="0"/>
        <v>6256.4600000001556</v>
      </c>
    </row>
    <row r="25" spans="1:12" x14ac:dyDescent="0.25">
      <c r="A25" s="14">
        <f>'Kwh Reading'!A25</f>
        <v>44370</v>
      </c>
      <c r="B25" s="80">
        <f>TOTAL!E24</f>
        <v>22890.000000000098</v>
      </c>
      <c r="C25" s="1">
        <f>'Kwh Consumption'!C26</f>
        <v>449.99999999998863</v>
      </c>
      <c r="D25" s="1">
        <f>'Kwh Consumption'!D26</f>
        <v>-97500.000000000146</v>
      </c>
      <c r="E25" s="1">
        <f>'Kwh Consumption'!E26</f>
        <v>239.99999999998067</v>
      </c>
      <c r="F25" s="1">
        <f>('Kwh Consumption'!F26+'Kwh Consumption'!G26+'Kwh Consumption'!H26)</f>
        <v>700.00000000004547</v>
      </c>
      <c r="G25" s="16">
        <f>('Kwh Consumption'!I26+'Kwh Consumption'!J26)</f>
        <v>459.99999999997954</v>
      </c>
      <c r="H25" s="1">
        <f>('Kwh Consumption'!K26+'Kwh Consumption'!L26)</f>
        <v>1700.0000000000455</v>
      </c>
      <c r="I25" s="1">
        <f>('Kwh Consumption'!M26+'Kwh Consumption'!N26+'Kwh Consumption'!O26+'Kwh Consumption'!P26+'Kwh Consumption'!Q26+'Kwh Consumption'!R26)</f>
        <v>4719.9999999997999</v>
      </c>
      <c r="J25" s="1">
        <f>('Kwh Consumption'!S26+'Kwh Consumption'!T26)</f>
        <v>5939.3400000007823</v>
      </c>
      <c r="K25" s="1">
        <f>'Kwh Consumption'!U26</f>
        <v>300.00000000001137</v>
      </c>
      <c r="L25" s="31">
        <f t="shared" si="0"/>
        <v>105880.65999999961</v>
      </c>
    </row>
    <row r="26" spans="1:12" x14ac:dyDescent="0.25">
      <c r="A26" s="14">
        <f>'Kwh Reading'!A26</f>
        <v>44371</v>
      </c>
      <c r="B26" s="80">
        <f>TOTAL!E25</f>
        <v>0</v>
      </c>
      <c r="C26" s="1">
        <f>'Kwh Consumption'!C27</f>
        <v>-417750</v>
      </c>
      <c r="D26" s="1">
        <f>'Kwh Consumption'!D27</f>
        <v>-2263900</v>
      </c>
      <c r="E26" s="1">
        <f>'Kwh Consumption'!E27</f>
        <v>-227980</v>
      </c>
      <c r="F26" s="1">
        <f>('Kwh Consumption'!F27+'Kwh Consumption'!G27+'Kwh Consumption'!H27)</f>
        <v>-886410</v>
      </c>
      <c r="G26" s="16">
        <f>('Kwh Consumption'!I27+'Kwh Consumption'!J27)</f>
        <v>-270020</v>
      </c>
      <c r="H26" s="1">
        <f>('Kwh Consumption'!K27+'Kwh Consumption'!L27)</f>
        <v>-1206000</v>
      </c>
      <c r="I26" s="1">
        <f>('Kwh Consumption'!M27+'Kwh Consumption'!N27+'Kwh Consumption'!O27+'Kwh Consumption'!P27+'Kwh Consumption'!Q27+'Kwh Consumption'!R27)</f>
        <v>-3408620</v>
      </c>
      <c r="J26" s="1">
        <f>('Kwh Consumption'!S27+'Kwh Consumption'!T27)</f>
        <v>-15628527.760000002</v>
      </c>
      <c r="K26" s="1">
        <f>'Kwh Consumption'!U27</f>
        <v>-149970</v>
      </c>
      <c r="L26" s="31">
        <f t="shared" si="0"/>
        <v>24459177.760000002</v>
      </c>
    </row>
    <row r="27" spans="1:12" x14ac:dyDescent="0.25">
      <c r="A27" s="14">
        <f>'Kwh Reading'!A27</f>
        <v>44372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Reading'!A28</f>
        <v>44373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Reading'!A29</f>
        <v>44374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Reading'!A30</f>
        <v>44375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Reading'!A31</f>
        <v>44376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Reading'!A32</f>
        <v>44377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Reading'!A33</f>
        <v>44378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3">
        <f>SUM(B3:B33)</f>
        <v>530650.00000000047</v>
      </c>
      <c r="C34" s="73">
        <f>SUM(C3:C33)</f>
        <v>-407660</v>
      </c>
      <c r="D34" s="73">
        <f t="shared" ref="D34:L34" si="1">SUM(D3:D33)</f>
        <v>-2308100</v>
      </c>
      <c r="E34" s="73">
        <f t="shared" si="1"/>
        <v>-222830.00000000003</v>
      </c>
      <c r="F34" s="73">
        <f t="shared" si="1"/>
        <v>-872610</v>
      </c>
      <c r="G34" s="73">
        <f t="shared" si="1"/>
        <v>-259980</v>
      </c>
      <c r="H34" s="73">
        <f t="shared" si="1"/>
        <v>-1167870</v>
      </c>
      <c r="I34" s="73">
        <f t="shared" si="1"/>
        <v>-3295820</v>
      </c>
      <c r="J34" s="73">
        <f t="shared" si="1"/>
        <v>-15494502.770000001</v>
      </c>
      <c r="K34" s="73">
        <f t="shared" si="1"/>
        <v>-144040</v>
      </c>
      <c r="L34" s="73">
        <f t="shared" si="1"/>
        <v>24704062.770000003</v>
      </c>
      <c r="M34" s="81">
        <f>C34+D34+E34+F34+G34+H34+I34+J34+K34+L34</f>
        <v>530650</v>
      </c>
    </row>
    <row r="36" spans="1:13" ht="15.75" x14ac:dyDescent="0.25">
      <c r="A36" s="82" t="s">
        <v>62</v>
      </c>
      <c r="B36" s="83">
        <f>TOTAL!F2</f>
        <v>0.14000000000000001</v>
      </c>
      <c r="C36" s="73">
        <f>C34*B36</f>
        <v>-57072.400000000009</v>
      </c>
      <c r="D36" s="73">
        <f>D34*B36</f>
        <v>-323134.00000000006</v>
      </c>
      <c r="E36" s="73">
        <f>E34*B36</f>
        <v>-31196.200000000008</v>
      </c>
      <c r="F36" s="73">
        <f>F34*B36</f>
        <v>-122165.40000000001</v>
      </c>
      <c r="G36" s="73">
        <f>G34*B36</f>
        <v>-36397.200000000004</v>
      </c>
      <c r="H36" s="73">
        <f>H34*B36</f>
        <v>-163501.80000000002</v>
      </c>
      <c r="I36" s="73">
        <f>I34*B36</f>
        <v>-461414.80000000005</v>
      </c>
      <c r="J36" s="73">
        <f>J34*B36</f>
        <v>-2169230.3878000006</v>
      </c>
      <c r="K36" s="73">
        <f>K34*B36</f>
        <v>-20165.600000000002</v>
      </c>
      <c r="L36" s="73">
        <f>L34*B36</f>
        <v>3458568.787800001</v>
      </c>
      <c r="M36" s="81">
        <f>C36+D36+E36+F36+G36+H36+I36+J36+K36+L36</f>
        <v>74291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Reading'!A3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Reading'!A4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Reading'!A5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Reading'!A6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Reading'!A7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Reading'!A8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Reading'!A9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Reading'!A10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Reading'!A11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Reading'!A12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Reading'!A13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Reading'!A14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Reading'!A15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Reading'!A16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Reading'!A17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Reading'!A18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Reading'!A19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Reading'!A20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Reading'!A21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Reading'!A22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Reading'!A23</f>
        <v>44368</v>
      </c>
      <c r="B23" s="11">
        <f>TOTAL!F22</f>
        <v>0.14000000000000001</v>
      </c>
      <c r="C23" s="11">
        <f>'Kwh Consumption'!B24*' Kwh area wise $ '!B23</f>
        <v>3399.1999999998689</v>
      </c>
      <c r="D23" s="1">
        <f>'Kwh Consumption'!C24*' Kwh area wise $ '!B23</f>
        <v>71.399999999998727</v>
      </c>
      <c r="E23" s="1">
        <f>'Kwh Consumption'!D24*' Kwh area wise $ '!B23</f>
        <v>350.00000000005474</v>
      </c>
      <c r="F23" s="1">
        <f>'Kwh Consumption'!E24*' Kwh area wise $ '!B23</f>
        <v>36.399999999998727</v>
      </c>
      <c r="G23" s="1">
        <f>('Kwh Consumption'!F24+'Kwh Consumption'!G24+'Kwh Consumption'!H24)*' Kwh area wise $ '!B23</f>
        <v>100.80000000000781</v>
      </c>
      <c r="H23" s="16">
        <f>('Kwh Consumption'!I24+'Kwh Consumption'!J24)*' Kwh area wise $ '!B23</f>
        <v>37.800000000003429</v>
      </c>
      <c r="I23" s="1">
        <f>('Kwh Consumption'!K24+'Kwh Consumption'!L24)*' Kwh area wise $ '!B23</f>
        <v>253.40000000000433</v>
      </c>
      <c r="J23" s="1">
        <f>('Kwh Consumption'!M24+'Kwh Consumption'!N24+'Kwh Consumption'!O24+'Kwh Consumption'!P24+'Kwh Consumption'!Q24+'Kwh Consumption'!R24)*' Kwh area wise $ '!B23</f>
        <v>684.59999999997433</v>
      </c>
      <c r="K23" s="1">
        <f>('Kwh Consumption'!S24+'Kwh Consumption'!T24)*' Kwh area wise $ '!B23</f>
        <v>916.64860000003137</v>
      </c>
      <c r="L23" s="1">
        <f>'Kwh Consumption'!U24*' Kwh area wise $ '!B23</f>
        <v>32.199999999998568</v>
      </c>
      <c r="M23" s="1">
        <f>'Kwh Consumption'!V24*' Kwh area wise $ '!B23</f>
        <v>915.9513999997971</v>
      </c>
    </row>
    <row r="24" spans="1:13" x14ac:dyDescent="0.25">
      <c r="A24" s="14">
        <f>'Kwh Reading'!A24</f>
        <v>44369</v>
      </c>
      <c r="B24" s="11">
        <f>TOTAL!F23</f>
        <v>0.14000000000000001</v>
      </c>
      <c r="C24" s="11">
        <f>'Kwh Consumption'!B25*' Kwh area wise $ '!B24</f>
        <v>3323.6000000000336</v>
      </c>
      <c r="D24" s="1">
        <f>'Kwh Consumption'!C25*' Kwh area wise $ '!B24</f>
        <v>65.80000000000382</v>
      </c>
      <c r="E24" s="1">
        <f>'Kwh Consumption'!D25*' Kwh area wise $ '!B24</f>
        <v>349.99999999999261</v>
      </c>
      <c r="F24" s="1">
        <f>'Kwh Consumption'!E25*' Kwh area wise $ '!B24</f>
        <v>33.600000000001273</v>
      </c>
      <c r="G24" s="1">
        <f>('Kwh Consumption'!F25+'Kwh Consumption'!G25+'Kwh Consumption'!H25)*' Kwh area wise $ '!B24</f>
        <v>95.199999999993011</v>
      </c>
      <c r="H24" s="16">
        <f>('Kwh Consumption'!I25+'Kwh Consumption'!J25)*' Kwh area wise $ '!B24</f>
        <v>63.000000000000405</v>
      </c>
      <c r="I24" s="1">
        <f>('Kwh Consumption'!K25+'Kwh Consumption'!L25)*' Kwh area wise $ '!B24</f>
        <v>243.6000000000013</v>
      </c>
      <c r="J24" s="1">
        <f>('Kwh Consumption'!M25+'Kwh Consumption'!N25+'Kwh Consumption'!O25+'Kwh Consumption'!P25+'Kwh Consumption'!Q25+'Kwh Consumption'!R25)*' Kwh area wise $ '!B24</f>
        <v>683.20000000001539</v>
      </c>
      <c r="K24" s="1">
        <f>('Kwh Consumption'!S25+'Kwh Consumption'!T25)*' Kwh area wise $ '!B24</f>
        <v>885.29560000000527</v>
      </c>
      <c r="L24" s="1">
        <f>'Kwh Consumption'!U25*' Kwh area wise $ '!B24</f>
        <v>27.999999999998412</v>
      </c>
      <c r="M24" s="1">
        <f>'Kwh Consumption'!V25*' Kwh area wise $ '!B24</f>
        <v>875.90440000002241</v>
      </c>
    </row>
    <row r="25" spans="1:13" x14ac:dyDescent="0.25">
      <c r="A25" s="14">
        <f>'Kwh Reading'!A25</f>
        <v>44370</v>
      </c>
      <c r="B25" s="11">
        <f>TOTAL!F24</f>
        <v>0.14000000000000001</v>
      </c>
      <c r="C25" s="11">
        <f>'Kwh Consumption'!B26*' Kwh area wise $ '!B25</f>
        <v>3204.600000000014</v>
      </c>
      <c r="D25" s="1">
        <f>'Kwh Consumption'!C26*' Kwh area wise $ '!B25</f>
        <v>62.999999999998415</v>
      </c>
      <c r="E25" s="1">
        <f>'Kwh Consumption'!D26*' Kwh area wise $ '!B25</f>
        <v>-13650.000000000022</v>
      </c>
      <c r="F25" s="1">
        <f>'Kwh Consumption'!E26*' Kwh area wise $ '!B25</f>
        <v>33.599999999997294</v>
      </c>
      <c r="G25" s="1">
        <f>('Kwh Consumption'!F26+'Kwh Consumption'!G26+'Kwh Consumption'!H26)*' Kwh area wise $ '!B25</f>
        <v>98.000000000006381</v>
      </c>
      <c r="H25" s="16">
        <f>('Kwh Consumption'!I26+'Kwh Consumption'!J26)*' Kwh area wise $ '!B25</f>
        <v>64.399999999997135</v>
      </c>
      <c r="I25" s="1">
        <f>('Kwh Consumption'!K26+'Kwh Consumption'!L26)*' Kwh area wise $ '!B25</f>
        <v>238.00000000000639</v>
      </c>
      <c r="J25" s="1">
        <f>('Kwh Consumption'!M26+'Kwh Consumption'!N26+'Kwh Consumption'!O26+'Kwh Consumption'!P26+'Kwh Consumption'!Q26+'Kwh Consumption'!R26)*' Kwh area wise $ '!B25</f>
        <v>660.7999999999721</v>
      </c>
      <c r="K25" s="1">
        <f>('Kwh Consumption'!S26+'Kwh Consumption'!T26)*' Kwh area wise $ '!B25</f>
        <v>831.50760000010962</v>
      </c>
      <c r="L25" s="1">
        <f>'Kwh Consumption'!U26*' Kwh area wise $ '!B25</f>
        <v>42.000000000001599</v>
      </c>
      <c r="M25" s="1">
        <f>'Kwh Consumption'!V26*' Kwh area wise $ '!B25</f>
        <v>14823.292399999946</v>
      </c>
    </row>
    <row r="26" spans="1:13" x14ac:dyDescent="0.25">
      <c r="A26" s="14">
        <f>'Kwh Reading'!A26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-58485.000000000007</v>
      </c>
      <c r="E26" s="1">
        <f>'Kwh Consumption'!D27*' Kwh area wise $ '!B26</f>
        <v>-316946.00000000006</v>
      </c>
      <c r="F26" s="1">
        <f>'Kwh Consumption'!E27*' Kwh area wise $ '!B26</f>
        <v>-31917.200000000004</v>
      </c>
      <c r="G26" s="1">
        <f>('Kwh Consumption'!F27+'Kwh Consumption'!G27+'Kwh Consumption'!H27)*' Kwh area wise $ '!B26</f>
        <v>-124097.40000000001</v>
      </c>
      <c r="H26" s="16">
        <f>('Kwh Consumption'!I27+'Kwh Consumption'!J27)*' Kwh area wise $ '!B26</f>
        <v>-37802.800000000003</v>
      </c>
      <c r="I26" s="1">
        <f>('Kwh Consumption'!K27+'Kwh Consumption'!L27)*' Kwh area wise $ '!B26</f>
        <v>-168840.00000000003</v>
      </c>
      <c r="J26" s="1">
        <f>('Kwh Consumption'!M27+'Kwh Consumption'!N27+'Kwh Consumption'!O27+'Kwh Consumption'!P27+'Kwh Consumption'!Q27+'Kwh Consumption'!R27)*' Kwh area wise $ '!B26</f>
        <v>-477206.80000000005</v>
      </c>
      <c r="K26" s="1">
        <f>('Kwh Consumption'!S27+'Kwh Consumption'!T27)*' Kwh area wise $ '!B26</f>
        <v>-2187993.8864000007</v>
      </c>
      <c r="L26" s="1">
        <f>'Kwh Consumption'!U27*' Kwh area wise $ '!B26</f>
        <v>-20995.800000000003</v>
      </c>
      <c r="M26" s="1">
        <f>'Kwh Consumption'!V27*' Kwh area wise $ '!B26</f>
        <v>3424284.8864000007</v>
      </c>
    </row>
    <row r="27" spans="1:13" x14ac:dyDescent="0.25">
      <c r="A27" s="14">
        <f>'Kwh Reading'!A27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Reading'!A28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Reading'!A29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Reading'!A30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Reading'!A31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Reading'!A32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Reading'!A33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22" t="s">
        <v>51</v>
      </c>
      <c r="B34" s="122"/>
      <c r="C34" s="73">
        <f t="shared" ref="C34:L34" si="0">SUM(C3:C33)</f>
        <v>74678.8</v>
      </c>
      <c r="D34" s="73">
        <f t="shared" si="0"/>
        <v>-57072.400000000009</v>
      </c>
      <c r="E34" s="73">
        <f t="shared" si="0"/>
        <v>-323134.00000000006</v>
      </c>
      <c r="F34" s="73">
        <f t="shared" si="0"/>
        <v>-31196.200000000008</v>
      </c>
      <c r="G34" s="73">
        <f t="shared" si="0"/>
        <v>-122165.40000000001</v>
      </c>
      <c r="H34" s="73">
        <f t="shared" si="0"/>
        <v>-36397.200000000004</v>
      </c>
      <c r="I34" s="73">
        <f t="shared" si="0"/>
        <v>-163501.80000000002</v>
      </c>
      <c r="J34" s="73">
        <f t="shared" si="0"/>
        <v>-461414.80000000005</v>
      </c>
      <c r="K34" s="73">
        <f t="shared" si="0"/>
        <v>-2169230.3878000006</v>
      </c>
      <c r="L34" s="73">
        <f t="shared" si="0"/>
        <v>-20165.600000000002</v>
      </c>
      <c r="M34" s="73">
        <f>SUM(M3:M33)</f>
        <v>3458956.5878000008</v>
      </c>
      <c r="N34" s="81">
        <f>D34+E34+F34+G34+H34+I34+J34+K34+L34+M34</f>
        <v>74678.799999999814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" sqref="B2:R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50" t="s">
        <v>92</v>
      </c>
      <c r="E2" s="50" t="s">
        <v>93</v>
      </c>
      <c r="F2" s="50" t="s">
        <v>94</v>
      </c>
      <c r="G2" s="50" t="s">
        <v>95</v>
      </c>
      <c r="H2" s="50" t="s">
        <v>96</v>
      </c>
      <c r="I2" s="50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44348</v>
      </c>
      <c r="B3" s="32">
        <v>160897</v>
      </c>
      <c r="C3" s="54">
        <v>121531</v>
      </c>
      <c r="D3" s="32">
        <v>204645</v>
      </c>
      <c r="E3" s="32">
        <v>245992</v>
      </c>
      <c r="F3" s="32">
        <v>66906</v>
      </c>
      <c r="G3" s="32">
        <v>111170</v>
      </c>
      <c r="H3" s="32">
        <v>51028</v>
      </c>
      <c r="I3" s="32">
        <v>62884</v>
      </c>
      <c r="J3" s="32">
        <v>19755</v>
      </c>
      <c r="K3" s="32">
        <v>1024</v>
      </c>
      <c r="L3" s="32">
        <v>17035</v>
      </c>
      <c r="M3" s="32">
        <v>23724</v>
      </c>
      <c r="N3" s="32">
        <v>7075</v>
      </c>
      <c r="O3" s="32">
        <v>1640</v>
      </c>
      <c r="P3" s="32">
        <v>26689</v>
      </c>
      <c r="Q3" s="32">
        <v>503</v>
      </c>
      <c r="R3" s="32">
        <v>6107</v>
      </c>
    </row>
    <row r="4" spans="1:21" x14ac:dyDescent="0.25">
      <c r="A4" s="52">
        <v>44349</v>
      </c>
      <c r="B4" s="54">
        <v>161062</v>
      </c>
      <c r="C4" s="54">
        <v>121808</v>
      </c>
      <c r="D4" s="53">
        <v>204812</v>
      </c>
      <c r="E4" s="53">
        <v>246049</v>
      </c>
      <c r="F4" s="53">
        <v>66907</v>
      </c>
      <c r="G4" s="53">
        <v>111184</v>
      </c>
      <c r="H4" s="32">
        <v>51123</v>
      </c>
      <c r="I4" s="53">
        <v>63020</v>
      </c>
      <c r="J4" s="53">
        <v>19768</v>
      </c>
      <c r="K4" s="53">
        <v>1024</v>
      </c>
      <c r="L4" s="53">
        <v>17042</v>
      </c>
      <c r="M4" s="53">
        <v>23739</v>
      </c>
      <c r="N4" s="53">
        <v>7078</v>
      </c>
      <c r="O4" s="53">
        <v>1641</v>
      </c>
      <c r="P4" s="53">
        <v>26789</v>
      </c>
      <c r="Q4" s="32">
        <v>505.3</v>
      </c>
      <c r="R4" s="53">
        <v>6111</v>
      </c>
    </row>
    <row r="5" spans="1:21" x14ac:dyDescent="0.25">
      <c r="A5" s="52">
        <v>44350</v>
      </c>
      <c r="B5" s="53">
        <v>161221</v>
      </c>
      <c r="C5" s="32">
        <v>121993</v>
      </c>
      <c r="D5" s="53">
        <v>205001</v>
      </c>
      <c r="E5" s="53">
        <v>246104</v>
      </c>
      <c r="F5" s="53">
        <v>66907</v>
      </c>
      <c r="G5" s="53">
        <v>111198</v>
      </c>
      <c r="H5" s="32">
        <v>51231</v>
      </c>
      <c r="I5" s="53">
        <v>63032</v>
      </c>
      <c r="J5" s="53">
        <v>19781</v>
      </c>
      <c r="K5" s="53">
        <v>1024</v>
      </c>
      <c r="L5" s="53">
        <v>17047</v>
      </c>
      <c r="M5" s="53">
        <v>23755</v>
      </c>
      <c r="N5" s="53">
        <v>7082</v>
      </c>
      <c r="O5" s="53">
        <v>1642</v>
      </c>
      <c r="P5" s="53">
        <v>26789</v>
      </c>
      <c r="Q5" s="32">
        <v>513.70000000000005</v>
      </c>
      <c r="R5" s="53">
        <v>6116</v>
      </c>
    </row>
    <row r="6" spans="1:21" x14ac:dyDescent="0.25">
      <c r="A6" s="52">
        <v>44351</v>
      </c>
      <c r="B6" s="54">
        <v>161337</v>
      </c>
      <c r="C6" s="54">
        <v>122122</v>
      </c>
      <c r="D6" s="53">
        <v>205144</v>
      </c>
      <c r="E6" s="53">
        <v>246168</v>
      </c>
      <c r="F6" s="53">
        <v>66908</v>
      </c>
      <c r="G6" s="53">
        <v>111214</v>
      </c>
      <c r="H6" s="32">
        <v>51312</v>
      </c>
      <c r="I6" s="53">
        <v>63057</v>
      </c>
      <c r="J6" s="53">
        <v>19794</v>
      </c>
      <c r="K6" s="53">
        <v>1024</v>
      </c>
      <c r="L6" s="53">
        <v>17054</v>
      </c>
      <c r="M6" s="53">
        <v>23777</v>
      </c>
      <c r="N6" s="53">
        <v>7085</v>
      </c>
      <c r="O6" s="53">
        <v>1643</v>
      </c>
      <c r="P6" s="53">
        <v>26795</v>
      </c>
      <c r="Q6" s="32">
        <v>515</v>
      </c>
      <c r="R6" s="53">
        <v>6122</v>
      </c>
    </row>
    <row r="7" spans="1:21" x14ac:dyDescent="0.25">
      <c r="A7" s="52">
        <v>44352</v>
      </c>
      <c r="B7" s="54">
        <v>161532</v>
      </c>
      <c r="C7" s="32">
        <v>122374</v>
      </c>
      <c r="D7" s="53">
        <v>205336</v>
      </c>
      <c r="E7" s="53">
        <v>246233</v>
      </c>
      <c r="F7" s="53">
        <v>66908</v>
      </c>
      <c r="G7" s="53">
        <v>111227</v>
      </c>
      <c r="H7" s="32">
        <v>51318</v>
      </c>
      <c r="I7" s="53">
        <v>63066</v>
      </c>
      <c r="J7" s="53">
        <v>19809</v>
      </c>
      <c r="K7" s="53">
        <v>1024</v>
      </c>
      <c r="L7" s="53">
        <v>17061</v>
      </c>
      <c r="M7" s="53">
        <v>23784</v>
      </c>
      <c r="N7" s="53">
        <v>7087</v>
      </c>
      <c r="O7" s="53">
        <v>1644</v>
      </c>
      <c r="P7" s="53">
        <v>26799</v>
      </c>
      <c r="Q7" s="32">
        <v>579</v>
      </c>
      <c r="R7" s="53">
        <v>6124</v>
      </c>
    </row>
    <row r="8" spans="1:21" x14ac:dyDescent="0.25">
      <c r="A8" s="52">
        <v>44353</v>
      </c>
      <c r="B8" s="32">
        <v>161708</v>
      </c>
      <c r="C8" s="54">
        <v>122553</v>
      </c>
      <c r="D8" s="53">
        <v>205574</v>
      </c>
      <c r="E8" s="53">
        <v>246298</v>
      </c>
      <c r="F8" s="53">
        <v>66909</v>
      </c>
      <c r="G8" s="53">
        <v>111235</v>
      </c>
      <c r="H8" s="32">
        <v>51441</v>
      </c>
      <c r="I8" s="53">
        <v>63089</v>
      </c>
      <c r="J8" s="53">
        <v>19825</v>
      </c>
      <c r="K8" s="53">
        <v>1024</v>
      </c>
      <c r="L8" s="53">
        <v>17067</v>
      </c>
      <c r="M8" s="53">
        <v>23797</v>
      </c>
      <c r="N8" s="53">
        <v>7092</v>
      </c>
      <c r="O8" s="53">
        <v>1645</v>
      </c>
      <c r="P8" s="53">
        <v>26812</v>
      </c>
      <c r="Q8" s="32">
        <v>521</v>
      </c>
      <c r="R8" s="53">
        <v>6128</v>
      </c>
    </row>
    <row r="9" spans="1:21" x14ac:dyDescent="0.25">
      <c r="A9" s="52">
        <v>44354</v>
      </c>
      <c r="B9" s="32">
        <v>162036</v>
      </c>
      <c r="C9" s="32">
        <v>122867</v>
      </c>
      <c r="D9" s="53">
        <v>205728</v>
      </c>
      <c r="E9" s="53">
        <v>246365</v>
      </c>
      <c r="F9" s="53">
        <v>66910</v>
      </c>
      <c r="G9" s="53">
        <v>111253</v>
      </c>
      <c r="H9" s="32">
        <v>51517</v>
      </c>
      <c r="I9" s="53">
        <v>63119</v>
      </c>
      <c r="J9" s="53">
        <v>19841</v>
      </c>
      <c r="K9" s="53">
        <v>1024</v>
      </c>
      <c r="L9" s="53">
        <v>17074</v>
      </c>
      <c r="M9" s="53">
        <v>23813</v>
      </c>
      <c r="N9" s="53">
        <v>7094</v>
      </c>
      <c r="O9" s="53">
        <v>1646</v>
      </c>
      <c r="P9" s="53">
        <v>26830</v>
      </c>
      <c r="Q9" s="32">
        <v>529</v>
      </c>
      <c r="R9" s="53">
        <v>6131</v>
      </c>
    </row>
    <row r="10" spans="1:21" x14ac:dyDescent="0.25">
      <c r="A10" s="52">
        <v>44355</v>
      </c>
      <c r="B10" s="32">
        <v>162367</v>
      </c>
      <c r="C10" s="54">
        <v>123131</v>
      </c>
      <c r="D10" s="53">
        <v>205904</v>
      </c>
      <c r="E10" s="53">
        <v>246437</v>
      </c>
      <c r="F10" s="53">
        <v>66911</v>
      </c>
      <c r="G10" s="53">
        <v>111266</v>
      </c>
      <c r="H10" s="32">
        <v>51598</v>
      </c>
      <c r="I10" s="53">
        <v>63140</v>
      </c>
      <c r="J10" s="53">
        <v>19857</v>
      </c>
      <c r="K10" s="53">
        <v>1024</v>
      </c>
      <c r="L10" s="53">
        <v>17080</v>
      </c>
      <c r="M10" s="53">
        <v>238298</v>
      </c>
      <c r="N10" s="53">
        <v>7099</v>
      </c>
      <c r="O10" s="53">
        <v>1646</v>
      </c>
      <c r="P10" s="53">
        <v>26837</v>
      </c>
      <c r="Q10" s="32">
        <v>535</v>
      </c>
      <c r="R10" s="53">
        <v>6135</v>
      </c>
    </row>
    <row r="11" spans="1:21" x14ac:dyDescent="0.25">
      <c r="A11" s="52">
        <v>44356</v>
      </c>
      <c r="B11" s="32">
        <v>162677</v>
      </c>
      <c r="C11" s="32">
        <v>123466</v>
      </c>
      <c r="D11" s="53">
        <v>206120</v>
      </c>
      <c r="E11" s="53">
        <v>246505</v>
      </c>
      <c r="F11" s="53">
        <v>66912</v>
      </c>
      <c r="G11" s="53">
        <v>111278</v>
      </c>
      <c r="H11" s="32">
        <v>51665</v>
      </c>
      <c r="I11" s="53">
        <v>63148</v>
      </c>
      <c r="J11" s="53">
        <v>19873</v>
      </c>
      <c r="K11" s="53">
        <v>1024</v>
      </c>
      <c r="L11" s="53">
        <v>17087</v>
      </c>
      <c r="M11" s="53">
        <v>23843</v>
      </c>
      <c r="N11" s="53">
        <v>7110</v>
      </c>
      <c r="O11" s="53">
        <v>1649</v>
      </c>
      <c r="P11" s="53">
        <v>26837</v>
      </c>
      <c r="Q11" s="32">
        <v>536</v>
      </c>
      <c r="R11" s="53">
        <v>6138</v>
      </c>
    </row>
    <row r="12" spans="1:21" x14ac:dyDescent="0.25">
      <c r="A12" s="52">
        <v>44357</v>
      </c>
      <c r="B12" s="32">
        <v>162883</v>
      </c>
      <c r="C12" s="54">
        <v>123604</v>
      </c>
      <c r="D12" s="53">
        <v>206277</v>
      </c>
      <c r="E12" s="53">
        <v>246570</v>
      </c>
      <c r="F12" s="53">
        <v>66913</v>
      </c>
      <c r="G12" s="53">
        <v>111291</v>
      </c>
      <c r="H12" s="32">
        <v>51724</v>
      </c>
      <c r="I12" s="53">
        <v>63173</v>
      </c>
      <c r="J12" s="53">
        <v>19890</v>
      </c>
      <c r="K12" s="53">
        <v>1024</v>
      </c>
      <c r="L12" s="53">
        <v>17094</v>
      </c>
      <c r="M12" s="53">
        <v>23858</v>
      </c>
      <c r="N12" s="53">
        <v>7118</v>
      </c>
      <c r="O12" s="53">
        <v>1650</v>
      </c>
      <c r="P12" s="53">
        <v>26852</v>
      </c>
      <c r="Q12" s="32">
        <v>541</v>
      </c>
      <c r="R12" s="53">
        <v>6142</v>
      </c>
    </row>
    <row r="13" spans="1:21" x14ac:dyDescent="0.25">
      <c r="A13" s="52">
        <v>44358</v>
      </c>
      <c r="B13" s="32">
        <v>163035</v>
      </c>
      <c r="C13" s="32">
        <v>123927</v>
      </c>
      <c r="D13" s="53">
        <v>206400</v>
      </c>
      <c r="E13" s="53">
        <v>246636</v>
      </c>
      <c r="F13" s="53">
        <v>66913</v>
      </c>
      <c r="G13" s="53">
        <v>111309</v>
      </c>
      <c r="H13" s="32">
        <v>51793</v>
      </c>
      <c r="I13" s="53">
        <v>63197</v>
      </c>
      <c r="J13" s="53">
        <v>19906</v>
      </c>
      <c r="K13" s="53">
        <v>1024</v>
      </c>
      <c r="L13" s="53">
        <v>17100</v>
      </c>
      <c r="M13" s="53">
        <v>23877</v>
      </c>
      <c r="N13" s="53">
        <v>7131</v>
      </c>
      <c r="O13" s="53">
        <v>1652</v>
      </c>
      <c r="P13" s="53">
        <v>26859</v>
      </c>
      <c r="Q13" s="32">
        <v>542</v>
      </c>
      <c r="R13" s="53">
        <v>6146</v>
      </c>
    </row>
    <row r="14" spans="1:21" x14ac:dyDescent="0.25">
      <c r="A14" s="52">
        <v>44359</v>
      </c>
      <c r="B14" s="32">
        <v>163126</v>
      </c>
      <c r="C14" s="54">
        <v>124130</v>
      </c>
      <c r="D14" s="53">
        <v>206514</v>
      </c>
      <c r="E14" s="53">
        <v>246698</v>
      </c>
      <c r="F14" s="53">
        <v>66914</v>
      </c>
      <c r="G14" s="53">
        <v>111326</v>
      </c>
      <c r="H14" s="32">
        <v>51856</v>
      </c>
      <c r="I14" s="53">
        <v>63216</v>
      </c>
      <c r="J14" s="53">
        <v>19924</v>
      </c>
      <c r="K14" s="53">
        <v>1024</v>
      </c>
      <c r="L14" s="53">
        <v>17107</v>
      </c>
      <c r="M14" s="53">
        <v>23888</v>
      </c>
      <c r="N14" s="53">
        <v>7140</v>
      </c>
      <c r="O14" s="53">
        <v>1652</v>
      </c>
      <c r="P14" s="53">
        <v>26863</v>
      </c>
      <c r="Q14" s="32">
        <v>544</v>
      </c>
      <c r="R14" s="53">
        <v>6147</v>
      </c>
    </row>
    <row r="15" spans="1:21" x14ac:dyDescent="0.25">
      <c r="A15" s="52">
        <v>44360</v>
      </c>
      <c r="B15" s="32">
        <v>164135</v>
      </c>
      <c r="C15" s="32">
        <v>124437</v>
      </c>
      <c r="D15" s="53">
        <v>206612</v>
      </c>
      <c r="E15" s="53">
        <v>246756</v>
      </c>
      <c r="F15" s="53">
        <v>66915</v>
      </c>
      <c r="G15" s="53">
        <v>111340</v>
      </c>
      <c r="H15" s="32">
        <v>51921</v>
      </c>
      <c r="I15" s="53">
        <v>63243</v>
      </c>
      <c r="J15" s="53">
        <v>19941</v>
      </c>
      <c r="K15" s="53">
        <v>1024</v>
      </c>
      <c r="L15" s="53">
        <v>17113</v>
      </c>
      <c r="M15" s="53">
        <v>23902</v>
      </c>
      <c r="N15" s="53">
        <v>7152</v>
      </c>
      <c r="O15" s="53">
        <v>1652</v>
      </c>
      <c r="P15" s="53">
        <v>26879</v>
      </c>
      <c r="Q15" s="32">
        <v>551</v>
      </c>
      <c r="R15" s="53">
        <v>6153</v>
      </c>
      <c r="T15" s="104"/>
      <c r="U15" s="104"/>
    </row>
    <row r="16" spans="1:21" x14ac:dyDescent="0.25">
      <c r="A16" s="52">
        <v>44361</v>
      </c>
      <c r="B16" s="32">
        <v>164329</v>
      </c>
      <c r="C16" s="54">
        <v>124453</v>
      </c>
      <c r="D16" s="53">
        <v>206833</v>
      </c>
      <c r="E16" s="53">
        <v>246819</v>
      </c>
      <c r="F16" s="53">
        <v>66916</v>
      </c>
      <c r="G16" s="53">
        <v>111358</v>
      </c>
      <c r="H16" s="32">
        <v>51927</v>
      </c>
      <c r="I16" s="53">
        <v>63278</v>
      </c>
      <c r="J16" s="53">
        <v>19960</v>
      </c>
      <c r="K16" s="53">
        <v>1024</v>
      </c>
      <c r="L16" s="53">
        <v>17121</v>
      </c>
      <c r="M16" s="53">
        <v>23915</v>
      </c>
      <c r="N16" s="53">
        <v>7166</v>
      </c>
      <c r="O16" s="53">
        <v>1653</v>
      </c>
      <c r="P16" s="53">
        <v>26891</v>
      </c>
      <c r="Q16" s="32">
        <v>556</v>
      </c>
      <c r="R16" s="53">
        <v>6158</v>
      </c>
    </row>
    <row r="17" spans="1:22" x14ac:dyDescent="0.25">
      <c r="A17" s="52">
        <v>44362</v>
      </c>
      <c r="B17" s="32">
        <v>164560</v>
      </c>
      <c r="C17" s="32">
        <v>124460</v>
      </c>
      <c r="D17" s="53">
        <v>206953</v>
      </c>
      <c r="E17" s="53">
        <v>246873</v>
      </c>
      <c r="F17" s="53">
        <v>66917</v>
      </c>
      <c r="G17" s="53">
        <v>111373</v>
      </c>
      <c r="H17" s="32">
        <v>52048</v>
      </c>
      <c r="I17" s="53">
        <v>63304</v>
      </c>
      <c r="J17" s="53">
        <v>19978</v>
      </c>
      <c r="K17" s="53">
        <v>1024</v>
      </c>
      <c r="L17" s="53">
        <v>17127</v>
      </c>
      <c r="M17" s="53">
        <v>23928</v>
      </c>
      <c r="N17" s="53">
        <v>7176</v>
      </c>
      <c r="O17" s="53">
        <v>1654</v>
      </c>
      <c r="P17" s="53">
        <v>26901</v>
      </c>
      <c r="Q17" s="32">
        <v>562</v>
      </c>
      <c r="R17" s="53">
        <v>6161</v>
      </c>
    </row>
    <row r="18" spans="1:22" x14ac:dyDescent="0.25">
      <c r="A18" s="52">
        <v>44363</v>
      </c>
      <c r="B18" s="32">
        <v>164877</v>
      </c>
      <c r="C18" s="54">
        <v>124468</v>
      </c>
      <c r="D18" s="53">
        <v>207095</v>
      </c>
      <c r="E18" s="53">
        <v>246932</v>
      </c>
      <c r="F18" s="53">
        <v>66918</v>
      </c>
      <c r="G18" s="53">
        <v>111388</v>
      </c>
      <c r="H18" s="32">
        <v>52143</v>
      </c>
      <c r="I18" s="53">
        <v>63329</v>
      </c>
      <c r="J18" s="32">
        <v>19996</v>
      </c>
      <c r="K18" s="53">
        <v>1024</v>
      </c>
      <c r="L18" s="53">
        <v>17133</v>
      </c>
      <c r="M18" s="53">
        <v>23944</v>
      </c>
      <c r="N18" s="53">
        <v>7187</v>
      </c>
      <c r="O18" s="53">
        <v>1655</v>
      </c>
      <c r="P18" s="53">
        <v>26915</v>
      </c>
      <c r="Q18" s="32">
        <v>563</v>
      </c>
      <c r="R18" s="53">
        <v>6165</v>
      </c>
      <c r="U18" s="104"/>
    </row>
    <row r="19" spans="1:22" x14ac:dyDescent="0.25">
      <c r="A19" s="52">
        <v>44364</v>
      </c>
      <c r="B19" s="32">
        <v>165030</v>
      </c>
      <c r="C19" s="32">
        <v>125197</v>
      </c>
      <c r="D19" s="53">
        <v>207244</v>
      </c>
      <c r="E19" s="53">
        <v>246994</v>
      </c>
      <c r="F19" s="53">
        <v>66919</v>
      </c>
      <c r="G19" s="53">
        <v>111404</v>
      </c>
      <c r="H19" s="32">
        <v>52210</v>
      </c>
      <c r="I19" s="53">
        <v>63340</v>
      </c>
      <c r="J19" s="53">
        <v>20013</v>
      </c>
      <c r="K19" s="53">
        <v>1024</v>
      </c>
      <c r="L19" s="53">
        <v>17140</v>
      </c>
      <c r="M19" s="53">
        <v>23959</v>
      </c>
      <c r="N19" s="53">
        <v>7197</v>
      </c>
      <c r="O19" s="53">
        <v>1656</v>
      </c>
      <c r="P19" s="53">
        <v>26915</v>
      </c>
      <c r="Q19" s="32">
        <v>571</v>
      </c>
      <c r="R19" s="53">
        <v>6170</v>
      </c>
    </row>
    <row r="20" spans="1:22" x14ac:dyDescent="0.25">
      <c r="A20" s="52">
        <v>44365</v>
      </c>
      <c r="B20" s="32">
        <v>165111</v>
      </c>
      <c r="C20" s="54">
        <v>125439</v>
      </c>
      <c r="D20" s="10">
        <v>207405</v>
      </c>
      <c r="E20" s="53">
        <v>247090</v>
      </c>
      <c r="F20" s="53">
        <v>66919</v>
      </c>
      <c r="G20" s="53">
        <v>111422</v>
      </c>
      <c r="H20" s="32">
        <v>52252</v>
      </c>
      <c r="I20" s="53">
        <v>63371</v>
      </c>
      <c r="J20" s="53">
        <v>20034</v>
      </c>
      <c r="K20" s="53">
        <v>1024</v>
      </c>
      <c r="L20" s="53">
        <v>17144</v>
      </c>
      <c r="M20" s="53">
        <v>23976</v>
      </c>
      <c r="N20" s="53">
        <v>7205</v>
      </c>
      <c r="O20" s="53">
        <v>1657</v>
      </c>
      <c r="P20" s="53">
        <v>26930</v>
      </c>
      <c r="Q20" s="32">
        <v>577</v>
      </c>
      <c r="R20" s="53">
        <v>6174</v>
      </c>
    </row>
    <row r="21" spans="1:22" x14ac:dyDescent="0.25">
      <c r="A21" s="52">
        <v>44366</v>
      </c>
      <c r="B21" s="32">
        <v>165363</v>
      </c>
      <c r="C21" s="32">
        <v>125484</v>
      </c>
      <c r="D21" s="53">
        <v>207548</v>
      </c>
      <c r="E21" s="53">
        <v>247193</v>
      </c>
      <c r="F21" s="53">
        <v>66921</v>
      </c>
      <c r="G21" s="53">
        <v>111439</v>
      </c>
      <c r="H21" s="32">
        <v>52307</v>
      </c>
      <c r="I21" s="53">
        <v>63384</v>
      </c>
      <c r="J21" s="53">
        <v>20050</v>
      </c>
      <c r="K21" s="53">
        <v>1024</v>
      </c>
      <c r="L21" s="53">
        <v>17150</v>
      </c>
      <c r="M21" s="53">
        <v>23983</v>
      </c>
      <c r="N21" s="53">
        <v>7213</v>
      </c>
      <c r="O21" s="53">
        <v>1658</v>
      </c>
      <c r="P21" s="53">
        <v>26930</v>
      </c>
      <c r="Q21" s="32">
        <v>579</v>
      </c>
      <c r="R21" s="53">
        <v>6175</v>
      </c>
    </row>
    <row r="22" spans="1:22" x14ac:dyDescent="0.25">
      <c r="A22" s="52">
        <v>44367</v>
      </c>
      <c r="B22" s="32">
        <v>165531</v>
      </c>
      <c r="C22" s="54">
        <v>125812</v>
      </c>
      <c r="D22" s="53">
        <v>207687</v>
      </c>
      <c r="E22" s="53">
        <v>247244</v>
      </c>
      <c r="F22" s="53">
        <v>66922</v>
      </c>
      <c r="G22" s="53">
        <v>111453</v>
      </c>
      <c r="H22" s="32">
        <v>52382</v>
      </c>
      <c r="I22" s="53">
        <v>63411</v>
      </c>
      <c r="J22" s="53">
        <v>20067</v>
      </c>
      <c r="K22" s="53">
        <v>1024</v>
      </c>
      <c r="L22" s="53">
        <v>17157</v>
      </c>
      <c r="M22" s="53">
        <v>23998</v>
      </c>
      <c r="N22" s="53">
        <v>7223</v>
      </c>
      <c r="O22" s="53">
        <v>1659</v>
      </c>
      <c r="P22" s="53">
        <v>26942</v>
      </c>
      <c r="Q22" s="32">
        <v>580</v>
      </c>
      <c r="R22" s="53">
        <v>6180</v>
      </c>
    </row>
    <row r="23" spans="1:22" x14ac:dyDescent="0.25">
      <c r="A23" s="52">
        <v>44368</v>
      </c>
      <c r="B23" s="32">
        <v>165625</v>
      </c>
      <c r="C23" s="32">
        <v>126142</v>
      </c>
      <c r="D23" s="53">
        <v>207832</v>
      </c>
      <c r="E23" s="53">
        <v>247297</v>
      </c>
      <c r="F23" s="53">
        <v>66922</v>
      </c>
      <c r="G23" s="53">
        <v>111469</v>
      </c>
      <c r="H23" s="32">
        <v>52440</v>
      </c>
      <c r="I23" s="53">
        <v>63436</v>
      </c>
      <c r="J23" s="53">
        <v>20087</v>
      </c>
      <c r="K23" s="53">
        <v>1024</v>
      </c>
      <c r="L23" s="53">
        <v>17163</v>
      </c>
      <c r="M23" s="53">
        <v>24108</v>
      </c>
      <c r="N23" s="53">
        <v>7237</v>
      </c>
      <c r="O23" s="53">
        <v>1659</v>
      </c>
      <c r="P23" s="53">
        <v>26954</v>
      </c>
      <c r="Q23" s="32">
        <v>591</v>
      </c>
      <c r="R23" s="53">
        <v>6186</v>
      </c>
    </row>
    <row r="24" spans="1:22" x14ac:dyDescent="0.25">
      <c r="A24" s="52">
        <v>44369</v>
      </c>
      <c r="B24" s="32">
        <v>165754</v>
      </c>
      <c r="C24" s="54">
        <v>126470</v>
      </c>
      <c r="D24" s="53">
        <v>207981</v>
      </c>
      <c r="E24" s="53">
        <v>247352</v>
      </c>
      <c r="F24" s="53">
        <v>66923</v>
      </c>
      <c r="G24" s="53">
        <v>111487</v>
      </c>
      <c r="H24" s="32">
        <v>52485</v>
      </c>
      <c r="I24" s="53">
        <v>63466</v>
      </c>
      <c r="J24" s="53">
        <v>20106</v>
      </c>
      <c r="K24" s="53">
        <v>1024</v>
      </c>
      <c r="L24" s="53">
        <v>17170</v>
      </c>
      <c r="M24" s="53">
        <v>24025</v>
      </c>
      <c r="N24" s="53">
        <v>7239</v>
      </c>
      <c r="O24" s="53">
        <v>1660</v>
      </c>
      <c r="P24" s="53">
        <v>26966</v>
      </c>
      <c r="Q24" s="32">
        <v>599</v>
      </c>
      <c r="R24" s="53">
        <v>6190</v>
      </c>
    </row>
    <row r="25" spans="1:22" x14ac:dyDescent="0.25">
      <c r="A25" s="52">
        <v>44370</v>
      </c>
      <c r="B25" s="32">
        <v>165909</v>
      </c>
      <c r="C25" s="32">
        <v>126525</v>
      </c>
      <c r="D25" s="53">
        <v>208153</v>
      </c>
      <c r="E25" s="53">
        <v>247420</v>
      </c>
      <c r="F25" s="53">
        <v>66924</v>
      </c>
      <c r="G25" s="53">
        <v>111503</v>
      </c>
      <c r="H25" s="32">
        <v>52559</v>
      </c>
      <c r="I25" s="53">
        <v>63479</v>
      </c>
      <c r="J25" s="53">
        <v>20125</v>
      </c>
      <c r="K25" s="53">
        <v>1024</v>
      </c>
      <c r="L25" s="53">
        <v>17175</v>
      </c>
      <c r="M25" s="53">
        <v>24040</v>
      </c>
      <c r="N25" s="53">
        <v>7247</v>
      </c>
      <c r="O25" s="53">
        <v>1662</v>
      </c>
      <c r="P25" s="53">
        <v>26966</v>
      </c>
      <c r="Q25" s="32">
        <v>601</v>
      </c>
      <c r="R25" s="53">
        <v>6196</v>
      </c>
    </row>
    <row r="26" spans="1:22" x14ac:dyDescent="0.25">
      <c r="A26" s="52">
        <v>44371</v>
      </c>
      <c r="B26" s="32">
        <v>166258</v>
      </c>
      <c r="C26" s="54">
        <v>126537</v>
      </c>
      <c r="D26" s="53">
        <v>208281</v>
      </c>
      <c r="E26" s="53">
        <v>247478</v>
      </c>
      <c r="F26" s="53">
        <v>66924</v>
      </c>
      <c r="G26" s="53">
        <v>111520</v>
      </c>
      <c r="H26" s="32">
        <v>52611</v>
      </c>
      <c r="I26" s="53">
        <v>63503</v>
      </c>
      <c r="J26" s="53">
        <v>20145</v>
      </c>
      <c r="K26" s="53">
        <v>1024</v>
      </c>
      <c r="L26" s="53">
        <v>17182</v>
      </c>
      <c r="M26" s="53">
        <v>24055</v>
      </c>
      <c r="N26" s="53">
        <v>7255</v>
      </c>
      <c r="O26" s="53">
        <v>1664</v>
      </c>
      <c r="P26" s="53">
        <v>26982</v>
      </c>
      <c r="Q26" s="32">
        <v>618</v>
      </c>
      <c r="R26" s="53">
        <v>6200</v>
      </c>
    </row>
    <row r="27" spans="1:22" x14ac:dyDescent="0.25">
      <c r="A27" s="52">
        <v>44372</v>
      </c>
      <c r="B27" s="32"/>
      <c r="C27" s="32"/>
      <c r="D27" s="53"/>
      <c r="E27" s="53"/>
      <c r="F27" s="53"/>
      <c r="G27" s="53"/>
      <c r="H27" s="32"/>
      <c r="I27" s="53"/>
      <c r="J27" s="53"/>
      <c r="K27" s="53"/>
      <c r="L27" s="53"/>
      <c r="M27" s="53"/>
      <c r="N27" s="53"/>
      <c r="O27" s="53"/>
      <c r="P27" s="53"/>
      <c r="Q27" s="32"/>
      <c r="R27" s="53"/>
    </row>
    <row r="28" spans="1:22" x14ac:dyDescent="0.25">
      <c r="A28" s="52">
        <v>44373</v>
      </c>
      <c r="B28" s="32"/>
      <c r="C28" s="54"/>
      <c r="D28" s="53"/>
      <c r="E28" s="53"/>
      <c r="F28" s="53"/>
      <c r="G28" s="53"/>
      <c r="H28" s="32"/>
      <c r="I28" s="53"/>
      <c r="J28" s="53"/>
      <c r="K28" s="53"/>
      <c r="L28" s="53"/>
      <c r="M28" s="53"/>
      <c r="N28" s="53"/>
      <c r="O28" s="53"/>
      <c r="P28" s="53"/>
      <c r="Q28" s="32"/>
      <c r="R28" s="53"/>
    </row>
    <row r="29" spans="1:22" x14ac:dyDescent="0.25">
      <c r="A29" s="52">
        <v>44374</v>
      </c>
      <c r="B29" s="32"/>
      <c r="C29" s="32"/>
      <c r="D29" s="53"/>
      <c r="E29" s="53"/>
      <c r="F29" s="53"/>
      <c r="G29" s="53"/>
      <c r="H29" s="32"/>
      <c r="J29" s="53"/>
      <c r="K29" s="53"/>
      <c r="L29" s="53"/>
      <c r="M29" s="53"/>
      <c r="N29" s="53"/>
      <c r="O29" s="53"/>
      <c r="P29" s="53"/>
      <c r="Q29" s="53"/>
      <c r="R29" s="53"/>
    </row>
    <row r="30" spans="1:22" x14ac:dyDescent="0.25">
      <c r="A30" s="52">
        <v>44375</v>
      </c>
      <c r="B30" s="32"/>
      <c r="C30" s="54"/>
      <c r="D30" s="53"/>
      <c r="E30" s="53"/>
      <c r="F30" s="53"/>
      <c r="G30" s="53"/>
      <c r="H30" s="32"/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 spans="1:22" x14ac:dyDescent="0.25">
      <c r="A31" s="52">
        <v>44376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44377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44378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27" t="s">
        <v>30</v>
      </c>
      <c r="B2" s="128" t="s">
        <v>107</v>
      </c>
      <c r="C2" s="128" t="s">
        <v>108</v>
      </c>
      <c r="D2" s="128"/>
      <c r="E2" s="129" t="s">
        <v>96</v>
      </c>
      <c r="F2" s="126"/>
      <c r="G2" s="123" t="s">
        <v>111</v>
      </c>
      <c r="H2" s="126"/>
      <c r="I2" s="123" t="s">
        <v>109</v>
      </c>
      <c r="J2" s="126"/>
      <c r="K2" s="123" t="s">
        <v>110</v>
      </c>
      <c r="L2" s="126"/>
      <c r="M2" s="123" t="s">
        <v>106</v>
      </c>
      <c r="N2" s="126"/>
      <c r="O2" s="123" t="s">
        <v>105</v>
      </c>
      <c r="P2" s="126"/>
      <c r="Q2" s="123" t="s">
        <v>112</v>
      </c>
      <c r="R2" s="126"/>
      <c r="S2" s="123" t="s">
        <v>113</v>
      </c>
      <c r="T2" s="126"/>
      <c r="U2" s="123" t="s">
        <v>114</v>
      </c>
      <c r="V2" s="126"/>
      <c r="W2" s="123" t="s">
        <v>98</v>
      </c>
      <c r="X2" s="124"/>
      <c r="Y2" s="125" t="s">
        <v>51</v>
      </c>
      <c r="Z2" s="125"/>
    </row>
    <row r="3" spans="1:26" ht="30" x14ac:dyDescent="0.35">
      <c r="A3" s="127"/>
      <c r="B3" s="128"/>
      <c r="C3" s="58" t="s">
        <v>115</v>
      </c>
      <c r="D3" s="58" t="s">
        <v>116</v>
      </c>
      <c r="E3" s="72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44348</v>
      </c>
      <c r="B4" s="63">
        <v>469</v>
      </c>
      <c r="C4" s="64">
        <f>('Water Reading'!B4-'Water Reading'!B3)+('Water Reading'!C4-'Water Reading'!C3)</f>
        <v>442</v>
      </c>
      <c r="D4" s="65">
        <f>C4/B4</f>
        <v>0.94243070362473347</v>
      </c>
      <c r="E4" s="85">
        <f>'Water Reading'!H4-'Water Reading'!H3</f>
        <v>95</v>
      </c>
      <c r="F4" s="86">
        <f>E4/C4</f>
        <v>0.21493212669683259</v>
      </c>
      <c r="G4" s="90">
        <f>('Water Reading'!D4-'Water Reading'!D3)-('Water Reading'!R4-'Water Reading'!R3)-('Water Reading'!Q4-'Water Reading'!Q3)</f>
        <v>160.69999999999999</v>
      </c>
      <c r="H4" s="86">
        <f>G4/C4</f>
        <v>0.36357466063348415</v>
      </c>
      <c r="I4" s="87">
        <f>'Water Reading'!P4-'Water Reading'!P3</f>
        <v>100</v>
      </c>
      <c r="J4" s="66">
        <f>I4/C4</f>
        <v>0.22624434389140272</v>
      </c>
      <c r="K4" s="88">
        <f>('Water Reading'!I4-'Water Reading'!I3)-('Water Reading'!P4-'Water Reading'!P3)</f>
        <v>36</v>
      </c>
      <c r="L4" s="66">
        <f>K4/C4</f>
        <v>8.1447963800904979E-2</v>
      </c>
      <c r="M4" s="87">
        <f>'Water Reading'!R4-'Water Reading'!R3</f>
        <v>4</v>
      </c>
      <c r="N4" s="89">
        <f>M4/C4</f>
        <v>9.0497737556561094E-3</v>
      </c>
      <c r="O4" s="87">
        <f>'Water Reading'!Q4-'Water Reading'!Q3</f>
        <v>2.3000000000000114</v>
      </c>
      <c r="P4" s="96">
        <f>O4/C4</f>
        <v>5.2036199095022882E-3</v>
      </c>
      <c r="Q4" s="88">
        <f>'Water Reading'!F4-'Water Reading'!F3</f>
        <v>1</v>
      </c>
      <c r="R4" s="97">
        <f>Q4/C4</f>
        <v>2.2624434389140274E-3</v>
      </c>
      <c r="S4" s="87">
        <f>'Water Reading'!E4-'Water Reading'!E3</f>
        <v>57</v>
      </c>
      <c r="T4" s="97">
        <f>S4/C4</f>
        <v>0.12895927601809956</v>
      </c>
      <c r="U4" s="87">
        <f>'Water Reading'!G4-'Water Reading'!G3</f>
        <v>14</v>
      </c>
      <c r="V4" s="97">
        <f>U4/C4</f>
        <v>3.1674208144796379E-2</v>
      </c>
      <c r="W4" s="87">
        <f>'Water Reading'!J4-'Water Reading'!J3</f>
        <v>13</v>
      </c>
      <c r="X4" s="97">
        <f>W4/C4</f>
        <v>2.9411764705882353E-2</v>
      </c>
      <c r="Y4" s="64">
        <f t="shared" ref="Y4:Y34" si="0">E4+I4+K4+M4+O4+G4+Q4+S4+U4+W4</f>
        <v>483</v>
      </c>
      <c r="Z4" s="65">
        <f t="shared" ref="Z4:Z35" si="1">Y4/B4</f>
        <v>1.0298507462686568</v>
      </c>
    </row>
    <row r="5" spans="1:26" x14ac:dyDescent="0.25">
      <c r="A5" s="8">
        <f>'Water Reading'!A4</f>
        <v>44349</v>
      </c>
      <c r="B5" s="63">
        <f>TOTAL!G3</f>
        <v>334</v>
      </c>
      <c r="C5" s="64">
        <f>('Water Reading'!B5-'Water Reading'!B4)+('Water Reading'!C5-'Water Reading'!C4)</f>
        <v>344</v>
      </c>
      <c r="D5" s="65">
        <f t="shared" ref="D5:D34" si="2">C5/B5</f>
        <v>1.0299401197604789</v>
      </c>
      <c r="E5" s="85">
        <f>'Water Reading'!H5-'Water Reading'!H4</f>
        <v>108</v>
      </c>
      <c r="F5" s="86">
        <f t="shared" ref="F5:F34" si="3">E5/C5</f>
        <v>0.31395348837209303</v>
      </c>
      <c r="G5" s="90">
        <f>('Water Reading'!D5-'Water Reading'!D4)-('Water Reading'!R5-'Water Reading'!R4)-('Water Reading'!Q5-'Water Reading'!Q4)</f>
        <v>175.59999999999997</v>
      </c>
      <c r="H5" s="86">
        <f t="shared" ref="H5:H34" si="4">G5/C5</f>
        <v>0.51046511627906965</v>
      </c>
      <c r="I5" s="87">
        <f>'Water Reading'!P5-'Water Reading'!P4</f>
        <v>0</v>
      </c>
      <c r="J5" s="66">
        <f t="shared" ref="J5:J34" si="5">I5/C5</f>
        <v>0</v>
      </c>
      <c r="K5" s="88">
        <f>('Water Reading'!I5-'Water Reading'!I4)-('Water Reading'!P5-'Water Reading'!P4)</f>
        <v>12</v>
      </c>
      <c r="L5" s="66">
        <f t="shared" ref="L5:L34" si="6">K5/C5</f>
        <v>3.4883720930232558E-2</v>
      </c>
      <c r="M5" s="87">
        <f>'Water Reading'!R5-'Water Reading'!R4</f>
        <v>5</v>
      </c>
      <c r="N5" s="89">
        <f t="shared" ref="N5:N34" si="7">M5/C5</f>
        <v>1.4534883720930232E-2</v>
      </c>
      <c r="O5" s="87">
        <f>'Water Reading'!Q5-'Water Reading'!Q4</f>
        <v>8.4000000000000341</v>
      </c>
      <c r="P5" s="96">
        <f t="shared" ref="P5:P34" si="8">O5/C5</f>
        <v>2.4418604651162891E-2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55</v>
      </c>
      <c r="T5" s="97">
        <f t="shared" ref="T5:T34" si="10">S5/C5</f>
        <v>0.15988372093023256</v>
      </c>
      <c r="U5" s="87">
        <f>'Water Reading'!G5-'Water Reading'!G4</f>
        <v>14</v>
      </c>
      <c r="V5" s="97">
        <f t="shared" ref="V5:V34" si="11">U5/C5</f>
        <v>4.0697674418604654E-2</v>
      </c>
      <c r="W5" s="87">
        <f>'Water Reading'!J5-'Water Reading'!J4</f>
        <v>13</v>
      </c>
      <c r="X5" s="97">
        <f t="shared" ref="X5:X34" si="12">W5/C5</f>
        <v>3.7790697674418602E-2</v>
      </c>
      <c r="Y5" s="64">
        <f t="shared" si="0"/>
        <v>391</v>
      </c>
      <c r="Z5" s="65">
        <f t="shared" si="1"/>
        <v>1.1706586826347305</v>
      </c>
    </row>
    <row r="6" spans="1:26" x14ac:dyDescent="0.25">
      <c r="A6" s="8">
        <f>'Water Reading'!A5</f>
        <v>44350</v>
      </c>
      <c r="B6" s="63">
        <f>TOTAL!G4</f>
        <v>346</v>
      </c>
      <c r="C6" s="64">
        <f>('Water Reading'!B6-'Water Reading'!B5)+('Water Reading'!C6-'Water Reading'!C5)</f>
        <v>245</v>
      </c>
      <c r="D6" s="65">
        <f t="shared" si="2"/>
        <v>0.70809248554913296</v>
      </c>
      <c r="E6" s="85">
        <f>'Water Reading'!H6-'Water Reading'!H5</f>
        <v>81</v>
      </c>
      <c r="F6" s="86">
        <f t="shared" si="3"/>
        <v>0.33061224489795921</v>
      </c>
      <c r="G6" s="90">
        <f>('Water Reading'!D6-'Water Reading'!D5)-('Water Reading'!R6-'Water Reading'!R5)-('Water Reading'!Q6-'Water Reading'!Q5)</f>
        <v>135.70000000000005</v>
      </c>
      <c r="H6" s="86">
        <f t="shared" si="4"/>
        <v>0.55387755102040837</v>
      </c>
      <c r="I6" s="87">
        <f>'Water Reading'!P6-'Water Reading'!P5</f>
        <v>6</v>
      </c>
      <c r="J6" s="66">
        <f t="shared" si="5"/>
        <v>2.4489795918367346E-2</v>
      </c>
      <c r="K6" s="88">
        <f>('Water Reading'!I6-'Water Reading'!I5)-('Water Reading'!P6-'Water Reading'!P5)</f>
        <v>19</v>
      </c>
      <c r="L6" s="66">
        <f t="shared" si="6"/>
        <v>7.7551020408163265E-2</v>
      </c>
      <c r="M6" s="87">
        <f>'Water Reading'!R6-'Water Reading'!R5</f>
        <v>6</v>
      </c>
      <c r="N6" s="89">
        <f t="shared" si="7"/>
        <v>2.4489795918367346E-2</v>
      </c>
      <c r="O6" s="87">
        <f>'Water Reading'!Q6-'Water Reading'!Q5</f>
        <v>1.2999999999999545</v>
      </c>
      <c r="P6" s="96">
        <f t="shared" si="8"/>
        <v>5.3061224489794065E-3</v>
      </c>
      <c r="Q6" s="88">
        <f>'Water Reading'!F6-'Water Reading'!F5</f>
        <v>1</v>
      </c>
      <c r="R6" s="97">
        <f t="shared" si="9"/>
        <v>4.0816326530612249E-3</v>
      </c>
      <c r="S6" s="87">
        <f>'Water Reading'!E6-'Water Reading'!E5</f>
        <v>64</v>
      </c>
      <c r="T6" s="97">
        <f t="shared" si="10"/>
        <v>0.26122448979591839</v>
      </c>
      <c r="U6" s="87">
        <f>'Water Reading'!G6-'Water Reading'!G5</f>
        <v>16</v>
      </c>
      <c r="V6" s="97">
        <f t="shared" si="11"/>
        <v>6.5306122448979598E-2</v>
      </c>
      <c r="W6" s="87">
        <f>'Water Reading'!J6-'Water Reading'!J5</f>
        <v>13</v>
      </c>
      <c r="X6" s="97">
        <f t="shared" si="12"/>
        <v>5.3061224489795916E-2</v>
      </c>
      <c r="Y6" s="64">
        <f t="shared" si="0"/>
        <v>343</v>
      </c>
      <c r="Z6" s="65">
        <f t="shared" si="1"/>
        <v>0.99132947976878616</v>
      </c>
    </row>
    <row r="7" spans="1:26" x14ac:dyDescent="0.25">
      <c r="A7" s="8">
        <f>'Water Reading'!A6</f>
        <v>44351</v>
      </c>
      <c r="B7" s="63">
        <f>TOTAL!G5</f>
        <v>292</v>
      </c>
      <c r="C7" s="64">
        <f>('Water Reading'!B7-'Water Reading'!B6)+('Water Reading'!C7-'Water Reading'!C6)</f>
        <v>447</v>
      </c>
      <c r="D7" s="65">
        <f t="shared" si="2"/>
        <v>1.5308219178082192</v>
      </c>
      <c r="E7" s="85">
        <f>'Water Reading'!H7-'Water Reading'!H6</f>
        <v>6</v>
      </c>
      <c r="F7" s="86">
        <f t="shared" si="3"/>
        <v>1.3422818791946308E-2</v>
      </c>
      <c r="G7" s="90">
        <f>('Water Reading'!D7-'Water Reading'!D6)-('Water Reading'!R7-'Water Reading'!R6)-('Water Reading'!Q7-'Water Reading'!Q6)</f>
        <v>126</v>
      </c>
      <c r="H7" s="86">
        <f t="shared" si="4"/>
        <v>0.28187919463087246</v>
      </c>
      <c r="I7" s="87">
        <f>'Water Reading'!P7-'Water Reading'!P6</f>
        <v>4</v>
      </c>
      <c r="J7" s="66">
        <f t="shared" si="5"/>
        <v>8.948545861297539E-3</v>
      </c>
      <c r="K7" s="88">
        <f>('Water Reading'!I7-'Water Reading'!I6)-('Water Reading'!P7-'Water Reading'!P6)</f>
        <v>5</v>
      </c>
      <c r="L7" s="66">
        <f t="shared" si="6"/>
        <v>1.1185682326621925E-2</v>
      </c>
      <c r="M7" s="87">
        <f>'Water Reading'!R7-'Water Reading'!R6</f>
        <v>2</v>
      </c>
      <c r="N7" s="89">
        <f t="shared" si="7"/>
        <v>4.4742729306487695E-3</v>
      </c>
      <c r="O7" s="87">
        <f>'Water Reading'!Q7-'Water Reading'!Q6</f>
        <v>64</v>
      </c>
      <c r="P7" s="96">
        <f t="shared" si="8"/>
        <v>0.14317673378076062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65</v>
      </c>
      <c r="T7" s="97">
        <f t="shared" si="10"/>
        <v>0.14541387024608501</v>
      </c>
      <c r="U7" s="87">
        <f>'Water Reading'!G7-'Water Reading'!G6</f>
        <v>13</v>
      </c>
      <c r="V7" s="97">
        <f t="shared" si="11"/>
        <v>2.9082774049217001E-2</v>
      </c>
      <c r="W7" s="87">
        <f>'Water Reading'!J7-'Water Reading'!J6</f>
        <v>15</v>
      </c>
      <c r="X7" s="97">
        <f t="shared" si="12"/>
        <v>3.3557046979865772E-2</v>
      </c>
      <c r="Y7" s="64">
        <f t="shared" si="0"/>
        <v>300</v>
      </c>
      <c r="Z7" s="65">
        <f t="shared" si="1"/>
        <v>1.0273972602739727</v>
      </c>
    </row>
    <row r="8" spans="1:26" x14ac:dyDescent="0.25">
      <c r="A8" s="8">
        <f>'Water Reading'!A7</f>
        <v>44352</v>
      </c>
      <c r="B8" s="63">
        <f>TOTAL!G6</f>
        <v>347</v>
      </c>
      <c r="C8" s="64">
        <f>('Water Reading'!B8-'Water Reading'!B7)+('Water Reading'!C8-'Water Reading'!C7)</f>
        <v>355</v>
      </c>
      <c r="D8" s="65">
        <f t="shared" si="2"/>
        <v>1.0230547550432276</v>
      </c>
      <c r="E8" s="85">
        <f>'Water Reading'!H8-'Water Reading'!H7</f>
        <v>123</v>
      </c>
      <c r="F8" s="86">
        <f t="shared" si="3"/>
        <v>0.3464788732394366</v>
      </c>
      <c r="G8" s="90">
        <f>('Water Reading'!D8-'Water Reading'!D7)-('Water Reading'!R8-'Water Reading'!R7)-('Water Reading'!Q8-'Water Reading'!Q7)</f>
        <v>292</v>
      </c>
      <c r="H8" s="86">
        <f t="shared" si="4"/>
        <v>0.82253521126760565</v>
      </c>
      <c r="I8" s="87">
        <f>'Water Reading'!P8-'Water Reading'!P7</f>
        <v>13</v>
      </c>
      <c r="J8" s="66">
        <f t="shared" si="5"/>
        <v>3.6619718309859155E-2</v>
      </c>
      <c r="K8" s="88">
        <f>('Water Reading'!I8-'Water Reading'!I7)-('Water Reading'!P8-'Water Reading'!P7)</f>
        <v>10</v>
      </c>
      <c r="L8" s="66">
        <f t="shared" si="6"/>
        <v>2.8169014084507043E-2</v>
      </c>
      <c r="M8" s="87">
        <f>'Water Reading'!R8-'Water Reading'!R7</f>
        <v>4</v>
      </c>
      <c r="N8" s="89">
        <f t="shared" si="7"/>
        <v>1.1267605633802818E-2</v>
      </c>
      <c r="O8" s="87">
        <f>'Water Reading'!Q8-'Water Reading'!Q7</f>
        <v>-58</v>
      </c>
      <c r="P8" s="96">
        <f t="shared" si="8"/>
        <v>-0.16338028169014085</v>
      </c>
      <c r="Q8" s="88">
        <f>'Water Reading'!F8-'Water Reading'!F7</f>
        <v>1</v>
      </c>
      <c r="R8" s="97">
        <f t="shared" si="9"/>
        <v>2.8169014084507044E-3</v>
      </c>
      <c r="S8" s="87">
        <f>'Water Reading'!E8-'Water Reading'!E7</f>
        <v>65</v>
      </c>
      <c r="T8" s="97">
        <f t="shared" si="10"/>
        <v>0.18309859154929578</v>
      </c>
      <c r="U8" s="87">
        <f>'Water Reading'!G8-'Water Reading'!G7</f>
        <v>8</v>
      </c>
      <c r="V8" s="97">
        <f t="shared" si="11"/>
        <v>2.2535211267605635E-2</v>
      </c>
      <c r="W8" s="87">
        <f>'Water Reading'!J8-'Water Reading'!J7</f>
        <v>16</v>
      </c>
      <c r="X8" s="97">
        <f t="shared" si="12"/>
        <v>4.507042253521127E-2</v>
      </c>
      <c r="Y8" s="64">
        <f t="shared" si="0"/>
        <v>474</v>
      </c>
      <c r="Z8" s="65">
        <f t="shared" si="1"/>
        <v>1.3659942363112392</v>
      </c>
    </row>
    <row r="9" spans="1:26" x14ac:dyDescent="0.25">
      <c r="A9" s="8">
        <f>'Water Reading'!A8</f>
        <v>44353</v>
      </c>
      <c r="B9" s="63">
        <f>TOTAL!G7</f>
        <v>328</v>
      </c>
      <c r="C9" s="64">
        <f>('Water Reading'!B9-'Water Reading'!B8)+('Water Reading'!C9-'Water Reading'!C8)</f>
        <v>642</v>
      </c>
      <c r="D9" s="65">
        <f t="shared" si="2"/>
        <v>1.9573170731707317</v>
      </c>
      <c r="E9" s="85">
        <f>'Water Reading'!H9-'Water Reading'!H8</f>
        <v>76</v>
      </c>
      <c r="F9" s="86">
        <f t="shared" si="3"/>
        <v>0.11838006230529595</v>
      </c>
      <c r="G9" s="90">
        <f>('Water Reading'!D9-'Water Reading'!D8)-('Water Reading'!R9-'Water Reading'!R8)-('Water Reading'!Q9-'Water Reading'!Q8)</f>
        <v>143</v>
      </c>
      <c r="H9" s="86">
        <f t="shared" si="4"/>
        <v>0.22274143302180685</v>
      </c>
      <c r="I9" s="87">
        <f>'Water Reading'!P9-'Water Reading'!P8</f>
        <v>18</v>
      </c>
      <c r="J9" s="66">
        <f t="shared" si="5"/>
        <v>2.8037383177570093E-2</v>
      </c>
      <c r="K9" s="88">
        <f>('Water Reading'!I9-'Water Reading'!I8)-('Water Reading'!P9-'Water Reading'!P8)</f>
        <v>12</v>
      </c>
      <c r="L9" s="66">
        <f t="shared" si="6"/>
        <v>1.8691588785046728E-2</v>
      </c>
      <c r="M9" s="87">
        <f>'Water Reading'!R9-'Water Reading'!R8</f>
        <v>3</v>
      </c>
      <c r="N9" s="89">
        <f t="shared" si="7"/>
        <v>4.6728971962616819E-3</v>
      </c>
      <c r="O9" s="87">
        <f>'Water Reading'!Q9-'Water Reading'!Q8</f>
        <v>8</v>
      </c>
      <c r="P9" s="96">
        <f t="shared" si="8"/>
        <v>1.2461059190031152E-2</v>
      </c>
      <c r="Q9" s="88">
        <f>'Water Reading'!F9-'Water Reading'!F8</f>
        <v>1</v>
      </c>
      <c r="R9" s="97">
        <f t="shared" si="9"/>
        <v>1.557632398753894E-3</v>
      </c>
      <c r="S9" s="87">
        <f>'Water Reading'!E9-'Water Reading'!E8</f>
        <v>67</v>
      </c>
      <c r="T9" s="97">
        <f t="shared" si="10"/>
        <v>0.1043613707165109</v>
      </c>
      <c r="U9" s="87">
        <f>'Water Reading'!G9-'Water Reading'!G8</f>
        <v>18</v>
      </c>
      <c r="V9" s="97">
        <f t="shared" si="11"/>
        <v>2.8037383177570093E-2</v>
      </c>
      <c r="W9" s="87">
        <f>'Water Reading'!J9-'Water Reading'!J8</f>
        <v>16</v>
      </c>
      <c r="X9" s="97">
        <f t="shared" si="12"/>
        <v>2.4922118380062305E-2</v>
      </c>
      <c r="Y9" s="64">
        <f t="shared" si="0"/>
        <v>362</v>
      </c>
      <c r="Z9" s="65">
        <f t="shared" si="1"/>
        <v>1.1036585365853659</v>
      </c>
    </row>
    <row r="10" spans="1:26" x14ac:dyDescent="0.25">
      <c r="A10" s="8">
        <f>'Water Reading'!A9</f>
        <v>44354</v>
      </c>
      <c r="B10" s="63">
        <f>TOTAL!G8</f>
        <v>314</v>
      </c>
      <c r="C10" s="64">
        <f>('Water Reading'!B10-'Water Reading'!B9)+('Water Reading'!C10-'Water Reading'!C9)</f>
        <v>595</v>
      </c>
      <c r="D10" s="65">
        <f t="shared" si="2"/>
        <v>1.894904458598726</v>
      </c>
      <c r="E10" s="85">
        <f>'Water Reading'!H10-'Water Reading'!H9</f>
        <v>81</v>
      </c>
      <c r="F10" s="86">
        <f t="shared" si="3"/>
        <v>0.13613445378151259</v>
      </c>
      <c r="G10" s="90">
        <f>('Water Reading'!D10-'Water Reading'!D9)-('Water Reading'!R10-'Water Reading'!R9)-('Water Reading'!Q10-'Water Reading'!Q9)</f>
        <v>166</v>
      </c>
      <c r="H10" s="86">
        <f t="shared" si="4"/>
        <v>0.27899159663865547</v>
      </c>
      <c r="I10" s="87">
        <f>'Water Reading'!P10-'Water Reading'!P9</f>
        <v>7</v>
      </c>
      <c r="J10" s="66">
        <f t="shared" si="5"/>
        <v>1.1764705882352941E-2</v>
      </c>
      <c r="K10" s="88">
        <f>('Water Reading'!I10-'Water Reading'!I9)-('Water Reading'!P10-'Water Reading'!P9)</f>
        <v>14</v>
      </c>
      <c r="L10" s="66">
        <f t="shared" si="6"/>
        <v>2.3529411764705882E-2</v>
      </c>
      <c r="M10" s="87">
        <f>'Water Reading'!R10-'Water Reading'!R9</f>
        <v>4</v>
      </c>
      <c r="N10" s="89">
        <f t="shared" si="7"/>
        <v>6.7226890756302525E-3</v>
      </c>
      <c r="O10" s="87">
        <f>'Water Reading'!Q10-'Water Reading'!Q9</f>
        <v>6</v>
      </c>
      <c r="P10" s="96">
        <f t="shared" si="8"/>
        <v>1.0084033613445379E-2</v>
      </c>
      <c r="Q10" s="88">
        <f>'Water Reading'!F10-'Water Reading'!F9</f>
        <v>1</v>
      </c>
      <c r="R10" s="97">
        <f t="shared" si="9"/>
        <v>1.6806722689075631E-3</v>
      </c>
      <c r="S10" s="87">
        <f>'Water Reading'!E10-'Water Reading'!E9</f>
        <v>72</v>
      </c>
      <c r="T10" s="97">
        <f t="shared" si="10"/>
        <v>0.12100840336134454</v>
      </c>
      <c r="U10" s="87">
        <f>'Water Reading'!G10-'Water Reading'!G9</f>
        <v>13</v>
      </c>
      <c r="V10" s="97">
        <f t="shared" si="11"/>
        <v>2.1848739495798318E-2</v>
      </c>
      <c r="W10" s="87">
        <f>'Water Reading'!J10-'Water Reading'!J9</f>
        <v>16</v>
      </c>
      <c r="X10" s="97">
        <f t="shared" si="12"/>
        <v>2.689075630252101E-2</v>
      </c>
      <c r="Y10" s="64">
        <f t="shared" si="0"/>
        <v>380</v>
      </c>
      <c r="Z10" s="65">
        <f t="shared" si="1"/>
        <v>1.2101910828025477</v>
      </c>
    </row>
    <row r="11" spans="1:26" x14ac:dyDescent="0.25">
      <c r="A11" s="8">
        <f>'Water Reading'!A10</f>
        <v>44355</v>
      </c>
      <c r="B11" s="63">
        <f>TOTAL!G9</f>
        <v>387</v>
      </c>
      <c r="C11" s="64">
        <f>('Water Reading'!B11-'Water Reading'!B10)+('Water Reading'!C11-'Water Reading'!C10)</f>
        <v>645</v>
      </c>
      <c r="D11" s="65">
        <f t="shared" si="2"/>
        <v>1.6666666666666667</v>
      </c>
      <c r="E11" s="85">
        <f>'Water Reading'!H11-'Water Reading'!H10</f>
        <v>67</v>
      </c>
      <c r="F11" s="86">
        <f t="shared" si="3"/>
        <v>0.10387596899224806</v>
      </c>
      <c r="G11" s="90">
        <f>('Water Reading'!D11-'Water Reading'!D10)-('Water Reading'!R11-'Water Reading'!R10)-('Water Reading'!Q11-'Water Reading'!Q10)</f>
        <v>212</v>
      </c>
      <c r="H11" s="86">
        <f t="shared" si="4"/>
        <v>0.32868217054263565</v>
      </c>
      <c r="I11" s="87">
        <f>'Water Reading'!P11-'Water Reading'!P10</f>
        <v>0</v>
      </c>
      <c r="J11" s="66">
        <f t="shared" si="5"/>
        <v>0</v>
      </c>
      <c r="K11" s="88">
        <f>('Water Reading'!I11-'Water Reading'!I10)-('Water Reading'!P11-'Water Reading'!P10)</f>
        <v>8</v>
      </c>
      <c r="L11" s="66">
        <f t="shared" si="6"/>
        <v>1.2403100775193798E-2</v>
      </c>
      <c r="M11" s="87">
        <f>'Water Reading'!R11-'Water Reading'!R10</f>
        <v>3</v>
      </c>
      <c r="N11" s="89">
        <f t="shared" si="7"/>
        <v>4.6511627906976744E-3</v>
      </c>
      <c r="O11" s="95">
        <f>'Water Reading'!Q11-'Water Reading'!Q10</f>
        <v>1</v>
      </c>
      <c r="P11" s="96">
        <f t="shared" si="8"/>
        <v>1.5503875968992248E-3</v>
      </c>
      <c r="Q11" s="88">
        <f>'Water Reading'!F11-'Water Reading'!F10</f>
        <v>1</v>
      </c>
      <c r="R11" s="97">
        <f t="shared" si="9"/>
        <v>1.5503875968992248E-3</v>
      </c>
      <c r="S11" s="87">
        <f>'Water Reading'!E11-'Water Reading'!E10</f>
        <v>68</v>
      </c>
      <c r="T11" s="97">
        <f t="shared" si="10"/>
        <v>0.10542635658914729</v>
      </c>
      <c r="U11" s="87">
        <f>'Water Reading'!G11-'Water Reading'!G10</f>
        <v>12</v>
      </c>
      <c r="V11" s="97">
        <f t="shared" si="11"/>
        <v>1.8604651162790697E-2</v>
      </c>
      <c r="W11" s="87">
        <f>'Water Reading'!J11-'Water Reading'!J10</f>
        <v>16</v>
      </c>
      <c r="X11" s="97">
        <f t="shared" si="12"/>
        <v>2.4806201550387597E-2</v>
      </c>
      <c r="Y11" s="64">
        <f t="shared" si="0"/>
        <v>388</v>
      </c>
      <c r="Z11" s="65">
        <f t="shared" si="1"/>
        <v>1.0025839793281655</v>
      </c>
    </row>
    <row r="12" spans="1:26" x14ac:dyDescent="0.25">
      <c r="A12" s="8">
        <f>'Water Reading'!A11</f>
        <v>44356</v>
      </c>
      <c r="B12" s="63">
        <f>TOTAL!G10</f>
        <v>254</v>
      </c>
      <c r="C12" s="64">
        <f>('Water Reading'!B12-'Water Reading'!B11)+('Water Reading'!C12-'Water Reading'!C11)</f>
        <v>344</v>
      </c>
      <c r="D12" s="65">
        <f t="shared" si="2"/>
        <v>1.3543307086614174</v>
      </c>
      <c r="E12" s="85">
        <f>'Water Reading'!H12-'Water Reading'!H11</f>
        <v>59</v>
      </c>
      <c r="F12" s="86">
        <f t="shared" si="3"/>
        <v>0.17151162790697674</v>
      </c>
      <c r="G12" s="90">
        <f>('Water Reading'!D12-'Water Reading'!D11)-('Water Reading'!R12-'Water Reading'!R11)-('Water Reading'!Q12-'Water Reading'!Q11)</f>
        <v>148</v>
      </c>
      <c r="H12" s="86">
        <f t="shared" si="4"/>
        <v>0.43023255813953487</v>
      </c>
      <c r="I12" s="87">
        <f>'Water Reading'!P12-'Water Reading'!P11</f>
        <v>15</v>
      </c>
      <c r="J12" s="66">
        <f t="shared" si="5"/>
        <v>4.3604651162790699E-2</v>
      </c>
      <c r="K12" s="88">
        <f>('Water Reading'!I12-'Water Reading'!I11)-('Water Reading'!P12-'Water Reading'!P11)</f>
        <v>10</v>
      </c>
      <c r="L12" s="66">
        <f t="shared" si="6"/>
        <v>2.9069767441860465E-2</v>
      </c>
      <c r="M12" s="87">
        <f>'Water Reading'!R12-'Water Reading'!R11</f>
        <v>4</v>
      </c>
      <c r="N12" s="89">
        <f t="shared" si="7"/>
        <v>1.1627906976744186E-2</v>
      </c>
      <c r="O12" s="95">
        <f>'Water Reading'!Q12-'Water Reading'!Q11</f>
        <v>5</v>
      </c>
      <c r="P12" s="96">
        <f t="shared" si="8"/>
        <v>1.4534883720930232E-2</v>
      </c>
      <c r="Q12" s="88">
        <f>'Water Reading'!F12-'Water Reading'!F11</f>
        <v>1</v>
      </c>
      <c r="R12" s="97">
        <f t="shared" si="9"/>
        <v>2.9069767441860465E-3</v>
      </c>
      <c r="S12" s="87">
        <f>'Water Reading'!E12-'Water Reading'!E11</f>
        <v>65</v>
      </c>
      <c r="T12" s="97">
        <f t="shared" si="10"/>
        <v>0.18895348837209303</v>
      </c>
      <c r="U12" s="87">
        <f>'Water Reading'!G12-'Water Reading'!G11</f>
        <v>13</v>
      </c>
      <c r="V12" s="97">
        <f t="shared" si="11"/>
        <v>3.7790697674418602E-2</v>
      </c>
      <c r="W12" s="87">
        <f>'Water Reading'!J12-'Water Reading'!J11</f>
        <v>17</v>
      </c>
      <c r="X12" s="97">
        <f t="shared" si="12"/>
        <v>4.9418604651162788E-2</v>
      </c>
      <c r="Y12" s="64">
        <f t="shared" si="0"/>
        <v>337</v>
      </c>
      <c r="Z12" s="65">
        <f t="shared" si="1"/>
        <v>1.3267716535433072</v>
      </c>
    </row>
    <row r="13" spans="1:26" x14ac:dyDescent="0.25">
      <c r="A13" s="8">
        <f>'Water Reading'!A12</f>
        <v>44357</v>
      </c>
      <c r="B13" s="63">
        <f>TOTAL!G11</f>
        <v>343</v>
      </c>
      <c r="C13" s="64">
        <f>('Water Reading'!B13-'Water Reading'!B12)+('Water Reading'!C13-'Water Reading'!C12)</f>
        <v>475</v>
      </c>
      <c r="D13" s="65">
        <f t="shared" si="2"/>
        <v>1.3848396501457727</v>
      </c>
      <c r="E13" s="84">
        <f>'Water Reading'!H13-'Water Reading'!H12</f>
        <v>69</v>
      </c>
      <c r="F13" s="86">
        <f t="shared" si="3"/>
        <v>0.14526315789473684</v>
      </c>
      <c r="G13" s="90">
        <f>('Water Reading'!D13-'Water Reading'!D12)-('Water Reading'!R13-'Water Reading'!R12)-('Water Reading'!Q13-'Water Reading'!Q12)</f>
        <v>118</v>
      </c>
      <c r="H13" s="86">
        <f t="shared" si="4"/>
        <v>0.24842105263157896</v>
      </c>
      <c r="I13" s="87">
        <f>'Water Reading'!P13-'Water Reading'!P12</f>
        <v>7</v>
      </c>
      <c r="J13" s="66">
        <f t="shared" si="5"/>
        <v>1.4736842105263158E-2</v>
      </c>
      <c r="K13" s="88">
        <f>('Water Reading'!I13-'Water Reading'!I12)-('Water Reading'!P13-'Water Reading'!P12)</f>
        <v>17</v>
      </c>
      <c r="L13" s="66">
        <f t="shared" si="6"/>
        <v>3.5789473684210524E-2</v>
      </c>
      <c r="M13" s="87">
        <f>'Water Reading'!R13-'Water Reading'!R12</f>
        <v>4</v>
      </c>
      <c r="N13" s="89">
        <f t="shared" si="7"/>
        <v>8.4210526315789472E-3</v>
      </c>
      <c r="O13" s="87">
        <f>'Water Reading'!Q13-'Water Reading'!Q12</f>
        <v>1</v>
      </c>
      <c r="P13" s="96">
        <f t="shared" si="8"/>
        <v>2.1052631578947368E-3</v>
      </c>
      <c r="Q13" s="88">
        <f>'Water Reading'!F13-'Water Reading'!F12</f>
        <v>0</v>
      </c>
      <c r="R13" s="97">
        <f t="shared" si="9"/>
        <v>0</v>
      </c>
      <c r="S13" s="91">
        <f>'Water Reading'!E13-'Water Reading'!E12</f>
        <v>66</v>
      </c>
      <c r="T13" s="97">
        <f t="shared" si="10"/>
        <v>0.13894736842105262</v>
      </c>
      <c r="U13" s="87">
        <f>'Water Reading'!G13-'Water Reading'!G12</f>
        <v>18</v>
      </c>
      <c r="V13" s="97">
        <f t="shared" si="11"/>
        <v>3.7894736842105266E-2</v>
      </c>
      <c r="W13" s="87">
        <f>'Water Reading'!J13-'Water Reading'!J12</f>
        <v>16</v>
      </c>
      <c r="X13" s="97">
        <f t="shared" si="12"/>
        <v>3.3684210526315789E-2</v>
      </c>
      <c r="Y13" s="64">
        <f t="shared" si="0"/>
        <v>316</v>
      </c>
      <c r="Z13" s="65">
        <f t="shared" si="1"/>
        <v>0.92128279883381925</v>
      </c>
    </row>
    <row r="14" spans="1:26" x14ac:dyDescent="0.25">
      <c r="A14" s="8">
        <f>'Water Reading'!A13</f>
        <v>44358</v>
      </c>
      <c r="B14" s="63">
        <f>TOTAL!G12</f>
        <v>257</v>
      </c>
      <c r="C14" s="64">
        <f>('Water Reading'!B14-'Water Reading'!B13)+('Water Reading'!C14-'Water Reading'!C13)</f>
        <v>294</v>
      </c>
      <c r="D14" s="65">
        <f t="shared" si="2"/>
        <v>1.1439688715953307</v>
      </c>
      <c r="E14" s="85">
        <f>'Water Reading'!H14-'Water Reading'!H13</f>
        <v>63</v>
      </c>
      <c r="F14" s="86">
        <f t="shared" si="3"/>
        <v>0.21428571428571427</v>
      </c>
      <c r="G14" s="90">
        <f>('Water Reading'!D14-'Water Reading'!D13)-('Water Reading'!R14-'Water Reading'!R13)-('Water Reading'!Q14-'Water Reading'!Q13)</f>
        <v>111</v>
      </c>
      <c r="H14" s="86">
        <f t="shared" si="4"/>
        <v>0.37755102040816324</v>
      </c>
      <c r="I14" s="87">
        <f>'Water Reading'!P14-'Water Reading'!P13</f>
        <v>4</v>
      </c>
      <c r="J14" s="66">
        <f t="shared" si="5"/>
        <v>1.3605442176870748E-2</v>
      </c>
      <c r="K14" s="88">
        <f>('Water Reading'!I14-'Water Reading'!I13)-('Water Reading'!P14-'Water Reading'!P13)</f>
        <v>15</v>
      </c>
      <c r="L14" s="66">
        <f t="shared" si="6"/>
        <v>5.1020408163265307E-2</v>
      </c>
      <c r="M14" s="87">
        <f>'Water Reading'!R14-'Water Reading'!R13</f>
        <v>1</v>
      </c>
      <c r="N14" s="89">
        <f t="shared" si="7"/>
        <v>3.4013605442176869E-3</v>
      </c>
      <c r="O14" s="87">
        <f>'Water Reading'!Q14-'Water Reading'!Q13</f>
        <v>2</v>
      </c>
      <c r="P14" s="96">
        <f t="shared" si="8"/>
        <v>6.8027210884353739E-3</v>
      </c>
      <c r="Q14" s="88">
        <f>'Water Reading'!F14-'Water Reading'!F13</f>
        <v>1</v>
      </c>
      <c r="R14" s="97">
        <f t="shared" si="9"/>
        <v>3.4013605442176869E-3</v>
      </c>
      <c r="S14" s="91">
        <f>'Water Reading'!E14-'Water Reading'!E13</f>
        <v>62</v>
      </c>
      <c r="T14" s="97">
        <f t="shared" si="10"/>
        <v>0.21088435374149661</v>
      </c>
      <c r="U14" s="87">
        <f>'Water Reading'!G14-'Water Reading'!G13</f>
        <v>17</v>
      </c>
      <c r="V14" s="97">
        <f t="shared" si="11"/>
        <v>5.7823129251700682E-2</v>
      </c>
      <c r="W14" s="87">
        <f>'Water Reading'!J14-'Water Reading'!J13</f>
        <v>18</v>
      </c>
      <c r="X14" s="97">
        <f t="shared" si="12"/>
        <v>6.1224489795918366E-2</v>
      </c>
      <c r="Y14" s="64">
        <f t="shared" si="0"/>
        <v>294</v>
      </c>
      <c r="Z14" s="65">
        <f t="shared" si="1"/>
        <v>1.1439688715953307</v>
      </c>
    </row>
    <row r="15" spans="1:26" x14ac:dyDescent="0.25">
      <c r="A15" s="8">
        <f>'Water Reading'!A14</f>
        <v>44359</v>
      </c>
      <c r="B15" s="63">
        <f>TOTAL!G13</f>
        <v>273</v>
      </c>
      <c r="C15" s="64">
        <f>('Water Reading'!B15-'Water Reading'!B14)+('Water Reading'!C15-'Water Reading'!C14)</f>
        <v>1316</v>
      </c>
      <c r="D15" s="65">
        <f t="shared" si="2"/>
        <v>4.8205128205128203</v>
      </c>
      <c r="E15" s="84">
        <f>'Water Reading'!H15-'Water Reading'!H14</f>
        <v>65</v>
      </c>
      <c r="F15" s="86">
        <f t="shared" si="3"/>
        <v>4.939209726443769E-2</v>
      </c>
      <c r="G15" s="90">
        <f>('Water Reading'!D15-'Water Reading'!D14)-('Water Reading'!R15-'Water Reading'!R14)-('Water Reading'!Q15-'Water Reading'!Q14)</f>
        <v>85</v>
      </c>
      <c r="H15" s="86">
        <f t="shared" si="4"/>
        <v>6.4589665653495443E-2</v>
      </c>
      <c r="I15" s="87">
        <f>'Water Reading'!P15-'Water Reading'!P14</f>
        <v>16</v>
      </c>
      <c r="J15" s="66">
        <f t="shared" si="5"/>
        <v>1.2158054711246201E-2</v>
      </c>
      <c r="K15" s="88">
        <f>('Water Reading'!I15-'Water Reading'!I14)-('Water Reading'!P15-'Water Reading'!P14)</f>
        <v>11</v>
      </c>
      <c r="L15" s="66">
        <f t="shared" si="6"/>
        <v>8.3586626139817623E-3</v>
      </c>
      <c r="M15" s="87">
        <f>'Water Reading'!R15-'Water Reading'!R14</f>
        <v>6</v>
      </c>
      <c r="N15" s="89">
        <f t="shared" si="7"/>
        <v>4.559270516717325E-3</v>
      </c>
      <c r="O15" s="87">
        <f>'Water Reading'!Q15-'Water Reading'!Q14</f>
        <v>7</v>
      </c>
      <c r="P15" s="96">
        <f t="shared" si="8"/>
        <v>5.3191489361702126E-3</v>
      </c>
      <c r="Q15" s="88">
        <f>'Water Reading'!F15-'Water Reading'!F14</f>
        <v>1</v>
      </c>
      <c r="R15" s="97">
        <f t="shared" si="9"/>
        <v>7.5987841945288754E-4</v>
      </c>
      <c r="S15" s="91">
        <f>'Water Reading'!E15-'Water Reading'!E14</f>
        <v>58</v>
      </c>
      <c r="T15" s="97">
        <f t="shared" si="10"/>
        <v>4.4072948328267476E-2</v>
      </c>
      <c r="U15" s="87">
        <f>'Water Reading'!G15-'Water Reading'!G14</f>
        <v>14</v>
      </c>
      <c r="V15" s="97">
        <f t="shared" si="11"/>
        <v>1.0638297872340425E-2</v>
      </c>
      <c r="W15" s="87">
        <f>'Water Reading'!J15-'Water Reading'!J14</f>
        <v>17</v>
      </c>
      <c r="X15" s="97">
        <f t="shared" si="12"/>
        <v>1.2917933130699088E-2</v>
      </c>
      <c r="Y15" s="64">
        <f t="shared" si="0"/>
        <v>280</v>
      </c>
      <c r="Z15" s="65">
        <f t="shared" si="1"/>
        <v>1.0256410256410255</v>
      </c>
    </row>
    <row r="16" spans="1:26" x14ac:dyDescent="0.25">
      <c r="A16" s="8">
        <f>'Water Reading'!A15</f>
        <v>44360</v>
      </c>
      <c r="B16" s="63">
        <f>TOTAL!G14</f>
        <v>291</v>
      </c>
      <c r="C16" s="64">
        <f>('Water Reading'!B16-'Water Reading'!B15)+('Water Reading'!C16-'Water Reading'!C15)</f>
        <v>210</v>
      </c>
      <c r="D16" s="65">
        <f t="shared" si="2"/>
        <v>0.72164948453608246</v>
      </c>
      <c r="E16" s="84">
        <f>'Water Reading'!H16-'Water Reading'!H15</f>
        <v>6</v>
      </c>
      <c r="F16" s="86">
        <f t="shared" si="3"/>
        <v>2.8571428571428571E-2</v>
      </c>
      <c r="G16" s="90">
        <f>('Water Reading'!D16-'Water Reading'!D15)-('Water Reading'!R16-'Water Reading'!R15)-('Water Reading'!Q16-'Water Reading'!Q15)</f>
        <v>211</v>
      </c>
      <c r="H16" s="86">
        <f t="shared" si="4"/>
        <v>1.0047619047619047</v>
      </c>
      <c r="I16" s="87">
        <f>'Water Reading'!P16-'Water Reading'!P15</f>
        <v>12</v>
      </c>
      <c r="J16" s="66">
        <f t="shared" si="5"/>
        <v>5.7142857142857141E-2</v>
      </c>
      <c r="K16" s="88">
        <f>('Water Reading'!I16-'Water Reading'!I15)-('Water Reading'!P16-'Water Reading'!P15)</f>
        <v>23</v>
      </c>
      <c r="L16" s="66">
        <f t="shared" si="6"/>
        <v>0.10952380952380952</v>
      </c>
      <c r="M16" s="87">
        <f>'Water Reading'!R16-'Water Reading'!R15</f>
        <v>5</v>
      </c>
      <c r="N16" s="89">
        <f t="shared" si="7"/>
        <v>2.3809523809523808E-2</v>
      </c>
      <c r="O16" s="87">
        <f>'Water Reading'!Q16-'Water Reading'!Q15</f>
        <v>5</v>
      </c>
      <c r="P16" s="96">
        <f t="shared" si="8"/>
        <v>2.3809523809523808E-2</v>
      </c>
      <c r="Q16" s="88">
        <f>'Water Reading'!F16-'Water Reading'!F15</f>
        <v>1</v>
      </c>
      <c r="R16" s="97">
        <f t="shared" si="9"/>
        <v>4.7619047619047623E-3</v>
      </c>
      <c r="S16" s="91">
        <f>'Water Reading'!E16-'Water Reading'!E15</f>
        <v>63</v>
      </c>
      <c r="T16" s="97">
        <f t="shared" si="10"/>
        <v>0.3</v>
      </c>
      <c r="U16" s="87">
        <f>'Water Reading'!G16-'Water Reading'!G15</f>
        <v>18</v>
      </c>
      <c r="V16" s="97">
        <f t="shared" si="11"/>
        <v>8.5714285714285715E-2</v>
      </c>
      <c r="W16" s="87">
        <f>'Water Reading'!J16-'Water Reading'!J15</f>
        <v>19</v>
      </c>
      <c r="X16" s="97">
        <f t="shared" si="12"/>
        <v>9.0476190476190474E-2</v>
      </c>
      <c r="Y16" s="64">
        <f t="shared" si="0"/>
        <v>363</v>
      </c>
      <c r="Z16" s="65">
        <f t="shared" si="1"/>
        <v>1.2474226804123711</v>
      </c>
    </row>
    <row r="17" spans="1:26" x14ac:dyDescent="0.25">
      <c r="A17" s="8">
        <f>'Water Reading'!A16</f>
        <v>44361</v>
      </c>
      <c r="B17" s="63">
        <f>TOTAL!G15</f>
        <v>274</v>
      </c>
      <c r="C17" s="64">
        <f>('Water Reading'!B17-'Water Reading'!B16)+('Water Reading'!C17-'Water Reading'!C16)</f>
        <v>238</v>
      </c>
      <c r="D17" s="65">
        <f t="shared" si="2"/>
        <v>0.86861313868613144</v>
      </c>
      <c r="E17" s="84">
        <f>'Water Reading'!H17-'Water Reading'!H16</f>
        <v>121</v>
      </c>
      <c r="F17" s="86">
        <f t="shared" si="3"/>
        <v>0.50840336134453779</v>
      </c>
      <c r="G17" s="90">
        <f>('Water Reading'!D17-'Water Reading'!D16)-('Water Reading'!R17-'Water Reading'!R16)-('Water Reading'!Q17-'Water Reading'!Q16)</f>
        <v>111</v>
      </c>
      <c r="H17" s="86">
        <f t="shared" si="4"/>
        <v>0.46638655462184875</v>
      </c>
      <c r="I17" s="87">
        <f>'Water Reading'!P17-'Water Reading'!P16</f>
        <v>10</v>
      </c>
      <c r="J17" s="66">
        <f t="shared" si="5"/>
        <v>4.2016806722689079E-2</v>
      </c>
      <c r="K17" s="88">
        <f>('Water Reading'!I17-'Water Reading'!I16)-('Water Reading'!P17-'Water Reading'!P16)</f>
        <v>16</v>
      </c>
      <c r="L17" s="66">
        <f t="shared" si="6"/>
        <v>6.7226890756302518E-2</v>
      </c>
      <c r="M17" s="87">
        <f>'Water Reading'!R17-'Water Reading'!R16</f>
        <v>3</v>
      </c>
      <c r="N17" s="89">
        <f t="shared" si="7"/>
        <v>1.2605042016806723E-2</v>
      </c>
      <c r="O17" s="87">
        <f>'Water Reading'!Q17-'Water Reading'!Q16</f>
        <v>6</v>
      </c>
      <c r="P17" s="96">
        <f t="shared" si="8"/>
        <v>2.5210084033613446E-2</v>
      </c>
      <c r="Q17" s="88">
        <f>'Water Reading'!F17-'Water Reading'!F16</f>
        <v>1</v>
      </c>
      <c r="R17" s="97">
        <f t="shared" si="9"/>
        <v>4.2016806722689074E-3</v>
      </c>
      <c r="S17" s="91">
        <f>'Water Reading'!E17-'Water Reading'!E16</f>
        <v>54</v>
      </c>
      <c r="T17" s="97">
        <f t="shared" si="10"/>
        <v>0.22689075630252101</v>
      </c>
      <c r="U17" s="87">
        <f>'Water Reading'!G17-'Water Reading'!G16</f>
        <v>15</v>
      </c>
      <c r="V17" s="97">
        <f t="shared" si="11"/>
        <v>6.3025210084033612E-2</v>
      </c>
      <c r="W17" s="87">
        <f>'Water Reading'!J17-'Water Reading'!J16</f>
        <v>18</v>
      </c>
      <c r="X17" s="97">
        <f t="shared" si="12"/>
        <v>7.5630252100840331E-2</v>
      </c>
      <c r="Y17" s="64">
        <f t="shared" si="0"/>
        <v>355</v>
      </c>
      <c r="Z17" s="65">
        <f t="shared" si="1"/>
        <v>1.2956204379562044</v>
      </c>
    </row>
    <row r="18" spans="1:26" x14ac:dyDescent="0.25">
      <c r="A18" s="8">
        <f>'Water Reading'!A17</f>
        <v>44362</v>
      </c>
      <c r="B18" s="63">
        <f>TOTAL!G16</f>
        <v>329</v>
      </c>
      <c r="C18" s="64">
        <f>('Water Reading'!B18-'Water Reading'!B17)+('Water Reading'!C18-'Water Reading'!C17)</f>
        <v>325</v>
      </c>
      <c r="D18" s="65">
        <f t="shared" si="2"/>
        <v>0.9878419452887538</v>
      </c>
      <c r="E18" s="84">
        <f>'Water Reading'!H18-'Water Reading'!H17</f>
        <v>95</v>
      </c>
      <c r="F18" s="86">
        <f t="shared" si="3"/>
        <v>0.29230769230769232</v>
      </c>
      <c r="G18" s="90">
        <f>('Water Reading'!D18-'Water Reading'!D17)-('Water Reading'!R18-'Water Reading'!R17)-('Water Reading'!Q18-'Water Reading'!Q17)</f>
        <v>137</v>
      </c>
      <c r="H18" s="86">
        <f t="shared" si="4"/>
        <v>0.42153846153846153</v>
      </c>
      <c r="I18" s="87">
        <f>'Water Reading'!P18-'Water Reading'!P17</f>
        <v>14</v>
      </c>
      <c r="J18" s="66">
        <f t="shared" si="5"/>
        <v>4.3076923076923075E-2</v>
      </c>
      <c r="K18" s="88">
        <f>('Water Reading'!I18-'Water Reading'!I17)-('Water Reading'!P18-'Water Reading'!P17)</f>
        <v>11</v>
      </c>
      <c r="L18" s="66">
        <f t="shared" si="6"/>
        <v>3.3846153846153845E-2</v>
      </c>
      <c r="M18" s="87">
        <f>'Water Reading'!R18-'Water Reading'!R17</f>
        <v>4</v>
      </c>
      <c r="N18" s="89">
        <f t="shared" si="7"/>
        <v>1.2307692307692308E-2</v>
      </c>
      <c r="O18" s="87">
        <f>'Water Reading'!Q18-'Water Reading'!Q17</f>
        <v>1</v>
      </c>
      <c r="P18" s="96">
        <f t="shared" si="8"/>
        <v>3.0769230769230769E-3</v>
      </c>
      <c r="Q18" s="88">
        <f>'Water Reading'!F18-'Water Reading'!F17</f>
        <v>1</v>
      </c>
      <c r="R18" s="97">
        <f t="shared" si="9"/>
        <v>3.0769230769230769E-3</v>
      </c>
      <c r="S18" s="91">
        <f>'Water Reading'!E18-'Water Reading'!E17</f>
        <v>59</v>
      </c>
      <c r="T18" s="97">
        <f t="shared" si="10"/>
        <v>0.18153846153846154</v>
      </c>
      <c r="U18" s="87">
        <f>'Water Reading'!G18-'Water Reading'!G17</f>
        <v>15</v>
      </c>
      <c r="V18" s="97">
        <f t="shared" si="11"/>
        <v>4.6153846153846156E-2</v>
      </c>
      <c r="W18" s="87">
        <f>'Water Reading'!J18-'Water Reading'!J17</f>
        <v>18</v>
      </c>
      <c r="X18" s="97">
        <f t="shared" si="12"/>
        <v>5.5384615384615386E-2</v>
      </c>
      <c r="Y18" s="64">
        <f t="shared" si="0"/>
        <v>355</v>
      </c>
      <c r="Z18" s="65">
        <f t="shared" si="1"/>
        <v>1.0790273556231003</v>
      </c>
    </row>
    <row r="19" spans="1:26" x14ac:dyDescent="0.25">
      <c r="A19" s="8">
        <f>'Water Reading'!A18</f>
        <v>44363</v>
      </c>
      <c r="B19" s="63">
        <f>TOTAL!G17</f>
        <v>281</v>
      </c>
      <c r="C19" s="64">
        <f>('Water Reading'!B19-'Water Reading'!B18)+('Water Reading'!C19-'Water Reading'!C18)</f>
        <v>882</v>
      </c>
      <c r="D19" s="65">
        <f t="shared" si="2"/>
        <v>3.1387900355871885</v>
      </c>
      <c r="E19" s="84">
        <f>'Water Reading'!H19-'Water Reading'!H18</f>
        <v>67</v>
      </c>
      <c r="F19" s="86">
        <f t="shared" si="3"/>
        <v>7.5963718820861684E-2</v>
      </c>
      <c r="G19" s="90">
        <f>('Water Reading'!D19-'Water Reading'!D18)-('Water Reading'!R19-'Water Reading'!R18)-('Water Reading'!Q19-'Water Reading'!Q18)</f>
        <v>136</v>
      </c>
      <c r="H19" s="86">
        <f t="shared" si="4"/>
        <v>0.15419501133786848</v>
      </c>
      <c r="I19" s="87">
        <f>'Water Reading'!P19-'Water Reading'!P18</f>
        <v>0</v>
      </c>
      <c r="J19" s="66">
        <f t="shared" si="5"/>
        <v>0</v>
      </c>
      <c r="K19" s="88">
        <f>('Water Reading'!I19-'Water Reading'!I18)-('Water Reading'!P19-'Water Reading'!P18)</f>
        <v>11</v>
      </c>
      <c r="L19" s="66">
        <f t="shared" si="6"/>
        <v>1.2471655328798186E-2</v>
      </c>
      <c r="M19" s="87">
        <f>'Water Reading'!R19-'Water Reading'!R18</f>
        <v>5</v>
      </c>
      <c r="N19" s="89">
        <f t="shared" si="7"/>
        <v>5.6689342403628117E-3</v>
      </c>
      <c r="O19" s="87">
        <f>'Water Reading'!Q19-'Water Reading'!Q18</f>
        <v>8</v>
      </c>
      <c r="P19" s="96">
        <f t="shared" si="8"/>
        <v>9.0702947845804991E-3</v>
      </c>
      <c r="Q19" s="88">
        <f>'Water Reading'!F19-'Water Reading'!F18</f>
        <v>1</v>
      </c>
      <c r="R19" s="97">
        <f t="shared" si="9"/>
        <v>1.1337868480725624E-3</v>
      </c>
      <c r="S19" s="91">
        <f>'Water Reading'!E19-'Water Reading'!E18</f>
        <v>62</v>
      </c>
      <c r="T19" s="97">
        <f t="shared" si="10"/>
        <v>7.029478458049887E-2</v>
      </c>
      <c r="U19" s="87">
        <f>'Water Reading'!G19-'Water Reading'!G18</f>
        <v>16</v>
      </c>
      <c r="V19" s="97">
        <f t="shared" si="11"/>
        <v>1.8140589569160998E-2</v>
      </c>
      <c r="W19" s="87">
        <f>'Water Reading'!J19-'Water Reading'!J18</f>
        <v>17</v>
      </c>
      <c r="X19" s="97">
        <f t="shared" si="12"/>
        <v>1.927437641723356E-2</v>
      </c>
      <c r="Y19" s="64">
        <f t="shared" si="0"/>
        <v>323</v>
      </c>
      <c r="Z19" s="65">
        <f t="shared" si="1"/>
        <v>1.1494661921708185</v>
      </c>
    </row>
    <row r="20" spans="1:26" x14ac:dyDescent="0.25">
      <c r="A20" s="8">
        <f>'Water Reading'!A19</f>
        <v>44364</v>
      </c>
      <c r="B20" s="63">
        <f>TOTAL!G18</f>
        <v>346</v>
      </c>
      <c r="C20" s="64">
        <f>('Water Reading'!B20-'Water Reading'!B19)+('Water Reading'!C20-'Water Reading'!C19)</f>
        <v>323</v>
      </c>
      <c r="D20" s="65">
        <f t="shared" si="2"/>
        <v>0.93352601156069359</v>
      </c>
      <c r="E20" s="84">
        <f>'Water Reading'!H20-'Water Reading'!H19</f>
        <v>42</v>
      </c>
      <c r="F20" s="86">
        <f t="shared" si="3"/>
        <v>0.13003095975232198</v>
      </c>
      <c r="G20" s="90">
        <f>('Water Reading'!D20-'Water Reading'!D19)-('Water Reading'!R20-'Water Reading'!R19)-('Water Reading'!Q20-'Water Reading'!Q19)</f>
        <v>151</v>
      </c>
      <c r="H20" s="86">
        <f t="shared" si="4"/>
        <v>0.46749226006191952</v>
      </c>
      <c r="I20" s="87">
        <f>'Water Reading'!P20-'Water Reading'!P19</f>
        <v>15</v>
      </c>
      <c r="J20" s="66">
        <f t="shared" si="5"/>
        <v>4.6439628482972138E-2</v>
      </c>
      <c r="K20" s="88">
        <f>('Water Reading'!I20-'Water Reading'!I19)-('Water Reading'!P20-'Water Reading'!P19)</f>
        <v>16</v>
      </c>
      <c r="L20" s="66">
        <f t="shared" si="6"/>
        <v>4.9535603715170282E-2</v>
      </c>
      <c r="M20" s="87">
        <f>'Water Reading'!R20-'Water Reading'!R19</f>
        <v>4</v>
      </c>
      <c r="N20" s="89">
        <f t="shared" si="7"/>
        <v>1.238390092879257E-2</v>
      </c>
      <c r="O20" s="87">
        <f>'Water Reading'!Q20-'Water Reading'!Q19</f>
        <v>6</v>
      </c>
      <c r="P20" s="96">
        <f t="shared" si="8"/>
        <v>1.8575851393188854E-2</v>
      </c>
      <c r="Q20" s="88">
        <f>'Water Reading'!F20-'Water Reading'!F19</f>
        <v>0</v>
      </c>
      <c r="R20" s="97">
        <f t="shared" si="9"/>
        <v>0</v>
      </c>
      <c r="S20" s="91">
        <f>'Water Reading'!E20-'Water Reading'!E19</f>
        <v>96</v>
      </c>
      <c r="T20" s="97">
        <f t="shared" si="10"/>
        <v>0.29721362229102166</v>
      </c>
      <c r="U20" s="87">
        <f>'Water Reading'!G20-'Water Reading'!G19</f>
        <v>18</v>
      </c>
      <c r="V20" s="97">
        <f t="shared" si="11"/>
        <v>5.5727554179566562E-2</v>
      </c>
      <c r="W20" s="87">
        <f>'Water Reading'!J20-'Water Reading'!J19</f>
        <v>21</v>
      </c>
      <c r="X20" s="97">
        <f t="shared" si="12"/>
        <v>6.5015479876160992E-2</v>
      </c>
      <c r="Y20" s="64">
        <f t="shared" si="0"/>
        <v>369</v>
      </c>
      <c r="Z20" s="65">
        <f t="shared" si="1"/>
        <v>1.0664739884393064</v>
      </c>
    </row>
    <row r="21" spans="1:26" x14ac:dyDescent="0.25">
      <c r="A21" s="8">
        <f>'Water Reading'!A20</f>
        <v>44365</v>
      </c>
      <c r="B21" s="63">
        <f>TOTAL!G19</f>
        <v>327</v>
      </c>
      <c r="C21" s="64">
        <f>('Water Reading'!B21-'Water Reading'!B20)+('Water Reading'!C21-'Water Reading'!C20)</f>
        <v>297</v>
      </c>
      <c r="D21" s="65">
        <f t="shared" si="2"/>
        <v>0.90825688073394495</v>
      </c>
      <c r="E21" s="84">
        <f>'Water Reading'!H21-'Water Reading'!H20</f>
        <v>55</v>
      </c>
      <c r="F21" s="86">
        <f t="shared" si="3"/>
        <v>0.18518518518518517</v>
      </c>
      <c r="G21" s="90">
        <f>('Water Reading'!D21-'Water Reading'!D20)-('Water Reading'!R21-'Water Reading'!R20)-('Water Reading'!Q21-'Water Reading'!Q20)</f>
        <v>140</v>
      </c>
      <c r="H21" s="86">
        <f t="shared" si="4"/>
        <v>0.4713804713804714</v>
      </c>
      <c r="I21" s="87">
        <f>'Water Reading'!P21-'Water Reading'!P20</f>
        <v>0</v>
      </c>
      <c r="J21" s="66">
        <f t="shared" si="5"/>
        <v>0</v>
      </c>
      <c r="K21" s="88">
        <f>('Water Reading'!I21-'Water Reading'!I20)-('Water Reading'!P21-'Water Reading'!P20)</f>
        <v>13</v>
      </c>
      <c r="L21" s="66">
        <f t="shared" si="6"/>
        <v>4.3771043771043773E-2</v>
      </c>
      <c r="M21" s="87">
        <f>'Water Reading'!R21-'Water Reading'!R20</f>
        <v>1</v>
      </c>
      <c r="N21" s="89">
        <f t="shared" si="7"/>
        <v>3.3670033670033669E-3</v>
      </c>
      <c r="O21" s="87">
        <f>'Water Reading'!Q21-'Water Reading'!Q20</f>
        <v>2</v>
      </c>
      <c r="P21" s="96">
        <f t="shared" si="8"/>
        <v>6.7340067340067337E-3</v>
      </c>
      <c r="Q21" s="88">
        <f>'Water Reading'!F21-'Water Reading'!F20</f>
        <v>2</v>
      </c>
      <c r="R21" s="97">
        <f t="shared" si="9"/>
        <v>6.7340067340067337E-3</v>
      </c>
      <c r="S21" s="91">
        <f>'Water Reading'!E21-'Water Reading'!E20</f>
        <v>103</v>
      </c>
      <c r="T21" s="97">
        <f t="shared" si="10"/>
        <v>0.34680134680134678</v>
      </c>
      <c r="U21" s="87">
        <f>'Water Reading'!G21-'Water Reading'!G20</f>
        <v>17</v>
      </c>
      <c r="V21" s="97">
        <f t="shared" si="11"/>
        <v>5.7239057239057242E-2</v>
      </c>
      <c r="W21" s="87">
        <f>'Water Reading'!J21-'Water Reading'!J20</f>
        <v>16</v>
      </c>
      <c r="X21" s="97">
        <f t="shared" si="12"/>
        <v>5.387205387205387E-2</v>
      </c>
      <c r="Y21" s="64">
        <f t="shared" si="0"/>
        <v>349</v>
      </c>
      <c r="Z21" s="65">
        <f t="shared" si="1"/>
        <v>1.0672782874617737</v>
      </c>
    </row>
    <row r="22" spans="1:26" x14ac:dyDescent="0.25">
      <c r="A22" s="8">
        <f>'Water Reading'!A21</f>
        <v>44366</v>
      </c>
      <c r="B22" s="63">
        <f>TOTAL!G20</f>
        <v>283</v>
      </c>
      <c r="C22" s="64">
        <f>('Water Reading'!B22-'Water Reading'!B21)+('Water Reading'!C22-'Water Reading'!C21)</f>
        <v>496</v>
      </c>
      <c r="D22" s="65">
        <f t="shared" si="2"/>
        <v>1.7526501766784452</v>
      </c>
      <c r="E22" s="84">
        <f>'Water Reading'!H22-'Water Reading'!H21</f>
        <v>75</v>
      </c>
      <c r="F22" s="86">
        <f t="shared" si="3"/>
        <v>0.15120967741935484</v>
      </c>
      <c r="G22" s="90">
        <f>('Water Reading'!D22-'Water Reading'!D21)-('Water Reading'!R22-'Water Reading'!R21)-('Water Reading'!Q22-'Water Reading'!Q21)</f>
        <v>133</v>
      </c>
      <c r="H22" s="86">
        <f t="shared" si="4"/>
        <v>0.26814516129032256</v>
      </c>
      <c r="I22" s="87">
        <f>'Water Reading'!P22-'Water Reading'!P21</f>
        <v>12</v>
      </c>
      <c r="J22" s="66">
        <f t="shared" si="5"/>
        <v>2.4193548387096774E-2</v>
      </c>
      <c r="K22" s="88">
        <f>('Water Reading'!I22-'Water Reading'!I21)-('Water Reading'!P22-'Water Reading'!P21)</f>
        <v>15</v>
      </c>
      <c r="L22" s="66">
        <f t="shared" si="6"/>
        <v>3.0241935483870969E-2</v>
      </c>
      <c r="M22" s="87">
        <f>'Water Reading'!R22-'Water Reading'!R21</f>
        <v>5</v>
      </c>
      <c r="N22" s="89">
        <f t="shared" si="7"/>
        <v>1.0080645161290322E-2</v>
      </c>
      <c r="O22" s="87">
        <f>'Water Reading'!Q22-'Water Reading'!Q21</f>
        <v>1</v>
      </c>
      <c r="P22" s="96">
        <f t="shared" si="8"/>
        <v>2.0161290322580645E-3</v>
      </c>
      <c r="Q22" s="88">
        <f>'Water Reading'!F22-'Water Reading'!F21</f>
        <v>1</v>
      </c>
      <c r="R22" s="97">
        <f t="shared" si="9"/>
        <v>2.0161290322580645E-3</v>
      </c>
      <c r="S22" s="91">
        <f>'Water Reading'!E22-'Water Reading'!E21</f>
        <v>51</v>
      </c>
      <c r="T22" s="97">
        <f t="shared" si="10"/>
        <v>0.1028225806451613</v>
      </c>
      <c r="U22" s="87">
        <f>'Water Reading'!G22-'Water Reading'!G21</f>
        <v>14</v>
      </c>
      <c r="V22" s="97">
        <f t="shared" si="11"/>
        <v>2.8225806451612902E-2</v>
      </c>
      <c r="W22" s="87">
        <f>'Water Reading'!J22-'Water Reading'!J21</f>
        <v>17</v>
      </c>
      <c r="X22" s="97">
        <f t="shared" si="12"/>
        <v>3.4274193548387094E-2</v>
      </c>
      <c r="Y22" s="64">
        <f t="shared" si="0"/>
        <v>324</v>
      </c>
      <c r="Z22" s="65">
        <f t="shared" si="1"/>
        <v>1.1448763250883391</v>
      </c>
    </row>
    <row r="23" spans="1:26" x14ac:dyDescent="0.25">
      <c r="A23" s="8">
        <f>'Water Reading'!A22</f>
        <v>44367</v>
      </c>
      <c r="B23" s="63">
        <f>TOTAL!G21</f>
        <v>273</v>
      </c>
      <c r="C23" s="64">
        <f>('Water Reading'!B23-'Water Reading'!B22)+('Water Reading'!C23-'Water Reading'!C22)</f>
        <v>424</v>
      </c>
      <c r="D23" s="65">
        <f t="shared" si="2"/>
        <v>1.5531135531135531</v>
      </c>
      <c r="E23" s="84">
        <f>'Water Reading'!H23-'Water Reading'!H22</f>
        <v>58</v>
      </c>
      <c r="F23" s="86">
        <f t="shared" si="3"/>
        <v>0.13679245283018868</v>
      </c>
      <c r="G23" s="90">
        <f>('Water Reading'!D23-'Water Reading'!D22)-('Water Reading'!R23-'Water Reading'!R22)-('Water Reading'!Q23-'Water Reading'!Q22)</f>
        <v>128</v>
      </c>
      <c r="H23" s="86">
        <f t="shared" si="4"/>
        <v>0.30188679245283018</v>
      </c>
      <c r="I23" s="87">
        <f>'Water Reading'!P23-'Water Reading'!P22</f>
        <v>12</v>
      </c>
      <c r="J23" s="66">
        <f t="shared" si="5"/>
        <v>2.8301886792452831E-2</v>
      </c>
      <c r="K23" s="88">
        <f>('Water Reading'!I23-'Water Reading'!I22)-('Water Reading'!P23-'Water Reading'!P22)</f>
        <v>13</v>
      </c>
      <c r="L23" s="66">
        <f t="shared" si="6"/>
        <v>3.0660377358490566E-2</v>
      </c>
      <c r="M23" s="87">
        <f>'Water Reading'!R23-'Water Reading'!R22</f>
        <v>6</v>
      </c>
      <c r="N23" s="89">
        <f t="shared" si="7"/>
        <v>1.4150943396226415E-2</v>
      </c>
      <c r="O23" s="87">
        <f>'Water Reading'!Q23-'Water Reading'!Q22</f>
        <v>11</v>
      </c>
      <c r="P23" s="96">
        <f t="shared" si="8"/>
        <v>2.5943396226415096E-2</v>
      </c>
      <c r="Q23" s="88">
        <f>'Water Reading'!F23-'Water Reading'!F22</f>
        <v>0</v>
      </c>
      <c r="R23" s="97">
        <f t="shared" si="9"/>
        <v>0</v>
      </c>
      <c r="S23" s="91">
        <f>'Water Reading'!E23-'Water Reading'!E22</f>
        <v>53</v>
      </c>
      <c r="T23" s="97">
        <f t="shared" si="10"/>
        <v>0.125</v>
      </c>
      <c r="U23" s="87">
        <f>'Water Reading'!G23-'Water Reading'!G22</f>
        <v>16</v>
      </c>
      <c r="V23" s="97">
        <f t="shared" si="11"/>
        <v>3.7735849056603772E-2</v>
      </c>
      <c r="W23" s="87">
        <f>'Water Reading'!J23-'Water Reading'!J22</f>
        <v>20</v>
      </c>
      <c r="X23" s="97">
        <f t="shared" si="12"/>
        <v>4.716981132075472E-2</v>
      </c>
      <c r="Y23" s="64">
        <f t="shared" si="0"/>
        <v>317</v>
      </c>
      <c r="Z23" s="65">
        <f t="shared" si="1"/>
        <v>1.1611721611721613</v>
      </c>
    </row>
    <row r="24" spans="1:26" x14ac:dyDescent="0.25">
      <c r="A24" s="8">
        <f>'Water Reading'!A23</f>
        <v>44368</v>
      </c>
      <c r="B24" s="63">
        <f>TOTAL!G22</f>
        <v>298</v>
      </c>
      <c r="C24" s="64">
        <f>('Water Reading'!B24-'Water Reading'!B23)+('Water Reading'!C24-'Water Reading'!C23)</f>
        <v>457</v>
      </c>
      <c r="D24" s="65">
        <f t="shared" si="2"/>
        <v>1.5335570469798658</v>
      </c>
      <c r="E24" s="84">
        <f>'Water Reading'!H24-'Water Reading'!H23</f>
        <v>45</v>
      </c>
      <c r="F24" s="86">
        <f t="shared" si="3"/>
        <v>9.8468271334792121E-2</v>
      </c>
      <c r="G24" s="90">
        <f>('Water Reading'!D24-'Water Reading'!D23)-('Water Reading'!R24-'Water Reading'!R23)-('Water Reading'!Q24-'Water Reading'!Q23)</f>
        <v>137</v>
      </c>
      <c r="H24" s="86">
        <f t="shared" si="4"/>
        <v>0.29978118161925604</v>
      </c>
      <c r="I24" s="87">
        <f>'Water Reading'!P24-'Water Reading'!P23</f>
        <v>12</v>
      </c>
      <c r="J24" s="66">
        <f t="shared" si="5"/>
        <v>2.6258205689277898E-2</v>
      </c>
      <c r="K24" s="88">
        <f>('Water Reading'!I24-'Water Reading'!I23)-('Water Reading'!P24-'Water Reading'!P23)</f>
        <v>18</v>
      </c>
      <c r="L24" s="66">
        <f t="shared" si="6"/>
        <v>3.9387308533916851E-2</v>
      </c>
      <c r="M24" s="87">
        <f>'Water Reading'!R24-'Water Reading'!R23</f>
        <v>4</v>
      </c>
      <c r="N24" s="89">
        <f t="shared" si="7"/>
        <v>8.7527352297592995E-3</v>
      </c>
      <c r="O24" s="87">
        <f>'Water Reading'!Q24-'Water Reading'!Q23</f>
        <v>8</v>
      </c>
      <c r="P24" s="96">
        <f t="shared" si="8"/>
        <v>1.7505470459518599E-2</v>
      </c>
      <c r="Q24" s="88">
        <f>'Water Reading'!F24-'Water Reading'!F23</f>
        <v>1</v>
      </c>
      <c r="R24" s="97">
        <f t="shared" si="9"/>
        <v>2.1881838074398249E-3</v>
      </c>
      <c r="S24" s="91">
        <f>'Water Reading'!E24-'Water Reading'!E23</f>
        <v>55</v>
      </c>
      <c r="T24" s="97">
        <f t="shared" si="10"/>
        <v>0.12035010940919037</v>
      </c>
      <c r="U24" s="87">
        <f>'Water Reading'!G24-'Water Reading'!G23</f>
        <v>18</v>
      </c>
      <c r="V24" s="97">
        <f t="shared" si="11"/>
        <v>3.9387308533916851E-2</v>
      </c>
      <c r="W24" s="87">
        <f>'Water Reading'!J24-'Water Reading'!J23</f>
        <v>19</v>
      </c>
      <c r="X24" s="97">
        <f t="shared" si="12"/>
        <v>4.1575492341356671E-2</v>
      </c>
      <c r="Y24" s="64">
        <f t="shared" si="0"/>
        <v>317</v>
      </c>
      <c r="Z24" s="65">
        <f t="shared" si="1"/>
        <v>1.063758389261745</v>
      </c>
    </row>
    <row r="25" spans="1:26" x14ac:dyDescent="0.25">
      <c r="A25" s="8">
        <f>'Water Reading'!A24</f>
        <v>44369</v>
      </c>
      <c r="B25" s="63">
        <f>TOTAL!G23</f>
        <v>321</v>
      </c>
      <c r="C25" s="64">
        <f>('Water Reading'!B25-'Water Reading'!B24)+('Water Reading'!C25-'Water Reading'!C24)</f>
        <v>210</v>
      </c>
      <c r="D25" s="65">
        <f t="shared" si="2"/>
        <v>0.65420560747663548</v>
      </c>
      <c r="E25" s="84">
        <f>'Water Reading'!H25-'Water Reading'!H24</f>
        <v>74</v>
      </c>
      <c r="F25" s="86">
        <f t="shared" si="3"/>
        <v>0.35238095238095241</v>
      </c>
      <c r="G25" s="90">
        <f>('Water Reading'!D25-'Water Reading'!D24)-('Water Reading'!R25-'Water Reading'!R24)-('Water Reading'!Q25-'Water Reading'!Q24)</f>
        <v>164</v>
      </c>
      <c r="H25" s="86">
        <f t="shared" si="4"/>
        <v>0.78095238095238095</v>
      </c>
      <c r="I25" s="87">
        <f>'Water Reading'!P25-'Water Reading'!P24</f>
        <v>0</v>
      </c>
      <c r="J25" s="66">
        <f t="shared" si="5"/>
        <v>0</v>
      </c>
      <c r="K25" s="88">
        <f>('Water Reading'!I25-'Water Reading'!I24)-('Water Reading'!P25-'Water Reading'!P24)</f>
        <v>13</v>
      </c>
      <c r="L25" s="66">
        <f t="shared" si="6"/>
        <v>6.1904761904761907E-2</v>
      </c>
      <c r="M25" s="87">
        <f>'Water Reading'!R25-'Water Reading'!R24</f>
        <v>6</v>
      </c>
      <c r="N25" s="89">
        <f t="shared" si="7"/>
        <v>2.8571428571428571E-2</v>
      </c>
      <c r="O25" s="87">
        <f>'Water Reading'!Q25-'Water Reading'!Q24</f>
        <v>2</v>
      </c>
      <c r="P25" s="96">
        <f t="shared" si="8"/>
        <v>9.5238095238095247E-3</v>
      </c>
      <c r="Q25" s="88">
        <f>'Water Reading'!F25-'Water Reading'!F24</f>
        <v>1</v>
      </c>
      <c r="R25" s="97">
        <f t="shared" si="9"/>
        <v>4.7619047619047623E-3</v>
      </c>
      <c r="S25" s="91">
        <f>'Water Reading'!E25-'Water Reading'!E24</f>
        <v>68</v>
      </c>
      <c r="T25" s="97">
        <f t="shared" si="10"/>
        <v>0.32380952380952382</v>
      </c>
      <c r="U25" s="87">
        <f>'Water Reading'!G25-'Water Reading'!G24</f>
        <v>16</v>
      </c>
      <c r="V25" s="97">
        <f t="shared" si="11"/>
        <v>7.6190476190476197E-2</v>
      </c>
      <c r="W25" s="87">
        <f>'Water Reading'!J25-'Water Reading'!J24</f>
        <v>19</v>
      </c>
      <c r="X25" s="97">
        <f t="shared" si="12"/>
        <v>9.0476190476190474E-2</v>
      </c>
      <c r="Y25" s="64">
        <f t="shared" si="0"/>
        <v>363</v>
      </c>
      <c r="Z25" s="65">
        <f t="shared" si="1"/>
        <v>1.1308411214953271</v>
      </c>
    </row>
    <row r="26" spans="1:26" x14ac:dyDescent="0.25">
      <c r="A26" s="8">
        <f>'Water Reading'!A25</f>
        <v>44370</v>
      </c>
      <c r="B26" s="63">
        <f>TOTAL!G24</f>
        <v>273</v>
      </c>
      <c r="C26" s="64">
        <f>('Water Reading'!B26-'Water Reading'!B25)+('Water Reading'!C26-'Water Reading'!C25)</f>
        <v>361</v>
      </c>
      <c r="D26" s="65">
        <f t="shared" si="2"/>
        <v>1.3223443223443223</v>
      </c>
      <c r="E26" s="84">
        <f>'Water Reading'!H26-'Water Reading'!H25</f>
        <v>52</v>
      </c>
      <c r="F26" s="86">
        <f t="shared" si="3"/>
        <v>0.1440443213296399</v>
      </c>
      <c r="G26" s="90">
        <f>('Water Reading'!D26-'Water Reading'!D25)-('Water Reading'!R26-'Water Reading'!R25)-('Water Reading'!Q26-'Water Reading'!Q25)</f>
        <v>107</v>
      </c>
      <c r="H26" s="86">
        <f t="shared" si="4"/>
        <v>0.296398891966759</v>
      </c>
      <c r="I26" s="87">
        <f>'Water Reading'!P26-'Water Reading'!P25</f>
        <v>16</v>
      </c>
      <c r="J26" s="66">
        <f t="shared" si="5"/>
        <v>4.4321329639889197E-2</v>
      </c>
      <c r="K26" s="88">
        <f>('Water Reading'!I26-'Water Reading'!I25)-('Water Reading'!P26-'Water Reading'!P25)</f>
        <v>8</v>
      </c>
      <c r="L26" s="66">
        <f t="shared" si="6"/>
        <v>2.2160664819944598E-2</v>
      </c>
      <c r="M26" s="87">
        <f>'Water Reading'!R26-'Water Reading'!R25</f>
        <v>4</v>
      </c>
      <c r="N26" s="89">
        <f t="shared" si="7"/>
        <v>1.1080332409972299E-2</v>
      </c>
      <c r="O26" s="87">
        <f>'Water Reading'!Q26-'Water Reading'!Q25</f>
        <v>17</v>
      </c>
      <c r="P26" s="96">
        <f t="shared" si="8"/>
        <v>4.7091412742382273E-2</v>
      </c>
      <c r="Q26" s="88">
        <f>'Water Reading'!F26-'Water Reading'!F25</f>
        <v>0</v>
      </c>
      <c r="R26" s="97">
        <f t="shared" si="9"/>
        <v>0</v>
      </c>
      <c r="S26" s="91">
        <f>'Water Reading'!E26-'Water Reading'!E25</f>
        <v>58</v>
      </c>
      <c r="T26" s="97">
        <f t="shared" si="10"/>
        <v>0.16066481994459833</v>
      </c>
      <c r="U26" s="87">
        <f>'Water Reading'!G26-'Water Reading'!G25</f>
        <v>17</v>
      </c>
      <c r="V26" s="97">
        <f t="shared" si="11"/>
        <v>4.7091412742382273E-2</v>
      </c>
      <c r="W26" s="87">
        <f>'Water Reading'!J26-'Water Reading'!J25</f>
        <v>20</v>
      </c>
      <c r="X26" s="97">
        <f t="shared" si="12"/>
        <v>5.5401662049861494E-2</v>
      </c>
      <c r="Y26" s="64">
        <f t="shared" si="0"/>
        <v>299</v>
      </c>
      <c r="Z26" s="65">
        <f t="shared" si="1"/>
        <v>1.0952380952380953</v>
      </c>
    </row>
    <row r="27" spans="1:26" x14ac:dyDescent="0.25">
      <c r="A27" s="8">
        <f>'Water Reading'!A26</f>
        <v>44371</v>
      </c>
      <c r="B27" s="63">
        <f>TOTAL!G25</f>
        <v>0</v>
      </c>
      <c r="C27" s="64">
        <f>('Water Reading'!B27-'Water Reading'!B26)+('Water Reading'!C27-'Water Reading'!C26)</f>
        <v>-292795</v>
      </c>
      <c r="D27" s="65" t="e">
        <f t="shared" si="2"/>
        <v>#DIV/0!</v>
      </c>
      <c r="E27" s="84">
        <f>'Water Reading'!H27-'Water Reading'!H26</f>
        <v>-52611</v>
      </c>
      <c r="F27" s="86">
        <f t="shared" si="3"/>
        <v>0.17968544544818046</v>
      </c>
      <c r="G27" s="90">
        <f>('Water Reading'!D27-'Water Reading'!D26)-('Water Reading'!R27-'Water Reading'!R26)-('Water Reading'!Q27-'Water Reading'!Q26)</f>
        <v>-201463</v>
      </c>
      <c r="H27" s="86">
        <f t="shared" si="4"/>
        <v>0.68806844379173138</v>
      </c>
      <c r="I27" s="87">
        <f>'Water Reading'!P27-'Water Reading'!P26</f>
        <v>-26982</v>
      </c>
      <c r="J27" s="66">
        <f t="shared" si="5"/>
        <v>9.2153212998855857E-2</v>
      </c>
      <c r="K27" s="88">
        <f>('Water Reading'!I27-'Water Reading'!I26)-('Water Reading'!P27-'Water Reading'!P26)</f>
        <v>-36521</v>
      </c>
      <c r="L27" s="66">
        <f t="shared" si="6"/>
        <v>0.1247323212486552</v>
      </c>
      <c r="M27" s="87">
        <f>'Water Reading'!R27-'Water Reading'!R26</f>
        <v>-6200</v>
      </c>
      <c r="N27" s="89">
        <f t="shared" si="7"/>
        <v>2.1175224986765485E-2</v>
      </c>
      <c r="O27" s="87">
        <f>'Water Reading'!Q27-'Water Reading'!Q26</f>
        <v>-618</v>
      </c>
      <c r="P27" s="96">
        <f t="shared" si="8"/>
        <v>2.1106917809388822E-3</v>
      </c>
      <c r="Q27" s="88">
        <f>'Water Reading'!F27-'Water Reading'!F26</f>
        <v>-66924</v>
      </c>
      <c r="R27" s="97">
        <f t="shared" si="9"/>
        <v>0.22856947693778923</v>
      </c>
      <c r="S27" s="91">
        <f>'Water Reading'!E27-'Water Reading'!E26</f>
        <v>-247478</v>
      </c>
      <c r="T27" s="97">
        <f t="shared" si="10"/>
        <v>0.84522618214108847</v>
      </c>
      <c r="U27" s="87">
        <f>'Water Reading'!G27-'Water Reading'!G26</f>
        <v>-111520</v>
      </c>
      <c r="V27" s="97">
        <f t="shared" si="11"/>
        <v>0.38088082105227206</v>
      </c>
      <c r="W27" s="87">
        <f>'Water Reading'!J27-'Water Reading'!J26</f>
        <v>-20145</v>
      </c>
      <c r="X27" s="97">
        <f t="shared" si="12"/>
        <v>6.8802404412643653E-2</v>
      </c>
      <c r="Y27" s="64">
        <f t="shared" si="0"/>
        <v>-770462</v>
      </c>
      <c r="Z27" s="65" t="e">
        <f t="shared" si="1"/>
        <v>#DIV/0!</v>
      </c>
    </row>
    <row r="28" spans="1:26" x14ac:dyDescent="0.25">
      <c r="A28" s="8">
        <f>'Water Reading'!A27</f>
        <v>44372</v>
      </c>
      <c r="B28" s="63">
        <f>TOTAL!G26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0</v>
      </c>
      <c r="H28" s="86" t="e">
        <f t="shared" si="4"/>
        <v>#DIV/0!</v>
      </c>
      <c r="I28" s="87">
        <f>'Water Reading'!P28-'Water Reading'!P27</f>
        <v>0</v>
      </c>
      <c r="J28" s="66" t="e">
        <f t="shared" si="5"/>
        <v>#DIV/0!</v>
      </c>
      <c r="K28" s="88">
        <f>('Water Reading'!I28-'Water Reading'!I27)-('Water Reading'!P28-'Water Reading'!P27)</f>
        <v>0</v>
      </c>
      <c r="L28" s="66" t="e">
        <f t="shared" si="6"/>
        <v>#DIV/0!</v>
      </c>
      <c r="M28" s="87">
        <f>'Water Reading'!R28-'Water Reading'!R27</f>
        <v>0</v>
      </c>
      <c r="N28" s="89" t="e">
        <f t="shared" si="7"/>
        <v>#DIV/0!</v>
      </c>
      <c r="O28" s="87">
        <f>'Water Reading'!Q28-'Water Reading'!Q27</f>
        <v>0</v>
      </c>
      <c r="P28" s="96" t="e">
        <f t="shared" si="8"/>
        <v>#DIV/0!</v>
      </c>
      <c r="Q28" s="88">
        <f>'Water Reading'!F28-'Water Reading'!F27</f>
        <v>0</v>
      </c>
      <c r="R28" s="97" t="e">
        <f t="shared" si="9"/>
        <v>#DIV/0!</v>
      </c>
      <c r="S28" s="91">
        <f>'Water Reading'!E28-'Water Reading'!E27</f>
        <v>0</v>
      </c>
      <c r="T28" s="97" t="e">
        <f t="shared" si="10"/>
        <v>#DIV/0!</v>
      </c>
      <c r="U28" s="87">
        <f>'Water Reading'!G28-'Water Reading'!G27</f>
        <v>0</v>
      </c>
      <c r="V28" s="97" t="e">
        <f t="shared" si="11"/>
        <v>#DIV/0!</v>
      </c>
      <c r="W28" s="87">
        <f>'Water Reading'!J28-'Water Reading'!J27</f>
        <v>0</v>
      </c>
      <c r="X28" s="97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44373</v>
      </c>
      <c r="B29" s="63">
        <f>TOTAL!G27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0</v>
      </c>
      <c r="H29" s="86" t="e">
        <f t="shared" si="4"/>
        <v>#DIV/0!</v>
      </c>
      <c r="I29" s="87">
        <f>'Water Reading'!P29-'Water Reading'!P28</f>
        <v>0</v>
      </c>
      <c r="J29" s="66" t="e">
        <f t="shared" si="5"/>
        <v>#DIV/0!</v>
      </c>
      <c r="K29" s="88">
        <f>('Water Reading'!I29-'Water Reading'!I28)-('Water Reading'!P29-'Water Reading'!P28)</f>
        <v>0</v>
      </c>
      <c r="L29" s="66" t="e">
        <f t="shared" si="6"/>
        <v>#DIV/0!</v>
      </c>
      <c r="M29" s="87">
        <f>'Water Reading'!R29-'Water Reading'!R28</f>
        <v>0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0</v>
      </c>
      <c r="T29" s="97" t="e">
        <f t="shared" si="10"/>
        <v>#DIV/0!</v>
      </c>
      <c r="U29" s="87">
        <f>'Water Reading'!G29-'Water Reading'!G28</f>
        <v>0</v>
      </c>
      <c r="V29" s="97" t="e">
        <f t="shared" si="11"/>
        <v>#DIV/0!</v>
      </c>
      <c r="W29" s="87">
        <f>'Water Reading'!J29-'Water Reading'!J28</f>
        <v>0</v>
      </c>
      <c r="X29" s="97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44374</v>
      </c>
      <c r="B30" s="63">
        <f>TOTAL!G28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0</v>
      </c>
      <c r="H30" s="86" t="e">
        <f t="shared" si="4"/>
        <v>#DIV/0!</v>
      </c>
      <c r="I30" s="87">
        <f>'Water Reading'!P30-'Water Reading'!P29</f>
        <v>0</v>
      </c>
      <c r="J30" s="66" t="e">
        <f t="shared" si="5"/>
        <v>#DIV/0!</v>
      </c>
      <c r="K30" s="88">
        <f>('Water Reading'!I30-'Water Reading'!I29)-('Water Reading'!P30-'Water Reading'!P29)</f>
        <v>0</v>
      </c>
      <c r="L30" s="66" t="e">
        <f t="shared" si="6"/>
        <v>#DIV/0!</v>
      </c>
      <c r="M30" s="87">
        <f>'Water Reading'!R30-'Water Reading'!R29</f>
        <v>0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0</v>
      </c>
      <c r="R30" s="97" t="e">
        <f t="shared" si="9"/>
        <v>#DIV/0!</v>
      </c>
      <c r="S30" s="91">
        <f>'Water Reading'!E30-'Water Reading'!E29</f>
        <v>0</v>
      </c>
      <c r="T30" s="97" t="e">
        <f t="shared" si="10"/>
        <v>#DIV/0!</v>
      </c>
      <c r="U30" s="87">
        <f>'Water Reading'!G30-'Water Reading'!G29</f>
        <v>0</v>
      </c>
      <c r="V30" s="97" t="e">
        <f t="shared" si="11"/>
        <v>#DIV/0!</v>
      </c>
      <c r="W30" s="87">
        <f>'Water Reading'!J30-'Water Reading'!J29</f>
        <v>0</v>
      </c>
      <c r="X30" s="97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44375</v>
      </c>
      <c r="B31" s="63">
        <f>TOTAL!G29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0</v>
      </c>
      <c r="H31" s="86" t="e">
        <f t="shared" si="4"/>
        <v>#DIV/0!</v>
      </c>
      <c r="I31" s="87">
        <f>'Water Reading'!P31-'Water Reading'!P30</f>
        <v>0</v>
      </c>
      <c r="J31" s="66" t="e">
        <f t="shared" si="5"/>
        <v>#DIV/0!</v>
      </c>
      <c r="K31" s="88">
        <f>('Water Reading'!I31-'Water Reading'!I30)-('Water Reading'!P31-'Water Reading'!P30)</f>
        <v>0</v>
      </c>
      <c r="L31" s="66" t="e">
        <f t="shared" si="6"/>
        <v>#DIV/0!</v>
      </c>
      <c r="M31" s="87">
        <f>'Water Reading'!R31-'Water Reading'!R30</f>
        <v>0</v>
      </c>
      <c r="N31" s="89" t="e">
        <f t="shared" si="7"/>
        <v>#DIV/0!</v>
      </c>
      <c r="O31" s="87">
        <f>'Water Reading'!Q31-'Water Reading'!Q30</f>
        <v>0</v>
      </c>
      <c r="P31" s="96" t="e">
        <f t="shared" si="8"/>
        <v>#DIV/0!</v>
      </c>
      <c r="Q31" s="88">
        <f>'Water Reading'!F31-'Water Reading'!F30</f>
        <v>0</v>
      </c>
      <c r="R31" s="97" t="e">
        <f t="shared" si="9"/>
        <v>#DIV/0!</v>
      </c>
      <c r="S31" s="91">
        <f>'Water Reading'!E31-'Water Reading'!E30</f>
        <v>0</v>
      </c>
      <c r="T31" s="97" t="e">
        <f t="shared" si="10"/>
        <v>#DIV/0!</v>
      </c>
      <c r="U31" s="87">
        <f>'Water Reading'!G31-'Water Reading'!G30</f>
        <v>0</v>
      </c>
      <c r="V31" s="97" t="e">
        <f t="shared" si="11"/>
        <v>#DIV/0!</v>
      </c>
      <c r="W31" s="87">
        <f>'Water Reading'!J31-'Water Reading'!J30</f>
        <v>0</v>
      </c>
      <c r="X31" s="97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44376</v>
      </c>
      <c r="B32" s="63">
        <f>TOTAL!G30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44377</v>
      </c>
      <c r="B33" s="63">
        <f>TOTAL!G31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44378</v>
      </c>
      <c r="B34" s="63">
        <f>TOTAL!G32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4">
        <f>SUM(B4:B34)</f>
        <v>7240</v>
      </c>
      <c r="C35" s="73">
        <f>SUM(C4:C34)</f>
        <v>-282428</v>
      </c>
      <c r="D35" s="93">
        <f>C35/B35</f>
        <v>-39.00939226519337</v>
      </c>
      <c r="E35" s="7">
        <f>SUM(E4:E34)</f>
        <v>-51028</v>
      </c>
      <c r="F35" s="92">
        <f>E35/C35</f>
        <v>0.1806761369269336</v>
      </c>
      <c r="G35" s="73">
        <f>SUM(G4:G34)</f>
        <v>-198035</v>
      </c>
      <c r="H35" s="92">
        <f>G35/C35</f>
        <v>0.70118755930715082</v>
      </c>
      <c r="I35" s="7">
        <f>SUM(I4:I34)</f>
        <v>-26689</v>
      </c>
      <c r="J35" s="92">
        <f>I35/C35</f>
        <v>9.449842083646097E-2</v>
      </c>
      <c r="K35" s="7">
        <f>SUM(K4:K34)</f>
        <v>-36195</v>
      </c>
      <c r="L35" s="92">
        <f>K35/C35</f>
        <v>0.12815655671533985</v>
      </c>
      <c r="M35" s="7">
        <f>SUM(M4:M34)</f>
        <v>-6107</v>
      </c>
      <c r="N35" s="92">
        <f>M35/C35</f>
        <v>2.1623210163298257E-2</v>
      </c>
      <c r="O35" s="7">
        <f>SUM(O4:O34)</f>
        <v>-503</v>
      </c>
      <c r="P35" s="92">
        <f>O35/C35</f>
        <v>1.780984888183891E-3</v>
      </c>
      <c r="Q35" s="7">
        <f>SUM(Q4:Q34)</f>
        <v>-66906</v>
      </c>
      <c r="R35" s="92">
        <f>Q35/C35</f>
        <v>0.2368957752064243</v>
      </c>
      <c r="S35" s="73">
        <f>SUM(S4:S34)</f>
        <v>-245992</v>
      </c>
      <c r="T35" s="92">
        <f>S35/C35</f>
        <v>0.87099012845751833</v>
      </c>
      <c r="U35" s="7">
        <f>SUM(U4:U34)</f>
        <v>-111170</v>
      </c>
      <c r="V35" s="92">
        <f>U35/C35</f>
        <v>0.39362244536660673</v>
      </c>
      <c r="W35" s="7">
        <f>SUM(W4:W34)</f>
        <v>-19755</v>
      </c>
      <c r="X35" s="92">
        <f>W35/C35</f>
        <v>6.994703074765958E-2</v>
      </c>
      <c r="Y35" s="73">
        <f>SUM(Y4:Y34)</f>
        <v>-762380</v>
      </c>
      <c r="Z35" s="92">
        <f t="shared" si="1"/>
        <v>-105.3011049723757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2021-06-25T08:22:11Z</dcterms:modified>
  <cp:category/>
  <cp:contentStatus/>
</cp:coreProperties>
</file>