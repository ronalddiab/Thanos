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E8" i="3" l="1"/>
  <c r="E5" i="3" l="1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E3" i="3" l="1"/>
  <c r="E4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E12" i="3" s="1"/>
  <c r="AV11" i="6"/>
  <c r="E11" i="3" s="1"/>
  <c r="AV10" i="6"/>
  <c r="E10" i="3" s="1"/>
  <c r="AV9" i="6"/>
  <c r="E9" i="3" s="1"/>
  <c r="AV8" i="6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<sst xmlns="http://schemas.openxmlformats.org/spreadsheetml/2006/main" count="296" uniqueCount="138">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</sst>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8" sqref="E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Submetering!E9+Submetering!F9+Submetering!G9+Submetering!H9-Submetering!AV9</f>
        <v>3109.9999999994398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Submetering!E10+Submetering!F10+Submetering!G10+Submetering!H10-Submetering!AV10</f>
        <v>3440.0000000008999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Submetering!E11+Submetering!F11+Submetering!G11+Submetering!H11-Submetering!AV11</f>
        <v>3579.9999999998226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 t="e">
        <f>Submetering!E12+Submetering!F12+Submetering!G12+Submetering!H12-Submetering!AV12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I1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 t="str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 t="str">
        <f>'FS Desroches Daily'!D14</f>
        <v>0</v>
      </c>
      <c r="F12" s="33" t="str">
        <f>'FS Desroches Daily'!F14</f>
        <v>0</v>
      </c>
      <c r="G12" s="32" t="str">
        <f>'FS Desroches Daily'!H14</f>
        <v>0</v>
      </c>
      <c r="H12" s="33" t="str">
        <f>'FS Desroches Daily'!J14</f>
        <v>0</v>
      </c>
      <c r="I12" s="32" t="str">
        <f>'FS Desroches Daily'!L14</f>
        <v>0</v>
      </c>
      <c r="J12" s="33" t="str">
        <f>'FS Desroches Daily'!N14</f>
        <v/>
      </c>
      <c r="K12" s="13" t="str">
        <f>'FS Desroches Daily'!P14</f>
        <v/>
      </c>
      <c r="L12" s="32" t="str">
        <f>'FS Desroches Daily'!R14</f>
        <v/>
      </c>
      <c r="M12" s="32" t="str">
        <f>'FS Desroches Daily'!T14</f>
        <v/>
      </c>
      <c r="N12" s="32" t="str">
        <f>'FS Desroches Daily'!V14</f>
        <v/>
      </c>
      <c r="O12" s="32" t="str">
        <f>'FS Desroches Daily'!X14</f>
        <v/>
      </c>
      <c r="P12" s="32" t="str">
        <f>'FS Desroches Daily'!Z14</f>
        <v/>
      </c>
      <c r="Q12" s="32" t="str">
        <f>'FS Desroches Daily'!AB14</f>
        <v/>
      </c>
      <c r="R12" s="32" t="str">
        <f>'FS Desroches Daily'!AD14</f>
        <v/>
      </c>
      <c r="S12" s="32" t="str">
        <f>'FS Desroches Daily'!AF14</f>
        <v/>
      </c>
      <c r="T12" s="32" t="str">
        <f>'FS Desroches Daily'!AH14</f>
        <v/>
      </c>
      <c r="U12" s="36" t="str">
        <f>'FS Desroches Daily'!AJ14</f>
        <v/>
      </c>
      <c r="V12" s="36" t="str">
        <f>'FS Desroches Daily'!AL14</f>
        <v/>
      </c>
      <c r="W12" s="36" t="str">
        <f>'FS Desroches Daily'!AN14</f>
        <v/>
      </c>
      <c r="X12" s="36" t="str">
        <f>'FS Desroches Daily'!AP14</f>
        <v/>
      </c>
      <c r="Y12" s="36" t="str">
        <f>'FS Desroches Daily'!AR14</f>
        <v/>
      </c>
      <c r="Z12" s="36" t="str">
        <f>'FS Desroches Daily'!AT14</f>
        <v/>
      </c>
      <c r="AA12" s="36" t="str">
        <f>'FS Desroches Daily'!AT14</f>
        <v/>
      </c>
      <c r="AB12" s="36" t="str">
        <f>'FS Desroches Daily'!AV14</f>
        <v/>
      </c>
      <c r="AC12" s="36" t="str">
        <f>'FS Desroches Daily'!AZ14</f>
        <v/>
      </c>
      <c r="AD12" s="36" t="str">
        <f>'FS Desroches Daily'!BB14</f>
        <v/>
      </c>
      <c r="AE12" s="36" t="str">
        <f>'FS Desroches Daily'!BD14</f>
        <v/>
      </c>
      <c r="AF12" s="32" t="str">
        <f>'FS Desroches Daily'!BF14</f>
        <v/>
      </c>
      <c r="AG12" s="33" t="str">
        <f>'FS Desroches Daily'!BH14</f>
        <v/>
      </c>
      <c r="AH12" s="33" t="str">
        <f>'FS Desroches Daily'!BJ14</f>
        <v/>
      </c>
      <c r="AI12" s="33" t="str">
        <f>'FS Desroches Daily'!BL14</f>
        <v/>
      </c>
      <c r="AJ12" s="33" t="str">
        <f>'FS Desroches Daily'!BN14</f>
        <v/>
      </c>
      <c r="AK12" s="33" t="str">
        <f>'FS Desroches Daily'!BP14</f>
        <v/>
      </c>
      <c r="AL12" s="33" t="str">
        <f>'FS Desroches Daily'!BR14</f>
        <v/>
      </c>
      <c r="AM12" s="33" t="str">
        <f>'FS Desroches Daily'!BT14</f>
        <v/>
      </c>
      <c r="AN12" s="33" t="str">
        <f>'FS Desroches Daily'!BV14</f>
        <v/>
      </c>
      <c r="AO12" s="33" t="str">
        <f>'FS Desroches Daily'!BX14</f>
        <v/>
      </c>
      <c r="AP12" s="33" t="str">
        <f>'FS Desroches Daily'!BZ14</f>
        <v/>
      </c>
      <c r="AQ12" s="32" t="str">
        <f>'FS Desroches Daily'!CB14</f>
        <v/>
      </c>
      <c r="AR12" s="32" t="str">
        <f>'FS Desroches Daily'!CD14</f>
        <v/>
      </c>
      <c r="AS12" s="32" t="str">
        <f>'FS Desroches Daily'!CF14</f>
        <v/>
      </c>
      <c r="AT12" s="32" t="str">
        <f>'FS Desroches Daily'!CH14</f>
        <v/>
      </c>
      <c r="AU12" s="32" t="str">
        <f>'FS Desroches Daily'!CJ14</f>
        <v/>
      </c>
      <c r="AV12" s="32" t="str">
        <f>'FS Desroches Daily'!CL14</f>
        <v/>
      </c>
      <c r="AW12" s="32">
        <f>'FS Desroches Daily'!CM14</f>
        <v>0</v>
      </c>
      <c r="AX12" s="32" t="str">
        <f>IF(LPG!F19-LPG!F18&lt;0,"0",(LPG!F19-LPG!F18)*1.8315)</f>
        <v>0</v>
      </c>
      <c r="AY12" s="32" t="str">
        <f>IF(LPG!H19-LPG!H18&lt;0,"0",(LPG!H19-LPG!H18)*1.8315)</f>
        <v>0</v>
      </c>
      <c r="AZ12" s="32" t="str">
        <f>IF(LPG!J19-LPG!J18&lt;0,"0",(LPG!J19-LPG!J18)*1.8315)</f>
        <v>0</v>
      </c>
      <c r="BA12" s="32" t="str">
        <f>IF(LPG!M19-LPG!M18&lt;0,"0",(LPG!M19-LPG!M18)*1.8315)</f>
        <v>0</v>
      </c>
      <c r="BB12" s="32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6599.9999999999391</v>
      </c>
      <c r="F33" s="17">
        <f t="shared" ref="F33:BC33" si="1">SUM(F2:F32)</f>
        <v>5900.0000000000164</v>
      </c>
      <c r="G33" s="17">
        <f t="shared" si="1"/>
        <v>16300.000000000202</v>
      </c>
      <c r="H33" s="17">
        <f t="shared" si="1"/>
        <v>9900.00000000002</v>
      </c>
      <c r="I33" s="17">
        <f t="shared" si="1"/>
        <v>18900.000000000142</v>
      </c>
      <c r="J33" s="17">
        <f t="shared" si="1"/>
        <v>4700.0000000001492</v>
      </c>
      <c r="K33" s="17">
        <f t="shared" si="1"/>
        <v>8</v>
      </c>
      <c r="L33" s="17">
        <f t="shared" si="1"/>
        <v>41</v>
      </c>
      <c r="M33" s="17">
        <f t="shared" si="1"/>
        <v>1913</v>
      </c>
      <c r="N33" s="17">
        <f t="shared" si="1"/>
        <v>1070</v>
      </c>
      <c r="O33" s="17">
        <f t="shared" si="1"/>
        <v>759.99999999999091</v>
      </c>
      <c r="P33" s="17">
        <f t="shared" si="1"/>
        <v>4100.0000000002146</v>
      </c>
      <c r="Q33" s="17">
        <f t="shared" si="1"/>
        <v>730.00000000001819</v>
      </c>
      <c r="R33" s="17">
        <f t="shared" si="1"/>
        <v>1250</v>
      </c>
      <c r="S33" s="17">
        <f t="shared" si="1"/>
        <v>1560.0000000000023</v>
      </c>
      <c r="T33" s="17">
        <f t="shared" si="1"/>
        <v>11.900000000000091</v>
      </c>
      <c r="U33" s="36">
        <f t="shared" si="1"/>
        <v>1889.9999999999864</v>
      </c>
      <c r="V33" s="36">
        <f t="shared" si="1"/>
        <v>360.00000000001364</v>
      </c>
      <c r="W33" s="36">
        <f t="shared" si="1"/>
        <v>349.99999999999432</v>
      </c>
      <c r="X33" s="36">
        <f t="shared" si="1"/>
        <v>310.00000000000227</v>
      </c>
      <c r="Y33" s="36">
        <f t="shared" si="1"/>
        <v>400.00000000000568</v>
      </c>
      <c r="Z33" s="36">
        <f t="shared" si="1"/>
        <v>349.99999999996589</v>
      </c>
      <c r="AA33" s="36">
        <f t="shared" si="1"/>
        <v>349.99999999996589</v>
      </c>
      <c r="AB33" s="36">
        <f t="shared" si="1"/>
        <v>199.99999999998863</v>
      </c>
      <c r="AC33" s="36">
        <f t="shared" si="1"/>
        <v>260.00000000004775</v>
      </c>
      <c r="AD33" s="36">
        <f t="shared" si="1"/>
        <v>189.99999999999773</v>
      </c>
      <c r="AE33" s="36">
        <f t="shared" si="1"/>
        <v>129.99999999999545</v>
      </c>
      <c r="AF33" s="17">
        <f t="shared" si="1"/>
        <v>253</v>
      </c>
      <c r="AG33" s="33">
        <f t="shared" si="1"/>
        <v>239.99999999998067</v>
      </c>
      <c r="AH33" s="33">
        <f t="shared" si="1"/>
        <v>289.99999999996362</v>
      </c>
      <c r="AI33" s="33">
        <f t="shared" si="1"/>
        <v>270.00000000001023</v>
      </c>
      <c r="AJ33" s="33">
        <f t="shared" si="1"/>
        <v>269.99999999998181</v>
      </c>
      <c r="AK33" s="33">
        <f t="shared" si="1"/>
        <v>410.00000000002501</v>
      </c>
      <c r="AL33" s="33">
        <f t="shared" si="1"/>
        <v>104</v>
      </c>
      <c r="AM33" s="33">
        <f t="shared" si="1"/>
        <v>80.000000000012506</v>
      </c>
      <c r="AN33" s="33">
        <f t="shared" si="1"/>
        <v>202</v>
      </c>
      <c r="AO33" s="33">
        <f t="shared" si="1"/>
        <v>289.99999999999204</v>
      </c>
      <c r="AP33" s="33">
        <f t="shared" si="1"/>
        <v>286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549.59999999999854</v>
      </c>
      <c r="AU33" s="17">
        <f t="shared" si="1"/>
        <v>2031</v>
      </c>
      <c r="AV33" s="17">
        <f t="shared" si="1"/>
        <v>3759.9999999999909</v>
      </c>
      <c r="AW33" s="17">
        <f t="shared" si="1"/>
        <v>280.3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71.4285</v>
      </c>
      <c r="BC33" s="17">
        <f t="shared" si="1"/>
        <v>0</v>
      </c>
    </row>
    <row r="35" spans="5:55" x14ac:dyDescent="0.25">
      <c r="E35" s="39">
        <f>E33/E37</f>
        <v>0.19109386762406264</v>
      </c>
      <c r="G35" s="30">
        <f>G33-M36</f>
        <v>13317.000000000202</v>
      </c>
      <c r="AE35" s="36">
        <f>SUM(U33:AE33)</f>
        <v>4789.9999999999645</v>
      </c>
      <c r="AG35" s="33">
        <f>SUM(AG33:AP33)</f>
        <v>2441.9999999999659</v>
      </c>
    </row>
    <row r="36" spans="5:55" x14ac:dyDescent="0.25">
      <c r="G36" s="30">
        <f>G35-633*14</f>
        <v>4455.0000000002019</v>
      </c>
      <c r="M36" s="30">
        <f>M33+N33</f>
        <v>2983</v>
      </c>
    </row>
    <row r="37" spans="5:55" x14ac:dyDescent="0.25">
      <c r="E37" s="17">
        <f>E33+F33+G33+H33+J33-633*14</f>
        <v>34538.000000000335</v>
      </c>
      <c r="G37" s="38">
        <f>M36/E37</f>
        <v>8.6368637442815768E-2</v>
      </c>
      <c r="M37" s="36">
        <f>AE35</f>
        <v>4789.9999999999645</v>
      </c>
    </row>
    <row r="38" spans="5:55" x14ac:dyDescent="0.25">
      <c r="L38" s="28">
        <f>M38/E37</f>
        <v>7.0704731020902842E-2</v>
      </c>
      <c r="M38" s="30">
        <f>AG35</f>
        <v>2441.9999999999659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CC1" zoomScale="60" zoomScaleNormal="60" workbookViewId="0">
      <pane ySplit="1" topLeftCell="A2" activePane="bottomLeft" state="frozen"/>
      <selection pane="bottomLeft" activeCell="CM18" sqref="CM18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/>
      <c r="D14" s="66" t="str">
        <f t="shared" si="0"/>
        <v>0</v>
      </c>
      <c r="E14" s="60"/>
      <c r="F14" s="66" t="str">
        <f t="shared" si="1"/>
        <v>0</v>
      </c>
      <c r="G14" s="60"/>
      <c r="H14" s="66" t="str">
        <f t="shared" si="2"/>
        <v>0</v>
      </c>
      <c r="I14" s="60"/>
      <c r="J14" s="66" t="str">
        <f t="shared" si="3"/>
        <v>0</v>
      </c>
      <c r="K14" s="60"/>
      <c r="L14" s="66" t="str">
        <f t="shared" si="4"/>
        <v>0</v>
      </c>
      <c r="M14" s="60"/>
      <c r="N14" s="66" t="str">
        <f t="shared" si="5"/>
        <v/>
      </c>
      <c r="O14" s="60"/>
      <c r="P14" s="69" t="str">
        <f t="shared" si="42"/>
        <v/>
      </c>
      <c r="Q14" s="60"/>
      <c r="R14" s="69" t="str">
        <f t="shared" si="6"/>
        <v/>
      </c>
      <c r="S14" s="60"/>
      <c r="T14" s="69" t="str">
        <f t="shared" si="7"/>
        <v/>
      </c>
      <c r="U14" s="60"/>
      <c r="V14" s="69" t="str">
        <f t="shared" si="8"/>
        <v/>
      </c>
      <c r="W14" s="60"/>
      <c r="X14" s="67" t="str">
        <f t="shared" si="9"/>
        <v/>
      </c>
      <c r="Y14" s="60"/>
      <c r="Z14" s="67" t="str">
        <f t="shared" si="10"/>
        <v/>
      </c>
      <c r="AA14" s="60"/>
      <c r="AB14" s="67" t="str">
        <f t="shared" si="11"/>
        <v/>
      </c>
      <c r="AC14" s="60"/>
      <c r="AD14" s="67" t="str">
        <f t="shared" si="12"/>
        <v/>
      </c>
      <c r="AE14" s="60"/>
      <c r="AF14" s="67" t="str">
        <f t="shared" si="13"/>
        <v/>
      </c>
      <c r="AG14" s="60"/>
      <c r="AH14" s="69" t="str">
        <f t="shared" si="14"/>
        <v/>
      </c>
      <c r="AI14" s="60"/>
      <c r="AJ14" s="67" t="str">
        <f t="shared" si="15"/>
        <v/>
      </c>
      <c r="AK14" s="60"/>
      <c r="AL14" s="67" t="str">
        <f t="shared" ref="AL11:AL34" si="43">IF((AK14-AK13&lt;0), "",AK14-AK13)</f>
        <v/>
      </c>
      <c r="AM14" s="60"/>
      <c r="AN14" s="67" t="str">
        <f t="shared" ref="AN11:AN34" si="44">IF((AM14-AM13&lt;0), "",AM14-AM13)</f>
        <v/>
      </c>
      <c r="AO14" s="60"/>
      <c r="AP14" s="67" t="str">
        <f t="shared" ref="AP11:AP34" si="45">IF((AO14-AO13&lt;0), "",AO14-AO13)</f>
        <v/>
      </c>
      <c r="AQ14" s="60"/>
      <c r="AR14" s="67" t="str">
        <f t="shared" si="16"/>
        <v/>
      </c>
      <c r="AS14" s="60"/>
      <c r="AT14" s="67" t="str">
        <f t="shared" si="17"/>
        <v/>
      </c>
      <c r="AU14" s="60"/>
      <c r="AV14" s="67" t="str">
        <f t="shared" si="18"/>
        <v/>
      </c>
      <c r="AW14" s="60"/>
      <c r="AX14" s="67" t="str">
        <f t="shared" si="19"/>
        <v/>
      </c>
      <c r="AY14" s="60"/>
      <c r="AZ14" s="67" t="str">
        <f t="shared" si="20"/>
        <v/>
      </c>
      <c r="BA14" s="60"/>
      <c r="BB14" s="67" t="str">
        <f t="shared" si="21"/>
        <v/>
      </c>
      <c r="BC14" s="60"/>
      <c r="BD14" s="67" t="str">
        <f t="shared" si="22"/>
        <v/>
      </c>
      <c r="BE14" s="61"/>
      <c r="BF14" s="69" t="str">
        <f t="shared" si="38"/>
        <v/>
      </c>
      <c r="BG14" s="62"/>
      <c r="BH14" s="67" t="str">
        <f t="shared" si="23"/>
        <v/>
      </c>
      <c r="BI14" s="62"/>
      <c r="BJ14" s="67" t="str">
        <f t="shared" si="39"/>
        <v/>
      </c>
      <c r="BK14" s="62"/>
      <c r="BL14" s="67" t="str">
        <f t="shared" si="24"/>
        <v/>
      </c>
      <c r="BM14" s="62"/>
      <c r="BN14" s="67" t="str">
        <f t="shared" si="25"/>
        <v/>
      </c>
      <c r="BO14" s="62"/>
      <c r="BP14" s="67" t="str">
        <f t="shared" si="26"/>
        <v/>
      </c>
      <c r="BQ14" s="62"/>
      <c r="BR14" s="67" t="str">
        <f t="shared" si="27"/>
        <v/>
      </c>
      <c r="BS14" s="62"/>
      <c r="BT14" s="67" t="str">
        <f t="shared" si="41"/>
        <v/>
      </c>
      <c r="BU14" s="62"/>
      <c r="BV14" s="67" t="str">
        <f t="shared" si="29"/>
        <v/>
      </c>
      <c r="BW14" s="62"/>
      <c r="BX14" s="67" t="str">
        <f t="shared" si="30"/>
        <v/>
      </c>
      <c r="BY14" s="62"/>
      <c r="BZ14" s="69" t="str">
        <f t="shared" si="31"/>
        <v/>
      </c>
      <c r="CA14" s="62"/>
      <c r="CB14" s="69" t="str">
        <f t="shared" si="32"/>
        <v/>
      </c>
      <c r="CC14" s="62"/>
      <c r="CD14" s="69" t="str">
        <f t="shared" si="33"/>
        <v/>
      </c>
      <c r="CE14" s="62"/>
      <c r="CF14" s="69" t="str">
        <f t="shared" si="34"/>
        <v/>
      </c>
      <c r="CG14" s="62"/>
      <c r="CH14" s="69" t="str">
        <f t="shared" si="35"/>
        <v/>
      </c>
      <c r="CI14" s="62"/>
      <c r="CJ14" s="69" t="str">
        <f t="shared" si="36"/>
        <v/>
      </c>
      <c r="CK14" s="62"/>
      <c r="CL14" s="66" t="str">
        <f t="shared" si="37"/>
        <v/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2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43"/>
        <v>0</v>
      </c>
      <c r="AM15" s="60"/>
      <c r="AN15" s="67">
        <f t="shared" si="44"/>
        <v>0</v>
      </c>
      <c r="AO15" s="60"/>
      <c r="AP15" s="67">
        <f t="shared" si="45"/>
        <v>0</v>
      </c>
      <c r="AQ15" s="60"/>
      <c r="AR15" s="67">
        <f t="shared" si="16"/>
        <v>0</v>
      </c>
      <c r="AS15" s="60"/>
      <c r="AT15" s="67">
        <f t="shared" si="17"/>
        <v>0</v>
      </c>
      <c r="AU15" s="60"/>
      <c r="AV15" s="67">
        <f t="shared" si="18"/>
        <v>0</v>
      </c>
      <c r="AW15" s="60"/>
      <c r="AX15" s="67">
        <f t="shared" si="19"/>
        <v>0</v>
      </c>
      <c r="AY15" s="60"/>
      <c r="AZ15" s="67">
        <f t="shared" si="20"/>
        <v>0</v>
      </c>
      <c r="BA15" s="60"/>
      <c r="BB15" s="67">
        <f t="shared" si="21"/>
        <v>0</v>
      </c>
      <c r="BC15" s="60"/>
      <c r="BD15" s="67">
        <f t="shared" si="22"/>
        <v>0</v>
      </c>
      <c r="BE15" s="61"/>
      <c r="BF15" s="69">
        <f t="shared" si="38"/>
        <v>0</v>
      </c>
      <c r="BG15" s="62"/>
      <c r="BH15" s="67">
        <f t="shared" si="23"/>
        <v>0</v>
      </c>
      <c r="BI15" s="62"/>
      <c r="BJ15" s="67">
        <f t="shared" si="39"/>
        <v>0</v>
      </c>
      <c r="BK15" s="62"/>
      <c r="BL15" s="67">
        <f t="shared" si="24"/>
        <v>0</v>
      </c>
      <c r="BM15" s="62"/>
      <c r="BN15" s="67">
        <f t="shared" si="25"/>
        <v>0</v>
      </c>
      <c r="BO15" s="62"/>
      <c r="BP15" s="67">
        <f t="shared" si="26"/>
        <v>0</v>
      </c>
      <c r="BQ15" s="62"/>
      <c r="BR15" s="67">
        <f t="shared" si="27"/>
        <v>0</v>
      </c>
      <c r="BS15" s="62"/>
      <c r="BT15" s="67">
        <f t="shared" si="41"/>
        <v>0</v>
      </c>
      <c r="BU15" s="62"/>
      <c r="BV15" s="67">
        <f t="shared" si="29"/>
        <v>0</v>
      </c>
      <c r="BW15" s="62"/>
      <c r="BX15" s="67">
        <f t="shared" si="30"/>
        <v>0</v>
      </c>
      <c r="BY15" s="62"/>
      <c r="BZ15" s="69">
        <f t="shared" si="31"/>
        <v>0</v>
      </c>
      <c r="CA15" s="62"/>
      <c r="CB15" s="69">
        <f t="shared" si="32"/>
        <v>0</v>
      </c>
      <c r="CC15" s="62"/>
      <c r="CD15" s="69">
        <f t="shared" si="33"/>
        <v>0</v>
      </c>
      <c r="CE15" s="62"/>
      <c r="CF15" s="69">
        <f t="shared" si="34"/>
        <v>0</v>
      </c>
      <c r="CG15" s="62"/>
      <c r="CH15" s="69">
        <f t="shared" si="35"/>
        <v>0</v>
      </c>
      <c r="CI15" s="62"/>
      <c r="CJ15" s="69">
        <f t="shared" si="36"/>
        <v>0</v>
      </c>
      <c r="CK15" s="62"/>
      <c r="CL15" s="66">
        <f t="shared" si="37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2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43"/>
        <v>0</v>
      </c>
      <c r="AM16" s="60"/>
      <c r="AN16" s="67">
        <f t="shared" si="44"/>
        <v>0</v>
      </c>
      <c r="AO16" s="60"/>
      <c r="AP16" s="67">
        <f t="shared" si="45"/>
        <v>0</v>
      </c>
      <c r="AQ16" s="60"/>
      <c r="AR16" s="67">
        <f t="shared" si="16"/>
        <v>0</v>
      </c>
      <c r="AS16" s="60"/>
      <c r="AT16" s="67">
        <f t="shared" si="17"/>
        <v>0</v>
      </c>
      <c r="AU16" s="60"/>
      <c r="AV16" s="67">
        <f t="shared" si="18"/>
        <v>0</v>
      </c>
      <c r="AW16" s="60"/>
      <c r="AX16" s="67">
        <f t="shared" si="19"/>
        <v>0</v>
      </c>
      <c r="AY16" s="60"/>
      <c r="AZ16" s="67">
        <f t="shared" si="20"/>
        <v>0</v>
      </c>
      <c r="BA16" s="60"/>
      <c r="BB16" s="67">
        <f t="shared" si="21"/>
        <v>0</v>
      </c>
      <c r="BC16" s="60"/>
      <c r="BD16" s="67">
        <f t="shared" si="22"/>
        <v>0</v>
      </c>
      <c r="BE16" s="61"/>
      <c r="BF16" s="69">
        <f t="shared" si="38"/>
        <v>0</v>
      </c>
      <c r="BG16" s="62"/>
      <c r="BH16" s="67">
        <f t="shared" si="23"/>
        <v>0</v>
      </c>
      <c r="BI16" s="62"/>
      <c r="BJ16" s="67">
        <f t="shared" si="39"/>
        <v>0</v>
      </c>
      <c r="BK16" s="62"/>
      <c r="BL16" s="67">
        <f t="shared" si="24"/>
        <v>0</v>
      </c>
      <c r="BM16" s="62"/>
      <c r="BN16" s="67">
        <f t="shared" si="25"/>
        <v>0</v>
      </c>
      <c r="BO16" s="62"/>
      <c r="BP16" s="67">
        <f t="shared" si="26"/>
        <v>0</v>
      </c>
      <c r="BQ16" s="62"/>
      <c r="BR16" s="67">
        <f t="shared" si="27"/>
        <v>0</v>
      </c>
      <c r="BS16" s="62"/>
      <c r="BT16" s="67">
        <f t="shared" si="41"/>
        <v>0</v>
      </c>
      <c r="BU16" s="62"/>
      <c r="BV16" s="67">
        <f t="shared" si="29"/>
        <v>0</v>
      </c>
      <c r="BW16" s="62"/>
      <c r="BX16" s="67">
        <f t="shared" si="30"/>
        <v>0</v>
      </c>
      <c r="BY16" s="62"/>
      <c r="BZ16" s="69">
        <f t="shared" si="31"/>
        <v>0</v>
      </c>
      <c r="CA16" s="62"/>
      <c r="CB16" s="69">
        <f t="shared" si="32"/>
        <v>0</v>
      </c>
      <c r="CC16" s="62"/>
      <c r="CD16" s="69">
        <f t="shared" si="33"/>
        <v>0</v>
      </c>
      <c r="CE16" s="62"/>
      <c r="CF16" s="69">
        <f t="shared" si="34"/>
        <v>0</v>
      </c>
      <c r="CG16" s="62"/>
      <c r="CH16" s="69">
        <f t="shared" si="35"/>
        <v>0</v>
      </c>
      <c r="CI16" s="62"/>
      <c r="CJ16" s="69">
        <f t="shared" si="36"/>
        <v>0</v>
      </c>
      <c r="CK16" s="62"/>
      <c r="CL16" s="66">
        <f t="shared" si="37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2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43"/>
        <v>0</v>
      </c>
      <c r="AM17" s="60"/>
      <c r="AN17" s="67">
        <f t="shared" si="44"/>
        <v>0</v>
      </c>
      <c r="AO17" s="60"/>
      <c r="AP17" s="67">
        <f t="shared" si="45"/>
        <v>0</v>
      </c>
      <c r="AQ17" s="60"/>
      <c r="AR17" s="67">
        <f t="shared" si="16"/>
        <v>0</v>
      </c>
      <c r="AS17" s="60"/>
      <c r="AT17" s="67">
        <f t="shared" si="17"/>
        <v>0</v>
      </c>
      <c r="AU17" s="60"/>
      <c r="AV17" s="67">
        <f t="shared" si="18"/>
        <v>0</v>
      </c>
      <c r="AW17" s="60"/>
      <c r="AX17" s="67">
        <f t="shared" si="19"/>
        <v>0</v>
      </c>
      <c r="AY17" s="60"/>
      <c r="AZ17" s="67">
        <f t="shared" si="20"/>
        <v>0</v>
      </c>
      <c r="BA17" s="60"/>
      <c r="BB17" s="67">
        <f t="shared" si="21"/>
        <v>0</v>
      </c>
      <c r="BC17" s="60"/>
      <c r="BD17" s="67">
        <f t="shared" si="22"/>
        <v>0</v>
      </c>
      <c r="BE17" s="61"/>
      <c r="BF17" s="69">
        <f t="shared" si="38"/>
        <v>0</v>
      </c>
      <c r="BG17" s="62"/>
      <c r="BH17" s="67">
        <f t="shared" si="23"/>
        <v>0</v>
      </c>
      <c r="BI17" s="62"/>
      <c r="BJ17" s="67">
        <f t="shared" si="39"/>
        <v>0</v>
      </c>
      <c r="BK17" s="62"/>
      <c r="BL17" s="67">
        <f t="shared" si="24"/>
        <v>0</v>
      </c>
      <c r="BM17" s="62"/>
      <c r="BN17" s="67">
        <f t="shared" si="25"/>
        <v>0</v>
      </c>
      <c r="BO17" s="62"/>
      <c r="BP17" s="67">
        <f t="shared" si="26"/>
        <v>0</v>
      </c>
      <c r="BQ17" s="62"/>
      <c r="BR17" s="67">
        <f t="shared" si="27"/>
        <v>0</v>
      </c>
      <c r="BS17" s="62"/>
      <c r="BT17" s="67">
        <f t="shared" si="41"/>
        <v>0</v>
      </c>
      <c r="BU17" s="62"/>
      <c r="BV17" s="67">
        <f t="shared" si="29"/>
        <v>0</v>
      </c>
      <c r="BW17" s="62"/>
      <c r="BX17" s="67">
        <f t="shared" si="30"/>
        <v>0</v>
      </c>
      <c r="BY17" s="62"/>
      <c r="BZ17" s="69">
        <f t="shared" si="31"/>
        <v>0</v>
      </c>
      <c r="CA17" s="62"/>
      <c r="CB17" s="69">
        <f t="shared" si="32"/>
        <v>0</v>
      </c>
      <c r="CC17" s="62"/>
      <c r="CD17" s="69">
        <f t="shared" si="33"/>
        <v>0</v>
      </c>
      <c r="CE17" s="62"/>
      <c r="CF17" s="69">
        <f t="shared" si="34"/>
        <v>0</v>
      </c>
      <c r="CG17" s="62"/>
      <c r="CH17" s="69">
        <f t="shared" si="35"/>
        <v>0</v>
      </c>
      <c r="CI17" s="62"/>
      <c r="CJ17" s="69">
        <f t="shared" si="36"/>
        <v>0</v>
      </c>
      <c r="CK17" s="62"/>
      <c r="CL17" s="66">
        <f t="shared" si="37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2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43"/>
        <v>0</v>
      </c>
      <c r="AM18" s="60"/>
      <c r="AN18" s="67">
        <f t="shared" si="44"/>
        <v>0</v>
      </c>
      <c r="AO18" s="60"/>
      <c r="AP18" s="67">
        <f t="shared" si="45"/>
        <v>0</v>
      </c>
      <c r="AQ18" s="60"/>
      <c r="AR18" s="67">
        <f t="shared" si="16"/>
        <v>0</v>
      </c>
      <c r="AS18" s="60"/>
      <c r="AT18" s="67">
        <f t="shared" si="17"/>
        <v>0</v>
      </c>
      <c r="AU18" s="60"/>
      <c r="AV18" s="67">
        <f t="shared" si="18"/>
        <v>0</v>
      </c>
      <c r="AW18" s="60"/>
      <c r="AX18" s="67">
        <f t="shared" si="19"/>
        <v>0</v>
      </c>
      <c r="AY18" s="60"/>
      <c r="AZ18" s="67">
        <f t="shared" si="20"/>
        <v>0</v>
      </c>
      <c r="BA18" s="60"/>
      <c r="BB18" s="67">
        <f t="shared" si="21"/>
        <v>0</v>
      </c>
      <c r="BC18" s="60"/>
      <c r="BD18" s="67">
        <f t="shared" si="22"/>
        <v>0</v>
      </c>
      <c r="BE18" s="61"/>
      <c r="BF18" s="69">
        <f t="shared" si="38"/>
        <v>0</v>
      </c>
      <c r="BG18" s="62"/>
      <c r="BH18" s="67">
        <f t="shared" si="23"/>
        <v>0</v>
      </c>
      <c r="BI18" s="62"/>
      <c r="BJ18" s="67">
        <f t="shared" si="39"/>
        <v>0</v>
      </c>
      <c r="BK18" s="62"/>
      <c r="BL18" s="67">
        <f t="shared" si="24"/>
        <v>0</v>
      </c>
      <c r="BM18" s="62"/>
      <c r="BN18" s="67">
        <f t="shared" si="25"/>
        <v>0</v>
      </c>
      <c r="BO18" s="62"/>
      <c r="BP18" s="67">
        <f t="shared" si="26"/>
        <v>0</v>
      </c>
      <c r="BQ18" s="62"/>
      <c r="BR18" s="67">
        <f t="shared" si="27"/>
        <v>0</v>
      </c>
      <c r="BS18" s="62"/>
      <c r="BT18" s="67">
        <f t="shared" si="41"/>
        <v>0</v>
      </c>
      <c r="BU18" s="62"/>
      <c r="BV18" s="67">
        <f t="shared" si="29"/>
        <v>0</v>
      </c>
      <c r="BW18" s="62"/>
      <c r="BX18" s="67">
        <f t="shared" si="30"/>
        <v>0</v>
      </c>
      <c r="BY18" s="62"/>
      <c r="BZ18" s="69">
        <f t="shared" si="31"/>
        <v>0</v>
      </c>
      <c r="CA18" s="62"/>
      <c r="CB18" s="69">
        <f t="shared" si="32"/>
        <v>0</v>
      </c>
      <c r="CC18" s="62"/>
      <c r="CD18" s="69">
        <f t="shared" si="33"/>
        <v>0</v>
      </c>
      <c r="CE18" s="62"/>
      <c r="CF18" s="69">
        <f t="shared" si="34"/>
        <v>0</v>
      </c>
      <c r="CG18" s="62"/>
      <c r="CH18" s="69">
        <f t="shared" si="35"/>
        <v>0</v>
      </c>
      <c r="CI18" s="62"/>
      <c r="CJ18" s="69">
        <f t="shared" si="36"/>
        <v>0</v>
      </c>
      <c r="CK18" s="62"/>
      <c r="CL18" s="66">
        <f t="shared" si="37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2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43"/>
        <v>0</v>
      </c>
      <c r="AM19" s="60"/>
      <c r="AN19" s="67">
        <f t="shared" si="44"/>
        <v>0</v>
      </c>
      <c r="AO19" s="60"/>
      <c r="AP19" s="67">
        <f t="shared" si="45"/>
        <v>0</v>
      </c>
      <c r="AQ19" s="60"/>
      <c r="AR19" s="67">
        <f t="shared" si="16"/>
        <v>0</v>
      </c>
      <c r="AS19" s="60"/>
      <c r="AT19" s="67">
        <f t="shared" si="17"/>
        <v>0</v>
      </c>
      <c r="AU19" s="60"/>
      <c r="AV19" s="67">
        <f t="shared" si="18"/>
        <v>0</v>
      </c>
      <c r="AW19" s="60"/>
      <c r="AX19" s="67">
        <f t="shared" si="19"/>
        <v>0</v>
      </c>
      <c r="AY19" s="60"/>
      <c r="AZ19" s="67">
        <f t="shared" si="20"/>
        <v>0</v>
      </c>
      <c r="BA19" s="60"/>
      <c r="BB19" s="67">
        <f t="shared" si="21"/>
        <v>0</v>
      </c>
      <c r="BC19" s="60"/>
      <c r="BD19" s="67">
        <f t="shared" si="22"/>
        <v>0</v>
      </c>
      <c r="BE19" s="61"/>
      <c r="BF19" s="69">
        <f t="shared" si="38"/>
        <v>0</v>
      </c>
      <c r="BG19" s="62"/>
      <c r="BH19" s="67">
        <f t="shared" si="23"/>
        <v>0</v>
      </c>
      <c r="BI19" s="62"/>
      <c r="BJ19" s="67">
        <f t="shared" si="39"/>
        <v>0</v>
      </c>
      <c r="BK19" s="62"/>
      <c r="BL19" s="67">
        <f t="shared" si="24"/>
        <v>0</v>
      </c>
      <c r="BM19" s="62"/>
      <c r="BN19" s="67">
        <f t="shared" si="25"/>
        <v>0</v>
      </c>
      <c r="BO19" s="62"/>
      <c r="BP19" s="67">
        <f t="shared" si="26"/>
        <v>0</v>
      </c>
      <c r="BQ19" s="62"/>
      <c r="BR19" s="67">
        <f t="shared" si="27"/>
        <v>0</v>
      </c>
      <c r="BS19" s="62"/>
      <c r="BT19" s="67">
        <f t="shared" si="41"/>
        <v>0</v>
      </c>
      <c r="BU19" s="62"/>
      <c r="BV19" s="67">
        <f t="shared" si="29"/>
        <v>0</v>
      </c>
      <c r="BW19" s="62"/>
      <c r="BX19" s="67">
        <f t="shared" si="30"/>
        <v>0</v>
      </c>
      <c r="BY19" s="62"/>
      <c r="BZ19" s="69">
        <f t="shared" si="31"/>
        <v>0</v>
      </c>
      <c r="CA19" s="62"/>
      <c r="CB19" s="69">
        <f t="shared" si="32"/>
        <v>0</v>
      </c>
      <c r="CC19" s="62"/>
      <c r="CD19" s="69">
        <f t="shared" si="33"/>
        <v>0</v>
      </c>
      <c r="CE19" s="62"/>
      <c r="CF19" s="69">
        <f t="shared" si="34"/>
        <v>0</v>
      </c>
      <c r="CG19" s="62"/>
      <c r="CH19" s="69">
        <f t="shared" si="35"/>
        <v>0</v>
      </c>
      <c r="CI19" s="62"/>
      <c r="CJ19" s="69">
        <f t="shared" si="36"/>
        <v>0</v>
      </c>
      <c r="CK19" s="62"/>
      <c r="CL19" s="66">
        <f t="shared" si="37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2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43"/>
        <v>0</v>
      </c>
      <c r="AM20" s="60"/>
      <c r="AN20" s="67">
        <f t="shared" si="44"/>
        <v>0</v>
      </c>
      <c r="AO20" s="60"/>
      <c r="AP20" s="67">
        <f t="shared" si="45"/>
        <v>0</v>
      </c>
      <c r="AQ20" s="60"/>
      <c r="AR20" s="67">
        <f t="shared" si="16"/>
        <v>0</v>
      </c>
      <c r="AS20" s="60"/>
      <c r="AT20" s="67">
        <f t="shared" si="17"/>
        <v>0</v>
      </c>
      <c r="AU20" s="60"/>
      <c r="AV20" s="67">
        <f t="shared" si="18"/>
        <v>0</v>
      </c>
      <c r="AW20" s="60"/>
      <c r="AX20" s="67">
        <f t="shared" si="19"/>
        <v>0</v>
      </c>
      <c r="AY20" s="60"/>
      <c r="AZ20" s="67">
        <f t="shared" si="20"/>
        <v>0</v>
      </c>
      <c r="BA20" s="60"/>
      <c r="BB20" s="67">
        <f t="shared" si="21"/>
        <v>0</v>
      </c>
      <c r="BC20" s="60"/>
      <c r="BD20" s="67">
        <f t="shared" si="22"/>
        <v>0</v>
      </c>
      <c r="BE20" s="61"/>
      <c r="BF20" s="69">
        <f t="shared" si="38"/>
        <v>0</v>
      </c>
      <c r="BG20" s="62"/>
      <c r="BH20" s="67">
        <f t="shared" si="23"/>
        <v>0</v>
      </c>
      <c r="BI20" s="62"/>
      <c r="BJ20" s="67">
        <f t="shared" si="39"/>
        <v>0</v>
      </c>
      <c r="BK20" s="62"/>
      <c r="BL20" s="67">
        <f t="shared" si="24"/>
        <v>0</v>
      </c>
      <c r="BM20" s="62"/>
      <c r="BN20" s="67">
        <f t="shared" si="25"/>
        <v>0</v>
      </c>
      <c r="BO20" s="62"/>
      <c r="BP20" s="67">
        <f t="shared" si="26"/>
        <v>0</v>
      </c>
      <c r="BQ20" s="62"/>
      <c r="BR20" s="67">
        <f t="shared" si="27"/>
        <v>0</v>
      </c>
      <c r="BS20" s="62"/>
      <c r="BT20" s="67">
        <f t="shared" si="41"/>
        <v>0</v>
      </c>
      <c r="BU20" s="62"/>
      <c r="BV20" s="67">
        <f t="shared" si="29"/>
        <v>0</v>
      </c>
      <c r="BW20" s="62"/>
      <c r="BX20" s="67">
        <f t="shared" si="30"/>
        <v>0</v>
      </c>
      <c r="BY20" s="62"/>
      <c r="BZ20" s="69">
        <f t="shared" si="31"/>
        <v>0</v>
      </c>
      <c r="CA20" s="62"/>
      <c r="CB20" s="69">
        <f t="shared" si="32"/>
        <v>0</v>
      </c>
      <c r="CC20" s="62"/>
      <c r="CD20" s="69">
        <f t="shared" si="33"/>
        <v>0</v>
      </c>
      <c r="CE20" s="62"/>
      <c r="CF20" s="69">
        <f t="shared" si="34"/>
        <v>0</v>
      </c>
      <c r="CG20" s="62"/>
      <c r="CH20" s="69">
        <f t="shared" si="35"/>
        <v>0</v>
      </c>
      <c r="CI20" s="62"/>
      <c r="CJ20" s="69">
        <f t="shared" si="36"/>
        <v>0</v>
      </c>
      <c r="CK20" s="62"/>
      <c r="CL20" s="66">
        <f t="shared" si="37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2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43"/>
        <v>0</v>
      </c>
      <c r="AM21" s="60"/>
      <c r="AN21" s="67">
        <f t="shared" si="44"/>
        <v>0</v>
      </c>
      <c r="AO21" s="60"/>
      <c r="AP21" s="67">
        <f t="shared" si="45"/>
        <v>0</v>
      </c>
      <c r="AQ21" s="60"/>
      <c r="AR21" s="67">
        <f t="shared" si="16"/>
        <v>0</v>
      </c>
      <c r="AS21" s="60"/>
      <c r="AT21" s="67">
        <f t="shared" si="17"/>
        <v>0</v>
      </c>
      <c r="AU21" s="60"/>
      <c r="AV21" s="67">
        <f t="shared" si="18"/>
        <v>0</v>
      </c>
      <c r="AW21" s="60"/>
      <c r="AX21" s="67">
        <f t="shared" si="19"/>
        <v>0</v>
      </c>
      <c r="AY21" s="60"/>
      <c r="AZ21" s="67">
        <f t="shared" si="20"/>
        <v>0</v>
      </c>
      <c r="BA21" s="60"/>
      <c r="BB21" s="67">
        <f t="shared" si="21"/>
        <v>0</v>
      </c>
      <c r="BC21" s="60"/>
      <c r="BD21" s="67">
        <f t="shared" si="22"/>
        <v>0</v>
      </c>
      <c r="BE21" s="61"/>
      <c r="BF21" s="69">
        <f t="shared" si="38"/>
        <v>0</v>
      </c>
      <c r="BG21" s="62"/>
      <c r="BH21" s="67">
        <f t="shared" si="23"/>
        <v>0</v>
      </c>
      <c r="BI21" s="62"/>
      <c r="BJ21" s="67">
        <f t="shared" si="39"/>
        <v>0</v>
      </c>
      <c r="BK21" s="62"/>
      <c r="BL21" s="67">
        <f t="shared" si="24"/>
        <v>0</v>
      </c>
      <c r="BM21" s="62"/>
      <c r="BN21" s="67">
        <f t="shared" si="25"/>
        <v>0</v>
      </c>
      <c r="BO21" s="62"/>
      <c r="BP21" s="67">
        <f t="shared" si="26"/>
        <v>0</v>
      </c>
      <c r="BQ21" s="62"/>
      <c r="BR21" s="67">
        <f t="shared" si="27"/>
        <v>0</v>
      </c>
      <c r="BS21" s="62"/>
      <c r="BT21" s="67">
        <f t="shared" si="41"/>
        <v>0</v>
      </c>
      <c r="BU21" s="62"/>
      <c r="BV21" s="67">
        <f t="shared" si="29"/>
        <v>0</v>
      </c>
      <c r="BW21" s="62"/>
      <c r="BX21" s="67">
        <f t="shared" si="30"/>
        <v>0</v>
      </c>
      <c r="BY21" s="62"/>
      <c r="BZ21" s="69">
        <f t="shared" si="31"/>
        <v>0</v>
      </c>
      <c r="CA21" s="62"/>
      <c r="CB21" s="69">
        <f t="shared" si="32"/>
        <v>0</v>
      </c>
      <c r="CC21" s="62"/>
      <c r="CD21" s="69">
        <f t="shared" si="33"/>
        <v>0</v>
      </c>
      <c r="CE21" s="62"/>
      <c r="CF21" s="69">
        <f t="shared" si="34"/>
        <v>0</v>
      </c>
      <c r="CG21" s="62"/>
      <c r="CH21" s="69">
        <f t="shared" si="35"/>
        <v>0</v>
      </c>
      <c r="CI21" s="62"/>
      <c r="CJ21" s="69">
        <f t="shared" si="36"/>
        <v>0</v>
      </c>
      <c r="CK21" s="62"/>
      <c r="CL21" s="66">
        <f t="shared" si="37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P26" sqref="P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2020-06-11T06:08:38Z</dcterms:modified>
</cp:coreProperties>
</file>