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7" i="7" l="1"/>
  <c r="CY8" i="7"/>
  <c r="AN6" i="7"/>
  <c r="AN7" i="7"/>
  <c r="AN5" i="7" l="1"/>
  <c r="P6" i="7"/>
  <c r="P7" i="7"/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<sst xmlns="http://schemas.openxmlformats.org/spreadsheetml/2006/main" count="315" uniqueCount="148">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</sst>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>
        <f>Submetering!E3+Submetering!F3+Submetering!G3+Submetering!H3+Submetering!J3-Submetering!AV3</f>
        <v>13920.000000000371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108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>
        <f>Submetering!E4+Submetering!F4+Submetering!G4+Submetering!H4+Submetering!J4-Submetering!AV4</f>
        <v>14709.999999999407</v>
      </c>
      <c r="F4" s="11">
        <f t="shared" ref="F4:F32" si="0">F3</f>
        <v>0.58765030286592534</v>
      </c>
      <c r="G4" s="12">
        <f>(Submetering!AX4+Submetering!AY4+Submetering!AZ4+Submetering!BA4+Submetering!BB4)</f>
        <v>34.79849999999999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34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13799.99999999996</v>
      </c>
      <c r="F5" s="11">
        <f t="shared" si="0"/>
        <v>0.58765030286592534</v>
      </c>
      <c r="G5" s="12">
        <f>(Submetering!AX5+Submetering!AY5+Submetering!AZ5+Submetering!BA5+Submetering!BB5)</f>
        <v>27.4725</v>
      </c>
      <c r="H5" s="11">
        <f t="shared" si="1"/>
        <v>0.99</v>
      </c>
      <c r="I5" s="12">
        <f>'FS Desroches Daily'!CM7</f>
        <v>116.5</v>
      </c>
      <c r="J5" s="11">
        <f t="shared" si="2"/>
        <v>10.487297712684205</v>
      </c>
      <c r="K5" s="13">
        <f>'FS Desroches Daily'!CN7</f>
        <v>34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14190.000000000178</v>
      </c>
      <c r="F6" s="11">
        <f t="shared" si="0"/>
        <v>0.58765030286592534</v>
      </c>
      <c r="G6" s="12">
        <f>(Submetering!AX6+Submetering!AY6+Submetering!AZ6+Submetering!BA6+Submetering!BB6)</f>
        <v>34.798499999999997</v>
      </c>
      <c r="H6" s="11">
        <f t="shared" si="1"/>
        <v>0.99</v>
      </c>
      <c r="I6" s="12">
        <f>'FS Desroches Daily'!CM8</f>
        <v>111.20000000000073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14339.999999999865</v>
      </c>
      <c r="F7" s="11">
        <f t="shared" si="0"/>
        <v>0.58765030286592534</v>
      </c>
      <c r="G7" s="12">
        <f>(Submetering!AX7+Submetering!AY7+Submetering!AZ7+Submetering!BA7+Submetering!BB7)</f>
        <v>23.8095</v>
      </c>
      <c r="H7" s="11">
        <f t="shared" si="1"/>
        <v>0.99</v>
      </c>
      <c r="I7" s="12">
        <f>'FS Desroches Daily'!CM9</f>
        <v>115.09999999999854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11940.000000000387</v>
      </c>
      <c r="F8" s="11">
        <f t="shared" si="0"/>
        <v>0.58765030286592534</v>
      </c>
      <c r="G8" s="12">
        <f>(Submetering!AX8+Submetering!AY8+Submetering!AZ8+Submetering!BA8+Submetering!BB8)</f>
        <v>53.113499999999995</v>
      </c>
      <c r="H8" s="11">
        <f t="shared" si="1"/>
        <v>0.99</v>
      </c>
      <c r="I8" s="12">
        <f>'FS Desroches Daily'!CM10</f>
        <v>135.70000000000073</v>
      </c>
      <c r="J8" s="11">
        <f t="shared" si="2"/>
        <v>10.487297712684205</v>
      </c>
      <c r="K8" s="13">
        <f>'FS Desroches Daily'!CN10</f>
        <v>28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>
        <f>Submetering!E9+Submetering!F9+Submetering!G9+Submetering!H9+Submetering!J9-Submetering!AV9</f>
        <v>14239.999999999245</v>
      </c>
      <c r="F9" s="11">
        <f t="shared" si="0"/>
        <v>0.58765030286592534</v>
      </c>
      <c r="G9" s="12">
        <f>(Submetering!AX9+Submetering!AY9+Submetering!AZ9+Submetering!BA9+Submetering!BB9)</f>
        <v>7.3259999999999996</v>
      </c>
      <c r="H9" s="11">
        <f t="shared" si="1"/>
        <v>0.99</v>
      </c>
      <c r="I9" s="12">
        <f>'FS Desroches Daily'!CM11</f>
        <v>105.40000000000146</v>
      </c>
      <c r="J9" s="11">
        <f t="shared" si="2"/>
        <v>10.487297712684205</v>
      </c>
      <c r="K9" s="13">
        <f>'FS Desroches Daily'!CN11</f>
        <v>28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>
        <f>Submetering!E10+Submetering!F10+Submetering!G10+Submetering!H10+Submetering!J10-Submetering!AV10</f>
        <v>14260.000000000115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106.59999999999854</v>
      </c>
      <c r="J10" s="11">
        <f t="shared" si="2"/>
        <v>10.487297712684205</v>
      </c>
      <c r="K10" s="13">
        <f>'FS Desroches Daily'!CN12</f>
        <v>28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 t="e">
        <f>Submetering!E11+Submetering!F11+Submetering!G11+Submetering!H11+Submetering!J11-Submetering!AV11</f>
        <v>#VALUE!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 t="e">
        <f>'FS Desroches Daily'!CM13</f>
        <v>#VALUE!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>
        <f>IF(LPG!F9-LPG!F8&lt;0,"0",(LPG!F9-LPG!F8)*1.8315)</f>
        <v>12.820499999999999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>
        <f>'FS Desroches Daily'!D5</f>
        <v>3600.0000000000477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2000.0000000002237</v>
      </c>
      <c r="I3" s="31">
        <f>'FS Desroches Daily'!L5</f>
        <v>2600.0000000001578</v>
      </c>
      <c r="J3" s="32">
        <f>'FS Desroches Daily'!N5</f>
        <v>2000.0000000000018</v>
      </c>
      <c r="K3" s="13">
        <f>'FS Desroches Daily'!P5</f>
        <v>8</v>
      </c>
      <c r="L3" s="31">
        <f>'FS Desroches Daily'!R5</f>
        <v>8</v>
      </c>
      <c r="M3" s="31">
        <f>'FS Desroches Daily'!T5</f>
        <v>1.6000000000001364</v>
      </c>
      <c r="N3" s="31">
        <f>'FS Desroches Daily'!V5</f>
        <v>665.40000000002328</v>
      </c>
      <c r="O3" s="31">
        <f>'FS Desroches Daily'!X6</f>
        <v>379.99999999999545</v>
      </c>
      <c r="P3" s="31">
        <f>'FS Desroches Daily'!Z5</f>
        <v>3699.9999999998145</v>
      </c>
      <c r="Q3" s="31">
        <f>'FS Desroches Daily'!AB5</f>
        <v>370.00000000000455</v>
      </c>
      <c r="R3" s="31">
        <f>'FS Desroches Daily'!AD5</f>
        <v>689.99999999999773</v>
      </c>
      <c r="S3" s="31">
        <f>'FS Desroches Daily'!AF5</f>
        <v>1189.9999999999409</v>
      </c>
      <c r="T3" s="31">
        <f>'FS Desroches Daily'!AH5</f>
        <v>55</v>
      </c>
      <c r="U3" s="35">
        <f>'FS Desroches Daily'!AJ5</f>
        <v>909.99999999996817</v>
      </c>
      <c r="V3" s="35">
        <f>'FS Desroches Daily'!AL5</f>
        <v>370.00000000000455</v>
      </c>
      <c r="W3" s="35">
        <f>'FS Desroches Daily'!AN5</f>
        <v>189.99999999999773</v>
      </c>
      <c r="X3" s="35">
        <f>'FS Desroches Daily'!AP5</f>
        <v>301.98</v>
      </c>
      <c r="Y3" s="35">
        <f>'FS Desroches Daily'!AR5</f>
        <v>240.00000000000909</v>
      </c>
      <c r="Z3" s="35">
        <f>'FS Desroches Daily'!AT5</f>
        <v>290.00000000002046</v>
      </c>
      <c r="AA3" s="35">
        <f>'FS Desroches Daily'!AT5</f>
        <v>290.00000000002046</v>
      </c>
      <c r="AB3" s="35">
        <f>'FS Desroches Daily'!AV5</f>
        <v>349.99999999996589</v>
      </c>
      <c r="AC3" s="35">
        <f>'FS Desroches Daily'!AZ5</f>
        <v>319.99999999999318</v>
      </c>
      <c r="AD3" s="35">
        <f>'FS Desroches Daily'!BB5</f>
        <v>350.00000000002274</v>
      </c>
      <c r="AE3" s="35">
        <f>'FS Desroches Daily'!BD5</f>
        <v>129.99999999999545</v>
      </c>
      <c r="AF3" s="31">
        <f>'FS Desroches Daily'!BF5</f>
        <v>41</v>
      </c>
      <c r="AG3" s="32">
        <f>'FS Desroches Daily'!BH5</f>
        <v>60.000000000002274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50.000000000011369</v>
      </c>
      <c r="AK3" s="32">
        <f>'FS Desroches Daily'!BP5</f>
        <v>89.999999999974989</v>
      </c>
      <c r="AL3" s="32">
        <f>'FS Desroches Daily'!BR5</f>
        <v>55</v>
      </c>
      <c r="AM3" s="32">
        <f>'FS Desroches Daily'!BT5</f>
        <v>60.000000000002274</v>
      </c>
      <c r="AN3" s="32">
        <f>'FS Desroches Daily'!BV5</f>
        <v>59</v>
      </c>
      <c r="AO3" s="32">
        <f>'FS Desroches Daily'!BX5</f>
        <v>79.999999999984084</v>
      </c>
      <c r="AP3" s="32">
        <f>'FS Desroches Daily'!BZ5</f>
        <v>62</v>
      </c>
      <c r="AQ3" s="31">
        <f>'FS Desroches Daily'!CB5</f>
        <v>40.19999999999709</v>
      </c>
      <c r="AR3" s="31">
        <f>'FS Desroches Daily'!CD5</f>
        <v>19.200000000000728</v>
      </c>
      <c r="AS3" s="31">
        <f>'FS Desroches Daily'!CF5</f>
        <v>1.1999999999998181</v>
      </c>
      <c r="AT3" s="31">
        <f>'FS Desroches Daily'!CH5</f>
        <v>76.399999999994179</v>
      </c>
      <c r="AU3" s="31">
        <f>'FS Desroches Daily'!CJ5</f>
        <v>465</v>
      </c>
      <c r="AV3" s="31">
        <f>'FS Desroches Daily'!CL5</f>
        <v>879.99999999999545</v>
      </c>
      <c r="AW3" s="31">
        <f>'FS Desroches Daily'!CM5</f>
        <v>108</v>
      </c>
      <c r="AX3" s="31">
        <f>IF(LPG!F10-LPG!F9&lt;0,"0",(LPG!F10-LPG!F9)*1.8315)</f>
        <v>10.988999999999999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>
        <f>'FS Desroches Daily'!D6</f>
        <v>3800.0000000000255</v>
      </c>
      <c r="F4" s="32">
        <f>'FS Desroches Daily'!F6</f>
        <v>4099.9999999993261</v>
      </c>
      <c r="G4" s="31">
        <f>'FS Desroches Daily'!H6</f>
        <v>3300.0000000003029</v>
      </c>
      <c r="H4" s="32">
        <f>'FS Desroches Daily'!J6</f>
        <v>1999.9999999997797</v>
      </c>
      <c r="I4" s="31">
        <f>'FS Desroches Daily'!L6</f>
        <v>2599.9999999997135</v>
      </c>
      <c r="J4" s="32">
        <f>'FS Desroches Daily'!N6</f>
        <v>2399.9999999999577</v>
      </c>
      <c r="K4" s="13">
        <f>'FS Desroches Daily'!P6</f>
        <v>100</v>
      </c>
      <c r="L4" s="31">
        <f>'FS Desroches Daily'!R6</f>
        <v>6</v>
      </c>
      <c r="M4" s="31">
        <f>'FS Desroches Daily'!T6</f>
        <v>1</v>
      </c>
      <c r="N4" s="31">
        <f>'FS Desroches Daily'!V6</f>
        <v>345.80000000004657</v>
      </c>
      <c r="O4" s="31">
        <f>'FS Desroches Daily'!X7</f>
        <v>479.99999999996135</v>
      </c>
      <c r="P4" s="31">
        <f>'FS Desroches Daily'!Z6</f>
        <v>3100.0000000003247</v>
      </c>
      <c r="Q4" s="31">
        <f>'FS Desroches Daily'!AB6</f>
        <v>329.99999999998408</v>
      </c>
      <c r="R4" s="31">
        <f>'FS Desroches Daily'!AD6</f>
        <v>639.99999999998636</v>
      </c>
      <c r="S4" s="31">
        <f>'FS Desroches Daily'!AF6</f>
        <v>990.00000000000909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259.99999999999091</v>
      </c>
      <c r="W4" s="35">
        <f>'FS Desroches Daily'!AN6</f>
        <v>410.00000000002501</v>
      </c>
      <c r="X4" s="35">
        <f>'FS Desroches Daily'!AP6</f>
        <v>250</v>
      </c>
      <c r="Y4" s="35">
        <f>'FS Desroches Daily'!AR6</f>
        <v>180.00000000000682</v>
      </c>
      <c r="Z4" s="35">
        <f>'FS Desroches Daily'!AT6</f>
        <v>159.99999999996817</v>
      </c>
      <c r="AA4" s="35">
        <f>'FS Desroches Daily'!AT6</f>
        <v>159.99999999996817</v>
      </c>
      <c r="AB4" s="35">
        <f>'FS Desroches Daily'!AV6</f>
        <v>259.99999999999091</v>
      </c>
      <c r="AC4" s="35">
        <f>'FS Desroches Daily'!AZ6</f>
        <v>220.00000000002728</v>
      </c>
      <c r="AD4" s="35">
        <f>'FS Desroches Daily'!BB6</f>
        <v>199.99999999998863</v>
      </c>
      <c r="AE4" s="35">
        <f>'FS Desroches Daily'!BD6</f>
        <v>60.000000000002274</v>
      </c>
      <c r="AF4" s="31">
        <f>'FS Desroches Daily'!BF6</f>
        <v>28</v>
      </c>
      <c r="AG4" s="32">
        <f>'FS Desroches Daily'!BH6</f>
        <v>39.999999999992042</v>
      </c>
      <c r="AH4" s="32">
        <f>'FS Desroches Daily'!BJ6</f>
        <v>39.99999999996362</v>
      </c>
      <c r="AI4" s="32">
        <f>'FS Desroches Daily'!BL6</f>
        <v>49.999999999982947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49</v>
      </c>
      <c r="AM4" s="32">
        <f>'FS Desroches Daily'!BT6</f>
        <v>60.000000000002274</v>
      </c>
      <c r="AN4" s="32">
        <f>'FS Desroches Daily'!BV6</f>
        <v>51</v>
      </c>
      <c r="AO4" s="32">
        <f>'FS Desroches Daily'!BX6</f>
        <v>69.999999999993179</v>
      </c>
      <c r="AP4" s="32">
        <f>'FS Desroches Daily'!BZ6</f>
        <v>50</v>
      </c>
      <c r="AQ4" s="31">
        <f>'FS Desroches Daily'!CB6</f>
        <v>47.700000000004366</v>
      </c>
      <c r="AR4" s="31">
        <f>'FS Desroches Daily'!CD6</f>
        <v>10.100000000000364</v>
      </c>
      <c r="AS4" s="31">
        <f>'FS Desroches Daily'!CF6</f>
        <v>2.3000000000001819</v>
      </c>
      <c r="AT4" s="31">
        <f>'FS Desroches Daily'!CH6</f>
        <v>18.900000000008731</v>
      </c>
      <c r="AU4" s="31">
        <f>'FS Desroches Daily'!CJ6</f>
        <v>384</v>
      </c>
      <c r="AV4" s="31">
        <f>'FS Desroches Daily'!CL6</f>
        <v>889.99999999998636</v>
      </c>
      <c r="AW4" s="31">
        <f>'FS Desroches Daily'!CM6</f>
        <v>100.5</v>
      </c>
      <c r="AX4" s="31">
        <f>IF(LPG!F11-LPG!F10&lt;0,"0",(LPG!F11-LPG!F10)*1.8315)</f>
        <v>12.820499999999999</v>
      </c>
      <c r="AY4" s="31">
        <f>IF(LPG!H11-LPG!H10&lt;0,"0",(LPG!H11-LPG!H10)*1.8315)</f>
        <v>5.4944999999999995</v>
      </c>
      <c r="AZ4" s="31">
        <f>IF(LPG!J13-LPG!J10&lt;0,"0",(LPG!J13-LPG!J10)*1.8315)</f>
        <v>1.8314999999999999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34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3299.9999999998586</v>
      </c>
      <c r="F5" s="32">
        <f>'FS Desroches Daily'!F7</f>
        <v>3700.0000000002588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2400.0000000001796</v>
      </c>
      <c r="J5" s="32">
        <f>'FS Desroches Daily'!N7</f>
        <v>2299.9999999999686</v>
      </c>
      <c r="K5" s="13">
        <f>'FS Desroches Daily'!P7</f>
        <v>48</v>
      </c>
      <c r="L5" s="31">
        <f>'FS Desroches Daily'!R7</f>
        <v>7</v>
      </c>
      <c r="M5" s="31">
        <f>'FS Desroches Daily'!T7</f>
        <v>1.2000000000000455</v>
      </c>
      <c r="N5" s="31">
        <f>'FS Desroches Daily'!V7</f>
        <v>477.5</v>
      </c>
      <c r="O5" s="31">
        <f>'FS Desroches Daily'!X8</f>
        <v>480.00000000001819</v>
      </c>
      <c r="P5" s="31">
        <f>'FS Desroches Daily'!Z7</f>
        <v>3299.9999999998586</v>
      </c>
      <c r="Q5" s="31">
        <f>'FS Desroches Daily'!AB7</f>
        <v>479.99999999996135</v>
      </c>
      <c r="R5" s="31">
        <f>'FS Desroches Daily'!AD7</f>
        <v>620.00000000000455</v>
      </c>
      <c r="S5" s="31">
        <f>'FS Desroches Daily'!AF7</f>
        <v>1009.9999999999909</v>
      </c>
      <c r="T5" s="31">
        <f>'FS Desroches Daily'!AH7</f>
        <v>53</v>
      </c>
      <c r="U5" s="35">
        <f>'FS Desroches Daily'!AJ7</f>
        <v>740.00000000000909</v>
      </c>
      <c r="V5" s="35">
        <f>'FS Desroches Daily'!AL7</f>
        <v>300.00000000001137</v>
      </c>
      <c r="W5" s="35">
        <f>'FS Desroches Daily'!AN7</f>
        <v>189.99999999999773</v>
      </c>
      <c r="X5" s="35">
        <f>'FS Desroches Daily'!AP7</f>
        <v>250</v>
      </c>
      <c r="Y5" s="35">
        <f>'FS Desroches Daily'!AR7</f>
        <v>199.99999999998863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280.00000000002956</v>
      </c>
      <c r="AC5" s="35">
        <f>'FS Desroches Daily'!AZ7</f>
        <v>240.00000000000909</v>
      </c>
      <c r="AD5" s="35">
        <f>'FS Desroches Daily'!BB7</f>
        <v>240.00000000000909</v>
      </c>
      <c r="AE5" s="35">
        <f>'FS Desroches Daily'!BD7</f>
        <v>120.00000000000455</v>
      </c>
      <c r="AF5" s="31">
        <f>'FS Desroches Daily'!BF7</f>
        <v>30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40.000000000020464</v>
      </c>
      <c r="AJ5" s="32">
        <f>'FS Desroches Daily'!BN7</f>
        <v>39.999999999992042</v>
      </c>
      <c r="AK5" s="32">
        <f>'FS Desroches Daily'!BP7</f>
        <v>60.000000000002274</v>
      </c>
      <c r="AL5" s="32">
        <f>'FS Desroches Daily'!BR7</f>
        <v>51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70.0000000000216</v>
      </c>
      <c r="AP5" s="32">
        <f>'FS Desroches Daily'!BZ7</f>
        <v>45</v>
      </c>
      <c r="AQ5" s="31">
        <f>'FS Desroches Daily'!CB7</f>
        <v>47.099999999998545</v>
      </c>
      <c r="AR5" s="31">
        <f>'FS Desroches Daily'!CD7</f>
        <v>15.100000000000364</v>
      </c>
      <c r="AS5" s="31">
        <f>'FS Desroches Daily'!CF7</f>
        <v>5.1000000000003638</v>
      </c>
      <c r="AT5" s="31">
        <f>'FS Desroches Daily'!CH7</f>
        <v>67.399999999994179</v>
      </c>
      <c r="AU5" s="31">
        <f>'FS Desroches Daily'!CJ7</f>
        <v>402</v>
      </c>
      <c r="AV5" s="31">
        <f>'FS Desroches Daily'!CL7</f>
        <v>899.99999999997726</v>
      </c>
      <c r="AW5" s="31">
        <f>'FS Desroches Daily'!CM7</f>
        <v>116.5</v>
      </c>
      <c r="AX5" s="31">
        <f>IF(LPG!F12-LPG!F11&lt;0,"0",(LPG!F12-LPG!F11)*1.8315)</f>
        <v>10.988999999999999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34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3500.0000000002806</v>
      </c>
      <c r="F6" s="32">
        <f>'FS Desroches Daily'!F8</f>
        <v>3800.0000000000255</v>
      </c>
      <c r="G6" s="31">
        <f>'FS Desroches Daily'!H8</f>
        <v>3400.0000000000696</v>
      </c>
      <c r="H6" s="32">
        <f>'FS Desroches Daily'!J8</f>
        <v>1999.9999999997797</v>
      </c>
      <c r="I6" s="31">
        <f>'FS Desroches Daily'!L8</f>
        <v>2499.9999999999468</v>
      </c>
      <c r="J6" s="32">
        <f>'FS Desroches Daily'!N8</f>
        <v>2299.9999999999686</v>
      </c>
      <c r="K6" s="13">
        <f>'FS Desroches Daily'!P8</f>
        <v>52</v>
      </c>
      <c r="L6" s="31">
        <f>'FS Desroches Daily'!R8</f>
        <v>7</v>
      </c>
      <c r="M6" s="31">
        <f>'FS Desroches Daily'!T8</f>
        <v>1.3999999999998636</v>
      </c>
      <c r="N6" s="31">
        <f>'FS Desroches Daily'!V8</f>
        <v>581.90000000002328</v>
      </c>
      <c r="O6" s="31">
        <f>'FS Desroches Daily'!X8</f>
        <v>480.00000000001819</v>
      </c>
      <c r="P6" s="31">
        <f>'FS Desroches Daily'!Z8</f>
        <v>3299.9999999998586</v>
      </c>
      <c r="Q6" s="31">
        <f>'FS Desroches Daily'!AB8</f>
        <v>470.00000000002728</v>
      </c>
      <c r="R6" s="31">
        <f>'FS Desroches Daily'!AD8</f>
        <v>580.00000000004093</v>
      </c>
      <c r="S6" s="31">
        <f>'FS Desroches Daily'!AF8</f>
        <v>1139.9999999999864</v>
      </c>
      <c r="T6" s="31">
        <f>'FS Desroches Daily'!AH8</f>
        <v>55</v>
      </c>
      <c r="U6" s="35">
        <f>'FS Desroches Daily'!AJ8</f>
        <v>809.99999999994543</v>
      </c>
      <c r="V6" s="35">
        <f>'FS Desroches Daily'!AL8</f>
        <v>310.00000000000227</v>
      </c>
      <c r="W6" s="35">
        <f>'FS Desroches Daily'!AN8</f>
        <v>179.9999999999784</v>
      </c>
      <c r="X6" s="35">
        <f>'FS Desroches Daily'!AP8</f>
        <v>270.00000000001023</v>
      </c>
      <c r="Y6" s="35">
        <f>'FS Desroches Daily'!AR8</f>
        <v>250</v>
      </c>
      <c r="Z6" s="35">
        <f>'FS Desroches Daily'!AT8</f>
        <v>200.00000000004547</v>
      </c>
      <c r="AA6" s="35">
        <f>'FS Desroches Daily'!AT8</f>
        <v>200.00000000004547</v>
      </c>
      <c r="AB6" s="35">
        <f>'FS Desroches Daily'!AV8</f>
        <v>300.00000000001137</v>
      </c>
      <c r="AC6" s="35">
        <f>'FS Desroches Daily'!AZ8</f>
        <v>259.99999999999091</v>
      </c>
      <c r="AD6" s="35">
        <f>'FS Desroches Daily'!BB8</f>
        <v>180.00000000000682</v>
      </c>
      <c r="AE6" s="35">
        <f>'FS Desroches Daily'!BD8</f>
        <v>199.99999999998863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50</v>
      </c>
      <c r="AM6" s="32">
        <f>'FS Desroches Daily'!BT8</f>
        <v>49.999999999982947</v>
      </c>
      <c r="AN6" s="32">
        <f>'FS Desroches Daily'!BV8</f>
        <v>55</v>
      </c>
      <c r="AO6" s="32">
        <f>'FS Desroches Daily'!BX8</f>
        <v>79.999999999984084</v>
      </c>
      <c r="AP6" s="32">
        <f>'FS Desroches Daily'!BZ8</f>
        <v>54</v>
      </c>
      <c r="AQ6" s="31">
        <f>'FS Desroches Daily'!CB8</f>
        <v>54.30000000000291</v>
      </c>
      <c r="AR6" s="31">
        <f>'FS Desroches Daily'!CD8</f>
        <v>18.199999999998909</v>
      </c>
      <c r="AS6" s="31">
        <f>'FS Desroches Daily'!CF8</f>
        <v>2.5</v>
      </c>
      <c r="AT6" s="31">
        <f>'FS Desroches Daily'!CH8</f>
        <v>47.19999999999709</v>
      </c>
      <c r="AU6" s="31">
        <f>'FS Desroches Daily'!CJ8</f>
        <v>401</v>
      </c>
      <c r="AV6" s="31">
        <f>'FS Desroches Daily'!CL8</f>
        <v>809.99999999994543</v>
      </c>
      <c r="AW6" s="31">
        <f>'FS Desroches Daily'!CM8</f>
        <v>111.20000000000073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10.988999999999999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3699.9999999998145</v>
      </c>
      <c r="F7" s="32">
        <f>'FS Desroches Daily'!F9</f>
        <v>3899.9999999997926</v>
      </c>
      <c r="G7" s="31">
        <f>'FS Desroches Daily'!H9</f>
        <v>3400.0000000000696</v>
      </c>
      <c r="H7" s="32">
        <f>'FS Desroches Daily'!J9</f>
        <v>2000.0000000002237</v>
      </c>
      <c r="I7" s="31">
        <f>'FS Desroches Daily'!L9</f>
        <v>2499.9999999999468</v>
      </c>
      <c r="J7" s="32">
        <f>'FS Desroches Daily'!N9</f>
        <v>2199.9999999999795</v>
      </c>
      <c r="K7" s="13">
        <f>'FS Desroches Daily'!P9</f>
        <v>44</v>
      </c>
      <c r="L7" s="31">
        <f>'FS Desroches Daily'!R9</f>
        <v>7</v>
      </c>
      <c r="M7" s="31">
        <f>'FS Desroches Daily'!T9</f>
        <v>1.4000000000000909</v>
      </c>
      <c r="N7" s="31">
        <f>'FS Desroches Daily'!V9</f>
        <v>563.29999999993015</v>
      </c>
      <c r="O7" s="31">
        <f>'FS Desroches Daily'!X9</f>
        <v>490.00000000000909</v>
      </c>
      <c r="P7" s="31">
        <f>'FS Desroches Daily'!Z9</f>
        <v>3500.0000000002806</v>
      </c>
      <c r="Q7" s="31">
        <f>'FS Desroches Daily'!AB9</f>
        <v>500</v>
      </c>
      <c r="R7" s="31">
        <f>'FS Desroches Daily'!AD9</f>
        <v>560.00000000000227</v>
      </c>
      <c r="S7" s="31">
        <f>'FS Desroches Daily'!AF9</f>
        <v>1060.0000000000591</v>
      </c>
      <c r="T7" s="31">
        <f>'FS Desroches Daily'!AH9</f>
        <v>55</v>
      </c>
      <c r="U7" s="35">
        <f>'FS Desroches Daily'!AJ9</f>
        <v>929.99999999994998</v>
      </c>
      <c r="V7" s="35">
        <f>'FS Desroches Daily'!AL9</f>
        <v>350.00000000002274</v>
      </c>
      <c r="W7" s="35">
        <f>'FS Desroches Daily'!AN9</f>
        <v>180.00000000000682</v>
      </c>
      <c r="X7" s="35">
        <f>'FS Desroches Daily'!AP9</f>
        <v>289.99999999999204</v>
      </c>
      <c r="Y7" s="35">
        <f>'FS Desroches Daily'!AR9</f>
        <v>269.99999999998181</v>
      </c>
      <c r="Z7" s="35">
        <f>'FS Desroches Daily'!AT9</f>
        <v>209.99999999997954</v>
      </c>
      <c r="AA7" s="35">
        <f>'FS Desroches Daily'!AT9</f>
        <v>209.99999999997954</v>
      </c>
      <c r="AB7" s="35">
        <f>'FS Desroches Daily'!AV9</f>
        <v>310.00000000000227</v>
      </c>
      <c r="AC7" s="35">
        <f>'FS Desroches Daily'!AZ9</f>
        <v>269.99999999998181</v>
      </c>
      <c r="AD7" s="35">
        <f>'FS Desroches Daily'!BB9</f>
        <v>180.00000000000682</v>
      </c>
      <c r="AE7" s="35">
        <f>'FS Desroches Daily'!BD9</f>
        <v>220.00000000002728</v>
      </c>
      <c r="AF7" s="31">
        <f>'FS Desroches Daily'!BF9</f>
        <v>38</v>
      </c>
      <c r="AG7" s="32">
        <f>'FS Desroches Daily'!BH9</f>
        <v>49.999999999982947</v>
      </c>
      <c r="AH7" s="32">
        <f>'FS Desroches Daily'!BJ9</f>
        <v>39.99999999996362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69.999999999993179</v>
      </c>
      <c r="AL7" s="32">
        <f>'FS Desroches Daily'!BR9</f>
        <v>50</v>
      </c>
      <c r="AM7" s="32">
        <f>'FS Desroches Daily'!BT9</f>
        <v>50.000000000011369</v>
      </c>
      <c r="AN7" s="32">
        <f>'FS Desroches Daily'!BV9</f>
        <v>61</v>
      </c>
      <c r="AO7" s="32">
        <f>'FS Desroches Daily'!BX9</f>
        <v>69.999999999993179</v>
      </c>
      <c r="AP7" s="32">
        <f>'FS Desroches Daily'!BZ9</f>
        <v>56</v>
      </c>
      <c r="AQ7" s="31">
        <f>'FS Desroches Daily'!CB9</f>
        <v>63.299999999995634</v>
      </c>
      <c r="AR7" s="31">
        <f>'FS Desroches Daily'!CD9</f>
        <v>16</v>
      </c>
      <c r="AS7" s="31">
        <f>'FS Desroches Daily'!CF9</f>
        <v>5.1999999999998181</v>
      </c>
      <c r="AT7" s="31">
        <f>'FS Desroches Daily'!CH9</f>
        <v>55.400000000008731</v>
      </c>
      <c r="AU7" s="31">
        <f>'FS Desroches Daily'!CJ9</f>
        <v>397</v>
      </c>
      <c r="AV7" s="31">
        <f>'FS Desroches Daily'!CL9</f>
        <v>860.00000000001364</v>
      </c>
      <c r="AW7" s="31">
        <f>'FS Desroches Daily'!CM9</f>
        <v>115.09999999999854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7.3259999999999996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3000.0000000001137</v>
      </c>
      <c r="F8" s="32">
        <f>'FS Desroches Daily'!F10</f>
        <v>3600.0000000004916</v>
      </c>
      <c r="G8" s="31">
        <f>'FS Desroches Daily'!H10</f>
        <v>2699.9999999999245</v>
      </c>
      <c r="H8" s="32">
        <f>'FS Desroches Daily'!J10</f>
        <v>1599.9999999998238</v>
      </c>
      <c r="I8" s="31">
        <f>'FS Desroches Daily'!L10</f>
        <v>2299.9999999999686</v>
      </c>
      <c r="J8" s="32">
        <f>'FS Desroches Daily'!N10</f>
        <v>1800.0000000000239</v>
      </c>
      <c r="K8" s="13">
        <f>'FS Desroches Daily'!P10</f>
        <v>25</v>
      </c>
      <c r="L8" s="31">
        <f>'FS Desroches Daily'!R10</f>
        <v>4</v>
      </c>
      <c r="M8" s="31">
        <f>'FS Desroches Daily'!T10</f>
        <v>1.2000000000000455</v>
      </c>
      <c r="N8" s="31">
        <f>'FS Desroches Daily'!V10</f>
        <v>389.20000000006985</v>
      </c>
      <c r="O8" s="31">
        <f>'FS Desroches Daily'!X10</f>
        <v>389.99999999998636</v>
      </c>
      <c r="P8" s="31">
        <f>'FS Desroches Daily'!Z10</f>
        <v>3299.9999999998586</v>
      </c>
      <c r="Q8" s="31">
        <f>'FS Desroches Daily'!AB10</f>
        <v>439.99999999999773</v>
      </c>
      <c r="R8" s="31">
        <f>'FS Desroches Daily'!AD10</f>
        <v>449.99999999998863</v>
      </c>
      <c r="S8" s="31">
        <f>'FS Desroches Daily'!AF10</f>
        <v>819.99999999993634</v>
      </c>
      <c r="T8" s="31">
        <f>'FS Desroches Daily'!AH10</f>
        <v>66</v>
      </c>
      <c r="U8" s="35">
        <f>'FS Desroches Daily'!AJ10</f>
        <v>750</v>
      </c>
      <c r="V8" s="35">
        <f>'FS Desroches Daily'!AL10</f>
        <v>279.99999999997272</v>
      </c>
      <c r="W8" s="35">
        <f>'FS Desroches Daily'!AN10</f>
        <v>159.99999999999659</v>
      </c>
      <c r="X8" s="35">
        <f>'FS Desroches Daily'!AP10</f>
        <v>260.00000000001933</v>
      </c>
      <c r="Y8" s="35">
        <f>'FS Desroches Daily'!AR10</f>
        <v>189.99999999999773</v>
      </c>
      <c r="Z8" s="35">
        <f>'FS Desroches Daily'!AT10</f>
        <v>159.99999999996817</v>
      </c>
      <c r="AA8" s="35">
        <f>'FS Desroches Daily'!AT10</f>
        <v>159.99999999996817</v>
      </c>
      <c r="AB8" s="35">
        <f>'FS Desroches Daily'!AV10</f>
        <v>250</v>
      </c>
      <c r="AC8" s="35">
        <f>'FS Desroches Daily'!AZ10</f>
        <v>230.00000000001819</v>
      </c>
      <c r="AD8" s="35">
        <f>'FS Desroches Daily'!BB10</f>
        <v>129.99999999999545</v>
      </c>
      <c r="AE8" s="35">
        <f>'FS Desroches Daily'!BD10</f>
        <v>149.99999999997726</v>
      </c>
      <c r="AF8" s="31">
        <f>'FS Desroches Daily'!BF10</f>
        <v>44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49.999999999982947</v>
      </c>
      <c r="AJ8" s="32">
        <f>'FS Desroches Daily'!BN10</f>
        <v>40.000000000020464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39.999999999992042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77.30000000000291</v>
      </c>
      <c r="AR8" s="31">
        <f>'FS Desroches Daily'!CD10</f>
        <v>16.600000000000364</v>
      </c>
      <c r="AS8" s="31">
        <f>'FS Desroches Daily'!CF10</f>
        <v>13.800000000000182</v>
      </c>
      <c r="AT8" s="31">
        <f>'FS Desroches Daily'!CH10</f>
        <v>51.5</v>
      </c>
      <c r="AU8" s="31">
        <f>'FS Desroches Daily'!CJ10</f>
        <v>329</v>
      </c>
      <c r="AV8" s="31">
        <f>'FS Desroches Daily'!CL10</f>
        <v>759.99999999999091</v>
      </c>
      <c r="AW8" s="31">
        <f>'FS Desroches Daily'!CM10</f>
        <v>135.70000000000073</v>
      </c>
      <c r="AX8" s="31">
        <f>IF(LPG!F16-LPG!F14&lt;0,"0",(LPG!F16-LPG!F14)*1.8315)</f>
        <v>23.8095</v>
      </c>
      <c r="AY8" s="31">
        <f>IF(LPG!H16-LPG!H14&lt;0,"0",(LPG!H16-LPG!H14)*1.8315)</f>
        <v>10.988999999999999</v>
      </c>
      <c r="AZ8" s="31">
        <f>IF(LPG!J16-LPG!J14&lt;0,"0",(LPG!J16-LPG!J14)*1.8315)</f>
        <v>1.8314999999999999</v>
      </c>
      <c r="BA8" s="31">
        <f>IF(LPG!M16-LPG!M14&lt;0,"0",(LPG!M16-LPG!M14)*1.8315)</f>
        <v>9.1574999999999989</v>
      </c>
      <c r="BB8" s="31">
        <f>IF(LPG!Q15-LPG!Q14&lt;0,"0",(LPG!Q15-LPG!Q14)*1.8315)</f>
        <v>7.3259999999999996</v>
      </c>
      <c r="BC8" s="13">
        <f>'FS Desroches Daily'!CN10</f>
        <v>28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>
        <f>'FS Desroches Daily'!D11</f>
        <v>3499.9999999998367</v>
      </c>
      <c r="F9" s="32">
        <f>'FS Desroches Daily'!F11</f>
        <v>3699.9999999993706</v>
      </c>
      <c r="G9" s="31">
        <f>'FS Desroches Daily'!H11</f>
        <v>3899.9999999997926</v>
      </c>
      <c r="H9" s="32">
        <f>'FS Desroches Daily'!J11</f>
        <v>1800.0000000002458</v>
      </c>
      <c r="I9" s="31">
        <f>'FS Desroches Daily'!L11</f>
        <v>2700.0000000003688</v>
      </c>
      <c r="J9" s="32">
        <f>'FS Desroches Daily'!N11</f>
        <v>2099.9999999999909</v>
      </c>
      <c r="K9" s="13">
        <f>'FS Desroches Daily'!P11</f>
        <v>38</v>
      </c>
      <c r="L9" s="31">
        <f>'FS Desroches Daily'!R11</f>
        <v>7</v>
      </c>
      <c r="M9" s="31">
        <f>'FS Desroches Daily'!T11</f>
        <v>1.2999999999999545</v>
      </c>
      <c r="N9" s="31">
        <f>'FS Desroches Daily'!V11</f>
        <v>455.69999999995343</v>
      </c>
      <c r="O9" s="31">
        <f>'FS Desroches Daily'!X11</f>
        <v>379.99999999999545</v>
      </c>
      <c r="P9" s="31">
        <f>'FS Desroches Daily'!Z11</f>
        <v>3299.9999999998586</v>
      </c>
      <c r="Q9" s="31">
        <f>'FS Desroches Daily'!AB11</f>
        <v>490.00000000000909</v>
      </c>
      <c r="R9" s="31">
        <f>'FS Desroches Daily'!AD11</f>
        <v>569.99999999999318</v>
      </c>
      <c r="S9" s="31">
        <f>'FS Desroches Daily'!AF11</f>
        <v>960.00000000003638</v>
      </c>
      <c r="T9" s="31">
        <f>'FS Desroches Daily'!AH11</f>
        <v>37</v>
      </c>
      <c r="U9" s="35">
        <f>'FS Desroches Daily'!AJ11</f>
        <v>860.00000000001364</v>
      </c>
      <c r="V9" s="35">
        <f>'FS Desroches Daily'!AL11</f>
        <v>280.00000000002956</v>
      </c>
      <c r="W9" s="35">
        <f>'FS Desroches Daily'!AN11</f>
        <v>189.99999999999773</v>
      </c>
      <c r="X9" s="35">
        <f>'FS Desroches Daily'!AP11</f>
        <v>309.99999999997385</v>
      </c>
      <c r="Y9" s="35">
        <f>'FS Desroches Daily'!AR11</f>
        <v>209.99999999997954</v>
      </c>
      <c r="Z9" s="35">
        <f>'FS Desroches Daily'!AT11</f>
        <v>270.00000000003865</v>
      </c>
      <c r="AA9" s="35">
        <f>'FS Desroches Daily'!AT11</f>
        <v>270.00000000003865</v>
      </c>
      <c r="AB9" s="35">
        <f>'FS Desroches Daily'!AV11</f>
        <v>279.99999999997272</v>
      </c>
      <c r="AC9" s="35">
        <f>'FS Desroches Daily'!AZ11</f>
        <v>339.99999999997499</v>
      </c>
      <c r="AD9" s="35">
        <f>'FS Desroches Daily'!BB11</f>
        <v>170.00000000001592</v>
      </c>
      <c r="AE9" s="35">
        <f>'FS Desroches Daily'!BD11</f>
        <v>209.99999999997954</v>
      </c>
      <c r="AF9" s="31">
        <f>'FS Desroches Daily'!BF11</f>
        <v>43</v>
      </c>
      <c r="AG9" s="32">
        <f>'FS Desroches Daily'!BH11</f>
        <v>59.999999999973852</v>
      </c>
      <c r="AH9" s="32">
        <f>'FS Desroches Daily'!BJ11</f>
        <v>29.999999999972715</v>
      </c>
      <c r="AI9" s="32">
        <f>'FS Desroches Daily'!BL11</f>
        <v>80.000000000012506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53</v>
      </c>
      <c r="AM9" s="32">
        <f>'FS Desroches Daily'!BT11</f>
        <v>50.000000000011369</v>
      </c>
      <c r="AN9" s="32">
        <f>'FS Desroches Daily'!BV11</f>
        <v>51</v>
      </c>
      <c r="AO9" s="32">
        <f>'FS Desroches Daily'!BX11</f>
        <v>60.000000000002274</v>
      </c>
      <c r="AP9" s="32">
        <f>'FS Desroches Daily'!BZ11</f>
        <v>48</v>
      </c>
      <c r="AQ9" s="31">
        <f>'FS Desroches Daily'!CB11</f>
        <v>76.799999999995634</v>
      </c>
      <c r="AR9" s="31">
        <f>'FS Desroches Daily'!CD11</f>
        <v>16.200000000000728</v>
      </c>
      <c r="AS9" s="31">
        <f>'FS Desroches Daily'!CF11</f>
        <v>6.0999999999994543</v>
      </c>
      <c r="AT9" s="31">
        <f>'FS Desroches Daily'!CH11</f>
        <v>58.69999999999709</v>
      </c>
      <c r="AU9" s="31">
        <f>'FS Desroches Daily'!CJ11</f>
        <v>385</v>
      </c>
      <c r="AV9" s="31">
        <f>'FS Desroches Daily'!CL11</f>
        <v>759.99999999999091</v>
      </c>
      <c r="AW9" s="31">
        <f>'FS Desroches Daily'!CM11</f>
        <v>105.40000000000146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28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>
        <f>'FS Desroches Daily'!D12</f>
        <v>3800.0000000000255</v>
      </c>
      <c r="F10" s="32">
        <f>'FS Desroches Daily'!F12</f>
        <v>3700.0000000002588</v>
      </c>
      <c r="G10" s="31">
        <f>'FS Desroches Daily'!H12</f>
        <v>3400.0000000000696</v>
      </c>
      <c r="H10" s="32">
        <f>'FS Desroches Daily'!J12</f>
        <v>1999.9999999997797</v>
      </c>
      <c r="I10" s="31">
        <f>'FS Desroches Daily'!L12</f>
        <v>2699.9999999999245</v>
      </c>
      <c r="J10" s="32">
        <f>'FS Desroches Daily'!N12</f>
        <v>2099.9999999999909</v>
      </c>
      <c r="K10" s="13">
        <f>'FS Desroches Daily'!P12</f>
        <v>1</v>
      </c>
      <c r="L10" s="31">
        <f>'FS Desroches Daily'!R12</f>
        <v>7</v>
      </c>
      <c r="M10" s="31">
        <f>'FS Desroches Daily'!T12</f>
        <v>1.3999999999998636</v>
      </c>
      <c r="N10" s="31">
        <f>'FS Desroches Daily'!V12</f>
        <v>520.30000000004657</v>
      </c>
      <c r="O10" s="31">
        <f>'FS Desroches Daily'!X12</f>
        <v>350.00000000002274</v>
      </c>
      <c r="P10" s="31">
        <f>'FS Desroches Daily'!Z12</f>
        <v>3300.0000000003029</v>
      </c>
      <c r="Q10" s="31">
        <f>'FS Desroches Daily'!AB12</f>
        <v>459.99999999997954</v>
      </c>
      <c r="R10" s="31">
        <f>'FS Desroches Daily'!AD12</f>
        <v>550.00000000001137</v>
      </c>
      <c r="S10" s="31">
        <f>'FS Desroches Daily'!AF12</f>
        <v>960.00000000003638</v>
      </c>
      <c r="T10" s="31">
        <f>'FS Desroches Daily'!AH12</f>
        <v>62</v>
      </c>
      <c r="U10" s="35">
        <f>'FS Desroches Daily'!AJ12</f>
        <v>800.00000000006821</v>
      </c>
      <c r="V10" s="35">
        <f>'FS Desroches Daily'!AL12</f>
        <v>309.99999999994543</v>
      </c>
      <c r="W10" s="35">
        <f>'FS Desroches Daily'!AN12</f>
        <v>250</v>
      </c>
      <c r="X10" s="35">
        <f>'FS Desroches Daily'!AP12</f>
        <v>300.00000000001137</v>
      </c>
      <c r="Y10" s="35">
        <f>'FS Desroches Daily'!AR12</f>
        <v>230.00000000001819</v>
      </c>
      <c r="Z10" s="35">
        <f>'FS Desroches Daily'!AT12</f>
        <v>240.00000000000909</v>
      </c>
      <c r="AA10" s="35">
        <f>'FS Desroches Daily'!AT12</f>
        <v>240.00000000000909</v>
      </c>
      <c r="AB10" s="35">
        <f>'FS Desroches Daily'!AV12</f>
        <v>270.00000000003865</v>
      </c>
      <c r="AC10" s="35">
        <f>'FS Desroches Daily'!AZ12</f>
        <v>129.99999999999545</v>
      </c>
      <c r="AD10" s="35">
        <f>'FS Desroches Daily'!BB12</f>
        <v>250</v>
      </c>
      <c r="AE10" s="35">
        <f>'FS Desroches Daily'!BD12</f>
        <v>220.00000000002728</v>
      </c>
      <c r="AF10" s="31">
        <f>'FS Desroches Daily'!BF12</f>
        <v>24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39.999999999992042</v>
      </c>
      <c r="AJ10" s="32">
        <f>'FS Desroches Daily'!BN12</f>
        <v>50.000000000011369</v>
      </c>
      <c r="AK10" s="32">
        <f>'FS Desroches Daily'!BP12</f>
        <v>69.999999999993179</v>
      </c>
      <c r="AL10" s="32">
        <f>'FS Desroches Daily'!BR12</f>
        <v>51</v>
      </c>
      <c r="AM10" s="32">
        <f>'FS Desroches Daily'!BT12</f>
        <v>39.999999999992042</v>
      </c>
      <c r="AN10" s="32">
        <f>'FS Desroches Daily'!BV12</f>
        <v>54</v>
      </c>
      <c r="AO10" s="32">
        <f>'FS Desroches Daily'!BX12</f>
        <v>60.000000000002274</v>
      </c>
      <c r="AP10" s="32">
        <f>'FS Desroches Daily'!BZ12</f>
        <v>48</v>
      </c>
      <c r="AQ10" s="31">
        <f>'FS Desroches Daily'!CB12</f>
        <v>40.400000000001455</v>
      </c>
      <c r="AR10" s="31">
        <f>'FS Desroches Daily'!CD12</f>
        <v>34</v>
      </c>
      <c r="AS10" s="31">
        <f>'FS Desroches Daily'!CF12</f>
        <v>1.9000000000005457</v>
      </c>
      <c r="AT10" s="31">
        <f>'FS Desroches Daily'!CH12</f>
        <v>59.100000000005821</v>
      </c>
      <c r="AU10" s="31">
        <f>'FS Desroches Daily'!CJ12</f>
        <v>374</v>
      </c>
      <c r="AV10" s="31">
        <f>'FS Desroches Daily'!CL12</f>
        <v>740.00000000000909</v>
      </c>
      <c r="AW10" s="31">
        <f>'FS Desroches Daily'!CM12</f>
        <v>106.59999999999854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28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31899.999999999814</v>
      </c>
      <c r="F33" s="17">
        <f t="shared" ref="F33:BC33" si="0">SUM(F2:F32)</f>
        <v>34200.000000000233</v>
      </c>
      <c r="G33" s="17">
        <f t="shared" si="0"/>
        <v>30100.000000000015</v>
      </c>
      <c r="H33" s="17">
        <f t="shared" si="0"/>
        <v>17199.99999999988</v>
      </c>
      <c r="I33" s="17">
        <f t="shared" si="0"/>
        <v>22899.999999999916</v>
      </c>
      <c r="J33" s="17">
        <f t="shared" si="0"/>
        <v>19199.999999999884</v>
      </c>
      <c r="K33" s="17">
        <f t="shared" si="0"/>
        <v>354</v>
      </c>
      <c r="L33" s="17">
        <f t="shared" si="0"/>
        <v>61</v>
      </c>
      <c r="M33" s="17">
        <f t="shared" si="0"/>
        <v>11.5</v>
      </c>
      <c r="N33" s="17">
        <f t="shared" si="0"/>
        <v>4483.9000000000233</v>
      </c>
      <c r="O33" s="17">
        <f t="shared" si="0"/>
        <v>3910.000000000025</v>
      </c>
      <c r="P33" s="17">
        <f t="shared" si="0"/>
        <v>30300.000000000433</v>
      </c>
      <c r="Q33" s="17">
        <f t="shared" si="0"/>
        <v>3849.9999999999659</v>
      </c>
      <c r="R33" s="17">
        <f t="shared" si="0"/>
        <v>5189.9999999999982</v>
      </c>
      <c r="S33" s="17">
        <f t="shared" si="0"/>
        <v>9220.0000000000273</v>
      </c>
      <c r="T33" s="17">
        <f t="shared" si="0"/>
        <v>458</v>
      </c>
      <c r="U33" s="35">
        <f t="shared" si="0"/>
        <v>7200.0000000000455</v>
      </c>
      <c r="V33" s="35">
        <f t="shared" si="0"/>
        <v>2829.9999999999841</v>
      </c>
      <c r="W33" s="35">
        <f t="shared" si="0"/>
        <v>2030.0000000000011</v>
      </c>
      <c r="X33" s="35">
        <f t="shared" si="0"/>
        <v>2481.9800000000068</v>
      </c>
      <c r="Y33" s="35">
        <f t="shared" si="0"/>
        <v>1969.9999999999704</v>
      </c>
      <c r="Z33" s="35">
        <f t="shared" si="0"/>
        <v>1860.0000000000136</v>
      </c>
      <c r="AA33" s="35">
        <f t="shared" si="0"/>
        <v>1860.0000000000136</v>
      </c>
      <c r="AB33" s="35">
        <f t="shared" si="0"/>
        <v>2540.0000000000205</v>
      </c>
      <c r="AC33" s="35">
        <f t="shared" si="0"/>
        <v>2300.0000000000114</v>
      </c>
      <c r="AD33" s="35">
        <f t="shared" si="0"/>
        <v>2000</v>
      </c>
      <c r="AE33" s="35">
        <f t="shared" si="0"/>
        <v>1470.0000000000273</v>
      </c>
      <c r="AF33" s="17">
        <f t="shared" si="0"/>
        <v>341</v>
      </c>
      <c r="AG33" s="32">
        <f t="shared" si="0"/>
        <v>439.99999999999773</v>
      </c>
      <c r="AH33" s="32">
        <f t="shared" si="0"/>
        <v>329.99999999998408</v>
      </c>
      <c r="AI33" s="32">
        <f t="shared" si="0"/>
        <v>509.99999999999091</v>
      </c>
      <c r="AJ33" s="32">
        <f t="shared" si="0"/>
        <v>400.00000000000568</v>
      </c>
      <c r="AK33" s="32">
        <f t="shared" si="0"/>
        <v>589.99999999997499</v>
      </c>
      <c r="AL33" s="32">
        <f t="shared" si="0"/>
        <v>450</v>
      </c>
      <c r="AM33" s="32">
        <f t="shared" si="0"/>
        <v>439.99999999999773</v>
      </c>
      <c r="AN33" s="32">
        <f t="shared" si="0"/>
        <v>471</v>
      </c>
      <c r="AO33" s="32">
        <f t="shared" si="0"/>
        <v>610.00000000001364</v>
      </c>
      <c r="AP33" s="32">
        <f t="shared" si="0"/>
        <v>457</v>
      </c>
      <c r="AQ33" s="17">
        <f t="shared" si="0"/>
        <v>458.59999999999854</v>
      </c>
      <c r="AR33" s="17">
        <f t="shared" si="0"/>
        <v>167</v>
      </c>
      <c r="AS33" s="17">
        <f t="shared" si="0"/>
        <v>39.100000000000364</v>
      </c>
      <c r="AT33" s="17">
        <f t="shared" si="0"/>
        <v>477.30000000000291</v>
      </c>
      <c r="AU33" s="17">
        <f t="shared" si="0"/>
        <v>3468</v>
      </c>
      <c r="AV33" s="17">
        <f t="shared" si="0"/>
        <v>7379.9999999999955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62.271000000000001</v>
      </c>
      <c r="BC33" s="17">
        <f t="shared" si="0"/>
        <v>280</v>
      </c>
    </row>
    <row r="35" spans="5:55" x14ac:dyDescent="0.25">
      <c r="E35" s="38">
        <f>E33/E37</f>
        <v>0.25780277683492425</v>
      </c>
      <c r="G35" s="29">
        <f>G33-M36</f>
        <v>25604.599999999991</v>
      </c>
      <c r="AE35" s="35">
        <f>SUM(U33:AE33)</f>
        <v>28541.980000000098</v>
      </c>
      <c r="AG35" s="32">
        <f>SUM(AG33:AP33)</f>
        <v>4697.9999999999654</v>
      </c>
    </row>
    <row r="36" spans="5:55" x14ac:dyDescent="0.25">
      <c r="G36" s="29">
        <f>G35-633*14</f>
        <v>16742.599999999991</v>
      </c>
      <c r="M36" s="29">
        <f>M33+N33</f>
        <v>4495.4000000000233</v>
      </c>
    </row>
    <row r="37" spans="5:55" x14ac:dyDescent="0.25">
      <c r="E37" s="17">
        <f>E33+F33+G33+H33+J33-633*14</f>
        <v>123737.99999999983</v>
      </c>
      <c r="G37" s="37">
        <f>M36/E37</f>
        <v>3.6329987554348943E-2</v>
      </c>
      <c r="M37" s="35">
        <f>AE35</f>
        <v>28541.980000000098</v>
      </c>
    </row>
    <row r="38" spans="5:55" x14ac:dyDescent="0.25">
      <c r="L38" s="27">
        <f>M38/E37</f>
        <v>3.7967318042961516E-2</v>
      </c>
      <c r="M38" s="29">
        <f>AG35</f>
        <v>4697.9999999999654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zoomScale="85" zoomScaleNormal="85" workbookViewId="0">
      <pane ySplit="1" topLeftCell="A2" activePane="bottomLeft" state="frozen"/>
      <selection pane="bottomLeft" activeCell="CX13" sqref="CX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>
        <v>3.0461</v>
      </c>
      <c r="D5" s="64">
        <f t="shared" si="50"/>
        <v>3600.0000000000477</v>
      </c>
      <c r="E5" s="58">
        <v>4.1359000000000004</v>
      </c>
      <c r="F5" s="64">
        <f t="shared" si="51"/>
        <v>3800.0000000000255</v>
      </c>
      <c r="G5" s="58">
        <v>4.1014999999999997</v>
      </c>
      <c r="H5" s="64">
        <f t="shared" si="52"/>
        <v>3400.0000000000696</v>
      </c>
      <c r="I5" s="58">
        <v>2.0565000000000002</v>
      </c>
      <c r="J5" s="64">
        <f t="shared" si="53"/>
        <v>2000.0000000002237</v>
      </c>
      <c r="K5" s="58">
        <v>3.2252000000000001</v>
      </c>
      <c r="L5" s="64">
        <f t="shared" si="54"/>
        <v>2600.0000000001578</v>
      </c>
      <c r="M5" s="58">
        <v>1.8278000000000001</v>
      </c>
      <c r="N5" s="64">
        <f t="shared" si="55"/>
        <v>2000.0000000000018</v>
      </c>
      <c r="O5" s="58">
        <v>19120</v>
      </c>
      <c r="P5" s="67">
        <f t="shared" si="56"/>
        <v>8</v>
      </c>
      <c r="Q5" s="58">
        <v>2268</v>
      </c>
      <c r="R5" s="67">
        <f t="shared" si="57"/>
        <v>8</v>
      </c>
      <c r="S5" s="58">
        <v>1280.2</v>
      </c>
      <c r="T5" s="67">
        <f t="shared" si="58"/>
        <v>1.6000000000001364</v>
      </c>
      <c r="U5" s="58">
        <v>525405.6</v>
      </c>
      <c r="V5" s="67">
        <f t="shared" si="59"/>
        <v>665.40000000002328</v>
      </c>
      <c r="W5" s="58">
        <v>490.79</v>
      </c>
      <c r="X5" s="65">
        <f t="shared" si="60"/>
        <v>540.00000000002046</v>
      </c>
      <c r="Y5" s="58">
        <v>3.6341999999999999</v>
      </c>
      <c r="Z5" s="65">
        <f t="shared" si="61"/>
        <v>3699.9999999998145</v>
      </c>
      <c r="AA5" s="58">
        <v>492.22</v>
      </c>
      <c r="AB5" s="65">
        <f t="shared" si="62"/>
        <v>370.00000000000455</v>
      </c>
      <c r="AC5" s="58">
        <v>481.2</v>
      </c>
      <c r="AD5" s="65">
        <f t="shared" si="63"/>
        <v>689.99999999999773</v>
      </c>
      <c r="AE5" s="58">
        <v>701.28</v>
      </c>
      <c r="AF5" s="65">
        <f t="shared" si="64"/>
        <v>1189.9999999999409</v>
      </c>
      <c r="AG5" s="58">
        <v>15162</v>
      </c>
      <c r="AH5" s="67">
        <f t="shared" si="65"/>
        <v>55</v>
      </c>
      <c r="AI5" s="58">
        <v>811.43</v>
      </c>
      <c r="AJ5" s="65">
        <f t="shared" si="66"/>
        <v>909.99999999996817</v>
      </c>
      <c r="AK5" s="58">
        <v>271.69</v>
      </c>
      <c r="AL5" s="65">
        <f t="shared" si="67"/>
        <v>370.00000000000455</v>
      </c>
      <c r="AM5" s="58">
        <v>253.64</v>
      </c>
      <c r="AN5" s="65">
        <f t="shared" si="68"/>
        <v>189.99999999999773</v>
      </c>
      <c r="AO5" s="58">
        <v>245.01</v>
      </c>
      <c r="AP5" s="65">
        <v>301.98</v>
      </c>
      <c r="AQ5" s="58">
        <v>301.98</v>
      </c>
      <c r="AR5" s="65">
        <f t="shared" si="70"/>
        <v>240.00000000000909</v>
      </c>
      <c r="AS5" s="58">
        <v>426.93</v>
      </c>
      <c r="AT5" s="65">
        <f t="shared" si="71"/>
        <v>290.00000000002046</v>
      </c>
      <c r="AU5" s="58">
        <v>334.27</v>
      </c>
      <c r="AV5" s="65">
        <f t="shared" si="72"/>
        <v>349.99999999996589</v>
      </c>
      <c r="AW5" s="58">
        <v>365.31</v>
      </c>
      <c r="AX5" s="65">
        <f t="shared" si="73"/>
        <v>350.00000000002274</v>
      </c>
      <c r="AY5" s="58">
        <v>399.7</v>
      </c>
      <c r="AZ5" s="65">
        <f t="shared" si="74"/>
        <v>319.99999999999318</v>
      </c>
      <c r="BA5" s="58">
        <v>420.19</v>
      </c>
      <c r="BB5" s="65">
        <f t="shared" si="75"/>
        <v>350.00000000002274</v>
      </c>
      <c r="BC5" s="58">
        <v>268.12</v>
      </c>
      <c r="BD5" s="65">
        <f t="shared" si="76"/>
        <v>129.99999999999545</v>
      </c>
      <c r="BE5" s="59">
        <v>49604</v>
      </c>
      <c r="BF5" s="67">
        <f t="shared" si="77"/>
        <v>41</v>
      </c>
      <c r="BG5" s="60">
        <v>246.13</v>
      </c>
      <c r="BH5" s="65">
        <f t="shared" si="78"/>
        <v>60.000000000002274</v>
      </c>
      <c r="BI5" s="60">
        <v>301.36</v>
      </c>
      <c r="BJ5" s="65">
        <f t="shared" si="79"/>
        <v>40.000000000020464</v>
      </c>
      <c r="BK5" s="60">
        <v>248.93</v>
      </c>
      <c r="BL5" s="65">
        <f t="shared" si="80"/>
        <v>69.999999999993179</v>
      </c>
      <c r="BM5" s="60">
        <v>235.75</v>
      </c>
      <c r="BN5" s="65">
        <f t="shared" si="81"/>
        <v>50.000000000011369</v>
      </c>
      <c r="BO5" s="60">
        <v>302.57</v>
      </c>
      <c r="BP5" s="65">
        <f t="shared" si="82"/>
        <v>89.999999999974989</v>
      </c>
      <c r="BQ5" s="60">
        <v>54257</v>
      </c>
      <c r="BR5" s="65">
        <f t="shared" si="83"/>
        <v>55</v>
      </c>
      <c r="BS5" s="60">
        <v>213.02</v>
      </c>
      <c r="BT5" s="65">
        <f t="shared" si="84"/>
        <v>60.000000000002274</v>
      </c>
      <c r="BU5" s="60">
        <v>51633</v>
      </c>
      <c r="BV5" s="65">
        <f t="shared" si="85"/>
        <v>59</v>
      </c>
      <c r="BW5" s="60">
        <v>241.16</v>
      </c>
      <c r="BX5" s="65">
        <f t="shared" si="86"/>
        <v>79.999999999984084</v>
      </c>
      <c r="BY5" s="60">
        <v>71385</v>
      </c>
      <c r="BZ5" s="67">
        <f t="shared" si="87"/>
        <v>62</v>
      </c>
      <c r="CA5" s="60">
        <v>45105.7</v>
      </c>
      <c r="CB5" s="67">
        <f t="shared" si="88"/>
        <v>40.19999999999709</v>
      </c>
      <c r="CC5" s="60">
        <v>15028.5</v>
      </c>
      <c r="CD5" s="67">
        <f t="shared" si="89"/>
        <v>19.200000000000728</v>
      </c>
      <c r="CE5" s="60">
        <v>7853.2</v>
      </c>
      <c r="CF5" s="67">
        <f t="shared" si="90"/>
        <v>1.1999999999998181</v>
      </c>
      <c r="CG5" s="60">
        <v>71925.399999999994</v>
      </c>
      <c r="CH5" s="67">
        <f t="shared" si="91"/>
        <v>76.399999999994179</v>
      </c>
      <c r="CI5" s="60">
        <v>1030262</v>
      </c>
      <c r="CJ5" s="67">
        <f t="shared" si="92"/>
        <v>465</v>
      </c>
      <c r="CK5" s="60">
        <v>947.95</v>
      </c>
      <c r="CL5" s="64">
        <f t="shared" si="93"/>
        <v>879.99999999999545</v>
      </c>
      <c r="CM5" s="65">
        <f t="shared" si="94"/>
        <v>108</v>
      </c>
      <c r="CN5" s="62">
        <v>31</v>
      </c>
      <c r="CO5" s="62">
        <v>71</v>
      </c>
      <c r="CP5" s="68">
        <v>25994</v>
      </c>
      <c r="CQ5" s="67">
        <f t="shared" si="95"/>
        <v>89</v>
      </c>
      <c r="CR5" s="68">
        <v>20295</v>
      </c>
      <c r="CS5" s="67">
        <f t="shared" si="96"/>
        <v>19</v>
      </c>
      <c r="CT5" s="75">
        <v>9392</v>
      </c>
      <c r="CU5" s="67">
        <f t="shared" si="97"/>
        <v>31</v>
      </c>
      <c r="CV5" s="68">
        <v>23407</v>
      </c>
      <c r="CW5" s="67">
        <f t="shared" si="98"/>
        <v>28</v>
      </c>
      <c r="CX5" s="58">
        <v>2396</v>
      </c>
      <c r="CY5" s="67">
        <f t="shared" si="99"/>
        <v>12.800000000000182</v>
      </c>
    </row>
    <row r="6" spans="1:103" ht="24.75" customHeight="1" thickBot="1" x14ac:dyDescent="0.45">
      <c r="A6" s="63">
        <v>44654</v>
      </c>
      <c r="B6" s="44"/>
      <c r="C6" s="58">
        <v>3.0499000000000001</v>
      </c>
      <c r="D6" s="64">
        <f t="shared" si="50"/>
        <v>3800.0000000000255</v>
      </c>
      <c r="E6" s="58">
        <v>4.1399999999999997</v>
      </c>
      <c r="F6" s="64">
        <f t="shared" si="51"/>
        <v>4099.9999999993261</v>
      </c>
      <c r="G6" s="58">
        <v>4.1048</v>
      </c>
      <c r="H6" s="64">
        <f t="shared" si="52"/>
        <v>3300.0000000003029</v>
      </c>
      <c r="I6" s="58">
        <v>2.0585</v>
      </c>
      <c r="J6" s="64">
        <f t="shared" si="53"/>
        <v>1999.9999999997797</v>
      </c>
      <c r="K6" s="58">
        <v>3.2277999999999998</v>
      </c>
      <c r="L6" s="64">
        <f t="shared" si="54"/>
        <v>2599.9999999997135</v>
      </c>
      <c r="M6" s="58">
        <v>1.8302</v>
      </c>
      <c r="N6" s="64">
        <f t="shared" si="55"/>
        <v>2399.9999999999577</v>
      </c>
      <c r="O6" s="58">
        <v>19220</v>
      </c>
      <c r="P6" s="67">
        <f t="shared" si="56"/>
        <v>100</v>
      </c>
      <c r="Q6" s="58">
        <v>2274</v>
      </c>
      <c r="R6" s="67">
        <f t="shared" si="57"/>
        <v>6</v>
      </c>
      <c r="S6" s="58">
        <v>1281.2</v>
      </c>
      <c r="T6" s="67">
        <f t="shared" si="58"/>
        <v>1</v>
      </c>
      <c r="U6" s="58">
        <v>525751.4</v>
      </c>
      <c r="V6" s="67">
        <f t="shared" si="59"/>
        <v>345.80000000004657</v>
      </c>
      <c r="W6" s="58">
        <v>491.17</v>
      </c>
      <c r="X6" s="65">
        <f t="shared" si="60"/>
        <v>379.99999999999545</v>
      </c>
      <c r="Y6" s="58">
        <v>3.6373000000000002</v>
      </c>
      <c r="Z6" s="65">
        <f t="shared" si="61"/>
        <v>3100.0000000003247</v>
      </c>
      <c r="AA6" s="58">
        <v>492.55</v>
      </c>
      <c r="AB6" s="65">
        <f t="shared" si="62"/>
        <v>329.99999999998408</v>
      </c>
      <c r="AC6" s="58">
        <v>481.84</v>
      </c>
      <c r="AD6" s="65">
        <f t="shared" si="63"/>
        <v>639.99999999998636</v>
      </c>
      <c r="AE6" s="58">
        <v>702.27</v>
      </c>
      <c r="AF6" s="65">
        <f t="shared" si="64"/>
        <v>990.00000000000909</v>
      </c>
      <c r="AG6" s="58">
        <v>15196</v>
      </c>
      <c r="AH6" s="67">
        <f t="shared" si="65"/>
        <v>34</v>
      </c>
      <c r="AI6" s="58">
        <v>812.08</v>
      </c>
      <c r="AJ6" s="65">
        <f t="shared" si="66"/>
        <v>650.00000000009095</v>
      </c>
      <c r="AK6" s="58">
        <v>271.95</v>
      </c>
      <c r="AL6" s="65">
        <f t="shared" si="67"/>
        <v>259.99999999999091</v>
      </c>
      <c r="AM6" s="58">
        <v>254.05</v>
      </c>
      <c r="AN6" s="65">
        <f t="shared" si="68"/>
        <v>410.00000000002501</v>
      </c>
      <c r="AO6" s="58">
        <v>245.26</v>
      </c>
      <c r="AP6" s="65">
        <f t="shared" si="69"/>
        <v>250</v>
      </c>
      <c r="AQ6" s="58">
        <v>302.16000000000003</v>
      </c>
      <c r="AR6" s="65">
        <f t="shared" si="70"/>
        <v>180.00000000000682</v>
      </c>
      <c r="AS6" s="58">
        <v>427.09</v>
      </c>
      <c r="AT6" s="65">
        <f t="shared" si="71"/>
        <v>159.99999999996817</v>
      </c>
      <c r="AU6" s="58">
        <v>334.53</v>
      </c>
      <c r="AV6" s="65">
        <f t="shared" si="72"/>
        <v>259.99999999999091</v>
      </c>
      <c r="AW6" s="58">
        <v>365.54</v>
      </c>
      <c r="AX6" s="65">
        <f t="shared" si="73"/>
        <v>230.00000000001819</v>
      </c>
      <c r="AY6" s="58">
        <v>399.92</v>
      </c>
      <c r="AZ6" s="65">
        <f t="shared" si="74"/>
        <v>220.00000000002728</v>
      </c>
      <c r="BA6" s="58">
        <v>420.39</v>
      </c>
      <c r="BB6" s="65">
        <f t="shared" si="75"/>
        <v>199.99999999998863</v>
      </c>
      <c r="BC6" s="58">
        <v>268.18</v>
      </c>
      <c r="BD6" s="65">
        <f t="shared" si="76"/>
        <v>60.000000000002274</v>
      </c>
      <c r="BE6" s="59">
        <v>49632</v>
      </c>
      <c r="BF6" s="67">
        <f t="shared" si="77"/>
        <v>28</v>
      </c>
      <c r="BG6" s="60">
        <v>246.17</v>
      </c>
      <c r="BH6" s="65">
        <f t="shared" si="78"/>
        <v>39.999999999992042</v>
      </c>
      <c r="BI6" s="60">
        <v>301.39999999999998</v>
      </c>
      <c r="BJ6" s="65">
        <f t="shared" si="79"/>
        <v>39.99999999996362</v>
      </c>
      <c r="BK6" s="60">
        <v>248.98</v>
      </c>
      <c r="BL6" s="65">
        <f t="shared" si="80"/>
        <v>49.999999999982947</v>
      </c>
      <c r="BM6" s="60">
        <v>235.8</v>
      </c>
      <c r="BN6" s="65">
        <f t="shared" si="81"/>
        <v>50.000000000011369</v>
      </c>
      <c r="BO6" s="60">
        <v>302.63</v>
      </c>
      <c r="BP6" s="65">
        <f t="shared" si="82"/>
        <v>60.000000000002274</v>
      </c>
      <c r="BQ6" s="60">
        <v>54306</v>
      </c>
      <c r="BR6" s="65">
        <f t="shared" si="83"/>
        <v>49</v>
      </c>
      <c r="BS6" s="60">
        <v>213.08</v>
      </c>
      <c r="BT6" s="65">
        <f t="shared" si="84"/>
        <v>60.000000000002274</v>
      </c>
      <c r="BU6" s="60">
        <v>51684</v>
      </c>
      <c r="BV6" s="65">
        <f t="shared" si="85"/>
        <v>51</v>
      </c>
      <c r="BW6" s="60">
        <v>241.23</v>
      </c>
      <c r="BX6" s="65">
        <f t="shared" si="86"/>
        <v>69.999999999993179</v>
      </c>
      <c r="BY6" s="60">
        <v>71435</v>
      </c>
      <c r="BZ6" s="67">
        <f t="shared" si="87"/>
        <v>50</v>
      </c>
      <c r="CA6" s="60">
        <v>45153.4</v>
      </c>
      <c r="CB6" s="67">
        <f t="shared" si="88"/>
        <v>47.700000000004366</v>
      </c>
      <c r="CC6" s="60">
        <v>15038.6</v>
      </c>
      <c r="CD6" s="67">
        <f t="shared" si="89"/>
        <v>10.100000000000364</v>
      </c>
      <c r="CE6" s="60">
        <v>7855.5</v>
      </c>
      <c r="CF6" s="67">
        <f t="shared" si="90"/>
        <v>2.3000000000001819</v>
      </c>
      <c r="CG6" s="60">
        <v>71944.3</v>
      </c>
      <c r="CH6" s="67">
        <f t="shared" si="91"/>
        <v>18.900000000008731</v>
      </c>
      <c r="CI6" s="60">
        <v>1030646</v>
      </c>
      <c r="CJ6" s="67">
        <f t="shared" si="92"/>
        <v>384</v>
      </c>
      <c r="CK6" s="60">
        <v>948.84</v>
      </c>
      <c r="CL6" s="64">
        <f t="shared" si="93"/>
        <v>889.99999999998636</v>
      </c>
      <c r="CM6" s="65">
        <f t="shared" si="94"/>
        <v>100.5</v>
      </c>
      <c r="CN6" s="62">
        <v>34</v>
      </c>
      <c r="CO6" s="62">
        <v>82</v>
      </c>
      <c r="CP6" s="68">
        <v>26084</v>
      </c>
      <c r="CQ6" s="67">
        <f t="shared" si="95"/>
        <v>90</v>
      </c>
      <c r="CR6" s="68">
        <v>20305.5</v>
      </c>
      <c r="CS6" s="67">
        <f t="shared" si="96"/>
        <v>10.5</v>
      </c>
      <c r="CT6" s="75">
        <v>9416</v>
      </c>
      <c r="CU6" s="67">
        <f t="shared" si="97"/>
        <v>24</v>
      </c>
      <c r="CV6" s="68">
        <v>23422</v>
      </c>
      <c r="CW6" s="67">
        <f t="shared" si="98"/>
        <v>15</v>
      </c>
      <c r="CX6" s="58">
        <v>2409.6999999999998</v>
      </c>
      <c r="CY6" s="67">
        <f t="shared" si="99"/>
        <v>13.699999999999818</v>
      </c>
    </row>
    <row r="7" spans="1:103" ht="25.5" customHeight="1" thickBot="1" x14ac:dyDescent="0.45">
      <c r="A7" s="63">
        <v>44655</v>
      </c>
      <c r="B7" s="44"/>
      <c r="C7" s="58">
        <v>3.0531999999999999</v>
      </c>
      <c r="D7" s="64">
        <f t="shared" si="50"/>
        <v>3299.9999999998586</v>
      </c>
      <c r="E7" s="58">
        <v>4.1436999999999999</v>
      </c>
      <c r="F7" s="64">
        <f t="shared" si="51"/>
        <v>3700.0000000002588</v>
      </c>
      <c r="G7" s="58">
        <v>4.1082999999999998</v>
      </c>
      <c r="H7" s="64">
        <f t="shared" si="52"/>
        <v>3499.9999999998367</v>
      </c>
      <c r="I7" s="58">
        <v>2.0604</v>
      </c>
      <c r="J7" s="64">
        <f t="shared" si="53"/>
        <v>1900.0000000000127</v>
      </c>
      <c r="K7" s="58">
        <v>3.2302</v>
      </c>
      <c r="L7" s="64">
        <f t="shared" si="54"/>
        <v>2400.0000000001796</v>
      </c>
      <c r="M7" s="58">
        <v>1.8325</v>
      </c>
      <c r="N7" s="64">
        <f t="shared" si="55"/>
        <v>2299.9999999999686</v>
      </c>
      <c r="O7" s="58">
        <v>19268</v>
      </c>
      <c r="P7" s="67">
        <f t="shared" si="56"/>
        <v>48</v>
      </c>
      <c r="Q7" s="58">
        <v>2281</v>
      </c>
      <c r="R7" s="67">
        <f t="shared" si="57"/>
        <v>7</v>
      </c>
      <c r="S7" s="58">
        <v>1282.4000000000001</v>
      </c>
      <c r="T7" s="67">
        <f t="shared" si="58"/>
        <v>1.2000000000000455</v>
      </c>
      <c r="U7" s="58">
        <v>526228.9</v>
      </c>
      <c r="V7" s="67">
        <f t="shared" si="59"/>
        <v>477.5</v>
      </c>
      <c r="W7" s="58">
        <v>491.65</v>
      </c>
      <c r="X7" s="65">
        <f t="shared" si="60"/>
        <v>479.99999999996135</v>
      </c>
      <c r="Y7" s="58">
        <v>3.6406000000000001</v>
      </c>
      <c r="Z7" s="65">
        <f t="shared" si="61"/>
        <v>3299.9999999998586</v>
      </c>
      <c r="AA7" s="58">
        <v>493.03</v>
      </c>
      <c r="AB7" s="65">
        <f t="shared" si="62"/>
        <v>479.99999999996135</v>
      </c>
      <c r="AC7" s="58">
        <v>482.46</v>
      </c>
      <c r="AD7" s="65">
        <f t="shared" si="63"/>
        <v>620.00000000000455</v>
      </c>
      <c r="AE7" s="58">
        <v>703.28</v>
      </c>
      <c r="AF7" s="65">
        <f t="shared" si="64"/>
        <v>1009.9999999999909</v>
      </c>
      <c r="AG7" s="58">
        <v>15249</v>
      </c>
      <c r="AH7" s="67">
        <f t="shared" si="65"/>
        <v>53</v>
      </c>
      <c r="AI7" s="58">
        <v>812.82</v>
      </c>
      <c r="AJ7" s="65">
        <f t="shared" si="66"/>
        <v>740.00000000000909</v>
      </c>
      <c r="AK7" s="58">
        <v>272.25</v>
      </c>
      <c r="AL7" s="65">
        <f t="shared" si="67"/>
        <v>300.00000000001137</v>
      </c>
      <c r="AM7" s="58">
        <v>254.24</v>
      </c>
      <c r="AN7" s="65">
        <f t="shared" si="68"/>
        <v>189.99999999999773</v>
      </c>
      <c r="AO7" s="58">
        <v>245.51</v>
      </c>
      <c r="AP7" s="65">
        <f t="shared" si="69"/>
        <v>250</v>
      </c>
      <c r="AQ7" s="58">
        <v>302.36</v>
      </c>
      <c r="AR7" s="65">
        <f t="shared" si="70"/>
        <v>199.99999999998863</v>
      </c>
      <c r="AS7" s="58">
        <v>427.27</v>
      </c>
      <c r="AT7" s="65">
        <f t="shared" si="71"/>
        <v>180.00000000000682</v>
      </c>
      <c r="AU7" s="58">
        <v>334.81</v>
      </c>
      <c r="AV7" s="65">
        <f t="shared" si="72"/>
        <v>280.00000000002956</v>
      </c>
      <c r="AW7" s="58">
        <v>365.83</v>
      </c>
      <c r="AX7" s="65">
        <f t="shared" si="73"/>
        <v>289.99999999996362</v>
      </c>
      <c r="AY7" s="58">
        <v>400.16</v>
      </c>
      <c r="AZ7" s="65">
        <f t="shared" si="74"/>
        <v>240.00000000000909</v>
      </c>
      <c r="BA7" s="58">
        <v>420.63</v>
      </c>
      <c r="BB7" s="65">
        <f t="shared" si="75"/>
        <v>240.00000000000909</v>
      </c>
      <c r="BC7" s="58">
        <v>268.3</v>
      </c>
      <c r="BD7" s="65">
        <f t="shared" si="76"/>
        <v>120.00000000000455</v>
      </c>
      <c r="BE7" s="59">
        <v>49662</v>
      </c>
      <c r="BF7" s="67">
        <f t="shared" si="77"/>
        <v>30</v>
      </c>
      <c r="BG7" s="60">
        <v>246.22</v>
      </c>
      <c r="BH7" s="65">
        <f t="shared" si="78"/>
        <v>50.000000000011369</v>
      </c>
      <c r="BI7" s="60">
        <v>301.44</v>
      </c>
      <c r="BJ7" s="65">
        <f t="shared" si="79"/>
        <v>40.000000000020464</v>
      </c>
      <c r="BK7" s="60">
        <v>249.02</v>
      </c>
      <c r="BL7" s="65">
        <f t="shared" si="80"/>
        <v>40.000000000020464</v>
      </c>
      <c r="BM7" s="60">
        <v>235.84</v>
      </c>
      <c r="BN7" s="65">
        <f t="shared" si="81"/>
        <v>39.999999999992042</v>
      </c>
      <c r="BO7" s="60">
        <v>302.69</v>
      </c>
      <c r="BP7" s="65">
        <f t="shared" si="82"/>
        <v>60.000000000002274</v>
      </c>
      <c r="BQ7" s="60">
        <v>54357</v>
      </c>
      <c r="BR7" s="65">
        <f t="shared" si="83"/>
        <v>51</v>
      </c>
      <c r="BS7" s="60">
        <v>213.12</v>
      </c>
      <c r="BT7" s="65">
        <f t="shared" si="84"/>
        <v>39.999999999992042</v>
      </c>
      <c r="BU7" s="60">
        <v>51734</v>
      </c>
      <c r="BV7" s="65">
        <f t="shared" si="85"/>
        <v>50</v>
      </c>
      <c r="BW7" s="60">
        <v>241.3</v>
      </c>
      <c r="BX7" s="65">
        <f t="shared" si="86"/>
        <v>70.0000000000216</v>
      </c>
      <c r="BY7" s="60">
        <v>71480</v>
      </c>
      <c r="BZ7" s="67">
        <f t="shared" si="87"/>
        <v>45</v>
      </c>
      <c r="CA7" s="60">
        <v>45200.5</v>
      </c>
      <c r="CB7" s="67">
        <f t="shared" si="88"/>
        <v>47.099999999998545</v>
      </c>
      <c r="CC7" s="60">
        <v>15053.7</v>
      </c>
      <c r="CD7" s="67">
        <f t="shared" si="89"/>
        <v>15.100000000000364</v>
      </c>
      <c r="CE7" s="60">
        <v>7860.6</v>
      </c>
      <c r="CF7" s="67">
        <f t="shared" si="90"/>
        <v>5.1000000000003638</v>
      </c>
      <c r="CG7" s="60">
        <v>72011.7</v>
      </c>
      <c r="CH7" s="67">
        <f t="shared" si="91"/>
        <v>67.399999999994179</v>
      </c>
      <c r="CI7" s="60">
        <v>1031048</v>
      </c>
      <c r="CJ7" s="67">
        <f t="shared" si="92"/>
        <v>402</v>
      </c>
      <c r="CK7" s="60">
        <v>949.74</v>
      </c>
      <c r="CL7" s="64">
        <f t="shared" si="93"/>
        <v>899.99999999997726</v>
      </c>
      <c r="CM7" s="65">
        <f t="shared" si="94"/>
        <v>116.5</v>
      </c>
      <c r="CN7" s="62">
        <v>34</v>
      </c>
      <c r="CO7" s="62">
        <v>85</v>
      </c>
      <c r="CP7" s="68">
        <v>26182</v>
      </c>
      <c r="CQ7" s="67">
        <f t="shared" si="95"/>
        <v>98</v>
      </c>
      <c r="CR7" s="68">
        <v>20324</v>
      </c>
      <c r="CS7" s="67">
        <f t="shared" si="96"/>
        <v>18.5</v>
      </c>
      <c r="CT7" s="75">
        <v>9446</v>
      </c>
      <c r="CU7" s="67">
        <f t="shared" si="97"/>
        <v>30</v>
      </c>
      <c r="CV7" s="68">
        <v>23441</v>
      </c>
      <c r="CW7" s="67">
        <f t="shared" si="98"/>
        <v>19</v>
      </c>
      <c r="CX7" s="58">
        <v>2413.5</v>
      </c>
      <c r="CY7" s="67">
        <f t="shared" si="99"/>
        <v>3.8000000000001819</v>
      </c>
    </row>
    <row r="8" spans="1:103" ht="25.5" customHeight="1" thickBot="1" x14ac:dyDescent="0.45">
      <c r="A8" s="63">
        <v>44656</v>
      </c>
      <c r="B8" s="44"/>
      <c r="C8" s="58">
        <v>3.0567000000000002</v>
      </c>
      <c r="D8" s="64">
        <f t="shared" si="50"/>
        <v>3500.0000000002806</v>
      </c>
      <c r="E8" s="58">
        <v>4.1475</v>
      </c>
      <c r="F8" s="64">
        <f t="shared" si="51"/>
        <v>3800.0000000000255</v>
      </c>
      <c r="G8" s="58">
        <v>4.1116999999999999</v>
      </c>
      <c r="H8" s="64">
        <f t="shared" si="52"/>
        <v>3400.0000000000696</v>
      </c>
      <c r="I8" s="58">
        <v>2.0623999999999998</v>
      </c>
      <c r="J8" s="64">
        <f t="shared" si="53"/>
        <v>1999.9999999997797</v>
      </c>
      <c r="K8" s="58">
        <v>3.2326999999999999</v>
      </c>
      <c r="L8" s="64">
        <f t="shared" si="54"/>
        <v>2499.9999999999468</v>
      </c>
      <c r="M8" s="58">
        <v>1.8348</v>
      </c>
      <c r="N8" s="64">
        <f t="shared" si="55"/>
        <v>2299.9999999999686</v>
      </c>
      <c r="O8" s="58">
        <v>19320</v>
      </c>
      <c r="P8" s="67">
        <f t="shared" si="56"/>
        <v>52</v>
      </c>
      <c r="Q8" s="58">
        <v>2288</v>
      </c>
      <c r="R8" s="67">
        <f t="shared" si="57"/>
        <v>7</v>
      </c>
      <c r="S8" s="58">
        <v>1283.8</v>
      </c>
      <c r="T8" s="67">
        <f t="shared" si="58"/>
        <v>1.3999999999998636</v>
      </c>
      <c r="U8" s="58">
        <v>526810.80000000005</v>
      </c>
      <c r="V8" s="67">
        <f t="shared" si="59"/>
        <v>581.90000000002328</v>
      </c>
      <c r="W8" s="58">
        <v>492.13</v>
      </c>
      <c r="X8" s="65">
        <f t="shared" si="60"/>
        <v>480.00000000001819</v>
      </c>
      <c r="Y8" s="58">
        <v>3.6438999999999999</v>
      </c>
      <c r="Z8" s="65">
        <f t="shared" si="61"/>
        <v>3299.9999999998586</v>
      </c>
      <c r="AA8" s="58">
        <v>493.5</v>
      </c>
      <c r="AB8" s="65">
        <f t="shared" si="62"/>
        <v>470.00000000002728</v>
      </c>
      <c r="AC8" s="58">
        <v>483.04</v>
      </c>
      <c r="AD8" s="65">
        <f t="shared" si="63"/>
        <v>580.00000000004093</v>
      </c>
      <c r="AE8" s="58">
        <v>704.42</v>
      </c>
      <c r="AF8" s="65">
        <f t="shared" si="64"/>
        <v>1139.9999999999864</v>
      </c>
      <c r="AG8" s="58">
        <v>15304</v>
      </c>
      <c r="AH8" s="67">
        <f t="shared" si="65"/>
        <v>55</v>
      </c>
      <c r="AI8" s="58">
        <v>813.63</v>
      </c>
      <c r="AJ8" s="65">
        <f t="shared" si="66"/>
        <v>809.99999999994543</v>
      </c>
      <c r="AK8" s="58">
        <v>272.56</v>
      </c>
      <c r="AL8" s="65">
        <f t="shared" si="67"/>
        <v>310.00000000000227</v>
      </c>
      <c r="AM8" s="58">
        <v>254.42</v>
      </c>
      <c r="AN8" s="65">
        <f t="shared" si="68"/>
        <v>179.9999999999784</v>
      </c>
      <c r="AO8" s="58">
        <v>245.78</v>
      </c>
      <c r="AP8" s="65">
        <f t="shared" si="69"/>
        <v>270.00000000001023</v>
      </c>
      <c r="AQ8" s="58">
        <v>302.61</v>
      </c>
      <c r="AR8" s="65">
        <f t="shared" si="70"/>
        <v>250</v>
      </c>
      <c r="AS8" s="58">
        <v>427.47</v>
      </c>
      <c r="AT8" s="65">
        <f t="shared" si="71"/>
        <v>200.00000000004547</v>
      </c>
      <c r="AU8" s="58">
        <v>335.11</v>
      </c>
      <c r="AV8" s="65">
        <f t="shared" si="72"/>
        <v>300.00000000001137</v>
      </c>
      <c r="AW8" s="58">
        <v>366.11</v>
      </c>
      <c r="AX8" s="65">
        <f t="shared" si="73"/>
        <v>280.00000000002956</v>
      </c>
      <c r="AY8" s="58">
        <v>400.42</v>
      </c>
      <c r="AZ8" s="65">
        <f t="shared" si="74"/>
        <v>259.99999999999091</v>
      </c>
      <c r="BA8" s="58">
        <v>420.81</v>
      </c>
      <c r="BB8" s="65">
        <f t="shared" si="75"/>
        <v>180.00000000000682</v>
      </c>
      <c r="BC8" s="58">
        <v>268.5</v>
      </c>
      <c r="BD8" s="65">
        <f t="shared" si="76"/>
        <v>199.99999999998863</v>
      </c>
      <c r="BE8" s="59">
        <v>49704</v>
      </c>
      <c r="BF8" s="67">
        <f t="shared" si="77"/>
        <v>42</v>
      </c>
      <c r="BG8" s="60">
        <v>246.27</v>
      </c>
      <c r="BH8" s="65">
        <f t="shared" si="78"/>
        <v>50.000000000011369</v>
      </c>
      <c r="BI8" s="60">
        <v>301.48</v>
      </c>
      <c r="BJ8" s="65">
        <f t="shared" si="79"/>
        <v>40.000000000020464</v>
      </c>
      <c r="BK8" s="60">
        <v>249.08</v>
      </c>
      <c r="BL8" s="65">
        <f t="shared" si="80"/>
        <v>60.000000000002274</v>
      </c>
      <c r="BM8" s="60">
        <v>235.88</v>
      </c>
      <c r="BN8" s="65">
        <f t="shared" si="81"/>
        <v>39.999999999992042</v>
      </c>
      <c r="BO8" s="60">
        <v>302.76</v>
      </c>
      <c r="BP8" s="65">
        <f t="shared" si="82"/>
        <v>69.999999999993179</v>
      </c>
      <c r="BQ8" s="60">
        <v>54407</v>
      </c>
      <c r="BR8" s="65">
        <f t="shared" si="83"/>
        <v>50</v>
      </c>
      <c r="BS8" s="60">
        <v>213.17</v>
      </c>
      <c r="BT8" s="65">
        <f t="shared" si="84"/>
        <v>49.999999999982947</v>
      </c>
      <c r="BU8" s="60">
        <v>51789</v>
      </c>
      <c r="BV8" s="65">
        <f t="shared" si="85"/>
        <v>55</v>
      </c>
      <c r="BW8" s="60">
        <v>241.38</v>
      </c>
      <c r="BX8" s="65">
        <f t="shared" si="86"/>
        <v>79.999999999984084</v>
      </c>
      <c r="BY8" s="60">
        <v>71534</v>
      </c>
      <c r="BZ8" s="67">
        <f t="shared" si="87"/>
        <v>54</v>
      </c>
      <c r="CA8" s="60">
        <v>45254.8</v>
      </c>
      <c r="CB8" s="67">
        <f t="shared" si="88"/>
        <v>54.30000000000291</v>
      </c>
      <c r="CC8" s="60">
        <v>15071.9</v>
      </c>
      <c r="CD8" s="67">
        <f t="shared" si="89"/>
        <v>18.199999999998909</v>
      </c>
      <c r="CE8" s="60">
        <v>7863.1</v>
      </c>
      <c r="CF8" s="67">
        <f t="shared" si="90"/>
        <v>2.5</v>
      </c>
      <c r="CG8" s="60">
        <v>72058.899999999994</v>
      </c>
      <c r="CH8" s="67">
        <f t="shared" si="91"/>
        <v>47.19999999999709</v>
      </c>
      <c r="CI8" s="60">
        <v>1031449</v>
      </c>
      <c r="CJ8" s="67">
        <f t="shared" si="92"/>
        <v>401</v>
      </c>
      <c r="CK8" s="60">
        <v>950.55</v>
      </c>
      <c r="CL8" s="64">
        <f t="shared" si="93"/>
        <v>809.99999999994543</v>
      </c>
      <c r="CM8" s="65">
        <f t="shared" si="94"/>
        <v>111.20000000000073</v>
      </c>
      <c r="CN8" s="62">
        <v>34</v>
      </c>
      <c r="CO8" s="62">
        <v>85</v>
      </c>
      <c r="CP8" s="68">
        <v>26277</v>
      </c>
      <c r="CQ8" s="67">
        <f t="shared" si="95"/>
        <v>95</v>
      </c>
      <c r="CR8" s="68">
        <v>20340.2</v>
      </c>
      <c r="CS8" s="67">
        <f t="shared" si="96"/>
        <v>16.200000000000728</v>
      </c>
      <c r="CT8" s="75">
        <v>9473</v>
      </c>
      <c r="CU8" s="67">
        <f t="shared" si="97"/>
        <v>27</v>
      </c>
      <c r="CV8" s="68">
        <v>23459</v>
      </c>
      <c r="CW8" s="67">
        <f t="shared" si="98"/>
        <v>18</v>
      </c>
      <c r="CX8" s="58">
        <v>2427.1</v>
      </c>
      <c r="CY8" s="67">
        <f t="shared" si="99"/>
        <v>13.599999999999909</v>
      </c>
    </row>
    <row r="9" spans="1:103" ht="25.5" customHeight="1" thickBot="1" x14ac:dyDescent="0.45">
      <c r="A9" s="63">
        <v>44657</v>
      </c>
      <c r="B9" s="44"/>
      <c r="C9" s="58">
        <v>3.0604</v>
      </c>
      <c r="D9" s="64">
        <f t="shared" si="50"/>
        <v>3699.9999999998145</v>
      </c>
      <c r="E9" s="58">
        <v>4.1513999999999998</v>
      </c>
      <c r="F9" s="64">
        <f t="shared" si="51"/>
        <v>3899.9999999997926</v>
      </c>
      <c r="G9" s="58">
        <v>4.1151</v>
      </c>
      <c r="H9" s="64">
        <f t="shared" si="52"/>
        <v>3400.0000000000696</v>
      </c>
      <c r="I9" s="58">
        <v>2.0644</v>
      </c>
      <c r="J9" s="64">
        <f t="shared" si="53"/>
        <v>2000.0000000002237</v>
      </c>
      <c r="K9" s="58">
        <v>3.2351999999999999</v>
      </c>
      <c r="L9" s="64">
        <f t="shared" si="54"/>
        <v>2499.9999999999468</v>
      </c>
      <c r="M9" s="58">
        <v>1.837</v>
      </c>
      <c r="N9" s="64">
        <f t="shared" si="55"/>
        <v>2199.9999999999795</v>
      </c>
      <c r="O9" s="58">
        <v>19364</v>
      </c>
      <c r="P9" s="67">
        <f t="shared" si="56"/>
        <v>44</v>
      </c>
      <c r="Q9" s="58">
        <v>2295</v>
      </c>
      <c r="R9" s="67">
        <f t="shared" si="57"/>
        <v>7</v>
      </c>
      <c r="S9" s="58">
        <v>1285.2</v>
      </c>
      <c r="T9" s="67">
        <f t="shared" si="58"/>
        <v>1.4000000000000909</v>
      </c>
      <c r="U9" s="58">
        <v>527374.1</v>
      </c>
      <c r="V9" s="67">
        <f t="shared" si="59"/>
        <v>563.29999999993015</v>
      </c>
      <c r="W9" s="58">
        <v>492.62</v>
      </c>
      <c r="X9" s="65">
        <f t="shared" si="60"/>
        <v>490.00000000000909</v>
      </c>
      <c r="Y9" s="58">
        <v>3.6474000000000002</v>
      </c>
      <c r="Z9" s="65">
        <f t="shared" si="61"/>
        <v>3500.0000000002806</v>
      </c>
      <c r="AA9" s="58">
        <v>494</v>
      </c>
      <c r="AB9" s="65">
        <f t="shared" si="62"/>
        <v>500</v>
      </c>
      <c r="AC9" s="58">
        <v>483.6</v>
      </c>
      <c r="AD9" s="65">
        <f t="shared" si="63"/>
        <v>560.00000000000227</v>
      </c>
      <c r="AE9" s="58">
        <v>705.48</v>
      </c>
      <c r="AF9" s="65">
        <f t="shared" si="64"/>
        <v>1060.0000000000591</v>
      </c>
      <c r="AG9" s="58">
        <v>15359</v>
      </c>
      <c r="AH9" s="67">
        <f t="shared" si="65"/>
        <v>55</v>
      </c>
      <c r="AI9" s="58">
        <v>814.56</v>
      </c>
      <c r="AJ9" s="65">
        <f t="shared" si="66"/>
        <v>929.99999999994998</v>
      </c>
      <c r="AK9" s="58">
        <v>272.91000000000003</v>
      </c>
      <c r="AL9" s="65">
        <f t="shared" si="67"/>
        <v>350.00000000002274</v>
      </c>
      <c r="AM9" s="58">
        <v>254.6</v>
      </c>
      <c r="AN9" s="65">
        <f t="shared" si="68"/>
        <v>180.00000000000682</v>
      </c>
      <c r="AO9" s="58">
        <v>246.07</v>
      </c>
      <c r="AP9" s="65">
        <f t="shared" si="69"/>
        <v>289.99999999999204</v>
      </c>
      <c r="AQ9" s="58">
        <v>302.88</v>
      </c>
      <c r="AR9" s="65">
        <f t="shared" si="70"/>
        <v>269.99999999998181</v>
      </c>
      <c r="AS9" s="58">
        <v>427.68</v>
      </c>
      <c r="AT9" s="65">
        <f t="shared" si="71"/>
        <v>209.99999999997954</v>
      </c>
      <c r="AU9" s="58">
        <v>335.42</v>
      </c>
      <c r="AV9" s="65">
        <f t="shared" si="72"/>
        <v>310.00000000000227</v>
      </c>
      <c r="AW9" s="58">
        <v>366.39</v>
      </c>
      <c r="AX9" s="65">
        <f t="shared" si="73"/>
        <v>279.99999999997272</v>
      </c>
      <c r="AY9" s="58">
        <v>400.69</v>
      </c>
      <c r="AZ9" s="65">
        <f t="shared" si="74"/>
        <v>269.99999999998181</v>
      </c>
      <c r="BA9" s="58">
        <v>420.99</v>
      </c>
      <c r="BB9" s="65">
        <f t="shared" si="75"/>
        <v>180.00000000000682</v>
      </c>
      <c r="BC9" s="58">
        <v>268.72000000000003</v>
      </c>
      <c r="BD9" s="65">
        <f t="shared" si="76"/>
        <v>220.00000000002728</v>
      </c>
      <c r="BE9" s="59">
        <v>49742</v>
      </c>
      <c r="BF9" s="67">
        <f t="shared" si="77"/>
        <v>38</v>
      </c>
      <c r="BG9" s="60">
        <v>246.32</v>
      </c>
      <c r="BH9" s="65">
        <f t="shared" si="78"/>
        <v>49.999999999982947</v>
      </c>
      <c r="BI9" s="60">
        <v>301.52</v>
      </c>
      <c r="BJ9" s="65">
        <f t="shared" si="79"/>
        <v>39.99999999996362</v>
      </c>
      <c r="BK9" s="60">
        <v>249.15</v>
      </c>
      <c r="BL9" s="65">
        <f t="shared" si="80"/>
        <v>69.999999999993179</v>
      </c>
      <c r="BM9" s="60">
        <v>235.92</v>
      </c>
      <c r="BN9" s="65">
        <f t="shared" si="81"/>
        <v>39.999999999992042</v>
      </c>
      <c r="BO9" s="60">
        <v>302.83</v>
      </c>
      <c r="BP9" s="65">
        <f t="shared" si="82"/>
        <v>69.999999999993179</v>
      </c>
      <c r="BQ9" s="60">
        <v>54457</v>
      </c>
      <c r="BR9" s="65">
        <f t="shared" si="83"/>
        <v>50</v>
      </c>
      <c r="BS9" s="60">
        <v>213.22</v>
      </c>
      <c r="BT9" s="65">
        <f t="shared" si="84"/>
        <v>50.000000000011369</v>
      </c>
      <c r="BU9" s="60">
        <v>51850</v>
      </c>
      <c r="BV9" s="65">
        <f t="shared" si="85"/>
        <v>61</v>
      </c>
      <c r="BW9" s="60">
        <v>241.45</v>
      </c>
      <c r="BX9" s="65">
        <f t="shared" si="86"/>
        <v>69.999999999993179</v>
      </c>
      <c r="BY9" s="60">
        <v>71590</v>
      </c>
      <c r="BZ9" s="67">
        <f t="shared" si="87"/>
        <v>56</v>
      </c>
      <c r="CA9" s="60">
        <v>45318.1</v>
      </c>
      <c r="CB9" s="67">
        <f t="shared" si="88"/>
        <v>63.299999999995634</v>
      </c>
      <c r="CC9" s="60">
        <v>15087.9</v>
      </c>
      <c r="CD9" s="67">
        <f t="shared" si="89"/>
        <v>16</v>
      </c>
      <c r="CE9" s="60">
        <v>7868.3</v>
      </c>
      <c r="CF9" s="67">
        <f t="shared" si="90"/>
        <v>5.1999999999998181</v>
      </c>
      <c r="CG9" s="60">
        <v>72114.3</v>
      </c>
      <c r="CH9" s="67">
        <f t="shared" si="91"/>
        <v>55.400000000008731</v>
      </c>
      <c r="CI9" s="60">
        <v>1031846</v>
      </c>
      <c r="CJ9" s="67">
        <f t="shared" si="92"/>
        <v>397</v>
      </c>
      <c r="CK9" s="60">
        <v>951.41</v>
      </c>
      <c r="CL9" s="64">
        <f t="shared" si="93"/>
        <v>860.00000000001364</v>
      </c>
      <c r="CM9" s="65">
        <f t="shared" si="94"/>
        <v>115.09999999999854</v>
      </c>
      <c r="CN9" s="62">
        <v>33</v>
      </c>
      <c r="CO9" s="62">
        <v>83</v>
      </c>
      <c r="CP9" s="68">
        <v>26371</v>
      </c>
      <c r="CQ9" s="67">
        <f t="shared" si="95"/>
        <v>94</v>
      </c>
      <c r="CR9" s="68">
        <v>20361.3</v>
      </c>
      <c r="CS9" s="67">
        <f t="shared" si="96"/>
        <v>21.099999999998545</v>
      </c>
      <c r="CT9" s="75">
        <v>9502</v>
      </c>
      <c r="CU9" s="67">
        <f t="shared" si="97"/>
        <v>29</v>
      </c>
      <c r="CV9" s="68">
        <v>23479</v>
      </c>
      <c r="CW9" s="67">
        <f t="shared" si="98"/>
        <v>20</v>
      </c>
      <c r="CX9" s="58">
        <v>2440.8000000000002</v>
      </c>
      <c r="CY9" s="67">
        <f t="shared" si="99"/>
        <v>13.700000000000273</v>
      </c>
    </row>
    <row r="10" spans="1:103" ht="25.5" customHeight="1" thickBot="1" x14ac:dyDescent="0.45">
      <c r="A10" s="63">
        <v>44658</v>
      </c>
      <c r="B10" s="44"/>
      <c r="C10" s="58">
        <v>3.0634000000000001</v>
      </c>
      <c r="D10" s="64">
        <f t="shared" si="50"/>
        <v>3000.0000000001137</v>
      </c>
      <c r="E10" s="58">
        <v>4.1550000000000002</v>
      </c>
      <c r="F10" s="64">
        <f t="shared" si="51"/>
        <v>3600.0000000004916</v>
      </c>
      <c r="G10" s="58">
        <v>4.1177999999999999</v>
      </c>
      <c r="H10" s="64">
        <f t="shared" si="52"/>
        <v>2699.9999999999245</v>
      </c>
      <c r="I10" s="58">
        <v>2.0659999999999998</v>
      </c>
      <c r="J10" s="64">
        <f t="shared" si="53"/>
        <v>1599.9999999998238</v>
      </c>
      <c r="K10" s="58">
        <v>3.2374999999999998</v>
      </c>
      <c r="L10" s="64">
        <f t="shared" si="54"/>
        <v>2299.9999999999686</v>
      </c>
      <c r="M10" s="58">
        <v>1.8388</v>
      </c>
      <c r="N10" s="64">
        <f t="shared" si="55"/>
        <v>1800.0000000000239</v>
      </c>
      <c r="O10" s="58">
        <v>19389</v>
      </c>
      <c r="P10" s="67">
        <f t="shared" si="56"/>
        <v>25</v>
      </c>
      <c r="Q10" s="58">
        <v>2299</v>
      </c>
      <c r="R10" s="67">
        <f t="shared" si="57"/>
        <v>4</v>
      </c>
      <c r="S10" s="58">
        <v>1286.4000000000001</v>
      </c>
      <c r="T10" s="67">
        <f t="shared" si="58"/>
        <v>1.2000000000000455</v>
      </c>
      <c r="U10" s="58">
        <v>527763.30000000005</v>
      </c>
      <c r="V10" s="67">
        <f t="shared" si="59"/>
        <v>389.20000000006985</v>
      </c>
      <c r="W10" s="58">
        <v>493.01</v>
      </c>
      <c r="X10" s="65">
        <f t="shared" si="60"/>
        <v>389.99999999998636</v>
      </c>
      <c r="Y10" s="58">
        <v>3.6507000000000001</v>
      </c>
      <c r="Z10" s="65">
        <f t="shared" si="61"/>
        <v>3299.9999999998586</v>
      </c>
      <c r="AA10" s="58">
        <v>494.44</v>
      </c>
      <c r="AB10" s="65">
        <f t="shared" si="62"/>
        <v>439.99999999999773</v>
      </c>
      <c r="AC10" s="58">
        <v>484.05</v>
      </c>
      <c r="AD10" s="65">
        <f t="shared" si="63"/>
        <v>449.99999999998863</v>
      </c>
      <c r="AE10" s="58">
        <v>706.3</v>
      </c>
      <c r="AF10" s="65">
        <f t="shared" si="64"/>
        <v>819.99999999993634</v>
      </c>
      <c r="AG10" s="58">
        <v>15425</v>
      </c>
      <c r="AH10" s="67">
        <f t="shared" si="65"/>
        <v>66</v>
      </c>
      <c r="AI10" s="58">
        <v>815.31</v>
      </c>
      <c r="AJ10" s="65">
        <f t="shared" si="66"/>
        <v>750</v>
      </c>
      <c r="AK10" s="58">
        <v>273.19</v>
      </c>
      <c r="AL10" s="65">
        <f t="shared" si="67"/>
        <v>279.99999999997272</v>
      </c>
      <c r="AM10" s="58">
        <v>254.76</v>
      </c>
      <c r="AN10" s="65">
        <f t="shared" si="68"/>
        <v>159.99999999999659</v>
      </c>
      <c r="AO10" s="58">
        <v>246.33</v>
      </c>
      <c r="AP10" s="65">
        <f t="shared" si="69"/>
        <v>260.00000000001933</v>
      </c>
      <c r="AQ10" s="58">
        <v>303.07</v>
      </c>
      <c r="AR10" s="65">
        <f t="shared" si="70"/>
        <v>189.99999999999773</v>
      </c>
      <c r="AS10" s="58">
        <v>427.84</v>
      </c>
      <c r="AT10" s="65">
        <f t="shared" si="71"/>
        <v>159.99999999996817</v>
      </c>
      <c r="AU10" s="58">
        <v>335.67</v>
      </c>
      <c r="AV10" s="65">
        <f t="shared" si="72"/>
        <v>250</v>
      </c>
      <c r="AW10" s="58">
        <v>366.65</v>
      </c>
      <c r="AX10" s="65">
        <f t="shared" si="73"/>
        <v>259.99999999999091</v>
      </c>
      <c r="AY10" s="58">
        <v>400.92</v>
      </c>
      <c r="AZ10" s="65">
        <f t="shared" si="74"/>
        <v>230.00000000001819</v>
      </c>
      <c r="BA10" s="58">
        <v>421.12</v>
      </c>
      <c r="BB10" s="65">
        <f t="shared" si="75"/>
        <v>129.99999999999545</v>
      </c>
      <c r="BC10" s="58">
        <v>268.87</v>
      </c>
      <c r="BD10" s="65">
        <f t="shared" si="76"/>
        <v>149.99999999997726</v>
      </c>
      <c r="BE10" s="59">
        <v>49786</v>
      </c>
      <c r="BF10" s="67">
        <f t="shared" si="77"/>
        <v>44</v>
      </c>
      <c r="BG10" s="60">
        <v>246.36</v>
      </c>
      <c r="BH10" s="65">
        <f t="shared" si="78"/>
        <v>40.000000000020464</v>
      </c>
      <c r="BI10" s="60">
        <v>301.55</v>
      </c>
      <c r="BJ10" s="65">
        <f t="shared" si="79"/>
        <v>30.000000000029559</v>
      </c>
      <c r="BK10" s="60">
        <v>249.2</v>
      </c>
      <c r="BL10" s="65">
        <f t="shared" si="80"/>
        <v>49.999999999982947</v>
      </c>
      <c r="BM10" s="60">
        <v>235.96</v>
      </c>
      <c r="BN10" s="65">
        <f t="shared" si="81"/>
        <v>40.000000000020464</v>
      </c>
      <c r="BO10" s="60">
        <v>302.88</v>
      </c>
      <c r="BP10" s="65">
        <f t="shared" si="82"/>
        <v>50.000000000011369</v>
      </c>
      <c r="BQ10" s="60">
        <v>54493</v>
      </c>
      <c r="BR10" s="65">
        <f t="shared" si="83"/>
        <v>36</v>
      </c>
      <c r="BS10" s="60">
        <v>213.26</v>
      </c>
      <c r="BT10" s="65">
        <f t="shared" si="84"/>
        <v>39.999999999992042</v>
      </c>
      <c r="BU10" s="60">
        <v>51888</v>
      </c>
      <c r="BV10" s="65">
        <f t="shared" si="85"/>
        <v>38</v>
      </c>
      <c r="BW10" s="60">
        <v>241.5</v>
      </c>
      <c r="BX10" s="65">
        <f t="shared" si="86"/>
        <v>50.000000000011369</v>
      </c>
      <c r="BY10" s="60">
        <v>71631</v>
      </c>
      <c r="BZ10" s="67">
        <f t="shared" si="87"/>
        <v>41</v>
      </c>
      <c r="CA10" s="60">
        <v>45395.4</v>
      </c>
      <c r="CB10" s="67">
        <f t="shared" si="88"/>
        <v>77.30000000000291</v>
      </c>
      <c r="CC10" s="60">
        <v>15104.5</v>
      </c>
      <c r="CD10" s="67">
        <f t="shared" si="89"/>
        <v>16.600000000000364</v>
      </c>
      <c r="CE10" s="60">
        <v>7882.1</v>
      </c>
      <c r="CF10" s="67">
        <f t="shared" si="90"/>
        <v>13.800000000000182</v>
      </c>
      <c r="CG10" s="60">
        <v>72165.8</v>
      </c>
      <c r="CH10" s="67">
        <f t="shared" si="91"/>
        <v>51.5</v>
      </c>
      <c r="CI10" s="60">
        <v>1032175</v>
      </c>
      <c r="CJ10" s="67">
        <f t="shared" si="92"/>
        <v>329</v>
      </c>
      <c r="CK10" s="60">
        <v>952.17</v>
      </c>
      <c r="CL10" s="64">
        <f t="shared" si="93"/>
        <v>759.99999999999091</v>
      </c>
      <c r="CM10" s="65">
        <f t="shared" si="94"/>
        <v>135.70000000000073</v>
      </c>
      <c r="CN10" s="62">
        <v>28</v>
      </c>
      <c r="CO10" s="62">
        <v>70</v>
      </c>
      <c r="CP10" s="68">
        <v>26477</v>
      </c>
      <c r="CQ10" s="67">
        <f t="shared" si="95"/>
        <v>106</v>
      </c>
      <c r="CR10" s="68">
        <v>20391</v>
      </c>
      <c r="CS10" s="67">
        <f t="shared" si="96"/>
        <v>29.700000000000728</v>
      </c>
      <c r="CT10" s="75">
        <v>9529</v>
      </c>
      <c r="CU10" s="67">
        <f t="shared" si="97"/>
        <v>27</v>
      </c>
      <c r="CV10" s="68">
        <v>23501</v>
      </c>
      <c r="CW10" s="67">
        <f t="shared" si="98"/>
        <v>22</v>
      </c>
      <c r="CX10" s="58">
        <v>2446.6999999999998</v>
      </c>
      <c r="CY10" s="67">
        <f t="shared" si="99"/>
        <v>5.8999999999996362</v>
      </c>
    </row>
    <row r="11" spans="1:103" ht="25.5" customHeight="1" thickBot="1" x14ac:dyDescent="0.45">
      <c r="A11" s="63">
        <v>44659</v>
      </c>
      <c r="B11" s="44"/>
      <c r="C11" s="58">
        <v>3.0669</v>
      </c>
      <c r="D11" s="64">
        <f t="shared" si="50"/>
        <v>3499.9999999998367</v>
      </c>
      <c r="E11" s="58">
        <v>4.1586999999999996</v>
      </c>
      <c r="F11" s="64">
        <f t="shared" si="51"/>
        <v>3699.9999999993706</v>
      </c>
      <c r="G11" s="58">
        <v>4.1216999999999997</v>
      </c>
      <c r="H11" s="64">
        <f t="shared" si="52"/>
        <v>3899.9999999997926</v>
      </c>
      <c r="I11" s="58">
        <v>2.0678000000000001</v>
      </c>
      <c r="J11" s="64">
        <f t="shared" si="53"/>
        <v>1800.0000000002458</v>
      </c>
      <c r="K11" s="58">
        <v>3.2402000000000002</v>
      </c>
      <c r="L11" s="64">
        <f t="shared" si="54"/>
        <v>2700.0000000003688</v>
      </c>
      <c r="M11" s="58">
        <v>1.8409</v>
      </c>
      <c r="N11" s="64">
        <f t="shared" si="55"/>
        <v>2099.9999999999909</v>
      </c>
      <c r="O11" s="58">
        <v>19427</v>
      </c>
      <c r="P11" s="67">
        <f t="shared" si="56"/>
        <v>38</v>
      </c>
      <c r="Q11" s="58">
        <v>2306</v>
      </c>
      <c r="R11" s="67">
        <f t="shared" si="57"/>
        <v>7</v>
      </c>
      <c r="S11" s="58">
        <v>1287.7</v>
      </c>
      <c r="T11" s="67">
        <f t="shared" si="58"/>
        <v>1.2999999999999545</v>
      </c>
      <c r="U11" s="58">
        <v>528219</v>
      </c>
      <c r="V11" s="67">
        <f t="shared" si="59"/>
        <v>455.69999999995343</v>
      </c>
      <c r="W11" s="58">
        <v>493.39</v>
      </c>
      <c r="X11" s="65">
        <f t="shared" si="60"/>
        <v>379.99999999999545</v>
      </c>
      <c r="Y11" s="58">
        <v>3.6539999999999999</v>
      </c>
      <c r="Z11" s="65">
        <f t="shared" si="61"/>
        <v>3299.9999999998586</v>
      </c>
      <c r="AA11" s="58">
        <v>494.93</v>
      </c>
      <c r="AB11" s="65">
        <f t="shared" si="62"/>
        <v>490.00000000000909</v>
      </c>
      <c r="AC11" s="58">
        <v>484.62</v>
      </c>
      <c r="AD11" s="65">
        <f t="shared" si="63"/>
        <v>569.99999999999318</v>
      </c>
      <c r="AE11" s="58">
        <v>707.26</v>
      </c>
      <c r="AF11" s="65">
        <f t="shared" si="64"/>
        <v>960.00000000003638</v>
      </c>
      <c r="AG11" s="58">
        <v>15462</v>
      </c>
      <c r="AH11" s="67">
        <f t="shared" si="65"/>
        <v>37</v>
      </c>
      <c r="AI11" s="58">
        <v>816.17</v>
      </c>
      <c r="AJ11" s="65">
        <f t="shared" si="66"/>
        <v>860.00000000001364</v>
      </c>
      <c r="AK11" s="58">
        <v>273.47000000000003</v>
      </c>
      <c r="AL11" s="65">
        <f t="shared" si="67"/>
        <v>280.00000000002956</v>
      </c>
      <c r="AM11" s="58">
        <v>254.95</v>
      </c>
      <c r="AN11" s="65">
        <f t="shared" si="68"/>
        <v>189.99999999999773</v>
      </c>
      <c r="AO11" s="58">
        <v>246.64</v>
      </c>
      <c r="AP11" s="65">
        <f t="shared" si="69"/>
        <v>309.99999999997385</v>
      </c>
      <c r="AQ11" s="58">
        <v>303.27999999999997</v>
      </c>
      <c r="AR11" s="65">
        <f t="shared" si="70"/>
        <v>209.99999999997954</v>
      </c>
      <c r="AS11" s="58">
        <v>428.11</v>
      </c>
      <c r="AT11" s="65">
        <f t="shared" si="71"/>
        <v>270.00000000003865</v>
      </c>
      <c r="AU11" s="58">
        <v>335.95</v>
      </c>
      <c r="AV11" s="65">
        <f t="shared" si="72"/>
        <v>279.99999999997272</v>
      </c>
      <c r="AW11" s="58">
        <v>366.95</v>
      </c>
      <c r="AX11" s="65">
        <f t="shared" si="73"/>
        <v>300.00000000001137</v>
      </c>
      <c r="AY11" s="58">
        <v>401.26</v>
      </c>
      <c r="AZ11" s="65">
        <f t="shared" si="74"/>
        <v>339.99999999997499</v>
      </c>
      <c r="BA11" s="58">
        <v>421.29</v>
      </c>
      <c r="BB11" s="65">
        <f t="shared" si="75"/>
        <v>170.00000000001592</v>
      </c>
      <c r="BC11" s="58">
        <v>269.08</v>
      </c>
      <c r="BD11" s="65">
        <f t="shared" si="76"/>
        <v>209.99999999997954</v>
      </c>
      <c r="BE11" s="59">
        <v>49829</v>
      </c>
      <c r="BF11" s="67">
        <f t="shared" si="77"/>
        <v>43</v>
      </c>
      <c r="BG11" s="60">
        <v>246.42</v>
      </c>
      <c r="BH11" s="65">
        <f t="shared" si="78"/>
        <v>59.999999999973852</v>
      </c>
      <c r="BI11" s="60">
        <v>301.58</v>
      </c>
      <c r="BJ11" s="65">
        <f t="shared" si="79"/>
        <v>29.999999999972715</v>
      </c>
      <c r="BK11" s="60">
        <v>249.28</v>
      </c>
      <c r="BL11" s="65">
        <f t="shared" si="80"/>
        <v>80.000000000012506</v>
      </c>
      <c r="BM11" s="60">
        <v>236</v>
      </c>
      <c r="BN11" s="65">
        <f t="shared" si="81"/>
        <v>39.999999999992042</v>
      </c>
      <c r="BO11" s="60">
        <v>302.94</v>
      </c>
      <c r="BP11" s="65">
        <f t="shared" si="82"/>
        <v>60.000000000002274</v>
      </c>
      <c r="BQ11" s="60">
        <v>54546</v>
      </c>
      <c r="BR11" s="65">
        <f t="shared" si="83"/>
        <v>53</v>
      </c>
      <c r="BS11" s="60">
        <v>213.31</v>
      </c>
      <c r="BT11" s="65">
        <f t="shared" si="84"/>
        <v>50.000000000011369</v>
      </c>
      <c r="BU11" s="60">
        <v>51939</v>
      </c>
      <c r="BV11" s="65">
        <f t="shared" si="85"/>
        <v>51</v>
      </c>
      <c r="BW11" s="60">
        <v>241.56</v>
      </c>
      <c r="BX11" s="65">
        <f t="shared" si="86"/>
        <v>60.000000000002274</v>
      </c>
      <c r="BY11" s="60">
        <v>71679</v>
      </c>
      <c r="BZ11" s="67">
        <f t="shared" si="87"/>
        <v>48</v>
      </c>
      <c r="CA11" s="60">
        <v>45472.2</v>
      </c>
      <c r="CB11" s="67">
        <f t="shared" si="88"/>
        <v>76.799999999995634</v>
      </c>
      <c r="CC11" s="60">
        <v>15120.7</v>
      </c>
      <c r="CD11" s="67">
        <f t="shared" si="89"/>
        <v>16.200000000000728</v>
      </c>
      <c r="CE11" s="60">
        <v>7888.2</v>
      </c>
      <c r="CF11" s="67">
        <f t="shared" si="90"/>
        <v>6.0999999999994543</v>
      </c>
      <c r="CG11" s="60">
        <v>72224.5</v>
      </c>
      <c r="CH11" s="67">
        <f t="shared" si="91"/>
        <v>58.69999999999709</v>
      </c>
      <c r="CI11" s="60">
        <v>1032560</v>
      </c>
      <c r="CJ11" s="67">
        <f t="shared" si="92"/>
        <v>385</v>
      </c>
      <c r="CK11" s="60">
        <v>952.93</v>
      </c>
      <c r="CL11" s="64">
        <f t="shared" si="93"/>
        <v>759.99999999999091</v>
      </c>
      <c r="CM11" s="65">
        <f t="shared" si="94"/>
        <v>105.40000000000146</v>
      </c>
      <c r="CN11" s="62">
        <v>28</v>
      </c>
      <c r="CO11" s="62">
        <v>70</v>
      </c>
      <c r="CP11" s="68">
        <v>26563</v>
      </c>
      <c r="CQ11" s="67">
        <f t="shared" si="95"/>
        <v>86</v>
      </c>
      <c r="CR11" s="68">
        <v>20410.400000000001</v>
      </c>
      <c r="CS11" s="67">
        <f t="shared" si="96"/>
        <v>19.400000000001455</v>
      </c>
      <c r="CT11" s="75">
        <v>9562</v>
      </c>
      <c r="CU11" s="67">
        <f t="shared" si="97"/>
        <v>33</v>
      </c>
      <c r="CV11" s="68">
        <v>23520</v>
      </c>
      <c r="CW11" s="67">
        <f t="shared" si="98"/>
        <v>19</v>
      </c>
      <c r="CX11" s="58">
        <v>2460.1999999999998</v>
      </c>
      <c r="CY11" s="67">
        <f t="shared" si="99"/>
        <v>13.5</v>
      </c>
    </row>
    <row r="12" spans="1:103" ht="25.5" customHeight="1" thickBot="1" x14ac:dyDescent="0.45">
      <c r="A12" s="63">
        <v>44660</v>
      </c>
      <c r="B12" s="44"/>
      <c r="C12" s="58">
        <v>3.0707</v>
      </c>
      <c r="D12" s="64">
        <f t="shared" si="50"/>
        <v>3800.0000000000255</v>
      </c>
      <c r="E12" s="58">
        <v>4.1623999999999999</v>
      </c>
      <c r="F12" s="64">
        <f t="shared" si="51"/>
        <v>3700.0000000002588</v>
      </c>
      <c r="G12" s="58">
        <v>4.1250999999999998</v>
      </c>
      <c r="H12" s="64">
        <f t="shared" si="52"/>
        <v>3400.0000000000696</v>
      </c>
      <c r="I12" s="58">
        <v>2.0697999999999999</v>
      </c>
      <c r="J12" s="64">
        <f t="shared" si="53"/>
        <v>1999.9999999997797</v>
      </c>
      <c r="K12" s="58">
        <v>3.2429000000000001</v>
      </c>
      <c r="L12" s="64">
        <f t="shared" si="54"/>
        <v>2699.9999999999245</v>
      </c>
      <c r="M12" s="58">
        <v>1.843</v>
      </c>
      <c r="N12" s="64">
        <f t="shared" si="55"/>
        <v>2099.9999999999909</v>
      </c>
      <c r="O12" s="58">
        <v>19428</v>
      </c>
      <c r="P12" s="67">
        <f t="shared" si="56"/>
        <v>1</v>
      </c>
      <c r="Q12" s="58">
        <v>2313</v>
      </c>
      <c r="R12" s="67">
        <f t="shared" si="57"/>
        <v>7</v>
      </c>
      <c r="S12" s="58">
        <v>1289.0999999999999</v>
      </c>
      <c r="T12" s="67">
        <f t="shared" si="58"/>
        <v>1.3999999999998636</v>
      </c>
      <c r="U12" s="58">
        <v>528739.30000000005</v>
      </c>
      <c r="V12" s="67">
        <f t="shared" si="59"/>
        <v>520.30000000004657</v>
      </c>
      <c r="W12" s="58">
        <v>493.74</v>
      </c>
      <c r="X12" s="65">
        <f t="shared" si="60"/>
        <v>350.00000000002274</v>
      </c>
      <c r="Y12" s="58">
        <v>3.6573000000000002</v>
      </c>
      <c r="Z12" s="65">
        <f t="shared" si="61"/>
        <v>3300.0000000003029</v>
      </c>
      <c r="AA12" s="58">
        <v>495.39</v>
      </c>
      <c r="AB12" s="65">
        <f t="shared" si="62"/>
        <v>459.99999999997954</v>
      </c>
      <c r="AC12" s="58">
        <v>485.17</v>
      </c>
      <c r="AD12" s="65">
        <f t="shared" si="63"/>
        <v>550.00000000001137</v>
      </c>
      <c r="AE12" s="58">
        <v>708.22</v>
      </c>
      <c r="AF12" s="65">
        <f t="shared" si="64"/>
        <v>960.00000000003638</v>
      </c>
      <c r="AG12" s="58">
        <v>15524</v>
      </c>
      <c r="AH12" s="67">
        <f t="shared" si="65"/>
        <v>62</v>
      </c>
      <c r="AI12" s="58">
        <v>816.97</v>
      </c>
      <c r="AJ12" s="65">
        <f t="shared" si="66"/>
        <v>800.00000000006821</v>
      </c>
      <c r="AK12" s="58">
        <v>273.77999999999997</v>
      </c>
      <c r="AL12" s="65">
        <f t="shared" si="67"/>
        <v>309.99999999994543</v>
      </c>
      <c r="AM12" s="58">
        <v>255.2</v>
      </c>
      <c r="AN12" s="65">
        <f t="shared" si="68"/>
        <v>250</v>
      </c>
      <c r="AO12" s="58">
        <v>246.94</v>
      </c>
      <c r="AP12" s="65">
        <f t="shared" si="69"/>
        <v>300.00000000001137</v>
      </c>
      <c r="AQ12" s="58">
        <v>303.51</v>
      </c>
      <c r="AR12" s="65">
        <f t="shared" si="70"/>
        <v>230.00000000001819</v>
      </c>
      <c r="AS12" s="58">
        <v>428.35</v>
      </c>
      <c r="AT12" s="65">
        <f t="shared" si="71"/>
        <v>240.00000000000909</v>
      </c>
      <c r="AU12" s="58">
        <v>336.22</v>
      </c>
      <c r="AV12" s="65">
        <f t="shared" si="72"/>
        <v>270.00000000003865</v>
      </c>
      <c r="AW12" s="58">
        <v>367.21</v>
      </c>
      <c r="AX12" s="65">
        <f t="shared" si="73"/>
        <v>259.99999999999091</v>
      </c>
      <c r="AY12" s="58">
        <v>401.39</v>
      </c>
      <c r="AZ12" s="65">
        <f t="shared" si="74"/>
        <v>129.99999999999545</v>
      </c>
      <c r="BA12" s="58">
        <v>421.54</v>
      </c>
      <c r="BB12" s="65">
        <f t="shared" si="75"/>
        <v>250</v>
      </c>
      <c r="BC12" s="58">
        <v>269.3</v>
      </c>
      <c r="BD12" s="65">
        <f t="shared" si="76"/>
        <v>220.00000000002728</v>
      </c>
      <c r="BE12" s="59">
        <v>49853</v>
      </c>
      <c r="BF12" s="67">
        <f t="shared" si="77"/>
        <v>24</v>
      </c>
      <c r="BG12" s="60">
        <v>246.46</v>
      </c>
      <c r="BH12" s="65">
        <f t="shared" si="78"/>
        <v>40.000000000020464</v>
      </c>
      <c r="BI12" s="60">
        <v>301.62</v>
      </c>
      <c r="BJ12" s="65">
        <f t="shared" si="79"/>
        <v>40.000000000020464</v>
      </c>
      <c r="BK12" s="60">
        <v>249.32</v>
      </c>
      <c r="BL12" s="65">
        <f t="shared" si="80"/>
        <v>39.999999999992042</v>
      </c>
      <c r="BM12" s="60">
        <v>236.05</v>
      </c>
      <c r="BN12" s="65">
        <f t="shared" si="81"/>
        <v>50.000000000011369</v>
      </c>
      <c r="BO12" s="60">
        <v>303.01</v>
      </c>
      <c r="BP12" s="65">
        <f t="shared" si="82"/>
        <v>69.999999999993179</v>
      </c>
      <c r="BQ12" s="60">
        <v>54597</v>
      </c>
      <c r="BR12" s="65">
        <f t="shared" si="83"/>
        <v>51</v>
      </c>
      <c r="BS12" s="60">
        <v>213.35</v>
      </c>
      <c r="BT12" s="65">
        <f t="shared" si="84"/>
        <v>39.999999999992042</v>
      </c>
      <c r="BU12" s="60">
        <v>51993</v>
      </c>
      <c r="BV12" s="65">
        <f t="shared" si="85"/>
        <v>54</v>
      </c>
      <c r="BW12" s="60">
        <v>241.62</v>
      </c>
      <c r="BX12" s="65">
        <f t="shared" si="86"/>
        <v>60.000000000002274</v>
      </c>
      <c r="BY12" s="60">
        <v>71727</v>
      </c>
      <c r="BZ12" s="67">
        <f t="shared" si="87"/>
        <v>48</v>
      </c>
      <c r="CA12" s="60">
        <v>45512.6</v>
      </c>
      <c r="CB12" s="67">
        <f t="shared" si="88"/>
        <v>40.400000000001455</v>
      </c>
      <c r="CC12" s="60">
        <v>15154.7</v>
      </c>
      <c r="CD12" s="67">
        <f t="shared" si="89"/>
        <v>34</v>
      </c>
      <c r="CE12" s="60">
        <v>7890.1</v>
      </c>
      <c r="CF12" s="67">
        <f t="shared" si="90"/>
        <v>1.9000000000005457</v>
      </c>
      <c r="CG12" s="60">
        <v>72283.600000000006</v>
      </c>
      <c r="CH12" s="67">
        <f t="shared" si="91"/>
        <v>59.100000000005821</v>
      </c>
      <c r="CI12" s="60">
        <v>1032934</v>
      </c>
      <c r="CJ12" s="67">
        <f t="shared" si="92"/>
        <v>374</v>
      </c>
      <c r="CK12" s="60">
        <v>953.67</v>
      </c>
      <c r="CL12" s="64">
        <f t="shared" si="93"/>
        <v>740.00000000000909</v>
      </c>
      <c r="CM12" s="65">
        <f t="shared" si="94"/>
        <v>106.59999999999854</v>
      </c>
      <c r="CN12" s="62">
        <v>28</v>
      </c>
      <c r="CO12" s="62">
        <v>78</v>
      </c>
      <c r="CP12" s="68">
        <v>26651</v>
      </c>
      <c r="CQ12" s="67">
        <f t="shared" si="95"/>
        <v>88</v>
      </c>
      <c r="CR12" s="68">
        <v>20429</v>
      </c>
      <c r="CS12" s="67">
        <f t="shared" si="96"/>
        <v>18.599999999998545</v>
      </c>
      <c r="CT12" s="75">
        <v>9586</v>
      </c>
      <c r="CU12" s="67">
        <f t="shared" si="97"/>
        <v>24</v>
      </c>
      <c r="CV12" s="68">
        <v>23537</v>
      </c>
      <c r="CW12" s="67">
        <f t="shared" si="98"/>
        <v>17</v>
      </c>
      <c r="CX12" s="58">
        <v>2473.9</v>
      </c>
      <c r="CY12" s="67">
        <f t="shared" si="99"/>
        <v>13.700000000000273</v>
      </c>
    </row>
    <row r="13" spans="1:103" ht="25.5" customHeight="1" thickBot="1" x14ac:dyDescent="0.45">
      <c r="A13" s="63">
        <v>44661</v>
      </c>
      <c r="B13" s="44"/>
      <c r="C13" s="58"/>
      <c r="D13" s="64" t="str">
        <f t="shared" si="50"/>
        <v>0</v>
      </c>
      <c r="E13" s="58"/>
      <c r="F13" s="64" t="str">
        <f t="shared" si="51"/>
        <v>0</v>
      </c>
      <c r="G13" s="58"/>
      <c r="H13" s="64" t="str">
        <f t="shared" si="52"/>
        <v>0</v>
      </c>
      <c r="I13" s="58"/>
      <c r="J13" s="64" t="str">
        <f t="shared" si="53"/>
        <v>0</v>
      </c>
      <c r="K13" s="58"/>
      <c r="L13" s="64" t="str">
        <f t="shared" si="54"/>
        <v>0</v>
      </c>
      <c r="M13" s="58"/>
      <c r="N13" s="64" t="str">
        <f t="shared" si="55"/>
        <v/>
      </c>
      <c r="O13" s="58"/>
      <c r="P13" s="67" t="str">
        <f t="shared" si="56"/>
        <v/>
      </c>
      <c r="Q13" s="58"/>
      <c r="R13" s="67" t="str">
        <f t="shared" si="57"/>
        <v/>
      </c>
      <c r="S13" s="58"/>
      <c r="T13" s="67" t="str">
        <f t="shared" si="58"/>
        <v/>
      </c>
      <c r="U13" s="58"/>
      <c r="V13" s="67" t="str">
        <f t="shared" si="59"/>
        <v/>
      </c>
      <c r="W13" s="58"/>
      <c r="X13" s="65" t="str">
        <f t="shared" si="60"/>
        <v/>
      </c>
      <c r="Y13" s="58"/>
      <c r="Z13" s="65" t="str">
        <f t="shared" si="61"/>
        <v/>
      </c>
      <c r="AA13" s="58"/>
      <c r="AB13" s="65" t="str">
        <f t="shared" si="62"/>
        <v/>
      </c>
      <c r="AC13" s="58"/>
      <c r="AD13" s="65" t="str">
        <f t="shared" si="63"/>
        <v/>
      </c>
      <c r="AE13" s="58"/>
      <c r="AF13" s="65" t="str">
        <f t="shared" si="64"/>
        <v/>
      </c>
      <c r="AG13" s="58"/>
      <c r="AH13" s="67" t="str">
        <f t="shared" si="65"/>
        <v/>
      </c>
      <c r="AI13" s="58"/>
      <c r="AJ13" s="65" t="str">
        <f t="shared" si="66"/>
        <v/>
      </c>
      <c r="AK13" s="58"/>
      <c r="AL13" s="65" t="str">
        <f t="shared" si="67"/>
        <v/>
      </c>
      <c r="AM13" s="58"/>
      <c r="AN13" s="65" t="str">
        <f t="shared" si="68"/>
        <v/>
      </c>
      <c r="AO13" s="58"/>
      <c r="AP13" s="65" t="str">
        <f t="shared" si="69"/>
        <v/>
      </c>
      <c r="AQ13" s="58"/>
      <c r="AR13" s="65" t="str">
        <f t="shared" si="70"/>
        <v/>
      </c>
      <c r="AS13" s="58"/>
      <c r="AT13" s="65" t="str">
        <f t="shared" si="71"/>
        <v/>
      </c>
      <c r="AU13" s="58"/>
      <c r="AV13" s="65" t="str">
        <f t="shared" si="72"/>
        <v/>
      </c>
      <c r="AW13" s="58"/>
      <c r="AX13" s="65" t="str">
        <f t="shared" si="73"/>
        <v/>
      </c>
      <c r="AY13" s="58"/>
      <c r="AZ13" s="65" t="str">
        <f t="shared" si="74"/>
        <v/>
      </c>
      <c r="BA13" s="58"/>
      <c r="BB13" s="65" t="str">
        <f t="shared" si="75"/>
        <v/>
      </c>
      <c r="BC13" s="58"/>
      <c r="BD13" s="65" t="str">
        <f t="shared" si="76"/>
        <v/>
      </c>
      <c r="BE13" s="59"/>
      <c r="BF13" s="67" t="str">
        <f t="shared" si="77"/>
        <v/>
      </c>
      <c r="BG13" s="60"/>
      <c r="BH13" s="65" t="str">
        <f t="shared" si="78"/>
        <v/>
      </c>
      <c r="BI13" s="60"/>
      <c r="BJ13" s="65" t="str">
        <f t="shared" si="79"/>
        <v/>
      </c>
      <c r="BK13" s="60"/>
      <c r="BL13" s="65" t="str">
        <f t="shared" si="80"/>
        <v/>
      </c>
      <c r="BM13" s="60"/>
      <c r="BN13" s="65" t="str">
        <f t="shared" si="81"/>
        <v/>
      </c>
      <c r="BO13" s="60"/>
      <c r="BP13" s="65" t="str">
        <f t="shared" si="82"/>
        <v/>
      </c>
      <c r="BQ13" s="60"/>
      <c r="BR13" s="65" t="str">
        <f t="shared" si="83"/>
        <v/>
      </c>
      <c r="BS13" s="60"/>
      <c r="BT13" s="65" t="str">
        <f t="shared" si="84"/>
        <v/>
      </c>
      <c r="BU13" s="60"/>
      <c r="BV13" s="65" t="str">
        <f t="shared" si="85"/>
        <v/>
      </c>
      <c r="BW13" s="60"/>
      <c r="BX13" s="65" t="str">
        <f t="shared" si="86"/>
        <v/>
      </c>
      <c r="BY13" s="60"/>
      <c r="BZ13" s="67" t="str">
        <f t="shared" si="87"/>
        <v/>
      </c>
      <c r="CA13" s="60"/>
      <c r="CB13" s="67" t="str">
        <f t="shared" si="88"/>
        <v/>
      </c>
      <c r="CC13" s="60"/>
      <c r="CD13" s="67" t="str">
        <f t="shared" si="89"/>
        <v/>
      </c>
      <c r="CE13" s="60"/>
      <c r="CF13" s="67" t="str">
        <f t="shared" si="90"/>
        <v/>
      </c>
      <c r="CG13" s="60"/>
      <c r="CH13" s="67" t="str">
        <f t="shared" si="91"/>
        <v/>
      </c>
      <c r="CI13" s="60"/>
      <c r="CJ13" s="67" t="str">
        <f t="shared" si="92"/>
        <v/>
      </c>
      <c r="CK13" s="60"/>
      <c r="CL13" s="64" t="str">
        <f t="shared" si="93"/>
        <v/>
      </c>
      <c r="CM13" s="65" t="e">
        <f t="shared" si="94"/>
        <v>#VALUE!</v>
      </c>
      <c r="CN13" s="62"/>
      <c r="CO13" s="62"/>
      <c r="CP13" s="68"/>
      <c r="CQ13" s="67" t="str">
        <f t="shared" si="95"/>
        <v/>
      </c>
      <c r="CR13" s="68"/>
      <c r="CS13" s="67" t="str">
        <f t="shared" si="96"/>
        <v/>
      </c>
      <c r="CT13" s="75"/>
      <c r="CU13" s="67" t="str">
        <f t="shared" si="97"/>
        <v/>
      </c>
      <c r="CV13" s="68"/>
      <c r="CW13" s="67" t="str">
        <f t="shared" si="98"/>
        <v/>
      </c>
      <c r="CX13" s="58"/>
      <c r="CY13" s="67" t="str">
        <f t="shared" si="99"/>
        <v/>
      </c>
    </row>
    <row r="14" spans="1:103" ht="25.5" customHeight="1" thickBot="1" x14ac:dyDescent="0.45">
      <c r="A14" s="63">
        <v>44662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44663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44664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44665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44666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44667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44668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44669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44670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44671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44672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44673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44674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44675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44676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44677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44678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17" sqref="B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>
        <v>0</v>
      </c>
      <c r="C9" s="40">
        <v>31</v>
      </c>
      <c r="D9" s="40">
        <v>71</v>
      </c>
      <c r="E9" s="41">
        <v>0</v>
      </c>
      <c r="F9" s="41">
        <v>6785</v>
      </c>
      <c r="G9" s="41">
        <v>0</v>
      </c>
      <c r="H9" s="41">
        <v>2162</v>
      </c>
      <c r="I9" s="41">
        <v>50</v>
      </c>
      <c r="J9" s="41">
        <v>541</v>
      </c>
      <c r="K9" s="42">
        <v>85</v>
      </c>
      <c r="L9" s="42">
        <v>15</v>
      </c>
      <c r="M9" s="42">
        <v>1650</v>
      </c>
      <c r="N9" s="39">
        <v>85</v>
      </c>
      <c r="O9" s="39">
        <v>0</v>
      </c>
      <c r="P9" s="39">
        <v>40</v>
      </c>
      <c r="Q9" s="39">
        <v>4817</v>
      </c>
      <c r="R9" s="77">
        <v>75</v>
      </c>
      <c r="S9" s="77">
        <v>227</v>
      </c>
      <c r="T9">
        <f t="shared" ref="T9:T39" si="1">S9-S8</f>
        <v>1</v>
      </c>
    </row>
    <row r="10" spans="1:20" x14ac:dyDescent="0.25">
      <c r="A10" s="73">
        <v>44654</v>
      </c>
      <c r="B10" s="40">
        <v>0</v>
      </c>
      <c r="C10" s="40">
        <v>34</v>
      </c>
      <c r="D10" s="40">
        <v>82</v>
      </c>
      <c r="E10" s="41">
        <v>0</v>
      </c>
      <c r="F10" s="41">
        <v>6791</v>
      </c>
      <c r="G10" s="41">
        <v>0</v>
      </c>
      <c r="H10" s="41">
        <v>2163</v>
      </c>
      <c r="I10" s="41">
        <v>45</v>
      </c>
      <c r="J10" s="41">
        <v>541</v>
      </c>
      <c r="K10" s="42">
        <v>85</v>
      </c>
      <c r="L10" s="42">
        <v>15</v>
      </c>
      <c r="M10" s="42">
        <v>1651</v>
      </c>
      <c r="N10" s="39">
        <v>85</v>
      </c>
      <c r="O10" s="39">
        <v>0</v>
      </c>
      <c r="P10" s="39">
        <v>40</v>
      </c>
      <c r="Q10" s="39">
        <v>4819</v>
      </c>
      <c r="R10" s="77">
        <v>75</v>
      </c>
      <c r="S10" s="77">
        <v>227</v>
      </c>
      <c r="T10">
        <f t="shared" si="1"/>
        <v>0</v>
      </c>
    </row>
    <row r="11" spans="1:20" x14ac:dyDescent="0.25">
      <c r="A11" s="73">
        <v>44655</v>
      </c>
      <c r="B11" s="40">
        <v>0</v>
      </c>
      <c r="C11" s="40">
        <v>34</v>
      </c>
      <c r="D11" s="40">
        <v>85</v>
      </c>
      <c r="E11" s="41">
        <v>85</v>
      </c>
      <c r="F11" s="41">
        <v>6798</v>
      </c>
      <c r="G11" s="41">
        <v>80</v>
      </c>
      <c r="H11" s="41">
        <v>2166</v>
      </c>
      <c r="I11" s="41">
        <v>85</v>
      </c>
      <c r="J11" s="41">
        <v>541</v>
      </c>
      <c r="K11" s="42">
        <v>85</v>
      </c>
      <c r="L11" s="42">
        <v>85</v>
      </c>
      <c r="M11" s="42">
        <v>1654</v>
      </c>
      <c r="N11" s="39">
        <v>85</v>
      </c>
      <c r="O11" s="39">
        <v>85</v>
      </c>
      <c r="P11" s="39">
        <v>85</v>
      </c>
      <c r="Q11" s="39">
        <v>4824</v>
      </c>
      <c r="R11" s="77">
        <v>75</v>
      </c>
      <c r="S11" s="77">
        <v>227</v>
      </c>
      <c r="T11">
        <f t="shared" si="1"/>
        <v>0</v>
      </c>
    </row>
    <row r="12" spans="1:20" x14ac:dyDescent="0.25">
      <c r="A12" s="73">
        <v>44656</v>
      </c>
      <c r="B12" s="40">
        <v>0</v>
      </c>
      <c r="C12" s="40">
        <v>34</v>
      </c>
      <c r="D12" s="40">
        <v>85</v>
      </c>
      <c r="E12" s="41">
        <v>85</v>
      </c>
      <c r="F12" s="41">
        <v>6804</v>
      </c>
      <c r="G12" s="41">
        <v>75</v>
      </c>
      <c r="H12" s="41">
        <v>2169</v>
      </c>
      <c r="I12" s="41">
        <v>85</v>
      </c>
      <c r="J12" s="41">
        <v>541</v>
      </c>
      <c r="K12" s="42">
        <v>85</v>
      </c>
      <c r="L12" s="42">
        <v>84</v>
      </c>
      <c r="M12" s="42">
        <v>1656</v>
      </c>
      <c r="N12" s="39">
        <v>85</v>
      </c>
      <c r="O12" s="39">
        <v>85</v>
      </c>
      <c r="P12" s="39">
        <v>80</v>
      </c>
      <c r="Q12" s="39">
        <v>4828</v>
      </c>
      <c r="R12" s="77">
        <v>75</v>
      </c>
      <c r="S12" s="77">
        <v>227</v>
      </c>
      <c r="T12">
        <f t="shared" si="1"/>
        <v>0</v>
      </c>
    </row>
    <row r="13" spans="1:20" x14ac:dyDescent="0.25">
      <c r="A13" s="73">
        <v>44657</v>
      </c>
      <c r="B13" s="40">
        <v>0</v>
      </c>
      <c r="C13" s="40">
        <v>33</v>
      </c>
      <c r="D13" s="40">
        <v>83</v>
      </c>
      <c r="E13" s="41">
        <v>85</v>
      </c>
      <c r="F13" s="41">
        <v>6810</v>
      </c>
      <c r="G13" s="41">
        <v>60</v>
      </c>
      <c r="H13" s="41">
        <v>2172</v>
      </c>
      <c r="I13" s="41">
        <v>85</v>
      </c>
      <c r="J13" s="41">
        <v>542</v>
      </c>
      <c r="K13" s="42">
        <v>85</v>
      </c>
      <c r="L13" s="42">
        <v>80</v>
      </c>
      <c r="M13" s="42">
        <v>1660</v>
      </c>
      <c r="N13" s="39">
        <v>85</v>
      </c>
      <c r="O13" s="39">
        <v>85</v>
      </c>
      <c r="P13" s="39">
        <v>75</v>
      </c>
      <c r="Q13" s="39">
        <v>4834</v>
      </c>
      <c r="R13" s="77">
        <v>75</v>
      </c>
      <c r="S13" s="77">
        <v>227</v>
      </c>
      <c r="T13">
        <f t="shared" si="1"/>
        <v>0</v>
      </c>
    </row>
    <row r="14" spans="1:20" ht="17.25" customHeight="1" x14ac:dyDescent="0.25">
      <c r="A14" s="73">
        <v>44658</v>
      </c>
      <c r="B14" s="40">
        <v>0</v>
      </c>
      <c r="C14" s="40">
        <v>28</v>
      </c>
      <c r="D14" s="40">
        <v>70</v>
      </c>
      <c r="E14" s="41">
        <v>85</v>
      </c>
      <c r="F14" s="41">
        <v>6816</v>
      </c>
      <c r="G14" s="41">
        <v>45</v>
      </c>
      <c r="H14" s="41">
        <v>2174</v>
      </c>
      <c r="I14" s="41">
        <v>85</v>
      </c>
      <c r="J14" s="41">
        <v>542</v>
      </c>
      <c r="K14" s="42">
        <v>85</v>
      </c>
      <c r="L14" s="42">
        <v>80</v>
      </c>
      <c r="M14" s="42">
        <v>1661</v>
      </c>
      <c r="N14" s="39">
        <v>85</v>
      </c>
      <c r="O14" s="39">
        <v>85</v>
      </c>
      <c r="P14" s="39">
        <v>70</v>
      </c>
      <c r="Q14" s="39">
        <v>4838</v>
      </c>
      <c r="R14" s="77">
        <v>75</v>
      </c>
      <c r="S14" s="77">
        <v>227</v>
      </c>
      <c r="T14">
        <f t="shared" si="1"/>
        <v>0</v>
      </c>
    </row>
    <row r="15" spans="1:20" x14ac:dyDescent="0.25">
      <c r="A15" s="73">
        <v>44659</v>
      </c>
      <c r="B15" s="40">
        <v>0</v>
      </c>
      <c r="C15" s="40">
        <v>28</v>
      </c>
      <c r="D15" s="40">
        <v>70</v>
      </c>
      <c r="E15" s="41">
        <v>85</v>
      </c>
      <c r="F15" s="41">
        <v>6822</v>
      </c>
      <c r="G15" s="41">
        <v>35</v>
      </c>
      <c r="H15" s="41">
        <v>2176</v>
      </c>
      <c r="I15" s="41">
        <v>85</v>
      </c>
      <c r="J15" s="41">
        <v>544</v>
      </c>
      <c r="K15" s="42">
        <v>85</v>
      </c>
      <c r="L15" s="42">
        <v>75</v>
      </c>
      <c r="M15" s="42">
        <v>1663</v>
      </c>
      <c r="N15" s="39">
        <v>85</v>
      </c>
      <c r="O15" s="39">
        <v>85</v>
      </c>
      <c r="P15" s="39">
        <v>65</v>
      </c>
      <c r="Q15" s="39">
        <v>4842</v>
      </c>
      <c r="R15" s="77">
        <v>75</v>
      </c>
      <c r="S15" s="77">
        <v>227</v>
      </c>
      <c r="T15">
        <f t="shared" si="1"/>
        <v>0</v>
      </c>
    </row>
    <row r="16" spans="1:20" x14ac:dyDescent="0.25">
      <c r="A16" s="73">
        <v>44660</v>
      </c>
      <c r="B16" s="40">
        <v>0</v>
      </c>
      <c r="C16" s="40">
        <v>28</v>
      </c>
      <c r="D16" s="40">
        <v>78</v>
      </c>
      <c r="E16" s="41">
        <v>85</v>
      </c>
      <c r="F16" s="41">
        <v>6829</v>
      </c>
      <c r="G16" s="41">
        <v>20</v>
      </c>
      <c r="H16" s="41">
        <v>2180</v>
      </c>
      <c r="I16" s="41">
        <v>85</v>
      </c>
      <c r="J16" s="41">
        <v>543</v>
      </c>
      <c r="K16" s="42">
        <v>85</v>
      </c>
      <c r="L16" s="42">
        <v>72</v>
      </c>
      <c r="M16" s="42">
        <v>1666</v>
      </c>
      <c r="N16" s="39">
        <v>85</v>
      </c>
      <c r="O16" s="39">
        <v>85</v>
      </c>
      <c r="P16" s="39">
        <v>60</v>
      </c>
      <c r="Q16" s="39">
        <v>4846</v>
      </c>
      <c r="R16" s="77">
        <v>75</v>
      </c>
      <c r="S16" s="77">
        <v>227</v>
      </c>
      <c r="T16">
        <f t="shared" si="1"/>
        <v>0</v>
      </c>
    </row>
    <row r="17" spans="1:20" x14ac:dyDescent="0.25">
      <c r="A17" s="73">
        <v>44661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-227</v>
      </c>
    </row>
    <row r="18" spans="1:20" x14ac:dyDescent="0.25">
      <c r="A18" s="73">
        <v>44662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44663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44664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44665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44666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44667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44668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44669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44670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44671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44672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44673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44674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44675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44676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44677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2022-04-10T17:17:49Z</dcterms:modified>
</cp:coreProperties>
</file>