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12 - 2022" sheetId="5" r:id="rId3"/>
  </sheets>
  <definedNames>
    <definedName name="_xlnm.Print_Area" localSheetId="2">'12 - 2022'!$A$1:$J$35</definedName>
  </definedNames>
  <calcPr calcId="162913"/>
</workbook>
</file>

<file path=xl/calcChain.xml><?xml version="1.0" encoding="utf-8"?>
<calcChain xmlns="http://schemas.openxmlformats.org/spreadsheetml/2006/main">
  <c r="I40" i="5" l="1"/>
  <c r="H40" i="5"/>
  <c r="K39" i="5"/>
  <c r="J39" i="5"/>
  <c r="I39" i="5"/>
  <c r="H39" i="5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J32" i="2" l="1"/>
  <c r="I32" i="2"/>
  <c r="H32" i="2"/>
  <c r="F32" i="2"/>
  <c r="E32" i="2"/>
  <c r="B32" i="2"/>
  <c r="L32" i="3"/>
  <c r="K32" i="3"/>
  <c r="I32" i="3"/>
  <c r="G32" i="3"/>
  <c r="E32" i="3"/>
  <c r="B32" i="3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L14" i="3"/>
  <c r="K14" i="3"/>
  <c r="I14" i="3"/>
  <c r="G14" i="3"/>
  <c r="E14" i="3"/>
  <c r="L13" i="3"/>
  <c r="K13" i="3"/>
  <c r="I13" i="3"/>
  <c r="G13" i="3"/>
  <c r="E13" i="3"/>
  <c r="J15" i="2"/>
  <c r="I15" i="2"/>
  <c r="H15" i="2"/>
  <c r="F15" i="2"/>
  <c r="E15" i="2"/>
  <c r="J14" i="2"/>
  <c r="I14" i="2"/>
  <c r="H14" i="2"/>
  <c r="F14" i="2"/>
  <c r="E14" i="2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J10" i="2" l="1"/>
  <c r="I10" i="2"/>
  <c r="H10" i="2"/>
  <c r="F10" i="2"/>
  <c r="E10" i="2"/>
  <c r="L10" i="3"/>
  <c r="K10" i="3"/>
  <c r="I10" i="3"/>
  <c r="G10" i="3"/>
  <c r="E10" i="3"/>
  <c r="L9" i="3" l="1"/>
  <c r="K9" i="3"/>
  <c r="I9" i="3"/>
  <c r="G9" i="3"/>
  <c r="E9" i="3"/>
  <c r="J9" i="2"/>
  <c r="I9" i="2"/>
  <c r="H9" i="2"/>
  <c r="F9" i="2"/>
  <c r="E9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8" i="3" l="1"/>
  <c r="K8" i="3"/>
  <c r="I8" i="3"/>
  <c r="G8" i="3"/>
  <c r="E8" i="3"/>
  <c r="J8" i="2"/>
  <c r="I8" i="2"/>
  <c r="H8" i="2"/>
  <c r="F8" i="2"/>
  <c r="E8" i="2"/>
  <c r="K7" i="3" l="1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<sst xmlns="http://schemas.openxmlformats.org/spreadsheetml/2006/main" count="107" uniqueCount="38">
  <si>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</si>
  <si>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</si>
  <si>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</si>
  <si>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</si>
  <si>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</si>
  <si>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</si>
  <si>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</si>
  <si>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</si>
  <si>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</si>
  <si>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</si>
  <si>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</si>
  <si>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</si>
  <si>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</si>
  <si>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</si>
  <si>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</si>
  <si>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</si>
  <si>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</si>
  <si>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</si>
  <si>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</si>
  <si>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</si>
  <si>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</si>
  <si>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</si>
  <si>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</si>
  <si>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</si>
  <si>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</si>
  <si>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</si>
  <si>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</si>
  <si>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</si>
  <si>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</si>
  <si>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</si>
  <si>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</si>
  <si>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</si>
  <si>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</si>
  <si>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</si>
  <si>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</si>
  <si>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</si>
  <si>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</si>
  <si>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DECEMBER'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</si>
</sst>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6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" fontId="0" fillId="0" borderId="0" xfId="1" applyNumberFormat="1" applyFont="1" applyBorder="1" applyAlignment="1">
      <alignment horizontal="right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3" fontId="4" fillId="0" borderId="10" xfId="0" applyNumberFormat="1" applyFont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center" vertical="center"/>
    </xf>
    <xf numFmtId="43" fontId="5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3" fontId="10" fillId="0" borderId="10" xfId="2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2" fillId="3" borderId="6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43" fontId="4" fillId="0" borderId="13" xfId="2" applyFont="1" applyBorder="1" applyAlignment="1">
      <alignment horizontal="center" vertical="center"/>
    </xf>
    <xf numFmtId="0" fontId="0" fillId="0" borderId="0" xfId="0" applyFill="1" applyAlignment="1">
      <alignment vertical="center"/>
    </xf>
    <xf numFmtId="1" fontId="0" fillId="0" borderId="0" xfId="0" applyNumberFormat="1" applyFill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/>
    </xf>
    <xf numFmtId="43" fontId="5" fillId="0" borderId="15" xfId="2" applyFont="1" applyBorder="1" applyAlignment="1">
      <alignment horizontal="center" vertical="center"/>
    </xf>
    <xf numFmtId="43" fontId="5" fillId="2" borderId="15" xfId="2" applyFont="1" applyFill="1" applyBorder="1" applyAlignment="1">
      <alignment horizontal="center" vertical="center"/>
    </xf>
    <xf numFmtId="9" fontId="5" fillId="0" borderId="15" xfId="0" applyNumberFormat="1" applyFont="1" applyBorder="1" applyAlignment="1">
      <alignment horizontal="center" vertical="center"/>
    </xf>
    <xf numFmtId="43" fontId="5" fillId="0" borderId="15" xfId="2" applyFont="1" applyFill="1" applyBorder="1" applyAlignment="1" applyProtection="1">
      <alignment horizontal="center" vertical="center"/>
      <protection locked="0"/>
    </xf>
    <xf numFmtId="43" fontId="5" fillId="0" borderId="15" xfId="2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64" fontId="5" fillId="0" borderId="17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43" fontId="10" fillId="0" borderId="18" xfId="2" applyFont="1" applyFill="1" applyBorder="1" applyAlignment="1">
      <alignment horizontal="center" vertical="center"/>
    </xf>
    <xf numFmtId="43" fontId="5" fillId="0" borderId="18" xfId="2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3" fontId="10" fillId="0" borderId="1" xfId="2" applyFont="1" applyFill="1" applyBorder="1" applyAlignment="1">
      <alignment horizontal="center" vertical="center"/>
    </xf>
    <xf numFmtId="43" fontId="10" fillId="0" borderId="1" xfId="2" applyFont="1" applyBorder="1" applyAlignment="1">
      <alignment horizontal="center" vertical="center"/>
    </xf>
    <xf numFmtId="43" fontId="10" fillId="0" borderId="1" xfId="2" applyFont="1" applyFill="1" applyBorder="1" applyAlignment="1" applyProtection="1">
      <alignment horizontal="center" vertical="center"/>
      <protection locked="0"/>
    </xf>
    <xf numFmtId="164" fontId="5" fillId="0" borderId="20" xfId="0" applyNumberFormat="1" applyFont="1" applyBorder="1" applyAlignment="1">
      <alignment horizontal="center" vertical="center"/>
    </xf>
    <xf numFmtId="43" fontId="5" fillId="0" borderId="21" xfId="2" applyFont="1" applyBorder="1" applyAlignment="1">
      <alignment horizontal="center" vertical="center"/>
    </xf>
    <xf numFmtId="43" fontId="5" fillId="2" borderId="21" xfId="2" applyFont="1" applyFill="1" applyBorder="1" applyAlignment="1">
      <alignment horizontal="center" vertical="center"/>
    </xf>
    <xf numFmtId="9" fontId="5" fillId="0" borderId="21" xfId="0" applyNumberFormat="1" applyFont="1" applyBorder="1" applyAlignment="1">
      <alignment horizontal="center" vertical="center"/>
    </xf>
    <xf numFmtId="43" fontId="10" fillId="0" borderId="21" xfId="2" applyFont="1" applyFill="1" applyBorder="1" applyAlignment="1" applyProtection="1">
      <alignment horizontal="center" vertical="center"/>
      <protection locked="0"/>
    </xf>
    <xf numFmtId="43" fontId="5" fillId="0" borderId="21" xfId="2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43" fontId="4" fillId="0" borderId="23" xfId="2" applyFont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workbookViewId="0">
      <selection activeCell="N2" sqref="N2:N6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12</v>
      </c>
      <c r="D2" s="13">
        <v>2022</v>
      </c>
      <c r="E2" s="15">
        <f>'12 - 2022'!B8-'12 - 2022'!B7+'12 - 2022'!C8-'12 - 2022'!C7</f>
        <v>9945</v>
      </c>
      <c r="F2" s="13">
        <v>0.11799999999999999</v>
      </c>
      <c r="G2" s="15">
        <f>'12 - 2022'!D8-'12 - 2022'!D7+'12 - 2022'!E8-'12 - 2022'!E7</f>
        <v>25.130000000001019</v>
      </c>
      <c r="H2" s="13">
        <v>0.99</v>
      </c>
      <c r="I2" s="15">
        <f>'12 - 2022'!J8-'12 - 2022'!J7</f>
        <v>20369</v>
      </c>
      <c r="J2" s="13">
        <v>8.1000000000000003E-2</v>
      </c>
      <c r="K2" s="21">
        <f>'12 - 2022'!H8-'12 - 2022'!H7</f>
        <v>0</v>
      </c>
      <c r="L2" s="15">
        <f>'12 - 2022'!I8-'12 - 2022'!I7</f>
        <v>104</v>
      </c>
      <c r="M2" s="14">
        <v>4.393629424766913</v>
      </c>
      <c r="N2" s="16">
        <v>50</v>
      </c>
    </row>
    <row r="3" spans="1:23" x14ac:dyDescent="0.25">
      <c r="A3" t="s">
        <v>27</v>
      </c>
      <c r="B3">
        <f>B2+1</f>
        <v>2</v>
      </c>
      <c r="C3" s="13">
        <v>12</v>
      </c>
      <c r="D3" s="13">
        <v>2022</v>
      </c>
      <c r="E3" s="15">
        <f>'12 - 2022'!B9-'12 - 2022'!B8+'12 - 2022'!C9-'12 - 2022'!C8</f>
        <v>9729</v>
      </c>
      <c r="F3" s="13">
        <v>0.11799999999999999</v>
      </c>
      <c r="G3" s="15">
        <f>'12 - 2022'!D9-'12 - 2022'!D8+'12 - 2022'!E9-'12 - 2022'!E8</f>
        <v>23.259999999999309</v>
      </c>
      <c r="H3" s="13">
        <v>0.99</v>
      </c>
      <c r="I3" s="15">
        <f>'12 - 2022'!J9-'12 - 2022'!J8</f>
        <v>20046</v>
      </c>
      <c r="J3" s="13">
        <v>8.1000000000000003E-2</v>
      </c>
      <c r="K3" s="21">
        <f>'12 - 2022'!H9-'12 - 2022'!H8</f>
        <v>0</v>
      </c>
      <c r="L3" s="15">
        <f>'12 - 2022'!I9-'12 - 2022'!I8</f>
        <v>99</v>
      </c>
      <c r="M3" s="14">
        <v>4.393629424766913</v>
      </c>
      <c r="N3" s="39">
        <v>56</v>
      </c>
    </row>
    <row r="4" spans="1:23" x14ac:dyDescent="0.25">
      <c r="A4" t="s">
        <v>27</v>
      </c>
      <c r="B4">
        <f t="shared" ref="B4:B32" si="0">B3+1</f>
        <v>3</v>
      </c>
      <c r="C4" s="13">
        <v>12</v>
      </c>
      <c r="D4" s="13">
        <v>2022</v>
      </c>
      <c r="E4" s="15">
        <f>'12 - 2022'!B10-'12 - 2022'!B9+'12 - 2022'!C10-'12 - 2022'!C9</f>
        <v>9787.5899999999674</v>
      </c>
      <c r="F4" s="13">
        <v>0.11799999999999999</v>
      </c>
      <c r="G4" s="15">
        <f>'12 - 2022'!D10-'12 - 2022'!D9+'12 - 2022'!E10-'12 - 2022'!E9</f>
        <v>21.530000000000655</v>
      </c>
      <c r="H4" s="13">
        <v>0.99</v>
      </c>
      <c r="I4" s="15">
        <f>'12 - 2022'!J10-'12 - 2022'!J9</f>
        <v>21666</v>
      </c>
      <c r="J4" s="13">
        <v>8.1000000000000003E-2</v>
      </c>
      <c r="K4" s="21">
        <f>'12 - 2022'!H10-'12 - 2022'!H9</f>
        <v>0</v>
      </c>
      <c r="L4" s="15">
        <f>'12 - 2022'!I10-'12 - 2022'!I9</f>
        <v>96</v>
      </c>
      <c r="M4" s="14">
        <v>4.393629424766913</v>
      </c>
      <c r="N4" s="16">
        <v>68</v>
      </c>
    </row>
    <row r="5" spans="1:23" x14ac:dyDescent="0.25">
      <c r="A5" t="s">
        <v>27</v>
      </c>
      <c r="B5">
        <f t="shared" si="0"/>
        <v>4</v>
      </c>
      <c r="C5" s="13">
        <v>12</v>
      </c>
      <c r="D5" s="13">
        <v>2022</v>
      </c>
      <c r="E5" s="15">
        <f>'12 - 2022'!B11-'12 - 2022'!B10+'12 - 2022'!C11-'12 - 2022'!C10</f>
        <v>9967.1600000000326</v>
      </c>
      <c r="F5" s="13">
        <v>0.11799999999999999</v>
      </c>
      <c r="G5" s="15">
        <f>'12 - 2022'!D11-'12 - 2022'!D10+'12 - 2022'!E11-'12 - 2022'!E10</f>
        <v>20.6899999999996</v>
      </c>
      <c r="H5" s="13">
        <v>0.99</v>
      </c>
      <c r="I5" s="15">
        <f>'12 - 2022'!J11-'12 - 2022'!J10</f>
        <v>21045</v>
      </c>
      <c r="J5" s="13">
        <v>8.1000000000000003E-2</v>
      </c>
      <c r="K5" s="21">
        <f>'12 - 2022'!H11-'12 - 2022'!H10</f>
        <v>0</v>
      </c>
      <c r="L5" s="15">
        <f>'12 - 2022'!I11-'12 - 2022'!I10</f>
        <v>110</v>
      </c>
      <c r="M5" s="14">
        <v>4.393629424766913</v>
      </c>
      <c r="N5" s="16">
        <v>71</v>
      </c>
      <c r="R5" s="13"/>
    </row>
    <row r="6" spans="1:23" x14ac:dyDescent="0.25">
      <c r="A6" t="s">
        <v>27</v>
      </c>
      <c r="B6">
        <f t="shared" si="0"/>
        <v>5</v>
      </c>
      <c r="C6" s="13">
        <v>12</v>
      </c>
      <c r="D6" s="13">
        <v>2022</v>
      </c>
      <c r="E6" s="15">
        <f>'12 - 2022'!B12-'12 - 2022'!B11+'12 - 2022'!C12-'12 - 2022'!C11</f>
        <v>9768.4499999999534</v>
      </c>
      <c r="F6" s="13">
        <v>0.11799999999999999</v>
      </c>
      <c r="G6" s="15">
        <f>'12 - 2022'!D12-'12 - 2022'!D11+'12 - 2022'!E12-'12 - 2022'!E11</f>
        <v>19.890000000000327</v>
      </c>
      <c r="H6" s="13">
        <v>0.99</v>
      </c>
      <c r="I6" s="15">
        <f>'12 - 2022'!J12-'12 - 2022'!J11</f>
        <v>21038</v>
      </c>
      <c r="J6" s="13">
        <v>8.1000000000000003E-2</v>
      </c>
      <c r="K6" s="21">
        <f>'12 - 2022'!H12-'12 - 2022'!H11</f>
        <v>0</v>
      </c>
      <c r="L6" s="15">
        <f>'12 - 2022'!I12-'12 - 2022'!I11</f>
        <v>84</v>
      </c>
      <c r="M6" s="14">
        <v>4.393629424766913</v>
      </c>
      <c r="N6" s="16">
        <v>76</v>
      </c>
    </row>
    <row r="7" spans="1:23" x14ac:dyDescent="0.25">
      <c r="A7" t="s">
        <v>27</v>
      </c>
      <c r="B7">
        <f t="shared" si="0"/>
        <v>6</v>
      </c>
      <c r="C7" s="13">
        <v>12</v>
      </c>
      <c r="D7" s="13">
        <v>2022</v>
      </c>
      <c r="E7" s="15">
        <v>0</v>
      </c>
      <c r="F7" s="13">
        <v>0.11799999999999999</v>
      </c>
      <c r="G7" s="15">
        <v>0</v>
      </c>
      <c r="H7" s="13">
        <v>0.99</v>
      </c>
      <c r="I7" s="15">
        <v>0</v>
      </c>
      <c r="J7" s="13">
        <v>8.1000000000000003E-2</v>
      </c>
      <c r="K7" s="21">
        <f>'12 - 2022'!H13-'12 - 2022'!H12</f>
        <v>0</v>
      </c>
      <c r="L7" s="15">
        <v>0</v>
      </c>
      <c r="M7" s="14">
        <v>4.393629424766913</v>
      </c>
      <c r="N7" s="16"/>
    </row>
    <row r="8" spans="1:23" x14ac:dyDescent="0.25">
      <c r="A8" t="s">
        <v>27</v>
      </c>
      <c r="B8">
        <f t="shared" si="0"/>
        <v>7</v>
      </c>
      <c r="C8" s="13">
        <v>12</v>
      </c>
      <c r="D8" s="13">
        <v>2022</v>
      </c>
      <c r="E8" s="15">
        <f>'12 - 2022'!B14-'12 - 2022'!B13+'12 - 2022'!C14-'12 - 2022'!C13</f>
        <v>0</v>
      </c>
      <c r="F8" s="13">
        <v>0.11799999999999999</v>
      </c>
      <c r="G8" s="15">
        <f>'12 - 2022'!D14-'12 - 2022'!D13+'12 - 2022'!E14-'12 - 2022'!E13</f>
        <v>0</v>
      </c>
      <c r="H8" s="13">
        <v>0.99</v>
      </c>
      <c r="I8" s="15">
        <f>'12 - 2022'!J14-'12 - 2022'!J13</f>
        <v>0</v>
      </c>
      <c r="J8" s="13">
        <v>8.1000000000000003E-2</v>
      </c>
      <c r="K8" s="21">
        <f>'12 - 2022'!H14-'12 - 2022'!H13</f>
        <v>0</v>
      </c>
      <c r="L8" s="15">
        <f>'12 - 2022'!I14-'12 - 2022'!I13</f>
        <v>0</v>
      </c>
      <c r="M8" s="14">
        <v>4.393629424766913</v>
      </c>
      <c r="N8" s="16"/>
      <c r="O8" s="15"/>
    </row>
    <row r="9" spans="1:23" x14ac:dyDescent="0.25">
      <c r="A9" t="s">
        <v>27</v>
      </c>
      <c r="B9">
        <f t="shared" si="0"/>
        <v>8</v>
      </c>
      <c r="C9" s="13">
        <v>12</v>
      </c>
      <c r="D9" s="13">
        <v>2022</v>
      </c>
      <c r="E9" s="15">
        <f>'12 - 2022'!B15-'12 - 2022'!B14+'12 - 2022'!C15-'12 - 2022'!C14</f>
        <v>0</v>
      </c>
      <c r="F9" s="13">
        <v>0.11799999999999999</v>
      </c>
      <c r="G9" s="15">
        <f>'12 - 2022'!D15-'12 - 2022'!D14+'12 - 2022'!E15-'12 - 2022'!E14</f>
        <v>0</v>
      </c>
      <c r="H9" s="13">
        <v>0.99</v>
      </c>
      <c r="I9" s="15">
        <f>'12 - 2022'!J15-'12 - 2022'!J14</f>
        <v>0</v>
      </c>
      <c r="J9" s="13">
        <v>8.1000000000000003E-2</v>
      </c>
      <c r="K9" s="21">
        <f>'12 - 2022'!H15-'12 - 2022'!H14</f>
        <v>0</v>
      </c>
      <c r="L9" s="15">
        <f>'12 - 2022'!I15-'12 - 2022'!I14</f>
        <v>0</v>
      </c>
      <c r="M9" s="14">
        <v>4.393629424766913</v>
      </c>
      <c r="N9" s="16"/>
    </row>
    <row r="10" spans="1:23" x14ac:dyDescent="0.25">
      <c r="A10" t="s">
        <v>27</v>
      </c>
      <c r="B10">
        <f t="shared" si="0"/>
        <v>9</v>
      </c>
      <c r="C10" s="13">
        <v>12</v>
      </c>
      <c r="D10" s="13">
        <v>2022</v>
      </c>
      <c r="E10" s="15">
        <f>'12 - 2022'!B16-'12 - 2022'!B15+'12 - 2022'!C16-'12 - 2022'!C15</f>
        <v>0</v>
      </c>
      <c r="F10" s="13">
        <v>0.11799999999999999</v>
      </c>
      <c r="G10" s="15">
        <f>'12 - 2022'!D16-'12 - 2022'!D15+'12 - 2022'!E16-'12 - 2022'!E15</f>
        <v>0</v>
      </c>
      <c r="H10" s="13">
        <v>0.99</v>
      </c>
      <c r="I10" s="15">
        <f>'12 - 2022'!J16-'12 - 2022'!J15</f>
        <v>0</v>
      </c>
      <c r="J10" s="13">
        <v>8.1000000000000003E-2</v>
      </c>
      <c r="K10" s="21">
        <f>'12 - 2022'!H16-'12 - 2022'!H15</f>
        <v>0</v>
      </c>
      <c r="L10" s="15">
        <f>'12 - 2022'!I16-'12 - 2022'!I15</f>
        <v>0</v>
      </c>
      <c r="M10" s="14">
        <v>4.393629424766913</v>
      </c>
      <c r="N10" s="16"/>
    </row>
    <row r="11" spans="1:23" x14ac:dyDescent="0.25">
      <c r="A11" t="s">
        <v>27</v>
      </c>
      <c r="B11">
        <f t="shared" si="0"/>
        <v>10</v>
      </c>
      <c r="C11" s="13">
        <v>12</v>
      </c>
      <c r="D11" s="13">
        <v>2022</v>
      </c>
      <c r="E11" s="15">
        <f>'12 - 2022'!B17-'12 - 2022'!B16+'12 - 2022'!C17-'12 - 2022'!C16</f>
        <v>0</v>
      </c>
      <c r="F11" s="13">
        <v>0.11799999999999999</v>
      </c>
      <c r="G11" s="15">
        <f>'12 - 2022'!D17-'12 - 2022'!D16+'12 - 2022'!E17-'12 - 2022'!E16</f>
        <v>0</v>
      </c>
      <c r="H11" s="13">
        <v>0.99</v>
      </c>
      <c r="I11" s="15">
        <f>'12 - 2022'!J17-'12 - 2022'!J16</f>
        <v>0</v>
      </c>
      <c r="J11" s="13">
        <v>8.1000000000000003E-2</v>
      </c>
      <c r="K11" s="21">
        <f>'12 - 2022'!H17-'12 - 2022'!H16</f>
        <v>0</v>
      </c>
      <c r="L11" s="15">
        <f>'12 - 2022'!I17-'12 - 2022'!I16</f>
        <v>0</v>
      </c>
      <c r="M11" s="14">
        <v>4.393629424766913</v>
      </c>
      <c r="N11" s="16"/>
    </row>
    <row r="12" spans="1:23" x14ac:dyDescent="0.25">
      <c r="A12" t="s">
        <v>27</v>
      </c>
      <c r="B12">
        <f t="shared" si="0"/>
        <v>11</v>
      </c>
      <c r="C12" s="13">
        <v>12</v>
      </c>
      <c r="D12" s="13">
        <v>2022</v>
      </c>
      <c r="E12" s="15">
        <f>'12 - 2022'!B18-'12 - 2022'!B17+'12 - 2022'!C18-'12 - 2022'!C17</f>
        <v>0</v>
      </c>
      <c r="F12" s="13">
        <v>0.11799999999999999</v>
      </c>
      <c r="G12" s="15">
        <f>'12 - 2022'!D18-'12 - 2022'!D17+'12 - 2022'!E18-'12 - 2022'!E17</f>
        <v>0</v>
      </c>
      <c r="H12" s="13">
        <v>0.99</v>
      </c>
      <c r="I12" s="15">
        <f>'12 - 2022'!J18-'12 - 2022'!J17</f>
        <v>0</v>
      </c>
      <c r="J12" s="13">
        <v>8.1000000000000003E-2</v>
      </c>
      <c r="K12" s="21">
        <f>'12 - 2022'!H18-'12 - 2022'!H17</f>
        <v>0</v>
      </c>
      <c r="L12" s="15">
        <f>'12 - 2022'!I18-'12 - 2022'!I17</f>
        <v>0</v>
      </c>
      <c r="M12" s="14">
        <v>4.393629424766913</v>
      </c>
      <c r="N12" s="16"/>
      <c r="W12" s="13"/>
    </row>
    <row r="13" spans="1:23" x14ac:dyDescent="0.25">
      <c r="A13" t="s">
        <v>27</v>
      </c>
      <c r="B13">
        <f t="shared" si="0"/>
        <v>12</v>
      </c>
      <c r="C13" s="13">
        <v>12</v>
      </c>
      <c r="D13" s="13">
        <v>2022</v>
      </c>
      <c r="E13" s="15">
        <f>'12 - 2022'!B19-'12 - 2022'!B18+'12 - 2022'!C19-'12 - 2022'!C18</f>
        <v>0</v>
      </c>
      <c r="F13" s="13">
        <v>0.11799999999999999</v>
      </c>
      <c r="G13" s="15">
        <f>'12 - 2022'!D19-'12 - 2022'!D18+'12 - 2022'!E19-'12 - 2022'!E18</f>
        <v>0</v>
      </c>
      <c r="H13" s="13">
        <v>0.99</v>
      </c>
      <c r="I13" s="15">
        <f>'12 - 2022'!J19-'12 - 2022'!J18</f>
        <v>0</v>
      </c>
      <c r="J13" s="13">
        <v>8.1000000000000003E-2</v>
      </c>
      <c r="K13" s="21">
        <f>'12 - 2022'!H19-'12 - 2022'!H18</f>
        <v>0</v>
      </c>
      <c r="L13" s="15">
        <f>'12 - 2022'!I19-'12 - 2022'!I18</f>
        <v>0</v>
      </c>
      <c r="M13" s="14">
        <v>4.393629424766913</v>
      </c>
      <c r="N13" s="16"/>
    </row>
    <row r="14" spans="1:23" x14ac:dyDescent="0.25">
      <c r="A14" t="s">
        <v>27</v>
      </c>
      <c r="B14">
        <f t="shared" si="0"/>
        <v>13</v>
      </c>
      <c r="C14" s="13">
        <v>12</v>
      </c>
      <c r="D14" s="13">
        <v>2022</v>
      </c>
      <c r="E14" s="15">
        <f>'12 - 2022'!B20-'12 - 2022'!B19+'12 - 2022'!C20-'12 - 2022'!C19</f>
        <v>0</v>
      </c>
      <c r="F14" s="13">
        <v>0.11799999999999999</v>
      </c>
      <c r="G14" s="15">
        <f>'12 - 2022'!D20-'12 - 2022'!D19+'12 - 2022'!E20-'12 - 2022'!E19</f>
        <v>0</v>
      </c>
      <c r="H14" s="13">
        <v>0.99</v>
      </c>
      <c r="I14" s="15">
        <f>'12 - 2022'!J20-'12 - 2022'!J19</f>
        <v>0</v>
      </c>
      <c r="J14" s="13">
        <v>8.1000000000000003E-2</v>
      </c>
      <c r="K14" s="21">
        <f>'12 - 2022'!H20-'12 - 2022'!H19</f>
        <v>0</v>
      </c>
      <c r="L14" s="15">
        <f>'12 - 2022'!I20-'12 - 2022'!I19</f>
        <v>0</v>
      </c>
      <c r="M14" s="14">
        <v>4.393629424766913</v>
      </c>
      <c r="N14" s="16"/>
      <c r="O14" s="15"/>
    </row>
    <row r="15" spans="1:23" x14ac:dyDescent="0.25">
      <c r="A15" t="s">
        <v>27</v>
      </c>
      <c r="B15">
        <f t="shared" si="0"/>
        <v>14</v>
      </c>
      <c r="C15" s="13">
        <v>12</v>
      </c>
      <c r="D15" s="13">
        <v>2022</v>
      </c>
      <c r="E15" s="15">
        <f>'12 - 2022'!B21-'12 - 2022'!B20+'12 - 2022'!C21-'12 - 2022'!C20</f>
        <v>0</v>
      </c>
      <c r="F15" s="13">
        <v>0.11799999999999999</v>
      </c>
      <c r="G15" s="15">
        <f>'12 - 2022'!D21-'12 - 2022'!D20+'12 - 2022'!E21-'12 - 2022'!E20</f>
        <v>0</v>
      </c>
      <c r="H15" s="13">
        <v>0.99</v>
      </c>
      <c r="I15" s="15">
        <f>'12 - 2022'!J21-'12 - 2022'!J20</f>
        <v>0</v>
      </c>
      <c r="J15" s="13">
        <v>8.1000000000000003E-2</v>
      </c>
      <c r="K15" s="21">
        <f>'12 - 2022'!H21-'12 - 2022'!H20</f>
        <v>0</v>
      </c>
      <c r="L15" s="15">
        <f>'12 - 2022'!I21-'12 - 2022'!I20</f>
        <v>0</v>
      </c>
      <c r="M15" s="14">
        <v>4.393629424766913</v>
      </c>
      <c r="N15" s="16"/>
      <c r="R15" s="13"/>
    </row>
    <row r="16" spans="1:23" x14ac:dyDescent="0.25">
      <c r="A16" t="s">
        <v>27</v>
      </c>
      <c r="B16">
        <f t="shared" si="0"/>
        <v>15</v>
      </c>
      <c r="C16" s="13">
        <v>12</v>
      </c>
      <c r="D16" s="13">
        <v>2022</v>
      </c>
      <c r="E16" s="15">
        <f>'12 - 2022'!B22-'12 - 2022'!B21+'12 - 2022'!C22-'12 - 2022'!C21</f>
        <v>0</v>
      </c>
      <c r="F16" s="13">
        <v>0.11799999999999999</v>
      </c>
      <c r="G16" s="15">
        <f>'12 - 2022'!D22-'12 - 2022'!D21+'12 - 2022'!E22-'12 - 2022'!E21</f>
        <v>0</v>
      </c>
      <c r="H16" s="13">
        <v>0.99</v>
      </c>
      <c r="I16" s="15">
        <f>'12 - 2022'!J22-'12 - 2022'!J21</f>
        <v>0</v>
      </c>
      <c r="J16" s="13">
        <v>8.1000000000000003E-2</v>
      </c>
      <c r="K16" s="21">
        <f>'12 - 2022'!H22-'12 - 2022'!H21</f>
        <v>0</v>
      </c>
      <c r="L16" s="15">
        <f>'12 - 2022'!I22-'12 - 2022'!I21</f>
        <v>0</v>
      </c>
      <c r="M16" s="14">
        <v>4.393629424766913</v>
      </c>
      <c r="N16" s="16"/>
      <c r="U16" s="13"/>
    </row>
    <row r="17" spans="1:19" x14ac:dyDescent="0.25">
      <c r="A17" t="s">
        <v>27</v>
      </c>
      <c r="B17">
        <f t="shared" si="0"/>
        <v>16</v>
      </c>
      <c r="C17" s="13">
        <v>12</v>
      </c>
      <c r="D17" s="13">
        <v>2022</v>
      </c>
      <c r="E17" s="15">
        <f>'12 - 2022'!B23-'12 - 2022'!B22+'12 - 2022'!C23-'12 - 2022'!C22</f>
        <v>0</v>
      </c>
      <c r="F17" s="13">
        <v>0.11799999999999999</v>
      </c>
      <c r="G17" s="15">
        <f>'12 - 2022'!D23-'12 - 2022'!D22+'12 - 2022'!E23-'12 - 2022'!E22</f>
        <v>0</v>
      </c>
      <c r="H17" s="13">
        <v>0.99</v>
      </c>
      <c r="I17" s="15">
        <f>'12 - 2022'!J23-'12 - 2022'!J22</f>
        <v>0</v>
      </c>
      <c r="J17" s="13">
        <v>8.1000000000000003E-2</v>
      </c>
      <c r="K17" s="21">
        <f>'12 - 2022'!H23-'12 - 2022'!H22</f>
        <v>0</v>
      </c>
      <c r="L17" s="15">
        <f>'12 - 2022'!I23-'12 - 2022'!I22</f>
        <v>0</v>
      </c>
      <c r="M17" s="14">
        <v>4.393629424766913</v>
      </c>
      <c r="N17" s="16"/>
      <c r="O17" s="13"/>
    </row>
    <row r="18" spans="1:19" x14ac:dyDescent="0.25">
      <c r="A18" t="s">
        <v>27</v>
      </c>
      <c r="B18">
        <f t="shared" si="0"/>
        <v>17</v>
      </c>
      <c r="C18" s="13">
        <v>12</v>
      </c>
      <c r="D18" s="13">
        <v>2022</v>
      </c>
      <c r="E18" s="15">
        <f>'12 - 2022'!B24-'12 - 2022'!B23+'12 - 2022'!C24-'12 - 2022'!C23</f>
        <v>0</v>
      </c>
      <c r="F18" s="13">
        <v>0.11799999999999999</v>
      </c>
      <c r="G18" s="15">
        <f>'12 - 2022'!D24-'12 - 2022'!D23+'12 - 2022'!E24-'12 - 2022'!E23</f>
        <v>0</v>
      </c>
      <c r="H18" s="13">
        <v>0.99</v>
      </c>
      <c r="I18" s="15">
        <f>'12 - 2022'!J24-'12 - 2022'!J23</f>
        <v>0</v>
      </c>
      <c r="J18" s="13">
        <v>8.1000000000000003E-2</v>
      </c>
      <c r="K18" s="21">
        <f>'12 - 2022'!H24-'12 - 2022'!H23</f>
        <v>0</v>
      </c>
      <c r="L18" s="15">
        <f>'12 - 2022'!I24-'12 - 2022'!I23</f>
        <v>0</v>
      </c>
      <c r="M18" s="14">
        <v>4.393629424766913</v>
      </c>
      <c r="N18" s="16"/>
      <c r="Q18" s="13"/>
      <c r="S18" s="13"/>
    </row>
    <row r="19" spans="1:19" x14ac:dyDescent="0.25">
      <c r="A19" t="s">
        <v>27</v>
      </c>
      <c r="B19">
        <f>B18+1</f>
        <v>18</v>
      </c>
      <c r="C19" s="13">
        <v>12</v>
      </c>
      <c r="D19" s="13">
        <v>2022</v>
      </c>
      <c r="E19" s="15">
        <f>'12 - 2022'!B25-'12 - 2022'!B24+'12 - 2022'!C25-'12 - 2022'!C24</f>
        <v>0</v>
      </c>
      <c r="F19" s="13">
        <v>0.11799999999999999</v>
      </c>
      <c r="G19" s="15">
        <f>'12 - 2022'!D25-'12 - 2022'!D24+'12 - 2022'!E25-'12 - 2022'!E24</f>
        <v>0</v>
      </c>
      <c r="H19" s="13">
        <v>0.99</v>
      </c>
      <c r="I19" s="15">
        <f>'12 - 2022'!J25-'12 - 2022'!J24</f>
        <v>0</v>
      </c>
      <c r="J19" s="13">
        <v>8.1000000000000003E-2</v>
      </c>
      <c r="K19" s="21">
        <f>'12 - 2022'!H25-'12 - 2022'!H24</f>
        <v>0</v>
      </c>
      <c r="L19" s="15">
        <f>'12 - 2022'!I25-'12 - 2022'!I24</f>
        <v>0</v>
      </c>
      <c r="M19" s="14">
        <v>4.393629424766913</v>
      </c>
      <c r="N19" s="16"/>
    </row>
    <row r="20" spans="1:19" x14ac:dyDescent="0.25">
      <c r="A20" t="s">
        <v>27</v>
      </c>
      <c r="B20">
        <f t="shared" si="0"/>
        <v>19</v>
      </c>
      <c r="C20" s="13">
        <v>12</v>
      </c>
      <c r="D20" s="13">
        <v>2022</v>
      </c>
      <c r="E20" s="15">
        <f>'12 - 2022'!B26-'12 - 2022'!B25+'12 - 2022'!C26-'12 - 2022'!C25</f>
        <v>0</v>
      </c>
      <c r="F20" s="13">
        <v>0.11799999999999999</v>
      </c>
      <c r="G20" s="15">
        <f>'12 - 2022'!D26-'12 - 2022'!D25+'12 - 2022'!E26-'12 - 2022'!E25</f>
        <v>0</v>
      </c>
      <c r="H20" s="13">
        <v>0.99</v>
      </c>
      <c r="I20" s="15">
        <f>'12 - 2022'!J26-'12 - 2022'!J25</f>
        <v>0</v>
      </c>
      <c r="J20" s="13">
        <v>8.1000000000000003E-2</v>
      </c>
      <c r="K20" s="21">
        <f>'12 - 2022'!H26-'12 - 2022'!H25</f>
        <v>0</v>
      </c>
      <c r="L20" s="15">
        <f>'12 - 2022'!I26-'12 - 2022'!I25</f>
        <v>0</v>
      </c>
      <c r="M20" s="14">
        <v>4.393629424766913</v>
      </c>
      <c r="N20" s="16"/>
    </row>
    <row r="21" spans="1:19" x14ac:dyDescent="0.25">
      <c r="A21" t="s">
        <v>27</v>
      </c>
      <c r="B21">
        <f t="shared" si="0"/>
        <v>20</v>
      </c>
      <c r="C21" s="13">
        <v>12</v>
      </c>
      <c r="D21" s="13">
        <v>2022</v>
      </c>
      <c r="E21" s="15">
        <f>'12 - 2022'!B27-'12 - 2022'!B26+'12 - 2022'!C27-'12 - 2022'!C26</f>
        <v>0</v>
      </c>
      <c r="F21" s="13">
        <v>0.11799999999999999</v>
      </c>
      <c r="G21" s="15">
        <f>'12 - 2022'!D27-'12 - 2022'!D26+'12 - 2022'!E27-'12 - 2022'!E26</f>
        <v>0</v>
      </c>
      <c r="H21" s="13">
        <v>0.99</v>
      </c>
      <c r="I21" s="15">
        <f>'12 - 2022'!J27-'12 - 2022'!J26</f>
        <v>0</v>
      </c>
      <c r="J21" s="13">
        <v>8.1000000000000003E-2</v>
      </c>
      <c r="K21" s="21">
        <f>'12 - 2022'!H27-'12 - 2022'!H26</f>
        <v>0</v>
      </c>
      <c r="L21" s="15">
        <f>'12 - 2022'!I27-'12 - 2022'!I26</f>
        <v>0</v>
      </c>
      <c r="M21" s="14">
        <v>4.393629424766913</v>
      </c>
      <c r="N21" s="39"/>
    </row>
    <row r="22" spans="1:19" x14ac:dyDescent="0.25">
      <c r="A22" t="s">
        <v>27</v>
      </c>
      <c r="B22">
        <f t="shared" si="0"/>
        <v>21</v>
      </c>
      <c r="C22" s="13">
        <v>12</v>
      </c>
      <c r="D22" s="13">
        <v>2022</v>
      </c>
      <c r="E22" s="15">
        <f>'12 - 2022'!B28-'12 - 2022'!B27+'12 - 2022'!C28-'12 - 2022'!C27</f>
        <v>0</v>
      </c>
      <c r="F22" s="13">
        <v>0.11799999999999999</v>
      </c>
      <c r="G22" s="15">
        <f>'12 - 2022'!D28-'12 - 2022'!D27+'12 - 2022'!E28-'12 - 2022'!E27</f>
        <v>0</v>
      </c>
      <c r="H22" s="13">
        <v>0.99</v>
      </c>
      <c r="I22" s="15">
        <f>'12 - 2022'!J28-'12 - 2022'!J27</f>
        <v>0</v>
      </c>
      <c r="J22" s="13">
        <v>8.1000000000000003E-2</v>
      </c>
      <c r="K22" s="21">
        <f>'12 - 2022'!H28-'12 - 2022'!H27</f>
        <v>0</v>
      </c>
      <c r="L22" s="15">
        <f>'12 - 2022'!I28-'12 - 2022'!I27</f>
        <v>0</v>
      </c>
      <c r="M22" s="14">
        <v>4.393629424766913</v>
      </c>
      <c r="N22" s="16"/>
    </row>
    <row r="23" spans="1:19" x14ac:dyDescent="0.25">
      <c r="A23" t="s">
        <v>27</v>
      </c>
      <c r="B23">
        <f t="shared" si="0"/>
        <v>22</v>
      </c>
      <c r="C23" s="13">
        <v>12</v>
      </c>
      <c r="D23" s="13">
        <v>2022</v>
      </c>
      <c r="E23" s="15">
        <f>'12 - 2022'!B29-'12 - 2022'!B28+'12 - 2022'!C29-'12 - 2022'!C28</f>
        <v>0</v>
      </c>
      <c r="F23" s="13">
        <v>0.11799999999999999</v>
      </c>
      <c r="G23" s="15">
        <f>'12 - 2022'!D29-'12 - 2022'!D28+'12 - 2022'!E29-'12 - 2022'!E28</f>
        <v>0</v>
      </c>
      <c r="H23" s="13">
        <v>0.99</v>
      </c>
      <c r="I23" s="15">
        <f>'12 - 2022'!J29-'12 - 2022'!J28</f>
        <v>0</v>
      </c>
      <c r="J23" s="13">
        <v>8.1000000000000003E-2</v>
      </c>
      <c r="K23" s="21">
        <f>'12 - 2022'!H29-'12 - 2022'!H28</f>
        <v>0</v>
      </c>
      <c r="L23" s="15">
        <f>'12 - 2022'!I29-'12 - 2022'!I28</f>
        <v>0</v>
      </c>
      <c r="M23" s="14">
        <v>4.393629424766913</v>
      </c>
      <c r="N23" s="16"/>
    </row>
    <row r="24" spans="1:19" x14ac:dyDescent="0.25">
      <c r="A24" t="s">
        <v>27</v>
      </c>
      <c r="B24">
        <f t="shared" si="0"/>
        <v>23</v>
      </c>
      <c r="C24" s="13">
        <v>12</v>
      </c>
      <c r="D24" s="13">
        <v>2022</v>
      </c>
      <c r="E24" s="15">
        <f>'12 - 2022'!B30-'12 - 2022'!B29+'12 - 2022'!C30-'12 - 2022'!C29</f>
        <v>0</v>
      </c>
      <c r="F24" s="13">
        <v>0.11799999999999999</v>
      </c>
      <c r="G24" s="15">
        <f>'12 - 2022'!D30-'12 - 2022'!D29+'12 - 2022'!E30-'12 - 2022'!E29</f>
        <v>0</v>
      </c>
      <c r="H24" s="13">
        <v>0.99</v>
      </c>
      <c r="I24" s="15">
        <f>'12 - 2022'!J30-'12 - 2022'!J29</f>
        <v>0</v>
      </c>
      <c r="J24" s="13">
        <v>8.1000000000000003E-2</v>
      </c>
      <c r="K24" s="21">
        <f>'12 - 2022'!H30-'12 - 2022'!H29</f>
        <v>0</v>
      </c>
      <c r="L24" s="15">
        <f>'12 - 2022'!I30-'12 - 2022'!I29</f>
        <v>0</v>
      </c>
      <c r="M24" s="14">
        <v>4.393629424766913</v>
      </c>
      <c r="N24" s="16"/>
    </row>
    <row r="25" spans="1:19" x14ac:dyDescent="0.25">
      <c r="A25" t="s">
        <v>27</v>
      </c>
      <c r="B25">
        <f t="shared" si="0"/>
        <v>24</v>
      </c>
      <c r="C25" s="13">
        <v>12</v>
      </c>
      <c r="D25" s="13">
        <v>2022</v>
      </c>
      <c r="E25" s="15">
        <f>'12 - 2022'!B31-'12 - 2022'!B30+'12 - 2022'!C31-'12 - 2022'!C30</f>
        <v>0</v>
      </c>
      <c r="F25" s="13">
        <v>0.11799999999999999</v>
      </c>
      <c r="G25" s="15">
        <f>'12 - 2022'!D31-'12 - 2022'!D30+'12 - 2022'!E31-'12 - 2022'!E30</f>
        <v>0</v>
      </c>
      <c r="H25" s="13">
        <v>0.99</v>
      </c>
      <c r="I25" s="15">
        <f>'12 - 2022'!J31-'12 - 2022'!J30</f>
        <v>0</v>
      </c>
      <c r="J25" s="13">
        <v>8.1000000000000003E-2</v>
      </c>
      <c r="K25" s="21">
        <f>'12 - 2022'!H31-'12 - 2022'!H30</f>
        <v>0</v>
      </c>
      <c r="L25" s="15">
        <f>'12 - 2022'!I31-'12 - 2022'!I30</f>
        <v>0</v>
      </c>
      <c r="M25" s="14">
        <v>4.393629424766913</v>
      </c>
      <c r="N25" s="16"/>
      <c r="P25" s="12"/>
    </row>
    <row r="26" spans="1:19" x14ac:dyDescent="0.25">
      <c r="A26" t="s">
        <v>27</v>
      </c>
      <c r="B26">
        <f>B25+1</f>
        <v>25</v>
      </c>
      <c r="C26" s="13">
        <v>12</v>
      </c>
      <c r="D26" s="13">
        <v>2022</v>
      </c>
      <c r="E26" s="15">
        <f>'12 - 2022'!B32-'12 - 2022'!B31+'12 - 2022'!C32-'12 - 2022'!C31</f>
        <v>0</v>
      </c>
      <c r="F26" s="13">
        <v>0.11799999999999999</v>
      </c>
      <c r="G26" s="15">
        <f>'12 - 2022'!D32-'12 - 2022'!D31+'12 - 2022'!E32-'12 - 2022'!E31</f>
        <v>0</v>
      </c>
      <c r="H26" s="13">
        <v>0.99</v>
      </c>
      <c r="I26" s="15">
        <f>'12 - 2022'!J32-'12 - 2022'!J31</f>
        <v>0</v>
      </c>
      <c r="J26" s="13">
        <v>8.1000000000000003E-2</v>
      </c>
      <c r="K26" s="21">
        <f>'12 - 2022'!H32-'12 - 2022'!H31</f>
        <v>0</v>
      </c>
      <c r="L26" s="15">
        <f>'12 - 2022'!I32-'12 - 2022'!I31</f>
        <v>0</v>
      </c>
      <c r="M26" s="14">
        <v>4.393629424766913</v>
      </c>
      <c r="N26" s="16"/>
    </row>
    <row r="27" spans="1:19" x14ac:dyDescent="0.25">
      <c r="A27" t="s">
        <v>27</v>
      </c>
      <c r="B27">
        <f t="shared" si="0"/>
        <v>26</v>
      </c>
      <c r="C27" s="13">
        <v>12</v>
      </c>
      <c r="D27" s="13">
        <v>2022</v>
      </c>
      <c r="E27" s="15">
        <f>'12 - 2022'!B33-'12 - 2022'!B32+'12 - 2022'!C33-'12 - 2022'!C32</f>
        <v>0</v>
      </c>
      <c r="F27" s="13">
        <v>0.11799999999999999</v>
      </c>
      <c r="G27" s="15">
        <f>'12 - 2022'!D33-'12 - 2022'!D32+'12 - 2022'!E33-'12 - 2022'!E32</f>
        <v>0</v>
      </c>
      <c r="H27" s="13">
        <v>0.99</v>
      </c>
      <c r="I27" s="15">
        <f>'12 - 2022'!J33-'12 - 2022'!J32</f>
        <v>0</v>
      </c>
      <c r="J27" s="13">
        <v>8.1000000000000003E-2</v>
      </c>
      <c r="K27" s="21">
        <f>'12 - 2022'!H33-'12 - 2022'!H32</f>
        <v>0</v>
      </c>
      <c r="L27" s="15">
        <f>'12 - 2022'!I33-'12 - 2022'!I32</f>
        <v>0</v>
      </c>
      <c r="M27" s="14">
        <v>4.393629424766913</v>
      </c>
      <c r="N27" s="16"/>
    </row>
    <row r="28" spans="1:19" x14ac:dyDescent="0.25">
      <c r="A28" t="s">
        <v>27</v>
      </c>
      <c r="B28">
        <f t="shared" si="0"/>
        <v>27</v>
      </c>
      <c r="C28" s="13">
        <v>12</v>
      </c>
      <c r="D28" s="13">
        <v>2022</v>
      </c>
      <c r="E28" s="15">
        <f>'12 - 2022'!B34-'12 - 2022'!B33+'12 - 2022'!C34-'12 - 2022'!C33</f>
        <v>0</v>
      </c>
      <c r="F28" s="13">
        <v>0.11799999999999999</v>
      </c>
      <c r="G28" s="15">
        <f>'12 - 2022'!D34-'12 - 2022'!D33+'12 - 2022'!E34-'12 - 2022'!E33</f>
        <v>0</v>
      </c>
      <c r="H28" s="13">
        <v>0.99</v>
      </c>
      <c r="I28" s="15">
        <f>'12 - 2022'!J34-'12 - 2022'!J33</f>
        <v>0</v>
      </c>
      <c r="J28" s="13">
        <v>8.1000000000000003E-2</v>
      </c>
      <c r="K28" s="21">
        <f>'12 - 2022'!H34-'12 - 2022'!H33</f>
        <v>0</v>
      </c>
      <c r="L28" s="15">
        <f>'12 - 2022'!I34-'12 - 2022'!I33</f>
        <v>0</v>
      </c>
      <c r="M28" s="14">
        <v>4.393629424766913</v>
      </c>
      <c r="N28" s="15"/>
    </row>
    <row r="29" spans="1:19" x14ac:dyDescent="0.25">
      <c r="A29" t="s">
        <v>27</v>
      </c>
      <c r="B29">
        <f t="shared" si="0"/>
        <v>28</v>
      </c>
      <c r="C29" s="13">
        <v>12</v>
      </c>
      <c r="D29" s="13">
        <v>2022</v>
      </c>
      <c r="E29" s="15">
        <f>'12 - 2022'!B35-'12 - 2022'!B34+'12 - 2022'!C35-'12 - 2022'!C34</f>
        <v>0</v>
      </c>
      <c r="F29" s="13">
        <v>0.11799999999999999</v>
      </c>
      <c r="G29" s="15">
        <f>'12 - 2022'!D35-'12 - 2022'!D34+'12 - 2022'!E35-'12 - 2022'!E34</f>
        <v>0</v>
      </c>
      <c r="H29" s="13">
        <v>0.99</v>
      </c>
      <c r="I29" s="15">
        <f>'12 - 2022'!J35-'12 - 2022'!J34</f>
        <v>0</v>
      </c>
      <c r="J29" s="13">
        <v>8.1000000000000003E-2</v>
      </c>
      <c r="K29" s="21">
        <f>'12 - 2022'!H35-'12 - 2022'!H34</f>
        <v>0</v>
      </c>
      <c r="L29" s="15">
        <f>'12 - 2022'!I35-'12 - 2022'!I34</f>
        <v>0</v>
      </c>
      <c r="M29" s="14">
        <v>4.393629424766913</v>
      </c>
      <c r="N29" s="17"/>
    </row>
    <row r="30" spans="1:19" x14ac:dyDescent="0.25">
      <c r="A30" s="13" t="s">
        <v>27</v>
      </c>
      <c r="B30" s="13">
        <f t="shared" si="0"/>
        <v>29</v>
      </c>
      <c r="C30" s="13">
        <v>12</v>
      </c>
      <c r="D30" s="13">
        <v>2022</v>
      </c>
      <c r="E30" s="15">
        <f>'12 - 2022'!B36-'12 - 2022'!B35+'12 - 2022'!C36-'12 - 2022'!C35</f>
        <v>0</v>
      </c>
      <c r="F30" s="13">
        <v>0.11799999999999999</v>
      </c>
      <c r="G30" s="15">
        <f>'12 - 2022'!D36-'12 - 2022'!D35+'12 - 2022'!E36-'12 - 2022'!E35</f>
        <v>0</v>
      </c>
      <c r="H30" s="13">
        <v>0.99</v>
      </c>
      <c r="I30" s="15">
        <f>'12 - 2022'!J36-'12 - 2022'!J35</f>
        <v>0</v>
      </c>
      <c r="J30" s="13">
        <v>8.1000000000000003E-2</v>
      </c>
      <c r="K30" s="21">
        <f>'12 - 2022'!H36-'12 - 2022'!H35</f>
        <v>0</v>
      </c>
      <c r="L30" s="15">
        <f>'12 - 2022'!I36-'12 - 2022'!I35</f>
        <v>0</v>
      </c>
      <c r="M30" s="14">
        <v>4.393629424766913</v>
      </c>
    </row>
    <row r="31" spans="1:19" x14ac:dyDescent="0.25">
      <c r="A31" s="13" t="s">
        <v>27</v>
      </c>
      <c r="B31" s="13">
        <f t="shared" si="0"/>
        <v>30</v>
      </c>
      <c r="C31" s="13">
        <v>12</v>
      </c>
      <c r="D31" s="13">
        <v>2022</v>
      </c>
      <c r="E31" s="15">
        <f>'12 - 2022'!B37-'12 - 2022'!B36+'12 - 2022'!C37-'12 - 2022'!C36</f>
        <v>0</v>
      </c>
      <c r="F31" s="13">
        <v>0.11799999999999999</v>
      </c>
      <c r="G31" s="15">
        <f>'12 - 2022'!D37-'12 - 2022'!D36+'12 - 2022'!E37-'12 - 2022'!E36</f>
        <v>0</v>
      </c>
      <c r="H31" s="13">
        <v>0.99</v>
      </c>
      <c r="I31" s="15">
        <f>'12 - 2022'!J37-'12 - 2022'!J36</f>
        <v>0</v>
      </c>
      <c r="J31" s="13">
        <v>8.1000000000000003E-2</v>
      </c>
      <c r="K31" s="21">
        <f>'12 - 2022'!H37-'12 - 2022'!H36</f>
        <v>0</v>
      </c>
      <c r="L31" s="15">
        <f>'12 - 2022'!I37-'12 - 2022'!I36</f>
        <v>0</v>
      </c>
      <c r="M31" s="14">
        <v>4.393629424766913</v>
      </c>
      <c r="N31" s="15"/>
    </row>
    <row r="32" spans="1:19" x14ac:dyDescent="0.25">
      <c r="A32" s="13" t="s">
        <v>27</v>
      </c>
      <c r="B32" s="13">
        <f t="shared" si="0"/>
        <v>31</v>
      </c>
      <c r="C32" s="13">
        <v>12</v>
      </c>
      <c r="D32" s="13">
        <v>2022</v>
      </c>
      <c r="E32" s="15">
        <f>'12 - 2022'!B38-'12 - 2022'!B37+'12 - 2022'!C38-'12 - 2022'!C37</f>
        <v>0</v>
      </c>
      <c r="F32" s="13">
        <v>0.11799999999999999</v>
      </c>
      <c r="G32" s="15">
        <f>'12 - 2022'!D38-'12 - 2022'!D37+'12 - 2022'!E38-'12 - 2022'!E37</f>
        <v>0</v>
      </c>
      <c r="H32" s="13">
        <v>0.99</v>
      </c>
      <c r="I32" s="15">
        <f>'12 - 2022'!J38-'12 - 2022'!J37</f>
        <v>0</v>
      </c>
      <c r="J32" s="13">
        <v>8.1000000000000003E-2</v>
      </c>
      <c r="K32" s="21">
        <f>'12 - 2022'!H38-'12 - 2022'!H37</f>
        <v>0</v>
      </c>
      <c r="L32" s="15">
        <f>'12 - 2022'!I38-'12 - 2022'!I37</f>
        <v>0</v>
      </c>
      <c r="M32" s="14">
        <v>4.393629424766913</v>
      </c>
      <c r="N32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L2" sqref="L2:L6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12</v>
      </c>
      <c r="D2">
        <v>2022</v>
      </c>
      <c r="E2" s="15">
        <f>'12 - 2022'!B8-'12 - 2022'!B7</f>
        <v>4015</v>
      </c>
      <c r="F2" s="15">
        <f>'12 - 2022'!C8-'12 - 2022'!C7</f>
        <v>5930</v>
      </c>
      <c r="G2" s="13">
        <v>0.11799999999999999</v>
      </c>
      <c r="H2" s="15">
        <f>'12 - 2022'!E8-'12 - 2022'!E7</f>
        <v>25.160000000000764</v>
      </c>
      <c r="I2" s="15">
        <f>'12 - 2022'!F8-'12 - 2022'!F7</f>
        <v>8.5399999999999636</v>
      </c>
      <c r="J2" s="15">
        <f>'12 - 2022'!G8-'12 - 2022'!G7</f>
        <v>34.130000000004657</v>
      </c>
      <c r="K2" s="13">
        <v>0.74</v>
      </c>
      <c r="L2" s="16">
        <v>50</v>
      </c>
      <c r="M2" s="10"/>
    </row>
    <row r="3" spans="1:13" x14ac:dyDescent="0.25">
      <c r="A3" t="s">
        <v>27</v>
      </c>
      <c r="B3">
        <f>B2+1</f>
        <v>2</v>
      </c>
      <c r="C3" s="13">
        <v>12</v>
      </c>
      <c r="D3" s="13">
        <v>2022</v>
      </c>
      <c r="E3" s="15">
        <f>'12 - 2022'!B9-'12 - 2022'!B8</f>
        <v>3821</v>
      </c>
      <c r="F3" s="15">
        <f>'12 - 2022'!C9-'12 - 2022'!C8</f>
        <v>5908</v>
      </c>
      <c r="G3" s="13">
        <v>0.11799999999999999</v>
      </c>
      <c r="H3" s="15">
        <f>'12 - 2022'!E9-'12 - 2022'!E8</f>
        <v>23.299999999999272</v>
      </c>
      <c r="I3" s="15">
        <f>'12 - 2022'!F9-'12 - 2022'!F8</f>
        <v>7.8899999999998727</v>
      </c>
      <c r="J3" s="15">
        <f>'12 - 2022'!G9-'12 - 2022'!G8</f>
        <v>28.669999999998254</v>
      </c>
      <c r="K3" s="13">
        <v>0.74</v>
      </c>
      <c r="L3" s="39">
        <v>56</v>
      </c>
      <c r="M3" s="10"/>
    </row>
    <row r="4" spans="1:13" x14ac:dyDescent="0.25">
      <c r="A4" t="s">
        <v>27</v>
      </c>
      <c r="B4">
        <f t="shared" ref="B4:B32" si="0">B3+1</f>
        <v>3</v>
      </c>
      <c r="C4" s="13">
        <v>12</v>
      </c>
      <c r="D4" s="13">
        <v>2022</v>
      </c>
      <c r="E4" s="15">
        <f>'12 - 2022'!B10-'12 - 2022'!B9</f>
        <v>3819</v>
      </c>
      <c r="F4" s="15">
        <f>'12 - 2022'!C10-'12 - 2022'!C9</f>
        <v>5968.5899999999674</v>
      </c>
      <c r="G4" s="13">
        <v>0.11799999999999999</v>
      </c>
      <c r="H4" s="15">
        <f>'12 - 2022'!E10-'12 - 2022'!E9</f>
        <v>21.660000000000764</v>
      </c>
      <c r="I4" s="15">
        <f>'12 - 2022'!F10-'12 - 2022'!F9</f>
        <v>8.5300000000002001</v>
      </c>
      <c r="J4" s="15">
        <f>'12 - 2022'!G10-'12 - 2022'!G9</f>
        <v>28.389999999999418</v>
      </c>
      <c r="K4" s="13">
        <v>0.74</v>
      </c>
      <c r="L4" s="16">
        <v>68</v>
      </c>
      <c r="M4" s="10"/>
    </row>
    <row r="5" spans="1:13" x14ac:dyDescent="0.25">
      <c r="A5" t="s">
        <v>27</v>
      </c>
      <c r="B5">
        <f t="shared" si="0"/>
        <v>4</v>
      </c>
      <c r="C5" s="13">
        <v>12</v>
      </c>
      <c r="D5" s="13">
        <v>2022</v>
      </c>
      <c r="E5" s="15">
        <f>'12 - 2022'!B11-'12 - 2022'!B10</f>
        <v>3898</v>
      </c>
      <c r="F5" s="15">
        <f>'12 - 2022'!C11-'12 - 2022'!C10</f>
        <v>6069.1600000000326</v>
      </c>
      <c r="G5" s="13">
        <v>0.11799999999999999</v>
      </c>
      <c r="H5" s="15">
        <f>'12 - 2022'!E11-'12 - 2022'!E10</f>
        <v>20.710000000000036</v>
      </c>
      <c r="I5" s="15">
        <f>'12 - 2022'!F11-'12 - 2022'!F10</f>
        <v>8.3599999999996726</v>
      </c>
      <c r="J5" s="15">
        <f>'12 - 2022'!G11-'12 - 2022'!G10</f>
        <v>29.480000000003201</v>
      </c>
      <c r="K5" s="13">
        <v>0.74</v>
      </c>
      <c r="L5" s="16">
        <v>71</v>
      </c>
      <c r="M5" s="10"/>
    </row>
    <row r="6" spans="1:13" x14ac:dyDescent="0.25">
      <c r="A6" t="s">
        <v>27</v>
      </c>
      <c r="B6">
        <f t="shared" si="0"/>
        <v>5</v>
      </c>
      <c r="C6" s="13">
        <v>12</v>
      </c>
      <c r="D6" s="13">
        <v>2022</v>
      </c>
      <c r="E6" s="15">
        <f>'12 - 2022'!B12-'12 - 2022'!B11</f>
        <v>3881</v>
      </c>
      <c r="F6" s="15">
        <f>'12 - 2022'!C12-'12 - 2022'!C11</f>
        <v>5887.4499999999534</v>
      </c>
      <c r="G6" s="13">
        <v>0.11799999999999999</v>
      </c>
      <c r="H6" s="15">
        <f>'12 - 2022'!E12-'12 - 2022'!E11</f>
        <v>19.369999999999891</v>
      </c>
      <c r="I6" s="15">
        <f>'12 - 2022'!F12-'12 - 2022'!F11</f>
        <v>7.3700000000003456</v>
      </c>
      <c r="J6" s="15">
        <f>'12 - 2022'!G12-'12 - 2022'!G11</f>
        <v>30.349999999998545</v>
      </c>
      <c r="K6" s="13">
        <v>0.74</v>
      </c>
      <c r="L6" s="16">
        <v>76</v>
      </c>
      <c r="M6" s="11"/>
    </row>
    <row r="7" spans="1:13" x14ac:dyDescent="0.25">
      <c r="A7" t="s">
        <v>27</v>
      </c>
      <c r="B7">
        <f t="shared" si="0"/>
        <v>6</v>
      </c>
      <c r="C7" s="13">
        <v>12</v>
      </c>
      <c r="D7" s="13">
        <v>2022</v>
      </c>
      <c r="E7" s="15">
        <v>0</v>
      </c>
      <c r="F7" s="15">
        <v>0</v>
      </c>
      <c r="G7" s="13">
        <v>0.11799999999999999</v>
      </c>
      <c r="H7" s="15">
        <v>0</v>
      </c>
      <c r="I7" s="15">
        <v>0</v>
      </c>
      <c r="J7" s="15">
        <v>0</v>
      </c>
      <c r="K7" s="13">
        <v>0.74</v>
      </c>
      <c r="L7" s="16"/>
      <c r="M7" s="11"/>
    </row>
    <row r="8" spans="1:13" x14ac:dyDescent="0.25">
      <c r="A8" t="s">
        <v>27</v>
      </c>
      <c r="B8">
        <f t="shared" si="0"/>
        <v>7</v>
      </c>
      <c r="C8" s="13">
        <v>12</v>
      </c>
      <c r="D8" s="13">
        <v>2022</v>
      </c>
      <c r="E8" s="15">
        <f>'12 - 2022'!B14-'12 - 2022'!B13</f>
        <v>0</v>
      </c>
      <c r="F8" s="15">
        <f>'12 - 2022'!C14-'12 - 2022'!C13</f>
        <v>0</v>
      </c>
      <c r="G8" s="13">
        <v>0.11799999999999999</v>
      </c>
      <c r="H8" s="15">
        <f>'12 - 2022'!E14-'12 - 2022'!E13</f>
        <v>0</v>
      </c>
      <c r="I8" s="15">
        <f>'12 - 2022'!F14-'12 - 2022'!F13</f>
        <v>0</v>
      </c>
      <c r="J8" s="15">
        <f>'12 - 2022'!G14-'12 - 2022'!G13</f>
        <v>0</v>
      </c>
      <c r="K8" s="13">
        <v>0.74</v>
      </c>
      <c r="L8" s="16"/>
      <c r="M8" s="11"/>
    </row>
    <row r="9" spans="1:13" x14ac:dyDescent="0.25">
      <c r="A9" t="s">
        <v>27</v>
      </c>
      <c r="B9">
        <f t="shared" si="0"/>
        <v>8</v>
      </c>
      <c r="C9" s="13">
        <v>12</v>
      </c>
      <c r="D9" s="13">
        <v>2022</v>
      </c>
      <c r="E9" s="15">
        <f>'12 - 2022'!B15-'12 - 2022'!B14</f>
        <v>0</v>
      </c>
      <c r="F9" s="15">
        <f>'12 - 2022'!C15-'12 - 2022'!C14</f>
        <v>0</v>
      </c>
      <c r="G9" s="13">
        <v>0.11799999999999999</v>
      </c>
      <c r="H9" s="15">
        <f>'12 - 2022'!E15-'12 - 2022'!E14</f>
        <v>0</v>
      </c>
      <c r="I9" s="15">
        <f>'12 - 2022'!F15-'12 - 2022'!F14</f>
        <v>0</v>
      </c>
      <c r="J9" s="15">
        <f>'12 - 2022'!G15-'12 - 2022'!G14</f>
        <v>0</v>
      </c>
      <c r="K9" s="13">
        <v>0.74</v>
      </c>
      <c r="L9" s="16"/>
      <c r="M9" s="11"/>
    </row>
    <row r="10" spans="1:13" x14ac:dyDescent="0.25">
      <c r="A10" t="s">
        <v>27</v>
      </c>
      <c r="B10">
        <f t="shared" si="0"/>
        <v>9</v>
      </c>
      <c r="C10" s="13">
        <v>12</v>
      </c>
      <c r="D10" s="13">
        <v>2022</v>
      </c>
      <c r="E10" s="15">
        <f>'12 - 2022'!B16-'12 - 2022'!B15</f>
        <v>0</v>
      </c>
      <c r="F10" s="15">
        <f>'12 - 2022'!C16-'12 - 2022'!C15</f>
        <v>0</v>
      </c>
      <c r="G10" s="13">
        <v>0.11799999999999999</v>
      </c>
      <c r="H10" s="15">
        <f>'12 - 2022'!E16-'12 - 2022'!E15</f>
        <v>0</v>
      </c>
      <c r="I10" s="15">
        <f>'12 - 2022'!F16-'12 - 2022'!F15</f>
        <v>0</v>
      </c>
      <c r="J10" s="15">
        <f>'12 - 2022'!G16-'12 - 2022'!G15</f>
        <v>0</v>
      </c>
      <c r="K10" s="13">
        <v>0.74</v>
      </c>
      <c r="L10" s="16"/>
      <c r="M10" s="11"/>
    </row>
    <row r="11" spans="1:13" x14ac:dyDescent="0.25">
      <c r="A11" t="s">
        <v>27</v>
      </c>
      <c r="B11">
        <f t="shared" si="0"/>
        <v>10</v>
      </c>
      <c r="C11" s="13">
        <v>12</v>
      </c>
      <c r="D11" s="13">
        <v>2022</v>
      </c>
      <c r="E11" s="15">
        <f>'12 - 2022'!B17-'12 - 2022'!B16</f>
        <v>0</v>
      </c>
      <c r="F11" s="15">
        <f>'12 - 2022'!C17-'12 - 2022'!C16</f>
        <v>0</v>
      </c>
      <c r="G11" s="13">
        <v>0.11799999999999999</v>
      </c>
      <c r="H11" s="15">
        <f>'12 - 2022'!E17-'12 - 2022'!E16</f>
        <v>0</v>
      </c>
      <c r="I11" s="15">
        <f>'12 - 2022'!F17-'12 - 2022'!F16</f>
        <v>0</v>
      </c>
      <c r="J11" s="15">
        <f>'12 - 2022'!G17-'12 - 2022'!G16</f>
        <v>0</v>
      </c>
      <c r="K11" s="13">
        <v>0.74</v>
      </c>
      <c r="L11" s="16"/>
      <c r="M11" s="11"/>
    </row>
    <row r="12" spans="1:13" x14ac:dyDescent="0.25">
      <c r="A12" t="s">
        <v>27</v>
      </c>
      <c r="B12">
        <f t="shared" si="0"/>
        <v>11</v>
      </c>
      <c r="C12" s="13">
        <v>12</v>
      </c>
      <c r="D12" s="13">
        <v>2022</v>
      </c>
      <c r="E12" s="15">
        <f>'12 - 2022'!B18-'12 - 2022'!B17</f>
        <v>0</v>
      </c>
      <c r="F12" s="15">
        <f>'12 - 2022'!C18-'12 - 2022'!C17</f>
        <v>0</v>
      </c>
      <c r="G12" s="13">
        <v>0.11799999999999999</v>
      </c>
      <c r="H12" s="15">
        <f>'12 - 2022'!E18-'12 - 2022'!E17</f>
        <v>0</v>
      </c>
      <c r="I12" s="15">
        <f>'12 - 2022'!F18-'12 - 2022'!F17</f>
        <v>0</v>
      </c>
      <c r="J12" s="15">
        <f>'12 - 2022'!G18-'12 - 2022'!G17</f>
        <v>0</v>
      </c>
      <c r="K12" s="13">
        <v>0.74</v>
      </c>
      <c r="L12" s="16"/>
      <c r="M12" s="11"/>
    </row>
    <row r="13" spans="1:13" x14ac:dyDescent="0.25">
      <c r="A13" t="s">
        <v>27</v>
      </c>
      <c r="B13">
        <f t="shared" si="0"/>
        <v>12</v>
      </c>
      <c r="C13" s="13">
        <v>12</v>
      </c>
      <c r="D13" s="13">
        <v>2022</v>
      </c>
      <c r="E13" s="15">
        <f>'12 - 2022'!B19-'12 - 2022'!B18</f>
        <v>0</v>
      </c>
      <c r="F13" s="15">
        <f>'12 - 2022'!C19-'12 - 2022'!C18</f>
        <v>0</v>
      </c>
      <c r="G13" s="13">
        <v>0.11799999999999999</v>
      </c>
      <c r="H13" s="15">
        <f>'12 - 2022'!E19-'12 - 2022'!E18</f>
        <v>0</v>
      </c>
      <c r="I13" s="15">
        <f>'12 - 2022'!F19-'12 - 2022'!F18</f>
        <v>0</v>
      </c>
      <c r="J13" s="15">
        <f>'12 - 2022'!G19-'12 - 2022'!G18</f>
        <v>0</v>
      </c>
      <c r="K13" s="13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3">
        <v>12</v>
      </c>
      <c r="D14" s="13">
        <v>2022</v>
      </c>
      <c r="E14" s="15">
        <f>'12 - 2022'!B20-'12 - 2022'!B19</f>
        <v>0</v>
      </c>
      <c r="F14" s="15">
        <f>'12 - 2022'!C20-'12 - 2022'!C19</f>
        <v>0</v>
      </c>
      <c r="G14" s="13">
        <v>0.11799999999999999</v>
      </c>
      <c r="H14" s="15">
        <f>'12 - 2022'!E20-'12 - 2022'!E19</f>
        <v>0</v>
      </c>
      <c r="I14" s="15">
        <f>'12 - 2022'!F20-'12 - 2022'!F19</f>
        <v>0</v>
      </c>
      <c r="J14" s="15">
        <f>'12 - 2022'!G20-'12 - 2022'!G19</f>
        <v>0</v>
      </c>
      <c r="K14" s="13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3">
        <v>12</v>
      </c>
      <c r="D15" s="13">
        <v>2022</v>
      </c>
      <c r="E15" s="15">
        <f>'12 - 2022'!B21-'12 - 2022'!B20</f>
        <v>0</v>
      </c>
      <c r="F15" s="15">
        <f>'12 - 2022'!C21-'12 - 2022'!C20</f>
        <v>0</v>
      </c>
      <c r="G15" s="13">
        <v>0.11799999999999999</v>
      </c>
      <c r="H15" s="15">
        <f>'12 - 2022'!E21-'12 - 2022'!E20</f>
        <v>0</v>
      </c>
      <c r="I15" s="15">
        <f>'12 - 2022'!F21-'12 - 2022'!F20</f>
        <v>0</v>
      </c>
      <c r="J15" s="15">
        <f>'12 - 2022'!G21-'12 - 2022'!G20</f>
        <v>0</v>
      </c>
      <c r="K15" s="13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3">
        <v>12</v>
      </c>
      <c r="D16" s="13">
        <v>2022</v>
      </c>
      <c r="E16" s="15">
        <f>'12 - 2022'!B22-'12 - 2022'!B21</f>
        <v>0</v>
      </c>
      <c r="F16" s="15">
        <f>'12 - 2022'!C22-'12 - 2022'!C21</f>
        <v>0</v>
      </c>
      <c r="G16" s="13">
        <v>0.11799999999999999</v>
      </c>
      <c r="H16" s="15">
        <f>'12 - 2022'!E22-'12 - 2022'!E21</f>
        <v>0</v>
      </c>
      <c r="I16" s="15">
        <f>'12 - 2022'!F22-'12 - 2022'!F21</f>
        <v>0</v>
      </c>
      <c r="J16" s="15">
        <f>'12 - 2022'!G22-'12 - 2022'!G21</f>
        <v>0</v>
      </c>
      <c r="K16" s="13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3">
        <v>12</v>
      </c>
      <c r="D17" s="13">
        <v>2022</v>
      </c>
      <c r="E17" s="15">
        <f>'12 - 2022'!B23-'12 - 2022'!B22</f>
        <v>0</v>
      </c>
      <c r="F17" s="15">
        <f>'12 - 2022'!C23-'12 - 2022'!C22</f>
        <v>0</v>
      </c>
      <c r="G17" s="13">
        <v>0.11799999999999999</v>
      </c>
      <c r="H17" s="15">
        <f>'12 - 2022'!E23-'12 - 2022'!E22</f>
        <v>0</v>
      </c>
      <c r="I17" s="15">
        <f>'12 - 2022'!F23-'12 - 2022'!F22</f>
        <v>0</v>
      </c>
      <c r="J17" s="15">
        <f>'12 - 2022'!G23-'12 - 2022'!G22</f>
        <v>0</v>
      </c>
      <c r="K17" s="13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3">
        <v>12</v>
      </c>
      <c r="D18" s="13">
        <v>2022</v>
      </c>
      <c r="E18" s="15">
        <f>'12 - 2022'!B24-'12 - 2022'!B23</f>
        <v>0</v>
      </c>
      <c r="F18" s="15">
        <f>'12 - 2022'!C24-'12 - 2022'!C23</f>
        <v>0</v>
      </c>
      <c r="G18" s="13">
        <v>0.11799999999999999</v>
      </c>
      <c r="H18" s="15">
        <f>'12 - 2022'!E24-'12 - 2022'!E23</f>
        <v>0</v>
      </c>
      <c r="I18" s="15">
        <f>'12 - 2022'!F24-'12 - 2022'!F23</f>
        <v>0</v>
      </c>
      <c r="J18" s="15">
        <f>'12 - 2022'!G24-'12 - 2022'!G23</f>
        <v>0</v>
      </c>
      <c r="K18" s="13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3">
        <v>12</v>
      </c>
      <c r="D19" s="13">
        <v>2022</v>
      </c>
      <c r="E19" s="15">
        <f>'12 - 2022'!B25-'12 - 2022'!B24</f>
        <v>0</v>
      </c>
      <c r="F19" s="15">
        <f>'12 - 2022'!C25-'12 - 2022'!C24</f>
        <v>0</v>
      </c>
      <c r="G19" s="13">
        <v>0.11799999999999999</v>
      </c>
      <c r="H19" s="15">
        <f>'12 - 2022'!E25-'12 - 2022'!E24</f>
        <v>0</v>
      </c>
      <c r="I19" s="15">
        <f>'12 - 2022'!F25-'12 - 2022'!F24</f>
        <v>0</v>
      </c>
      <c r="J19" s="15">
        <f>'12 - 2022'!G25-'12 - 2022'!G24</f>
        <v>0</v>
      </c>
      <c r="K19" s="13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3">
        <v>12</v>
      </c>
      <c r="D20" s="13">
        <v>2022</v>
      </c>
      <c r="E20" s="15">
        <f>'12 - 2022'!B26-'12 - 2022'!B25</f>
        <v>0</v>
      </c>
      <c r="F20" s="15">
        <f>'12 - 2022'!C26-'12 - 2022'!C25</f>
        <v>0</v>
      </c>
      <c r="G20" s="13">
        <v>0.11799999999999999</v>
      </c>
      <c r="H20" s="15">
        <f>'12 - 2022'!E26-'12 - 2022'!E25</f>
        <v>0</v>
      </c>
      <c r="I20" s="15">
        <f>'12 - 2022'!F26-'12 - 2022'!F25</f>
        <v>0</v>
      </c>
      <c r="J20" s="15">
        <f>'12 - 2022'!G26-'12 - 2022'!G25</f>
        <v>0</v>
      </c>
      <c r="K20" s="13">
        <v>0.74</v>
      </c>
      <c r="L20" s="16"/>
      <c r="M20" s="11"/>
    </row>
    <row r="21" spans="1:13" x14ac:dyDescent="0.25">
      <c r="A21" t="s">
        <v>27</v>
      </c>
      <c r="B21">
        <f t="shared" si="0"/>
        <v>20</v>
      </c>
      <c r="C21" s="13">
        <v>12</v>
      </c>
      <c r="D21" s="13">
        <v>2022</v>
      </c>
      <c r="E21" s="15">
        <f>'12 - 2022'!B27-'12 - 2022'!B26</f>
        <v>0</v>
      </c>
      <c r="F21" s="15">
        <f>'12 - 2022'!C27-'12 - 2022'!C26</f>
        <v>0</v>
      </c>
      <c r="G21" s="13">
        <v>0.11799999999999999</v>
      </c>
      <c r="H21" s="15">
        <f>'12 - 2022'!E27-'12 - 2022'!E26</f>
        <v>0</v>
      </c>
      <c r="I21" s="15">
        <f>'12 - 2022'!F27-'12 - 2022'!F26</f>
        <v>0</v>
      </c>
      <c r="J21" s="15">
        <f>'12 - 2022'!G27-'12 - 2022'!G26</f>
        <v>0</v>
      </c>
      <c r="K21" s="13">
        <v>0.74</v>
      </c>
      <c r="L21" s="39"/>
      <c r="M21" s="11"/>
    </row>
    <row r="22" spans="1:13" x14ac:dyDescent="0.25">
      <c r="A22" t="s">
        <v>27</v>
      </c>
      <c r="B22">
        <f t="shared" si="0"/>
        <v>21</v>
      </c>
      <c r="C22" s="13">
        <v>12</v>
      </c>
      <c r="D22" s="13">
        <v>2022</v>
      </c>
      <c r="E22" s="15">
        <f>'12 - 2022'!B28-'12 - 2022'!B27</f>
        <v>0</v>
      </c>
      <c r="F22" s="15">
        <f>'12 - 2022'!C28-'12 - 2022'!C27</f>
        <v>0</v>
      </c>
      <c r="G22" s="13">
        <v>0.11799999999999999</v>
      </c>
      <c r="H22" s="15">
        <f>'12 - 2022'!E28-'12 - 2022'!E27</f>
        <v>0</v>
      </c>
      <c r="I22" s="15">
        <f>'12 - 2022'!F28-'12 - 2022'!F27</f>
        <v>0</v>
      </c>
      <c r="J22" s="15">
        <f>'12 - 2022'!G28-'12 - 2022'!G27</f>
        <v>0</v>
      </c>
      <c r="K22" s="13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3">
        <v>12</v>
      </c>
      <c r="D23" s="13">
        <v>2022</v>
      </c>
      <c r="E23" s="15">
        <f>'12 - 2022'!B29-'12 - 2022'!B28</f>
        <v>0</v>
      </c>
      <c r="F23" s="15">
        <f>'12 - 2022'!C29-'12 - 2022'!C28</f>
        <v>0</v>
      </c>
      <c r="G23" s="13">
        <v>0.11799999999999999</v>
      </c>
      <c r="H23" s="15">
        <f>'12 - 2022'!E29-'12 - 2022'!E28</f>
        <v>0</v>
      </c>
      <c r="I23" s="15">
        <f>'12 - 2022'!F29-'12 - 2022'!F28</f>
        <v>0</v>
      </c>
      <c r="J23" s="15">
        <f>'12 - 2022'!G29-'12 - 2022'!G28</f>
        <v>0</v>
      </c>
      <c r="K23" s="13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3">
        <v>12</v>
      </c>
      <c r="D24" s="13">
        <v>2022</v>
      </c>
      <c r="E24" s="15">
        <f>'12 - 2022'!B30-'12 - 2022'!B29</f>
        <v>0</v>
      </c>
      <c r="F24" s="15">
        <f>'12 - 2022'!C30-'12 - 2022'!C29</f>
        <v>0</v>
      </c>
      <c r="G24" s="13">
        <v>0.11799999999999999</v>
      </c>
      <c r="H24" s="15">
        <f>'12 - 2022'!E30-'12 - 2022'!E29</f>
        <v>0</v>
      </c>
      <c r="I24" s="15">
        <f>'12 - 2022'!F30-'12 - 2022'!F29</f>
        <v>0</v>
      </c>
      <c r="J24" s="15">
        <f>'12 - 2022'!G30-'12 - 2022'!G29</f>
        <v>0</v>
      </c>
      <c r="K24" s="13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3">
        <v>12</v>
      </c>
      <c r="D25" s="13">
        <v>2022</v>
      </c>
      <c r="E25" s="15">
        <f>'12 - 2022'!B31-'12 - 2022'!B30</f>
        <v>0</v>
      </c>
      <c r="F25" s="15">
        <f>'12 - 2022'!C31-'12 - 2022'!C30</f>
        <v>0</v>
      </c>
      <c r="G25" s="13">
        <v>0.11799999999999999</v>
      </c>
      <c r="H25" s="15">
        <f>'12 - 2022'!E31-'12 - 2022'!E30</f>
        <v>0</v>
      </c>
      <c r="I25" s="15">
        <f>'12 - 2022'!F31-'12 - 2022'!F30</f>
        <v>0</v>
      </c>
      <c r="J25" s="15">
        <f>'12 - 2022'!G31-'12 - 2022'!G30</f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12</v>
      </c>
      <c r="D26" s="13">
        <v>2022</v>
      </c>
      <c r="E26" s="15">
        <f>'12 - 2022'!B32-'12 - 2022'!B31</f>
        <v>0</v>
      </c>
      <c r="F26" s="15">
        <f>'12 - 2022'!C32-'12 - 2022'!C31</f>
        <v>0</v>
      </c>
      <c r="G26" s="13">
        <v>0.11799999999999999</v>
      </c>
      <c r="H26" s="15">
        <f>'12 - 2022'!E32-'12 - 2022'!E31</f>
        <v>0</v>
      </c>
      <c r="I26" s="15">
        <f>'12 - 2022'!F32-'12 - 2022'!F31</f>
        <v>0</v>
      </c>
      <c r="J26" s="15">
        <f>'12 - 2022'!G32-'12 - 2022'!G31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12</v>
      </c>
      <c r="D27" s="13">
        <v>2022</v>
      </c>
      <c r="E27" s="15">
        <f>'12 - 2022'!B33-'12 - 2022'!B32</f>
        <v>0</v>
      </c>
      <c r="F27" s="15">
        <f>'12 - 2022'!C33-'12 - 2022'!C32</f>
        <v>0</v>
      </c>
      <c r="G27" s="13">
        <v>0.11799999999999999</v>
      </c>
      <c r="H27" s="15">
        <f>'12 - 2022'!E33-'12 - 2022'!E32</f>
        <v>0</v>
      </c>
      <c r="I27" s="15">
        <f>'12 - 2022'!F33-'12 - 2022'!F32</f>
        <v>0</v>
      </c>
      <c r="J27" s="15">
        <f>'12 - 2022'!G33-'12 - 2022'!G32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12</v>
      </c>
      <c r="D28" s="13">
        <v>2022</v>
      </c>
      <c r="E28" s="15">
        <f>'12 - 2022'!B34-'12 - 2022'!B33</f>
        <v>0</v>
      </c>
      <c r="F28" s="15">
        <f>'12 - 2022'!C34-'12 - 2022'!C33</f>
        <v>0</v>
      </c>
      <c r="G28" s="13">
        <v>0.11799999999999999</v>
      </c>
      <c r="H28" s="15">
        <f>'12 - 2022'!E34-'12 - 2022'!E33</f>
        <v>0</v>
      </c>
      <c r="I28" s="15">
        <f>'12 - 2022'!F34-'12 - 2022'!F33</f>
        <v>0</v>
      </c>
      <c r="J28" s="15">
        <f>'12 - 2022'!G34-'12 - 2022'!G33</f>
        <v>0</v>
      </c>
      <c r="K28" s="13">
        <v>0.74</v>
      </c>
      <c r="L28" s="15"/>
      <c r="M28" s="11"/>
    </row>
    <row r="29" spans="1:13" x14ac:dyDescent="0.25">
      <c r="A29" t="s">
        <v>27</v>
      </c>
      <c r="B29">
        <f t="shared" si="0"/>
        <v>28</v>
      </c>
      <c r="C29" s="13">
        <v>12</v>
      </c>
      <c r="D29" s="13">
        <v>2022</v>
      </c>
      <c r="E29" s="15">
        <f>'12 - 2022'!B35-'12 - 2022'!B34</f>
        <v>0</v>
      </c>
      <c r="F29" s="15">
        <f>'12 - 2022'!C35-'12 - 2022'!C34</f>
        <v>0</v>
      </c>
      <c r="G29" s="13">
        <v>0.11799999999999999</v>
      </c>
      <c r="H29" s="15">
        <f>'12 - 2022'!E35-'12 - 2022'!E34</f>
        <v>0</v>
      </c>
      <c r="I29" s="15">
        <f>'12 - 2022'!F35-'12 - 2022'!F34</f>
        <v>0</v>
      </c>
      <c r="J29" s="15">
        <f>'12 - 2022'!G35-'12 - 2022'!G34</f>
        <v>0</v>
      </c>
      <c r="K29" s="13">
        <v>0.74</v>
      </c>
      <c r="L29" s="17"/>
      <c r="M29" s="11"/>
    </row>
    <row r="30" spans="1:13" x14ac:dyDescent="0.25">
      <c r="A30" s="13" t="s">
        <v>27</v>
      </c>
      <c r="B30" s="13">
        <f t="shared" si="0"/>
        <v>29</v>
      </c>
      <c r="C30" s="13">
        <v>12</v>
      </c>
      <c r="D30" s="13">
        <v>2022</v>
      </c>
      <c r="E30" s="15">
        <f>'12 - 2022'!B36-'12 - 2022'!B35</f>
        <v>0</v>
      </c>
      <c r="F30" s="15">
        <f>'12 - 2022'!C36-'12 - 2022'!C35</f>
        <v>0</v>
      </c>
      <c r="G30" s="13">
        <v>0.11799999999999999</v>
      </c>
      <c r="H30" s="15">
        <f>'12 - 2022'!E36-'12 - 2022'!E35</f>
        <v>0</v>
      </c>
      <c r="I30" s="15">
        <f>'12 - 2022'!F36-'12 - 2022'!F35</f>
        <v>0</v>
      </c>
      <c r="J30" s="15">
        <f>'12 - 2022'!G36-'12 - 2022'!G35</f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12</v>
      </c>
      <c r="D31" s="13">
        <v>2022</v>
      </c>
      <c r="E31" s="15">
        <f>'12 - 2022'!B37-'12 - 2022'!B36</f>
        <v>0</v>
      </c>
      <c r="F31" s="15">
        <f>'12 - 2022'!C37-'12 - 2022'!C36</f>
        <v>0</v>
      </c>
      <c r="G31" s="13">
        <v>0.11799999999999999</v>
      </c>
      <c r="H31" s="15">
        <f>'12 - 2022'!E37-'12 - 2022'!E36</f>
        <v>0</v>
      </c>
      <c r="I31" s="15">
        <f>'12 - 2022'!F37-'12 - 2022'!F36</f>
        <v>0</v>
      </c>
      <c r="J31" s="15">
        <f>'12 - 2022'!G37-'12 - 2022'!G36</f>
        <v>0</v>
      </c>
      <c r="K31" s="13">
        <v>0.74</v>
      </c>
      <c r="L31" s="15"/>
    </row>
    <row r="32" spans="1:13" x14ac:dyDescent="0.25">
      <c r="A32" s="13" t="s">
        <v>27</v>
      </c>
      <c r="B32" s="13">
        <f t="shared" si="0"/>
        <v>31</v>
      </c>
      <c r="C32" s="13">
        <v>12</v>
      </c>
      <c r="D32" s="13">
        <v>2022</v>
      </c>
      <c r="E32" s="15">
        <f>'12 - 2022'!B38-'12 - 2022'!B37</f>
        <v>0</v>
      </c>
      <c r="F32" s="15">
        <f>'12 - 2022'!C38-'12 - 2022'!C37</f>
        <v>0</v>
      </c>
      <c r="G32" s="13">
        <v>0.11799999999999999</v>
      </c>
      <c r="H32" s="15">
        <f>'12 - 2022'!E38-'12 - 2022'!E37</f>
        <v>0</v>
      </c>
      <c r="I32" s="15">
        <f>'12 - 2022'!F38-'12 - 2022'!F37</f>
        <v>0</v>
      </c>
      <c r="J32" s="15">
        <f>'12 - 2022'!G38-'12 - 2022'!G37</f>
        <v>0</v>
      </c>
      <c r="K32" s="13">
        <v>0.74</v>
      </c>
      <c r="L32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tabSelected="1" zoomScaleNormal="100" workbookViewId="0">
      <selection activeCell="L26" sqref="L26"/>
    </sheetView>
  </sheetViews>
  <sheetFormatPr defaultRowHeight="15" x14ac:dyDescent="0.25"/>
  <cols>
    <col min="1" max="1" width="13.5703125" style="23" customWidth="1"/>
    <col min="2" max="2" width="13.28515625" style="23" customWidth="1"/>
    <col min="3" max="3" width="13.140625" style="23" customWidth="1"/>
    <col min="4" max="4" width="9.85546875" style="23" customWidth="1"/>
    <col min="5" max="5" width="11.42578125" style="23" customWidth="1"/>
    <col min="6" max="6" width="11.7109375" style="23" customWidth="1"/>
    <col min="7" max="7" width="11.28515625" style="23" customWidth="1"/>
    <col min="8" max="8" width="13.5703125" style="23" customWidth="1"/>
    <col min="9" max="9" width="15.140625" style="23" customWidth="1"/>
    <col min="10" max="10" width="14.28515625" style="23" customWidth="1"/>
    <col min="11" max="11" width="16.42578125" style="23" customWidth="1"/>
    <col min="12" max="12" width="39" style="23" customWidth="1"/>
    <col min="13" max="13" width="14.140625" style="23" customWidth="1"/>
    <col min="14" max="16384" width="9.140625" style="23"/>
  </cols>
  <sheetData>
    <row r="1" spans="1:17" x14ac:dyDescent="0.25">
      <c r="H1" s="24"/>
      <c r="I1" s="24"/>
    </row>
    <row r="3" spans="1:17" ht="18.75" x14ac:dyDescent="0.25">
      <c r="A3" s="74" t="s">
        <v>30</v>
      </c>
      <c r="B3" s="74"/>
      <c r="C3" s="74"/>
      <c r="D3" s="74"/>
      <c r="E3" s="74"/>
      <c r="F3" s="74"/>
      <c r="G3" s="74"/>
      <c r="H3" s="74"/>
      <c r="I3" s="74"/>
      <c r="J3" s="74"/>
      <c r="K3" s="47"/>
      <c r="L3" s="47"/>
    </row>
    <row r="4" spans="1:17" ht="16.5" thickBot="1" x14ac:dyDescent="0.3">
      <c r="A4" s="75" t="s">
        <v>37</v>
      </c>
      <c r="B4" s="75"/>
      <c r="C4" s="75"/>
      <c r="D4" s="75"/>
      <c r="E4" s="75"/>
      <c r="F4" s="75"/>
      <c r="G4" s="75"/>
      <c r="H4" s="75"/>
      <c r="I4" s="75"/>
      <c r="J4" s="75"/>
      <c r="K4" s="47"/>
      <c r="L4" s="47"/>
    </row>
    <row r="5" spans="1:17" ht="16.5" thickBot="1" x14ac:dyDescent="0.3">
      <c r="A5" s="48"/>
      <c r="B5" s="76" t="s">
        <v>36</v>
      </c>
      <c r="C5" s="77"/>
      <c r="D5" s="76" t="s">
        <v>0</v>
      </c>
      <c r="E5" s="78"/>
      <c r="F5" s="78"/>
      <c r="G5" s="79"/>
      <c r="H5" s="80" t="s">
        <v>1</v>
      </c>
      <c r="I5" s="81"/>
      <c r="J5" s="25" t="s">
        <v>2</v>
      </c>
      <c r="K5" s="48"/>
      <c r="L5" s="47"/>
    </row>
    <row r="6" spans="1:17" ht="12" customHeight="1" thickBot="1" x14ac:dyDescent="0.3">
      <c r="A6" s="49" t="s">
        <v>3</v>
      </c>
      <c r="B6" s="50" t="s">
        <v>33</v>
      </c>
      <c r="C6" s="51" t="s">
        <v>34</v>
      </c>
      <c r="D6" s="51" t="s">
        <v>4</v>
      </c>
      <c r="E6" s="51" t="s">
        <v>5</v>
      </c>
      <c r="F6" s="51" t="s">
        <v>6</v>
      </c>
      <c r="G6" s="52" t="s">
        <v>7</v>
      </c>
      <c r="H6" s="51" t="s">
        <v>28</v>
      </c>
      <c r="I6" s="51" t="s">
        <v>29</v>
      </c>
      <c r="J6" s="51" t="s">
        <v>8</v>
      </c>
      <c r="K6" s="67" t="s">
        <v>31</v>
      </c>
      <c r="L6" s="68" t="s">
        <v>32</v>
      </c>
    </row>
    <row r="7" spans="1:17" s="27" customFormat="1" ht="12.95" customHeight="1" thickBot="1" x14ac:dyDescent="0.3">
      <c r="A7" s="82">
        <v>44530</v>
      </c>
      <c r="B7" s="83">
        <v>855326</v>
      </c>
      <c r="C7" s="84">
        <v>983814</v>
      </c>
      <c r="D7" s="85">
        <v>0.5</v>
      </c>
      <c r="E7" s="86">
        <v>6408.19</v>
      </c>
      <c r="F7" s="87">
        <v>3984.34</v>
      </c>
      <c r="G7" s="87">
        <v>47991.95</v>
      </c>
      <c r="H7" s="83">
        <v>14528</v>
      </c>
      <c r="I7" s="83">
        <v>179600</v>
      </c>
      <c r="J7" s="83">
        <v>61843296</v>
      </c>
      <c r="K7" s="88"/>
      <c r="L7" s="69"/>
      <c r="M7" s="26"/>
    </row>
    <row r="8" spans="1:17" s="29" customFormat="1" ht="12.95" customHeight="1" thickTop="1" x14ac:dyDescent="0.25">
      <c r="A8" s="89">
        <f>A7+1</f>
        <v>44531</v>
      </c>
      <c r="B8" s="90">
        <v>859341</v>
      </c>
      <c r="C8" s="90">
        <v>989744</v>
      </c>
      <c r="D8" s="91">
        <v>0.47</v>
      </c>
      <c r="E8" s="92">
        <v>6433.35</v>
      </c>
      <c r="F8" s="93">
        <v>3992.88</v>
      </c>
      <c r="G8" s="90">
        <v>48026.080000000002</v>
      </c>
      <c r="H8" s="90">
        <v>14528</v>
      </c>
      <c r="I8" s="90">
        <v>179704</v>
      </c>
      <c r="J8" s="90">
        <v>61863665</v>
      </c>
      <c r="K8" s="94"/>
      <c r="L8" s="55"/>
      <c r="M8" s="28"/>
    </row>
    <row r="9" spans="1:17" s="29" customFormat="1" ht="12.95" customHeight="1" x14ac:dyDescent="0.25">
      <c r="A9" s="53">
        <f t="shared" ref="A9:A38" si="0">A8+1</f>
        <v>44532</v>
      </c>
      <c r="B9" s="42">
        <v>863162</v>
      </c>
      <c r="C9" s="40">
        <v>995652</v>
      </c>
      <c r="D9" s="41">
        <v>0.43</v>
      </c>
      <c r="E9" s="95">
        <v>6456.65</v>
      </c>
      <c r="F9" s="40">
        <v>4000.77</v>
      </c>
      <c r="G9" s="40">
        <v>48054.75</v>
      </c>
      <c r="H9" s="42">
        <v>14528</v>
      </c>
      <c r="I9" s="42">
        <v>179803</v>
      </c>
      <c r="J9" s="42">
        <v>61883711</v>
      </c>
      <c r="K9" s="54"/>
      <c r="L9" s="56"/>
      <c r="M9" s="28"/>
    </row>
    <row r="10" spans="1:17" s="29" customFormat="1" ht="12.95" customHeight="1" x14ac:dyDescent="0.25">
      <c r="A10" s="53">
        <f t="shared" si="0"/>
        <v>44533</v>
      </c>
      <c r="B10" s="42">
        <v>866981</v>
      </c>
      <c r="C10" s="42">
        <v>1001620.59</v>
      </c>
      <c r="D10" s="41">
        <v>0.3</v>
      </c>
      <c r="E10" s="95">
        <v>6478.31</v>
      </c>
      <c r="F10" s="40">
        <v>4009.3</v>
      </c>
      <c r="G10" s="40">
        <v>48083.14</v>
      </c>
      <c r="H10" s="42">
        <v>14528</v>
      </c>
      <c r="I10" s="42">
        <v>179899</v>
      </c>
      <c r="J10" s="40">
        <v>61905377</v>
      </c>
      <c r="K10" s="54"/>
      <c r="L10" s="57"/>
      <c r="M10" s="28"/>
    </row>
    <row r="11" spans="1:17" s="29" customFormat="1" ht="12.95" customHeight="1" x14ac:dyDescent="0.25">
      <c r="A11" s="53">
        <f t="shared" si="0"/>
        <v>44534</v>
      </c>
      <c r="B11" s="42">
        <v>870879</v>
      </c>
      <c r="C11" s="42">
        <v>1007689.75</v>
      </c>
      <c r="D11" s="41">
        <v>0.28000000000000003</v>
      </c>
      <c r="E11" s="95">
        <v>6499.02</v>
      </c>
      <c r="F11" s="40">
        <v>4017.66</v>
      </c>
      <c r="G11" s="40">
        <v>48112.62</v>
      </c>
      <c r="H11" s="42">
        <v>14528</v>
      </c>
      <c r="I11" s="42">
        <v>180009</v>
      </c>
      <c r="J11" s="42">
        <v>61926422</v>
      </c>
      <c r="K11" s="54">
        <v>4200</v>
      </c>
      <c r="L11" s="57"/>
      <c r="M11" s="28"/>
    </row>
    <row r="12" spans="1:17" s="29" customFormat="1" ht="12.95" customHeight="1" x14ac:dyDescent="0.25">
      <c r="A12" s="53">
        <f t="shared" si="0"/>
        <v>44535</v>
      </c>
      <c r="B12" s="42">
        <v>874760</v>
      </c>
      <c r="C12" s="42">
        <v>1013577.2</v>
      </c>
      <c r="D12" s="41">
        <v>0.8</v>
      </c>
      <c r="E12" s="96">
        <v>6518.39</v>
      </c>
      <c r="F12" s="42">
        <v>4025.03</v>
      </c>
      <c r="G12" s="42">
        <v>48142.97</v>
      </c>
      <c r="H12" s="42">
        <v>14528</v>
      </c>
      <c r="I12" s="42">
        <v>180093</v>
      </c>
      <c r="J12" s="42">
        <v>61947460</v>
      </c>
      <c r="K12" s="54"/>
      <c r="L12" s="57"/>
      <c r="M12" s="28"/>
      <c r="N12" s="30"/>
    </row>
    <row r="13" spans="1:17" s="29" customFormat="1" ht="12.95" customHeight="1" x14ac:dyDescent="0.25">
      <c r="A13" s="53">
        <f t="shared" si="0"/>
        <v>44536</v>
      </c>
      <c r="B13" s="42"/>
      <c r="C13" s="40"/>
      <c r="D13" s="41"/>
      <c r="E13" s="95"/>
      <c r="F13" s="40"/>
      <c r="G13" s="40"/>
      <c r="H13" s="42">
        <v>14528</v>
      </c>
      <c r="I13" s="40"/>
      <c r="J13" s="40"/>
      <c r="K13" s="54"/>
      <c r="L13" s="58"/>
      <c r="M13" s="28"/>
      <c r="N13" s="31"/>
      <c r="O13" s="31"/>
      <c r="P13" s="31"/>
      <c r="Q13" s="31"/>
    </row>
    <row r="14" spans="1:17" s="29" customFormat="1" ht="12.95" customHeight="1" x14ac:dyDescent="0.25">
      <c r="A14" s="53">
        <f t="shared" si="0"/>
        <v>44537</v>
      </c>
      <c r="B14" s="42"/>
      <c r="C14" s="42"/>
      <c r="D14" s="41"/>
      <c r="E14" s="95"/>
      <c r="F14" s="40"/>
      <c r="G14" s="40"/>
      <c r="H14" s="42">
        <v>14528</v>
      </c>
      <c r="I14" s="42"/>
      <c r="J14" s="42"/>
      <c r="K14" s="54"/>
      <c r="L14" s="57"/>
      <c r="M14" s="28"/>
      <c r="N14" s="31"/>
      <c r="O14" s="31"/>
      <c r="P14" s="31"/>
      <c r="Q14" s="31"/>
    </row>
    <row r="15" spans="1:17" s="29" customFormat="1" ht="12.95" customHeight="1" x14ac:dyDescent="0.25">
      <c r="A15" s="53">
        <f t="shared" si="0"/>
        <v>44538</v>
      </c>
      <c r="B15" s="42"/>
      <c r="C15" s="42"/>
      <c r="D15" s="41"/>
      <c r="E15" s="40"/>
      <c r="F15" s="59"/>
      <c r="G15" s="40"/>
      <c r="H15" s="42">
        <v>14528</v>
      </c>
      <c r="I15" s="42"/>
      <c r="J15" s="42"/>
      <c r="K15" s="54"/>
      <c r="L15" s="57"/>
      <c r="M15" s="28"/>
      <c r="N15" s="31"/>
      <c r="O15" s="31"/>
      <c r="P15" s="31"/>
      <c r="Q15" s="31"/>
    </row>
    <row r="16" spans="1:17" s="29" customFormat="1" ht="12.95" customHeight="1" x14ac:dyDescent="0.25">
      <c r="A16" s="53">
        <f t="shared" si="0"/>
        <v>44539</v>
      </c>
      <c r="B16" s="42"/>
      <c r="C16" s="42"/>
      <c r="D16" s="41"/>
      <c r="E16" s="40"/>
      <c r="F16" s="59"/>
      <c r="G16" s="40"/>
      <c r="H16" s="42">
        <v>14528</v>
      </c>
      <c r="I16" s="42"/>
      <c r="J16" s="42"/>
      <c r="K16" s="54"/>
      <c r="L16" s="57"/>
      <c r="M16" s="28"/>
      <c r="N16" s="31"/>
      <c r="O16" s="31"/>
      <c r="P16" s="31"/>
      <c r="Q16" s="31"/>
    </row>
    <row r="17" spans="1:19" s="29" customFormat="1" ht="12.95" customHeight="1" x14ac:dyDescent="0.25">
      <c r="A17" s="53">
        <f t="shared" si="0"/>
        <v>44540</v>
      </c>
      <c r="B17" s="40"/>
      <c r="C17" s="40"/>
      <c r="D17" s="41"/>
      <c r="E17" s="40"/>
      <c r="F17" s="59"/>
      <c r="G17" s="40"/>
      <c r="H17" s="42">
        <v>14528</v>
      </c>
      <c r="I17" s="40"/>
      <c r="J17" s="40"/>
      <c r="K17" s="54"/>
      <c r="L17" s="57"/>
      <c r="M17" s="28"/>
      <c r="N17" s="31"/>
      <c r="O17" s="31"/>
      <c r="P17" s="31"/>
      <c r="Q17" s="31"/>
    </row>
    <row r="18" spans="1:19" s="29" customFormat="1" ht="12.95" customHeight="1" x14ac:dyDescent="0.25">
      <c r="A18" s="53">
        <f t="shared" si="0"/>
        <v>44541</v>
      </c>
      <c r="B18" s="42"/>
      <c r="C18" s="42"/>
      <c r="D18" s="41"/>
      <c r="E18" s="40"/>
      <c r="F18" s="40"/>
      <c r="G18" s="40"/>
      <c r="H18" s="42">
        <v>14528</v>
      </c>
      <c r="I18" s="42"/>
      <c r="J18" s="42"/>
      <c r="K18" s="54"/>
      <c r="L18" s="57"/>
      <c r="M18" s="28"/>
      <c r="N18" s="31"/>
      <c r="O18" s="22"/>
      <c r="P18" s="31"/>
      <c r="Q18" s="31"/>
    </row>
    <row r="19" spans="1:19" s="29" customFormat="1" ht="12.95" customHeight="1" x14ac:dyDescent="0.25">
      <c r="A19" s="53">
        <f t="shared" si="0"/>
        <v>44542</v>
      </c>
      <c r="B19" s="42"/>
      <c r="C19" s="42"/>
      <c r="D19" s="41"/>
      <c r="E19" s="40"/>
      <c r="F19" s="40"/>
      <c r="G19" s="40"/>
      <c r="H19" s="42">
        <v>14528</v>
      </c>
      <c r="I19" s="42"/>
      <c r="J19" s="42"/>
      <c r="K19" s="54"/>
      <c r="L19" s="57"/>
      <c r="M19" s="28"/>
      <c r="N19" s="31"/>
      <c r="O19" s="22"/>
      <c r="P19" s="31"/>
      <c r="Q19" s="31"/>
    </row>
    <row r="20" spans="1:19" s="29" customFormat="1" ht="12.95" customHeight="1" x14ac:dyDescent="0.25">
      <c r="A20" s="53">
        <f t="shared" si="0"/>
        <v>44543</v>
      </c>
      <c r="B20" s="44"/>
      <c r="C20" s="44"/>
      <c r="D20" s="41"/>
      <c r="E20" s="42"/>
      <c r="F20" s="42"/>
      <c r="G20" s="45"/>
      <c r="H20" s="42">
        <v>14528</v>
      </c>
      <c r="I20" s="44"/>
      <c r="J20" s="44"/>
      <c r="K20" s="54"/>
      <c r="L20" s="60"/>
      <c r="M20" s="28"/>
      <c r="N20" s="32"/>
      <c r="O20" s="31"/>
      <c r="P20" s="31"/>
      <c r="Q20" s="31"/>
    </row>
    <row r="21" spans="1:19" s="29" customFormat="1" ht="12.95" customHeight="1" x14ac:dyDescent="0.25">
      <c r="A21" s="53">
        <f t="shared" si="0"/>
        <v>44544</v>
      </c>
      <c r="B21" s="44"/>
      <c r="C21" s="44"/>
      <c r="D21" s="41"/>
      <c r="E21" s="45"/>
      <c r="F21" s="40"/>
      <c r="G21" s="45"/>
      <c r="H21" s="42">
        <v>14528</v>
      </c>
      <c r="I21" s="44"/>
      <c r="J21" s="44"/>
      <c r="K21" s="54"/>
      <c r="L21" s="60"/>
      <c r="M21" s="28"/>
      <c r="N21" s="32"/>
      <c r="O21" s="32"/>
      <c r="P21" s="33"/>
      <c r="Q21" s="33"/>
      <c r="S21" s="30"/>
    </row>
    <row r="22" spans="1:19" s="29" customFormat="1" ht="12.95" customHeight="1" x14ac:dyDescent="0.25">
      <c r="A22" s="53">
        <f t="shared" si="0"/>
        <v>44545</v>
      </c>
      <c r="B22" s="42"/>
      <c r="C22" s="42"/>
      <c r="D22" s="41"/>
      <c r="E22" s="40"/>
      <c r="F22" s="40"/>
      <c r="G22" s="45"/>
      <c r="H22" s="42">
        <v>14528</v>
      </c>
      <c r="I22" s="45"/>
      <c r="J22" s="44"/>
      <c r="K22" s="54"/>
      <c r="L22" s="60"/>
      <c r="M22" s="28"/>
      <c r="N22" s="32"/>
      <c r="O22" s="32"/>
      <c r="P22" s="31"/>
      <c r="Q22" s="31"/>
    </row>
    <row r="23" spans="1:19" s="29" customFormat="1" ht="12.95" customHeight="1" x14ac:dyDescent="0.25">
      <c r="A23" s="53">
        <f t="shared" si="0"/>
        <v>44546</v>
      </c>
      <c r="B23" s="44"/>
      <c r="C23" s="44"/>
      <c r="D23" s="41"/>
      <c r="E23" s="45"/>
      <c r="F23" s="40"/>
      <c r="G23" s="45"/>
      <c r="H23" s="42">
        <v>14528</v>
      </c>
      <c r="I23" s="44"/>
      <c r="J23" s="44"/>
      <c r="K23" s="54"/>
      <c r="L23" s="60"/>
      <c r="M23" s="28"/>
      <c r="N23" s="32"/>
      <c r="O23" s="31"/>
      <c r="P23" s="31"/>
      <c r="Q23" s="31"/>
    </row>
    <row r="24" spans="1:19" s="29" customFormat="1" ht="12.95" customHeight="1" x14ac:dyDescent="0.25">
      <c r="A24" s="53">
        <f t="shared" si="0"/>
        <v>44547</v>
      </c>
      <c r="B24" s="44"/>
      <c r="C24" s="44"/>
      <c r="D24" s="41"/>
      <c r="E24" s="45"/>
      <c r="F24" s="40"/>
      <c r="G24" s="45"/>
      <c r="H24" s="42">
        <v>14528</v>
      </c>
      <c r="I24" s="44"/>
      <c r="J24" s="44"/>
      <c r="K24" s="54"/>
      <c r="L24" s="61"/>
      <c r="M24" s="28"/>
      <c r="N24" s="32"/>
      <c r="O24" s="32"/>
      <c r="P24" s="31"/>
      <c r="Q24" s="31"/>
    </row>
    <row r="25" spans="1:19" s="29" customFormat="1" ht="12.95" customHeight="1" x14ac:dyDescent="0.25">
      <c r="A25" s="53">
        <f t="shared" si="0"/>
        <v>44548</v>
      </c>
      <c r="B25" s="45"/>
      <c r="C25" s="45"/>
      <c r="D25" s="41"/>
      <c r="E25" s="45"/>
      <c r="F25" s="40"/>
      <c r="G25" s="45"/>
      <c r="H25" s="42">
        <v>14528</v>
      </c>
      <c r="I25" s="44"/>
      <c r="J25" s="44"/>
      <c r="K25" s="62"/>
      <c r="L25" s="61"/>
      <c r="M25" s="28"/>
      <c r="N25" s="32"/>
      <c r="O25" s="32"/>
      <c r="P25" s="31"/>
      <c r="Q25" s="31"/>
    </row>
    <row r="26" spans="1:19" s="29" customFormat="1" ht="12.95" customHeight="1" x14ac:dyDescent="0.2">
      <c r="A26" s="53">
        <f t="shared" si="0"/>
        <v>44549</v>
      </c>
      <c r="B26" s="45"/>
      <c r="C26" s="45"/>
      <c r="D26" s="43"/>
      <c r="E26" s="45"/>
      <c r="F26" s="40"/>
      <c r="G26" s="45"/>
      <c r="H26" s="42">
        <v>14528</v>
      </c>
      <c r="I26" s="44"/>
      <c r="J26" s="44"/>
      <c r="K26" s="54"/>
      <c r="L26" s="61"/>
      <c r="M26" s="28"/>
      <c r="N26" s="32"/>
      <c r="O26" s="32"/>
      <c r="P26" s="31"/>
      <c r="Q26" s="31"/>
    </row>
    <row r="27" spans="1:19" s="29" customFormat="1" ht="12.95" customHeight="1" x14ac:dyDescent="0.25">
      <c r="A27" s="53">
        <f t="shared" si="0"/>
        <v>44550</v>
      </c>
      <c r="B27" s="44"/>
      <c r="C27" s="44"/>
      <c r="D27" s="41"/>
      <c r="E27" s="45"/>
      <c r="F27" s="40"/>
      <c r="G27" s="45"/>
      <c r="H27" s="42">
        <v>14528</v>
      </c>
      <c r="I27" s="44"/>
      <c r="J27" s="44"/>
      <c r="K27" s="63"/>
      <c r="L27" s="60"/>
      <c r="M27" s="28"/>
    </row>
    <row r="28" spans="1:19" s="29" customFormat="1" ht="12.95" customHeight="1" x14ac:dyDescent="0.25">
      <c r="A28" s="53">
        <f t="shared" si="0"/>
        <v>44551</v>
      </c>
      <c r="B28" s="44"/>
      <c r="C28" s="44"/>
      <c r="D28" s="41"/>
      <c r="E28" s="45"/>
      <c r="F28" s="40"/>
      <c r="G28" s="45"/>
      <c r="H28" s="42">
        <v>14528</v>
      </c>
      <c r="I28" s="44"/>
      <c r="J28" s="44"/>
      <c r="K28" s="54"/>
      <c r="L28" s="60"/>
      <c r="M28" s="28"/>
    </row>
    <row r="29" spans="1:19" s="29" customFormat="1" ht="12.95" customHeight="1" x14ac:dyDescent="0.25">
      <c r="A29" s="53">
        <f t="shared" si="0"/>
        <v>44552</v>
      </c>
      <c r="B29" s="44"/>
      <c r="C29" s="44"/>
      <c r="D29" s="41"/>
      <c r="E29" s="45"/>
      <c r="F29" s="40"/>
      <c r="G29" s="45"/>
      <c r="H29" s="42">
        <v>14528</v>
      </c>
      <c r="I29" s="44"/>
      <c r="J29" s="44"/>
      <c r="K29" s="54"/>
      <c r="L29" s="60"/>
      <c r="M29" s="28"/>
      <c r="N29" s="30"/>
    </row>
    <row r="30" spans="1:19" s="29" customFormat="1" ht="12.95" customHeight="1" x14ac:dyDescent="0.25">
      <c r="A30" s="53">
        <f t="shared" si="0"/>
        <v>44553</v>
      </c>
      <c r="B30" s="44"/>
      <c r="C30" s="44"/>
      <c r="D30" s="41"/>
      <c r="E30" s="45"/>
      <c r="F30" s="40"/>
      <c r="G30" s="45"/>
      <c r="H30" s="42">
        <v>14528</v>
      </c>
      <c r="I30" s="44"/>
      <c r="J30" s="44"/>
      <c r="K30" s="54"/>
      <c r="L30" s="60"/>
      <c r="M30" s="28"/>
    </row>
    <row r="31" spans="1:19" s="29" customFormat="1" ht="12.95" customHeight="1" x14ac:dyDescent="0.25">
      <c r="A31" s="53">
        <f t="shared" si="0"/>
        <v>44554</v>
      </c>
      <c r="B31" s="44"/>
      <c r="C31" s="44"/>
      <c r="D31" s="41"/>
      <c r="E31" s="45"/>
      <c r="F31" s="40"/>
      <c r="G31" s="45"/>
      <c r="H31" s="42">
        <v>14528</v>
      </c>
      <c r="I31" s="44"/>
      <c r="J31" s="44"/>
      <c r="K31" s="54"/>
      <c r="L31" s="60"/>
      <c r="M31" s="28"/>
      <c r="N31" s="30"/>
      <c r="O31" s="30"/>
    </row>
    <row r="32" spans="1:19" s="29" customFormat="1" ht="12.95" customHeight="1" x14ac:dyDescent="0.25">
      <c r="A32" s="53">
        <f t="shared" si="0"/>
        <v>44555</v>
      </c>
      <c r="B32" s="44"/>
      <c r="C32" s="44"/>
      <c r="D32" s="41"/>
      <c r="E32" s="45"/>
      <c r="F32" s="40"/>
      <c r="G32" s="45"/>
      <c r="H32" s="42">
        <v>14528</v>
      </c>
      <c r="I32" s="44"/>
      <c r="J32" s="44"/>
      <c r="K32" s="54"/>
      <c r="L32" s="60"/>
      <c r="M32" s="28"/>
      <c r="N32" s="30"/>
      <c r="O32" s="30"/>
    </row>
    <row r="33" spans="1:16" s="29" customFormat="1" ht="12.95" customHeight="1" x14ac:dyDescent="0.25">
      <c r="A33" s="53">
        <f t="shared" si="0"/>
        <v>44556</v>
      </c>
      <c r="B33" s="44"/>
      <c r="C33" s="44"/>
      <c r="D33" s="41"/>
      <c r="E33" s="45"/>
      <c r="F33" s="40"/>
      <c r="G33" s="45"/>
      <c r="H33" s="42">
        <v>14528</v>
      </c>
      <c r="I33" s="44"/>
      <c r="J33" s="44"/>
      <c r="K33" s="54"/>
      <c r="L33" s="60"/>
      <c r="M33" s="34"/>
      <c r="N33" s="30"/>
      <c r="O33" s="30"/>
    </row>
    <row r="34" spans="1:16" s="29" customFormat="1" ht="12.95" customHeight="1" x14ac:dyDescent="0.25">
      <c r="A34" s="53">
        <f t="shared" si="0"/>
        <v>44557</v>
      </c>
      <c r="B34" s="44"/>
      <c r="C34" s="44"/>
      <c r="D34" s="41"/>
      <c r="E34" s="45"/>
      <c r="F34" s="40"/>
      <c r="G34" s="45"/>
      <c r="H34" s="42">
        <v>14528</v>
      </c>
      <c r="I34" s="45"/>
      <c r="J34" s="45"/>
      <c r="K34" s="54"/>
      <c r="L34" s="64"/>
      <c r="M34" s="34"/>
      <c r="N34" s="30"/>
      <c r="P34" s="30"/>
    </row>
    <row r="35" spans="1:16" s="29" customFormat="1" ht="12.95" customHeight="1" x14ac:dyDescent="0.25">
      <c r="A35" s="53">
        <f>A34+1</f>
        <v>44558</v>
      </c>
      <c r="B35" s="42"/>
      <c r="C35" s="46"/>
      <c r="D35" s="41"/>
      <c r="E35" s="45"/>
      <c r="F35" s="40"/>
      <c r="G35" s="40"/>
      <c r="H35" s="42">
        <v>14528</v>
      </c>
      <c r="I35" s="42"/>
      <c r="J35" s="42"/>
      <c r="K35" s="54"/>
      <c r="L35" s="60"/>
      <c r="M35" s="28"/>
      <c r="N35" s="30"/>
      <c r="O35" s="30"/>
    </row>
    <row r="36" spans="1:16" s="29" customFormat="1" ht="12.95" customHeight="1" x14ac:dyDescent="0.25">
      <c r="A36" s="53">
        <f t="shared" si="0"/>
        <v>44559</v>
      </c>
      <c r="B36" s="42"/>
      <c r="C36" s="46"/>
      <c r="D36" s="41"/>
      <c r="E36" s="97"/>
      <c r="F36" s="40"/>
      <c r="G36" s="40"/>
      <c r="H36" s="42">
        <v>14528</v>
      </c>
      <c r="I36" s="42"/>
      <c r="J36" s="42"/>
      <c r="K36" s="54"/>
      <c r="L36" s="65"/>
      <c r="M36" s="28"/>
      <c r="N36" s="30"/>
      <c r="O36" s="30"/>
    </row>
    <row r="37" spans="1:16" s="29" customFormat="1" ht="12.95" customHeight="1" x14ac:dyDescent="0.25">
      <c r="A37" s="53">
        <f t="shared" si="0"/>
        <v>44560</v>
      </c>
      <c r="B37" s="42"/>
      <c r="C37" s="46"/>
      <c r="D37" s="41"/>
      <c r="E37" s="97"/>
      <c r="F37" s="40"/>
      <c r="G37" s="40"/>
      <c r="H37" s="42">
        <v>14528</v>
      </c>
      <c r="I37" s="42"/>
      <c r="J37" s="42"/>
      <c r="K37" s="54"/>
      <c r="L37" s="60"/>
      <c r="M37" s="28"/>
      <c r="N37" s="30"/>
      <c r="O37" s="30"/>
    </row>
    <row r="38" spans="1:16" s="29" customFormat="1" ht="12.95" customHeight="1" thickBot="1" x14ac:dyDescent="0.3">
      <c r="A38" s="98">
        <f t="shared" si="0"/>
        <v>44561</v>
      </c>
      <c r="B38" s="99"/>
      <c r="C38" s="100"/>
      <c r="D38" s="101"/>
      <c r="E38" s="102"/>
      <c r="F38" s="103"/>
      <c r="G38" s="103"/>
      <c r="H38" s="42">
        <v>14528</v>
      </c>
      <c r="I38" s="99"/>
      <c r="J38" s="99"/>
      <c r="K38" s="104"/>
      <c r="L38" s="105"/>
      <c r="M38" s="23"/>
      <c r="N38" s="30"/>
      <c r="O38" s="30"/>
    </row>
    <row r="39" spans="1:16" s="38" customFormat="1" x14ac:dyDescent="0.25">
      <c r="A39" s="35" t="s">
        <v>35</v>
      </c>
      <c r="B39" s="36">
        <f>B38-B7</f>
        <v>-855326</v>
      </c>
      <c r="C39" s="36">
        <f>C38-C7</f>
        <v>-983814</v>
      </c>
      <c r="D39" s="36"/>
      <c r="E39" s="36">
        <f>E38-E7</f>
        <v>-6408.19</v>
      </c>
      <c r="F39" s="36">
        <f t="shared" ref="F39:J39" si="1">F38-F7</f>
        <v>-3984.34</v>
      </c>
      <c r="G39" s="36">
        <f t="shared" si="1"/>
        <v>-47991.95</v>
      </c>
      <c r="H39" s="36">
        <f t="shared" si="1"/>
        <v>0</v>
      </c>
      <c r="I39" s="36">
        <f t="shared" si="1"/>
        <v>-179600</v>
      </c>
      <c r="J39" s="36">
        <f t="shared" si="1"/>
        <v>-61843296</v>
      </c>
      <c r="K39" s="36">
        <f>SUM(K7:K37)</f>
        <v>4200</v>
      </c>
      <c r="L39" s="47"/>
      <c r="M39" s="23"/>
    </row>
    <row r="40" spans="1:16" s="38" customFormat="1" x14ac:dyDescent="0.25">
      <c r="A40" s="47"/>
      <c r="B40" s="47"/>
      <c r="C40" s="36"/>
      <c r="D40" s="47"/>
      <c r="E40" s="66"/>
      <c r="F40" s="66"/>
      <c r="G40" s="66"/>
      <c r="H40" s="37">
        <f>H39*219.969</f>
        <v>0</v>
      </c>
      <c r="I40" s="36">
        <f>I39*219.969</f>
        <v>-39506432.399999999</v>
      </c>
      <c r="J40" s="66"/>
      <c r="K40" s="47"/>
      <c r="L40" s="47"/>
    </row>
    <row r="41" spans="1:16" x14ac:dyDescent="0.25">
      <c r="A41" s="70"/>
      <c r="B41" s="71"/>
      <c r="C41" s="71"/>
      <c r="D41" s="70"/>
      <c r="E41" s="71"/>
      <c r="F41" s="71"/>
      <c r="G41" s="71"/>
      <c r="H41" s="71"/>
      <c r="I41" s="71"/>
      <c r="J41" s="71"/>
      <c r="K41" s="70"/>
      <c r="L41" s="70"/>
    </row>
    <row r="42" spans="1:16" x14ac:dyDescent="0.25">
      <c r="A42" s="47"/>
      <c r="B42" s="47"/>
      <c r="C42" s="47"/>
      <c r="D42" s="47"/>
      <c r="E42" s="47"/>
      <c r="F42" s="47"/>
      <c r="G42" s="47"/>
      <c r="H42" s="47"/>
      <c r="I42" s="37"/>
      <c r="J42" s="47"/>
      <c r="K42" s="47"/>
      <c r="L42" s="47"/>
    </row>
    <row r="43" spans="1:16" x14ac:dyDescent="0.25">
      <c r="A43" s="47"/>
      <c r="B43" s="47"/>
      <c r="C43" s="66"/>
      <c r="D43" s="47"/>
      <c r="E43" s="47"/>
      <c r="F43" s="47"/>
      <c r="G43" s="47"/>
      <c r="H43" s="47"/>
      <c r="I43" s="47"/>
      <c r="J43" s="47"/>
      <c r="K43" s="47"/>
      <c r="L43" s="47"/>
    </row>
    <row r="44" spans="1:16" x14ac:dyDescent="0.25">
      <c r="A44" s="47"/>
      <c r="B44" s="47"/>
      <c r="C44" s="47"/>
      <c r="D44" s="47"/>
      <c r="E44" s="47"/>
      <c r="F44" s="47"/>
      <c r="G44" s="47"/>
      <c r="H44" s="47"/>
      <c r="I44" s="47"/>
      <c r="J44" s="72"/>
      <c r="K44" s="47"/>
      <c r="L44" s="47"/>
    </row>
    <row r="45" spans="1:16" x14ac:dyDescent="0.25">
      <c r="A45" s="47"/>
      <c r="B45" s="47"/>
      <c r="C45" s="73"/>
      <c r="D45" s="47"/>
      <c r="E45" s="47"/>
      <c r="F45" s="47"/>
      <c r="G45" s="47"/>
      <c r="H45" s="47"/>
      <c r="I45" s="72"/>
      <c r="J45" s="47"/>
      <c r="K45" s="47"/>
      <c r="L45" s="47"/>
    </row>
    <row r="46" spans="1:16" x14ac:dyDescent="0.25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</row>
    <row r="47" spans="1:16" x14ac:dyDescent="0.25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</row>
    <row r="48" spans="1:16" x14ac:dyDescent="0.25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</row>
    <row r="49" spans="1:12" x14ac:dyDescent="0.25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</row>
    <row r="50" spans="1:12" x14ac:dyDescent="0.25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</row>
    <row r="51" spans="1:12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12 - 2022</vt:lpstr>
      <vt:lpstr>'12 - 2022'!Print_Area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2022-12-05T04:48:59Z</dcterms:modified>
</cp:coreProperties>
</file>