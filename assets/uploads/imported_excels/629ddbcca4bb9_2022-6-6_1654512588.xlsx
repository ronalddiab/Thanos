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5200" windowHeight="1198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K38" i="5" s="1"/>
  <c r="L38" i="5" s="1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K31" i="5" s="1"/>
  <c r="F31" i="5"/>
  <c r="J30" i="5"/>
  <c r="H30" i="5"/>
  <c r="F30" i="5"/>
  <c r="J29" i="5"/>
  <c r="H29" i="5"/>
  <c r="F29" i="5"/>
  <c r="J28" i="5"/>
  <c r="H28" i="5"/>
  <c r="F28" i="5"/>
  <c r="J27" i="5"/>
  <c r="K27" i="5" s="1"/>
  <c r="L27" i="5" s="1"/>
  <c r="H27" i="5"/>
  <c r="F27" i="5"/>
  <c r="J26" i="5"/>
  <c r="H26" i="5"/>
  <c r="F26" i="5"/>
  <c r="K26" i="5" s="1"/>
  <c r="L26" i="5" s="1"/>
  <c r="J25" i="5"/>
  <c r="H25" i="5"/>
  <c r="K25" i="5" s="1"/>
  <c r="L25" i="5" s="1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K18" i="5" s="1"/>
  <c r="L18" i="5" s="1"/>
  <c r="J17" i="5"/>
  <c r="H17" i="5"/>
  <c r="F17" i="5"/>
  <c r="J16" i="5"/>
  <c r="H16" i="5"/>
  <c r="F16" i="5"/>
  <c r="J15" i="5"/>
  <c r="H15" i="5"/>
  <c r="K15" i="5" s="1"/>
  <c r="F15" i="5"/>
  <c r="J14" i="5"/>
  <c r="H14" i="5"/>
  <c r="F14" i="5"/>
  <c r="J13" i="5"/>
  <c r="H13" i="5"/>
  <c r="F13" i="5"/>
  <c r="J12" i="5"/>
  <c r="H12" i="5"/>
  <c r="F12" i="5"/>
  <c r="J11" i="5"/>
  <c r="K11" i="5" s="1"/>
  <c r="H11" i="5"/>
  <c r="F11" i="5"/>
  <c r="J10" i="5"/>
  <c r="H10" i="5"/>
  <c r="F10" i="5"/>
  <c r="J9" i="5"/>
  <c r="H9" i="5"/>
  <c r="K9" i="5" s="1"/>
  <c r="L9" i="5" s="1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G39" i="3"/>
  <c r="J8" i="3"/>
  <c r="J38" i="3" s="1"/>
  <c r="G38" i="3"/>
  <c r="G37" i="3"/>
  <c r="G36" i="3"/>
  <c r="J35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I21" i="2"/>
  <c r="J21" i="2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10" i="5"/>
  <c r="L10" i="5" s="1"/>
  <c r="K24" i="5"/>
  <c r="L24" i="5" s="1"/>
  <c r="J7" i="1"/>
  <c r="G29" i="4"/>
  <c r="J22" i="1" s="1"/>
  <c r="O41" i="3"/>
  <c r="G16" i="2"/>
  <c r="G27" i="4"/>
  <c r="J20" i="1" s="1"/>
  <c r="J34" i="3"/>
  <c r="J23" i="3"/>
  <c r="J9" i="3"/>
  <c r="J15" i="3"/>
  <c r="J17" i="3"/>
  <c r="E16" i="1" l="1"/>
  <c r="E10" i="1"/>
  <c r="E15" i="1"/>
  <c r="K14" i="5"/>
  <c r="L14" i="5" s="1"/>
  <c r="K22" i="5"/>
  <c r="K33" i="5"/>
  <c r="L33" i="5" s="1"/>
  <c r="K28" i="5"/>
  <c r="K36" i="5"/>
  <c r="K34" i="5"/>
  <c r="L8" i="1"/>
  <c r="K30" i="5"/>
  <c r="L30" i="5" s="1"/>
  <c r="K35" i="5"/>
  <c r="L35" i="5" s="1"/>
  <c r="H9" i="4"/>
  <c r="J16" i="3"/>
  <c r="J26" i="3"/>
  <c r="J19" i="3"/>
  <c r="J29" i="3"/>
  <c r="J14" i="3"/>
  <c r="J39" i="3"/>
  <c r="J20" i="3"/>
  <c r="J30" i="3"/>
  <c r="J24" i="3"/>
  <c r="J13" i="3"/>
  <c r="J31" i="3"/>
  <c r="J33" i="3"/>
  <c r="J36" i="3"/>
  <c r="J12" i="3"/>
  <c r="M8" i="3"/>
  <c r="J21" i="3"/>
  <c r="J11" i="3"/>
  <c r="J18" i="3"/>
  <c r="J32" i="3"/>
  <c r="J25" i="3"/>
  <c r="J10" i="3"/>
  <c r="P8" i="3"/>
  <c r="J22" i="3"/>
  <c r="J28" i="3"/>
  <c r="J27" i="3"/>
  <c r="E8" i="1"/>
  <c r="E11" i="1"/>
  <c r="E25" i="1"/>
  <c r="G22" i="2"/>
  <c r="K22" i="2" s="1"/>
  <c r="L22" i="2" s="1"/>
  <c r="M22" i="2" s="1"/>
  <c r="E29" i="1"/>
  <c r="D40" i="3"/>
  <c r="L11" i="5"/>
  <c r="L4" i="1"/>
  <c r="L2" i="1"/>
  <c r="K17" i="5"/>
  <c r="L10" i="1" s="1"/>
  <c r="K13" i="5"/>
  <c r="L6" i="1" s="1"/>
  <c r="K32" i="5"/>
  <c r="L25" i="1" s="1"/>
  <c r="K19" i="5"/>
  <c r="L19" i="5" s="1"/>
  <c r="L22" i="5"/>
  <c r="L15" i="1"/>
  <c r="L31" i="5"/>
  <c r="L24" i="1"/>
  <c r="L31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J37" i="3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19" i="1"/>
  <c r="K12" i="5"/>
  <c r="L12" i="5" s="1"/>
  <c r="K23" i="5"/>
  <c r="L23" i="5" s="1"/>
  <c r="K39" i="5"/>
  <c r="L32" i="1" s="1"/>
  <c r="L26" i="1"/>
  <c r="L18" i="1"/>
  <c r="L20" i="1"/>
  <c r="I41" i="5"/>
  <c r="L28" i="5"/>
  <c r="L21" i="1"/>
  <c r="L29" i="1"/>
  <c r="L36" i="5"/>
  <c r="L34" i="5"/>
  <c r="L27" i="1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G3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24" i="2"/>
  <c r="L24" i="2" s="1"/>
  <c r="F18" i="1" s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38" i="2"/>
  <c r="E9" i="1"/>
  <c r="E26" i="1"/>
  <c r="E28" i="1"/>
  <c r="E24" i="1"/>
  <c r="N33" i="1"/>
  <c r="D14" i="4"/>
  <c r="D14" i="5" s="1"/>
  <c r="C40" i="3"/>
  <c r="M33" i="1"/>
  <c r="D40" i="4"/>
  <c r="C10" i="4"/>
  <c r="C10" i="5" s="1"/>
  <c r="C40" i="5" s="1"/>
  <c r="D9" i="5"/>
  <c r="D40" i="5" s="1"/>
  <c r="F29" i="1" l="1"/>
  <c r="F32" i="1"/>
  <c r="F22" i="1"/>
  <c r="L13" i="5"/>
  <c r="L17" i="5"/>
  <c r="L7" i="1"/>
  <c r="L32" i="5"/>
  <c r="L23" i="1"/>
  <c r="L12" i="1"/>
  <c r="L5" i="1"/>
  <c r="L22" i="1"/>
  <c r="L28" i="1"/>
  <c r="L21" i="5"/>
  <c r="M38" i="3"/>
  <c r="M37" i="3"/>
  <c r="M19" i="3"/>
  <c r="Q19" i="3" s="1"/>
  <c r="M15" i="3"/>
  <c r="M17" i="3"/>
  <c r="M31" i="3"/>
  <c r="Q31" i="3" s="1"/>
  <c r="M36" i="3"/>
  <c r="Q36" i="3" s="1"/>
  <c r="M26" i="3"/>
  <c r="M20" i="3"/>
  <c r="Q20" i="3" s="1"/>
  <c r="M10" i="3"/>
  <c r="Q10" i="3" s="1"/>
  <c r="M29" i="3"/>
  <c r="M28" i="3"/>
  <c r="M25" i="3"/>
  <c r="M16" i="3"/>
  <c r="M32" i="3"/>
  <c r="Q32" i="3" s="1"/>
  <c r="M39" i="3"/>
  <c r="Q39" i="3" s="1"/>
  <c r="M23" i="3"/>
  <c r="M30" i="3"/>
  <c r="Q30" i="3" s="1"/>
  <c r="M13" i="3"/>
  <c r="Q13" i="3" s="1"/>
  <c r="R13" i="3" s="1"/>
  <c r="M35" i="3"/>
  <c r="M22" i="3"/>
  <c r="M21" i="3"/>
  <c r="Q21" i="3" s="1"/>
  <c r="M12" i="3"/>
  <c r="Q12" i="3" s="1"/>
  <c r="R12" i="3" s="1"/>
  <c r="M18" i="3"/>
  <c r="Q18" i="3" s="1"/>
  <c r="M14" i="3"/>
  <c r="Q14" i="3" s="1"/>
  <c r="R14" i="3" s="1"/>
  <c r="M34" i="3"/>
  <c r="M24" i="3"/>
  <c r="M33" i="3"/>
  <c r="Q33" i="3" s="1"/>
  <c r="M11" i="3"/>
  <c r="M27" i="3"/>
  <c r="M9" i="3"/>
  <c r="Q26" i="3"/>
  <c r="P14" i="3"/>
  <c r="P34" i="3"/>
  <c r="P10" i="3"/>
  <c r="P35" i="3"/>
  <c r="P27" i="3"/>
  <c r="P38" i="3"/>
  <c r="P37" i="3"/>
  <c r="P19" i="3"/>
  <c r="P30" i="3"/>
  <c r="P26" i="3"/>
  <c r="P21" i="3"/>
  <c r="P15" i="3"/>
  <c r="P25" i="3"/>
  <c r="P17" i="3"/>
  <c r="P31" i="3"/>
  <c r="P18" i="3"/>
  <c r="P12" i="3"/>
  <c r="P29" i="3"/>
  <c r="P28" i="3"/>
  <c r="P16" i="3"/>
  <c r="P36" i="3"/>
  <c r="P9" i="3"/>
  <c r="P22" i="3"/>
  <c r="Q22" i="3" s="1"/>
  <c r="P39" i="3"/>
  <c r="P23" i="3"/>
  <c r="P13" i="3"/>
  <c r="P33" i="3"/>
  <c r="P32" i="3"/>
  <c r="P20" i="3"/>
  <c r="P11" i="3"/>
  <c r="Q11" i="3" s="1"/>
  <c r="P24" i="3"/>
  <c r="F30" i="1"/>
  <c r="M16" i="2"/>
  <c r="L16" i="5"/>
  <c r="L16" i="1"/>
  <c r="L13" i="1"/>
  <c r="L33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H7" i="1" l="1"/>
  <c r="Q37" i="3"/>
  <c r="R37" i="3" s="1"/>
  <c r="L40" i="5"/>
  <c r="Q9" i="3"/>
  <c r="R9" i="3" s="1"/>
  <c r="Q29" i="3"/>
  <c r="Q28" i="3"/>
  <c r="H21" i="1" s="1"/>
  <c r="H5" i="1"/>
  <c r="H30" i="1"/>
  <c r="R11" i="3"/>
  <c r="H4" i="1"/>
  <c r="R22" i="3"/>
  <c r="H15" i="1"/>
  <c r="R31" i="3"/>
  <c r="H24" i="1"/>
  <c r="R19" i="3"/>
  <c r="H12" i="1"/>
  <c r="R32" i="3"/>
  <c r="H25" i="1"/>
  <c r="R30" i="3"/>
  <c r="H23" i="1"/>
  <c r="R36" i="3"/>
  <c r="H29" i="1"/>
  <c r="R28" i="3"/>
  <c r="R20" i="3"/>
  <c r="H13" i="1"/>
  <c r="R21" i="3"/>
  <c r="H14" i="1"/>
  <c r="R29" i="3"/>
  <c r="H22" i="1"/>
  <c r="R18" i="3"/>
  <c r="H11" i="1"/>
  <c r="R33" i="3"/>
  <c r="H26" i="1"/>
  <c r="Q27" i="3"/>
  <c r="Q16" i="3"/>
  <c r="Q25" i="3"/>
  <c r="Q17" i="3"/>
  <c r="R39" i="3"/>
  <c r="H32" i="1"/>
  <c r="Q35" i="3"/>
  <c r="Q15" i="3"/>
  <c r="H19" i="1"/>
  <c r="R26" i="3"/>
  <c r="R10" i="3"/>
  <c r="H3" i="1"/>
  <c r="Q24" i="3"/>
  <c r="Q34" i="3"/>
  <c r="H6" i="1"/>
  <c r="Q23" i="3"/>
  <c r="Q38" i="3"/>
  <c r="H40" i="4"/>
  <c r="M8" i="2"/>
  <c r="M39" i="2" s="1"/>
  <c r="F2" i="1"/>
  <c r="F33" i="1" s="1"/>
  <c r="H2" i="1" l="1"/>
  <c r="R23" i="3"/>
  <c r="H16" i="1"/>
  <c r="H10" i="1"/>
  <c r="R17" i="3"/>
  <c r="R38" i="3"/>
  <c r="H31" i="1"/>
  <c r="R25" i="3"/>
  <c r="H18" i="1"/>
  <c r="H20" i="1"/>
  <c r="R27" i="3"/>
  <c r="R15" i="3"/>
  <c r="H8" i="1"/>
  <c r="H28" i="1"/>
  <c r="R35" i="3"/>
  <c r="R34" i="3"/>
  <c r="H27" i="1"/>
  <c r="R16" i="3"/>
  <c r="H9" i="1"/>
  <c r="R24" i="3"/>
  <c r="H17" i="1"/>
  <c r="R40" i="3" l="1"/>
  <c r="H33" i="1"/>
</calcChain>
</file>

<file path=xl/sharedStrings.xml><?xml version="1.0" encoding="utf-8"?>
<sst xmlns="http://schemas.openxmlformats.org/spreadsheetml/2006/main" count="120" uniqueCount="60">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</sst>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:D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3</v>
      </c>
      <c r="D2" s="7">
        <v>2020</v>
      </c>
      <c r="E2" s="9">
        <f>Electricity!F8+Electricity!I8</f>
        <v>9939.9999999995998</v>
      </c>
      <c r="F2" s="10">
        <f>Electricity!L8/TOTAL!E2</f>
        <v>1231.8699698189109</v>
      </c>
      <c r="G2" s="9">
        <f>Gas!F9+Gas!I9+Gas!L9+Gas!O9</f>
        <v>226.8083182640145</v>
      </c>
      <c r="H2" s="10">
        <f>Gas!Q9/TOTAL!G2</f>
        <v>10630.000000000002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213</v>
      </c>
      <c r="L2" s="10">
        <f>Water!K9/TOTAL!K2</f>
        <v>4359.8873239436616</v>
      </c>
      <c r="M2" s="9">
        <f>Electricity!C8</f>
        <v>27</v>
      </c>
      <c r="N2" s="9">
        <f>Electricity!D8</f>
        <v>173</v>
      </c>
    </row>
    <row r="3" spans="1:14" x14ac:dyDescent="0.25">
      <c r="A3" s="6" t="s">
        <v>14</v>
      </c>
      <c r="B3" s="7">
        <f>B2+1</f>
        <v>2</v>
      </c>
      <c r="C3" s="8">
        <v>3</v>
      </c>
      <c r="D3" s="7">
        <v>2020</v>
      </c>
      <c r="E3" s="9">
        <f>Electricity!F9+Electricity!I9</f>
        <v>10099.999999999454</v>
      </c>
      <c r="F3" s="10">
        <f>Electricity!L9/TOTAL!E3</f>
        <v>1239.4217326732585</v>
      </c>
      <c r="G3" s="9">
        <f>Gas!F10+Gas!I10+Gas!L10+Gas!O10</f>
        <v>204.52079566003619</v>
      </c>
      <c r="H3" s="10">
        <f>Gas!Q10/TOTAL!G3</f>
        <v>10630.000000000002</v>
      </c>
      <c r="I3" s="9">
        <f>'Fuel Diesel'!F10</f>
        <v>80</v>
      </c>
      <c r="J3" s="11">
        <f>'Fuel Diesel'!G10/'Fuel Diesel'!F10</f>
        <v>10700</v>
      </c>
      <c r="K3" s="9">
        <f>Water!E10+Water!G10+Water!I10</f>
        <v>225</v>
      </c>
      <c r="L3" s="10">
        <f>Water!K10/TOTAL!K3</f>
        <v>4383.28</v>
      </c>
      <c r="M3" s="9">
        <f>Electricity!C9</f>
        <v>32</v>
      </c>
      <c r="N3" s="9">
        <f>Electricity!D9</f>
        <v>156</v>
      </c>
    </row>
    <row r="4" spans="1:14" x14ac:dyDescent="0.25">
      <c r="A4" s="6" t="s">
        <v>14</v>
      </c>
      <c r="B4" s="7">
        <f t="shared" ref="B4:B30" si="0">B3+1</f>
        <v>3</v>
      </c>
      <c r="C4" s="8">
        <v>3</v>
      </c>
      <c r="D4" s="7">
        <v>2020</v>
      </c>
      <c r="E4" s="9">
        <f>Electricity!F10+Electricity!I10</f>
        <v>10120.0000000008</v>
      </c>
      <c r="F4" s="10">
        <f>Electricity!L10/TOTAL!E4</f>
        <v>1238.097826086961</v>
      </c>
      <c r="G4" s="9">
        <f>Gas!F11+Gas!I11+Gas!L11+Gas!O11</f>
        <v>218.94213381555156</v>
      </c>
      <c r="H4" s="10">
        <f>Gas!Q11/TOTAL!G4</f>
        <v>10630.000000000002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223</v>
      </c>
      <c r="L4" s="10">
        <f>Water!K11/TOTAL!K4</f>
        <v>4257.8116591928247</v>
      </c>
      <c r="M4" s="9">
        <f>Electricity!C10</f>
        <v>29</v>
      </c>
      <c r="N4" s="9">
        <f>Electricity!D10</f>
        <v>167</v>
      </c>
    </row>
    <row r="5" spans="1:14" x14ac:dyDescent="0.25">
      <c r="A5" s="6" t="s">
        <v>14</v>
      </c>
      <c r="B5" s="7">
        <f t="shared" si="0"/>
        <v>4</v>
      </c>
      <c r="C5" s="8">
        <v>3</v>
      </c>
      <c r="D5" s="7">
        <v>2020</v>
      </c>
      <c r="E5" s="9">
        <f>Electricity!F11+Electricity!I11</f>
        <v>9879.9999999991996</v>
      </c>
      <c r="F5" s="10">
        <f>Electricity!L11/TOTAL!E5</f>
        <v>1239.3509615384571</v>
      </c>
      <c r="G5" s="9">
        <f>Gas!F12+Gas!I12+Gas!L12+Gas!O12</f>
        <v>174.36708860759495</v>
      </c>
      <c r="H5" s="10">
        <f>Gas!Q12/TOTAL!G5</f>
        <v>10630.000000000002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198</v>
      </c>
      <c r="L5" s="10">
        <f>Water!K12/TOTAL!K5</f>
        <v>4338.757575757576</v>
      </c>
      <c r="M5" s="9">
        <f>Electricity!C11</f>
        <v>26</v>
      </c>
      <c r="N5" s="9">
        <f>Electricity!D11</f>
        <v>133</v>
      </c>
    </row>
    <row r="6" spans="1:14" x14ac:dyDescent="0.25">
      <c r="A6" s="6" t="s">
        <v>14</v>
      </c>
      <c r="B6" s="7">
        <f t="shared" si="0"/>
        <v>5</v>
      </c>
      <c r="C6" s="8">
        <v>3</v>
      </c>
      <c r="D6" s="7">
        <v>2020</v>
      </c>
      <c r="E6" s="9">
        <f>Electricity!F12+Electricity!I12</f>
        <v>9760.0000000002183</v>
      </c>
      <c r="F6" s="10">
        <f>Electricity!L12/TOTAL!E6</f>
        <v>1237.0829918032937</v>
      </c>
      <c r="G6" s="9">
        <f>Gas!F13+Gas!I13+Gas!L13+Gas!O13</f>
        <v>161.25678119349007</v>
      </c>
      <c r="H6" s="10">
        <f>Gas!Q13/TOTAL!G6</f>
        <v>10630.000000000002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203</v>
      </c>
      <c r="L6" s="10">
        <f>Water!K13/TOTAL!K6</f>
        <v>4283.2118226600987</v>
      </c>
      <c r="M6" s="9">
        <f>Electricity!C12</f>
        <v>27</v>
      </c>
      <c r="N6" s="9">
        <f>Electricity!D12</f>
        <v>123</v>
      </c>
    </row>
    <row r="7" spans="1:14" x14ac:dyDescent="0.25">
      <c r="A7" s="6" t="s">
        <v>14</v>
      </c>
      <c r="B7" s="7">
        <f t="shared" si="0"/>
        <v>6</v>
      </c>
      <c r="C7" s="8">
        <v>3</v>
      </c>
      <c r="D7" s="7">
        <v>2020</v>
      </c>
      <c r="E7" s="9">
        <f>Electricity!F13+Electricity!I13</f>
        <v>9720.0000000002547</v>
      </c>
      <c r="F7" s="10">
        <f>Electricity!L13/TOTAL!E7</f>
        <v>1233.9708333333247</v>
      </c>
      <c r="G7" s="9">
        <f>Gas!F14+Gas!I14+Gas!L14+Gas!O14</f>
        <v>174.36708860759495</v>
      </c>
      <c r="H7" s="10">
        <f>Gas!Q14/TOTAL!G7</f>
        <v>10630.000000000002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201</v>
      </c>
      <c r="L7" s="10">
        <f>Water!K14/TOTAL!K7</f>
        <v>4286.0298507462685</v>
      </c>
      <c r="M7" s="9">
        <f>Electricity!C13</f>
        <v>24</v>
      </c>
      <c r="N7" s="9">
        <f>Electricity!D13</f>
        <v>133</v>
      </c>
    </row>
    <row r="8" spans="1:14" x14ac:dyDescent="0.25">
      <c r="A8" s="6" t="s">
        <v>14</v>
      </c>
      <c r="B8" s="7">
        <f t="shared" si="0"/>
        <v>7</v>
      </c>
      <c r="C8" s="8">
        <v>3</v>
      </c>
      <c r="D8" s="7">
        <v>2020</v>
      </c>
      <c r="E8" s="9">
        <f>Electricity!F14+Electricity!I14</f>
        <v>9060.0000000008549</v>
      </c>
      <c r="F8" s="10">
        <f>Electricity!L14/TOTAL!E8</f>
        <v>1234.59944812361</v>
      </c>
      <c r="G8" s="9">
        <f>Gas!F15+Gas!I15+Gas!L15+Gas!O15</f>
        <v>157.3236889692586</v>
      </c>
      <c r="H8" s="10">
        <f>Gas!Q15/TOTAL!G8</f>
        <v>10630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198</v>
      </c>
      <c r="L8" s="10">
        <f>Water!K15/TOTAL!K8</f>
        <v>4193.575757575758</v>
      </c>
      <c r="M8" s="9">
        <f>Electricity!C14</f>
        <v>24</v>
      </c>
      <c r="N8" s="9">
        <f>Electricity!D14</f>
        <v>120</v>
      </c>
    </row>
    <row r="9" spans="1:14" x14ac:dyDescent="0.25">
      <c r="A9" s="6" t="s">
        <v>14</v>
      </c>
      <c r="B9" s="7">
        <f t="shared" si="0"/>
        <v>8</v>
      </c>
      <c r="C9" s="8">
        <v>3</v>
      </c>
      <c r="D9" s="7">
        <v>2020</v>
      </c>
      <c r="E9" s="9">
        <f>Electricity!F15+Electricity!I15</f>
        <v>8979.9999999991087</v>
      </c>
      <c r="F9" s="10">
        <f>Electricity!L15/TOTAL!E9</f>
        <v>1235.4506681514561</v>
      </c>
      <c r="G9" s="9">
        <f>Gas!F16+Gas!I16+Gas!L16+Gas!O16</f>
        <v>125.85895117540687</v>
      </c>
      <c r="H9" s="10">
        <f>Gas!Q16/TOTAL!G9</f>
        <v>10630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232</v>
      </c>
      <c r="L9" s="10">
        <f>Water!K16/TOTAL!K9</f>
        <v>4247.8103448275861</v>
      </c>
      <c r="M9" s="9">
        <f>Electricity!C15</f>
        <v>17</v>
      </c>
      <c r="N9" s="9">
        <f>Electricity!D15</f>
        <v>96</v>
      </c>
    </row>
    <row r="10" spans="1:14" x14ac:dyDescent="0.25">
      <c r="A10" s="6" t="s">
        <v>14</v>
      </c>
      <c r="B10" s="7">
        <f t="shared" si="0"/>
        <v>9</v>
      </c>
      <c r="C10" s="8">
        <v>3</v>
      </c>
      <c r="D10" s="7">
        <v>2020</v>
      </c>
      <c r="E10" s="9">
        <f>Electricity!F16+Electricity!I16</f>
        <v>8940.0000000005093</v>
      </c>
      <c r="F10" s="10">
        <f>Electricity!L16/TOTAL!E10</f>
        <v>1234.6078859060349</v>
      </c>
      <c r="G10" s="9">
        <f>Gas!F17+Gas!I17+Gas!L17+Gas!O17</f>
        <v>132.41410488245933</v>
      </c>
      <c r="H10" s="10">
        <f>Gas!Q17/TOTAL!G10</f>
        <v>10629.999999999998</v>
      </c>
      <c r="I10" s="9">
        <f>'Fuel Diesel'!F17</f>
        <v>48</v>
      </c>
      <c r="J10" s="11">
        <f>'Fuel Diesel'!G17/'Fuel Diesel'!F17</f>
        <v>10700</v>
      </c>
      <c r="K10" s="9">
        <f>Water!E17+Water!G17+Water!I17</f>
        <v>235</v>
      </c>
      <c r="L10" s="10">
        <f>Water!K17/TOTAL!K10</f>
        <v>5875.6255319148941</v>
      </c>
      <c r="M10" s="9">
        <f>Electricity!C16</f>
        <v>14</v>
      </c>
      <c r="N10" s="9">
        <f>Electricity!D16</f>
        <v>101</v>
      </c>
    </row>
    <row r="11" spans="1:14" x14ac:dyDescent="0.25">
      <c r="A11" s="6" t="s">
        <v>14</v>
      </c>
      <c r="B11" s="7">
        <f t="shared" si="0"/>
        <v>10</v>
      </c>
      <c r="C11" s="8">
        <v>3</v>
      </c>
      <c r="D11" s="7">
        <v>2020</v>
      </c>
      <c r="E11" s="9">
        <f>Electricity!F17+Electricity!I17</f>
        <v>9019.9999999990723</v>
      </c>
      <c r="F11" s="10">
        <f>Electricity!L17/TOTAL!E11</f>
        <v>1237.5487804878117</v>
      </c>
      <c r="G11" s="9">
        <f>Gas!F18+Gas!I18+Gas!L18+Gas!O18</f>
        <v>115.37070524412297</v>
      </c>
      <c r="H11" s="10">
        <f>Gas!Q18/TOTAL!G11</f>
        <v>10629.999999999998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218</v>
      </c>
      <c r="L11" s="10">
        <f>Water!K18/TOTAL!K11</f>
        <v>5494.440366972477</v>
      </c>
      <c r="M11" s="9">
        <f>Electricity!C17</f>
        <v>15</v>
      </c>
      <c r="N11" s="9">
        <f>Electricity!D17</f>
        <v>88</v>
      </c>
    </row>
    <row r="12" spans="1:14" x14ac:dyDescent="0.25">
      <c r="A12" s="6" t="s">
        <v>14</v>
      </c>
      <c r="B12" s="7">
        <f t="shared" si="0"/>
        <v>11</v>
      </c>
      <c r="C12" s="8">
        <v>3</v>
      </c>
      <c r="D12" s="7">
        <v>2020</v>
      </c>
      <c r="E12" s="9">
        <f>Electricity!F18+Electricity!I18</f>
        <v>9100.0000000008185</v>
      </c>
      <c r="F12" s="10">
        <f>Electricity!L18/TOTAL!E12</f>
        <v>1236.682857142845</v>
      </c>
      <c r="G12" s="9">
        <f>Gas!F19+Gas!I19+Gas!L19+Gas!O19</f>
        <v>117.99276672694394</v>
      </c>
      <c r="H12" s="10">
        <f>Gas!Q19/TOTAL!G12</f>
        <v>10630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214</v>
      </c>
      <c r="L12" s="10">
        <f>Water!K19/TOTAL!K12</f>
        <v>5611.9252336448599</v>
      </c>
      <c r="M12" s="9">
        <f>Electricity!C18</f>
        <v>15</v>
      </c>
      <c r="N12" s="9">
        <f>Electricity!D18</f>
        <v>90</v>
      </c>
    </row>
    <row r="13" spans="1:14" x14ac:dyDescent="0.25">
      <c r="A13" s="6" t="s">
        <v>14</v>
      </c>
      <c r="B13" s="7">
        <f t="shared" si="0"/>
        <v>12</v>
      </c>
      <c r="C13" s="8">
        <v>3</v>
      </c>
      <c r="D13" s="7">
        <v>2020</v>
      </c>
      <c r="E13" s="9">
        <f>Electricity!F19+Electricity!I19</f>
        <v>8200.0000000002728</v>
      </c>
      <c r="F13" s="10">
        <f>Electricity!L19/TOTAL!E13</f>
        <v>1233.5078048780545</v>
      </c>
      <c r="G13" s="9">
        <f>Gas!F20+Gas!I20+Gas!L20+Gas!O20</f>
        <v>99.638336347197111</v>
      </c>
      <c r="H13" s="10">
        <f>Gas!Q20/TOTAL!G13</f>
        <v>10630.000000000002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204</v>
      </c>
      <c r="L13" s="10">
        <f>Water!K20/TOTAL!K13</f>
        <v>4046.9705882352941</v>
      </c>
      <c r="M13" s="9">
        <f>Electricity!C19</f>
        <v>16</v>
      </c>
      <c r="N13" s="9">
        <f>Electricity!D19</f>
        <v>76</v>
      </c>
    </row>
    <row r="14" spans="1:14" x14ac:dyDescent="0.25">
      <c r="A14" s="6" t="s">
        <v>14</v>
      </c>
      <c r="B14" s="7">
        <f t="shared" si="0"/>
        <v>13</v>
      </c>
      <c r="C14" s="8">
        <v>3</v>
      </c>
      <c r="D14" s="7">
        <v>2020</v>
      </c>
      <c r="E14" s="9">
        <f>Electricity!F20+Electricity!I20</f>
        <v>7919.999999999618</v>
      </c>
      <c r="F14" s="10">
        <f>Electricity!L20/TOTAL!E14</f>
        <v>1206.6451388888963</v>
      </c>
      <c r="G14" s="9">
        <f>Gas!F21+Gas!I21+Gas!L21+Gas!O21</f>
        <v>141.59132007233273</v>
      </c>
      <c r="H14" s="10">
        <f>Gas!Q21/TOTAL!G14</f>
        <v>10630.000000000004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210</v>
      </c>
      <c r="L14" s="10">
        <f>Water!K21/TOTAL!K14</f>
        <v>4638.8</v>
      </c>
      <c r="M14" s="9">
        <f>Electricity!C20</f>
        <v>17</v>
      </c>
      <c r="N14" s="9">
        <f>Electricity!D20</f>
        <v>108</v>
      </c>
    </row>
    <row r="15" spans="1:14" x14ac:dyDescent="0.25">
      <c r="A15" s="6" t="s">
        <v>14</v>
      </c>
      <c r="B15" s="7">
        <f t="shared" si="0"/>
        <v>14</v>
      </c>
      <c r="C15" s="8">
        <v>3</v>
      </c>
      <c r="D15" s="7">
        <v>2020</v>
      </c>
      <c r="E15" s="9">
        <f>Electricity!F21+Electricity!I21</f>
        <v>7399.9999999996362</v>
      </c>
      <c r="F15" s="10">
        <f>Electricity!L21/TOTAL!E15</f>
        <v>1177.531418918921</v>
      </c>
      <c r="G15" s="9">
        <f>Gas!F22+Gas!I22+Gas!L22+Gas!O22</f>
        <v>121.9258589511754</v>
      </c>
      <c r="H15" s="10">
        <f>Gas!Q22/TOTAL!G15</f>
        <v>10629.999999999998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224</v>
      </c>
      <c r="L15" s="10">
        <f>Water!K22/TOTAL!K15</f>
        <v>5711.0714285714284</v>
      </c>
      <c r="M15" s="9">
        <f>Electricity!C21</f>
        <v>18</v>
      </c>
      <c r="N15" s="9">
        <f>Electricity!D21</f>
        <v>93</v>
      </c>
    </row>
    <row r="16" spans="1:14" x14ac:dyDescent="0.25">
      <c r="A16" s="6" t="s">
        <v>14</v>
      </c>
      <c r="B16" s="7">
        <f t="shared" si="0"/>
        <v>15</v>
      </c>
      <c r="C16" s="8">
        <v>3</v>
      </c>
      <c r="D16" s="7">
        <v>2020</v>
      </c>
      <c r="E16" s="9">
        <f>Electricity!F22+Electricity!I22</f>
        <v>8400.0000000005457</v>
      </c>
      <c r="F16" s="10">
        <f>Electricity!L22/TOTAL!E16</f>
        <v>1238.0388690476152</v>
      </c>
      <c r="G16" s="9">
        <f>Gas!F23+Gas!I23+Gas!L23+Gas!O23</f>
        <v>104.88245931283906</v>
      </c>
      <c r="H16" s="10">
        <f>Gas!Q23/TOTAL!G16</f>
        <v>10629.999999999998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245</v>
      </c>
      <c r="L16" s="10">
        <f>Water!K23/TOTAL!K16</f>
        <v>5564.408163265306</v>
      </c>
      <c r="M16" s="9">
        <f>Electricity!C22</f>
        <v>13</v>
      </c>
      <c r="N16" s="9">
        <f>Electricity!D22</f>
        <v>80</v>
      </c>
    </row>
    <row r="17" spans="1:14" x14ac:dyDescent="0.25">
      <c r="A17" s="6" t="s">
        <v>14</v>
      </c>
      <c r="B17" s="7">
        <f t="shared" si="0"/>
        <v>16</v>
      </c>
      <c r="C17" s="8">
        <v>3</v>
      </c>
      <c r="D17" s="7">
        <v>2020</v>
      </c>
      <c r="E17" s="9">
        <f>Electricity!F23+Electricity!I23</f>
        <v>8559.9999999990359</v>
      </c>
      <c r="F17" s="10">
        <f>Electricity!L23/TOTAL!E17</f>
        <v>1234.857943925248</v>
      </c>
      <c r="G17" s="9">
        <f>Gas!F24+Gas!I24+Gas!L24+Gas!O24</f>
        <v>104.88245931283906</v>
      </c>
      <c r="H17" s="10">
        <f>Gas!Q24/TOTAL!G17</f>
        <v>10629.999999999998</v>
      </c>
      <c r="I17" s="9">
        <f>'Fuel Diesel'!F24</f>
        <v>48</v>
      </c>
      <c r="J17" s="11">
        <f>'Fuel Diesel'!G24/'Fuel Diesel'!F24</f>
        <v>10700</v>
      </c>
      <c r="K17" s="9">
        <f>Water!E24+Water!G24+Water!I24</f>
        <v>296</v>
      </c>
      <c r="L17" s="10">
        <f>Water!K24/TOTAL!K17</f>
        <v>5068.2635135135133</v>
      </c>
      <c r="M17" s="9">
        <f>Electricity!C23</f>
        <v>12</v>
      </c>
      <c r="N17" s="9">
        <f>Electricity!D23</f>
        <v>80</v>
      </c>
    </row>
    <row r="18" spans="1:14" x14ac:dyDescent="0.25">
      <c r="A18" s="6" t="s">
        <v>14</v>
      </c>
      <c r="B18" s="7">
        <f t="shared" si="0"/>
        <v>17</v>
      </c>
      <c r="C18" s="8">
        <v>3</v>
      </c>
      <c r="D18" s="7">
        <v>2020</v>
      </c>
      <c r="E18" s="9">
        <f>Electricity!F24+Electricity!I24</f>
        <v>8340.0000000015098</v>
      </c>
      <c r="F18" s="10">
        <f>Electricity!L24/TOTAL!E18</f>
        <v>1242.8483213429056</v>
      </c>
      <c r="G18" s="9">
        <f>Gas!F25+Gas!I25+Gas!L25+Gas!O25</f>
        <v>116.68173598553345</v>
      </c>
      <c r="H18" s="10">
        <f>Gas!Q25/TOTAL!G18</f>
        <v>10629.999999999998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269</v>
      </c>
      <c r="L18" s="10">
        <f>Water!K25/TOTAL!K18</f>
        <v>4249.3457249070634</v>
      </c>
      <c r="M18" s="9">
        <f>Electricity!C24</f>
        <v>11</v>
      </c>
      <c r="N18" s="9">
        <f>Electricity!D24</f>
        <v>89</v>
      </c>
    </row>
    <row r="19" spans="1:14" x14ac:dyDescent="0.25">
      <c r="A19" s="6" t="s">
        <v>14</v>
      </c>
      <c r="B19" s="7">
        <f t="shared" si="0"/>
        <v>18</v>
      </c>
      <c r="C19" s="8">
        <v>3</v>
      </c>
      <c r="D19" s="7">
        <v>2020</v>
      </c>
      <c r="E19" s="9">
        <f>Electricity!F25+Electricity!I25</f>
        <v>9199.9999999989086</v>
      </c>
      <c r="F19" s="10">
        <f>Electricity!L25/TOTAL!E19</f>
        <v>1303.7170108695759</v>
      </c>
      <c r="G19" s="9">
        <f>Gas!F26+Gas!I26+Gas!L26+Gas!O26</f>
        <v>90.461121157323689</v>
      </c>
      <c r="H19" s="10">
        <f>Gas!Q26/TOTAL!G19</f>
        <v>10629.999999999998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293</v>
      </c>
      <c r="L19" s="10">
        <f>Water!K26/TOTAL!K19</f>
        <v>4359.7337883959044</v>
      </c>
      <c r="M19" s="9">
        <f>Electricity!C25</f>
        <v>9</v>
      </c>
      <c r="N19" s="9">
        <f>Electricity!D25</f>
        <v>69</v>
      </c>
    </row>
    <row r="20" spans="1:14" x14ac:dyDescent="0.25">
      <c r="A20" s="6" t="s">
        <v>14</v>
      </c>
      <c r="B20" s="7">
        <f t="shared" si="0"/>
        <v>19</v>
      </c>
      <c r="C20" s="8">
        <v>3</v>
      </c>
      <c r="D20" s="7">
        <v>2020</v>
      </c>
      <c r="E20" s="9">
        <f>Electricity!F26+Electricity!I26</f>
        <v>7500.0000000009095</v>
      </c>
      <c r="F20" s="10">
        <f>Electricity!L26/TOTAL!E20</f>
        <v>1237.7676666666684</v>
      </c>
      <c r="G20" s="9">
        <f>Gas!F27+Gas!I27+Gas!L27+Gas!O27</f>
        <v>70.795660036166367</v>
      </c>
      <c r="H20" s="10">
        <f>Gas!Q27/TOTAL!G20</f>
        <v>10629.999999999998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270</v>
      </c>
      <c r="L20" s="10">
        <f>Water!K27/TOTAL!K20</f>
        <v>4070.9777777777776</v>
      </c>
      <c r="M20" s="9">
        <f>Electricity!C26</f>
        <v>8</v>
      </c>
      <c r="N20" s="9">
        <f>Electricity!D26</f>
        <v>54</v>
      </c>
    </row>
    <row r="21" spans="1:14" x14ac:dyDescent="0.25">
      <c r="A21" s="6" t="s">
        <v>14</v>
      </c>
      <c r="B21" s="7">
        <f t="shared" si="0"/>
        <v>20</v>
      </c>
      <c r="C21" s="8">
        <v>3</v>
      </c>
      <c r="D21" s="7">
        <v>2020</v>
      </c>
      <c r="E21" s="9">
        <f>Electricity!F27+Electricity!I27</f>
        <v>7659.9999999984902</v>
      </c>
      <c r="F21" s="10">
        <f>Electricity!L27/TOTAL!E21</f>
        <v>1235.7056788511738</v>
      </c>
      <c r="G21" s="9">
        <f>Gas!F28+Gas!I28+Gas!L28+Gas!O28</f>
        <v>49.819168173598555</v>
      </c>
      <c r="H21" s="10">
        <f>Gas!Q28/TOTAL!G21</f>
        <v>10629.999999999998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311</v>
      </c>
      <c r="L21" s="10">
        <f>Water!K28/TOTAL!K21</f>
        <v>4369.7234726688102</v>
      </c>
      <c r="M21" s="9">
        <f>Electricity!C27</f>
        <v>6</v>
      </c>
      <c r="N21" s="9">
        <f>Electricity!D27</f>
        <v>38</v>
      </c>
    </row>
    <row r="22" spans="1:14" x14ac:dyDescent="0.25">
      <c r="A22" s="6" t="s">
        <v>14</v>
      </c>
      <c r="B22" s="7">
        <f t="shared" si="0"/>
        <v>21</v>
      </c>
      <c r="C22" s="8">
        <v>3</v>
      </c>
      <c r="D22" s="7">
        <v>2020</v>
      </c>
      <c r="E22" s="9">
        <f>Electricity!F28+Electricity!I28</f>
        <v>7180.0000000012005</v>
      </c>
      <c r="F22" s="10">
        <f>Electricity!L28/TOTAL!E22</f>
        <v>1235.8216573816198</v>
      </c>
      <c r="G22" s="9">
        <f>Gas!F29+Gas!I29+Gas!L29+Gas!O29</f>
        <v>45.88607594936709</v>
      </c>
      <c r="H22" s="10">
        <f>Gas!Q29/TOTAL!G22</f>
        <v>10630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279</v>
      </c>
      <c r="L22" s="10">
        <f>Water!K29/TOTAL!K22</f>
        <v>4137.3763440860212</v>
      </c>
      <c r="M22" s="9">
        <f>Electricity!C28</f>
        <v>5</v>
      </c>
      <c r="N22" s="9">
        <f>Electricity!D28</f>
        <v>35</v>
      </c>
    </row>
    <row r="23" spans="1:14" x14ac:dyDescent="0.25">
      <c r="A23" s="6" t="s">
        <v>14</v>
      </c>
      <c r="B23" s="7">
        <f t="shared" si="0"/>
        <v>22</v>
      </c>
      <c r="C23" s="8">
        <v>3</v>
      </c>
      <c r="D23" s="7">
        <v>2020</v>
      </c>
      <c r="E23" s="9">
        <f>Electricity!F29+Electricity!I29</f>
        <v>7000.0000000004547</v>
      </c>
      <c r="F23" s="10">
        <f>Electricity!L29/TOTAL!E23</f>
        <v>1238.3100714285488</v>
      </c>
      <c r="G23" s="9">
        <f>Gas!F30+Gas!I30+Gas!L30+Gas!O30</f>
        <v>26.220614828209769</v>
      </c>
      <c r="H23" s="10">
        <f>Gas!Q30/TOTAL!G23</f>
        <v>10630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259</v>
      </c>
      <c r="L23" s="10">
        <f>Water!K30/TOTAL!K23</f>
        <v>4147.9845559845562</v>
      </c>
      <c r="M23" s="9">
        <f>Electricity!C29</f>
        <v>4</v>
      </c>
      <c r="N23" s="9">
        <f>Electricity!D29</f>
        <v>20</v>
      </c>
    </row>
    <row r="24" spans="1:14" x14ac:dyDescent="0.25">
      <c r="A24" s="6" t="s">
        <v>14</v>
      </c>
      <c r="B24" s="7">
        <f t="shared" si="0"/>
        <v>23</v>
      </c>
      <c r="C24" s="8">
        <v>3</v>
      </c>
      <c r="D24" s="7">
        <v>2020</v>
      </c>
      <c r="E24" s="9">
        <f>Electricity!F30+Electricity!I30</f>
        <v>6899.9999999991815</v>
      </c>
      <c r="F24" s="10">
        <f>Electricity!L30/TOTAL!E24</f>
        <v>1229.8438405797135</v>
      </c>
      <c r="G24" s="9">
        <f>Gas!F31+Gas!I31+Gas!L31+Gas!O31</f>
        <v>18.354430379746834</v>
      </c>
      <c r="H24" s="10">
        <f>Gas!Q31/TOTAL!G24</f>
        <v>10630</v>
      </c>
      <c r="I24" s="9">
        <f>'Fuel Diesel'!F31</f>
        <v>52</v>
      </c>
      <c r="J24" s="11">
        <f>'Fuel Diesel'!G31/'Fuel Diesel'!F31</f>
        <v>10700</v>
      </c>
      <c r="K24" s="9">
        <f>Water!E31+Water!G31+Water!I31</f>
        <v>269</v>
      </c>
      <c r="L24" s="10">
        <f>Water!K31/TOTAL!K24</f>
        <v>4142.4832713754649</v>
      </c>
      <c r="M24" s="9">
        <f>Electricity!C30</f>
        <v>2</v>
      </c>
      <c r="N24" s="9">
        <f>Electricity!D30</f>
        <v>14</v>
      </c>
    </row>
    <row r="25" spans="1:14" x14ac:dyDescent="0.25">
      <c r="A25" s="6" t="s">
        <v>14</v>
      </c>
      <c r="B25" s="7">
        <f t="shared" si="0"/>
        <v>24</v>
      </c>
      <c r="C25" s="8">
        <v>3</v>
      </c>
      <c r="D25" s="7">
        <v>2020</v>
      </c>
      <c r="E25" s="9">
        <f>Electricity!F31+Electricity!I31</f>
        <v>6980.0000000000182</v>
      </c>
      <c r="F25" s="10">
        <f>Electricity!L31/TOTAL!E25</f>
        <v>1240.2263610315379</v>
      </c>
      <c r="G25" s="9">
        <f>Gas!F32+Gas!I32+Gas!L32+Gas!O32</f>
        <v>18.354430379746834</v>
      </c>
      <c r="H25" s="10">
        <f>Gas!Q32/TOTAL!G25</f>
        <v>10630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204</v>
      </c>
      <c r="L25" s="10">
        <f>Water!K32/TOTAL!K25</f>
        <v>4046.9705882352941</v>
      </c>
      <c r="M25" s="9">
        <f>Electricity!C31</f>
        <v>2</v>
      </c>
      <c r="N25" s="9">
        <f>Electricity!D31</f>
        <v>14</v>
      </c>
    </row>
    <row r="26" spans="1:14" x14ac:dyDescent="0.25">
      <c r="A26" s="6" t="s">
        <v>14</v>
      </c>
      <c r="B26" s="7">
        <f>B25+1</f>
        <v>25</v>
      </c>
      <c r="C26" s="8">
        <v>3</v>
      </c>
      <c r="D26" s="7">
        <v>2020</v>
      </c>
      <c r="E26" s="9">
        <f>Electricity!F32+Electricity!I32</f>
        <v>6919.999999999618</v>
      </c>
      <c r="F26" s="10">
        <f>Electricity!L32/TOTAL!E26</f>
        <v>1236.165534682073</v>
      </c>
      <c r="G26" s="9">
        <f>Gas!F33+Gas!I33+Gas!L33+Gas!O33</f>
        <v>15.732368896925859</v>
      </c>
      <c r="H26" s="10">
        <f>Gas!Q33/TOTAL!G26</f>
        <v>10630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193</v>
      </c>
      <c r="L26" s="10">
        <f>Water!K33/TOTAL!K26</f>
        <v>4099.2953367875643</v>
      </c>
      <c r="M26" s="9">
        <f>Electricity!C32</f>
        <v>2</v>
      </c>
      <c r="N26" s="9">
        <f>Electricity!D32</f>
        <v>12</v>
      </c>
    </row>
    <row r="27" spans="1:14" x14ac:dyDescent="0.25">
      <c r="A27" s="6" t="s">
        <v>14</v>
      </c>
      <c r="B27" s="7">
        <f t="shared" si="0"/>
        <v>26</v>
      </c>
      <c r="C27" s="8">
        <v>3</v>
      </c>
      <c r="D27" s="7">
        <v>2020</v>
      </c>
      <c r="E27" s="9">
        <f>Electricity!F33+Electricity!I33</f>
        <v>6779.9999999997453</v>
      </c>
      <c r="F27" s="10">
        <f>Electricity!L33/TOTAL!E27</f>
        <v>1241.5308997050402</v>
      </c>
      <c r="G27" s="9">
        <f>Gas!F34+Gas!I34+Gas!L34+Gas!O34</f>
        <v>15.732368896925859</v>
      </c>
      <c r="H27" s="10">
        <f>Gas!Q34/TOTAL!G27</f>
        <v>10630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188</v>
      </c>
      <c r="L27" s="10">
        <f>Water!K34/TOTAL!K27</f>
        <v>4713.5531914893618</v>
      </c>
      <c r="M27" s="9">
        <f>Electricity!C33</f>
        <v>1</v>
      </c>
      <c r="N27" s="9">
        <f>Electricity!D33</f>
        <v>12</v>
      </c>
    </row>
    <row r="28" spans="1:14" x14ac:dyDescent="0.25">
      <c r="A28" s="6" t="s">
        <v>14</v>
      </c>
      <c r="B28" s="7">
        <f t="shared" si="0"/>
        <v>27</v>
      </c>
      <c r="C28" s="8">
        <v>3</v>
      </c>
      <c r="D28" s="7">
        <v>2020</v>
      </c>
      <c r="E28" s="9">
        <f>Electricity!F34+Electricity!I34</f>
        <v>6600.000000001728</v>
      </c>
      <c r="F28" s="10">
        <f>Electricity!L34/TOTAL!E28</f>
        <v>1227.0674999999756</v>
      </c>
      <c r="G28" s="9">
        <f>Gas!F35+Gas!I35+Gas!L35+Gas!O35</f>
        <v>13.110307414104883</v>
      </c>
      <c r="H28" s="10">
        <f>Gas!Q35/TOTAL!G28</f>
        <v>10630.000000000002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158</v>
      </c>
      <c r="L28" s="10">
        <f>Water!K35/TOTAL!K28</f>
        <v>5455.493670886076</v>
      </c>
      <c r="M28" s="9" t="str">
        <f>Electricity!C34</f>
        <v xml:space="preserve"> -   </v>
      </c>
      <c r="N28" s="9">
        <f>Electricity!D34</f>
        <v>10</v>
      </c>
    </row>
    <row r="29" spans="1:14" x14ac:dyDescent="0.25">
      <c r="A29" s="6" t="s">
        <v>14</v>
      </c>
      <c r="B29" s="7">
        <f t="shared" si="0"/>
        <v>28</v>
      </c>
      <c r="C29" s="8">
        <v>3</v>
      </c>
      <c r="D29" s="7">
        <v>2020</v>
      </c>
      <c r="E29" s="9">
        <f>Electricity!F35+Electricity!I35</f>
        <v>6059.9999999985812</v>
      </c>
      <c r="F29" s="10">
        <f>Electricity!L35/TOTAL!E29</f>
        <v>1236.7902640264222</v>
      </c>
      <c r="G29" s="9">
        <f>Gas!F36+Gas!I36+Gas!L36+Gas!O36</f>
        <v>18.354430379746834</v>
      </c>
      <c r="H29" s="10">
        <f>Gas!Q36/TOTAL!G29</f>
        <v>10630.000000000002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133</v>
      </c>
      <c r="L29" s="10">
        <f>Water!K36/TOTAL!K29</f>
        <v>5080.6766917293235</v>
      </c>
      <c r="M29" s="9">
        <f>Electricity!C35</f>
        <v>2</v>
      </c>
      <c r="N29" s="9">
        <f>Electricity!D35</f>
        <v>14</v>
      </c>
    </row>
    <row r="30" spans="1:14" x14ac:dyDescent="0.25">
      <c r="A30" s="6" t="s">
        <v>14</v>
      </c>
      <c r="B30" s="7">
        <f t="shared" si="0"/>
        <v>29</v>
      </c>
      <c r="C30" s="8">
        <v>3</v>
      </c>
      <c r="D30" s="7">
        <v>2020</v>
      </c>
      <c r="E30" s="9">
        <f>Electricity!F36+Electricity!I36</f>
        <v>6080.000000000382</v>
      </c>
      <c r="F30" s="10">
        <f>Electricity!L36/TOTAL!E30</f>
        <v>1230.848437499996</v>
      </c>
      <c r="G30" s="9">
        <f>Gas!F37+Gas!I37+Gas!L37+Gas!O37</f>
        <v>17.043399638336346</v>
      </c>
      <c r="H30" s="10">
        <f>Gas!Q37/TOTAL!G30</f>
        <v>10630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141</v>
      </c>
      <c r="L30" s="10">
        <f>Water!K37/TOTAL!K30</f>
        <v>4067.9574468085107</v>
      </c>
      <c r="M30" s="9">
        <f>Electricity!C36</f>
        <v>1</v>
      </c>
      <c r="N30" s="9">
        <f>Electricity!D36</f>
        <v>13</v>
      </c>
    </row>
    <row r="31" spans="1:14" x14ac:dyDescent="0.25">
      <c r="A31" s="6" t="s">
        <v>14</v>
      </c>
      <c r="B31" s="7">
        <v>30</v>
      </c>
      <c r="C31" s="8">
        <v>3</v>
      </c>
      <c r="D31" s="7">
        <v>2020</v>
      </c>
      <c r="E31" s="9">
        <f>Electricity!F37+Electricity!I37</f>
        <v>4900.0000000005457</v>
      </c>
      <c r="F31" s="10">
        <f>Electricity!L37/TOTAL!E31</f>
        <v>1220.4107142856842</v>
      </c>
      <c r="G31" s="9">
        <f>Gas!F38+Gas!I38+Gas!L38+Gas!O38</f>
        <v>7.14</v>
      </c>
      <c r="H31" s="10">
        <f>Gas!Q38/TOTAL!G31</f>
        <v>10630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103</v>
      </c>
      <c r="L31" s="10">
        <f>Water!K38/TOTAL!K31</f>
        <v>4000</v>
      </c>
      <c r="M31" s="9" t="str">
        <f>Electricity!C37</f>
        <v xml:space="preserve"> -   </v>
      </c>
      <c r="N31" s="9">
        <f>Electricity!D37</f>
        <v>1</v>
      </c>
    </row>
    <row r="32" spans="1:14" x14ac:dyDescent="0.25">
      <c r="A32" s="6" t="s">
        <v>14</v>
      </c>
      <c r="B32" s="7">
        <v>31</v>
      </c>
      <c r="C32" s="8">
        <v>3</v>
      </c>
      <c r="D32" s="7">
        <v>2020</v>
      </c>
      <c r="E32" s="9">
        <f>Electricity!F38+Electricity!I38</f>
        <v>3999.9999999986358</v>
      </c>
      <c r="F32" s="10">
        <f>Electricity!L38/TOTAL!E32</f>
        <v>1218.7835000000196</v>
      </c>
      <c r="G32" s="9">
        <f>Gas!F39+Gas!I39+Gas!L39+Gas!O39</f>
        <v>0</v>
      </c>
      <c r="H32" s="10" t="e">
        <f>Gas!Q39/TOTAL!G32</f>
        <v>#DIV/0!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151</v>
      </c>
      <c r="L32" s="10">
        <f>Water!K39/TOTAL!K32</f>
        <v>4000</v>
      </c>
      <c r="M32" s="9" t="str">
        <f>Electricity!C38</f>
        <v xml:space="preserve"> -   </v>
      </c>
      <c r="N32" s="9" t="str">
        <f>Electricity!D38</f>
        <v xml:space="preserve"> -   </v>
      </c>
    </row>
    <row r="33" spans="5:14" x14ac:dyDescent="0.25">
      <c r="E33" s="86">
        <f>SUM(E2:E32)</f>
        <v>247199.99999999889</v>
      </c>
      <c r="F33" s="86">
        <f>SUM(F2:F32)/31</f>
        <v>1234.3581480346984</v>
      </c>
      <c r="G33" s="86">
        <f>SUM(G2:G32)</f>
        <v>2905.8289692585895</v>
      </c>
      <c r="H33" s="96" t="e">
        <f>SUM(H2:H32)/31</f>
        <v>#DIV/0!</v>
      </c>
      <c r="I33" s="86">
        <f>SUM(I2:I32)</f>
        <v>228</v>
      </c>
      <c r="J33" s="96" t="e">
        <f>J26</f>
        <v>#DIV/0!</v>
      </c>
      <c r="K33" s="86">
        <f>SUM(K2:K32)</f>
        <v>6760</v>
      </c>
      <c r="L33" s="96">
        <f>SUM(L2:L32)/31</f>
        <v>4558.1755168372019</v>
      </c>
      <c r="M33" s="86">
        <f t="shared" ref="M33:N33" si="1">SUM(M2:M32)</f>
        <v>379</v>
      </c>
      <c r="N33" s="86">
        <f t="shared" si="1"/>
        <v>2212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H8" sqref="H8:H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43891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27</v>
      </c>
      <c r="D8" s="25">
        <v>173</v>
      </c>
      <c r="E8" s="26">
        <v>4.1599999999998545</v>
      </c>
      <c r="F8" s="27">
        <f t="shared" ref="F8:F38" si="0">E8*2000</f>
        <v>8319.999999999709</v>
      </c>
      <c r="G8" s="28">
        <f t="shared" ref="G8:G38" si="1">F8*1035.5</f>
        <v>8615359.9999996983</v>
      </c>
      <c r="H8" s="26">
        <v>0.80999999999994543</v>
      </c>
      <c r="I8" s="27">
        <f t="shared" ref="I8:I38" si="2">H8*2000</f>
        <v>1619.9999999998909</v>
      </c>
      <c r="J8" s="28">
        <f t="shared" ref="J8:J38" si="3">I8*1553.25</f>
        <v>2516264.9999998305</v>
      </c>
      <c r="K8" s="26">
        <f t="shared" ref="K8:K38" si="4">G8+J8</f>
        <v>11131624.999999529</v>
      </c>
      <c r="L8" s="29">
        <f t="shared" ref="L8:L38" si="5">K8*1.1</f>
        <v>12244787.499999482</v>
      </c>
      <c r="M8" s="30">
        <f>L8/14381</f>
        <v>851.45591405322875</v>
      </c>
      <c r="N8" s="31"/>
    </row>
    <row r="9" spans="1:14" x14ac:dyDescent="0.25">
      <c r="A9" s="22"/>
      <c r="B9" s="24">
        <v>2</v>
      </c>
      <c r="C9" s="25">
        <v>32</v>
      </c>
      <c r="D9" s="25">
        <v>156</v>
      </c>
      <c r="E9" s="26">
        <v>4.1599999999998545</v>
      </c>
      <c r="F9" s="27">
        <f t="shared" si="0"/>
        <v>8319.999999999709</v>
      </c>
      <c r="G9" s="28">
        <f t="shared" si="1"/>
        <v>8615359.9999996983</v>
      </c>
      <c r="H9" s="26">
        <v>0.88999999999987267</v>
      </c>
      <c r="I9" s="27">
        <f t="shared" si="2"/>
        <v>1779.9999999997453</v>
      </c>
      <c r="J9" s="28">
        <f t="shared" si="3"/>
        <v>2764784.9999996047</v>
      </c>
      <c r="K9" s="26">
        <f t="shared" si="4"/>
        <v>11380144.999999303</v>
      </c>
      <c r="L9" s="29">
        <f t="shared" si="5"/>
        <v>12518159.499999234</v>
      </c>
      <c r="M9" s="30">
        <f t="shared" ref="M9:M38" si="6">L9/14381</f>
        <v>870.46516236695879</v>
      </c>
      <c r="N9" s="31"/>
    </row>
    <row r="10" spans="1:14" x14ac:dyDescent="0.25">
      <c r="A10" s="22"/>
      <c r="B10" s="24">
        <v>3</v>
      </c>
      <c r="C10" s="25">
        <v>29</v>
      </c>
      <c r="D10" s="25">
        <v>167</v>
      </c>
      <c r="E10" s="26">
        <v>4.180000000000291</v>
      </c>
      <c r="F10" s="27">
        <f t="shared" si="0"/>
        <v>8360.0000000005821</v>
      </c>
      <c r="G10" s="28">
        <f t="shared" si="1"/>
        <v>8656780.0000006035</v>
      </c>
      <c r="H10" s="26">
        <v>0.88000000000010914</v>
      </c>
      <c r="I10" s="27">
        <f t="shared" si="2"/>
        <v>1760.0000000002183</v>
      </c>
      <c r="J10" s="28">
        <f t="shared" si="3"/>
        <v>2733720.000000339</v>
      </c>
      <c r="K10" s="26">
        <f t="shared" si="4"/>
        <v>11390500.000000942</v>
      </c>
      <c r="L10" s="29">
        <f t="shared" si="5"/>
        <v>12529550.000001037</v>
      </c>
      <c r="M10" s="30">
        <f t="shared" si="6"/>
        <v>871.25721438015694</v>
      </c>
      <c r="N10" s="31"/>
    </row>
    <row r="11" spans="1:14" x14ac:dyDescent="0.25">
      <c r="A11" s="22"/>
      <c r="B11" s="24">
        <v>4</v>
      </c>
      <c r="C11" s="25">
        <v>26</v>
      </c>
      <c r="D11" s="25">
        <v>133</v>
      </c>
      <c r="E11" s="26">
        <v>4.069999999999709</v>
      </c>
      <c r="F11" s="27">
        <f t="shared" si="0"/>
        <v>8139.9999999994179</v>
      </c>
      <c r="G11" s="28">
        <f t="shared" si="1"/>
        <v>8428969.9999993965</v>
      </c>
      <c r="H11" s="26">
        <v>0.86999999999989086</v>
      </c>
      <c r="I11" s="27">
        <f t="shared" si="2"/>
        <v>1739.9999999997817</v>
      </c>
      <c r="J11" s="28">
        <f t="shared" si="3"/>
        <v>2702654.999999661</v>
      </c>
      <c r="K11" s="26">
        <f t="shared" si="4"/>
        <v>11131624.999999058</v>
      </c>
      <c r="L11" s="29">
        <f t="shared" si="5"/>
        <v>12244787.499998964</v>
      </c>
      <c r="M11" s="30">
        <f t="shared" si="6"/>
        <v>851.45591405319271</v>
      </c>
      <c r="N11" s="31"/>
    </row>
    <row r="12" spans="1:14" x14ac:dyDescent="0.25">
      <c r="A12" s="22"/>
      <c r="B12" s="24">
        <v>5</v>
      </c>
      <c r="C12" s="25">
        <v>27</v>
      </c>
      <c r="D12" s="25">
        <v>123</v>
      </c>
      <c r="E12" s="26">
        <v>4.0399999999999636</v>
      </c>
      <c r="F12" s="27">
        <f t="shared" si="0"/>
        <v>8079.9999999999272</v>
      </c>
      <c r="G12" s="28">
        <f t="shared" si="1"/>
        <v>8366839.9999999246</v>
      </c>
      <c r="H12" s="26">
        <v>0.84000000000014552</v>
      </c>
      <c r="I12" s="27">
        <f t="shared" si="2"/>
        <v>1680.000000000291</v>
      </c>
      <c r="J12" s="28">
        <f t="shared" si="3"/>
        <v>2609460.0000004522</v>
      </c>
      <c r="K12" s="26">
        <f t="shared" si="4"/>
        <v>10976300.000000376</v>
      </c>
      <c r="L12" s="29">
        <f t="shared" si="5"/>
        <v>12073930.000000415</v>
      </c>
      <c r="M12" s="30">
        <f t="shared" si="6"/>
        <v>839.57513385720154</v>
      </c>
      <c r="N12" s="31"/>
    </row>
    <row r="13" spans="1:14" x14ac:dyDescent="0.25">
      <c r="A13" s="22"/>
      <c r="B13" s="24">
        <v>6</v>
      </c>
      <c r="C13" s="25">
        <v>24</v>
      </c>
      <c r="D13" s="25">
        <v>133</v>
      </c>
      <c r="E13" s="26">
        <v>4.0500000000001819</v>
      </c>
      <c r="F13" s="27">
        <f t="shared" si="0"/>
        <v>8100.0000000003638</v>
      </c>
      <c r="G13" s="28">
        <f t="shared" si="1"/>
        <v>8387550.0000003763</v>
      </c>
      <c r="H13" s="26">
        <v>0.80999999999994543</v>
      </c>
      <c r="I13" s="27">
        <f t="shared" si="2"/>
        <v>1619.9999999998909</v>
      </c>
      <c r="J13" s="28">
        <f t="shared" si="3"/>
        <v>2516264.9999998305</v>
      </c>
      <c r="K13" s="26">
        <f t="shared" si="4"/>
        <v>10903815.000000207</v>
      </c>
      <c r="L13" s="29">
        <f t="shared" si="5"/>
        <v>11994196.500000229</v>
      </c>
      <c r="M13" s="30">
        <f t="shared" si="6"/>
        <v>834.030769765679</v>
      </c>
      <c r="N13" s="31"/>
    </row>
    <row r="14" spans="1:14" x14ac:dyDescent="0.25">
      <c r="A14" s="22"/>
      <c r="B14" s="24">
        <v>7</v>
      </c>
      <c r="C14" s="25">
        <v>24</v>
      </c>
      <c r="D14" s="25">
        <v>120</v>
      </c>
      <c r="E14" s="26">
        <v>3.7700000000004366</v>
      </c>
      <c r="F14" s="27">
        <f t="shared" si="0"/>
        <v>7540.0000000008731</v>
      </c>
      <c r="G14" s="28">
        <f t="shared" si="1"/>
        <v>7807670.0000009043</v>
      </c>
      <c r="H14" s="26">
        <v>0.75999999999999091</v>
      </c>
      <c r="I14" s="27">
        <f t="shared" si="2"/>
        <v>1519.9999999999818</v>
      </c>
      <c r="J14" s="28">
        <f t="shared" si="3"/>
        <v>2360939.9999999716</v>
      </c>
      <c r="K14" s="26">
        <f t="shared" si="4"/>
        <v>10168610.000000875</v>
      </c>
      <c r="L14" s="29">
        <f t="shared" si="5"/>
        <v>11185471.000000963</v>
      </c>
      <c r="M14" s="30">
        <f t="shared" si="6"/>
        <v>777.79507683756083</v>
      </c>
      <c r="N14" s="31"/>
    </row>
    <row r="15" spans="1:14" x14ac:dyDescent="0.25">
      <c r="A15" s="22"/>
      <c r="B15" s="24">
        <v>8</v>
      </c>
      <c r="C15" s="25">
        <v>17</v>
      </c>
      <c r="D15" s="25">
        <v>96</v>
      </c>
      <c r="E15" s="26">
        <v>3.7299999999995634</v>
      </c>
      <c r="F15" s="27">
        <f t="shared" si="0"/>
        <v>7459.9999999991269</v>
      </c>
      <c r="G15" s="28">
        <f t="shared" si="1"/>
        <v>7724829.9999990957</v>
      </c>
      <c r="H15" s="26">
        <v>0.75999999999999091</v>
      </c>
      <c r="I15" s="27">
        <f t="shared" si="2"/>
        <v>1519.9999999999818</v>
      </c>
      <c r="J15" s="28">
        <f t="shared" si="3"/>
        <v>2360939.9999999716</v>
      </c>
      <c r="K15" s="26">
        <f t="shared" si="4"/>
        <v>10085769.999999067</v>
      </c>
      <c r="L15" s="29">
        <f t="shared" si="5"/>
        <v>11094346.999998974</v>
      </c>
      <c r="M15" s="30">
        <f t="shared" si="6"/>
        <v>771.45866073284014</v>
      </c>
      <c r="N15" s="31"/>
    </row>
    <row r="16" spans="1:14" x14ac:dyDescent="0.25">
      <c r="A16" s="22"/>
      <c r="B16" s="24">
        <v>9</v>
      </c>
      <c r="C16" s="25">
        <v>14</v>
      </c>
      <c r="D16" s="25">
        <v>101</v>
      </c>
      <c r="E16" s="26">
        <v>3.7200000000002547</v>
      </c>
      <c r="F16" s="27">
        <f t="shared" si="0"/>
        <v>7440.0000000005093</v>
      </c>
      <c r="G16" s="28">
        <f t="shared" si="1"/>
        <v>7704120.0000005271</v>
      </c>
      <c r="H16" s="26">
        <v>0.75</v>
      </c>
      <c r="I16" s="27">
        <f t="shared" si="2"/>
        <v>1500</v>
      </c>
      <c r="J16" s="28">
        <f t="shared" si="3"/>
        <v>2329875</v>
      </c>
      <c r="K16" s="26">
        <f t="shared" si="4"/>
        <v>10033995.000000527</v>
      </c>
      <c r="L16" s="29">
        <f t="shared" si="5"/>
        <v>11037394.500000581</v>
      </c>
      <c r="M16" s="30">
        <f t="shared" si="6"/>
        <v>767.49840066758782</v>
      </c>
      <c r="N16" s="31"/>
    </row>
    <row r="17" spans="1:14" x14ac:dyDescent="0.25">
      <c r="A17" s="22"/>
      <c r="B17" s="24">
        <v>10</v>
      </c>
      <c r="C17" s="25">
        <v>15</v>
      </c>
      <c r="D17" s="25">
        <v>88</v>
      </c>
      <c r="E17" s="26">
        <v>3.7299999999995634</v>
      </c>
      <c r="F17" s="27">
        <f t="shared" si="0"/>
        <v>7459.9999999991269</v>
      </c>
      <c r="G17" s="28">
        <f t="shared" si="1"/>
        <v>7724829.9999990957</v>
      </c>
      <c r="H17" s="26">
        <v>0.77999999999997272</v>
      </c>
      <c r="I17" s="27">
        <f t="shared" si="2"/>
        <v>1559.9999999999454</v>
      </c>
      <c r="J17" s="28">
        <f t="shared" si="3"/>
        <v>2423069.9999999152</v>
      </c>
      <c r="K17" s="26">
        <f t="shared" si="4"/>
        <v>10147899.999999011</v>
      </c>
      <c r="L17" s="29">
        <f t="shared" si="5"/>
        <v>11162689.999998912</v>
      </c>
      <c r="M17" s="30">
        <f t="shared" si="6"/>
        <v>776.21097281127265</v>
      </c>
      <c r="N17" s="31"/>
    </row>
    <row r="18" spans="1:14" x14ac:dyDescent="0.25">
      <c r="A18" s="22"/>
      <c r="B18" s="24">
        <v>11</v>
      </c>
      <c r="C18" s="25">
        <v>15</v>
      </c>
      <c r="D18" s="25">
        <v>90</v>
      </c>
      <c r="E18" s="26">
        <v>3.7700000000004366</v>
      </c>
      <c r="F18" s="27">
        <f t="shared" si="0"/>
        <v>7540.0000000008731</v>
      </c>
      <c r="G18" s="28">
        <f t="shared" si="1"/>
        <v>7807670.0000009043</v>
      </c>
      <c r="H18" s="26">
        <v>0.77999999999997272</v>
      </c>
      <c r="I18" s="27">
        <f t="shared" si="2"/>
        <v>1559.9999999999454</v>
      </c>
      <c r="J18" s="28">
        <f t="shared" si="3"/>
        <v>2423069.9999999152</v>
      </c>
      <c r="K18" s="26">
        <f t="shared" si="4"/>
        <v>10230740.00000082</v>
      </c>
      <c r="L18" s="29">
        <f t="shared" si="5"/>
        <v>11253814.000000902</v>
      </c>
      <c r="M18" s="30">
        <f t="shared" si="6"/>
        <v>782.54738891599345</v>
      </c>
      <c r="N18" s="31"/>
    </row>
    <row r="19" spans="1:14" x14ac:dyDescent="0.25">
      <c r="A19" s="22"/>
      <c r="B19" s="24">
        <v>12</v>
      </c>
      <c r="C19" s="25">
        <v>16</v>
      </c>
      <c r="D19" s="25">
        <v>76</v>
      </c>
      <c r="E19" s="26">
        <v>3.4200000000000728</v>
      </c>
      <c r="F19" s="27">
        <f t="shared" si="0"/>
        <v>6840.0000000001455</v>
      </c>
      <c r="G19" s="28">
        <f t="shared" si="1"/>
        <v>7082820.0000001509</v>
      </c>
      <c r="H19" s="26">
        <v>0.68000000000006366</v>
      </c>
      <c r="I19" s="27">
        <f t="shared" si="2"/>
        <v>1360.0000000001273</v>
      </c>
      <c r="J19" s="28">
        <f t="shared" si="3"/>
        <v>2112420.0000001979</v>
      </c>
      <c r="K19" s="26">
        <f t="shared" si="4"/>
        <v>9195240.0000003483</v>
      </c>
      <c r="L19" s="29">
        <f t="shared" si="5"/>
        <v>10114764.000000384</v>
      </c>
      <c r="M19" s="30">
        <f t="shared" si="6"/>
        <v>703.34218760867702</v>
      </c>
      <c r="N19" s="31"/>
    </row>
    <row r="20" spans="1:14" x14ac:dyDescent="0.25">
      <c r="A20" s="22"/>
      <c r="B20" s="24">
        <v>13</v>
      </c>
      <c r="C20" s="25">
        <v>17</v>
      </c>
      <c r="D20" s="25">
        <v>108</v>
      </c>
      <c r="E20" s="26">
        <v>3.4899999999997817</v>
      </c>
      <c r="F20" s="27">
        <f t="shared" si="0"/>
        <v>6979.9999999995634</v>
      </c>
      <c r="G20" s="28">
        <f t="shared" si="1"/>
        <v>7227789.9999995483</v>
      </c>
      <c r="H20" s="26">
        <v>0.47000000000002728</v>
      </c>
      <c r="I20" s="27">
        <f t="shared" si="2"/>
        <v>940.00000000005457</v>
      </c>
      <c r="J20" s="28">
        <f t="shared" si="3"/>
        <v>1460055.0000000848</v>
      </c>
      <c r="K20" s="26">
        <f t="shared" si="4"/>
        <v>8687844.9999996331</v>
      </c>
      <c r="L20" s="29">
        <f t="shared" si="5"/>
        <v>9556629.4999995977</v>
      </c>
      <c r="M20" s="30">
        <f t="shared" si="6"/>
        <v>664.53163896805495</v>
      </c>
      <c r="N20" s="31"/>
    </row>
    <row r="21" spans="1:14" x14ac:dyDescent="0.25">
      <c r="A21" s="22"/>
      <c r="B21" s="24">
        <v>14</v>
      </c>
      <c r="C21" s="25">
        <v>18</v>
      </c>
      <c r="D21" s="25">
        <v>93</v>
      </c>
      <c r="E21" s="26">
        <v>3.4499999999998181</v>
      </c>
      <c r="F21" s="27">
        <f t="shared" si="0"/>
        <v>6899.9999999996362</v>
      </c>
      <c r="G21" s="28">
        <f t="shared" si="1"/>
        <v>7144949.9999996237</v>
      </c>
      <c r="H21" s="26">
        <v>0.25</v>
      </c>
      <c r="I21" s="27">
        <f t="shared" si="2"/>
        <v>500</v>
      </c>
      <c r="J21" s="28">
        <f t="shared" si="3"/>
        <v>776625</v>
      </c>
      <c r="K21" s="26">
        <f t="shared" si="4"/>
        <v>7921574.9999996237</v>
      </c>
      <c r="L21" s="29">
        <f t="shared" si="5"/>
        <v>8713732.4999995865</v>
      </c>
      <c r="M21" s="30">
        <f t="shared" si="6"/>
        <v>605.91979000066658</v>
      </c>
      <c r="N21" s="31"/>
    </row>
    <row r="22" spans="1:14" x14ac:dyDescent="0.25">
      <c r="A22" s="22"/>
      <c r="B22" s="24">
        <v>15</v>
      </c>
      <c r="C22" s="25">
        <v>13</v>
      </c>
      <c r="D22" s="25">
        <v>80</v>
      </c>
      <c r="E22" s="26">
        <v>3.4700000000002547</v>
      </c>
      <c r="F22" s="27">
        <f t="shared" si="0"/>
        <v>6940.0000000005093</v>
      </c>
      <c r="G22" s="28">
        <f t="shared" si="1"/>
        <v>7186370.0000005271</v>
      </c>
      <c r="H22" s="26">
        <v>0.73000000000001819</v>
      </c>
      <c r="I22" s="27">
        <f t="shared" si="2"/>
        <v>1460.0000000000364</v>
      </c>
      <c r="J22" s="28">
        <f t="shared" si="3"/>
        <v>2267745.0000000563</v>
      </c>
      <c r="K22" s="26">
        <f t="shared" si="4"/>
        <v>9454115.000000583</v>
      </c>
      <c r="L22" s="29">
        <f t="shared" si="5"/>
        <v>10399526.500000643</v>
      </c>
      <c r="M22" s="30">
        <f t="shared" si="6"/>
        <v>723.14348793551505</v>
      </c>
      <c r="N22" s="31"/>
    </row>
    <row r="23" spans="1:14" x14ac:dyDescent="0.25">
      <c r="A23" s="22"/>
      <c r="B23" s="24">
        <v>16</v>
      </c>
      <c r="C23" s="25">
        <v>12</v>
      </c>
      <c r="D23" s="25">
        <v>80</v>
      </c>
      <c r="E23" s="26">
        <v>3.5599999999994907</v>
      </c>
      <c r="F23" s="27">
        <f t="shared" si="0"/>
        <v>7119.9999999989814</v>
      </c>
      <c r="G23" s="28">
        <f t="shared" si="1"/>
        <v>7372759.9999989448</v>
      </c>
      <c r="H23" s="26">
        <v>0.72000000000002728</v>
      </c>
      <c r="I23" s="27">
        <f t="shared" si="2"/>
        <v>1440.0000000000546</v>
      </c>
      <c r="J23" s="28">
        <f t="shared" si="3"/>
        <v>2236680.0000000848</v>
      </c>
      <c r="K23" s="26">
        <f t="shared" si="4"/>
        <v>9609439.9999990296</v>
      </c>
      <c r="L23" s="29">
        <f t="shared" si="5"/>
        <v>10570383.999998933</v>
      </c>
      <c r="M23" s="30">
        <f t="shared" si="6"/>
        <v>735.02426813148827</v>
      </c>
      <c r="N23" s="31"/>
    </row>
    <row r="24" spans="1:14" x14ac:dyDescent="0.25">
      <c r="A24" s="22"/>
      <c r="B24" s="24">
        <v>17</v>
      </c>
      <c r="C24" s="25">
        <v>11</v>
      </c>
      <c r="D24" s="25">
        <v>89</v>
      </c>
      <c r="E24" s="26">
        <v>3.410000000000764</v>
      </c>
      <c r="F24" s="27">
        <f t="shared" si="0"/>
        <v>6820.000000001528</v>
      </c>
      <c r="G24" s="28">
        <f t="shared" si="1"/>
        <v>7062110.0000015823</v>
      </c>
      <c r="H24" s="26">
        <v>0.75999999999999091</v>
      </c>
      <c r="I24" s="27">
        <f t="shared" si="2"/>
        <v>1519.9999999999818</v>
      </c>
      <c r="J24" s="28">
        <f t="shared" si="3"/>
        <v>2360939.9999999716</v>
      </c>
      <c r="K24" s="26">
        <f t="shared" si="4"/>
        <v>9423050.0000015534</v>
      </c>
      <c r="L24" s="29">
        <f t="shared" si="5"/>
        <v>10365355.00000171</v>
      </c>
      <c r="M24" s="30">
        <f t="shared" si="6"/>
        <v>720.76733189637093</v>
      </c>
      <c r="N24" s="31"/>
    </row>
    <row r="25" spans="1:14" x14ac:dyDescent="0.25">
      <c r="A25" s="22"/>
      <c r="B25" s="24">
        <v>18</v>
      </c>
      <c r="C25" s="25">
        <v>9</v>
      </c>
      <c r="D25" s="25">
        <v>69</v>
      </c>
      <c r="E25" s="26">
        <v>3.2699999999995271</v>
      </c>
      <c r="F25" s="27">
        <f t="shared" si="0"/>
        <v>6539.9999999990541</v>
      </c>
      <c r="G25" s="28">
        <f t="shared" si="1"/>
        <v>6772169.9999990202</v>
      </c>
      <c r="H25" s="26">
        <v>1.3299999999999272</v>
      </c>
      <c r="I25" s="27">
        <f t="shared" si="2"/>
        <v>2659.9999999998545</v>
      </c>
      <c r="J25" s="28">
        <f t="shared" si="3"/>
        <v>4131644.9999997742</v>
      </c>
      <c r="K25" s="26">
        <f t="shared" si="4"/>
        <v>10903814.999998795</v>
      </c>
      <c r="L25" s="29">
        <f t="shared" si="5"/>
        <v>11994196.499998676</v>
      </c>
      <c r="M25" s="30">
        <f t="shared" si="6"/>
        <v>834.03076976557099</v>
      </c>
      <c r="N25" s="31"/>
    </row>
    <row r="26" spans="1:14" x14ac:dyDescent="0.25">
      <c r="A26" s="22"/>
      <c r="B26" s="24">
        <v>19</v>
      </c>
      <c r="C26" s="25">
        <v>8</v>
      </c>
      <c r="D26" s="25">
        <v>54</v>
      </c>
      <c r="E26" s="26">
        <v>3.1000000000003638</v>
      </c>
      <c r="F26" s="27">
        <f t="shared" si="0"/>
        <v>6200.0000000007276</v>
      </c>
      <c r="G26" s="28">
        <f t="shared" si="1"/>
        <v>6420100.0000007534</v>
      </c>
      <c r="H26" s="26">
        <v>0.65000000000009095</v>
      </c>
      <c r="I26" s="27">
        <f t="shared" si="2"/>
        <v>1300.0000000001819</v>
      </c>
      <c r="J26" s="28">
        <f t="shared" si="3"/>
        <v>2019225.0000002824</v>
      </c>
      <c r="K26" s="26">
        <f t="shared" si="4"/>
        <v>8439325.0000010356</v>
      </c>
      <c r="L26" s="29">
        <f t="shared" si="5"/>
        <v>9283257.5000011399</v>
      </c>
      <c r="M26" s="30">
        <f t="shared" si="6"/>
        <v>645.52239065441483</v>
      </c>
      <c r="N26" s="31"/>
    </row>
    <row r="27" spans="1:14" x14ac:dyDescent="0.25">
      <c r="A27" s="22"/>
      <c r="B27" s="24">
        <v>20</v>
      </c>
      <c r="C27" s="25">
        <v>6</v>
      </c>
      <c r="D27" s="25">
        <v>38</v>
      </c>
      <c r="E27" s="26">
        <v>3.1799999999993815</v>
      </c>
      <c r="F27" s="27">
        <f t="shared" si="0"/>
        <v>6359.9999999987631</v>
      </c>
      <c r="G27" s="28">
        <f t="shared" si="1"/>
        <v>6585779.9999987194</v>
      </c>
      <c r="H27" s="26">
        <v>0.64999999999986358</v>
      </c>
      <c r="I27" s="27">
        <f t="shared" si="2"/>
        <v>1299.9999999997272</v>
      </c>
      <c r="J27" s="28">
        <f t="shared" si="3"/>
        <v>2019224.9999995762</v>
      </c>
      <c r="K27" s="26">
        <f t="shared" si="4"/>
        <v>8605004.9999982957</v>
      </c>
      <c r="L27" s="29">
        <f t="shared" si="5"/>
        <v>9465505.4999981262</v>
      </c>
      <c r="M27" s="30">
        <f t="shared" si="6"/>
        <v>658.19522286337019</v>
      </c>
      <c r="N27" s="31"/>
    </row>
    <row r="28" spans="1:14" x14ac:dyDescent="0.25">
      <c r="A28" s="22"/>
      <c r="B28" s="24">
        <v>21</v>
      </c>
      <c r="C28" s="25">
        <v>5</v>
      </c>
      <c r="D28" s="25">
        <v>35</v>
      </c>
      <c r="E28" s="26">
        <v>2.9800000000004729</v>
      </c>
      <c r="F28" s="27">
        <f t="shared" si="0"/>
        <v>5960.0000000009459</v>
      </c>
      <c r="G28" s="28">
        <f t="shared" si="1"/>
        <v>6171580.0000009798</v>
      </c>
      <c r="H28" s="26">
        <v>0.61000000000012733</v>
      </c>
      <c r="I28" s="27">
        <f t="shared" si="2"/>
        <v>1220.0000000002547</v>
      </c>
      <c r="J28" s="28">
        <f t="shared" si="3"/>
        <v>1894965.0000003956</v>
      </c>
      <c r="K28" s="26">
        <f t="shared" si="4"/>
        <v>8066545.0000013756</v>
      </c>
      <c r="L28" s="29">
        <f t="shared" si="5"/>
        <v>8873199.5000015143</v>
      </c>
      <c r="M28" s="30">
        <f t="shared" si="6"/>
        <v>617.00851818381989</v>
      </c>
      <c r="N28" s="31"/>
    </row>
    <row r="29" spans="1:14" x14ac:dyDescent="0.25">
      <c r="A29" s="22"/>
      <c r="B29" s="24">
        <v>22</v>
      </c>
      <c r="C29" s="25">
        <v>4</v>
      </c>
      <c r="D29" s="25">
        <v>20</v>
      </c>
      <c r="E29" s="26">
        <v>2.8900000000003274</v>
      </c>
      <c r="F29" s="27">
        <f t="shared" si="0"/>
        <v>5780.0000000006548</v>
      </c>
      <c r="G29" s="28">
        <f t="shared" si="1"/>
        <v>5985190.000000678</v>
      </c>
      <c r="H29" s="26">
        <v>0.60999999999989996</v>
      </c>
      <c r="I29" s="27">
        <f t="shared" si="2"/>
        <v>1219.9999999997999</v>
      </c>
      <c r="J29" s="28">
        <f t="shared" si="3"/>
        <v>1894964.9999996892</v>
      </c>
      <c r="K29" s="26">
        <f t="shared" si="4"/>
        <v>7880155.0000003669</v>
      </c>
      <c r="L29" s="29">
        <f t="shared" si="5"/>
        <v>8668170.5000004042</v>
      </c>
      <c r="M29" s="30">
        <f t="shared" si="6"/>
        <v>602.7515819484322</v>
      </c>
      <c r="N29" s="31"/>
    </row>
    <row r="30" spans="1:14" x14ac:dyDescent="0.25">
      <c r="A30" s="22"/>
      <c r="B30" s="24">
        <v>23</v>
      </c>
      <c r="C30" s="25">
        <v>2</v>
      </c>
      <c r="D30" s="25">
        <v>14</v>
      </c>
      <c r="E30" s="26">
        <v>2.8999999999996362</v>
      </c>
      <c r="F30" s="27">
        <f t="shared" si="0"/>
        <v>5799.9999999992724</v>
      </c>
      <c r="G30" s="28">
        <f t="shared" si="1"/>
        <v>6005899.9999992466</v>
      </c>
      <c r="H30" s="26">
        <v>0.54999999999995453</v>
      </c>
      <c r="I30" s="27">
        <f t="shared" si="2"/>
        <v>1099.9999999999091</v>
      </c>
      <c r="J30" s="28">
        <f t="shared" si="3"/>
        <v>1708574.9999998587</v>
      </c>
      <c r="K30" s="26">
        <f t="shared" si="4"/>
        <v>7714474.999999105</v>
      </c>
      <c r="L30" s="29">
        <f t="shared" si="5"/>
        <v>8485922.4999990165</v>
      </c>
      <c r="M30" s="30">
        <f t="shared" si="6"/>
        <v>590.07874973917092</v>
      </c>
      <c r="N30" s="31"/>
    </row>
    <row r="31" spans="1:14" x14ac:dyDescent="0.25">
      <c r="A31" s="22"/>
      <c r="B31" s="24">
        <v>24</v>
      </c>
      <c r="C31" s="25">
        <v>2</v>
      </c>
      <c r="D31" s="25">
        <v>14</v>
      </c>
      <c r="E31" s="26">
        <v>2.8699999999998909</v>
      </c>
      <c r="F31" s="27">
        <f t="shared" si="0"/>
        <v>5739.9999999997817</v>
      </c>
      <c r="G31" s="28">
        <f t="shared" si="1"/>
        <v>5943769.9999997737</v>
      </c>
      <c r="H31" s="26">
        <v>0.62000000000011823</v>
      </c>
      <c r="I31" s="27">
        <f t="shared" si="2"/>
        <v>1240.0000000002365</v>
      </c>
      <c r="J31" s="28">
        <f t="shared" si="3"/>
        <v>1926030.0000003674</v>
      </c>
      <c r="K31" s="26">
        <f t="shared" si="4"/>
        <v>7869800.0000001416</v>
      </c>
      <c r="L31" s="29">
        <f t="shared" si="5"/>
        <v>8656780.0000001565</v>
      </c>
      <c r="M31" s="30">
        <f t="shared" si="6"/>
        <v>601.95952993534218</v>
      </c>
      <c r="N31" s="31"/>
    </row>
    <row r="32" spans="1:14" x14ac:dyDescent="0.25">
      <c r="A32" s="22"/>
      <c r="B32" s="24">
        <v>25</v>
      </c>
      <c r="C32" s="25">
        <v>2</v>
      </c>
      <c r="D32" s="25">
        <v>12</v>
      </c>
      <c r="E32" s="26">
        <v>2.8699999999998909</v>
      </c>
      <c r="F32" s="27">
        <f t="shared" si="0"/>
        <v>5739.9999999997817</v>
      </c>
      <c r="G32" s="28">
        <f t="shared" si="1"/>
        <v>5943769.9999997737</v>
      </c>
      <c r="H32" s="26">
        <v>0.58999999999991815</v>
      </c>
      <c r="I32" s="27">
        <f t="shared" si="2"/>
        <v>1179.9999999998363</v>
      </c>
      <c r="J32" s="28">
        <f t="shared" si="3"/>
        <v>1832834.9999997457</v>
      </c>
      <c r="K32" s="26">
        <f t="shared" si="4"/>
        <v>7776604.9999995194</v>
      </c>
      <c r="L32" s="29">
        <f t="shared" si="5"/>
        <v>8554265.4999994729</v>
      </c>
      <c r="M32" s="30">
        <f t="shared" si="6"/>
        <v>594.83106181763947</v>
      </c>
      <c r="N32" s="31"/>
    </row>
    <row r="33" spans="1:16" x14ac:dyDescent="0.25">
      <c r="A33" s="22"/>
      <c r="B33" s="24">
        <v>26</v>
      </c>
      <c r="C33" s="25">
        <v>1</v>
      </c>
      <c r="D33" s="25">
        <v>12</v>
      </c>
      <c r="E33" s="26">
        <v>2.7799999999997453</v>
      </c>
      <c r="F33" s="27">
        <f t="shared" si="0"/>
        <v>5559.9999999994907</v>
      </c>
      <c r="G33" s="28">
        <f t="shared" si="1"/>
        <v>5757379.9999994729</v>
      </c>
      <c r="H33" s="26">
        <v>0.61000000000012733</v>
      </c>
      <c r="I33" s="27">
        <f t="shared" si="2"/>
        <v>1220.0000000002547</v>
      </c>
      <c r="J33" s="28">
        <f t="shared" si="3"/>
        <v>1894965.0000003956</v>
      </c>
      <c r="K33" s="26">
        <f t="shared" si="4"/>
        <v>7652344.9999998687</v>
      </c>
      <c r="L33" s="29">
        <f t="shared" si="5"/>
        <v>8417579.4999998566</v>
      </c>
      <c r="M33" s="30">
        <f t="shared" si="6"/>
        <v>585.32643766079252</v>
      </c>
      <c r="N33" s="31"/>
    </row>
    <row r="34" spans="1:16" x14ac:dyDescent="0.25">
      <c r="A34" s="22"/>
      <c r="B34" s="24">
        <v>27</v>
      </c>
      <c r="C34" s="25" t="s">
        <v>59</v>
      </c>
      <c r="D34" s="25">
        <v>10</v>
      </c>
      <c r="E34" s="26">
        <v>2.7900000000008731</v>
      </c>
      <c r="F34" s="27">
        <f t="shared" si="0"/>
        <v>5580.0000000017462</v>
      </c>
      <c r="G34" s="28">
        <f t="shared" si="1"/>
        <v>5778090.0000018086</v>
      </c>
      <c r="H34" s="26">
        <v>0.50999999999999091</v>
      </c>
      <c r="I34" s="27">
        <f t="shared" si="2"/>
        <v>1019.9999999999818</v>
      </c>
      <c r="J34" s="28">
        <f t="shared" si="3"/>
        <v>1584314.9999999718</v>
      </c>
      <c r="K34" s="26">
        <f t="shared" si="4"/>
        <v>7362405.0000017807</v>
      </c>
      <c r="L34" s="29">
        <f t="shared" si="5"/>
        <v>8098645.5000019595</v>
      </c>
      <c r="M34" s="30">
        <f t="shared" si="6"/>
        <v>563.14898129490018</v>
      </c>
      <c r="N34" s="31"/>
    </row>
    <row r="35" spans="1:16" x14ac:dyDescent="0.25">
      <c r="A35" s="22"/>
      <c r="B35" s="24">
        <v>28</v>
      </c>
      <c r="C35" s="25">
        <v>2</v>
      </c>
      <c r="D35" s="25">
        <v>14</v>
      </c>
      <c r="E35" s="26">
        <v>2.5099999999993088</v>
      </c>
      <c r="F35" s="27">
        <f t="shared" si="0"/>
        <v>5019.9999999986176</v>
      </c>
      <c r="G35" s="28">
        <f t="shared" si="1"/>
        <v>5198209.9999985686</v>
      </c>
      <c r="H35" s="26">
        <v>0.51999999999998181</v>
      </c>
      <c r="I35" s="27">
        <f t="shared" si="2"/>
        <v>1039.9999999999636</v>
      </c>
      <c r="J35" s="28">
        <f t="shared" si="3"/>
        <v>1615379.9999999434</v>
      </c>
      <c r="K35" s="26">
        <f t="shared" si="4"/>
        <v>6813589.9999985117</v>
      </c>
      <c r="L35" s="29">
        <f t="shared" si="5"/>
        <v>7494948.9999983637</v>
      </c>
      <c r="M35" s="30">
        <f t="shared" si="6"/>
        <v>521.17022460179146</v>
      </c>
      <c r="N35" s="31"/>
    </row>
    <row r="36" spans="1:16" x14ac:dyDescent="0.25">
      <c r="A36" s="22"/>
      <c r="B36" s="24">
        <v>29</v>
      </c>
      <c r="C36" s="25">
        <v>1</v>
      </c>
      <c r="D36" s="25">
        <v>13</v>
      </c>
      <c r="E36" s="26">
        <v>2.5500000000001819</v>
      </c>
      <c r="F36" s="27">
        <f t="shared" si="0"/>
        <v>5100.0000000003638</v>
      </c>
      <c r="G36" s="28">
        <f t="shared" si="1"/>
        <v>5281050.0000003763</v>
      </c>
      <c r="H36" s="26">
        <v>0.49000000000000909</v>
      </c>
      <c r="I36" s="27">
        <f t="shared" si="2"/>
        <v>980.00000000001819</v>
      </c>
      <c r="J36" s="28">
        <f t="shared" si="3"/>
        <v>1522185.0000000282</v>
      </c>
      <c r="K36" s="26">
        <f t="shared" si="4"/>
        <v>6803235.0000004042</v>
      </c>
      <c r="L36" s="29">
        <f t="shared" si="5"/>
        <v>7483558.5000004452</v>
      </c>
      <c r="M36" s="30">
        <f t="shared" si="6"/>
        <v>520.37817258886344</v>
      </c>
      <c r="N36" s="31"/>
    </row>
    <row r="37" spans="1:16" x14ac:dyDescent="0.25">
      <c r="A37" s="22"/>
      <c r="B37" s="24">
        <v>30</v>
      </c>
      <c r="C37" s="25" t="s">
        <v>59</v>
      </c>
      <c r="D37" s="25">
        <v>1</v>
      </c>
      <c r="E37" s="26">
        <v>2.1000000000003638</v>
      </c>
      <c r="F37" s="27">
        <f t="shared" si="0"/>
        <v>4200.0000000007276</v>
      </c>
      <c r="G37" s="28">
        <f>F37*1035.5</f>
        <v>4349100.0000007534</v>
      </c>
      <c r="H37" s="26">
        <v>0.34999999999990905</v>
      </c>
      <c r="I37" s="27">
        <f t="shared" si="2"/>
        <v>699.9999999998181</v>
      </c>
      <c r="J37" s="28">
        <f t="shared" si="3"/>
        <v>1087274.9999997176</v>
      </c>
      <c r="K37" s="26">
        <f t="shared" si="4"/>
        <v>5436375.0000004712</v>
      </c>
      <c r="L37" s="29">
        <f t="shared" si="5"/>
        <v>5980012.5000005187</v>
      </c>
      <c r="M37" s="30">
        <f t="shared" si="6"/>
        <v>415.8273068632584</v>
      </c>
      <c r="N37" s="31"/>
    </row>
    <row r="38" spans="1:16" x14ac:dyDescent="0.25">
      <c r="A38" s="22"/>
      <c r="B38" s="24">
        <v>31</v>
      </c>
      <c r="C38" s="25" t="s">
        <v>59</v>
      </c>
      <c r="D38" s="25" t="s">
        <v>59</v>
      </c>
      <c r="E38" s="26">
        <v>1.7199999999993452</v>
      </c>
      <c r="F38" s="27">
        <f t="shared" si="0"/>
        <v>3439.9999999986903</v>
      </c>
      <c r="G38" s="28">
        <f t="shared" si="1"/>
        <v>3562119.999998644</v>
      </c>
      <c r="H38" s="26">
        <v>0.27999999999997272</v>
      </c>
      <c r="I38" s="27">
        <f t="shared" si="2"/>
        <v>559.99999999994543</v>
      </c>
      <c r="J38" s="28">
        <f t="shared" si="3"/>
        <v>869819.99999991525</v>
      </c>
      <c r="K38" s="26">
        <f t="shared" si="4"/>
        <v>4431939.9999985592</v>
      </c>
      <c r="L38" s="29">
        <f t="shared" si="5"/>
        <v>4875133.9999984158</v>
      </c>
      <c r="M38" s="30">
        <f t="shared" si="6"/>
        <v>338.99826159505011</v>
      </c>
      <c r="N38" s="31"/>
    </row>
    <row r="39" spans="1:16" x14ac:dyDescent="0.25">
      <c r="C39" s="32">
        <f>SUM(C8:C38)</f>
        <v>379</v>
      </c>
      <c r="D39" s="32">
        <f>SUM(D8:D38)</f>
        <v>2212</v>
      </c>
      <c r="E39" s="33">
        <v>3.2799999999999727</v>
      </c>
      <c r="F39" s="32">
        <f>SUM(F8:F38)</f>
        <v>205379.99999999913</v>
      </c>
      <c r="I39" s="32">
        <f>SUM(I8:I38)</f>
        <v>41819.999999999709</v>
      </c>
      <c r="L39" s="34">
        <f>SUM(L8:L38)</f>
        <v>305390695.49999863</v>
      </c>
      <c r="M39" s="35">
        <f>SUM(M8:M38)</f>
        <v>21235.706522494864</v>
      </c>
      <c r="N39" s="36"/>
      <c r="P39" s="37"/>
    </row>
    <row r="41" spans="1:16" x14ac:dyDescent="0.25">
      <c r="G41" s="89" t="s">
        <v>28</v>
      </c>
      <c r="H41" s="90"/>
      <c r="I41" s="91">
        <f>F39+I39</f>
        <v>247199.99999999884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6" workbookViewId="0">
      <selection activeCell="L9" sqref="L9:L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43891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x14ac:dyDescent="0.25">
      <c r="A8" s="22"/>
      <c r="B8" s="99"/>
      <c r="C8" s="99"/>
      <c r="D8" s="99"/>
      <c r="E8" s="99"/>
      <c r="F8" s="109"/>
      <c r="G8" s="46">
        <v>10630</v>
      </c>
      <c r="H8" s="99"/>
      <c r="I8" s="99"/>
      <c r="J8" s="46">
        <f>G8</f>
        <v>10630</v>
      </c>
      <c r="K8" s="99"/>
      <c r="L8" s="99"/>
      <c r="M8" s="46">
        <f>J8</f>
        <v>10630</v>
      </c>
      <c r="N8" s="99"/>
      <c r="O8" s="99"/>
      <c r="P8" s="46">
        <f>J8</f>
        <v>10630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27</v>
      </c>
      <c r="D9" s="49">
        <f>Electricity!D8</f>
        <v>173</v>
      </c>
      <c r="E9" s="97"/>
      <c r="F9" s="26">
        <v>140.07390687160944</v>
      </c>
      <c r="G9" s="51">
        <f>F9*$G$8</f>
        <v>1488985.6300452084</v>
      </c>
      <c r="H9" s="50"/>
      <c r="I9" s="98">
        <v>75.424411392405077</v>
      </c>
      <c r="J9" s="51">
        <f>I9*$J$8</f>
        <v>801761.49310126598</v>
      </c>
      <c r="K9" s="50"/>
      <c r="L9" s="26">
        <v>4.17</v>
      </c>
      <c r="M9" s="27">
        <f>L9*$M$8</f>
        <v>44327.1</v>
      </c>
      <c r="N9" s="50"/>
      <c r="O9" s="26">
        <v>7.14</v>
      </c>
      <c r="P9" s="52">
        <f>O9*$P$8</f>
        <v>75898.2</v>
      </c>
      <c r="Q9" s="53">
        <f>P9+G9+J9+M9</f>
        <v>2410972.4231464746</v>
      </c>
      <c r="R9" s="54">
        <f>Q9/14381</f>
        <v>167.64984515308217</v>
      </c>
      <c r="S9" s="23"/>
    </row>
    <row r="10" spans="1:21" x14ac:dyDescent="0.25">
      <c r="A10" s="22"/>
      <c r="B10" s="24">
        <v>2</v>
      </c>
      <c r="C10" s="48">
        <f>Electricity!C9</f>
        <v>32</v>
      </c>
      <c r="D10" s="49">
        <f>Electricity!D9</f>
        <v>156</v>
      </c>
      <c r="E10" s="97"/>
      <c r="F10" s="26">
        <v>125.58701717902355</v>
      </c>
      <c r="G10" s="51">
        <f>F10*$G$8</f>
        <v>1334989.9926130204</v>
      </c>
      <c r="H10" s="50"/>
      <c r="I10" s="98">
        <v>67.623778481012664</v>
      </c>
      <c r="J10" s="51">
        <f>I10*$J$8</f>
        <v>718840.76525316457</v>
      </c>
      <c r="K10" s="50"/>
      <c r="L10" s="26">
        <v>4.17</v>
      </c>
      <c r="M10" s="27">
        <f t="shared" ref="M10:M39" si="0">L10*$M$8</f>
        <v>44327.1</v>
      </c>
      <c r="N10" s="50"/>
      <c r="O10" s="26">
        <v>7.14</v>
      </c>
      <c r="P10" s="52">
        <f>O10*$P$8</f>
        <v>75898.2</v>
      </c>
      <c r="Q10" s="53">
        <f>J10+M10+G10+P10</f>
        <v>2174056.057866185</v>
      </c>
      <c r="R10" s="54">
        <f t="shared" ref="R10:R39" si="1">Q10/14381</f>
        <v>151.17558291260588</v>
      </c>
      <c r="S10" s="23"/>
    </row>
    <row r="11" spans="1:21" x14ac:dyDescent="0.25">
      <c r="A11" s="22"/>
      <c r="B11" s="24">
        <v>3</v>
      </c>
      <c r="C11" s="48">
        <f>Electricity!C10</f>
        <v>29</v>
      </c>
      <c r="D11" s="49">
        <f>Electricity!D10</f>
        <v>167</v>
      </c>
      <c r="E11" s="97"/>
      <c r="F11" s="26">
        <v>134.96088698010854</v>
      </c>
      <c r="G11" s="51">
        <f t="shared" ref="G11:G39" si="2">F11*$G$8</f>
        <v>1434634.2285985537</v>
      </c>
      <c r="H11" s="50"/>
      <c r="I11" s="98">
        <v>72.671246835443043</v>
      </c>
      <c r="J11" s="51">
        <f t="shared" ref="J11:J39" si="3">I11*$J$8</f>
        <v>772495.35386075953</v>
      </c>
      <c r="K11" s="50"/>
      <c r="L11" s="26">
        <v>4.17</v>
      </c>
      <c r="M11" s="27">
        <f t="shared" si="0"/>
        <v>44327.1</v>
      </c>
      <c r="N11" s="50"/>
      <c r="O11" s="26">
        <v>7.14</v>
      </c>
      <c r="P11" s="52">
        <f t="shared" ref="P11:P39" si="4">O11*$P$8</f>
        <v>75898.2</v>
      </c>
      <c r="Q11" s="53">
        <f t="shared" ref="Q11:Q39" si="5">J11+M11+G11+P11</f>
        <v>2327354.8824593136</v>
      </c>
      <c r="R11" s="54">
        <f t="shared" si="1"/>
        <v>161.83539965644349</v>
      </c>
      <c r="S11" s="23"/>
    </row>
    <row r="12" spans="1:21" x14ac:dyDescent="0.25">
      <c r="A12" s="22"/>
      <c r="B12" s="24">
        <v>4</v>
      </c>
      <c r="C12" s="48">
        <f>Electricity!C11</f>
        <v>26</v>
      </c>
      <c r="D12" s="49">
        <f>Electricity!D11</f>
        <v>133</v>
      </c>
      <c r="E12" s="97"/>
      <c r="F12" s="26">
        <v>105.98710759493675</v>
      </c>
      <c r="G12" s="51">
        <f t="shared" si="2"/>
        <v>1126642.9537341776</v>
      </c>
      <c r="H12" s="50"/>
      <c r="I12" s="98">
        <v>57.069981012658239</v>
      </c>
      <c r="J12" s="51">
        <f t="shared" si="3"/>
        <v>606653.89816455706</v>
      </c>
      <c r="K12" s="50"/>
      <c r="L12" s="26">
        <v>4.17</v>
      </c>
      <c r="M12" s="27">
        <f t="shared" si="0"/>
        <v>44327.1</v>
      </c>
      <c r="N12" s="50"/>
      <c r="O12" s="26">
        <v>7.14</v>
      </c>
      <c r="P12" s="52">
        <f t="shared" si="4"/>
        <v>75898.2</v>
      </c>
      <c r="Q12" s="53">
        <f t="shared" si="5"/>
        <v>1853522.1518987345</v>
      </c>
      <c r="R12" s="54">
        <f t="shared" si="1"/>
        <v>128.8868751754909</v>
      </c>
      <c r="S12" s="23"/>
    </row>
    <row r="13" spans="1:21" x14ac:dyDescent="0.25">
      <c r="A13" s="22"/>
      <c r="B13" s="24">
        <v>5</v>
      </c>
      <c r="C13" s="48">
        <f>Electricity!C12</f>
        <v>27</v>
      </c>
      <c r="D13" s="49">
        <f>Electricity!D12</f>
        <v>123</v>
      </c>
      <c r="E13" s="97"/>
      <c r="F13" s="26">
        <v>97.465407775768568</v>
      </c>
      <c r="G13" s="51">
        <f t="shared" si="2"/>
        <v>1036057.2846564199</v>
      </c>
      <c r="H13" s="50"/>
      <c r="I13" s="98">
        <v>52.481373417721528</v>
      </c>
      <c r="J13" s="51">
        <f t="shared" si="3"/>
        <v>557876.99943037983</v>
      </c>
      <c r="K13" s="50"/>
      <c r="L13" s="26">
        <v>4.17</v>
      </c>
      <c r="M13" s="27">
        <f t="shared" si="0"/>
        <v>44327.1</v>
      </c>
      <c r="N13" s="50"/>
      <c r="O13" s="26">
        <v>7.14</v>
      </c>
      <c r="P13" s="52">
        <f t="shared" si="4"/>
        <v>75898.2</v>
      </c>
      <c r="Q13" s="53">
        <f t="shared" si="5"/>
        <v>1714159.5840867998</v>
      </c>
      <c r="R13" s="54">
        <f t="shared" si="1"/>
        <v>119.19613268109309</v>
      </c>
      <c r="S13" s="23"/>
    </row>
    <row r="14" spans="1:21" x14ac:dyDescent="0.25">
      <c r="A14" s="22"/>
      <c r="B14" s="24">
        <v>6</v>
      </c>
      <c r="C14" s="48">
        <f>Electricity!C13</f>
        <v>24</v>
      </c>
      <c r="D14" s="49">
        <f>Electricity!D13</f>
        <v>133</v>
      </c>
      <c r="E14" s="97"/>
      <c r="F14" s="26">
        <v>105.98710759493675</v>
      </c>
      <c r="G14" s="51">
        <f t="shared" si="2"/>
        <v>1126642.9537341776</v>
      </c>
      <c r="H14" s="50"/>
      <c r="I14" s="98">
        <v>57.069981012658239</v>
      </c>
      <c r="J14" s="51">
        <f t="shared" si="3"/>
        <v>606653.89816455706</v>
      </c>
      <c r="K14" s="50"/>
      <c r="L14" s="26">
        <v>4.17</v>
      </c>
      <c r="M14" s="27">
        <f t="shared" si="0"/>
        <v>44327.1</v>
      </c>
      <c r="N14" s="50"/>
      <c r="O14" s="26">
        <v>7.14</v>
      </c>
      <c r="P14" s="52">
        <f t="shared" si="4"/>
        <v>75898.2</v>
      </c>
      <c r="Q14" s="53">
        <f t="shared" si="5"/>
        <v>1853522.1518987345</v>
      </c>
      <c r="R14" s="54">
        <f t="shared" si="1"/>
        <v>128.8868751754909</v>
      </c>
      <c r="S14" s="23"/>
    </row>
    <row r="15" spans="1:21" x14ac:dyDescent="0.25">
      <c r="A15" s="22"/>
      <c r="B15" s="24">
        <v>7</v>
      </c>
      <c r="C15" s="48">
        <f>Electricity!C14</f>
        <v>24</v>
      </c>
      <c r="D15" s="49">
        <f>Electricity!D14</f>
        <v>120</v>
      </c>
      <c r="E15" s="97"/>
      <c r="F15" s="26">
        <v>94.908897830018105</v>
      </c>
      <c r="G15" s="51">
        <f t="shared" si="2"/>
        <v>1008881.5839330924</v>
      </c>
      <c r="H15" s="50"/>
      <c r="I15" s="98">
        <v>51.104791139240518</v>
      </c>
      <c r="J15" s="51">
        <f t="shared" si="3"/>
        <v>543243.92981012666</v>
      </c>
      <c r="K15" s="50"/>
      <c r="L15" s="26">
        <v>4.17</v>
      </c>
      <c r="M15" s="27">
        <f t="shared" si="0"/>
        <v>44327.1</v>
      </c>
      <c r="N15" s="50"/>
      <c r="O15" s="26">
        <v>7.14</v>
      </c>
      <c r="P15" s="52">
        <f t="shared" si="4"/>
        <v>75898.2</v>
      </c>
      <c r="Q15" s="53">
        <f t="shared" si="5"/>
        <v>1672350.813743219</v>
      </c>
      <c r="R15" s="54">
        <f t="shared" si="1"/>
        <v>116.28890993277373</v>
      </c>
      <c r="S15" s="23"/>
    </row>
    <row r="16" spans="1:21" x14ac:dyDescent="0.25">
      <c r="A16" s="22"/>
      <c r="B16" s="24">
        <v>8</v>
      </c>
      <c r="C16" s="48">
        <f>Electricity!C15</f>
        <v>17</v>
      </c>
      <c r="D16" s="49">
        <f>Electricity!D15</f>
        <v>96</v>
      </c>
      <c r="E16" s="97"/>
      <c r="F16" s="26">
        <v>74.456818264014473</v>
      </c>
      <c r="G16" s="51">
        <f t="shared" si="2"/>
        <v>791475.97814647388</v>
      </c>
      <c r="H16" s="50"/>
      <c r="I16" s="98">
        <v>40.092132911392405</v>
      </c>
      <c r="J16" s="51">
        <f t="shared" si="3"/>
        <v>426179.37284810125</v>
      </c>
      <c r="K16" s="50"/>
      <c r="L16" s="26">
        <v>4.17</v>
      </c>
      <c r="M16" s="27">
        <f t="shared" si="0"/>
        <v>44327.1</v>
      </c>
      <c r="N16" s="50"/>
      <c r="O16" s="26">
        <v>7.14</v>
      </c>
      <c r="P16" s="52">
        <f t="shared" si="4"/>
        <v>75898.2</v>
      </c>
      <c r="Q16" s="53">
        <f t="shared" si="5"/>
        <v>1337880.6509945751</v>
      </c>
      <c r="R16" s="54">
        <f t="shared" si="1"/>
        <v>93.031127946218973</v>
      </c>
      <c r="S16" s="23"/>
    </row>
    <row r="17" spans="1:19" x14ac:dyDescent="0.25">
      <c r="A17" s="22"/>
      <c r="B17" s="24">
        <v>9</v>
      </c>
      <c r="C17" s="48">
        <f>Electricity!C16</f>
        <v>14</v>
      </c>
      <c r="D17" s="49">
        <f>Electricity!D16</f>
        <v>101</v>
      </c>
      <c r="E17" s="85"/>
      <c r="F17" s="26">
        <v>78.717668173598568</v>
      </c>
      <c r="G17" s="51">
        <f t="shared" si="2"/>
        <v>836768.81268535275</v>
      </c>
      <c r="H17" s="50"/>
      <c r="I17" s="98">
        <v>42.386436708860764</v>
      </c>
      <c r="J17" s="51">
        <f t="shared" si="3"/>
        <v>450567.82221518992</v>
      </c>
      <c r="K17" s="50"/>
      <c r="L17" s="26">
        <v>4.17</v>
      </c>
      <c r="M17" s="27">
        <f t="shared" si="0"/>
        <v>44327.1</v>
      </c>
      <c r="N17" s="50"/>
      <c r="O17" s="26">
        <v>7.14</v>
      </c>
      <c r="P17" s="52">
        <f t="shared" si="4"/>
        <v>75898.2</v>
      </c>
      <c r="Q17" s="53">
        <f t="shared" si="5"/>
        <v>1407561.9349005425</v>
      </c>
      <c r="R17" s="54">
        <f t="shared" si="1"/>
        <v>97.876499193417871</v>
      </c>
      <c r="S17" s="23"/>
    </row>
    <row r="18" spans="1:19" x14ac:dyDescent="0.25">
      <c r="A18" s="22"/>
      <c r="B18" s="24">
        <v>10</v>
      </c>
      <c r="C18" s="48">
        <f>Electricity!C17</f>
        <v>15</v>
      </c>
      <c r="D18" s="49">
        <f>Electricity!D17</f>
        <v>88</v>
      </c>
      <c r="E18" s="97"/>
      <c r="F18" s="26">
        <v>67.639458408679928</v>
      </c>
      <c r="G18" s="51">
        <f t="shared" si="2"/>
        <v>719007.44288426766</v>
      </c>
      <c r="H18" s="50"/>
      <c r="I18" s="98">
        <v>36.421246835443036</v>
      </c>
      <c r="J18" s="51">
        <f t="shared" si="3"/>
        <v>387157.85386075947</v>
      </c>
      <c r="K18" s="50"/>
      <c r="L18" s="26">
        <v>4.17</v>
      </c>
      <c r="M18" s="27">
        <f t="shared" si="0"/>
        <v>44327.1</v>
      </c>
      <c r="N18" s="50"/>
      <c r="O18" s="26">
        <v>7.14</v>
      </c>
      <c r="P18" s="52">
        <f t="shared" si="4"/>
        <v>75898.2</v>
      </c>
      <c r="Q18" s="53">
        <f t="shared" si="5"/>
        <v>1226390.596745027</v>
      </c>
      <c r="R18" s="54">
        <f t="shared" si="1"/>
        <v>85.278533950700719</v>
      </c>
      <c r="S18" s="23"/>
    </row>
    <row r="19" spans="1:19" x14ac:dyDescent="0.25">
      <c r="A19" s="22"/>
      <c r="B19" s="24">
        <v>11</v>
      </c>
      <c r="C19" s="48">
        <f>Electricity!C18</f>
        <v>15</v>
      </c>
      <c r="D19" s="49">
        <f>Electricity!D18</f>
        <v>90</v>
      </c>
      <c r="E19" s="97"/>
      <c r="F19" s="26">
        <v>69.343798372513561</v>
      </c>
      <c r="G19" s="51">
        <f t="shared" si="2"/>
        <v>737124.57669981918</v>
      </c>
      <c r="H19" s="50"/>
      <c r="I19" s="98">
        <v>37.338968354430378</v>
      </c>
      <c r="J19" s="51">
        <f t="shared" si="3"/>
        <v>396913.23360759491</v>
      </c>
      <c r="K19" s="50"/>
      <c r="L19" s="26">
        <v>4.17</v>
      </c>
      <c r="M19" s="27">
        <f t="shared" si="0"/>
        <v>44327.1</v>
      </c>
      <c r="N19" s="50"/>
      <c r="O19" s="26">
        <v>7.14</v>
      </c>
      <c r="P19" s="52">
        <f t="shared" si="4"/>
        <v>75898.2</v>
      </c>
      <c r="Q19" s="53">
        <f t="shared" si="5"/>
        <v>1254263.1103074141</v>
      </c>
      <c r="R19" s="54">
        <f t="shared" si="1"/>
        <v>87.21668244958029</v>
      </c>
      <c r="S19" s="23"/>
    </row>
    <row r="20" spans="1:19" x14ac:dyDescent="0.25">
      <c r="A20" s="22"/>
      <c r="B20" s="24">
        <v>12</v>
      </c>
      <c r="C20" s="48">
        <f>Electricity!C19</f>
        <v>16</v>
      </c>
      <c r="D20" s="49">
        <f>Electricity!D19</f>
        <v>76</v>
      </c>
      <c r="E20" s="97"/>
      <c r="F20" s="26">
        <v>60.123918625678122</v>
      </c>
      <c r="G20" s="51">
        <f t="shared" si="2"/>
        <v>639117.25499095849</v>
      </c>
      <c r="H20" s="50"/>
      <c r="I20" s="98">
        <v>32.374417721518988</v>
      </c>
      <c r="J20" s="51">
        <f t="shared" si="3"/>
        <v>344140.06037974684</v>
      </c>
      <c r="K20" s="50"/>
      <c r="L20" s="26"/>
      <c r="M20" s="27">
        <f t="shared" si="0"/>
        <v>0</v>
      </c>
      <c r="N20" s="50"/>
      <c r="O20" s="26">
        <v>7.14</v>
      </c>
      <c r="P20" s="52">
        <f t="shared" si="4"/>
        <v>75898.2</v>
      </c>
      <c r="Q20" s="53">
        <f t="shared" si="5"/>
        <v>1059155.5153707054</v>
      </c>
      <c r="R20" s="54">
        <f t="shared" si="1"/>
        <v>73.649642957423367</v>
      </c>
      <c r="S20" s="23"/>
    </row>
    <row r="21" spans="1:19" x14ac:dyDescent="0.25">
      <c r="A21" s="22"/>
      <c r="B21" s="24">
        <v>13</v>
      </c>
      <c r="C21" s="48">
        <f>Electricity!C20</f>
        <v>17</v>
      </c>
      <c r="D21" s="49">
        <f>Electricity!D20</f>
        <v>108</v>
      </c>
      <c r="E21" s="97"/>
      <c r="F21" s="26">
        <v>84.682858047016296</v>
      </c>
      <c r="G21" s="51">
        <f t="shared" si="2"/>
        <v>900178.78103978327</v>
      </c>
      <c r="H21" s="50"/>
      <c r="I21" s="98">
        <v>45.598462025316465</v>
      </c>
      <c r="J21" s="51">
        <f t="shared" si="3"/>
        <v>484711.65132911404</v>
      </c>
      <c r="K21" s="50"/>
      <c r="L21" s="26">
        <v>4.17</v>
      </c>
      <c r="M21" s="27">
        <f t="shared" si="0"/>
        <v>44327.1</v>
      </c>
      <c r="N21" s="50"/>
      <c r="O21" s="26">
        <v>7.14</v>
      </c>
      <c r="P21" s="52">
        <f t="shared" si="4"/>
        <v>75898.2</v>
      </c>
      <c r="Q21" s="53">
        <f t="shared" si="5"/>
        <v>1505115.7323688974</v>
      </c>
      <c r="R21" s="54">
        <f t="shared" si="1"/>
        <v>104.66001893949638</v>
      </c>
      <c r="S21" s="23"/>
    </row>
    <row r="22" spans="1:19" x14ac:dyDescent="0.25">
      <c r="A22" s="22"/>
      <c r="B22" s="24">
        <v>14</v>
      </c>
      <c r="C22" s="48">
        <f>Electricity!C21</f>
        <v>18</v>
      </c>
      <c r="D22" s="49">
        <f>Electricity!D21</f>
        <v>93</v>
      </c>
      <c r="E22" s="97"/>
      <c r="F22" s="26">
        <v>71.90030831826401</v>
      </c>
      <c r="G22" s="51">
        <f t="shared" si="2"/>
        <v>764300.27742314641</v>
      </c>
      <c r="H22" s="50"/>
      <c r="I22" s="98">
        <v>38.715550632911388</v>
      </c>
      <c r="J22" s="51">
        <f t="shared" si="3"/>
        <v>411546.30322784802</v>
      </c>
      <c r="K22" s="50"/>
      <c r="L22" s="26">
        <v>4.17</v>
      </c>
      <c r="M22" s="27">
        <f t="shared" si="0"/>
        <v>44327.1</v>
      </c>
      <c r="N22" s="50"/>
      <c r="O22" s="26">
        <v>7.14</v>
      </c>
      <c r="P22" s="52">
        <f t="shared" si="4"/>
        <v>75898.2</v>
      </c>
      <c r="Q22" s="53">
        <f t="shared" si="5"/>
        <v>1296071.8806509944</v>
      </c>
      <c r="R22" s="54">
        <f t="shared" si="1"/>
        <v>90.123905197899617</v>
      </c>
      <c r="S22" s="23"/>
    </row>
    <row r="23" spans="1:19" x14ac:dyDescent="0.25">
      <c r="A23" s="22"/>
      <c r="B23" s="24">
        <v>15</v>
      </c>
      <c r="C23" s="48">
        <f>Electricity!C22</f>
        <v>13</v>
      </c>
      <c r="D23" s="49">
        <f>Electricity!D22</f>
        <v>80</v>
      </c>
      <c r="E23" s="97"/>
      <c r="F23" s="26">
        <v>60.822098553345391</v>
      </c>
      <c r="G23" s="51">
        <f t="shared" si="2"/>
        <v>646538.90762206155</v>
      </c>
      <c r="H23" s="50"/>
      <c r="I23" s="98">
        <v>32.750360759493667</v>
      </c>
      <c r="J23" s="51">
        <f t="shared" si="3"/>
        <v>348136.33487341768</v>
      </c>
      <c r="K23" s="50"/>
      <c r="L23" s="26">
        <v>4.17</v>
      </c>
      <c r="M23" s="27">
        <f t="shared" si="0"/>
        <v>44327.1</v>
      </c>
      <c r="N23" s="50"/>
      <c r="O23" s="26">
        <v>7.14</v>
      </c>
      <c r="P23" s="52">
        <f t="shared" si="4"/>
        <v>75898.2</v>
      </c>
      <c r="Q23" s="53">
        <f t="shared" si="5"/>
        <v>1114900.5424954791</v>
      </c>
      <c r="R23" s="54">
        <f t="shared" si="1"/>
        <v>77.525939955182466</v>
      </c>
      <c r="S23" s="23"/>
    </row>
    <row r="24" spans="1:19" x14ac:dyDescent="0.25">
      <c r="A24" s="22"/>
      <c r="B24" s="24">
        <v>16</v>
      </c>
      <c r="C24" s="48">
        <f>Electricity!C23</f>
        <v>12</v>
      </c>
      <c r="D24" s="49">
        <f>Electricity!D23</f>
        <v>80</v>
      </c>
      <c r="E24" s="97"/>
      <c r="F24" s="26">
        <v>60.822098553345391</v>
      </c>
      <c r="G24" s="51">
        <f t="shared" si="2"/>
        <v>646538.90762206155</v>
      </c>
      <c r="H24" s="50"/>
      <c r="I24" s="98">
        <v>32.750360759493667</v>
      </c>
      <c r="J24" s="51">
        <f t="shared" si="3"/>
        <v>348136.33487341768</v>
      </c>
      <c r="K24" s="50"/>
      <c r="L24" s="26">
        <v>4.17</v>
      </c>
      <c r="M24" s="27">
        <f t="shared" si="0"/>
        <v>44327.1</v>
      </c>
      <c r="N24" s="50"/>
      <c r="O24" s="26">
        <v>7.14</v>
      </c>
      <c r="P24" s="52">
        <f t="shared" si="4"/>
        <v>75898.2</v>
      </c>
      <c r="Q24" s="53">
        <f t="shared" si="5"/>
        <v>1114900.5424954791</v>
      </c>
      <c r="R24" s="54">
        <f t="shared" si="1"/>
        <v>77.525939955182466</v>
      </c>
      <c r="S24" s="23"/>
    </row>
    <row r="25" spans="1:19" x14ac:dyDescent="0.25">
      <c r="A25" s="22"/>
      <c r="B25" s="24">
        <v>17</v>
      </c>
      <c r="C25" s="48">
        <f>Electricity!C24</f>
        <v>11</v>
      </c>
      <c r="D25" s="49">
        <f>Electricity!D24</f>
        <v>89</v>
      </c>
      <c r="E25" s="97"/>
      <c r="F25" s="26">
        <v>68.491628390596745</v>
      </c>
      <c r="G25" s="51">
        <f t="shared" si="2"/>
        <v>728066.00979204336</v>
      </c>
      <c r="H25" s="50"/>
      <c r="I25" s="98">
        <v>36.880107594936703</v>
      </c>
      <c r="J25" s="51">
        <f t="shared" si="3"/>
        <v>392035.54373417713</v>
      </c>
      <c r="K25" s="50"/>
      <c r="L25" s="26">
        <v>4.17</v>
      </c>
      <c r="M25" s="27">
        <f t="shared" si="0"/>
        <v>44327.1</v>
      </c>
      <c r="N25" s="50"/>
      <c r="O25" s="26">
        <v>7.14</v>
      </c>
      <c r="P25" s="52">
        <f t="shared" si="4"/>
        <v>75898.2</v>
      </c>
      <c r="Q25" s="53">
        <f t="shared" si="5"/>
        <v>1240326.8535262204</v>
      </c>
      <c r="R25" s="54">
        <f t="shared" si="1"/>
        <v>86.24760820014049</v>
      </c>
      <c r="S25" s="23"/>
    </row>
    <row r="26" spans="1:19" x14ac:dyDescent="0.25">
      <c r="A26" s="22"/>
      <c r="B26" s="24">
        <v>18</v>
      </c>
      <c r="C26" s="48">
        <f>Electricity!C25</f>
        <v>9</v>
      </c>
      <c r="D26" s="49">
        <f>Electricity!D25</f>
        <v>69</v>
      </c>
      <c r="E26" s="97"/>
      <c r="F26" s="26">
        <v>51.448228752260398</v>
      </c>
      <c r="G26" s="51">
        <f t="shared" si="2"/>
        <v>546894.67163652799</v>
      </c>
      <c r="H26" s="50"/>
      <c r="I26" s="98">
        <v>27.702892405063288</v>
      </c>
      <c r="J26" s="51">
        <f t="shared" si="3"/>
        <v>294481.74626582273</v>
      </c>
      <c r="K26" s="50"/>
      <c r="L26" s="26">
        <v>4.17</v>
      </c>
      <c r="M26" s="27">
        <f t="shared" si="0"/>
        <v>44327.1</v>
      </c>
      <c r="N26" s="50"/>
      <c r="O26" s="26">
        <v>7.14</v>
      </c>
      <c r="P26" s="52">
        <f t="shared" si="4"/>
        <v>75898.2</v>
      </c>
      <c r="Q26" s="53">
        <f t="shared" si="5"/>
        <v>961601.71790235071</v>
      </c>
      <c r="R26" s="54">
        <f t="shared" si="1"/>
        <v>66.866123211344885</v>
      </c>
      <c r="S26" s="23"/>
    </row>
    <row r="27" spans="1:19" x14ac:dyDescent="0.25">
      <c r="A27" s="22"/>
      <c r="B27" s="24">
        <v>19</v>
      </c>
      <c r="C27" s="48">
        <f>Electricity!C26</f>
        <v>8</v>
      </c>
      <c r="D27" s="49">
        <f>Electricity!D26</f>
        <v>54</v>
      </c>
      <c r="E27" s="84"/>
      <c r="F27" s="26">
        <v>41.376179023508136</v>
      </c>
      <c r="G27" s="51">
        <f t="shared" si="2"/>
        <v>439828.78301989147</v>
      </c>
      <c r="H27" s="50"/>
      <c r="I27" s="98">
        <v>22.279481012658227</v>
      </c>
      <c r="J27" s="51">
        <f t="shared" si="3"/>
        <v>236830.88316455696</v>
      </c>
      <c r="K27" s="50"/>
      <c r="L27" s="26"/>
      <c r="M27" s="27">
        <f t="shared" si="0"/>
        <v>0</v>
      </c>
      <c r="N27" s="50"/>
      <c r="O27" s="26">
        <v>7.14</v>
      </c>
      <c r="P27" s="52">
        <f t="shared" si="4"/>
        <v>75898.2</v>
      </c>
      <c r="Q27" s="53">
        <f t="shared" si="5"/>
        <v>752557.86618444836</v>
      </c>
      <c r="R27" s="54">
        <f t="shared" si="1"/>
        <v>52.330009469748163</v>
      </c>
      <c r="S27" s="23"/>
    </row>
    <row r="28" spans="1:19" x14ac:dyDescent="0.25">
      <c r="A28" s="22"/>
      <c r="B28" s="24">
        <v>20</v>
      </c>
      <c r="C28" s="48">
        <f>Electricity!C27</f>
        <v>6</v>
      </c>
      <c r="D28" s="49">
        <f>Electricity!D27</f>
        <v>38</v>
      </c>
      <c r="E28" s="84"/>
      <c r="F28" s="26">
        <v>25.030959312839059</v>
      </c>
      <c r="G28" s="51">
        <f t="shared" si="2"/>
        <v>266079.09749547922</v>
      </c>
      <c r="H28" s="50"/>
      <c r="I28" s="98">
        <v>13.478208860759493</v>
      </c>
      <c r="J28" s="51">
        <f t="shared" si="3"/>
        <v>143273.36018987341</v>
      </c>
      <c r="K28" s="50"/>
      <c r="L28" s="26">
        <v>4.17</v>
      </c>
      <c r="M28" s="27">
        <f t="shared" si="0"/>
        <v>44327.1</v>
      </c>
      <c r="N28" s="50"/>
      <c r="O28" s="26">
        <v>7.14</v>
      </c>
      <c r="P28" s="52">
        <f t="shared" si="4"/>
        <v>75898.2</v>
      </c>
      <c r="Q28" s="53">
        <f t="shared" si="5"/>
        <v>529577.75768535258</v>
      </c>
      <c r="R28" s="54">
        <f t="shared" si="1"/>
        <v>36.824821478711677</v>
      </c>
      <c r="S28" s="23"/>
    </row>
    <row r="29" spans="1:19" x14ac:dyDescent="0.25">
      <c r="A29" s="22"/>
      <c r="B29" s="24">
        <v>21</v>
      </c>
      <c r="C29" s="48">
        <f>Electricity!C28</f>
        <v>5</v>
      </c>
      <c r="D29" s="49">
        <f>Electricity!D28</f>
        <v>35</v>
      </c>
      <c r="E29" s="84"/>
      <c r="F29" s="26">
        <v>25.18494936708861</v>
      </c>
      <c r="G29" s="51">
        <f t="shared" si="2"/>
        <v>267716.01177215192</v>
      </c>
      <c r="H29" s="50"/>
      <c r="I29" s="98">
        <v>13.561126582278481</v>
      </c>
      <c r="J29" s="51">
        <f t="shared" si="3"/>
        <v>144154.77556962025</v>
      </c>
      <c r="K29" s="50"/>
      <c r="L29" s="26"/>
      <c r="M29" s="27">
        <f t="shared" si="0"/>
        <v>0</v>
      </c>
      <c r="N29" s="50"/>
      <c r="O29" s="26">
        <v>7.14</v>
      </c>
      <c r="P29" s="52">
        <f t="shared" si="4"/>
        <v>75898.2</v>
      </c>
      <c r="Q29" s="53">
        <f t="shared" si="5"/>
        <v>487768.98734177218</v>
      </c>
      <c r="R29" s="54">
        <f t="shared" si="1"/>
        <v>33.917598730392335</v>
      </c>
      <c r="S29" s="23"/>
    </row>
    <row r="30" spans="1:19" x14ac:dyDescent="0.25">
      <c r="A30" s="22"/>
      <c r="B30" s="24">
        <v>22</v>
      </c>
      <c r="C30" s="48">
        <f>Electricity!C29</f>
        <v>4</v>
      </c>
      <c r="D30" s="49">
        <f>Electricity!D29</f>
        <v>20</v>
      </c>
      <c r="E30" s="84"/>
      <c r="F30" s="26">
        <v>9.6918996383363485</v>
      </c>
      <c r="G30" s="51">
        <f t="shared" si="2"/>
        <v>103024.89315551538</v>
      </c>
      <c r="H30" s="50"/>
      <c r="I30" s="98">
        <v>5.2187151898734179</v>
      </c>
      <c r="J30" s="51">
        <f t="shared" si="3"/>
        <v>55474.942468354435</v>
      </c>
      <c r="K30" s="50"/>
      <c r="L30" s="26">
        <v>4.17</v>
      </c>
      <c r="M30" s="27">
        <f t="shared" si="0"/>
        <v>44327.1</v>
      </c>
      <c r="N30" s="50"/>
      <c r="O30" s="26">
        <v>7.14</v>
      </c>
      <c r="P30" s="52">
        <f t="shared" si="4"/>
        <v>75898.2</v>
      </c>
      <c r="Q30" s="53">
        <f t="shared" si="5"/>
        <v>278725.13562386984</v>
      </c>
      <c r="R30" s="54">
        <f t="shared" si="1"/>
        <v>19.38148498879562</v>
      </c>
      <c r="S30" s="23"/>
    </row>
    <row r="31" spans="1:19" x14ac:dyDescent="0.25">
      <c r="A31" s="22"/>
      <c r="B31" s="24">
        <v>23</v>
      </c>
      <c r="C31" s="48">
        <f>Electricity!C30</f>
        <v>2</v>
      </c>
      <c r="D31" s="49">
        <f>Electricity!D30</f>
        <v>14</v>
      </c>
      <c r="E31" s="84"/>
      <c r="F31" s="26">
        <v>4.5788797468354421</v>
      </c>
      <c r="G31" s="51">
        <f t="shared" si="2"/>
        <v>48673.491708860747</v>
      </c>
      <c r="H31" s="50"/>
      <c r="I31" s="98">
        <v>2.4655506329113916</v>
      </c>
      <c r="J31" s="51">
        <f t="shared" si="3"/>
        <v>26208.803227848093</v>
      </c>
      <c r="K31" s="50"/>
      <c r="L31" s="26">
        <v>4.17</v>
      </c>
      <c r="M31" s="27">
        <f t="shared" si="0"/>
        <v>44327.1</v>
      </c>
      <c r="N31" s="50"/>
      <c r="O31" s="26">
        <v>7.14</v>
      </c>
      <c r="P31" s="52">
        <f t="shared" si="4"/>
        <v>75898.2</v>
      </c>
      <c r="Q31" s="53">
        <f t="shared" si="5"/>
        <v>195107.59493670883</v>
      </c>
      <c r="R31" s="54">
        <f t="shared" si="1"/>
        <v>13.567039492156932</v>
      </c>
      <c r="S31" s="23"/>
    </row>
    <row r="32" spans="1:19" x14ac:dyDescent="0.25">
      <c r="A32" s="22"/>
      <c r="B32" s="24">
        <v>24</v>
      </c>
      <c r="C32" s="48">
        <f>Electricity!C31</f>
        <v>2</v>
      </c>
      <c r="D32" s="49">
        <f>Electricity!D31</f>
        <v>14</v>
      </c>
      <c r="E32" s="84"/>
      <c r="F32" s="83">
        <v>4.5788797468354421</v>
      </c>
      <c r="G32" s="51">
        <f t="shared" si="2"/>
        <v>48673.491708860747</v>
      </c>
      <c r="H32" s="50"/>
      <c r="I32" s="98">
        <v>2.4655506329113916</v>
      </c>
      <c r="J32" s="51">
        <f t="shared" si="3"/>
        <v>26208.803227848093</v>
      </c>
      <c r="K32" s="50"/>
      <c r="L32" s="26">
        <v>4.17</v>
      </c>
      <c r="M32" s="27">
        <f t="shared" si="0"/>
        <v>44327.1</v>
      </c>
      <c r="N32" s="50"/>
      <c r="O32" s="26">
        <v>7.14</v>
      </c>
      <c r="P32" s="52">
        <f t="shared" si="4"/>
        <v>75898.2</v>
      </c>
      <c r="Q32" s="53">
        <f t="shared" si="5"/>
        <v>195107.59493670883</v>
      </c>
      <c r="R32" s="54">
        <f t="shared" si="1"/>
        <v>13.567039492156932</v>
      </c>
      <c r="S32" s="23"/>
    </row>
    <row r="33" spans="1:21" x14ac:dyDescent="0.25">
      <c r="A33" s="22"/>
      <c r="B33" s="24">
        <v>25</v>
      </c>
      <c r="C33" s="48">
        <f>Electricity!C32</f>
        <v>2</v>
      </c>
      <c r="D33" s="49">
        <f>Electricity!D32</f>
        <v>12</v>
      </c>
      <c r="E33" s="84"/>
      <c r="F33" s="83">
        <v>2.8745397830018087</v>
      </c>
      <c r="G33" s="51">
        <f t="shared" si="2"/>
        <v>30556.357893309225</v>
      </c>
      <c r="H33" s="50"/>
      <c r="I33" s="98">
        <v>1.5478291139240508</v>
      </c>
      <c r="J33" s="51">
        <f t="shared" si="3"/>
        <v>16453.423481012658</v>
      </c>
      <c r="K33" s="50"/>
      <c r="L33" s="26">
        <v>4.17</v>
      </c>
      <c r="M33" s="27">
        <f t="shared" si="0"/>
        <v>44327.1</v>
      </c>
      <c r="N33" s="50"/>
      <c r="O33" s="26">
        <v>7.14</v>
      </c>
      <c r="P33" s="52">
        <f t="shared" si="4"/>
        <v>75898.2</v>
      </c>
      <c r="Q33" s="53">
        <f t="shared" si="5"/>
        <v>167235.08137432189</v>
      </c>
      <c r="R33" s="54">
        <f t="shared" si="1"/>
        <v>11.628890993277372</v>
      </c>
      <c r="S33" s="23"/>
    </row>
    <row r="34" spans="1:21" x14ac:dyDescent="0.25">
      <c r="A34" s="22"/>
      <c r="B34" s="24">
        <v>26</v>
      </c>
      <c r="C34" s="48">
        <f>Electricity!C33</f>
        <v>1</v>
      </c>
      <c r="D34" s="49">
        <f>Electricity!D33</f>
        <v>12</v>
      </c>
      <c r="E34" s="84"/>
      <c r="F34" s="83">
        <v>5.5850397830018084</v>
      </c>
      <c r="G34" s="51">
        <f t="shared" si="2"/>
        <v>59368.972893309226</v>
      </c>
      <c r="H34" s="50"/>
      <c r="I34" s="98">
        <v>3.0073291139240501</v>
      </c>
      <c r="J34" s="51">
        <f t="shared" si="3"/>
        <v>31967.908481012651</v>
      </c>
      <c r="K34" s="50"/>
      <c r="L34" s="26"/>
      <c r="M34" s="27">
        <f t="shared" si="0"/>
        <v>0</v>
      </c>
      <c r="N34" s="50"/>
      <c r="O34" s="26">
        <v>7.14</v>
      </c>
      <c r="P34" s="52">
        <f t="shared" si="4"/>
        <v>75898.2</v>
      </c>
      <c r="Q34" s="53">
        <f t="shared" si="5"/>
        <v>167235.08137432189</v>
      </c>
      <c r="R34" s="54">
        <f t="shared" si="1"/>
        <v>11.628890993277372</v>
      </c>
      <c r="S34" s="23"/>
    </row>
    <row r="35" spans="1:21" x14ac:dyDescent="0.25">
      <c r="A35" s="22"/>
      <c r="B35" s="24">
        <v>27</v>
      </c>
      <c r="C35" s="48" t="str">
        <f>Electricity!C34</f>
        <v xml:space="preserve"> -   </v>
      </c>
      <c r="D35" s="49">
        <f>Electricity!D34</f>
        <v>10</v>
      </c>
      <c r="E35" s="84"/>
      <c r="F35" s="83">
        <v>1.1701998191681739</v>
      </c>
      <c r="G35" s="51">
        <f t="shared" si="2"/>
        <v>12439.22407775769</v>
      </c>
      <c r="H35" s="50"/>
      <c r="I35" s="98">
        <v>0.63010759493670898</v>
      </c>
      <c r="J35" s="51">
        <f t="shared" si="3"/>
        <v>6698.0437341772167</v>
      </c>
      <c r="K35" s="50"/>
      <c r="L35" s="26">
        <v>4.17</v>
      </c>
      <c r="M35" s="27">
        <f t="shared" si="0"/>
        <v>44327.1</v>
      </c>
      <c r="N35" s="50"/>
      <c r="O35" s="26">
        <v>7.14</v>
      </c>
      <c r="P35" s="52">
        <f t="shared" si="4"/>
        <v>75898.2</v>
      </c>
      <c r="Q35" s="53">
        <f t="shared" si="5"/>
        <v>139362.56781193492</v>
      </c>
      <c r="R35" s="54">
        <f t="shared" si="1"/>
        <v>9.69074249439781</v>
      </c>
      <c r="S35" s="23"/>
    </row>
    <row r="36" spans="1:21" x14ac:dyDescent="0.25">
      <c r="A36" s="22"/>
      <c r="B36" s="24">
        <v>28</v>
      </c>
      <c r="C36" s="48">
        <f>Electricity!C35</f>
        <v>2</v>
      </c>
      <c r="D36" s="49">
        <f>Electricity!D35</f>
        <v>14</v>
      </c>
      <c r="E36" s="84"/>
      <c r="F36" s="83">
        <v>7.2893797468354418</v>
      </c>
      <c r="G36" s="51">
        <f t="shared" si="2"/>
        <v>77486.106708860752</v>
      </c>
      <c r="H36" s="50"/>
      <c r="I36" s="98">
        <v>3.9250506329113914</v>
      </c>
      <c r="J36" s="51">
        <f t="shared" si="3"/>
        <v>41723.28822784809</v>
      </c>
      <c r="K36" s="50"/>
      <c r="L36" s="26"/>
      <c r="M36" s="27">
        <f t="shared" si="0"/>
        <v>0</v>
      </c>
      <c r="N36" s="50"/>
      <c r="O36" s="26">
        <v>7.14</v>
      </c>
      <c r="P36" s="52">
        <f t="shared" si="4"/>
        <v>75898.2</v>
      </c>
      <c r="Q36" s="53">
        <f t="shared" si="5"/>
        <v>195107.59493670886</v>
      </c>
      <c r="R36" s="54">
        <f t="shared" si="1"/>
        <v>13.567039492156933</v>
      </c>
      <c r="S36" s="23"/>
    </row>
    <row r="37" spans="1:21" x14ac:dyDescent="0.25">
      <c r="A37" s="22"/>
      <c r="B37" s="24">
        <v>29</v>
      </c>
      <c r="C37" s="48">
        <f>Electricity!C36</f>
        <v>1</v>
      </c>
      <c r="D37" s="49">
        <f>Electricity!D36</f>
        <v>13</v>
      </c>
      <c r="E37" s="82"/>
      <c r="F37" s="83">
        <v>3.7267097649186254</v>
      </c>
      <c r="G37" s="51">
        <f t="shared" si="2"/>
        <v>39614.924801084984</v>
      </c>
      <c r="H37" s="50"/>
      <c r="I37" s="98">
        <v>2.0066898734177214</v>
      </c>
      <c r="J37" s="51">
        <f t="shared" si="3"/>
        <v>21331.113354430378</v>
      </c>
      <c r="K37" s="50"/>
      <c r="L37" s="26">
        <v>4.17</v>
      </c>
      <c r="M37" s="27">
        <f t="shared" si="0"/>
        <v>44327.1</v>
      </c>
      <c r="N37" s="50"/>
      <c r="O37" s="26">
        <v>7.14</v>
      </c>
      <c r="P37" s="52">
        <f t="shared" si="4"/>
        <v>75898.2</v>
      </c>
      <c r="Q37" s="53">
        <f t="shared" si="5"/>
        <v>181171.33815551538</v>
      </c>
      <c r="R37" s="54">
        <f t="shared" si="1"/>
        <v>12.597965242717153</v>
      </c>
      <c r="S37" s="23"/>
    </row>
    <row r="38" spans="1:21" x14ac:dyDescent="0.25">
      <c r="A38" s="22"/>
      <c r="B38" s="24">
        <v>30</v>
      </c>
      <c r="C38" s="48" t="str">
        <f>Electricity!C37</f>
        <v xml:space="preserve"> -   </v>
      </c>
      <c r="D38" s="49">
        <f>Electricity!D37</f>
        <v>1</v>
      </c>
      <c r="E38" s="82"/>
      <c r="F38" s="83"/>
      <c r="G38" s="51">
        <f t="shared" si="2"/>
        <v>0</v>
      </c>
      <c r="H38" s="50"/>
      <c r="I38" s="98"/>
      <c r="J38" s="51">
        <f t="shared" si="3"/>
        <v>0</v>
      </c>
      <c r="K38" s="50"/>
      <c r="L38" s="26"/>
      <c r="M38" s="27">
        <f t="shared" si="0"/>
        <v>0</v>
      </c>
      <c r="N38" s="50"/>
      <c r="O38" s="26">
        <v>7.14</v>
      </c>
      <c r="P38" s="52">
        <f t="shared" si="4"/>
        <v>75898.2</v>
      </c>
      <c r="Q38" s="53">
        <f t="shared" si="5"/>
        <v>75898.2</v>
      </c>
      <c r="R38" s="54">
        <f t="shared" si="1"/>
        <v>5.2776719282386484</v>
      </c>
      <c r="S38" s="23"/>
    </row>
    <row r="39" spans="1:21" x14ac:dyDescent="0.25">
      <c r="A39" s="22"/>
      <c r="B39" s="24">
        <v>31</v>
      </c>
      <c r="C39" s="48" t="str">
        <f>Electricity!C38</f>
        <v xml:space="preserve"> -   </v>
      </c>
      <c r="D39" s="49" t="str">
        <f>Electricity!D38</f>
        <v xml:space="preserve"> -   </v>
      </c>
      <c r="E39" s="82"/>
      <c r="F39" s="83"/>
      <c r="G39" s="51">
        <f t="shared" si="2"/>
        <v>0</v>
      </c>
      <c r="H39" s="50"/>
      <c r="I39" s="98"/>
      <c r="J39" s="51">
        <f t="shared" si="3"/>
        <v>0</v>
      </c>
      <c r="K39" s="50"/>
      <c r="L39" s="26"/>
      <c r="M39" s="27">
        <f t="shared" si="0"/>
        <v>0</v>
      </c>
      <c r="N39" s="50"/>
      <c r="O39" s="26"/>
      <c r="P39" s="52">
        <f t="shared" si="4"/>
        <v>0</v>
      </c>
      <c r="Q39" s="53">
        <f t="shared" si="5"/>
        <v>0</v>
      </c>
      <c r="R39" s="54">
        <f t="shared" si="1"/>
        <v>0</v>
      </c>
      <c r="S39" s="23"/>
    </row>
    <row r="40" spans="1:21" s="12" customFormat="1" x14ac:dyDescent="0.25">
      <c r="C40" s="55">
        <f>SUM(C9:C39)</f>
        <v>379</v>
      </c>
      <c r="D40" s="55">
        <f>SUM(D9:D39)</f>
        <v>2212</v>
      </c>
      <c r="E40" s="32"/>
      <c r="F40" s="32">
        <f>SUM(F9:F39)</f>
        <v>1684.5068300180831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214.19999999999982</v>
      </c>
      <c r="P40" s="42"/>
      <c r="R40" s="95">
        <f>SUM(R9:R39)</f>
        <v>2147.9008374395944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1898.7068300180829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43891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27</v>
      </c>
      <c r="D9" s="25">
        <f>Gas!D9</f>
        <v>173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32</v>
      </c>
      <c r="D10" s="25">
        <f>Gas!D10</f>
        <v>156</v>
      </c>
      <c r="E10" s="72"/>
      <c r="F10" s="74">
        <v>80</v>
      </c>
      <c r="G10" s="73">
        <f>F10*$G$8</f>
        <v>856000</v>
      </c>
      <c r="H10" s="87">
        <f t="shared" ref="H10:H39" si="1">G10/14381</f>
        <v>59.522981711981089</v>
      </c>
      <c r="I10" s="23"/>
    </row>
    <row r="11" spans="1:9" x14ac:dyDescent="0.25">
      <c r="A11" s="71"/>
      <c r="B11" s="24">
        <v>3</v>
      </c>
      <c r="C11" s="25">
        <f>Gas!C11</f>
        <v>29</v>
      </c>
      <c r="D11" s="25">
        <f>Gas!D11</f>
        <v>167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26</v>
      </c>
      <c r="D12" s="25">
        <f>Gas!D12</f>
        <v>133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27</v>
      </c>
      <c r="D13" s="25">
        <f>Gas!D13</f>
        <v>123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24</v>
      </c>
      <c r="D14" s="25">
        <f>Gas!D14</f>
        <v>133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24</v>
      </c>
      <c r="D15" s="25">
        <f>Gas!D15</f>
        <v>120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17</v>
      </c>
      <c r="D16" s="25">
        <f>Gas!D16</f>
        <v>96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14</v>
      </c>
      <c r="D17" s="25">
        <f>Gas!D17</f>
        <v>101</v>
      </c>
      <c r="E17" s="72"/>
      <c r="F17" s="74">
        <v>48</v>
      </c>
      <c r="G17" s="73">
        <f t="shared" si="0"/>
        <v>513600</v>
      </c>
      <c r="H17" s="87">
        <f t="shared" si="1"/>
        <v>35.713789027188653</v>
      </c>
      <c r="I17" s="23"/>
    </row>
    <row r="18" spans="1:9" x14ac:dyDescent="0.25">
      <c r="A18" s="71"/>
      <c r="B18" s="24">
        <v>10</v>
      </c>
      <c r="C18" s="25">
        <f>Gas!C18</f>
        <v>15</v>
      </c>
      <c r="D18" s="25">
        <f>Gas!D18</f>
        <v>88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15</v>
      </c>
      <c r="D19" s="25">
        <f>Gas!D19</f>
        <v>90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16</v>
      </c>
      <c r="D20" s="25">
        <f>Gas!D20</f>
        <v>76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17</v>
      </c>
      <c r="D21" s="25">
        <f>Gas!D21</f>
        <v>108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18</v>
      </c>
      <c r="D22" s="25">
        <f>Gas!D22</f>
        <v>93</v>
      </c>
      <c r="E22" s="72"/>
      <c r="F22" s="74">
        <v>0</v>
      </c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13</v>
      </c>
      <c r="D23" s="25">
        <f>Gas!D23</f>
        <v>80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12</v>
      </c>
      <c r="D24" s="25">
        <f>Gas!D24</f>
        <v>80</v>
      </c>
      <c r="E24" s="72"/>
      <c r="F24" s="74">
        <v>48</v>
      </c>
      <c r="G24" s="73">
        <f t="shared" si="0"/>
        <v>513600</v>
      </c>
      <c r="H24" s="87">
        <f t="shared" si="1"/>
        <v>35.713789027188653</v>
      </c>
      <c r="I24" s="23"/>
    </row>
    <row r="25" spans="1:9" x14ac:dyDescent="0.25">
      <c r="A25" s="71"/>
      <c r="B25" s="24">
        <v>17</v>
      </c>
      <c r="C25" s="25">
        <f>Gas!C25</f>
        <v>11</v>
      </c>
      <c r="D25" s="25">
        <f>Gas!D25</f>
        <v>89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9</v>
      </c>
      <c r="D26" s="25">
        <f>Gas!D26</f>
        <v>69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8</v>
      </c>
      <c r="D27" s="25">
        <f>Gas!D27</f>
        <v>54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6</v>
      </c>
      <c r="D28" s="25">
        <f>Gas!D28</f>
        <v>38</v>
      </c>
      <c r="E28" s="72"/>
      <c r="F28" s="74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5</v>
      </c>
      <c r="D29" s="25">
        <f>Gas!D29</f>
        <v>35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4</v>
      </c>
      <c r="D30" s="25">
        <f>Gas!D30</f>
        <v>20</v>
      </c>
      <c r="E30" s="72"/>
      <c r="F30" s="74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2</v>
      </c>
      <c r="D31" s="25">
        <f>Gas!D31</f>
        <v>14</v>
      </c>
      <c r="E31" s="72"/>
      <c r="F31" s="74">
        <v>52</v>
      </c>
      <c r="G31" s="73">
        <f t="shared" si="0"/>
        <v>556400</v>
      </c>
      <c r="H31" s="87">
        <f t="shared" si="1"/>
        <v>38.689938112787708</v>
      </c>
      <c r="I31" s="23"/>
    </row>
    <row r="32" spans="1:9" x14ac:dyDescent="0.25">
      <c r="A32" s="71"/>
      <c r="B32" s="24">
        <v>24</v>
      </c>
      <c r="C32" s="25">
        <f>Gas!C32</f>
        <v>2</v>
      </c>
      <c r="D32" s="25">
        <f>Gas!D32</f>
        <v>14</v>
      </c>
      <c r="E32" s="72"/>
      <c r="F32" s="74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2</v>
      </c>
      <c r="D33" s="25">
        <f>Gas!D33</f>
        <v>12</v>
      </c>
      <c r="E33" s="72"/>
      <c r="F33" s="74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1</v>
      </c>
      <c r="D34" s="25">
        <f>Gas!D34</f>
        <v>12</v>
      </c>
      <c r="E34" s="72"/>
      <c r="F34" s="74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 t="str">
        <f>Gas!C35</f>
        <v xml:space="preserve"> -   </v>
      </c>
      <c r="D35" s="25">
        <f>Gas!D35</f>
        <v>10</v>
      </c>
      <c r="E35" s="72"/>
      <c r="F35" s="74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2</v>
      </c>
      <c r="D36" s="25">
        <f>Gas!D36</f>
        <v>14</v>
      </c>
      <c r="E36" s="72"/>
      <c r="F36" s="74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1</v>
      </c>
      <c r="D37" s="25">
        <f>Gas!D37</f>
        <v>13</v>
      </c>
      <c r="E37" s="72"/>
      <c r="F37" s="74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 t="str">
        <f>Gas!C38</f>
        <v xml:space="preserve"> -   </v>
      </c>
      <c r="D38" s="25">
        <f>Gas!D38</f>
        <v>1</v>
      </c>
      <c r="E38" s="72"/>
      <c r="F38" s="74"/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 t="str">
        <f>Gas!C39</f>
        <v xml:space="preserve"> -   </v>
      </c>
      <c r="D39" s="25" t="str">
        <f>Gas!D39</f>
        <v xml:space="preserve"> -   </v>
      </c>
      <c r="E39" s="72"/>
      <c r="F39" s="74">
        <v>0</v>
      </c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379</v>
      </c>
      <c r="D40" s="32">
        <f>SUM(D9:D39)</f>
        <v>2212</v>
      </c>
      <c r="E40" s="32"/>
      <c r="F40" s="32">
        <f>SUM(F9:F39)</f>
        <v>228</v>
      </c>
      <c r="G40" s="32"/>
      <c r="H40" s="75">
        <f>SUM(H9:H39)</f>
        <v>169.6404978791461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workbookViewId="0">
      <selection activeCell="F31" sqref="F31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43891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27</v>
      </c>
      <c r="D9" s="25">
        <f>'Fuel Diesel'!D9</f>
        <v>173</v>
      </c>
      <c r="E9" s="26">
        <v>8</v>
      </c>
      <c r="F9" s="28">
        <f>E9*13582</f>
        <v>108656</v>
      </c>
      <c r="G9" s="26">
        <v>93</v>
      </c>
      <c r="H9" s="28">
        <f>G9*4000</f>
        <v>372000</v>
      </c>
      <c r="I9" s="26">
        <v>112</v>
      </c>
      <c r="J9" s="28">
        <f>I9*4000</f>
        <v>448000</v>
      </c>
      <c r="K9" s="26">
        <f t="shared" ref="K9:K39" si="0">F9+H9+J9</f>
        <v>928656</v>
      </c>
      <c r="L9" s="79">
        <f>K9/14381</f>
        <v>64.575203393366252</v>
      </c>
      <c r="M9" s="23"/>
    </row>
    <row r="10" spans="1:13" x14ac:dyDescent="0.25">
      <c r="A10" s="22"/>
      <c r="B10" s="24">
        <v>2</v>
      </c>
      <c r="C10" s="25">
        <f>'Fuel Diesel'!C10</f>
        <v>32</v>
      </c>
      <c r="D10" s="25">
        <f>'Fuel Diesel'!D10</f>
        <v>156</v>
      </c>
      <c r="E10" s="26">
        <v>9</v>
      </c>
      <c r="F10" s="28">
        <f>E10*13582</f>
        <v>122238</v>
      </c>
      <c r="G10" s="26">
        <v>102</v>
      </c>
      <c r="H10" s="28">
        <f>G10*4000</f>
        <v>408000</v>
      </c>
      <c r="I10" s="26">
        <v>114</v>
      </c>
      <c r="J10" s="28">
        <f>I10*4000</f>
        <v>456000</v>
      </c>
      <c r="K10" s="26">
        <f t="shared" si="0"/>
        <v>986238</v>
      </c>
      <c r="L10" s="79">
        <f t="shared" ref="L10:L39" si="1">K10/14381</f>
        <v>68.57923649259439</v>
      </c>
      <c r="M10" s="23"/>
    </row>
    <row r="11" spans="1:13" x14ac:dyDescent="0.25">
      <c r="A11" s="22"/>
      <c r="B11" s="24">
        <v>3</v>
      </c>
      <c r="C11" s="25">
        <f>'Fuel Diesel'!C11</f>
        <v>29</v>
      </c>
      <c r="D11" s="25">
        <f>'Fuel Diesel'!D11</f>
        <v>167</v>
      </c>
      <c r="E11" s="26">
        <v>6</v>
      </c>
      <c r="F11" s="28">
        <f t="shared" ref="F11:F39" si="2">E11*13582</f>
        <v>81492</v>
      </c>
      <c r="G11" s="26">
        <v>101</v>
      </c>
      <c r="H11" s="28">
        <f t="shared" ref="H11:H39" si="3">G11*4000</f>
        <v>404000</v>
      </c>
      <c r="I11" s="26">
        <v>116</v>
      </c>
      <c r="J11" s="28">
        <f t="shared" ref="J11:J39" si="4">I11*4000</f>
        <v>464000</v>
      </c>
      <c r="K11" s="26">
        <f t="shared" si="0"/>
        <v>949492</v>
      </c>
      <c r="L11" s="79">
        <f t="shared" si="1"/>
        <v>66.024059522981716</v>
      </c>
      <c r="M11" s="23"/>
    </row>
    <row r="12" spans="1:13" x14ac:dyDescent="0.25">
      <c r="A12" s="22"/>
      <c r="B12" s="24">
        <v>4</v>
      </c>
      <c r="C12" s="25">
        <f>'Fuel Diesel'!C12</f>
        <v>26</v>
      </c>
      <c r="D12" s="25">
        <f>'Fuel Diesel'!D12</f>
        <v>133</v>
      </c>
      <c r="E12" s="26">
        <v>7</v>
      </c>
      <c r="F12" s="28">
        <f t="shared" si="2"/>
        <v>95074</v>
      </c>
      <c r="G12" s="26">
        <v>94</v>
      </c>
      <c r="H12" s="28">
        <f t="shared" si="3"/>
        <v>376000</v>
      </c>
      <c r="I12" s="26">
        <v>97</v>
      </c>
      <c r="J12" s="28">
        <f t="shared" si="4"/>
        <v>388000</v>
      </c>
      <c r="K12" s="26">
        <f t="shared" si="0"/>
        <v>859074</v>
      </c>
      <c r="L12" s="79">
        <f t="shared" si="1"/>
        <v>59.736735971072946</v>
      </c>
      <c r="M12" s="23"/>
    </row>
    <row r="13" spans="1:13" x14ac:dyDescent="0.25">
      <c r="A13" s="22"/>
      <c r="B13" s="24">
        <v>5</v>
      </c>
      <c r="C13" s="25">
        <f>'Fuel Diesel'!C13</f>
        <v>27</v>
      </c>
      <c r="D13" s="25">
        <f>'Fuel Diesel'!D13</f>
        <v>123</v>
      </c>
      <c r="E13" s="26">
        <v>6</v>
      </c>
      <c r="F13" s="28">
        <f t="shared" si="2"/>
        <v>81492</v>
      </c>
      <c r="G13" s="26">
        <v>89</v>
      </c>
      <c r="H13" s="28">
        <f t="shared" si="3"/>
        <v>356000</v>
      </c>
      <c r="I13" s="26">
        <v>108</v>
      </c>
      <c r="J13" s="28">
        <f t="shared" si="4"/>
        <v>432000</v>
      </c>
      <c r="K13" s="26">
        <f t="shared" si="0"/>
        <v>869492</v>
      </c>
      <c r="L13" s="79">
        <f t="shared" si="1"/>
        <v>60.461164035880678</v>
      </c>
      <c r="M13" s="23"/>
    </row>
    <row r="14" spans="1:13" x14ac:dyDescent="0.25">
      <c r="A14" s="22"/>
      <c r="B14" s="24">
        <v>6</v>
      </c>
      <c r="C14" s="25">
        <f>'Fuel Diesel'!C14</f>
        <v>24</v>
      </c>
      <c r="D14" s="25">
        <f>'Fuel Diesel'!D14</f>
        <v>133</v>
      </c>
      <c r="E14" s="26">
        <v>6</v>
      </c>
      <c r="F14" s="28">
        <f t="shared" si="2"/>
        <v>81492</v>
      </c>
      <c r="G14" s="26">
        <v>88</v>
      </c>
      <c r="H14" s="28">
        <f t="shared" si="3"/>
        <v>352000</v>
      </c>
      <c r="I14" s="26">
        <v>107</v>
      </c>
      <c r="J14" s="28">
        <f t="shared" si="4"/>
        <v>428000</v>
      </c>
      <c r="K14" s="26">
        <f t="shared" si="0"/>
        <v>861492</v>
      </c>
      <c r="L14" s="79">
        <f t="shared" si="1"/>
        <v>59.904874487170574</v>
      </c>
      <c r="M14" s="23"/>
    </row>
    <row r="15" spans="1:13" x14ac:dyDescent="0.25">
      <c r="A15" s="22"/>
      <c r="B15" s="24">
        <v>7</v>
      </c>
      <c r="C15" s="25">
        <f>'Fuel Diesel'!C15</f>
        <v>24</v>
      </c>
      <c r="D15" s="25">
        <f>'Fuel Diesel'!D15</f>
        <v>120</v>
      </c>
      <c r="E15" s="26">
        <v>4</v>
      </c>
      <c r="F15" s="28">
        <f t="shared" si="2"/>
        <v>54328</v>
      </c>
      <c r="G15" s="26">
        <v>87</v>
      </c>
      <c r="H15" s="28">
        <f t="shared" si="3"/>
        <v>348000</v>
      </c>
      <c r="I15" s="26">
        <v>107</v>
      </c>
      <c r="J15" s="28">
        <f t="shared" si="4"/>
        <v>428000</v>
      </c>
      <c r="K15" s="26">
        <f t="shared" si="0"/>
        <v>830328</v>
      </c>
      <c r="L15" s="79">
        <f t="shared" si="1"/>
        <v>57.737848550170362</v>
      </c>
      <c r="M15" s="23"/>
    </row>
    <row r="16" spans="1:13" x14ac:dyDescent="0.25">
      <c r="A16" s="22"/>
      <c r="B16" s="24">
        <v>8</v>
      </c>
      <c r="C16" s="25">
        <f>'Fuel Diesel'!C16</f>
        <v>17</v>
      </c>
      <c r="D16" s="25">
        <f>'Fuel Diesel'!D16</f>
        <v>96</v>
      </c>
      <c r="E16" s="26">
        <v>6</v>
      </c>
      <c r="F16" s="28">
        <f t="shared" si="2"/>
        <v>81492</v>
      </c>
      <c r="G16" s="26">
        <v>102</v>
      </c>
      <c r="H16" s="28">
        <f t="shared" si="3"/>
        <v>408000</v>
      </c>
      <c r="I16" s="26">
        <v>124</v>
      </c>
      <c r="J16" s="28">
        <f t="shared" si="4"/>
        <v>496000</v>
      </c>
      <c r="K16" s="26">
        <f t="shared" si="0"/>
        <v>985492</v>
      </c>
      <c r="L16" s="79">
        <f t="shared" si="1"/>
        <v>68.527362492177176</v>
      </c>
      <c r="M16" s="23"/>
    </row>
    <row r="17" spans="1:13" x14ac:dyDescent="0.25">
      <c r="A17" s="22"/>
      <c r="B17" s="24">
        <v>9</v>
      </c>
      <c r="C17" s="25">
        <f>'Fuel Diesel'!C17</f>
        <v>14</v>
      </c>
      <c r="D17" s="25">
        <f>'Fuel Diesel'!D17</f>
        <v>101</v>
      </c>
      <c r="E17" s="26">
        <v>46</v>
      </c>
      <c r="F17" s="28">
        <f t="shared" si="2"/>
        <v>624772</v>
      </c>
      <c r="G17" s="26">
        <v>86</v>
      </c>
      <c r="H17" s="28">
        <f t="shared" si="3"/>
        <v>344000</v>
      </c>
      <c r="I17" s="26">
        <v>103</v>
      </c>
      <c r="J17" s="28">
        <f t="shared" si="4"/>
        <v>412000</v>
      </c>
      <c r="K17" s="26">
        <f t="shared" si="0"/>
        <v>1380772</v>
      </c>
      <c r="L17" s="79">
        <f t="shared" si="1"/>
        <v>96.013629093943393</v>
      </c>
      <c r="M17" s="23"/>
    </row>
    <row r="18" spans="1:13" x14ac:dyDescent="0.25">
      <c r="A18" s="22"/>
      <c r="B18" s="24">
        <v>10</v>
      </c>
      <c r="C18" s="25">
        <f>'Fuel Diesel'!C18</f>
        <v>15</v>
      </c>
      <c r="D18" s="25">
        <f>'Fuel Diesel'!D18</f>
        <v>88</v>
      </c>
      <c r="E18" s="26">
        <v>34</v>
      </c>
      <c r="F18" s="28">
        <f t="shared" si="2"/>
        <v>461788</v>
      </c>
      <c r="G18" s="26">
        <v>94</v>
      </c>
      <c r="H18" s="28">
        <f t="shared" si="3"/>
        <v>376000</v>
      </c>
      <c r="I18" s="26">
        <v>90</v>
      </c>
      <c r="J18" s="28">
        <f t="shared" si="4"/>
        <v>360000</v>
      </c>
      <c r="K18" s="26">
        <f t="shared" si="0"/>
        <v>1197788</v>
      </c>
      <c r="L18" s="79">
        <f t="shared" si="1"/>
        <v>83.289618246297195</v>
      </c>
      <c r="M18" s="23"/>
    </row>
    <row r="19" spans="1:13" x14ac:dyDescent="0.25">
      <c r="A19" s="22"/>
      <c r="B19" s="24">
        <v>11</v>
      </c>
      <c r="C19" s="25">
        <f>'Fuel Diesel'!C19</f>
        <v>15</v>
      </c>
      <c r="D19" s="25">
        <f>'Fuel Diesel'!D19</f>
        <v>90</v>
      </c>
      <c r="E19" s="26">
        <v>36</v>
      </c>
      <c r="F19" s="28">
        <f t="shared" si="2"/>
        <v>488952</v>
      </c>
      <c r="G19" s="26">
        <v>78</v>
      </c>
      <c r="H19" s="28">
        <f t="shared" si="3"/>
        <v>312000</v>
      </c>
      <c r="I19" s="26">
        <v>100</v>
      </c>
      <c r="J19" s="28">
        <f t="shared" si="4"/>
        <v>400000</v>
      </c>
      <c r="K19" s="26">
        <f t="shared" si="0"/>
        <v>1200952</v>
      </c>
      <c r="L19" s="79">
        <f t="shared" si="1"/>
        <v>83.509630762812037</v>
      </c>
      <c r="M19" s="23"/>
    </row>
    <row r="20" spans="1:13" x14ac:dyDescent="0.25">
      <c r="A20" s="22"/>
      <c r="B20" s="24">
        <v>12</v>
      </c>
      <c r="C20" s="25">
        <f>'Fuel Diesel'!C20</f>
        <v>16</v>
      </c>
      <c r="D20" s="25">
        <f>'Fuel Diesel'!D20</f>
        <v>76</v>
      </c>
      <c r="E20" s="26">
        <v>1</v>
      </c>
      <c r="F20" s="28">
        <f t="shared" si="2"/>
        <v>13582</v>
      </c>
      <c r="G20" s="26">
        <v>98</v>
      </c>
      <c r="H20" s="28">
        <f>G20*4000</f>
        <v>392000</v>
      </c>
      <c r="I20" s="26">
        <v>105</v>
      </c>
      <c r="J20" s="28">
        <f t="shared" si="4"/>
        <v>420000</v>
      </c>
      <c r="K20" s="26">
        <f t="shared" si="0"/>
        <v>825582</v>
      </c>
      <c r="L20" s="79">
        <f t="shared" si="1"/>
        <v>57.407829775398092</v>
      </c>
      <c r="M20" s="23"/>
    </row>
    <row r="21" spans="1:13" x14ac:dyDescent="0.25">
      <c r="A21" s="22"/>
      <c r="B21" s="24">
        <v>13</v>
      </c>
      <c r="C21" s="25">
        <f>'Fuel Diesel'!C21</f>
        <v>17</v>
      </c>
      <c r="D21" s="25">
        <f>'Fuel Diesel'!D21</f>
        <v>108</v>
      </c>
      <c r="E21" s="26">
        <v>14</v>
      </c>
      <c r="F21" s="28">
        <f t="shared" si="2"/>
        <v>190148</v>
      </c>
      <c r="G21" s="26">
        <v>98</v>
      </c>
      <c r="H21" s="28">
        <f t="shared" si="3"/>
        <v>392000</v>
      </c>
      <c r="I21" s="26">
        <v>98</v>
      </c>
      <c r="J21" s="28">
        <f t="shared" si="4"/>
        <v>392000</v>
      </c>
      <c r="K21" s="26">
        <f t="shared" si="0"/>
        <v>974148</v>
      </c>
      <c r="L21" s="79">
        <f t="shared" si="1"/>
        <v>67.738543912106252</v>
      </c>
      <c r="M21" s="23"/>
    </row>
    <row r="22" spans="1:13" x14ac:dyDescent="0.25">
      <c r="A22" s="22"/>
      <c r="B22" s="24">
        <v>14</v>
      </c>
      <c r="C22" s="25">
        <f>'Fuel Diesel'!C22</f>
        <v>18</v>
      </c>
      <c r="D22" s="25">
        <f>'Fuel Diesel'!D22</f>
        <v>93</v>
      </c>
      <c r="E22" s="26">
        <v>40</v>
      </c>
      <c r="F22" s="28">
        <f t="shared" si="2"/>
        <v>543280</v>
      </c>
      <c r="G22" s="26">
        <v>87</v>
      </c>
      <c r="H22" s="28">
        <f t="shared" si="3"/>
        <v>348000</v>
      </c>
      <c r="I22" s="26">
        <v>97</v>
      </c>
      <c r="J22" s="28">
        <f t="shared" si="4"/>
        <v>388000</v>
      </c>
      <c r="K22" s="26">
        <f t="shared" si="0"/>
        <v>1279280</v>
      </c>
      <c r="L22" s="79">
        <f t="shared" si="1"/>
        <v>88.956261734232669</v>
      </c>
      <c r="M22" s="23"/>
    </row>
    <row r="23" spans="1:13" x14ac:dyDescent="0.25">
      <c r="A23" s="22"/>
      <c r="B23" s="24">
        <v>15</v>
      </c>
      <c r="C23" s="25">
        <f>'Fuel Diesel'!C23</f>
        <v>13</v>
      </c>
      <c r="D23" s="25">
        <f>'Fuel Diesel'!D23</f>
        <v>80</v>
      </c>
      <c r="E23" s="26">
        <v>40</v>
      </c>
      <c r="F23" s="28">
        <f t="shared" si="2"/>
        <v>543280</v>
      </c>
      <c r="G23" s="26">
        <v>92</v>
      </c>
      <c r="H23" s="28">
        <f t="shared" si="3"/>
        <v>368000</v>
      </c>
      <c r="I23" s="26">
        <v>113</v>
      </c>
      <c r="J23" s="28">
        <f t="shared" si="4"/>
        <v>452000</v>
      </c>
      <c r="K23" s="26">
        <f t="shared" si="0"/>
        <v>1363280</v>
      </c>
      <c r="L23" s="79">
        <f t="shared" si="1"/>
        <v>94.797301995688755</v>
      </c>
      <c r="M23" s="23"/>
    </row>
    <row r="24" spans="1:13" x14ac:dyDescent="0.25">
      <c r="A24" s="22"/>
      <c r="B24" s="24">
        <v>16</v>
      </c>
      <c r="C24" s="25">
        <f>'Fuel Diesel'!C24</f>
        <v>12</v>
      </c>
      <c r="D24" s="25">
        <f>'Fuel Diesel'!D24</f>
        <v>80</v>
      </c>
      <c r="E24" s="26">
        <v>33</v>
      </c>
      <c r="F24" s="28">
        <f t="shared" si="2"/>
        <v>448206</v>
      </c>
      <c r="G24" s="26">
        <v>127</v>
      </c>
      <c r="H24" s="28">
        <f t="shared" si="3"/>
        <v>508000</v>
      </c>
      <c r="I24" s="26">
        <v>136</v>
      </c>
      <c r="J24" s="28">
        <f t="shared" si="4"/>
        <v>544000</v>
      </c>
      <c r="K24" s="26">
        <f t="shared" si="0"/>
        <v>1500206</v>
      </c>
      <c r="L24" s="79">
        <f t="shared" si="1"/>
        <v>104.31861483902371</v>
      </c>
      <c r="M24" s="23"/>
    </row>
    <row r="25" spans="1:13" x14ac:dyDescent="0.25">
      <c r="A25" s="22"/>
      <c r="B25" s="24">
        <v>17</v>
      </c>
      <c r="C25" s="25">
        <f>'Fuel Diesel'!C25</f>
        <v>11</v>
      </c>
      <c r="D25" s="25">
        <f>'Fuel Diesel'!D25</f>
        <v>89</v>
      </c>
      <c r="E25" s="26">
        <v>7</v>
      </c>
      <c r="F25" s="28">
        <f t="shared" si="2"/>
        <v>95074</v>
      </c>
      <c r="G25" s="26">
        <v>121</v>
      </c>
      <c r="H25" s="28">
        <f t="shared" si="3"/>
        <v>484000</v>
      </c>
      <c r="I25" s="26">
        <v>141</v>
      </c>
      <c r="J25" s="28">
        <f t="shared" si="4"/>
        <v>564000</v>
      </c>
      <c r="K25" s="26">
        <f t="shared" si="0"/>
        <v>1143074</v>
      </c>
      <c r="L25" s="79">
        <f t="shared" si="1"/>
        <v>79.485014950281624</v>
      </c>
      <c r="M25" s="23"/>
    </row>
    <row r="26" spans="1:13" x14ac:dyDescent="0.25">
      <c r="A26" s="22"/>
      <c r="B26" s="24">
        <v>18</v>
      </c>
      <c r="C26" s="25">
        <f>'Fuel Diesel'!C26</f>
        <v>9</v>
      </c>
      <c r="D26" s="25">
        <f>'Fuel Diesel'!D26</f>
        <v>69</v>
      </c>
      <c r="E26" s="26">
        <v>11</v>
      </c>
      <c r="F26" s="28">
        <f t="shared" si="2"/>
        <v>149402</v>
      </c>
      <c r="G26" s="26">
        <v>133</v>
      </c>
      <c r="H26" s="28">
        <f t="shared" si="3"/>
        <v>532000</v>
      </c>
      <c r="I26" s="26">
        <v>149</v>
      </c>
      <c r="J26" s="28">
        <f t="shared" si="4"/>
        <v>596000</v>
      </c>
      <c r="K26" s="26">
        <f t="shared" si="0"/>
        <v>1277402</v>
      </c>
      <c r="L26" s="79">
        <f t="shared" si="1"/>
        <v>88.825672762672966</v>
      </c>
      <c r="M26" s="23"/>
    </row>
    <row r="27" spans="1:13" x14ac:dyDescent="0.25">
      <c r="A27" s="22"/>
      <c r="B27" s="24">
        <v>19</v>
      </c>
      <c r="C27" s="25">
        <f>'Fuel Diesel'!C27</f>
        <v>8</v>
      </c>
      <c r="D27" s="25">
        <f>'Fuel Diesel'!D27</f>
        <v>54</v>
      </c>
      <c r="E27" s="26">
        <v>2</v>
      </c>
      <c r="F27" s="28">
        <f t="shared" si="2"/>
        <v>27164</v>
      </c>
      <c r="G27" s="26">
        <v>125</v>
      </c>
      <c r="H27" s="28">
        <f t="shared" si="3"/>
        <v>500000</v>
      </c>
      <c r="I27" s="26">
        <v>143</v>
      </c>
      <c r="J27" s="28">
        <f t="shared" si="4"/>
        <v>572000</v>
      </c>
      <c r="K27" s="26">
        <f t="shared" si="0"/>
        <v>1099164</v>
      </c>
      <c r="L27" s="79">
        <f t="shared" si="1"/>
        <v>76.431680689799038</v>
      </c>
      <c r="M27" s="23"/>
    </row>
    <row r="28" spans="1:13" x14ac:dyDescent="0.25">
      <c r="A28" s="22"/>
      <c r="B28" s="24">
        <v>20</v>
      </c>
      <c r="C28" s="25">
        <f>'Fuel Diesel'!C28</f>
        <v>6</v>
      </c>
      <c r="D28" s="25">
        <f>'Fuel Diesel'!D28</f>
        <v>38</v>
      </c>
      <c r="E28" s="26">
        <v>12</v>
      </c>
      <c r="F28" s="28">
        <f t="shared" si="2"/>
        <v>162984</v>
      </c>
      <c r="G28" s="26">
        <v>149</v>
      </c>
      <c r="H28" s="28">
        <f t="shared" si="3"/>
        <v>596000</v>
      </c>
      <c r="I28" s="26">
        <v>150</v>
      </c>
      <c r="J28" s="28">
        <f t="shared" si="4"/>
        <v>600000</v>
      </c>
      <c r="K28" s="26">
        <f t="shared" si="0"/>
        <v>1358984</v>
      </c>
      <c r="L28" s="79">
        <f t="shared" si="1"/>
        <v>94.498574508031425</v>
      </c>
      <c r="M28" s="23"/>
    </row>
    <row r="29" spans="1:13" x14ac:dyDescent="0.25">
      <c r="A29" s="22"/>
      <c r="B29" s="24">
        <v>21</v>
      </c>
      <c r="C29" s="25">
        <f>'Fuel Diesel'!C29</f>
        <v>5</v>
      </c>
      <c r="D29" s="25">
        <f>'Fuel Diesel'!D29</f>
        <v>35</v>
      </c>
      <c r="E29" s="26">
        <v>4</v>
      </c>
      <c r="F29" s="28">
        <f t="shared" si="2"/>
        <v>54328</v>
      </c>
      <c r="G29" s="26">
        <v>191</v>
      </c>
      <c r="H29" s="28">
        <f t="shared" si="3"/>
        <v>764000</v>
      </c>
      <c r="I29" s="26">
        <v>84</v>
      </c>
      <c r="J29" s="28">
        <f t="shared" si="4"/>
        <v>336000</v>
      </c>
      <c r="K29" s="26">
        <f t="shared" si="0"/>
        <v>1154328</v>
      </c>
      <c r="L29" s="79">
        <f t="shared" si="1"/>
        <v>80.267575272929562</v>
      </c>
      <c r="M29" s="23"/>
    </row>
    <row r="30" spans="1:13" x14ac:dyDescent="0.25">
      <c r="A30" s="22"/>
      <c r="B30" s="24">
        <v>22</v>
      </c>
      <c r="C30" s="25">
        <f>'Fuel Diesel'!C30</f>
        <v>4</v>
      </c>
      <c r="D30" s="25">
        <f>'Fuel Diesel'!D30</f>
        <v>20</v>
      </c>
      <c r="E30" s="26">
        <v>4</v>
      </c>
      <c r="F30" s="28">
        <f t="shared" si="2"/>
        <v>54328</v>
      </c>
      <c r="G30" s="26">
        <v>179</v>
      </c>
      <c r="H30" s="28">
        <f t="shared" si="3"/>
        <v>716000</v>
      </c>
      <c r="I30" s="26">
        <v>76</v>
      </c>
      <c r="J30" s="28">
        <f t="shared" si="4"/>
        <v>304000</v>
      </c>
      <c r="K30" s="26">
        <f t="shared" si="0"/>
        <v>1074328</v>
      </c>
      <c r="L30" s="79">
        <f t="shared" si="1"/>
        <v>74.704679785828517</v>
      </c>
      <c r="M30" s="23"/>
    </row>
    <row r="31" spans="1:13" x14ac:dyDescent="0.25">
      <c r="A31" s="22"/>
      <c r="B31" s="24">
        <v>23</v>
      </c>
      <c r="C31" s="25">
        <f>'Fuel Diesel'!C31</f>
        <v>2</v>
      </c>
      <c r="D31" s="25">
        <f>'Fuel Diesel'!D31</f>
        <v>14</v>
      </c>
      <c r="E31" s="26">
        <v>4</v>
      </c>
      <c r="F31" s="28">
        <f t="shared" si="2"/>
        <v>54328</v>
      </c>
      <c r="G31" s="26">
        <v>192</v>
      </c>
      <c r="H31" s="28">
        <f t="shared" si="3"/>
        <v>768000</v>
      </c>
      <c r="I31" s="26">
        <v>73</v>
      </c>
      <c r="J31" s="28">
        <f t="shared" si="4"/>
        <v>292000</v>
      </c>
      <c r="K31" s="26">
        <f t="shared" si="0"/>
        <v>1114328</v>
      </c>
      <c r="L31" s="79">
        <f t="shared" si="1"/>
        <v>77.486127529379047</v>
      </c>
      <c r="M31" s="23"/>
    </row>
    <row r="32" spans="1:13" x14ac:dyDescent="0.25">
      <c r="A32" s="22"/>
      <c r="B32" s="24">
        <v>24</v>
      </c>
      <c r="C32" s="25">
        <f>'Fuel Diesel'!C32</f>
        <v>2</v>
      </c>
      <c r="D32" s="25">
        <f>'Fuel Diesel'!D32</f>
        <v>14</v>
      </c>
      <c r="E32" s="26">
        <v>1</v>
      </c>
      <c r="F32" s="28">
        <f t="shared" si="2"/>
        <v>13582</v>
      </c>
      <c r="G32" s="26">
        <v>126</v>
      </c>
      <c r="H32" s="28">
        <f t="shared" si="3"/>
        <v>504000</v>
      </c>
      <c r="I32" s="26">
        <v>77</v>
      </c>
      <c r="J32" s="28">
        <f t="shared" si="4"/>
        <v>308000</v>
      </c>
      <c r="K32" s="26">
        <f t="shared" si="0"/>
        <v>825582</v>
      </c>
      <c r="L32" s="79">
        <f t="shared" si="1"/>
        <v>57.407829775398092</v>
      </c>
      <c r="M32" s="23"/>
    </row>
    <row r="33" spans="1:15" x14ac:dyDescent="0.25">
      <c r="A33" s="22"/>
      <c r="B33" s="24">
        <v>25</v>
      </c>
      <c r="C33" s="25">
        <f>'Fuel Diesel'!C33</f>
        <v>2</v>
      </c>
      <c r="D33" s="25">
        <f>'Fuel Diesel'!D33</f>
        <v>12</v>
      </c>
      <c r="E33" s="26">
        <v>2</v>
      </c>
      <c r="F33" s="28">
        <f t="shared" si="2"/>
        <v>27164</v>
      </c>
      <c r="G33" s="26">
        <v>125</v>
      </c>
      <c r="H33" s="28">
        <f t="shared" si="3"/>
        <v>500000</v>
      </c>
      <c r="I33" s="26">
        <v>66</v>
      </c>
      <c r="J33" s="28">
        <f t="shared" si="4"/>
        <v>264000</v>
      </c>
      <c r="K33" s="26">
        <f t="shared" si="0"/>
        <v>791164</v>
      </c>
      <c r="L33" s="79">
        <f t="shared" si="1"/>
        <v>55.014533064460053</v>
      </c>
      <c r="M33" s="23"/>
    </row>
    <row r="34" spans="1:15" x14ac:dyDescent="0.25">
      <c r="A34" s="22"/>
      <c r="B34" s="24">
        <v>26</v>
      </c>
      <c r="C34" s="25">
        <f>'Fuel Diesel'!C34</f>
        <v>1</v>
      </c>
      <c r="D34" s="25">
        <f>'Fuel Diesel'!D34</f>
        <v>12</v>
      </c>
      <c r="E34" s="26">
        <v>14</v>
      </c>
      <c r="F34" s="28">
        <f t="shared" si="2"/>
        <v>190148</v>
      </c>
      <c r="G34" s="26">
        <v>120</v>
      </c>
      <c r="H34" s="28">
        <f t="shared" si="3"/>
        <v>480000</v>
      </c>
      <c r="I34" s="26">
        <v>54</v>
      </c>
      <c r="J34" s="28">
        <f t="shared" si="4"/>
        <v>216000</v>
      </c>
      <c r="K34" s="26">
        <f t="shared" si="0"/>
        <v>886148</v>
      </c>
      <c r="L34" s="79">
        <f t="shared" si="1"/>
        <v>61.619358876295109</v>
      </c>
      <c r="M34" s="23"/>
    </row>
    <row r="35" spans="1:15" x14ac:dyDescent="0.25">
      <c r="A35" s="22"/>
      <c r="B35" s="24">
        <v>27</v>
      </c>
      <c r="C35" s="25" t="str">
        <f>'Fuel Diesel'!C35</f>
        <v xml:space="preserve"> -   </v>
      </c>
      <c r="D35" s="25">
        <f>'Fuel Diesel'!D35</f>
        <v>10</v>
      </c>
      <c r="E35" s="26">
        <v>24</v>
      </c>
      <c r="F35" s="28">
        <f t="shared" si="2"/>
        <v>325968</v>
      </c>
      <c r="G35" s="26">
        <v>62</v>
      </c>
      <c r="H35" s="28">
        <f t="shared" si="3"/>
        <v>248000</v>
      </c>
      <c r="I35" s="26">
        <v>72</v>
      </c>
      <c r="J35" s="28">
        <f t="shared" si="4"/>
        <v>288000</v>
      </c>
      <c r="K35" s="26">
        <f t="shared" si="0"/>
        <v>861968</v>
      </c>
      <c r="L35" s="79">
        <f t="shared" si="1"/>
        <v>59.937973715318826</v>
      </c>
      <c r="M35" s="23"/>
    </row>
    <row r="36" spans="1:15" x14ac:dyDescent="0.25">
      <c r="A36" s="22"/>
      <c r="B36" s="24">
        <v>28</v>
      </c>
      <c r="C36" s="25">
        <f>'Fuel Diesel'!C36</f>
        <v>2</v>
      </c>
      <c r="D36" s="25">
        <f>'Fuel Diesel'!D36</f>
        <v>14</v>
      </c>
      <c r="E36" s="26">
        <v>15</v>
      </c>
      <c r="F36" s="28">
        <f t="shared" si="2"/>
        <v>203730</v>
      </c>
      <c r="G36" s="26">
        <v>69</v>
      </c>
      <c r="H36" s="28">
        <f t="shared" si="3"/>
        <v>276000</v>
      </c>
      <c r="I36" s="26">
        <v>49</v>
      </c>
      <c r="J36" s="28">
        <f t="shared" si="4"/>
        <v>196000</v>
      </c>
      <c r="K36" s="26">
        <f t="shared" si="0"/>
        <v>675730</v>
      </c>
      <c r="L36" s="79">
        <f t="shared" si="1"/>
        <v>46.987692093734786</v>
      </c>
      <c r="M36" s="23"/>
    </row>
    <row r="37" spans="1:15" x14ac:dyDescent="0.25">
      <c r="A37" s="22"/>
      <c r="B37" s="24">
        <v>29</v>
      </c>
      <c r="C37" s="25">
        <f>'Fuel Diesel'!C37</f>
        <v>1</v>
      </c>
      <c r="D37" s="25">
        <f>'Fuel Diesel'!D37</f>
        <v>13</v>
      </c>
      <c r="E37" s="26">
        <v>1</v>
      </c>
      <c r="F37" s="28">
        <f t="shared" si="2"/>
        <v>13582</v>
      </c>
      <c r="G37" s="26">
        <v>85</v>
      </c>
      <c r="H37" s="28">
        <f t="shared" si="3"/>
        <v>340000</v>
      </c>
      <c r="I37" s="26">
        <v>55</v>
      </c>
      <c r="J37" s="28">
        <f t="shared" si="4"/>
        <v>220000</v>
      </c>
      <c r="K37" s="26">
        <f t="shared" si="0"/>
        <v>573582</v>
      </c>
      <c r="L37" s="79">
        <f t="shared" si="1"/>
        <v>39.884708991029832</v>
      </c>
      <c r="M37" s="23"/>
    </row>
    <row r="38" spans="1:15" x14ac:dyDescent="0.25">
      <c r="A38" s="22"/>
      <c r="B38" s="24">
        <v>30</v>
      </c>
      <c r="C38" s="25" t="str">
        <f>'Fuel Diesel'!C38</f>
        <v xml:space="preserve"> -   </v>
      </c>
      <c r="D38" s="25">
        <f>'Fuel Diesel'!D38</f>
        <v>1</v>
      </c>
      <c r="E38" s="26">
        <v>0</v>
      </c>
      <c r="F38" s="28">
        <f t="shared" si="2"/>
        <v>0</v>
      </c>
      <c r="G38" s="26">
        <v>58</v>
      </c>
      <c r="H38" s="28">
        <f t="shared" si="3"/>
        <v>232000</v>
      </c>
      <c r="I38" s="26">
        <v>45</v>
      </c>
      <c r="J38" s="28">
        <f t="shared" si="4"/>
        <v>180000</v>
      </c>
      <c r="K38" s="26">
        <f t="shared" si="0"/>
        <v>412000</v>
      </c>
      <c r="L38" s="79">
        <f t="shared" si="1"/>
        <v>28.648911758570335</v>
      </c>
      <c r="M38" s="23"/>
    </row>
    <row r="39" spans="1:15" x14ac:dyDescent="0.25">
      <c r="A39" s="22"/>
      <c r="B39" s="24">
        <v>31</v>
      </c>
      <c r="C39" s="25" t="str">
        <f>'Fuel Diesel'!C39</f>
        <v xml:space="preserve"> -   </v>
      </c>
      <c r="D39" s="25" t="str">
        <f>'Fuel Diesel'!D39</f>
        <v xml:space="preserve"> -   </v>
      </c>
      <c r="E39" s="26">
        <v>0</v>
      </c>
      <c r="F39" s="28">
        <f t="shared" si="2"/>
        <v>0</v>
      </c>
      <c r="G39" s="26">
        <v>86</v>
      </c>
      <c r="H39" s="28">
        <f t="shared" si="3"/>
        <v>344000</v>
      </c>
      <c r="I39" s="26">
        <v>65</v>
      </c>
      <c r="J39" s="28">
        <f t="shared" si="4"/>
        <v>260000</v>
      </c>
      <c r="K39" s="26">
        <f t="shared" si="0"/>
        <v>604000</v>
      </c>
      <c r="L39" s="79">
        <f t="shared" si="1"/>
        <v>41.999860927612822</v>
      </c>
      <c r="M39" s="23"/>
    </row>
    <row r="40" spans="1:15" x14ac:dyDescent="0.25">
      <c r="C40" s="32">
        <f>SUM(C9:C39)</f>
        <v>379</v>
      </c>
      <c r="D40" s="32">
        <f>SUM(D9:D39)</f>
        <v>2212</v>
      </c>
      <c r="E40" s="32">
        <v>0</v>
      </c>
      <c r="G40" s="32">
        <f>SUM(G9:G39)</f>
        <v>3337</v>
      </c>
      <c r="I40" s="32">
        <f>SUM(I9:I39)</f>
        <v>3026</v>
      </c>
      <c r="J40" s="94">
        <f>G40+I40</f>
        <v>6363</v>
      </c>
      <c r="K40" s="80"/>
      <c r="L40" s="88">
        <f>SUM(L9:L39)</f>
        <v>2144.778110006258</v>
      </c>
      <c r="O40" s="37"/>
    </row>
    <row r="41" spans="1:15" x14ac:dyDescent="0.25">
      <c r="H41" s="93" t="s">
        <v>58</v>
      </c>
      <c r="I41" s="92">
        <f>G40+I40</f>
        <v>6363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2022-06-05T06:13:22Z</dcterms:modified>
</cp:coreProperties>
</file>