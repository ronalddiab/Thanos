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4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046E3356-1DDF-43E3-84D0-362274883061}" xr6:coauthVersionLast="47" xr6:coauthVersionMax="47" xr10:uidLastSave="{00000000-0000-0000-0000-000000000000}"/>
  <bookViews>
    <workbookView xWindow="-108" yWindow="-108" windowWidth="23256" windowHeight="12456" firstSheet="5" activeTab="5" xr2:uid="{00000000-000D-0000-FFFF-FFFF00000000}"/>
  </bookViews>
  <sheets>
    <sheet name="TOTAL" sheetId="3" r:id="rId1"/>
    <sheet name="Submetering " sheetId="4" r:id="rId2"/>
    <sheet name="FS Seychelles" sheetId="1" r:id="rId3"/>
    <sheet name="RO Plant" sheetId="7" r:id="rId4"/>
    <sheet name="Generator" sheetId="6" r:id="rId5"/>
    <sheet name="EMS Gridvis" sheetId="10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2" i="1" l="1"/>
  <c r="AA21" i="1"/>
  <c r="AA19" i="1"/>
  <c r="AA20" i="1"/>
  <c r="AB23" i="1"/>
  <c r="AA30" i="1"/>
  <c r="AA29" i="1"/>
  <c r="AA27" i="1"/>
  <c r="AA26" i="1"/>
  <c r="AA11" i="1"/>
  <c r="AA13" i="1"/>
  <c r="AA15" i="1"/>
  <c r="AA16" i="1"/>
  <c r="AA17" i="1"/>
  <c r="N22" i="7"/>
  <c r="AA14" i="1"/>
  <c r="Z9" i="1"/>
  <c r="X11" i="6"/>
  <c r="AA17" i="6"/>
  <c r="Z17" i="6" s="1"/>
  <c r="AA18" i="6"/>
  <c r="Z18" i="6" s="1"/>
  <c r="AA19" i="6"/>
  <c r="Z19" i="6" s="1"/>
  <c r="AA20" i="6"/>
  <c r="Z20" i="6" s="1"/>
  <c r="AA21" i="6"/>
  <c r="Z21" i="6" s="1"/>
  <c r="AA22" i="6"/>
  <c r="Z22" i="6" s="1"/>
  <c r="AA23" i="6"/>
  <c r="Z23" i="6" s="1"/>
  <c r="AA24" i="6"/>
  <c r="Z24" i="6" s="1"/>
  <c r="AA25" i="6"/>
  <c r="Z25" i="6" s="1"/>
  <c r="AA26" i="6"/>
  <c r="Z26" i="6" s="1"/>
  <c r="AA27" i="6"/>
  <c r="Z27" i="6" s="1"/>
  <c r="AA28" i="6"/>
  <c r="Z28" i="6" s="1"/>
  <c r="AA29" i="6"/>
  <c r="Z29" i="6" s="1"/>
  <c r="AA30" i="6"/>
  <c r="Z30" i="6" s="1"/>
  <c r="AA31" i="6"/>
  <c r="Z31" i="6" s="1"/>
  <c r="AA32" i="6"/>
  <c r="Z32" i="6" s="1"/>
  <c r="AA33" i="6"/>
  <c r="Z33" i="6" s="1"/>
  <c r="AA34" i="6"/>
  <c r="Z34" i="6" s="1"/>
  <c r="Y4" i="6"/>
  <c r="X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X5" i="6"/>
  <c r="X6" i="6"/>
  <c r="X7" i="6"/>
  <c r="X8" i="6"/>
  <c r="X9" i="6"/>
  <c r="X10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5" i="6"/>
  <c r="W4" i="6"/>
  <c r="W35" i="6" s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4" i="6"/>
  <c r="D83" i="6"/>
  <c r="AA3" i="1"/>
  <c r="AA12" i="1"/>
  <c r="AA9" i="1"/>
  <c r="AA7" i="1"/>
  <c r="N9" i="7"/>
  <c r="N13" i="7"/>
  <c r="N8" i="7"/>
  <c r="N10" i="7"/>
  <c r="N8" i="1"/>
  <c r="N9" i="1"/>
  <c r="N10" i="1"/>
  <c r="N11" i="1"/>
  <c r="N4" i="1"/>
  <c r="N5" i="1"/>
  <c r="N6" i="1"/>
  <c r="N7" i="1"/>
  <c r="N3" i="1"/>
  <c r="N12" i="7"/>
  <c r="N14" i="7"/>
  <c r="N15" i="7"/>
  <c r="N16" i="7"/>
  <c r="N17" i="7"/>
  <c r="N18" i="7"/>
  <c r="N19" i="7"/>
  <c r="N20" i="7"/>
  <c r="N21" i="7"/>
  <c r="N23" i="7"/>
  <c r="N24" i="7"/>
  <c r="N25" i="7"/>
  <c r="N26" i="7"/>
  <c r="N28" i="7"/>
  <c r="N29" i="7"/>
  <c r="N30" i="7"/>
  <c r="N31" i="7"/>
  <c r="N32" i="7"/>
  <c r="N33" i="7"/>
  <c r="N34" i="7"/>
  <c r="N5" i="7"/>
  <c r="N6" i="7"/>
  <c r="N7" i="7"/>
  <c r="N11" i="7"/>
  <c r="N4" i="7"/>
  <c r="X4" i="4"/>
  <c r="X5" i="4"/>
  <c r="X6" i="4"/>
  <c r="X7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F4" i="1"/>
  <c r="G4" i="1"/>
  <c r="H4" i="1"/>
  <c r="I4" i="1"/>
  <c r="F5" i="1"/>
  <c r="G5" i="1"/>
  <c r="H5" i="1"/>
  <c r="I5" i="1"/>
  <c r="F6" i="1"/>
  <c r="G6" i="1"/>
  <c r="H6" i="1"/>
  <c r="I6" i="1"/>
  <c r="F7" i="1"/>
  <c r="G7" i="1"/>
  <c r="H7" i="1"/>
  <c r="I7" i="1"/>
  <c r="F8" i="1"/>
  <c r="G8" i="1"/>
  <c r="H8" i="1"/>
  <c r="I8" i="1"/>
  <c r="F9" i="1"/>
  <c r="G9" i="1"/>
  <c r="H9" i="1"/>
  <c r="I9" i="1"/>
  <c r="F10" i="1"/>
  <c r="G10" i="1"/>
  <c r="H10" i="1"/>
  <c r="I10" i="1"/>
  <c r="F11" i="1"/>
  <c r="G11" i="1"/>
  <c r="H11" i="1"/>
  <c r="I11" i="1"/>
  <c r="F12" i="1"/>
  <c r="G12" i="1"/>
  <c r="H12" i="1"/>
  <c r="I12" i="1"/>
  <c r="F13" i="1"/>
  <c r="G13" i="1"/>
  <c r="H13" i="1"/>
  <c r="I13" i="1"/>
  <c r="F14" i="1"/>
  <c r="G14" i="1"/>
  <c r="H14" i="1"/>
  <c r="I14" i="1"/>
  <c r="F15" i="1"/>
  <c r="G15" i="1"/>
  <c r="H15" i="1"/>
  <c r="I15" i="1"/>
  <c r="F16" i="1"/>
  <c r="G16" i="1"/>
  <c r="H16" i="1"/>
  <c r="I16" i="1"/>
  <c r="F17" i="1"/>
  <c r="G17" i="1"/>
  <c r="H17" i="1"/>
  <c r="I17" i="1"/>
  <c r="F18" i="1"/>
  <c r="G18" i="1"/>
  <c r="H18" i="1"/>
  <c r="I18" i="1"/>
  <c r="F19" i="1"/>
  <c r="G19" i="1"/>
  <c r="H19" i="1"/>
  <c r="I19" i="1"/>
  <c r="F20" i="1"/>
  <c r="G20" i="1"/>
  <c r="H20" i="1"/>
  <c r="I20" i="1"/>
  <c r="F21" i="1"/>
  <c r="G21" i="1"/>
  <c r="H21" i="1"/>
  <c r="I21" i="1"/>
  <c r="F22" i="1"/>
  <c r="G22" i="1"/>
  <c r="H22" i="1"/>
  <c r="I22" i="1"/>
  <c r="F23" i="1"/>
  <c r="G23" i="1"/>
  <c r="H23" i="1"/>
  <c r="I23" i="1"/>
  <c r="F24" i="1"/>
  <c r="G24" i="1"/>
  <c r="H24" i="1"/>
  <c r="I24" i="1"/>
  <c r="F25" i="1"/>
  <c r="G25" i="1"/>
  <c r="H25" i="1"/>
  <c r="I25" i="1"/>
  <c r="F26" i="1"/>
  <c r="G26" i="1"/>
  <c r="H26" i="1"/>
  <c r="I26" i="1"/>
  <c r="F27" i="1"/>
  <c r="G27" i="1"/>
  <c r="H27" i="1"/>
  <c r="I27" i="1"/>
  <c r="F28" i="1"/>
  <c r="G28" i="1"/>
  <c r="H28" i="1"/>
  <c r="I28" i="1"/>
  <c r="F29" i="1"/>
  <c r="G29" i="1"/>
  <c r="H29" i="1"/>
  <c r="I29" i="1"/>
  <c r="F30" i="1"/>
  <c r="G30" i="1"/>
  <c r="H30" i="1"/>
  <c r="I30" i="1"/>
  <c r="F31" i="1"/>
  <c r="G31" i="1"/>
  <c r="H31" i="1"/>
  <c r="I31" i="1"/>
  <c r="F32" i="1"/>
  <c r="G32" i="1"/>
  <c r="H32" i="1"/>
  <c r="I3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I3" i="1"/>
  <c r="H3" i="1"/>
  <c r="G3" i="1"/>
  <c r="F3" i="1"/>
  <c r="E3" i="1"/>
  <c r="D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AA4" i="1"/>
  <c r="V9" i="1"/>
  <c r="V10" i="1"/>
  <c r="U9" i="1"/>
  <c r="U10" i="1"/>
  <c r="U11" i="1"/>
  <c r="T9" i="1"/>
  <c r="T10" i="1"/>
  <c r="S10" i="1"/>
  <c r="Z5" i="1"/>
  <c r="Z6" i="1"/>
  <c r="Z7" i="1"/>
  <c r="Z8" i="1"/>
  <c r="P3" i="1"/>
  <c r="K16" i="1"/>
  <c r="K8" i="4"/>
  <c r="G35" i="7"/>
  <c r="W22" i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AA5" i="1"/>
  <c r="AA6" i="1"/>
  <c r="AA8" i="1"/>
  <c r="AA10" i="1"/>
  <c r="AA18" i="1"/>
  <c r="AA28" i="1"/>
  <c r="AA31" i="1"/>
  <c r="AA32" i="1"/>
  <c r="K36" i="6"/>
  <c r="L36" i="6"/>
  <c r="J36" i="6"/>
  <c r="Z10" i="1"/>
  <c r="X3" i="4" s="1"/>
  <c r="R10" i="1"/>
  <c r="T4" i="1"/>
  <c r="T5" i="1"/>
  <c r="T6" i="1"/>
  <c r="T7" i="1"/>
  <c r="T8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3" i="1"/>
  <c r="W24" i="1"/>
  <c r="W25" i="1"/>
  <c r="W26" i="1"/>
  <c r="W27" i="1"/>
  <c r="W28" i="1"/>
  <c r="W29" i="1"/>
  <c r="W30" i="1"/>
  <c r="W31" i="1"/>
  <c r="W32" i="1"/>
  <c r="W3" i="1"/>
  <c r="V4" i="1"/>
  <c r="V5" i="1"/>
  <c r="V6" i="1"/>
  <c r="V7" i="1"/>
  <c r="V8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" i="1"/>
  <c r="U4" i="1"/>
  <c r="U5" i="1"/>
  <c r="U6" i="1"/>
  <c r="U7" i="1"/>
  <c r="U8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" i="1"/>
  <c r="S4" i="1"/>
  <c r="S5" i="1"/>
  <c r="S6" i="1"/>
  <c r="S7" i="1"/>
  <c r="S8" i="1"/>
  <c r="S9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" i="1"/>
  <c r="C35" i="7"/>
  <c r="D35" i="7"/>
  <c r="E35" i="7"/>
  <c r="F35" i="7"/>
  <c r="H35" i="7"/>
  <c r="I35" i="7"/>
  <c r="J35" i="7"/>
  <c r="L35" i="7"/>
  <c r="B35" i="7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72" i="6"/>
  <c r="B103" i="6" s="1"/>
  <c r="D102" i="6"/>
  <c r="D73" i="6"/>
  <c r="D74" i="6"/>
  <c r="D75" i="6"/>
  <c r="D76" i="6"/>
  <c r="D77" i="6"/>
  <c r="D78" i="6"/>
  <c r="D79" i="6"/>
  <c r="D80" i="6"/>
  <c r="D81" i="6"/>
  <c r="D82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D72" i="6"/>
  <c r="E72" i="6" s="1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72" i="6"/>
  <c r="F36" i="6"/>
  <c r="D36" i="6"/>
  <c r="C36" i="6"/>
  <c r="B36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39" i="6"/>
  <c r="J56" i="6"/>
  <c r="B54" i="6"/>
  <c r="S47" i="6"/>
  <c r="U47" i="6" s="1"/>
  <c r="R47" i="6"/>
  <c r="O47" i="6"/>
  <c r="Q47" i="6" s="1"/>
  <c r="N47" i="6"/>
  <c r="K47" i="6"/>
  <c r="M47" i="6" s="1"/>
  <c r="J47" i="6"/>
  <c r="G47" i="6"/>
  <c r="I47" i="6" s="1"/>
  <c r="F47" i="6"/>
  <c r="C47" i="6"/>
  <c r="E47" i="6" s="1"/>
  <c r="B47" i="6"/>
  <c r="S46" i="6"/>
  <c r="U46" i="6" s="1"/>
  <c r="R46" i="6"/>
  <c r="O46" i="6"/>
  <c r="Q46" i="6" s="1"/>
  <c r="N46" i="6"/>
  <c r="K46" i="6"/>
  <c r="M46" i="6" s="1"/>
  <c r="J46" i="6"/>
  <c r="G46" i="6"/>
  <c r="I46" i="6" s="1"/>
  <c r="F46" i="6"/>
  <c r="C46" i="6"/>
  <c r="E46" i="6" s="1"/>
  <c r="B46" i="6"/>
  <c r="S45" i="6"/>
  <c r="U45" i="6" s="1"/>
  <c r="R45" i="6"/>
  <c r="O45" i="6"/>
  <c r="Q45" i="6" s="1"/>
  <c r="N45" i="6"/>
  <c r="K45" i="6"/>
  <c r="M45" i="6" s="1"/>
  <c r="J45" i="6"/>
  <c r="G45" i="6"/>
  <c r="I45" i="6" s="1"/>
  <c r="F45" i="6"/>
  <c r="C45" i="6"/>
  <c r="E45" i="6" s="1"/>
  <c r="B45" i="6"/>
  <c r="S44" i="6"/>
  <c r="U44" i="6" s="1"/>
  <c r="R44" i="6"/>
  <c r="O44" i="6"/>
  <c r="Q44" i="6" s="1"/>
  <c r="N44" i="6"/>
  <c r="K44" i="6"/>
  <c r="M44" i="6" s="1"/>
  <c r="J44" i="6"/>
  <c r="G44" i="6"/>
  <c r="I44" i="6" s="1"/>
  <c r="F44" i="6"/>
  <c r="C44" i="6"/>
  <c r="E44" i="6" s="1"/>
  <c r="B44" i="6"/>
  <c r="S43" i="6"/>
  <c r="U43" i="6" s="1"/>
  <c r="R43" i="6"/>
  <c r="O43" i="6"/>
  <c r="Q43" i="6" s="1"/>
  <c r="N43" i="6"/>
  <c r="K43" i="6"/>
  <c r="M43" i="6" s="1"/>
  <c r="J43" i="6"/>
  <c r="G43" i="6"/>
  <c r="I43" i="6" s="1"/>
  <c r="F43" i="6"/>
  <c r="C43" i="6"/>
  <c r="E43" i="6" s="1"/>
  <c r="B43" i="6"/>
  <c r="S42" i="6"/>
  <c r="U42" i="6" s="1"/>
  <c r="R42" i="6"/>
  <c r="O42" i="6"/>
  <c r="Q42" i="6" s="1"/>
  <c r="N42" i="6"/>
  <c r="K42" i="6"/>
  <c r="M42" i="6" s="1"/>
  <c r="J42" i="6"/>
  <c r="G42" i="6"/>
  <c r="I42" i="6" s="1"/>
  <c r="F42" i="6"/>
  <c r="C42" i="6"/>
  <c r="E42" i="6" s="1"/>
  <c r="B42" i="6"/>
  <c r="S41" i="6"/>
  <c r="U41" i="6" s="1"/>
  <c r="R41" i="6"/>
  <c r="O41" i="6"/>
  <c r="Q41" i="6" s="1"/>
  <c r="N41" i="6"/>
  <c r="K41" i="6"/>
  <c r="M41" i="6" s="1"/>
  <c r="J41" i="6"/>
  <c r="G41" i="6"/>
  <c r="I41" i="6" s="1"/>
  <c r="F41" i="6"/>
  <c r="C41" i="6"/>
  <c r="E41" i="6" s="1"/>
  <c r="B41" i="6"/>
  <c r="S40" i="6"/>
  <c r="U40" i="6" s="1"/>
  <c r="R40" i="6"/>
  <c r="O40" i="6"/>
  <c r="Q40" i="6" s="1"/>
  <c r="N40" i="6"/>
  <c r="K40" i="6"/>
  <c r="M40" i="6" s="1"/>
  <c r="J40" i="6"/>
  <c r="G40" i="6"/>
  <c r="I40" i="6" s="1"/>
  <c r="F40" i="6"/>
  <c r="C40" i="6"/>
  <c r="E40" i="6" s="1"/>
  <c r="B40" i="6"/>
  <c r="S39" i="6"/>
  <c r="U39" i="6" s="1"/>
  <c r="R39" i="6"/>
  <c r="O39" i="6"/>
  <c r="Q39" i="6" s="1"/>
  <c r="N39" i="6"/>
  <c r="K39" i="6"/>
  <c r="M39" i="6" s="1"/>
  <c r="J39" i="6"/>
  <c r="G39" i="6"/>
  <c r="I39" i="6" s="1"/>
  <c r="F39" i="6"/>
  <c r="C39" i="6"/>
  <c r="E39" i="6" s="1"/>
  <c r="B39" i="6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2" i="4"/>
  <c r="V2" i="4"/>
  <c r="J3" i="1"/>
  <c r="J4" i="1"/>
  <c r="J5" i="1"/>
  <c r="J6" i="1"/>
  <c r="L5" i="4" s="1"/>
  <c r="J7" i="1"/>
  <c r="J8" i="1"/>
  <c r="L7" i="4" s="1"/>
  <c r="J9" i="1"/>
  <c r="L8" i="4" s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K3" i="3"/>
  <c r="K4" i="3"/>
  <c r="K5" i="3"/>
  <c r="K6" i="3"/>
  <c r="K7" i="3"/>
  <c r="K8" i="3"/>
  <c r="K10" i="3"/>
  <c r="K13" i="3"/>
  <c r="K18" i="3"/>
  <c r="K23" i="3"/>
  <c r="K24" i="3"/>
  <c r="K26" i="3"/>
  <c r="K27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K19" i="3"/>
  <c r="K20" i="3"/>
  <c r="K22" i="3"/>
  <c r="K25" i="3"/>
  <c r="K28" i="3"/>
  <c r="K29" i="3"/>
  <c r="K30" i="3"/>
  <c r="K31" i="3"/>
  <c r="K14" i="3"/>
  <c r="K15" i="3"/>
  <c r="K16" i="3"/>
  <c r="K17" i="3"/>
  <c r="K11" i="3"/>
  <c r="K12" i="3"/>
  <c r="K9" i="3"/>
  <c r="Z15" i="1"/>
  <c r="X8" i="4" s="1"/>
  <c r="J65" i="6"/>
  <c r="N66" i="6"/>
  <c r="R58" i="6"/>
  <c r="F57" i="6"/>
  <c r="R56" i="6"/>
  <c r="G36" i="6"/>
  <c r="H36" i="6"/>
  <c r="N36" i="6"/>
  <c r="O36" i="6"/>
  <c r="P36" i="6"/>
  <c r="R36" i="6"/>
  <c r="S36" i="6"/>
  <c r="T36" i="6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4" i="1"/>
  <c r="O5" i="1"/>
  <c r="O6" i="1"/>
  <c r="O7" i="1"/>
  <c r="O8" i="1"/>
  <c r="O9" i="1"/>
  <c r="Q8" i="4" s="1"/>
  <c r="O10" i="1"/>
  <c r="O11" i="1"/>
  <c r="O12" i="1"/>
  <c r="O3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" i="1"/>
  <c r="L4" i="1"/>
  <c r="L5" i="1"/>
  <c r="L6" i="1"/>
  <c r="L7" i="1"/>
  <c r="L8" i="1"/>
  <c r="N7" i="4" s="1"/>
  <c r="L9" i="1"/>
  <c r="N8" i="4" s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" i="1"/>
  <c r="K4" i="1"/>
  <c r="K5" i="1"/>
  <c r="K6" i="1"/>
  <c r="M5" i="4" s="1"/>
  <c r="K7" i="1"/>
  <c r="K8" i="1"/>
  <c r="M7" i="4" s="1"/>
  <c r="K9" i="1"/>
  <c r="M8" i="4" s="1"/>
  <c r="K10" i="1"/>
  <c r="K11" i="1"/>
  <c r="K12" i="1"/>
  <c r="K13" i="1"/>
  <c r="K14" i="1"/>
  <c r="K15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" i="1"/>
  <c r="T27" i="4"/>
  <c r="U27" i="4"/>
  <c r="V27" i="4"/>
  <c r="T28" i="4"/>
  <c r="U28" i="4"/>
  <c r="V28" i="4"/>
  <c r="T29" i="4"/>
  <c r="U29" i="4"/>
  <c r="V29" i="4"/>
  <c r="T30" i="4"/>
  <c r="U30" i="4"/>
  <c r="V30" i="4"/>
  <c r="T31" i="4"/>
  <c r="U31" i="4"/>
  <c r="V31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N68" i="6"/>
  <c r="J68" i="6"/>
  <c r="S48" i="6"/>
  <c r="U48" i="6" s="1"/>
  <c r="S49" i="6"/>
  <c r="U49" i="6" s="1"/>
  <c r="S50" i="6"/>
  <c r="U50" i="6" s="1"/>
  <c r="S51" i="6"/>
  <c r="U51" i="6" s="1"/>
  <c r="S52" i="6"/>
  <c r="U52" i="6" s="1"/>
  <c r="S53" i="6"/>
  <c r="U53" i="6" s="1"/>
  <c r="S54" i="6"/>
  <c r="U54" i="6" s="1"/>
  <c r="S55" i="6"/>
  <c r="U55" i="6" s="1"/>
  <c r="S56" i="6"/>
  <c r="U56" i="6" s="1"/>
  <c r="S57" i="6"/>
  <c r="U57" i="6" s="1"/>
  <c r="S58" i="6"/>
  <c r="U58" i="6" s="1"/>
  <c r="S59" i="6"/>
  <c r="U59" i="6" s="1"/>
  <c r="S60" i="6"/>
  <c r="U60" i="6" s="1"/>
  <c r="S61" i="6"/>
  <c r="U61" i="6" s="1"/>
  <c r="S62" i="6"/>
  <c r="U62" i="6" s="1"/>
  <c r="S63" i="6"/>
  <c r="U63" i="6" s="1"/>
  <c r="S65" i="6"/>
  <c r="U65" i="6" s="1"/>
  <c r="S66" i="6"/>
  <c r="U66" i="6" s="1"/>
  <c r="S67" i="6"/>
  <c r="U67" i="6" s="1"/>
  <c r="S68" i="6"/>
  <c r="U68" i="6" s="1"/>
  <c r="S69" i="6"/>
  <c r="U69" i="6" s="1"/>
  <c r="O65" i="6"/>
  <c r="Q65" i="6" s="1"/>
  <c r="O66" i="6"/>
  <c r="Q66" i="6" s="1"/>
  <c r="O67" i="6"/>
  <c r="Q67" i="6" s="1"/>
  <c r="O68" i="6"/>
  <c r="Q68" i="6" s="1"/>
  <c r="O69" i="6"/>
  <c r="Q69" i="6" s="1"/>
  <c r="O48" i="6"/>
  <c r="Q48" i="6" s="1"/>
  <c r="O49" i="6"/>
  <c r="Q49" i="6" s="1"/>
  <c r="O50" i="6"/>
  <c r="Q50" i="6" s="1"/>
  <c r="O51" i="6"/>
  <c r="Q51" i="6" s="1"/>
  <c r="O52" i="6"/>
  <c r="Q52" i="6" s="1"/>
  <c r="O53" i="6"/>
  <c r="Q53" i="6" s="1"/>
  <c r="O54" i="6"/>
  <c r="Q54" i="6" s="1"/>
  <c r="O55" i="6"/>
  <c r="Q55" i="6" s="1"/>
  <c r="O56" i="6"/>
  <c r="Q56" i="6" s="1"/>
  <c r="O57" i="6"/>
  <c r="Q57" i="6" s="1"/>
  <c r="O58" i="6"/>
  <c r="Q58" i="6" s="1"/>
  <c r="O59" i="6"/>
  <c r="Q59" i="6" s="1"/>
  <c r="O60" i="6"/>
  <c r="Q60" i="6" s="1"/>
  <c r="O61" i="6"/>
  <c r="Q61" i="6" s="1"/>
  <c r="O62" i="6"/>
  <c r="Q62" i="6" s="1"/>
  <c r="O63" i="6"/>
  <c r="Q63" i="6" s="1"/>
  <c r="K65" i="6"/>
  <c r="M65" i="6" s="1"/>
  <c r="K66" i="6"/>
  <c r="M66" i="6" s="1"/>
  <c r="K67" i="6"/>
  <c r="M67" i="6" s="1"/>
  <c r="K68" i="6"/>
  <c r="M68" i="6" s="1"/>
  <c r="K69" i="6"/>
  <c r="M69" i="6" s="1"/>
  <c r="K48" i="6"/>
  <c r="M48" i="6" s="1"/>
  <c r="K49" i="6"/>
  <c r="M49" i="6" s="1"/>
  <c r="K50" i="6"/>
  <c r="M50" i="6" s="1"/>
  <c r="K51" i="6"/>
  <c r="M51" i="6" s="1"/>
  <c r="K52" i="6"/>
  <c r="M52" i="6" s="1"/>
  <c r="K53" i="6"/>
  <c r="M53" i="6" s="1"/>
  <c r="K54" i="6"/>
  <c r="M54" i="6" s="1"/>
  <c r="K55" i="6"/>
  <c r="M55" i="6" s="1"/>
  <c r="K56" i="6"/>
  <c r="M56" i="6" s="1"/>
  <c r="K57" i="6"/>
  <c r="M57" i="6" s="1"/>
  <c r="K58" i="6"/>
  <c r="M58" i="6" s="1"/>
  <c r="K59" i="6"/>
  <c r="M59" i="6" s="1"/>
  <c r="K60" i="6"/>
  <c r="M60" i="6" s="1"/>
  <c r="K61" i="6"/>
  <c r="M61" i="6" s="1"/>
  <c r="K62" i="6"/>
  <c r="M62" i="6" s="1"/>
  <c r="K63" i="6"/>
  <c r="M63" i="6" s="1"/>
  <c r="N59" i="6"/>
  <c r="C63" i="6"/>
  <c r="E63" i="6" s="1"/>
  <c r="C62" i="6"/>
  <c r="E62" i="6" s="1"/>
  <c r="C61" i="6"/>
  <c r="E61" i="6" s="1"/>
  <c r="C60" i="6"/>
  <c r="E60" i="6" s="1"/>
  <c r="C59" i="6"/>
  <c r="E59" i="6" s="1"/>
  <c r="C58" i="6"/>
  <c r="E58" i="6" s="1"/>
  <c r="C57" i="6"/>
  <c r="E57" i="6" s="1"/>
  <c r="C56" i="6"/>
  <c r="E56" i="6" s="1"/>
  <c r="C55" i="6"/>
  <c r="E55" i="6" s="1"/>
  <c r="C54" i="6"/>
  <c r="E54" i="6" s="1"/>
  <c r="C53" i="6"/>
  <c r="E53" i="6" s="1"/>
  <c r="C52" i="6"/>
  <c r="E52" i="6" s="1"/>
  <c r="C51" i="6"/>
  <c r="E51" i="6" s="1"/>
  <c r="C50" i="6"/>
  <c r="E50" i="6" s="1"/>
  <c r="C49" i="6"/>
  <c r="E49" i="6" s="1"/>
  <c r="C48" i="6"/>
  <c r="E48" i="6" s="1"/>
  <c r="C65" i="6"/>
  <c r="E65" i="6" s="1"/>
  <c r="C66" i="6"/>
  <c r="E66" i="6" s="1"/>
  <c r="C67" i="6"/>
  <c r="E67" i="6" s="1"/>
  <c r="C68" i="6"/>
  <c r="E68" i="6" s="1"/>
  <c r="C69" i="6"/>
  <c r="E69" i="6" s="1"/>
  <c r="C64" i="6"/>
  <c r="E64" i="6" s="1"/>
  <c r="J59" i="6"/>
  <c r="K64" i="6"/>
  <c r="M64" i="6" s="1"/>
  <c r="J64" i="6"/>
  <c r="G48" i="6"/>
  <c r="I48" i="6" s="1"/>
  <c r="G49" i="6"/>
  <c r="I49" i="6" s="1"/>
  <c r="G50" i="6"/>
  <c r="I50" i="6" s="1"/>
  <c r="G51" i="6"/>
  <c r="I51" i="6" s="1"/>
  <c r="G52" i="6"/>
  <c r="I52" i="6" s="1"/>
  <c r="G53" i="6"/>
  <c r="I53" i="6" s="1"/>
  <c r="G54" i="6"/>
  <c r="I54" i="6" s="1"/>
  <c r="G55" i="6"/>
  <c r="I55" i="6" s="1"/>
  <c r="G56" i="6"/>
  <c r="I56" i="6" s="1"/>
  <c r="G57" i="6"/>
  <c r="I57" i="6" s="1"/>
  <c r="G58" i="6"/>
  <c r="I58" i="6" s="1"/>
  <c r="G59" i="6"/>
  <c r="I59" i="6" s="1"/>
  <c r="G60" i="6"/>
  <c r="I60" i="6" s="1"/>
  <c r="G61" i="6"/>
  <c r="I61" i="6" s="1"/>
  <c r="G62" i="6"/>
  <c r="I62" i="6" s="1"/>
  <c r="G63" i="6"/>
  <c r="I63" i="6" s="1"/>
  <c r="G65" i="6"/>
  <c r="I65" i="6" s="1"/>
  <c r="G66" i="6"/>
  <c r="I66" i="6" s="1"/>
  <c r="G67" i="6"/>
  <c r="I67" i="6" s="1"/>
  <c r="G68" i="6"/>
  <c r="I68" i="6" s="1"/>
  <c r="G69" i="6"/>
  <c r="I69" i="6" s="1"/>
  <c r="F48" i="6"/>
  <c r="F49" i="6"/>
  <c r="F50" i="6"/>
  <c r="F51" i="6"/>
  <c r="F52" i="6"/>
  <c r="F53" i="6"/>
  <c r="F54" i="6"/>
  <c r="F55" i="6"/>
  <c r="F56" i="6"/>
  <c r="F58" i="6"/>
  <c r="F59" i="6"/>
  <c r="F60" i="6"/>
  <c r="F61" i="6"/>
  <c r="F62" i="6"/>
  <c r="F63" i="6"/>
  <c r="F65" i="6"/>
  <c r="F66" i="6"/>
  <c r="F67" i="6"/>
  <c r="F68" i="6"/>
  <c r="F69" i="6"/>
  <c r="R69" i="6"/>
  <c r="T69" i="6" s="1"/>
  <c r="R68" i="6"/>
  <c r="T68" i="6" s="1"/>
  <c r="R67" i="6"/>
  <c r="T67" i="6" s="1"/>
  <c r="R66" i="6"/>
  <c r="T66" i="6" s="1"/>
  <c r="R65" i="6"/>
  <c r="T65" i="6" s="1"/>
  <c r="S64" i="6"/>
  <c r="U64" i="6" s="1"/>
  <c r="R64" i="6"/>
  <c r="R63" i="6"/>
  <c r="T63" i="6" s="1"/>
  <c r="R62" i="6"/>
  <c r="T62" i="6" s="1"/>
  <c r="R61" i="6"/>
  <c r="T61" i="6" s="1"/>
  <c r="R60" i="6"/>
  <c r="T60" i="6" s="1"/>
  <c r="R59" i="6"/>
  <c r="T59" i="6" s="1"/>
  <c r="T58" i="6"/>
  <c r="R57" i="6"/>
  <c r="T57" i="6" s="1"/>
  <c r="T56" i="6"/>
  <c r="R55" i="6"/>
  <c r="T55" i="6" s="1"/>
  <c r="R54" i="6"/>
  <c r="T54" i="6" s="1"/>
  <c r="R53" i="6"/>
  <c r="T53" i="6" s="1"/>
  <c r="R52" i="6"/>
  <c r="T52" i="6" s="1"/>
  <c r="R51" i="6"/>
  <c r="T51" i="6" s="1"/>
  <c r="R50" i="6"/>
  <c r="R49" i="6"/>
  <c r="T49" i="6" s="1"/>
  <c r="R48" i="6"/>
  <c r="T48" i="6" s="1"/>
  <c r="N69" i="6"/>
  <c r="P69" i="6" s="1"/>
  <c r="P68" i="6"/>
  <c r="N67" i="6"/>
  <c r="P67" i="6" s="1"/>
  <c r="P66" i="6"/>
  <c r="N65" i="6"/>
  <c r="P65" i="6" s="1"/>
  <c r="O64" i="6"/>
  <c r="Q64" i="6" s="1"/>
  <c r="N64" i="6"/>
  <c r="N63" i="6"/>
  <c r="P63" i="6" s="1"/>
  <c r="N62" i="6"/>
  <c r="P62" i="6" s="1"/>
  <c r="N61" i="6"/>
  <c r="P61" i="6" s="1"/>
  <c r="N60" i="6"/>
  <c r="P60" i="6" s="1"/>
  <c r="P59" i="6"/>
  <c r="N58" i="6"/>
  <c r="P58" i="6" s="1"/>
  <c r="N57" i="6"/>
  <c r="P57" i="6" s="1"/>
  <c r="N56" i="6"/>
  <c r="P56" i="6" s="1"/>
  <c r="N55" i="6"/>
  <c r="P55" i="6" s="1"/>
  <c r="N54" i="6"/>
  <c r="P54" i="6" s="1"/>
  <c r="N53" i="6"/>
  <c r="P53" i="6" s="1"/>
  <c r="N52" i="6"/>
  <c r="P52" i="6" s="1"/>
  <c r="N51" i="6"/>
  <c r="P51" i="6" s="1"/>
  <c r="N50" i="6"/>
  <c r="N49" i="6"/>
  <c r="P49" i="6" s="1"/>
  <c r="N48" i="6"/>
  <c r="P48" i="6" s="1"/>
  <c r="J69" i="6"/>
  <c r="L69" i="6" s="1"/>
  <c r="L68" i="6"/>
  <c r="J67" i="6"/>
  <c r="L67" i="6" s="1"/>
  <c r="J66" i="6"/>
  <c r="L66" i="6" s="1"/>
  <c r="L65" i="6"/>
  <c r="J63" i="6"/>
  <c r="L63" i="6" s="1"/>
  <c r="J62" i="6"/>
  <c r="L62" i="6" s="1"/>
  <c r="J61" i="6"/>
  <c r="L61" i="6" s="1"/>
  <c r="J60" i="6"/>
  <c r="L60" i="6" s="1"/>
  <c r="L59" i="6"/>
  <c r="J58" i="6"/>
  <c r="L58" i="6" s="1"/>
  <c r="J57" i="6"/>
  <c r="L57" i="6" s="1"/>
  <c r="L56" i="6"/>
  <c r="J55" i="6"/>
  <c r="L55" i="6" s="1"/>
  <c r="J54" i="6"/>
  <c r="L54" i="6" s="1"/>
  <c r="J53" i="6"/>
  <c r="L53" i="6" s="1"/>
  <c r="J52" i="6"/>
  <c r="L52" i="6" s="1"/>
  <c r="J51" i="6"/>
  <c r="L51" i="6" s="1"/>
  <c r="J50" i="6"/>
  <c r="J49" i="6"/>
  <c r="L49" i="6" s="1"/>
  <c r="J48" i="6"/>
  <c r="L48" i="6" s="1"/>
  <c r="H69" i="6"/>
  <c r="H68" i="6"/>
  <c r="H67" i="6"/>
  <c r="H66" i="6"/>
  <c r="G64" i="6"/>
  <c r="I64" i="6" s="1"/>
  <c r="F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B48" i="6"/>
  <c r="B49" i="6"/>
  <c r="B50" i="6"/>
  <c r="B51" i="6"/>
  <c r="B52" i="6"/>
  <c r="B53" i="6"/>
  <c r="B55" i="6"/>
  <c r="B56" i="6"/>
  <c r="B57" i="6"/>
  <c r="B58" i="6"/>
  <c r="B59" i="6"/>
  <c r="D59" i="6" s="1"/>
  <c r="B60" i="6"/>
  <c r="B61" i="6"/>
  <c r="B62" i="6"/>
  <c r="B63" i="6"/>
  <c r="B65" i="6"/>
  <c r="B66" i="6"/>
  <c r="B67" i="6"/>
  <c r="B68" i="6"/>
  <c r="B69" i="6"/>
  <c r="D48" i="6"/>
  <c r="D49" i="6"/>
  <c r="D50" i="6"/>
  <c r="D51" i="6"/>
  <c r="D52" i="6"/>
  <c r="D53" i="6"/>
  <c r="D54" i="6"/>
  <c r="D55" i="6"/>
  <c r="D56" i="6"/>
  <c r="D57" i="6"/>
  <c r="D58" i="6"/>
  <c r="D60" i="6"/>
  <c r="D61" i="6"/>
  <c r="D62" i="6"/>
  <c r="D63" i="6"/>
  <c r="D65" i="6"/>
  <c r="D66" i="6"/>
  <c r="D67" i="6"/>
  <c r="D68" i="6"/>
  <c r="D69" i="6"/>
  <c r="B64" i="6"/>
  <c r="D64" i="6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R4" i="1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2" i="4"/>
  <c r="Q27" i="4"/>
  <c r="Q28" i="4"/>
  <c r="Q25" i="4"/>
  <c r="Q13" i="4"/>
  <c r="Q14" i="4"/>
  <c r="Q22" i="4"/>
  <c r="Q21" i="4"/>
  <c r="Q20" i="4"/>
  <c r="Q19" i="4"/>
  <c r="Q9" i="4"/>
  <c r="Q12" i="4"/>
  <c r="Q11" i="4"/>
  <c r="Q5" i="4"/>
  <c r="Q4" i="4"/>
  <c r="Q2" i="4"/>
  <c r="Q3" i="4"/>
  <c r="Q15" i="4"/>
  <c r="Q16" i="4"/>
  <c r="Q17" i="4"/>
  <c r="Q18" i="4"/>
  <c r="Q23" i="4"/>
  <c r="Q24" i="4"/>
  <c r="Q26" i="4"/>
  <c r="Q29" i="4"/>
  <c r="Q30" i="4"/>
  <c r="X35" i="6" l="1"/>
  <c r="Y35" i="6"/>
  <c r="N35" i="7"/>
  <c r="Q7" i="4"/>
  <c r="Q6" i="4"/>
  <c r="R5" i="1"/>
  <c r="R6" i="1" s="1"/>
  <c r="R7" i="1" s="1"/>
  <c r="R8" i="1" s="1"/>
  <c r="R9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E103" i="6"/>
  <c r="D103" i="6"/>
  <c r="D39" i="6"/>
  <c r="H39" i="6"/>
  <c r="L39" i="6"/>
  <c r="P39" i="6"/>
  <c r="T39" i="6"/>
  <c r="D40" i="6"/>
  <c r="H40" i="6"/>
  <c r="L40" i="6"/>
  <c r="P40" i="6"/>
  <c r="T40" i="6"/>
  <c r="D41" i="6"/>
  <c r="H41" i="6"/>
  <c r="L41" i="6"/>
  <c r="P41" i="6"/>
  <c r="T41" i="6"/>
  <c r="D42" i="6"/>
  <c r="H42" i="6"/>
  <c r="L42" i="6"/>
  <c r="P42" i="6"/>
  <c r="T42" i="6"/>
  <c r="D43" i="6"/>
  <c r="H43" i="6"/>
  <c r="L43" i="6"/>
  <c r="P43" i="6"/>
  <c r="T43" i="6"/>
  <c r="D44" i="6"/>
  <c r="H44" i="6"/>
  <c r="L44" i="6"/>
  <c r="P44" i="6"/>
  <c r="T44" i="6"/>
  <c r="D45" i="6"/>
  <c r="H45" i="6"/>
  <c r="L45" i="6"/>
  <c r="P45" i="6"/>
  <c r="T45" i="6"/>
  <c r="D46" i="6"/>
  <c r="H46" i="6"/>
  <c r="L46" i="6"/>
  <c r="P46" i="6"/>
  <c r="T46" i="6"/>
  <c r="D47" i="6"/>
  <c r="H47" i="6"/>
  <c r="L47" i="6"/>
  <c r="P47" i="6"/>
  <c r="T47" i="6"/>
  <c r="T50" i="6"/>
  <c r="P50" i="6"/>
  <c r="L50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H64" i="6"/>
  <c r="H65" i="6"/>
  <c r="L64" i="6"/>
  <c r="T64" i="6"/>
  <c r="P64" i="6"/>
  <c r="R29" i="1"/>
  <c r="R30" i="1" s="1"/>
  <c r="R31" i="1" s="1"/>
  <c r="R32" i="1" s="1"/>
  <c r="Q10" i="4"/>
  <c r="X2" i="4"/>
  <c r="L3" i="4"/>
  <c r="M3" i="4"/>
  <c r="N3" i="4"/>
  <c r="O3" i="4"/>
  <c r="P3" i="4"/>
  <c r="F3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2" i="4"/>
  <c r="E31" i="4"/>
  <c r="F31" i="4"/>
  <c r="G31" i="4"/>
  <c r="H31" i="4"/>
  <c r="I31" i="4"/>
  <c r="K31" i="4"/>
  <c r="L31" i="4"/>
  <c r="M31" i="4"/>
  <c r="N31" i="4"/>
  <c r="O31" i="4"/>
  <c r="P31" i="4"/>
  <c r="S31" i="4"/>
  <c r="E2" i="4"/>
  <c r="F2" i="4"/>
  <c r="G2" i="4"/>
  <c r="H2" i="4"/>
  <c r="I2" i="4"/>
  <c r="K2" i="4"/>
  <c r="L2" i="4"/>
  <c r="M2" i="4"/>
  <c r="N2" i="4"/>
  <c r="O2" i="4"/>
  <c r="P2" i="4"/>
  <c r="S2" i="4"/>
  <c r="T2" i="4"/>
  <c r="U2" i="4"/>
  <c r="B3" i="4"/>
  <c r="E3" i="4"/>
  <c r="F3" i="4"/>
  <c r="G3" i="4"/>
  <c r="H3" i="4"/>
  <c r="I3" i="4"/>
  <c r="K3" i="4"/>
  <c r="S3" i="4"/>
  <c r="T3" i="4"/>
  <c r="U3" i="4"/>
  <c r="V3" i="4"/>
  <c r="B4" i="4"/>
  <c r="E4" i="4"/>
  <c r="F4" i="4"/>
  <c r="G4" i="4"/>
  <c r="H4" i="4"/>
  <c r="I4" i="4"/>
  <c r="K4" i="4"/>
  <c r="L4" i="4"/>
  <c r="M4" i="4"/>
  <c r="N4" i="4"/>
  <c r="O4" i="4"/>
  <c r="P4" i="4"/>
  <c r="S4" i="4"/>
  <c r="T4" i="4"/>
  <c r="U4" i="4"/>
  <c r="V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K5" i="4"/>
  <c r="N5" i="4"/>
  <c r="O5" i="4"/>
  <c r="P5" i="4"/>
  <c r="S5" i="4"/>
  <c r="T5" i="4"/>
  <c r="U5" i="4"/>
  <c r="V5" i="4"/>
  <c r="E6" i="4"/>
  <c r="F6" i="4"/>
  <c r="G6" i="4"/>
  <c r="H6" i="4"/>
  <c r="I6" i="4"/>
  <c r="K6" i="4"/>
  <c r="L6" i="4"/>
  <c r="M6" i="4"/>
  <c r="N6" i="4"/>
  <c r="O6" i="4"/>
  <c r="P6" i="4"/>
  <c r="S6" i="4"/>
  <c r="T6" i="4"/>
  <c r="U6" i="4"/>
  <c r="V6" i="4"/>
  <c r="E7" i="4"/>
  <c r="F7" i="4"/>
  <c r="G7" i="4"/>
  <c r="H7" i="4"/>
  <c r="I7" i="4"/>
  <c r="K7" i="4"/>
  <c r="O7" i="4"/>
  <c r="P7" i="4"/>
  <c r="S7" i="4"/>
  <c r="T7" i="4"/>
  <c r="U7" i="4"/>
  <c r="V7" i="4"/>
  <c r="E8" i="4"/>
  <c r="F8" i="4"/>
  <c r="G8" i="4"/>
  <c r="H8" i="4"/>
  <c r="I8" i="4"/>
  <c r="O8" i="4"/>
  <c r="P8" i="4"/>
  <c r="S8" i="4"/>
  <c r="T8" i="4"/>
  <c r="U8" i="4"/>
  <c r="V8" i="4"/>
  <c r="E9" i="4"/>
  <c r="F9" i="4"/>
  <c r="G9" i="4"/>
  <c r="H9" i="4"/>
  <c r="I9" i="4"/>
  <c r="K9" i="4"/>
  <c r="L9" i="4"/>
  <c r="M9" i="4"/>
  <c r="N9" i="4"/>
  <c r="O9" i="4"/>
  <c r="P9" i="4"/>
  <c r="S9" i="4"/>
  <c r="T9" i="4"/>
  <c r="U9" i="4"/>
  <c r="V9" i="4"/>
  <c r="E10" i="4"/>
  <c r="F10" i="4"/>
  <c r="G10" i="4"/>
  <c r="H10" i="4"/>
  <c r="I10" i="4"/>
  <c r="K10" i="4"/>
  <c r="L10" i="4"/>
  <c r="M10" i="4"/>
  <c r="N10" i="4"/>
  <c r="O10" i="4"/>
  <c r="P10" i="4"/>
  <c r="S10" i="4"/>
  <c r="T10" i="4"/>
  <c r="U10" i="4"/>
  <c r="V10" i="4"/>
  <c r="E11" i="4"/>
  <c r="F11" i="4"/>
  <c r="G11" i="4"/>
  <c r="H11" i="4"/>
  <c r="I11" i="4"/>
  <c r="K11" i="4"/>
  <c r="L11" i="4"/>
  <c r="M11" i="4"/>
  <c r="N11" i="4"/>
  <c r="O11" i="4"/>
  <c r="P11" i="4"/>
  <c r="S11" i="4"/>
  <c r="T11" i="4"/>
  <c r="U11" i="4"/>
  <c r="V11" i="4"/>
  <c r="E12" i="4"/>
  <c r="F12" i="4"/>
  <c r="G12" i="4"/>
  <c r="H12" i="4"/>
  <c r="I12" i="4"/>
  <c r="K12" i="4"/>
  <c r="L12" i="4"/>
  <c r="M12" i="4"/>
  <c r="N12" i="4"/>
  <c r="O12" i="4"/>
  <c r="P12" i="4"/>
  <c r="S12" i="4"/>
  <c r="T12" i="4"/>
  <c r="U12" i="4"/>
  <c r="V12" i="4"/>
  <c r="E13" i="4"/>
  <c r="F13" i="4"/>
  <c r="G13" i="4"/>
  <c r="H13" i="4"/>
  <c r="I13" i="4"/>
  <c r="K13" i="4"/>
  <c r="L13" i="4"/>
  <c r="M13" i="4"/>
  <c r="N13" i="4"/>
  <c r="O13" i="4"/>
  <c r="P13" i="4"/>
  <c r="S13" i="4"/>
  <c r="T13" i="4"/>
  <c r="U13" i="4"/>
  <c r="V13" i="4"/>
  <c r="E14" i="4"/>
  <c r="F14" i="4"/>
  <c r="G14" i="4"/>
  <c r="H14" i="4"/>
  <c r="I14" i="4"/>
  <c r="K14" i="4"/>
  <c r="L14" i="4"/>
  <c r="M14" i="4"/>
  <c r="N14" i="4"/>
  <c r="O14" i="4"/>
  <c r="P14" i="4"/>
  <c r="S14" i="4"/>
  <c r="T14" i="4"/>
  <c r="U14" i="4"/>
  <c r="V14" i="4"/>
  <c r="E15" i="4"/>
  <c r="F15" i="4"/>
  <c r="G15" i="4"/>
  <c r="H15" i="4"/>
  <c r="I15" i="4"/>
  <c r="K15" i="4"/>
  <c r="L15" i="4"/>
  <c r="M15" i="4"/>
  <c r="N15" i="4"/>
  <c r="O15" i="4"/>
  <c r="P15" i="4"/>
  <c r="S15" i="4"/>
  <c r="T15" i="4"/>
  <c r="U15" i="4"/>
  <c r="V15" i="4"/>
  <c r="E16" i="4"/>
  <c r="F16" i="4"/>
  <c r="G16" i="4"/>
  <c r="H16" i="4"/>
  <c r="I16" i="4"/>
  <c r="K16" i="4"/>
  <c r="L16" i="4"/>
  <c r="M16" i="4"/>
  <c r="N16" i="4"/>
  <c r="O16" i="4"/>
  <c r="P16" i="4"/>
  <c r="S16" i="4"/>
  <c r="T16" i="4"/>
  <c r="U16" i="4"/>
  <c r="V16" i="4"/>
  <c r="E17" i="4"/>
  <c r="F17" i="4"/>
  <c r="G17" i="4"/>
  <c r="H17" i="4"/>
  <c r="I17" i="4"/>
  <c r="K17" i="4"/>
  <c r="L17" i="4"/>
  <c r="M17" i="4"/>
  <c r="N17" i="4"/>
  <c r="O17" i="4"/>
  <c r="P17" i="4"/>
  <c r="T17" i="4"/>
  <c r="U17" i="4"/>
  <c r="V17" i="4"/>
  <c r="E18" i="4"/>
  <c r="F18" i="4"/>
  <c r="G18" i="4"/>
  <c r="H18" i="4"/>
  <c r="I18" i="4"/>
  <c r="K18" i="4"/>
  <c r="L18" i="4"/>
  <c r="M18" i="4"/>
  <c r="N18" i="4"/>
  <c r="O18" i="4"/>
  <c r="P18" i="4"/>
  <c r="T18" i="4"/>
  <c r="U18" i="4"/>
  <c r="V18" i="4"/>
  <c r="E19" i="4"/>
  <c r="F19" i="4"/>
  <c r="G19" i="4"/>
  <c r="H19" i="4"/>
  <c r="I19" i="4"/>
  <c r="K19" i="4"/>
  <c r="L19" i="4"/>
  <c r="M19" i="4"/>
  <c r="N19" i="4"/>
  <c r="O19" i="4"/>
  <c r="P19" i="4"/>
  <c r="T19" i="4"/>
  <c r="U19" i="4"/>
  <c r="V19" i="4"/>
  <c r="E20" i="4"/>
  <c r="F20" i="4"/>
  <c r="G20" i="4"/>
  <c r="H20" i="4"/>
  <c r="I20" i="4"/>
  <c r="K20" i="4"/>
  <c r="L20" i="4"/>
  <c r="M20" i="4"/>
  <c r="N20" i="4"/>
  <c r="O20" i="4"/>
  <c r="P20" i="4"/>
  <c r="T20" i="4"/>
  <c r="U20" i="4"/>
  <c r="V20" i="4"/>
  <c r="E21" i="4"/>
  <c r="F21" i="4"/>
  <c r="G21" i="4"/>
  <c r="H21" i="4"/>
  <c r="I21" i="4"/>
  <c r="K21" i="4"/>
  <c r="L21" i="4"/>
  <c r="M21" i="4"/>
  <c r="N21" i="4"/>
  <c r="O21" i="4"/>
  <c r="P21" i="4"/>
  <c r="T21" i="4"/>
  <c r="U21" i="4"/>
  <c r="V21" i="4"/>
  <c r="E22" i="4"/>
  <c r="F22" i="4"/>
  <c r="G22" i="4"/>
  <c r="H22" i="4"/>
  <c r="I22" i="4"/>
  <c r="K22" i="4"/>
  <c r="L22" i="4"/>
  <c r="M22" i="4"/>
  <c r="N22" i="4"/>
  <c r="O22" i="4"/>
  <c r="P22" i="4"/>
  <c r="T22" i="4"/>
  <c r="U22" i="4"/>
  <c r="V22" i="4"/>
  <c r="E23" i="4"/>
  <c r="F23" i="4"/>
  <c r="G23" i="4"/>
  <c r="H23" i="4"/>
  <c r="I23" i="4"/>
  <c r="K23" i="4"/>
  <c r="L23" i="4"/>
  <c r="M23" i="4"/>
  <c r="N23" i="4"/>
  <c r="O23" i="4"/>
  <c r="P23" i="4"/>
  <c r="T23" i="4"/>
  <c r="U23" i="4"/>
  <c r="V23" i="4"/>
  <c r="E24" i="4"/>
  <c r="F24" i="4"/>
  <c r="G24" i="4"/>
  <c r="H24" i="4"/>
  <c r="I24" i="4"/>
  <c r="K24" i="4"/>
  <c r="L24" i="4"/>
  <c r="M24" i="4"/>
  <c r="N24" i="4"/>
  <c r="O24" i="4"/>
  <c r="P24" i="4"/>
  <c r="T24" i="4"/>
  <c r="U24" i="4"/>
  <c r="V24" i="4"/>
  <c r="E25" i="4"/>
  <c r="F25" i="4"/>
  <c r="G25" i="4"/>
  <c r="H25" i="4"/>
  <c r="I25" i="4"/>
  <c r="K25" i="4"/>
  <c r="L25" i="4"/>
  <c r="M25" i="4"/>
  <c r="N25" i="4"/>
  <c r="O25" i="4"/>
  <c r="P25" i="4"/>
  <c r="T25" i="4"/>
  <c r="U25" i="4"/>
  <c r="V25" i="4"/>
  <c r="E26" i="4"/>
  <c r="F26" i="4"/>
  <c r="G26" i="4"/>
  <c r="H26" i="4"/>
  <c r="I26" i="4"/>
  <c r="K26" i="4"/>
  <c r="L26" i="4"/>
  <c r="M26" i="4"/>
  <c r="N26" i="4"/>
  <c r="O26" i="4"/>
  <c r="P26" i="4"/>
  <c r="T26" i="4"/>
  <c r="U26" i="4"/>
  <c r="V26" i="4"/>
  <c r="E27" i="4"/>
  <c r="F27" i="4"/>
  <c r="G27" i="4"/>
  <c r="H27" i="4"/>
  <c r="I27" i="4"/>
  <c r="K27" i="4"/>
  <c r="L27" i="4"/>
  <c r="M27" i="4"/>
  <c r="N27" i="4"/>
  <c r="O27" i="4"/>
  <c r="P27" i="4"/>
  <c r="E28" i="4"/>
  <c r="F28" i="4"/>
  <c r="G28" i="4"/>
  <c r="H28" i="4"/>
  <c r="I28" i="4"/>
  <c r="K28" i="4"/>
  <c r="L28" i="4"/>
  <c r="M28" i="4"/>
  <c r="N28" i="4"/>
  <c r="O28" i="4"/>
  <c r="P28" i="4"/>
  <c r="E29" i="4"/>
  <c r="F29" i="4"/>
  <c r="G29" i="4"/>
  <c r="H29" i="4"/>
  <c r="I29" i="4"/>
  <c r="K29" i="4"/>
  <c r="L29" i="4"/>
  <c r="M29" i="4"/>
  <c r="N29" i="4"/>
  <c r="O29" i="4"/>
  <c r="P29" i="4"/>
  <c r="E30" i="4"/>
  <c r="F30" i="4"/>
  <c r="G30" i="4"/>
  <c r="H30" i="4"/>
  <c r="I30" i="4"/>
  <c r="K30" i="4"/>
  <c r="L30" i="4"/>
  <c r="M30" i="4"/>
  <c r="N30" i="4"/>
  <c r="O30" i="4"/>
  <c r="P30" i="4"/>
  <c r="S30" i="4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F28" i="3" l="1"/>
  <c r="F26" i="3"/>
  <c r="F13" i="3"/>
  <c r="F10" i="3"/>
  <c r="F17" i="3"/>
  <c r="F7" i="3"/>
  <c r="F6" i="3"/>
  <c r="F29" i="3"/>
  <c r="F21" i="3"/>
  <c r="F14" i="3"/>
  <c r="F11" i="3"/>
  <c r="F18" i="3"/>
  <c r="F8" i="3"/>
  <c r="F4" i="3"/>
  <c r="F24" i="3"/>
  <c r="F2" i="3"/>
  <c r="F27" i="3"/>
  <c r="F15" i="3"/>
  <c r="F12" i="3"/>
  <c r="F5" i="3"/>
  <c r="F30" i="3"/>
  <c r="F22" i="3"/>
  <c r="F9" i="3"/>
  <c r="F25" i="3"/>
  <c r="F19" i="3"/>
  <c r="F16" i="3"/>
  <c r="F23" i="3"/>
  <c r="F20" i="3"/>
  <c r="F31" i="3" l="1"/>
  <c r="Q31" i="4"/>
  <c r="K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tc={C92BD015-2C58-442E-BC39-7B2FB6842191}</author>
  </authors>
  <commentList>
    <comment ref="N2" authorId="0" shapeId="0" xr:uid="{C92BD015-2C58-442E-BC39-7B2FB6842191}">
      <text>
        <t>[Threaded comment]
Your version of Excel allows you to read this threaded comment; however, any edits to it will get removed if the file is opened in a newer version of Excel. Learn more: https://go.microsoft.com/fwlink/?linkid=870924
Comment:
    SRV1 to minus SRV3</t>
      </text>
    </comment>
  </commentList>
</comments>
</file>

<file path=xl/sharedStrings.xml><?xml version="1.0" encoding="utf-8"?>
<sst xmlns="http://schemas.openxmlformats.org/spreadsheetml/2006/main" count="247" uniqueCount="116">
  <si>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</si>
  <si>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</si>
  <si>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</si>
  <si>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</si>
  <si>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</si>
  <si>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</si>
  <si>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</si>
  <si>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</si>
  <si>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</si>
  <si>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</si>
  <si>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</si>
  <si>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</si>
  <si>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</si>
  <si>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</si>
  <si>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</si>
  <si>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</si>
  <si>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</si>
  <si>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</si>
  <si>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</si>
  <si>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</si>
  <si>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</si>
  <si>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</si>
  <si>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</si>
  <si>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</si>
  <si>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</si>
  <si>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</si>
  <si>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</si>
  <si>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</si>
  <si>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</si>
  <si>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WT59- m3</t>
  </si>
  <si>
    <t>WT08- m3</t>
  </si>
  <si>
    <t>PUC (HOH)- m3</t>
  </si>
  <si>
    <t>Fire Pump- m3</t>
  </si>
  <si>
    <t>DATE</t>
  </si>
  <si>
    <t>Room Night %</t>
  </si>
  <si>
    <t>Food Covers (Customers)</t>
  </si>
  <si>
    <t>SS-A (MWH)</t>
  </si>
  <si>
    <t>SS-B (MWH)</t>
  </si>
  <si>
    <t>SS-C (MWH)</t>
  </si>
  <si>
    <t>FIRE PUMP (MWH)</t>
  </si>
  <si>
    <t>CASINO (MWH)</t>
  </si>
  <si>
    <t>BOH     (MWH)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</si>
  <si>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</si>
  <si>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</si>
  <si>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</si>
  <si>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</si>
  <si>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</si>
  <si>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</si>
  <si>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</si>
  <si>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</si>
  <si>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</si>
  <si>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</si>
  <si>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WT59 (m3)</t>
  </si>
  <si>
    <t>WT08 (m3)</t>
  </si>
  <si>
    <t>PUC HOH (m3)</t>
  </si>
  <si>
    <t>Fire Tank (m3)</t>
  </si>
  <si>
    <t>STP Irrigation Water (m3)</t>
  </si>
  <si>
    <t>Fire tank 250 (m3)</t>
  </si>
  <si>
    <t>Comment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</si>
  <si>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</si>
  <si>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</si>
  <si>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</si>
  <si>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</si>
  <si>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</si>
  <si>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</si>
  <si>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</si>
  <si>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</si>
  <si>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</si>
  <si>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Location</t>
  </si>
  <si>
    <t>BOH</t>
  </si>
  <si>
    <t>E-Resort</t>
  </si>
  <si>
    <t>North RVs</t>
  </si>
  <si>
    <t>Kannel,300,400,500,600,SRV,300,400</t>
  </si>
  <si>
    <t>Zez,SPA,MV,100,200</t>
  </si>
  <si>
    <t>STP</t>
  </si>
  <si>
    <t>From E-Resort</t>
  </si>
  <si>
    <t>SRV</t>
  </si>
  <si>
    <t>Formula</t>
  </si>
  <si>
    <t>E-Resort (m3)</t>
  </si>
  <si>
    <t>North RVs (m3)</t>
  </si>
  <si>
    <t>PUC  (E- Resort) (m3)</t>
  </si>
  <si>
    <t>SRV1 (m3)</t>
  </si>
  <si>
    <t>SRV2 (m3)</t>
  </si>
  <si>
    <t>SRV3 (m3)</t>
  </si>
  <si>
    <t>Excluding all SRVs</t>
  </si>
  <si>
    <t>Average reading</t>
  </si>
  <si>
    <t>TOTAL</t>
  </si>
  <si>
    <t>Generator#1</t>
  </si>
  <si>
    <t>Generator#2</t>
  </si>
  <si>
    <t xml:space="preserve">Generator#3 </t>
  </si>
  <si>
    <t xml:space="preserve">Generator#4 </t>
  </si>
  <si>
    <t xml:space="preserve">Generator#5 </t>
  </si>
  <si>
    <t>Taken 8AM</t>
  </si>
  <si>
    <t>Running Hours</t>
  </si>
  <si>
    <t>Daily Fuel Burned</t>
  </si>
  <si>
    <t>Daily Energy Consumed</t>
  </si>
  <si>
    <t>Occupancy</t>
  </si>
  <si>
    <t>Total hours per day</t>
  </si>
  <si>
    <t>Total fuel burned (liters)</t>
  </si>
  <si>
    <t>Total consumed energy (KWH)</t>
  </si>
  <si>
    <t xml:space="preserve"> </t>
  </si>
  <si>
    <t>Fuel burned Per Hour</t>
  </si>
  <si>
    <t>Energy Consumed Per Hour</t>
  </si>
  <si>
    <t>Engine Efficiency</t>
  </si>
  <si>
    <t>Load %</t>
  </si>
  <si>
    <t>Total consumed energy (MWH)</t>
  </si>
  <si>
    <t>DAY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</si>
  <si>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</si>
  <si>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</si>
  <si>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</si>
  <si>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</si>
  <si>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</si>
  <si>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</si>
  <si>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</si>
  <si>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</si>
  <si>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PUC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</si>
</sst>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#,##0.0"/>
    <numFmt numFmtId="166" formatCode="0.00;[Red]0.00"/>
    <numFmt numFmtId="167" formatCode="0.0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0"/>
      <color rgb="FFFF0000"/>
      <name val="Calibri"/>
      <family val="2"/>
      <scheme val="minor"/>
    </font>
    <font>
      <b/>
      <sz val="11"/>
      <color rgb="FF000000"/>
      <name val="Calibri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B77B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A6A6A6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3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2" fontId="12" fillId="0" borderId="7" xfId="0" applyNumberFormat="1" applyFont="1" applyBorder="1"/>
    <xf numFmtId="3" fontId="12" fillId="0" borderId="5" xfId="0" applyNumberFormat="1" applyFont="1" applyBorder="1"/>
    <xf numFmtId="1" fontId="8" fillId="0" borderId="0" xfId="0" applyNumberFormat="1" applyFont="1"/>
    <xf numFmtId="4" fontId="12" fillId="0" borderId="4" xfId="0" applyNumberFormat="1" applyFont="1" applyBorder="1" applyAlignment="1">
      <alignment horizontal="right"/>
    </xf>
    <xf numFmtId="2" fontId="12" fillId="0" borderId="11" xfId="0" applyNumberFormat="1" applyFont="1" applyBorder="1"/>
    <xf numFmtId="2" fontId="13" fillId="4" borderId="7" xfId="0" applyNumberFormat="1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4" fontId="12" fillId="0" borderId="9" xfId="0" applyNumberFormat="1" applyFont="1" applyBorder="1" applyAlignment="1">
      <alignment horizontal="right"/>
    </xf>
    <xf numFmtId="0" fontId="15" fillId="0" borderId="0" xfId="0" applyFont="1" applyAlignment="1">
      <alignment wrapText="1"/>
    </xf>
    <xf numFmtId="0" fontId="12" fillId="0" borderId="7" xfId="0" applyFont="1" applyBorder="1"/>
    <xf numFmtId="0" fontId="4" fillId="2" borderId="10" xfId="0" applyFont="1" applyFill="1" applyBorder="1" applyAlignment="1">
      <alignment horizontal="center" vertical="center" wrapText="1"/>
    </xf>
    <xf numFmtId="0" fontId="0" fillId="0" borderId="7" xfId="0" applyBorder="1"/>
    <xf numFmtId="0" fontId="13" fillId="0" borderId="7" xfId="0" applyFont="1" applyBorder="1" applyAlignment="1">
      <alignment horizontal="center" wrapText="1"/>
    </xf>
    <xf numFmtId="3" fontId="12" fillId="0" borderId="7" xfId="0" applyNumberFormat="1" applyFont="1" applyBorder="1"/>
    <xf numFmtId="3" fontId="12" fillId="0" borderId="6" xfId="0" applyNumberFormat="1" applyFont="1" applyBorder="1"/>
    <xf numFmtId="0" fontId="12" fillId="0" borderId="6" xfId="0" applyFont="1" applyBorder="1"/>
    <xf numFmtId="0" fontId="12" fillId="0" borderId="5" xfId="0" applyFont="1" applyBorder="1"/>
    <xf numFmtId="0" fontId="13" fillId="0" borderId="11" xfId="0" applyFont="1" applyBorder="1" applyAlignment="1">
      <alignment horizontal="center"/>
    </xf>
    <xf numFmtId="14" fontId="12" fillId="0" borderId="11" xfId="0" applyNumberFormat="1" applyFont="1" applyBorder="1"/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3" fontId="16" fillId="0" borderId="7" xfId="0" applyNumberFormat="1" applyFont="1" applyBorder="1"/>
    <xf numFmtId="0" fontId="0" fillId="0" borderId="13" xfId="0" applyBorder="1"/>
    <xf numFmtId="0" fontId="4" fillId="0" borderId="7" xfId="0" applyFont="1" applyBorder="1"/>
    <xf numFmtId="0" fontId="13" fillId="0" borderId="22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/>
    <xf numFmtId="0" fontId="12" fillId="0" borderId="25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2" fillId="0" borderId="11" xfId="0" applyFont="1" applyBorder="1"/>
    <xf numFmtId="3" fontId="12" fillId="0" borderId="3" xfId="0" applyNumberFormat="1" applyFont="1" applyBorder="1"/>
    <xf numFmtId="165" fontId="16" fillId="0" borderId="7" xfId="0" applyNumberFormat="1" applyFont="1" applyBorder="1"/>
    <xf numFmtId="0" fontId="12" fillId="0" borderId="3" xfId="0" applyFont="1" applyBorder="1" applyAlignment="1">
      <alignment horizontal="center"/>
    </xf>
    <xf numFmtId="0" fontId="12" fillId="0" borderId="16" xfId="0" applyFont="1" applyBorder="1"/>
    <xf numFmtId="0" fontId="12" fillId="0" borderId="18" xfId="0" applyFont="1" applyBorder="1"/>
    <xf numFmtId="0" fontId="12" fillId="0" borderId="26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66" fontId="14" fillId="0" borderId="2" xfId="0" applyNumberFormat="1" applyFont="1" applyBorder="1" applyAlignment="1">
      <alignment horizontal="right" wrapText="1"/>
    </xf>
    <xf numFmtId="0" fontId="13" fillId="0" borderId="11" xfId="0" applyFont="1" applyBorder="1" applyAlignment="1">
      <alignment horizontal="center" wrapText="1"/>
    </xf>
    <xf numFmtId="165" fontId="16" fillId="0" borderId="13" xfId="0" applyNumberFormat="1" applyFont="1" applyBorder="1"/>
    <xf numFmtId="0" fontId="13" fillId="10" borderId="16" xfId="0" applyFont="1" applyFill="1" applyBorder="1" applyAlignment="1">
      <alignment horizontal="center" vertical="center" wrapText="1"/>
    </xf>
    <xf numFmtId="0" fontId="12" fillId="0" borderId="13" xfId="0" applyFont="1" applyBorder="1"/>
    <xf numFmtId="3" fontId="12" fillId="0" borderId="11" xfId="0" applyNumberFormat="1" applyFont="1" applyBorder="1"/>
    <xf numFmtId="14" fontId="0" fillId="0" borderId="0" xfId="0" applyNumberFormat="1"/>
    <xf numFmtId="0" fontId="13" fillId="0" borderId="13" xfId="0" applyFont="1" applyBorder="1" applyAlignment="1">
      <alignment horizontal="center" wrapText="1"/>
    </xf>
    <xf numFmtId="0" fontId="13" fillId="0" borderId="18" xfId="0" applyFont="1" applyBorder="1" applyAlignment="1">
      <alignment horizontal="center" wrapText="1"/>
    </xf>
    <xf numFmtId="3" fontId="13" fillId="0" borderId="7" xfId="0" applyNumberFormat="1" applyFont="1" applyBorder="1"/>
    <xf numFmtId="3" fontId="12" fillId="0" borderId="16" xfId="0" applyNumberFormat="1" applyFont="1" applyBorder="1"/>
    <xf numFmtId="14" fontId="13" fillId="0" borderId="7" xfId="0" applyNumberFormat="1" applyFont="1" applyBorder="1" applyAlignment="1">
      <alignment horizontal="right"/>
    </xf>
    <xf numFmtId="14" fontId="12" fillId="0" borderId="7" xfId="0" applyNumberFormat="1" applyFont="1" applyBorder="1"/>
    <xf numFmtId="3" fontId="16" fillId="0" borderId="9" xfId="0" applyNumberFormat="1" applyFont="1" applyBorder="1"/>
    <xf numFmtId="0" fontId="13" fillId="0" borderId="16" xfId="0" applyFont="1" applyBorder="1" applyAlignment="1">
      <alignment horizontal="center"/>
    </xf>
    <xf numFmtId="3" fontId="16" fillId="0" borderId="15" xfId="0" applyNumberFormat="1" applyFont="1" applyBorder="1"/>
    <xf numFmtId="165" fontId="16" fillId="0" borderId="33" xfId="0" applyNumberFormat="1" applyFont="1" applyBorder="1"/>
    <xf numFmtId="3" fontId="16" fillId="0" borderId="32" xfId="0" applyNumberFormat="1" applyFont="1" applyBorder="1"/>
    <xf numFmtId="0" fontId="13" fillId="9" borderId="11" xfId="0" applyFont="1" applyFill="1" applyBorder="1" applyAlignment="1">
      <alignment vertical="center"/>
    </xf>
    <xf numFmtId="0" fontId="0" fillId="9" borderId="13" xfId="0" applyFill="1" applyBorder="1"/>
    <xf numFmtId="0" fontId="0" fillId="9" borderId="7" xfId="0" applyFill="1" applyBorder="1"/>
    <xf numFmtId="0" fontId="13" fillId="9" borderId="7" xfId="0" applyFont="1" applyFill="1" applyBorder="1" applyAlignment="1">
      <alignment horizontal="center" wrapText="1"/>
    </xf>
    <xf numFmtId="3" fontId="12" fillId="9" borderId="7" xfId="0" applyNumberFormat="1" applyFont="1" applyFill="1" applyBorder="1"/>
    <xf numFmtId="3" fontId="12" fillId="9" borderId="15" xfId="0" applyNumberFormat="1" applyFont="1" applyFill="1" applyBorder="1"/>
    <xf numFmtId="3" fontId="13" fillId="9" borderId="7" xfId="0" applyNumberFormat="1" applyFont="1" applyFill="1" applyBorder="1"/>
    <xf numFmtId="0" fontId="0" fillId="9" borderId="16" xfId="0" applyFill="1" applyBorder="1"/>
    <xf numFmtId="14" fontId="12" fillId="0" borderId="15" xfId="0" applyNumberFormat="1" applyFont="1" applyBorder="1"/>
    <xf numFmtId="0" fontId="4" fillId="0" borderId="13" xfId="0" applyFont="1" applyBorder="1" applyAlignment="1">
      <alignment wrapText="1"/>
    </xf>
    <xf numFmtId="165" fontId="16" fillId="0" borderId="15" xfId="0" applyNumberFormat="1" applyFont="1" applyBorder="1"/>
    <xf numFmtId="165" fontId="16" fillId="0" borderId="11" xfId="0" applyNumberFormat="1" applyFont="1" applyBorder="1"/>
    <xf numFmtId="3" fontId="12" fillId="0" borderId="13" xfId="0" applyNumberFormat="1" applyFont="1" applyBorder="1"/>
    <xf numFmtId="3" fontId="13" fillId="11" borderId="7" xfId="0" applyNumberFormat="1" applyFont="1" applyFill="1" applyBorder="1"/>
    <xf numFmtId="14" fontId="13" fillId="11" borderId="11" xfId="0" applyNumberFormat="1" applyFont="1" applyFill="1" applyBorder="1" applyAlignment="1">
      <alignment horizontal="right"/>
    </xf>
    <xf numFmtId="0" fontId="4" fillId="0" borderId="7" xfId="0" applyFont="1" applyBorder="1" applyAlignment="1">
      <alignment wrapText="1"/>
    </xf>
    <xf numFmtId="3" fontId="12" fillId="0" borderId="18" xfId="0" applyNumberFormat="1" applyFont="1" applyBorder="1"/>
    <xf numFmtId="3" fontId="13" fillId="11" borderId="11" xfId="0" applyNumberFormat="1" applyFont="1" applyFill="1" applyBorder="1"/>
    <xf numFmtId="2" fontId="12" fillId="0" borderId="15" xfId="0" applyNumberFormat="1" applyFont="1" applyBorder="1"/>
    <xf numFmtId="4" fontId="12" fillId="0" borderId="32" xfId="0" applyNumberFormat="1" applyFont="1" applyBorder="1" applyAlignment="1">
      <alignment horizontal="right"/>
    </xf>
    <xf numFmtId="4" fontId="12" fillId="0" borderId="8" xfId="0" applyNumberFormat="1" applyFont="1" applyBorder="1" applyAlignment="1">
      <alignment horizontal="right"/>
    </xf>
    <xf numFmtId="4" fontId="12" fillId="0" borderId="6" xfId="0" applyNumberFormat="1" applyFont="1" applyBorder="1" applyAlignment="1">
      <alignment horizontal="right"/>
    </xf>
    <xf numFmtId="4" fontId="12" fillId="0" borderId="6" xfId="0" applyNumberFormat="1" applyFont="1" applyBorder="1"/>
    <xf numFmtId="0" fontId="12" fillId="0" borderId="15" xfId="0" applyFont="1" applyBorder="1"/>
    <xf numFmtId="4" fontId="12" fillId="0" borderId="7" xfId="0" applyNumberFormat="1" applyFont="1" applyBorder="1" applyAlignment="1">
      <alignment horizontal="right"/>
    </xf>
    <xf numFmtId="4" fontId="12" fillId="0" borderId="7" xfId="0" applyNumberFormat="1" applyFont="1" applyBorder="1"/>
    <xf numFmtId="2" fontId="12" fillId="0" borderId="16" xfId="0" applyNumberFormat="1" applyFont="1" applyBorder="1"/>
    <xf numFmtId="3" fontId="12" fillId="0" borderId="15" xfId="0" applyNumberFormat="1" applyFont="1" applyBorder="1"/>
    <xf numFmtId="0" fontId="18" fillId="10" borderId="11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7" fillId="13" borderId="7" xfId="0" applyFont="1" applyFill="1" applyBorder="1"/>
    <xf numFmtId="0" fontId="13" fillId="0" borderId="0" xfId="0" applyFont="1" applyAlignment="1">
      <alignment horizontal="right"/>
    </xf>
    <xf numFmtId="0" fontId="13" fillId="9" borderId="7" xfId="0" applyFont="1" applyFill="1" applyBorder="1" applyAlignment="1">
      <alignment vertical="center"/>
    </xf>
    <xf numFmtId="0" fontId="13" fillId="3" borderId="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14" fontId="12" fillId="0" borderId="28" xfId="0" applyNumberFormat="1" applyFont="1" applyBorder="1"/>
    <xf numFmtId="2" fontId="12" fillId="0" borderId="18" xfId="0" applyNumberFormat="1" applyFont="1" applyBorder="1"/>
    <xf numFmtId="0" fontId="4" fillId="0" borderId="18" xfId="0" applyFont="1" applyBorder="1" applyAlignment="1">
      <alignment wrapText="1"/>
    </xf>
    <xf numFmtId="0" fontId="0" fillId="9" borderId="11" xfId="0" applyFill="1" applyBorder="1"/>
    <xf numFmtId="0" fontId="0" fillId="9" borderId="14" xfId="0" applyFill="1" applyBorder="1"/>
    <xf numFmtId="0" fontId="0" fillId="9" borderId="9" xfId="0" applyFill="1" applyBorder="1"/>
    <xf numFmtId="0" fontId="12" fillId="0" borderId="9" xfId="0" applyFont="1" applyBorder="1"/>
    <xf numFmtId="0" fontId="4" fillId="11" borderId="7" xfId="0" applyFont="1" applyFill="1" applyBorder="1" applyAlignment="1">
      <alignment wrapText="1"/>
    </xf>
    <xf numFmtId="3" fontId="12" fillId="11" borderId="18" xfId="0" applyNumberFormat="1" applyFont="1" applyFill="1" applyBorder="1"/>
    <xf numFmtId="3" fontId="12" fillId="11" borderId="11" xfId="0" applyNumberFormat="1" applyFont="1" applyFill="1" applyBorder="1"/>
    <xf numFmtId="15" fontId="12" fillId="0" borderId="0" xfId="0" applyNumberFormat="1" applyFont="1"/>
    <xf numFmtId="0" fontId="12" fillId="9" borderId="7" xfId="0" applyFont="1" applyFill="1" applyBorder="1"/>
    <xf numFmtId="0" fontId="0" fillId="9" borderId="15" xfId="0" applyFill="1" applyBorder="1"/>
    <xf numFmtId="0" fontId="13" fillId="0" borderId="18" xfId="0" applyFont="1" applyBorder="1" applyAlignment="1">
      <alignment horizontal="center"/>
    </xf>
    <xf numFmtId="0" fontId="13" fillId="9" borderId="13" xfId="0" applyFont="1" applyFill="1" applyBorder="1" applyAlignment="1">
      <alignment horizontal="center" wrapText="1"/>
    </xf>
    <xf numFmtId="0" fontId="15" fillId="0" borderId="7" xfId="0" applyFont="1" applyBorder="1" applyAlignment="1">
      <alignment wrapText="1"/>
    </xf>
    <xf numFmtId="4" fontId="12" fillId="0" borderId="15" xfId="0" applyNumberFormat="1" applyFont="1" applyBorder="1" applyAlignment="1">
      <alignment horizontal="right"/>
    </xf>
    <xf numFmtId="4" fontId="12" fillId="0" borderId="15" xfId="0" applyNumberFormat="1" applyFont="1" applyBorder="1"/>
    <xf numFmtId="0" fontId="12" fillId="0" borderId="35" xfId="0" applyFont="1" applyBorder="1"/>
    <xf numFmtId="0" fontId="12" fillId="0" borderId="14" xfId="0" applyFont="1" applyBorder="1"/>
    <xf numFmtId="0" fontId="12" fillId="0" borderId="17" xfId="0" applyFont="1" applyBorder="1"/>
    <xf numFmtId="0" fontId="19" fillId="0" borderId="34" xfId="0" applyFont="1" applyBorder="1"/>
    <xf numFmtId="0" fontId="19" fillId="0" borderId="5" xfId="0" applyFont="1" applyBorder="1"/>
    <xf numFmtId="0" fontId="20" fillId="0" borderId="34" xfId="0" applyFont="1" applyBorder="1"/>
    <xf numFmtId="0" fontId="20" fillId="0" borderId="5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0" fillId="9" borderId="18" xfId="0" applyFill="1" applyBorder="1"/>
    <xf numFmtId="0" fontId="13" fillId="14" borderId="7" xfId="0" applyFont="1" applyFill="1" applyBorder="1" applyAlignment="1">
      <alignment vertical="center" wrapText="1"/>
    </xf>
    <xf numFmtId="0" fontId="13" fillId="14" borderId="7" xfId="0" applyFont="1" applyFill="1" applyBorder="1" applyAlignment="1">
      <alignment horizontal="center" vertical="center" wrapText="1"/>
    </xf>
    <xf numFmtId="0" fontId="0" fillId="14" borderId="7" xfId="0" applyFill="1" applyBorder="1"/>
    <xf numFmtId="0" fontId="0" fillId="14" borderId="11" xfId="0" applyFill="1" applyBorder="1"/>
    <xf numFmtId="0" fontId="19" fillId="0" borderId="2" xfId="0" applyFont="1" applyBorder="1" applyAlignment="1">
      <alignment wrapText="1"/>
    </xf>
    <xf numFmtId="0" fontId="19" fillId="0" borderId="4" xfId="0" applyFont="1" applyBorder="1"/>
    <xf numFmtId="0" fontId="19" fillId="0" borderId="5" xfId="0" applyFont="1" applyBorder="1" applyAlignment="1">
      <alignment wrapText="1"/>
    </xf>
    <xf numFmtId="0" fontId="13" fillId="3" borderId="7" xfId="0" applyFont="1" applyFill="1" applyBorder="1" applyAlignment="1">
      <alignment horizontal="center"/>
    </xf>
    <xf numFmtId="0" fontId="4" fillId="3" borderId="7" xfId="0" applyFont="1" applyFill="1" applyBorder="1" applyAlignment="1">
      <alignment vertical="center" wrapText="1"/>
    </xf>
    <xf numFmtId="0" fontId="13" fillId="11" borderId="15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 vertical="center" wrapText="1"/>
    </xf>
    <xf numFmtId="0" fontId="4" fillId="11" borderId="15" xfId="0" applyFont="1" applyFill="1" applyBorder="1" applyAlignment="1">
      <alignment horizontal="center" vertical="center" wrapText="1"/>
    </xf>
    <xf numFmtId="0" fontId="4" fillId="11" borderId="15" xfId="0" applyFont="1" applyFill="1" applyBorder="1" applyAlignment="1">
      <alignment vertical="center" wrapText="1"/>
    </xf>
    <xf numFmtId="14" fontId="12" fillId="0" borderId="18" xfId="0" applyNumberFormat="1" applyFont="1" applyBorder="1"/>
    <xf numFmtId="3" fontId="13" fillId="3" borderId="7" xfId="0" applyNumberFormat="1" applyFont="1" applyFill="1" applyBorder="1" applyAlignment="1">
      <alignment horizontal="right" wrapText="1"/>
    </xf>
    <xf numFmtId="0" fontId="4" fillId="3" borderId="7" xfId="0" applyFont="1" applyFill="1" applyBorder="1" applyAlignment="1">
      <alignment horizontal="right" wrapText="1"/>
    </xf>
    <xf numFmtId="0" fontId="12" fillId="0" borderId="3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28" xfId="0" applyFont="1" applyFill="1" applyBorder="1" applyAlignment="1">
      <alignment horizontal="center"/>
    </xf>
    <xf numFmtId="0" fontId="13" fillId="7" borderId="22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center"/>
    </xf>
    <xf numFmtId="0" fontId="13" fillId="7" borderId="29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0" fillId="14" borderId="11" xfId="0" applyFill="1" applyBorder="1" applyAlignment="1">
      <alignment horizontal="center"/>
    </xf>
    <xf numFmtId="0" fontId="0" fillId="14" borderId="14" xfId="0" applyFill="1" applyBorder="1" applyAlignment="1">
      <alignment horizontal="center"/>
    </xf>
    <xf numFmtId="4" fontId="12" fillId="0" borderId="7" xfId="0" applyNumberFormat="1" applyFont="1" applyBorder="1" applyAlignment="1">
      <alignment horizontal="right"/>
    </xf>
    <xf numFmtId="0" fontId="13" fillId="9" borderId="11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167" fontId="12" fillId="0" borderId="7" xfId="0" applyNumberFormat="1" applyFont="1" applyBorder="1" applyAlignment="1"/>
    <xf numFmtId="167" fontId="12" fillId="0" borderId="15" xfId="0" applyNumberFormat="1" applyFont="1" applyBorder="1" applyAlignment="1"/>
  </cellXfs>
  <cellStyles count="2">
    <cellStyle name="Milliers_Classeur1" xfId="1" xr:uid="{00000000-0005-0000-0000-000000000000}"/>
    <cellStyle name="Normal" xfId="0" builtinId="0"/>
  </cellStyles>
  <dxfs count="2">
    <dxf>
      <font>
        <color rgb="FF00B050"/>
      </font>
    </dxf>
    <dxf>
      <font>
        <color rgb="FFFF0000"/>
      </font>
      <fill>
        <patternFill patternType="solid">
          <bgColor rgb="FF00B0F0"/>
        </patternFill>
      </fill>
    </dxf>
  </dxfs>
  <tableStyles count="0" defaultTableStyle="TableStyleMedium2" defaultPivotStyle="PivotStyleLight16"/>
  <colors>
    <mruColors>
      <color rgb="FFAB77B5"/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trand Morel" id="{906BCDB9-8CBC-4ACF-8C89-1BA6B6D4221B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2" dT="2022-10-04T10:23:28.40" personId="{906BCDB9-8CBC-4ACF-8C89-1BA6B6D4221B}" id="{C92BD015-2C58-442E-BC39-7B2FB6842191}">
    <text>SRV1 to minus SRV3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opLeftCell="A14" workbookViewId="0">
      <selection activeCell="R34" sqref="R34"/>
    </sheetView>
  </sheetViews>
  <sheetFormatPr defaultColWidth="11.5703125" defaultRowHeight="14.4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43.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11</v>
      </c>
      <c r="D2" s="1">
        <v>2022</v>
      </c>
      <c r="E2" s="12">
        <f>SUM('FS Seychelles'!D3:I3)*1000</f>
        <v>19720</v>
      </c>
      <c r="F2" s="11">
        <f>(('FS Seychelles'!O3*'FS Seychelles'!P3)+('FS Seychelles'!Q3*'FS Seychelles'!R3))/TOTAL!E2</f>
        <v>0.71045019449460722</v>
      </c>
      <c r="G2" s="12">
        <f>('FS Seychelles'!$Z$10+'FS Seychelles'!$Z$15)/30</f>
        <v>295.66666666666669</v>
      </c>
      <c r="H2" s="11">
        <v>1.05</v>
      </c>
      <c r="I2" s="12">
        <f>SUM('FS Seychelles'!S3:W3)</f>
        <v>269</v>
      </c>
      <c r="J2" s="11">
        <v>0</v>
      </c>
      <c r="K2" s="28">
        <f>'FS Seychelles'!AA3</f>
        <v>135</v>
      </c>
      <c r="L2" s="11">
        <v>0</v>
      </c>
      <c r="M2" s="41">
        <f>'FS Seychelles'!B3</f>
        <v>68.8</v>
      </c>
    </row>
    <row r="3" spans="1:13" s="15" customFormat="1">
      <c r="A3" s="1" t="s">
        <v>13</v>
      </c>
      <c r="B3" s="14">
        <f>B2+1</f>
        <v>2</v>
      </c>
      <c r="C3" s="11">
        <f>C2</f>
        <v>11</v>
      </c>
      <c r="D3" s="1">
        <v>2022</v>
      </c>
      <c r="E3" s="12">
        <f>SUM('FS Seychelles'!D4:I4)*1000</f>
        <v>19040</v>
      </c>
      <c r="F3" s="11">
        <f>(('FS Seychelles'!O4*'FS Seychelles'!P4)+('FS Seychelles'!Q4*'FS Seychelles'!R4))/TOTAL!E3</f>
        <v>0.69456491269599019</v>
      </c>
      <c r="G3" s="12">
        <f>('FS Seychelles'!$Z$10+'FS Seychelles'!$Z$15)/30</f>
        <v>295.66666666666669</v>
      </c>
      <c r="H3" s="11">
        <f>H2</f>
        <v>1.05</v>
      </c>
      <c r="I3" s="12">
        <f>SUM('FS Seychelles'!S4:W4)</f>
        <v>238</v>
      </c>
      <c r="J3" s="11">
        <f>J2</f>
        <v>0</v>
      </c>
      <c r="K3" s="28">
        <f>'FS Seychelles'!AA4</f>
        <v>158</v>
      </c>
      <c r="L3" s="11">
        <f>L2</f>
        <v>0</v>
      </c>
      <c r="M3" s="41">
        <f>'FS Seychelles'!B4</f>
        <v>71.400000000000006</v>
      </c>
    </row>
    <row r="4" spans="1:13" s="15" customFormat="1">
      <c r="A4" s="1" t="s">
        <v>13</v>
      </c>
      <c r="B4" s="14">
        <f t="shared" ref="B4:B32" si="0">B3+1</f>
        <v>3</v>
      </c>
      <c r="C4" s="11">
        <f t="shared" ref="C4:C32" si="1">C3</f>
        <v>11</v>
      </c>
      <c r="D4" s="1">
        <v>2022</v>
      </c>
      <c r="E4" s="12">
        <f>SUM('FS Seychelles'!D5:I5)*1000</f>
        <v>19430</v>
      </c>
      <c r="F4" s="11">
        <f>(('FS Seychelles'!O5*'FS Seychelles'!P5)+('FS Seychelles'!Q5*'FS Seychelles'!R5))/TOTAL!E4</f>
        <v>0.74379027639848361</v>
      </c>
      <c r="G4" s="12">
        <f>('FS Seychelles'!$Z$10+'FS Seychelles'!$Z$15)/30</f>
        <v>295.66666666666669</v>
      </c>
      <c r="H4" s="11">
        <f t="shared" ref="H4:H32" si="2">H3</f>
        <v>1.05</v>
      </c>
      <c r="I4" s="12">
        <f>SUM('FS Seychelles'!S5:W5)</f>
        <v>284</v>
      </c>
      <c r="J4" s="11">
        <f t="shared" ref="J4:L32" si="3">J3</f>
        <v>0</v>
      </c>
      <c r="K4" s="28">
        <f>'FS Seychelles'!AA5</f>
        <v>100</v>
      </c>
      <c r="L4" s="11">
        <f t="shared" si="3"/>
        <v>0</v>
      </c>
      <c r="M4" s="41">
        <f>'FS Seychelles'!B5</f>
        <v>71.400000000000006</v>
      </c>
    </row>
    <row r="5" spans="1:13" s="15" customFormat="1">
      <c r="A5" s="1" t="s">
        <v>13</v>
      </c>
      <c r="B5" s="14">
        <f t="shared" si="0"/>
        <v>4</v>
      </c>
      <c r="C5" s="11">
        <f t="shared" si="1"/>
        <v>11</v>
      </c>
      <c r="D5" s="1">
        <v>2022</v>
      </c>
      <c r="E5" s="12">
        <f>SUM('FS Seychelles'!D6:I6)*1000</f>
        <v>19820</v>
      </c>
      <c r="F5" s="11">
        <f>(('FS Seychelles'!O6*'FS Seychelles'!P6)+('FS Seychelles'!Q6*'FS Seychelles'!R6))/TOTAL!E5</f>
        <v>0.70830368049285675</v>
      </c>
      <c r="G5" s="12">
        <f>('FS Seychelles'!$Z$10+'FS Seychelles'!$Z$15)/30</f>
        <v>295.66666666666669</v>
      </c>
      <c r="H5" s="11">
        <f t="shared" si="2"/>
        <v>1.05</v>
      </c>
      <c r="I5" s="12">
        <f>SUM('FS Seychelles'!S6:W6)</f>
        <v>241</v>
      </c>
      <c r="J5" s="11">
        <f t="shared" si="3"/>
        <v>0</v>
      </c>
      <c r="K5" s="28">
        <f>'FS Seychelles'!AA6</f>
        <v>129</v>
      </c>
      <c r="L5" s="11">
        <f t="shared" si="3"/>
        <v>0</v>
      </c>
      <c r="M5" s="41">
        <f>'FS Seychelles'!B6</f>
        <v>74</v>
      </c>
    </row>
    <row r="6" spans="1:13" s="15" customFormat="1">
      <c r="A6" s="1" t="s">
        <v>13</v>
      </c>
      <c r="B6" s="14">
        <f t="shared" si="0"/>
        <v>5</v>
      </c>
      <c r="C6" s="11">
        <f t="shared" si="1"/>
        <v>11</v>
      </c>
      <c r="D6" s="1">
        <v>2022</v>
      </c>
      <c r="E6" s="12">
        <f>SUM('FS Seychelles'!D7:I7)*1000</f>
        <v>19580.000000000004</v>
      </c>
      <c r="F6" s="11">
        <f>(('FS Seychelles'!O7*'FS Seychelles'!P7)+('FS Seychelles'!Q7*'FS Seychelles'!R7))/TOTAL!E6</f>
        <v>0.77448278185861574</v>
      </c>
      <c r="G6" s="12">
        <f>('FS Seychelles'!$Z$10+'FS Seychelles'!$Z$15)/30</f>
        <v>295.66666666666669</v>
      </c>
      <c r="H6" s="11">
        <f t="shared" si="2"/>
        <v>1.05</v>
      </c>
      <c r="I6" s="12">
        <f>SUM('FS Seychelles'!S7:W7)</f>
        <v>259</v>
      </c>
      <c r="J6" s="11">
        <f t="shared" si="3"/>
        <v>0</v>
      </c>
      <c r="K6" s="28">
        <f>'FS Seychelles'!AA7</f>
        <v>120</v>
      </c>
      <c r="L6" s="11">
        <f t="shared" si="3"/>
        <v>0</v>
      </c>
      <c r="M6" s="41">
        <f>'FS Seychelles'!B7</f>
        <v>64.900000000000006</v>
      </c>
    </row>
    <row r="7" spans="1:13" s="15" customFormat="1">
      <c r="A7" s="1" t="s">
        <v>13</v>
      </c>
      <c r="B7" s="14">
        <f t="shared" si="0"/>
        <v>6</v>
      </c>
      <c r="C7" s="11">
        <f t="shared" si="1"/>
        <v>11</v>
      </c>
      <c r="D7" s="1">
        <v>2022</v>
      </c>
      <c r="E7" s="12">
        <f>SUM('FS Seychelles'!D8:I8)*1000</f>
        <v>18190</v>
      </c>
      <c r="F7" s="11">
        <f>(('FS Seychelles'!O8*'FS Seychelles'!P8)+('FS Seychelles'!Q8*'FS Seychelles'!R8))/TOTAL!E7</f>
        <v>0.70459558950881296</v>
      </c>
      <c r="G7" s="12">
        <f>('FS Seychelles'!$Z$10+'FS Seychelles'!$Z$15)/30</f>
        <v>295.66666666666669</v>
      </c>
      <c r="H7" s="11">
        <f t="shared" si="2"/>
        <v>1.05</v>
      </c>
      <c r="I7" s="12">
        <f>SUM('FS Seychelles'!S8:W8)</f>
        <v>221</v>
      </c>
      <c r="J7" s="11">
        <f t="shared" si="3"/>
        <v>0</v>
      </c>
      <c r="K7" s="28">
        <f>'FS Seychelles'!AA8</f>
        <v>156</v>
      </c>
      <c r="L7" s="11">
        <f t="shared" si="3"/>
        <v>0</v>
      </c>
      <c r="M7" s="41">
        <f>'FS Seychelles'!B8</f>
        <v>68.8</v>
      </c>
    </row>
    <row r="8" spans="1:13" s="15" customFormat="1">
      <c r="A8" s="1" t="s">
        <v>13</v>
      </c>
      <c r="B8" s="14">
        <f t="shared" si="0"/>
        <v>7</v>
      </c>
      <c r="C8" s="11">
        <f t="shared" si="1"/>
        <v>11</v>
      </c>
      <c r="D8" s="1">
        <v>2022</v>
      </c>
      <c r="E8" s="12">
        <f>SUM('FS Seychelles'!D9:I9)*1000</f>
        <v>19299.999999999996</v>
      </c>
      <c r="F8" s="11">
        <f>(('FS Seychelles'!O9*'FS Seychelles'!P9)+('FS Seychelles'!Q9*'FS Seychelles'!R9))/TOTAL!E8</f>
        <v>0.69628364130789666</v>
      </c>
      <c r="G8" s="12">
        <f>('FS Seychelles'!$Z$10+'FS Seychelles'!$Z$15)/30</f>
        <v>295.66666666666669</v>
      </c>
      <c r="H8" s="11">
        <f t="shared" si="2"/>
        <v>1.05</v>
      </c>
      <c r="I8" s="12">
        <f>SUM('FS Seychelles'!S9:W9)</f>
        <v>218</v>
      </c>
      <c r="J8" s="11">
        <f t="shared" si="3"/>
        <v>0</v>
      </c>
      <c r="K8" s="28">
        <f>'FS Seychelles'!AA9</f>
        <v>163</v>
      </c>
      <c r="L8" s="11">
        <f t="shared" si="3"/>
        <v>0</v>
      </c>
      <c r="M8" s="41">
        <f>'FS Seychelles'!B9</f>
        <v>74</v>
      </c>
    </row>
    <row r="9" spans="1:13" s="15" customFormat="1">
      <c r="A9" s="1" t="s">
        <v>13</v>
      </c>
      <c r="B9" s="14">
        <f t="shared" si="0"/>
        <v>8</v>
      </c>
      <c r="C9" s="11">
        <f t="shared" si="1"/>
        <v>11</v>
      </c>
      <c r="D9" s="1">
        <v>2022</v>
      </c>
      <c r="E9" s="12">
        <f>SUM('FS Seychelles'!D10:I10)*1000</f>
        <v>19650</v>
      </c>
      <c r="F9" s="11">
        <f>(('FS Seychelles'!O10*'FS Seychelles'!P10)+('FS Seychelles'!Q10*'FS Seychelles'!R10))/TOTAL!E9</f>
        <v>0.73192741018226681</v>
      </c>
      <c r="G9" s="12">
        <f>('FS Seychelles'!$Z$10+'FS Seychelles'!$Z$15)/30</f>
        <v>295.66666666666669</v>
      </c>
      <c r="H9" s="11">
        <f t="shared" si="2"/>
        <v>1.05</v>
      </c>
      <c r="I9" s="12">
        <f>SUM('FS Seychelles'!S10:W10)</f>
        <v>290</v>
      </c>
      <c r="J9" s="11">
        <f t="shared" si="3"/>
        <v>0</v>
      </c>
      <c r="K9" s="28">
        <f>'FS Seychelles'!AA10</f>
        <v>105</v>
      </c>
      <c r="L9" s="11">
        <f t="shared" si="3"/>
        <v>0</v>
      </c>
      <c r="M9" s="41">
        <f>'FS Seychelles'!B10</f>
        <v>68.8</v>
      </c>
    </row>
    <row r="10" spans="1:13" s="15" customFormat="1">
      <c r="A10" s="1" t="s">
        <v>13</v>
      </c>
      <c r="B10" s="14">
        <f t="shared" si="0"/>
        <v>9</v>
      </c>
      <c r="C10" s="11">
        <f t="shared" si="1"/>
        <v>11</v>
      </c>
      <c r="D10" s="1">
        <v>2022</v>
      </c>
      <c r="E10" s="12">
        <f>SUM('FS Seychelles'!D11:I11)*1000</f>
        <v>19680</v>
      </c>
      <c r="F10" s="11">
        <f>(('FS Seychelles'!O11*'FS Seychelles'!P11)+('FS Seychelles'!Q11*'FS Seychelles'!R11))/TOTAL!E10</f>
        <v>0.63903026632193682</v>
      </c>
      <c r="G10" s="12">
        <f>('FS Seychelles'!$Z$10+'FS Seychelles'!$Z$15)/30</f>
        <v>295.66666666666669</v>
      </c>
      <c r="H10" s="11">
        <f t="shared" si="2"/>
        <v>1.05</v>
      </c>
      <c r="I10" s="12">
        <f>SUM('FS Seychelles'!S11:W11)</f>
        <v>219</v>
      </c>
      <c r="J10" s="11">
        <f t="shared" si="3"/>
        <v>0</v>
      </c>
      <c r="K10" s="28">
        <f>'FS Seychelles'!AA11</f>
        <v>99</v>
      </c>
      <c r="L10" s="11">
        <f t="shared" si="3"/>
        <v>0</v>
      </c>
      <c r="M10" s="41">
        <f>'FS Seychelles'!B11</f>
        <v>68.8</v>
      </c>
    </row>
    <row r="11" spans="1:13" s="15" customFormat="1">
      <c r="A11" s="1" t="s">
        <v>13</v>
      </c>
      <c r="B11" s="14">
        <f t="shared" si="0"/>
        <v>10</v>
      </c>
      <c r="C11" s="11">
        <f t="shared" si="1"/>
        <v>11</v>
      </c>
      <c r="D11" s="1">
        <v>2022</v>
      </c>
      <c r="E11" s="12">
        <f>SUM('FS Seychelles'!D12:I12)*1000</f>
        <v>19890</v>
      </c>
      <c r="F11" s="11">
        <f>(('FS Seychelles'!O12*'FS Seychelles'!P12)+('FS Seychelles'!Q12*'FS Seychelles'!R12))/TOTAL!E11</f>
        <v>0.64741873484297063</v>
      </c>
      <c r="G11" s="12">
        <f>('FS Seychelles'!$Z$10+'FS Seychelles'!$Z$15)/30</f>
        <v>295.66666666666669</v>
      </c>
      <c r="H11" s="11">
        <f t="shared" si="2"/>
        <v>1.05</v>
      </c>
      <c r="I11" s="12">
        <f>SUM('FS Seychelles'!S12:W12)</f>
        <v>169</v>
      </c>
      <c r="J11" s="11">
        <f t="shared" si="3"/>
        <v>0</v>
      </c>
      <c r="K11" s="28">
        <f>'FS Seychelles'!AA12</f>
        <v>126</v>
      </c>
      <c r="L11" s="11">
        <f t="shared" si="3"/>
        <v>0</v>
      </c>
      <c r="M11" s="41">
        <f>'FS Seychelles'!B12</f>
        <v>68.8</v>
      </c>
    </row>
    <row r="12" spans="1:13" s="15" customFormat="1">
      <c r="A12" s="1" t="s">
        <v>13</v>
      </c>
      <c r="B12" s="14">
        <f t="shared" si="0"/>
        <v>11</v>
      </c>
      <c r="C12" s="11">
        <f t="shared" si="1"/>
        <v>11</v>
      </c>
      <c r="D12" s="1">
        <v>2022</v>
      </c>
      <c r="E12" s="12">
        <f>SUM('FS Seychelles'!D13:I13)*1000</f>
        <v>20080</v>
      </c>
      <c r="F12" s="11">
        <f>(('FS Seychelles'!O13*'FS Seychelles'!P13)+('FS Seychelles'!Q13*'FS Seychelles'!R13))/TOTAL!E12</f>
        <v>0.69806788413432996</v>
      </c>
      <c r="G12" s="12">
        <f>('FS Seychelles'!$Z$10+'FS Seychelles'!$Z$15)/30</f>
        <v>295.66666666666669</v>
      </c>
      <c r="H12" s="11">
        <f t="shared" si="2"/>
        <v>1.05</v>
      </c>
      <c r="I12" s="12">
        <f>SUM('FS Seychelles'!S13:W13)</f>
        <v>242</v>
      </c>
      <c r="J12" s="11">
        <f t="shared" si="3"/>
        <v>0</v>
      </c>
      <c r="K12" s="28">
        <f>'FS Seychelles'!AA13</f>
        <v>104</v>
      </c>
      <c r="L12" s="11">
        <f t="shared" si="3"/>
        <v>0</v>
      </c>
      <c r="M12" s="41">
        <f>'FS Seychelles'!B13</f>
        <v>71.400000000000006</v>
      </c>
    </row>
    <row r="13" spans="1:13" s="15" customFormat="1">
      <c r="A13" s="1" t="s">
        <v>13</v>
      </c>
      <c r="B13" s="14">
        <f t="shared" si="0"/>
        <v>12</v>
      </c>
      <c r="C13" s="11">
        <f t="shared" si="1"/>
        <v>11</v>
      </c>
      <c r="D13" s="1">
        <v>2022</v>
      </c>
      <c r="E13" s="12">
        <f>SUM('FS Seychelles'!D14:I14)*1000</f>
        <v>20160.000000000004</v>
      </c>
      <c r="F13" s="11">
        <f>(('FS Seychelles'!O14*'FS Seychelles'!P14)+('FS Seychelles'!Q14*'FS Seychelles'!R14))/TOTAL!E13</f>
        <v>0.69750675103251081</v>
      </c>
      <c r="G13" s="12">
        <f>('FS Seychelles'!$Z$10+'FS Seychelles'!$Z$15)/30</f>
        <v>295.66666666666669</v>
      </c>
      <c r="H13" s="11">
        <f t="shared" si="2"/>
        <v>1.05</v>
      </c>
      <c r="I13" s="12">
        <f>SUM('FS Seychelles'!S14:W14)</f>
        <v>220</v>
      </c>
      <c r="J13" s="11">
        <f t="shared" si="3"/>
        <v>0</v>
      </c>
      <c r="K13" s="28">
        <f>'FS Seychelles'!AA14</f>
        <v>163</v>
      </c>
      <c r="L13" s="11">
        <f t="shared" si="3"/>
        <v>0</v>
      </c>
      <c r="M13" s="41">
        <f>'FS Seychelles'!B14</f>
        <v>55.8</v>
      </c>
    </row>
    <row r="14" spans="1:13" s="15" customFormat="1">
      <c r="A14" s="1" t="s">
        <v>13</v>
      </c>
      <c r="B14" s="14">
        <f t="shared" si="0"/>
        <v>13</v>
      </c>
      <c r="C14" s="11">
        <f t="shared" si="1"/>
        <v>11</v>
      </c>
      <c r="D14" s="1">
        <v>2022</v>
      </c>
      <c r="E14" s="12">
        <f>SUM('FS Seychelles'!D15:I15)*1000</f>
        <v>19530</v>
      </c>
      <c r="F14" s="11">
        <f>(('FS Seychelles'!O15*'FS Seychelles'!P15)+('FS Seychelles'!Q15*'FS Seychelles'!R15))/TOTAL!E14</f>
        <v>0.67130115156132042</v>
      </c>
      <c r="G14" s="12">
        <f>('FS Seychelles'!$Z$10+'FS Seychelles'!$Z$15)/30</f>
        <v>295.66666666666669</v>
      </c>
      <c r="H14" s="11">
        <f t="shared" si="2"/>
        <v>1.05</v>
      </c>
      <c r="I14" s="12">
        <f>SUM('FS Seychelles'!S15:W15)</f>
        <v>219</v>
      </c>
      <c r="J14" s="11">
        <f t="shared" si="3"/>
        <v>0</v>
      </c>
      <c r="K14" s="28">
        <f>'FS Seychelles'!AA15</f>
        <v>102</v>
      </c>
      <c r="L14" s="11">
        <f t="shared" si="3"/>
        <v>0</v>
      </c>
      <c r="M14" s="41">
        <f>'FS Seychelles'!B15</f>
        <v>63.6</v>
      </c>
    </row>
    <row r="15" spans="1:13" s="15" customFormat="1">
      <c r="A15" s="1" t="s">
        <v>13</v>
      </c>
      <c r="B15" s="14">
        <f t="shared" si="0"/>
        <v>14</v>
      </c>
      <c r="C15" s="11">
        <f t="shared" si="1"/>
        <v>11</v>
      </c>
      <c r="D15" s="1">
        <v>2022</v>
      </c>
      <c r="E15" s="12">
        <f>SUM('FS Seychelles'!D16:I16)*1000</f>
        <v>19580</v>
      </c>
      <c r="F15" s="11">
        <f>(('FS Seychelles'!O16*'FS Seychelles'!P16)+('FS Seychelles'!Q16*'FS Seychelles'!R16))/TOTAL!E15</f>
        <v>0.69123930183974669</v>
      </c>
      <c r="G15" s="12">
        <f>('FS Seychelles'!$Z$10+'FS Seychelles'!$Z$15)/30</f>
        <v>295.66666666666669</v>
      </c>
      <c r="H15" s="11">
        <f t="shared" si="2"/>
        <v>1.05</v>
      </c>
      <c r="I15" s="12">
        <f>SUM('FS Seychelles'!S16:W16)</f>
        <v>177</v>
      </c>
      <c r="J15" s="11">
        <f t="shared" si="3"/>
        <v>0</v>
      </c>
      <c r="K15" s="28">
        <f>'FS Seychelles'!AA16</f>
        <v>91</v>
      </c>
      <c r="L15" s="11">
        <f t="shared" si="3"/>
        <v>0</v>
      </c>
      <c r="M15" s="41">
        <f>'FS Seychelles'!B16</f>
        <v>49.4</v>
      </c>
    </row>
    <row r="16" spans="1:13" s="15" customFormat="1">
      <c r="A16" s="1" t="s">
        <v>13</v>
      </c>
      <c r="B16" s="14">
        <f t="shared" si="0"/>
        <v>15</v>
      </c>
      <c r="C16" s="11">
        <f t="shared" si="1"/>
        <v>11</v>
      </c>
      <c r="D16" s="1">
        <v>2022</v>
      </c>
      <c r="E16" s="12">
        <f>SUM('FS Seychelles'!D17:I17)*1000</f>
        <v>20280</v>
      </c>
      <c r="F16" s="11">
        <f>(('FS Seychelles'!O17*'FS Seychelles'!P17)+('FS Seychelles'!Q17*'FS Seychelles'!R17))/TOTAL!E16</f>
        <v>0.64726545194555696</v>
      </c>
      <c r="G16" s="12">
        <f>('FS Seychelles'!$Z$10+'FS Seychelles'!$Z$15)/30</f>
        <v>295.66666666666669</v>
      </c>
      <c r="H16" s="11">
        <f t="shared" si="2"/>
        <v>1.05</v>
      </c>
      <c r="I16" s="12">
        <f>SUM('FS Seychelles'!S17:W17)</f>
        <v>236</v>
      </c>
      <c r="J16" s="11">
        <f t="shared" si="3"/>
        <v>0</v>
      </c>
      <c r="K16" s="28">
        <f>'FS Seychelles'!AA17</f>
        <v>124</v>
      </c>
      <c r="L16" s="11">
        <f t="shared" si="3"/>
        <v>0</v>
      </c>
      <c r="M16" s="41">
        <f>'FS Seychelles'!B17</f>
        <v>51.9</v>
      </c>
    </row>
    <row r="17" spans="1:13" s="15" customFormat="1">
      <c r="A17" s="1" t="s">
        <v>13</v>
      </c>
      <c r="B17" s="14">
        <f t="shared" si="0"/>
        <v>16</v>
      </c>
      <c r="C17" s="11">
        <f t="shared" si="1"/>
        <v>11</v>
      </c>
      <c r="D17" s="1">
        <v>2022</v>
      </c>
      <c r="E17" s="12">
        <f>SUM('FS Seychelles'!D18:I18)*1000</f>
        <v>20120</v>
      </c>
      <c r="F17" s="11">
        <f>(('FS Seychelles'!O18*'FS Seychelles'!P18)+('FS Seychelles'!Q18*'FS Seychelles'!R18))/TOTAL!E17</f>
        <v>0.66330246836254536</v>
      </c>
      <c r="G17" s="12">
        <f>('FS Seychelles'!$Z$10+'FS Seychelles'!$Z$15)/30</f>
        <v>295.66666666666669</v>
      </c>
      <c r="H17" s="11">
        <f t="shared" si="2"/>
        <v>1.05</v>
      </c>
      <c r="I17" s="12">
        <f>SUM('FS Seychelles'!S18:W18)</f>
        <v>239</v>
      </c>
      <c r="J17" s="11">
        <f t="shared" si="3"/>
        <v>0</v>
      </c>
      <c r="K17" s="28">
        <f>'FS Seychelles'!AA18</f>
        <v>128</v>
      </c>
      <c r="L17" s="11">
        <f t="shared" si="3"/>
        <v>0</v>
      </c>
      <c r="M17" s="41">
        <f>'FS Seychelles'!B18</f>
        <v>54.5</v>
      </c>
    </row>
    <row r="18" spans="1:13" s="15" customFormat="1">
      <c r="A18" s="1" t="s">
        <v>13</v>
      </c>
      <c r="B18" s="14">
        <f t="shared" si="0"/>
        <v>17</v>
      </c>
      <c r="C18" s="11">
        <f t="shared" si="1"/>
        <v>11</v>
      </c>
      <c r="D18" s="1">
        <v>2022</v>
      </c>
      <c r="E18" s="12">
        <f>SUM('FS Seychelles'!D19:I19)*1000</f>
        <v>20610</v>
      </c>
      <c r="F18" s="11">
        <f>(('FS Seychelles'!O19*'FS Seychelles'!P19)+('FS Seychelles'!Q19*'FS Seychelles'!R19))/TOTAL!E18</f>
        <v>0.69256249979768292</v>
      </c>
      <c r="G18" s="12">
        <f>('FS Seychelles'!$Z$10+'FS Seychelles'!$Z$15)/30</f>
        <v>295.66666666666669</v>
      </c>
      <c r="H18" s="11">
        <f t="shared" si="2"/>
        <v>1.05</v>
      </c>
      <c r="I18" s="12">
        <f>SUM('FS Seychelles'!S19:W19)</f>
        <v>260</v>
      </c>
      <c r="J18" s="11">
        <f t="shared" si="3"/>
        <v>0</v>
      </c>
      <c r="K18" s="28">
        <f>'FS Seychelles'!AA19</f>
        <v>133</v>
      </c>
      <c r="L18" s="11">
        <f t="shared" si="3"/>
        <v>0</v>
      </c>
      <c r="M18" s="41">
        <f>'FS Seychelles'!B19</f>
        <v>66.2</v>
      </c>
    </row>
    <row r="19" spans="1:13" s="15" customFormat="1">
      <c r="A19" s="1" t="s">
        <v>13</v>
      </c>
      <c r="B19" s="14">
        <f t="shared" si="0"/>
        <v>18</v>
      </c>
      <c r="C19" s="11">
        <f t="shared" si="1"/>
        <v>11</v>
      </c>
      <c r="D19" s="1">
        <v>2022</v>
      </c>
      <c r="E19" s="12">
        <f>SUM('FS Seychelles'!D20:I20)*1000</f>
        <v>21160.000000000004</v>
      </c>
      <c r="F19" s="11">
        <f>(('FS Seychelles'!O20*'FS Seychelles'!P20)+('FS Seychelles'!Q20*'FS Seychelles'!R20))/TOTAL!E19</f>
        <v>0.6882829961562229</v>
      </c>
      <c r="G19" s="12">
        <f>('FS Seychelles'!$Z$10+'FS Seychelles'!$Z$15)/30</f>
        <v>295.66666666666669</v>
      </c>
      <c r="H19" s="11">
        <f t="shared" si="2"/>
        <v>1.05</v>
      </c>
      <c r="I19" s="12">
        <f>SUM('FS Seychelles'!S20:W20)</f>
        <v>234</v>
      </c>
      <c r="J19" s="11">
        <f t="shared" si="3"/>
        <v>0</v>
      </c>
      <c r="K19" s="28">
        <f>'FS Seychelles'!AA20</f>
        <v>115</v>
      </c>
      <c r="L19" s="11">
        <f t="shared" si="3"/>
        <v>0</v>
      </c>
      <c r="M19" s="41">
        <f>'FS Seychelles'!B20</f>
        <v>57.1</v>
      </c>
    </row>
    <row r="20" spans="1:13" s="15" customFormat="1">
      <c r="A20" s="1" t="s">
        <v>13</v>
      </c>
      <c r="B20" s="14">
        <f t="shared" si="0"/>
        <v>19</v>
      </c>
      <c r="C20" s="11">
        <f t="shared" si="1"/>
        <v>11</v>
      </c>
      <c r="D20" s="1">
        <v>2022</v>
      </c>
      <c r="E20" s="12">
        <f>SUM('FS Seychelles'!D21:I21)*1000</f>
        <v>20389.999999999996</v>
      </c>
      <c r="F20" s="11">
        <f>(('FS Seychelles'!O21*'FS Seychelles'!P21)+('FS Seychelles'!Q21*'FS Seychelles'!R21))/TOTAL!E20</f>
        <v>0.70545144333386312</v>
      </c>
      <c r="G20" s="12">
        <f>('FS Seychelles'!$Z$10+'FS Seychelles'!$Z$15)/30</f>
        <v>295.66666666666669</v>
      </c>
      <c r="H20" s="11">
        <f t="shared" si="2"/>
        <v>1.05</v>
      </c>
      <c r="I20" s="12">
        <f>SUM('FS Seychelles'!S21:W21)</f>
        <v>251</v>
      </c>
      <c r="J20" s="11">
        <f t="shared" si="3"/>
        <v>0</v>
      </c>
      <c r="K20" s="28">
        <f>'FS Seychelles'!AA21</f>
        <v>7</v>
      </c>
      <c r="L20" s="11">
        <f t="shared" si="3"/>
        <v>0</v>
      </c>
      <c r="M20" s="41">
        <f>'FS Seychelles'!B21</f>
        <v>61</v>
      </c>
    </row>
    <row r="21" spans="1:13" s="15" customFormat="1">
      <c r="A21" s="1" t="s">
        <v>13</v>
      </c>
      <c r="B21" s="14">
        <f t="shared" si="0"/>
        <v>20</v>
      </c>
      <c r="C21" s="11">
        <f t="shared" si="1"/>
        <v>11</v>
      </c>
      <c r="D21" s="1">
        <v>2022</v>
      </c>
      <c r="E21" s="12">
        <f>SUM('FS Seychelles'!D22:I22)*1000</f>
        <v>19669.999999999996</v>
      </c>
      <c r="F21" s="11">
        <f>(('FS Seychelles'!O22*'FS Seychelles'!P22)+('FS Seychelles'!Q22*'FS Seychelles'!R22))/TOTAL!E21</f>
        <v>0.64515099587975522</v>
      </c>
      <c r="G21" s="12">
        <f>('FS Seychelles'!$Z$10+'FS Seychelles'!$Z$15)/30</f>
        <v>295.66666666666669</v>
      </c>
      <c r="H21" s="11">
        <f t="shared" si="2"/>
        <v>1.05</v>
      </c>
      <c r="I21" s="12">
        <f>SUM('FS Seychelles'!S22:W22)</f>
        <v>218</v>
      </c>
      <c r="J21" s="11">
        <f t="shared" si="3"/>
        <v>0</v>
      </c>
      <c r="K21" s="28">
        <f>'FS Seychelles'!AA22</f>
        <v>-53520</v>
      </c>
      <c r="L21" s="11">
        <f t="shared" si="3"/>
        <v>0</v>
      </c>
      <c r="M21" s="41">
        <f>'FS Seychelles'!B22</f>
        <v>63.6</v>
      </c>
    </row>
    <row r="22" spans="1:13" s="15" customFormat="1">
      <c r="A22" s="1" t="s">
        <v>13</v>
      </c>
      <c r="B22" s="14">
        <f t="shared" si="0"/>
        <v>21</v>
      </c>
      <c r="C22" s="11">
        <f t="shared" si="1"/>
        <v>11</v>
      </c>
      <c r="D22" s="1">
        <v>2022</v>
      </c>
      <c r="E22" s="12">
        <f>SUM('FS Seychelles'!D23:I23)*1000</f>
        <v>18669.999999999996</v>
      </c>
      <c r="F22" s="11">
        <f>(('FS Seychelles'!O23*'FS Seychelles'!P23)+('FS Seychelles'!Q23*'FS Seychelles'!R23))/TOTAL!E22</f>
        <v>0.6787523778251503</v>
      </c>
      <c r="G22" s="12">
        <f>('FS Seychelles'!$Z$10+'FS Seychelles'!$Z$15)/30</f>
        <v>295.66666666666669</v>
      </c>
      <c r="H22" s="11">
        <f t="shared" si="2"/>
        <v>1.05</v>
      </c>
      <c r="I22" s="12">
        <f>SUM('FS Seychelles'!S23:W23)</f>
        <v>233</v>
      </c>
      <c r="J22" s="11">
        <f t="shared" si="3"/>
        <v>0</v>
      </c>
      <c r="K22" s="28">
        <f>'FS Seychelles'!AA23</f>
        <v>0</v>
      </c>
      <c r="L22" s="11">
        <f t="shared" si="3"/>
        <v>0</v>
      </c>
      <c r="M22" s="41">
        <f>'FS Seychelles'!B23</f>
        <v>62.3</v>
      </c>
    </row>
    <row r="23" spans="1:13" s="15" customFormat="1">
      <c r="A23" s="1" t="s">
        <v>13</v>
      </c>
      <c r="B23" s="14">
        <f t="shared" si="0"/>
        <v>22</v>
      </c>
      <c r="C23" s="11">
        <f t="shared" si="1"/>
        <v>11</v>
      </c>
      <c r="D23" s="1">
        <v>2022</v>
      </c>
      <c r="E23" s="12">
        <f>SUM('FS Seychelles'!D24:I24)*1000</f>
        <v>18910</v>
      </c>
      <c r="F23" s="11">
        <f>(('FS Seychelles'!O24*'FS Seychelles'!P24)+('FS Seychelles'!Q24*'FS Seychelles'!R24))/TOTAL!E23</f>
        <v>0.73692556407217835</v>
      </c>
      <c r="G23" s="12">
        <f>('FS Seychelles'!$Z$10+'FS Seychelles'!$Z$15)/30</f>
        <v>295.66666666666669</v>
      </c>
      <c r="H23" s="11">
        <f t="shared" si="2"/>
        <v>1.05</v>
      </c>
      <c r="I23" s="12">
        <f>SUM('FS Seychelles'!S24:W24)</f>
        <v>201</v>
      </c>
      <c r="J23" s="11">
        <f t="shared" si="3"/>
        <v>0</v>
      </c>
      <c r="K23" s="28">
        <f>'FS Seychelles'!AA24</f>
        <v>0</v>
      </c>
      <c r="L23" s="11">
        <f t="shared" si="3"/>
        <v>0</v>
      </c>
      <c r="M23" s="41">
        <f>'FS Seychelles'!B24</f>
        <v>63.6</v>
      </c>
    </row>
    <row r="24" spans="1:13" s="15" customFormat="1">
      <c r="A24" s="1" t="s">
        <v>13</v>
      </c>
      <c r="B24" s="14">
        <f t="shared" si="0"/>
        <v>23</v>
      </c>
      <c r="C24" s="11">
        <f t="shared" si="1"/>
        <v>11</v>
      </c>
      <c r="D24" s="1">
        <v>2022</v>
      </c>
      <c r="E24" s="12">
        <f>SUM('FS Seychelles'!D25:I25)*1000</f>
        <v>20130.000000000004</v>
      </c>
      <c r="F24" s="11">
        <f>(('FS Seychelles'!O25*'FS Seychelles'!P25)+('FS Seychelles'!Q25*'FS Seychelles'!R25))/TOTAL!E24</f>
        <v>0.67191052819387098</v>
      </c>
      <c r="G24" s="12">
        <f>('FS Seychelles'!$Z$10+'FS Seychelles'!$Z$15)/30</f>
        <v>295.66666666666669</v>
      </c>
      <c r="H24" s="11">
        <f t="shared" si="2"/>
        <v>1.05</v>
      </c>
      <c r="I24" s="12">
        <f>SUM('FS Seychelles'!S25:W25)</f>
        <v>211</v>
      </c>
      <c r="J24" s="11">
        <f t="shared" si="3"/>
        <v>0</v>
      </c>
      <c r="K24" s="28">
        <f>'FS Seychelles'!AA25</f>
        <v>0</v>
      </c>
      <c r="L24" s="11">
        <f t="shared" si="3"/>
        <v>0</v>
      </c>
      <c r="M24" s="41">
        <f>'FS Seychelles'!B25</f>
        <v>64.900000000000006</v>
      </c>
    </row>
    <row r="25" spans="1:13" s="15" customFormat="1">
      <c r="A25" s="1" t="s">
        <v>13</v>
      </c>
      <c r="B25" s="14">
        <f t="shared" si="0"/>
        <v>24</v>
      </c>
      <c r="C25" s="11">
        <f t="shared" si="1"/>
        <v>11</v>
      </c>
      <c r="D25" s="1">
        <v>2022</v>
      </c>
      <c r="E25" s="12">
        <f>SUM('FS Seychelles'!D26:I26)*1000</f>
        <v>20029.999999999996</v>
      </c>
      <c r="F25" s="11">
        <f>(('FS Seychelles'!O26*'FS Seychelles'!P26)+('FS Seychelles'!Q26*'FS Seychelles'!R26))/TOTAL!E25</f>
        <v>0.71661869686204593</v>
      </c>
      <c r="G25" s="12">
        <f>('FS Seychelles'!$Z$10+'FS Seychelles'!$Z$15)/30</f>
        <v>295.66666666666669</v>
      </c>
      <c r="H25" s="11">
        <f t="shared" si="2"/>
        <v>1.05</v>
      </c>
      <c r="I25" s="12">
        <f>SUM('FS Seychelles'!S26:W26)</f>
        <v>218</v>
      </c>
      <c r="J25" s="11">
        <f t="shared" si="3"/>
        <v>0</v>
      </c>
      <c r="K25" s="28">
        <f>'FS Seychelles'!AA26</f>
        <v>95</v>
      </c>
      <c r="L25" s="11">
        <f t="shared" si="3"/>
        <v>0</v>
      </c>
      <c r="M25" s="41">
        <f>'FS Seychelles'!B26</f>
        <v>74</v>
      </c>
    </row>
    <row r="26" spans="1:13" s="15" customFormat="1">
      <c r="A26" s="1" t="s">
        <v>13</v>
      </c>
      <c r="B26" s="14">
        <f>B25+1</f>
        <v>25</v>
      </c>
      <c r="C26" s="11">
        <f t="shared" si="1"/>
        <v>11</v>
      </c>
      <c r="D26" s="1">
        <v>2022</v>
      </c>
      <c r="E26" s="12">
        <f>SUM('FS Seychelles'!D27:I27)*1000</f>
        <v>19390</v>
      </c>
      <c r="F26" s="11">
        <f>(('FS Seychelles'!O27*'FS Seychelles'!P27)+('FS Seychelles'!Q27*'FS Seychelles'!R27))/TOTAL!E26</f>
        <v>0.72722666991880991</v>
      </c>
      <c r="G26" s="12">
        <f>('FS Seychelles'!$Z$10+'FS Seychelles'!$Z$15)/30</f>
        <v>295.66666666666669</v>
      </c>
      <c r="H26" s="11">
        <f t="shared" si="2"/>
        <v>1.05</v>
      </c>
      <c r="I26" s="12">
        <f>SUM('FS Seychelles'!S27:W27)</f>
        <v>212</v>
      </c>
      <c r="J26" s="11">
        <f t="shared" si="3"/>
        <v>0</v>
      </c>
      <c r="K26" s="28">
        <f>'FS Seychelles'!AA27</f>
        <v>113</v>
      </c>
      <c r="L26" s="11">
        <f t="shared" si="3"/>
        <v>0</v>
      </c>
      <c r="M26" s="41">
        <f>'FS Seychelles'!B27</f>
        <v>62.3</v>
      </c>
    </row>
    <row r="27" spans="1:13" s="15" customFormat="1">
      <c r="A27" s="1" t="s">
        <v>13</v>
      </c>
      <c r="B27" s="14">
        <f t="shared" si="0"/>
        <v>26</v>
      </c>
      <c r="C27" s="11">
        <f t="shared" si="1"/>
        <v>11</v>
      </c>
      <c r="D27" s="1">
        <v>2022</v>
      </c>
      <c r="E27" s="12">
        <f>SUM('FS Seychelles'!D28:I28)*1000</f>
        <v>20500</v>
      </c>
      <c r="F27" s="11">
        <f>(('FS Seychelles'!O28*'FS Seychelles'!P28)+('FS Seychelles'!Q28*'FS Seychelles'!R28))/TOTAL!E27</f>
        <v>0.41700254931385494</v>
      </c>
      <c r="G27" s="12">
        <f>('FS Seychelles'!$Z$10+'FS Seychelles'!$Z$15)/30</f>
        <v>295.66666666666669</v>
      </c>
      <c r="H27" s="11">
        <f t="shared" si="2"/>
        <v>1.05</v>
      </c>
      <c r="I27" s="12">
        <f>SUM('FS Seychelles'!S28:W28)</f>
        <v>268</v>
      </c>
      <c r="J27" s="11">
        <f t="shared" si="3"/>
        <v>0</v>
      </c>
      <c r="K27" s="28">
        <f>'FS Seychelles'!AA28</f>
        <v>102</v>
      </c>
      <c r="L27" s="11">
        <f t="shared" si="3"/>
        <v>0</v>
      </c>
      <c r="M27" s="41">
        <f>'FS Seychelles'!B28</f>
        <v>53.2</v>
      </c>
    </row>
    <row r="28" spans="1:13" s="15" customFormat="1">
      <c r="A28" s="1" t="s">
        <v>13</v>
      </c>
      <c r="B28" s="14">
        <f t="shared" si="0"/>
        <v>27</v>
      </c>
      <c r="C28" s="11">
        <f t="shared" si="1"/>
        <v>11</v>
      </c>
      <c r="D28" s="1">
        <v>2022</v>
      </c>
      <c r="E28" s="12">
        <f>SUM('FS Seychelles'!D29:I29)*1000</f>
        <v>21119.999999999996</v>
      </c>
      <c r="F28" s="11">
        <f>(('FS Seychelles'!O29*'FS Seychelles'!P29)+('FS Seychelles'!Q29*'FS Seychelles'!R29))/TOTAL!E28</f>
        <v>0.62919713255610232</v>
      </c>
      <c r="G28" s="12">
        <f>('FS Seychelles'!$Z$10+'FS Seychelles'!$Z$15)/30</f>
        <v>295.66666666666669</v>
      </c>
      <c r="H28" s="11">
        <f t="shared" si="2"/>
        <v>1.05</v>
      </c>
      <c r="I28" s="12">
        <f>SUM('FS Seychelles'!S29:W29)</f>
        <v>239</v>
      </c>
      <c r="J28" s="11">
        <f t="shared" si="3"/>
        <v>0</v>
      </c>
      <c r="K28" s="28">
        <f>'FS Seychelles'!AA29</f>
        <v>143</v>
      </c>
      <c r="L28" s="11">
        <f t="shared" si="3"/>
        <v>0</v>
      </c>
      <c r="M28" s="41">
        <f>'FS Seychelles'!B29</f>
        <v>64.900000000000006</v>
      </c>
    </row>
    <row r="29" spans="1:13" s="15" customFormat="1">
      <c r="A29" s="1" t="s">
        <v>13</v>
      </c>
      <c r="B29" s="14">
        <f t="shared" si="0"/>
        <v>28</v>
      </c>
      <c r="C29" s="11">
        <f t="shared" si="1"/>
        <v>11</v>
      </c>
      <c r="D29" s="1">
        <v>2022</v>
      </c>
      <c r="E29" s="12">
        <f>SUM('FS Seychelles'!D30:I30)*1000</f>
        <v>21880</v>
      </c>
      <c r="F29" s="11">
        <f>(('FS Seychelles'!O30*'FS Seychelles'!P30)+('FS Seychelles'!Q30*'FS Seychelles'!R30))/TOTAL!E29</f>
        <v>0.66555241678106747</v>
      </c>
      <c r="G29" s="12">
        <f>('FS Seychelles'!$Z$10+'FS Seychelles'!$Z$15)/30</f>
        <v>295.66666666666669</v>
      </c>
      <c r="H29" s="11">
        <f t="shared" si="2"/>
        <v>1.05</v>
      </c>
      <c r="I29" s="12">
        <f>SUM('FS Seychelles'!S30:W30)</f>
        <v>277</v>
      </c>
      <c r="J29" s="11">
        <f t="shared" si="3"/>
        <v>0</v>
      </c>
      <c r="K29" s="28">
        <f>'FS Seychelles'!AA30</f>
        <v>133</v>
      </c>
      <c r="L29" s="11">
        <f t="shared" si="3"/>
        <v>0</v>
      </c>
      <c r="M29" s="41">
        <f>'FS Seychelles'!B30</f>
        <v>58.4</v>
      </c>
    </row>
    <row r="30" spans="1:13" s="15" customFormat="1">
      <c r="A30" s="1" t="s">
        <v>13</v>
      </c>
      <c r="B30" s="14">
        <f t="shared" si="0"/>
        <v>29</v>
      </c>
      <c r="C30" s="11">
        <f t="shared" si="1"/>
        <v>11</v>
      </c>
      <c r="D30" s="1">
        <v>2022</v>
      </c>
      <c r="E30" s="12">
        <f>SUM('FS Seychelles'!D31:I31)*1000</f>
        <v>21160</v>
      </c>
      <c r="F30" s="11">
        <f>(('FS Seychelles'!O31*'FS Seychelles'!P31)+('FS Seychelles'!Q31*'FS Seychelles'!R31))/TOTAL!E30</f>
        <v>0.65183160949579677</v>
      </c>
      <c r="G30" s="12">
        <f>('FS Seychelles'!$Z$10+'FS Seychelles'!$Z$15)/30</f>
        <v>295.66666666666669</v>
      </c>
      <c r="H30" s="11">
        <f t="shared" si="2"/>
        <v>1.05</v>
      </c>
      <c r="I30" s="12">
        <f>SUM('FS Seychelles'!S31:W31)</f>
        <v>176</v>
      </c>
      <c r="J30" s="11">
        <f t="shared" si="3"/>
        <v>0</v>
      </c>
      <c r="K30" s="28">
        <f>'FS Seychelles'!AA31</f>
        <v>115</v>
      </c>
      <c r="L30" s="11">
        <f t="shared" si="3"/>
        <v>0</v>
      </c>
      <c r="M30" s="41">
        <f>'FS Seychelles'!B31</f>
        <v>50.9</v>
      </c>
    </row>
    <row r="31" spans="1:13" s="13" customFormat="1">
      <c r="A31" s="1" t="s">
        <v>13</v>
      </c>
      <c r="B31" s="14">
        <f t="shared" si="0"/>
        <v>30</v>
      </c>
      <c r="C31" s="11">
        <f t="shared" si="1"/>
        <v>11</v>
      </c>
      <c r="D31" s="1">
        <v>2022</v>
      </c>
      <c r="E31" s="12">
        <f>SUM('FS Seychelles'!D32:I32)*1000</f>
        <v>0</v>
      </c>
      <c r="F31" s="11" t="e">
        <f>(('FS Seychelles'!O32*'FS Seychelles'!P32)+('FS Seychelles'!Q32*'FS Seychelles'!R32))/TOTAL!E31</f>
        <v>#DIV/0!</v>
      </c>
      <c r="G31" s="12">
        <f>('FS Seychelles'!$Z$10+'FS Seychelles'!$Z$15)/30</f>
        <v>295.66666666666669</v>
      </c>
      <c r="H31" s="11">
        <f t="shared" si="2"/>
        <v>1.05</v>
      </c>
      <c r="I31" s="12">
        <f>SUM('FS Seychelles'!S32:W32)</f>
        <v>0</v>
      </c>
      <c r="J31" s="11">
        <f t="shared" si="3"/>
        <v>0</v>
      </c>
      <c r="K31" s="28">
        <f>'FS Seychelles'!AA32</f>
        <v>-54273</v>
      </c>
      <c r="L31" s="11">
        <f t="shared" si="3"/>
        <v>0</v>
      </c>
      <c r="M31" s="41">
        <f>'FS Seychelles'!B32</f>
        <v>0</v>
      </c>
    </row>
    <row r="32" spans="1:13">
      <c r="A32" s="1" t="s">
        <v>13</v>
      </c>
      <c r="B32" s="14"/>
      <c r="C32" s="11"/>
      <c r="E32" s="12"/>
      <c r="F32" s="11"/>
      <c r="G32" s="12"/>
      <c r="H32" s="11"/>
      <c r="I32" s="12"/>
      <c r="J32" s="11"/>
      <c r="K32" s="28"/>
      <c r="L32" s="11"/>
      <c r="M32" s="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5"/>
  <sheetViews>
    <sheetView topLeftCell="A14" workbookViewId="0">
      <selection activeCell="J38" sqref="J38"/>
    </sheetView>
  </sheetViews>
  <sheetFormatPr defaultColWidth="11.5703125" defaultRowHeight="14.45"/>
  <cols>
    <col min="1" max="1" width="22.28515625" style="25" bestFit="1" customWidth="1"/>
    <col min="2" max="3" width="11.5703125" style="11"/>
    <col min="4" max="4" width="13.42578125" style="11" customWidth="1"/>
    <col min="5" max="16" width="12.5703125" style="18" customWidth="1"/>
    <col min="17" max="17" width="12.28515625" style="18" bestFit="1" customWidth="1"/>
    <col min="18" max="18" width="12.28515625" style="18" customWidth="1"/>
    <col min="19" max="19" width="12.5703125" style="18" customWidth="1"/>
    <col min="20" max="24" width="16.5703125" style="18" customWidth="1"/>
  </cols>
  <sheetData>
    <row r="1" spans="1:24" s="9" customFormat="1" ht="30.75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6</v>
      </c>
    </row>
    <row r="2" spans="1:24" ht="15">
      <c r="A2" s="1" t="s">
        <v>13</v>
      </c>
      <c r="B2" s="11">
        <v>1</v>
      </c>
      <c r="C2" s="11">
        <v>11</v>
      </c>
      <c r="D2" s="11">
        <v>2022</v>
      </c>
      <c r="E2" s="18">
        <f>'FS Seychelles'!B3</f>
        <v>68.8</v>
      </c>
      <c r="F2" s="18">
        <f>'FS Seychelles'!D3*1000</f>
        <v>2880</v>
      </c>
      <c r="G2" s="18">
        <f>'FS Seychelles'!E3*1000</f>
        <v>4540</v>
      </c>
      <c r="H2" s="18">
        <f>'FS Seychelles'!F3*1000</f>
        <v>5440</v>
      </c>
      <c r="I2" s="18">
        <f>'FS Seychelles'!G3*1000</f>
        <v>1450</v>
      </c>
      <c r="J2" s="18">
        <f>'FS Seychelles'!H3*1000</f>
        <v>1450</v>
      </c>
      <c r="K2" s="18">
        <f>'FS Seychelles'!I3*1000</f>
        <v>3960</v>
      </c>
      <c r="L2" s="18">
        <f>'FS Seychelles'!J3</f>
        <v>7113</v>
      </c>
      <c r="M2" s="18">
        <f>'FS Seychelles'!K3</f>
        <v>15674</v>
      </c>
      <c r="N2" s="18">
        <f>'FS Seychelles'!L3</f>
        <v>10502</v>
      </c>
      <c r="O2" s="18">
        <f>'FS Seychelles'!M3</f>
        <v>2301</v>
      </c>
      <c r="P2" s="18">
        <f>'FS Seychelles'!N3</f>
        <v>0</v>
      </c>
      <c r="Q2" s="18">
        <f>'FS Seychelles'!O3</f>
        <v>7865</v>
      </c>
      <c r="R2" s="18">
        <f>'FS Seychelles'!Q3</f>
        <v>0</v>
      </c>
      <c r="S2" s="18">
        <f>'FS Seychelles'!S3</f>
        <v>46</v>
      </c>
      <c r="T2" s="18">
        <f>'FS Seychelles'!T3</f>
        <v>18</v>
      </c>
      <c r="U2" s="18">
        <f>'FS Seychelles'!U3</f>
        <v>103</v>
      </c>
      <c r="V2" s="18">
        <f>'FS Seychelles'!V3</f>
        <v>102</v>
      </c>
      <c r="W2" s="18">
        <f>'FS Seychelles'!W3</f>
        <v>0</v>
      </c>
      <c r="X2" s="18">
        <f>('FS Seychelles'!Z9+'FS Seychelles'!Z15)/30</f>
        <v>295.66666666666669</v>
      </c>
    </row>
    <row r="3" spans="1:24" ht="15">
      <c r="A3" s="1" t="s">
        <v>13</v>
      </c>
      <c r="B3" s="11">
        <f>B2+1</f>
        <v>2</v>
      </c>
      <c r="C3" s="11">
        <f>C2</f>
        <v>11</v>
      </c>
      <c r="D3" s="11">
        <v>2022</v>
      </c>
      <c r="E3" s="18">
        <f>'FS Seychelles'!B4</f>
        <v>71.400000000000006</v>
      </c>
      <c r="F3" s="18">
        <f>'FS Seychelles'!D4*1000</f>
        <v>2630</v>
      </c>
      <c r="G3" s="18">
        <f>'FS Seychelles'!E4*1000</f>
        <v>4240</v>
      </c>
      <c r="H3" s="18">
        <f>'FS Seychelles'!F4*1000</f>
        <v>5430</v>
      </c>
      <c r="I3" s="18">
        <f>'FS Seychelles'!G4*1000</f>
        <v>1430</v>
      </c>
      <c r="J3" s="18">
        <f>'FS Seychelles'!H4*1000</f>
        <v>1430</v>
      </c>
      <c r="K3" s="18">
        <f>'FS Seychelles'!I4*1000</f>
        <v>3880</v>
      </c>
      <c r="L3" s="18">
        <f>'FS Seychelles'!J4</f>
        <v>0</v>
      </c>
      <c r="M3" s="18">
        <f>'FS Seychelles'!K4</f>
        <v>9433</v>
      </c>
      <c r="N3" s="18">
        <f>'FS Seychelles'!L4</f>
        <v>9480</v>
      </c>
      <c r="O3" s="18">
        <f>'FS Seychelles'!M4</f>
        <v>5218</v>
      </c>
      <c r="P3" s="18">
        <f>'FS Seychelles'!N4</f>
        <v>9433</v>
      </c>
      <c r="Q3" s="18">
        <f>'FS Seychelles'!O4</f>
        <v>7424</v>
      </c>
      <c r="R3" s="18">
        <f>'FS Seychelles'!Q4</f>
        <v>0</v>
      </c>
      <c r="S3" s="18">
        <f>'FS Seychelles'!S4</f>
        <v>61</v>
      </c>
      <c r="T3" s="18">
        <f>'FS Seychelles'!T4</f>
        <v>3</v>
      </c>
      <c r="U3" s="18">
        <f>'FS Seychelles'!U4</f>
        <v>71</v>
      </c>
      <c r="V3" s="18">
        <f>'FS Seychelles'!V4</f>
        <v>103</v>
      </c>
      <c r="W3" s="18">
        <f>'FS Seychelles'!W4</f>
        <v>0</v>
      </c>
      <c r="X3" s="18">
        <f>('FS Seychelles'!Z10+'FS Seychelles'!Z16)/30</f>
        <v>0</v>
      </c>
    </row>
    <row r="4" spans="1:24" ht="15">
      <c r="A4" s="1" t="s">
        <v>13</v>
      </c>
      <c r="B4" s="11">
        <f t="shared" ref="B4:B32" si="0">B3+1</f>
        <v>3</v>
      </c>
      <c r="C4" s="11">
        <f t="shared" ref="C4:C32" si="1">C3</f>
        <v>11</v>
      </c>
      <c r="D4" s="11">
        <v>2022</v>
      </c>
      <c r="E4" s="18">
        <f>'FS Seychelles'!B5</f>
        <v>71.400000000000006</v>
      </c>
      <c r="F4" s="18">
        <f>'FS Seychelles'!D5*1000</f>
        <v>2900</v>
      </c>
      <c r="G4" s="18">
        <f>'FS Seychelles'!E5*1000</f>
        <v>4310</v>
      </c>
      <c r="H4" s="18">
        <f>'FS Seychelles'!F5*1000</f>
        <v>5420</v>
      </c>
      <c r="I4" s="18">
        <f>'FS Seychelles'!G5*1000</f>
        <v>1410</v>
      </c>
      <c r="J4" s="18">
        <f>'FS Seychelles'!H5*1000</f>
        <v>1410</v>
      </c>
      <c r="K4" s="18">
        <f>'FS Seychelles'!I5*1000</f>
        <v>3980</v>
      </c>
      <c r="L4" s="18">
        <f>'FS Seychelles'!J5</f>
        <v>0</v>
      </c>
      <c r="M4" s="18">
        <f>'FS Seychelles'!K5</f>
        <v>8437</v>
      </c>
      <c r="N4" s="18">
        <f>'FS Seychelles'!L5</f>
        <v>12258</v>
      </c>
      <c r="O4" s="18">
        <f>'FS Seychelles'!M5</f>
        <v>4105</v>
      </c>
      <c r="P4" s="18">
        <f>'FS Seychelles'!N5</f>
        <v>12130</v>
      </c>
      <c r="Q4" s="18">
        <f>'FS Seychelles'!O5</f>
        <v>8113</v>
      </c>
      <c r="R4" s="18">
        <f>'FS Seychelles'!Q5</f>
        <v>0</v>
      </c>
      <c r="S4" s="18">
        <f>'FS Seychelles'!S5</f>
        <v>66</v>
      </c>
      <c r="T4" s="18">
        <f>'FS Seychelles'!T5</f>
        <v>5</v>
      </c>
      <c r="U4" s="18">
        <f>'FS Seychelles'!U5</f>
        <v>109</v>
      </c>
      <c r="V4" s="18">
        <f>'FS Seychelles'!V5</f>
        <v>104</v>
      </c>
      <c r="W4" s="18">
        <f>'FS Seychelles'!W5</f>
        <v>0</v>
      </c>
      <c r="X4" s="18">
        <f>('FS Seychelles'!Z11+'FS Seychelles'!Z17)/30</f>
        <v>0</v>
      </c>
    </row>
    <row r="5" spans="1:24" ht="15">
      <c r="A5" s="1" t="s">
        <v>13</v>
      </c>
      <c r="B5" s="11">
        <f t="shared" si="0"/>
        <v>4</v>
      </c>
      <c r="C5" s="11">
        <f t="shared" si="1"/>
        <v>11</v>
      </c>
      <c r="D5" s="11">
        <v>2022</v>
      </c>
      <c r="E5" s="18">
        <f>'FS Seychelles'!B6</f>
        <v>74</v>
      </c>
      <c r="F5" s="18">
        <f>'FS Seychelles'!D6*1000</f>
        <v>2870</v>
      </c>
      <c r="G5" s="18">
        <f>'FS Seychelles'!E6*1000</f>
        <v>4510</v>
      </c>
      <c r="H5" s="18">
        <f>'FS Seychelles'!F6*1000</f>
        <v>5540</v>
      </c>
      <c r="I5" s="18">
        <f>'FS Seychelles'!G6*1000</f>
        <v>1440</v>
      </c>
      <c r="J5" s="18">
        <f>'FS Seychelles'!H6*1000</f>
        <v>1440</v>
      </c>
      <c r="K5" s="18">
        <f>'FS Seychelles'!I6*1000</f>
        <v>4019.9999999999995</v>
      </c>
      <c r="L5" s="18">
        <f>'FS Seychelles'!J6</f>
        <v>0</v>
      </c>
      <c r="M5" s="18">
        <f>'FS Seychelles'!K6</f>
        <v>9950</v>
      </c>
      <c r="N5" s="18">
        <f>'FS Seychelles'!L6</f>
        <v>11102</v>
      </c>
      <c r="O5" s="18">
        <f>'FS Seychelles'!M6</f>
        <v>4561</v>
      </c>
      <c r="P5" s="18">
        <f>'FS Seychelles'!N6</f>
        <v>11057</v>
      </c>
      <c r="Q5" s="18">
        <f>'FS Seychelles'!O6</f>
        <v>7881</v>
      </c>
      <c r="R5" s="18">
        <f>'FS Seychelles'!Q6</f>
        <v>0</v>
      </c>
      <c r="S5" s="18">
        <f>'FS Seychelles'!S6</f>
        <v>64</v>
      </c>
      <c r="T5" s="18">
        <f>'FS Seychelles'!T6</f>
        <v>4</v>
      </c>
      <c r="U5" s="18">
        <f>'FS Seychelles'!U6</f>
        <v>97</v>
      </c>
      <c r="V5" s="18">
        <f>'FS Seychelles'!V6</f>
        <v>76</v>
      </c>
      <c r="W5" s="18">
        <f>'FS Seychelles'!W6</f>
        <v>0</v>
      </c>
      <c r="X5" s="18">
        <f>('FS Seychelles'!Z12+'FS Seychelles'!Z18)/30</f>
        <v>0</v>
      </c>
    </row>
    <row r="6" spans="1:24" ht="15">
      <c r="A6" s="1" t="s">
        <v>13</v>
      </c>
      <c r="B6" s="11">
        <f t="shared" si="0"/>
        <v>5</v>
      </c>
      <c r="C6" s="11">
        <f t="shared" si="1"/>
        <v>11</v>
      </c>
      <c r="D6" s="11">
        <v>2022</v>
      </c>
      <c r="E6" s="18">
        <f>'FS Seychelles'!B7</f>
        <v>64.900000000000006</v>
      </c>
      <c r="F6" s="18">
        <f>'FS Seychelles'!D7*1000</f>
        <v>2790</v>
      </c>
      <c r="G6" s="18">
        <f>'FS Seychelles'!E7*1000</f>
        <v>4400</v>
      </c>
      <c r="H6" s="18">
        <f>'FS Seychelles'!F7*1000</f>
        <v>5660</v>
      </c>
      <c r="I6" s="18">
        <f>'FS Seychelles'!G7*1000</f>
        <v>1430</v>
      </c>
      <c r="J6" s="18">
        <f>'FS Seychelles'!H7*1000</f>
        <v>1430</v>
      </c>
      <c r="K6" s="18">
        <f>'FS Seychelles'!I7*1000</f>
        <v>3870</v>
      </c>
      <c r="L6" s="18">
        <f>'FS Seychelles'!J7</f>
        <v>0</v>
      </c>
      <c r="M6" s="18">
        <f>'FS Seychelles'!K7</f>
        <v>7759</v>
      </c>
      <c r="N6" s="18">
        <f>'FS Seychelles'!L7</f>
        <v>8406</v>
      </c>
      <c r="O6" s="18">
        <f>'FS Seychelles'!M7</f>
        <v>10187</v>
      </c>
      <c r="P6" s="18">
        <f>'FS Seychelles'!N7</f>
        <v>10263</v>
      </c>
      <c r="Q6" s="18">
        <f>'FS Seychelles'!O7</f>
        <v>8513</v>
      </c>
      <c r="R6" s="18">
        <f>'FS Seychelles'!Q7</f>
        <v>0</v>
      </c>
      <c r="S6" s="18">
        <f>'FS Seychelles'!S7</f>
        <v>63</v>
      </c>
      <c r="T6" s="18">
        <f>'FS Seychelles'!T7</f>
        <v>13</v>
      </c>
      <c r="U6" s="18">
        <f>'FS Seychelles'!U7</f>
        <v>83</v>
      </c>
      <c r="V6" s="18">
        <f>'FS Seychelles'!V7</f>
        <v>100</v>
      </c>
      <c r="W6" s="18">
        <f>'FS Seychelles'!W7</f>
        <v>0</v>
      </c>
      <c r="X6" s="18">
        <f>('FS Seychelles'!Z13+'FS Seychelles'!Z19)/30</f>
        <v>0</v>
      </c>
    </row>
    <row r="7" spans="1:24" ht="15">
      <c r="A7" s="1" t="s">
        <v>13</v>
      </c>
      <c r="B7" s="11">
        <f t="shared" si="0"/>
        <v>6</v>
      </c>
      <c r="C7" s="11">
        <f t="shared" si="1"/>
        <v>11</v>
      </c>
      <c r="D7" s="11">
        <v>2022</v>
      </c>
      <c r="E7" s="18">
        <f>'FS Seychelles'!B8</f>
        <v>68.8</v>
      </c>
      <c r="F7" s="18">
        <f>'FS Seychelles'!D8*1000</f>
        <v>2540</v>
      </c>
      <c r="G7" s="18">
        <f>'FS Seychelles'!E8*1000</f>
        <v>3910</v>
      </c>
      <c r="H7" s="18">
        <f>'FS Seychelles'!F8*1000</f>
        <v>5490</v>
      </c>
      <c r="I7" s="18">
        <f>'FS Seychelles'!G8*1000</f>
        <v>1330</v>
      </c>
      <c r="J7" s="18">
        <f>'FS Seychelles'!H8*1000</f>
        <v>1330</v>
      </c>
      <c r="K7" s="18">
        <f>'FS Seychelles'!I8*1000</f>
        <v>3590</v>
      </c>
      <c r="L7" s="18">
        <f>'FS Seychelles'!J8</f>
        <v>0</v>
      </c>
      <c r="M7" s="18">
        <f>'FS Seychelles'!K8</f>
        <v>5577</v>
      </c>
      <c r="N7" s="18">
        <f>'FS Seychelles'!L8</f>
        <v>10731</v>
      </c>
      <c r="O7" s="18">
        <f>'FS Seychelles'!M8</f>
        <v>5511</v>
      </c>
      <c r="P7" s="18">
        <f>'FS Seychelles'!N8</f>
        <v>10581</v>
      </c>
      <c r="Q7" s="18">
        <f>'FS Seychelles'!O8</f>
        <v>7195</v>
      </c>
      <c r="R7" s="18">
        <f>'FS Seychelles'!Q8</f>
        <v>0</v>
      </c>
      <c r="S7" s="18">
        <f>'FS Seychelles'!S8</f>
        <v>54</v>
      </c>
      <c r="T7" s="18">
        <f>'FS Seychelles'!T8</f>
        <v>9</v>
      </c>
      <c r="U7" s="18">
        <f>'FS Seychelles'!U8</f>
        <v>76</v>
      </c>
      <c r="V7" s="18">
        <f>'FS Seychelles'!V8</f>
        <v>82</v>
      </c>
      <c r="W7" s="18">
        <f>'FS Seychelles'!W8</f>
        <v>0</v>
      </c>
      <c r="X7" s="18">
        <f>('FS Seychelles'!Z14+'FS Seychelles'!Z20)/30</f>
        <v>0</v>
      </c>
    </row>
    <row r="8" spans="1:24" ht="15">
      <c r="A8" s="1" t="s">
        <v>13</v>
      </c>
      <c r="B8" s="11">
        <f t="shared" si="0"/>
        <v>7</v>
      </c>
      <c r="C8" s="11">
        <f t="shared" si="1"/>
        <v>11</v>
      </c>
      <c r="D8" s="11">
        <v>2022</v>
      </c>
      <c r="E8" s="18">
        <f>'FS Seychelles'!B9</f>
        <v>74</v>
      </c>
      <c r="F8" s="18">
        <f>'FS Seychelles'!D9*1000</f>
        <v>2640</v>
      </c>
      <c r="G8" s="18">
        <f>'FS Seychelles'!E9*1000</f>
        <v>4220</v>
      </c>
      <c r="H8" s="18">
        <f>'FS Seychelles'!F9*1000</f>
        <v>5640</v>
      </c>
      <c r="I8" s="18">
        <f>'FS Seychelles'!G9*1000</f>
        <v>1440</v>
      </c>
      <c r="J8" s="18">
        <f>'FS Seychelles'!H9*1000</f>
        <v>1440</v>
      </c>
      <c r="K8" s="18">
        <f>'FS Seychelles'!I9*1000</f>
        <v>3920</v>
      </c>
      <c r="L8" s="18">
        <f>'FS Seychelles'!J9</f>
        <v>0</v>
      </c>
      <c r="M8" s="18">
        <f>'FS Seychelles'!K9</f>
        <v>2961</v>
      </c>
      <c r="N8" s="18">
        <f>'FS Seychelles'!L9</f>
        <v>10293</v>
      </c>
      <c r="O8" s="18">
        <f>'FS Seychelles'!M9</f>
        <v>10604</v>
      </c>
      <c r="P8" s="18">
        <f>'FS Seychelles'!N9</f>
        <v>9549</v>
      </c>
      <c r="Q8" s="18">
        <f>'FS Seychelles'!O9</f>
        <v>7544</v>
      </c>
      <c r="R8" s="18">
        <f>'FS Seychelles'!Q9</f>
        <v>0</v>
      </c>
      <c r="S8" s="18">
        <f>'FS Seychelles'!S9</f>
        <v>64</v>
      </c>
      <c r="T8" s="18">
        <f>'FS Seychelles'!T9</f>
        <v>11</v>
      </c>
      <c r="U8" s="18">
        <f>'FS Seychelles'!U9</f>
        <v>57</v>
      </c>
      <c r="V8" s="18">
        <f>'FS Seychelles'!V9</f>
        <v>86</v>
      </c>
      <c r="W8" s="18">
        <f>'FS Seychelles'!W9</f>
        <v>0</v>
      </c>
      <c r="X8" s="18">
        <f>('FS Seychelles'!Z15+'FS Seychelles'!Z21)/30</f>
        <v>295.66666666666669</v>
      </c>
    </row>
    <row r="9" spans="1:24" ht="15">
      <c r="A9" s="1" t="s">
        <v>13</v>
      </c>
      <c r="B9" s="11">
        <f t="shared" si="0"/>
        <v>8</v>
      </c>
      <c r="C9" s="11">
        <f t="shared" si="1"/>
        <v>11</v>
      </c>
      <c r="D9" s="11">
        <v>2022</v>
      </c>
      <c r="E9" s="18">
        <f>'FS Seychelles'!B10</f>
        <v>68.8</v>
      </c>
      <c r="F9" s="18">
        <f>'FS Seychelles'!D10*1000</f>
        <v>2880</v>
      </c>
      <c r="G9" s="18">
        <f>'FS Seychelles'!E10*1000</f>
        <v>4470</v>
      </c>
      <c r="H9" s="18">
        <f>'FS Seychelles'!F10*1000</f>
        <v>5580</v>
      </c>
      <c r="I9" s="18">
        <f>'FS Seychelles'!G10*1000</f>
        <v>1380</v>
      </c>
      <c r="J9" s="18">
        <f>'FS Seychelles'!H10*1000</f>
        <v>1380</v>
      </c>
      <c r="K9" s="18">
        <f>'FS Seychelles'!I10*1000</f>
        <v>3960</v>
      </c>
      <c r="L9" s="18">
        <f>'FS Seychelles'!J10</f>
        <v>0</v>
      </c>
      <c r="M9" s="18">
        <f>'FS Seychelles'!K10</f>
        <v>10678</v>
      </c>
      <c r="N9" s="18">
        <f>'FS Seychelles'!L10</f>
        <v>10119</v>
      </c>
      <c r="O9" s="18">
        <f>'FS Seychelles'!M10</f>
        <v>5390</v>
      </c>
      <c r="P9" s="18">
        <f>'FS Seychelles'!N10</f>
        <v>10161</v>
      </c>
      <c r="Q9" s="18">
        <f>'FS Seychelles'!O10</f>
        <v>8074</v>
      </c>
      <c r="R9" s="18">
        <f>'FS Seychelles'!Q10</f>
        <v>0</v>
      </c>
      <c r="S9" s="18">
        <f>'FS Seychelles'!S10</f>
        <v>60</v>
      </c>
      <c r="T9" s="18">
        <f>'FS Seychelles'!T10</f>
        <v>4</v>
      </c>
      <c r="U9" s="18">
        <f>'FS Seychelles'!U10</f>
        <v>106</v>
      </c>
      <c r="V9" s="18">
        <f>'FS Seychelles'!V10</f>
        <v>120</v>
      </c>
      <c r="W9" s="18">
        <f>'FS Seychelles'!W10</f>
        <v>0</v>
      </c>
      <c r="X9" s="18">
        <f>('FS Seychelles'!Z16+'FS Seychelles'!Z22)/30</f>
        <v>0</v>
      </c>
    </row>
    <row r="10" spans="1:24" ht="15">
      <c r="A10" s="1" t="s">
        <v>13</v>
      </c>
      <c r="B10" s="11">
        <f t="shared" si="0"/>
        <v>9</v>
      </c>
      <c r="C10" s="11">
        <f t="shared" si="1"/>
        <v>11</v>
      </c>
      <c r="D10" s="11">
        <v>2022</v>
      </c>
      <c r="E10" s="18">
        <f>'FS Seychelles'!B11</f>
        <v>68.8</v>
      </c>
      <c r="F10" s="18">
        <f>'FS Seychelles'!D11*1000</f>
        <v>2970</v>
      </c>
      <c r="G10" s="18">
        <f>'FS Seychelles'!E11*1000</f>
        <v>4420</v>
      </c>
      <c r="H10" s="18">
        <f>'FS Seychelles'!F11*1000</f>
        <v>5610</v>
      </c>
      <c r="I10" s="18">
        <f>'FS Seychelles'!G11*1000</f>
        <v>1380</v>
      </c>
      <c r="J10" s="18">
        <f>'FS Seychelles'!H11*1000</f>
        <v>1380</v>
      </c>
      <c r="K10" s="18">
        <f>'FS Seychelles'!I11*1000</f>
        <v>3920</v>
      </c>
      <c r="L10" s="18">
        <f>'FS Seychelles'!J11</f>
        <v>0</v>
      </c>
      <c r="M10" s="18">
        <f>'FS Seychelles'!K11</f>
        <v>10175</v>
      </c>
      <c r="N10" s="18">
        <f>'FS Seychelles'!L11</f>
        <v>8645</v>
      </c>
      <c r="O10" s="18">
        <f>'FS Seychelles'!M11</f>
        <v>5077</v>
      </c>
      <c r="P10" s="18">
        <f>'FS Seychelles'!N11</f>
        <v>10119</v>
      </c>
      <c r="Q10" s="18">
        <f>'FS Seychelles'!O11</f>
        <v>7060</v>
      </c>
      <c r="R10" s="18">
        <f>'FS Seychelles'!Q11</f>
        <v>0</v>
      </c>
      <c r="S10" s="18">
        <f>'FS Seychelles'!S11</f>
        <v>72</v>
      </c>
      <c r="T10" s="18">
        <f>'FS Seychelles'!T11</f>
        <v>7</v>
      </c>
      <c r="U10" s="18">
        <f>'FS Seychelles'!U11</f>
        <v>40</v>
      </c>
      <c r="V10" s="18">
        <f>'FS Seychelles'!V11</f>
        <v>100</v>
      </c>
      <c r="W10" s="18">
        <f>'FS Seychelles'!W11</f>
        <v>0</v>
      </c>
      <c r="X10" s="18">
        <f>('FS Seychelles'!Z17+'FS Seychelles'!Z23)/30</f>
        <v>0</v>
      </c>
    </row>
    <row r="11" spans="1:24" ht="15">
      <c r="A11" s="1" t="s">
        <v>13</v>
      </c>
      <c r="B11" s="11">
        <f t="shared" si="0"/>
        <v>10</v>
      </c>
      <c r="C11" s="11">
        <f t="shared" si="1"/>
        <v>11</v>
      </c>
      <c r="D11" s="11">
        <v>2022</v>
      </c>
      <c r="E11" s="18">
        <f>'FS Seychelles'!B12</f>
        <v>68.8</v>
      </c>
      <c r="F11" s="18">
        <f>'FS Seychelles'!D12*1000</f>
        <v>3030</v>
      </c>
      <c r="G11" s="18">
        <f>'FS Seychelles'!E12*1000</f>
        <v>4420</v>
      </c>
      <c r="H11" s="18">
        <f>'FS Seychelles'!F12*1000</f>
        <v>5740</v>
      </c>
      <c r="I11" s="18">
        <f>'FS Seychelles'!G12*1000</f>
        <v>1400</v>
      </c>
      <c r="J11" s="18">
        <f>'FS Seychelles'!H12*1000</f>
        <v>1400</v>
      </c>
      <c r="K11" s="18">
        <f>'FS Seychelles'!I12*1000</f>
        <v>3900</v>
      </c>
      <c r="L11" s="18">
        <f>'FS Seychelles'!J12</f>
        <v>0</v>
      </c>
      <c r="M11" s="18">
        <f>'FS Seychelles'!K12</f>
        <v>10083</v>
      </c>
      <c r="N11" s="18">
        <f>'FS Seychelles'!L12</f>
        <v>12804</v>
      </c>
      <c r="O11" s="18">
        <f>'FS Seychelles'!M12</f>
        <v>1515</v>
      </c>
      <c r="P11" s="18">
        <f>'FS Seychelles'!N12</f>
        <v>8960</v>
      </c>
      <c r="Q11" s="18">
        <f>'FS Seychelles'!O12</f>
        <v>7229</v>
      </c>
      <c r="R11" s="18">
        <f>'FS Seychelles'!Q12</f>
        <v>0</v>
      </c>
      <c r="S11" s="18">
        <f>'FS Seychelles'!S12</f>
        <v>62</v>
      </c>
      <c r="T11" s="18">
        <f>'FS Seychelles'!T12</f>
        <v>4</v>
      </c>
      <c r="U11" s="18">
        <f>'FS Seychelles'!U12</f>
        <v>47</v>
      </c>
      <c r="V11" s="18">
        <f>'FS Seychelles'!V12</f>
        <v>56</v>
      </c>
      <c r="W11" s="18">
        <f>'FS Seychelles'!W12</f>
        <v>0</v>
      </c>
      <c r="X11" s="18">
        <f>('FS Seychelles'!Z18+'FS Seychelles'!Z24)/30</f>
        <v>0</v>
      </c>
    </row>
    <row r="12" spans="1:24" ht="15">
      <c r="A12" s="1" t="s">
        <v>13</v>
      </c>
      <c r="B12" s="11">
        <f t="shared" si="0"/>
        <v>11</v>
      </c>
      <c r="C12" s="11">
        <f t="shared" si="1"/>
        <v>11</v>
      </c>
      <c r="D12" s="11">
        <v>2022</v>
      </c>
      <c r="E12" s="18">
        <f>'FS Seychelles'!B13</f>
        <v>71.400000000000006</v>
      </c>
      <c r="F12" s="18">
        <f>'FS Seychelles'!D13*1000</f>
        <v>3060</v>
      </c>
      <c r="G12" s="18">
        <f>'FS Seychelles'!E13*1000</f>
        <v>4520</v>
      </c>
      <c r="H12" s="18">
        <f>'FS Seychelles'!F13*1000</f>
        <v>5650</v>
      </c>
      <c r="I12" s="18">
        <f>'FS Seychelles'!G13*1000</f>
        <v>1440</v>
      </c>
      <c r="J12" s="18">
        <f>'FS Seychelles'!H13*1000</f>
        <v>1440</v>
      </c>
      <c r="K12" s="18">
        <f>'FS Seychelles'!I13*1000</f>
        <v>3970</v>
      </c>
      <c r="L12" s="18">
        <f>'FS Seychelles'!J13</f>
        <v>0</v>
      </c>
      <c r="M12" s="18">
        <f>'FS Seychelles'!K13</f>
        <v>9928</v>
      </c>
      <c r="N12" s="18">
        <f>'FS Seychelles'!L13</f>
        <v>9840</v>
      </c>
      <c r="O12" s="18">
        <f>'FS Seychelles'!M13</f>
        <v>8738</v>
      </c>
      <c r="P12" s="18">
        <f>'FS Seychelles'!N13</f>
        <v>8476</v>
      </c>
      <c r="Q12" s="18">
        <f>'FS Seychelles'!O13</f>
        <v>7869</v>
      </c>
      <c r="R12" s="18">
        <f>'FS Seychelles'!Q13</f>
        <v>0</v>
      </c>
      <c r="S12" s="18">
        <f>'FS Seychelles'!S13</f>
        <v>63</v>
      </c>
      <c r="T12" s="18">
        <f>'FS Seychelles'!T13</f>
        <v>3</v>
      </c>
      <c r="U12" s="18">
        <f>'FS Seychelles'!U13</f>
        <v>73</v>
      </c>
      <c r="V12" s="18">
        <f>'FS Seychelles'!V13</f>
        <v>103</v>
      </c>
      <c r="W12" s="18">
        <f>'FS Seychelles'!W13</f>
        <v>0</v>
      </c>
      <c r="X12" s="18">
        <f>('FS Seychelles'!Z19+'FS Seychelles'!Z25)/30</f>
        <v>0</v>
      </c>
    </row>
    <row r="13" spans="1:24" ht="15">
      <c r="A13" s="1" t="s">
        <v>13</v>
      </c>
      <c r="B13" s="11">
        <f t="shared" si="0"/>
        <v>12</v>
      </c>
      <c r="C13" s="11">
        <f t="shared" si="1"/>
        <v>11</v>
      </c>
      <c r="D13" s="11">
        <v>2022</v>
      </c>
      <c r="E13" s="18">
        <f>'FS Seychelles'!B14</f>
        <v>55.8</v>
      </c>
      <c r="F13" s="18">
        <f>'FS Seychelles'!D14*1000</f>
        <v>3110</v>
      </c>
      <c r="G13" s="18">
        <f>'FS Seychelles'!E14*1000</f>
        <v>4440</v>
      </c>
      <c r="H13" s="18">
        <f>'FS Seychelles'!F14*1000</f>
        <v>5960</v>
      </c>
      <c r="I13" s="18">
        <f>'FS Seychelles'!G14*1000</f>
        <v>1400</v>
      </c>
      <c r="J13" s="18">
        <f>'FS Seychelles'!H14*1000</f>
        <v>1400</v>
      </c>
      <c r="K13" s="18">
        <f>'FS Seychelles'!I14*1000</f>
        <v>3850</v>
      </c>
      <c r="L13" s="18">
        <f>'FS Seychelles'!J14</f>
        <v>0</v>
      </c>
      <c r="M13" s="18">
        <f>'FS Seychelles'!K14</f>
        <v>10125</v>
      </c>
      <c r="N13" s="18">
        <f>'FS Seychelles'!L14</f>
        <v>3132</v>
      </c>
      <c r="O13" s="18">
        <f>'FS Seychelles'!M14</f>
        <v>10282</v>
      </c>
      <c r="P13" s="18">
        <f>'FS Seychelles'!N14</f>
        <v>10860</v>
      </c>
      <c r="Q13" s="18">
        <f>'FS Seychelles'!O14</f>
        <v>7894</v>
      </c>
      <c r="R13" s="18">
        <f>'FS Seychelles'!Q14</f>
        <v>0</v>
      </c>
      <c r="S13" s="18">
        <f>'FS Seychelles'!S14</f>
        <v>57</v>
      </c>
      <c r="T13" s="18">
        <f>'FS Seychelles'!T14</f>
        <v>8</v>
      </c>
      <c r="U13" s="18">
        <f>'FS Seychelles'!U14</f>
        <v>55</v>
      </c>
      <c r="V13" s="18">
        <f>'FS Seychelles'!V14</f>
        <v>100</v>
      </c>
      <c r="W13" s="18">
        <f>'FS Seychelles'!W14</f>
        <v>0</v>
      </c>
      <c r="X13" s="18">
        <f>('FS Seychelles'!Z20+'FS Seychelles'!Z26)/30</f>
        <v>0</v>
      </c>
    </row>
    <row r="14" spans="1:24" ht="15">
      <c r="A14" s="1" t="s">
        <v>13</v>
      </c>
      <c r="B14" s="11">
        <f t="shared" si="0"/>
        <v>13</v>
      </c>
      <c r="C14" s="11">
        <f t="shared" si="1"/>
        <v>11</v>
      </c>
      <c r="D14" s="11">
        <v>2022</v>
      </c>
      <c r="E14" s="18">
        <f>'FS Seychelles'!B15</f>
        <v>63.6</v>
      </c>
      <c r="F14" s="18">
        <f>'FS Seychelles'!D15*1000</f>
        <v>3160</v>
      </c>
      <c r="G14" s="18">
        <f>'FS Seychelles'!E15*1000</f>
        <v>4330</v>
      </c>
      <c r="H14" s="18">
        <f>'FS Seychelles'!F15*1000</f>
        <v>5540</v>
      </c>
      <c r="I14" s="18">
        <f>'FS Seychelles'!G15*1000</f>
        <v>1370</v>
      </c>
      <c r="J14" s="18">
        <f>'FS Seychelles'!H15*1000</f>
        <v>1370</v>
      </c>
      <c r="K14" s="18">
        <f>'FS Seychelles'!I15*1000</f>
        <v>3760</v>
      </c>
      <c r="L14" s="18">
        <f>'FS Seychelles'!J15</f>
        <v>0</v>
      </c>
      <c r="M14" s="18">
        <f>'FS Seychelles'!K15</f>
        <v>10886</v>
      </c>
      <c r="N14" s="18">
        <f>'FS Seychelles'!L15</f>
        <v>9732</v>
      </c>
      <c r="O14" s="18">
        <f>'FS Seychelles'!M15</f>
        <v>4424</v>
      </c>
      <c r="P14" s="18">
        <f>'FS Seychelles'!N15</f>
        <v>8198</v>
      </c>
      <c r="Q14" s="18">
        <f>'FS Seychelles'!O15</f>
        <v>7360</v>
      </c>
      <c r="R14" s="18">
        <f>'FS Seychelles'!Q15</f>
        <v>0</v>
      </c>
      <c r="S14" s="18">
        <f>'FS Seychelles'!S15</f>
        <v>59</v>
      </c>
      <c r="T14" s="18">
        <f>'FS Seychelles'!T15</f>
        <v>8</v>
      </c>
      <c r="U14" s="18">
        <f>'FS Seychelles'!U15</f>
        <v>76</v>
      </c>
      <c r="V14" s="18">
        <f>'FS Seychelles'!V15</f>
        <v>76</v>
      </c>
      <c r="W14" s="18">
        <f>'FS Seychelles'!W15</f>
        <v>0</v>
      </c>
      <c r="X14" s="18">
        <f>('FS Seychelles'!Z21+'FS Seychelles'!Z27)/30</f>
        <v>0</v>
      </c>
    </row>
    <row r="15" spans="1:24" ht="15">
      <c r="A15" s="1" t="s">
        <v>13</v>
      </c>
      <c r="B15" s="11">
        <f t="shared" si="0"/>
        <v>14</v>
      </c>
      <c r="C15" s="11">
        <f t="shared" si="1"/>
        <v>11</v>
      </c>
      <c r="D15" s="11">
        <v>2022</v>
      </c>
      <c r="E15" s="18">
        <f>'FS Seychelles'!B16</f>
        <v>49.4</v>
      </c>
      <c r="F15" s="18">
        <f>'FS Seychelles'!D16*1000</f>
        <v>3200</v>
      </c>
      <c r="G15" s="18">
        <f>'FS Seychelles'!E16*1000</f>
        <v>4230</v>
      </c>
      <c r="H15" s="18">
        <f>'FS Seychelles'!F16*1000</f>
        <v>5410</v>
      </c>
      <c r="I15" s="18">
        <f>'FS Seychelles'!G16*1000</f>
        <v>1380</v>
      </c>
      <c r="J15" s="18">
        <f>'FS Seychelles'!H16*1000</f>
        <v>1380</v>
      </c>
      <c r="K15" s="18">
        <f>'FS Seychelles'!I16*1000</f>
        <v>3980</v>
      </c>
      <c r="L15" s="18">
        <f>'FS Seychelles'!J16</f>
        <v>0</v>
      </c>
      <c r="M15" s="18">
        <f>'FS Seychelles'!K16</f>
        <v>8443</v>
      </c>
      <c r="N15" s="18">
        <f>'FS Seychelles'!L16</f>
        <v>6902</v>
      </c>
      <c r="O15" s="18">
        <f>'FS Seychelles'!M16</f>
        <v>6491</v>
      </c>
      <c r="P15" s="18">
        <f>'FS Seychelles'!N16</f>
        <v>11969</v>
      </c>
      <c r="Q15" s="18">
        <f>'FS Seychelles'!O16</f>
        <v>7598</v>
      </c>
      <c r="R15" s="18">
        <f>'FS Seychelles'!Q16</f>
        <v>0</v>
      </c>
      <c r="S15" s="18">
        <f>'FS Seychelles'!S16</f>
        <v>59</v>
      </c>
      <c r="T15" s="18">
        <f>'FS Seychelles'!T16</f>
        <v>3</v>
      </c>
      <c r="U15" s="18">
        <f>'FS Seychelles'!U16</f>
        <v>66</v>
      </c>
      <c r="V15" s="18">
        <f>'FS Seychelles'!V16</f>
        <v>49</v>
      </c>
      <c r="W15" s="18">
        <f>'FS Seychelles'!W16</f>
        <v>0</v>
      </c>
      <c r="X15" s="18">
        <f>('FS Seychelles'!Z22+'FS Seychelles'!Z28)/30</f>
        <v>0</v>
      </c>
    </row>
    <row r="16" spans="1:24" ht="15">
      <c r="A16" s="1" t="s">
        <v>13</v>
      </c>
      <c r="B16" s="11">
        <f t="shared" si="0"/>
        <v>15</v>
      </c>
      <c r="C16" s="11">
        <f t="shared" si="1"/>
        <v>11</v>
      </c>
      <c r="D16" s="11">
        <v>2022</v>
      </c>
      <c r="E16" s="18">
        <f>'FS Seychelles'!B17</f>
        <v>51.9</v>
      </c>
      <c r="F16" s="18">
        <f>'FS Seychelles'!D17*1000</f>
        <v>3460</v>
      </c>
      <c r="G16" s="18">
        <f>'FS Seychelles'!E17*1000</f>
        <v>4390</v>
      </c>
      <c r="H16" s="18">
        <f>'FS Seychelles'!F17*1000</f>
        <v>5680</v>
      </c>
      <c r="I16" s="18">
        <f>'FS Seychelles'!G17*1000</f>
        <v>1380</v>
      </c>
      <c r="J16" s="18">
        <f>'FS Seychelles'!H17*1000</f>
        <v>1380</v>
      </c>
      <c r="K16" s="18">
        <f>'FS Seychelles'!I17*1000</f>
        <v>3990</v>
      </c>
      <c r="L16" s="18">
        <f>'FS Seychelles'!J17</f>
        <v>0</v>
      </c>
      <c r="M16" s="18">
        <f>'FS Seychelles'!K17</f>
        <v>14676</v>
      </c>
      <c r="N16" s="18">
        <f>'FS Seychelles'!L17</f>
        <v>9787</v>
      </c>
      <c r="O16" s="18">
        <f>'FS Seychelles'!M17</f>
        <v>0</v>
      </c>
      <c r="P16" s="18">
        <f>'FS Seychelles'!N17</f>
        <v>10014</v>
      </c>
      <c r="Q16" s="18">
        <f>'FS Seychelles'!O17</f>
        <v>7369</v>
      </c>
      <c r="R16" s="18">
        <f>'FS Seychelles'!Q17</f>
        <v>0</v>
      </c>
      <c r="S16" s="18">
        <f>'FS Seychelles'!S17</f>
        <v>62</v>
      </c>
      <c r="T16" s="18">
        <f>'FS Seychelles'!T17</f>
        <v>9</v>
      </c>
      <c r="U16" s="18">
        <f>'FS Seychelles'!U17</f>
        <v>71</v>
      </c>
      <c r="V16" s="18">
        <f>'FS Seychelles'!V17</f>
        <v>94</v>
      </c>
      <c r="W16" s="18">
        <f>'FS Seychelles'!W17</f>
        <v>0</v>
      </c>
      <c r="X16" s="18">
        <f>('FS Seychelles'!Z23+'FS Seychelles'!Z29)/30</f>
        <v>0</v>
      </c>
    </row>
    <row r="17" spans="1:24" ht="15">
      <c r="A17" s="1" t="s">
        <v>13</v>
      </c>
      <c r="B17" s="11">
        <f t="shared" si="0"/>
        <v>16</v>
      </c>
      <c r="C17" s="11">
        <f t="shared" si="1"/>
        <v>11</v>
      </c>
      <c r="D17" s="11">
        <v>2022</v>
      </c>
      <c r="E17" s="18">
        <f>'FS Seychelles'!B18</f>
        <v>54.5</v>
      </c>
      <c r="F17" s="18">
        <f>'FS Seychelles'!D18*1000</f>
        <v>3280</v>
      </c>
      <c r="G17" s="18">
        <f>'FS Seychelles'!E18*1000</f>
        <v>4400</v>
      </c>
      <c r="H17" s="18">
        <f>'FS Seychelles'!F18*1000</f>
        <v>5700</v>
      </c>
      <c r="I17" s="18">
        <f>'FS Seychelles'!G18*1000</f>
        <v>1400</v>
      </c>
      <c r="J17" s="18">
        <f>'FS Seychelles'!H18*1000</f>
        <v>1400</v>
      </c>
      <c r="K17" s="18">
        <f>'FS Seychelles'!I18*1000</f>
        <v>3940</v>
      </c>
      <c r="L17" s="18">
        <f>'FS Seychelles'!J18</f>
        <v>0</v>
      </c>
      <c r="M17" s="18">
        <f>'FS Seychelles'!K18</f>
        <v>11672</v>
      </c>
      <c r="N17" s="18">
        <f>'FS Seychelles'!L18</f>
        <v>14180</v>
      </c>
      <c r="O17" s="18">
        <f>'FS Seychelles'!M18</f>
        <v>0</v>
      </c>
      <c r="P17" s="18">
        <f>'FS Seychelles'!N18</f>
        <v>9465</v>
      </c>
      <c r="Q17" s="18">
        <f>'FS Seychelles'!O18</f>
        <v>7492</v>
      </c>
      <c r="R17" s="18">
        <f>'FS Seychelles'!Q18</f>
        <v>0</v>
      </c>
      <c r="S17" s="18">
        <f>'FS Seychelles'!S18</f>
        <v>62</v>
      </c>
      <c r="T17" s="18">
        <f>'FS Seychelles'!T18</f>
        <v>3</v>
      </c>
      <c r="U17" s="18">
        <f>'FS Seychelles'!U18</f>
        <v>73</v>
      </c>
      <c r="V17" s="18">
        <f>'FS Seychelles'!V18</f>
        <v>101</v>
      </c>
      <c r="W17" s="18">
        <f>'FS Seychelles'!W18</f>
        <v>0</v>
      </c>
      <c r="X17" s="18">
        <f>('FS Seychelles'!Z24+'FS Seychelles'!Z30)/30</f>
        <v>0</v>
      </c>
    </row>
    <row r="18" spans="1:24" ht="15">
      <c r="A18" s="1" t="s">
        <v>13</v>
      </c>
      <c r="B18" s="11">
        <f t="shared" si="0"/>
        <v>17</v>
      </c>
      <c r="C18" s="11">
        <f t="shared" si="1"/>
        <v>11</v>
      </c>
      <c r="D18" s="11">
        <v>2022</v>
      </c>
      <c r="E18" s="18">
        <f>'FS Seychelles'!B19</f>
        <v>66.2</v>
      </c>
      <c r="F18" s="18">
        <f>'FS Seychelles'!D19*1000</f>
        <v>3230</v>
      </c>
      <c r="G18" s="18">
        <f>'FS Seychelles'!E19*1000</f>
        <v>4600</v>
      </c>
      <c r="H18" s="18">
        <f>'FS Seychelles'!F19*1000</f>
        <v>5870</v>
      </c>
      <c r="I18" s="18">
        <f>'FS Seychelles'!G19*1000</f>
        <v>1450</v>
      </c>
      <c r="J18" s="18">
        <f>'FS Seychelles'!H19*1000</f>
        <v>1450</v>
      </c>
      <c r="K18" s="18">
        <f>'FS Seychelles'!I19*1000</f>
        <v>4010</v>
      </c>
      <c r="L18" s="18">
        <f>'FS Seychelles'!J19</f>
        <v>0</v>
      </c>
      <c r="M18" s="18">
        <f>'FS Seychelles'!K19</f>
        <v>7179</v>
      </c>
      <c r="N18" s="18">
        <f>'FS Seychelles'!L19</f>
        <v>10312</v>
      </c>
      <c r="O18" s="18">
        <f>'FS Seychelles'!M19</f>
        <v>8059</v>
      </c>
      <c r="P18" s="18">
        <f>'FS Seychelles'!N19</f>
        <v>9757</v>
      </c>
      <c r="Q18" s="18">
        <f>'FS Seychelles'!O19</f>
        <v>8013</v>
      </c>
      <c r="R18" s="18">
        <f>'FS Seychelles'!Q19</f>
        <v>0</v>
      </c>
      <c r="S18" s="18">
        <f>'FS Seychelles'!S19</f>
        <v>57</v>
      </c>
      <c r="T18" s="18">
        <f>'FS Seychelles'!T19</f>
        <v>28</v>
      </c>
      <c r="U18" s="18">
        <f>'FS Seychelles'!U19</f>
        <v>79</v>
      </c>
      <c r="V18" s="18">
        <f>'FS Seychelles'!V19</f>
        <v>96</v>
      </c>
      <c r="W18" s="18">
        <f>'FS Seychelles'!W19</f>
        <v>0</v>
      </c>
      <c r="X18" s="18">
        <f>('FS Seychelles'!Z25+'FS Seychelles'!Z31)/30</f>
        <v>0</v>
      </c>
    </row>
    <row r="19" spans="1:24" ht="15">
      <c r="A19" s="1" t="s">
        <v>13</v>
      </c>
      <c r="B19" s="11">
        <f t="shared" si="0"/>
        <v>18</v>
      </c>
      <c r="C19" s="11">
        <f t="shared" si="1"/>
        <v>11</v>
      </c>
      <c r="D19" s="11">
        <v>2022</v>
      </c>
      <c r="E19" s="18">
        <f>'FS Seychelles'!B20</f>
        <v>57.1</v>
      </c>
      <c r="F19" s="18">
        <f>'FS Seychelles'!D20*1000</f>
        <v>3320</v>
      </c>
      <c r="G19" s="18">
        <f>'FS Seychelles'!E20*1000</f>
        <v>4840</v>
      </c>
      <c r="H19" s="18">
        <f>'FS Seychelles'!F20*1000</f>
        <v>6030</v>
      </c>
      <c r="I19" s="18">
        <f>'FS Seychelles'!G20*1000</f>
        <v>1460</v>
      </c>
      <c r="J19" s="18">
        <f>'FS Seychelles'!H20*1000</f>
        <v>1460</v>
      </c>
      <c r="K19" s="18">
        <f>'FS Seychelles'!I20*1000</f>
        <v>4050</v>
      </c>
      <c r="L19" s="18">
        <f>'FS Seychelles'!J20</f>
        <v>0</v>
      </c>
      <c r="M19" s="18">
        <f>'FS Seychelles'!K20</f>
        <v>10122</v>
      </c>
      <c r="N19" s="18">
        <f>'FS Seychelles'!L20</f>
        <v>5331</v>
      </c>
      <c r="O19" s="18">
        <f>'FS Seychelles'!M20</f>
        <v>8326</v>
      </c>
      <c r="P19" s="18">
        <f>'FS Seychelles'!N20</f>
        <v>12673</v>
      </c>
      <c r="Q19" s="18">
        <f>'FS Seychelles'!O20</f>
        <v>8176</v>
      </c>
      <c r="R19" s="18">
        <f>'FS Seychelles'!Q20</f>
        <v>0</v>
      </c>
      <c r="S19" s="18">
        <f>'FS Seychelles'!S20</f>
        <v>67</v>
      </c>
      <c r="T19" s="18">
        <f>'FS Seychelles'!T20</f>
        <v>14</v>
      </c>
      <c r="U19" s="18">
        <f>'FS Seychelles'!U20</f>
        <v>53</v>
      </c>
      <c r="V19" s="18">
        <f>'FS Seychelles'!V20</f>
        <v>100</v>
      </c>
      <c r="W19" s="18">
        <f>'FS Seychelles'!W20</f>
        <v>0</v>
      </c>
      <c r="X19" s="18">
        <f>('FS Seychelles'!Z26+'FS Seychelles'!Z32)/30</f>
        <v>0</v>
      </c>
    </row>
    <row r="20" spans="1:24" ht="15">
      <c r="A20" s="1" t="s">
        <v>13</v>
      </c>
      <c r="B20" s="11">
        <f t="shared" si="0"/>
        <v>19</v>
      </c>
      <c r="C20" s="11">
        <f t="shared" si="1"/>
        <v>11</v>
      </c>
      <c r="D20" s="11">
        <v>2022</v>
      </c>
      <c r="E20" s="18">
        <f>'FS Seychelles'!B21</f>
        <v>61</v>
      </c>
      <c r="F20" s="18">
        <f>'FS Seychelles'!D21*1000</f>
        <v>3100</v>
      </c>
      <c r="G20" s="18">
        <f>'FS Seychelles'!E21*1000</f>
        <v>4550</v>
      </c>
      <c r="H20" s="18">
        <f>'FS Seychelles'!F21*1000</f>
        <v>5960</v>
      </c>
      <c r="I20" s="18">
        <f>'FS Seychelles'!G21*1000</f>
        <v>1450</v>
      </c>
      <c r="J20" s="18">
        <f>'FS Seychelles'!H21*1000</f>
        <v>1450</v>
      </c>
      <c r="K20" s="18">
        <f>'FS Seychelles'!I21*1000</f>
        <v>3880</v>
      </c>
      <c r="L20" s="18">
        <f>'FS Seychelles'!J21</f>
        <v>0</v>
      </c>
      <c r="M20" s="18">
        <f>'FS Seychelles'!K21</f>
        <v>9999</v>
      </c>
      <c r="N20" s="18">
        <f>'FS Seychelles'!L21</f>
        <v>10663</v>
      </c>
      <c r="O20" s="18">
        <f>'FS Seychelles'!M21</f>
        <v>5529</v>
      </c>
      <c r="P20" s="18">
        <f>'FS Seychelles'!N21</f>
        <v>9576</v>
      </c>
      <c r="Q20" s="18">
        <f>'FS Seychelles'!O21</f>
        <v>8075</v>
      </c>
      <c r="R20" s="18">
        <f>'FS Seychelles'!Q21</f>
        <v>0</v>
      </c>
      <c r="S20" s="18">
        <f>'FS Seychelles'!S21</f>
        <v>61</v>
      </c>
      <c r="T20" s="18">
        <f>'FS Seychelles'!T21</f>
        <v>10</v>
      </c>
      <c r="U20" s="18">
        <f>'FS Seychelles'!U21</f>
        <v>84</v>
      </c>
      <c r="V20" s="18">
        <f>'FS Seychelles'!V21</f>
        <v>96</v>
      </c>
      <c r="W20" s="18">
        <f>'FS Seychelles'!W21</f>
        <v>0</v>
      </c>
      <c r="X20" s="18">
        <f>('FS Seychelles'!Z27+'FS Seychelles'!Z33)/30</f>
        <v>0</v>
      </c>
    </row>
    <row r="21" spans="1:24" ht="15">
      <c r="A21" s="1" t="s">
        <v>13</v>
      </c>
      <c r="B21" s="11">
        <f t="shared" si="0"/>
        <v>20</v>
      </c>
      <c r="C21" s="11">
        <f t="shared" si="1"/>
        <v>11</v>
      </c>
      <c r="D21" s="11">
        <v>2022</v>
      </c>
      <c r="E21" s="18">
        <f>'FS Seychelles'!B22</f>
        <v>63.6</v>
      </c>
      <c r="F21" s="18">
        <f>'FS Seychelles'!D22*1000</f>
        <v>2780</v>
      </c>
      <c r="G21" s="18">
        <f>'FS Seychelles'!E22*1000</f>
        <v>4390</v>
      </c>
      <c r="H21" s="18">
        <f>'FS Seychelles'!F22*1000</f>
        <v>5660</v>
      </c>
      <c r="I21" s="18">
        <f>'FS Seychelles'!G22*1000</f>
        <v>1420</v>
      </c>
      <c r="J21" s="18">
        <f>'FS Seychelles'!H22*1000</f>
        <v>1630</v>
      </c>
      <c r="K21" s="18">
        <f>'FS Seychelles'!I22*1000</f>
        <v>3790</v>
      </c>
      <c r="L21" s="18">
        <f>'FS Seychelles'!J22</f>
        <v>0</v>
      </c>
      <c r="M21" s="18">
        <f>'FS Seychelles'!K22</f>
        <v>10134</v>
      </c>
      <c r="N21" s="18">
        <f>'FS Seychelles'!L22</f>
        <v>11218</v>
      </c>
      <c r="O21" s="18">
        <f>'FS Seychelles'!M22</f>
        <v>5268</v>
      </c>
      <c r="P21" s="18">
        <f>'FS Seychelles'!N23</f>
        <v>8157</v>
      </c>
      <c r="Q21" s="18">
        <f>'FS Seychelles'!O22</f>
        <v>7124</v>
      </c>
      <c r="R21" s="18">
        <f>'FS Seychelles'!Q22</f>
        <v>0</v>
      </c>
      <c r="S21" s="18">
        <f>'FS Seychelles'!S22</f>
        <v>58</v>
      </c>
      <c r="T21" s="18">
        <f>'FS Seychelles'!T22</f>
        <v>6</v>
      </c>
      <c r="U21" s="18">
        <f>'FS Seychelles'!U22</f>
        <v>84</v>
      </c>
      <c r="V21" s="18">
        <f>'FS Seychelles'!V22</f>
        <v>70</v>
      </c>
      <c r="W21" s="18">
        <f>'FS Seychelles'!W22</f>
        <v>0</v>
      </c>
      <c r="X21" s="18">
        <f>('FS Seychelles'!Z28+'FS Seychelles'!Z34)/30</f>
        <v>0</v>
      </c>
    </row>
    <row r="22" spans="1:24" ht="15">
      <c r="A22" s="1" t="s">
        <v>13</v>
      </c>
      <c r="B22" s="11">
        <f t="shared" si="0"/>
        <v>21</v>
      </c>
      <c r="C22" s="11">
        <f t="shared" si="1"/>
        <v>11</v>
      </c>
      <c r="D22" s="11">
        <v>2022</v>
      </c>
      <c r="E22" s="18">
        <f>'FS Seychelles'!B23</f>
        <v>62.3</v>
      </c>
      <c r="F22" s="18">
        <f>'FS Seychelles'!D23*1000</f>
        <v>2390</v>
      </c>
      <c r="G22" s="18">
        <f>'FS Seychelles'!E23*1000</f>
        <v>3900</v>
      </c>
      <c r="H22" s="18">
        <f>'FS Seychelles'!F23*1000</f>
        <v>5370</v>
      </c>
      <c r="I22" s="18">
        <f>'FS Seychelles'!G23*1000</f>
        <v>1420</v>
      </c>
      <c r="J22" s="18">
        <f>'FS Seychelles'!H23*1000</f>
        <v>1700</v>
      </c>
      <c r="K22" s="18">
        <f>'FS Seychelles'!I23*1000</f>
        <v>3890</v>
      </c>
      <c r="L22" s="18">
        <f>'FS Seychelles'!J23</f>
        <v>0</v>
      </c>
      <c r="M22" s="18">
        <f>'FS Seychelles'!K23</f>
        <v>10219</v>
      </c>
      <c r="N22" s="18">
        <f>'FS Seychelles'!L23</f>
        <v>7629</v>
      </c>
      <c r="O22" s="18">
        <f>'FS Seychelles'!M23</f>
        <v>2470</v>
      </c>
      <c r="P22" s="18">
        <f>'FS Seychelles'!N24</f>
        <v>10938</v>
      </c>
      <c r="Q22" s="18">
        <f>'FS Seychelles'!O23</f>
        <v>7114</v>
      </c>
      <c r="R22" s="18">
        <f>'FS Seychelles'!Q23</f>
        <v>0</v>
      </c>
      <c r="S22" s="18">
        <f>'FS Seychelles'!S23</f>
        <v>64</v>
      </c>
      <c r="T22" s="18">
        <f>'FS Seychelles'!T23</f>
        <v>5</v>
      </c>
      <c r="U22" s="18">
        <f>'FS Seychelles'!U23</f>
        <v>62</v>
      </c>
      <c r="V22" s="18">
        <f>'FS Seychelles'!V23</f>
        <v>102</v>
      </c>
      <c r="W22" s="18">
        <f>'FS Seychelles'!W23</f>
        <v>0</v>
      </c>
      <c r="X22" s="18">
        <f>('FS Seychelles'!Z29+'FS Seychelles'!Z35)/30</f>
        <v>0</v>
      </c>
    </row>
    <row r="23" spans="1:24" ht="15">
      <c r="A23" s="1" t="s">
        <v>13</v>
      </c>
      <c r="B23" s="11">
        <f t="shared" si="0"/>
        <v>22</v>
      </c>
      <c r="C23" s="11">
        <f t="shared" si="1"/>
        <v>11</v>
      </c>
      <c r="D23" s="11">
        <v>2022</v>
      </c>
      <c r="E23" s="18">
        <f>'FS Seychelles'!B24</f>
        <v>63.6</v>
      </c>
      <c r="F23" s="18">
        <f>'FS Seychelles'!D24*1000</f>
        <v>2560</v>
      </c>
      <c r="G23" s="18">
        <f>'FS Seychelles'!E24*1000</f>
        <v>4280</v>
      </c>
      <c r="H23" s="18">
        <f>'FS Seychelles'!F24*1000</f>
        <v>5210</v>
      </c>
      <c r="I23" s="18">
        <f>'FS Seychelles'!G24*1000</f>
        <v>1440</v>
      </c>
      <c r="J23" s="18">
        <f>'FS Seychelles'!H24*1000</f>
        <v>1660</v>
      </c>
      <c r="K23" s="18">
        <f>'FS Seychelles'!I24*1000</f>
        <v>3760</v>
      </c>
      <c r="L23" s="18">
        <f>'FS Seychelles'!J24</f>
        <v>0</v>
      </c>
      <c r="M23" s="18">
        <f>'FS Seychelles'!K24</f>
        <v>6352</v>
      </c>
      <c r="N23" s="18">
        <f>'FS Seychelles'!L24</f>
        <v>7421</v>
      </c>
      <c r="O23" s="18">
        <f>'FS Seychelles'!M24</f>
        <v>11890</v>
      </c>
      <c r="P23" s="18">
        <f>'FS Seychelles'!N25</f>
        <v>0</v>
      </c>
      <c r="Q23" s="18">
        <f>'FS Seychelles'!O24</f>
        <v>7823</v>
      </c>
      <c r="R23" s="18">
        <f>'FS Seychelles'!Q24</f>
        <v>0</v>
      </c>
      <c r="S23" s="18">
        <f>'FS Seychelles'!S24</f>
        <v>60</v>
      </c>
      <c r="T23" s="18">
        <f>'FS Seychelles'!T24</f>
        <v>0</v>
      </c>
      <c r="U23" s="18">
        <f>'FS Seychelles'!U24</f>
        <v>78</v>
      </c>
      <c r="V23" s="18">
        <f>'FS Seychelles'!V24</f>
        <v>63</v>
      </c>
      <c r="W23" s="18">
        <f>'FS Seychelles'!W24</f>
        <v>0</v>
      </c>
      <c r="X23" s="18">
        <f>('FS Seychelles'!Z30+'FS Seychelles'!Z36)/30</f>
        <v>0</v>
      </c>
    </row>
    <row r="24" spans="1:24" ht="15">
      <c r="A24" s="1" t="s">
        <v>13</v>
      </c>
      <c r="B24" s="11">
        <f t="shared" si="0"/>
        <v>23</v>
      </c>
      <c r="C24" s="11">
        <f t="shared" si="1"/>
        <v>11</v>
      </c>
      <c r="D24" s="11">
        <v>2022</v>
      </c>
      <c r="E24" s="18">
        <f>'FS Seychelles'!B25</f>
        <v>64.900000000000006</v>
      </c>
      <c r="F24" s="18">
        <f>'FS Seychelles'!D25*1000</f>
        <v>3070</v>
      </c>
      <c r="G24" s="18">
        <f>'FS Seychelles'!E25*1000</f>
        <v>4570</v>
      </c>
      <c r="H24" s="18">
        <f>'FS Seychelles'!F25*1000</f>
        <v>5550</v>
      </c>
      <c r="I24" s="18">
        <f>'FS Seychelles'!G25*1000</f>
        <v>1380</v>
      </c>
      <c r="J24" s="18">
        <f>'FS Seychelles'!H25*1000</f>
        <v>1670</v>
      </c>
      <c r="K24" s="18">
        <f>'FS Seychelles'!I25*1000</f>
        <v>3890</v>
      </c>
      <c r="L24" s="18">
        <f>'FS Seychelles'!J25</f>
        <v>6533</v>
      </c>
      <c r="M24" s="18">
        <f>'FS Seychelles'!K25</f>
        <v>12520</v>
      </c>
      <c r="N24" s="18">
        <f>'FS Seychelles'!L25</f>
        <v>9106</v>
      </c>
      <c r="O24" s="18">
        <f>'FS Seychelles'!M25</f>
        <v>5680</v>
      </c>
      <c r="P24" s="18">
        <f>'FS Seychelles'!N25</f>
        <v>0</v>
      </c>
      <c r="Q24" s="18">
        <f>'FS Seychelles'!O25</f>
        <v>7593</v>
      </c>
      <c r="R24" s="18">
        <f>'FS Seychelles'!Q25</f>
        <v>0</v>
      </c>
      <c r="S24" s="18">
        <f>'FS Seychelles'!S25</f>
        <v>64</v>
      </c>
      <c r="T24" s="18">
        <f>'FS Seychelles'!T25</f>
        <v>7</v>
      </c>
      <c r="U24" s="18">
        <f>'FS Seychelles'!U25</f>
        <v>86</v>
      </c>
      <c r="V24" s="18">
        <f>'FS Seychelles'!V25</f>
        <v>54</v>
      </c>
      <c r="W24" s="18">
        <f>'FS Seychelles'!W25</f>
        <v>0</v>
      </c>
      <c r="X24" s="18">
        <f>('FS Seychelles'!Z31+'FS Seychelles'!Z37)/30</f>
        <v>0</v>
      </c>
    </row>
    <row r="25" spans="1:24" ht="15">
      <c r="A25" s="1" t="s">
        <v>13</v>
      </c>
      <c r="B25" s="11">
        <f t="shared" si="0"/>
        <v>24</v>
      </c>
      <c r="C25" s="11">
        <f t="shared" si="1"/>
        <v>11</v>
      </c>
      <c r="D25" s="11">
        <v>2022</v>
      </c>
      <c r="E25" s="18">
        <f>'FS Seychelles'!B26</f>
        <v>74</v>
      </c>
      <c r="F25" s="18">
        <f>'FS Seychelles'!D26*1000</f>
        <v>3100</v>
      </c>
      <c r="G25" s="18">
        <f>'FS Seychelles'!E26*1000</f>
        <v>4320</v>
      </c>
      <c r="H25" s="18">
        <f>'FS Seychelles'!F26*1000</f>
        <v>5690</v>
      </c>
      <c r="I25" s="18">
        <f>'FS Seychelles'!G26*1000</f>
        <v>1420</v>
      </c>
      <c r="J25" s="18">
        <f>'FS Seychelles'!H26*1000</f>
        <v>1640</v>
      </c>
      <c r="K25" s="18">
        <f>'FS Seychelles'!I26*1000</f>
        <v>3860</v>
      </c>
      <c r="L25" s="18">
        <f>'FS Seychelles'!J26</f>
        <v>12331</v>
      </c>
      <c r="M25" s="18">
        <f>'FS Seychelles'!K26</f>
        <v>10878</v>
      </c>
      <c r="N25" s="18">
        <f>'FS Seychelles'!L26</f>
        <v>0</v>
      </c>
      <c r="O25" s="18">
        <f>'FS Seychelles'!M26</f>
        <v>11004</v>
      </c>
      <c r="P25" s="18">
        <f>'FS Seychelles'!N26</f>
        <v>0</v>
      </c>
      <c r="Q25" s="18">
        <f>'FS Seychelles'!O26</f>
        <v>8058</v>
      </c>
      <c r="R25" s="18">
        <f>'FS Seychelles'!Q26</f>
        <v>0</v>
      </c>
      <c r="S25" s="18">
        <f>'FS Seychelles'!S26</f>
        <v>56</v>
      </c>
      <c r="T25" s="18">
        <f>'FS Seychelles'!T26</f>
        <v>1</v>
      </c>
      <c r="U25" s="18">
        <f>'FS Seychelles'!U26</f>
        <v>55</v>
      </c>
      <c r="V25" s="18">
        <f>'FS Seychelles'!V26</f>
        <v>106</v>
      </c>
      <c r="W25" s="18">
        <f>'FS Seychelles'!W26</f>
        <v>0</v>
      </c>
      <c r="X25" s="18">
        <f>('FS Seychelles'!Z32+'FS Seychelles'!Z38)/30</f>
        <v>0</v>
      </c>
    </row>
    <row r="26" spans="1:24" ht="15">
      <c r="A26" s="1" t="s">
        <v>13</v>
      </c>
      <c r="B26" s="11">
        <f>B25+1</f>
        <v>25</v>
      </c>
      <c r="C26" s="11">
        <f t="shared" si="1"/>
        <v>11</v>
      </c>
      <c r="D26" s="11">
        <v>2022</v>
      </c>
      <c r="E26" s="18">
        <f>'FS Seychelles'!B27</f>
        <v>62.3</v>
      </c>
      <c r="F26" s="18">
        <f>'FS Seychelles'!D27*1000</f>
        <v>2810</v>
      </c>
      <c r="G26" s="18">
        <f>'FS Seychelles'!E27*1000</f>
        <v>4210</v>
      </c>
      <c r="H26" s="18">
        <f>'FS Seychelles'!F27*1000</f>
        <v>5340</v>
      </c>
      <c r="I26" s="18">
        <f>'FS Seychelles'!G27*1000</f>
        <v>1430</v>
      </c>
      <c r="J26" s="18">
        <f>'FS Seychelles'!H27*1000</f>
        <v>1650</v>
      </c>
      <c r="K26" s="18">
        <f>'FS Seychelles'!I27*1000</f>
        <v>3950</v>
      </c>
      <c r="L26" s="18">
        <f>'FS Seychelles'!J27</f>
        <v>3307</v>
      </c>
      <c r="M26" s="18">
        <f>'FS Seychelles'!K27</f>
        <v>14888</v>
      </c>
      <c r="N26" s="18">
        <f>'FS Seychelles'!L27</f>
        <v>0</v>
      </c>
      <c r="O26" s="18">
        <f>'FS Seychelles'!M27</f>
        <v>10936</v>
      </c>
      <c r="P26" s="18">
        <f>'FS Seychelles'!N27</f>
        <v>4355</v>
      </c>
      <c r="Q26" s="18">
        <f>'FS Seychelles'!O27</f>
        <v>7916</v>
      </c>
      <c r="R26" s="18">
        <f>'FS Seychelles'!Q27</f>
        <v>0</v>
      </c>
      <c r="S26" s="18">
        <f>'FS Seychelles'!S27</f>
        <v>58</v>
      </c>
      <c r="T26" s="18">
        <f>'FS Seychelles'!T27</f>
        <v>6</v>
      </c>
      <c r="U26" s="18">
        <f>'FS Seychelles'!U27</f>
        <v>75</v>
      </c>
      <c r="V26" s="18">
        <f>'FS Seychelles'!V27</f>
        <v>73</v>
      </c>
      <c r="W26" s="18">
        <f>'FS Seychelles'!W27</f>
        <v>0</v>
      </c>
      <c r="X26" s="18">
        <f>('FS Seychelles'!Z33+'FS Seychelles'!Z39)/30</f>
        <v>0</v>
      </c>
    </row>
    <row r="27" spans="1:24" ht="15">
      <c r="A27" s="1" t="s">
        <v>13</v>
      </c>
      <c r="B27" s="11">
        <f t="shared" si="0"/>
        <v>26</v>
      </c>
      <c r="C27" s="11">
        <f t="shared" si="1"/>
        <v>11</v>
      </c>
      <c r="D27" s="11">
        <v>2022</v>
      </c>
      <c r="E27" s="18">
        <f>'FS Seychelles'!B28</f>
        <v>53.2</v>
      </c>
      <c r="F27" s="18">
        <f>'FS Seychelles'!D28*1000</f>
        <v>3330</v>
      </c>
      <c r="G27" s="18">
        <f>'FS Seychelles'!E28*1000</f>
        <v>4530</v>
      </c>
      <c r="H27" s="18">
        <f>'FS Seychelles'!F28*1000</f>
        <v>5540</v>
      </c>
      <c r="I27" s="18">
        <f>'FS Seychelles'!G28*1000</f>
        <v>1430</v>
      </c>
      <c r="J27" s="18">
        <f>'FS Seychelles'!H28*1000</f>
        <v>1750</v>
      </c>
      <c r="K27" s="18">
        <f>'FS Seychelles'!I28*1000</f>
        <v>3920</v>
      </c>
      <c r="L27" s="18">
        <f>'FS Seychelles'!J28</f>
        <v>5514</v>
      </c>
      <c r="M27" s="18">
        <f>'FS Seychelles'!K28</f>
        <v>10318</v>
      </c>
      <c r="N27" s="18">
        <f>'FS Seychelles'!L28</f>
        <v>0</v>
      </c>
      <c r="O27" s="18">
        <f>'FS Seychelles'!M28</f>
        <v>0</v>
      </c>
      <c r="P27" s="18">
        <f>'FS Seychelles'!N28</f>
        <v>6032</v>
      </c>
      <c r="Q27" s="18">
        <f>'FS Seychelles'!O28</f>
        <v>4799</v>
      </c>
      <c r="R27" s="18">
        <f>'FS Seychelles'!Q28</f>
        <v>0</v>
      </c>
      <c r="S27" s="18">
        <f>'FS Seychelles'!S28</f>
        <v>66</v>
      </c>
      <c r="T27" s="18">
        <f>'FS Seychelles'!T28</f>
        <v>7</v>
      </c>
      <c r="U27" s="18">
        <f>'FS Seychelles'!U28</f>
        <v>82</v>
      </c>
      <c r="V27" s="18">
        <f>'FS Seychelles'!V28</f>
        <v>113</v>
      </c>
      <c r="W27" s="18">
        <f>'FS Seychelles'!W28</f>
        <v>0</v>
      </c>
      <c r="X27" s="18">
        <f>('FS Seychelles'!Z34+'FS Seychelles'!Z40)/30</f>
        <v>0</v>
      </c>
    </row>
    <row r="28" spans="1:24" ht="15">
      <c r="A28" s="1" t="s">
        <v>13</v>
      </c>
      <c r="B28" s="11">
        <f t="shared" si="0"/>
        <v>27</v>
      </c>
      <c r="C28" s="11">
        <f t="shared" si="1"/>
        <v>11</v>
      </c>
      <c r="D28" s="11">
        <v>2022</v>
      </c>
      <c r="E28" s="18">
        <f>'FS Seychelles'!B29</f>
        <v>64.900000000000006</v>
      </c>
      <c r="F28" s="18">
        <f>'FS Seychelles'!D29*1000</f>
        <v>3420</v>
      </c>
      <c r="G28" s="18">
        <f>'FS Seychelles'!E29*1000</f>
        <v>4910</v>
      </c>
      <c r="H28" s="18">
        <f>'FS Seychelles'!F29*1000</f>
        <v>5600</v>
      </c>
      <c r="I28" s="18">
        <f>'FS Seychelles'!G29*1000</f>
        <v>1440</v>
      </c>
      <c r="J28" s="18">
        <f>'FS Seychelles'!H29*1000</f>
        <v>1800</v>
      </c>
      <c r="K28" s="18">
        <f>'FS Seychelles'!I29*1000</f>
        <v>3950</v>
      </c>
      <c r="L28" s="18">
        <f>'FS Seychelles'!J29</f>
        <v>6857</v>
      </c>
      <c r="M28" s="18">
        <f>'FS Seychelles'!K29</f>
        <v>6628</v>
      </c>
      <c r="N28" s="18">
        <f>'FS Seychelles'!L29</f>
        <v>9415</v>
      </c>
      <c r="O28" s="18">
        <f>'FS Seychelles'!M29</f>
        <v>0</v>
      </c>
      <c r="P28" s="18">
        <f>'FS Seychelles'!N29</f>
        <v>13106</v>
      </c>
      <c r="Q28" s="18">
        <f>'FS Seychelles'!O29</f>
        <v>7460</v>
      </c>
      <c r="R28" s="18">
        <f>'FS Seychelles'!Q29</f>
        <v>0</v>
      </c>
      <c r="S28" s="18">
        <f>'FS Seychelles'!S29</f>
        <v>57</v>
      </c>
      <c r="T28" s="18">
        <f>'FS Seychelles'!T29</f>
        <v>5</v>
      </c>
      <c r="U28" s="18">
        <f>'FS Seychelles'!U29</f>
        <v>77</v>
      </c>
      <c r="V28" s="18">
        <f>'FS Seychelles'!V29</f>
        <v>100</v>
      </c>
      <c r="W28" s="18">
        <f>'FS Seychelles'!W29</f>
        <v>0</v>
      </c>
      <c r="X28" s="18">
        <f>('FS Seychelles'!Z35+'FS Seychelles'!Z41)/30</f>
        <v>0</v>
      </c>
    </row>
    <row r="29" spans="1:24" ht="15">
      <c r="A29" s="1" t="s">
        <v>13</v>
      </c>
      <c r="B29" s="11">
        <f t="shared" si="0"/>
        <v>28</v>
      </c>
      <c r="C29" s="11">
        <f t="shared" si="1"/>
        <v>11</v>
      </c>
      <c r="D29" s="11">
        <v>2022</v>
      </c>
      <c r="E29" s="18">
        <f>'FS Seychelles'!B30</f>
        <v>58.4</v>
      </c>
      <c r="F29" s="18">
        <f>'FS Seychelles'!D30*1000</f>
        <v>3780</v>
      </c>
      <c r="G29" s="18">
        <f>'FS Seychelles'!E30*1000</f>
        <v>4870</v>
      </c>
      <c r="H29" s="18">
        <f>'FS Seychelles'!F30*1000</f>
        <v>5800</v>
      </c>
      <c r="I29" s="18">
        <f>'FS Seychelles'!G30*1000</f>
        <v>1340</v>
      </c>
      <c r="J29" s="18">
        <f>'FS Seychelles'!H30*1000</f>
        <v>2040</v>
      </c>
      <c r="K29" s="18">
        <f>'FS Seychelles'!I30*1000</f>
        <v>4050</v>
      </c>
      <c r="L29" s="18">
        <f>'FS Seychelles'!J30</f>
        <v>5604</v>
      </c>
      <c r="M29" s="18">
        <f>'FS Seychelles'!K30</f>
        <v>8517</v>
      </c>
      <c r="N29" s="18">
        <f>'FS Seychelles'!L30</f>
        <v>13662</v>
      </c>
      <c r="O29" s="18">
        <f>'FS Seychelles'!M30</f>
        <v>0</v>
      </c>
      <c r="P29" s="18">
        <f>'FS Seychelles'!N30</f>
        <v>9757</v>
      </c>
      <c r="Q29" s="18">
        <f>'FS Seychelles'!O30</f>
        <v>8175</v>
      </c>
      <c r="R29" s="18">
        <f>'FS Seychelles'!Q30</f>
        <v>0</v>
      </c>
      <c r="S29" s="18">
        <f>'FS Seychelles'!S30</f>
        <v>67</v>
      </c>
      <c r="T29" s="18">
        <f>'FS Seychelles'!T30</f>
        <v>9</v>
      </c>
      <c r="U29" s="18">
        <f>'FS Seychelles'!U30</f>
        <v>95</v>
      </c>
      <c r="V29" s="18">
        <f>'FS Seychelles'!V30</f>
        <v>106</v>
      </c>
      <c r="W29" s="18">
        <f>'FS Seychelles'!W30</f>
        <v>0</v>
      </c>
      <c r="X29" s="18">
        <f>('FS Seychelles'!Z36+'FS Seychelles'!Z42)/30</f>
        <v>0</v>
      </c>
    </row>
    <row r="30" spans="1:24" ht="15">
      <c r="A30" s="1" t="s">
        <v>13</v>
      </c>
      <c r="B30" s="11">
        <f t="shared" si="0"/>
        <v>29</v>
      </c>
      <c r="C30" s="11">
        <f t="shared" si="1"/>
        <v>11</v>
      </c>
      <c r="D30" s="11">
        <v>2022</v>
      </c>
      <c r="E30" s="18">
        <f>'FS Seychelles'!B31</f>
        <v>50.9</v>
      </c>
      <c r="F30" s="18">
        <f>'FS Seychelles'!D31*1000</f>
        <v>3460</v>
      </c>
      <c r="G30" s="18">
        <f>'FS Seychelles'!E31*1000</f>
        <v>4610</v>
      </c>
      <c r="H30" s="18">
        <f>'FS Seychelles'!F31*1000</f>
        <v>5770</v>
      </c>
      <c r="I30" s="18">
        <f>'FS Seychelles'!G31*1000</f>
        <v>1440</v>
      </c>
      <c r="J30" s="18">
        <f>'FS Seychelles'!H31*1000</f>
        <v>1900</v>
      </c>
      <c r="K30" s="18">
        <f>'FS Seychelles'!I31*1000</f>
        <v>3980</v>
      </c>
      <c r="L30" s="18">
        <f>'FS Seychelles'!J31</f>
        <v>10010</v>
      </c>
      <c r="M30" s="18">
        <f>'FS Seychelles'!K31</f>
        <v>9904</v>
      </c>
      <c r="N30" s="18">
        <f>'FS Seychelles'!L31</f>
        <v>10946</v>
      </c>
      <c r="O30" s="18">
        <f>'FS Seychelles'!M31</f>
        <v>0</v>
      </c>
      <c r="P30" s="18">
        <f>'FS Seychelles'!N31</f>
        <v>6568</v>
      </c>
      <c r="Q30" s="18">
        <f>'FS Seychelles'!O31</f>
        <v>7743</v>
      </c>
      <c r="R30" s="18">
        <f>'FS Seychelles'!Q31</f>
        <v>0</v>
      </c>
      <c r="S30" s="18">
        <f>'FS Seychelles'!S31</f>
        <v>40</v>
      </c>
      <c r="T30" s="18">
        <f>'FS Seychelles'!T31</f>
        <v>-11</v>
      </c>
      <c r="U30" s="18">
        <f>'FS Seychelles'!U31</f>
        <v>69</v>
      </c>
      <c r="V30" s="18">
        <f>'FS Seychelles'!V31</f>
        <v>78</v>
      </c>
      <c r="W30" s="18">
        <f>'FS Seychelles'!W31</f>
        <v>0</v>
      </c>
      <c r="X30" s="18">
        <f>('FS Seychelles'!Z37+'FS Seychelles'!Z43)/30</f>
        <v>0</v>
      </c>
    </row>
    <row r="31" spans="1:24" ht="15">
      <c r="A31" s="1" t="s">
        <v>13</v>
      </c>
      <c r="B31" s="11">
        <f t="shared" si="0"/>
        <v>30</v>
      </c>
      <c r="C31" s="11">
        <f t="shared" si="1"/>
        <v>11</v>
      </c>
      <c r="D31" s="11">
        <v>2022</v>
      </c>
      <c r="E31" s="18">
        <f>'FS Seychelles'!B32</f>
        <v>0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</f>
        <v>0</v>
      </c>
      <c r="M31" s="18">
        <f>'FS Seychelles'!K32</f>
        <v>0</v>
      </c>
      <c r="N31" s="18">
        <f>'FS Seychelles'!L32</f>
        <v>0</v>
      </c>
      <c r="O31" s="18">
        <f>'FS Seychelles'!M32</f>
        <v>0</v>
      </c>
      <c r="P31" s="18">
        <f>'FS Seychelles'!N32</f>
        <v>0</v>
      </c>
      <c r="Q31" s="18">
        <f>'FS Seychelles'!O32</f>
        <v>0</v>
      </c>
      <c r="R31" s="18">
        <f>'FS Seychelles'!Q32</f>
        <v>0</v>
      </c>
      <c r="S31" s="18">
        <f>'FS Seychelles'!S32</f>
        <v>0</v>
      </c>
      <c r="T31" s="18">
        <f>'FS Seychelles'!T32</f>
        <v>0</v>
      </c>
      <c r="U31" s="18">
        <f>'FS Seychelles'!U32</f>
        <v>0</v>
      </c>
      <c r="V31" s="18">
        <f>'FS Seychelles'!V32</f>
        <v>0</v>
      </c>
      <c r="W31" s="18">
        <f>'FS Seychelles'!W32</f>
        <v>0</v>
      </c>
      <c r="X31" s="18">
        <f>('FS Seychelles'!Z38+'FS Seychelles'!Z44)/30</f>
        <v>0</v>
      </c>
    </row>
    <row r="32" spans="1:24" ht="15">
      <c r="A32" s="1" t="s">
        <v>13</v>
      </c>
    </row>
    <row r="33" ht="15"/>
    <row r="35" ht="15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6"/>
  <sheetViews>
    <sheetView showGridLines="0" zoomScaleNormal="100" workbookViewId="0">
      <pane xSplit="1" topLeftCell="O2" activePane="topRight" state="frozen"/>
      <selection pane="topRight" activeCell="X16" sqref="X16:Z32"/>
    </sheetView>
  </sheetViews>
  <sheetFormatPr defaultColWidth="9.140625" defaultRowHeight="13.9"/>
  <cols>
    <col min="1" max="1" width="10.5703125" style="19" bestFit="1" customWidth="1"/>
    <col min="2" max="3" width="12.7109375" style="19" customWidth="1"/>
    <col min="4" max="4" width="9.140625" style="19"/>
    <col min="5" max="6" width="9.140625" style="34"/>
    <col min="7" max="7" width="10.28515625" style="34" customWidth="1"/>
    <col min="8" max="8" width="9.140625" style="34"/>
    <col min="9" max="9" width="10.7109375" style="34" customWidth="1"/>
    <col min="10" max="10" width="13.42578125" style="19" customWidth="1"/>
    <col min="11" max="11" width="11.42578125" style="19" customWidth="1"/>
    <col min="12" max="12" width="11.7109375" style="19" customWidth="1"/>
    <col min="13" max="13" width="11.5703125" style="19" customWidth="1"/>
    <col min="14" max="14" width="11.7109375" style="19" customWidth="1"/>
    <col min="15" max="18" width="12" style="19" customWidth="1"/>
    <col min="19" max="23" width="11.28515625" style="19" customWidth="1"/>
    <col min="24" max="24" width="13.5703125" style="32" customWidth="1"/>
    <col min="25" max="26" width="9.140625" style="32"/>
    <col min="27" max="28" width="12.85546875" style="19" customWidth="1"/>
    <col min="29" max="29" width="29.85546875" style="19" customWidth="1"/>
    <col min="30" max="16384" width="9.140625" style="19"/>
  </cols>
  <sheetData>
    <row r="1" spans="1:30" ht="12.75">
      <c r="B1" s="131"/>
      <c r="D1" s="186"/>
      <c r="E1" s="186"/>
      <c r="F1" s="186"/>
      <c r="G1" s="186"/>
      <c r="H1" s="186"/>
      <c r="I1" s="186"/>
      <c r="T1" s="32"/>
    </row>
    <row r="2" spans="1:30" s="22" customFormat="1" ht="31.5" customHeight="1">
      <c r="A2" s="132" t="s">
        <v>33</v>
      </c>
      <c r="B2" s="133" t="s">
        <v>34</v>
      </c>
      <c r="C2" s="134" t="s">
        <v>35</v>
      </c>
      <c r="D2" s="135" t="s">
        <v>36</v>
      </c>
      <c r="E2" s="44" t="s">
        <v>37</v>
      </c>
      <c r="F2" s="44" t="s">
        <v>38</v>
      </c>
      <c r="G2" s="44" t="s">
        <v>39</v>
      </c>
      <c r="H2" s="44" t="s">
        <v>40</v>
      </c>
      <c r="I2" s="44" t="s">
        <v>41</v>
      </c>
      <c r="J2" s="45" t="s">
        <v>42</v>
      </c>
      <c r="K2" s="36" t="s">
        <v>43</v>
      </c>
      <c r="L2" s="36" t="s">
        <v>44</v>
      </c>
      <c r="M2" s="36" t="s">
        <v>45</v>
      </c>
      <c r="N2" s="36" t="s">
        <v>46</v>
      </c>
      <c r="O2" s="37" t="s">
        <v>47</v>
      </c>
      <c r="P2" s="37" t="s">
        <v>48</v>
      </c>
      <c r="Q2" s="37" t="s">
        <v>49</v>
      </c>
      <c r="R2" s="37" t="s">
        <v>50</v>
      </c>
      <c r="S2" s="35" t="s">
        <v>51</v>
      </c>
      <c r="T2" s="35" t="s">
        <v>52</v>
      </c>
      <c r="U2" s="35" t="s">
        <v>53</v>
      </c>
      <c r="V2" s="35" t="s">
        <v>54</v>
      </c>
      <c r="W2" s="49" t="s">
        <v>55</v>
      </c>
      <c r="X2" s="187" t="s">
        <v>6</v>
      </c>
      <c r="Y2" s="188"/>
      <c r="Z2" s="189"/>
      <c r="AA2" s="84" t="s">
        <v>56</v>
      </c>
      <c r="AB2" s="127" t="s">
        <v>57</v>
      </c>
      <c r="AC2" s="128" t="s">
        <v>58</v>
      </c>
    </row>
    <row r="3" spans="1:30" ht="15" customHeight="1">
      <c r="A3" s="136">
        <v>44866</v>
      </c>
      <c r="B3" s="137">
        <v>68.8</v>
      </c>
      <c r="C3" s="137">
        <v>472</v>
      </c>
      <c r="D3" s="161">
        <f>'EMS Gridvis'!B2</f>
        <v>2.88</v>
      </c>
      <c r="E3" s="161">
        <f>'EMS Gridvis'!C2</f>
        <v>4.54</v>
      </c>
      <c r="F3" s="161">
        <f>'EMS Gridvis'!D2</f>
        <v>5.44</v>
      </c>
      <c r="G3" s="161">
        <f>'EMS Gridvis'!H2</f>
        <v>1.45</v>
      </c>
      <c r="H3" s="161">
        <f>'EMS Gridvis'!I2</f>
        <v>1.45</v>
      </c>
      <c r="I3" s="161">
        <f>'EMS Gridvis'!J2</f>
        <v>3.96</v>
      </c>
      <c r="J3" s="46">
        <f>Generator!D4</f>
        <v>7113</v>
      </c>
      <c r="K3" s="42">
        <f>Generator!H4</f>
        <v>15674</v>
      </c>
      <c r="L3" s="31">
        <f>Generator!L4</f>
        <v>10502</v>
      </c>
      <c r="M3" s="31">
        <f>Generator!P4</f>
        <v>2301</v>
      </c>
      <c r="N3" s="31">
        <f>Generator!T4</f>
        <v>0</v>
      </c>
      <c r="O3" s="21">
        <f>SUM(Generator!C4,Generator!G4,Generator!K4,Generator!O4,Generator!S4)</f>
        <v>7865</v>
      </c>
      <c r="P3" s="21">
        <f>24.03/13.49</f>
        <v>1.7813194959229059</v>
      </c>
      <c r="Q3" s="21"/>
      <c r="R3" s="21">
        <v>1.84</v>
      </c>
      <c r="S3" s="30">
        <f>'RO Plant'!B4</f>
        <v>46</v>
      </c>
      <c r="T3" s="30">
        <f>'RO Plant'!N4</f>
        <v>18</v>
      </c>
      <c r="U3" s="20">
        <f>'RO Plant'!F4</f>
        <v>103</v>
      </c>
      <c r="V3" s="30">
        <f>'RO Plant'!I4</f>
        <v>102</v>
      </c>
      <c r="W3" s="69">
        <f>'RO Plant'!G4</f>
        <v>0</v>
      </c>
      <c r="X3" s="190" t="s">
        <v>59</v>
      </c>
      <c r="Y3" s="191"/>
      <c r="Z3" s="192"/>
      <c r="AA3" s="48">
        <f>AB3-AC3</f>
        <v>135</v>
      </c>
      <c r="AB3" s="154">
        <v>51397</v>
      </c>
      <c r="AC3" s="48">
        <v>51262</v>
      </c>
      <c r="AD3" s="146">
        <v>44865</v>
      </c>
    </row>
    <row r="4" spans="1:30" ht="12.75" customHeight="1">
      <c r="A4" s="136">
        <v>44867</v>
      </c>
      <c r="B4" s="43">
        <v>71.400000000000006</v>
      </c>
      <c r="C4" s="43">
        <v>485</v>
      </c>
      <c r="D4" s="161">
        <f>'EMS Gridvis'!B3</f>
        <v>2.63</v>
      </c>
      <c r="E4" s="161">
        <f>'EMS Gridvis'!C3</f>
        <v>4.24</v>
      </c>
      <c r="F4" s="161">
        <f>'EMS Gridvis'!D3</f>
        <v>5.43</v>
      </c>
      <c r="G4" s="161">
        <f>'EMS Gridvis'!H3</f>
        <v>1.43</v>
      </c>
      <c r="H4" s="161">
        <f>'EMS Gridvis'!I3</f>
        <v>1.43</v>
      </c>
      <c r="I4" s="161">
        <f>'EMS Gridvis'!J3</f>
        <v>3.88</v>
      </c>
      <c r="J4" s="46">
        <f>Generator!D5</f>
        <v>0</v>
      </c>
      <c r="K4" s="42">
        <f>Generator!H5</f>
        <v>9433</v>
      </c>
      <c r="L4" s="31">
        <f>Generator!L5</f>
        <v>9480</v>
      </c>
      <c r="M4" s="31">
        <f>Generator!P5</f>
        <v>5218</v>
      </c>
      <c r="N4" s="31">
        <f>Generator!T5</f>
        <v>9433</v>
      </c>
      <c r="O4" s="21">
        <f>SUM(Generator!C5,Generator!G5,Generator!K5,Generator!O5,Generator!S5)</f>
        <v>7424</v>
      </c>
      <c r="P4" s="21">
        <f t="shared" ref="P4:P32" si="0">24.03/13.49</f>
        <v>1.7813194959229059</v>
      </c>
      <c r="Q4" s="21"/>
      <c r="R4" s="21">
        <f>R3</f>
        <v>1.84</v>
      </c>
      <c r="S4" s="30">
        <f>'RO Plant'!B5</f>
        <v>61</v>
      </c>
      <c r="T4" s="30">
        <f>'RO Plant'!N5</f>
        <v>3</v>
      </c>
      <c r="U4" s="20">
        <f>'RO Plant'!F5</f>
        <v>71</v>
      </c>
      <c r="V4" s="30">
        <f>'RO Plant'!I5</f>
        <v>103</v>
      </c>
      <c r="W4" s="69">
        <f>'RO Plant'!G5</f>
        <v>0</v>
      </c>
      <c r="X4" s="63" t="s">
        <v>60</v>
      </c>
      <c r="Y4" s="33" t="s">
        <v>61</v>
      </c>
      <c r="Z4" s="77" t="s">
        <v>62</v>
      </c>
      <c r="AA4" s="48">
        <f>AB4-AB3</f>
        <v>158</v>
      </c>
      <c r="AB4" s="155">
        <v>51555</v>
      </c>
      <c r="AC4" s="48"/>
    </row>
    <row r="5" spans="1:30" ht="12.75">
      <c r="A5" s="136">
        <v>44868</v>
      </c>
      <c r="B5" s="43">
        <v>71.400000000000006</v>
      </c>
      <c r="C5" s="43">
        <v>493</v>
      </c>
      <c r="D5" s="161">
        <f>'EMS Gridvis'!B4</f>
        <v>2.9</v>
      </c>
      <c r="E5" s="161">
        <f>'EMS Gridvis'!C4</f>
        <v>4.3099999999999996</v>
      </c>
      <c r="F5" s="161">
        <f>'EMS Gridvis'!D4</f>
        <v>5.42</v>
      </c>
      <c r="G5" s="161">
        <f>'EMS Gridvis'!H4</f>
        <v>1.41</v>
      </c>
      <c r="H5" s="161">
        <f>'EMS Gridvis'!I4</f>
        <v>1.41</v>
      </c>
      <c r="I5" s="161">
        <f>'EMS Gridvis'!J4</f>
        <v>3.98</v>
      </c>
      <c r="J5" s="46">
        <f>Generator!D6</f>
        <v>0</v>
      </c>
      <c r="K5" s="42">
        <f>Generator!H6</f>
        <v>8437</v>
      </c>
      <c r="L5" s="31">
        <f>Generator!L6</f>
        <v>12258</v>
      </c>
      <c r="M5" s="31">
        <f>Generator!P6</f>
        <v>4105</v>
      </c>
      <c r="N5" s="31">
        <f>Generator!T6</f>
        <v>12130</v>
      </c>
      <c r="O5" s="21">
        <f>SUM(Generator!C6,Generator!G6,Generator!K6,Generator!O6,Generator!S6)</f>
        <v>8113</v>
      </c>
      <c r="P5" s="21">
        <f t="shared" si="0"/>
        <v>1.7813194959229059</v>
      </c>
      <c r="Q5" s="21"/>
      <c r="R5" s="21">
        <f t="shared" ref="R5:R33" si="1">R4</f>
        <v>1.84</v>
      </c>
      <c r="S5" s="30">
        <f>'RO Plant'!B6</f>
        <v>66</v>
      </c>
      <c r="T5" s="30">
        <f>'RO Plant'!N6</f>
        <v>5</v>
      </c>
      <c r="U5" s="20">
        <f>'RO Plant'!F6</f>
        <v>109</v>
      </c>
      <c r="V5" s="30">
        <f>'RO Plant'!I6</f>
        <v>104</v>
      </c>
      <c r="W5" s="69">
        <f>'RO Plant'!G6</f>
        <v>0</v>
      </c>
      <c r="X5" s="64">
        <v>9</v>
      </c>
      <c r="Y5" s="79">
        <v>0</v>
      </c>
      <c r="Z5" s="72">
        <f>X5*Y5</f>
        <v>0</v>
      </c>
      <c r="AA5" s="48">
        <f t="shared" ref="AA5:AA32" si="2">AB5-AB4</f>
        <v>100</v>
      </c>
      <c r="AB5" s="155">
        <v>51655</v>
      </c>
      <c r="AC5" s="48"/>
    </row>
    <row r="6" spans="1:30" ht="12.75">
      <c r="A6" s="136">
        <v>44869</v>
      </c>
      <c r="B6" s="43">
        <v>74</v>
      </c>
      <c r="C6" s="43">
        <v>533</v>
      </c>
      <c r="D6" s="161">
        <f>'EMS Gridvis'!B5</f>
        <v>2.87</v>
      </c>
      <c r="E6" s="161">
        <f>'EMS Gridvis'!C5</f>
        <v>4.51</v>
      </c>
      <c r="F6" s="161">
        <f>'EMS Gridvis'!D5</f>
        <v>5.54</v>
      </c>
      <c r="G6" s="161">
        <f>'EMS Gridvis'!H5</f>
        <v>1.44</v>
      </c>
      <c r="H6" s="161">
        <f>'EMS Gridvis'!I5</f>
        <v>1.44</v>
      </c>
      <c r="I6" s="161">
        <f>'EMS Gridvis'!J5</f>
        <v>4.0199999999999996</v>
      </c>
      <c r="J6" s="46">
        <f>Generator!D7</f>
        <v>0</v>
      </c>
      <c r="K6" s="42">
        <f>Generator!H7</f>
        <v>9950</v>
      </c>
      <c r="L6" s="31">
        <f>Generator!L7</f>
        <v>11102</v>
      </c>
      <c r="M6" s="31">
        <f>Generator!P7</f>
        <v>4561</v>
      </c>
      <c r="N6" s="31">
        <f>Generator!T7</f>
        <v>11057</v>
      </c>
      <c r="O6" s="21">
        <f>SUM(Generator!C7,Generator!G7,Generator!K7,Generator!O7,Generator!S7)</f>
        <v>7881</v>
      </c>
      <c r="P6" s="21">
        <f t="shared" si="0"/>
        <v>1.7813194959229059</v>
      </c>
      <c r="Q6" s="21"/>
      <c r="R6" s="21">
        <f t="shared" si="1"/>
        <v>1.84</v>
      </c>
      <c r="S6" s="30">
        <f>'RO Plant'!B7</f>
        <v>64</v>
      </c>
      <c r="T6" s="30">
        <f>'RO Plant'!N7</f>
        <v>4</v>
      </c>
      <c r="U6" s="20">
        <f>'RO Plant'!F7</f>
        <v>97</v>
      </c>
      <c r="V6" s="30">
        <f>'RO Plant'!I7</f>
        <v>76</v>
      </c>
      <c r="W6" s="69">
        <f>'RO Plant'!G7</f>
        <v>0</v>
      </c>
      <c r="X6" s="64">
        <v>10</v>
      </c>
      <c r="Y6" s="79">
        <v>0</v>
      </c>
      <c r="Z6" s="72">
        <f t="shared" ref="Z6:Z9" si="3">X6*Y6</f>
        <v>0</v>
      </c>
      <c r="AA6" s="48">
        <f t="shared" si="2"/>
        <v>129</v>
      </c>
      <c r="AB6" s="155">
        <v>51784</v>
      </c>
      <c r="AC6" s="48"/>
    </row>
    <row r="7" spans="1:30" ht="12.75">
      <c r="A7" s="136">
        <v>44870</v>
      </c>
      <c r="B7" s="43">
        <v>64.900000000000006</v>
      </c>
      <c r="C7" s="43">
        <v>476</v>
      </c>
      <c r="D7" s="161">
        <f>'EMS Gridvis'!B6</f>
        <v>2.79</v>
      </c>
      <c r="E7" s="161">
        <f>'EMS Gridvis'!C6</f>
        <v>4.4000000000000004</v>
      </c>
      <c r="F7" s="161">
        <f>'EMS Gridvis'!D6</f>
        <v>5.66</v>
      </c>
      <c r="G7" s="161">
        <f>'EMS Gridvis'!H6</f>
        <v>1.43</v>
      </c>
      <c r="H7" s="161">
        <f>'EMS Gridvis'!I6</f>
        <v>1.43</v>
      </c>
      <c r="I7" s="161">
        <f>'EMS Gridvis'!J6</f>
        <v>3.87</v>
      </c>
      <c r="J7" s="46">
        <f>Generator!D8</f>
        <v>0</v>
      </c>
      <c r="K7" s="42">
        <f>Generator!H8</f>
        <v>7759</v>
      </c>
      <c r="L7" s="31">
        <f>Generator!L8</f>
        <v>8406</v>
      </c>
      <c r="M7" s="31">
        <f>Generator!P8</f>
        <v>10187</v>
      </c>
      <c r="N7" s="31">
        <f>Generator!T8</f>
        <v>10263</v>
      </c>
      <c r="O7" s="21">
        <f>SUM(Generator!C8,Generator!G8,Generator!K8,Generator!O8,Generator!S8)</f>
        <v>8513</v>
      </c>
      <c r="P7" s="21">
        <f t="shared" si="0"/>
        <v>1.7813194959229059</v>
      </c>
      <c r="Q7" s="21"/>
      <c r="R7" s="21">
        <f t="shared" si="1"/>
        <v>1.84</v>
      </c>
      <c r="S7" s="30">
        <f>'RO Plant'!B8</f>
        <v>63</v>
      </c>
      <c r="T7" s="30">
        <f>'RO Plant'!N8</f>
        <v>13</v>
      </c>
      <c r="U7" s="20">
        <f>'RO Plant'!F8</f>
        <v>83</v>
      </c>
      <c r="V7" s="30">
        <f>'RO Plant'!I8</f>
        <v>100</v>
      </c>
      <c r="W7" s="69">
        <f>'RO Plant'!G8</f>
        <v>0</v>
      </c>
      <c r="X7" s="65">
        <v>12</v>
      </c>
      <c r="Y7" s="80">
        <v>0</v>
      </c>
      <c r="Z7" s="129">
        <f t="shared" si="3"/>
        <v>0</v>
      </c>
      <c r="AA7" s="48">
        <f>AB7-AB6</f>
        <v>120</v>
      </c>
      <c r="AB7" s="155">
        <v>51904</v>
      </c>
      <c r="AC7" s="48"/>
    </row>
    <row r="8" spans="1:30" ht="12.75">
      <c r="A8" s="136">
        <v>44871</v>
      </c>
      <c r="B8" s="43">
        <v>68.8</v>
      </c>
      <c r="C8" s="43">
        <v>463</v>
      </c>
      <c r="D8" s="161">
        <f>'EMS Gridvis'!B7</f>
        <v>2.54</v>
      </c>
      <c r="E8" s="161">
        <f>'EMS Gridvis'!C7</f>
        <v>3.91</v>
      </c>
      <c r="F8" s="161">
        <f>'EMS Gridvis'!D7</f>
        <v>5.49</v>
      </c>
      <c r="G8" s="161">
        <f>'EMS Gridvis'!H7</f>
        <v>1.33</v>
      </c>
      <c r="H8" s="161">
        <f>'EMS Gridvis'!I7</f>
        <v>1.33</v>
      </c>
      <c r="I8" s="161">
        <f>'EMS Gridvis'!J7</f>
        <v>3.59</v>
      </c>
      <c r="J8" s="46">
        <f>Generator!D9</f>
        <v>0</v>
      </c>
      <c r="K8" s="42">
        <f>Generator!H9</f>
        <v>5577</v>
      </c>
      <c r="L8" s="31">
        <f>Generator!L9</f>
        <v>10731</v>
      </c>
      <c r="M8" s="31">
        <f>Generator!P9</f>
        <v>5511</v>
      </c>
      <c r="N8" s="31">
        <f>Generator!T9</f>
        <v>10581</v>
      </c>
      <c r="O8" s="21">
        <f>SUM(Generator!C9,Generator!G9,Generator!K9,Generator!O9,Generator!S9)</f>
        <v>7195</v>
      </c>
      <c r="P8" s="21">
        <f t="shared" si="0"/>
        <v>1.7813194959229059</v>
      </c>
      <c r="Q8" s="21"/>
      <c r="R8" s="21">
        <f t="shared" si="1"/>
        <v>1.84</v>
      </c>
      <c r="S8" s="30">
        <f>'RO Plant'!B9</f>
        <v>54</v>
      </c>
      <c r="T8" s="30">
        <f>'RO Plant'!N9</f>
        <v>9</v>
      </c>
      <c r="U8" s="20">
        <f>'RO Plant'!F9</f>
        <v>76</v>
      </c>
      <c r="V8" s="30">
        <f>'RO Plant'!I9</f>
        <v>82</v>
      </c>
      <c r="W8" s="69">
        <f>'RO Plant'!G9</f>
        <v>0</v>
      </c>
      <c r="X8" s="59">
        <v>20</v>
      </c>
      <c r="Y8" s="80">
        <v>0</v>
      </c>
      <c r="Z8" s="72">
        <f t="shared" si="3"/>
        <v>0</v>
      </c>
      <c r="AA8" s="48">
        <f t="shared" si="2"/>
        <v>156</v>
      </c>
      <c r="AB8" s="155">
        <v>52060</v>
      </c>
      <c r="AC8" s="48"/>
    </row>
    <row r="9" spans="1:30" ht="15" customHeight="1">
      <c r="A9" s="136">
        <v>44872</v>
      </c>
      <c r="B9" s="43">
        <v>74</v>
      </c>
      <c r="C9" s="43">
        <v>412</v>
      </c>
      <c r="D9" s="161">
        <f>'EMS Gridvis'!B8</f>
        <v>2.64</v>
      </c>
      <c r="E9" s="161">
        <f>'EMS Gridvis'!C8</f>
        <v>4.22</v>
      </c>
      <c r="F9" s="161">
        <f>'EMS Gridvis'!D8</f>
        <v>5.64</v>
      </c>
      <c r="G9" s="161">
        <f>'EMS Gridvis'!H8</f>
        <v>1.44</v>
      </c>
      <c r="H9" s="161">
        <f>'EMS Gridvis'!I8</f>
        <v>1.44</v>
      </c>
      <c r="I9" s="161">
        <f>'EMS Gridvis'!J8</f>
        <v>3.92</v>
      </c>
      <c r="J9" s="46">
        <f>Generator!D10</f>
        <v>0</v>
      </c>
      <c r="K9" s="42">
        <f>Generator!H10</f>
        <v>2961</v>
      </c>
      <c r="L9" s="31">
        <f>Generator!L10</f>
        <v>10293</v>
      </c>
      <c r="M9" s="31">
        <f>Generator!P10</f>
        <v>10604</v>
      </c>
      <c r="N9" s="31">
        <f>Generator!T10</f>
        <v>9549</v>
      </c>
      <c r="O9" s="21">
        <f>SUM(Generator!C10,Generator!G10,Generator!K10,Generator!O10,Generator!S10)</f>
        <v>7544</v>
      </c>
      <c r="P9" s="21">
        <f t="shared" si="0"/>
        <v>1.7813194959229059</v>
      </c>
      <c r="Q9" s="21"/>
      <c r="R9" s="21">
        <f t="shared" si="1"/>
        <v>1.84</v>
      </c>
      <c r="S9" s="30">
        <f>'RO Plant'!B10</f>
        <v>64</v>
      </c>
      <c r="T9" s="30">
        <f>'RO Plant'!N10</f>
        <v>11</v>
      </c>
      <c r="U9" s="20">
        <f>'RO Plant'!F10</f>
        <v>57</v>
      </c>
      <c r="V9" s="30">
        <f>'RO Plant'!I10</f>
        <v>86</v>
      </c>
      <c r="W9" s="69">
        <f>'RO Plant'!G10</f>
        <v>0</v>
      </c>
      <c r="X9" s="59">
        <v>24</v>
      </c>
      <c r="Y9" s="80">
        <v>0</v>
      </c>
      <c r="Z9" s="72">
        <f t="shared" si="3"/>
        <v>0</v>
      </c>
      <c r="AA9" s="48">
        <f>AB9-AB8</f>
        <v>163</v>
      </c>
      <c r="AB9" s="155">
        <v>52223</v>
      </c>
      <c r="AC9" s="48"/>
    </row>
    <row r="10" spans="1:30" ht="15.75" customHeight="1">
      <c r="A10" s="136">
        <v>44873</v>
      </c>
      <c r="B10" s="43">
        <v>68.8</v>
      </c>
      <c r="C10" s="43">
        <v>370</v>
      </c>
      <c r="D10" s="161">
        <f>'EMS Gridvis'!B9</f>
        <v>2.88</v>
      </c>
      <c r="E10" s="161">
        <f>'EMS Gridvis'!C9</f>
        <v>4.47</v>
      </c>
      <c r="F10" s="161">
        <f>'EMS Gridvis'!D9</f>
        <v>5.58</v>
      </c>
      <c r="G10" s="161">
        <f>'EMS Gridvis'!H9</f>
        <v>1.38</v>
      </c>
      <c r="H10" s="161">
        <f>'EMS Gridvis'!I9</f>
        <v>1.38</v>
      </c>
      <c r="I10" s="161">
        <f>'EMS Gridvis'!J9</f>
        <v>3.96</v>
      </c>
      <c r="J10" s="46">
        <f>Generator!D11</f>
        <v>0</v>
      </c>
      <c r="K10" s="42">
        <f>Generator!H11</f>
        <v>10678</v>
      </c>
      <c r="L10" s="31">
        <f>Generator!L11</f>
        <v>10119</v>
      </c>
      <c r="M10" s="31">
        <f>Generator!P11</f>
        <v>5390</v>
      </c>
      <c r="N10" s="31">
        <f>Generator!T11</f>
        <v>10161</v>
      </c>
      <c r="O10" s="21">
        <f>SUM(Generator!C11,Generator!G11,Generator!K11,Generator!O11,Generator!S11)</f>
        <v>8074</v>
      </c>
      <c r="P10" s="21">
        <f t="shared" si="0"/>
        <v>1.7813194959229059</v>
      </c>
      <c r="Q10" s="21"/>
      <c r="R10" s="21">
        <f>25.21/13.6813</f>
        <v>1.8426611506216515</v>
      </c>
      <c r="S10" s="30">
        <f>'RO Plant'!B11</f>
        <v>60</v>
      </c>
      <c r="T10" s="30">
        <f>'RO Plant'!N11</f>
        <v>4</v>
      </c>
      <c r="U10" s="20">
        <f>'RO Plant'!F11</f>
        <v>106</v>
      </c>
      <c r="V10" s="30">
        <f>'RO Plant'!I11</f>
        <v>120</v>
      </c>
      <c r="W10" s="69">
        <f>'RO Plant'!G11</f>
        <v>0</v>
      </c>
      <c r="X10" s="66"/>
      <c r="Y10" s="58" t="s">
        <v>63</v>
      </c>
      <c r="Z10" s="59">
        <f>SUM(Z5:Z9)</f>
        <v>0</v>
      </c>
      <c r="AA10" s="48">
        <f t="shared" si="2"/>
        <v>105</v>
      </c>
      <c r="AB10" s="155">
        <v>52328</v>
      </c>
      <c r="AC10" s="48"/>
    </row>
    <row r="11" spans="1:30" ht="15" customHeight="1">
      <c r="A11" s="136">
        <v>44874</v>
      </c>
      <c r="B11" s="43">
        <v>68.8</v>
      </c>
      <c r="C11" s="43">
        <v>372</v>
      </c>
      <c r="D11" s="161">
        <f>'EMS Gridvis'!B10</f>
        <v>2.97</v>
      </c>
      <c r="E11" s="161">
        <f>'EMS Gridvis'!C10</f>
        <v>4.42</v>
      </c>
      <c r="F11" s="161">
        <f>'EMS Gridvis'!D10</f>
        <v>5.61</v>
      </c>
      <c r="G11" s="161">
        <f>'EMS Gridvis'!H10</f>
        <v>1.38</v>
      </c>
      <c r="H11" s="161">
        <f>'EMS Gridvis'!I10</f>
        <v>1.38</v>
      </c>
      <c r="I11" s="161">
        <f>'EMS Gridvis'!J10</f>
        <v>3.92</v>
      </c>
      <c r="J11" s="46">
        <f>Generator!D12</f>
        <v>0</v>
      </c>
      <c r="K11" s="42">
        <f>Generator!H12</f>
        <v>10175</v>
      </c>
      <c r="L11" s="31">
        <f>Generator!L12</f>
        <v>8645</v>
      </c>
      <c r="M11" s="31">
        <f>Generator!P12</f>
        <v>5077</v>
      </c>
      <c r="N11" s="31">
        <f>Generator!T12</f>
        <v>10119</v>
      </c>
      <c r="O11" s="21">
        <f>SUM(Generator!C12,Generator!G12,Generator!K12,Generator!O12,Generator!S12)</f>
        <v>7060</v>
      </c>
      <c r="P11" s="21">
        <f t="shared" si="0"/>
        <v>1.7813194959229059</v>
      </c>
      <c r="Q11" s="21"/>
      <c r="R11" s="21">
        <f t="shared" si="1"/>
        <v>1.8426611506216515</v>
      </c>
      <c r="S11" s="30">
        <f>'RO Plant'!B12</f>
        <v>72</v>
      </c>
      <c r="T11" s="30">
        <f>'RO Plant'!N12</f>
        <v>7</v>
      </c>
      <c r="U11" s="20">
        <f>'RO Plant'!F12</f>
        <v>40</v>
      </c>
      <c r="V11" s="30">
        <f>'RO Plant'!I12</f>
        <v>100</v>
      </c>
      <c r="W11" s="69">
        <f>'RO Plant'!G12</f>
        <v>0</v>
      </c>
      <c r="X11" s="193" t="s">
        <v>64</v>
      </c>
      <c r="Y11" s="194"/>
      <c r="Z11" s="195"/>
      <c r="AA11" s="48">
        <f>AB11-AB10</f>
        <v>99</v>
      </c>
      <c r="AB11" s="155">
        <v>52427</v>
      </c>
      <c r="AC11" s="48"/>
    </row>
    <row r="12" spans="1:30" ht="15" customHeight="1">
      <c r="A12" s="136">
        <v>44875</v>
      </c>
      <c r="B12" s="43">
        <v>68.8</v>
      </c>
      <c r="C12" s="43">
        <v>428</v>
      </c>
      <c r="D12" s="161">
        <f>'EMS Gridvis'!B11</f>
        <v>3.03</v>
      </c>
      <c r="E12" s="161">
        <f>'EMS Gridvis'!C11</f>
        <v>4.42</v>
      </c>
      <c r="F12" s="161">
        <f>'EMS Gridvis'!D11</f>
        <v>5.74</v>
      </c>
      <c r="G12" s="161">
        <f>'EMS Gridvis'!H11</f>
        <v>1.4</v>
      </c>
      <c r="H12" s="161">
        <f>'EMS Gridvis'!I11</f>
        <v>1.4</v>
      </c>
      <c r="I12" s="161">
        <f>'EMS Gridvis'!J11</f>
        <v>3.9</v>
      </c>
      <c r="J12" s="46">
        <f>Generator!D13</f>
        <v>0</v>
      </c>
      <c r="K12" s="42">
        <f>Generator!H13</f>
        <v>10083</v>
      </c>
      <c r="L12" s="31">
        <f>Generator!L13</f>
        <v>12804</v>
      </c>
      <c r="M12" s="31">
        <f>Generator!P13</f>
        <v>1515</v>
      </c>
      <c r="N12" s="31">
        <f>Generator!T13</f>
        <v>8960</v>
      </c>
      <c r="O12" s="21">
        <f>SUM(Generator!C13,Generator!G13,Generator!K13,Generator!O13,Generator!S13)</f>
        <v>7229</v>
      </c>
      <c r="P12" s="21">
        <f t="shared" si="0"/>
        <v>1.7813194959229059</v>
      </c>
      <c r="Q12" s="21"/>
      <c r="R12" s="21">
        <f t="shared" si="1"/>
        <v>1.8426611506216515</v>
      </c>
      <c r="S12" s="30">
        <f>'RO Plant'!B13</f>
        <v>62</v>
      </c>
      <c r="T12" s="30">
        <f>'RO Plant'!N13</f>
        <v>4</v>
      </c>
      <c r="U12" s="20">
        <f>'RO Plant'!F13</f>
        <v>47</v>
      </c>
      <c r="V12" s="30">
        <f>'RO Plant'!I13</f>
        <v>56</v>
      </c>
      <c r="W12" s="69">
        <f>'RO Plant'!G13</f>
        <v>0</v>
      </c>
      <c r="X12" s="67"/>
      <c r="Y12" s="196" t="s">
        <v>65</v>
      </c>
      <c r="Z12" s="197"/>
      <c r="AA12" s="48">
        <f>AB12-AB11</f>
        <v>126</v>
      </c>
      <c r="AB12" s="155">
        <v>52553</v>
      </c>
      <c r="AC12" s="48"/>
    </row>
    <row r="13" spans="1:30" ht="15" customHeight="1">
      <c r="A13" s="136">
        <v>44876</v>
      </c>
      <c r="B13" s="43">
        <v>71.400000000000006</v>
      </c>
      <c r="C13" s="43">
        <v>400</v>
      </c>
      <c r="D13" s="161">
        <f>'EMS Gridvis'!B12</f>
        <v>3.06</v>
      </c>
      <c r="E13" s="161">
        <f>'EMS Gridvis'!C12</f>
        <v>4.5199999999999996</v>
      </c>
      <c r="F13" s="161">
        <f>'EMS Gridvis'!D12</f>
        <v>5.65</v>
      </c>
      <c r="G13" s="161">
        <f>'EMS Gridvis'!H12</f>
        <v>1.44</v>
      </c>
      <c r="H13" s="161">
        <f>'EMS Gridvis'!I12</f>
        <v>1.44</v>
      </c>
      <c r="I13" s="161">
        <f>'EMS Gridvis'!J12</f>
        <v>3.97</v>
      </c>
      <c r="J13" s="46">
        <f>Generator!D14</f>
        <v>0</v>
      </c>
      <c r="K13" s="42">
        <f>Generator!H14</f>
        <v>9928</v>
      </c>
      <c r="L13" s="31">
        <f>Generator!L14</f>
        <v>9840</v>
      </c>
      <c r="M13" s="31">
        <f>Generator!P14</f>
        <v>8738</v>
      </c>
      <c r="N13" s="31">
        <f>Generator!T14</f>
        <v>8476</v>
      </c>
      <c r="O13" s="21">
        <f>SUM(Generator!C14,Generator!G14,Generator!K14,Generator!O14,Generator!S14)</f>
        <v>7869</v>
      </c>
      <c r="P13" s="21">
        <f t="shared" si="0"/>
        <v>1.7813194959229059</v>
      </c>
      <c r="Q13" s="21"/>
      <c r="R13" s="21">
        <f t="shared" si="1"/>
        <v>1.8426611506216515</v>
      </c>
      <c r="S13" s="30">
        <f>'RO Plant'!B14</f>
        <v>63</v>
      </c>
      <c r="T13" s="30">
        <f>'RO Plant'!N14</f>
        <v>3</v>
      </c>
      <c r="U13" s="20">
        <f>'RO Plant'!F14</f>
        <v>73</v>
      </c>
      <c r="V13" s="30">
        <f>'RO Plant'!I14</f>
        <v>103</v>
      </c>
      <c r="W13" s="69">
        <f>'RO Plant'!G14</f>
        <v>0</v>
      </c>
      <c r="X13" s="68" t="s">
        <v>66</v>
      </c>
      <c r="Y13" s="179">
        <v>5250</v>
      </c>
      <c r="Z13" s="180"/>
      <c r="AA13" s="48">
        <f>AB13-AB12</f>
        <v>104</v>
      </c>
      <c r="AB13" s="155">
        <v>52657</v>
      </c>
      <c r="AC13" s="48"/>
    </row>
    <row r="14" spans="1:30" ht="15" customHeight="1">
      <c r="A14" s="136">
        <v>44877</v>
      </c>
      <c r="B14" s="43">
        <v>55.8</v>
      </c>
      <c r="C14" s="43">
        <v>390</v>
      </c>
      <c r="D14" s="161">
        <f>'EMS Gridvis'!B13</f>
        <v>3.11</v>
      </c>
      <c r="E14" s="161">
        <f>'EMS Gridvis'!C13</f>
        <v>4.4400000000000004</v>
      </c>
      <c r="F14" s="161">
        <f>'EMS Gridvis'!D13</f>
        <v>5.96</v>
      </c>
      <c r="G14" s="161">
        <f>'EMS Gridvis'!H13</f>
        <v>1.4</v>
      </c>
      <c r="H14" s="161">
        <f>'EMS Gridvis'!I13</f>
        <v>1.4</v>
      </c>
      <c r="I14" s="161">
        <f>'EMS Gridvis'!J13</f>
        <v>3.85</v>
      </c>
      <c r="J14" s="46">
        <f>Generator!D15</f>
        <v>0</v>
      </c>
      <c r="K14" s="42">
        <f>Generator!H15</f>
        <v>10125</v>
      </c>
      <c r="L14" s="31">
        <f>Generator!L15</f>
        <v>3132</v>
      </c>
      <c r="M14" s="31">
        <f>Generator!P15</f>
        <v>10282</v>
      </c>
      <c r="N14" s="31">
        <f>Generator!T15</f>
        <v>10860</v>
      </c>
      <c r="O14" s="21">
        <f>SUM(Generator!C15,Generator!G15,Generator!K15,Generator!O15,Generator!S15)</f>
        <v>7894</v>
      </c>
      <c r="P14" s="21">
        <f t="shared" si="0"/>
        <v>1.7813194959229059</v>
      </c>
      <c r="Q14" s="21"/>
      <c r="R14" s="21">
        <f t="shared" si="1"/>
        <v>1.8426611506216515</v>
      </c>
      <c r="S14" s="30">
        <f>'RO Plant'!B15</f>
        <v>57</v>
      </c>
      <c r="T14" s="30">
        <f>'RO Plant'!N15</f>
        <v>8</v>
      </c>
      <c r="U14" s="20">
        <f>'RO Plant'!F15</f>
        <v>55</v>
      </c>
      <c r="V14" s="30">
        <f>'RO Plant'!I15</f>
        <v>100</v>
      </c>
      <c r="W14" s="69">
        <f>'RO Plant'!G15</f>
        <v>0</v>
      </c>
      <c r="X14" s="68" t="s">
        <v>67</v>
      </c>
      <c r="Y14" s="181">
        <v>3620</v>
      </c>
      <c r="Z14" s="182"/>
      <c r="AA14" s="48">
        <f>AB14-AB13</f>
        <v>163</v>
      </c>
      <c r="AB14" s="48">
        <v>52820</v>
      </c>
      <c r="AC14" s="48"/>
    </row>
    <row r="15" spans="1:30" ht="15">
      <c r="A15" s="136">
        <v>44878</v>
      </c>
      <c r="B15" s="125">
        <v>63.6</v>
      </c>
      <c r="C15" s="125">
        <v>368</v>
      </c>
      <c r="D15" s="161">
        <f>'EMS Gridvis'!B14</f>
        <v>3.16</v>
      </c>
      <c r="E15" s="161">
        <f>'EMS Gridvis'!C14</f>
        <v>4.33</v>
      </c>
      <c r="F15" s="161">
        <f>'EMS Gridvis'!D14</f>
        <v>5.54</v>
      </c>
      <c r="G15" s="161">
        <f>'EMS Gridvis'!H14</f>
        <v>1.37</v>
      </c>
      <c r="H15" s="161">
        <f>'EMS Gridvis'!I14</f>
        <v>1.37</v>
      </c>
      <c r="I15" s="161">
        <f>'EMS Gridvis'!J14</f>
        <v>3.76</v>
      </c>
      <c r="J15" s="118">
        <f>Generator!D16</f>
        <v>0</v>
      </c>
      <c r="K15" s="119">
        <f>Generator!H16</f>
        <v>10886</v>
      </c>
      <c r="L15" s="120">
        <f>Generator!L16</f>
        <v>9732</v>
      </c>
      <c r="M15" s="120">
        <f>Generator!P16</f>
        <v>4424</v>
      </c>
      <c r="N15" s="120">
        <f>Generator!T16</f>
        <v>8198</v>
      </c>
      <c r="O15" s="121">
        <f>SUM(Generator!C16,Generator!G16,Generator!K16,Generator!O16,Generator!S16)</f>
        <v>7360</v>
      </c>
      <c r="P15" s="21">
        <f t="shared" si="0"/>
        <v>1.7813194959229059</v>
      </c>
      <c r="Q15" s="121"/>
      <c r="R15" s="121">
        <f t="shared" si="1"/>
        <v>1.8426611506216515</v>
      </c>
      <c r="S15" s="53">
        <f>'RO Plant'!B16</f>
        <v>59</v>
      </c>
      <c r="T15" s="53">
        <f>'RO Plant'!N16</f>
        <v>8</v>
      </c>
      <c r="U15" s="54">
        <f>'RO Plant'!F16</f>
        <v>76</v>
      </c>
      <c r="V15" s="53">
        <f>'RO Plant'!I16</f>
        <v>76</v>
      </c>
      <c r="W15" s="73">
        <f>'RO Plant'!G16</f>
        <v>0</v>
      </c>
      <c r="X15" s="75"/>
      <c r="Y15" s="76" t="s">
        <v>63</v>
      </c>
      <c r="Z15" s="78">
        <f>SUM(Y13:Z14)</f>
        <v>8870</v>
      </c>
      <c r="AA15" s="48">
        <f>AB15-AB14</f>
        <v>102</v>
      </c>
      <c r="AB15" s="156">
        <v>52922</v>
      </c>
      <c r="AC15" s="48"/>
    </row>
    <row r="16" spans="1:30" ht="15" customHeight="1">
      <c r="A16" s="136">
        <v>44879</v>
      </c>
      <c r="B16" s="39">
        <v>49.4</v>
      </c>
      <c r="C16" s="39">
        <v>297</v>
      </c>
      <c r="D16" s="161">
        <f>'EMS Gridvis'!B15</f>
        <v>3.2</v>
      </c>
      <c r="E16" s="161">
        <f>'EMS Gridvis'!C15</f>
        <v>4.2300000000000004</v>
      </c>
      <c r="F16" s="161">
        <f>'EMS Gridvis'!D15</f>
        <v>5.41</v>
      </c>
      <c r="G16" s="161">
        <f>'EMS Gridvis'!H15</f>
        <v>1.38</v>
      </c>
      <c r="H16" s="161">
        <f>'EMS Gridvis'!I15</f>
        <v>1.38</v>
      </c>
      <c r="I16" s="161">
        <f>'EMS Gridvis'!J15</f>
        <v>3.98</v>
      </c>
      <c r="J16" s="123">
        <f>Generator!D17</f>
        <v>0</v>
      </c>
      <c r="K16" s="123">
        <f>Generator!H17</f>
        <v>8443</v>
      </c>
      <c r="L16" s="123">
        <f>Generator!L17</f>
        <v>6902</v>
      </c>
      <c r="M16" s="123">
        <f>Generator!P17</f>
        <v>6491</v>
      </c>
      <c r="N16" s="123">
        <f>Generator!T17</f>
        <v>11969</v>
      </c>
      <c r="O16" s="124">
        <f>SUM(Generator!C17,Generator!G17,Generator!K17,Generator!O17,Generator!S17)</f>
        <v>7598</v>
      </c>
      <c r="P16" s="21">
        <f t="shared" si="0"/>
        <v>1.7813194959229059</v>
      </c>
      <c r="Q16" s="124"/>
      <c r="R16" s="124">
        <f t="shared" si="1"/>
        <v>1.8426611506216515</v>
      </c>
      <c r="S16" s="52">
        <f>'RO Plant'!B17</f>
        <v>59</v>
      </c>
      <c r="T16" s="52">
        <f>'RO Plant'!N17</f>
        <v>3</v>
      </c>
      <c r="U16" s="48">
        <f>'RO Plant'!F17</f>
        <v>66</v>
      </c>
      <c r="V16" s="52">
        <f>'RO Plant'!I17</f>
        <v>49</v>
      </c>
      <c r="W16" s="69">
        <f>'RO Plant'!G17</f>
        <v>0</v>
      </c>
      <c r="X16" s="183"/>
      <c r="Y16" s="184"/>
      <c r="Z16" s="184"/>
      <c r="AA16" s="48">
        <f>AB16-AB15</f>
        <v>91</v>
      </c>
      <c r="AB16" s="155">
        <v>53013</v>
      </c>
      <c r="AC16" s="48"/>
    </row>
    <row r="17" spans="1:29" ht="15" customHeight="1">
      <c r="A17" s="136">
        <v>44880</v>
      </c>
      <c r="B17" s="39">
        <v>51.9</v>
      </c>
      <c r="C17" s="39">
        <v>306</v>
      </c>
      <c r="D17" s="161">
        <f>'EMS Gridvis'!B16</f>
        <v>3.46</v>
      </c>
      <c r="E17" s="161">
        <f>'EMS Gridvis'!C16</f>
        <v>4.3899999999999997</v>
      </c>
      <c r="F17" s="161">
        <f>'EMS Gridvis'!D16</f>
        <v>5.68</v>
      </c>
      <c r="G17" s="161">
        <f>'EMS Gridvis'!H16</f>
        <v>1.38</v>
      </c>
      <c r="H17" s="161">
        <f>'EMS Gridvis'!I16</f>
        <v>1.38</v>
      </c>
      <c r="I17" s="161">
        <f>'EMS Gridvis'!J16</f>
        <v>3.99</v>
      </c>
      <c r="J17" s="123">
        <f>Generator!D18</f>
        <v>0</v>
      </c>
      <c r="K17" s="123">
        <f>Generator!H18</f>
        <v>14676</v>
      </c>
      <c r="L17" s="123">
        <f>Generator!L18</f>
        <v>9787</v>
      </c>
      <c r="M17" s="123">
        <f>Generator!P18</f>
        <v>0</v>
      </c>
      <c r="N17" s="123">
        <f>Generator!T18</f>
        <v>10014</v>
      </c>
      <c r="O17" s="124">
        <f>SUM(Generator!C18,Generator!G18,Generator!K18,Generator!O18,Generator!S18)</f>
        <v>7369</v>
      </c>
      <c r="P17" s="21">
        <f t="shared" si="0"/>
        <v>1.7813194959229059</v>
      </c>
      <c r="Q17" s="124"/>
      <c r="R17" s="124">
        <f t="shared" si="1"/>
        <v>1.8426611506216515</v>
      </c>
      <c r="S17" s="52">
        <f>'RO Plant'!B18</f>
        <v>62</v>
      </c>
      <c r="T17" s="52">
        <f>'RO Plant'!N18</f>
        <v>9</v>
      </c>
      <c r="U17" s="48">
        <f>'RO Plant'!F18</f>
        <v>71</v>
      </c>
      <c r="V17" s="52">
        <f>'RO Plant'!I18</f>
        <v>94</v>
      </c>
      <c r="W17" s="69">
        <f>'RO Plant'!G18</f>
        <v>0</v>
      </c>
      <c r="X17" s="185"/>
      <c r="Y17" s="186"/>
      <c r="Z17" s="186"/>
      <c r="AA17" s="48">
        <f>AB17-AB16</f>
        <v>124</v>
      </c>
      <c r="AB17" s="155">
        <v>53137</v>
      </c>
      <c r="AC17" s="48"/>
    </row>
    <row r="18" spans="1:29" ht="15" customHeight="1">
      <c r="A18" s="136">
        <v>44881</v>
      </c>
      <c r="B18" s="39">
        <v>54.5</v>
      </c>
      <c r="C18" s="39">
        <v>308</v>
      </c>
      <c r="D18" s="161">
        <f>'EMS Gridvis'!B17</f>
        <v>3.28</v>
      </c>
      <c r="E18" s="161">
        <f>'EMS Gridvis'!C17</f>
        <v>4.4000000000000004</v>
      </c>
      <c r="F18" s="161">
        <f>'EMS Gridvis'!D17</f>
        <v>5.7</v>
      </c>
      <c r="G18" s="161">
        <f>'EMS Gridvis'!H17</f>
        <v>1.4</v>
      </c>
      <c r="H18" s="161">
        <f>'EMS Gridvis'!I17</f>
        <v>1.4</v>
      </c>
      <c r="I18" s="161">
        <f>'EMS Gridvis'!J17</f>
        <v>3.94</v>
      </c>
      <c r="J18" s="123">
        <f>Generator!D19</f>
        <v>0</v>
      </c>
      <c r="K18" s="123">
        <f>Generator!H19</f>
        <v>11672</v>
      </c>
      <c r="L18" s="123">
        <f>Generator!L19</f>
        <v>14180</v>
      </c>
      <c r="M18" s="123">
        <f>Generator!P19</f>
        <v>0</v>
      </c>
      <c r="N18" s="123">
        <f>Generator!T19</f>
        <v>9465</v>
      </c>
      <c r="O18" s="124">
        <f>SUM(Generator!C19,Generator!G19,Generator!K19,Generator!O19,Generator!S19)</f>
        <v>7492</v>
      </c>
      <c r="P18" s="21">
        <f t="shared" si="0"/>
        <v>1.7813194959229059</v>
      </c>
      <c r="Q18" s="124"/>
      <c r="R18" s="124">
        <f t="shared" si="1"/>
        <v>1.8426611506216515</v>
      </c>
      <c r="S18" s="52">
        <f>'RO Plant'!B19</f>
        <v>62</v>
      </c>
      <c r="T18" s="52">
        <f>'RO Plant'!N19</f>
        <v>3</v>
      </c>
      <c r="U18" s="48">
        <f>'RO Plant'!F19</f>
        <v>73</v>
      </c>
      <c r="V18" s="52">
        <f>'RO Plant'!I19</f>
        <v>101</v>
      </c>
      <c r="W18" s="69">
        <f>'RO Plant'!G19</f>
        <v>0</v>
      </c>
      <c r="X18" s="185"/>
      <c r="Y18" s="186"/>
      <c r="Z18" s="186"/>
      <c r="AA18" s="48">
        <f t="shared" si="2"/>
        <v>128</v>
      </c>
      <c r="AB18" s="155">
        <v>53265</v>
      </c>
      <c r="AC18" s="48"/>
    </row>
    <row r="19" spans="1:29" ht="15" customHeight="1">
      <c r="A19" s="136">
        <v>44882</v>
      </c>
      <c r="B19" s="39">
        <v>66.2</v>
      </c>
      <c r="C19" s="39">
        <v>367</v>
      </c>
      <c r="D19" s="161">
        <f>'EMS Gridvis'!B18</f>
        <v>3.23</v>
      </c>
      <c r="E19" s="161">
        <f>'EMS Gridvis'!C18</f>
        <v>4.5999999999999996</v>
      </c>
      <c r="F19" s="161">
        <f>'EMS Gridvis'!D18</f>
        <v>5.87</v>
      </c>
      <c r="G19" s="161">
        <f>'EMS Gridvis'!H18</f>
        <v>1.45</v>
      </c>
      <c r="H19" s="161">
        <f>'EMS Gridvis'!I18</f>
        <v>1.45</v>
      </c>
      <c r="I19" s="161">
        <f>'EMS Gridvis'!J18</f>
        <v>4.01</v>
      </c>
      <c r="J19" s="123">
        <f>Generator!D20</f>
        <v>0</v>
      </c>
      <c r="K19" s="123">
        <f>Generator!H20</f>
        <v>7179</v>
      </c>
      <c r="L19" s="123">
        <f>Generator!L20</f>
        <v>10312</v>
      </c>
      <c r="M19" s="123">
        <f>Generator!P20</f>
        <v>8059</v>
      </c>
      <c r="N19" s="123">
        <f>Generator!T20</f>
        <v>9757</v>
      </c>
      <c r="O19" s="124">
        <f>SUM(Generator!C20,Generator!G20,Generator!K20,Generator!O20,Generator!S20)</f>
        <v>8013</v>
      </c>
      <c r="P19" s="21">
        <f t="shared" si="0"/>
        <v>1.7813194959229059</v>
      </c>
      <c r="Q19" s="124"/>
      <c r="R19" s="124">
        <f t="shared" si="1"/>
        <v>1.8426611506216515</v>
      </c>
      <c r="S19" s="52">
        <f>'RO Plant'!B20</f>
        <v>57</v>
      </c>
      <c r="T19" s="52">
        <f>'RO Plant'!N20</f>
        <v>28</v>
      </c>
      <c r="U19" s="48">
        <f>'RO Plant'!F20</f>
        <v>79</v>
      </c>
      <c r="V19" s="52">
        <f>'RO Plant'!I20</f>
        <v>96</v>
      </c>
      <c r="W19" s="69">
        <f>'RO Plant'!G20</f>
        <v>0</v>
      </c>
      <c r="X19" s="185"/>
      <c r="Y19" s="186"/>
      <c r="Z19" s="186"/>
      <c r="AA19" s="48">
        <f>AB19-AB18</f>
        <v>133</v>
      </c>
      <c r="AB19" s="155">
        <v>53398</v>
      </c>
      <c r="AC19" s="48"/>
    </row>
    <row r="20" spans="1:29" ht="15" customHeight="1">
      <c r="A20" s="136">
        <v>44883</v>
      </c>
      <c r="B20" s="39">
        <v>57.1</v>
      </c>
      <c r="C20" s="39">
        <v>396</v>
      </c>
      <c r="D20" s="161">
        <f>'EMS Gridvis'!B19</f>
        <v>3.32</v>
      </c>
      <c r="E20" s="161">
        <f>'EMS Gridvis'!C19</f>
        <v>4.84</v>
      </c>
      <c r="F20" s="161">
        <f>'EMS Gridvis'!D19</f>
        <v>6.03</v>
      </c>
      <c r="G20" s="161">
        <f>'EMS Gridvis'!H19</f>
        <v>1.46</v>
      </c>
      <c r="H20" s="161">
        <f>'EMS Gridvis'!I19</f>
        <v>1.46</v>
      </c>
      <c r="I20" s="161">
        <f>'EMS Gridvis'!J19</f>
        <v>4.05</v>
      </c>
      <c r="J20" s="123">
        <f>Generator!D21</f>
        <v>0</v>
      </c>
      <c r="K20" s="123">
        <f>Generator!H21</f>
        <v>10122</v>
      </c>
      <c r="L20" s="123">
        <f>Generator!L21</f>
        <v>5331</v>
      </c>
      <c r="M20" s="123">
        <f>Generator!P21</f>
        <v>8326</v>
      </c>
      <c r="N20" s="123">
        <f>Generator!T21</f>
        <v>12673</v>
      </c>
      <c r="O20" s="124">
        <f>SUM(Generator!C21,Generator!G21,Generator!K21,Generator!O21,Generator!S21)</f>
        <v>8176</v>
      </c>
      <c r="P20" s="21">
        <f t="shared" si="0"/>
        <v>1.7813194959229059</v>
      </c>
      <c r="Q20" s="124"/>
      <c r="R20" s="124">
        <f t="shared" si="1"/>
        <v>1.8426611506216515</v>
      </c>
      <c r="S20" s="52">
        <f>'RO Plant'!B21</f>
        <v>67</v>
      </c>
      <c r="T20" s="52">
        <f>'RO Plant'!N21</f>
        <v>14</v>
      </c>
      <c r="U20" s="48">
        <f>'RO Plant'!F21</f>
        <v>53</v>
      </c>
      <c r="V20" s="52">
        <f>'RO Plant'!I21</f>
        <v>100</v>
      </c>
      <c r="W20" s="69">
        <f>'RO Plant'!G21</f>
        <v>0</v>
      </c>
      <c r="X20" s="185"/>
      <c r="Y20" s="186"/>
      <c r="Z20" s="186"/>
      <c r="AA20" s="48">
        <f>AB20-AB19</f>
        <v>115</v>
      </c>
      <c r="AB20" s="155">
        <v>53513</v>
      </c>
      <c r="AC20" s="48"/>
    </row>
    <row r="21" spans="1:29" ht="15" customHeight="1">
      <c r="A21" s="136">
        <v>44884</v>
      </c>
      <c r="B21" s="39">
        <v>61</v>
      </c>
      <c r="C21" s="39">
        <v>337</v>
      </c>
      <c r="D21" s="161">
        <f>'EMS Gridvis'!B20</f>
        <v>3.1</v>
      </c>
      <c r="E21" s="161">
        <f>'EMS Gridvis'!C20</f>
        <v>4.55</v>
      </c>
      <c r="F21" s="161">
        <f>'EMS Gridvis'!D20</f>
        <v>5.96</v>
      </c>
      <c r="G21" s="161">
        <f>'EMS Gridvis'!H20</f>
        <v>1.45</v>
      </c>
      <c r="H21" s="161">
        <f>'EMS Gridvis'!I20</f>
        <v>1.45</v>
      </c>
      <c r="I21" s="161">
        <f>'EMS Gridvis'!J20</f>
        <v>3.88</v>
      </c>
      <c r="J21" s="123">
        <f>Generator!D22</f>
        <v>0</v>
      </c>
      <c r="K21" s="123">
        <f>Generator!H22</f>
        <v>9999</v>
      </c>
      <c r="L21" s="123">
        <f>Generator!L22</f>
        <v>10663</v>
      </c>
      <c r="M21" s="123">
        <f>Generator!P22</f>
        <v>5529</v>
      </c>
      <c r="N21" s="123">
        <f>Generator!T22</f>
        <v>9576</v>
      </c>
      <c r="O21" s="124">
        <f>SUM(Generator!C22,Generator!G22,Generator!K22,Generator!O22,Generator!S22)</f>
        <v>8075</v>
      </c>
      <c r="P21" s="21">
        <f t="shared" si="0"/>
        <v>1.7813194959229059</v>
      </c>
      <c r="Q21" s="124"/>
      <c r="R21" s="124">
        <f t="shared" si="1"/>
        <v>1.8426611506216515</v>
      </c>
      <c r="S21" s="52">
        <f>'RO Plant'!B22</f>
        <v>61</v>
      </c>
      <c r="T21" s="52">
        <f>'RO Plant'!N22</f>
        <v>10</v>
      </c>
      <c r="U21" s="48">
        <f>'RO Plant'!F22</f>
        <v>84</v>
      </c>
      <c r="V21" s="52">
        <f>'RO Plant'!I22</f>
        <v>96</v>
      </c>
      <c r="W21" s="69">
        <f>'RO Plant'!G22</f>
        <v>0</v>
      </c>
      <c r="X21" s="185"/>
      <c r="Y21" s="186"/>
      <c r="Z21" s="186"/>
      <c r="AA21" s="48">
        <f>AB21-AB20</f>
        <v>7</v>
      </c>
      <c r="AB21" s="155">
        <v>53520</v>
      </c>
      <c r="AC21" s="48"/>
    </row>
    <row r="22" spans="1:29" ht="15" customHeight="1">
      <c r="A22" s="136">
        <v>44885</v>
      </c>
      <c r="B22" s="39">
        <v>63.6</v>
      </c>
      <c r="C22" s="39">
        <v>331</v>
      </c>
      <c r="D22" s="161">
        <f>'EMS Gridvis'!B21</f>
        <v>2.78</v>
      </c>
      <c r="E22" s="161">
        <f>'EMS Gridvis'!C21</f>
        <v>4.3899999999999997</v>
      </c>
      <c r="F22" s="161">
        <f>'EMS Gridvis'!D21</f>
        <v>5.66</v>
      </c>
      <c r="G22" s="161">
        <f>'EMS Gridvis'!H21</f>
        <v>1.42</v>
      </c>
      <c r="H22" s="161">
        <f>'EMS Gridvis'!I21</f>
        <v>1.63</v>
      </c>
      <c r="I22" s="161">
        <f>'EMS Gridvis'!J21</f>
        <v>3.79</v>
      </c>
      <c r="J22" s="123">
        <f>Generator!D23</f>
        <v>0</v>
      </c>
      <c r="K22" s="123">
        <f>Generator!H23</f>
        <v>10134</v>
      </c>
      <c r="L22" s="123">
        <f>Generator!L23</f>
        <v>11218</v>
      </c>
      <c r="M22" s="123">
        <f>Generator!P23</f>
        <v>5268</v>
      </c>
      <c r="N22" s="123">
        <f>Generator!T23</f>
        <v>7364</v>
      </c>
      <c r="O22" s="124">
        <f>SUM(Generator!C23,Generator!G23,Generator!K23,Generator!O23,Generator!S23)</f>
        <v>7124</v>
      </c>
      <c r="P22" s="21">
        <f t="shared" si="0"/>
        <v>1.7813194959229059</v>
      </c>
      <c r="Q22" s="124"/>
      <c r="R22" s="124">
        <f t="shared" si="1"/>
        <v>1.8426611506216515</v>
      </c>
      <c r="S22" s="52">
        <f>'RO Plant'!B23</f>
        <v>58</v>
      </c>
      <c r="T22" s="52">
        <f>'RO Plant'!N23</f>
        <v>6</v>
      </c>
      <c r="U22" s="48">
        <f>'RO Plant'!F23</f>
        <v>84</v>
      </c>
      <c r="V22" s="52">
        <f>'RO Plant'!I23</f>
        <v>70</v>
      </c>
      <c r="W22" s="86">
        <f>'RO Plant'!G23</f>
        <v>0</v>
      </c>
      <c r="X22" s="185"/>
      <c r="Y22" s="186"/>
      <c r="Z22" s="186"/>
      <c r="AA22" s="48">
        <f>AB22-AB21</f>
        <v>-53520</v>
      </c>
      <c r="AB22" s="155"/>
      <c r="AC22" s="48"/>
    </row>
    <row r="23" spans="1:29" ht="15" customHeight="1">
      <c r="A23" s="136">
        <v>44886</v>
      </c>
      <c r="B23" s="39">
        <v>62.3</v>
      </c>
      <c r="C23" s="39">
        <v>319</v>
      </c>
      <c r="D23" s="161">
        <f>'EMS Gridvis'!B22</f>
        <v>2.39</v>
      </c>
      <c r="E23" s="161">
        <f>'EMS Gridvis'!C22</f>
        <v>3.9</v>
      </c>
      <c r="F23" s="161">
        <f>'EMS Gridvis'!D22</f>
        <v>5.37</v>
      </c>
      <c r="G23" s="161">
        <f>'EMS Gridvis'!H22</f>
        <v>1.42</v>
      </c>
      <c r="H23" s="161">
        <f>'EMS Gridvis'!I22</f>
        <v>1.7</v>
      </c>
      <c r="I23" s="161">
        <f>'EMS Gridvis'!J22</f>
        <v>3.89</v>
      </c>
      <c r="J23" s="123">
        <f>Generator!D24</f>
        <v>0</v>
      </c>
      <c r="K23" s="123">
        <f>Generator!H24</f>
        <v>10219</v>
      </c>
      <c r="L23" s="123">
        <f>Generator!L24</f>
        <v>7629</v>
      </c>
      <c r="M23" s="123">
        <f>Generator!P24</f>
        <v>2470</v>
      </c>
      <c r="N23" s="123">
        <f>Generator!T24</f>
        <v>8157</v>
      </c>
      <c r="O23" s="124">
        <f>SUM(Generator!C24,Generator!G24,Generator!K24,Generator!O24,Generator!S24)</f>
        <v>7114</v>
      </c>
      <c r="P23" s="21">
        <f t="shared" si="0"/>
        <v>1.7813194959229059</v>
      </c>
      <c r="Q23" s="124"/>
      <c r="R23" s="124">
        <f t="shared" si="1"/>
        <v>1.8426611506216515</v>
      </c>
      <c r="S23" s="52">
        <f>'RO Plant'!B24</f>
        <v>64</v>
      </c>
      <c r="T23" s="52">
        <f>'RO Plant'!N24</f>
        <v>5</v>
      </c>
      <c r="U23" s="48">
        <f>'RO Plant'!F24</f>
        <v>62</v>
      </c>
      <c r="V23" s="52">
        <f>'RO Plant'!I24</f>
        <v>102</v>
      </c>
      <c r="W23" s="69">
        <f>'RO Plant'!G24</f>
        <v>0</v>
      </c>
      <c r="X23" s="185"/>
      <c r="Y23" s="186"/>
      <c r="Z23" s="186"/>
      <c r="AA23" s="48"/>
      <c r="AB23" s="155">
        <f>AVERAGE(AB3:AB22)</f>
        <v>52533.210526315786</v>
      </c>
      <c r="AC23" s="48"/>
    </row>
    <row r="24" spans="1:29" ht="15" customHeight="1">
      <c r="A24" s="136">
        <v>44887</v>
      </c>
      <c r="B24" s="39">
        <v>63.6</v>
      </c>
      <c r="C24" s="39">
        <v>322</v>
      </c>
      <c r="D24" s="161">
        <f>'EMS Gridvis'!B23</f>
        <v>2.56</v>
      </c>
      <c r="E24" s="161">
        <f>'EMS Gridvis'!C23</f>
        <v>4.28</v>
      </c>
      <c r="F24" s="161">
        <f>'EMS Gridvis'!D23</f>
        <v>5.21</v>
      </c>
      <c r="G24" s="161">
        <f>'EMS Gridvis'!H23</f>
        <v>1.44</v>
      </c>
      <c r="H24" s="161">
        <f>'EMS Gridvis'!I23</f>
        <v>1.66</v>
      </c>
      <c r="I24" s="161">
        <f>'EMS Gridvis'!J23</f>
        <v>3.76</v>
      </c>
      <c r="J24" s="123">
        <f>Generator!D25</f>
        <v>0</v>
      </c>
      <c r="K24" s="123">
        <f>Generator!H25</f>
        <v>6352</v>
      </c>
      <c r="L24" s="123">
        <f>Generator!L25</f>
        <v>7421</v>
      </c>
      <c r="M24" s="123">
        <f>Generator!P25</f>
        <v>11890</v>
      </c>
      <c r="N24" s="123">
        <f>Generator!T25</f>
        <v>10938</v>
      </c>
      <c r="O24" s="124">
        <f>SUM(Generator!C25,Generator!G25,Generator!K25,Generator!O25,Generator!S25)</f>
        <v>7823</v>
      </c>
      <c r="P24" s="21">
        <f t="shared" si="0"/>
        <v>1.7813194959229059</v>
      </c>
      <c r="Q24" s="124"/>
      <c r="R24" s="124">
        <f t="shared" si="1"/>
        <v>1.8426611506216515</v>
      </c>
      <c r="S24" s="52">
        <f>'RO Plant'!B25</f>
        <v>60</v>
      </c>
      <c r="T24" s="52">
        <f>'RO Plant'!N25</f>
        <v>0</v>
      </c>
      <c r="U24" s="48">
        <f>'RO Plant'!F25</f>
        <v>78</v>
      </c>
      <c r="V24" s="52">
        <f>'RO Plant'!I25</f>
        <v>63</v>
      </c>
      <c r="W24" s="69">
        <f>'RO Plant'!G25</f>
        <v>0</v>
      </c>
      <c r="X24" s="185"/>
      <c r="Y24" s="186"/>
      <c r="Z24" s="186"/>
      <c r="AA24" s="48"/>
      <c r="AB24" s="155"/>
      <c r="AC24" s="48"/>
    </row>
    <row r="25" spans="1:29" ht="15" customHeight="1">
      <c r="A25" s="136">
        <v>44888</v>
      </c>
      <c r="B25" s="39">
        <v>64.900000000000006</v>
      </c>
      <c r="C25" s="39">
        <v>326</v>
      </c>
      <c r="D25" s="161">
        <f>'EMS Gridvis'!B24</f>
        <v>3.07</v>
      </c>
      <c r="E25" s="161">
        <f>'EMS Gridvis'!C24</f>
        <v>4.57</v>
      </c>
      <c r="F25" s="161">
        <f>'EMS Gridvis'!D24</f>
        <v>5.55</v>
      </c>
      <c r="G25" s="161">
        <f>'EMS Gridvis'!H24</f>
        <v>1.38</v>
      </c>
      <c r="H25" s="161">
        <f>'EMS Gridvis'!I24</f>
        <v>1.67</v>
      </c>
      <c r="I25" s="161">
        <f>'EMS Gridvis'!J24</f>
        <v>3.89</v>
      </c>
      <c r="J25" s="123">
        <f>Generator!D26</f>
        <v>6533</v>
      </c>
      <c r="K25" s="123">
        <f>Generator!H26</f>
        <v>12520</v>
      </c>
      <c r="L25" s="123">
        <f>Generator!L26</f>
        <v>9106</v>
      </c>
      <c r="M25" s="123">
        <f>Generator!P26</f>
        <v>5680</v>
      </c>
      <c r="N25" s="123">
        <f>Generator!T26</f>
        <v>0</v>
      </c>
      <c r="O25" s="124">
        <f>SUM(Generator!C26,Generator!G26,Generator!K26,Generator!O26,Generator!S26)</f>
        <v>7593</v>
      </c>
      <c r="P25" s="21">
        <f t="shared" si="0"/>
        <v>1.7813194959229059</v>
      </c>
      <c r="Q25" s="124"/>
      <c r="R25" s="124">
        <f t="shared" si="1"/>
        <v>1.8426611506216515</v>
      </c>
      <c r="S25" s="52">
        <f>'RO Plant'!B26</f>
        <v>64</v>
      </c>
      <c r="T25" s="52">
        <f>'RO Plant'!N26</f>
        <v>7</v>
      </c>
      <c r="U25" s="48">
        <f>'RO Plant'!F26</f>
        <v>86</v>
      </c>
      <c r="V25" s="52">
        <f>'RO Plant'!I26</f>
        <v>54</v>
      </c>
      <c r="W25" s="69">
        <f>'RO Plant'!G26</f>
        <v>0</v>
      </c>
      <c r="X25" s="185"/>
      <c r="Y25" s="186"/>
      <c r="Z25" s="186"/>
      <c r="AA25" s="48"/>
      <c r="AB25" s="155">
        <v>53572</v>
      </c>
      <c r="AC25" s="48"/>
    </row>
    <row r="26" spans="1:29" ht="15" customHeight="1">
      <c r="A26" s="136">
        <v>44889</v>
      </c>
      <c r="B26" s="39">
        <v>74</v>
      </c>
      <c r="C26" s="39">
        <v>357</v>
      </c>
      <c r="D26" s="161">
        <f>'EMS Gridvis'!B25</f>
        <v>3.1</v>
      </c>
      <c r="E26" s="161">
        <f>'EMS Gridvis'!C25</f>
        <v>4.32</v>
      </c>
      <c r="F26" s="161">
        <f>'EMS Gridvis'!D25</f>
        <v>5.69</v>
      </c>
      <c r="G26" s="161">
        <f>'EMS Gridvis'!H25</f>
        <v>1.42</v>
      </c>
      <c r="H26" s="161">
        <f>'EMS Gridvis'!I25</f>
        <v>1.64</v>
      </c>
      <c r="I26" s="161">
        <f>'EMS Gridvis'!J25</f>
        <v>3.86</v>
      </c>
      <c r="J26" s="123">
        <f>Generator!D27</f>
        <v>12331</v>
      </c>
      <c r="K26" s="123">
        <f>Generator!H27</f>
        <v>10878</v>
      </c>
      <c r="L26" s="123">
        <f>Generator!L27</f>
        <v>0</v>
      </c>
      <c r="M26" s="123">
        <f>Generator!P27</f>
        <v>11004</v>
      </c>
      <c r="N26" s="123">
        <f>Generator!T27</f>
        <v>0</v>
      </c>
      <c r="O26" s="124">
        <f>SUM(Generator!C27,Generator!G27,Generator!K27,Generator!O27,Generator!S27)</f>
        <v>8058</v>
      </c>
      <c r="P26" s="21">
        <f t="shared" si="0"/>
        <v>1.7813194959229059</v>
      </c>
      <c r="Q26" s="124"/>
      <c r="R26" s="124">
        <f t="shared" si="1"/>
        <v>1.8426611506216515</v>
      </c>
      <c r="S26" s="52">
        <f>'RO Plant'!B27</f>
        <v>56</v>
      </c>
      <c r="T26" s="52">
        <f>'RO Plant'!N27</f>
        <v>1</v>
      </c>
      <c r="U26" s="48">
        <f>'RO Plant'!F27</f>
        <v>55</v>
      </c>
      <c r="V26" s="52">
        <f>'RO Plant'!I27</f>
        <v>106</v>
      </c>
      <c r="W26" s="69">
        <f>'RO Plant'!G27</f>
        <v>0</v>
      </c>
      <c r="X26" s="185"/>
      <c r="Y26" s="186"/>
      <c r="Z26" s="186"/>
      <c r="AA26" s="48">
        <f>AB26-AB25</f>
        <v>95</v>
      </c>
      <c r="AB26" s="155">
        <v>53667</v>
      </c>
      <c r="AC26" s="48"/>
    </row>
    <row r="27" spans="1:29" ht="15" customHeight="1">
      <c r="A27" s="136">
        <v>44890</v>
      </c>
      <c r="B27" s="39">
        <v>62.3</v>
      </c>
      <c r="C27" s="39">
        <v>403</v>
      </c>
      <c r="D27" s="161">
        <f>'EMS Gridvis'!B26</f>
        <v>2.81</v>
      </c>
      <c r="E27" s="161">
        <f>'EMS Gridvis'!C26</f>
        <v>4.21</v>
      </c>
      <c r="F27" s="161">
        <f>'EMS Gridvis'!D26</f>
        <v>5.34</v>
      </c>
      <c r="G27" s="161">
        <f>'EMS Gridvis'!H26</f>
        <v>1.43</v>
      </c>
      <c r="H27" s="161">
        <f>'EMS Gridvis'!I26</f>
        <v>1.65</v>
      </c>
      <c r="I27" s="161">
        <f>'EMS Gridvis'!J26</f>
        <v>3.95</v>
      </c>
      <c r="J27" s="123">
        <f>Generator!D28</f>
        <v>3307</v>
      </c>
      <c r="K27" s="123">
        <f>Generator!H28</f>
        <v>14888</v>
      </c>
      <c r="L27" s="123">
        <f>Generator!L28</f>
        <v>0</v>
      </c>
      <c r="M27" s="123">
        <f>Generator!P28</f>
        <v>10936</v>
      </c>
      <c r="N27" s="123">
        <f>Generator!T28</f>
        <v>4355</v>
      </c>
      <c r="O27" s="124">
        <f>SUM(Generator!C28,Generator!G28,Generator!K28,Generator!O28,Generator!S28)</f>
        <v>7916</v>
      </c>
      <c r="P27" s="21">
        <f t="shared" si="0"/>
        <v>1.7813194959229059</v>
      </c>
      <c r="Q27" s="124"/>
      <c r="R27" s="124">
        <f t="shared" si="1"/>
        <v>1.8426611506216515</v>
      </c>
      <c r="S27" s="52">
        <f>'RO Plant'!B28</f>
        <v>58</v>
      </c>
      <c r="T27" s="52">
        <f>'RO Plant'!N28</f>
        <v>6</v>
      </c>
      <c r="U27" s="48">
        <f>'RO Plant'!F28</f>
        <v>75</v>
      </c>
      <c r="V27" s="52">
        <f>'RO Plant'!I28</f>
        <v>73</v>
      </c>
      <c r="W27" s="69">
        <f>'RO Plant'!G28</f>
        <v>0</v>
      </c>
      <c r="X27" s="185"/>
      <c r="Y27" s="186"/>
      <c r="Z27" s="186"/>
      <c r="AA27" s="48">
        <f>AB27-AB26</f>
        <v>113</v>
      </c>
      <c r="AB27" s="155">
        <v>53780</v>
      </c>
      <c r="AC27" s="48"/>
    </row>
    <row r="28" spans="1:29" ht="15" customHeight="1">
      <c r="A28" s="136">
        <v>44891</v>
      </c>
      <c r="B28" s="39">
        <v>53.2</v>
      </c>
      <c r="C28" s="39">
        <v>377</v>
      </c>
      <c r="D28" s="161">
        <f>'EMS Gridvis'!B27</f>
        <v>3.33</v>
      </c>
      <c r="E28" s="161">
        <f>'EMS Gridvis'!C27</f>
        <v>4.53</v>
      </c>
      <c r="F28" s="161">
        <f>'EMS Gridvis'!D27</f>
        <v>5.54</v>
      </c>
      <c r="G28" s="161">
        <f>'EMS Gridvis'!H27</f>
        <v>1.43</v>
      </c>
      <c r="H28" s="161">
        <f>'EMS Gridvis'!I27</f>
        <v>1.75</v>
      </c>
      <c r="I28" s="161">
        <f>'EMS Gridvis'!J27</f>
        <v>3.92</v>
      </c>
      <c r="J28" s="123">
        <f>Generator!D29</f>
        <v>5514</v>
      </c>
      <c r="K28" s="123">
        <f>Generator!H29</f>
        <v>10318</v>
      </c>
      <c r="L28" s="123">
        <f>Generator!L29</f>
        <v>0</v>
      </c>
      <c r="M28" s="123">
        <f>Generator!P29</f>
        <v>0</v>
      </c>
      <c r="N28" s="123">
        <f>Generator!T29</f>
        <v>6032</v>
      </c>
      <c r="O28" s="124">
        <f>SUM(Generator!C29,Generator!G29,Generator!K29,Generator!O29,Generator!S29)</f>
        <v>4799</v>
      </c>
      <c r="P28" s="21">
        <f t="shared" si="0"/>
        <v>1.7813194959229059</v>
      </c>
      <c r="Q28" s="124"/>
      <c r="R28" s="124">
        <f t="shared" si="1"/>
        <v>1.8426611506216515</v>
      </c>
      <c r="S28" s="52">
        <f>'RO Plant'!B29</f>
        <v>66</v>
      </c>
      <c r="T28" s="52">
        <f>'RO Plant'!N29</f>
        <v>7</v>
      </c>
      <c r="U28" s="48">
        <f>'RO Plant'!F29</f>
        <v>82</v>
      </c>
      <c r="V28" s="52">
        <f>'RO Plant'!I29</f>
        <v>113</v>
      </c>
      <c r="W28" s="69">
        <f>'RO Plant'!G29</f>
        <v>0</v>
      </c>
      <c r="X28" s="185"/>
      <c r="Y28" s="186"/>
      <c r="Z28" s="186"/>
      <c r="AA28" s="48">
        <f t="shared" si="2"/>
        <v>102</v>
      </c>
      <c r="AB28" s="155">
        <v>53882</v>
      </c>
      <c r="AC28" s="48"/>
    </row>
    <row r="29" spans="1:29" ht="15" customHeight="1">
      <c r="A29" s="136">
        <v>44892</v>
      </c>
      <c r="B29" s="39">
        <v>64.900000000000006</v>
      </c>
      <c r="C29" s="39">
        <v>376</v>
      </c>
      <c r="D29" s="161">
        <f>'EMS Gridvis'!B28</f>
        <v>3.42</v>
      </c>
      <c r="E29" s="161">
        <f>'EMS Gridvis'!C28</f>
        <v>4.91</v>
      </c>
      <c r="F29" s="161">
        <f>'EMS Gridvis'!D28</f>
        <v>5.6</v>
      </c>
      <c r="G29" s="161">
        <f>'EMS Gridvis'!H28</f>
        <v>1.44</v>
      </c>
      <c r="H29" s="161">
        <f>'EMS Gridvis'!I28</f>
        <v>1.8</v>
      </c>
      <c r="I29" s="161">
        <f>'EMS Gridvis'!J28</f>
        <v>3.95</v>
      </c>
      <c r="J29" s="123">
        <f>Generator!D30</f>
        <v>6857</v>
      </c>
      <c r="K29" s="123">
        <f>Generator!H30</f>
        <v>6628</v>
      </c>
      <c r="L29" s="123">
        <f>Generator!L30</f>
        <v>9415</v>
      </c>
      <c r="M29" s="123">
        <f>Generator!P30</f>
        <v>0</v>
      </c>
      <c r="N29" s="123">
        <f>Generator!T30</f>
        <v>13106</v>
      </c>
      <c r="O29" s="124">
        <f>SUM(Generator!C30,Generator!G30,Generator!K30,Generator!O30,Generator!S30)</f>
        <v>7460</v>
      </c>
      <c r="P29" s="21">
        <f t="shared" si="0"/>
        <v>1.7813194959229059</v>
      </c>
      <c r="Q29" s="124"/>
      <c r="R29" s="124">
        <f t="shared" si="1"/>
        <v>1.8426611506216515</v>
      </c>
      <c r="S29" s="52">
        <f>'RO Plant'!B30</f>
        <v>57</v>
      </c>
      <c r="T29" s="52">
        <f>'RO Plant'!N30</f>
        <v>5</v>
      </c>
      <c r="U29" s="48">
        <f>'RO Plant'!F30</f>
        <v>77</v>
      </c>
      <c r="V29" s="52">
        <f>'RO Plant'!I30</f>
        <v>100</v>
      </c>
      <c r="W29" s="69">
        <f>'RO Plant'!G30</f>
        <v>0</v>
      </c>
      <c r="X29" s="185"/>
      <c r="Y29" s="186"/>
      <c r="Z29" s="186"/>
      <c r="AA29" s="48">
        <f>AB29-AB28</f>
        <v>143</v>
      </c>
      <c r="AB29" s="155">
        <v>54025</v>
      </c>
      <c r="AC29" s="48"/>
    </row>
    <row r="30" spans="1:29" ht="15" customHeight="1">
      <c r="A30" s="136">
        <v>44893</v>
      </c>
      <c r="B30" s="39">
        <v>58.4</v>
      </c>
      <c r="C30" s="39">
        <v>383</v>
      </c>
      <c r="D30" s="161">
        <f>'EMS Gridvis'!B29</f>
        <v>3.78</v>
      </c>
      <c r="E30" s="161">
        <f>'EMS Gridvis'!C29</f>
        <v>4.87</v>
      </c>
      <c r="F30" s="161">
        <f>'EMS Gridvis'!D29</f>
        <v>5.8</v>
      </c>
      <c r="G30" s="161">
        <f>'EMS Gridvis'!H29</f>
        <v>1.34</v>
      </c>
      <c r="H30" s="161">
        <f>'EMS Gridvis'!I29</f>
        <v>2.04</v>
      </c>
      <c r="I30" s="161">
        <f>'EMS Gridvis'!J29</f>
        <v>4.05</v>
      </c>
      <c r="J30" s="123">
        <f>Generator!D31</f>
        <v>5604</v>
      </c>
      <c r="K30" s="123">
        <f>Generator!H31</f>
        <v>8517</v>
      </c>
      <c r="L30" s="123">
        <f>Generator!L31</f>
        <v>13662</v>
      </c>
      <c r="M30" s="123">
        <f>Generator!P31</f>
        <v>0</v>
      </c>
      <c r="N30" s="123">
        <f>Generator!T31</f>
        <v>9757</v>
      </c>
      <c r="O30" s="124">
        <f>SUM(Generator!C31,Generator!G31,Generator!K31,Generator!O31,Generator!S31)</f>
        <v>8175</v>
      </c>
      <c r="P30" s="21">
        <f t="shared" si="0"/>
        <v>1.7813194959229059</v>
      </c>
      <c r="Q30" s="124"/>
      <c r="R30" s="124">
        <f t="shared" si="1"/>
        <v>1.8426611506216515</v>
      </c>
      <c r="S30" s="52">
        <f>'RO Plant'!B31</f>
        <v>67</v>
      </c>
      <c r="T30" s="52">
        <f>'RO Plant'!N31</f>
        <v>9</v>
      </c>
      <c r="U30" s="48">
        <f>'RO Plant'!F31</f>
        <v>95</v>
      </c>
      <c r="V30" s="52">
        <f>'RO Plant'!I31</f>
        <v>106</v>
      </c>
      <c r="W30" s="69">
        <f>'RO Plant'!G31</f>
        <v>0</v>
      </c>
      <c r="X30" s="185"/>
      <c r="Y30" s="186"/>
      <c r="Z30" s="186"/>
      <c r="AA30" s="48">
        <f>AB30-AB29</f>
        <v>133</v>
      </c>
      <c r="AB30" s="155">
        <v>54158</v>
      </c>
      <c r="AC30" s="48"/>
    </row>
    <row r="31" spans="1:29" ht="15" customHeight="1">
      <c r="A31" s="136">
        <v>44894</v>
      </c>
      <c r="B31" s="39">
        <v>50.9</v>
      </c>
      <c r="C31" s="39">
        <v>363</v>
      </c>
      <c r="D31" s="161">
        <f>'EMS Gridvis'!B30</f>
        <v>3.46</v>
      </c>
      <c r="E31" s="161">
        <f>'EMS Gridvis'!C30</f>
        <v>4.6100000000000003</v>
      </c>
      <c r="F31" s="161">
        <f>'EMS Gridvis'!D30</f>
        <v>5.77</v>
      </c>
      <c r="G31" s="161">
        <f>'EMS Gridvis'!H30</f>
        <v>1.44</v>
      </c>
      <c r="H31" s="161">
        <f>'EMS Gridvis'!I30</f>
        <v>1.9</v>
      </c>
      <c r="I31" s="161">
        <f>'EMS Gridvis'!J30</f>
        <v>3.98</v>
      </c>
      <c r="J31" s="123">
        <f>Generator!D32</f>
        <v>10010</v>
      </c>
      <c r="K31" s="123">
        <f>Generator!H32</f>
        <v>9904</v>
      </c>
      <c r="L31" s="123">
        <f>Generator!L32</f>
        <v>10946</v>
      </c>
      <c r="M31" s="123">
        <f>Generator!P32</f>
        <v>0</v>
      </c>
      <c r="N31" s="123">
        <f>Generator!T32</f>
        <v>6568</v>
      </c>
      <c r="O31" s="124">
        <f>SUM(Generator!C32,Generator!G32,Generator!K32,Generator!O32,Generator!S32)</f>
        <v>7743</v>
      </c>
      <c r="P31" s="21">
        <f t="shared" si="0"/>
        <v>1.7813194959229059</v>
      </c>
      <c r="Q31" s="124"/>
      <c r="R31" s="124">
        <f t="shared" si="1"/>
        <v>1.8426611506216515</v>
      </c>
      <c r="S31" s="52">
        <f>'RO Plant'!B32</f>
        <v>40</v>
      </c>
      <c r="T31" s="52">
        <f>'RO Plant'!N32</f>
        <v>-11</v>
      </c>
      <c r="U31" s="48">
        <f>'RO Plant'!F32</f>
        <v>69</v>
      </c>
      <c r="V31" s="52">
        <f>'RO Plant'!I32</f>
        <v>78</v>
      </c>
      <c r="W31" s="69">
        <f>'RO Plant'!G32</f>
        <v>0</v>
      </c>
      <c r="X31" s="185"/>
      <c r="Y31" s="186"/>
      <c r="Z31" s="186"/>
      <c r="AA31" s="48">
        <f t="shared" si="2"/>
        <v>115</v>
      </c>
      <c r="AB31" s="155">
        <v>54273</v>
      </c>
      <c r="AC31" s="48"/>
    </row>
    <row r="32" spans="1:29" ht="15" customHeight="1">
      <c r="A32" s="136">
        <v>44895</v>
      </c>
      <c r="B32" s="117"/>
      <c r="C32" s="117"/>
      <c r="D32" s="161">
        <f>'EMS Gridvis'!B31</f>
        <v>0</v>
      </c>
      <c r="E32" s="161">
        <f>'EMS Gridvis'!C31</f>
        <v>0</v>
      </c>
      <c r="F32" s="161">
        <f>'EMS Gridvis'!D31</f>
        <v>0</v>
      </c>
      <c r="G32" s="161">
        <f>'EMS Gridvis'!H31</f>
        <v>0</v>
      </c>
      <c r="H32" s="161">
        <f>'EMS Gridvis'!I31</f>
        <v>0</v>
      </c>
      <c r="I32" s="161">
        <f>'EMS Gridvis'!J31</f>
        <v>0</v>
      </c>
      <c r="J32" s="152">
        <f>Generator!D33</f>
        <v>0</v>
      </c>
      <c r="K32" s="152">
        <f>Generator!H33</f>
        <v>0</v>
      </c>
      <c r="L32" s="152">
        <f>Generator!L33</f>
        <v>0</v>
      </c>
      <c r="M32" s="152">
        <f>Generator!P33</f>
        <v>0</v>
      </c>
      <c r="N32" s="152">
        <f>Generator!T33</f>
        <v>0</v>
      </c>
      <c r="O32" s="153">
        <f>SUM(Generator!C33,Generator!G33,Generator!K33,Generator!O33,Generator!S33)</f>
        <v>0</v>
      </c>
      <c r="P32" s="21">
        <f t="shared" si="0"/>
        <v>1.7813194959229059</v>
      </c>
      <c r="Q32" s="153"/>
      <c r="R32" s="153">
        <f t="shared" si="1"/>
        <v>1.8426611506216515</v>
      </c>
      <c r="S32" s="126">
        <f>'RO Plant'!B33</f>
        <v>0</v>
      </c>
      <c r="T32" s="126">
        <f>'RO Plant'!N33</f>
        <v>0</v>
      </c>
      <c r="U32" s="122">
        <f>'RO Plant'!F33</f>
        <v>0</v>
      </c>
      <c r="V32" s="126">
        <f>'RO Plant'!I33</f>
        <v>0</v>
      </c>
      <c r="W32" s="73">
        <f>'RO Plant'!G33</f>
        <v>0</v>
      </c>
      <c r="X32" s="185"/>
      <c r="Y32" s="186"/>
      <c r="Z32" s="186"/>
      <c r="AA32" s="48">
        <f t="shared" si="2"/>
        <v>-54273</v>
      </c>
      <c r="AB32" s="156"/>
      <c r="AC32" s="122"/>
    </row>
    <row r="33" spans="1:29" ht="15">
      <c r="A33" s="136"/>
      <c r="B33" s="48"/>
      <c r="C33" s="48"/>
      <c r="D33" s="81"/>
      <c r="E33" s="81"/>
      <c r="F33" s="81"/>
      <c r="G33" s="81"/>
      <c r="H33" s="81"/>
      <c r="I33" s="81"/>
      <c r="J33" s="48"/>
      <c r="K33" s="48"/>
      <c r="L33" s="48"/>
      <c r="M33" s="151"/>
      <c r="N33" s="48"/>
      <c r="O33" s="48"/>
      <c r="P33" s="21"/>
      <c r="Q33" s="48"/>
      <c r="R33" s="48"/>
      <c r="S33" s="48"/>
      <c r="T33" s="48"/>
      <c r="U33" s="48"/>
      <c r="V33" s="48"/>
      <c r="W33" s="48"/>
      <c r="AA33" s="48"/>
      <c r="AB33" s="142"/>
      <c r="AC33" s="48"/>
    </row>
    <row r="34" spans="1:29" ht="14.45">
      <c r="M34" s="47"/>
    </row>
    <row r="35" spans="1:29" ht="12.75"/>
    <row r="36" spans="1:29" ht="12.75"/>
  </sheetData>
  <mergeCells count="8">
    <mergeCell ref="Y13:Z13"/>
    <mergeCell ref="Y14:Z14"/>
    <mergeCell ref="X16:Z32"/>
    <mergeCell ref="D1:I1"/>
    <mergeCell ref="X2:Z2"/>
    <mergeCell ref="X3:Z3"/>
    <mergeCell ref="X11:Z11"/>
    <mergeCell ref="Y12:Z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8" max="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4F0B-38C8-429B-B3F3-546C4D6A01F2}">
  <dimension ref="A1:N44"/>
  <sheetViews>
    <sheetView workbookViewId="0">
      <pane ySplit="2" topLeftCell="A15" activePane="bottomLeft" state="frozen"/>
      <selection pane="bottomLeft" activeCell="N33" sqref="N33"/>
    </sheetView>
  </sheetViews>
  <sheetFormatPr defaultRowHeight="15"/>
  <cols>
    <col min="1" max="1" width="12.85546875" customWidth="1"/>
    <col min="2" max="4" width="11.140625" customWidth="1"/>
    <col min="5" max="5" width="21.7109375" customWidth="1"/>
    <col min="6" max="7" width="11.140625" customWidth="1"/>
    <col min="8" max="8" width="10.5703125" customWidth="1"/>
    <col min="9" max="9" width="11.140625" customWidth="1"/>
    <col min="13" max="13" width="6" customWidth="1"/>
    <col min="14" max="14" width="28.7109375" customWidth="1"/>
    <col min="15" max="15" width="20" customWidth="1"/>
  </cols>
  <sheetData>
    <row r="1" spans="1:14" ht="33.75" customHeight="1">
      <c r="A1" s="114" t="s">
        <v>68</v>
      </c>
      <c r="B1" s="114" t="s">
        <v>69</v>
      </c>
      <c r="C1" s="114" t="s">
        <v>70</v>
      </c>
      <c r="D1" s="114" t="s">
        <v>71</v>
      </c>
      <c r="E1" s="114" t="s">
        <v>72</v>
      </c>
      <c r="F1" s="114" t="s">
        <v>73</v>
      </c>
      <c r="G1" s="114" t="s">
        <v>74</v>
      </c>
      <c r="H1" s="114" t="s">
        <v>75</v>
      </c>
      <c r="I1" s="114" t="s">
        <v>69</v>
      </c>
      <c r="J1" s="198" t="s">
        <v>76</v>
      </c>
      <c r="K1" s="199"/>
      <c r="L1" s="200"/>
      <c r="M1" s="143"/>
      <c r="N1" s="62" t="s">
        <v>77</v>
      </c>
    </row>
    <row r="2" spans="1:14" ht="51.75" customHeight="1">
      <c r="A2" s="172" t="s">
        <v>33</v>
      </c>
      <c r="B2" s="173" t="s">
        <v>51</v>
      </c>
      <c r="C2" s="173" t="s">
        <v>78</v>
      </c>
      <c r="D2" s="173" t="s">
        <v>79</v>
      </c>
      <c r="E2" s="173" t="s">
        <v>52</v>
      </c>
      <c r="F2" s="173" t="s">
        <v>53</v>
      </c>
      <c r="G2" s="173" t="s">
        <v>55</v>
      </c>
      <c r="H2" s="173" t="s">
        <v>80</v>
      </c>
      <c r="I2" s="173" t="s">
        <v>54</v>
      </c>
      <c r="J2" s="173" t="s">
        <v>81</v>
      </c>
      <c r="K2" s="173" t="s">
        <v>82</v>
      </c>
      <c r="L2" s="173" t="s">
        <v>83</v>
      </c>
      <c r="M2" s="174"/>
      <c r="N2" s="175" t="s">
        <v>84</v>
      </c>
    </row>
    <row r="3" spans="1:14" ht="21.75" customHeight="1">
      <c r="A3" s="170" t="s">
        <v>85</v>
      </c>
      <c r="B3" s="177">
        <v>60.633333333333333</v>
      </c>
      <c r="C3" s="177">
        <v>32.333333333333336</v>
      </c>
      <c r="D3" s="177">
        <v>133.03333333333333</v>
      </c>
      <c r="E3" s="177">
        <v>168.23333333333332</v>
      </c>
      <c r="F3" s="177">
        <v>76.666666666666671</v>
      </c>
      <c r="G3" s="177">
        <v>0</v>
      </c>
      <c r="H3" s="177">
        <v>13.166666666666666</v>
      </c>
      <c r="I3" s="177">
        <v>93.233333333333334</v>
      </c>
      <c r="J3" s="177">
        <v>12.566666666666666</v>
      </c>
      <c r="K3" s="177">
        <v>35.666666666666664</v>
      </c>
      <c r="L3" s="177">
        <v>24.733333333333334</v>
      </c>
      <c r="M3" s="178"/>
      <c r="N3" s="171"/>
    </row>
    <row r="4" spans="1:14">
      <c r="A4" s="176">
        <v>44866</v>
      </c>
      <c r="B4" s="40">
        <v>46</v>
      </c>
      <c r="C4" s="111">
        <v>20</v>
      </c>
      <c r="D4" s="111">
        <v>163</v>
      </c>
      <c r="E4" s="55">
        <v>189</v>
      </c>
      <c r="F4" s="55">
        <v>103</v>
      </c>
      <c r="G4" s="74">
        <v>0</v>
      </c>
      <c r="H4" s="111">
        <v>0</v>
      </c>
      <c r="I4" s="40">
        <v>102</v>
      </c>
      <c r="J4" s="85">
        <v>5</v>
      </c>
      <c r="K4" s="74">
        <v>42</v>
      </c>
      <c r="L4" s="115">
        <v>19</v>
      </c>
      <c r="M4" s="144"/>
      <c r="N4" s="111">
        <f>K4-(J4+L4)</f>
        <v>18</v>
      </c>
    </row>
    <row r="5" spans="1:14">
      <c r="A5" s="57">
        <v>44867</v>
      </c>
      <c r="B5" s="30">
        <v>61</v>
      </c>
      <c r="C5" s="52">
        <v>23</v>
      </c>
      <c r="D5" s="52">
        <v>180</v>
      </c>
      <c r="E5" s="20">
        <v>191</v>
      </c>
      <c r="F5" s="20">
        <v>71</v>
      </c>
      <c r="G5" s="69">
        <v>0</v>
      </c>
      <c r="H5" s="52">
        <v>0</v>
      </c>
      <c r="I5" s="30">
        <v>103</v>
      </c>
      <c r="J5" s="48">
        <v>9</v>
      </c>
      <c r="K5" s="69">
        <v>64</v>
      </c>
      <c r="L5" s="86">
        <v>52</v>
      </c>
      <c r="M5" s="145"/>
      <c r="N5" s="111">
        <f t="shared" ref="N5:N34" si="0">K5-(J5+L5)</f>
        <v>3</v>
      </c>
    </row>
    <row r="6" spans="1:14">
      <c r="A6" s="57">
        <v>44868</v>
      </c>
      <c r="B6" s="30">
        <v>66</v>
      </c>
      <c r="C6" s="52">
        <v>25</v>
      </c>
      <c r="D6" s="52">
        <v>177</v>
      </c>
      <c r="E6" s="30">
        <v>195</v>
      </c>
      <c r="F6" s="30">
        <v>109</v>
      </c>
      <c r="G6" s="69">
        <v>0</v>
      </c>
      <c r="H6" s="52">
        <v>0</v>
      </c>
      <c r="I6" s="30">
        <v>104</v>
      </c>
      <c r="J6" s="48">
        <v>6</v>
      </c>
      <c r="K6" s="69">
        <v>39</v>
      </c>
      <c r="L6" s="86">
        <v>28</v>
      </c>
      <c r="M6" s="145"/>
      <c r="N6" s="111">
        <f t="shared" si="0"/>
        <v>5</v>
      </c>
    </row>
    <row r="7" spans="1:14">
      <c r="A7" s="57">
        <v>44869</v>
      </c>
      <c r="B7" s="30">
        <v>64</v>
      </c>
      <c r="C7" s="52">
        <v>19</v>
      </c>
      <c r="D7" s="52">
        <v>194</v>
      </c>
      <c r="E7" s="30">
        <v>174</v>
      </c>
      <c r="F7" s="30">
        <v>97</v>
      </c>
      <c r="G7" s="70">
        <v>0</v>
      </c>
      <c r="H7" s="52">
        <v>65</v>
      </c>
      <c r="I7" s="30">
        <v>76</v>
      </c>
      <c r="J7" s="48">
        <v>9</v>
      </c>
      <c r="K7" s="69">
        <v>37</v>
      </c>
      <c r="L7" s="86">
        <v>24</v>
      </c>
      <c r="M7" s="145"/>
      <c r="N7" s="111">
        <f t="shared" si="0"/>
        <v>4</v>
      </c>
    </row>
    <row r="8" spans="1:14">
      <c r="A8" s="57">
        <v>44870</v>
      </c>
      <c r="B8" s="30">
        <v>63</v>
      </c>
      <c r="C8" s="52">
        <v>17</v>
      </c>
      <c r="D8" s="52">
        <v>162</v>
      </c>
      <c r="E8" s="30">
        <v>225</v>
      </c>
      <c r="F8" s="30">
        <v>83</v>
      </c>
      <c r="G8" s="52">
        <v>0</v>
      </c>
      <c r="H8" s="52">
        <v>78</v>
      </c>
      <c r="I8" s="30">
        <v>100</v>
      </c>
      <c r="J8" s="48">
        <v>6</v>
      </c>
      <c r="K8" s="69">
        <v>25</v>
      </c>
      <c r="L8" s="86">
        <v>6</v>
      </c>
      <c r="M8" s="145"/>
      <c r="N8" s="111">
        <f>K8-(J8+L8)</f>
        <v>13</v>
      </c>
    </row>
    <row r="9" spans="1:14">
      <c r="A9" s="57">
        <v>44871</v>
      </c>
      <c r="B9" s="38">
        <v>54</v>
      </c>
      <c r="C9" s="52">
        <v>20</v>
      </c>
      <c r="D9" s="52">
        <v>121</v>
      </c>
      <c r="E9" s="38">
        <v>118</v>
      </c>
      <c r="F9" s="38">
        <v>76</v>
      </c>
      <c r="G9" s="52">
        <v>0</v>
      </c>
      <c r="H9" s="52">
        <v>0</v>
      </c>
      <c r="I9" s="38">
        <v>82</v>
      </c>
      <c r="J9" s="48">
        <v>5</v>
      </c>
      <c r="K9" s="69">
        <v>23</v>
      </c>
      <c r="L9" s="86">
        <v>9</v>
      </c>
      <c r="M9" s="145"/>
      <c r="N9" s="111">
        <f>K9-(J9+L9)</f>
        <v>9</v>
      </c>
    </row>
    <row r="10" spans="1:14">
      <c r="A10" s="57">
        <v>44872</v>
      </c>
      <c r="B10" s="30">
        <v>64</v>
      </c>
      <c r="C10" s="52">
        <v>22</v>
      </c>
      <c r="D10" s="52">
        <v>131</v>
      </c>
      <c r="E10" s="20">
        <v>118</v>
      </c>
      <c r="F10" s="20">
        <v>57</v>
      </c>
      <c r="G10" s="52">
        <v>0</v>
      </c>
      <c r="H10" s="52">
        <v>71</v>
      </c>
      <c r="I10" s="30">
        <v>86</v>
      </c>
      <c r="J10" s="48">
        <v>1</v>
      </c>
      <c r="K10" s="69">
        <v>34</v>
      </c>
      <c r="L10" s="86">
        <v>22</v>
      </c>
      <c r="M10" s="145"/>
      <c r="N10" s="111">
        <f>K10-(J10+L10)</f>
        <v>11</v>
      </c>
    </row>
    <row r="11" spans="1:14">
      <c r="A11" s="57">
        <v>44873</v>
      </c>
      <c r="B11" s="30">
        <v>60</v>
      </c>
      <c r="C11" s="52">
        <v>29</v>
      </c>
      <c r="D11" s="52">
        <v>140</v>
      </c>
      <c r="E11" s="30">
        <v>108</v>
      </c>
      <c r="F11" s="30">
        <v>106</v>
      </c>
      <c r="G11" s="52">
        <v>0</v>
      </c>
      <c r="H11" s="52">
        <v>65</v>
      </c>
      <c r="I11" s="30">
        <v>120</v>
      </c>
      <c r="J11" s="48">
        <v>3</v>
      </c>
      <c r="K11" s="69">
        <v>35</v>
      </c>
      <c r="L11" s="86">
        <v>28</v>
      </c>
      <c r="M11" s="145"/>
      <c r="N11" s="111">
        <f t="shared" si="0"/>
        <v>4</v>
      </c>
    </row>
    <row r="12" spans="1:14">
      <c r="A12" s="57">
        <v>44874</v>
      </c>
      <c r="B12" s="30">
        <v>72</v>
      </c>
      <c r="C12" s="52">
        <v>27</v>
      </c>
      <c r="D12" s="52">
        <v>137</v>
      </c>
      <c r="E12" s="20">
        <v>166</v>
      </c>
      <c r="F12" s="20">
        <v>40</v>
      </c>
      <c r="G12" s="52">
        <v>0</v>
      </c>
      <c r="H12" s="52">
        <v>0</v>
      </c>
      <c r="I12" s="30">
        <v>100</v>
      </c>
      <c r="J12" s="48">
        <v>2</v>
      </c>
      <c r="K12" s="69">
        <v>44</v>
      </c>
      <c r="L12" s="86">
        <v>35</v>
      </c>
      <c r="M12" s="145"/>
      <c r="N12" s="111">
        <f t="shared" si="0"/>
        <v>7</v>
      </c>
    </row>
    <row r="13" spans="1:14">
      <c r="A13" s="57">
        <v>44875</v>
      </c>
      <c r="B13" s="30">
        <v>62</v>
      </c>
      <c r="C13" s="52">
        <v>17</v>
      </c>
      <c r="D13" s="52">
        <v>152</v>
      </c>
      <c r="E13" s="30">
        <v>150</v>
      </c>
      <c r="F13" s="30">
        <v>47</v>
      </c>
      <c r="G13" s="52">
        <v>0</v>
      </c>
      <c r="H13" s="52">
        <v>0</v>
      </c>
      <c r="I13" s="30">
        <v>56</v>
      </c>
      <c r="J13" s="48">
        <v>5</v>
      </c>
      <c r="K13" s="69">
        <v>39</v>
      </c>
      <c r="L13" s="86">
        <v>30</v>
      </c>
      <c r="M13" s="145"/>
      <c r="N13" s="111">
        <f>K13-(J13+L13)</f>
        <v>4</v>
      </c>
    </row>
    <row r="14" spans="1:14">
      <c r="A14" s="57">
        <v>44876</v>
      </c>
      <c r="B14" s="30">
        <v>63</v>
      </c>
      <c r="C14" s="52">
        <v>34</v>
      </c>
      <c r="D14" s="52">
        <v>164</v>
      </c>
      <c r="E14" s="30">
        <v>95</v>
      </c>
      <c r="F14" s="30">
        <v>73</v>
      </c>
      <c r="G14" s="52">
        <v>0</v>
      </c>
      <c r="H14" s="52">
        <v>0</v>
      </c>
      <c r="I14" s="30">
        <v>103</v>
      </c>
      <c r="J14" s="48">
        <v>5</v>
      </c>
      <c r="K14" s="69">
        <v>54</v>
      </c>
      <c r="L14" s="86">
        <v>46</v>
      </c>
      <c r="M14" s="145"/>
      <c r="N14" s="111">
        <f t="shared" si="0"/>
        <v>3</v>
      </c>
    </row>
    <row r="15" spans="1:14">
      <c r="A15" s="57">
        <v>44877</v>
      </c>
      <c r="B15" s="30">
        <v>57</v>
      </c>
      <c r="C15" s="52">
        <v>24</v>
      </c>
      <c r="D15" s="52">
        <v>174</v>
      </c>
      <c r="E15" s="30">
        <v>139</v>
      </c>
      <c r="F15" s="30">
        <v>55</v>
      </c>
      <c r="G15" s="52">
        <v>0</v>
      </c>
      <c r="H15" s="52">
        <v>0</v>
      </c>
      <c r="I15" s="30">
        <v>100</v>
      </c>
      <c r="J15" s="48">
        <v>5</v>
      </c>
      <c r="K15" s="69">
        <v>43</v>
      </c>
      <c r="L15" s="86">
        <v>30</v>
      </c>
      <c r="M15" s="145"/>
      <c r="N15" s="111">
        <f t="shared" si="0"/>
        <v>8</v>
      </c>
    </row>
    <row r="16" spans="1:14">
      <c r="A16" s="57">
        <v>44878</v>
      </c>
      <c r="B16" s="30">
        <v>59</v>
      </c>
      <c r="C16" s="52">
        <v>21</v>
      </c>
      <c r="D16" s="52">
        <v>160</v>
      </c>
      <c r="E16" s="20">
        <v>152</v>
      </c>
      <c r="F16" s="20">
        <v>76</v>
      </c>
      <c r="G16" s="52">
        <v>0</v>
      </c>
      <c r="H16" s="52">
        <v>0</v>
      </c>
      <c r="I16" s="20">
        <v>76</v>
      </c>
      <c r="J16" s="48">
        <v>8</v>
      </c>
      <c r="K16" s="69">
        <v>40</v>
      </c>
      <c r="L16" s="86">
        <v>24</v>
      </c>
      <c r="M16" s="145"/>
      <c r="N16" s="111">
        <f t="shared" si="0"/>
        <v>8</v>
      </c>
    </row>
    <row r="17" spans="1:14">
      <c r="A17" s="57">
        <v>44879</v>
      </c>
      <c r="B17" s="30">
        <v>59</v>
      </c>
      <c r="C17" s="52">
        <v>19</v>
      </c>
      <c r="D17" s="52">
        <v>174</v>
      </c>
      <c r="E17" s="30">
        <v>169</v>
      </c>
      <c r="F17" s="30">
        <v>66</v>
      </c>
      <c r="G17" s="52">
        <v>0</v>
      </c>
      <c r="H17" s="52">
        <v>0</v>
      </c>
      <c r="I17" s="30">
        <v>49</v>
      </c>
      <c r="J17" s="48">
        <v>7</v>
      </c>
      <c r="K17" s="69">
        <v>45</v>
      </c>
      <c r="L17" s="86">
        <v>35</v>
      </c>
      <c r="M17" s="145"/>
      <c r="N17" s="111">
        <f t="shared" si="0"/>
        <v>3</v>
      </c>
    </row>
    <row r="18" spans="1:14">
      <c r="A18" s="57">
        <v>44880</v>
      </c>
      <c r="B18" s="30">
        <v>62</v>
      </c>
      <c r="C18" s="52">
        <v>37</v>
      </c>
      <c r="D18" s="52">
        <v>174</v>
      </c>
      <c r="E18" s="30">
        <v>181</v>
      </c>
      <c r="F18" s="30">
        <v>71</v>
      </c>
      <c r="G18" s="52">
        <v>0</v>
      </c>
      <c r="H18" s="52">
        <v>0</v>
      </c>
      <c r="I18" s="30">
        <v>94</v>
      </c>
      <c r="J18" s="48">
        <v>5</v>
      </c>
      <c r="K18" s="69">
        <v>57</v>
      </c>
      <c r="L18" s="86">
        <v>43</v>
      </c>
      <c r="M18" s="145"/>
      <c r="N18" s="111">
        <f t="shared" si="0"/>
        <v>9</v>
      </c>
    </row>
    <row r="19" spans="1:14">
      <c r="A19" s="57">
        <v>44881</v>
      </c>
      <c r="B19" s="19">
        <v>62</v>
      </c>
      <c r="C19" s="52">
        <v>26</v>
      </c>
      <c r="D19" s="52">
        <v>151</v>
      </c>
      <c r="E19" s="30">
        <v>148</v>
      </c>
      <c r="F19" s="30">
        <v>73</v>
      </c>
      <c r="G19" s="52">
        <v>0</v>
      </c>
      <c r="H19" s="52">
        <v>0</v>
      </c>
      <c r="I19" s="30">
        <v>101</v>
      </c>
      <c r="J19" s="48">
        <v>6</v>
      </c>
      <c r="K19" s="69">
        <v>27</v>
      </c>
      <c r="L19" s="86">
        <v>18</v>
      </c>
      <c r="M19" s="145"/>
      <c r="N19" s="111">
        <f t="shared" si="0"/>
        <v>3</v>
      </c>
    </row>
    <row r="20" spans="1:14">
      <c r="A20" s="57">
        <v>44882</v>
      </c>
      <c r="B20" s="30">
        <v>57</v>
      </c>
      <c r="C20" s="52">
        <v>22</v>
      </c>
      <c r="D20" s="52">
        <v>271</v>
      </c>
      <c r="E20" s="30">
        <v>158</v>
      </c>
      <c r="F20" s="30">
        <v>79</v>
      </c>
      <c r="G20" s="52">
        <v>0</v>
      </c>
      <c r="H20" s="52">
        <v>0</v>
      </c>
      <c r="I20" s="30">
        <v>96</v>
      </c>
      <c r="J20" s="48">
        <v>4</v>
      </c>
      <c r="K20" s="69">
        <v>54</v>
      </c>
      <c r="L20" s="86">
        <v>22</v>
      </c>
      <c r="M20" s="145"/>
      <c r="N20" s="111">
        <f t="shared" si="0"/>
        <v>28</v>
      </c>
    </row>
    <row r="21" spans="1:14">
      <c r="A21" s="57">
        <v>44883</v>
      </c>
      <c r="B21" s="52">
        <v>67</v>
      </c>
      <c r="C21" s="52">
        <v>22</v>
      </c>
      <c r="D21" s="52">
        <v>202</v>
      </c>
      <c r="E21" s="52">
        <v>155</v>
      </c>
      <c r="F21" s="48">
        <v>53</v>
      </c>
      <c r="G21" s="52">
        <v>0</v>
      </c>
      <c r="H21" s="52">
        <v>72</v>
      </c>
      <c r="I21" s="48">
        <v>100</v>
      </c>
      <c r="J21" s="48">
        <v>5</v>
      </c>
      <c r="K21" s="69">
        <v>39</v>
      </c>
      <c r="L21" s="86">
        <v>20</v>
      </c>
      <c r="M21" s="145"/>
      <c r="N21" s="111">
        <f t="shared" si="0"/>
        <v>14</v>
      </c>
    </row>
    <row r="22" spans="1:14">
      <c r="A22" s="57">
        <v>44884</v>
      </c>
      <c r="B22" s="52">
        <v>61</v>
      </c>
      <c r="C22" s="52">
        <v>17</v>
      </c>
      <c r="D22" s="52">
        <v>220</v>
      </c>
      <c r="E22" s="52">
        <v>168</v>
      </c>
      <c r="F22" s="48">
        <v>84</v>
      </c>
      <c r="G22" s="52">
        <v>0</v>
      </c>
      <c r="H22" s="52">
        <v>71</v>
      </c>
      <c r="I22" s="48">
        <v>96</v>
      </c>
      <c r="J22" s="48">
        <v>8</v>
      </c>
      <c r="K22" s="69">
        <v>47</v>
      </c>
      <c r="L22" s="86">
        <v>29</v>
      </c>
      <c r="M22" s="145"/>
      <c r="N22" s="111">
        <f>K22-(J22+L22)</f>
        <v>10</v>
      </c>
    </row>
    <row r="23" spans="1:14">
      <c r="A23" s="57">
        <v>44885</v>
      </c>
      <c r="B23" s="52">
        <v>58</v>
      </c>
      <c r="C23" s="52">
        <v>17</v>
      </c>
      <c r="D23" s="52">
        <v>155</v>
      </c>
      <c r="E23" s="52">
        <v>142</v>
      </c>
      <c r="F23" s="52">
        <v>84</v>
      </c>
      <c r="G23" s="52">
        <v>0</v>
      </c>
      <c r="H23" s="52">
        <v>0</v>
      </c>
      <c r="I23" s="52">
        <v>70</v>
      </c>
      <c r="J23" s="52">
        <v>7</v>
      </c>
      <c r="K23" s="52">
        <v>37</v>
      </c>
      <c r="L23" s="52">
        <v>24</v>
      </c>
      <c r="M23" s="145"/>
      <c r="N23" s="111">
        <f t="shared" si="0"/>
        <v>6</v>
      </c>
    </row>
    <row r="24" spans="1:14">
      <c r="A24" s="57">
        <v>44886</v>
      </c>
      <c r="B24" s="52">
        <v>64</v>
      </c>
      <c r="C24" s="52">
        <v>31</v>
      </c>
      <c r="D24" s="52">
        <v>148</v>
      </c>
      <c r="E24" s="52">
        <v>147</v>
      </c>
      <c r="F24" s="48">
        <v>62</v>
      </c>
      <c r="G24" s="52">
        <v>0</v>
      </c>
      <c r="H24" s="52">
        <v>0</v>
      </c>
      <c r="I24" s="48">
        <v>102</v>
      </c>
      <c r="J24" s="48">
        <v>4</v>
      </c>
      <c r="K24" s="69">
        <v>38</v>
      </c>
      <c r="L24" s="86">
        <v>29</v>
      </c>
      <c r="M24" s="145"/>
      <c r="N24" s="111">
        <f t="shared" si="0"/>
        <v>5</v>
      </c>
    </row>
    <row r="25" spans="1:14">
      <c r="A25" s="57">
        <v>44887</v>
      </c>
      <c r="B25" s="52">
        <v>60</v>
      </c>
      <c r="C25" s="52">
        <v>17</v>
      </c>
      <c r="D25" s="52">
        <v>130</v>
      </c>
      <c r="E25" s="52">
        <v>138</v>
      </c>
      <c r="F25" s="48">
        <v>78</v>
      </c>
      <c r="G25" s="52">
        <v>0</v>
      </c>
      <c r="H25" s="52">
        <v>0</v>
      </c>
      <c r="I25" s="48">
        <v>63</v>
      </c>
      <c r="J25" s="48">
        <v>10</v>
      </c>
      <c r="K25" s="69">
        <v>38</v>
      </c>
      <c r="L25" s="86">
        <v>28</v>
      </c>
      <c r="M25" s="145"/>
      <c r="N25" s="111">
        <f t="shared" si="0"/>
        <v>0</v>
      </c>
    </row>
    <row r="26" spans="1:14">
      <c r="A26" s="57">
        <v>44888</v>
      </c>
      <c r="B26" s="52">
        <v>64</v>
      </c>
      <c r="C26" s="52">
        <v>27</v>
      </c>
      <c r="D26" s="52">
        <v>140</v>
      </c>
      <c r="E26" s="52">
        <v>73</v>
      </c>
      <c r="F26" s="48">
        <v>86</v>
      </c>
      <c r="G26" s="52">
        <v>0</v>
      </c>
      <c r="H26" s="52">
        <v>0</v>
      </c>
      <c r="I26" s="48">
        <v>54</v>
      </c>
      <c r="J26" s="48">
        <v>2</v>
      </c>
      <c r="K26" s="69">
        <v>38</v>
      </c>
      <c r="L26" s="86">
        <v>29</v>
      </c>
      <c r="M26" s="145"/>
      <c r="N26" s="111">
        <f t="shared" si="0"/>
        <v>7</v>
      </c>
    </row>
    <row r="27" spans="1:14">
      <c r="A27" s="57">
        <v>44889</v>
      </c>
      <c r="B27" s="52">
        <v>56</v>
      </c>
      <c r="C27" s="52">
        <v>39</v>
      </c>
      <c r="D27" s="52">
        <v>125</v>
      </c>
      <c r="E27" s="52">
        <v>116</v>
      </c>
      <c r="F27" s="48">
        <v>55</v>
      </c>
      <c r="G27" s="52">
        <v>0</v>
      </c>
      <c r="H27" s="52">
        <v>0</v>
      </c>
      <c r="I27" s="48">
        <v>106</v>
      </c>
      <c r="J27" s="48">
        <v>11</v>
      </c>
      <c r="K27" s="69">
        <v>32</v>
      </c>
      <c r="L27" s="86">
        <v>22</v>
      </c>
      <c r="M27" s="145"/>
      <c r="N27" s="111">
        <v>1</v>
      </c>
    </row>
    <row r="28" spans="1:14">
      <c r="A28" s="57">
        <v>44890</v>
      </c>
      <c r="B28" s="30">
        <v>58</v>
      </c>
      <c r="C28" s="52">
        <v>31</v>
      </c>
      <c r="D28" s="52">
        <v>163</v>
      </c>
      <c r="E28" s="20">
        <v>160</v>
      </c>
      <c r="F28" s="20">
        <v>75</v>
      </c>
      <c r="G28" s="52">
        <v>0</v>
      </c>
      <c r="H28" s="52">
        <v>0</v>
      </c>
      <c r="I28" s="20">
        <v>73</v>
      </c>
      <c r="J28" s="48">
        <v>2</v>
      </c>
      <c r="K28" s="69">
        <v>40</v>
      </c>
      <c r="L28" s="86">
        <v>32</v>
      </c>
      <c r="M28" s="145"/>
      <c r="N28" s="111">
        <f t="shared" si="0"/>
        <v>6</v>
      </c>
    </row>
    <row r="29" spans="1:14">
      <c r="A29" s="57">
        <v>44891</v>
      </c>
      <c r="B29" s="53">
        <v>66</v>
      </c>
      <c r="C29" s="52">
        <v>21</v>
      </c>
      <c r="D29" s="52">
        <v>110</v>
      </c>
      <c r="E29" s="54">
        <v>119</v>
      </c>
      <c r="F29" s="54">
        <v>82</v>
      </c>
      <c r="G29" s="52">
        <v>0</v>
      </c>
      <c r="H29" s="52">
        <v>0</v>
      </c>
      <c r="I29" s="54">
        <v>113</v>
      </c>
      <c r="J29" s="48">
        <v>0</v>
      </c>
      <c r="K29" s="69">
        <v>34</v>
      </c>
      <c r="L29" s="86">
        <v>27</v>
      </c>
      <c r="M29" s="145"/>
      <c r="N29" s="111">
        <f t="shared" si="0"/>
        <v>7</v>
      </c>
    </row>
    <row r="30" spans="1:14">
      <c r="A30" s="57">
        <v>44892</v>
      </c>
      <c r="B30" s="48">
        <v>57</v>
      </c>
      <c r="C30" s="52">
        <v>20</v>
      </c>
      <c r="D30" s="52">
        <v>116</v>
      </c>
      <c r="E30" s="48">
        <v>115</v>
      </c>
      <c r="F30" s="48">
        <v>77</v>
      </c>
      <c r="G30" s="52">
        <v>0</v>
      </c>
      <c r="H30" s="52">
        <v>0</v>
      </c>
      <c r="I30" s="48">
        <v>100</v>
      </c>
      <c r="J30" s="48">
        <v>2</v>
      </c>
      <c r="K30" s="69">
        <v>35</v>
      </c>
      <c r="L30" s="86">
        <v>28</v>
      </c>
      <c r="M30" s="145"/>
      <c r="N30" s="111">
        <f t="shared" si="0"/>
        <v>5</v>
      </c>
    </row>
    <row r="31" spans="1:14">
      <c r="A31" s="57">
        <v>44893</v>
      </c>
      <c r="B31" s="52">
        <v>67</v>
      </c>
      <c r="C31" s="52">
        <v>34</v>
      </c>
      <c r="D31" s="52">
        <v>147</v>
      </c>
      <c r="E31" s="52">
        <v>156</v>
      </c>
      <c r="F31" s="48">
        <v>95</v>
      </c>
      <c r="G31" s="52">
        <v>0</v>
      </c>
      <c r="H31" s="52">
        <v>0</v>
      </c>
      <c r="I31" s="48">
        <v>106</v>
      </c>
      <c r="J31" s="48">
        <v>3</v>
      </c>
      <c r="K31" s="69">
        <v>44</v>
      </c>
      <c r="L31" s="86">
        <v>32</v>
      </c>
      <c r="M31" s="145"/>
      <c r="N31" s="111">
        <f t="shared" si="0"/>
        <v>9</v>
      </c>
    </row>
    <row r="32" spans="1:14">
      <c r="A32" s="57">
        <v>44894</v>
      </c>
      <c r="B32" s="52">
        <v>40</v>
      </c>
      <c r="C32" s="52">
        <v>29</v>
      </c>
      <c r="D32" s="52">
        <v>164</v>
      </c>
      <c r="E32" s="52"/>
      <c r="F32" s="48">
        <v>69</v>
      </c>
      <c r="G32" s="52">
        <v>0</v>
      </c>
      <c r="H32" s="52">
        <v>0</v>
      </c>
      <c r="I32" s="48">
        <v>78</v>
      </c>
      <c r="J32" s="48">
        <v>22</v>
      </c>
      <c r="K32" s="69">
        <v>40</v>
      </c>
      <c r="L32" s="86">
        <v>29</v>
      </c>
      <c r="M32" s="145"/>
      <c r="N32" s="111">
        <f t="shared" si="0"/>
        <v>-11</v>
      </c>
    </row>
    <row r="33" spans="1:14">
      <c r="A33" s="57">
        <v>44895</v>
      </c>
      <c r="B33" s="52"/>
      <c r="C33" s="52"/>
      <c r="D33" s="52"/>
      <c r="E33" s="52"/>
      <c r="F33" s="48"/>
      <c r="G33" s="52"/>
      <c r="H33" s="52"/>
      <c r="I33" s="48"/>
      <c r="J33" s="48"/>
      <c r="K33" s="69"/>
      <c r="L33" s="86"/>
      <c r="M33" s="145"/>
      <c r="N33" s="111">
        <f t="shared" si="0"/>
        <v>0</v>
      </c>
    </row>
    <row r="34" spans="1:14">
      <c r="A34" s="57"/>
      <c r="B34" s="52"/>
      <c r="C34" s="52"/>
      <c r="D34" s="52"/>
      <c r="E34" s="52"/>
      <c r="F34" s="48"/>
      <c r="G34" s="52"/>
      <c r="H34" s="52"/>
      <c r="I34" s="48"/>
      <c r="J34" s="48"/>
      <c r="K34" s="69"/>
      <c r="L34" s="86"/>
      <c r="M34" s="145"/>
      <c r="N34" s="111">
        <f t="shared" si="0"/>
        <v>0</v>
      </c>
    </row>
    <row r="35" spans="1:14" ht="45" customHeight="1">
      <c r="A35" s="113" t="s">
        <v>86</v>
      </c>
      <c r="B35" s="112">
        <f>SUM(B4:B34)</f>
        <v>1749</v>
      </c>
      <c r="C35" s="112">
        <f t="shared" ref="C35:L35" si="1">SUM(C4:C34)</f>
        <v>707</v>
      </c>
      <c r="D35" s="112">
        <f t="shared" si="1"/>
        <v>4645</v>
      </c>
      <c r="E35" s="112">
        <f t="shared" si="1"/>
        <v>4165</v>
      </c>
      <c r="F35" s="112">
        <f t="shared" si="1"/>
        <v>2182</v>
      </c>
      <c r="G35" s="112">
        <f t="shared" si="1"/>
        <v>0</v>
      </c>
      <c r="H35" s="112">
        <f t="shared" si="1"/>
        <v>422</v>
      </c>
      <c r="I35" s="112">
        <f t="shared" si="1"/>
        <v>2609</v>
      </c>
      <c r="J35" s="112">
        <f t="shared" si="1"/>
        <v>167</v>
      </c>
      <c r="K35" s="116"/>
      <c r="L35" s="116">
        <f t="shared" si="1"/>
        <v>800</v>
      </c>
      <c r="M35" s="116"/>
      <c r="N35" s="112">
        <f>E35-J35-(L35+3)</f>
        <v>3195</v>
      </c>
    </row>
    <row r="44" spans="1:14" hidden="1"/>
  </sheetData>
  <mergeCells count="1">
    <mergeCell ref="J1:L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AC105"/>
  <sheetViews>
    <sheetView workbookViewId="0">
      <pane xSplit="1" topLeftCell="B33" activePane="topRight" state="frozen"/>
      <selection pane="topRight" activeCell="T33" sqref="T33"/>
    </sheetView>
  </sheetViews>
  <sheetFormatPr defaultRowHeight="15" customHeight="1"/>
  <cols>
    <col min="1" max="1" width="11.85546875" customWidth="1"/>
    <col min="2" max="4" width="11.42578125" customWidth="1"/>
    <col min="5" max="5" width="6.5703125" customWidth="1"/>
    <col min="6" max="8" width="11.42578125" customWidth="1"/>
    <col min="9" max="9" width="6.5703125" customWidth="1"/>
    <col min="10" max="12" width="11.42578125" customWidth="1"/>
    <col min="13" max="13" width="6.5703125" customWidth="1"/>
    <col min="14" max="16" width="11.42578125" customWidth="1"/>
    <col min="17" max="17" width="6.5703125" customWidth="1"/>
    <col min="18" max="20" width="11.42578125" customWidth="1"/>
    <col min="21" max="21" width="6.5703125" customWidth="1"/>
    <col min="22" max="24" width="11.42578125" customWidth="1"/>
    <col min="25" max="25" width="11.28515625" hidden="1" customWidth="1"/>
  </cols>
  <sheetData>
    <row r="1" spans="1:29"/>
    <row r="2" spans="1:29" ht="17.25" customHeight="1">
      <c r="A2" s="99"/>
      <c r="B2" s="204" t="s">
        <v>87</v>
      </c>
      <c r="C2" s="205"/>
      <c r="D2" s="205"/>
      <c r="E2" s="206"/>
      <c r="F2" s="204" t="s">
        <v>88</v>
      </c>
      <c r="G2" s="205"/>
      <c r="H2" s="205"/>
      <c r="I2" s="206"/>
      <c r="J2" s="207" t="s">
        <v>89</v>
      </c>
      <c r="K2" s="208"/>
      <c r="L2" s="208"/>
      <c r="M2" s="209"/>
      <c r="N2" s="207" t="s">
        <v>90</v>
      </c>
      <c r="O2" s="208"/>
      <c r="P2" s="208"/>
      <c r="Q2" s="209"/>
      <c r="R2" s="207" t="s">
        <v>91</v>
      </c>
      <c r="S2" s="208"/>
      <c r="T2" s="208"/>
      <c r="U2" s="208"/>
      <c r="V2" s="163"/>
      <c r="W2" s="163"/>
      <c r="X2" s="164"/>
      <c r="Y2" s="165"/>
      <c r="Z2" s="166"/>
      <c r="AA2" s="166"/>
      <c r="AB2" s="201" t="s">
        <v>92</v>
      </c>
      <c r="AC2" s="202"/>
    </row>
    <row r="3" spans="1:29" ht="70.5" customHeight="1">
      <c r="A3" s="56" t="s">
        <v>33</v>
      </c>
      <c r="B3" s="88" t="s">
        <v>93</v>
      </c>
      <c r="C3" s="88" t="s">
        <v>94</v>
      </c>
      <c r="D3" s="89" t="s">
        <v>95</v>
      </c>
      <c r="E3" s="100"/>
      <c r="F3" s="51" t="s">
        <v>93</v>
      </c>
      <c r="G3" s="51" t="s">
        <v>94</v>
      </c>
      <c r="H3" s="82" t="s">
        <v>95</v>
      </c>
      <c r="I3" s="102"/>
      <c r="J3" s="51" t="s">
        <v>93</v>
      </c>
      <c r="K3" s="51" t="s">
        <v>94</v>
      </c>
      <c r="L3" s="82" t="s">
        <v>95</v>
      </c>
      <c r="M3" s="101"/>
      <c r="N3" s="51" t="s">
        <v>93</v>
      </c>
      <c r="O3" s="51" t="s">
        <v>94</v>
      </c>
      <c r="P3" s="82" t="s">
        <v>95</v>
      </c>
      <c r="Q3" s="101"/>
      <c r="R3" s="51" t="s">
        <v>93</v>
      </c>
      <c r="S3" s="51" t="s">
        <v>94</v>
      </c>
      <c r="T3" s="82" t="s">
        <v>95</v>
      </c>
      <c r="U3" s="139"/>
      <c r="V3" s="114" t="s">
        <v>96</v>
      </c>
      <c r="W3" s="114" t="s">
        <v>97</v>
      </c>
      <c r="X3" s="108" t="s">
        <v>98</v>
      </c>
      <c r="Y3" s="138" t="s">
        <v>99</v>
      </c>
      <c r="Z3" s="138">
        <v>0</v>
      </c>
      <c r="AA3" s="138"/>
      <c r="AB3" s="114"/>
      <c r="AC3" s="114"/>
    </row>
    <row r="4" spans="1:29">
      <c r="A4" s="57">
        <v>44866</v>
      </c>
      <c r="B4" s="52">
        <v>11</v>
      </c>
      <c r="C4" s="52">
        <v>1485</v>
      </c>
      <c r="D4" s="69">
        <v>7113</v>
      </c>
      <c r="E4" s="101"/>
      <c r="F4" s="52">
        <v>24</v>
      </c>
      <c r="G4" s="52">
        <v>3523</v>
      </c>
      <c r="H4" s="86">
        <v>15674</v>
      </c>
      <c r="I4" s="103"/>
      <c r="J4" s="52">
        <v>18</v>
      </c>
      <c r="K4" s="52">
        <v>2186</v>
      </c>
      <c r="L4" s="86">
        <v>10502</v>
      </c>
      <c r="M4" s="101"/>
      <c r="N4" s="52">
        <v>4</v>
      </c>
      <c r="O4" s="52">
        <v>671</v>
      </c>
      <c r="P4" s="86">
        <v>2301</v>
      </c>
      <c r="Q4" s="101"/>
      <c r="R4" s="52">
        <v>0</v>
      </c>
      <c r="S4" s="52">
        <v>0</v>
      </c>
      <c r="T4" s="52">
        <v>0</v>
      </c>
      <c r="U4" s="162"/>
      <c r="V4" s="39">
        <f>'FS Seychelles'!B3</f>
        <v>68.8</v>
      </c>
      <c r="W4" s="52">
        <f>SUM(B4,F4,J4,N4,R4)</f>
        <v>57</v>
      </c>
      <c r="X4" s="52">
        <f>SUM(C4,G4,K4,O4,S4)</f>
        <v>7865</v>
      </c>
      <c r="Y4" s="52">
        <f>SUM(D4,H4,L4,P4,T4)</f>
        <v>35590</v>
      </c>
      <c r="Z4" s="69"/>
      <c r="AA4" s="69"/>
      <c r="AB4" s="48"/>
      <c r="AC4" s="48"/>
    </row>
    <row r="5" spans="1:29">
      <c r="A5" s="57">
        <v>44867</v>
      </c>
      <c r="B5" s="52">
        <v>0</v>
      </c>
      <c r="C5" s="52">
        <v>0</v>
      </c>
      <c r="D5" s="69">
        <v>0</v>
      </c>
      <c r="E5" s="101"/>
      <c r="F5" s="52">
        <v>17</v>
      </c>
      <c r="G5" s="52">
        <v>2112</v>
      </c>
      <c r="H5" s="86">
        <v>9433</v>
      </c>
      <c r="I5" s="103"/>
      <c r="J5" s="52">
        <v>15</v>
      </c>
      <c r="K5" s="52">
        <v>1925</v>
      </c>
      <c r="L5" s="86">
        <v>9480</v>
      </c>
      <c r="M5" s="101"/>
      <c r="N5" s="52">
        <v>9</v>
      </c>
      <c r="O5" s="52">
        <v>1391</v>
      </c>
      <c r="P5" s="86">
        <v>5218</v>
      </c>
      <c r="Q5" s="101"/>
      <c r="R5" s="52">
        <v>15</v>
      </c>
      <c r="S5" s="52">
        <v>1996</v>
      </c>
      <c r="T5" s="52">
        <v>9433</v>
      </c>
      <c r="U5" s="139" t="s">
        <v>100</v>
      </c>
      <c r="V5" s="39">
        <f>'FS Seychelles'!B4</f>
        <v>71.400000000000006</v>
      </c>
      <c r="W5" s="52">
        <f>SUM(B5,F5,J5,N5,R5)</f>
        <v>56</v>
      </c>
      <c r="X5" s="52">
        <f t="shared" ref="X5:X34" si="0">SUM(C5,G5,K5,O5,S5)</f>
        <v>7424</v>
      </c>
      <c r="Y5" s="52">
        <f t="shared" ref="Y5:Y34" si="1">SUM(D5,H5,L5,P5,T5)</f>
        <v>33564</v>
      </c>
      <c r="Z5" s="86"/>
      <c r="AA5" s="69"/>
      <c r="AB5" s="48"/>
      <c r="AC5" s="48"/>
    </row>
    <row r="6" spans="1:29">
      <c r="A6" s="57">
        <v>44868</v>
      </c>
      <c r="B6" s="52">
        <v>0</v>
      </c>
      <c r="C6" s="52">
        <v>0</v>
      </c>
      <c r="D6" s="69">
        <v>0</v>
      </c>
      <c r="E6" s="101"/>
      <c r="F6" s="52">
        <v>14</v>
      </c>
      <c r="G6" s="52">
        <v>1912</v>
      </c>
      <c r="H6" s="86">
        <v>8437</v>
      </c>
      <c r="I6" s="103"/>
      <c r="J6" s="52">
        <v>17</v>
      </c>
      <c r="K6" s="52">
        <v>2476</v>
      </c>
      <c r="L6" s="86">
        <v>12258</v>
      </c>
      <c r="M6" s="101"/>
      <c r="N6" s="52">
        <v>8</v>
      </c>
      <c r="O6" s="52">
        <v>1192</v>
      </c>
      <c r="P6" s="86">
        <v>4105</v>
      </c>
      <c r="Q6" s="101"/>
      <c r="R6" s="52">
        <v>17</v>
      </c>
      <c r="S6" s="52">
        <v>2533</v>
      </c>
      <c r="T6" s="52">
        <v>12130</v>
      </c>
      <c r="U6" s="139"/>
      <c r="V6" s="39">
        <f>'FS Seychelles'!B5</f>
        <v>71.400000000000006</v>
      </c>
      <c r="W6" s="52">
        <f t="shared" ref="W6:W34" si="2">SUM(B6,F6,J6,N6,R6)</f>
        <v>56</v>
      </c>
      <c r="X6" s="52">
        <f t="shared" si="0"/>
        <v>8113</v>
      </c>
      <c r="Y6" s="52">
        <f t="shared" si="1"/>
        <v>36930</v>
      </c>
      <c r="Z6" s="86"/>
      <c r="AA6" s="69"/>
      <c r="AB6" s="48"/>
      <c r="AC6" s="48"/>
    </row>
    <row r="7" spans="1:29">
      <c r="A7" s="57">
        <v>44869</v>
      </c>
      <c r="B7" s="52">
        <v>0</v>
      </c>
      <c r="C7" s="52">
        <v>0</v>
      </c>
      <c r="D7" s="69">
        <v>0</v>
      </c>
      <c r="E7" s="101"/>
      <c r="F7" s="52">
        <v>17</v>
      </c>
      <c r="G7" s="52">
        <v>2190</v>
      </c>
      <c r="H7" s="86">
        <v>9950</v>
      </c>
      <c r="I7" s="103"/>
      <c r="J7" s="52">
        <v>16</v>
      </c>
      <c r="K7" s="52">
        <v>2191</v>
      </c>
      <c r="L7" s="86">
        <v>11102</v>
      </c>
      <c r="M7" s="101"/>
      <c r="N7" s="52">
        <v>8</v>
      </c>
      <c r="O7" s="52">
        <v>1184</v>
      </c>
      <c r="P7" s="86">
        <v>4561</v>
      </c>
      <c r="Q7" s="101"/>
      <c r="R7" s="52">
        <v>16</v>
      </c>
      <c r="S7" s="52">
        <v>2316</v>
      </c>
      <c r="T7" s="52">
        <v>11057</v>
      </c>
      <c r="U7" s="139"/>
      <c r="V7" s="39">
        <f>'FS Seychelles'!B6</f>
        <v>74</v>
      </c>
      <c r="W7" s="52">
        <f t="shared" si="2"/>
        <v>57</v>
      </c>
      <c r="X7" s="52">
        <f t="shared" si="0"/>
        <v>7881</v>
      </c>
      <c r="Y7" s="52">
        <f t="shared" si="1"/>
        <v>36670</v>
      </c>
      <c r="Z7" s="86"/>
      <c r="AA7" s="69"/>
      <c r="AB7" s="48"/>
      <c r="AC7" s="48"/>
    </row>
    <row r="8" spans="1:29">
      <c r="A8" s="57">
        <v>44870</v>
      </c>
      <c r="B8" s="52">
        <v>0</v>
      </c>
      <c r="C8" s="52">
        <v>0</v>
      </c>
      <c r="D8" s="69">
        <v>0</v>
      </c>
      <c r="E8" s="101"/>
      <c r="F8" s="52">
        <v>2</v>
      </c>
      <c r="G8" s="52">
        <v>1731</v>
      </c>
      <c r="H8" s="86">
        <v>7759</v>
      </c>
      <c r="I8" s="103"/>
      <c r="J8" s="52">
        <v>12</v>
      </c>
      <c r="K8" s="52">
        <v>1742</v>
      </c>
      <c r="L8" s="86">
        <v>8406</v>
      </c>
      <c r="M8" s="101"/>
      <c r="N8" s="52">
        <v>17</v>
      </c>
      <c r="O8" s="52">
        <v>2818</v>
      </c>
      <c r="P8" s="86">
        <v>10187</v>
      </c>
      <c r="Q8" s="101"/>
      <c r="R8" s="52">
        <v>15</v>
      </c>
      <c r="S8" s="52">
        <v>2222</v>
      </c>
      <c r="T8" s="52">
        <v>10263</v>
      </c>
      <c r="U8" s="139"/>
      <c r="V8" s="39">
        <f>'FS Seychelles'!B7</f>
        <v>64.900000000000006</v>
      </c>
      <c r="W8" s="52">
        <f t="shared" si="2"/>
        <v>46</v>
      </c>
      <c r="X8" s="52">
        <f t="shared" si="0"/>
        <v>8513</v>
      </c>
      <c r="Y8" s="52">
        <f t="shared" si="1"/>
        <v>36615</v>
      </c>
      <c r="Z8" s="86"/>
      <c r="AA8" s="69"/>
      <c r="AB8" s="48"/>
      <c r="AC8" s="48"/>
    </row>
    <row r="9" spans="1:29">
      <c r="A9" s="57">
        <v>44871</v>
      </c>
      <c r="B9" s="52">
        <v>0</v>
      </c>
      <c r="C9" s="52">
        <v>0</v>
      </c>
      <c r="D9" s="69">
        <v>0</v>
      </c>
      <c r="E9" s="101"/>
      <c r="F9" s="52">
        <v>10</v>
      </c>
      <c r="G9" s="52">
        <v>1284</v>
      </c>
      <c r="H9" s="86">
        <v>5577</v>
      </c>
      <c r="I9" s="103"/>
      <c r="J9" s="52">
        <v>15</v>
      </c>
      <c r="K9" s="52">
        <v>2148</v>
      </c>
      <c r="L9" s="86">
        <v>10731</v>
      </c>
      <c r="M9" s="101"/>
      <c r="N9" s="52">
        <v>10</v>
      </c>
      <c r="O9" s="52">
        <v>1532</v>
      </c>
      <c r="P9" s="86">
        <v>5511</v>
      </c>
      <c r="Q9" s="101"/>
      <c r="R9" s="52">
        <v>14</v>
      </c>
      <c r="S9" s="52">
        <v>2231</v>
      </c>
      <c r="T9" s="52">
        <v>10581</v>
      </c>
      <c r="U9" s="139"/>
      <c r="V9" s="39">
        <f>'FS Seychelles'!B8</f>
        <v>68.8</v>
      </c>
      <c r="W9" s="52">
        <f t="shared" si="2"/>
        <v>49</v>
      </c>
      <c r="X9" s="52">
        <f t="shared" si="0"/>
        <v>7195</v>
      </c>
      <c r="Y9" s="52">
        <f t="shared" si="1"/>
        <v>32400</v>
      </c>
      <c r="Z9" s="86"/>
      <c r="AA9" s="69"/>
      <c r="AB9" s="48"/>
      <c r="AC9" s="48"/>
    </row>
    <row r="10" spans="1:29">
      <c r="A10" s="57">
        <v>44872</v>
      </c>
      <c r="B10" s="52">
        <v>0</v>
      </c>
      <c r="C10" s="52">
        <v>0</v>
      </c>
      <c r="D10" s="69">
        <v>0</v>
      </c>
      <c r="E10" s="101"/>
      <c r="F10" s="52">
        <v>5</v>
      </c>
      <c r="G10" s="52">
        <v>586</v>
      </c>
      <c r="H10" s="86">
        <v>2961</v>
      </c>
      <c r="I10" s="103"/>
      <c r="J10" s="52">
        <v>16</v>
      </c>
      <c r="K10" s="52">
        <v>2118</v>
      </c>
      <c r="L10" s="86">
        <v>10293</v>
      </c>
      <c r="M10" s="101"/>
      <c r="N10" s="52">
        <v>18</v>
      </c>
      <c r="O10" s="52">
        <v>2840</v>
      </c>
      <c r="P10" s="86">
        <v>10604</v>
      </c>
      <c r="Q10" s="101"/>
      <c r="R10" s="52">
        <v>15</v>
      </c>
      <c r="S10" s="52">
        <v>2000</v>
      </c>
      <c r="T10" s="52">
        <v>9549</v>
      </c>
      <c r="U10" s="139"/>
      <c r="V10" s="39">
        <f>'FS Seychelles'!B9</f>
        <v>74</v>
      </c>
      <c r="W10" s="52">
        <f t="shared" si="2"/>
        <v>54</v>
      </c>
      <c r="X10" s="52">
        <f t="shared" si="0"/>
        <v>7544</v>
      </c>
      <c r="Y10" s="52">
        <f t="shared" si="1"/>
        <v>33407</v>
      </c>
      <c r="Z10" s="86"/>
      <c r="AA10" s="69"/>
      <c r="AB10" s="48"/>
      <c r="AC10" s="48"/>
    </row>
    <row r="11" spans="1:29">
      <c r="A11" s="57">
        <v>44873</v>
      </c>
      <c r="B11" s="52">
        <v>0</v>
      </c>
      <c r="C11" s="52">
        <v>0</v>
      </c>
      <c r="D11" s="69">
        <v>0</v>
      </c>
      <c r="E11" s="101"/>
      <c r="F11" s="52">
        <v>16</v>
      </c>
      <c r="G11" s="52">
        <v>2340</v>
      </c>
      <c r="H11" s="86">
        <v>10678</v>
      </c>
      <c r="I11" s="103"/>
      <c r="J11" s="52">
        <v>18</v>
      </c>
      <c r="K11" s="52">
        <v>2078</v>
      </c>
      <c r="L11" s="86">
        <v>10119</v>
      </c>
      <c r="M11" s="101"/>
      <c r="N11" s="52">
        <v>9</v>
      </c>
      <c r="O11" s="52">
        <v>1492</v>
      </c>
      <c r="P11" s="86">
        <v>5390</v>
      </c>
      <c r="Q11" s="101"/>
      <c r="R11" s="52">
        <v>16</v>
      </c>
      <c r="S11" s="52">
        <v>2164</v>
      </c>
      <c r="T11" s="52">
        <v>10161</v>
      </c>
      <c r="U11" s="139"/>
      <c r="V11" s="39">
        <f>'FS Seychelles'!B10</f>
        <v>68.8</v>
      </c>
      <c r="W11" s="52">
        <f t="shared" si="2"/>
        <v>59</v>
      </c>
      <c r="X11" s="52">
        <f>SUM(C11,G11,K11,O11,S11)</f>
        <v>8074</v>
      </c>
      <c r="Y11" s="52">
        <f t="shared" si="1"/>
        <v>36348</v>
      </c>
      <c r="Z11" s="86"/>
      <c r="AA11" s="69"/>
      <c r="AB11" s="48"/>
      <c r="AC11" s="48"/>
    </row>
    <row r="12" spans="1:29">
      <c r="A12" s="57">
        <v>44874</v>
      </c>
      <c r="B12" s="52">
        <v>0</v>
      </c>
      <c r="C12" s="52">
        <v>0</v>
      </c>
      <c r="D12" s="69">
        <v>0</v>
      </c>
      <c r="E12" s="101"/>
      <c r="F12" s="52">
        <v>15</v>
      </c>
      <c r="G12" s="52">
        <v>2207</v>
      </c>
      <c r="H12" s="86">
        <v>10175</v>
      </c>
      <c r="I12" s="103"/>
      <c r="J12" s="52">
        <v>14</v>
      </c>
      <c r="K12" s="52">
        <v>1818</v>
      </c>
      <c r="L12" s="86">
        <v>8645</v>
      </c>
      <c r="M12" s="101"/>
      <c r="N12" s="52">
        <v>9</v>
      </c>
      <c r="O12" s="52">
        <v>889</v>
      </c>
      <c r="P12" s="86">
        <v>5077</v>
      </c>
      <c r="Q12" s="101"/>
      <c r="R12" s="52">
        <v>13</v>
      </c>
      <c r="S12" s="52">
        <v>2146</v>
      </c>
      <c r="T12" s="52">
        <v>10119</v>
      </c>
      <c r="U12" s="139"/>
      <c r="V12" s="39">
        <f>'FS Seychelles'!B11</f>
        <v>68.8</v>
      </c>
      <c r="W12" s="52">
        <f t="shared" si="2"/>
        <v>51</v>
      </c>
      <c r="X12" s="52">
        <f t="shared" si="0"/>
        <v>7060</v>
      </c>
      <c r="Y12" s="52">
        <f t="shared" si="1"/>
        <v>34016</v>
      </c>
      <c r="Z12" s="86"/>
      <c r="AA12" s="69"/>
      <c r="AB12" s="48"/>
      <c r="AC12" s="48"/>
    </row>
    <row r="13" spans="1:29">
      <c r="A13" s="57">
        <v>44875</v>
      </c>
      <c r="B13" s="52">
        <v>0</v>
      </c>
      <c r="C13" s="52">
        <v>0</v>
      </c>
      <c r="D13" s="69">
        <v>0</v>
      </c>
      <c r="E13" s="101"/>
      <c r="F13" s="52">
        <v>15</v>
      </c>
      <c r="G13" s="52">
        <v>2208</v>
      </c>
      <c r="H13" s="86">
        <v>10083</v>
      </c>
      <c r="I13" s="103"/>
      <c r="J13" s="52">
        <v>21</v>
      </c>
      <c r="K13" s="52">
        <v>2701</v>
      </c>
      <c r="L13" s="86">
        <v>12804</v>
      </c>
      <c r="M13" s="101"/>
      <c r="N13" s="52">
        <v>5</v>
      </c>
      <c r="O13" s="52">
        <v>423</v>
      </c>
      <c r="P13" s="86">
        <v>1515</v>
      </c>
      <c r="Q13" s="101"/>
      <c r="R13" s="52">
        <v>15</v>
      </c>
      <c r="S13" s="52">
        <v>1897</v>
      </c>
      <c r="T13" s="52">
        <v>8960</v>
      </c>
      <c r="U13" s="139"/>
      <c r="V13" s="39">
        <f>'FS Seychelles'!B12</f>
        <v>68.8</v>
      </c>
      <c r="W13" s="52">
        <f t="shared" si="2"/>
        <v>56</v>
      </c>
      <c r="X13" s="52">
        <f t="shared" si="0"/>
        <v>7229</v>
      </c>
      <c r="Y13" s="52">
        <f t="shared" si="1"/>
        <v>33362</v>
      </c>
      <c r="Z13" s="86"/>
      <c r="AA13" s="69"/>
      <c r="AB13" s="48"/>
      <c r="AC13" s="48"/>
    </row>
    <row r="14" spans="1:29">
      <c r="A14" s="57">
        <v>44876</v>
      </c>
      <c r="B14" s="52">
        <v>0</v>
      </c>
      <c r="C14" s="52">
        <v>0</v>
      </c>
      <c r="D14" s="69">
        <v>0</v>
      </c>
      <c r="E14" s="101"/>
      <c r="F14" s="52">
        <v>14</v>
      </c>
      <c r="G14" s="52">
        <v>2154</v>
      </c>
      <c r="H14" s="86">
        <v>9928</v>
      </c>
      <c r="I14" s="103"/>
      <c r="J14" s="52">
        <v>16</v>
      </c>
      <c r="K14" s="52">
        <v>1875</v>
      </c>
      <c r="L14" s="86">
        <v>9840</v>
      </c>
      <c r="M14" s="101"/>
      <c r="N14" s="52">
        <v>15</v>
      </c>
      <c r="O14" s="52">
        <v>2040</v>
      </c>
      <c r="P14" s="86">
        <v>8738</v>
      </c>
      <c r="Q14" s="101"/>
      <c r="R14" s="52">
        <v>11</v>
      </c>
      <c r="S14" s="52">
        <v>1800</v>
      </c>
      <c r="T14" s="52">
        <v>8476</v>
      </c>
      <c r="U14" s="139"/>
      <c r="V14" s="39">
        <f>'FS Seychelles'!B13</f>
        <v>71.400000000000006</v>
      </c>
      <c r="W14" s="52">
        <f t="shared" si="2"/>
        <v>56</v>
      </c>
      <c r="X14" s="52">
        <f t="shared" si="0"/>
        <v>7869</v>
      </c>
      <c r="Y14" s="52">
        <f t="shared" si="1"/>
        <v>36982</v>
      </c>
      <c r="Z14" s="86"/>
      <c r="AA14" s="69"/>
      <c r="AB14" s="48"/>
      <c r="AC14" s="48"/>
    </row>
    <row r="15" spans="1:29">
      <c r="A15" s="57">
        <v>44877</v>
      </c>
      <c r="B15" s="52">
        <v>0</v>
      </c>
      <c r="C15" s="52">
        <v>0</v>
      </c>
      <c r="D15" s="69">
        <v>0</v>
      </c>
      <c r="E15" s="101"/>
      <c r="F15" s="52">
        <v>14</v>
      </c>
      <c r="G15" s="52">
        <v>2164</v>
      </c>
      <c r="H15" s="86">
        <v>10125</v>
      </c>
      <c r="I15" s="103"/>
      <c r="J15" s="52">
        <v>5</v>
      </c>
      <c r="K15" s="52">
        <v>637</v>
      </c>
      <c r="L15" s="86">
        <v>3132</v>
      </c>
      <c r="M15" s="101"/>
      <c r="N15" s="52">
        <v>17</v>
      </c>
      <c r="O15" s="52">
        <v>2790</v>
      </c>
      <c r="P15" s="86">
        <v>10282</v>
      </c>
      <c r="Q15" s="101"/>
      <c r="R15" s="52">
        <v>18</v>
      </c>
      <c r="S15" s="52">
        <v>2303</v>
      </c>
      <c r="T15" s="52">
        <v>10860</v>
      </c>
      <c r="U15" s="139"/>
      <c r="V15" s="39">
        <f>'FS Seychelles'!B14</f>
        <v>55.8</v>
      </c>
      <c r="W15" s="52">
        <f t="shared" si="2"/>
        <v>54</v>
      </c>
      <c r="X15" s="52">
        <f t="shared" si="0"/>
        <v>7894</v>
      </c>
      <c r="Y15" s="52">
        <f t="shared" si="1"/>
        <v>34399</v>
      </c>
      <c r="Z15" s="86"/>
      <c r="AA15" s="69"/>
      <c r="AB15" s="48"/>
      <c r="AC15" s="48"/>
    </row>
    <row r="16" spans="1:29">
      <c r="A16" s="57">
        <v>44878</v>
      </c>
      <c r="B16" s="52">
        <v>0</v>
      </c>
      <c r="C16" s="52">
        <v>0</v>
      </c>
      <c r="D16" s="69">
        <v>0</v>
      </c>
      <c r="E16" s="101"/>
      <c r="F16" s="52">
        <v>17</v>
      </c>
      <c r="G16" s="52">
        <v>2406</v>
      </c>
      <c r="H16" s="86">
        <v>10886</v>
      </c>
      <c r="I16" s="103"/>
      <c r="J16" s="52">
        <v>14</v>
      </c>
      <c r="K16" s="52">
        <v>1930</v>
      </c>
      <c r="L16" s="86">
        <v>9732</v>
      </c>
      <c r="M16" s="101"/>
      <c r="N16" s="52">
        <v>8</v>
      </c>
      <c r="O16" s="52">
        <v>1243</v>
      </c>
      <c r="P16" s="86">
        <v>4424</v>
      </c>
      <c r="Q16" s="101"/>
      <c r="R16" s="52">
        <v>15</v>
      </c>
      <c r="S16" s="52">
        <v>1781</v>
      </c>
      <c r="T16" s="52">
        <v>8198</v>
      </c>
      <c r="U16" s="139"/>
      <c r="V16" s="39">
        <f>'FS Seychelles'!B15</f>
        <v>63.6</v>
      </c>
      <c r="W16" s="52">
        <f t="shared" si="2"/>
        <v>54</v>
      </c>
      <c r="X16" s="52">
        <f t="shared" si="0"/>
        <v>7360</v>
      </c>
      <c r="Y16" s="52">
        <f t="shared" si="1"/>
        <v>33240</v>
      </c>
      <c r="Z16" s="86"/>
      <c r="AA16" s="69"/>
      <c r="AB16" s="48"/>
      <c r="AC16" s="48"/>
    </row>
    <row r="17" spans="1:29">
      <c r="A17" s="57">
        <v>44879</v>
      </c>
      <c r="B17" s="52">
        <v>0</v>
      </c>
      <c r="C17" s="52">
        <v>0</v>
      </c>
      <c r="D17" s="69">
        <v>0</v>
      </c>
      <c r="E17" s="101"/>
      <c r="F17" s="52">
        <v>12</v>
      </c>
      <c r="G17" s="52">
        <v>1841</v>
      </c>
      <c r="H17" s="86">
        <v>8443</v>
      </c>
      <c r="I17" s="103"/>
      <c r="J17" s="52">
        <v>11</v>
      </c>
      <c r="K17" s="52">
        <v>1405</v>
      </c>
      <c r="L17" s="86">
        <v>6902</v>
      </c>
      <c r="M17" s="101"/>
      <c r="N17" s="52">
        <v>11</v>
      </c>
      <c r="O17" s="52">
        <v>1787</v>
      </c>
      <c r="P17" s="86">
        <v>6491</v>
      </c>
      <c r="Q17" s="101"/>
      <c r="R17" s="52">
        <v>19</v>
      </c>
      <c r="S17" s="52">
        <v>2565</v>
      </c>
      <c r="T17" s="52">
        <v>11969</v>
      </c>
      <c r="U17" s="139"/>
      <c r="V17" s="39">
        <f>'FS Seychelles'!B16</f>
        <v>49.4</v>
      </c>
      <c r="W17" s="52">
        <f t="shared" si="2"/>
        <v>53</v>
      </c>
      <c r="X17" s="52">
        <f t="shared" si="0"/>
        <v>7598</v>
      </c>
      <c r="Y17" s="52">
        <f t="shared" si="1"/>
        <v>33805</v>
      </c>
      <c r="Z17" s="86">
        <f t="shared" ref="Z7:Z34" si="3">AA17-AA16</f>
        <v>0</v>
      </c>
      <c r="AA17" s="69">
        <f t="shared" ref="AA5:AA34" si="4">SUM(AB17,AC17)</f>
        <v>0</v>
      </c>
      <c r="AB17" s="48"/>
      <c r="AC17" s="48"/>
    </row>
    <row r="18" spans="1:29">
      <c r="A18" s="57">
        <v>44880</v>
      </c>
      <c r="B18" s="52">
        <v>0</v>
      </c>
      <c r="C18" s="52">
        <v>0</v>
      </c>
      <c r="D18" s="69">
        <v>0</v>
      </c>
      <c r="E18" s="101"/>
      <c r="F18" s="52">
        <v>24</v>
      </c>
      <c r="G18" s="52">
        <v>3291</v>
      </c>
      <c r="H18" s="86">
        <v>14676</v>
      </c>
      <c r="I18" s="103"/>
      <c r="J18" s="52">
        <v>13</v>
      </c>
      <c r="K18" s="52">
        <v>1982</v>
      </c>
      <c r="L18" s="86">
        <v>9787</v>
      </c>
      <c r="M18" s="101"/>
      <c r="N18" s="52">
        <v>0</v>
      </c>
      <c r="O18" s="52">
        <v>0</v>
      </c>
      <c r="P18" s="86">
        <v>0</v>
      </c>
      <c r="Q18" s="101"/>
      <c r="R18" s="52">
        <v>18</v>
      </c>
      <c r="S18" s="52">
        <v>2096</v>
      </c>
      <c r="T18" s="52">
        <v>10014</v>
      </c>
      <c r="U18" s="139"/>
      <c r="V18" s="39">
        <f>'FS Seychelles'!B17</f>
        <v>51.9</v>
      </c>
      <c r="W18" s="52">
        <f t="shared" si="2"/>
        <v>55</v>
      </c>
      <c r="X18" s="52">
        <f t="shared" si="0"/>
        <v>7369</v>
      </c>
      <c r="Y18" s="52">
        <f t="shared" si="1"/>
        <v>34477</v>
      </c>
      <c r="Z18" s="86">
        <f t="shared" si="3"/>
        <v>0</v>
      </c>
      <c r="AA18" s="69">
        <f t="shared" si="4"/>
        <v>0</v>
      </c>
      <c r="AB18" s="48"/>
      <c r="AC18" s="48"/>
    </row>
    <row r="19" spans="1:29">
      <c r="A19" s="57">
        <v>44881</v>
      </c>
      <c r="B19" s="52">
        <v>0</v>
      </c>
      <c r="C19" s="52">
        <v>0</v>
      </c>
      <c r="D19" s="69">
        <v>0</v>
      </c>
      <c r="E19" s="101"/>
      <c r="F19" s="52">
        <v>19</v>
      </c>
      <c r="G19" s="52">
        <v>2589</v>
      </c>
      <c r="H19" s="86">
        <v>11672</v>
      </c>
      <c r="I19" s="103"/>
      <c r="J19" s="52">
        <v>22</v>
      </c>
      <c r="K19" s="52">
        <v>2900</v>
      </c>
      <c r="L19" s="86">
        <v>14180</v>
      </c>
      <c r="M19" s="101"/>
      <c r="N19" s="52">
        <v>0</v>
      </c>
      <c r="O19" s="52">
        <v>0</v>
      </c>
      <c r="P19" s="86">
        <v>0</v>
      </c>
      <c r="Q19" s="101"/>
      <c r="R19" s="52">
        <v>15</v>
      </c>
      <c r="S19" s="52">
        <v>2003</v>
      </c>
      <c r="T19" s="52">
        <v>9465</v>
      </c>
      <c r="U19" s="139"/>
      <c r="V19" s="39">
        <f>'FS Seychelles'!B18</f>
        <v>54.5</v>
      </c>
      <c r="W19" s="52">
        <f t="shared" si="2"/>
        <v>56</v>
      </c>
      <c r="X19" s="52">
        <f t="shared" si="0"/>
        <v>7492</v>
      </c>
      <c r="Y19" s="52">
        <f t="shared" si="1"/>
        <v>35317</v>
      </c>
      <c r="Z19" s="86">
        <f t="shared" si="3"/>
        <v>0</v>
      </c>
      <c r="AA19" s="69">
        <f t="shared" si="4"/>
        <v>0</v>
      </c>
      <c r="AB19" s="48"/>
      <c r="AC19" s="48"/>
    </row>
    <row r="20" spans="1:29">
      <c r="A20" s="57">
        <v>44882</v>
      </c>
      <c r="B20" s="52">
        <v>0</v>
      </c>
      <c r="C20" s="52">
        <v>0</v>
      </c>
      <c r="D20" s="69">
        <v>0</v>
      </c>
      <c r="E20" s="101"/>
      <c r="F20" s="52">
        <v>11</v>
      </c>
      <c r="G20" s="52">
        <v>1581</v>
      </c>
      <c r="H20" s="86">
        <v>7179</v>
      </c>
      <c r="I20" s="103"/>
      <c r="J20" s="52">
        <v>16</v>
      </c>
      <c r="K20" s="52">
        <v>2088</v>
      </c>
      <c r="L20" s="86">
        <v>10312</v>
      </c>
      <c r="M20" s="101"/>
      <c r="N20" s="52">
        <v>14</v>
      </c>
      <c r="O20" s="52">
        <v>2238</v>
      </c>
      <c r="P20" s="86">
        <v>8059</v>
      </c>
      <c r="Q20" s="101"/>
      <c r="R20" s="52">
        <v>14</v>
      </c>
      <c r="S20" s="52">
        <v>2106</v>
      </c>
      <c r="T20" s="52">
        <v>9757</v>
      </c>
      <c r="U20" s="139"/>
      <c r="V20" s="39">
        <f>'FS Seychelles'!B19</f>
        <v>66.2</v>
      </c>
      <c r="W20" s="52">
        <f t="shared" si="2"/>
        <v>55</v>
      </c>
      <c r="X20" s="52">
        <f t="shared" si="0"/>
        <v>8013</v>
      </c>
      <c r="Y20" s="52">
        <f t="shared" si="1"/>
        <v>35307</v>
      </c>
      <c r="Z20" s="86">
        <f t="shared" si="3"/>
        <v>0</v>
      </c>
      <c r="AA20" s="69">
        <f t="shared" si="4"/>
        <v>0</v>
      </c>
      <c r="AB20" s="48"/>
      <c r="AC20" s="48"/>
    </row>
    <row r="21" spans="1:29">
      <c r="A21" s="57">
        <v>44883</v>
      </c>
      <c r="B21" s="52">
        <v>0</v>
      </c>
      <c r="C21" s="52">
        <v>0</v>
      </c>
      <c r="D21" s="69">
        <v>0</v>
      </c>
      <c r="E21" s="101"/>
      <c r="F21" s="52">
        <v>14</v>
      </c>
      <c r="G21" s="52">
        <v>2116</v>
      </c>
      <c r="H21" s="86">
        <v>10122</v>
      </c>
      <c r="I21" s="103"/>
      <c r="J21" s="52">
        <v>8</v>
      </c>
      <c r="K21" s="52">
        <v>1085</v>
      </c>
      <c r="L21" s="86">
        <v>5331</v>
      </c>
      <c r="M21" s="101"/>
      <c r="N21" s="52">
        <v>13</v>
      </c>
      <c r="O21" s="52">
        <v>2175</v>
      </c>
      <c r="P21" s="86">
        <v>8326</v>
      </c>
      <c r="Q21" s="101"/>
      <c r="R21" s="52">
        <v>19</v>
      </c>
      <c r="S21" s="52">
        <v>2800</v>
      </c>
      <c r="T21" s="52">
        <v>12673</v>
      </c>
      <c r="U21" s="139"/>
      <c r="V21" s="39">
        <f>'FS Seychelles'!B20</f>
        <v>57.1</v>
      </c>
      <c r="W21" s="52">
        <f t="shared" si="2"/>
        <v>54</v>
      </c>
      <c r="X21" s="52">
        <f t="shared" si="0"/>
        <v>8176</v>
      </c>
      <c r="Y21" s="52">
        <f t="shared" si="1"/>
        <v>36452</v>
      </c>
      <c r="Z21" s="86">
        <f t="shared" si="3"/>
        <v>0</v>
      </c>
      <c r="AA21" s="69">
        <f t="shared" si="4"/>
        <v>0</v>
      </c>
      <c r="AB21" s="48"/>
      <c r="AC21" s="48"/>
    </row>
    <row r="22" spans="1:29">
      <c r="A22" s="57">
        <v>44884</v>
      </c>
      <c r="B22" s="52">
        <v>0</v>
      </c>
      <c r="C22" s="52">
        <v>0</v>
      </c>
      <c r="D22" s="69">
        <v>0</v>
      </c>
      <c r="E22" s="101"/>
      <c r="F22" s="52">
        <v>16</v>
      </c>
      <c r="G22" s="52">
        <v>2319</v>
      </c>
      <c r="H22" s="86">
        <v>9999</v>
      </c>
      <c r="I22" s="103"/>
      <c r="J22" s="52">
        <v>17</v>
      </c>
      <c r="K22" s="52">
        <v>2168</v>
      </c>
      <c r="L22" s="86">
        <v>10663</v>
      </c>
      <c r="M22" s="101"/>
      <c r="N22" s="52">
        <v>10</v>
      </c>
      <c r="O22" s="52">
        <v>1520</v>
      </c>
      <c r="P22" s="86">
        <v>5529</v>
      </c>
      <c r="Q22" s="101"/>
      <c r="R22" s="52">
        <v>17</v>
      </c>
      <c r="S22" s="52">
        <v>2068</v>
      </c>
      <c r="T22" s="52">
        <v>9576</v>
      </c>
      <c r="U22" s="139"/>
      <c r="V22" s="39">
        <f>'FS Seychelles'!B21</f>
        <v>61</v>
      </c>
      <c r="W22" s="52">
        <f t="shared" si="2"/>
        <v>60</v>
      </c>
      <c r="X22" s="52">
        <f t="shared" si="0"/>
        <v>8075</v>
      </c>
      <c r="Y22" s="52">
        <f t="shared" si="1"/>
        <v>35767</v>
      </c>
      <c r="Z22" s="86">
        <f t="shared" si="3"/>
        <v>0</v>
      </c>
      <c r="AA22" s="69">
        <f t="shared" si="4"/>
        <v>0</v>
      </c>
      <c r="AB22" s="48"/>
      <c r="AC22" s="48"/>
    </row>
    <row r="23" spans="1:29">
      <c r="A23" s="57">
        <v>44885</v>
      </c>
      <c r="B23" s="52">
        <v>0</v>
      </c>
      <c r="C23" s="52">
        <v>0</v>
      </c>
      <c r="D23" s="69">
        <v>0</v>
      </c>
      <c r="E23" s="101"/>
      <c r="F23" s="52">
        <v>14</v>
      </c>
      <c r="G23" s="52">
        <v>2027</v>
      </c>
      <c r="H23" s="86">
        <v>10134</v>
      </c>
      <c r="I23" s="103"/>
      <c r="J23" s="52">
        <v>14</v>
      </c>
      <c r="K23" s="52">
        <v>2042</v>
      </c>
      <c r="L23" s="86">
        <v>11218</v>
      </c>
      <c r="M23" s="101"/>
      <c r="N23" s="52">
        <v>9</v>
      </c>
      <c r="O23" s="52">
        <v>1492</v>
      </c>
      <c r="P23" s="86">
        <v>5268</v>
      </c>
      <c r="Q23" s="101"/>
      <c r="R23" s="52">
        <v>13</v>
      </c>
      <c r="S23" s="52">
        <v>1563</v>
      </c>
      <c r="T23" s="52">
        <v>7364</v>
      </c>
      <c r="U23" s="139"/>
      <c r="V23" s="39">
        <f>'FS Seychelles'!B22</f>
        <v>63.6</v>
      </c>
      <c r="W23" s="52">
        <f t="shared" si="2"/>
        <v>50</v>
      </c>
      <c r="X23" s="52">
        <f t="shared" si="0"/>
        <v>7124</v>
      </c>
      <c r="Y23" s="52">
        <f t="shared" si="1"/>
        <v>33984</v>
      </c>
      <c r="Z23" s="86">
        <f t="shared" si="3"/>
        <v>0</v>
      </c>
      <c r="AA23" s="69">
        <f t="shared" si="4"/>
        <v>0</v>
      </c>
      <c r="AB23" s="48"/>
      <c r="AC23" s="48"/>
    </row>
    <row r="24" spans="1:29">
      <c r="A24" s="57">
        <v>44886</v>
      </c>
      <c r="B24" s="52">
        <v>0</v>
      </c>
      <c r="C24" s="52">
        <v>0</v>
      </c>
      <c r="D24" s="69">
        <v>0</v>
      </c>
      <c r="E24" s="101"/>
      <c r="F24" s="52">
        <v>15</v>
      </c>
      <c r="G24" s="52">
        <v>2321</v>
      </c>
      <c r="H24" s="86">
        <v>10219</v>
      </c>
      <c r="I24" s="103"/>
      <c r="J24" s="52">
        <v>10</v>
      </c>
      <c r="K24" s="52">
        <v>1474</v>
      </c>
      <c r="L24" s="86">
        <v>7629</v>
      </c>
      <c r="M24" s="101"/>
      <c r="N24" s="52">
        <v>11</v>
      </c>
      <c r="O24" s="52">
        <v>1520</v>
      </c>
      <c r="P24" s="86">
        <v>2470</v>
      </c>
      <c r="Q24" s="101"/>
      <c r="R24" s="52">
        <v>14</v>
      </c>
      <c r="S24" s="52">
        <v>1799</v>
      </c>
      <c r="T24" s="52">
        <v>8157</v>
      </c>
      <c r="U24" s="139"/>
      <c r="V24" s="39">
        <f>'FS Seychelles'!B23</f>
        <v>62.3</v>
      </c>
      <c r="W24" s="52">
        <f t="shared" si="2"/>
        <v>50</v>
      </c>
      <c r="X24" s="52">
        <f t="shared" si="0"/>
        <v>7114</v>
      </c>
      <c r="Y24" s="52">
        <f t="shared" si="1"/>
        <v>28475</v>
      </c>
      <c r="Z24" s="86">
        <f t="shared" si="3"/>
        <v>0</v>
      </c>
      <c r="AA24" s="69">
        <f t="shared" si="4"/>
        <v>0</v>
      </c>
      <c r="AB24" s="48"/>
      <c r="AC24" s="48"/>
    </row>
    <row r="25" spans="1:29">
      <c r="A25" s="57">
        <v>44887</v>
      </c>
      <c r="B25" s="52">
        <v>0</v>
      </c>
      <c r="C25" s="52">
        <v>0</v>
      </c>
      <c r="D25" s="69">
        <v>0</v>
      </c>
      <c r="E25" s="101"/>
      <c r="F25" s="52">
        <v>8</v>
      </c>
      <c r="G25" s="52">
        <v>1434</v>
      </c>
      <c r="H25" s="86">
        <v>6352</v>
      </c>
      <c r="I25" s="103"/>
      <c r="J25" s="52">
        <v>13</v>
      </c>
      <c r="K25" s="52">
        <v>1598</v>
      </c>
      <c r="L25" s="86">
        <v>7421</v>
      </c>
      <c r="M25" s="101"/>
      <c r="N25" s="52">
        <v>16</v>
      </c>
      <c r="O25" s="52">
        <v>2479</v>
      </c>
      <c r="P25" s="86">
        <v>11890</v>
      </c>
      <c r="Q25" s="101"/>
      <c r="R25" s="52">
        <v>20</v>
      </c>
      <c r="S25" s="52">
        <v>2312</v>
      </c>
      <c r="T25" s="52">
        <v>10938</v>
      </c>
      <c r="U25" s="139"/>
      <c r="V25" s="39">
        <f>'FS Seychelles'!B24</f>
        <v>63.6</v>
      </c>
      <c r="W25" s="52">
        <f t="shared" si="2"/>
        <v>57</v>
      </c>
      <c r="X25" s="52">
        <f t="shared" si="0"/>
        <v>7823</v>
      </c>
      <c r="Y25" s="52">
        <f t="shared" si="1"/>
        <v>36601</v>
      </c>
      <c r="Z25" s="86">
        <f t="shared" si="3"/>
        <v>0</v>
      </c>
      <c r="AA25" s="69">
        <f t="shared" si="4"/>
        <v>0</v>
      </c>
      <c r="AB25" s="48"/>
      <c r="AC25" s="48"/>
    </row>
    <row r="26" spans="1:29">
      <c r="A26" s="57">
        <v>44888</v>
      </c>
      <c r="B26" s="52">
        <v>10</v>
      </c>
      <c r="C26" s="52">
        <v>1386</v>
      </c>
      <c r="D26" s="69">
        <v>6533</v>
      </c>
      <c r="E26" s="101"/>
      <c r="F26" s="52">
        <v>22</v>
      </c>
      <c r="G26" s="52">
        <v>2779</v>
      </c>
      <c r="H26" s="86">
        <v>12520</v>
      </c>
      <c r="I26" s="103"/>
      <c r="J26" s="52">
        <v>14</v>
      </c>
      <c r="K26" s="52">
        <v>1858</v>
      </c>
      <c r="L26" s="86">
        <v>9106</v>
      </c>
      <c r="M26" s="101"/>
      <c r="N26" s="52">
        <v>10</v>
      </c>
      <c r="O26" s="52">
        <v>1570</v>
      </c>
      <c r="P26" s="86">
        <v>5680</v>
      </c>
      <c r="Q26" s="101"/>
      <c r="R26" s="52">
        <v>0</v>
      </c>
      <c r="S26" s="52">
        <v>0</v>
      </c>
      <c r="T26" s="52">
        <v>0</v>
      </c>
      <c r="U26" s="139"/>
      <c r="V26" s="39">
        <f>'FS Seychelles'!B25</f>
        <v>64.900000000000006</v>
      </c>
      <c r="W26" s="52">
        <f t="shared" si="2"/>
        <v>56</v>
      </c>
      <c r="X26" s="52">
        <f t="shared" si="0"/>
        <v>7593</v>
      </c>
      <c r="Y26" s="52">
        <f t="shared" si="1"/>
        <v>33839</v>
      </c>
      <c r="Z26" s="86">
        <f t="shared" si="3"/>
        <v>0</v>
      </c>
      <c r="AA26" s="69">
        <f t="shared" si="4"/>
        <v>0</v>
      </c>
      <c r="AB26" s="48"/>
      <c r="AC26" s="48"/>
    </row>
    <row r="27" spans="1:29">
      <c r="A27" s="57">
        <v>44889</v>
      </c>
      <c r="B27" s="52">
        <v>18</v>
      </c>
      <c r="C27" s="52">
        <v>2537</v>
      </c>
      <c r="D27" s="69">
        <v>12331</v>
      </c>
      <c r="E27" s="101"/>
      <c r="F27" s="52">
        <v>17</v>
      </c>
      <c r="G27" s="52">
        <v>2439</v>
      </c>
      <c r="H27" s="86">
        <v>10878</v>
      </c>
      <c r="I27" s="103"/>
      <c r="J27" s="52">
        <v>0</v>
      </c>
      <c r="K27" s="52">
        <v>0</v>
      </c>
      <c r="L27" s="86">
        <v>0</v>
      </c>
      <c r="M27" s="101"/>
      <c r="N27" s="52">
        <v>17</v>
      </c>
      <c r="O27" s="52">
        <v>3082</v>
      </c>
      <c r="P27" s="86">
        <v>11004</v>
      </c>
      <c r="Q27" s="101"/>
      <c r="R27" s="52">
        <v>0</v>
      </c>
      <c r="S27" s="52">
        <v>0</v>
      </c>
      <c r="T27" s="52">
        <v>0</v>
      </c>
      <c r="U27" s="139"/>
      <c r="V27" s="39">
        <f>'FS Seychelles'!B26</f>
        <v>74</v>
      </c>
      <c r="W27" s="52">
        <f t="shared" si="2"/>
        <v>52</v>
      </c>
      <c r="X27" s="52">
        <f t="shared" si="0"/>
        <v>8058</v>
      </c>
      <c r="Y27" s="52">
        <f t="shared" si="1"/>
        <v>34213</v>
      </c>
      <c r="Z27" s="86">
        <f t="shared" si="3"/>
        <v>0</v>
      </c>
      <c r="AA27" s="69">
        <f t="shared" si="4"/>
        <v>0</v>
      </c>
      <c r="AB27" s="48"/>
      <c r="AC27" s="48"/>
    </row>
    <row r="28" spans="1:29">
      <c r="A28" s="57">
        <v>44890</v>
      </c>
      <c r="B28" s="52">
        <v>5</v>
      </c>
      <c r="C28" s="52">
        <v>701</v>
      </c>
      <c r="D28" s="69">
        <v>3307</v>
      </c>
      <c r="E28" s="101"/>
      <c r="F28" s="52">
        <v>24</v>
      </c>
      <c r="G28" s="52">
        <v>3270</v>
      </c>
      <c r="H28" s="86">
        <v>14888</v>
      </c>
      <c r="I28" s="103"/>
      <c r="J28" s="52">
        <v>0</v>
      </c>
      <c r="K28" s="52">
        <v>0</v>
      </c>
      <c r="L28" s="86">
        <v>0</v>
      </c>
      <c r="M28" s="101"/>
      <c r="N28" s="52">
        <v>18</v>
      </c>
      <c r="O28" s="52">
        <v>2997</v>
      </c>
      <c r="P28" s="86">
        <v>10936</v>
      </c>
      <c r="Q28" s="101"/>
      <c r="R28" s="52">
        <v>7</v>
      </c>
      <c r="S28" s="52">
        <v>948</v>
      </c>
      <c r="T28" s="52">
        <v>4355</v>
      </c>
      <c r="U28" s="139"/>
      <c r="V28" s="39">
        <f>'FS Seychelles'!B27</f>
        <v>62.3</v>
      </c>
      <c r="W28" s="52">
        <f t="shared" si="2"/>
        <v>54</v>
      </c>
      <c r="X28" s="52">
        <f t="shared" si="0"/>
        <v>7916</v>
      </c>
      <c r="Y28" s="52">
        <f t="shared" si="1"/>
        <v>33486</v>
      </c>
      <c r="Z28" s="86">
        <f t="shared" si="3"/>
        <v>0</v>
      </c>
      <c r="AA28" s="69">
        <f t="shared" si="4"/>
        <v>0</v>
      </c>
      <c r="AB28" s="48"/>
      <c r="AC28" s="48"/>
    </row>
    <row r="29" spans="1:29">
      <c r="A29" s="57">
        <v>44891</v>
      </c>
      <c r="B29" s="52">
        <v>10</v>
      </c>
      <c r="C29" s="52">
        <v>1149</v>
      </c>
      <c r="D29" s="69">
        <v>5514</v>
      </c>
      <c r="E29" s="101"/>
      <c r="F29" s="52">
        <v>17</v>
      </c>
      <c r="G29" s="52">
        <v>2332</v>
      </c>
      <c r="H29" s="86">
        <v>10318</v>
      </c>
      <c r="I29" s="103"/>
      <c r="J29" s="52">
        <v>0</v>
      </c>
      <c r="K29" s="52">
        <v>0</v>
      </c>
      <c r="L29" s="86">
        <v>0</v>
      </c>
      <c r="M29" s="101"/>
      <c r="N29" s="52">
        <v>0</v>
      </c>
      <c r="O29" s="52">
        <v>0</v>
      </c>
      <c r="P29" s="86">
        <v>0</v>
      </c>
      <c r="Q29" s="101"/>
      <c r="R29" s="52">
        <v>10</v>
      </c>
      <c r="S29" s="52">
        <v>1318</v>
      </c>
      <c r="T29" s="52">
        <v>6032</v>
      </c>
      <c r="U29" s="139"/>
      <c r="V29" s="39">
        <f>'FS Seychelles'!B28</f>
        <v>53.2</v>
      </c>
      <c r="W29" s="52">
        <f t="shared" si="2"/>
        <v>37</v>
      </c>
      <c r="X29" s="52">
        <f t="shared" si="0"/>
        <v>4799</v>
      </c>
      <c r="Y29" s="52">
        <f t="shared" si="1"/>
        <v>21864</v>
      </c>
      <c r="Z29" s="86">
        <f t="shared" si="3"/>
        <v>0</v>
      </c>
      <c r="AA29" s="69">
        <f t="shared" si="4"/>
        <v>0</v>
      </c>
      <c r="AB29" s="48"/>
      <c r="AC29" s="48"/>
    </row>
    <row r="30" spans="1:29">
      <c r="A30" s="57">
        <v>44892</v>
      </c>
      <c r="B30" s="52">
        <v>10</v>
      </c>
      <c r="C30" s="52">
        <v>1322</v>
      </c>
      <c r="D30" s="69">
        <v>6857</v>
      </c>
      <c r="E30" s="101"/>
      <c r="F30" s="52">
        <v>11</v>
      </c>
      <c r="G30" s="52">
        <v>1410</v>
      </c>
      <c r="H30" s="86">
        <v>6628</v>
      </c>
      <c r="I30" s="103"/>
      <c r="J30" s="52">
        <v>15</v>
      </c>
      <c r="K30" s="52">
        <v>1892</v>
      </c>
      <c r="L30" s="86">
        <v>9415</v>
      </c>
      <c r="M30" s="101"/>
      <c r="N30" s="52">
        <v>0</v>
      </c>
      <c r="O30" s="52">
        <v>0</v>
      </c>
      <c r="P30" s="86">
        <v>0</v>
      </c>
      <c r="Q30" s="101"/>
      <c r="R30" s="52">
        <v>20</v>
      </c>
      <c r="S30" s="52">
        <v>2836</v>
      </c>
      <c r="T30" s="52">
        <v>13106</v>
      </c>
      <c r="U30" s="139"/>
      <c r="V30" s="39">
        <f>'FS Seychelles'!B29</f>
        <v>64.900000000000006</v>
      </c>
      <c r="W30" s="52">
        <f t="shared" si="2"/>
        <v>56</v>
      </c>
      <c r="X30" s="52">
        <f t="shared" si="0"/>
        <v>7460</v>
      </c>
      <c r="Y30" s="52">
        <f t="shared" si="1"/>
        <v>36006</v>
      </c>
      <c r="Z30" s="86">
        <f t="shared" si="3"/>
        <v>0</v>
      </c>
      <c r="AA30" s="69">
        <f t="shared" si="4"/>
        <v>0</v>
      </c>
      <c r="AB30" s="48"/>
      <c r="AC30" s="48"/>
    </row>
    <row r="31" spans="1:29">
      <c r="A31" s="57">
        <v>44893</v>
      </c>
      <c r="B31" s="126">
        <v>8</v>
      </c>
      <c r="C31" s="126">
        <v>1406</v>
      </c>
      <c r="D31" s="73">
        <v>5604</v>
      </c>
      <c r="E31" s="148"/>
      <c r="F31" s="126">
        <v>12</v>
      </c>
      <c r="G31" s="126">
        <v>1901</v>
      </c>
      <c r="H31" s="91">
        <v>8517</v>
      </c>
      <c r="I31" s="104"/>
      <c r="J31" s="126">
        <v>21</v>
      </c>
      <c r="K31" s="126">
        <v>2769</v>
      </c>
      <c r="L31" s="91">
        <v>13662</v>
      </c>
      <c r="M31" s="148"/>
      <c r="N31" s="126">
        <v>0</v>
      </c>
      <c r="O31" s="126">
        <v>0</v>
      </c>
      <c r="P31" s="91">
        <v>0</v>
      </c>
      <c r="Q31" s="148"/>
      <c r="R31" s="126">
        <v>16</v>
      </c>
      <c r="S31" s="126">
        <v>2099</v>
      </c>
      <c r="T31" s="126">
        <v>9757</v>
      </c>
      <c r="U31" s="139"/>
      <c r="V31" s="39">
        <f>'FS Seychelles'!B30</f>
        <v>58.4</v>
      </c>
      <c r="W31" s="52">
        <f t="shared" si="2"/>
        <v>57</v>
      </c>
      <c r="X31" s="52">
        <f t="shared" si="0"/>
        <v>8175</v>
      </c>
      <c r="Y31" s="52">
        <f t="shared" si="1"/>
        <v>37540</v>
      </c>
      <c r="Z31" s="86">
        <f t="shared" si="3"/>
        <v>0</v>
      </c>
      <c r="AA31" s="69">
        <f t="shared" si="4"/>
        <v>0</v>
      </c>
      <c r="AB31" s="48"/>
      <c r="AC31" s="48"/>
    </row>
    <row r="32" spans="1:29">
      <c r="A32" s="57">
        <v>44894</v>
      </c>
      <c r="B32" s="52">
        <v>15</v>
      </c>
      <c r="C32" s="52">
        <v>1922</v>
      </c>
      <c r="D32" s="48">
        <v>10010</v>
      </c>
      <c r="E32" s="101"/>
      <c r="F32" s="52">
        <v>15</v>
      </c>
      <c r="G32" s="52">
        <v>2089</v>
      </c>
      <c r="H32" s="52">
        <v>9904</v>
      </c>
      <c r="I32" s="103"/>
      <c r="J32" s="52">
        <v>18</v>
      </c>
      <c r="K32" s="52">
        <v>2266</v>
      </c>
      <c r="L32" s="52">
        <v>10946</v>
      </c>
      <c r="M32" s="101"/>
      <c r="N32" s="52">
        <v>0</v>
      </c>
      <c r="O32" s="52">
        <v>0</v>
      </c>
      <c r="P32" s="52">
        <v>0</v>
      </c>
      <c r="Q32" s="101"/>
      <c r="R32" s="52">
        <v>11</v>
      </c>
      <c r="S32" s="52">
        <v>1466</v>
      </c>
      <c r="T32" s="52">
        <v>6568</v>
      </c>
      <c r="U32" s="140"/>
      <c r="V32" s="39">
        <f>'FS Seychelles'!B31</f>
        <v>50.9</v>
      </c>
      <c r="W32" s="52">
        <f t="shared" si="2"/>
        <v>59</v>
      </c>
      <c r="X32" s="52">
        <f t="shared" si="0"/>
        <v>7743</v>
      </c>
      <c r="Y32" s="52">
        <f t="shared" si="1"/>
        <v>37428</v>
      </c>
      <c r="Z32" s="86">
        <f t="shared" si="3"/>
        <v>0</v>
      </c>
      <c r="AA32" s="69">
        <f t="shared" si="4"/>
        <v>0</v>
      </c>
      <c r="AB32" s="48"/>
      <c r="AC32" s="48"/>
    </row>
    <row r="33" spans="1:29">
      <c r="A33" s="57">
        <v>44895</v>
      </c>
      <c r="B33" s="52"/>
      <c r="C33" s="52"/>
      <c r="D33" s="48"/>
      <c r="E33" s="101"/>
      <c r="F33" s="52"/>
      <c r="G33" s="52"/>
      <c r="H33" s="52"/>
      <c r="I33" s="103"/>
      <c r="J33" s="52"/>
      <c r="K33" s="52"/>
      <c r="L33" s="52"/>
      <c r="M33" s="101"/>
      <c r="N33" s="52"/>
      <c r="O33" s="52"/>
      <c r="P33" s="52"/>
      <c r="Q33" s="101"/>
      <c r="R33" s="52"/>
      <c r="S33" s="52"/>
      <c r="T33" s="52"/>
      <c r="U33" s="140"/>
      <c r="V33" s="39">
        <f>'FS Seychelles'!B32</f>
        <v>0</v>
      </c>
      <c r="W33" s="52">
        <f t="shared" si="2"/>
        <v>0</v>
      </c>
      <c r="X33" s="52">
        <f t="shared" si="0"/>
        <v>0</v>
      </c>
      <c r="Y33" s="52">
        <f t="shared" si="1"/>
        <v>0</v>
      </c>
      <c r="Z33" s="86">
        <f t="shared" si="3"/>
        <v>0</v>
      </c>
      <c r="AA33" s="69">
        <f t="shared" si="4"/>
        <v>0</v>
      </c>
      <c r="AB33" s="48"/>
      <c r="AC33" s="48"/>
    </row>
    <row r="34" spans="1:29">
      <c r="A34" s="57"/>
      <c r="B34" s="52"/>
      <c r="C34" s="52"/>
      <c r="D34" s="48"/>
      <c r="E34" s="147"/>
      <c r="F34" s="52"/>
      <c r="G34" s="52"/>
      <c r="H34" s="52"/>
      <c r="I34" s="103"/>
      <c r="J34" s="52"/>
      <c r="K34" s="52"/>
      <c r="L34" s="52"/>
      <c r="M34" s="147"/>
      <c r="N34" s="52"/>
      <c r="O34" s="52"/>
      <c r="P34" s="52"/>
      <c r="Q34" s="147"/>
      <c r="R34" s="52"/>
      <c r="S34" s="52"/>
      <c r="T34" s="52"/>
      <c r="U34" s="140"/>
      <c r="V34" s="39">
        <f>'FS Seychelles'!B33</f>
        <v>0</v>
      </c>
      <c r="W34" s="52">
        <f t="shared" si="2"/>
        <v>0</v>
      </c>
      <c r="X34" s="52">
        <f t="shared" si="0"/>
        <v>0</v>
      </c>
      <c r="Y34" s="52">
        <f t="shared" si="1"/>
        <v>0</v>
      </c>
      <c r="Z34" s="86">
        <f t="shared" si="3"/>
        <v>0</v>
      </c>
      <c r="AA34" s="69">
        <f t="shared" si="4"/>
        <v>0</v>
      </c>
      <c r="AB34" s="48"/>
      <c r="AC34" s="48"/>
    </row>
    <row r="35" spans="1:29" ht="27">
      <c r="A35" s="149" t="s">
        <v>33</v>
      </c>
      <c r="B35" s="88" t="s">
        <v>93</v>
      </c>
      <c r="C35" s="88" t="s">
        <v>94</v>
      </c>
      <c r="D35" s="89" t="s">
        <v>95</v>
      </c>
      <c r="E35" s="100"/>
      <c r="F35" s="88" t="s">
        <v>93</v>
      </c>
      <c r="G35" s="88" t="s">
        <v>94</v>
      </c>
      <c r="H35" s="89" t="s">
        <v>95</v>
      </c>
      <c r="I35" s="150"/>
      <c r="J35" s="88" t="s">
        <v>93</v>
      </c>
      <c r="K35" s="88" t="s">
        <v>94</v>
      </c>
      <c r="L35" s="89" t="s">
        <v>95</v>
      </c>
      <c r="M35" s="100"/>
      <c r="N35" s="88" t="s">
        <v>93</v>
      </c>
      <c r="O35" s="88" t="s">
        <v>94</v>
      </c>
      <c r="P35" s="89" t="s">
        <v>95</v>
      </c>
      <c r="Q35" s="100"/>
      <c r="R35" s="88" t="s">
        <v>93</v>
      </c>
      <c r="S35" s="88" t="s">
        <v>94</v>
      </c>
      <c r="T35" s="89" t="s">
        <v>95</v>
      </c>
      <c r="U35" s="139"/>
      <c r="V35" s="50"/>
      <c r="W35" s="124">
        <f>SUM(W4:W34)</f>
        <v>1566</v>
      </c>
      <c r="X35" s="124">
        <f>SUM(X4:X34)</f>
        <v>220549</v>
      </c>
      <c r="Y35" s="124">
        <f>SUM(Y4:Y34)</f>
        <v>998084</v>
      </c>
      <c r="Z35" s="69"/>
      <c r="AA35" s="69"/>
      <c r="AB35" s="48"/>
      <c r="AC35" s="48"/>
    </row>
    <row r="36" spans="1:29" ht="27" customHeight="1">
      <c r="A36" s="92" t="s">
        <v>86</v>
      </c>
      <c r="B36" s="90">
        <f>SUM(B4:B34)</f>
        <v>87</v>
      </c>
      <c r="C36" s="90">
        <f>SUM(C4:C34)</f>
        <v>11908</v>
      </c>
      <c r="D36" s="90">
        <f>SUM(D4:D34)</f>
        <v>57269</v>
      </c>
      <c r="E36" s="101"/>
      <c r="F36" s="90">
        <f>SUM(F4:F34)</f>
        <v>431</v>
      </c>
      <c r="G36" s="90">
        <f>SUM(G4:G34)</f>
        <v>62556</v>
      </c>
      <c r="H36" s="90">
        <f>SUM(H4:H34)</f>
        <v>284115</v>
      </c>
      <c r="I36" s="105"/>
      <c r="J36" s="90">
        <f>SUM(J4:J34)</f>
        <v>389</v>
      </c>
      <c r="K36" s="90">
        <f t="shared" ref="K36:L36" si="5">SUM(K4:K34)</f>
        <v>51352</v>
      </c>
      <c r="L36" s="90">
        <f t="shared" si="5"/>
        <v>253616</v>
      </c>
      <c r="M36" s="101"/>
      <c r="N36" s="90">
        <f>SUM(N4:N34)</f>
        <v>266</v>
      </c>
      <c r="O36" s="90">
        <f>SUM(O4:O34)</f>
        <v>41365</v>
      </c>
      <c r="P36" s="90">
        <f>SUM(P4:P34)</f>
        <v>153566</v>
      </c>
      <c r="Q36" s="101"/>
      <c r="R36" s="90">
        <f>SUM(R4:R34)</f>
        <v>393</v>
      </c>
      <c r="S36" s="90">
        <f>SUM(S4:S34)</f>
        <v>53368</v>
      </c>
      <c r="T36" s="90">
        <f>SUM(T4:T34)</f>
        <v>249518</v>
      </c>
      <c r="U36" s="101"/>
    </row>
    <row r="37" spans="1:29">
      <c r="A37" s="106"/>
      <c r="B37" s="204" t="s">
        <v>87</v>
      </c>
      <c r="C37" s="205"/>
      <c r="D37" s="205"/>
      <c r="E37" s="206"/>
      <c r="F37" s="204" t="s">
        <v>88</v>
      </c>
      <c r="G37" s="205"/>
      <c r="H37" s="205"/>
      <c r="I37" s="206"/>
      <c r="J37" s="207" t="s">
        <v>89</v>
      </c>
      <c r="K37" s="208"/>
      <c r="L37" s="208"/>
      <c r="M37" s="209"/>
      <c r="N37" s="207" t="s">
        <v>90</v>
      </c>
      <c r="O37" s="208"/>
      <c r="P37" s="208"/>
      <c r="Q37" s="209"/>
      <c r="R37" s="207" t="s">
        <v>91</v>
      </c>
      <c r="S37" s="208"/>
      <c r="T37" s="208"/>
      <c r="U37" s="209"/>
    </row>
    <row r="38" spans="1:29" ht="40.5">
      <c r="A38" s="95" t="s">
        <v>33</v>
      </c>
      <c r="B38" s="51" t="s">
        <v>101</v>
      </c>
      <c r="C38" s="51" t="s">
        <v>102</v>
      </c>
      <c r="D38" s="51" t="s">
        <v>103</v>
      </c>
      <c r="E38" s="51" t="s">
        <v>104</v>
      </c>
      <c r="F38" s="51" t="s">
        <v>101</v>
      </c>
      <c r="G38" s="51" t="s">
        <v>102</v>
      </c>
      <c r="H38" s="82" t="s">
        <v>103</v>
      </c>
      <c r="I38" s="51" t="s">
        <v>104</v>
      </c>
      <c r="J38" s="51" t="s">
        <v>101</v>
      </c>
      <c r="K38" s="51" t="s">
        <v>102</v>
      </c>
      <c r="L38" s="51" t="s">
        <v>103</v>
      </c>
      <c r="M38" s="51" t="s">
        <v>104</v>
      </c>
      <c r="N38" s="51" t="s">
        <v>101</v>
      </c>
      <c r="O38" s="51" t="s">
        <v>102</v>
      </c>
      <c r="P38" s="51" t="s">
        <v>103</v>
      </c>
      <c r="Q38" s="51" t="s">
        <v>104</v>
      </c>
      <c r="R38" s="51" t="s">
        <v>101</v>
      </c>
      <c r="S38" s="51" t="s">
        <v>102</v>
      </c>
      <c r="T38" s="51" t="s">
        <v>103</v>
      </c>
      <c r="U38" s="51" t="s">
        <v>104</v>
      </c>
    </row>
    <row r="39" spans="1:29">
      <c r="A39" s="93">
        <f>A4</f>
        <v>44866</v>
      </c>
      <c r="B39" s="94">
        <f>C4/B4</f>
        <v>135</v>
      </c>
      <c r="C39" s="60">
        <f>D4/B4</f>
        <v>646.63636363636363</v>
      </c>
      <c r="D39" s="71">
        <f>C39/B39</f>
        <v>4.7898989898989894</v>
      </c>
      <c r="E39" s="83">
        <f>(C39/1120)*100</f>
        <v>57.73538961038961</v>
      </c>
      <c r="F39" s="60">
        <f>G4/F4</f>
        <v>146.79166666666666</v>
      </c>
      <c r="G39" s="60">
        <f>H4/F4</f>
        <v>653.08333333333337</v>
      </c>
      <c r="H39" s="110">
        <f>G39/F39</f>
        <v>4.4490491058756749</v>
      </c>
      <c r="I39" s="71">
        <f>(G39/1120)*100</f>
        <v>58.311011904761912</v>
      </c>
      <c r="J39" s="60">
        <f>K4/J4</f>
        <v>121.44444444444444</v>
      </c>
      <c r="K39" s="60">
        <f>L4/J4</f>
        <v>583.44444444444446</v>
      </c>
      <c r="L39" s="71">
        <f>K39/J39</f>
        <v>4.8042086001829825</v>
      </c>
      <c r="M39" s="83">
        <f>(K39/1120)*100</f>
        <v>52.093253968253975</v>
      </c>
      <c r="N39" s="60">
        <f>O4/N4</f>
        <v>167.75</v>
      </c>
      <c r="O39" s="60">
        <f>P4/N4</f>
        <v>575.25</v>
      </c>
      <c r="P39" s="71">
        <f>O39/N39</f>
        <v>3.4292101341281671</v>
      </c>
      <c r="Q39" s="83">
        <f>(O39/1120)*100</f>
        <v>51.361607142857146</v>
      </c>
      <c r="R39" s="60" t="e">
        <f>S4/R4</f>
        <v>#DIV/0!</v>
      </c>
      <c r="S39" s="60" t="e">
        <f>T4/R4</f>
        <v>#DIV/0!</v>
      </c>
      <c r="T39" s="71" t="e">
        <f>S39/R39</f>
        <v>#DIV/0!</v>
      </c>
      <c r="U39" s="83" t="e">
        <f>(S39/1120)*100</f>
        <v>#DIV/0!</v>
      </c>
    </row>
    <row r="40" spans="1:29">
      <c r="A40" s="93">
        <f t="shared" ref="A40:A69" si="6">A5</f>
        <v>44867</v>
      </c>
      <c r="B40" s="94" t="e">
        <f>C5/B5</f>
        <v>#DIV/0!</v>
      </c>
      <c r="C40" s="60" t="e">
        <f>D5/B5</f>
        <v>#DIV/0!</v>
      </c>
      <c r="D40" s="71" t="e">
        <f>C40/B40</f>
        <v>#DIV/0!</v>
      </c>
      <c r="E40" s="83" t="e">
        <f>(C40/1120)*100</f>
        <v>#DIV/0!</v>
      </c>
      <c r="F40" s="60">
        <f>G5/F5</f>
        <v>124.23529411764706</v>
      </c>
      <c r="G40" s="60">
        <f>H5/F5</f>
        <v>554.88235294117646</v>
      </c>
      <c r="H40" s="110">
        <f>G40/F40</f>
        <v>4.4663825757575761</v>
      </c>
      <c r="I40" s="71">
        <f t="shared" ref="I40:I69" si="7">(G40/1120)*100</f>
        <v>49.543067226890756</v>
      </c>
      <c r="J40" s="60">
        <f>K5/J5</f>
        <v>128.33333333333334</v>
      </c>
      <c r="K40" s="60">
        <f>L5/J5</f>
        <v>632</v>
      </c>
      <c r="L40" s="71">
        <f>K40/J40</f>
        <v>4.9246753246753245</v>
      </c>
      <c r="M40" s="83">
        <f t="shared" ref="M40:M69" si="8">(K40/1120)*100</f>
        <v>56.428571428571431</v>
      </c>
      <c r="N40" s="60">
        <f>O5/N5</f>
        <v>154.55555555555554</v>
      </c>
      <c r="O40" s="60">
        <f>P5/N5</f>
        <v>579.77777777777783</v>
      </c>
      <c r="P40" s="71">
        <f>O40/N40</f>
        <v>3.7512580877066863</v>
      </c>
      <c r="Q40" s="83">
        <f t="shared" ref="Q40:Q69" si="9">(O40/1120)*100</f>
        <v>51.765873015873019</v>
      </c>
      <c r="R40" s="60">
        <f>S5/R5</f>
        <v>133.06666666666666</v>
      </c>
      <c r="S40" s="60">
        <f>T5/R5</f>
        <v>628.86666666666667</v>
      </c>
      <c r="T40" s="71">
        <f>S40/R40</f>
        <v>4.7259519038076157</v>
      </c>
      <c r="U40" s="83">
        <f t="shared" ref="U40:U69" si="10">(S40/1120)*100</f>
        <v>56.148809523809526</v>
      </c>
    </row>
    <row r="41" spans="1:29">
      <c r="A41" s="93">
        <f t="shared" si="6"/>
        <v>44868</v>
      </c>
      <c r="B41" s="94" t="e">
        <f>C6/B6</f>
        <v>#DIV/0!</v>
      </c>
      <c r="C41" s="60" t="e">
        <f>D6/B6</f>
        <v>#DIV/0!</v>
      </c>
      <c r="D41" s="71" t="e">
        <f>C41/B41</f>
        <v>#DIV/0!</v>
      </c>
      <c r="E41" s="83" t="e">
        <f>(C41/1120)*100</f>
        <v>#DIV/0!</v>
      </c>
      <c r="F41" s="60">
        <f>G6/F6</f>
        <v>136.57142857142858</v>
      </c>
      <c r="G41" s="60">
        <f>H6/F6</f>
        <v>602.64285714285711</v>
      </c>
      <c r="H41" s="110">
        <f>G41/F41</f>
        <v>4.41265690376569</v>
      </c>
      <c r="I41" s="71">
        <f t="shared" si="7"/>
        <v>53.807397959183668</v>
      </c>
      <c r="J41" s="60">
        <f>K6/J6</f>
        <v>145.64705882352942</v>
      </c>
      <c r="K41" s="60">
        <f>L6/J6</f>
        <v>721.05882352941171</v>
      </c>
      <c r="L41" s="71">
        <f>K41/J41</f>
        <v>4.9507269789983841</v>
      </c>
      <c r="M41" s="83">
        <f t="shared" si="8"/>
        <v>64.380252100840323</v>
      </c>
      <c r="N41" s="60">
        <f>O6/N6</f>
        <v>149</v>
      </c>
      <c r="O41" s="60">
        <f>P6/N6</f>
        <v>513.125</v>
      </c>
      <c r="P41" s="71">
        <f>O41/N41</f>
        <v>3.4437919463087248</v>
      </c>
      <c r="Q41" s="83">
        <f t="shared" si="9"/>
        <v>45.814732142857146</v>
      </c>
      <c r="R41" s="60">
        <f>S6/R6</f>
        <v>149</v>
      </c>
      <c r="S41" s="60">
        <f>T6/R6</f>
        <v>713.52941176470586</v>
      </c>
      <c r="T41" s="71">
        <f>S41/R41</f>
        <v>4.7887879984208448</v>
      </c>
      <c r="U41" s="83">
        <f t="shared" si="10"/>
        <v>63.707983193277308</v>
      </c>
    </row>
    <row r="42" spans="1:29">
      <c r="A42" s="93">
        <f t="shared" si="6"/>
        <v>44869</v>
      </c>
      <c r="B42" s="94" t="e">
        <f>C7/B7</f>
        <v>#DIV/0!</v>
      </c>
      <c r="C42" s="60" t="e">
        <f>D7/B7</f>
        <v>#DIV/0!</v>
      </c>
      <c r="D42" s="71" t="e">
        <f>C42/B42</f>
        <v>#DIV/0!</v>
      </c>
      <c r="E42" s="83" t="e">
        <f>(C42/1120)*100</f>
        <v>#DIV/0!</v>
      </c>
      <c r="F42" s="60">
        <f>G7/F7</f>
        <v>128.8235294117647</v>
      </c>
      <c r="G42" s="60">
        <f>H7/F7</f>
        <v>585.29411764705878</v>
      </c>
      <c r="H42" s="110">
        <f>G42/F42</f>
        <v>4.5433789954337902</v>
      </c>
      <c r="I42" s="71">
        <f t="shared" si="7"/>
        <v>52.258403361344527</v>
      </c>
      <c r="J42" s="60">
        <f>K7/J7</f>
        <v>136.9375</v>
      </c>
      <c r="K42" s="60">
        <f>L7/J7</f>
        <v>693.875</v>
      </c>
      <c r="L42" s="71">
        <f>K42/J42</f>
        <v>5.0670926517571884</v>
      </c>
      <c r="M42" s="83">
        <f t="shared" si="8"/>
        <v>61.953125</v>
      </c>
      <c r="N42" s="60">
        <f>O7/N7</f>
        <v>148</v>
      </c>
      <c r="O42" s="60">
        <f>P7/N7</f>
        <v>570.125</v>
      </c>
      <c r="P42" s="71">
        <f>O42/N42</f>
        <v>3.8521959459459461</v>
      </c>
      <c r="Q42" s="83">
        <f t="shared" si="9"/>
        <v>50.904017857142861</v>
      </c>
      <c r="R42" s="60">
        <f>S7/R7</f>
        <v>144.75</v>
      </c>
      <c r="S42" s="60">
        <f>T7/R7</f>
        <v>691.0625</v>
      </c>
      <c r="T42" s="71">
        <f>S42/R42</f>
        <v>4.7741796200345421</v>
      </c>
      <c r="U42" s="83">
        <f t="shared" si="10"/>
        <v>61.702008928571431</v>
      </c>
    </row>
    <row r="43" spans="1:29">
      <c r="A43" s="93">
        <f t="shared" si="6"/>
        <v>44870</v>
      </c>
      <c r="B43" s="94" t="e">
        <f>C8/B8</f>
        <v>#DIV/0!</v>
      </c>
      <c r="C43" s="60" t="e">
        <f>D8/B8</f>
        <v>#DIV/0!</v>
      </c>
      <c r="D43" s="71" t="e">
        <f>C43/B43</f>
        <v>#DIV/0!</v>
      </c>
      <c r="E43" s="83" t="e">
        <f>(C43/1120)*100</f>
        <v>#DIV/0!</v>
      </c>
      <c r="F43" s="60">
        <f>G8/F8</f>
        <v>865.5</v>
      </c>
      <c r="G43" s="60">
        <f>H8/F8</f>
        <v>3879.5</v>
      </c>
      <c r="H43" s="110">
        <f>G43/F43</f>
        <v>4.4823801270941654</v>
      </c>
      <c r="I43" s="71">
        <f t="shared" si="7"/>
        <v>346.38392857142856</v>
      </c>
      <c r="J43" s="60">
        <f>K8/J8</f>
        <v>145.16666666666666</v>
      </c>
      <c r="K43" s="60">
        <f>L8/J8</f>
        <v>700.5</v>
      </c>
      <c r="L43" s="71">
        <f>K43/J43</f>
        <v>4.8254879448909307</v>
      </c>
      <c r="M43" s="83">
        <f t="shared" si="8"/>
        <v>62.544642857142861</v>
      </c>
      <c r="N43" s="60">
        <f>O8/N8</f>
        <v>165.76470588235293</v>
      </c>
      <c r="O43" s="60">
        <f>P8/N8</f>
        <v>599.23529411764707</v>
      </c>
      <c r="P43" s="71">
        <f>O43/N43</f>
        <v>3.614975159687722</v>
      </c>
      <c r="Q43" s="83">
        <f t="shared" si="9"/>
        <v>53.503151260504197</v>
      </c>
      <c r="R43" s="60">
        <f>S8/R8</f>
        <v>148.13333333333333</v>
      </c>
      <c r="S43" s="60">
        <f>T8/R8</f>
        <v>684.2</v>
      </c>
      <c r="T43" s="71">
        <f>S43/R43</f>
        <v>4.6188118811881189</v>
      </c>
      <c r="U43" s="83">
        <f t="shared" si="10"/>
        <v>61.089285714285722</v>
      </c>
    </row>
    <row r="44" spans="1:29">
      <c r="A44" s="93">
        <f t="shared" si="6"/>
        <v>44871</v>
      </c>
      <c r="B44" s="94" t="e">
        <f>C9/B9</f>
        <v>#DIV/0!</v>
      </c>
      <c r="C44" s="60" t="e">
        <f>D9/B9</f>
        <v>#DIV/0!</v>
      </c>
      <c r="D44" s="71" t="e">
        <f>C44/B44</f>
        <v>#DIV/0!</v>
      </c>
      <c r="E44" s="83" t="e">
        <f>(C44/1120)*100</f>
        <v>#DIV/0!</v>
      </c>
      <c r="F44" s="60">
        <f>G9/F9</f>
        <v>128.4</v>
      </c>
      <c r="G44" s="60">
        <f>H9/F9</f>
        <v>557.70000000000005</v>
      </c>
      <c r="H44" s="110">
        <f>G44/F44</f>
        <v>4.3434579439252339</v>
      </c>
      <c r="I44" s="71">
        <f t="shared" si="7"/>
        <v>49.794642857142861</v>
      </c>
      <c r="J44" s="60">
        <f>K9/J9</f>
        <v>143.19999999999999</v>
      </c>
      <c r="K44" s="60">
        <f>L9/J9</f>
        <v>715.4</v>
      </c>
      <c r="L44" s="71">
        <f>K44/J44</f>
        <v>4.9958100558659222</v>
      </c>
      <c r="M44" s="83">
        <f t="shared" si="8"/>
        <v>63.874999999999993</v>
      </c>
      <c r="N44" s="60">
        <f>O9/N9</f>
        <v>153.19999999999999</v>
      </c>
      <c r="O44" s="60">
        <f>P9/N9</f>
        <v>551.1</v>
      </c>
      <c r="P44" s="71">
        <f>O44/N44</f>
        <v>3.5972584856396872</v>
      </c>
      <c r="Q44" s="83">
        <f t="shared" si="9"/>
        <v>49.205357142857139</v>
      </c>
      <c r="R44" s="60">
        <f>S9/R9</f>
        <v>159.35714285714286</v>
      </c>
      <c r="S44" s="60">
        <f>T9/R9</f>
        <v>755.78571428571433</v>
      </c>
      <c r="T44" s="71">
        <f>S44/R44</f>
        <v>4.7427162707306145</v>
      </c>
      <c r="U44" s="83">
        <f t="shared" si="10"/>
        <v>67.48086734693878</v>
      </c>
    </row>
    <row r="45" spans="1:29">
      <c r="A45" s="93">
        <f t="shared" si="6"/>
        <v>44872</v>
      </c>
      <c r="B45" s="94" t="e">
        <f>C10/B10</f>
        <v>#DIV/0!</v>
      </c>
      <c r="C45" s="60" t="e">
        <f>D10/B10</f>
        <v>#DIV/0!</v>
      </c>
      <c r="D45" s="71" t="e">
        <f>C45/B45</f>
        <v>#DIV/0!</v>
      </c>
      <c r="E45" s="83" t="e">
        <f>(C45/1120)*100</f>
        <v>#DIV/0!</v>
      </c>
      <c r="F45" s="60">
        <f>G10/F10</f>
        <v>117.2</v>
      </c>
      <c r="G45" s="60">
        <f>H10/F10</f>
        <v>592.20000000000005</v>
      </c>
      <c r="H45" s="110">
        <f>G45/F45</f>
        <v>5.0529010238907857</v>
      </c>
      <c r="I45" s="71">
        <f t="shared" si="7"/>
        <v>52.875000000000007</v>
      </c>
      <c r="J45" s="60">
        <f>K10/J10</f>
        <v>132.375</v>
      </c>
      <c r="K45" s="60">
        <f>L10/J10</f>
        <v>643.3125</v>
      </c>
      <c r="L45" s="71">
        <f>K45/J45</f>
        <v>4.8597733711048159</v>
      </c>
      <c r="M45" s="83">
        <f t="shared" si="8"/>
        <v>57.438616071428569</v>
      </c>
      <c r="N45" s="60">
        <f>O10/N10</f>
        <v>157.77777777777777</v>
      </c>
      <c r="O45" s="60">
        <f>P10/N10</f>
        <v>589.11111111111109</v>
      </c>
      <c r="P45" s="71">
        <f>O45/N45</f>
        <v>3.7338028169014086</v>
      </c>
      <c r="Q45" s="83">
        <f t="shared" si="9"/>
        <v>52.599206349206348</v>
      </c>
      <c r="R45" s="60">
        <f>S10/R10</f>
        <v>133.33333333333334</v>
      </c>
      <c r="S45" s="60">
        <f>T10/R10</f>
        <v>636.6</v>
      </c>
      <c r="T45" s="71">
        <f>S45/R45</f>
        <v>4.7744999999999997</v>
      </c>
      <c r="U45" s="83">
        <f t="shared" si="10"/>
        <v>56.839285714285715</v>
      </c>
    </row>
    <row r="46" spans="1:29">
      <c r="A46" s="93">
        <f t="shared" si="6"/>
        <v>44873</v>
      </c>
      <c r="B46" s="94" t="e">
        <f>C11/B11</f>
        <v>#DIV/0!</v>
      </c>
      <c r="C46" s="60" t="e">
        <f>D11/B11</f>
        <v>#DIV/0!</v>
      </c>
      <c r="D46" s="71" t="e">
        <f>C46/B46</f>
        <v>#DIV/0!</v>
      </c>
      <c r="E46" s="83" t="e">
        <f>(C46/1120)*100</f>
        <v>#DIV/0!</v>
      </c>
      <c r="F46" s="60">
        <f>G11/F11</f>
        <v>146.25</v>
      </c>
      <c r="G46" s="60">
        <f>H11/F11</f>
        <v>667.375</v>
      </c>
      <c r="H46" s="110">
        <f>G46/F46</f>
        <v>4.563247863247863</v>
      </c>
      <c r="I46" s="71">
        <f t="shared" si="7"/>
        <v>59.587053571428569</v>
      </c>
      <c r="J46" s="60">
        <f>K11/J11</f>
        <v>115.44444444444444</v>
      </c>
      <c r="K46" s="60">
        <f>L11/J11</f>
        <v>562.16666666666663</v>
      </c>
      <c r="L46" s="71">
        <f>K46/J46</f>
        <v>4.86958614051973</v>
      </c>
      <c r="M46" s="83">
        <f t="shared" si="8"/>
        <v>50.193452380952372</v>
      </c>
      <c r="N46" s="60">
        <f>O11/N11</f>
        <v>165.77777777777777</v>
      </c>
      <c r="O46" s="60">
        <f>P11/N11</f>
        <v>598.88888888888891</v>
      </c>
      <c r="P46" s="71">
        <f>O46/N46</f>
        <v>3.6126005361930296</v>
      </c>
      <c r="Q46" s="83">
        <f t="shared" si="9"/>
        <v>53.472222222222221</v>
      </c>
      <c r="R46" s="60">
        <f>S11/R11</f>
        <v>135.25</v>
      </c>
      <c r="S46" s="60">
        <f>T11/R11</f>
        <v>635.0625</v>
      </c>
      <c r="T46" s="71">
        <f>S46/R46</f>
        <v>4.69547134935305</v>
      </c>
      <c r="U46" s="83">
        <f t="shared" si="10"/>
        <v>56.702008928571423</v>
      </c>
    </row>
    <row r="47" spans="1:29">
      <c r="A47" s="93">
        <f t="shared" si="6"/>
        <v>44874</v>
      </c>
      <c r="B47" s="94" t="e">
        <f>C12/B12</f>
        <v>#DIV/0!</v>
      </c>
      <c r="C47" s="60" t="e">
        <f>D12/B12</f>
        <v>#DIV/0!</v>
      </c>
      <c r="D47" s="71" t="e">
        <f>C47/B47</f>
        <v>#DIV/0!</v>
      </c>
      <c r="E47" s="83" t="e">
        <f>(C47/1120)*100</f>
        <v>#DIV/0!</v>
      </c>
      <c r="F47" s="60">
        <f>G12/F12</f>
        <v>147.13333333333333</v>
      </c>
      <c r="G47" s="60">
        <f>H12/F12</f>
        <v>678.33333333333337</v>
      </c>
      <c r="H47" s="110">
        <f>G47/F47</f>
        <v>4.6103307657453563</v>
      </c>
      <c r="I47" s="71">
        <f t="shared" si="7"/>
        <v>60.565476190476197</v>
      </c>
      <c r="J47" s="60">
        <f>K12/J12</f>
        <v>129.85714285714286</v>
      </c>
      <c r="K47" s="60">
        <f>L12/J12</f>
        <v>617.5</v>
      </c>
      <c r="L47" s="71">
        <f>K47/J47</f>
        <v>4.7552255225522551</v>
      </c>
      <c r="M47" s="83">
        <f t="shared" si="8"/>
        <v>55.133928571428569</v>
      </c>
      <c r="N47" s="60">
        <f>O12/N12</f>
        <v>98.777777777777771</v>
      </c>
      <c r="O47" s="60">
        <f>P12/N12</f>
        <v>564.11111111111109</v>
      </c>
      <c r="P47" s="71">
        <f>O47/N47</f>
        <v>5.7109111361079865</v>
      </c>
      <c r="Q47" s="83">
        <f t="shared" si="9"/>
        <v>50.367063492063494</v>
      </c>
      <c r="R47" s="60">
        <f>S12/R12</f>
        <v>165.07692307692307</v>
      </c>
      <c r="S47" s="60">
        <f>T12/R12</f>
        <v>778.38461538461536</v>
      </c>
      <c r="T47" s="71">
        <f>S47/R47</f>
        <v>4.7152842497670084</v>
      </c>
      <c r="U47" s="83">
        <f t="shared" si="10"/>
        <v>69.498626373626365</v>
      </c>
    </row>
    <row r="48" spans="1:29">
      <c r="A48" s="93">
        <f t="shared" si="6"/>
        <v>44875</v>
      </c>
      <c r="B48" s="94" t="e">
        <f>C13/B13</f>
        <v>#DIV/0!</v>
      </c>
      <c r="C48" s="60" t="e">
        <f>D13/B13</f>
        <v>#DIV/0!</v>
      </c>
      <c r="D48" s="71" t="e">
        <f>C48/B48</f>
        <v>#DIV/0!</v>
      </c>
      <c r="E48" s="83" t="e">
        <f>(C48/1120)*100</f>
        <v>#DIV/0!</v>
      </c>
      <c r="F48" s="60">
        <f>G13/F13</f>
        <v>147.19999999999999</v>
      </c>
      <c r="G48" s="60">
        <f>H13/F13</f>
        <v>672.2</v>
      </c>
      <c r="H48" s="110">
        <f>G48/F48</f>
        <v>4.5665760869565224</v>
      </c>
      <c r="I48" s="71">
        <f t="shared" si="7"/>
        <v>60.017857142857146</v>
      </c>
      <c r="J48" s="60">
        <f>K13/J13</f>
        <v>128.61904761904762</v>
      </c>
      <c r="K48" s="60">
        <f>L13/J13</f>
        <v>609.71428571428567</v>
      </c>
      <c r="L48" s="71">
        <f>K48/J48</f>
        <v>4.7404664938911507</v>
      </c>
      <c r="M48" s="83">
        <f t="shared" si="8"/>
        <v>54.438775510204074</v>
      </c>
      <c r="N48" s="60">
        <f>O13/N13</f>
        <v>84.6</v>
      </c>
      <c r="O48" s="60">
        <f>P13/N13</f>
        <v>303</v>
      </c>
      <c r="P48" s="71">
        <f>O48/N48</f>
        <v>3.5815602836879434</v>
      </c>
      <c r="Q48" s="83">
        <f t="shared" si="9"/>
        <v>27.053571428571427</v>
      </c>
      <c r="R48" s="60">
        <f>S13/R13</f>
        <v>126.46666666666667</v>
      </c>
      <c r="S48" s="60">
        <f>T13/R13</f>
        <v>597.33333333333337</v>
      </c>
      <c r="T48" s="71">
        <f>S48/R48</f>
        <v>4.7232472324723247</v>
      </c>
      <c r="U48" s="83">
        <f t="shared" si="10"/>
        <v>53.333333333333336</v>
      </c>
    </row>
    <row r="49" spans="1:21">
      <c r="A49" s="93">
        <f t="shared" si="6"/>
        <v>44876</v>
      </c>
      <c r="B49" s="94" t="e">
        <f>C14/B14</f>
        <v>#DIV/0!</v>
      </c>
      <c r="C49" s="60" t="e">
        <f>D14/B14</f>
        <v>#DIV/0!</v>
      </c>
      <c r="D49" s="71" t="e">
        <f>C49/B49</f>
        <v>#DIV/0!</v>
      </c>
      <c r="E49" s="83" t="e">
        <f>(C49/1120)*100</f>
        <v>#DIV/0!</v>
      </c>
      <c r="F49" s="60">
        <f>G14/F14</f>
        <v>153.85714285714286</v>
      </c>
      <c r="G49" s="60">
        <f>H14/F14</f>
        <v>709.14285714285711</v>
      </c>
      <c r="H49" s="110">
        <f>G49/F49</f>
        <v>4.6090993500464252</v>
      </c>
      <c r="I49" s="71">
        <f t="shared" si="7"/>
        <v>63.316326530612244</v>
      </c>
      <c r="J49" s="60">
        <f>K14/J14</f>
        <v>117.1875</v>
      </c>
      <c r="K49" s="60">
        <f>L14/J14</f>
        <v>615</v>
      </c>
      <c r="L49" s="71">
        <f>K49/J49</f>
        <v>5.2480000000000002</v>
      </c>
      <c r="M49" s="83">
        <f t="shared" si="8"/>
        <v>54.910714285714292</v>
      </c>
      <c r="N49" s="60">
        <f>O14/N14</f>
        <v>136</v>
      </c>
      <c r="O49" s="60">
        <f>P14/N14</f>
        <v>582.5333333333333</v>
      </c>
      <c r="P49" s="71">
        <f>O49/N49</f>
        <v>4.2833333333333332</v>
      </c>
      <c r="Q49" s="83">
        <f t="shared" si="9"/>
        <v>52.011904761904759</v>
      </c>
      <c r="R49" s="60">
        <f>S14/R14</f>
        <v>163.63636363636363</v>
      </c>
      <c r="S49" s="60">
        <f>T14/R14</f>
        <v>770.5454545454545</v>
      </c>
      <c r="T49" s="71">
        <f>S49/R49</f>
        <v>4.7088888888888887</v>
      </c>
      <c r="U49" s="83">
        <f t="shared" si="10"/>
        <v>68.798701298701289</v>
      </c>
    </row>
    <row r="50" spans="1:21">
      <c r="A50" s="93">
        <f t="shared" si="6"/>
        <v>44877</v>
      </c>
      <c r="B50" s="94" t="e">
        <f>C15/B15</f>
        <v>#DIV/0!</v>
      </c>
      <c r="C50" s="60" t="e">
        <f>D15/B15</f>
        <v>#DIV/0!</v>
      </c>
      <c r="D50" s="71" t="e">
        <f>C50/B50</f>
        <v>#DIV/0!</v>
      </c>
      <c r="E50" s="83" t="e">
        <f>(C50/1120)*100</f>
        <v>#DIV/0!</v>
      </c>
      <c r="F50" s="60">
        <f>G15/F15</f>
        <v>154.57142857142858</v>
      </c>
      <c r="G50" s="60">
        <f>H15/F15</f>
        <v>723.21428571428567</v>
      </c>
      <c r="H50" s="110">
        <f>G50/F50</f>
        <v>4.6788354898336406</v>
      </c>
      <c r="I50" s="71">
        <f t="shared" si="7"/>
        <v>64.572704081632651</v>
      </c>
      <c r="J50" s="60">
        <f>K15/J15</f>
        <v>127.4</v>
      </c>
      <c r="K50" s="60">
        <f>L15/J15</f>
        <v>626.4</v>
      </c>
      <c r="L50" s="71">
        <f>K50/J50</f>
        <v>4.9167974882260594</v>
      </c>
      <c r="M50" s="83">
        <f t="shared" si="8"/>
        <v>55.928571428571431</v>
      </c>
      <c r="N50" s="60">
        <f>O15/N15</f>
        <v>164.11764705882354</v>
      </c>
      <c r="O50" s="60">
        <f>P15/N15</f>
        <v>604.82352941176475</v>
      </c>
      <c r="P50" s="71">
        <f>O50/N50</f>
        <v>3.685304659498208</v>
      </c>
      <c r="Q50" s="83">
        <f t="shared" si="9"/>
        <v>54.002100840336141</v>
      </c>
      <c r="R50" s="60">
        <f>S15/R15</f>
        <v>127.94444444444444</v>
      </c>
      <c r="S50" s="60">
        <f>T15/R15</f>
        <v>603.33333333333337</v>
      </c>
      <c r="T50" s="71">
        <f>S50/R50</f>
        <v>4.7155883630047768</v>
      </c>
      <c r="U50" s="83">
        <f t="shared" si="10"/>
        <v>53.869047619047628</v>
      </c>
    </row>
    <row r="51" spans="1:21">
      <c r="A51" s="93">
        <f t="shared" si="6"/>
        <v>44878</v>
      </c>
      <c r="B51" s="94" t="e">
        <f>C16/B16</f>
        <v>#DIV/0!</v>
      </c>
      <c r="C51" s="60" t="e">
        <f>D16/B16</f>
        <v>#DIV/0!</v>
      </c>
      <c r="D51" s="71" t="e">
        <f>C51/B51</f>
        <v>#DIV/0!</v>
      </c>
      <c r="E51" s="83" t="e">
        <f>(C51/1120)*100</f>
        <v>#DIV/0!</v>
      </c>
      <c r="F51" s="60">
        <f>G16/F16</f>
        <v>141.52941176470588</v>
      </c>
      <c r="G51" s="60">
        <f>H16/F16</f>
        <v>640.35294117647061</v>
      </c>
      <c r="H51" s="110">
        <f>G51/F51</f>
        <v>4.5245220282626768</v>
      </c>
      <c r="I51" s="71">
        <f t="shared" si="7"/>
        <v>57.174369747899156</v>
      </c>
      <c r="J51" s="60">
        <f>K16/J16</f>
        <v>137.85714285714286</v>
      </c>
      <c r="K51" s="60">
        <f>L16/J16</f>
        <v>695.14285714285711</v>
      </c>
      <c r="L51" s="71">
        <f>K51/J51</f>
        <v>5.0424870466321243</v>
      </c>
      <c r="M51" s="83">
        <f t="shared" si="8"/>
        <v>62.066326530612237</v>
      </c>
      <c r="N51" s="60">
        <f>O16/N16</f>
        <v>155.375</v>
      </c>
      <c r="O51" s="60">
        <f>P16/N16</f>
        <v>553</v>
      </c>
      <c r="P51" s="71">
        <f>O51/N51</f>
        <v>3.5591311343523735</v>
      </c>
      <c r="Q51" s="83">
        <f t="shared" si="9"/>
        <v>49.375</v>
      </c>
      <c r="R51" s="60">
        <f>S16/R16</f>
        <v>118.73333333333333</v>
      </c>
      <c r="S51" s="60">
        <f>T16/R16</f>
        <v>546.5333333333333</v>
      </c>
      <c r="T51" s="71">
        <f>S51/R51</f>
        <v>4.6030320044918582</v>
      </c>
      <c r="U51" s="83">
        <f t="shared" si="10"/>
        <v>48.797619047619044</v>
      </c>
    </row>
    <row r="52" spans="1:21">
      <c r="A52" s="93">
        <f t="shared" si="6"/>
        <v>44879</v>
      </c>
      <c r="B52" s="94" t="e">
        <f>C17/B17</f>
        <v>#DIV/0!</v>
      </c>
      <c r="C52" s="60" t="e">
        <f>D17/B17</f>
        <v>#DIV/0!</v>
      </c>
      <c r="D52" s="71" t="e">
        <f>C52/B52</f>
        <v>#DIV/0!</v>
      </c>
      <c r="E52" s="83" t="e">
        <f>(C52/1120)*100</f>
        <v>#DIV/0!</v>
      </c>
      <c r="F52" s="60">
        <f>G17/F17</f>
        <v>153.41666666666666</v>
      </c>
      <c r="G52" s="60">
        <f>H17/F17</f>
        <v>703.58333333333337</v>
      </c>
      <c r="H52" s="110">
        <f>G52/F52</f>
        <v>4.586094513851168</v>
      </c>
      <c r="I52" s="71">
        <f t="shared" si="7"/>
        <v>62.819940476190482</v>
      </c>
      <c r="J52" s="60">
        <f>K17/J17</f>
        <v>127.72727272727273</v>
      </c>
      <c r="K52" s="60">
        <f>L17/J17</f>
        <v>627.4545454545455</v>
      </c>
      <c r="L52" s="71">
        <f>K52/J52</f>
        <v>4.9124555160142354</v>
      </c>
      <c r="M52" s="83">
        <f t="shared" si="8"/>
        <v>56.02272727272728</v>
      </c>
      <c r="N52" s="60">
        <f>O17/N17</f>
        <v>162.45454545454547</v>
      </c>
      <c r="O52" s="60">
        <f>P17/N17</f>
        <v>590.09090909090912</v>
      </c>
      <c r="P52" s="71">
        <f>O52/N52</f>
        <v>3.6323447118074985</v>
      </c>
      <c r="Q52" s="83">
        <f t="shared" si="9"/>
        <v>52.686688311688314</v>
      </c>
      <c r="R52" s="60">
        <f>S17/R17</f>
        <v>135</v>
      </c>
      <c r="S52" s="60">
        <f>T17/R17</f>
        <v>629.9473684210526</v>
      </c>
      <c r="T52" s="71">
        <f>S52/R52</f>
        <v>4.6662768031189081</v>
      </c>
      <c r="U52" s="83">
        <f t="shared" si="10"/>
        <v>56.245300751879704</v>
      </c>
    </row>
    <row r="53" spans="1:21">
      <c r="A53" s="93">
        <f t="shared" si="6"/>
        <v>44880</v>
      </c>
      <c r="B53" s="94" t="e">
        <f>C18/B18</f>
        <v>#DIV/0!</v>
      </c>
      <c r="C53" s="60" t="e">
        <f>D18/B18</f>
        <v>#DIV/0!</v>
      </c>
      <c r="D53" s="71" t="e">
        <f>C53/B53</f>
        <v>#DIV/0!</v>
      </c>
      <c r="E53" s="83" t="e">
        <f>(C53/1120)*100</f>
        <v>#DIV/0!</v>
      </c>
      <c r="F53" s="60">
        <f>G18/F18</f>
        <v>137.125</v>
      </c>
      <c r="G53" s="60">
        <f>H18/F18</f>
        <v>611.5</v>
      </c>
      <c r="H53" s="110">
        <f>G53/F53</f>
        <v>4.4594348222424793</v>
      </c>
      <c r="I53" s="71">
        <f t="shared" si="7"/>
        <v>54.598214285714285</v>
      </c>
      <c r="J53" s="60">
        <f>K18/J18</f>
        <v>152.46153846153845</v>
      </c>
      <c r="K53" s="60">
        <f>L18/J18</f>
        <v>752.84615384615381</v>
      </c>
      <c r="L53" s="71">
        <f>K53/J53</f>
        <v>4.9379414732593343</v>
      </c>
      <c r="M53" s="83">
        <f t="shared" si="8"/>
        <v>67.218406593406584</v>
      </c>
      <c r="N53" s="60" t="e">
        <f>O18/N18</f>
        <v>#DIV/0!</v>
      </c>
      <c r="O53" s="60" t="e">
        <f>P18/N18</f>
        <v>#DIV/0!</v>
      </c>
      <c r="P53" s="71" t="e">
        <f>O53/N53</f>
        <v>#DIV/0!</v>
      </c>
      <c r="Q53" s="83" t="e">
        <f t="shared" si="9"/>
        <v>#DIV/0!</v>
      </c>
      <c r="R53" s="60">
        <f>S18/R18</f>
        <v>116.44444444444444</v>
      </c>
      <c r="S53" s="60">
        <f>T18/R18</f>
        <v>556.33333333333337</v>
      </c>
      <c r="T53" s="71">
        <f>S53/R53</f>
        <v>4.7776717557251915</v>
      </c>
      <c r="U53" s="83">
        <f t="shared" si="10"/>
        <v>49.672619047619051</v>
      </c>
    </row>
    <row r="54" spans="1:21">
      <c r="A54" s="93">
        <f t="shared" si="6"/>
        <v>44881</v>
      </c>
      <c r="B54" s="94" t="e">
        <f>C19/B19</f>
        <v>#DIV/0!</v>
      </c>
      <c r="C54" s="60" t="e">
        <f>D19/B19</f>
        <v>#DIV/0!</v>
      </c>
      <c r="D54" s="71" t="e">
        <f>C54/B54</f>
        <v>#DIV/0!</v>
      </c>
      <c r="E54" s="83" t="e">
        <f>(C54/1120)*100</f>
        <v>#DIV/0!</v>
      </c>
      <c r="F54" s="60">
        <f>G19/F19</f>
        <v>136.26315789473685</v>
      </c>
      <c r="G54" s="60">
        <f>H19/F19</f>
        <v>614.31578947368416</v>
      </c>
      <c r="H54" s="110">
        <f>G54/F54</f>
        <v>4.5083043646195433</v>
      </c>
      <c r="I54" s="71">
        <f t="shared" si="7"/>
        <v>54.849624060150369</v>
      </c>
      <c r="J54" s="60">
        <f>K19/J19</f>
        <v>131.81818181818181</v>
      </c>
      <c r="K54" s="60">
        <f>L19/J19</f>
        <v>644.5454545454545</v>
      </c>
      <c r="L54" s="71">
        <f>K54/J54</f>
        <v>4.8896551724137929</v>
      </c>
      <c r="M54" s="83">
        <f t="shared" si="8"/>
        <v>57.548701298701296</v>
      </c>
      <c r="N54" s="60" t="e">
        <f>O19/N19</f>
        <v>#DIV/0!</v>
      </c>
      <c r="O54" s="60" t="e">
        <f>P19/N19</f>
        <v>#DIV/0!</v>
      </c>
      <c r="P54" s="71" t="e">
        <f>O54/N54</f>
        <v>#DIV/0!</v>
      </c>
      <c r="Q54" s="83" t="e">
        <f t="shared" si="9"/>
        <v>#DIV/0!</v>
      </c>
      <c r="R54" s="60">
        <f>S19/R19</f>
        <v>133.53333333333333</v>
      </c>
      <c r="S54" s="60">
        <f>T19/R19</f>
        <v>631</v>
      </c>
      <c r="T54" s="71">
        <f>S54/R54</f>
        <v>4.7254118821767346</v>
      </c>
      <c r="U54" s="83">
        <f t="shared" si="10"/>
        <v>56.339285714285715</v>
      </c>
    </row>
    <row r="55" spans="1:21">
      <c r="A55" s="93">
        <f t="shared" si="6"/>
        <v>44882</v>
      </c>
      <c r="B55" s="94" t="e">
        <f>C20/B20</f>
        <v>#DIV/0!</v>
      </c>
      <c r="C55" s="60" t="e">
        <f>D20/B20</f>
        <v>#DIV/0!</v>
      </c>
      <c r="D55" s="71" t="e">
        <f>C55/B55</f>
        <v>#DIV/0!</v>
      </c>
      <c r="E55" s="83" t="e">
        <f>(C55/1120)*100</f>
        <v>#DIV/0!</v>
      </c>
      <c r="F55" s="60">
        <f>G20/F20</f>
        <v>143.72727272727272</v>
      </c>
      <c r="G55" s="60">
        <f>H20/F20</f>
        <v>652.63636363636363</v>
      </c>
      <c r="H55" s="110">
        <f>G55/F55</f>
        <v>4.5407969639468693</v>
      </c>
      <c r="I55" s="71">
        <f t="shared" si="7"/>
        <v>58.271103896103895</v>
      </c>
      <c r="J55" s="60">
        <f>K20/J20</f>
        <v>130.5</v>
      </c>
      <c r="K55" s="60">
        <f>L20/J20</f>
        <v>644.5</v>
      </c>
      <c r="L55" s="71">
        <f>K55/J55</f>
        <v>4.9386973180076632</v>
      </c>
      <c r="M55" s="83">
        <f t="shared" si="8"/>
        <v>57.544642857142861</v>
      </c>
      <c r="N55" s="60">
        <f>O20/N20</f>
        <v>159.85714285714286</v>
      </c>
      <c r="O55" s="60">
        <f>P20/N20</f>
        <v>575.64285714285711</v>
      </c>
      <c r="P55" s="71">
        <f>O55/N55</f>
        <v>3.6009830205540658</v>
      </c>
      <c r="Q55" s="83">
        <f t="shared" si="9"/>
        <v>51.39668367346939</v>
      </c>
      <c r="R55" s="60">
        <f>S20/R20</f>
        <v>150.42857142857142</v>
      </c>
      <c r="S55" s="60">
        <f>T20/R20</f>
        <v>696.92857142857144</v>
      </c>
      <c r="T55" s="71">
        <f>S55/R55</f>
        <v>4.6329534662867999</v>
      </c>
      <c r="U55" s="83">
        <f t="shared" si="10"/>
        <v>62.225765306122447</v>
      </c>
    </row>
    <row r="56" spans="1:21">
      <c r="A56" s="93">
        <f t="shared" si="6"/>
        <v>44883</v>
      </c>
      <c r="B56" s="94" t="e">
        <f>C21/B21</f>
        <v>#DIV/0!</v>
      </c>
      <c r="C56" s="60" t="e">
        <f>D21/B21</f>
        <v>#DIV/0!</v>
      </c>
      <c r="D56" s="71" t="e">
        <f>C56/B56</f>
        <v>#DIV/0!</v>
      </c>
      <c r="E56" s="83" t="e">
        <f>(C56/1120)*100</f>
        <v>#DIV/0!</v>
      </c>
      <c r="F56" s="60">
        <f>G21/F21</f>
        <v>151.14285714285714</v>
      </c>
      <c r="G56" s="60">
        <f>H21/F21</f>
        <v>723</v>
      </c>
      <c r="H56" s="110">
        <f>G56/F56</f>
        <v>4.7835538752362954</v>
      </c>
      <c r="I56" s="71">
        <f t="shared" si="7"/>
        <v>64.553571428571431</v>
      </c>
      <c r="J56" s="60">
        <f>K21/J21</f>
        <v>135.625</v>
      </c>
      <c r="K56" s="60">
        <f>L21/J21</f>
        <v>666.375</v>
      </c>
      <c r="L56" s="71">
        <f>K56/J56</f>
        <v>4.9133640552995388</v>
      </c>
      <c r="M56" s="83">
        <f t="shared" si="8"/>
        <v>59.497767857142861</v>
      </c>
      <c r="N56" s="60">
        <f>O21/N21</f>
        <v>167.30769230769232</v>
      </c>
      <c r="O56" s="60">
        <f>P21/N21</f>
        <v>640.46153846153845</v>
      </c>
      <c r="P56" s="71">
        <f>O56/N56</f>
        <v>3.8280459770114939</v>
      </c>
      <c r="Q56" s="83">
        <f t="shared" si="9"/>
        <v>57.184065934065927</v>
      </c>
      <c r="R56" s="60">
        <f>S21/R21</f>
        <v>147.36842105263159</v>
      </c>
      <c r="S56" s="60">
        <f>T21/R21</f>
        <v>667</v>
      </c>
      <c r="T56" s="71">
        <f>S56/R56</f>
        <v>4.5260714285714281</v>
      </c>
      <c r="U56" s="83">
        <f t="shared" si="10"/>
        <v>59.553571428571431</v>
      </c>
    </row>
    <row r="57" spans="1:21">
      <c r="A57" s="93">
        <f t="shared" si="6"/>
        <v>44884</v>
      </c>
      <c r="B57" s="94" t="e">
        <f>C22/B22</f>
        <v>#DIV/0!</v>
      </c>
      <c r="C57" s="60" t="e">
        <f>D22/B22</f>
        <v>#DIV/0!</v>
      </c>
      <c r="D57" s="71" t="e">
        <f>C57/B57</f>
        <v>#DIV/0!</v>
      </c>
      <c r="E57" s="83" t="e">
        <f>(C57/1120)*100</f>
        <v>#DIV/0!</v>
      </c>
      <c r="F57" s="60">
        <f>G22/F22</f>
        <v>144.9375</v>
      </c>
      <c r="G57" s="60">
        <f>H22/F22</f>
        <v>624.9375</v>
      </c>
      <c r="H57" s="110">
        <f>G57/F57</f>
        <v>4.3117723156532985</v>
      </c>
      <c r="I57" s="71">
        <f t="shared" si="7"/>
        <v>55.797991071428577</v>
      </c>
      <c r="J57" s="60">
        <f>K22/J22</f>
        <v>127.52941176470588</v>
      </c>
      <c r="K57" s="60">
        <f>L22/J22</f>
        <v>627.23529411764707</v>
      </c>
      <c r="L57" s="71">
        <f>K57/J57</f>
        <v>4.9183579335793359</v>
      </c>
      <c r="M57" s="83">
        <f t="shared" si="8"/>
        <v>56.003151260504204</v>
      </c>
      <c r="N57" s="60">
        <f>O22/N22</f>
        <v>152</v>
      </c>
      <c r="O57" s="60">
        <f>P22/N22</f>
        <v>552.9</v>
      </c>
      <c r="P57" s="71">
        <f>O57/N57</f>
        <v>3.6374999999999997</v>
      </c>
      <c r="Q57" s="83">
        <f t="shared" si="9"/>
        <v>49.366071428571431</v>
      </c>
      <c r="R57" s="60">
        <f>S22/R22</f>
        <v>121.64705882352941</v>
      </c>
      <c r="S57" s="60">
        <f>T22/R22</f>
        <v>563.29411764705878</v>
      </c>
      <c r="T57" s="71">
        <f>S57/R57</f>
        <v>4.6305609284332689</v>
      </c>
      <c r="U57" s="83">
        <f t="shared" si="10"/>
        <v>50.294117647058826</v>
      </c>
    </row>
    <row r="58" spans="1:21">
      <c r="A58" s="93">
        <f t="shared" si="6"/>
        <v>44885</v>
      </c>
      <c r="B58" s="94" t="e">
        <f>C23/B23</f>
        <v>#DIV/0!</v>
      </c>
      <c r="C58" s="60" t="e">
        <f>D23/B23</f>
        <v>#DIV/0!</v>
      </c>
      <c r="D58" s="71" t="e">
        <f>C58/B58</f>
        <v>#DIV/0!</v>
      </c>
      <c r="E58" s="83" t="e">
        <f>(C58/1120)*100</f>
        <v>#DIV/0!</v>
      </c>
      <c r="F58" s="60">
        <f>G23/F23</f>
        <v>144.78571428571428</v>
      </c>
      <c r="G58" s="60">
        <f>H23/F23</f>
        <v>723.85714285714289</v>
      </c>
      <c r="H58" s="110">
        <f>G58/F58</f>
        <v>4.9995066600888016</v>
      </c>
      <c r="I58" s="71">
        <f t="shared" si="7"/>
        <v>64.630102040816325</v>
      </c>
      <c r="J58" s="60">
        <f>K23/J23</f>
        <v>145.85714285714286</v>
      </c>
      <c r="K58" s="60">
        <f>L23/J23</f>
        <v>801.28571428571433</v>
      </c>
      <c r="L58" s="71">
        <f>K58/J58</f>
        <v>5.4936336924583742</v>
      </c>
      <c r="M58" s="83">
        <f t="shared" si="8"/>
        <v>71.54336734693878</v>
      </c>
      <c r="N58" s="60">
        <f>O23/N23</f>
        <v>165.77777777777777</v>
      </c>
      <c r="O58" s="60">
        <f>P23/N23</f>
        <v>585.33333333333337</v>
      </c>
      <c r="P58" s="71">
        <f>O58/N58</f>
        <v>3.5308310991957108</v>
      </c>
      <c r="Q58" s="83">
        <f t="shared" si="9"/>
        <v>52.261904761904766</v>
      </c>
      <c r="R58" s="60">
        <f>S23/R23</f>
        <v>120.23076923076923</v>
      </c>
      <c r="S58" s="60">
        <f>T23/R23</f>
        <v>566.46153846153845</v>
      </c>
      <c r="T58" s="71">
        <f>S58/R58</f>
        <v>4.7114523352527193</v>
      </c>
      <c r="U58" s="83">
        <f t="shared" si="10"/>
        <v>50.576923076923073</v>
      </c>
    </row>
    <row r="59" spans="1:21">
      <c r="A59" s="93">
        <f t="shared" si="6"/>
        <v>44886</v>
      </c>
      <c r="B59" s="94" t="e">
        <f>C24/B24</f>
        <v>#DIV/0!</v>
      </c>
      <c r="C59" s="60" t="e">
        <f>D24/B24</f>
        <v>#DIV/0!</v>
      </c>
      <c r="D59" s="71" t="e">
        <f>C59/B59</f>
        <v>#DIV/0!</v>
      </c>
      <c r="E59" s="83" t="e">
        <f>(C59/1120)*100</f>
        <v>#DIV/0!</v>
      </c>
      <c r="F59" s="60">
        <f>G24/F24</f>
        <v>154.73333333333332</v>
      </c>
      <c r="G59" s="60">
        <f>H24/F24</f>
        <v>681.26666666666665</v>
      </c>
      <c r="H59" s="110">
        <f>G59/F59</f>
        <v>4.4028436018957349</v>
      </c>
      <c r="I59" s="71">
        <f t="shared" si="7"/>
        <v>60.827380952380949</v>
      </c>
      <c r="J59" s="60">
        <f>K24/J24</f>
        <v>147.4</v>
      </c>
      <c r="K59" s="60">
        <f>L24/J24</f>
        <v>762.9</v>
      </c>
      <c r="L59" s="71">
        <f>K59/J59</f>
        <v>5.1757123473541382</v>
      </c>
      <c r="M59" s="83">
        <f t="shared" si="8"/>
        <v>68.116071428571416</v>
      </c>
      <c r="N59" s="60">
        <f>O24/N24</f>
        <v>138.18181818181819</v>
      </c>
      <c r="O59" s="60">
        <f>P24/N24</f>
        <v>224.54545454545453</v>
      </c>
      <c r="P59" s="71">
        <f>O59/N59</f>
        <v>1.6249999999999998</v>
      </c>
      <c r="Q59" s="83">
        <f t="shared" si="9"/>
        <v>20.048701298701296</v>
      </c>
      <c r="R59" s="60">
        <f>S24/R24</f>
        <v>128.5</v>
      </c>
      <c r="S59" s="60">
        <f>T24/R24</f>
        <v>582.64285714285711</v>
      </c>
      <c r="T59" s="71">
        <f>S59/R59</f>
        <v>4.5341856586992773</v>
      </c>
      <c r="U59" s="83">
        <f t="shared" si="10"/>
        <v>52.02168367346939</v>
      </c>
    </row>
    <row r="60" spans="1:21">
      <c r="A60" s="93">
        <f t="shared" si="6"/>
        <v>44887</v>
      </c>
      <c r="B60" s="94" t="e">
        <f>C25/B25</f>
        <v>#DIV/0!</v>
      </c>
      <c r="C60" s="60" t="e">
        <f>D25/B25</f>
        <v>#DIV/0!</v>
      </c>
      <c r="D60" s="71" t="e">
        <f>C60/B60</f>
        <v>#DIV/0!</v>
      </c>
      <c r="E60" s="83" t="e">
        <f>(C60/1120)*100</f>
        <v>#DIV/0!</v>
      </c>
      <c r="F60" s="60">
        <f>G25/F25</f>
        <v>179.25</v>
      </c>
      <c r="G60" s="60">
        <f>H25/F25</f>
        <v>794</v>
      </c>
      <c r="H60" s="110">
        <f>G60/F60</f>
        <v>4.4295676429567639</v>
      </c>
      <c r="I60" s="71">
        <f t="shared" si="7"/>
        <v>70.892857142857153</v>
      </c>
      <c r="J60" s="60">
        <f>K25/J25</f>
        <v>122.92307692307692</v>
      </c>
      <c r="K60" s="60">
        <f>L25/J25</f>
        <v>570.84615384615381</v>
      </c>
      <c r="L60" s="71">
        <f>K60/J60</f>
        <v>4.6439299123904876</v>
      </c>
      <c r="M60" s="83">
        <f t="shared" si="8"/>
        <v>50.968406593406591</v>
      </c>
      <c r="N60" s="60">
        <f>O25/N25</f>
        <v>154.9375</v>
      </c>
      <c r="O60" s="60">
        <f>P25/N25</f>
        <v>743.125</v>
      </c>
      <c r="P60" s="71">
        <f>O60/N60</f>
        <v>4.7962888261395724</v>
      </c>
      <c r="Q60" s="83">
        <f t="shared" si="9"/>
        <v>66.350446428571431</v>
      </c>
      <c r="R60" s="60">
        <f>S25/R25</f>
        <v>115.6</v>
      </c>
      <c r="S60" s="60">
        <f>T25/R25</f>
        <v>546.9</v>
      </c>
      <c r="T60" s="71">
        <f>S60/R60</f>
        <v>4.7309688581314875</v>
      </c>
      <c r="U60" s="83">
        <f t="shared" si="10"/>
        <v>48.830357142857139</v>
      </c>
    </row>
    <row r="61" spans="1:21">
      <c r="A61" s="93">
        <f t="shared" si="6"/>
        <v>44888</v>
      </c>
      <c r="B61" s="94">
        <f>C26/B26</f>
        <v>138.6</v>
      </c>
      <c r="C61" s="60">
        <f>D26/B26</f>
        <v>653.29999999999995</v>
      </c>
      <c r="D61" s="71">
        <f>C61/B61</f>
        <v>4.7135642135642133</v>
      </c>
      <c r="E61" s="83">
        <f>(C61/1120)*100</f>
        <v>58.330357142857139</v>
      </c>
      <c r="F61" s="60">
        <f>G26/F26</f>
        <v>126.31818181818181</v>
      </c>
      <c r="G61" s="60">
        <f>H26/F26</f>
        <v>569.09090909090912</v>
      </c>
      <c r="H61" s="110">
        <f>G61/F61</f>
        <v>4.505217704210148</v>
      </c>
      <c r="I61" s="71">
        <f t="shared" si="7"/>
        <v>50.811688311688322</v>
      </c>
      <c r="J61" s="60">
        <f>K26/J26</f>
        <v>132.71428571428572</v>
      </c>
      <c r="K61" s="60">
        <f>L26/J26</f>
        <v>650.42857142857144</v>
      </c>
      <c r="L61" s="71">
        <f>K61/J61</f>
        <v>4.9009687836383202</v>
      </c>
      <c r="M61" s="83">
        <f t="shared" si="8"/>
        <v>58.073979591836732</v>
      </c>
      <c r="N61" s="60">
        <f>O26/N26</f>
        <v>157</v>
      </c>
      <c r="O61" s="60">
        <f>P26/N26</f>
        <v>568</v>
      </c>
      <c r="P61" s="71">
        <f>O61/N61</f>
        <v>3.6178343949044587</v>
      </c>
      <c r="Q61" s="83">
        <f t="shared" si="9"/>
        <v>50.714285714285708</v>
      </c>
      <c r="R61" s="60" t="e">
        <f>S26/R26</f>
        <v>#DIV/0!</v>
      </c>
      <c r="S61" s="60" t="e">
        <f>T26/R26</f>
        <v>#DIV/0!</v>
      </c>
      <c r="T61" s="71" t="e">
        <f>S61/R61</f>
        <v>#DIV/0!</v>
      </c>
      <c r="U61" s="83" t="e">
        <f t="shared" si="10"/>
        <v>#DIV/0!</v>
      </c>
    </row>
    <row r="62" spans="1:21">
      <c r="A62" s="93">
        <f t="shared" si="6"/>
        <v>44889</v>
      </c>
      <c r="B62" s="94">
        <f>C27/B27</f>
        <v>140.94444444444446</v>
      </c>
      <c r="C62" s="60">
        <f>D27/B27</f>
        <v>685.05555555555554</v>
      </c>
      <c r="D62" s="71">
        <f>C62/B62</f>
        <v>4.8604651162790695</v>
      </c>
      <c r="E62" s="83">
        <f>(C62/1120)*100</f>
        <v>61.165674603174601</v>
      </c>
      <c r="F62" s="60">
        <f>G27/F27</f>
        <v>143.47058823529412</v>
      </c>
      <c r="G62" s="60">
        <f>H27/F27</f>
        <v>639.88235294117646</v>
      </c>
      <c r="H62" s="110">
        <f>G62/F62</f>
        <v>4.4600246002460029</v>
      </c>
      <c r="I62" s="71">
        <f t="shared" si="7"/>
        <v>57.132352941176464</v>
      </c>
      <c r="J62" s="60" t="e">
        <f>K27/J27</f>
        <v>#DIV/0!</v>
      </c>
      <c r="K62" s="60" t="e">
        <f>L27/J27</f>
        <v>#DIV/0!</v>
      </c>
      <c r="L62" s="71" t="e">
        <f>K62/J62</f>
        <v>#DIV/0!</v>
      </c>
      <c r="M62" s="83" t="e">
        <f t="shared" si="8"/>
        <v>#DIV/0!</v>
      </c>
      <c r="N62" s="60">
        <f>O27/N27</f>
        <v>181.29411764705881</v>
      </c>
      <c r="O62" s="60">
        <f>P27/N27</f>
        <v>647.29411764705878</v>
      </c>
      <c r="P62" s="71">
        <f>O62/N62</f>
        <v>3.5704088254380273</v>
      </c>
      <c r="Q62" s="83">
        <f t="shared" si="9"/>
        <v>57.794117647058819</v>
      </c>
      <c r="R62" s="60" t="e">
        <f>S27/R27</f>
        <v>#DIV/0!</v>
      </c>
      <c r="S62" s="60" t="e">
        <f>T27/R27</f>
        <v>#DIV/0!</v>
      </c>
      <c r="T62" s="71" t="e">
        <f>S62/R62</f>
        <v>#DIV/0!</v>
      </c>
      <c r="U62" s="83" t="e">
        <f t="shared" si="10"/>
        <v>#DIV/0!</v>
      </c>
    </row>
    <row r="63" spans="1:21">
      <c r="A63" s="93">
        <f t="shared" si="6"/>
        <v>44890</v>
      </c>
      <c r="B63" s="94">
        <f>C28/B28</f>
        <v>140.19999999999999</v>
      </c>
      <c r="C63" s="60">
        <f>D28/B28</f>
        <v>661.4</v>
      </c>
      <c r="D63" s="71">
        <f>C63/B63</f>
        <v>4.7175463623395153</v>
      </c>
      <c r="E63" s="83">
        <f>(C63/1120)*100</f>
        <v>59.053571428571431</v>
      </c>
      <c r="F63" s="60">
        <f>G28/F28</f>
        <v>136.25</v>
      </c>
      <c r="G63" s="60">
        <f>H28/F28</f>
        <v>620.33333333333337</v>
      </c>
      <c r="H63" s="110">
        <f>G63/F63</f>
        <v>4.5529051987767586</v>
      </c>
      <c r="I63" s="71">
        <f t="shared" si="7"/>
        <v>55.386904761904766</v>
      </c>
      <c r="J63" s="60" t="e">
        <f>K28/J28</f>
        <v>#DIV/0!</v>
      </c>
      <c r="K63" s="60" t="e">
        <f>L28/J28</f>
        <v>#DIV/0!</v>
      </c>
      <c r="L63" s="71" t="e">
        <f>K63/J63</f>
        <v>#DIV/0!</v>
      </c>
      <c r="M63" s="83" t="e">
        <f t="shared" si="8"/>
        <v>#DIV/0!</v>
      </c>
      <c r="N63" s="60">
        <f>O28/N28</f>
        <v>166.5</v>
      </c>
      <c r="O63" s="60">
        <f>P28/N28</f>
        <v>607.55555555555554</v>
      </c>
      <c r="P63" s="71">
        <f>O63/N63</f>
        <v>3.6489823156489822</v>
      </c>
      <c r="Q63" s="83">
        <f t="shared" si="9"/>
        <v>54.24603174603174</v>
      </c>
      <c r="R63" s="60">
        <f>S28/R28</f>
        <v>135.42857142857142</v>
      </c>
      <c r="S63" s="60">
        <f>T28/R28</f>
        <v>622.14285714285711</v>
      </c>
      <c r="T63" s="71">
        <f>S63/R63</f>
        <v>4.5938818565400847</v>
      </c>
      <c r="U63" s="83">
        <f t="shared" si="10"/>
        <v>55.548469387755098</v>
      </c>
    </row>
    <row r="64" spans="1:21">
      <c r="A64" s="93">
        <f t="shared" si="6"/>
        <v>44891</v>
      </c>
      <c r="B64" s="94">
        <f>C29/B29</f>
        <v>114.9</v>
      </c>
      <c r="C64" s="60">
        <f>D29/B29</f>
        <v>551.4</v>
      </c>
      <c r="D64" s="71">
        <f>C64/B64</f>
        <v>4.7989556135770233</v>
      </c>
      <c r="E64" s="83">
        <f>(C64/1120)*100</f>
        <v>49.232142857142861</v>
      </c>
      <c r="F64" s="60">
        <f>G29/F29</f>
        <v>137.1764705882353</v>
      </c>
      <c r="G64" s="60">
        <f>H29/F29</f>
        <v>606.94117647058829</v>
      </c>
      <c r="H64" s="110">
        <f>G64/F64</f>
        <v>4.4245283018867925</v>
      </c>
      <c r="I64" s="71">
        <f t="shared" si="7"/>
        <v>54.191176470588246</v>
      </c>
      <c r="J64" s="60" t="e">
        <f>K29/J29</f>
        <v>#DIV/0!</v>
      </c>
      <c r="K64" s="60" t="e">
        <f>L29/J29</f>
        <v>#DIV/0!</v>
      </c>
      <c r="L64" s="71" t="e">
        <f>K64/J64</f>
        <v>#DIV/0!</v>
      </c>
      <c r="M64" s="83" t="e">
        <f t="shared" si="8"/>
        <v>#DIV/0!</v>
      </c>
      <c r="N64" s="60" t="e">
        <f>O29/N29</f>
        <v>#DIV/0!</v>
      </c>
      <c r="O64" s="60" t="e">
        <f>P29/N29</f>
        <v>#DIV/0!</v>
      </c>
      <c r="P64" s="71" t="e">
        <f>O64/N64</f>
        <v>#DIV/0!</v>
      </c>
      <c r="Q64" s="83" t="e">
        <f t="shared" si="9"/>
        <v>#DIV/0!</v>
      </c>
      <c r="R64" s="60">
        <f>S29/R29</f>
        <v>131.80000000000001</v>
      </c>
      <c r="S64" s="60">
        <f>T29/R29</f>
        <v>603.20000000000005</v>
      </c>
      <c r="T64" s="71">
        <f>S64/R64</f>
        <v>4.576631259484067</v>
      </c>
      <c r="U64" s="83">
        <f t="shared" si="10"/>
        <v>53.857142857142861</v>
      </c>
    </row>
    <row r="65" spans="1:21">
      <c r="A65" s="93">
        <f t="shared" si="6"/>
        <v>44892</v>
      </c>
      <c r="B65" s="94">
        <f>C30/B30</f>
        <v>132.19999999999999</v>
      </c>
      <c r="C65" s="60">
        <f>D30/B30</f>
        <v>685.7</v>
      </c>
      <c r="D65" s="71">
        <f>C65/B65</f>
        <v>5.1868381240544634</v>
      </c>
      <c r="E65" s="83">
        <f>(C65/1120)*100</f>
        <v>61.223214285714292</v>
      </c>
      <c r="F65" s="60">
        <f>G30/F30</f>
        <v>128.18181818181819</v>
      </c>
      <c r="G65" s="60">
        <f>H30/F30</f>
        <v>602.5454545454545</v>
      </c>
      <c r="H65" s="110">
        <f>G65/F65</f>
        <v>4.7007092198581555</v>
      </c>
      <c r="I65" s="71">
        <f t="shared" si="7"/>
        <v>53.798701298701289</v>
      </c>
      <c r="J65" s="60">
        <f>K30/J30</f>
        <v>126.13333333333334</v>
      </c>
      <c r="K65" s="60">
        <f>L30/J30</f>
        <v>627.66666666666663</v>
      </c>
      <c r="L65" s="71">
        <f>K65/J65</f>
        <v>4.9762156448202957</v>
      </c>
      <c r="M65" s="83">
        <f t="shared" si="8"/>
        <v>56.041666666666664</v>
      </c>
      <c r="N65" s="60" t="e">
        <f>O30/N30</f>
        <v>#DIV/0!</v>
      </c>
      <c r="O65" s="60" t="e">
        <f>P30/N30</f>
        <v>#DIV/0!</v>
      </c>
      <c r="P65" s="71" t="e">
        <f>O65/N65</f>
        <v>#DIV/0!</v>
      </c>
      <c r="Q65" s="83" t="e">
        <f t="shared" si="9"/>
        <v>#DIV/0!</v>
      </c>
      <c r="R65" s="60">
        <f>S30/R30</f>
        <v>141.80000000000001</v>
      </c>
      <c r="S65" s="60">
        <f>T30/R30</f>
        <v>655.29999999999995</v>
      </c>
      <c r="T65" s="71">
        <f>S65/R65</f>
        <v>4.6212976022566989</v>
      </c>
      <c r="U65" s="83">
        <f t="shared" si="10"/>
        <v>58.508928571428562</v>
      </c>
    </row>
    <row r="66" spans="1:21">
      <c r="A66" s="93">
        <f t="shared" si="6"/>
        <v>44893</v>
      </c>
      <c r="B66" s="94">
        <f>C31/B31</f>
        <v>175.75</v>
      </c>
      <c r="C66" s="60">
        <f>D31/B31</f>
        <v>700.5</v>
      </c>
      <c r="D66" s="71">
        <f>C66/B66</f>
        <v>3.9857752489331437</v>
      </c>
      <c r="E66" s="83">
        <f>(C66/1120)*100</f>
        <v>62.544642857142861</v>
      </c>
      <c r="F66" s="60">
        <f>G31/F31</f>
        <v>158.41666666666666</v>
      </c>
      <c r="G66" s="60">
        <f>H31/F31</f>
        <v>709.75</v>
      </c>
      <c r="H66" s="110">
        <f>G66/F66</f>
        <v>4.4802735402419778</v>
      </c>
      <c r="I66" s="71">
        <f t="shared" si="7"/>
        <v>63.370535714285715</v>
      </c>
      <c r="J66" s="60">
        <f>K31/J31</f>
        <v>131.85714285714286</v>
      </c>
      <c r="K66" s="60">
        <f>L31/J31</f>
        <v>650.57142857142856</v>
      </c>
      <c r="L66" s="71">
        <f>K66/J66</f>
        <v>4.9339111592632721</v>
      </c>
      <c r="M66" s="83">
        <f t="shared" si="8"/>
        <v>58.086734693877553</v>
      </c>
      <c r="N66" s="60" t="e">
        <f>O31/N31</f>
        <v>#DIV/0!</v>
      </c>
      <c r="O66" s="60" t="e">
        <f>P31/N31</f>
        <v>#DIV/0!</v>
      </c>
      <c r="P66" s="71" t="e">
        <f>O66/N66</f>
        <v>#DIV/0!</v>
      </c>
      <c r="Q66" s="83" t="e">
        <f t="shared" si="9"/>
        <v>#DIV/0!</v>
      </c>
      <c r="R66" s="60">
        <f>S31/R31</f>
        <v>131.1875</v>
      </c>
      <c r="S66" s="60">
        <f>T31/R31</f>
        <v>609.8125</v>
      </c>
      <c r="T66" s="71">
        <f>S66/R66</f>
        <v>4.6484040019056696</v>
      </c>
      <c r="U66" s="83">
        <f t="shared" si="10"/>
        <v>54.447544642857139</v>
      </c>
    </row>
    <row r="67" spans="1:21">
      <c r="A67" s="93">
        <f t="shared" si="6"/>
        <v>44894</v>
      </c>
      <c r="B67" s="94">
        <f>C32/B32</f>
        <v>128.13333333333333</v>
      </c>
      <c r="C67" s="60">
        <f>D32/B32</f>
        <v>667.33333333333337</v>
      </c>
      <c r="D67" s="71">
        <f>C67/B67</f>
        <v>5.2081165452653488</v>
      </c>
      <c r="E67" s="83">
        <f>(C67/1120)*100</f>
        <v>59.583333333333336</v>
      </c>
      <c r="F67" s="60">
        <f>G32/F32</f>
        <v>139.26666666666668</v>
      </c>
      <c r="G67" s="60">
        <f>H32/F32</f>
        <v>660.26666666666665</v>
      </c>
      <c r="H67" s="110">
        <f>G67/F67</f>
        <v>4.7410244135950208</v>
      </c>
      <c r="I67" s="71">
        <f t="shared" si="7"/>
        <v>58.952380952380956</v>
      </c>
      <c r="J67" s="60">
        <f>K32/J32</f>
        <v>125.88888888888889</v>
      </c>
      <c r="K67" s="60">
        <f>L32/J32</f>
        <v>608.11111111111109</v>
      </c>
      <c r="L67" s="71">
        <f>K67/J67</f>
        <v>4.83053839364519</v>
      </c>
      <c r="M67" s="83">
        <f t="shared" si="8"/>
        <v>54.295634920634917</v>
      </c>
      <c r="N67" s="60" t="e">
        <f>O32/N32</f>
        <v>#DIV/0!</v>
      </c>
      <c r="O67" s="60" t="e">
        <f>P32/N32</f>
        <v>#DIV/0!</v>
      </c>
      <c r="P67" s="71" t="e">
        <f>O67/N67</f>
        <v>#DIV/0!</v>
      </c>
      <c r="Q67" s="83" t="e">
        <f t="shared" si="9"/>
        <v>#DIV/0!</v>
      </c>
      <c r="R67" s="60">
        <f>S32/R32</f>
        <v>133.27272727272728</v>
      </c>
      <c r="S67" s="60">
        <f>T32/R32</f>
        <v>597.09090909090912</v>
      </c>
      <c r="T67" s="71">
        <f>S67/R67</f>
        <v>4.4802182810368345</v>
      </c>
      <c r="U67" s="83">
        <f t="shared" si="10"/>
        <v>53.311688311688307</v>
      </c>
    </row>
    <row r="68" spans="1:21">
      <c r="A68" s="93">
        <f t="shared" si="6"/>
        <v>44895</v>
      </c>
      <c r="B68" s="94" t="e">
        <f>C33/B33</f>
        <v>#DIV/0!</v>
      </c>
      <c r="C68" s="60" t="e">
        <f>D33/B33</f>
        <v>#DIV/0!</v>
      </c>
      <c r="D68" s="71" t="e">
        <f>C68/B68</f>
        <v>#DIV/0!</v>
      </c>
      <c r="E68" s="83" t="e">
        <f>(C68/1120)*100</f>
        <v>#DIV/0!</v>
      </c>
      <c r="F68" s="60" t="e">
        <f>G33/F33</f>
        <v>#DIV/0!</v>
      </c>
      <c r="G68" s="60" t="e">
        <f>H33/F33</f>
        <v>#DIV/0!</v>
      </c>
      <c r="H68" s="110" t="e">
        <f>G68/F68</f>
        <v>#DIV/0!</v>
      </c>
      <c r="I68" s="71" t="e">
        <f t="shared" si="7"/>
        <v>#DIV/0!</v>
      </c>
      <c r="J68" s="60" t="e">
        <f>K33/J33</f>
        <v>#DIV/0!</v>
      </c>
      <c r="K68" s="60" t="e">
        <f>L33/J33</f>
        <v>#DIV/0!</v>
      </c>
      <c r="L68" s="71" t="e">
        <f>K68/J68</f>
        <v>#DIV/0!</v>
      </c>
      <c r="M68" s="83" t="e">
        <f t="shared" si="8"/>
        <v>#DIV/0!</v>
      </c>
      <c r="N68" s="60" t="e">
        <f>O33/N33</f>
        <v>#DIV/0!</v>
      </c>
      <c r="O68" s="60" t="e">
        <f>P33/N33</f>
        <v>#DIV/0!</v>
      </c>
      <c r="P68" s="71" t="e">
        <f>O68/N68</f>
        <v>#DIV/0!</v>
      </c>
      <c r="Q68" s="83" t="e">
        <f t="shared" si="9"/>
        <v>#DIV/0!</v>
      </c>
      <c r="R68" s="60" t="e">
        <f>S33/R33</f>
        <v>#DIV/0!</v>
      </c>
      <c r="S68" s="60" t="e">
        <f>T33/R33</f>
        <v>#DIV/0!</v>
      </c>
      <c r="T68" s="71" t="e">
        <f>S68/R68</f>
        <v>#DIV/0!</v>
      </c>
      <c r="U68" s="83" t="e">
        <f t="shared" si="10"/>
        <v>#DIV/0!</v>
      </c>
    </row>
    <row r="69" spans="1:21">
      <c r="A69" s="107"/>
      <c r="B69" s="98" t="e">
        <f>C34/B34</f>
        <v>#DIV/0!</v>
      </c>
      <c r="C69" s="96" t="e">
        <f>D34/B34</f>
        <v>#DIV/0!</v>
      </c>
      <c r="D69" s="109" t="e">
        <f>C69/B69</f>
        <v>#DIV/0!</v>
      </c>
      <c r="E69" s="97" t="e">
        <f>(C69/1120)*100</f>
        <v>#DIV/0!</v>
      </c>
      <c r="F69" s="96" t="e">
        <f>G34/F34</f>
        <v>#DIV/0!</v>
      </c>
      <c r="G69" s="60" t="e">
        <f>H34/F34</f>
        <v>#DIV/0!</v>
      </c>
      <c r="H69" s="110" t="e">
        <f>G69/F69</f>
        <v>#DIV/0!</v>
      </c>
      <c r="I69" s="71" t="e">
        <f t="shared" si="7"/>
        <v>#DIV/0!</v>
      </c>
      <c r="J69" s="60" t="e">
        <f>K34/J34</f>
        <v>#DIV/0!</v>
      </c>
      <c r="K69" s="60" t="e">
        <f>L34/J34</f>
        <v>#DIV/0!</v>
      </c>
      <c r="L69" s="71" t="e">
        <f>K69/J69</f>
        <v>#DIV/0!</v>
      </c>
      <c r="M69" s="83" t="e">
        <f t="shared" si="8"/>
        <v>#DIV/0!</v>
      </c>
      <c r="N69" s="60" t="e">
        <f>O34/N34</f>
        <v>#DIV/0!</v>
      </c>
      <c r="O69" s="60" t="e">
        <f>P34/N34</f>
        <v>#DIV/0!</v>
      </c>
      <c r="P69" s="71" t="e">
        <f>O69/N69</f>
        <v>#DIV/0!</v>
      </c>
      <c r="Q69" s="83" t="e">
        <f t="shared" si="9"/>
        <v>#DIV/0!</v>
      </c>
      <c r="R69" s="60" t="e">
        <f>S34/R34</f>
        <v>#DIV/0!</v>
      </c>
      <c r="S69" s="60" t="e">
        <f>T34/R34</f>
        <v>#DIV/0!</v>
      </c>
      <c r="T69" s="71" t="e">
        <f>S69/R69</f>
        <v>#DIV/0!</v>
      </c>
      <c r="U69" s="83" t="e">
        <f t="shared" si="10"/>
        <v>#DIV/0!</v>
      </c>
    </row>
    <row r="70" spans="1:21">
      <c r="A70" s="139"/>
      <c r="B70" s="140"/>
      <c r="C70" s="140"/>
      <c r="D70" s="140"/>
      <c r="E70" s="140"/>
      <c r="F70" s="141"/>
    </row>
    <row r="71" spans="1:21" ht="59.25" customHeight="1">
      <c r="A71" s="61"/>
      <c r="B71" s="108" t="s">
        <v>96</v>
      </c>
      <c r="C71" s="108" t="s">
        <v>98</v>
      </c>
      <c r="D71" s="138" t="s">
        <v>99</v>
      </c>
      <c r="E71" s="210" t="s">
        <v>105</v>
      </c>
      <c r="F71" s="210"/>
    </row>
    <row r="72" spans="1:21">
      <c r="A72" s="93">
        <f>A4</f>
        <v>44866</v>
      </c>
      <c r="B72" s="39">
        <f>'FS Seychelles'!B3</f>
        <v>68.8</v>
      </c>
      <c r="D72" s="86">
        <f>D5+H5+L5+P5+T5</f>
        <v>33564</v>
      </c>
      <c r="E72" s="211">
        <f>D72/10000</f>
        <v>3.3563999999999998</v>
      </c>
      <c r="F72" s="211"/>
    </row>
    <row r="73" spans="1:21">
      <c r="A73" s="93">
        <f>A5</f>
        <v>44867</v>
      </c>
      <c r="B73" s="39">
        <f>'FS Seychelles'!B4</f>
        <v>71.400000000000006</v>
      </c>
      <c r="D73" s="86">
        <f>D6+H6+L6+P6+T6</f>
        <v>36930</v>
      </c>
      <c r="E73" s="211">
        <f t="shared" ref="E73:E102" si="11">D73/10000</f>
        <v>3.6930000000000001</v>
      </c>
      <c r="F73" s="211"/>
    </row>
    <row r="74" spans="1:21">
      <c r="A74" s="93">
        <f>A6</f>
        <v>44868</v>
      </c>
      <c r="B74" s="39">
        <f>'FS Seychelles'!B5</f>
        <v>71.400000000000006</v>
      </c>
      <c r="D74" s="86">
        <f>D7+H7+L7+P7+T7</f>
        <v>36670</v>
      </c>
      <c r="E74" s="211">
        <f t="shared" si="11"/>
        <v>3.6669999999999998</v>
      </c>
      <c r="F74" s="211"/>
    </row>
    <row r="75" spans="1:21">
      <c r="A75" s="93">
        <f>A7</f>
        <v>44869</v>
      </c>
      <c r="B75" s="39">
        <f>'FS Seychelles'!B6</f>
        <v>74</v>
      </c>
      <c r="D75" s="86">
        <f>D8+H8+L8+P8+T8</f>
        <v>36615</v>
      </c>
      <c r="E75" s="211">
        <f t="shared" si="11"/>
        <v>3.6615000000000002</v>
      </c>
      <c r="F75" s="211"/>
    </row>
    <row r="76" spans="1:21">
      <c r="A76" s="93">
        <f>A8</f>
        <v>44870</v>
      </c>
      <c r="B76" s="39">
        <f>'FS Seychelles'!B7</f>
        <v>64.900000000000006</v>
      </c>
      <c r="D76" s="86">
        <f>D9+H9+L9+P9+T9</f>
        <v>32400</v>
      </c>
      <c r="E76" s="211">
        <f t="shared" si="11"/>
        <v>3.24</v>
      </c>
      <c r="F76" s="211"/>
    </row>
    <row r="77" spans="1:21">
      <c r="A77" s="93">
        <f>A9</f>
        <v>44871</v>
      </c>
      <c r="B77" s="39">
        <f>'FS Seychelles'!B8</f>
        <v>68.8</v>
      </c>
      <c r="D77" s="86">
        <f>D10+H10+L10+P10+T10</f>
        <v>33407</v>
      </c>
      <c r="E77" s="211">
        <f t="shared" si="11"/>
        <v>3.3407</v>
      </c>
      <c r="F77" s="211"/>
    </row>
    <row r="78" spans="1:21">
      <c r="A78" s="93">
        <f>A10</f>
        <v>44872</v>
      </c>
      <c r="B78" s="39">
        <f>'FS Seychelles'!B9</f>
        <v>74</v>
      </c>
      <c r="D78" s="86">
        <f>D11+H11+L11+P11+T11</f>
        <v>36348</v>
      </c>
      <c r="E78" s="211">
        <f t="shared" si="11"/>
        <v>3.6347999999999998</v>
      </c>
      <c r="F78" s="211"/>
    </row>
    <row r="79" spans="1:21">
      <c r="A79" s="93">
        <f>A11</f>
        <v>44873</v>
      </c>
      <c r="B79" s="39">
        <f>'FS Seychelles'!B10</f>
        <v>68.8</v>
      </c>
      <c r="D79" s="86">
        <f>D12+H12+L12+P12+T12</f>
        <v>34016</v>
      </c>
      <c r="E79" s="211">
        <f t="shared" si="11"/>
        <v>3.4016000000000002</v>
      </c>
      <c r="F79" s="211"/>
    </row>
    <row r="80" spans="1:21">
      <c r="A80" s="93">
        <f>A12</f>
        <v>44874</v>
      </c>
      <c r="B80" s="39">
        <f>'FS Seychelles'!B11</f>
        <v>68.8</v>
      </c>
      <c r="D80" s="86">
        <f>D13+H13+L13+P13+T13</f>
        <v>33362</v>
      </c>
      <c r="E80" s="211">
        <f t="shared" si="11"/>
        <v>3.3361999999999998</v>
      </c>
      <c r="F80" s="211"/>
    </row>
    <row r="81" spans="1:6">
      <c r="A81" s="93">
        <f>A13</f>
        <v>44875</v>
      </c>
      <c r="B81" s="39">
        <f>'FS Seychelles'!B12</f>
        <v>68.8</v>
      </c>
      <c r="D81" s="86">
        <f>D14+H14+L14+P14+T14</f>
        <v>36982</v>
      </c>
      <c r="E81" s="211">
        <f t="shared" si="11"/>
        <v>3.6981999999999999</v>
      </c>
      <c r="F81" s="211"/>
    </row>
    <row r="82" spans="1:6">
      <c r="A82" s="93">
        <f>A14</f>
        <v>44876</v>
      </c>
      <c r="B82" s="39">
        <f>'FS Seychelles'!B13</f>
        <v>71.400000000000006</v>
      </c>
      <c r="D82" s="86">
        <f>D15+H15+L15+P15+T15</f>
        <v>34399</v>
      </c>
      <c r="E82" s="211">
        <f t="shared" si="11"/>
        <v>3.4399000000000002</v>
      </c>
      <c r="F82" s="211"/>
    </row>
    <row r="83" spans="1:6">
      <c r="A83" s="93">
        <f>A15</f>
        <v>44877</v>
      </c>
      <c r="B83" s="39">
        <f>'FS Seychelles'!B14</f>
        <v>55.8</v>
      </c>
      <c r="D83" s="86">
        <f>D16+H16+L16+P16+T16</f>
        <v>33240</v>
      </c>
      <c r="E83" s="211">
        <f t="shared" si="11"/>
        <v>3.3239999999999998</v>
      </c>
      <c r="F83" s="211"/>
    </row>
    <row r="84" spans="1:6">
      <c r="A84" s="93">
        <f>A16</f>
        <v>44878</v>
      </c>
      <c r="B84" s="39">
        <f>'FS Seychelles'!B15</f>
        <v>63.6</v>
      </c>
      <c r="D84" s="86">
        <f>D17+H17+L17+P17+T17</f>
        <v>33805</v>
      </c>
      <c r="E84" s="211">
        <f t="shared" si="11"/>
        <v>3.3805000000000001</v>
      </c>
      <c r="F84" s="211"/>
    </row>
    <row r="85" spans="1:6">
      <c r="A85" s="93">
        <f>A17</f>
        <v>44879</v>
      </c>
      <c r="B85" s="39">
        <f>'FS Seychelles'!B16</f>
        <v>49.4</v>
      </c>
      <c r="D85" s="86">
        <f>D18+H18+L18+P18+T18</f>
        <v>34477</v>
      </c>
      <c r="E85" s="211">
        <f t="shared" si="11"/>
        <v>3.4477000000000002</v>
      </c>
      <c r="F85" s="211"/>
    </row>
    <row r="86" spans="1:6">
      <c r="A86" s="93">
        <f>A18</f>
        <v>44880</v>
      </c>
      <c r="B86" s="39">
        <f>'FS Seychelles'!B17</f>
        <v>51.9</v>
      </c>
      <c r="D86" s="86">
        <f>D19+H19+L19+P19+T19</f>
        <v>35317</v>
      </c>
      <c r="E86" s="211">
        <f t="shared" si="11"/>
        <v>3.5316999999999998</v>
      </c>
      <c r="F86" s="211"/>
    </row>
    <row r="87" spans="1:6">
      <c r="A87" s="93">
        <f>A19</f>
        <v>44881</v>
      </c>
      <c r="B87" s="39">
        <f>'FS Seychelles'!B18</f>
        <v>54.5</v>
      </c>
      <c r="D87" s="86">
        <f>D20+H20+L20+P20+T20</f>
        <v>35307</v>
      </c>
      <c r="E87" s="211">
        <f t="shared" si="11"/>
        <v>3.5306999999999999</v>
      </c>
      <c r="F87" s="211"/>
    </row>
    <row r="88" spans="1:6">
      <c r="A88" s="93">
        <f>A20</f>
        <v>44882</v>
      </c>
      <c r="B88" s="39">
        <f>'FS Seychelles'!B19</f>
        <v>66.2</v>
      </c>
      <c r="D88" s="86">
        <f>D21+H21+L21+P21+T21</f>
        <v>36452</v>
      </c>
      <c r="E88" s="211">
        <f t="shared" si="11"/>
        <v>3.6452</v>
      </c>
      <c r="F88" s="211"/>
    </row>
    <row r="89" spans="1:6">
      <c r="A89" s="93">
        <f>A21</f>
        <v>44883</v>
      </c>
      <c r="B89" s="39">
        <f>'FS Seychelles'!B20</f>
        <v>57.1</v>
      </c>
      <c r="D89" s="86">
        <f>D22+H22+L22+P22+T22</f>
        <v>35767</v>
      </c>
      <c r="E89" s="211">
        <f t="shared" si="11"/>
        <v>3.5767000000000002</v>
      </c>
      <c r="F89" s="211"/>
    </row>
    <row r="90" spans="1:6">
      <c r="A90" s="93">
        <f>A22</f>
        <v>44884</v>
      </c>
      <c r="B90" s="39">
        <f>'FS Seychelles'!B21</f>
        <v>61</v>
      </c>
      <c r="D90" s="86">
        <f>D23+H23+L23+P23+T23</f>
        <v>33984</v>
      </c>
      <c r="E90" s="211">
        <f t="shared" si="11"/>
        <v>3.3984000000000001</v>
      </c>
      <c r="F90" s="211"/>
    </row>
    <row r="91" spans="1:6">
      <c r="A91" s="93">
        <f>A23</f>
        <v>44885</v>
      </c>
      <c r="B91" s="39">
        <f>'FS Seychelles'!B22</f>
        <v>63.6</v>
      </c>
      <c r="D91" s="86">
        <f>D24+H24+L24+P24+T24</f>
        <v>28475</v>
      </c>
      <c r="E91" s="211">
        <f t="shared" si="11"/>
        <v>2.8475000000000001</v>
      </c>
      <c r="F91" s="211"/>
    </row>
    <row r="92" spans="1:6">
      <c r="A92" s="93">
        <f>A24</f>
        <v>44886</v>
      </c>
      <c r="B92" s="39">
        <f>'FS Seychelles'!B23</f>
        <v>62.3</v>
      </c>
      <c r="D92" s="86">
        <f>D25+H25+L25+P25+T25</f>
        <v>36601</v>
      </c>
      <c r="E92" s="211">
        <f t="shared" si="11"/>
        <v>3.6600999999999999</v>
      </c>
      <c r="F92" s="211"/>
    </row>
    <row r="93" spans="1:6">
      <c r="A93" s="93">
        <f>A25</f>
        <v>44887</v>
      </c>
      <c r="B93" s="39">
        <f>'FS Seychelles'!B24</f>
        <v>63.6</v>
      </c>
      <c r="D93" s="86">
        <f>D26+H26+L26+P26+T26</f>
        <v>33839</v>
      </c>
      <c r="E93" s="211">
        <f t="shared" si="11"/>
        <v>3.3839000000000001</v>
      </c>
      <c r="F93" s="211"/>
    </row>
    <row r="94" spans="1:6">
      <c r="A94" s="93">
        <f>A26</f>
        <v>44888</v>
      </c>
      <c r="B94" s="39">
        <f>'FS Seychelles'!B25</f>
        <v>64.900000000000006</v>
      </c>
      <c r="D94" s="86">
        <f>D27+H27+L27+P27+T27</f>
        <v>34213</v>
      </c>
      <c r="E94" s="211">
        <f t="shared" si="11"/>
        <v>3.4213</v>
      </c>
      <c r="F94" s="211"/>
    </row>
    <row r="95" spans="1:6">
      <c r="A95" s="93">
        <f>A27</f>
        <v>44889</v>
      </c>
      <c r="B95" s="39">
        <f>'FS Seychelles'!B26</f>
        <v>74</v>
      </c>
      <c r="D95" s="86">
        <f>D28+H28+L28+P28+T28</f>
        <v>33486</v>
      </c>
      <c r="E95" s="211">
        <f t="shared" si="11"/>
        <v>3.3485999999999998</v>
      </c>
      <c r="F95" s="211"/>
    </row>
    <row r="96" spans="1:6">
      <c r="A96" s="93">
        <f>A28</f>
        <v>44890</v>
      </c>
      <c r="B96" s="39">
        <f>'FS Seychelles'!B27</f>
        <v>62.3</v>
      </c>
      <c r="D96" s="86">
        <f>D29+H29+L29+P29+T29</f>
        <v>21864</v>
      </c>
      <c r="E96" s="211">
        <f t="shared" si="11"/>
        <v>2.1863999999999999</v>
      </c>
      <c r="F96" s="211"/>
    </row>
    <row r="97" spans="1:6">
      <c r="A97" s="93">
        <f>A29</f>
        <v>44891</v>
      </c>
      <c r="B97" s="39">
        <f>'FS Seychelles'!B28</f>
        <v>53.2</v>
      </c>
      <c r="D97" s="86">
        <f>D30+H30+L30+P30+T30</f>
        <v>36006</v>
      </c>
      <c r="E97" s="211">
        <f t="shared" si="11"/>
        <v>3.6006</v>
      </c>
      <c r="F97" s="211"/>
    </row>
    <row r="98" spans="1:6">
      <c r="A98" s="93">
        <f>A30</f>
        <v>44892</v>
      </c>
      <c r="B98" s="39">
        <f>'FS Seychelles'!B29</f>
        <v>64.900000000000006</v>
      </c>
      <c r="D98" s="86">
        <f>D31+H31+L31+P31+T31</f>
        <v>37540</v>
      </c>
      <c r="E98" s="211">
        <f t="shared" si="11"/>
        <v>3.754</v>
      </c>
      <c r="F98" s="211"/>
    </row>
    <row r="99" spans="1:6">
      <c r="A99" s="93">
        <f>A31</f>
        <v>44893</v>
      </c>
      <c r="B99" s="39">
        <f>'FS Seychelles'!B30</f>
        <v>58.4</v>
      </c>
      <c r="D99" s="86">
        <f>D32+H32+L32+P32+T32</f>
        <v>37428</v>
      </c>
      <c r="E99" s="211">
        <f t="shared" si="11"/>
        <v>3.7427999999999999</v>
      </c>
      <c r="F99" s="211"/>
    </row>
    <row r="100" spans="1:6">
      <c r="A100" s="93">
        <f>A32</f>
        <v>44894</v>
      </c>
      <c r="B100" s="39">
        <f>'FS Seychelles'!B31</f>
        <v>50.9</v>
      </c>
      <c r="D100" s="86">
        <f>D33+H33+L33+P33+T33</f>
        <v>0</v>
      </c>
      <c r="E100" s="211">
        <f t="shared" si="11"/>
        <v>0</v>
      </c>
      <c r="F100" s="211"/>
    </row>
    <row r="101" spans="1:6">
      <c r="A101" s="93">
        <f>A33</f>
        <v>44895</v>
      </c>
      <c r="B101" s="39">
        <f>'FS Seychelles'!B32</f>
        <v>0</v>
      </c>
      <c r="D101" s="86">
        <f>D34+H34+L34+P34+T34</f>
        <v>0</v>
      </c>
      <c r="E101" s="211">
        <f t="shared" si="11"/>
        <v>0</v>
      </c>
      <c r="F101" s="211"/>
    </row>
    <row r="102" spans="1:6">
      <c r="A102" s="107">
        <f>A34</f>
        <v>0</v>
      </c>
      <c r="B102" s="117" t="e">
        <f>'FS Seychelles'!#REF!</f>
        <v>#REF!</v>
      </c>
      <c r="D102" s="91">
        <f>D34+H34+L34+P34+T34</f>
        <v>0</v>
      </c>
      <c r="E102" s="212">
        <f t="shared" si="11"/>
        <v>0</v>
      </c>
      <c r="F102" s="212"/>
    </row>
    <row r="103" spans="1:6">
      <c r="A103" s="93"/>
      <c r="B103" s="39" t="e">
        <f>SUM(B72:B102)</f>
        <v>#REF!</v>
      </c>
      <c r="D103" s="124">
        <f t="shared" ref="D103:E103" si="12">SUM(D72:D102)</f>
        <v>962494</v>
      </c>
      <c r="E103" s="203">
        <f t="shared" si="12"/>
        <v>96.249400000000009</v>
      </c>
      <c r="F103" s="203"/>
    </row>
    <row r="104" spans="1:6">
      <c r="A104" s="87"/>
    </row>
    <row r="105" spans="1:6"/>
  </sheetData>
  <mergeCells count="44">
    <mergeCell ref="AB2:AC2"/>
    <mergeCell ref="E103:F103"/>
    <mergeCell ref="B2:E2"/>
    <mergeCell ref="R37:U37"/>
    <mergeCell ref="R2:U2"/>
    <mergeCell ref="N2:Q2"/>
    <mergeCell ref="J2:M2"/>
    <mergeCell ref="F2:I2"/>
    <mergeCell ref="B37:E37"/>
    <mergeCell ref="F37:I37"/>
    <mergeCell ref="J37:M37"/>
    <mergeCell ref="N37:Q37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101:F101"/>
    <mergeCell ref="E102:F102"/>
    <mergeCell ref="E96:F96"/>
    <mergeCell ref="E97:F97"/>
    <mergeCell ref="E98:F98"/>
    <mergeCell ref="E99:F99"/>
    <mergeCell ref="E100:F100"/>
  </mergeCells>
  <conditionalFormatting sqref="D39:D69 H39:H69 L39:L69 P39:P69 T39:T69">
    <cfRule type="cellIs" dxfId="1" priority="2" operator="greaterThan">
      <formula>5</formula>
    </cfRule>
  </conditionalFormatting>
  <conditionalFormatting sqref="D39:D69 H39:H69 L39:L69 P39:P69 T39:T69">
    <cfRule type="cellIs" dxfId="0" priority="1" operator="lessThan">
      <formula>5</formula>
    </cfRule>
  </conditionalFormatting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2018-B3B3-40A3-9213-FF586C33F159}">
  <dimension ref="A1:K33"/>
  <sheetViews>
    <sheetView tabSelected="1" workbookViewId="0">
      <pane ySplit="1" topLeftCell="A17" activePane="bottomLeft" state="frozen"/>
      <selection pane="bottomLeft" activeCell="G34" sqref="G34"/>
    </sheetView>
  </sheetViews>
  <sheetFormatPr defaultRowHeight="15"/>
  <cols>
    <col min="8" max="8" width="10.5703125" customWidth="1"/>
  </cols>
  <sheetData>
    <row r="1" spans="1:11">
      <c r="A1" s="130" t="s">
        <v>106</v>
      </c>
      <c r="B1" s="130" t="s">
        <v>107</v>
      </c>
      <c r="C1" s="130" t="s">
        <v>108</v>
      </c>
      <c r="D1" s="130" t="s">
        <v>109</v>
      </c>
      <c r="E1" s="130" t="s">
        <v>110</v>
      </c>
      <c r="F1" s="130" t="s">
        <v>111</v>
      </c>
      <c r="G1" s="130" t="s">
        <v>112</v>
      </c>
      <c r="H1" s="130" t="s">
        <v>113</v>
      </c>
      <c r="I1" s="130" t="s">
        <v>114</v>
      </c>
      <c r="J1" s="130" t="s">
        <v>69</v>
      </c>
      <c r="K1" s="130" t="s">
        <v>115</v>
      </c>
    </row>
    <row r="2" spans="1:11">
      <c r="A2" s="130">
        <v>1</v>
      </c>
      <c r="B2" s="167">
        <v>2.88</v>
      </c>
      <c r="C2" s="168">
        <v>4.54</v>
      </c>
      <c r="D2" s="168">
        <v>5.44</v>
      </c>
      <c r="E2" s="168">
        <v>1.48</v>
      </c>
      <c r="F2" s="168">
        <v>3.3</v>
      </c>
      <c r="G2" s="168">
        <v>2.68</v>
      </c>
      <c r="H2" s="168">
        <v>1.45</v>
      </c>
      <c r="I2" s="168">
        <v>1.45</v>
      </c>
      <c r="J2" s="168">
        <v>3.96</v>
      </c>
      <c r="K2" s="168">
        <v>0</v>
      </c>
    </row>
    <row r="3" spans="1:11">
      <c r="A3" s="130">
        <v>2</v>
      </c>
      <c r="B3" s="169">
        <v>2.63</v>
      </c>
      <c r="C3" s="157">
        <v>4.24</v>
      </c>
      <c r="D3" s="157">
        <v>5.43</v>
      </c>
      <c r="E3" s="157">
        <v>1.62</v>
      </c>
      <c r="F3" s="157">
        <v>3.25</v>
      </c>
      <c r="G3" s="157">
        <v>2.66</v>
      </c>
      <c r="H3" s="157">
        <v>1.43</v>
      </c>
      <c r="I3" s="157">
        <v>1.43</v>
      </c>
      <c r="J3" s="157">
        <v>3.88</v>
      </c>
      <c r="K3" s="157">
        <v>0</v>
      </c>
    </row>
    <row r="4" spans="1:11">
      <c r="A4" s="130">
        <v>3</v>
      </c>
      <c r="B4" s="169">
        <v>2.9</v>
      </c>
      <c r="C4" s="157">
        <v>4.3099999999999996</v>
      </c>
      <c r="D4" s="157">
        <v>5.42</v>
      </c>
      <c r="E4" s="157">
        <v>1.72</v>
      </c>
      <c r="F4" s="157">
        <v>3.27</v>
      </c>
      <c r="G4" s="157">
        <v>2.8</v>
      </c>
      <c r="H4" s="157">
        <v>1.41</v>
      </c>
      <c r="I4" s="157">
        <v>1.41</v>
      </c>
      <c r="J4" s="157">
        <v>3.98</v>
      </c>
      <c r="K4" s="157">
        <v>0</v>
      </c>
    </row>
    <row r="5" spans="1:11">
      <c r="A5" s="130">
        <v>4</v>
      </c>
      <c r="B5" s="169">
        <v>2.87</v>
      </c>
      <c r="C5" s="157">
        <v>4.51</v>
      </c>
      <c r="D5" s="157">
        <v>5.54</v>
      </c>
      <c r="E5" s="157">
        <v>1.93</v>
      </c>
      <c r="F5" s="157">
        <v>3.5</v>
      </c>
      <c r="G5" s="157">
        <v>2.7</v>
      </c>
      <c r="H5" s="157">
        <v>1.44</v>
      </c>
      <c r="I5" s="157">
        <v>1.44</v>
      </c>
      <c r="J5" s="157">
        <v>4.0199999999999996</v>
      </c>
      <c r="K5" s="157">
        <v>0</v>
      </c>
    </row>
    <row r="6" spans="1:11">
      <c r="A6" s="130">
        <v>5</v>
      </c>
      <c r="B6" s="169">
        <v>2.79</v>
      </c>
      <c r="C6" s="157">
        <v>4.4000000000000004</v>
      </c>
      <c r="D6" s="157">
        <v>5.66</v>
      </c>
      <c r="E6" s="157">
        <v>1.75</v>
      </c>
      <c r="F6" s="157">
        <v>3.42</v>
      </c>
      <c r="G6" s="157">
        <v>2.38</v>
      </c>
      <c r="H6" s="157">
        <v>1.43</v>
      </c>
      <c r="I6" s="157">
        <v>1.43</v>
      </c>
      <c r="J6" s="157">
        <v>3.87</v>
      </c>
      <c r="K6" s="157">
        <v>0</v>
      </c>
    </row>
    <row r="7" spans="1:11">
      <c r="A7" s="130">
        <v>6</v>
      </c>
      <c r="B7" s="169">
        <v>2.54</v>
      </c>
      <c r="C7" s="157">
        <v>3.91</v>
      </c>
      <c r="D7" s="157">
        <v>5.49</v>
      </c>
      <c r="E7" s="157">
        <v>1.55</v>
      </c>
      <c r="F7" s="157">
        <v>3.1</v>
      </c>
      <c r="G7" s="157">
        <v>2.11</v>
      </c>
      <c r="H7" s="157">
        <v>1.33</v>
      </c>
      <c r="I7" s="157">
        <v>1.33</v>
      </c>
      <c r="J7" s="157">
        <v>3.59</v>
      </c>
      <c r="K7" s="157">
        <v>0</v>
      </c>
    </row>
    <row r="8" spans="1:11">
      <c r="A8" s="130">
        <v>7</v>
      </c>
      <c r="B8" s="169">
        <v>2.64</v>
      </c>
      <c r="C8" s="157">
        <v>4.22</v>
      </c>
      <c r="D8" s="157">
        <v>5.64</v>
      </c>
      <c r="E8" s="157">
        <v>1.58</v>
      </c>
      <c r="F8" s="157">
        <v>2.87</v>
      </c>
      <c r="G8" s="157">
        <v>2.0099999999999998</v>
      </c>
      <c r="H8" s="157">
        <v>1.44</v>
      </c>
      <c r="I8" s="157">
        <v>1.44</v>
      </c>
      <c r="J8" s="157">
        <v>3.92</v>
      </c>
      <c r="K8" s="157">
        <v>0</v>
      </c>
    </row>
    <row r="9" spans="1:11">
      <c r="A9" s="130">
        <v>8</v>
      </c>
      <c r="B9" s="169">
        <v>2.88</v>
      </c>
      <c r="C9" s="157">
        <v>4.47</v>
      </c>
      <c r="D9" s="157">
        <v>5.58</v>
      </c>
      <c r="E9" s="157">
        <v>2.23</v>
      </c>
      <c r="F9" s="157">
        <v>2.74</v>
      </c>
      <c r="G9" s="157">
        <v>2.06</v>
      </c>
      <c r="H9" s="157">
        <v>1.38</v>
      </c>
      <c r="I9" s="157">
        <v>1.38</v>
      </c>
      <c r="J9" s="157">
        <v>3.96</v>
      </c>
      <c r="K9" s="157">
        <v>0</v>
      </c>
    </row>
    <row r="10" spans="1:11">
      <c r="A10" s="130">
        <v>9</v>
      </c>
      <c r="B10" s="169">
        <v>2.97</v>
      </c>
      <c r="C10" s="157">
        <v>4.42</v>
      </c>
      <c r="D10" s="157">
        <v>5.61</v>
      </c>
      <c r="E10" s="157">
        <v>2.08</v>
      </c>
      <c r="F10" s="157">
        <v>2.29</v>
      </c>
      <c r="G10" s="157">
        <v>2.2599999999999998</v>
      </c>
      <c r="H10" s="157">
        <v>1.38</v>
      </c>
      <c r="I10" s="157">
        <v>1.38</v>
      </c>
      <c r="J10" s="157">
        <v>3.92</v>
      </c>
      <c r="K10" s="157">
        <v>0</v>
      </c>
    </row>
    <row r="11" spans="1:11">
      <c r="A11" s="130">
        <v>10</v>
      </c>
      <c r="B11" s="169">
        <v>3.03</v>
      </c>
      <c r="C11" s="157">
        <v>4.42</v>
      </c>
      <c r="D11" s="157">
        <v>5.74</v>
      </c>
      <c r="E11" s="157">
        <v>1.7</v>
      </c>
      <c r="F11" s="157">
        <v>2.4500000000000002</v>
      </c>
      <c r="G11" s="157">
        <v>2.39</v>
      </c>
      <c r="H11" s="157">
        <v>1.4</v>
      </c>
      <c r="I11" s="157">
        <v>1.4</v>
      </c>
      <c r="J11" s="157">
        <v>3.9</v>
      </c>
      <c r="K11" s="157">
        <v>0</v>
      </c>
    </row>
    <row r="12" spans="1:11">
      <c r="A12" s="130">
        <v>11</v>
      </c>
      <c r="B12" s="169">
        <v>3.06</v>
      </c>
      <c r="C12" s="157">
        <v>4.5199999999999996</v>
      </c>
      <c r="D12" s="157">
        <v>5.65</v>
      </c>
      <c r="E12" s="157">
        <v>1.67</v>
      </c>
      <c r="F12" s="157">
        <v>2.4</v>
      </c>
      <c r="G12" s="157">
        <v>2.48</v>
      </c>
      <c r="H12" s="157">
        <v>1.44</v>
      </c>
      <c r="I12" s="157">
        <v>1.44</v>
      </c>
      <c r="J12" s="157">
        <v>3.97</v>
      </c>
      <c r="K12" s="157">
        <v>0</v>
      </c>
    </row>
    <row r="13" spans="1:11">
      <c r="A13" s="130">
        <v>12</v>
      </c>
      <c r="B13" s="169">
        <v>3.11</v>
      </c>
      <c r="C13" s="157">
        <v>4.4400000000000004</v>
      </c>
      <c r="D13" s="157">
        <v>5.96</v>
      </c>
      <c r="E13" s="157">
        <v>1.42</v>
      </c>
      <c r="F13" s="157">
        <v>2.5299999999999998</v>
      </c>
      <c r="G13" s="157">
        <v>2.39</v>
      </c>
      <c r="H13" s="157">
        <v>1.4</v>
      </c>
      <c r="I13" s="157">
        <v>1.4</v>
      </c>
      <c r="J13" s="157">
        <v>3.85</v>
      </c>
      <c r="K13" s="157">
        <v>0</v>
      </c>
    </row>
    <row r="14" spans="1:11">
      <c r="A14" s="130">
        <v>13</v>
      </c>
      <c r="B14" s="169">
        <v>3.16</v>
      </c>
      <c r="C14" s="157">
        <v>4.33</v>
      </c>
      <c r="D14" s="157">
        <v>5.54</v>
      </c>
      <c r="E14" s="157">
        <v>1.1599999999999999</v>
      </c>
      <c r="F14" s="157">
        <v>2.34</v>
      </c>
      <c r="G14" s="157">
        <v>2.2799999999999998</v>
      </c>
      <c r="H14" s="157">
        <v>1.37</v>
      </c>
      <c r="I14" s="157">
        <v>1.37</v>
      </c>
      <c r="J14" s="157">
        <v>3.76</v>
      </c>
      <c r="K14" s="157">
        <v>0</v>
      </c>
    </row>
    <row r="15" spans="1:11">
      <c r="A15" s="130">
        <v>14</v>
      </c>
      <c r="B15" s="169">
        <v>3.2</v>
      </c>
      <c r="C15" s="157">
        <v>4.2300000000000004</v>
      </c>
      <c r="D15" s="157">
        <v>5.41</v>
      </c>
      <c r="E15" s="157">
        <v>1.28</v>
      </c>
      <c r="F15" s="157">
        <v>2.41</v>
      </c>
      <c r="G15" s="157">
        <v>2.27</v>
      </c>
      <c r="H15" s="157">
        <v>1.38</v>
      </c>
      <c r="I15" s="157">
        <v>1.38</v>
      </c>
      <c r="J15" s="157">
        <v>3.98</v>
      </c>
      <c r="K15" s="157">
        <v>0</v>
      </c>
    </row>
    <row r="16" spans="1:11">
      <c r="A16" s="130">
        <v>15</v>
      </c>
      <c r="B16" s="169">
        <v>3.46</v>
      </c>
      <c r="C16" s="157">
        <v>4.3899999999999997</v>
      </c>
      <c r="D16" s="157">
        <v>5.68</v>
      </c>
      <c r="E16" s="157">
        <v>1.28</v>
      </c>
      <c r="F16" s="157">
        <v>2.4300000000000002</v>
      </c>
      <c r="G16" s="157">
        <v>2.38</v>
      </c>
      <c r="H16" s="157">
        <v>1.38</v>
      </c>
      <c r="I16" s="157">
        <v>1.38</v>
      </c>
      <c r="J16" s="157">
        <v>3.99</v>
      </c>
      <c r="K16" s="157">
        <v>0</v>
      </c>
    </row>
    <row r="17" spans="1:11">
      <c r="A17" s="130">
        <v>16</v>
      </c>
      <c r="B17" s="169">
        <v>3.28</v>
      </c>
      <c r="C17" s="157">
        <v>4.4000000000000004</v>
      </c>
      <c r="D17" s="157">
        <v>5.7</v>
      </c>
      <c r="E17" s="157">
        <v>1.29</v>
      </c>
      <c r="F17" s="157">
        <v>2.52</v>
      </c>
      <c r="G17" s="157">
        <v>2.41</v>
      </c>
      <c r="H17" s="157">
        <v>1.4</v>
      </c>
      <c r="I17" s="157">
        <v>1.4</v>
      </c>
      <c r="J17" s="157">
        <v>3.94</v>
      </c>
      <c r="K17" s="157">
        <v>0</v>
      </c>
    </row>
    <row r="18" spans="1:11">
      <c r="A18" s="130">
        <v>17</v>
      </c>
      <c r="B18" s="169">
        <v>3.23</v>
      </c>
      <c r="C18" s="157">
        <v>4.5999999999999996</v>
      </c>
      <c r="D18" s="157">
        <v>5.87</v>
      </c>
      <c r="E18" s="157">
        <v>1.27</v>
      </c>
      <c r="F18" s="157">
        <v>2.58</v>
      </c>
      <c r="G18" s="157">
        <v>3.33</v>
      </c>
      <c r="H18" s="157">
        <v>1.45</v>
      </c>
      <c r="I18" s="157">
        <v>1.45</v>
      </c>
      <c r="J18" s="157">
        <v>4.01</v>
      </c>
      <c r="K18" s="157">
        <v>0</v>
      </c>
    </row>
    <row r="19" spans="1:11">
      <c r="A19" s="130">
        <v>18</v>
      </c>
      <c r="B19" s="169">
        <v>3.32</v>
      </c>
      <c r="C19" s="157">
        <v>4.84</v>
      </c>
      <c r="D19" s="157">
        <v>6.03</v>
      </c>
      <c r="E19" s="157">
        <v>1.2</v>
      </c>
      <c r="F19" s="157">
        <v>2.46</v>
      </c>
      <c r="G19" s="157">
        <v>3</v>
      </c>
      <c r="H19" s="157">
        <v>1.46</v>
      </c>
      <c r="I19" s="157">
        <v>1.46</v>
      </c>
      <c r="J19" s="157">
        <v>4.05</v>
      </c>
      <c r="K19" s="157">
        <v>0</v>
      </c>
    </row>
    <row r="20" spans="1:11">
      <c r="A20" s="130">
        <v>19</v>
      </c>
      <c r="B20" s="169">
        <v>3.1</v>
      </c>
      <c r="C20" s="157">
        <v>4.55</v>
      </c>
      <c r="D20" s="157">
        <v>5.96</v>
      </c>
      <c r="E20" s="157">
        <v>1.22</v>
      </c>
      <c r="F20" s="157">
        <v>2.3199999999999998</v>
      </c>
      <c r="G20" s="157">
        <v>2.46</v>
      </c>
      <c r="H20" s="157">
        <v>1.45</v>
      </c>
      <c r="I20" s="157">
        <v>1.45</v>
      </c>
      <c r="J20" s="157">
        <v>3.88</v>
      </c>
      <c r="K20" s="157">
        <v>0</v>
      </c>
    </row>
    <row r="21" spans="1:11">
      <c r="A21" s="130">
        <v>20</v>
      </c>
      <c r="B21" s="160">
        <v>2.78</v>
      </c>
      <c r="C21" s="159">
        <v>4.3899999999999997</v>
      </c>
      <c r="D21" s="157">
        <v>5.66</v>
      </c>
      <c r="E21" s="157">
        <v>1.1599999999999999</v>
      </c>
      <c r="F21" s="157">
        <v>2.25</v>
      </c>
      <c r="G21" s="157">
        <v>2.4</v>
      </c>
      <c r="H21" s="157">
        <v>1.42</v>
      </c>
      <c r="I21" s="157">
        <v>1.63</v>
      </c>
      <c r="J21" s="157">
        <v>3.79</v>
      </c>
      <c r="K21" s="157">
        <v>0</v>
      </c>
    </row>
    <row r="22" spans="1:11">
      <c r="A22" s="130">
        <v>21</v>
      </c>
      <c r="B22" s="160">
        <v>2.39</v>
      </c>
      <c r="C22" s="159">
        <v>3.9</v>
      </c>
      <c r="D22" s="157">
        <v>5.37</v>
      </c>
      <c r="E22" s="157">
        <v>1.03</v>
      </c>
      <c r="F22" s="157">
        <v>2.09</v>
      </c>
      <c r="G22" s="157">
        <v>2.2999999999999998</v>
      </c>
      <c r="H22" s="157">
        <v>1.42</v>
      </c>
      <c r="I22" s="157">
        <v>1.7</v>
      </c>
      <c r="J22" s="157">
        <v>3.89</v>
      </c>
      <c r="K22" s="157">
        <v>0</v>
      </c>
    </row>
    <row r="23" spans="1:11">
      <c r="A23" s="130">
        <v>22</v>
      </c>
      <c r="B23" s="160">
        <v>2.56</v>
      </c>
      <c r="C23" s="159">
        <v>4.28</v>
      </c>
      <c r="D23" s="157">
        <v>5.21</v>
      </c>
      <c r="E23" s="157">
        <v>1.0900000000000001</v>
      </c>
      <c r="F23" s="157">
        <v>2.1800000000000002</v>
      </c>
      <c r="G23" s="157">
        <v>2.89</v>
      </c>
      <c r="H23" s="157">
        <v>1.44</v>
      </c>
      <c r="I23" s="157">
        <v>1.66</v>
      </c>
      <c r="J23" s="157">
        <v>3.76</v>
      </c>
      <c r="K23" s="157">
        <v>0</v>
      </c>
    </row>
    <row r="24" spans="1:11">
      <c r="A24" s="130">
        <v>23</v>
      </c>
      <c r="B24" s="160">
        <v>3.07</v>
      </c>
      <c r="C24" s="159">
        <v>4.57</v>
      </c>
      <c r="D24" s="157">
        <v>5.55</v>
      </c>
      <c r="E24" s="157">
        <v>1.19</v>
      </c>
      <c r="F24" s="157">
        <v>2.4900000000000002</v>
      </c>
      <c r="G24" s="157">
        <v>2.99</v>
      </c>
      <c r="H24" s="157">
        <v>1.38</v>
      </c>
      <c r="I24" s="157">
        <v>1.67</v>
      </c>
      <c r="J24" s="157">
        <v>3.89</v>
      </c>
      <c r="K24" s="157">
        <v>0</v>
      </c>
    </row>
    <row r="25" spans="1:11">
      <c r="A25" s="130">
        <v>24</v>
      </c>
      <c r="B25" s="160">
        <v>3.1</v>
      </c>
      <c r="C25" s="159">
        <v>4.32</v>
      </c>
      <c r="D25" s="157">
        <v>5.69</v>
      </c>
      <c r="E25" s="157">
        <v>1.25</v>
      </c>
      <c r="F25" s="157">
        <v>2.5</v>
      </c>
      <c r="G25" s="157">
        <v>2.5499999999999998</v>
      </c>
      <c r="H25" s="157">
        <v>1.42</v>
      </c>
      <c r="I25" s="157">
        <v>1.64</v>
      </c>
      <c r="J25" s="157">
        <v>3.86</v>
      </c>
      <c r="K25" s="157">
        <v>0</v>
      </c>
    </row>
    <row r="26" spans="1:11">
      <c r="A26" s="130">
        <v>25</v>
      </c>
      <c r="B26" s="160">
        <v>2.81</v>
      </c>
      <c r="C26" s="159">
        <v>4.21</v>
      </c>
      <c r="D26" s="157">
        <v>5.34</v>
      </c>
      <c r="E26" s="157">
        <v>1.4</v>
      </c>
      <c r="F26" s="157">
        <v>2.4900000000000002</v>
      </c>
      <c r="G26" s="157">
        <v>2.21</v>
      </c>
      <c r="H26" s="157">
        <v>1.43</v>
      </c>
      <c r="I26" s="157">
        <v>1.65</v>
      </c>
      <c r="J26" s="157">
        <v>3.95</v>
      </c>
      <c r="K26" s="157">
        <v>0</v>
      </c>
    </row>
    <row r="27" spans="1:11">
      <c r="A27" s="130">
        <v>26</v>
      </c>
      <c r="B27" s="160">
        <v>3.33</v>
      </c>
      <c r="C27" s="159">
        <v>4.53</v>
      </c>
      <c r="D27" s="157">
        <v>5.54</v>
      </c>
      <c r="E27" s="157">
        <v>1.64</v>
      </c>
      <c r="F27" s="157">
        <v>2.56</v>
      </c>
      <c r="G27" s="157">
        <v>2.37</v>
      </c>
      <c r="H27" s="157">
        <v>1.43</v>
      </c>
      <c r="I27" s="157">
        <v>1.75</v>
      </c>
      <c r="J27" s="157">
        <v>3.92</v>
      </c>
      <c r="K27" s="157">
        <v>0</v>
      </c>
    </row>
    <row r="28" spans="1:11">
      <c r="A28" s="130">
        <v>27</v>
      </c>
      <c r="B28" s="160">
        <v>3.42</v>
      </c>
      <c r="C28" s="159">
        <v>4.91</v>
      </c>
      <c r="D28" s="157">
        <v>5.6</v>
      </c>
      <c r="E28" s="157">
        <v>1.7</v>
      </c>
      <c r="F28" s="157">
        <v>2.78</v>
      </c>
      <c r="G28" s="157">
        <v>2.36</v>
      </c>
      <c r="H28" s="157">
        <v>1.44</v>
      </c>
      <c r="I28" s="157">
        <v>1.8</v>
      </c>
      <c r="J28" s="157">
        <v>3.95</v>
      </c>
      <c r="K28" s="157">
        <v>0</v>
      </c>
    </row>
    <row r="29" spans="1:11">
      <c r="A29" s="130">
        <v>28</v>
      </c>
      <c r="B29" s="160">
        <v>3.78</v>
      </c>
      <c r="C29" s="159">
        <v>4.87</v>
      </c>
      <c r="D29" s="157">
        <v>5.8</v>
      </c>
      <c r="E29" s="157">
        <v>1.82</v>
      </c>
      <c r="F29" s="157">
        <v>3.06</v>
      </c>
      <c r="G29" s="157">
        <v>2.4700000000000002</v>
      </c>
      <c r="H29" s="157">
        <v>1.34</v>
      </c>
      <c r="I29" s="157">
        <v>2.04</v>
      </c>
      <c r="J29" s="157">
        <v>4.05</v>
      </c>
      <c r="K29" s="157">
        <v>0</v>
      </c>
    </row>
    <row r="30" spans="1:11">
      <c r="A30" s="130">
        <v>29</v>
      </c>
      <c r="B30" s="160">
        <v>3.46</v>
      </c>
      <c r="C30" s="159">
        <v>4.6100000000000003</v>
      </c>
      <c r="D30" s="157">
        <v>5.77</v>
      </c>
      <c r="E30" s="157">
        <v>1.9</v>
      </c>
      <c r="F30" s="157">
        <v>2.84</v>
      </c>
      <c r="G30" s="157">
        <v>2.5299999999999998</v>
      </c>
      <c r="H30" s="157">
        <v>1.44</v>
      </c>
      <c r="I30" s="157">
        <v>1.9</v>
      </c>
      <c r="J30" s="157">
        <v>3.98</v>
      </c>
      <c r="K30" s="157">
        <v>0</v>
      </c>
    </row>
    <row r="31" spans="1:11">
      <c r="A31" s="130">
        <v>30</v>
      </c>
      <c r="B31" s="160"/>
      <c r="C31" s="159"/>
      <c r="D31" s="157"/>
      <c r="E31" s="157"/>
      <c r="F31" s="157"/>
      <c r="G31" s="157"/>
      <c r="H31" s="157"/>
      <c r="I31" s="157"/>
      <c r="J31" s="157"/>
      <c r="K31" s="157">
        <v>0</v>
      </c>
    </row>
    <row r="32" spans="1:11">
      <c r="A32" s="130"/>
      <c r="B32" s="160"/>
      <c r="C32" s="159"/>
      <c r="D32" s="157"/>
      <c r="E32" s="157"/>
      <c r="F32" s="157"/>
      <c r="G32" s="157"/>
      <c r="H32" s="157"/>
      <c r="I32" s="157"/>
      <c r="J32" s="157"/>
      <c r="K32" s="157">
        <v>0</v>
      </c>
    </row>
    <row r="33" spans="1:11">
      <c r="A33" s="130"/>
      <c r="B33" s="158"/>
      <c r="C33" s="157"/>
      <c r="D33" s="157"/>
      <c r="E33" s="157"/>
      <c r="F33" s="157"/>
      <c r="G33" s="157"/>
      <c r="H33" s="157"/>
      <c r="I33" s="157"/>
      <c r="J33" s="157"/>
      <c r="K33" s="15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7" ma:contentTypeDescription="Create a new document." ma:contentTypeScope="" ma:versionID="af082a0ade317358b2b3d3658a94c6ee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4cf191f387e7d520b1955dc0788db980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4" nillable="true" ma:displayName="Status" ma:format="Dropdown" ma:internalName="Statu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  <Status xmlns="c0bb2215-5bf3-43e0-9dce-b3effc6cb50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B07FFC-E76F-4295-9BE5-01FF20F6BE93}"/>
</file>

<file path=customXml/itemProps2.xml><?xml version="1.0" encoding="utf-8"?>
<ds:datastoreItem xmlns:ds="http://schemas.openxmlformats.org/officeDocument/2006/customXml" ds:itemID="{620F5833-E3D5-4465-B836-0DEADAE27D49}"/>
</file>

<file path=customXml/itemProps3.xml><?xml version="1.0" encoding="utf-8"?>
<ds:datastoreItem xmlns:ds="http://schemas.openxmlformats.org/officeDocument/2006/customXml" ds:itemID="{53C1FFEE-54E3-4891-B98C-21C3BE451C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/>
  <cp:revision/>
  <dcterms:created xsi:type="dcterms:W3CDTF">2019-08-14T08:16:24Z</dcterms:created>
  <dcterms:modified xsi:type="dcterms:W3CDTF">2022-11-30T08:06:42Z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