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4 - 2021" sheetId="1" r:id="rId3"/>
  </sheets>
  <definedNames>
    <definedName name="_xlnm.Print_Area" localSheetId="2">'4 - 2021'!$A$1:$J$35</definedName>
  </definedNames>
  <calcPr calcId="162913"/>
</workbook>
</file>

<file path=xl/calcChain.xml><?xml version="1.0" encoding="utf-8"?>
<calcChain xmlns="http://schemas.openxmlformats.org/spreadsheetml/2006/main">
  <c r="L9" i="3" l="1"/>
  <c r="K9" i="3"/>
  <c r="I9" i="3"/>
  <c r="G9" i="3"/>
  <c r="E9" i="3"/>
  <c r="J9" i="2"/>
  <c r="I9" i="2"/>
  <c r="H9" i="2"/>
  <c r="F9" i="2"/>
  <c r="E9" i="2"/>
  <c r="L8" i="3" l="1"/>
  <c r="K8" i="3"/>
  <c r="I8" i="3"/>
  <c r="G8" i="3"/>
  <c r="E8" i="3"/>
  <c r="J8" i="2" l="1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E11" i="1"/>
  <c r="L4" i="3" l="1"/>
  <c r="K4" i="3"/>
  <c r="I4" i="3"/>
  <c r="G4" i="3"/>
  <c r="E4" i="3"/>
  <c r="J4" i="2"/>
  <c r="I4" i="2"/>
  <c r="H4" i="2"/>
  <c r="F4" i="2"/>
  <c r="E4" i="2"/>
  <c r="E9" i="1" l="1"/>
  <c r="L3" i="3" l="1"/>
  <c r="K3" i="3"/>
  <c r="I3" i="3"/>
  <c r="G3" i="3"/>
  <c r="E3" i="3"/>
  <c r="J3" i="2"/>
  <c r="I3" i="2"/>
  <c r="H3" i="2"/>
  <c r="F3" i="2"/>
  <c r="E3" i="2"/>
  <c r="E8" i="1" l="1"/>
  <c r="J41" i="1"/>
  <c r="J44" i="1" s="1"/>
  <c r="I41" i="1"/>
  <c r="I42" i="1" s="1"/>
  <c r="I45" i="1" s="1"/>
  <c r="H41" i="1"/>
  <c r="G41" i="1"/>
  <c r="F41" i="1"/>
  <c r="C41" i="1"/>
  <c r="B41" i="1"/>
  <c r="C43" i="1" s="1"/>
  <c r="C45" i="1" s="1"/>
  <c r="I39" i="1"/>
  <c r="H39" i="1"/>
  <c r="K38" i="1"/>
  <c r="J38" i="1"/>
  <c r="I38" i="1"/>
  <c r="H38" i="1"/>
  <c r="G38" i="1"/>
  <c r="F38" i="1"/>
  <c r="D38" i="1"/>
  <c r="C38" i="1"/>
  <c r="B38" i="1"/>
  <c r="A10" i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9" i="1"/>
  <c r="A8" i="1"/>
  <c r="E41" i="1" l="1"/>
  <c r="E38" i="1"/>
  <c r="L31" i="3" l="1"/>
  <c r="K31" i="3"/>
  <c r="I31" i="3"/>
  <c r="G31" i="3"/>
  <c r="E31" i="3"/>
  <c r="J31" i="2"/>
  <c r="I31" i="2"/>
  <c r="H31" i="2"/>
  <c r="F31" i="2"/>
  <c r="E31" i="2"/>
  <c r="L30" i="3" l="1"/>
  <c r="K30" i="3"/>
  <c r="I30" i="3"/>
  <c r="E30" i="3"/>
  <c r="J30" i="2"/>
  <c r="I30" i="2"/>
  <c r="F30" i="2"/>
  <c r="E30" i="2"/>
  <c r="L29" i="3" l="1"/>
  <c r="K29" i="3"/>
  <c r="I29" i="3"/>
  <c r="E29" i="3"/>
  <c r="J29" i="2"/>
  <c r="I29" i="2"/>
  <c r="F29" i="2"/>
  <c r="E29" i="2"/>
  <c r="L28" i="3" l="1"/>
  <c r="K28" i="3"/>
  <c r="I28" i="3"/>
  <c r="E28" i="3"/>
  <c r="L27" i="3"/>
  <c r="K27" i="3"/>
  <c r="I27" i="3"/>
  <c r="G27" i="3"/>
  <c r="E27" i="3"/>
  <c r="J28" i="2"/>
  <c r="I28" i="2"/>
  <c r="F28" i="2"/>
  <c r="E28" i="2"/>
  <c r="J27" i="2"/>
  <c r="I27" i="2"/>
  <c r="H27" i="2"/>
  <c r="F27" i="2"/>
  <c r="E27" i="2"/>
  <c r="G28" i="3" l="1"/>
  <c r="H28" i="2"/>
  <c r="L26" i="3"/>
  <c r="K26" i="3"/>
  <c r="I26" i="3"/>
  <c r="G26" i="3"/>
  <c r="E26" i="3"/>
  <c r="J26" i="2"/>
  <c r="I26" i="2"/>
  <c r="H26" i="2"/>
  <c r="F26" i="2"/>
  <c r="E26" i="2"/>
  <c r="G29" i="3" l="1"/>
  <c r="H29" i="2"/>
  <c r="L25" i="3"/>
  <c r="K25" i="3"/>
  <c r="I25" i="3"/>
  <c r="G25" i="3"/>
  <c r="E25" i="3"/>
  <c r="L24" i="3"/>
  <c r="K24" i="3"/>
  <c r="I24" i="3"/>
  <c r="G24" i="3"/>
  <c r="E24" i="3"/>
  <c r="J24" i="2"/>
  <c r="I24" i="2"/>
  <c r="F24" i="2"/>
  <c r="E24" i="2"/>
  <c r="G30" i="3" l="1"/>
  <c r="H30" i="2"/>
  <c r="H24" i="2"/>
  <c r="L23" i="3"/>
  <c r="K23" i="3"/>
  <c r="I23" i="3"/>
  <c r="G23" i="3"/>
  <c r="E23" i="3"/>
  <c r="J23" i="2"/>
  <c r="I23" i="2"/>
  <c r="H23" i="2"/>
  <c r="F23" i="2"/>
  <c r="E23" i="2"/>
  <c r="J22" i="2" l="1"/>
  <c r="I22" i="2"/>
  <c r="H22" i="2"/>
  <c r="F22" i="2"/>
  <c r="E22" i="2"/>
  <c r="L22" i="3"/>
  <c r="K22" i="3"/>
  <c r="I22" i="3"/>
  <c r="G22" i="3"/>
  <c r="E22" i="3"/>
  <c r="L20" i="3" l="1"/>
  <c r="K20" i="3"/>
  <c r="I20" i="3"/>
  <c r="G20" i="3"/>
  <c r="E20" i="3"/>
  <c r="J20" i="2"/>
  <c r="I20" i="2"/>
  <c r="H20" i="2"/>
  <c r="F20" i="2"/>
  <c r="E20" i="2"/>
  <c r="E19" i="3" l="1"/>
  <c r="L19" i="3" l="1"/>
  <c r="K19" i="3"/>
  <c r="I19" i="3"/>
  <c r="G19" i="3"/>
  <c r="J19" i="2"/>
  <c r="I19" i="2"/>
  <c r="H19" i="2"/>
  <c r="F19" i="2"/>
  <c r="E19" i="2"/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E17" i="3"/>
  <c r="J17" i="2"/>
  <c r="I17" i="2"/>
  <c r="F17" i="2"/>
  <c r="E17" i="2"/>
  <c r="H17" i="2" l="1"/>
  <c r="G17" i="3"/>
  <c r="E16" i="3"/>
  <c r="L16" i="3"/>
  <c r="K16" i="3"/>
  <c r="I16" i="3"/>
  <c r="G16" i="3"/>
  <c r="J16" i="2"/>
  <c r="I16" i="2"/>
  <c r="H16" i="2"/>
  <c r="F16" i="2"/>
  <c r="E16" i="2"/>
  <c r="L15" i="3" l="1"/>
  <c r="K15" i="3"/>
  <c r="I15" i="3"/>
  <c r="G15" i="3"/>
  <c r="E15" i="3"/>
  <c r="J15" i="2"/>
  <c r="I15" i="2"/>
  <c r="H15" i="2"/>
  <c r="F15" i="2"/>
  <c r="E15" i="2"/>
  <c r="J14" i="2" l="1"/>
  <c r="I14" i="2"/>
  <c r="H14" i="2"/>
  <c r="F14" i="2"/>
  <c r="E14" i="2"/>
  <c r="L13" i="3" l="1"/>
  <c r="K13" i="3"/>
  <c r="I13" i="3"/>
  <c r="G13" i="3"/>
  <c r="E13" i="3"/>
  <c r="J13" i="2" l="1"/>
  <c r="I13" i="2"/>
  <c r="H13" i="2"/>
  <c r="F13" i="2"/>
  <c r="E13" i="2"/>
  <c r="J12" i="2" l="1"/>
  <c r="I12" i="2"/>
  <c r="H12" i="2"/>
  <c r="F12" i="2"/>
  <c r="E12" i="2"/>
  <c r="L12" i="3"/>
  <c r="K12" i="3"/>
  <c r="I12" i="3"/>
  <c r="G12" i="3"/>
  <c r="E12" i="3"/>
  <c r="L11" i="3" l="1"/>
  <c r="K11" i="3"/>
  <c r="I11" i="3"/>
  <c r="G11" i="3"/>
  <c r="E11" i="3"/>
  <c r="J11" i="2"/>
  <c r="I11" i="2"/>
  <c r="H11" i="2"/>
  <c r="F11" i="2"/>
  <c r="E11" i="2"/>
  <c r="E2" i="2" l="1"/>
  <c r="F2" i="2"/>
  <c r="H2" i="2"/>
  <c r="I2" i="2"/>
  <c r="J2" i="2"/>
  <c r="E2" i="3"/>
  <c r="G2" i="3"/>
  <c r="I2" i="3"/>
  <c r="K2" i="3"/>
  <c r="L2" i="3"/>
  <c r="J25" i="2" l="1"/>
  <c r="I25" i="2"/>
  <c r="F25" i="2"/>
  <c r="E25" i="2"/>
  <c r="J21" i="2" l="1"/>
  <c r="I21" i="2"/>
  <c r="F21" i="2"/>
  <c r="E21" i="2"/>
  <c r="L21" i="3" l="1"/>
  <c r="K21" i="3"/>
  <c r="I21" i="3"/>
  <c r="E21" i="3"/>
  <c r="L14" i="3" l="1"/>
  <c r="K14" i="3"/>
  <c r="I14" i="3"/>
  <c r="G14" i="3"/>
  <c r="E14" i="3"/>
  <c r="H21" i="2" l="1"/>
  <c r="G21" i="3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H25" i="2" l="1"/>
</calcChain>
</file>

<file path=xl/sharedStrings.xml><?xml version="1.0" encoding="utf-8"?>
<sst xmlns="http://schemas.openxmlformats.org/spreadsheetml/2006/main" count="106" uniqueCount="39">
  <si>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</si>
  <si>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</si>
  <si>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</si>
  <si>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</si>
  <si>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</si>
  <si>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</si>
  <si>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</si>
  <si>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</si>
  <si>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</si>
  <si>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</si>
  <si>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</si>
  <si>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</si>
  <si>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</si>
  <si>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</si>
  <si>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</si>
  <si>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</si>
  <si>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</si>
  <si>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</si>
  <si>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</si>
  <si>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</si>
  <si>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</si>
  <si>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</si>
  <si>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</si>
  <si>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</si>
  <si>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</si>
  <si>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</si>
  <si>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</si>
  <si>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</si>
  <si>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</si>
  <si>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</si>
  <si>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</si>
  <si>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</si>
  <si>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</si>
  <si>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</si>
  <si>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</si>
  <si>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</si>
  <si>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</si>
  <si>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APRIL' 2021</t>
  </si>
  <si>
    <t>for IG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</si>
</sst>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77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9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9" fontId="4" fillId="0" borderId="1" xfId="0" applyNumberFormat="1" applyFont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wrapText="1"/>
    </xf>
    <xf numFmtId="1" fontId="8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 applyAlignment="1">
      <alignment wrapText="1"/>
    </xf>
    <xf numFmtId="1" fontId="3" fillId="0" borderId="0" xfId="0" applyNumberFormat="1" applyFont="1"/>
    <xf numFmtId="0" fontId="0" fillId="0" borderId="0" xfId="0" applyBorder="1" applyAlignment="1">
      <alignment horizontal="center"/>
    </xf>
    <xf numFmtId="1" fontId="6" fillId="0" borderId="0" xfId="0" applyNumberFormat="1" applyFont="1" applyBorder="1" applyAlignment="1">
      <alignment horizontal="center" vertical="center"/>
    </xf>
    <xf numFmtId="1" fontId="0" fillId="0" borderId="0" xfId="0" applyNumberFormat="1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0" fontId="0" fillId="0" borderId="0" xfId="0" applyFill="1"/>
    <xf numFmtId="165" fontId="0" fillId="0" borderId="0" xfId="1" applyNumberFormat="1" applyFont="1"/>
    <xf numFmtId="10" fontId="0" fillId="0" borderId="0" xfId="1" applyNumberFormat="1" applyFont="1"/>
    <xf numFmtId="0" fontId="4" fillId="0" borderId="7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1" fontId="4" fillId="0" borderId="5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43" fontId="4" fillId="0" borderId="1" xfId="2" applyFont="1" applyFill="1" applyBorder="1" applyAlignment="1">
      <alignment horizontal="center" vertical="center"/>
    </xf>
    <xf numFmtId="43" fontId="5" fillId="0" borderId="1" xfId="2" applyFont="1" applyFill="1" applyBorder="1" applyAlignment="1">
      <alignment horizontal="center" vertical="center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4" fillId="0" borderId="1" xfId="2" applyFont="1" applyBorder="1" applyAlignment="1">
      <alignment horizontal="center"/>
    </xf>
    <xf numFmtId="43" fontId="6" fillId="0" borderId="1" xfId="2" applyFont="1" applyFill="1" applyBorder="1" applyAlignment="1">
      <alignment horizontal="center" vertical="center"/>
    </xf>
    <xf numFmtId="43" fontId="5" fillId="0" borderId="1" xfId="2" applyFont="1" applyBorder="1" applyAlignment="1" applyProtection="1">
      <alignment horizontal="center"/>
      <protection locked="0"/>
    </xf>
    <xf numFmtId="43" fontId="5" fillId="0" borderId="1" xfId="2" applyFont="1" applyBorder="1" applyAlignment="1" applyProtection="1">
      <alignment horizontal="center" vertical="center"/>
      <protection locked="0"/>
    </xf>
    <xf numFmtId="43" fontId="4" fillId="0" borderId="1" xfId="2" applyFont="1" applyBorder="1" applyAlignment="1">
      <alignment horizontal="center" vertical="center"/>
    </xf>
    <xf numFmtId="43" fontId="4" fillId="2" borderId="1" xfId="2" applyFont="1" applyFill="1" applyBorder="1" applyAlignment="1">
      <alignment horizontal="center" vertical="center"/>
    </xf>
    <xf numFmtId="43" fontId="4" fillId="0" borderId="1" xfId="2" applyFont="1" applyBorder="1" applyAlignment="1">
      <alignment horizontal="center" vertical="top"/>
    </xf>
    <xf numFmtId="43" fontId="4" fillId="0" borderId="0" xfId="2" applyFont="1" applyAlignment="1">
      <alignment horizontal="center"/>
    </xf>
    <xf numFmtId="43" fontId="5" fillId="2" borderId="1" xfId="2" applyFont="1" applyFill="1" applyBorder="1" applyAlignment="1" applyProtection="1">
      <alignment horizontal="center" vertical="center"/>
      <protection locked="0"/>
    </xf>
    <xf numFmtId="43" fontId="5" fillId="0" borderId="11" xfId="2" applyFont="1" applyFill="1" applyBorder="1" applyAlignment="1">
      <alignment horizontal="center" vertical="center"/>
    </xf>
    <xf numFmtId="1" fontId="0" fillId="0" borderId="0" xfId="0" applyNumberFormat="1" applyFill="1"/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7" fillId="3" borderId="15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1"/>
  <sheetViews>
    <sheetView tabSelected="1" workbookViewId="0">
      <selection activeCell="P11" sqref="P11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38"/>
    <col min="251" max="251" width="13.42578125" customWidth="1"/>
    <col min="252" max="253" width="12.5703125" customWidth="1"/>
  </cols>
  <sheetData>
    <row r="1" spans="1:18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42" t="s">
        <v>19</v>
      </c>
      <c r="L1" s="4" t="s">
        <v>19</v>
      </c>
      <c r="M1" s="7" t="s">
        <v>20</v>
      </c>
      <c r="N1" s="39" t="s">
        <v>21</v>
      </c>
      <c r="O1" s="4"/>
    </row>
    <row r="2" spans="1:18" x14ac:dyDescent="0.25">
      <c r="A2" t="s">
        <v>27</v>
      </c>
      <c r="B2">
        <v>1</v>
      </c>
      <c r="C2" s="19">
        <v>4</v>
      </c>
      <c r="D2">
        <v>2021</v>
      </c>
      <c r="E2" s="21">
        <f>'4 - 2021'!B8-'4 - 2021'!B7+'4 - 2021'!C8-'4 - 2021'!C7</f>
        <v>8784</v>
      </c>
      <c r="F2" s="19">
        <v>0.11799999999999999</v>
      </c>
      <c r="G2" s="21">
        <f>(('4 - 2021'!E8-'4 - 2021'!E7)+('4 - 2021'!F8-'4 - 2021'!F7)+('4 - 2021'!G8-'4 - 2021'!G7))*1.81</f>
        <v>132.11190000000124</v>
      </c>
      <c r="H2" s="19">
        <v>0.99</v>
      </c>
      <c r="I2" s="21">
        <f>'4 - 2021'!J8-'4 - 2021'!J7</f>
        <v>22979</v>
      </c>
      <c r="J2" s="19">
        <v>8.1000000000000003E-2</v>
      </c>
      <c r="K2" s="43">
        <f>'4 - 2021'!H8-'4 - 2021'!H7</f>
        <v>0</v>
      </c>
      <c r="L2" s="21">
        <f>'4 - 2021'!I8-'4 - 2021'!I7</f>
        <v>101</v>
      </c>
      <c r="M2" s="20">
        <v>4.393629424766913</v>
      </c>
      <c r="N2" s="21">
        <v>73</v>
      </c>
    </row>
    <row r="3" spans="1:18" x14ac:dyDescent="0.25">
      <c r="A3" t="s">
        <v>27</v>
      </c>
      <c r="B3">
        <f>B2+1</f>
        <v>2</v>
      </c>
      <c r="C3" s="19">
        <v>4</v>
      </c>
      <c r="D3" s="19">
        <v>2021</v>
      </c>
      <c r="E3" s="21">
        <f>'4 - 2021'!B9-'4 - 2021'!B8+'4 - 2021'!C9-'4 - 2021'!C8</f>
        <v>9031</v>
      </c>
      <c r="F3" s="19">
        <v>0.11799999999999999</v>
      </c>
      <c r="G3" s="21">
        <f>(('4 - 2021'!E9-'4 - 2021'!E8)+('4 - 2021'!F9-'4 - 2021'!F8)+('4 - 2021'!G9-'4 - 2021'!G8))*1.81</f>
        <v>138.57360000000074</v>
      </c>
      <c r="H3" s="19">
        <v>0.99</v>
      </c>
      <c r="I3" s="21">
        <f>'4 - 2021'!J9-'4 - 2021'!J8</f>
        <v>21493</v>
      </c>
      <c r="J3" s="19">
        <v>8.1000000000000003E-2</v>
      </c>
      <c r="K3" s="43">
        <f>'4 - 2021'!H9-'4 - 2021'!H8</f>
        <v>0</v>
      </c>
      <c r="L3" s="21">
        <f>'4 - 2021'!I9-'4 - 2021'!I8</f>
        <v>97</v>
      </c>
      <c r="M3" s="20">
        <v>4.393629424766913</v>
      </c>
      <c r="N3" s="36">
        <v>78</v>
      </c>
    </row>
    <row r="4" spans="1:18" x14ac:dyDescent="0.25">
      <c r="A4" t="s">
        <v>27</v>
      </c>
      <c r="B4">
        <f t="shared" ref="B4:B31" si="0">B3+1</f>
        <v>3</v>
      </c>
      <c r="C4" s="19">
        <v>4</v>
      </c>
      <c r="D4" s="19">
        <v>2021</v>
      </c>
      <c r="E4" s="21">
        <f>'4 - 2021'!B10-'4 - 2021'!B9+'4 - 2021'!C10-'4 - 2021'!C9</f>
        <v>8772</v>
      </c>
      <c r="F4" s="19">
        <v>0.11799999999999999</v>
      </c>
      <c r="G4" s="21">
        <f>(('4 - 2021'!E10-'4 - 2021'!E9)+('4 - 2021'!F10-'4 - 2021'!F9)+('4 - 2021'!G10-'4 - 2021'!G9))*1.81</f>
        <v>139.13469999999816</v>
      </c>
      <c r="H4" s="19">
        <v>0.99</v>
      </c>
      <c r="I4" s="21">
        <f>'4 - 2021'!J10-'4 - 2021'!J9</f>
        <v>20619</v>
      </c>
      <c r="J4" s="19">
        <v>8.1000000000000003E-2</v>
      </c>
      <c r="K4" s="43">
        <f>'4 - 2021'!H10-'4 - 2021'!H9</f>
        <v>0</v>
      </c>
      <c r="L4" s="21">
        <f>'4 - 2021'!I10-'4 - 2021'!I9</f>
        <v>84</v>
      </c>
      <c r="M4" s="20">
        <v>4.393629424766913</v>
      </c>
      <c r="N4" s="36">
        <v>79</v>
      </c>
    </row>
    <row r="5" spans="1:18" x14ac:dyDescent="0.25">
      <c r="A5" t="s">
        <v>27</v>
      </c>
      <c r="B5">
        <f t="shared" si="0"/>
        <v>4</v>
      </c>
      <c r="C5" s="19">
        <v>4</v>
      </c>
      <c r="D5" s="19">
        <v>2021</v>
      </c>
      <c r="E5" s="21">
        <f>'4 - 2021'!B11-'4 - 2021'!B10+'4 - 2021'!C11-'4 - 2021'!C10</f>
        <v>8857</v>
      </c>
      <c r="F5" s="19">
        <v>0.11799999999999999</v>
      </c>
      <c r="G5" s="21">
        <f>(('4 - 2021'!E11-'4 - 2021'!E10)+('4 - 2021'!F11-'4 - 2021'!F10)+('4 - 2021'!G11-'4 - 2021'!G10))*1.81</f>
        <v>138.79080000000465</v>
      </c>
      <c r="H5" s="19">
        <v>0.99</v>
      </c>
      <c r="I5" s="21">
        <f>'4 - 2021'!J11-'4 - 2021'!J10</f>
        <v>19939</v>
      </c>
      <c r="J5" s="19">
        <v>8.1000000000000003E-2</v>
      </c>
      <c r="K5" s="43">
        <f>'4 - 2021'!H11-'4 - 2021'!H10</f>
        <v>0</v>
      </c>
      <c r="L5" s="21">
        <f>'4 - 2021'!I11-'4 - 2021'!I10</f>
        <v>101</v>
      </c>
      <c r="M5" s="20">
        <v>4.393629424766913</v>
      </c>
      <c r="N5" s="36">
        <v>86</v>
      </c>
      <c r="R5" s="19"/>
    </row>
    <row r="6" spans="1:18" x14ac:dyDescent="0.25">
      <c r="A6" t="s">
        <v>27</v>
      </c>
      <c r="B6">
        <f t="shared" si="0"/>
        <v>5</v>
      </c>
      <c r="C6" s="19">
        <v>4</v>
      </c>
      <c r="D6" s="19">
        <v>2021</v>
      </c>
      <c r="E6" s="21">
        <f>'4 - 2021'!B12-'4 - 2021'!B11+'4 - 2021'!C12-'4 - 2021'!C11</f>
        <v>9039</v>
      </c>
      <c r="F6" s="19">
        <v>0.11799999999999999</v>
      </c>
      <c r="G6" s="21">
        <f>(('4 - 2021'!E12-'4 - 2021'!E11)+('4 - 2021'!F12-'4 - 2021'!F11)+('4 - 2021'!G12-'4 - 2021'!G11))*1.81</f>
        <v>137.86769999999765</v>
      </c>
      <c r="H6" s="19">
        <v>0.99</v>
      </c>
      <c r="I6" s="21">
        <f>'4 - 2021'!J12-'4 - 2021'!J11</f>
        <v>23039</v>
      </c>
      <c r="J6" s="19">
        <v>8.1000000000000003E-2</v>
      </c>
      <c r="K6" s="43">
        <f>'4 - 2021'!H12-'4 - 2021'!H11</f>
        <v>0</v>
      </c>
      <c r="L6" s="21">
        <f>'4 - 2021'!I12-'4 - 2021'!I11</f>
        <v>100</v>
      </c>
      <c r="M6" s="20">
        <v>4.393629424766913</v>
      </c>
      <c r="N6" s="36">
        <v>82</v>
      </c>
    </row>
    <row r="7" spans="1:18" x14ac:dyDescent="0.25">
      <c r="A7" t="s">
        <v>27</v>
      </c>
      <c r="B7">
        <f t="shared" si="0"/>
        <v>6</v>
      </c>
      <c r="C7" s="19">
        <v>4</v>
      </c>
      <c r="D7" s="19">
        <v>2021</v>
      </c>
      <c r="E7" s="21">
        <f>'4 - 2021'!B13-'4 - 2021'!B12+'4 - 2021'!C13-'4 - 2021'!C12</f>
        <v>8921</v>
      </c>
      <c r="F7" s="19">
        <v>0.11799999999999999</v>
      </c>
      <c r="G7" s="21">
        <f>(('4 - 2021'!E13-'4 - 2021'!E12)+('4 - 2021'!F13-'4 - 2021'!F12)+('4 - 2021'!G13-'4 - 2021'!G12))*1.81</f>
        <v>147.51500000000001</v>
      </c>
      <c r="H7" s="19">
        <v>0.99</v>
      </c>
      <c r="I7" s="21">
        <f>'4 - 2021'!J13-'4 - 2021'!J12</f>
        <v>20586</v>
      </c>
      <c r="J7" s="19">
        <v>8.1000000000000003E-2</v>
      </c>
      <c r="K7" s="43">
        <f>'4 - 2021'!H13-'4 - 2021'!H12</f>
        <v>0</v>
      </c>
      <c r="L7" s="21">
        <f>'4 - 2021'!I13-'4 - 2021'!I12</f>
        <v>93</v>
      </c>
      <c r="M7" s="20">
        <v>4.393629424766913</v>
      </c>
      <c r="N7" s="36">
        <v>86</v>
      </c>
    </row>
    <row r="8" spans="1:18" x14ac:dyDescent="0.25">
      <c r="A8" t="s">
        <v>27</v>
      </c>
      <c r="B8">
        <f t="shared" si="0"/>
        <v>7</v>
      </c>
      <c r="C8" s="19">
        <v>4</v>
      </c>
      <c r="D8" s="19">
        <v>2021</v>
      </c>
      <c r="E8" s="21">
        <f>'4 - 2021'!B14-'4 - 2021'!B13+'4 - 2021'!C14-'4 - 2021'!C13</f>
        <v>8972</v>
      </c>
      <c r="F8" s="19">
        <v>0.11799999999999999</v>
      </c>
      <c r="G8" s="21">
        <f>(('4 - 2021'!E14-'4 - 2021'!E13)+('4 - 2021'!F14-'4 - 2021'!F13)+('4 - 2021'!G14-'4 - 2021'!G13))*1.81</f>
        <v>137.12560000000039</v>
      </c>
      <c r="H8" s="19">
        <v>0.99</v>
      </c>
      <c r="I8" s="21">
        <f>'4 - 2021'!J14-'4 - 2021'!J13</f>
        <v>19080</v>
      </c>
      <c r="J8" s="19">
        <v>8.1000000000000003E-2</v>
      </c>
      <c r="K8" s="43">
        <f>'4 - 2021'!H14-'4 - 2021'!H13</f>
        <v>0</v>
      </c>
      <c r="L8" s="21">
        <f>'4 - 2021'!I14-'4 - 2021'!I13</f>
        <v>102</v>
      </c>
      <c r="M8" s="20">
        <v>4.393629424766913</v>
      </c>
      <c r="N8" s="38">
        <v>91</v>
      </c>
      <c r="O8" s="21"/>
    </row>
    <row r="9" spans="1:18" x14ac:dyDescent="0.25">
      <c r="A9" t="s">
        <v>27</v>
      </c>
      <c r="B9">
        <f t="shared" si="0"/>
        <v>8</v>
      </c>
      <c r="C9" s="19">
        <v>4</v>
      </c>
      <c r="D9" s="19">
        <v>2021</v>
      </c>
      <c r="E9" s="21">
        <f>'4 - 2021'!B15-'4 - 2021'!B14+'4 - 2021'!C15-'4 - 2021'!C14</f>
        <v>8435</v>
      </c>
      <c r="F9" s="19">
        <v>0.11799999999999999</v>
      </c>
      <c r="G9" s="21">
        <f>(('4 - 2021'!E15-'4 - 2021'!E14)+('4 - 2021'!F15-'4 - 2021'!F14)+('4 - 2021'!G15-'4 - 2021'!G14))*1.81</f>
        <v>134.30199999999803</v>
      </c>
      <c r="H9" s="19">
        <v>0.99</v>
      </c>
      <c r="I9" s="21">
        <f>'4 - 2021'!J15-'4 - 2021'!J14</f>
        <v>19506</v>
      </c>
      <c r="J9" s="19">
        <v>8.1000000000000003E-2</v>
      </c>
      <c r="K9" s="43">
        <f>'4 - 2021'!H15-'4 - 2021'!H14</f>
        <v>0</v>
      </c>
      <c r="L9" s="21">
        <f>'4 - 2021'!I15-'4 - 2021'!I14</f>
        <v>101</v>
      </c>
      <c r="M9" s="20">
        <v>4.393629424766913</v>
      </c>
      <c r="N9" s="36">
        <v>91</v>
      </c>
    </row>
    <row r="10" spans="1:18" x14ac:dyDescent="0.25">
      <c r="A10" t="s">
        <v>27</v>
      </c>
      <c r="B10">
        <f t="shared" si="0"/>
        <v>9</v>
      </c>
      <c r="C10" s="19">
        <v>4</v>
      </c>
      <c r="D10" s="19">
        <v>2021</v>
      </c>
      <c r="E10" s="21">
        <v>0</v>
      </c>
      <c r="F10" s="19">
        <v>0.11799999999999999</v>
      </c>
      <c r="G10" s="21">
        <v>0</v>
      </c>
      <c r="H10" s="19">
        <v>0.99</v>
      </c>
      <c r="I10" s="21">
        <v>0</v>
      </c>
      <c r="J10" s="19">
        <v>8.1000000000000003E-2</v>
      </c>
      <c r="K10" s="43">
        <v>0</v>
      </c>
      <c r="L10" s="21">
        <v>0</v>
      </c>
      <c r="M10" s="20">
        <v>4.393629424766913</v>
      </c>
      <c r="N10" s="36"/>
    </row>
    <row r="11" spans="1:18" x14ac:dyDescent="0.25">
      <c r="A11" t="s">
        <v>27</v>
      </c>
      <c r="B11">
        <f t="shared" si="0"/>
        <v>10</v>
      </c>
      <c r="C11" s="19">
        <v>4</v>
      </c>
      <c r="D11" s="19">
        <v>2021</v>
      </c>
      <c r="E11" s="21">
        <f>'4 - 2021'!B17-'4 - 2021'!B16+'4 - 2021'!C17-'4 - 2021'!C16</f>
        <v>0</v>
      </c>
      <c r="F11" s="19">
        <v>0.11799999999999999</v>
      </c>
      <c r="G11" s="21">
        <f>(('4 - 2021'!E17-'4 - 2021'!E16)+('4 - 2021'!F17-'4 - 2021'!F16)+('4 - 2021'!G17-'4 - 2021'!G16))*1.81</f>
        <v>0</v>
      </c>
      <c r="H11" s="19">
        <v>0.99</v>
      </c>
      <c r="I11" s="21">
        <f>'4 - 2021'!J17-'4 - 2021'!J16</f>
        <v>0</v>
      </c>
      <c r="J11" s="19">
        <v>8.1000000000000003E-2</v>
      </c>
      <c r="K11" s="43">
        <f>'4 - 2021'!H17-'4 - 2021'!H16</f>
        <v>0</v>
      </c>
      <c r="L11" s="21">
        <f>'4 - 2021'!I17-'4 - 2021'!I16</f>
        <v>0</v>
      </c>
      <c r="M11" s="20">
        <v>4.393629424766913</v>
      </c>
      <c r="N11" s="36"/>
    </row>
    <row r="12" spans="1:18" x14ac:dyDescent="0.25">
      <c r="A12" t="s">
        <v>27</v>
      </c>
      <c r="B12">
        <f t="shared" si="0"/>
        <v>11</v>
      </c>
      <c r="C12" s="19">
        <v>4</v>
      </c>
      <c r="D12" s="19">
        <v>2021</v>
      </c>
      <c r="E12" s="21">
        <f>'4 - 2021'!B18-'4 - 2021'!B17+'4 - 2021'!C18-'4 - 2021'!C17</f>
        <v>0</v>
      </c>
      <c r="F12" s="19">
        <v>0.11799999999999999</v>
      </c>
      <c r="G12" s="21">
        <f>(('4 - 2021'!E18-'4 - 2021'!E17)+('4 - 2021'!F18-'4 - 2021'!F17)+('4 - 2021'!G18-'4 - 2021'!G17))*1.81</f>
        <v>0</v>
      </c>
      <c r="H12" s="19">
        <v>0.99</v>
      </c>
      <c r="I12" s="21">
        <f>'4 - 2021'!J18-'4 - 2021'!J17</f>
        <v>0</v>
      </c>
      <c r="J12" s="19">
        <v>8.1000000000000003E-2</v>
      </c>
      <c r="K12" s="43">
        <f>'4 - 2021'!H18-'4 - 2021'!H17</f>
        <v>0</v>
      </c>
      <c r="L12" s="21">
        <f>'4 - 2021'!I18-'4 - 2021'!I17</f>
        <v>0</v>
      </c>
      <c r="M12" s="20">
        <v>4.393629424766913</v>
      </c>
      <c r="N12" s="21"/>
    </row>
    <row r="13" spans="1:18" x14ac:dyDescent="0.25">
      <c r="A13" t="s">
        <v>27</v>
      </c>
      <c r="B13">
        <f t="shared" si="0"/>
        <v>12</v>
      </c>
      <c r="C13" s="19">
        <v>4</v>
      </c>
      <c r="D13" s="19">
        <v>2021</v>
      </c>
      <c r="E13" s="21">
        <f>'4 - 2021'!B19-'4 - 2021'!B18+'4 - 2021'!C19-'4 - 2021'!C18</f>
        <v>0</v>
      </c>
      <c r="F13" s="19">
        <v>0.11799999999999999</v>
      </c>
      <c r="G13" s="21">
        <f>(('4 - 2021'!E19-'4 - 2021'!E18)+('4 - 2021'!F19-'4 - 2021'!F18)+('4 - 2021'!G19-'4 - 2021'!G18))*1.81</f>
        <v>0</v>
      </c>
      <c r="H13" s="19">
        <v>0.99</v>
      </c>
      <c r="I13" s="21">
        <f>'4 - 2021'!J19-'4 - 2021'!J18</f>
        <v>0</v>
      </c>
      <c r="J13" s="19">
        <v>8.1000000000000003E-2</v>
      </c>
      <c r="K13" s="43">
        <f>'4 - 2021'!H19-'4 - 2021'!H18</f>
        <v>0</v>
      </c>
      <c r="L13" s="21">
        <f>'4 - 2021'!I19-'4 - 2021'!I18</f>
        <v>0</v>
      </c>
      <c r="M13" s="20">
        <v>4.393629424766913</v>
      </c>
      <c r="N13" s="21"/>
    </row>
    <row r="14" spans="1:18" x14ac:dyDescent="0.25">
      <c r="A14" t="s">
        <v>27</v>
      </c>
      <c r="B14">
        <f t="shared" si="0"/>
        <v>13</v>
      </c>
      <c r="C14" s="19">
        <v>4</v>
      </c>
      <c r="D14" s="19">
        <v>2021</v>
      </c>
      <c r="E14" s="21">
        <f>'4 - 2021'!B20-'4 - 2021'!B19+'4 - 2021'!C20-'4 - 2021'!C19</f>
        <v>0</v>
      </c>
      <c r="F14" s="19">
        <v>0.11799999999999999</v>
      </c>
      <c r="G14" s="21">
        <f>(('4 - 2021'!E20-'4 - 2021'!E19)+('4 - 2021'!F20-'4 - 2021'!F19)+('4 - 2021'!G20-'4 - 2021'!G19))*1.81</f>
        <v>0</v>
      </c>
      <c r="H14" s="19">
        <v>0.99</v>
      </c>
      <c r="I14" s="21">
        <f>'4 - 2021'!J20-'4 - 2021'!J19</f>
        <v>0</v>
      </c>
      <c r="J14" s="19">
        <v>8.1000000000000003E-2</v>
      </c>
      <c r="K14" s="43">
        <f>'4 - 2021'!H20-'4 - 2021'!H19</f>
        <v>0</v>
      </c>
      <c r="L14" s="21">
        <f>'4 - 2021'!I20-'4 - 2021'!I19</f>
        <v>0</v>
      </c>
      <c r="M14" s="20">
        <v>4.393629424766913</v>
      </c>
      <c r="N14" s="21"/>
      <c r="O14" s="21"/>
    </row>
    <row r="15" spans="1:18" x14ac:dyDescent="0.25">
      <c r="A15" t="s">
        <v>27</v>
      </c>
      <c r="B15">
        <f t="shared" si="0"/>
        <v>14</v>
      </c>
      <c r="C15" s="19">
        <v>4</v>
      </c>
      <c r="D15" s="19">
        <v>2021</v>
      </c>
      <c r="E15" s="21">
        <f>'4 - 2021'!B21-'4 - 2021'!B20+'4 - 2021'!C21-'4 - 2021'!C20</f>
        <v>0</v>
      </c>
      <c r="F15" s="19">
        <v>0.11799999999999999</v>
      </c>
      <c r="G15" s="21">
        <f>(('4 - 2021'!E21-'4 - 2021'!E20)+('4 - 2021'!F21-'4 - 2021'!F20)+('4 - 2021'!G21-'4 - 2021'!G20))*1.81</f>
        <v>0</v>
      </c>
      <c r="H15" s="19">
        <v>0.99</v>
      </c>
      <c r="I15" s="21">
        <f>'4 - 2021'!J21-'4 - 2021'!J20</f>
        <v>0</v>
      </c>
      <c r="J15" s="19">
        <v>8.1000000000000003E-2</v>
      </c>
      <c r="K15" s="43">
        <f>'4 - 2021'!H21-'4 - 2021'!H20</f>
        <v>0</v>
      </c>
      <c r="L15" s="21">
        <f>'4 - 2021'!I21-'4 - 2021'!I20</f>
        <v>0</v>
      </c>
      <c r="M15" s="20">
        <v>4.393629424766913</v>
      </c>
      <c r="N15" s="21"/>
    </row>
    <row r="16" spans="1:18" x14ac:dyDescent="0.25">
      <c r="A16" t="s">
        <v>27</v>
      </c>
      <c r="B16">
        <f t="shared" si="0"/>
        <v>15</v>
      </c>
      <c r="C16" s="19">
        <v>4</v>
      </c>
      <c r="D16" s="19">
        <v>2021</v>
      </c>
      <c r="E16" s="21">
        <f>'4 - 2021'!B22-'4 - 2021'!B21+'4 - 2021'!C22-'4 - 2021'!C21</f>
        <v>0</v>
      </c>
      <c r="F16" s="19">
        <v>0.11799999999999999</v>
      </c>
      <c r="G16" s="21">
        <f>(('4 - 2021'!E22-'4 - 2021'!E21)+('4 - 2021'!F22-'4 - 2021'!F21)+('4 - 2021'!G22-'4 - 2021'!G21))*1.81</f>
        <v>0</v>
      </c>
      <c r="H16" s="19">
        <v>0.99</v>
      </c>
      <c r="I16" s="21">
        <f>'4 - 2021'!J22-'4 - 2021'!J21</f>
        <v>0</v>
      </c>
      <c r="J16" s="19">
        <v>8.1000000000000003E-2</v>
      </c>
      <c r="K16" s="43">
        <f>'4 - 2021'!H22-'4 - 2021'!H21</f>
        <v>0</v>
      </c>
      <c r="L16" s="21">
        <f>'4 - 2021'!I22-'4 - 2021'!I21</f>
        <v>0</v>
      </c>
      <c r="M16" s="20">
        <v>4.393629424766913</v>
      </c>
      <c r="N16" s="21"/>
    </row>
    <row r="17" spans="1:16" x14ac:dyDescent="0.25">
      <c r="A17" t="s">
        <v>27</v>
      </c>
      <c r="B17">
        <f t="shared" si="0"/>
        <v>16</v>
      </c>
      <c r="C17" s="19">
        <v>4</v>
      </c>
      <c r="D17" s="19">
        <v>2021</v>
      </c>
      <c r="E17" s="21">
        <f>'4 - 2021'!B23-'4 - 2021'!B22+'4 - 2021'!C23-'4 - 2021'!C22</f>
        <v>0</v>
      </c>
      <c r="F17" s="19">
        <v>0.11799999999999999</v>
      </c>
      <c r="G17" s="21">
        <f>(('4 - 2021'!E23-'4 - 2021'!E22)+('4 - 2021'!F23-'4 - 2021'!F22)+('4 - 2021'!G23-'4 - 2021'!G22))*1.81</f>
        <v>0</v>
      </c>
      <c r="H17" s="19">
        <v>0.99</v>
      </c>
      <c r="I17" s="21">
        <f>'4 - 2021'!J23-'4 - 2021'!J22</f>
        <v>0</v>
      </c>
      <c r="J17" s="19">
        <v>8.1000000000000003E-2</v>
      </c>
      <c r="K17" s="43">
        <f>'4 - 2021'!H23-'4 - 2021'!H22</f>
        <v>0</v>
      </c>
      <c r="L17" s="21">
        <f>'4 - 2021'!I23-'4 - 2021'!I22</f>
        <v>0</v>
      </c>
      <c r="M17" s="20">
        <v>4.393629424766913</v>
      </c>
      <c r="N17" s="21"/>
      <c r="O17" s="19"/>
    </row>
    <row r="18" spans="1:16" x14ac:dyDescent="0.25">
      <c r="A18" t="s">
        <v>27</v>
      </c>
      <c r="B18">
        <f t="shared" si="0"/>
        <v>17</v>
      </c>
      <c r="C18" s="19">
        <v>4</v>
      </c>
      <c r="D18" s="19">
        <v>2021</v>
      </c>
      <c r="E18" s="21">
        <f>'4 - 2021'!B24-'4 - 2021'!B23+'4 - 2021'!C24-'4 - 2021'!C23</f>
        <v>0</v>
      </c>
      <c r="F18" s="19">
        <v>0.11799999999999999</v>
      </c>
      <c r="G18" s="21">
        <f>(('4 - 2021'!E24-'4 - 2021'!E23)+('4 - 2021'!F24-'4 - 2021'!F23)+('4 - 2021'!G24-'4 - 2021'!G23))*1.81</f>
        <v>0</v>
      </c>
      <c r="H18" s="19">
        <v>0.99</v>
      </c>
      <c r="I18" s="21">
        <f>'4 - 2021'!J24-'4 - 2021'!J23</f>
        <v>0</v>
      </c>
      <c r="J18" s="19">
        <v>8.1000000000000003E-2</v>
      </c>
      <c r="K18" s="43">
        <f>'4 - 2021'!H24-'4 - 2021'!H23</f>
        <v>0</v>
      </c>
      <c r="L18" s="21">
        <f>'4 - 2021'!I24-'4 - 2021'!I23</f>
        <v>0</v>
      </c>
      <c r="M18" s="20">
        <v>4.393629424766913</v>
      </c>
      <c r="N18" s="21"/>
    </row>
    <row r="19" spans="1:16" x14ac:dyDescent="0.25">
      <c r="A19" t="s">
        <v>27</v>
      </c>
      <c r="B19">
        <f>B18+1</f>
        <v>18</v>
      </c>
      <c r="C19" s="19">
        <v>4</v>
      </c>
      <c r="D19" s="19">
        <v>2021</v>
      </c>
      <c r="E19" s="21">
        <f>'4 - 2021'!B25-'4 - 2021'!B24+'4 - 2021'!C25-'4 - 2021'!C24</f>
        <v>0</v>
      </c>
      <c r="F19" s="19">
        <v>0.11799999999999999</v>
      </c>
      <c r="G19" s="21">
        <f>(('4 - 2021'!E25-'4 - 2021'!E24)+('4 - 2021'!F25-'4 - 2021'!F24)+('4 - 2021'!G25-'4 - 2021'!G24))*1.81</f>
        <v>0</v>
      </c>
      <c r="H19" s="19">
        <v>0.99</v>
      </c>
      <c r="I19" s="21">
        <f>'4 - 2021'!J25-'4 - 2021'!J24</f>
        <v>0</v>
      </c>
      <c r="J19" s="19">
        <v>8.1000000000000003E-2</v>
      </c>
      <c r="K19" s="43">
        <f>'4 - 2021'!H25-'4 - 2021'!H24</f>
        <v>0</v>
      </c>
      <c r="L19" s="21">
        <f>'4 - 2021'!I25-'4 - 2021'!I24</f>
        <v>0</v>
      </c>
      <c r="M19" s="20">
        <v>4.393629424766913</v>
      </c>
      <c r="N19" s="37"/>
    </row>
    <row r="20" spans="1:16" x14ac:dyDescent="0.25">
      <c r="A20" t="s">
        <v>27</v>
      </c>
      <c r="B20">
        <f t="shared" si="0"/>
        <v>19</v>
      </c>
      <c r="C20" s="19">
        <v>4</v>
      </c>
      <c r="D20" s="19">
        <v>2021</v>
      </c>
      <c r="E20" s="21">
        <f>'4 - 2021'!B26-'4 - 2021'!B25+'4 - 2021'!C26-'4 - 2021'!C25</f>
        <v>0</v>
      </c>
      <c r="F20" s="19">
        <v>0.11799999999999999</v>
      </c>
      <c r="G20" s="21">
        <f>(('4 - 2021'!E26-'4 - 2021'!E25)+('4 - 2021'!F26-'4 - 2021'!F25)+('4 - 2021'!G26-'4 - 2021'!G25))*1.81</f>
        <v>0</v>
      </c>
      <c r="H20" s="19">
        <v>0.99</v>
      </c>
      <c r="I20" s="21">
        <f>'4 - 2021'!J26-'4 - 2021'!J25</f>
        <v>0</v>
      </c>
      <c r="J20" s="19">
        <v>8.1000000000000003E-2</v>
      </c>
      <c r="K20" s="43">
        <f>'4 - 2021'!H26-'4 - 2021'!H25</f>
        <v>0</v>
      </c>
      <c r="L20" s="21">
        <f>'4 - 2021'!I26-'4 - 2021'!I25</f>
        <v>0</v>
      </c>
      <c r="M20" s="20">
        <v>4.393629424766913</v>
      </c>
      <c r="N20" s="37"/>
    </row>
    <row r="21" spans="1:16" x14ac:dyDescent="0.25">
      <c r="A21" t="s">
        <v>27</v>
      </c>
      <c r="B21">
        <f t="shared" si="0"/>
        <v>20</v>
      </c>
      <c r="C21" s="19">
        <v>4</v>
      </c>
      <c r="D21" s="19">
        <v>2021</v>
      </c>
      <c r="E21" s="21">
        <f>'4 - 2021'!B27-'4 - 2021'!B26+'4 - 2021'!C27-'4 - 2021'!C26</f>
        <v>0</v>
      </c>
      <c r="F21" s="19">
        <v>0.11799999999999999</v>
      </c>
      <c r="G21" s="21">
        <f>(('4 - 2021'!E27-'4 - 2021'!E26)+('4 - 2021'!F27-'4 - 2021'!F26)+('4 - 2021'!G27-'4 - 2021'!G26))*1.81</f>
        <v>0</v>
      </c>
      <c r="H21" s="19">
        <v>0.99</v>
      </c>
      <c r="I21" s="21">
        <f>'4 - 2021'!J27-'4 - 2021'!J26</f>
        <v>0</v>
      </c>
      <c r="J21" s="19">
        <v>8.1000000000000003E-2</v>
      </c>
      <c r="K21" s="43">
        <f>'4 - 2021'!H27-'4 - 2021'!H26</f>
        <v>0</v>
      </c>
      <c r="L21" s="21">
        <f>'4 - 2021'!I27-'4 - 2021'!I26</f>
        <v>0</v>
      </c>
      <c r="M21" s="20">
        <v>4.393629424766913</v>
      </c>
      <c r="N21" s="37"/>
    </row>
    <row r="22" spans="1:16" x14ac:dyDescent="0.25">
      <c r="A22" t="s">
        <v>27</v>
      </c>
      <c r="B22">
        <f t="shared" si="0"/>
        <v>21</v>
      </c>
      <c r="C22" s="19">
        <v>4</v>
      </c>
      <c r="D22" s="19">
        <v>2021</v>
      </c>
      <c r="E22" s="21">
        <f>'4 - 2021'!B28-'4 - 2021'!B27+'4 - 2021'!C28-'4 - 2021'!C27</f>
        <v>0</v>
      </c>
      <c r="F22" s="19">
        <v>0.11799999999999999</v>
      </c>
      <c r="G22" s="21">
        <f>(('4 - 2021'!E28-'4 - 2021'!E27)+('4 - 2021'!F28-'4 - 2021'!F27)+('4 - 2021'!G28-'4 - 2021'!G27))*1.81</f>
        <v>0</v>
      </c>
      <c r="H22" s="19">
        <v>0.99</v>
      </c>
      <c r="I22" s="21">
        <f>'4 - 2021'!J28-'4 - 2021'!J27</f>
        <v>0</v>
      </c>
      <c r="J22" s="19">
        <v>8.1000000000000003E-2</v>
      </c>
      <c r="K22" s="43">
        <f>'4 - 2021'!H28-'4 - 2021'!H27</f>
        <v>0</v>
      </c>
      <c r="L22" s="21">
        <f>'4 - 2021'!I28-'4 - 2021'!I27</f>
        <v>0</v>
      </c>
      <c r="M22" s="20">
        <v>4.393629424766913</v>
      </c>
      <c r="N22" s="37"/>
    </row>
    <row r="23" spans="1:16" x14ac:dyDescent="0.25">
      <c r="A23" t="s">
        <v>27</v>
      </c>
      <c r="B23">
        <f t="shared" si="0"/>
        <v>22</v>
      </c>
      <c r="C23" s="19">
        <v>4</v>
      </c>
      <c r="D23" s="19">
        <v>2021</v>
      </c>
      <c r="E23" s="21">
        <f>'4 - 2021'!B29-'4 - 2021'!B28+'4 - 2021'!C29-'4 - 2021'!C28</f>
        <v>0</v>
      </c>
      <c r="F23" s="19">
        <v>0.11799999999999999</v>
      </c>
      <c r="G23" s="21">
        <f>(('4 - 2021'!E29-'4 - 2021'!E28)+('4 - 2021'!F29-'4 - 2021'!F28)+('4 - 2021'!G29-'4 - 2021'!G28))*1.81</f>
        <v>0</v>
      </c>
      <c r="H23" s="19">
        <v>0.99</v>
      </c>
      <c r="I23" s="21">
        <f>'4 - 2021'!J29-'4 - 2021'!J28</f>
        <v>0</v>
      </c>
      <c r="J23" s="19">
        <v>8.1000000000000003E-2</v>
      </c>
      <c r="K23" s="43">
        <f>'4 - 2021'!H29-'4 - 2021'!H28</f>
        <v>0</v>
      </c>
      <c r="L23" s="21">
        <f>'4 - 2021'!I29-'4 - 2021'!I28</f>
        <v>0</v>
      </c>
      <c r="M23" s="20">
        <v>4.393629424766913</v>
      </c>
      <c r="N23" s="37"/>
    </row>
    <row r="24" spans="1:16" x14ac:dyDescent="0.25">
      <c r="A24" t="s">
        <v>27</v>
      </c>
      <c r="B24">
        <f t="shared" si="0"/>
        <v>23</v>
      </c>
      <c r="C24" s="19">
        <v>4</v>
      </c>
      <c r="D24" s="19">
        <v>2021</v>
      </c>
      <c r="E24" s="21">
        <f>'4 - 2021'!B30-'4 - 2021'!B29+'4 - 2021'!C30-'4 - 2021'!C29</f>
        <v>0</v>
      </c>
      <c r="F24" s="19">
        <v>0.11799999999999999</v>
      </c>
      <c r="G24" s="21">
        <f>(('4 - 2021'!E30-'4 - 2021'!E29)+('4 - 2021'!F30-'4 - 2021'!F29)+('4 - 2021'!G30-'4 - 2021'!G29))*1.81</f>
        <v>0</v>
      </c>
      <c r="H24" s="19">
        <v>0.99</v>
      </c>
      <c r="I24" s="21">
        <f>'4 - 2021'!J30-'4 - 2021'!J29</f>
        <v>0</v>
      </c>
      <c r="J24" s="19">
        <v>8.1000000000000003E-2</v>
      </c>
      <c r="K24" s="43">
        <f>'4 - 2021'!H30-'4 - 2021'!H29</f>
        <v>0</v>
      </c>
      <c r="L24" s="21">
        <f>'4 - 2021'!I30-'4 - 2021'!I29</f>
        <v>0</v>
      </c>
      <c r="M24" s="20">
        <v>4.393629424766913</v>
      </c>
      <c r="N24" s="37"/>
    </row>
    <row r="25" spans="1:16" x14ac:dyDescent="0.25">
      <c r="A25" t="s">
        <v>27</v>
      </c>
      <c r="B25">
        <f t="shared" si="0"/>
        <v>24</v>
      </c>
      <c r="C25" s="19">
        <v>4</v>
      </c>
      <c r="D25" s="19">
        <v>2021</v>
      </c>
      <c r="E25" s="21">
        <f>'4 - 2021'!B31-'4 - 2021'!B30+'4 - 2021'!C31-'4 - 2021'!C30</f>
        <v>0</v>
      </c>
      <c r="F25" s="19">
        <v>0.11799999999999999</v>
      </c>
      <c r="G25" s="21">
        <f>(('4 - 2021'!E31-'4 - 2021'!E30)+('4 - 2021'!F31-'4 - 2021'!F30)+('4 - 2021'!G31-'4 - 2021'!G30))*1.81</f>
        <v>0</v>
      </c>
      <c r="H25" s="19">
        <v>0.99</v>
      </c>
      <c r="I25" s="21">
        <f>'4 - 2021'!J31-'4 - 2021'!J30</f>
        <v>0</v>
      </c>
      <c r="J25" s="19">
        <v>8.1000000000000003E-2</v>
      </c>
      <c r="K25" s="43">
        <f>'4 - 2021'!H31-'4 - 2021'!H30</f>
        <v>0</v>
      </c>
      <c r="L25" s="21">
        <f>'4 - 2021'!I31-'4 - 2021'!I30</f>
        <v>0</v>
      </c>
      <c r="M25" s="20">
        <v>4.393629424766913</v>
      </c>
      <c r="N25" s="37"/>
      <c r="P25" s="14"/>
    </row>
    <row r="26" spans="1:16" x14ac:dyDescent="0.25">
      <c r="A26" t="s">
        <v>27</v>
      </c>
      <c r="B26">
        <f>B25+1</f>
        <v>25</v>
      </c>
      <c r="C26" s="19">
        <v>4</v>
      </c>
      <c r="D26" s="19">
        <v>2021</v>
      </c>
      <c r="E26" s="21">
        <f>'4 - 2021'!B32-'4 - 2021'!B31+'4 - 2021'!C32-'4 - 2021'!C31</f>
        <v>0</v>
      </c>
      <c r="F26" s="19">
        <v>0.11799999999999999</v>
      </c>
      <c r="G26" s="21">
        <f>(('4 - 2021'!E32-'4 - 2021'!E31)+('4 - 2021'!F32-'4 - 2021'!F31)+('4 - 2021'!G32-'4 - 2021'!G31))*1.81</f>
        <v>0</v>
      </c>
      <c r="H26" s="19">
        <v>0.99</v>
      </c>
      <c r="I26" s="21">
        <f>'4 - 2021'!J32-'4 - 2021'!J31</f>
        <v>0</v>
      </c>
      <c r="J26" s="19">
        <v>8.1000000000000003E-2</v>
      </c>
      <c r="K26" s="43">
        <f>'4 - 2021'!H32-'4 - 2021'!H31</f>
        <v>0</v>
      </c>
      <c r="L26" s="21">
        <f>'4 - 2021'!I32-'4 - 2021'!I31</f>
        <v>0</v>
      </c>
      <c r="M26" s="20">
        <v>4.393629424766913</v>
      </c>
      <c r="N26" s="37"/>
    </row>
    <row r="27" spans="1:16" x14ac:dyDescent="0.25">
      <c r="A27" t="s">
        <v>27</v>
      </c>
      <c r="B27">
        <f t="shared" si="0"/>
        <v>26</v>
      </c>
      <c r="C27" s="19">
        <v>4</v>
      </c>
      <c r="D27" s="19">
        <v>2021</v>
      </c>
      <c r="E27" s="21">
        <f>'4 - 2021'!B33-'4 - 2021'!B32+'4 - 2021'!C33-'4 - 2021'!C32</f>
        <v>0</v>
      </c>
      <c r="F27" s="19">
        <v>0.11799999999999999</v>
      </c>
      <c r="G27" s="21">
        <f>(('4 - 2021'!E33-'4 - 2021'!E32)+('4 - 2021'!F33-'4 - 2021'!F32)+('4 - 2021'!G33-'4 - 2021'!G32))*1.81</f>
        <v>0</v>
      </c>
      <c r="H27" s="19">
        <v>0.99</v>
      </c>
      <c r="I27" s="21">
        <f>'4 - 2021'!J33-'4 - 2021'!J32</f>
        <v>0</v>
      </c>
      <c r="J27" s="19">
        <v>8.1000000000000003E-2</v>
      </c>
      <c r="K27" s="43">
        <f>'4 - 2021'!H33-'4 - 2021'!H32</f>
        <v>0</v>
      </c>
      <c r="L27" s="21">
        <f>'4 - 2021'!I33-'4 - 2021'!I32</f>
        <v>0</v>
      </c>
      <c r="M27" s="20">
        <v>4.393629424766913</v>
      </c>
      <c r="N27" s="37"/>
    </row>
    <row r="28" spans="1:16" x14ac:dyDescent="0.25">
      <c r="A28" t="s">
        <v>27</v>
      </c>
      <c r="B28">
        <f t="shared" si="0"/>
        <v>27</v>
      </c>
      <c r="C28" s="19">
        <v>4</v>
      </c>
      <c r="D28" s="19">
        <v>2021</v>
      </c>
      <c r="E28" s="21">
        <f>'4 - 2021'!B34-'4 - 2021'!B33+'4 - 2021'!C34-'4 - 2021'!C33</f>
        <v>0</v>
      </c>
      <c r="F28" s="19">
        <v>0.11799999999999999</v>
      </c>
      <c r="G28" s="21">
        <f>(('4 - 2021'!E34-'4 - 2021'!E33)+('4 - 2021'!F34-'4 - 2021'!F33)+('4 - 2021'!G34-'4 - 2021'!G33))*1.81</f>
        <v>0</v>
      </c>
      <c r="H28" s="19">
        <v>0.99</v>
      </c>
      <c r="I28" s="21">
        <f>'4 - 2021'!J34-'4 - 2021'!J33</f>
        <v>0</v>
      </c>
      <c r="J28" s="19">
        <v>8.1000000000000003E-2</v>
      </c>
      <c r="K28" s="43">
        <f>'4 - 2021'!H34-'4 - 2021'!H33</f>
        <v>0</v>
      </c>
      <c r="L28" s="21">
        <f>'4 - 2021'!I34-'4 - 2021'!I33</f>
        <v>0</v>
      </c>
      <c r="M28" s="20">
        <v>4.393629424766913</v>
      </c>
      <c r="N28" s="37"/>
    </row>
    <row r="29" spans="1:16" x14ac:dyDescent="0.25">
      <c r="A29" t="s">
        <v>27</v>
      </c>
      <c r="B29">
        <f t="shared" si="0"/>
        <v>28</v>
      </c>
      <c r="C29" s="19">
        <v>4</v>
      </c>
      <c r="D29" s="19">
        <v>2021</v>
      </c>
      <c r="E29" s="21">
        <f>'4 - 2021'!B35-'4 - 2021'!B34+'4 - 2021'!C35-'4 - 2021'!C34</f>
        <v>0</v>
      </c>
      <c r="F29" s="19">
        <v>0.11799999999999999</v>
      </c>
      <c r="G29" s="21">
        <f>(('4 - 2021'!E35-'4 - 2021'!E34)+('4 - 2021'!F35-'4 - 2021'!F34)+('4 - 2021'!G35-'4 - 2021'!G34))*1.81</f>
        <v>0</v>
      </c>
      <c r="H29" s="19">
        <v>0.99</v>
      </c>
      <c r="I29" s="21">
        <f>'4 - 2021'!J35-'4 - 2021'!J34</f>
        <v>0</v>
      </c>
      <c r="J29" s="19">
        <v>8.1000000000000003E-2</v>
      </c>
      <c r="K29" s="43">
        <f>'4 - 2021'!H35-'4 - 2021'!H34</f>
        <v>0</v>
      </c>
      <c r="L29" s="21">
        <f>'4 - 2021'!I35-'4 - 2021'!I34</f>
        <v>0</v>
      </c>
      <c r="M29" s="20">
        <v>4.393629424766913</v>
      </c>
      <c r="N29" s="37"/>
    </row>
    <row r="30" spans="1:16" x14ac:dyDescent="0.25">
      <c r="A30" s="19" t="s">
        <v>27</v>
      </c>
      <c r="B30" s="19">
        <f t="shared" si="0"/>
        <v>29</v>
      </c>
      <c r="C30" s="19">
        <v>4</v>
      </c>
      <c r="D30" s="19">
        <v>2021</v>
      </c>
      <c r="E30" s="21">
        <f>'4 - 2021'!B36-'4 - 2021'!B35+'4 - 2021'!C36-'4 - 2021'!C35</f>
        <v>0</v>
      </c>
      <c r="F30" s="19">
        <v>0.11799999999999999</v>
      </c>
      <c r="G30" s="21">
        <f>(('4 - 2021'!E36-'4 - 2021'!E35)+('4 - 2021'!F36-'4 - 2021'!F35)+('4 - 2021'!G36-'4 - 2021'!G35))*1.81</f>
        <v>0</v>
      </c>
      <c r="H30" s="19">
        <v>0.99</v>
      </c>
      <c r="I30" s="21">
        <f>'4 - 2021'!J36-'4 - 2021'!J35</f>
        <v>0</v>
      </c>
      <c r="J30" s="19">
        <v>8.1000000000000003E-2</v>
      </c>
      <c r="K30" s="43">
        <f>'4 - 2021'!H36-'4 - 2021'!H35</f>
        <v>0</v>
      </c>
      <c r="L30" s="21">
        <f>'4 - 2021'!I36-'4 - 2021'!I35</f>
        <v>0</v>
      </c>
      <c r="M30" s="20">
        <v>4.393629424766913</v>
      </c>
      <c r="N30" s="37"/>
    </row>
    <row r="31" spans="1:16" x14ac:dyDescent="0.25">
      <c r="A31" s="19" t="s">
        <v>27</v>
      </c>
      <c r="B31" s="19">
        <f t="shared" si="0"/>
        <v>30</v>
      </c>
      <c r="C31" s="19">
        <v>4</v>
      </c>
      <c r="D31" s="19">
        <v>2021</v>
      </c>
      <c r="E31" s="21">
        <f>'4 - 2021'!B37-'4 - 2021'!B36+'4 - 2021'!C37-'4 - 2021'!C36</f>
        <v>0</v>
      </c>
      <c r="F31" s="19">
        <v>0.11799999999999999</v>
      </c>
      <c r="G31" s="21">
        <f>(('4 - 2021'!E37-'4 - 2021'!E36)+('4 - 2021'!F37-'4 - 2021'!F36)+('4 - 2021'!G37-'4 - 2021'!G36))*1.81</f>
        <v>0</v>
      </c>
      <c r="H31" s="19">
        <v>0.99</v>
      </c>
      <c r="I31" s="21">
        <f>'4 - 2021'!J37-'4 - 2021'!J36</f>
        <v>0</v>
      </c>
      <c r="J31" s="19">
        <v>8.1000000000000003E-2</v>
      </c>
      <c r="K31" s="43">
        <f>'4 - 2021'!H37-'4 - 2021'!H36</f>
        <v>0</v>
      </c>
      <c r="L31" s="21">
        <f>'4 - 2021'!I37-'4 - 2021'!I36</f>
        <v>0</v>
      </c>
      <c r="M31" s="20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workbookViewId="0">
      <selection activeCell="O16" sqref="O16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 s="19">
        <v>4</v>
      </c>
      <c r="D2">
        <v>2021</v>
      </c>
      <c r="E2" s="21">
        <f>'4 - 2021'!B8-'4 - 2021'!B7</f>
        <v>3061</v>
      </c>
      <c r="F2" s="21">
        <f>'4 - 2021'!C8-'4 - 2021'!C7</f>
        <v>5723</v>
      </c>
      <c r="G2" s="19">
        <v>0.11799999999999999</v>
      </c>
      <c r="H2" s="21">
        <f>'4 - 2021'!E8-'4 - 2021'!E7</f>
        <v>26</v>
      </c>
      <c r="I2" s="21">
        <f>'4 - 2021'!F8-'4 - 2021'!F7</f>
        <v>5.1999999999998181</v>
      </c>
      <c r="J2" s="21">
        <f>'4 - 2021'!G8-'4 - 2021'!G7</f>
        <v>41.790000000000873</v>
      </c>
      <c r="K2" s="19">
        <v>0.74</v>
      </c>
      <c r="L2" s="21">
        <v>73</v>
      </c>
      <c r="M2" s="12"/>
    </row>
    <row r="3" spans="1:13" x14ac:dyDescent="0.25">
      <c r="A3" t="s">
        <v>27</v>
      </c>
      <c r="B3">
        <f>B2+1</f>
        <v>2</v>
      </c>
      <c r="C3" s="19">
        <v>4</v>
      </c>
      <c r="D3" s="19">
        <v>2021</v>
      </c>
      <c r="E3" s="21">
        <f>'4 - 2021'!B9-'4 - 2021'!B8</f>
        <v>3359</v>
      </c>
      <c r="F3" s="21">
        <f>'4 - 2021'!C9-'4 - 2021'!C8</f>
        <v>5672</v>
      </c>
      <c r="G3" s="19">
        <v>0.11799999999999999</v>
      </c>
      <c r="H3" s="21">
        <f>'4 - 2021'!E9-'4 - 2021'!E8</f>
        <v>26</v>
      </c>
      <c r="I3" s="21">
        <f>'4 - 2021'!F9-'4 - 2021'!F8</f>
        <v>5.1300000000001091</v>
      </c>
      <c r="J3" s="21">
        <f>'4 - 2021'!G9-'4 - 2021'!G8</f>
        <v>45.430000000000291</v>
      </c>
      <c r="K3" s="19">
        <v>0.74</v>
      </c>
      <c r="L3" s="36">
        <v>78</v>
      </c>
      <c r="M3" s="12"/>
    </row>
    <row r="4" spans="1:13" x14ac:dyDescent="0.25">
      <c r="A4" t="s">
        <v>27</v>
      </c>
      <c r="B4">
        <f t="shared" ref="B4:B31" si="0">B3+1</f>
        <v>3</v>
      </c>
      <c r="C4" s="19">
        <v>4</v>
      </c>
      <c r="D4" s="19">
        <v>2021</v>
      </c>
      <c r="E4" s="21">
        <f>'4 - 2021'!B10-'4 - 2021'!B9</f>
        <v>3219</v>
      </c>
      <c r="F4" s="21">
        <f>'4 - 2021'!C10-'4 - 2021'!C9</f>
        <v>5553</v>
      </c>
      <c r="G4" s="19">
        <v>0.11799999999999999</v>
      </c>
      <c r="H4" s="21">
        <f>'4 - 2021'!E10-'4 - 2021'!E9</f>
        <v>26</v>
      </c>
      <c r="I4" s="21">
        <f>'4 - 2021'!F10-'4 - 2021'!F9</f>
        <v>5.4099999999998545</v>
      </c>
      <c r="J4" s="21">
        <f>'4 - 2021'!G10-'4 - 2021'!G9</f>
        <v>45.459999999999127</v>
      </c>
      <c r="K4" s="19">
        <v>0.74</v>
      </c>
      <c r="L4" s="36">
        <v>79</v>
      </c>
      <c r="M4" s="12"/>
    </row>
    <row r="5" spans="1:13" x14ac:dyDescent="0.25">
      <c r="A5" t="s">
        <v>27</v>
      </c>
      <c r="B5">
        <f t="shared" si="0"/>
        <v>4</v>
      </c>
      <c r="C5" s="19">
        <v>4</v>
      </c>
      <c r="D5" s="19">
        <v>2021</v>
      </c>
      <c r="E5" s="21">
        <f>'4 - 2021'!B11-'4 - 2021'!B10</f>
        <v>3257</v>
      </c>
      <c r="F5" s="21">
        <f>'4 - 2021'!C11-'4 - 2021'!C10</f>
        <v>5600</v>
      </c>
      <c r="G5" s="19">
        <v>0.11799999999999999</v>
      </c>
      <c r="H5" s="21">
        <f>'4 - 2021'!E11-'4 - 2021'!E10</f>
        <v>26</v>
      </c>
      <c r="I5" s="21">
        <f>'4 - 2021'!F11-'4 - 2021'!F10</f>
        <v>5.3099999999999454</v>
      </c>
      <c r="J5" s="21">
        <f>'4 - 2021'!G11-'4 - 2021'!G10</f>
        <v>45.370000000002619</v>
      </c>
      <c r="K5" s="19">
        <v>0.74</v>
      </c>
      <c r="L5" s="36">
        <v>86</v>
      </c>
      <c r="M5" s="12"/>
    </row>
    <row r="6" spans="1:13" x14ac:dyDescent="0.25">
      <c r="A6" t="s">
        <v>27</v>
      </c>
      <c r="B6">
        <f t="shared" si="0"/>
        <v>5</v>
      </c>
      <c r="C6" s="19">
        <v>4</v>
      </c>
      <c r="D6" s="19">
        <v>2021</v>
      </c>
      <c r="E6" s="21">
        <f>'4 - 2021'!B12-'4 - 2021'!B11</f>
        <v>3540</v>
      </c>
      <c r="F6" s="21">
        <f>'4 - 2021'!C12-'4 - 2021'!C11</f>
        <v>5499</v>
      </c>
      <c r="G6" s="19">
        <v>0.11799999999999999</v>
      </c>
      <c r="H6" s="21">
        <f>'4 - 2021'!E12-'4 - 2021'!E11</f>
        <v>26</v>
      </c>
      <c r="I6" s="21">
        <f>'4 - 2021'!F12-'4 - 2021'!F11</f>
        <v>5.4100000000003092</v>
      </c>
      <c r="J6" s="21">
        <f>'4 - 2021'!G12-'4 - 2021'!G11</f>
        <v>44.759999999998399</v>
      </c>
      <c r="K6" s="19">
        <v>0.74</v>
      </c>
      <c r="L6" s="36">
        <v>82</v>
      </c>
      <c r="M6" s="13"/>
    </row>
    <row r="7" spans="1:13" x14ac:dyDescent="0.25">
      <c r="A7" t="s">
        <v>27</v>
      </c>
      <c r="B7">
        <f t="shared" si="0"/>
        <v>6</v>
      </c>
      <c r="C7" s="19">
        <v>4</v>
      </c>
      <c r="D7" s="19">
        <v>2021</v>
      </c>
      <c r="E7" s="21">
        <f>'4 - 2021'!B13-'4 - 2021'!B12</f>
        <v>3440</v>
      </c>
      <c r="F7" s="21">
        <f>'4 - 2021'!C13-'4 - 2021'!C12</f>
        <v>5481</v>
      </c>
      <c r="G7" s="19">
        <v>0.11799999999999999</v>
      </c>
      <c r="H7" s="21">
        <f>'4 - 2021'!E13-'4 - 2021'!E12</f>
        <v>26</v>
      </c>
      <c r="I7" s="21">
        <f>'4 - 2021'!F13-'4 - 2021'!F12</f>
        <v>5.319999999999709</v>
      </c>
      <c r="J7" s="21">
        <f>'4 - 2021'!G13-'4 - 2021'!G12</f>
        <v>50.180000000000291</v>
      </c>
      <c r="K7" s="19">
        <v>0.74</v>
      </c>
      <c r="L7" s="36">
        <v>86</v>
      </c>
      <c r="M7" s="13"/>
    </row>
    <row r="8" spans="1:13" x14ac:dyDescent="0.25">
      <c r="A8" t="s">
        <v>27</v>
      </c>
      <c r="B8">
        <f t="shared" si="0"/>
        <v>7</v>
      </c>
      <c r="C8" s="19">
        <v>4</v>
      </c>
      <c r="D8" s="19">
        <v>2021</v>
      </c>
      <c r="E8" s="21">
        <f>'4 - 2021'!B14-'4 - 2021'!B13</f>
        <v>3428</v>
      </c>
      <c r="F8" s="21">
        <f>'4 - 2021'!C14-'4 - 2021'!C13</f>
        <v>5544</v>
      </c>
      <c r="G8" s="19">
        <v>0.11799999999999999</v>
      </c>
      <c r="H8" s="21">
        <f>'4 - 2021'!E14-'4 - 2021'!E13</f>
        <v>26</v>
      </c>
      <c r="I8" s="21">
        <f>'4 - 2021'!F14-'4 - 2021'!F13</f>
        <v>5.0799999999999272</v>
      </c>
      <c r="J8" s="21">
        <f>'4 - 2021'!G14-'4 - 2021'!G13</f>
        <v>44.680000000000291</v>
      </c>
      <c r="K8" s="19">
        <v>0.74</v>
      </c>
      <c r="L8" s="36">
        <v>91</v>
      </c>
      <c r="M8" s="13"/>
    </row>
    <row r="9" spans="1:13" x14ac:dyDescent="0.25">
      <c r="A9" t="s">
        <v>27</v>
      </c>
      <c r="B9">
        <f t="shared" si="0"/>
        <v>8</v>
      </c>
      <c r="C9" s="19">
        <v>4</v>
      </c>
      <c r="D9" s="19">
        <v>2021</v>
      </c>
      <c r="E9" s="21">
        <f>'4 - 2021'!B15-'4 - 2021'!B14</f>
        <v>3200</v>
      </c>
      <c r="F9" s="21">
        <f>'4 - 2021'!C15-'4 - 2021'!C14</f>
        <v>5235</v>
      </c>
      <c r="G9" s="19">
        <v>0.11799999999999999</v>
      </c>
      <c r="H9" s="21">
        <f>'4 - 2021'!E15-'4 - 2021'!E14</f>
        <v>26</v>
      </c>
      <c r="I9" s="21">
        <f>'4 - 2021'!F15-'4 - 2021'!F14</f>
        <v>4.7600000000002183</v>
      </c>
      <c r="J9" s="21">
        <f>'4 - 2021'!G15-'4 - 2021'!G14</f>
        <v>43.43999999999869</v>
      </c>
      <c r="K9" s="19">
        <v>0.74</v>
      </c>
      <c r="L9" s="36">
        <v>91</v>
      </c>
      <c r="M9" s="13"/>
    </row>
    <row r="10" spans="1:13" x14ac:dyDescent="0.25">
      <c r="A10" t="s">
        <v>27</v>
      </c>
      <c r="B10">
        <f t="shared" si="0"/>
        <v>9</v>
      </c>
      <c r="C10" s="19">
        <v>4</v>
      </c>
      <c r="D10" s="19">
        <v>2021</v>
      </c>
      <c r="E10" s="21">
        <v>0</v>
      </c>
      <c r="F10" s="21">
        <v>0</v>
      </c>
      <c r="G10" s="19">
        <v>0.11799999999999999</v>
      </c>
      <c r="H10" s="21">
        <v>0</v>
      </c>
      <c r="I10" s="21">
        <v>0</v>
      </c>
      <c r="J10" s="21">
        <v>0</v>
      </c>
      <c r="K10" s="19">
        <v>0.74</v>
      </c>
      <c r="L10" s="36"/>
      <c r="M10" s="13"/>
    </row>
    <row r="11" spans="1:13" x14ac:dyDescent="0.25">
      <c r="A11" t="s">
        <v>27</v>
      </c>
      <c r="B11">
        <f t="shared" si="0"/>
        <v>10</v>
      </c>
      <c r="C11" s="19">
        <v>4</v>
      </c>
      <c r="D11" s="19">
        <v>2021</v>
      </c>
      <c r="E11" s="21">
        <f>'4 - 2021'!B17-'4 - 2021'!B16</f>
        <v>0</v>
      </c>
      <c r="F11" s="21">
        <f>'4 - 2021'!C17-'4 - 2021'!C16</f>
        <v>0</v>
      </c>
      <c r="G11" s="19">
        <v>0.11799999999999999</v>
      </c>
      <c r="H11" s="21">
        <f>'4 - 2021'!E17-'4 - 2021'!E16</f>
        <v>0</v>
      </c>
      <c r="I11" s="21">
        <f>'4 - 2021'!F17-'4 - 2021'!F16</f>
        <v>0</v>
      </c>
      <c r="J11" s="21">
        <f>'4 - 2021'!G17-'4 - 2021'!G16</f>
        <v>0</v>
      </c>
      <c r="K11" s="19">
        <v>0.74</v>
      </c>
      <c r="L11" s="36"/>
      <c r="M11" s="13"/>
    </row>
    <row r="12" spans="1:13" x14ac:dyDescent="0.25">
      <c r="A12" t="s">
        <v>27</v>
      </c>
      <c r="B12">
        <f t="shared" si="0"/>
        <v>11</v>
      </c>
      <c r="C12" s="19">
        <v>4</v>
      </c>
      <c r="D12" s="19">
        <v>2021</v>
      </c>
      <c r="E12" s="21">
        <f>'4 - 2021'!B18-'4 - 2021'!B17</f>
        <v>0</v>
      </c>
      <c r="F12" s="21">
        <f>'4 - 2021'!C18-'4 - 2021'!C17</f>
        <v>0</v>
      </c>
      <c r="G12" s="19">
        <v>0.11799999999999999</v>
      </c>
      <c r="H12" s="21">
        <f>'4 - 2021'!E18-'4 - 2021'!E17</f>
        <v>0</v>
      </c>
      <c r="I12" s="21">
        <f>'4 - 2021'!F18-'4 - 2021'!F17</f>
        <v>0</v>
      </c>
      <c r="J12" s="21">
        <f>'4 - 2021'!G18-'4 - 2021'!G17</f>
        <v>0</v>
      </c>
      <c r="K12" s="19">
        <v>0.74</v>
      </c>
      <c r="L12" s="21"/>
      <c r="M12" s="13"/>
    </row>
    <row r="13" spans="1:13" x14ac:dyDescent="0.25">
      <c r="A13" t="s">
        <v>27</v>
      </c>
      <c r="B13">
        <f t="shared" si="0"/>
        <v>12</v>
      </c>
      <c r="C13" s="19">
        <v>4</v>
      </c>
      <c r="D13" s="19">
        <v>2021</v>
      </c>
      <c r="E13" s="21">
        <f>'4 - 2021'!B19-'4 - 2021'!B18</f>
        <v>0</v>
      </c>
      <c r="F13" s="21">
        <f>'4 - 2021'!C19-'4 - 2021'!C18</f>
        <v>0</v>
      </c>
      <c r="G13" s="19">
        <v>0.11799999999999999</v>
      </c>
      <c r="H13" s="21">
        <f>'4 - 2021'!E19-'4 - 2021'!E18</f>
        <v>0</v>
      </c>
      <c r="I13" s="21">
        <f>'4 - 2021'!F19-'4 - 2021'!F18</f>
        <v>0</v>
      </c>
      <c r="J13" s="21">
        <f>'4 - 2021'!G19-'4 - 2021'!G18</f>
        <v>0</v>
      </c>
      <c r="K13" s="19">
        <v>0.74</v>
      </c>
      <c r="L13" s="21"/>
      <c r="M13" s="13"/>
    </row>
    <row r="14" spans="1:13" x14ac:dyDescent="0.25">
      <c r="A14" t="s">
        <v>27</v>
      </c>
      <c r="B14">
        <f t="shared" si="0"/>
        <v>13</v>
      </c>
      <c r="C14" s="19">
        <v>4</v>
      </c>
      <c r="D14" s="19">
        <v>2021</v>
      </c>
      <c r="E14" s="21">
        <f>'4 - 2021'!B20-'4 - 2021'!B19</f>
        <v>0</v>
      </c>
      <c r="F14" s="21">
        <f>'4 - 2021'!C20-'4 - 2021'!C19</f>
        <v>0</v>
      </c>
      <c r="G14" s="19">
        <v>0.11799999999999999</v>
      </c>
      <c r="H14" s="21">
        <f>'4 - 2021'!E20-'4 - 2021'!E19</f>
        <v>0</v>
      </c>
      <c r="I14" s="21">
        <f>'4 - 2021'!F20-'4 - 2021'!F19</f>
        <v>0</v>
      </c>
      <c r="J14" s="21">
        <f>'4 - 2021'!G20-'4 - 2021'!G19</f>
        <v>0</v>
      </c>
      <c r="K14" s="19">
        <v>0.74</v>
      </c>
      <c r="L14" s="21"/>
      <c r="M14" s="13"/>
    </row>
    <row r="15" spans="1:13" x14ac:dyDescent="0.25">
      <c r="A15" t="s">
        <v>27</v>
      </c>
      <c r="B15">
        <f t="shared" si="0"/>
        <v>14</v>
      </c>
      <c r="C15" s="19">
        <v>4</v>
      </c>
      <c r="D15" s="19">
        <v>2021</v>
      </c>
      <c r="E15" s="21">
        <f>'4 - 2021'!B21-'4 - 2021'!B20</f>
        <v>0</v>
      </c>
      <c r="F15" s="21">
        <f>'4 - 2021'!C21-'4 - 2021'!C20</f>
        <v>0</v>
      </c>
      <c r="G15" s="19">
        <v>0.11799999999999999</v>
      </c>
      <c r="H15" s="21">
        <f>'4 - 2021'!E21-'4 - 2021'!E20</f>
        <v>0</v>
      </c>
      <c r="I15" s="21">
        <f>'4 - 2021'!F21-'4 - 2021'!F20</f>
        <v>0</v>
      </c>
      <c r="J15" s="21">
        <f>'4 - 2021'!G21-'4 - 2021'!G20</f>
        <v>0</v>
      </c>
      <c r="K15" s="19">
        <v>0.74</v>
      </c>
      <c r="L15" s="21"/>
      <c r="M15" s="13"/>
    </row>
    <row r="16" spans="1:13" x14ac:dyDescent="0.25">
      <c r="A16" t="s">
        <v>27</v>
      </c>
      <c r="B16">
        <f t="shared" si="0"/>
        <v>15</v>
      </c>
      <c r="C16" s="19">
        <v>4</v>
      </c>
      <c r="D16" s="19">
        <v>2021</v>
      </c>
      <c r="E16" s="21">
        <f>'4 - 2021'!B22-'4 - 2021'!B21</f>
        <v>0</v>
      </c>
      <c r="F16" s="21">
        <f>'4 - 2021'!C22-'4 - 2021'!C21</f>
        <v>0</v>
      </c>
      <c r="G16" s="19">
        <v>0.11799999999999999</v>
      </c>
      <c r="H16" s="21">
        <f>'4 - 2021'!E22-'4 - 2021'!E21</f>
        <v>0</v>
      </c>
      <c r="I16" s="21">
        <f>'4 - 2021'!F22-'4 - 2021'!F21</f>
        <v>0</v>
      </c>
      <c r="J16" s="21">
        <f>'4 - 2021'!G22-'4 - 2021'!G21</f>
        <v>0</v>
      </c>
      <c r="K16" s="19">
        <v>0.74</v>
      </c>
      <c r="L16" s="21"/>
      <c r="M16" s="13"/>
    </row>
    <row r="17" spans="1:13" x14ac:dyDescent="0.25">
      <c r="A17" t="s">
        <v>27</v>
      </c>
      <c r="B17">
        <f t="shared" si="0"/>
        <v>16</v>
      </c>
      <c r="C17" s="19">
        <v>4</v>
      </c>
      <c r="D17" s="19">
        <v>2021</v>
      </c>
      <c r="E17" s="21">
        <f>'4 - 2021'!B23-'4 - 2021'!B22</f>
        <v>0</v>
      </c>
      <c r="F17" s="21">
        <f>'4 - 2021'!C23-'4 - 2021'!C22</f>
        <v>0</v>
      </c>
      <c r="G17" s="19">
        <v>0.11799999999999999</v>
      </c>
      <c r="H17" s="21">
        <f>'4 - 2021'!E23-'4 - 2021'!E22</f>
        <v>0</v>
      </c>
      <c r="I17" s="21">
        <f>'4 - 2021'!F23-'4 - 2021'!F22</f>
        <v>0</v>
      </c>
      <c r="J17" s="21">
        <f>'4 - 2021'!G23-'4 - 2021'!G22</f>
        <v>0</v>
      </c>
      <c r="K17" s="19">
        <v>0.74</v>
      </c>
      <c r="L17" s="21"/>
      <c r="M17" s="13"/>
    </row>
    <row r="18" spans="1:13" x14ac:dyDescent="0.25">
      <c r="A18" t="s">
        <v>27</v>
      </c>
      <c r="B18">
        <f t="shared" si="0"/>
        <v>17</v>
      </c>
      <c r="C18" s="19">
        <v>4</v>
      </c>
      <c r="D18" s="19">
        <v>2021</v>
      </c>
      <c r="E18" s="21">
        <f>'4 - 2021'!B24-'4 - 2021'!B23</f>
        <v>0</v>
      </c>
      <c r="F18" s="21">
        <f>'4 - 2021'!C24-'4 - 2021'!C23</f>
        <v>0</v>
      </c>
      <c r="G18" s="19">
        <v>0.11799999999999999</v>
      </c>
      <c r="H18" s="21">
        <f>'4 - 2021'!E24-'4 - 2021'!E23</f>
        <v>0</v>
      </c>
      <c r="I18" s="21">
        <f>'4 - 2021'!F24-'4 - 2021'!F23</f>
        <v>0</v>
      </c>
      <c r="J18" s="21">
        <f>'4 - 2021'!G24-'4 - 2021'!G23</f>
        <v>0</v>
      </c>
      <c r="K18" s="19">
        <v>0.74</v>
      </c>
      <c r="L18" s="21"/>
      <c r="M18" s="13"/>
    </row>
    <row r="19" spans="1:13" x14ac:dyDescent="0.25">
      <c r="A19" t="s">
        <v>27</v>
      </c>
      <c r="B19">
        <f>B18+1</f>
        <v>18</v>
      </c>
      <c r="C19" s="19">
        <v>4</v>
      </c>
      <c r="D19" s="19">
        <v>2021</v>
      </c>
      <c r="E19" s="21">
        <f>'4 - 2021'!B25-'4 - 2021'!B24</f>
        <v>0</v>
      </c>
      <c r="F19" s="21">
        <f>'4 - 2021'!C25-'4 - 2021'!C24</f>
        <v>0</v>
      </c>
      <c r="G19" s="19">
        <v>0.11799999999999999</v>
      </c>
      <c r="H19" s="21">
        <f>'4 - 2021'!E25-'4 - 2021'!E24</f>
        <v>0</v>
      </c>
      <c r="I19" s="21">
        <f>'4 - 2021'!F25-'4 - 2021'!F24</f>
        <v>0</v>
      </c>
      <c r="J19" s="21">
        <f>'4 - 2021'!G25-'4 - 2021'!G24</f>
        <v>0</v>
      </c>
      <c r="K19" s="19">
        <v>0.74</v>
      </c>
      <c r="L19" s="21"/>
      <c r="M19" s="13"/>
    </row>
    <row r="20" spans="1:13" x14ac:dyDescent="0.25">
      <c r="A20" t="s">
        <v>27</v>
      </c>
      <c r="B20">
        <f t="shared" si="0"/>
        <v>19</v>
      </c>
      <c r="C20" s="19">
        <v>4</v>
      </c>
      <c r="D20" s="19">
        <v>2021</v>
      </c>
      <c r="E20" s="21">
        <f>'4 - 2021'!B26-'4 - 2021'!B25</f>
        <v>0</v>
      </c>
      <c r="F20" s="21">
        <f>'4 - 2021'!C26-'4 - 2021'!C25</f>
        <v>0</v>
      </c>
      <c r="G20" s="19">
        <v>0.11799999999999999</v>
      </c>
      <c r="H20" s="21">
        <f>'4 - 2021'!E26-'4 - 2021'!E25</f>
        <v>0</v>
      </c>
      <c r="I20" s="21">
        <f>'4 - 2021'!F26-'4 - 2021'!F25</f>
        <v>0</v>
      </c>
      <c r="J20" s="21">
        <f>'4 - 2021'!G26-'4 - 2021'!G25</f>
        <v>0</v>
      </c>
      <c r="K20" s="19">
        <v>0.74</v>
      </c>
      <c r="L20" s="6"/>
      <c r="M20" s="13"/>
    </row>
    <row r="21" spans="1:13" x14ac:dyDescent="0.25">
      <c r="A21" t="s">
        <v>27</v>
      </c>
      <c r="B21">
        <f t="shared" si="0"/>
        <v>20</v>
      </c>
      <c r="C21" s="19">
        <v>4</v>
      </c>
      <c r="D21" s="19">
        <v>2021</v>
      </c>
      <c r="E21" s="21">
        <f>'4 - 2021'!B27-'4 - 2021'!B26</f>
        <v>0</v>
      </c>
      <c r="F21" s="21">
        <f>'4 - 2021'!C27-'4 - 2021'!C26</f>
        <v>0</v>
      </c>
      <c r="G21" s="19">
        <v>0.11799999999999999</v>
      </c>
      <c r="H21" s="21">
        <f>'4 - 2021'!E27-'4 - 2021'!E26</f>
        <v>0</v>
      </c>
      <c r="I21" s="21">
        <f>'4 - 2021'!F27-'4 - 2021'!F26</f>
        <v>0</v>
      </c>
      <c r="J21" s="21">
        <f>'4 - 2021'!G27-'4 - 2021'!G26</f>
        <v>0</v>
      </c>
      <c r="K21" s="19">
        <v>0.74</v>
      </c>
      <c r="L21" s="6"/>
      <c r="M21" s="13"/>
    </row>
    <row r="22" spans="1:13" x14ac:dyDescent="0.25">
      <c r="A22" t="s">
        <v>27</v>
      </c>
      <c r="B22">
        <f t="shared" si="0"/>
        <v>21</v>
      </c>
      <c r="C22" s="19">
        <v>4</v>
      </c>
      <c r="D22" s="19">
        <v>2021</v>
      </c>
      <c r="E22" s="21">
        <f>'4 - 2021'!B28-'4 - 2021'!B27</f>
        <v>0</v>
      </c>
      <c r="F22" s="21">
        <f>'4 - 2021'!C28-'4 - 2021'!C27</f>
        <v>0</v>
      </c>
      <c r="G22" s="19">
        <v>0.11799999999999999</v>
      </c>
      <c r="H22" s="21">
        <f>'4 - 2021'!E28-'4 - 2021'!E27</f>
        <v>0</v>
      </c>
      <c r="I22" s="21">
        <f>'4 - 2021'!F28-'4 - 2021'!F27</f>
        <v>0</v>
      </c>
      <c r="J22" s="21">
        <f>'4 - 2021'!G28-'4 - 2021'!G27</f>
        <v>0</v>
      </c>
      <c r="K22" s="19">
        <v>0.74</v>
      </c>
      <c r="L22" s="21"/>
      <c r="M22" s="13"/>
    </row>
    <row r="23" spans="1:13" x14ac:dyDescent="0.25">
      <c r="A23" t="s">
        <v>27</v>
      </c>
      <c r="B23">
        <f t="shared" si="0"/>
        <v>22</v>
      </c>
      <c r="C23" s="19">
        <v>4</v>
      </c>
      <c r="D23" s="19">
        <v>2021</v>
      </c>
      <c r="E23" s="21">
        <f>'4 - 2021'!B29-'4 - 2021'!B28</f>
        <v>0</v>
      </c>
      <c r="F23" s="21">
        <f>'4 - 2021'!C29-'4 - 2021'!C28</f>
        <v>0</v>
      </c>
      <c r="G23" s="19">
        <v>0.11799999999999999</v>
      </c>
      <c r="H23" s="21">
        <f>'4 - 2021'!E29-'4 - 2021'!E28</f>
        <v>0</v>
      </c>
      <c r="I23" s="21">
        <f>'4 - 2021'!F29-'4 - 2021'!F28</f>
        <v>0</v>
      </c>
      <c r="J23" s="21">
        <f>'4 - 2021'!G29-'4 - 2021'!G28</f>
        <v>0</v>
      </c>
      <c r="K23" s="19">
        <v>0.74</v>
      </c>
      <c r="L23" s="21"/>
      <c r="M23" s="13"/>
    </row>
    <row r="24" spans="1:13" x14ac:dyDescent="0.25">
      <c r="A24" t="s">
        <v>27</v>
      </c>
      <c r="B24">
        <f t="shared" si="0"/>
        <v>23</v>
      </c>
      <c r="C24" s="19">
        <v>4</v>
      </c>
      <c r="D24" s="19">
        <v>2021</v>
      </c>
      <c r="E24" s="21">
        <f>'4 - 2021'!B30-'4 - 2021'!B29</f>
        <v>0</v>
      </c>
      <c r="F24" s="21">
        <f>'4 - 2021'!C30-'4 - 2021'!C29</f>
        <v>0</v>
      </c>
      <c r="G24" s="19">
        <v>0.11799999999999999</v>
      </c>
      <c r="H24" s="21">
        <f>'4 - 2021'!E30-'4 - 2021'!E29</f>
        <v>0</v>
      </c>
      <c r="I24" s="21">
        <f>'4 - 2021'!F30-'4 - 2021'!F29</f>
        <v>0</v>
      </c>
      <c r="J24" s="21">
        <f>'4 - 2021'!G30-'4 - 2021'!G29</f>
        <v>0</v>
      </c>
      <c r="K24" s="19">
        <v>0.74</v>
      </c>
      <c r="L24" s="21"/>
      <c r="M24" s="13"/>
    </row>
    <row r="25" spans="1:13" x14ac:dyDescent="0.25">
      <c r="A25" t="s">
        <v>27</v>
      </c>
      <c r="B25">
        <f t="shared" si="0"/>
        <v>24</v>
      </c>
      <c r="C25" s="19">
        <v>4</v>
      </c>
      <c r="D25" s="19">
        <v>2021</v>
      </c>
      <c r="E25" s="21">
        <f>'4 - 2021'!B31-'4 - 2021'!B30</f>
        <v>0</v>
      </c>
      <c r="F25" s="21">
        <f>'4 - 2021'!C31-'4 - 2021'!C30</f>
        <v>0</v>
      </c>
      <c r="G25" s="19">
        <v>0.11799999999999999</v>
      </c>
      <c r="H25" s="21">
        <f>'4 - 2021'!E31-'4 - 2021'!E30</f>
        <v>0</v>
      </c>
      <c r="I25" s="21">
        <f>'4 - 2021'!F31-'4 - 2021'!F30</f>
        <v>0</v>
      </c>
      <c r="J25" s="21">
        <f>'4 - 2021'!G31-'4 - 2021'!G30</f>
        <v>0</v>
      </c>
      <c r="K25" s="19">
        <v>0.74</v>
      </c>
      <c r="L25" s="6"/>
      <c r="M25" s="13"/>
    </row>
    <row r="26" spans="1:13" x14ac:dyDescent="0.25">
      <c r="A26" t="s">
        <v>27</v>
      </c>
      <c r="B26">
        <f>B25+1</f>
        <v>25</v>
      </c>
      <c r="C26" s="19">
        <v>4</v>
      </c>
      <c r="D26" s="19">
        <v>2021</v>
      </c>
      <c r="E26" s="21">
        <f>'4 - 2021'!B32-'4 - 2021'!B31</f>
        <v>0</v>
      </c>
      <c r="F26" s="21">
        <f>'4 - 2021'!C32-'4 - 2021'!C31</f>
        <v>0</v>
      </c>
      <c r="G26" s="19">
        <v>0.11799999999999999</v>
      </c>
      <c r="H26" s="21">
        <f>'4 - 2021'!E32-'4 - 2021'!E31</f>
        <v>0</v>
      </c>
      <c r="I26" s="21">
        <f>'4 - 2021'!F32-'4 - 2021'!F31</f>
        <v>0</v>
      </c>
      <c r="J26" s="21">
        <f>'4 - 2021'!G32-'4 - 2021'!G31</f>
        <v>0</v>
      </c>
      <c r="K26" s="19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19">
        <v>4</v>
      </c>
      <c r="D27" s="19">
        <v>2021</v>
      </c>
      <c r="E27" s="21">
        <f>'4 - 2021'!B33-'4 - 2021'!B32</f>
        <v>0</v>
      </c>
      <c r="F27" s="21">
        <f>'4 - 2021'!C33-'4 - 2021'!C32</f>
        <v>0</v>
      </c>
      <c r="G27" s="19">
        <v>0.11799999999999999</v>
      </c>
      <c r="H27" s="21">
        <f>'4 - 2021'!E33-'4 - 2021'!E32</f>
        <v>0</v>
      </c>
      <c r="I27" s="21">
        <f>'4 - 2021'!F33-'4 - 2021'!F32</f>
        <v>0</v>
      </c>
      <c r="J27" s="21">
        <f>'4 - 2021'!G33-'4 - 2021'!G32</f>
        <v>0</v>
      </c>
      <c r="K27" s="19">
        <v>0.74</v>
      </c>
      <c r="L27" s="21"/>
      <c r="M27" s="13"/>
    </row>
    <row r="28" spans="1:13" x14ac:dyDescent="0.25">
      <c r="A28" t="s">
        <v>27</v>
      </c>
      <c r="B28">
        <f t="shared" si="0"/>
        <v>27</v>
      </c>
      <c r="C28" s="19">
        <v>4</v>
      </c>
      <c r="D28" s="19">
        <v>2021</v>
      </c>
      <c r="E28" s="21">
        <f>'4 - 2021'!B34-'4 - 2021'!B33</f>
        <v>0</v>
      </c>
      <c r="F28" s="21">
        <f>'4 - 2021'!C34-'4 - 2021'!C33</f>
        <v>0</v>
      </c>
      <c r="G28" s="19">
        <v>0.11799999999999999</v>
      </c>
      <c r="H28" s="21">
        <f>'4 - 2021'!E34-'4 - 2021'!E33</f>
        <v>0</v>
      </c>
      <c r="I28" s="21">
        <f>'4 - 2021'!F34-'4 - 2021'!F33</f>
        <v>0</v>
      </c>
      <c r="J28" s="21">
        <f>'4 - 2021'!G34-'4 - 2021'!G33</f>
        <v>0</v>
      </c>
      <c r="K28" s="19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19">
        <v>4</v>
      </c>
      <c r="D29" s="19">
        <v>2021</v>
      </c>
      <c r="E29" s="21">
        <f>'4 - 2021'!B35-'4 - 2021'!B34</f>
        <v>0</v>
      </c>
      <c r="F29" s="21">
        <f>'4 - 2021'!C35-'4 - 2021'!C34</f>
        <v>0</v>
      </c>
      <c r="G29" s="19">
        <v>0.11799999999999999</v>
      </c>
      <c r="H29" s="21">
        <f>'4 - 2021'!E35-'4 - 2021'!E34</f>
        <v>0</v>
      </c>
      <c r="I29" s="21">
        <f>'4 - 2021'!F35-'4 - 2021'!F34</f>
        <v>0</v>
      </c>
      <c r="J29" s="21">
        <f>'4 - 2021'!G35-'4 - 2021'!G34</f>
        <v>0</v>
      </c>
      <c r="K29" s="19">
        <v>0.74</v>
      </c>
      <c r="L29" s="6"/>
      <c r="M29" s="13"/>
    </row>
    <row r="30" spans="1:13" x14ac:dyDescent="0.25">
      <c r="A30" s="19" t="s">
        <v>27</v>
      </c>
      <c r="B30" s="19">
        <f t="shared" si="0"/>
        <v>29</v>
      </c>
      <c r="C30" s="19">
        <v>4</v>
      </c>
      <c r="D30" s="19">
        <v>2021</v>
      </c>
      <c r="E30" s="21">
        <f>'4 - 2021'!B36-'4 - 2021'!B35</f>
        <v>0</v>
      </c>
      <c r="F30" s="21">
        <f>'4 - 2021'!C36-'4 - 2021'!C35</f>
        <v>0</v>
      </c>
      <c r="G30" s="19">
        <v>0.11799999999999999</v>
      </c>
      <c r="H30" s="21">
        <f>'4 - 2021'!E36-'4 - 2021'!E35</f>
        <v>0</v>
      </c>
      <c r="I30" s="21">
        <f>'4 - 2021'!F36-'4 - 2021'!F35</f>
        <v>0</v>
      </c>
      <c r="J30" s="21">
        <f>'4 - 2021'!G36-'4 - 2021'!G35</f>
        <v>0</v>
      </c>
      <c r="K30" s="19">
        <v>0.74</v>
      </c>
      <c r="L30" s="21"/>
    </row>
    <row r="31" spans="1:13" x14ac:dyDescent="0.25">
      <c r="A31" s="19" t="s">
        <v>27</v>
      </c>
      <c r="B31" s="19">
        <f t="shared" si="0"/>
        <v>30</v>
      </c>
      <c r="C31" s="19">
        <v>4</v>
      </c>
      <c r="D31" s="19">
        <v>2021</v>
      </c>
      <c r="E31" s="21">
        <f>'4 - 2021'!B37-'4 - 2021'!B36</f>
        <v>0</v>
      </c>
      <c r="F31" s="21">
        <f>'4 - 2021'!C37-'4 - 2021'!C36</f>
        <v>0</v>
      </c>
      <c r="G31" s="19">
        <v>0.11799999999999999</v>
      </c>
      <c r="H31" s="21">
        <f>'4 - 2021'!E37-'4 - 2021'!E36</f>
        <v>0</v>
      </c>
      <c r="I31" s="21">
        <f>'4 - 2021'!F37-'4 - 2021'!F36</f>
        <v>0</v>
      </c>
      <c r="J31" s="21">
        <f>'4 - 2021'!G37-'4 - 2021'!G36</f>
        <v>0</v>
      </c>
      <c r="K31" s="19">
        <v>0.74</v>
      </c>
      <c r="L31" s="2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5"/>
  <sheetViews>
    <sheetView zoomScaleNormal="100" workbookViewId="0">
      <selection activeCell="K15" sqref="K15"/>
    </sheetView>
  </sheetViews>
  <sheetFormatPr defaultRowHeight="15" x14ac:dyDescent="0.25"/>
  <cols>
    <col min="1" max="1" width="13.5703125" style="19" customWidth="1"/>
    <col min="2" max="2" width="11.5703125" style="19" customWidth="1"/>
    <col min="3" max="3" width="12" style="19" customWidth="1"/>
    <col min="4" max="4" width="9.85546875" style="19" customWidth="1"/>
    <col min="5" max="5" width="11.42578125" style="19" customWidth="1"/>
    <col min="6" max="6" width="11.7109375" style="19" customWidth="1"/>
    <col min="7" max="7" width="11.28515625" style="19" customWidth="1"/>
    <col min="8" max="9" width="13.5703125" style="19" customWidth="1"/>
    <col min="10" max="10" width="14.28515625" style="19" customWidth="1"/>
    <col min="11" max="11" width="16.42578125" style="19" customWidth="1"/>
    <col min="12" max="12" width="39" style="19" customWidth="1"/>
    <col min="13" max="13" width="14.140625" style="19" customWidth="1"/>
    <col min="14" max="16384" width="9.140625" style="19"/>
  </cols>
  <sheetData>
    <row r="1" spans="1:17" x14ac:dyDescent="0.25">
      <c r="H1" s="20"/>
      <c r="I1" s="20"/>
    </row>
    <row r="3" spans="1:17" ht="18.75" x14ac:dyDescent="0.3">
      <c r="A3" s="76" t="s">
        <v>30</v>
      </c>
      <c r="B3" s="76"/>
      <c r="C3" s="76"/>
      <c r="D3" s="76"/>
      <c r="E3" s="76"/>
      <c r="F3" s="76"/>
      <c r="G3" s="76"/>
      <c r="H3" s="76"/>
      <c r="I3" s="76"/>
      <c r="J3" s="76"/>
    </row>
    <row r="4" spans="1:17" ht="16.5" thickBot="1" x14ac:dyDescent="0.3">
      <c r="A4" s="69" t="s">
        <v>37</v>
      </c>
      <c r="B4" s="69"/>
      <c r="C4" s="69"/>
      <c r="D4" s="69"/>
      <c r="E4" s="69"/>
      <c r="F4" s="69"/>
      <c r="G4" s="69"/>
      <c r="H4" s="69"/>
      <c r="I4" s="69"/>
      <c r="J4" s="69"/>
    </row>
    <row r="5" spans="1:17" ht="16.5" thickBot="1" x14ac:dyDescent="0.3">
      <c r="A5" s="2"/>
      <c r="B5" s="70" t="s">
        <v>36</v>
      </c>
      <c r="C5" s="71"/>
      <c r="D5" s="70" t="s">
        <v>0</v>
      </c>
      <c r="E5" s="72"/>
      <c r="F5" s="72"/>
      <c r="G5" s="73"/>
      <c r="H5" s="74" t="s">
        <v>1</v>
      </c>
      <c r="I5" s="75"/>
      <c r="J5" s="23" t="s">
        <v>2</v>
      </c>
      <c r="K5" s="3"/>
    </row>
    <row r="6" spans="1:17" ht="50.25" customHeight="1" x14ac:dyDescent="0.25">
      <c r="A6" s="29" t="s">
        <v>3</v>
      </c>
      <c r="B6" s="30" t="s">
        <v>33</v>
      </c>
      <c r="C6" s="31" t="s">
        <v>34</v>
      </c>
      <c r="D6" s="31" t="s">
        <v>4</v>
      </c>
      <c r="E6" s="31" t="s">
        <v>5</v>
      </c>
      <c r="F6" s="31" t="s">
        <v>6</v>
      </c>
      <c r="G6" s="32" t="s">
        <v>7</v>
      </c>
      <c r="H6" s="31" t="s">
        <v>28</v>
      </c>
      <c r="I6" s="31" t="s">
        <v>29</v>
      </c>
      <c r="J6" s="31" t="s">
        <v>8</v>
      </c>
      <c r="K6" s="24" t="s">
        <v>31</v>
      </c>
      <c r="L6" s="25" t="s">
        <v>32</v>
      </c>
    </row>
    <row r="7" spans="1:17" s="14" customFormat="1" ht="12.95" customHeight="1" x14ac:dyDescent="0.25">
      <c r="A7" s="54">
        <v>44286</v>
      </c>
      <c r="B7" s="62">
        <v>509328</v>
      </c>
      <c r="C7" s="63">
        <v>455305</v>
      </c>
      <c r="D7" s="15">
        <v>0.55000000000000004</v>
      </c>
      <c r="E7" s="59">
        <v>13687.97</v>
      </c>
      <c r="F7" s="55">
        <v>3279.36</v>
      </c>
      <c r="G7" s="55">
        <v>27719.1</v>
      </c>
      <c r="H7" s="62">
        <v>14528</v>
      </c>
      <c r="I7" s="62">
        <v>114409</v>
      </c>
      <c r="J7" s="62">
        <v>45003433</v>
      </c>
      <c r="K7" s="40"/>
      <c r="L7" s="41"/>
      <c r="M7" s="34"/>
    </row>
    <row r="8" spans="1:17" s="14" customFormat="1" ht="12.95" customHeight="1" x14ac:dyDescent="0.25">
      <c r="A8" s="33">
        <f>A7+1</f>
        <v>44287</v>
      </c>
      <c r="B8" s="58">
        <v>512389</v>
      </c>
      <c r="C8" s="58">
        <v>461028</v>
      </c>
      <c r="D8" s="15">
        <v>0.48</v>
      </c>
      <c r="E8" s="59">
        <f>E7+26</f>
        <v>13713.97</v>
      </c>
      <c r="F8" s="56">
        <v>3284.56</v>
      </c>
      <c r="G8" s="58">
        <v>27760.89</v>
      </c>
      <c r="H8" s="58">
        <v>14528</v>
      </c>
      <c r="I8" s="58">
        <v>114510</v>
      </c>
      <c r="J8" s="58">
        <v>45026412</v>
      </c>
      <c r="K8" s="28"/>
      <c r="L8" s="51"/>
      <c r="M8" s="34"/>
    </row>
    <row r="9" spans="1:17" s="14" customFormat="1" ht="12.95" customHeight="1" x14ac:dyDescent="0.25">
      <c r="A9" s="33">
        <f t="shared" ref="A9:A37" si="0">A8+1</f>
        <v>44288</v>
      </c>
      <c r="B9" s="58">
        <v>515748</v>
      </c>
      <c r="C9" s="55">
        <v>466700</v>
      </c>
      <c r="D9" s="15">
        <v>0.4</v>
      </c>
      <c r="E9" s="59">
        <f>E8+26</f>
        <v>13739.97</v>
      </c>
      <c r="F9" s="56">
        <v>3289.69</v>
      </c>
      <c r="G9" s="56">
        <v>27806.32</v>
      </c>
      <c r="H9" s="58">
        <v>14528</v>
      </c>
      <c r="I9" s="62">
        <v>114607</v>
      </c>
      <c r="J9" s="62">
        <v>45047905</v>
      </c>
      <c r="K9" s="16"/>
      <c r="L9" s="52"/>
      <c r="M9" s="34"/>
    </row>
    <row r="10" spans="1:17" s="14" customFormat="1" ht="12.95" customHeight="1" x14ac:dyDescent="0.25">
      <c r="A10" s="33">
        <f t="shared" si="0"/>
        <v>44289</v>
      </c>
      <c r="B10" s="62">
        <v>518967</v>
      </c>
      <c r="C10" s="62">
        <v>472253</v>
      </c>
      <c r="D10" s="15">
        <v>0.32</v>
      </c>
      <c r="E10" s="59">
        <v>13765.97</v>
      </c>
      <c r="F10" s="56">
        <v>3295.1</v>
      </c>
      <c r="G10" s="56">
        <v>27851.78</v>
      </c>
      <c r="H10" s="58">
        <v>14528</v>
      </c>
      <c r="I10" s="62">
        <v>114691</v>
      </c>
      <c r="J10" s="67">
        <v>45068524</v>
      </c>
      <c r="K10" s="16"/>
      <c r="L10" s="52"/>
      <c r="M10" s="34"/>
    </row>
    <row r="11" spans="1:17" s="14" customFormat="1" ht="12.95" customHeight="1" x14ac:dyDescent="0.25">
      <c r="A11" s="33">
        <f t="shared" si="0"/>
        <v>44290</v>
      </c>
      <c r="B11" s="62">
        <v>522224</v>
      </c>
      <c r="C11" s="62">
        <v>477853</v>
      </c>
      <c r="D11" s="15">
        <v>0.8</v>
      </c>
      <c r="E11" s="59">
        <f>E10+26</f>
        <v>13791.97</v>
      </c>
      <c r="F11" s="56">
        <v>3300.41</v>
      </c>
      <c r="G11" s="56">
        <v>27897.15</v>
      </c>
      <c r="H11" s="58">
        <v>14528</v>
      </c>
      <c r="I11" s="62">
        <v>114792</v>
      </c>
      <c r="J11" s="62">
        <v>45088463</v>
      </c>
      <c r="K11" s="16"/>
      <c r="L11" s="52"/>
      <c r="M11" s="34"/>
    </row>
    <row r="12" spans="1:17" s="14" customFormat="1" ht="12.95" customHeight="1" x14ac:dyDescent="0.25">
      <c r="A12" s="33">
        <f t="shared" si="0"/>
        <v>44291</v>
      </c>
      <c r="B12" s="58">
        <v>525764</v>
      </c>
      <c r="C12" s="58">
        <v>483352</v>
      </c>
      <c r="D12" s="15">
        <v>0.73</v>
      </c>
      <c r="E12" s="59">
        <v>13817.97</v>
      </c>
      <c r="F12" s="58">
        <v>3305.82</v>
      </c>
      <c r="G12" s="58">
        <v>27941.91</v>
      </c>
      <c r="H12" s="58">
        <v>14528</v>
      </c>
      <c r="I12" s="58">
        <v>114892</v>
      </c>
      <c r="J12" s="58">
        <v>45111502</v>
      </c>
      <c r="K12" s="16"/>
      <c r="L12" s="52"/>
      <c r="M12" s="34"/>
      <c r="N12" s="34"/>
    </row>
    <row r="13" spans="1:17" s="14" customFormat="1" ht="12.95" customHeight="1" x14ac:dyDescent="0.25">
      <c r="A13" s="33">
        <f t="shared" si="0"/>
        <v>44292</v>
      </c>
      <c r="B13" s="64">
        <v>529204</v>
      </c>
      <c r="C13" s="55">
        <v>488833</v>
      </c>
      <c r="D13" s="15">
        <v>0.65</v>
      </c>
      <c r="E13" s="59">
        <v>13843.97</v>
      </c>
      <c r="F13" s="56">
        <v>3311.14</v>
      </c>
      <c r="G13" s="56">
        <v>27992.09</v>
      </c>
      <c r="H13" s="62">
        <v>14528</v>
      </c>
      <c r="I13" s="55">
        <v>114985</v>
      </c>
      <c r="J13" s="55">
        <v>45132088</v>
      </c>
      <c r="K13" s="16"/>
      <c r="L13" s="52"/>
      <c r="M13" s="34"/>
      <c r="N13" s="44"/>
      <c r="O13" s="44"/>
      <c r="P13" s="44"/>
      <c r="Q13" s="44"/>
    </row>
    <row r="14" spans="1:17" s="14" customFormat="1" ht="12.95" customHeight="1" x14ac:dyDescent="0.25">
      <c r="A14" s="33">
        <f t="shared" si="0"/>
        <v>44293</v>
      </c>
      <c r="B14" s="62">
        <v>532632</v>
      </c>
      <c r="C14" s="62">
        <v>494377</v>
      </c>
      <c r="D14" s="15">
        <v>0.56000000000000005</v>
      </c>
      <c r="E14" s="59">
        <v>13869.97</v>
      </c>
      <c r="F14" s="56">
        <v>3316.22</v>
      </c>
      <c r="G14" s="55">
        <v>28036.77</v>
      </c>
      <c r="H14" s="62">
        <v>14528</v>
      </c>
      <c r="I14" s="62">
        <v>115087</v>
      </c>
      <c r="J14" s="62">
        <v>45151168</v>
      </c>
      <c r="K14" s="16"/>
      <c r="L14" s="52"/>
      <c r="M14" s="34"/>
      <c r="N14" s="44"/>
      <c r="O14" s="44"/>
      <c r="P14" s="44"/>
      <c r="Q14" s="44"/>
    </row>
    <row r="15" spans="1:17" s="14" customFormat="1" ht="12.95" customHeight="1" x14ac:dyDescent="0.25">
      <c r="A15" s="33">
        <f t="shared" si="0"/>
        <v>44294</v>
      </c>
      <c r="B15" s="62">
        <v>535832</v>
      </c>
      <c r="C15" s="62">
        <v>499612</v>
      </c>
      <c r="D15" s="15">
        <v>0.45</v>
      </c>
      <c r="E15" s="59">
        <v>13895.97</v>
      </c>
      <c r="F15" s="56">
        <v>3320.98</v>
      </c>
      <c r="G15" s="55">
        <v>28080.21</v>
      </c>
      <c r="H15" s="62">
        <v>14528</v>
      </c>
      <c r="I15" s="62">
        <v>115188</v>
      </c>
      <c r="J15" s="62">
        <v>45170674</v>
      </c>
      <c r="K15" s="16"/>
      <c r="L15" s="52"/>
      <c r="M15" s="34"/>
      <c r="N15" s="44"/>
      <c r="O15" s="44"/>
      <c r="P15" s="44"/>
      <c r="Q15" s="44"/>
    </row>
    <row r="16" spans="1:17" s="14" customFormat="1" ht="12.95" customHeight="1" x14ac:dyDescent="0.25">
      <c r="A16" s="33">
        <f t="shared" si="0"/>
        <v>44295</v>
      </c>
      <c r="B16" s="65"/>
      <c r="C16" s="62"/>
      <c r="D16" s="15"/>
      <c r="E16" s="59"/>
      <c r="F16" s="56"/>
      <c r="G16" s="55"/>
      <c r="H16" s="62"/>
      <c r="I16" s="62"/>
      <c r="J16" s="62"/>
      <c r="K16" s="16"/>
      <c r="L16" s="52"/>
      <c r="M16" s="34"/>
      <c r="N16" s="44"/>
      <c r="O16" s="44"/>
      <c r="P16" s="44"/>
      <c r="Q16" s="44"/>
    </row>
    <row r="17" spans="1:19" s="14" customFormat="1" ht="12.95" customHeight="1" x14ac:dyDescent="0.25">
      <c r="A17" s="33">
        <f t="shared" si="0"/>
        <v>44296</v>
      </c>
      <c r="B17" s="55"/>
      <c r="C17" s="55"/>
      <c r="D17" s="22"/>
      <c r="E17" s="59"/>
      <c r="F17" s="56"/>
      <c r="G17" s="55"/>
      <c r="H17" s="62"/>
      <c r="I17" s="55"/>
      <c r="J17" s="55"/>
      <c r="K17" s="16"/>
      <c r="L17" s="52"/>
      <c r="M17" s="34"/>
      <c r="N17" s="44"/>
      <c r="O17" s="44"/>
      <c r="P17" s="44"/>
      <c r="Q17" s="44"/>
    </row>
    <row r="18" spans="1:19" s="14" customFormat="1" ht="12.95" customHeight="1" x14ac:dyDescent="0.25">
      <c r="A18" s="33">
        <f t="shared" si="0"/>
        <v>44297</v>
      </c>
      <c r="B18" s="62"/>
      <c r="C18" s="62"/>
      <c r="D18" s="15"/>
      <c r="E18" s="59"/>
      <c r="F18" s="56"/>
      <c r="G18" s="55"/>
      <c r="H18" s="62"/>
      <c r="I18" s="62"/>
      <c r="J18" s="62"/>
      <c r="K18" s="16"/>
      <c r="L18" s="52"/>
      <c r="M18" s="34"/>
      <c r="N18" s="44"/>
      <c r="O18" s="45"/>
      <c r="P18" s="44"/>
      <c r="Q18" s="44"/>
    </row>
    <row r="19" spans="1:19" s="14" customFormat="1" ht="12.95" customHeight="1" x14ac:dyDescent="0.25">
      <c r="A19" s="33">
        <f t="shared" si="0"/>
        <v>44298</v>
      </c>
      <c r="B19" s="61"/>
      <c r="C19" s="61"/>
      <c r="D19" s="15"/>
      <c r="E19" s="59"/>
      <c r="F19" s="56"/>
      <c r="G19" s="57"/>
      <c r="H19" s="62"/>
      <c r="I19" s="61"/>
      <c r="J19" s="61"/>
      <c r="K19" s="16"/>
      <c r="L19" s="52"/>
      <c r="M19" s="34"/>
      <c r="N19" s="44"/>
      <c r="O19" s="45"/>
      <c r="P19" s="44"/>
      <c r="Q19" s="44"/>
    </row>
    <row r="20" spans="1:19" s="14" customFormat="1" ht="12.95" customHeight="1" x14ac:dyDescent="0.25">
      <c r="A20" s="33">
        <f t="shared" si="0"/>
        <v>44299</v>
      </c>
      <c r="B20" s="61"/>
      <c r="C20" s="61"/>
      <c r="D20" s="15"/>
      <c r="E20" s="59"/>
      <c r="F20" s="56"/>
      <c r="G20" s="57"/>
      <c r="H20" s="62"/>
      <c r="I20" s="61"/>
      <c r="J20" s="61"/>
      <c r="K20" s="16"/>
      <c r="L20" s="52"/>
      <c r="M20" s="34"/>
      <c r="N20" s="46"/>
      <c r="O20" s="44"/>
      <c r="P20" s="44"/>
      <c r="Q20" s="44"/>
    </row>
    <row r="21" spans="1:19" s="14" customFormat="1" ht="12.95" customHeight="1" x14ac:dyDescent="0.25">
      <c r="A21" s="33">
        <f t="shared" si="0"/>
        <v>44300</v>
      </c>
      <c r="B21" s="61"/>
      <c r="C21" s="61"/>
      <c r="D21" s="15"/>
      <c r="E21" s="59"/>
      <c r="F21" s="56"/>
      <c r="G21" s="57"/>
      <c r="H21" s="62"/>
      <c r="I21" s="61"/>
      <c r="J21" s="61"/>
      <c r="K21" s="16"/>
      <c r="L21" s="52"/>
      <c r="M21" s="34"/>
      <c r="N21" s="46"/>
      <c r="O21" s="46"/>
      <c r="P21" s="47"/>
      <c r="Q21" s="47"/>
      <c r="S21" s="34"/>
    </row>
    <row r="22" spans="1:19" s="14" customFormat="1" ht="12.95" customHeight="1" x14ac:dyDescent="0.25">
      <c r="A22" s="33">
        <f t="shared" si="0"/>
        <v>44301</v>
      </c>
      <c r="B22" s="65"/>
      <c r="C22" s="65"/>
      <c r="D22" s="15"/>
      <c r="E22" s="59"/>
      <c r="F22" s="56"/>
      <c r="G22" s="57"/>
      <c r="H22" s="62"/>
      <c r="I22" s="57"/>
      <c r="J22" s="61"/>
      <c r="K22" s="16"/>
      <c r="L22" s="52"/>
      <c r="M22" s="34"/>
      <c r="N22" s="46"/>
      <c r="O22" s="46"/>
      <c r="P22" s="44"/>
      <c r="Q22" s="44"/>
    </row>
    <row r="23" spans="1:19" s="14" customFormat="1" ht="12.95" customHeight="1" x14ac:dyDescent="0.25">
      <c r="A23" s="33">
        <f t="shared" si="0"/>
        <v>44302</v>
      </c>
      <c r="B23" s="61"/>
      <c r="C23" s="61"/>
      <c r="D23" s="15"/>
      <c r="E23" s="59"/>
      <c r="F23" s="56"/>
      <c r="G23" s="57"/>
      <c r="H23" s="62"/>
      <c r="I23" s="61"/>
      <c r="J23" s="61"/>
      <c r="K23" s="16"/>
      <c r="L23" s="52"/>
      <c r="M23" s="34"/>
      <c r="N23" s="46"/>
      <c r="O23" s="44"/>
      <c r="P23" s="44"/>
      <c r="Q23" s="44"/>
    </row>
    <row r="24" spans="1:19" s="14" customFormat="1" ht="12.95" customHeight="1" x14ac:dyDescent="0.25">
      <c r="A24" s="33">
        <f t="shared" si="0"/>
        <v>44303</v>
      </c>
      <c r="B24" s="61"/>
      <c r="C24" s="61"/>
      <c r="D24" s="15"/>
      <c r="E24" s="59"/>
      <c r="F24" s="56"/>
      <c r="G24" s="57"/>
      <c r="H24" s="62"/>
      <c r="I24" s="61"/>
      <c r="J24" s="61"/>
      <c r="K24" s="16"/>
      <c r="L24" s="26"/>
      <c r="M24" s="34"/>
      <c r="N24" s="46"/>
      <c r="O24" s="46"/>
      <c r="P24" s="44"/>
      <c r="Q24" s="44"/>
    </row>
    <row r="25" spans="1:19" s="14" customFormat="1" ht="12.95" customHeight="1" x14ac:dyDescent="0.25">
      <c r="A25" s="33">
        <f t="shared" si="0"/>
        <v>44304</v>
      </c>
      <c r="B25" s="57"/>
      <c r="C25" s="57"/>
      <c r="D25" s="22"/>
      <c r="E25" s="59"/>
      <c r="F25" s="56"/>
      <c r="G25" s="57"/>
      <c r="H25" s="62"/>
      <c r="I25" s="61"/>
      <c r="J25" s="61"/>
      <c r="K25" s="17"/>
      <c r="L25" s="26"/>
      <c r="M25" s="34"/>
      <c r="N25" s="46"/>
      <c r="O25" s="46"/>
      <c r="P25" s="44"/>
      <c r="Q25" s="44"/>
    </row>
    <row r="26" spans="1:19" s="14" customFormat="1" ht="12.95" customHeight="1" x14ac:dyDescent="0.25">
      <c r="A26" s="33">
        <f t="shared" si="0"/>
        <v>44305</v>
      </c>
      <c r="B26" s="57"/>
      <c r="C26" s="57"/>
      <c r="D26" s="22"/>
      <c r="E26" s="59"/>
      <c r="F26" s="56"/>
      <c r="G26" s="57"/>
      <c r="H26" s="62"/>
      <c r="I26" s="61"/>
      <c r="J26" s="61"/>
      <c r="K26" s="16"/>
      <c r="L26" s="26"/>
      <c r="M26" s="34"/>
      <c r="N26" s="46"/>
      <c r="O26" s="46"/>
      <c r="P26" s="44"/>
      <c r="Q26" s="44"/>
    </row>
    <row r="27" spans="1:19" s="14" customFormat="1" ht="12.95" customHeight="1" x14ac:dyDescent="0.25">
      <c r="A27" s="33">
        <f t="shared" si="0"/>
        <v>44306</v>
      </c>
      <c r="B27" s="61"/>
      <c r="C27" s="61"/>
      <c r="D27" s="15"/>
      <c r="E27" s="59"/>
      <c r="F27" s="56"/>
      <c r="G27" s="57"/>
      <c r="H27" s="62"/>
      <c r="I27" s="61"/>
      <c r="J27" s="61"/>
      <c r="K27" s="16"/>
      <c r="L27" s="52"/>
      <c r="M27" s="34"/>
    </row>
    <row r="28" spans="1:19" s="14" customFormat="1" ht="12.95" customHeight="1" x14ac:dyDescent="0.25">
      <c r="A28" s="33">
        <f t="shared" si="0"/>
        <v>44307</v>
      </c>
      <c r="B28" s="60"/>
      <c r="C28" s="61"/>
      <c r="D28" s="15"/>
      <c r="E28" s="59"/>
      <c r="F28" s="56"/>
      <c r="G28" s="57"/>
      <c r="H28" s="62"/>
      <c r="I28" s="61"/>
      <c r="J28" s="61"/>
      <c r="K28" s="16"/>
      <c r="L28" s="52"/>
      <c r="M28" s="34"/>
    </row>
    <row r="29" spans="1:19" s="14" customFormat="1" ht="12.95" customHeight="1" x14ac:dyDescent="0.25">
      <c r="A29" s="33">
        <f t="shared" si="0"/>
        <v>44308</v>
      </c>
      <c r="B29" s="61"/>
      <c r="C29" s="61"/>
      <c r="D29" s="15"/>
      <c r="E29" s="59"/>
      <c r="F29" s="56"/>
      <c r="G29" s="57"/>
      <c r="H29" s="62"/>
      <c r="I29" s="61"/>
      <c r="J29" s="61"/>
      <c r="K29" s="16"/>
      <c r="L29" s="52"/>
      <c r="M29" s="34"/>
      <c r="N29" s="34"/>
    </row>
    <row r="30" spans="1:19" s="14" customFormat="1" ht="12.95" customHeight="1" x14ac:dyDescent="0.25">
      <c r="A30" s="33">
        <f t="shared" si="0"/>
        <v>44309</v>
      </c>
      <c r="B30" s="61"/>
      <c r="C30" s="61"/>
      <c r="D30" s="15"/>
      <c r="E30" s="59"/>
      <c r="F30" s="56"/>
      <c r="G30" s="57"/>
      <c r="H30" s="62"/>
      <c r="I30" s="61"/>
      <c r="J30" s="61"/>
      <c r="K30" s="16"/>
      <c r="L30" s="52"/>
      <c r="M30" s="34"/>
    </row>
    <row r="31" spans="1:19" s="14" customFormat="1" ht="12.95" customHeight="1" x14ac:dyDescent="0.25">
      <c r="A31" s="33">
        <f t="shared" si="0"/>
        <v>44310</v>
      </c>
      <c r="B31" s="61"/>
      <c r="C31" s="61"/>
      <c r="D31" s="15"/>
      <c r="E31" s="59"/>
      <c r="F31" s="56"/>
      <c r="G31" s="57"/>
      <c r="H31" s="62"/>
      <c r="I31" s="61"/>
      <c r="J31" s="61"/>
      <c r="K31" s="16"/>
      <c r="L31" s="53"/>
      <c r="M31" s="34"/>
      <c r="N31" s="34"/>
      <c r="O31" s="34"/>
    </row>
    <row r="32" spans="1:19" s="14" customFormat="1" ht="12.95" customHeight="1" x14ac:dyDescent="0.25">
      <c r="A32" s="33">
        <f t="shared" si="0"/>
        <v>44311</v>
      </c>
      <c r="B32" s="61"/>
      <c r="C32" s="61"/>
      <c r="D32" s="15"/>
      <c r="E32" s="59"/>
      <c r="F32" s="56"/>
      <c r="G32" s="57"/>
      <c r="H32" s="62"/>
      <c r="I32" s="61"/>
      <c r="J32" s="61"/>
      <c r="K32" s="16"/>
      <c r="L32" s="53"/>
      <c r="M32" s="34"/>
      <c r="N32" s="34"/>
      <c r="O32" s="34"/>
    </row>
    <row r="33" spans="1:16" s="14" customFormat="1" ht="12.95" customHeight="1" x14ac:dyDescent="0.25">
      <c r="A33" s="33">
        <f t="shared" si="0"/>
        <v>44312</v>
      </c>
      <c r="B33" s="61"/>
      <c r="C33" s="61"/>
      <c r="D33" s="15"/>
      <c r="E33" s="59"/>
      <c r="F33" s="56"/>
      <c r="G33" s="57"/>
      <c r="H33" s="62"/>
      <c r="I33" s="61"/>
      <c r="J33" s="61"/>
      <c r="K33" s="16"/>
      <c r="L33" s="52"/>
      <c r="N33" s="34"/>
      <c r="O33" s="34"/>
    </row>
    <row r="34" spans="1:16" s="14" customFormat="1" ht="12.95" customHeight="1" x14ac:dyDescent="0.25">
      <c r="A34" s="33">
        <f t="shared" si="0"/>
        <v>44313</v>
      </c>
      <c r="B34" s="57"/>
      <c r="C34" s="66"/>
      <c r="D34" s="22"/>
      <c r="E34" s="59"/>
      <c r="F34" s="56"/>
      <c r="G34" s="57"/>
      <c r="H34" s="62"/>
      <c r="I34" s="57"/>
      <c r="J34" s="57"/>
      <c r="K34" s="16"/>
      <c r="L34" s="52"/>
      <c r="N34" s="34"/>
      <c r="P34" s="34"/>
    </row>
    <row r="35" spans="1:16" s="14" customFormat="1" ht="12.95" customHeight="1" x14ac:dyDescent="0.25">
      <c r="A35" s="33">
        <f>A34+1</f>
        <v>44314</v>
      </c>
      <c r="B35" s="62"/>
      <c r="C35" s="63"/>
      <c r="D35" s="15"/>
      <c r="E35" s="59"/>
      <c r="F35" s="55"/>
      <c r="G35" s="55"/>
      <c r="H35" s="62"/>
      <c r="I35" s="62"/>
      <c r="J35" s="62"/>
      <c r="K35" s="16"/>
      <c r="L35" s="52"/>
      <c r="M35" s="34"/>
      <c r="N35" s="34"/>
      <c r="O35" s="34"/>
    </row>
    <row r="36" spans="1:16" x14ac:dyDescent="0.25">
      <c r="A36" s="54">
        <f t="shared" si="0"/>
        <v>44315</v>
      </c>
      <c r="B36" s="62"/>
      <c r="C36" s="63"/>
      <c r="D36" s="15"/>
      <c r="E36" s="59"/>
      <c r="F36" s="55"/>
      <c r="G36" s="55"/>
      <c r="H36" s="62"/>
      <c r="I36" s="62"/>
      <c r="J36" s="62"/>
      <c r="K36" s="16"/>
      <c r="L36" s="16"/>
    </row>
    <row r="37" spans="1:16" x14ac:dyDescent="0.25">
      <c r="A37" s="54">
        <f t="shared" si="0"/>
        <v>44316</v>
      </c>
      <c r="B37" s="62"/>
      <c r="C37" s="63"/>
      <c r="D37" s="15"/>
      <c r="E37" s="59"/>
      <c r="F37" s="55"/>
      <c r="G37" s="55"/>
      <c r="H37" s="62"/>
      <c r="I37" s="62"/>
      <c r="J37" s="62"/>
      <c r="K37" s="16"/>
      <c r="L37" s="16"/>
    </row>
    <row r="38" spans="1:16" ht="15" customHeight="1" x14ac:dyDescent="0.25">
      <c r="A38" s="35" t="s">
        <v>35</v>
      </c>
      <c r="B38" s="27">
        <f t="shared" ref="B38:J38" si="1">B37-B7</f>
        <v>-509328</v>
      </c>
      <c r="C38" s="27">
        <f t="shared" si="1"/>
        <v>-455305</v>
      </c>
      <c r="D38" s="27">
        <f t="shared" si="1"/>
        <v>-0.55000000000000004</v>
      </c>
      <c r="E38" s="27">
        <f t="shared" si="1"/>
        <v>-13687.97</v>
      </c>
      <c r="F38" s="27">
        <f t="shared" si="1"/>
        <v>-3279.36</v>
      </c>
      <c r="G38" s="27">
        <f t="shared" si="1"/>
        <v>-27719.1</v>
      </c>
      <c r="H38" s="27">
        <f t="shared" si="1"/>
        <v>-14528</v>
      </c>
      <c r="I38" s="27">
        <f t="shared" si="1"/>
        <v>-114409</v>
      </c>
      <c r="J38" s="27">
        <f t="shared" si="1"/>
        <v>-45003433</v>
      </c>
      <c r="K38" s="27">
        <f>SUM(K7:K37)</f>
        <v>0</v>
      </c>
    </row>
    <row r="39" spans="1:16" s="48" customFormat="1" ht="15" customHeight="1" x14ac:dyDescent="0.25">
      <c r="A39" s="19"/>
      <c r="B39" s="19"/>
      <c r="C39" s="27"/>
      <c r="D39" s="19"/>
      <c r="E39" s="21"/>
      <c r="F39" s="21"/>
      <c r="G39" s="21"/>
      <c r="H39" s="18">
        <f>H38*219.969</f>
        <v>-3195709.6319999998</v>
      </c>
      <c r="I39" s="27">
        <f>I38*219.969</f>
        <v>-25166433.320999999</v>
      </c>
      <c r="J39" s="21"/>
      <c r="K39" s="19"/>
      <c r="L39" s="19"/>
    </row>
    <row r="40" spans="1:16" ht="15" customHeight="1" x14ac:dyDescent="0.25">
      <c r="H40" s="14" t="s">
        <v>38</v>
      </c>
    </row>
    <row r="41" spans="1:16" x14ac:dyDescent="0.25">
      <c r="A41" s="48"/>
      <c r="B41" s="68">
        <f>B32-B10</f>
        <v>-518967</v>
      </c>
      <c r="C41" s="68">
        <f>C32-C10</f>
        <v>-472253</v>
      </c>
      <c r="D41" s="48"/>
      <c r="E41" s="68">
        <f>E32-E10</f>
        <v>-13765.97</v>
      </c>
      <c r="F41" s="68">
        <f>F32-F10</f>
        <v>-3295.1</v>
      </c>
      <c r="G41" s="68">
        <f>G32-G10</f>
        <v>-27851.78</v>
      </c>
      <c r="H41" s="68">
        <f>H32-H10</f>
        <v>-14528</v>
      </c>
      <c r="I41" s="68">
        <f t="shared" ref="I41:J41" si="2">I32-I10</f>
        <v>-114691</v>
      </c>
      <c r="J41" s="68">
        <f t="shared" si="2"/>
        <v>-45068524</v>
      </c>
      <c r="K41" s="48"/>
      <c r="L41" s="48"/>
    </row>
    <row r="42" spans="1:16" x14ac:dyDescent="0.25">
      <c r="I42" s="18">
        <f>I41*219.969</f>
        <v>-25228464.579</v>
      </c>
      <c r="J42" s="19">
        <v>768611</v>
      </c>
    </row>
    <row r="43" spans="1:16" x14ac:dyDescent="0.25">
      <c r="C43" s="21">
        <f>C41+B41</f>
        <v>-991220</v>
      </c>
      <c r="I43" s="19">
        <v>450276.54300000001</v>
      </c>
    </row>
    <row r="44" spans="1:16" x14ac:dyDescent="0.25">
      <c r="C44" s="19">
        <v>178662</v>
      </c>
      <c r="J44" s="49">
        <f>SUM(J42-J41)/J41</f>
        <v>-1.0170542749525144</v>
      </c>
    </row>
    <row r="45" spans="1:16" x14ac:dyDescent="0.25">
      <c r="C45" s="50">
        <f>SUM(C44-C43)/C43</f>
        <v>-1.1802445471237466</v>
      </c>
      <c r="I45" s="49">
        <f>SUM(I43-I42)/I42</f>
        <v>-1.0178479566836107</v>
      </c>
    </row>
  </sheetData>
  <mergeCells count="5">
    <mergeCell ref="A4:J4"/>
    <mergeCell ref="B5:C5"/>
    <mergeCell ref="D5:G5"/>
    <mergeCell ref="H5:I5"/>
    <mergeCell ref="A3:J3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4 - 2021</vt:lpstr>
      <vt:lpstr>'4 - 2021'!Print_Area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Vikesh Ram</cp:lastModifiedBy>
  <cp:lastPrinted>2020-05-02T15:33:01Z</cp:lastPrinted>
  <dcterms:created xsi:type="dcterms:W3CDTF">2017-04-26T09:20:12Z</dcterms:created>
  <dcterms:modified xsi:type="dcterms:W3CDTF">2021-04-08T04:25:45Z</dcterms:modified>
</cp:coreProperties>
</file>