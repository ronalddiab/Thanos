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32" documentId="13_ncr:1_{76C55D63-F869-4AF5-AAA3-3D809A91432B}" xr6:coauthVersionLast="47" xr6:coauthVersionMax="47" xr10:uidLastSave="{EA22F900-4BE0-44C1-A797-359EB791995E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27" l="1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5" i="27"/>
  <c r="J6" i="27"/>
  <c r="L36" i="27"/>
  <c r="L35" i="27"/>
  <c r="L26" i="27"/>
  <c r="L27" i="27"/>
  <c r="L28" i="27"/>
  <c r="L29" i="27"/>
  <c r="L30" i="27"/>
  <c r="L31" i="27"/>
  <c r="L32" i="27"/>
  <c r="L33" i="27"/>
  <c r="L34" i="27"/>
  <c r="G28" i="28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<sst xmlns="http://schemas.openxmlformats.org/spreadsheetml/2006/main" count="71" uniqueCount="33">
  <si>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</si>
  <si>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</si>
  <si>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</si>
  <si>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</si>
  <si>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</si>
  <si>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</si>
  <si>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</si>
  <si>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</si>
  <si>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</si>
  <si>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</si>
  <si>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</si>
  <si>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</si>
  <si>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</si>
  <si>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</si>
  <si>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</si>
  <si>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November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</si>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</sst>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3" borderId="68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164" fontId="10" fillId="3" borderId="68" xfId="6" applyNumberFormat="1" applyFont="1" applyFill="1" applyBorder="1" applyAlignment="1">
      <alignment horizontal="center" vertical="center"/>
    </xf>
    <xf numFmtId="164" fontId="10" fillId="0" borderId="75" xfId="6" applyNumberFormat="1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11</v>
      </c>
      <c r="D2" s="10">
        <v>2022</v>
      </c>
      <c r="E2" s="11">
        <f>IF(Electricity!F8&lt;0,0,Electricity!F8)</f>
        <v>21042.500000003201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2217</v>
      </c>
      <c r="J2" s="82">
        <v>0.21186441</v>
      </c>
      <c r="K2" s="11">
        <f>IF('Water, Gas, Diesel'!F6&lt;0,0,'Water, Gas, Diesel'!F6)</f>
        <v>0</v>
      </c>
      <c r="L2" s="82">
        <v>1.6949000000000001</v>
      </c>
      <c r="M2" s="11">
        <f>Electricity!H8</f>
        <v>92</v>
      </c>
      <c r="O2" s="105"/>
    </row>
    <row r="3" spans="1:15">
      <c r="A3" s="8" t="s">
        <v>13</v>
      </c>
      <c r="B3" s="9">
        <f>B2+1</f>
        <v>2</v>
      </c>
      <c r="C3" s="9">
        <v>11</v>
      </c>
      <c r="D3" s="10">
        <v>2022</v>
      </c>
      <c r="E3" s="11">
        <f>IF(Electricity!F9&lt;0,0,Electricity!F9)</f>
        <v>17169.999999996435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1911</v>
      </c>
      <c r="J3" s="82">
        <v>0.21186441</v>
      </c>
      <c r="K3" s="11">
        <f>IF('Water, Gas, Diesel'!F7&lt;0,0,'Water, Gas, Diesel'!F7)</f>
        <v>133</v>
      </c>
      <c r="L3" s="82">
        <v>1.6949000000000001</v>
      </c>
      <c r="M3" s="11">
        <f>Electricity!H9</f>
        <v>159</v>
      </c>
    </row>
    <row r="4" spans="1:15">
      <c r="A4" s="8" t="s">
        <v>13</v>
      </c>
      <c r="B4" s="9">
        <f t="shared" ref="B4:B31" si="0">B3+1</f>
        <v>3</v>
      </c>
      <c r="C4" s="9">
        <v>11</v>
      </c>
      <c r="D4" s="10">
        <v>2022</v>
      </c>
      <c r="E4" s="11">
        <f>IF(Electricity!F10&lt;0,0,Electricity!F10)</f>
        <v>23692.500000001928</v>
      </c>
      <c r="F4" s="82">
        <v>9.3200000000000005E-2</v>
      </c>
      <c r="G4" s="11">
        <f>IF('Water, Gas, Diesel'!K8&lt;0,0,'Water, Gas, Diesel'!K8)</f>
        <v>70</v>
      </c>
      <c r="H4" s="82">
        <v>0.7</v>
      </c>
      <c r="I4" s="11">
        <f>IF('Water, Gas, Diesel'!C8&lt;0,0,'Water, Gas, Diesel'!C8)</f>
        <v>1945</v>
      </c>
      <c r="J4" s="82">
        <v>0.21186441</v>
      </c>
      <c r="K4" s="11">
        <f>IF('Water, Gas, Diesel'!F8&lt;0,0,'Water, Gas, Diesel'!F8)</f>
        <v>316</v>
      </c>
      <c r="L4" s="82">
        <v>1.6949000000000001</v>
      </c>
      <c r="M4" s="11">
        <f>Electricity!H10</f>
        <v>171</v>
      </c>
    </row>
    <row r="5" spans="1:15">
      <c r="A5" s="8" t="s">
        <v>13</v>
      </c>
      <c r="B5" s="9">
        <f t="shared" si="0"/>
        <v>4</v>
      </c>
      <c r="C5" s="9">
        <v>11</v>
      </c>
      <c r="D5" s="10">
        <v>2022</v>
      </c>
      <c r="E5" s="11">
        <f>IF(Electricity!F11&lt;0,0,Electricity!F11)</f>
        <v>20759.999999995671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2416</v>
      </c>
      <c r="J5" s="82">
        <v>0.21186441</v>
      </c>
      <c r="K5" s="11">
        <f>IF('Water, Gas, Diesel'!F9&lt;0,0,'Water, Gas, Diesel'!F9)</f>
        <v>334</v>
      </c>
      <c r="L5" s="82">
        <v>1.6949000000000001</v>
      </c>
      <c r="M5" s="11">
        <f>Electricity!H11</f>
        <v>171</v>
      </c>
    </row>
    <row r="6" spans="1:15">
      <c r="A6" s="8" t="s">
        <v>13</v>
      </c>
      <c r="B6" s="9">
        <f t="shared" si="0"/>
        <v>5</v>
      </c>
      <c r="C6" s="9">
        <v>11</v>
      </c>
      <c r="D6" s="10">
        <v>2022</v>
      </c>
      <c r="E6" s="11">
        <f>IF(Electricity!F12&lt;0,0,Electricity!F12)</f>
        <v>19427.500000001601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2073</v>
      </c>
      <c r="J6" s="82">
        <v>0.21186441</v>
      </c>
      <c r="K6" s="11">
        <f>IF('Water, Gas, Diesel'!F10&lt;0,0,'Water, Gas, Diesel'!F10)</f>
        <v>309</v>
      </c>
      <c r="L6" s="82">
        <v>1.6949000000000001</v>
      </c>
      <c r="M6" s="11">
        <f>Electricity!H12</f>
        <v>79</v>
      </c>
    </row>
    <row r="7" spans="1:15">
      <c r="A7" s="8" t="s">
        <v>13</v>
      </c>
      <c r="B7" s="9">
        <f t="shared" si="0"/>
        <v>6</v>
      </c>
      <c r="C7" s="9">
        <v>11</v>
      </c>
      <c r="D7" s="10">
        <v>2022</v>
      </c>
      <c r="E7" s="11">
        <f>IF(Electricity!F13&lt;0,0,Electricity!F13)</f>
        <v>18537.500000002183</v>
      </c>
      <c r="F7" s="82">
        <v>9.3200000000000005E-2</v>
      </c>
      <c r="G7" s="11">
        <f>IF('Water, Gas, Diesel'!K11&lt;0,0,'Water, Gas, Diesel'!K11)</f>
        <v>0</v>
      </c>
      <c r="H7" s="82">
        <v>0.7</v>
      </c>
      <c r="I7" s="11">
        <f>IF('Water, Gas, Diesel'!C11&lt;0,0,'Water, Gas, Diesel'!C11)</f>
        <v>2012</v>
      </c>
      <c r="J7" s="82">
        <v>0.21186441</v>
      </c>
      <c r="K7" s="11">
        <f>IF('Water, Gas, Diesel'!F11&lt;0,0,'Water, Gas, Diesel'!F11)</f>
        <v>308</v>
      </c>
      <c r="L7" s="82">
        <v>1.6949000000000001</v>
      </c>
      <c r="M7" s="11">
        <f>Electricity!H13</f>
        <v>49</v>
      </c>
    </row>
    <row r="8" spans="1:15">
      <c r="A8" s="8" t="s">
        <v>13</v>
      </c>
      <c r="B8" s="9">
        <f t="shared" si="0"/>
        <v>7</v>
      </c>
      <c r="C8" s="9">
        <v>11</v>
      </c>
      <c r="D8" s="10">
        <v>2022</v>
      </c>
      <c r="E8" s="11">
        <f>IF(Electricity!F14&lt;0,0,Electricity!F14)</f>
        <v>17454.999999999927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2000</v>
      </c>
      <c r="J8" s="82">
        <v>0.21186441</v>
      </c>
      <c r="K8" s="11">
        <f>IF('Water, Gas, Diesel'!F12&lt;0,0,'Water, Gas, Diesel'!F12)</f>
        <v>300</v>
      </c>
      <c r="L8" s="82">
        <v>1.6949000000000001</v>
      </c>
      <c r="M8" s="11">
        <f>Electricity!H14</f>
        <v>47</v>
      </c>
    </row>
    <row r="9" spans="1:15">
      <c r="A9" s="8" t="s">
        <v>13</v>
      </c>
      <c r="B9" s="9">
        <f t="shared" si="0"/>
        <v>8</v>
      </c>
      <c r="C9" s="9">
        <v>11</v>
      </c>
      <c r="D9" s="10">
        <v>2022</v>
      </c>
      <c r="E9" s="11">
        <f>IF(Electricity!F15&lt;0,0,Electricity!F15)</f>
        <v>18200.000000001637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1956</v>
      </c>
      <c r="J9" s="82">
        <v>0.21186441</v>
      </c>
      <c r="K9" s="11">
        <f>IF('Water, Gas, Diesel'!F13&lt;0,0,'Water, Gas, Diesel'!F13)</f>
        <v>317</v>
      </c>
      <c r="L9" s="82">
        <v>1.6949000000000001</v>
      </c>
      <c r="M9" s="11">
        <f>Electricity!H15</f>
        <v>43</v>
      </c>
    </row>
    <row r="10" spans="1:15">
      <c r="A10" s="8" t="s">
        <v>13</v>
      </c>
      <c r="B10" s="9">
        <f t="shared" si="0"/>
        <v>9</v>
      </c>
      <c r="C10" s="9">
        <v>11</v>
      </c>
      <c r="D10" s="10">
        <v>2022</v>
      </c>
      <c r="E10" s="11">
        <f>IF(Electricity!F16&lt;0,0,Electricity!F16)</f>
        <v>16137.499999995271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1925</v>
      </c>
      <c r="J10" s="82">
        <v>0.21186441</v>
      </c>
      <c r="K10" s="11">
        <f>IF('Water, Gas, Diesel'!F14&lt;0,0,'Water, Gas, Diesel'!F14)</f>
        <v>87</v>
      </c>
      <c r="L10" s="82">
        <v>1.6949000000000001</v>
      </c>
      <c r="M10" s="11">
        <f>Electricity!H16</f>
        <v>50</v>
      </c>
    </row>
    <row r="11" spans="1:15">
      <c r="A11" s="8" t="s">
        <v>13</v>
      </c>
      <c r="B11" s="9">
        <f t="shared" si="0"/>
        <v>10</v>
      </c>
      <c r="C11" s="9">
        <v>11</v>
      </c>
      <c r="D11" s="10">
        <v>2022</v>
      </c>
      <c r="E11" s="11">
        <f>IF(Electricity!F17&lt;0,0,Electricity!F17)</f>
        <v>16742.500000004839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2214</v>
      </c>
      <c r="J11" s="82">
        <v>0.21186441</v>
      </c>
      <c r="K11" s="11">
        <f>IF('Water, Gas, Diesel'!F15&lt;0,0,'Water, Gas, Diesel'!F15)</f>
        <v>1</v>
      </c>
      <c r="L11" s="82">
        <v>1.6949000000000001</v>
      </c>
      <c r="M11" s="11">
        <f>Electricity!H17</f>
        <v>93</v>
      </c>
    </row>
    <row r="12" spans="1:15">
      <c r="A12" s="8" t="s">
        <v>13</v>
      </c>
      <c r="B12" s="9">
        <f t="shared" si="0"/>
        <v>11</v>
      </c>
      <c r="C12" s="9">
        <v>11</v>
      </c>
      <c r="D12" s="10">
        <v>2022</v>
      </c>
      <c r="E12" s="11">
        <f>IF(Electricity!F18&lt;0,0,Electricity!F18)</f>
        <v>20427.499999996144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2892</v>
      </c>
      <c r="J12" s="82">
        <v>0.21186441</v>
      </c>
      <c r="K12" s="11">
        <f>IF('Water, Gas, Diesel'!F16&lt;0,0,'Water, Gas, Diesel'!F16)</f>
        <v>152</v>
      </c>
      <c r="L12" s="82">
        <v>1.6949000000000001</v>
      </c>
      <c r="M12" s="11">
        <f>Electricity!H18</f>
        <v>95</v>
      </c>
    </row>
    <row r="13" spans="1:15">
      <c r="A13" s="8" t="s">
        <v>13</v>
      </c>
      <c r="B13" s="9">
        <f t="shared" si="0"/>
        <v>12</v>
      </c>
      <c r="C13" s="9">
        <v>11</v>
      </c>
      <c r="D13" s="10">
        <v>2022</v>
      </c>
      <c r="E13" s="11">
        <f>IF(Electricity!F19&lt;0,0,Electricity!F19)</f>
        <v>18072.500000002947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2607</v>
      </c>
      <c r="J13" s="82">
        <v>0.21186441</v>
      </c>
      <c r="K13" s="11">
        <f>IF('Water, Gas, Diesel'!F17&lt;0,0,'Water, Gas, Diesel'!F17)</f>
        <v>311</v>
      </c>
      <c r="L13" s="82">
        <v>1.6949000000000001</v>
      </c>
      <c r="M13" s="11">
        <f>Electricity!H19</f>
        <v>112</v>
      </c>
    </row>
    <row r="14" spans="1:15">
      <c r="A14" s="8" t="s">
        <v>13</v>
      </c>
      <c r="B14" s="9">
        <f t="shared" si="0"/>
        <v>13</v>
      </c>
      <c r="C14" s="9">
        <v>11</v>
      </c>
      <c r="D14" s="10">
        <v>2022</v>
      </c>
      <c r="E14" s="11">
        <f>IF(Electricity!F20&lt;0,0,Electricity!F20)</f>
        <v>18342.499999998836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2574</v>
      </c>
      <c r="J14" s="82">
        <v>0.21186441</v>
      </c>
      <c r="K14" s="11">
        <f>IF('Water, Gas, Diesel'!F18&lt;0,0,'Water, Gas, Diesel'!F18)</f>
        <v>292</v>
      </c>
      <c r="L14" s="82">
        <v>1.6949000000000001</v>
      </c>
      <c r="M14" s="11">
        <f>Electricity!H20</f>
        <v>117</v>
      </c>
    </row>
    <row r="15" spans="1:15">
      <c r="A15" s="8" t="s">
        <v>13</v>
      </c>
      <c r="B15" s="9">
        <f t="shared" si="0"/>
        <v>14</v>
      </c>
      <c r="C15" s="9">
        <v>11</v>
      </c>
      <c r="D15" s="10">
        <v>2022</v>
      </c>
      <c r="E15" s="11">
        <f>IF(Electricity!F21&lt;0,0,Electricity!F21)</f>
        <v>18867.499999996653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2748</v>
      </c>
      <c r="J15" s="82">
        <v>0.21186441</v>
      </c>
      <c r="K15" s="11">
        <f>IF('Water, Gas, Diesel'!F19&lt;0,0,'Water, Gas, Diesel'!F19)</f>
        <v>320</v>
      </c>
      <c r="L15" s="82">
        <v>1.6949000000000001</v>
      </c>
      <c r="M15" s="11">
        <f>Electricity!H21</f>
        <v>129</v>
      </c>
    </row>
    <row r="16" spans="1:15">
      <c r="A16" s="8" t="s">
        <v>13</v>
      </c>
      <c r="B16" s="9">
        <f t="shared" si="0"/>
        <v>15</v>
      </c>
      <c r="C16" s="9">
        <v>11</v>
      </c>
      <c r="D16" s="10">
        <v>2022</v>
      </c>
      <c r="E16" s="11">
        <f>IF(Electricity!F22&lt;0,0,Electricity!F22)</f>
        <v>18945.000000003347</v>
      </c>
      <c r="F16" s="82">
        <v>9.3200000000000005E-2</v>
      </c>
      <c r="G16" s="11">
        <f>IF('Water, Gas, Diesel'!K20&lt;0,0,'Water, Gas, Diesel'!K20)</f>
        <v>0</v>
      </c>
      <c r="H16" s="82">
        <v>0.7</v>
      </c>
      <c r="I16" s="11">
        <f>IF('Water, Gas, Diesel'!C20&lt;0,0,'Water, Gas, Diesel'!C20)</f>
        <v>2836</v>
      </c>
      <c r="J16" s="82">
        <v>0.21186441</v>
      </c>
      <c r="K16" s="11">
        <f>IF('Water, Gas, Diesel'!F20&lt;0,0,'Water, Gas, Diesel'!F20)</f>
        <v>310</v>
      </c>
      <c r="L16" s="82">
        <v>1.6949000000000001</v>
      </c>
      <c r="M16" s="11">
        <f>Electricity!H22</f>
        <v>140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2022</v>
      </c>
      <c r="E17" s="11">
        <f>IF(Electricity!F23&lt;0,0,Electricity!F23)</f>
        <v>18782.500000002074</v>
      </c>
      <c r="F17" s="82">
        <v>9.3200000000000005E-2</v>
      </c>
      <c r="G17" s="11">
        <f>IF('Water, Gas, Diesel'!K21&lt;0,0,'Water, Gas, Diesel'!K21)</f>
        <v>0</v>
      </c>
      <c r="H17" s="82">
        <v>0.7</v>
      </c>
      <c r="I17" s="11">
        <f>IF('Water, Gas, Diesel'!C21&lt;0,0,'Water, Gas, Diesel'!C21)</f>
        <v>2799</v>
      </c>
      <c r="J17" s="82">
        <v>0.21186441</v>
      </c>
      <c r="K17" s="11">
        <f>IF('Water, Gas, Diesel'!F21&lt;0,0,'Water, Gas, Diesel'!F21)</f>
        <v>320</v>
      </c>
      <c r="L17" s="82">
        <v>1.6949000000000001</v>
      </c>
      <c r="M17" s="11">
        <f>Electricity!H23</f>
        <v>141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2022</v>
      </c>
      <c r="E18" s="11">
        <f>IF(Electricity!F24&lt;0,0,Electricity!F24)</f>
        <v>20912.499999994907</v>
      </c>
      <c r="F18" s="82">
        <v>9.3200000000000005E-2</v>
      </c>
      <c r="G18" s="11">
        <f>IF('Water, Gas, Diesel'!K22&lt;0,0,'Water, Gas, Diesel'!K22)</f>
        <v>0</v>
      </c>
      <c r="H18" s="82">
        <v>0.7</v>
      </c>
      <c r="I18" s="11">
        <f>IF('Water, Gas, Diesel'!C22&lt;0,0,'Water, Gas, Diesel'!C22)</f>
        <v>53</v>
      </c>
      <c r="J18" s="82">
        <v>0.21186441</v>
      </c>
      <c r="K18" s="11">
        <f>IF('Water, Gas, Diesel'!F22&lt;0,0,'Water, Gas, Diesel'!F22)</f>
        <v>296</v>
      </c>
      <c r="L18" s="82">
        <v>1.6949000000000001</v>
      </c>
      <c r="M18" s="11">
        <f>Electricity!H24</f>
        <v>171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2022</v>
      </c>
      <c r="E19" s="11">
        <f>IF(Electricity!F25&lt;0,0,Electricity!F25)</f>
        <v>19177.500000000691</v>
      </c>
      <c r="F19" s="82">
        <v>9.3200000000000005E-2</v>
      </c>
      <c r="G19" s="11">
        <f>IF('Water, Gas, Diesel'!K23&lt;0,0,'Water, Gas, Diesel'!K23)</f>
        <v>3630</v>
      </c>
      <c r="H19" s="82">
        <v>0.7</v>
      </c>
      <c r="I19" s="11">
        <f>IF('Water, Gas, Diesel'!C23&lt;0,0,'Water, Gas, Diesel'!C23)</f>
        <v>6089</v>
      </c>
      <c r="J19" s="82">
        <v>0.21186441</v>
      </c>
      <c r="K19" s="11">
        <f>IF('Water, Gas, Diesel'!F23&lt;0,0,'Water, Gas, Diesel'!F23)</f>
        <v>165</v>
      </c>
      <c r="L19" s="82">
        <v>1.6949000000000001</v>
      </c>
      <c r="M19" s="11">
        <f>Electricity!H25</f>
        <v>144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2022</v>
      </c>
      <c r="E20" s="11">
        <f>IF(Electricity!F26&lt;0,0,Electricity!F26)</f>
        <v>20097.500000001673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3064</v>
      </c>
      <c r="J20" s="82">
        <v>0.21186441</v>
      </c>
      <c r="K20" s="11">
        <f>IF('Water, Gas, Diesel'!F24&lt;0,0,'Water, Gas, Diesel'!F24)</f>
        <v>202</v>
      </c>
      <c r="L20" s="82">
        <v>1.6949000000000001</v>
      </c>
      <c r="M20" s="11">
        <f>Electricity!H26</f>
        <v>146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2022</v>
      </c>
      <c r="E21" s="11">
        <f>IF(Electricity!F27&lt;0,0,Electricity!F27)</f>
        <v>0</v>
      </c>
      <c r="F21" s="82">
        <v>9.3200000000000005E-2</v>
      </c>
      <c r="G21" s="11">
        <f>IF('Water, Gas, Diesel'!K25&lt;0,0,'Water, Gas, Diesel'!K25)</f>
        <v>7380</v>
      </c>
      <c r="H21" s="82">
        <v>0.7</v>
      </c>
      <c r="I21" s="11">
        <f>IF('Water, Gas, Diesel'!C25&lt;0,0,'Water, Gas, Diesel'!C25)</f>
        <v>0</v>
      </c>
      <c r="J21" s="82">
        <v>0.21186441</v>
      </c>
      <c r="K21" s="11">
        <f>IF('Water, Gas, Diesel'!F25&lt;0,0,'Water, Gas, Diesel'!F25)</f>
        <v>0</v>
      </c>
      <c r="L21" s="82">
        <v>1.6949000000000001</v>
      </c>
      <c r="M21" s="11">
        <f>Electricity!H27</f>
        <v>141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2022</v>
      </c>
      <c r="E22" s="11">
        <f>IF(Electricity!F28&lt;0,0,Electricity!F28)</f>
        <v>0</v>
      </c>
      <c r="F22" s="82">
        <v>9.3200000000000005E-2</v>
      </c>
      <c r="G22" s="11">
        <f>IF('Water, Gas, Diesel'!K26&lt;0,0,'Water, Gas, Diesel'!K26)</f>
        <v>0</v>
      </c>
      <c r="H22" s="82">
        <v>0.7</v>
      </c>
      <c r="I22" s="11">
        <f>IF('Water, Gas, Diesel'!C26&lt;0,0,'Water, Gas, Diesel'!C26)</f>
        <v>0</v>
      </c>
      <c r="J22" s="82">
        <v>0.21186441</v>
      </c>
      <c r="K22" s="11">
        <f>IF('Water, Gas, Diesel'!F26&lt;0,0,'Water, Gas, Diesel'!F26)</f>
        <v>0</v>
      </c>
      <c r="L22" s="82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2022</v>
      </c>
      <c r="E23" s="11">
        <f>IF(Electricity!F29&lt;0,0,Electricity!F29)</f>
        <v>0</v>
      </c>
      <c r="F23" s="82">
        <v>9.3200000000000005E-2</v>
      </c>
      <c r="G23" s="11">
        <f>IF('Water, Gas, Diesel'!K27&lt;0,0,'Water, Gas, Diesel'!K27)</f>
        <v>0</v>
      </c>
      <c r="H23" s="82">
        <v>0.7</v>
      </c>
      <c r="I23" s="11">
        <f>IF('Water, Gas, Diesel'!C27&lt;0,0,'Water, Gas, Diesel'!C27)</f>
        <v>0</v>
      </c>
      <c r="J23" s="82">
        <v>0.21186441</v>
      </c>
      <c r="K23" s="11">
        <f>IF('Water, Gas, Diesel'!F27&lt;0,0,'Water, Gas, Diesel'!F27)</f>
        <v>0</v>
      </c>
      <c r="L23" s="8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2022</v>
      </c>
      <c r="E24" s="11">
        <f>IF(Electricity!F30&lt;0,0,Electricity!F30)</f>
        <v>0</v>
      </c>
      <c r="F24" s="82">
        <v>9.3200000000000005E-2</v>
      </c>
      <c r="G24" s="11">
        <f>IF('Water, Gas, Diesel'!K28&lt;0,0,'Water, Gas, Diesel'!K28)</f>
        <v>0</v>
      </c>
      <c r="H24" s="82">
        <v>0.7</v>
      </c>
      <c r="I24" s="11">
        <f>IF('Water, Gas, Diesel'!C28&lt;0,0,'Water, Gas, Diesel'!C28)</f>
        <v>0</v>
      </c>
      <c r="J24" s="82">
        <v>0.21186441</v>
      </c>
      <c r="K24" s="11">
        <f>IF('Water, Gas, Diesel'!F28&lt;0,0,'Water, Gas, Diesel'!F28)</f>
        <v>0</v>
      </c>
      <c r="L24" s="8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2022</v>
      </c>
      <c r="E25" s="11">
        <f>IF(Electricity!F31&lt;0,0,Electricity!F31)</f>
        <v>0</v>
      </c>
      <c r="F25" s="82">
        <v>9.3200000000000005E-2</v>
      </c>
      <c r="G25" s="11">
        <f>IF('Water, Gas, Diesel'!K29&lt;0,0,'Water, Gas, Diesel'!K29)</f>
        <v>0</v>
      </c>
      <c r="H25" s="82">
        <v>0.7</v>
      </c>
      <c r="I25" s="11">
        <f>IF('Water, Gas, Diesel'!C29&lt;0,0,'Water, Gas, Diesel'!C29)</f>
        <v>0</v>
      </c>
      <c r="J25" s="82">
        <v>0.21186441</v>
      </c>
      <c r="K25" s="11">
        <f>IF('Water, Gas, Diesel'!F29&lt;0,0,'Water, Gas, Diesel'!F29)</f>
        <v>0</v>
      </c>
      <c r="L25" s="8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2022</v>
      </c>
      <c r="E26" s="11">
        <f>IF(Electricity!F32&lt;0,0,Electricity!F32)</f>
        <v>0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0</v>
      </c>
      <c r="J26" s="82">
        <v>0.21186441</v>
      </c>
      <c r="K26" s="11">
        <f>IF('Water, Gas, Diesel'!F30&lt;0,0,'Water, Gas, Diesel'!F30)</f>
        <v>0</v>
      </c>
      <c r="L26" s="8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2022</v>
      </c>
      <c r="E27" s="11">
        <f>IF(Electricity!F33&lt;0,0,Electricity!F33)</f>
        <v>0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0</v>
      </c>
      <c r="J27" s="82">
        <v>0.21186441</v>
      </c>
      <c r="K27" s="11">
        <f>IF('Water, Gas, Diesel'!F31&lt;0,0,'Water, Gas, Diesel'!F31)</f>
        <v>0</v>
      </c>
      <c r="L27" s="8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2022</v>
      </c>
      <c r="E28" s="11">
        <f>IF(Electricity!F34&lt;0,0,Electricity!F34)</f>
        <v>0</v>
      </c>
      <c r="F28" s="82">
        <v>9.3200000000000005E-2</v>
      </c>
      <c r="G28" s="11">
        <f>IF('Water, Gas, Diesel'!K32&lt;0,0,'Water, Gas, Diesel'!K32)</f>
        <v>0</v>
      </c>
      <c r="H28" s="82">
        <v>0.7</v>
      </c>
      <c r="I28" s="11">
        <f>IF('Water, Gas, Diesel'!C32&lt;0,0,'Water, Gas, Diesel'!C32)</f>
        <v>0</v>
      </c>
      <c r="J28" s="82">
        <v>0.21186441</v>
      </c>
      <c r="K28" s="11">
        <f>IF('Water, Gas, Diesel'!F32&lt;0,0,'Water, Gas, Diesel'!F32)</f>
        <v>0</v>
      </c>
      <c r="L28" s="8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2022</v>
      </c>
      <c r="E29" s="11">
        <f>IF(Electricity!F35&lt;0,0,Electricity!F35)</f>
        <v>0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0</v>
      </c>
      <c r="J29" s="82">
        <v>0.21186441</v>
      </c>
      <c r="K29" s="11">
        <f>IF('Water, Gas, Diesel'!F33&lt;0,0,'Water, Gas, Diesel'!F33)</f>
        <v>0</v>
      </c>
      <c r="L29" s="8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2" activePane="bottomLeft" state="frozen"/>
      <selection pane="bottomLeft" activeCell="J25" sqref="J25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customHeight="1">
      <c r="A7" s="97">
        <v>31</v>
      </c>
      <c r="B7" s="68">
        <v>16022.825999999999</v>
      </c>
      <c r="C7" s="69">
        <f t="shared" ref="C7:C24" si="0">(B8-B7)*2500</f>
        <v>11762.500000004366</v>
      </c>
      <c r="D7" s="68">
        <v>16283.184999999999</v>
      </c>
      <c r="E7" s="69">
        <f t="shared" ref="E7:E24" si="1">(D8-D7)*2500</f>
        <v>7674.9999999992724</v>
      </c>
      <c r="F7" s="93">
        <f t="shared" ref="F7:F38" si="2">C7+E7</f>
        <v>19437.500000003638</v>
      </c>
      <c r="G7" s="67">
        <f>F7*0.0932</f>
        <v>1811.5750000003391</v>
      </c>
      <c r="H7" s="135">
        <v>108</v>
      </c>
    </row>
    <row r="8" spans="1:8" ht="30.95" customHeight="1">
      <c r="A8" s="98">
        <v>1</v>
      </c>
      <c r="B8" s="92">
        <v>16027.531000000001</v>
      </c>
      <c r="C8" s="70">
        <f t="shared" si="0"/>
        <v>12274.999999999636</v>
      </c>
      <c r="D8" s="71">
        <v>16286.254999999999</v>
      </c>
      <c r="E8" s="70">
        <f t="shared" si="1"/>
        <v>8767.5000000035652</v>
      </c>
      <c r="F8" s="51">
        <f t="shared" si="2"/>
        <v>21042.500000003201</v>
      </c>
      <c r="G8" s="67">
        <f t="shared" ref="G8:G38" si="3">F8*0.0932</f>
        <v>1961.1610000002984</v>
      </c>
      <c r="H8" s="99">
        <v>92</v>
      </c>
    </row>
    <row r="9" spans="1:8" ht="30.95" customHeight="1">
      <c r="A9" s="100">
        <v>2</v>
      </c>
      <c r="B9" s="72">
        <v>16032.441000000001</v>
      </c>
      <c r="C9" s="39">
        <f t="shared" si="0"/>
        <v>9614.9999999988722</v>
      </c>
      <c r="D9" s="71">
        <v>16289.762000000001</v>
      </c>
      <c r="E9" s="39">
        <f t="shared" si="1"/>
        <v>7554.9999999975626</v>
      </c>
      <c r="F9" s="47">
        <f t="shared" si="2"/>
        <v>17169.999999996435</v>
      </c>
      <c r="G9" s="67">
        <f t="shared" si="3"/>
        <v>1600.2439999996677</v>
      </c>
      <c r="H9" s="101">
        <v>159</v>
      </c>
    </row>
    <row r="10" spans="1:8" ht="30.95" customHeight="1">
      <c r="A10" s="98">
        <v>3</v>
      </c>
      <c r="B10" s="73">
        <v>16036.287</v>
      </c>
      <c r="C10" s="70">
        <f t="shared" si="0"/>
        <v>13522.499999999127</v>
      </c>
      <c r="D10" s="74">
        <v>16292.784</v>
      </c>
      <c r="E10" s="70">
        <f t="shared" si="1"/>
        <v>10170.000000002801</v>
      </c>
      <c r="F10" s="51">
        <f t="shared" si="2"/>
        <v>23692.500000001928</v>
      </c>
      <c r="G10" s="67">
        <f t="shared" si="3"/>
        <v>2208.1410000001797</v>
      </c>
      <c r="H10" s="101">
        <v>171</v>
      </c>
    </row>
    <row r="11" spans="1:8" ht="30.95" customHeight="1">
      <c r="A11" s="100">
        <v>4</v>
      </c>
      <c r="B11" s="75">
        <v>16041.696</v>
      </c>
      <c r="C11" s="39">
        <f t="shared" si="0"/>
        <v>11889.999999998508</v>
      </c>
      <c r="D11" s="76">
        <v>16296.852000000001</v>
      </c>
      <c r="E11" s="39">
        <f t="shared" si="1"/>
        <v>8869.9999999971624</v>
      </c>
      <c r="F11" s="47">
        <f t="shared" si="2"/>
        <v>20759.999999995671</v>
      </c>
      <c r="G11" s="67">
        <f t="shared" si="3"/>
        <v>1934.8319999995965</v>
      </c>
      <c r="H11" s="101">
        <v>171</v>
      </c>
    </row>
    <row r="12" spans="1:8" ht="30.95" customHeight="1">
      <c r="A12" s="98">
        <v>5</v>
      </c>
      <c r="B12" s="77">
        <v>16046.451999999999</v>
      </c>
      <c r="C12" s="70">
        <f t="shared" si="0"/>
        <v>10970.000000002074</v>
      </c>
      <c r="D12" s="74">
        <v>16300.4</v>
      </c>
      <c r="E12" s="70">
        <f t="shared" si="1"/>
        <v>8457.4999999995271</v>
      </c>
      <c r="F12" s="51">
        <f t="shared" si="2"/>
        <v>19427.500000001601</v>
      </c>
      <c r="G12" s="67">
        <f t="shared" si="3"/>
        <v>1810.6430000001492</v>
      </c>
      <c r="H12" s="101">
        <v>79</v>
      </c>
    </row>
    <row r="13" spans="1:8" ht="30.95" customHeight="1">
      <c r="A13" s="100">
        <v>6</v>
      </c>
      <c r="B13" s="75">
        <v>16050.84</v>
      </c>
      <c r="C13" s="39">
        <f t="shared" si="0"/>
        <v>10852.500000000873</v>
      </c>
      <c r="D13" s="76">
        <v>16303.782999999999</v>
      </c>
      <c r="E13" s="39">
        <f t="shared" si="1"/>
        <v>7685.0000000013097</v>
      </c>
      <c r="F13" s="47">
        <f t="shared" si="2"/>
        <v>18537.500000002183</v>
      </c>
      <c r="G13" s="67">
        <f t="shared" si="3"/>
        <v>1727.6950000002034</v>
      </c>
      <c r="H13" s="101">
        <v>49</v>
      </c>
    </row>
    <row r="14" spans="1:8" ht="30.95" customHeight="1">
      <c r="A14" s="98">
        <v>7</v>
      </c>
      <c r="B14" s="77">
        <v>16055.181</v>
      </c>
      <c r="C14" s="70">
        <f t="shared" si="0"/>
        <v>10147.499999998217</v>
      </c>
      <c r="D14" s="102">
        <v>16306.857</v>
      </c>
      <c r="E14" s="70">
        <f t="shared" si="1"/>
        <v>7307.5000000017099</v>
      </c>
      <c r="F14" s="51">
        <f t="shared" si="2"/>
        <v>17454.999999999927</v>
      </c>
      <c r="G14" s="67">
        <f t="shared" si="3"/>
        <v>1626.8059999999932</v>
      </c>
      <c r="H14" s="101">
        <v>47</v>
      </c>
    </row>
    <row r="15" spans="1:8" ht="30.95" customHeight="1">
      <c r="A15" s="100">
        <v>8</v>
      </c>
      <c r="B15" s="75">
        <v>16059.24</v>
      </c>
      <c r="C15" s="39">
        <f t="shared" si="0"/>
        <v>9225.0000000012733</v>
      </c>
      <c r="D15" s="78">
        <v>16309.78</v>
      </c>
      <c r="E15" s="39">
        <f t="shared" si="1"/>
        <v>8975.0000000003638</v>
      </c>
      <c r="F15" s="47">
        <f t="shared" si="2"/>
        <v>18200.000000001637</v>
      </c>
      <c r="G15" s="67">
        <f t="shared" si="3"/>
        <v>1696.2400000001526</v>
      </c>
      <c r="H15" s="101">
        <v>43</v>
      </c>
    </row>
    <row r="16" spans="1:8" ht="30.95" customHeight="1">
      <c r="A16" s="98">
        <v>9</v>
      </c>
      <c r="B16" s="136">
        <v>16062.93</v>
      </c>
      <c r="C16" s="70">
        <f t="shared" si="0"/>
        <v>7644.9999999977081</v>
      </c>
      <c r="D16" s="79">
        <v>16313.37</v>
      </c>
      <c r="E16" s="70">
        <f t="shared" si="1"/>
        <v>8492.4999999975626</v>
      </c>
      <c r="F16" s="51">
        <f t="shared" si="2"/>
        <v>16137.499999995271</v>
      </c>
      <c r="G16" s="67">
        <f t="shared" si="3"/>
        <v>1504.0149999995592</v>
      </c>
      <c r="H16" s="101">
        <v>50</v>
      </c>
    </row>
    <row r="17" spans="1:8" ht="30.95" customHeight="1">
      <c r="A17" s="100">
        <v>10</v>
      </c>
      <c r="B17" s="77">
        <v>16065.987999999999</v>
      </c>
      <c r="C17" s="39">
        <f t="shared" si="0"/>
        <v>7825.0000000025466</v>
      </c>
      <c r="D17" s="102">
        <v>16316.767</v>
      </c>
      <c r="E17" s="39">
        <f t="shared" si="1"/>
        <v>8917.5000000022919</v>
      </c>
      <c r="F17" s="47">
        <f t="shared" si="2"/>
        <v>16742.500000004839</v>
      </c>
      <c r="G17" s="67">
        <f t="shared" si="3"/>
        <v>1560.4010000004509</v>
      </c>
      <c r="H17" s="101">
        <v>93</v>
      </c>
    </row>
    <row r="18" spans="1:8" ht="30.95" customHeight="1">
      <c r="A18" s="98">
        <v>11</v>
      </c>
      <c r="B18" s="75">
        <v>16069.118</v>
      </c>
      <c r="C18" s="70">
        <f t="shared" si="0"/>
        <v>9749.9999999990905</v>
      </c>
      <c r="D18" s="78">
        <v>16320.334000000001</v>
      </c>
      <c r="E18" s="70">
        <f t="shared" si="1"/>
        <v>10677.499999997053</v>
      </c>
      <c r="F18" s="51">
        <f t="shared" si="2"/>
        <v>20427.499999996144</v>
      </c>
      <c r="G18" s="67">
        <f t="shared" si="3"/>
        <v>1903.8429999996406</v>
      </c>
      <c r="H18" s="101">
        <v>95</v>
      </c>
    </row>
    <row r="19" spans="1:8" ht="30.95" customHeight="1">
      <c r="A19" s="100">
        <v>12</v>
      </c>
      <c r="B19" s="77">
        <v>16073.018</v>
      </c>
      <c r="C19" s="39">
        <f t="shared" si="0"/>
        <v>8557.5000000017099</v>
      </c>
      <c r="D19" s="102">
        <v>16324.605</v>
      </c>
      <c r="E19" s="39">
        <f t="shared" si="1"/>
        <v>9515.0000000012369</v>
      </c>
      <c r="F19" s="47">
        <f t="shared" si="2"/>
        <v>18072.500000002947</v>
      </c>
      <c r="G19" s="67">
        <f t="shared" si="3"/>
        <v>1684.3570000002746</v>
      </c>
      <c r="H19" s="101">
        <v>112</v>
      </c>
    </row>
    <row r="20" spans="1:8" ht="30.95" customHeight="1">
      <c r="A20" s="98">
        <v>13</v>
      </c>
      <c r="B20" s="75">
        <v>16076.441000000001</v>
      </c>
      <c r="C20" s="70">
        <f t="shared" si="0"/>
        <v>8692.4999999973807</v>
      </c>
      <c r="D20" s="80">
        <v>16328.411</v>
      </c>
      <c r="E20" s="70">
        <f t="shared" si="1"/>
        <v>9650.0000000014552</v>
      </c>
      <c r="F20" s="51">
        <f t="shared" si="2"/>
        <v>18342.499999998836</v>
      </c>
      <c r="G20" s="67">
        <f t="shared" si="3"/>
        <v>1709.5209999998915</v>
      </c>
      <c r="H20" s="101">
        <v>117</v>
      </c>
    </row>
    <row r="21" spans="1:8" ht="30.95" customHeight="1">
      <c r="A21" s="100">
        <v>14</v>
      </c>
      <c r="B21" s="75">
        <v>16079.918</v>
      </c>
      <c r="C21" s="39">
        <f t="shared" si="0"/>
        <v>8975.0000000003638</v>
      </c>
      <c r="D21" s="78">
        <v>16332.271000000001</v>
      </c>
      <c r="E21" s="39">
        <f t="shared" si="1"/>
        <v>9892.4999999962893</v>
      </c>
      <c r="F21" s="47">
        <f t="shared" si="2"/>
        <v>18867.499999996653</v>
      </c>
      <c r="G21" s="67">
        <f t="shared" si="3"/>
        <v>1758.4509999996881</v>
      </c>
      <c r="H21" s="101">
        <v>129</v>
      </c>
    </row>
    <row r="22" spans="1:8" ht="30.95" customHeight="1">
      <c r="A22" s="98">
        <v>15</v>
      </c>
      <c r="B22" s="75">
        <v>16083.508</v>
      </c>
      <c r="C22" s="70">
        <f t="shared" si="0"/>
        <v>8879.9999999991996</v>
      </c>
      <c r="D22" s="57">
        <v>16336.227999999999</v>
      </c>
      <c r="E22" s="70">
        <f t="shared" si="1"/>
        <v>10065.000000004147</v>
      </c>
      <c r="F22" s="51">
        <f t="shared" si="2"/>
        <v>18945.000000003347</v>
      </c>
      <c r="G22" s="67">
        <f t="shared" si="3"/>
        <v>1765.6740000003119</v>
      </c>
      <c r="H22" s="101">
        <v>140</v>
      </c>
    </row>
    <row r="23" spans="1:8" ht="30.95" customHeight="1">
      <c r="A23" s="100">
        <v>16</v>
      </c>
      <c r="B23" s="83">
        <v>16087.06</v>
      </c>
      <c r="C23" s="39">
        <f t="shared" si="0"/>
        <v>8850.0000000021828</v>
      </c>
      <c r="D23" s="84">
        <v>16340.254000000001</v>
      </c>
      <c r="E23" s="39">
        <f t="shared" si="1"/>
        <v>9932.4999999998909</v>
      </c>
      <c r="F23" s="47">
        <f t="shared" si="2"/>
        <v>18782.500000002074</v>
      </c>
      <c r="G23" s="67">
        <f t="shared" si="3"/>
        <v>1750.5290000001933</v>
      </c>
      <c r="H23" s="101">
        <v>141</v>
      </c>
    </row>
    <row r="24" spans="1:8" ht="30.95" customHeight="1">
      <c r="A24" s="98">
        <v>17</v>
      </c>
      <c r="B24" s="137">
        <v>16090.6</v>
      </c>
      <c r="C24" s="70">
        <f t="shared" si="0"/>
        <v>9317.4999999973807</v>
      </c>
      <c r="D24" s="102">
        <v>16344.227000000001</v>
      </c>
      <c r="E24" s="70">
        <f t="shared" si="1"/>
        <v>11594.999999997526</v>
      </c>
      <c r="F24" s="51">
        <f t="shared" si="2"/>
        <v>20912.499999994907</v>
      </c>
      <c r="G24" s="67">
        <f t="shared" si="3"/>
        <v>1949.0449999995253</v>
      </c>
      <c r="H24" s="101">
        <v>171</v>
      </c>
    </row>
    <row r="25" spans="1:8" ht="30.95" customHeight="1">
      <c r="A25" s="100">
        <v>18</v>
      </c>
      <c r="B25" s="75">
        <v>16094.326999999999</v>
      </c>
      <c r="C25" s="39">
        <f>(B26-B25)*2500</f>
        <v>9050.0000000020009</v>
      </c>
      <c r="D25" s="78">
        <v>16348.865</v>
      </c>
      <c r="E25" s="39">
        <f>(D26-D25)*2500</f>
        <v>10127.49999999869</v>
      </c>
      <c r="F25" s="47">
        <f t="shared" si="2"/>
        <v>19177.500000000691</v>
      </c>
      <c r="G25" s="67">
        <f t="shared" si="3"/>
        <v>1787.3430000000644</v>
      </c>
      <c r="H25" s="101">
        <v>144</v>
      </c>
    </row>
    <row r="26" spans="1:8" ht="30.95" customHeight="1">
      <c r="A26" s="98">
        <v>19</v>
      </c>
      <c r="B26" s="77">
        <v>16097.947</v>
      </c>
      <c r="C26" s="70">
        <f t="shared" ref="C26:C38" si="4">(B27-B26)*2500</f>
        <v>9217.4999999997453</v>
      </c>
      <c r="D26" s="102">
        <v>16352.915999999999</v>
      </c>
      <c r="E26" s="70">
        <f t="shared" ref="E26:E38" si="5">(D27-D26)*2500</f>
        <v>10880.000000001928</v>
      </c>
      <c r="F26" s="47">
        <f t="shared" si="2"/>
        <v>20097.500000001673</v>
      </c>
      <c r="G26" s="67">
        <f t="shared" si="3"/>
        <v>1873.087000000156</v>
      </c>
      <c r="H26" s="101">
        <v>146</v>
      </c>
    </row>
    <row r="27" spans="1:8" ht="30.95" customHeight="1">
      <c r="A27" s="100">
        <v>20</v>
      </c>
      <c r="B27" s="75">
        <v>16101.634</v>
      </c>
      <c r="C27" s="39">
        <f t="shared" si="4"/>
        <v>-40254085</v>
      </c>
      <c r="D27" s="80">
        <v>16357.268</v>
      </c>
      <c r="E27" s="39">
        <f t="shared" si="5"/>
        <v>-40893170</v>
      </c>
      <c r="F27" s="51">
        <f t="shared" si="2"/>
        <v>-81147255</v>
      </c>
      <c r="G27" s="67">
        <f t="shared" si="3"/>
        <v>-7562924.1660000002</v>
      </c>
      <c r="H27" s="101">
        <v>141</v>
      </c>
    </row>
    <row r="28" spans="1:8" ht="30.95" customHeight="1">
      <c r="A28" s="98">
        <v>21</v>
      </c>
      <c r="B28" s="77"/>
      <c r="C28" s="70">
        <f t="shared" si="4"/>
        <v>0</v>
      </c>
      <c r="D28" s="102"/>
      <c r="E28" s="70">
        <f t="shared" si="5"/>
        <v>0</v>
      </c>
      <c r="F28" s="47">
        <f t="shared" si="2"/>
        <v>0</v>
      </c>
      <c r="G28" s="67">
        <f t="shared" si="3"/>
        <v>0</v>
      </c>
      <c r="H28" s="101"/>
    </row>
    <row r="29" spans="1:8" ht="30.95" customHeight="1">
      <c r="A29" s="100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1"/>
    </row>
    <row r="30" spans="1:8" ht="30.95" customHeight="1">
      <c r="A30" s="98">
        <v>23</v>
      </c>
      <c r="B30" s="77"/>
      <c r="C30" s="70">
        <f t="shared" si="4"/>
        <v>0</v>
      </c>
      <c r="D30" s="102"/>
      <c r="E30" s="70">
        <f t="shared" si="5"/>
        <v>0</v>
      </c>
      <c r="F30" s="47">
        <f t="shared" si="2"/>
        <v>0</v>
      </c>
      <c r="G30" s="67">
        <f t="shared" si="3"/>
        <v>0</v>
      </c>
      <c r="H30" s="101"/>
    </row>
    <row r="31" spans="1:8" ht="30.95" customHeight="1">
      <c r="A31" s="100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1"/>
    </row>
    <row r="32" spans="1:8" ht="30.95" customHeight="1">
      <c r="A32" s="98">
        <v>25</v>
      </c>
      <c r="B32" s="77"/>
      <c r="C32" s="70">
        <f t="shared" si="4"/>
        <v>0</v>
      </c>
      <c r="D32" s="102"/>
      <c r="E32" s="70">
        <f t="shared" si="5"/>
        <v>0</v>
      </c>
      <c r="F32" s="47">
        <f t="shared" si="2"/>
        <v>0</v>
      </c>
      <c r="G32" s="67">
        <f t="shared" si="3"/>
        <v>0</v>
      </c>
      <c r="H32" s="101"/>
    </row>
    <row r="33" spans="1:8" ht="30.95" customHeight="1">
      <c r="A33" s="100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1"/>
    </row>
    <row r="34" spans="1:8" ht="30.95" customHeight="1">
      <c r="A34" s="98">
        <v>27</v>
      </c>
      <c r="B34" s="77"/>
      <c r="C34" s="70">
        <f t="shared" si="4"/>
        <v>0</v>
      </c>
      <c r="D34" s="102"/>
      <c r="E34" s="39">
        <f t="shared" si="5"/>
        <v>0</v>
      </c>
      <c r="F34" s="47">
        <f t="shared" si="2"/>
        <v>0</v>
      </c>
      <c r="G34" s="67">
        <f t="shared" si="3"/>
        <v>0</v>
      </c>
      <c r="H34" s="101"/>
    </row>
    <row r="35" spans="1:8" ht="30.95" customHeight="1">
      <c r="A35" s="100">
        <v>28</v>
      </c>
      <c r="B35" s="81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1"/>
    </row>
    <row r="36" spans="1:8" ht="30.95" customHeight="1">
      <c r="A36" s="98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9"/>
    </row>
    <row r="37" spans="1:8" ht="30.95" customHeight="1">
      <c r="A37" s="130">
        <v>30</v>
      </c>
      <c r="B37" s="131"/>
      <c r="C37" s="125">
        <f>(B38-B37)*2500</f>
        <v>0</v>
      </c>
      <c r="D37" s="132"/>
      <c r="E37" s="125">
        <f>(D38-D37)*2500</f>
        <v>0</v>
      </c>
      <c r="F37" s="120">
        <f t="shared" si="2"/>
        <v>0</v>
      </c>
      <c r="G37" s="134">
        <f t="shared" si="3"/>
        <v>0</v>
      </c>
      <c r="H37" s="133"/>
    </row>
    <row r="38" spans="1:8" ht="30.95" customHeight="1">
      <c r="A38" s="106">
        <v>1</v>
      </c>
      <c r="B38" s="108"/>
      <c r="C38" s="126">
        <f t="shared" si="4"/>
        <v>0</v>
      </c>
      <c r="D38" s="127"/>
      <c r="E38" s="126">
        <f t="shared" si="5"/>
        <v>0</v>
      </c>
      <c r="F38" s="111">
        <f t="shared" si="2"/>
        <v>0</v>
      </c>
      <c r="G38" s="128">
        <f t="shared" si="3"/>
        <v>0</v>
      </c>
      <c r="H38" s="129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2" activePane="bottomLeft" state="frozen"/>
      <selection pane="bottomLeft" activeCell="N25" sqref="N25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7111682</v>
      </c>
      <c r="C5" s="103">
        <f>B6-B5</f>
        <v>2232</v>
      </c>
      <c r="D5" s="34">
        <f>C5*0.21186441</f>
        <v>472.88136312</v>
      </c>
      <c r="E5" s="35">
        <v>572796</v>
      </c>
      <c r="F5" s="104">
        <f>E6-E5</f>
        <v>0</v>
      </c>
      <c r="G5" s="36">
        <f>F5*0.84746</f>
        <v>0</v>
      </c>
      <c r="H5" s="36">
        <f>F5*0.84746</f>
        <v>0</v>
      </c>
      <c r="I5" s="90">
        <f>G5+H5</f>
        <v>0</v>
      </c>
      <c r="J5" s="37">
        <f>4600+6370</f>
        <v>10970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89">
        <v>7113914</v>
      </c>
      <c r="C6" s="53">
        <f t="shared" ref="C6:C15" si="0">B7-B6</f>
        <v>2217</v>
      </c>
      <c r="D6" s="41">
        <f>C6*0.21186441</f>
        <v>469.70339697000003</v>
      </c>
      <c r="E6" s="42">
        <v>572796</v>
      </c>
      <c r="F6" s="54">
        <f t="shared" ref="F6:F15" si="1">E7-E6</f>
        <v>0</v>
      </c>
      <c r="G6" s="43">
        <f>F6*0.84746</f>
        <v>0</v>
      </c>
      <c r="H6" s="43">
        <f>F6*0.84746</f>
        <v>0</v>
      </c>
      <c r="I6" s="44">
        <f t="shared" ref="I6:I36" si="2">G6+H6</f>
        <v>0</v>
      </c>
      <c r="J6" s="37">
        <f>4600+6370</f>
        <v>10970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7116131</v>
      </c>
      <c r="C7" s="55">
        <f t="shared" si="0"/>
        <v>1911</v>
      </c>
      <c r="D7" s="46">
        <f>C7*0.21186441</f>
        <v>404.87288751</v>
      </c>
      <c r="E7" s="47">
        <v>572796</v>
      </c>
      <c r="F7" s="56">
        <f t="shared" si="1"/>
        <v>133</v>
      </c>
      <c r="G7" s="48">
        <f t="shared" ref="G7:G36" si="4">F7*0.84746</f>
        <v>112.71218</v>
      </c>
      <c r="H7" s="48">
        <f t="shared" ref="H7:H36" si="5">F7*0.84746</f>
        <v>112.71218</v>
      </c>
      <c r="I7" s="49">
        <f t="shared" si="2"/>
        <v>225.42436000000001</v>
      </c>
      <c r="J7" s="37">
        <f>4600+6370</f>
        <v>10970</v>
      </c>
      <c r="K7" s="38">
        <f t="shared" si="3"/>
        <v>-70</v>
      </c>
      <c r="L7" s="39">
        <f t="shared" ref="L7:L34" si="6">K7*0.7</f>
        <v>-49</v>
      </c>
    </row>
    <row r="8" spans="1:12" ht="32.450000000000003" customHeight="1">
      <c r="A8" s="40">
        <v>3</v>
      </c>
      <c r="B8" s="40">
        <v>7118042</v>
      </c>
      <c r="C8" s="53">
        <f t="shared" si="0"/>
        <v>1945</v>
      </c>
      <c r="D8" s="46">
        <f t="shared" ref="D8:D36" si="7">C8*0.21186441</f>
        <v>412.07627745000002</v>
      </c>
      <c r="E8" s="47">
        <v>572929</v>
      </c>
      <c r="F8" s="54">
        <f t="shared" si="1"/>
        <v>316</v>
      </c>
      <c r="G8" s="43">
        <f t="shared" si="4"/>
        <v>267.79735999999997</v>
      </c>
      <c r="H8" s="43">
        <f t="shared" si="5"/>
        <v>267.79735999999997</v>
      </c>
      <c r="I8" s="49">
        <f t="shared" si="2"/>
        <v>535.59471999999994</v>
      </c>
      <c r="J8" s="37">
        <f>4670+6370</f>
        <v>11040</v>
      </c>
      <c r="K8" s="38">
        <f t="shared" si="3"/>
        <v>70</v>
      </c>
      <c r="L8" s="39">
        <f t="shared" si="6"/>
        <v>49</v>
      </c>
    </row>
    <row r="9" spans="1:12" ht="32.450000000000003" customHeight="1">
      <c r="A9" s="45">
        <v>4</v>
      </c>
      <c r="B9" s="45">
        <v>7119987</v>
      </c>
      <c r="C9" s="55">
        <f t="shared" si="0"/>
        <v>2416</v>
      </c>
      <c r="D9" s="46">
        <f t="shared" si="7"/>
        <v>511.86441456</v>
      </c>
      <c r="E9" s="47">
        <v>573245</v>
      </c>
      <c r="F9" s="56">
        <f t="shared" si="1"/>
        <v>334</v>
      </c>
      <c r="G9" s="48">
        <f t="shared" si="4"/>
        <v>283.05164000000002</v>
      </c>
      <c r="H9" s="48">
        <f t="shared" si="5"/>
        <v>283.05164000000002</v>
      </c>
      <c r="I9" s="49">
        <f t="shared" si="2"/>
        <v>566.10328000000004</v>
      </c>
      <c r="J9" s="37">
        <f>4600+6370</f>
        <v>10970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7122403</v>
      </c>
      <c r="C10" s="53">
        <f t="shared" si="0"/>
        <v>2073</v>
      </c>
      <c r="D10" s="46">
        <f t="shared" si="7"/>
        <v>439.19492193000002</v>
      </c>
      <c r="E10" s="47">
        <v>573579</v>
      </c>
      <c r="F10" s="54">
        <f t="shared" si="1"/>
        <v>309</v>
      </c>
      <c r="G10" s="43">
        <f t="shared" si="4"/>
        <v>261.86514</v>
      </c>
      <c r="H10" s="43">
        <f t="shared" si="5"/>
        <v>261.86514</v>
      </c>
      <c r="I10" s="49">
        <f t="shared" si="2"/>
        <v>523.73027999999999</v>
      </c>
      <c r="J10" s="37">
        <f>4600+6370</f>
        <v>10970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7124476</v>
      </c>
      <c r="C11" s="55">
        <f t="shared" si="0"/>
        <v>2012</v>
      </c>
      <c r="D11" s="46">
        <f t="shared" si="7"/>
        <v>426.27119292000003</v>
      </c>
      <c r="E11" s="47">
        <v>573888</v>
      </c>
      <c r="F11" s="56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4600+6370</f>
        <v>10970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7126488</v>
      </c>
      <c r="C12" s="53">
        <f t="shared" si="0"/>
        <v>2000</v>
      </c>
      <c r="D12" s="46">
        <f t="shared" si="7"/>
        <v>423.72881999999998</v>
      </c>
      <c r="E12" s="47">
        <v>574196</v>
      </c>
      <c r="F12" s="54">
        <f t="shared" si="1"/>
        <v>300</v>
      </c>
      <c r="G12" s="43">
        <f t="shared" si="4"/>
        <v>254.238</v>
      </c>
      <c r="H12" s="43">
        <f t="shared" si="5"/>
        <v>254.238</v>
      </c>
      <c r="I12" s="49">
        <f t="shared" si="2"/>
        <v>508.476</v>
      </c>
      <c r="J12" s="37">
        <f>4600+6370</f>
        <v>10970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7128488</v>
      </c>
      <c r="C13" s="55">
        <f t="shared" si="0"/>
        <v>1956</v>
      </c>
      <c r="D13" s="46">
        <f t="shared" si="7"/>
        <v>414.40678595999998</v>
      </c>
      <c r="E13" s="47">
        <v>574496</v>
      </c>
      <c r="F13" s="56">
        <f t="shared" si="1"/>
        <v>317</v>
      </c>
      <c r="G13" s="48">
        <f t="shared" si="4"/>
        <v>268.64481999999998</v>
      </c>
      <c r="H13" s="48">
        <f t="shared" si="5"/>
        <v>268.64481999999998</v>
      </c>
      <c r="I13" s="49">
        <f t="shared" si="2"/>
        <v>537.28963999999996</v>
      </c>
      <c r="J13" s="37">
        <f>4600+6370</f>
        <v>10970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7130444</v>
      </c>
      <c r="C14" s="53">
        <f t="shared" si="0"/>
        <v>1925</v>
      </c>
      <c r="D14" s="46">
        <f t="shared" si="7"/>
        <v>407.83898925</v>
      </c>
      <c r="E14" s="47">
        <v>574813</v>
      </c>
      <c r="F14" s="54">
        <f t="shared" si="1"/>
        <v>87</v>
      </c>
      <c r="G14" s="48">
        <f t="shared" si="4"/>
        <v>73.729020000000006</v>
      </c>
      <c r="H14" s="43">
        <f t="shared" si="5"/>
        <v>73.729020000000006</v>
      </c>
      <c r="I14" s="49">
        <f t="shared" si="2"/>
        <v>147.45804000000001</v>
      </c>
      <c r="J14" s="37">
        <f>4600+6370</f>
        <v>10970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7132369</v>
      </c>
      <c r="C15" s="55">
        <f t="shared" si="0"/>
        <v>2214</v>
      </c>
      <c r="D15" s="46">
        <f t="shared" si="7"/>
        <v>469.06780373999999</v>
      </c>
      <c r="E15" s="47">
        <v>574900</v>
      </c>
      <c r="F15" s="56">
        <f t="shared" si="1"/>
        <v>1</v>
      </c>
      <c r="G15" s="48">
        <f t="shared" si="4"/>
        <v>0.84745999999999999</v>
      </c>
      <c r="H15" s="48">
        <f t="shared" si="5"/>
        <v>0.84745999999999999</v>
      </c>
      <c r="I15" s="49">
        <f t="shared" si="2"/>
        <v>1.69492</v>
      </c>
      <c r="J15" s="37">
        <f>4600+6370</f>
        <v>10970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7134583</v>
      </c>
      <c r="C16" s="53">
        <f>B17-B16</f>
        <v>2892</v>
      </c>
      <c r="D16" s="46">
        <f t="shared" si="7"/>
        <v>612.71187371999997</v>
      </c>
      <c r="E16" s="47">
        <v>574901</v>
      </c>
      <c r="F16" s="54">
        <f>E17-E16</f>
        <v>152</v>
      </c>
      <c r="G16" s="43">
        <f t="shared" si="4"/>
        <v>128.81392</v>
      </c>
      <c r="H16" s="43">
        <f t="shared" si="5"/>
        <v>128.81392</v>
      </c>
      <c r="I16" s="49">
        <f t="shared" si="2"/>
        <v>257.62783999999999</v>
      </c>
      <c r="J16" s="37">
        <f>4640+6370</f>
        <v>11010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7137475</v>
      </c>
      <c r="C17" s="55">
        <f t="shared" ref="C17:C35" si="8">B18-B17</f>
        <v>2607</v>
      </c>
      <c r="D17" s="46">
        <f t="shared" si="7"/>
        <v>552.33051687</v>
      </c>
      <c r="E17" s="47">
        <v>575053</v>
      </c>
      <c r="F17" s="56">
        <f t="shared" ref="F17:F35" si="9">E18-E17</f>
        <v>311</v>
      </c>
      <c r="G17" s="48">
        <f t="shared" si="4"/>
        <v>263.56006000000002</v>
      </c>
      <c r="H17" s="48">
        <f t="shared" si="5"/>
        <v>263.56006000000002</v>
      </c>
      <c r="I17" s="49">
        <f t="shared" si="2"/>
        <v>527.12012000000004</v>
      </c>
      <c r="J17" s="37">
        <f>4640+6370</f>
        <v>11010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7140082</v>
      </c>
      <c r="C18" s="53">
        <f t="shared" si="8"/>
        <v>2574</v>
      </c>
      <c r="D18" s="46">
        <f t="shared" si="7"/>
        <v>545.33899134000001</v>
      </c>
      <c r="E18" s="51">
        <v>575364</v>
      </c>
      <c r="F18" s="54">
        <f t="shared" si="9"/>
        <v>292</v>
      </c>
      <c r="G18" s="43">
        <f t="shared" si="4"/>
        <v>247.45831999999999</v>
      </c>
      <c r="H18" s="43">
        <f t="shared" si="5"/>
        <v>247.45831999999999</v>
      </c>
      <c r="I18" s="49">
        <f t="shared" si="2"/>
        <v>494.91663999999997</v>
      </c>
      <c r="J18" s="37">
        <f>4640+6370</f>
        <v>11010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7142656</v>
      </c>
      <c r="C19" s="55">
        <f t="shared" si="8"/>
        <v>2748</v>
      </c>
      <c r="D19" s="46">
        <f t="shared" si="7"/>
        <v>582.20339867999996</v>
      </c>
      <c r="E19" s="52">
        <v>575656</v>
      </c>
      <c r="F19" s="56">
        <f t="shared" si="9"/>
        <v>320</v>
      </c>
      <c r="G19" s="48">
        <f t="shared" si="4"/>
        <v>271.18720000000002</v>
      </c>
      <c r="H19" s="48">
        <f t="shared" si="5"/>
        <v>271.18720000000002</v>
      </c>
      <c r="I19" s="49">
        <f t="shared" si="2"/>
        <v>542.37440000000004</v>
      </c>
      <c r="J19" s="37">
        <f>4640+6370</f>
        <v>11010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7145404</v>
      </c>
      <c r="C20" s="53">
        <f t="shared" si="8"/>
        <v>2836</v>
      </c>
      <c r="D20" s="46">
        <f t="shared" si="7"/>
        <v>600.84746675999997</v>
      </c>
      <c r="E20" s="51">
        <v>575976</v>
      </c>
      <c r="F20" s="54">
        <f t="shared" si="9"/>
        <v>310</v>
      </c>
      <c r="G20" s="43">
        <f t="shared" si="4"/>
        <v>262.71260000000001</v>
      </c>
      <c r="H20" s="43">
        <f t="shared" si="5"/>
        <v>262.71260000000001</v>
      </c>
      <c r="I20" s="49">
        <f t="shared" si="2"/>
        <v>525.42520000000002</v>
      </c>
      <c r="J20" s="50">
        <f>4640+6370</f>
        <v>11010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7148240</v>
      </c>
      <c r="C21" s="55">
        <f t="shared" si="8"/>
        <v>2799</v>
      </c>
      <c r="D21" s="46">
        <f t="shared" si="7"/>
        <v>593.00848358999997</v>
      </c>
      <c r="E21" s="86">
        <v>576286</v>
      </c>
      <c r="F21" s="56">
        <f t="shared" si="9"/>
        <v>320</v>
      </c>
      <c r="G21" s="48">
        <f t="shared" si="4"/>
        <v>271.18720000000002</v>
      </c>
      <c r="H21" s="48">
        <f t="shared" si="5"/>
        <v>271.18720000000002</v>
      </c>
      <c r="I21" s="49">
        <f t="shared" si="2"/>
        <v>542.37440000000004</v>
      </c>
      <c r="J21" s="50">
        <f>4640+6370</f>
        <v>11010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7151039</v>
      </c>
      <c r="C22" s="53">
        <f t="shared" si="8"/>
        <v>53</v>
      </c>
      <c r="D22" s="46">
        <f t="shared" si="7"/>
        <v>11.228813730000001</v>
      </c>
      <c r="E22" s="52">
        <v>576606</v>
      </c>
      <c r="F22" s="54">
        <f t="shared" si="9"/>
        <v>296</v>
      </c>
      <c r="G22" s="43">
        <f t="shared" si="4"/>
        <v>250.84816000000001</v>
      </c>
      <c r="H22" s="43">
        <f t="shared" si="5"/>
        <v>250.84816000000001</v>
      </c>
      <c r="I22" s="49">
        <f t="shared" si="2"/>
        <v>501.69632000000001</v>
      </c>
      <c r="J22" s="50">
        <f>4640+6370</f>
        <v>11010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7151092</v>
      </c>
      <c r="C23" s="55">
        <f t="shared" si="8"/>
        <v>6089</v>
      </c>
      <c r="D23" s="46">
        <f t="shared" si="7"/>
        <v>1290.0423924900001</v>
      </c>
      <c r="E23" s="52">
        <v>576902</v>
      </c>
      <c r="F23" s="56">
        <f t="shared" si="9"/>
        <v>165</v>
      </c>
      <c r="G23" s="48">
        <f t="shared" si="4"/>
        <v>139.83089999999999</v>
      </c>
      <c r="H23" s="48">
        <f t="shared" si="5"/>
        <v>139.83089999999999</v>
      </c>
      <c r="I23" s="49">
        <f t="shared" si="2"/>
        <v>279.66179999999997</v>
      </c>
      <c r="J23" s="50">
        <f>4640+6370</f>
        <v>11010</v>
      </c>
      <c r="K23" s="38">
        <f t="shared" si="3"/>
        <v>3630</v>
      </c>
      <c r="L23" s="39">
        <f t="shared" si="6"/>
        <v>2541</v>
      </c>
    </row>
    <row r="24" spans="1:12" ht="32.450000000000003" customHeight="1">
      <c r="A24" s="40">
        <v>19</v>
      </c>
      <c r="B24" s="40">
        <v>7157181</v>
      </c>
      <c r="C24" s="53">
        <f t="shared" si="8"/>
        <v>3064</v>
      </c>
      <c r="D24" s="46">
        <f t="shared" si="7"/>
        <v>649.15255223999998</v>
      </c>
      <c r="E24" s="52">
        <v>577067</v>
      </c>
      <c r="F24" s="54">
        <f t="shared" si="9"/>
        <v>202</v>
      </c>
      <c r="G24" s="43">
        <f t="shared" si="4"/>
        <v>171.18691999999999</v>
      </c>
      <c r="H24" s="43">
        <f t="shared" si="5"/>
        <v>171.18691999999999</v>
      </c>
      <c r="I24" s="49">
        <f t="shared" si="2"/>
        <v>342.37383999999997</v>
      </c>
      <c r="J24" s="50">
        <f>1010+6370</f>
        <v>7380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7160245</v>
      </c>
      <c r="C25" s="55">
        <f t="shared" si="8"/>
        <v>-7160245</v>
      </c>
      <c r="D25" s="46">
        <f t="shared" si="7"/>
        <v>-1517001.0823804501</v>
      </c>
      <c r="E25" s="52">
        <v>577269</v>
      </c>
      <c r="F25" s="56">
        <f t="shared" si="9"/>
        <v>-577269</v>
      </c>
      <c r="G25" s="48">
        <f t="shared" si="4"/>
        <v>-489212.38673999999</v>
      </c>
      <c r="H25" s="48">
        <f t="shared" si="5"/>
        <v>-489212.38673999999</v>
      </c>
      <c r="I25" s="49">
        <f t="shared" si="2"/>
        <v>-978424.77347999997</v>
      </c>
      <c r="J25" s="50">
        <f>1010+6370</f>
        <v>7380</v>
      </c>
      <c r="K25" s="38">
        <f t="shared" si="3"/>
        <v>7380</v>
      </c>
      <c r="L25" s="39">
        <f t="shared" si="6"/>
        <v>5166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4"/>
        <v>0</v>
      </c>
      <c r="H26" s="43">
        <f t="shared" si="5"/>
        <v>0</v>
      </c>
      <c r="I26" s="49">
        <f t="shared" si="2"/>
        <v>0</v>
      </c>
      <c r="J26" s="50"/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6">
        <v>30</v>
      </c>
      <c r="B35" s="117"/>
      <c r="C35" s="118">
        <f t="shared" si="8"/>
        <v>0</v>
      </c>
      <c r="D35" s="119">
        <f t="shared" si="7"/>
        <v>0</v>
      </c>
      <c r="E35" s="120"/>
      <c r="F35" s="118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125">
        <f>K35*0.7</f>
        <v>0</v>
      </c>
    </row>
    <row r="36" spans="1:12" ht="32.450000000000003" customHeight="1">
      <c r="A36" s="106">
        <v>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07">
        <f t="shared" ref="I36" si="14">G36+H36</f>
        <v>0</v>
      </c>
      <c r="J36" s="113"/>
      <c r="K36" s="114">
        <f t="shared" ref="K36" si="15">J36-J37</f>
        <v>0</v>
      </c>
      <c r="L36" s="115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E7AF12-08A9-4743-AEE6-A631D5FCAAAF}"/>
</file>

<file path=customXml/itemProps2.xml><?xml version="1.0" encoding="utf-8"?>
<ds:datastoreItem xmlns:ds="http://schemas.openxmlformats.org/officeDocument/2006/customXml" ds:itemID="{247C04B7-9371-4B5A-BE75-593660B27BEF}"/>
</file>

<file path=customXml/itemProps3.xml><?xml version="1.0" encoding="utf-8"?>
<ds:datastoreItem xmlns:ds="http://schemas.openxmlformats.org/officeDocument/2006/customXml" ds:itemID="{74D4CBE7-FFD1-4E83-9119-8BD605C35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2022-11-21T06:08:40Z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