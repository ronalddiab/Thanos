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<sst xmlns="http://schemas.openxmlformats.org/spreadsheetml/2006/main" count="102" uniqueCount="33">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</sst>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4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0.12</v>
      </c>
      <c r="G2" s="20">
        <f>Submetering!F2+Submetering!G2</f>
        <v>591.86</v>
      </c>
      <c r="H2" s="16">
        <v>0.71</v>
      </c>
      <c r="I2" s="20">
        <f>Submetering!J2+Submetering!I2+Submetering!H2</f>
        <v>68.290000000000006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v>0.12</v>
      </c>
      <c r="G3" s="20">
        <f>Submetering!F3+Submetering!G3</f>
        <v>518.82000000000005</v>
      </c>
      <c r="H3" s="16">
        <v>0.71</v>
      </c>
      <c r="I3" s="20">
        <f>Submetering!J3+Submetering!I3+Submetering!H3</f>
        <v>64.94</v>
      </c>
      <c r="J3" s="16">
        <v>2.3196172978505634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v>0.12</v>
      </c>
      <c r="G4" s="20">
        <f>Submetering!F4+Submetering!G4</f>
        <v>562.35</v>
      </c>
      <c r="H4" s="16">
        <v>0.71</v>
      </c>
      <c r="I4" s="20">
        <f>Submetering!J4+Submetering!I4+Submetering!H4</f>
        <v>67.77</v>
      </c>
      <c r="J4" s="16">
        <v>2.3196172978505634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v>0.12</v>
      </c>
      <c r="G5" s="20">
        <f>Submetering!F5+Submetering!G5</f>
        <v>523.75</v>
      </c>
      <c r="H5" s="16">
        <v>0.71</v>
      </c>
      <c r="I5" s="20">
        <f>Submetering!J5+Submetering!I5+Submetering!H5</f>
        <v>72.17</v>
      </c>
      <c r="J5" s="16">
        <v>2.3196172978505634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v>0.12</v>
      </c>
      <c r="G6" s="20">
        <f>Submetering!F6+Submetering!G6</f>
        <v>494.93</v>
      </c>
      <c r="H6" s="16">
        <v>0.71</v>
      </c>
      <c r="I6" s="20">
        <f>Submetering!J6+Submetering!I6+Submetering!H6</f>
        <v>77.33</v>
      </c>
      <c r="J6" s="16">
        <v>2.3196172978505634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v>0.12</v>
      </c>
      <c r="G7" s="20">
        <f>Submetering!F7+Submetering!G7</f>
        <v>602.27</v>
      </c>
      <c r="H7" s="16">
        <v>0.71</v>
      </c>
      <c r="I7" s="20">
        <f>Submetering!J7+Submetering!I7+Submetering!H7</f>
        <v>68.61</v>
      </c>
      <c r="J7" s="16">
        <v>2.3196172978505634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v>0.12</v>
      </c>
      <c r="G8" s="20">
        <f>Submetering!F8+Submetering!G8</f>
        <v>506</v>
      </c>
      <c r="H8" s="16">
        <v>0.71</v>
      </c>
      <c r="I8" s="20">
        <f>Submetering!J8+Submetering!I8+Submetering!H8</f>
        <v>88.24</v>
      </c>
      <c r="J8" s="16">
        <v>2.3196172978505634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v>0.12</v>
      </c>
      <c r="G9" s="20">
        <f>Submetering!F9+Submetering!G9</f>
        <v>637.82999999999993</v>
      </c>
      <c r="H9" s="16">
        <v>0.71</v>
      </c>
      <c r="I9" s="20">
        <f>Submetering!J9+Submetering!I9+Submetering!H9</f>
        <v>84.25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v>0.12</v>
      </c>
      <c r="G10" s="20">
        <f>Submetering!F10+Submetering!G10</f>
        <v>570.29000000000008</v>
      </c>
      <c r="H10" s="16">
        <v>0.71</v>
      </c>
      <c r="I10" s="20">
        <f>Submetering!J10+Submetering!I10+Submetering!H10</f>
        <v>80.05</v>
      </c>
      <c r="J10" s="16">
        <v>2.3196172978505634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v>0.12</v>
      </c>
      <c r="G11" s="20">
        <f>Submetering!F11+Submetering!G11</f>
        <v>425.12</v>
      </c>
      <c r="H11" s="16">
        <v>0.71</v>
      </c>
      <c r="I11" s="20">
        <f>Submetering!J11+Submetering!I11+Submetering!H11</f>
        <v>75.430000000000007</v>
      </c>
      <c r="J11" s="16">
        <v>2.3196172978505634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v>0.12</v>
      </c>
      <c r="G12" s="20">
        <f>Submetering!F12+Submetering!G12</f>
        <v>404.34</v>
      </c>
      <c r="H12" s="16">
        <v>0.71</v>
      </c>
      <c r="I12" s="20">
        <f>Submetering!J12+Submetering!I12+Submetering!H12</f>
        <v>73.97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v>0.12</v>
      </c>
      <c r="G13" s="20">
        <f>Submetering!F13+Submetering!G13</f>
        <v>542.37</v>
      </c>
      <c r="H13" s="16">
        <v>0.71</v>
      </c>
      <c r="I13" s="20">
        <f>Submetering!J13+Submetering!I13+Submetering!H13</f>
        <v>45.93</v>
      </c>
      <c r="J13" s="16">
        <v>2.3196172978505634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v>0.12</v>
      </c>
      <c r="G14" s="20">
        <f>Submetering!F14+Submetering!G14</f>
        <v>499.92</v>
      </c>
      <c r="H14" s="16">
        <v>0.71</v>
      </c>
      <c r="I14" s="20">
        <f>Submetering!J14+Submetering!I14+Submetering!H14</f>
        <v>86.06</v>
      </c>
      <c r="J14" s="16">
        <v>2.3196172978505634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v>0.12</v>
      </c>
      <c r="G15" s="20">
        <f>Submetering!F15+Submetering!G15</f>
        <v>541.55000000000007</v>
      </c>
      <c r="H15" s="16">
        <v>0.71</v>
      </c>
      <c r="I15" s="20">
        <f>Submetering!J15+Submetering!I15+Submetering!H15</f>
        <v>85.68</v>
      </c>
      <c r="J15" s="16">
        <v>2.3196172978505634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v>0.12</v>
      </c>
      <c r="G16" s="20">
        <f>Submetering!F16+Submetering!G16</f>
        <v>445.59</v>
      </c>
      <c r="H16" s="16">
        <v>0.71</v>
      </c>
      <c r="I16" s="20">
        <f>Submetering!J16+Submetering!I16+Submetering!H16</f>
        <v>67.14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6428.11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J17" sqref="J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432.14</v>
      </c>
      <c r="G16" s="38">
        <v>13.45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6428.11</v>
      </c>
      <c r="F17" s="38"/>
      <c r="G17" s="38"/>
      <c r="H17" s="38"/>
      <c r="I17" s="38"/>
      <c r="J17" s="38"/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/>
      <c r="F18" s="38"/>
      <c r="G18" s="38"/>
      <c r="H18" s="38"/>
      <c r="I18" s="38"/>
      <c r="J18" s="38"/>
      <c r="K18" s="42"/>
      <c r="L18" s="38"/>
      <c r="M18" s="43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/>
      <c r="F19" s="38"/>
      <c r="G19" s="38"/>
      <c r="H19" s="38"/>
      <c r="I19" s="38"/>
      <c r="J19" s="38"/>
      <c r="K19" s="42"/>
      <c r="L19" s="38"/>
      <c r="M19" s="43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/>
      <c r="F20" s="38"/>
      <c r="G20" s="38"/>
      <c r="H20" s="38"/>
      <c r="I20" s="38"/>
      <c r="J20" s="38"/>
      <c r="K20" s="44"/>
      <c r="L20" s="38"/>
      <c r="M20" s="43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/>
      <c r="F21" s="38"/>
      <c r="G21" s="38"/>
      <c r="H21" s="38"/>
      <c r="I21" s="38"/>
      <c r="J21" s="38"/>
      <c r="K21" s="43"/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/>
      <c r="F22" s="38"/>
      <c r="G22" s="38"/>
      <c r="H22" s="38"/>
      <c r="I22" s="38"/>
      <c r="J22" s="38"/>
      <c r="K22" s="44"/>
      <c r="L22" s="38"/>
      <c r="M22" s="43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/>
      <c r="F23" s="38"/>
      <c r="G23" s="38"/>
      <c r="H23" s="38"/>
      <c r="I23" s="38"/>
      <c r="J23" s="38"/>
      <c r="K23" s="43"/>
      <c r="L23" s="38"/>
      <c r="M23" s="43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/>
      <c r="F24" s="38"/>
      <c r="G24" s="38"/>
      <c r="H24" s="38"/>
      <c r="I24" s="38"/>
      <c r="J24" s="38"/>
      <c r="K24" s="43"/>
      <c r="L24" s="38"/>
      <c r="M24" s="43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/>
      <c r="F25" s="38"/>
      <c r="G25" s="38"/>
      <c r="H25" s="38"/>
      <c r="I25" s="38"/>
      <c r="J25" s="38"/>
      <c r="K25" s="43"/>
      <c r="L25" s="38"/>
      <c r="M25" s="43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/>
      <c r="F26" s="38"/>
      <c r="G26" s="38"/>
      <c r="H26" s="38"/>
      <c r="I26" s="38"/>
      <c r="J26" s="38"/>
      <c r="K26" s="43"/>
      <c r="L26" s="38"/>
      <c r="M26" s="43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/>
      <c r="F27" s="38"/>
      <c r="G27" s="38"/>
      <c r="H27" s="38"/>
      <c r="I27" s="38"/>
      <c r="J27" s="38"/>
      <c r="K27" s="43"/>
      <c r="L27" s="38"/>
      <c r="M27" s="43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/>
      <c r="F28" s="38"/>
      <c r="G28" s="38"/>
      <c r="H28" s="38"/>
      <c r="I28" s="38"/>
      <c r="J28" s="38"/>
      <c r="K28" s="43"/>
      <c r="L28" s="38"/>
      <c r="M28" s="43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5"/>
      <c r="C1" s="1"/>
      <c r="D1" s="11"/>
      <c r="E1" s="1"/>
      <c r="F1" s="14"/>
      <c r="G1" s="1"/>
      <c r="H1" s="1"/>
      <c r="I1" s="46"/>
      <c r="J1" s="51"/>
      <c r="K1" s="52"/>
      <c r="L1" s="52"/>
      <c r="M1" s="52"/>
      <c r="N1" s="52"/>
      <c r="O1" s="52"/>
      <c r="P1" s="21"/>
      <c r="Q1" s="21"/>
    </row>
    <row r="2" spans="1:17" ht="35.25" customHeight="1" thickBot="1" x14ac:dyDescent="0.3">
      <c r="A2" s="19" t="s">
        <v>15</v>
      </c>
      <c r="B2" s="45"/>
      <c r="C2" s="55" t="s">
        <v>22</v>
      </c>
      <c r="D2" s="56"/>
      <c r="E2" s="49" t="s">
        <v>23</v>
      </c>
      <c r="F2" s="49"/>
      <c r="G2" s="49" t="s">
        <v>24</v>
      </c>
      <c r="H2" s="49"/>
      <c r="I2" s="47"/>
      <c r="J2" s="53" t="s">
        <v>27</v>
      </c>
      <c r="K2" s="54"/>
      <c r="L2" s="57" t="s">
        <v>28</v>
      </c>
      <c r="M2" s="57"/>
      <c r="N2" s="57" t="s">
        <v>29</v>
      </c>
      <c r="O2" s="57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50">
        <f>IF((C5-C4&lt;0), "",C5-C4)</f>
        <v>7975</v>
      </c>
      <c r="E4" s="18">
        <v>23837512</v>
      </c>
      <c r="F4" s="58">
        <f>IF((E5-E4&lt;0), "",E5-E4)</f>
        <v>5799</v>
      </c>
      <c r="G4" s="18">
        <v>9975816</v>
      </c>
      <c r="H4" s="50">
        <f>IF((G5-G4&lt;0), "",G5-G4)</f>
        <v>3477</v>
      </c>
      <c r="I4" s="47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50"/>
      <c r="E5" s="18">
        <v>23843311</v>
      </c>
      <c r="F5" s="59"/>
      <c r="G5" s="18">
        <v>9979293</v>
      </c>
      <c r="H5" s="50"/>
      <c r="I5" s="47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2022-02-17T13:06:25Z</dcterms:modified>
</cp:coreProperties>
</file>