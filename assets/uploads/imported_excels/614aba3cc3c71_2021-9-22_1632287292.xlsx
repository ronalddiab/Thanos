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<sst xmlns="http://schemas.openxmlformats.org/spreadsheetml/2006/main" count="128" uniqueCount="49">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</sst>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73040</v>
      </c>
      <c r="F9" s="11">
        <v>5.0000000000000001E-3</v>
      </c>
      <c r="G9" s="12">
        <f>Submetering!R9</f>
        <v>1022.8177819999999</v>
      </c>
      <c r="H9" s="11">
        <v>0.52800000000000002</v>
      </c>
      <c r="I9" s="12">
        <f>Hotel!B14</f>
        <v>85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69890</v>
      </c>
      <c r="F10" s="11">
        <v>5.0000000000000001E-3</v>
      </c>
      <c r="G10" s="12">
        <f>Submetering!R10</f>
        <v>970.57912399999998</v>
      </c>
      <c r="H10" s="11">
        <v>0.52800000000000002</v>
      </c>
      <c r="I10" s="12">
        <f>Hotel!B15</f>
        <v>139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72590</v>
      </c>
      <c r="F11" s="11">
        <v>5.0000000000000001E-3</v>
      </c>
      <c r="G11" s="12">
        <f>Submetering!R11</f>
        <v>1000.1053219999999</v>
      </c>
      <c r="H11" s="11">
        <v>0.52800000000000002</v>
      </c>
      <c r="I11" s="12">
        <f>Hotel!B16</f>
        <v>152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72380</v>
      </c>
      <c r="F12" s="11">
        <v>5.0000000000000001E-3</v>
      </c>
      <c r="G12" s="12">
        <f>Submetering!R12</f>
        <v>820.29834699999992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72600</v>
      </c>
      <c r="F13" s="11">
        <v>5.0000000000000001E-3</v>
      </c>
      <c r="G13" s="12">
        <f>Submetering!R13</f>
        <v>864.96618499999988</v>
      </c>
      <c r="H13" s="11">
        <v>0.52800000000000002</v>
      </c>
      <c r="I13" s="12">
        <f>Hotel!B18</f>
        <v>75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64150</v>
      </c>
      <c r="F14" s="11">
        <v>5.0000000000000001E-3</v>
      </c>
      <c r="G14" s="12">
        <f>Submetering!R14</f>
        <v>939.53876199999991</v>
      </c>
      <c r="H14" s="11">
        <v>0.52800000000000002</v>
      </c>
      <c r="I14" s="12">
        <f>Hotel!B19</f>
        <v>74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67810</v>
      </c>
      <c r="F15" s="11">
        <v>5.0000000000000001E-3</v>
      </c>
      <c r="G15" s="12">
        <f>Submetering!R15</f>
        <v>850.96016799999995</v>
      </c>
      <c r="H15" s="11">
        <v>0.52800000000000002</v>
      </c>
      <c r="I15" s="12">
        <f>Hotel!B20</f>
        <v>65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72420</v>
      </c>
      <c r="F16" s="11">
        <v>5.0000000000000001E-3</v>
      </c>
      <c r="G16" s="12">
        <f>Submetering!R16</f>
        <v>843.01080699999989</v>
      </c>
      <c r="H16" s="11">
        <v>0.52800000000000002</v>
      </c>
      <c r="I16" s="12">
        <f>Hotel!B21</f>
        <v>91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64850</v>
      </c>
      <c r="F17" s="11">
        <v>5.0000000000000001E-3</v>
      </c>
      <c r="G17" s="12">
        <f>Submetering!R17</f>
        <v>996.31991200000004</v>
      </c>
      <c r="H17" s="11">
        <v>0.52800000000000002</v>
      </c>
      <c r="I17" s="12">
        <f>Hotel!B22</f>
        <v>126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70730</v>
      </c>
      <c r="F18" s="11">
        <v>5.0000000000000001E-3</v>
      </c>
      <c r="G18" s="12">
        <f>Submetering!R18</f>
        <v>999.72678100000007</v>
      </c>
      <c r="H18" s="11">
        <v>0.52800000000000002</v>
      </c>
      <c r="I18" s="12">
        <f>Hotel!B23</f>
        <v>142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69350</v>
      </c>
      <c r="F19" s="11">
        <v>5.0000000000000001E-3</v>
      </c>
      <c r="G19" s="12">
        <f>Submetering!R19</f>
        <v>793.800477</v>
      </c>
      <c r="H19" s="11">
        <v>0.52800000000000002</v>
      </c>
      <c r="I19" s="12">
        <f>Hotel!B24</f>
        <v>57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69700</v>
      </c>
      <c r="F20" s="11">
        <v>5.0000000000000001E-3</v>
      </c>
      <c r="G20" s="12">
        <f>Submetering!R20</f>
        <v>1087.5482930000001</v>
      </c>
      <c r="H20" s="11">
        <v>0.52800000000000002</v>
      </c>
      <c r="I20" s="12">
        <f>Hotel!B25</f>
        <v>56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65670</v>
      </c>
      <c r="F21" s="11">
        <v>5.0000000000000001E-3</v>
      </c>
      <c r="G21" s="12">
        <f>Submetering!R21</f>
        <v>889.57134999999994</v>
      </c>
      <c r="H21" s="11">
        <v>0.52800000000000002</v>
      </c>
      <c r="I21" s="12">
        <f>Hotel!B26</f>
        <v>62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70200</v>
      </c>
      <c r="F22" s="11">
        <v>5.0000000000000001E-3</v>
      </c>
      <c r="G22" s="12">
        <f>Submetering!R22</f>
        <v>889.19280900000001</v>
      </c>
      <c r="H22" s="11">
        <v>0.52800000000000002</v>
      </c>
      <c r="I22" s="12">
        <f>Hotel!B27</f>
        <v>74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11360</v>
      </c>
      <c r="F9" s="4">
        <f>Hotel!R14</f>
        <v>14350</v>
      </c>
      <c r="G9" s="4">
        <f>Hotel!S14</f>
        <v>160</v>
      </c>
      <c r="H9" s="4">
        <f>Hotel!T14</f>
        <v>1800</v>
      </c>
      <c r="I9" s="4">
        <f>Hotel!U14</f>
        <v>4130</v>
      </c>
      <c r="J9" s="4">
        <f>Hotel!V14</f>
        <v>3910</v>
      </c>
      <c r="K9" s="4">
        <f>Hotel!W14</f>
        <v>2460</v>
      </c>
      <c r="L9" s="4">
        <f>Hotel!X14</f>
        <v>4900</v>
      </c>
      <c r="M9" s="4">
        <f>Hotel!Y14</f>
        <v>5840</v>
      </c>
      <c r="N9" s="4">
        <f>Hotel!Z14</f>
        <v>2620</v>
      </c>
      <c r="O9" s="4">
        <f>Hotel!AA14</f>
        <v>3120</v>
      </c>
      <c r="P9" s="4">
        <f>Hotel!AB14</f>
        <v>7540</v>
      </c>
      <c r="Q9" s="4">
        <f>Hotel!AC14</f>
        <v>10850</v>
      </c>
      <c r="R9" s="4">
        <f>Hotel!AV14*0.00378541*100</f>
        <v>1022.8177819999999</v>
      </c>
      <c r="S9" s="4">
        <f>Hotel!B14</f>
        <v>85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10580</v>
      </c>
      <c r="F10" s="4">
        <f>Hotel!R15</f>
        <v>13350</v>
      </c>
      <c r="G10" s="4">
        <f>Hotel!S15</f>
        <v>150</v>
      </c>
      <c r="H10" s="4">
        <f>Hotel!T15</f>
        <v>1660</v>
      </c>
      <c r="I10" s="4">
        <f>Hotel!U15</f>
        <v>4000</v>
      </c>
      <c r="J10" s="4">
        <f>Hotel!V15</f>
        <v>3790</v>
      </c>
      <c r="K10" s="4">
        <f>Hotel!W15</f>
        <v>2310</v>
      </c>
      <c r="L10" s="4">
        <f>Hotel!X15</f>
        <v>4910</v>
      </c>
      <c r="M10" s="4">
        <f>Hotel!Y15</f>
        <v>5630</v>
      </c>
      <c r="N10" s="4">
        <f>Hotel!Z15</f>
        <v>2630</v>
      </c>
      <c r="O10" s="4">
        <f>Hotel!AA15</f>
        <v>2990</v>
      </c>
      <c r="P10" s="4">
        <f>Hotel!AB15</f>
        <v>7040</v>
      </c>
      <c r="Q10" s="4">
        <f>Hotel!AC15</f>
        <v>10850</v>
      </c>
      <c r="R10" s="4">
        <f>Hotel!AV15*0.00378541*100</f>
        <v>970.57912399999998</v>
      </c>
      <c r="S10" s="4">
        <f>Hotel!B15</f>
        <v>139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10960</v>
      </c>
      <c r="F11" s="4">
        <f>Hotel!R16</f>
        <v>13850</v>
      </c>
      <c r="G11" s="4">
        <f>Hotel!S16</f>
        <v>150</v>
      </c>
      <c r="H11" s="4">
        <f>Hotel!T16</f>
        <v>1740</v>
      </c>
      <c r="I11" s="4">
        <f>Hotel!U16</f>
        <v>4340</v>
      </c>
      <c r="J11" s="4">
        <f>Hotel!V16</f>
        <v>3970</v>
      </c>
      <c r="K11" s="4">
        <f>Hotel!W16</f>
        <v>2440</v>
      </c>
      <c r="L11" s="4">
        <f>Hotel!X16</f>
        <v>4850</v>
      </c>
      <c r="M11" s="4">
        <f>Hotel!Y16</f>
        <v>6080</v>
      </c>
      <c r="N11" s="4">
        <f>Hotel!Z16</f>
        <v>2950</v>
      </c>
      <c r="O11" s="4">
        <f>Hotel!AA16</f>
        <v>3230</v>
      </c>
      <c r="P11" s="4">
        <f>Hotel!AB16</f>
        <v>7490</v>
      </c>
      <c r="Q11" s="4">
        <f>Hotel!AC16</f>
        <v>10540</v>
      </c>
      <c r="R11" s="4">
        <f>Hotel!AV16*0.00378541*100</f>
        <v>1000.1053219999999</v>
      </c>
      <c r="S11" s="4">
        <f>Hotel!B16</f>
        <v>152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10500</v>
      </c>
      <c r="F12" s="4">
        <f>Hotel!R17</f>
        <v>13400</v>
      </c>
      <c r="G12" s="4">
        <f>Hotel!S17</f>
        <v>140</v>
      </c>
      <c r="H12" s="4">
        <f>Hotel!T17</f>
        <v>2950</v>
      </c>
      <c r="I12" s="4">
        <f>Hotel!U17</f>
        <v>4160</v>
      </c>
      <c r="J12" s="4">
        <f>Hotel!V17</f>
        <v>3770</v>
      </c>
      <c r="K12" s="4">
        <f>Hotel!W17</f>
        <v>2300</v>
      </c>
      <c r="L12" s="4">
        <f>Hotel!X17</f>
        <v>4890</v>
      </c>
      <c r="M12" s="4">
        <f>Hotel!Y17</f>
        <v>5880</v>
      </c>
      <c r="N12" s="4">
        <f>Hotel!Z17</f>
        <v>2870</v>
      </c>
      <c r="O12" s="4">
        <f>Hotel!AA17</f>
        <v>3160</v>
      </c>
      <c r="P12" s="4">
        <f>Hotel!AB17</f>
        <v>7480</v>
      </c>
      <c r="Q12" s="4">
        <f>Hotel!AC17</f>
        <v>10880</v>
      </c>
      <c r="R12" s="4">
        <f>Hotel!AV17*0.00378541*100</f>
        <v>820.29834699999992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10910</v>
      </c>
      <c r="F13" s="4">
        <f>Hotel!R18</f>
        <v>14060</v>
      </c>
      <c r="G13" s="4">
        <f>Hotel!S18</f>
        <v>140</v>
      </c>
      <c r="H13" s="4">
        <f>Hotel!T18</f>
        <v>610</v>
      </c>
      <c r="I13" s="4">
        <f>Hotel!U18</f>
        <v>4320</v>
      </c>
      <c r="J13" s="4">
        <f>Hotel!V18</f>
        <v>3860</v>
      </c>
      <c r="K13" s="4">
        <f>Hotel!W18</f>
        <v>2460</v>
      </c>
      <c r="L13" s="4">
        <f>Hotel!X18</f>
        <v>4680</v>
      </c>
      <c r="M13" s="4">
        <f>Hotel!Y18</f>
        <v>6130</v>
      </c>
      <c r="N13" s="4">
        <f>Hotel!Z18</f>
        <v>2780</v>
      </c>
      <c r="O13" s="4">
        <f>Hotel!AA18</f>
        <v>3240</v>
      </c>
      <c r="P13" s="4">
        <f>Hotel!AB18</f>
        <v>7840</v>
      </c>
      <c r="Q13" s="4">
        <f>Hotel!AC18</f>
        <v>11570</v>
      </c>
      <c r="R13" s="4">
        <f>Hotel!AV18*0.00378541*100</f>
        <v>864.96618499999988</v>
      </c>
      <c r="S13" s="4">
        <f>Hotel!B18</f>
        <v>75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9650</v>
      </c>
      <c r="F14" s="4">
        <f>Hotel!R19</f>
        <v>12380</v>
      </c>
      <c r="G14" s="4">
        <f>Hotel!S19</f>
        <v>120</v>
      </c>
      <c r="H14" s="4">
        <f>Hotel!T19</f>
        <v>1610</v>
      </c>
      <c r="I14" s="4">
        <f>Hotel!U19</f>
        <v>3790</v>
      </c>
      <c r="J14" s="4">
        <f>Hotel!V19</f>
        <v>3430</v>
      </c>
      <c r="K14" s="4">
        <f>Hotel!W19</f>
        <v>2170</v>
      </c>
      <c r="L14" s="4">
        <f>Hotel!X19</f>
        <v>4210</v>
      </c>
      <c r="M14" s="4">
        <f>Hotel!Y19</f>
        <v>5030</v>
      </c>
      <c r="N14" s="4">
        <f>Hotel!Z19</f>
        <v>2490</v>
      </c>
      <c r="O14" s="4">
        <f>Hotel!AA19</f>
        <v>2780</v>
      </c>
      <c r="P14" s="4">
        <f>Hotel!AB19</f>
        <v>6850</v>
      </c>
      <c r="Q14" s="4">
        <f>Hotel!AC19</f>
        <v>9640</v>
      </c>
      <c r="R14" s="4">
        <f>Hotel!AV19*0.00378541*100</f>
        <v>939.53876199999991</v>
      </c>
      <c r="S14" s="4">
        <f>Hotel!B19</f>
        <v>74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10060</v>
      </c>
      <c r="F15" s="4">
        <f>Hotel!R20</f>
        <v>12920</v>
      </c>
      <c r="G15" s="4">
        <f>Hotel!S20</f>
        <v>140</v>
      </c>
      <c r="H15" s="4">
        <f>Hotel!T20</f>
        <v>1680</v>
      </c>
      <c r="I15" s="4">
        <f>Hotel!U20</f>
        <v>3930</v>
      </c>
      <c r="J15" s="4">
        <f>Hotel!V20</f>
        <v>3510</v>
      </c>
      <c r="K15" s="4">
        <f>Hotel!W20</f>
        <v>2260</v>
      </c>
      <c r="L15" s="4">
        <f>Hotel!X20</f>
        <v>4730</v>
      </c>
      <c r="M15" s="4">
        <f>Hotel!Y20</f>
        <v>5670</v>
      </c>
      <c r="N15" s="4">
        <f>Hotel!Z20</f>
        <v>2540</v>
      </c>
      <c r="O15" s="4">
        <f>Hotel!AA20</f>
        <v>2890</v>
      </c>
      <c r="P15" s="4">
        <f>Hotel!AB20</f>
        <v>7290</v>
      </c>
      <c r="Q15" s="4">
        <f>Hotel!AC20</f>
        <v>10190</v>
      </c>
      <c r="R15" s="4">
        <f>Hotel!AV20*0.00378541*100</f>
        <v>850.96016799999995</v>
      </c>
      <c r="S15" s="4">
        <f>Hotel!B20</f>
        <v>65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10590</v>
      </c>
      <c r="F16" s="4">
        <f>Hotel!R21</f>
        <v>13700</v>
      </c>
      <c r="G16" s="4">
        <f>Hotel!S21</f>
        <v>130</v>
      </c>
      <c r="H16" s="4">
        <f>Hotel!T21</f>
        <v>1810</v>
      </c>
      <c r="I16" s="4">
        <f>Hotel!U21</f>
        <v>4050</v>
      </c>
      <c r="J16" s="4">
        <f>Hotel!V21</f>
        <v>3840</v>
      </c>
      <c r="K16" s="4">
        <f>Hotel!W21</f>
        <v>2420</v>
      </c>
      <c r="L16" s="4">
        <f>Hotel!X21</f>
        <v>5130</v>
      </c>
      <c r="M16" s="4">
        <f>Hotel!Y21</f>
        <v>6160</v>
      </c>
      <c r="N16" s="4">
        <f>Hotel!Z21</f>
        <v>2710</v>
      </c>
      <c r="O16" s="4">
        <f>Hotel!AA21</f>
        <v>3210</v>
      </c>
      <c r="P16" s="4">
        <f>Hotel!AB21</f>
        <v>7790</v>
      </c>
      <c r="Q16" s="4">
        <f>Hotel!AC21</f>
        <v>10880</v>
      </c>
      <c r="R16" s="4">
        <f>Hotel!AV21*0.00378541*100</f>
        <v>843.01080699999989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9390</v>
      </c>
      <c r="F17" s="4">
        <f>Hotel!R22</f>
        <v>12070</v>
      </c>
      <c r="G17" s="4">
        <f>Hotel!S22</f>
        <v>110</v>
      </c>
      <c r="H17" s="4">
        <f>Hotel!T22</f>
        <v>1560</v>
      </c>
      <c r="I17" s="4">
        <f>Hotel!U22</f>
        <v>3790</v>
      </c>
      <c r="J17" s="4">
        <f>Hotel!V22</f>
        <v>3470</v>
      </c>
      <c r="K17" s="4">
        <f>Hotel!W22</f>
        <v>2120</v>
      </c>
      <c r="L17" s="4">
        <f>Hotel!X22</f>
        <v>4430</v>
      </c>
      <c r="M17" s="4">
        <f>Hotel!Y22</f>
        <v>5340</v>
      </c>
      <c r="N17" s="4">
        <f>Hotel!Z22</f>
        <v>2510</v>
      </c>
      <c r="O17" s="4">
        <f>Hotel!AA22</f>
        <v>3060</v>
      </c>
      <c r="P17" s="4">
        <f>Hotel!AB22</f>
        <v>6670</v>
      </c>
      <c r="Q17" s="4">
        <f>Hotel!AC22</f>
        <v>10330</v>
      </c>
      <c r="R17" s="4">
        <f>Hotel!AV22*0.00378541*100</f>
        <v>996.31991200000004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10000</v>
      </c>
      <c r="F18" s="4">
        <f>Hotel!R23</f>
        <v>12940</v>
      </c>
      <c r="G18" s="4">
        <f>Hotel!S23</f>
        <v>120</v>
      </c>
      <c r="H18" s="4">
        <f>Hotel!T23</f>
        <v>1710</v>
      </c>
      <c r="I18" s="4">
        <f>Hotel!U23</f>
        <v>4280</v>
      </c>
      <c r="J18" s="4">
        <f>Hotel!V23</f>
        <v>3730</v>
      </c>
      <c r="K18" s="4">
        <f>Hotel!W23</f>
        <v>2260</v>
      </c>
      <c r="L18" s="4">
        <f>Hotel!X23</f>
        <v>4910</v>
      </c>
      <c r="M18" s="4">
        <f>Hotel!Y23</f>
        <v>5770</v>
      </c>
      <c r="N18" s="4">
        <f>Hotel!Z23</f>
        <v>2720</v>
      </c>
      <c r="O18" s="4">
        <f>Hotel!AA23</f>
        <v>3070</v>
      </c>
      <c r="P18" s="4">
        <f>Hotel!AB23</f>
        <v>7370</v>
      </c>
      <c r="Q18" s="4">
        <f>Hotel!AC23</f>
        <v>11850</v>
      </c>
      <c r="R18" s="4">
        <f>Hotel!AV23*0.00378541*100</f>
        <v>999.72678100000007</v>
      </c>
      <c r="S18" s="4">
        <f>Hotel!B23</f>
        <v>142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10170</v>
      </c>
      <c r="F19" s="4">
        <f>Hotel!R24</f>
        <v>13090</v>
      </c>
      <c r="G19" s="4">
        <f>Hotel!S24</f>
        <v>130</v>
      </c>
      <c r="H19" s="4">
        <f>Hotel!T24</f>
        <v>1710</v>
      </c>
      <c r="I19" s="4">
        <f>Hotel!U24</f>
        <v>4190</v>
      </c>
      <c r="J19" s="4">
        <f>Hotel!V24</f>
        <v>3750</v>
      </c>
      <c r="K19" s="4">
        <f>Hotel!W24</f>
        <v>2300</v>
      </c>
      <c r="L19" s="4">
        <f>Hotel!X24</f>
        <v>4870</v>
      </c>
      <c r="M19" s="4">
        <f>Hotel!Y24</f>
        <v>5690</v>
      </c>
      <c r="N19" s="4">
        <f>Hotel!Z24</f>
        <v>2610</v>
      </c>
      <c r="O19" s="4">
        <f>Hotel!AA24</f>
        <v>3140</v>
      </c>
      <c r="P19" s="4">
        <f>Hotel!AB24</f>
        <v>7490</v>
      </c>
      <c r="Q19" s="4">
        <f>Hotel!AC24</f>
        <v>10210</v>
      </c>
      <c r="R19" s="4">
        <f>Hotel!AV24*0.00378541*100</f>
        <v>793.800477</v>
      </c>
      <c r="S19" s="4">
        <f>Hotel!B24</f>
        <v>57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10500</v>
      </c>
      <c r="F20" s="4">
        <f>Hotel!R25</f>
        <v>13590</v>
      </c>
      <c r="G20" s="4">
        <f>Hotel!S25</f>
        <v>140</v>
      </c>
      <c r="H20" s="4">
        <f>Hotel!T25</f>
        <v>1760</v>
      </c>
      <c r="I20" s="4">
        <f>Hotel!U25</f>
        <v>4280</v>
      </c>
      <c r="J20" s="4">
        <f>Hotel!V25</f>
        <v>3770</v>
      </c>
      <c r="K20" s="4">
        <f>Hotel!W25</f>
        <v>2400</v>
      </c>
      <c r="L20" s="4">
        <f>Hotel!X25</f>
        <v>4840</v>
      </c>
      <c r="M20" s="4">
        <f>Hotel!Y25</f>
        <v>5550</v>
      </c>
      <c r="N20" s="4">
        <f>Hotel!Z25</f>
        <v>2490</v>
      </c>
      <c r="O20" s="4">
        <f>Hotel!AA25</f>
        <v>3160</v>
      </c>
      <c r="P20" s="4">
        <f>Hotel!AB25</f>
        <v>7580</v>
      </c>
      <c r="Q20" s="4">
        <f>Hotel!AC25</f>
        <v>9640</v>
      </c>
      <c r="R20" s="4">
        <f>Hotel!AV25*0.00378541*100</f>
        <v>1087.5482930000001</v>
      </c>
      <c r="S20" s="4">
        <f>Hotel!B25</f>
        <v>56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9600</v>
      </c>
      <c r="F21" s="4">
        <f>Hotel!R26</f>
        <v>12400</v>
      </c>
      <c r="G21" s="4">
        <f>Hotel!S26</f>
        <v>120</v>
      </c>
      <c r="H21" s="4">
        <f>Hotel!T26</f>
        <v>1730</v>
      </c>
      <c r="I21" s="4">
        <f>Hotel!U26</f>
        <v>3770</v>
      </c>
      <c r="J21" s="4">
        <f>Hotel!V26</f>
        <v>3570</v>
      </c>
      <c r="K21" s="4">
        <f>Hotel!W26</f>
        <v>2190</v>
      </c>
      <c r="L21" s="4">
        <f>Hotel!X26</f>
        <v>4390</v>
      </c>
      <c r="M21" s="4">
        <f>Hotel!Y26</f>
        <v>5160</v>
      </c>
      <c r="N21" s="4">
        <f>Hotel!Z26</f>
        <v>2340</v>
      </c>
      <c r="O21" s="4">
        <f>Hotel!AA26</f>
        <v>2800</v>
      </c>
      <c r="P21" s="4">
        <f>Hotel!AB26</f>
        <v>6780</v>
      </c>
      <c r="Q21" s="4">
        <f>Hotel!AC26</f>
        <v>10820</v>
      </c>
      <c r="R21" s="4">
        <f>Hotel!AV26*0.00378541*100</f>
        <v>889.57134999999994</v>
      </c>
      <c r="S21" s="4">
        <f>Hotel!B26</f>
        <v>62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10160</v>
      </c>
      <c r="F22" s="4">
        <f>Hotel!R27</f>
        <v>13130</v>
      </c>
      <c r="G22" s="4">
        <f>Hotel!S27</f>
        <v>130</v>
      </c>
      <c r="H22" s="4">
        <f>Hotel!T27</f>
        <v>1650</v>
      </c>
      <c r="I22" s="4">
        <f>Hotel!U27</f>
        <v>3890</v>
      </c>
      <c r="J22" s="4">
        <f>Hotel!V27</f>
        <v>3810</v>
      </c>
      <c r="K22" s="4">
        <f>Hotel!W27</f>
        <v>2280</v>
      </c>
      <c r="L22" s="4">
        <f>Hotel!X27</f>
        <v>4910</v>
      </c>
      <c r="M22" s="4">
        <f>Hotel!Y27</f>
        <v>5700</v>
      </c>
      <c r="N22" s="4">
        <f>Hotel!Z27</f>
        <v>2400</v>
      </c>
      <c r="O22" s="4">
        <f>Hotel!AA27</f>
        <v>2940</v>
      </c>
      <c r="P22" s="4">
        <f>Hotel!AB27</f>
        <v>7260</v>
      </c>
      <c r="Q22" s="4">
        <f>Hotel!AC27</f>
        <v>11940</v>
      </c>
      <c r="R22" s="4">
        <f>Hotel!AV27*0.00378541*100</f>
        <v>889.19280900000001</v>
      </c>
      <c r="S22" s="4">
        <f>Hotel!B27</f>
        <v>74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I1" zoomScale="93" zoomScaleNormal="93" workbookViewId="0">
      <selection activeCell="AP30" sqref="AP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>
        <v>85</v>
      </c>
      <c r="C14" s="24">
        <v>6864380</v>
      </c>
      <c r="D14" s="24">
        <v>16903970</v>
      </c>
      <c r="E14" s="24">
        <v>3054230</v>
      </c>
      <c r="F14" s="24">
        <v>3639560</v>
      </c>
      <c r="G14" s="24">
        <v>10770780</v>
      </c>
      <c r="H14" s="24">
        <v>5829230</v>
      </c>
      <c r="I14" s="24">
        <v>5295610</v>
      </c>
      <c r="J14" s="24">
        <v>6286690</v>
      </c>
      <c r="K14" s="24">
        <v>9660940</v>
      </c>
      <c r="L14" s="24">
        <v>4067840</v>
      </c>
      <c r="M14" s="24">
        <v>8181450</v>
      </c>
      <c r="N14" s="24">
        <v>12686720</v>
      </c>
      <c r="O14" s="24">
        <v>17473540</v>
      </c>
      <c r="P14" s="53"/>
      <c r="Q14" s="37">
        <f t="shared" si="17"/>
        <v>11360</v>
      </c>
      <c r="R14" s="37">
        <f t="shared" si="18"/>
        <v>14350</v>
      </c>
      <c r="S14" s="37">
        <f t="shared" si="16"/>
        <v>160</v>
      </c>
      <c r="T14" s="37">
        <f t="shared" si="32"/>
        <v>1800</v>
      </c>
      <c r="U14" s="37">
        <f t="shared" si="32"/>
        <v>4130</v>
      </c>
      <c r="V14" s="37">
        <f t="shared" si="32"/>
        <v>3910</v>
      </c>
      <c r="W14" s="37">
        <f t="shared" si="32"/>
        <v>2460</v>
      </c>
      <c r="X14" s="37">
        <f t="shared" si="23"/>
        <v>4900</v>
      </c>
      <c r="Y14" s="37">
        <f t="shared" si="24"/>
        <v>5840</v>
      </c>
      <c r="Z14" s="37">
        <f>IF((L14-L13&lt;0), "0",L14-L13)</f>
        <v>2620</v>
      </c>
      <c r="AA14" s="37">
        <f t="shared" si="26"/>
        <v>3120</v>
      </c>
      <c r="AB14" s="37">
        <f t="shared" si="27"/>
        <v>7540</v>
      </c>
      <c r="AC14" s="37">
        <f t="shared" si="28"/>
        <v>10850</v>
      </c>
      <c r="AD14" s="35">
        <f t="shared" si="29"/>
        <v>73040</v>
      </c>
      <c r="AF14" s="20">
        <f t="shared" si="1"/>
        <v>56.800000000000004</v>
      </c>
      <c r="AG14" s="20">
        <f t="shared" si="2"/>
        <v>71.75</v>
      </c>
      <c r="AH14" s="20">
        <f t="shared" si="3"/>
        <v>0.8</v>
      </c>
      <c r="AI14" s="20">
        <f t="shared" si="4"/>
        <v>9</v>
      </c>
      <c r="AJ14" s="20">
        <f t="shared" si="5"/>
        <v>20.650000000000002</v>
      </c>
      <c r="AK14" s="20">
        <f t="shared" si="6"/>
        <v>19.55</v>
      </c>
      <c r="AL14" s="20">
        <f t="shared" si="7"/>
        <v>12.3</v>
      </c>
      <c r="AM14" s="20">
        <f t="shared" si="8"/>
        <v>24.5</v>
      </c>
      <c r="AN14" s="20">
        <f t="shared" si="9"/>
        <v>29.2</v>
      </c>
      <c r="AO14" s="20">
        <f t="shared" si="10"/>
        <v>13.1</v>
      </c>
      <c r="AP14" s="20">
        <f t="shared" si="11"/>
        <v>15.6</v>
      </c>
      <c r="AQ14" s="20">
        <f t="shared" si="12"/>
        <v>37.700000000000003</v>
      </c>
      <c r="AR14" s="20">
        <f t="shared" si="13"/>
        <v>54.25</v>
      </c>
      <c r="AS14" s="35">
        <f t="shared" si="30"/>
        <v>365.20000000000005</v>
      </c>
      <c r="AU14" s="47">
        <v>215104</v>
      </c>
      <c r="AV14" s="37">
        <f t="shared" si="31"/>
        <v>2702</v>
      </c>
      <c r="AW14" s="35">
        <f t="shared" si="14"/>
        <v>5.4039999999999999</v>
      </c>
    </row>
    <row r="15" spans="1:49" x14ac:dyDescent="0.25">
      <c r="A15" s="23">
        <v>44448</v>
      </c>
      <c r="B15" s="40">
        <v>139</v>
      </c>
      <c r="C15" s="24">
        <v>6874960</v>
      </c>
      <c r="D15" s="24">
        <v>16917320</v>
      </c>
      <c r="E15" s="24">
        <v>3054380</v>
      </c>
      <c r="F15" s="24">
        <v>3641220</v>
      </c>
      <c r="G15" s="24">
        <v>10774780</v>
      </c>
      <c r="H15" s="24">
        <v>5833020</v>
      </c>
      <c r="I15" s="24">
        <v>5297920</v>
      </c>
      <c r="J15" s="24">
        <v>6291600</v>
      </c>
      <c r="K15" s="24">
        <v>9666570</v>
      </c>
      <c r="L15" s="24">
        <v>4070470</v>
      </c>
      <c r="M15" s="24">
        <v>8184440</v>
      </c>
      <c r="N15" s="24">
        <v>12693760</v>
      </c>
      <c r="O15" s="24">
        <v>17484390</v>
      </c>
      <c r="Q15" s="37">
        <f t="shared" si="17"/>
        <v>10580</v>
      </c>
      <c r="R15" s="37">
        <f t="shared" si="18"/>
        <v>13350</v>
      </c>
      <c r="S15" s="37">
        <f t="shared" si="16"/>
        <v>150</v>
      </c>
      <c r="T15" s="37">
        <f t="shared" si="19"/>
        <v>1660</v>
      </c>
      <c r="U15" s="37">
        <f t="shared" si="20"/>
        <v>4000</v>
      </c>
      <c r="V15" s="37">
        <f t="shared" si="21"/>
        <v>3790</v>
      </c>
      <c r="W15" s="37">
        <f t="shared" si="22"/>
        <v>2310</v>
      </c>
      <c r="X15" s="37">
        <f t="shared" si="23"/>
        <v>4910</v>
      </c>
      <c r="Y15" s="37">
        <f t="shared" si="24"/>
        <v>5630</v>
      </c>
      <c r="Z15" s="37">
        <f t="shared" si="25"/>
        <v>2630</v>
      </c>
      <c r="AA15" s="37">
        <f t="shared" si="26"/>
        <v>2990</v>
      </c>
      <c r="AB15" s="37">
        <f t="shared" si="27"/>
        <v>7040</v>
      </c>
      <c r="AC15" s="37">
        <f t="shared" si="28"/>
        <v>10850</v>
      </c>
      <c r="AD15" s="35">
        <f t="shared" si="29"/>
        <v>69890</v>
      </c>
      <c r="AF15" s="20">
        <f t="shared" si="1"/>
        <v>52.9</v>
      </c>
      <c r="AG15" s="20">
        <f t="shared" si="2"/>
        <v>66.75</v>
      </c>
      <c r="AH15" s="20">
        <f t="shared" si="3"/>
        <v>0.75</v>
      </c>
      <c r="AI15" s="20">
        <f t="shared" si="4"/>
        <v>8.3000000000000007</v>
      </c>
      <c r="AJ15" s="20">
        <f t="shared" si="5"/>
        <v>20</v>
      </c>
      <c r="AK15" s="20">
        <f t="shared" si="6"/>
        <v>18.95</v>
      </c>
      <c r="AL15" s="20">
        <f t="shared" si="7"/>
        <v>11.55</v>
      </c>
      <c r="AM15" s="20">
        <f t="shared" si="8"/>
        <v>24.55</v>
      </c>
      <c r="AN15" s="20">
        <f t="shared" si="9"/>
        <v>28.150000000000002</v>
      </c>
      <c r="AO15" s="20">
        <f t="shared" si="10"/>
        <v>13.15</v>
      </c>
      <c r="AP15" s="20">
        <f t="shared" si="11"/>
        <v>14.950000000000001</v>
      </c>
      <c r="AQ15" s="20">
        <f t="shared" si="12"/>
        <v>35.200000000000003</v>
      </c>
      <c r="AR15" s="20">
        <f t="shared" si="13"/>
        <v>54.25</v>
      </c>
      <c r="AS15" s="35">
        <f t="shared" si="30"/>
        <v>349.45000000000005</v>
      </c>
      <c r="AU15" s="47">
        <v>217668</v>
      </c>
      <c r="AV15" s="37">
        <f t="shared" si="31"/>
        <v>2564</v>
      </c>
      <c r="AW15" s="35">
        <f t="shared" si="14"/>
        <v>5.1280000000000001</v>
      </c>
    </row>
    <row r="16" spans="1:49" x14ac:dyDescent="0.25">
      <c r="A16" s="23">
        <v>44449</v>
      </c>
      <c r="B16" s="40">
        <v>152</v>
      </c>
      <c r="C16" s="24">
        <v>6885920</v>
      </c>
      <c r="D16" s="24">
        <v>16931170</v>
      </c>
      <c r="E16" s="24">
        <v>3054530</v>
      </c>
      <c r="F16" s="24">
        <v>3642960</v>
      </c>
      <c r="G16" s="24">
        <v>10779120</v>
      </c>
      <c r="H16" s="24">
        <v>5836990</v>
      </c>
      <c r="I16" s="24">
        <v>5300360</v>
      </c>
      <c r="J16" s="24">
        <v>6296450</v>
      </c>
      <c r="K16" s="24">
        <v>9672650</v>
      </c>
      <c r="L16" s="24">
        <v>4073420</v>
      </c>
      <c r="M16" s="24">
        <v>8187670</v>
      </c>
      <c r="N16" s="24">
        <v>12701250</v>
      </c>
      <c r="O16" s="24">
        <v>17494930</v>
      </c>
      <c r="Q16" s="37">
        <f t="shared" si="17"/>
        <v>10960</v>
      </c>
      <c r="R16" s="37">
        <f t="shared" si="18"/>
        <v>13850</v>
      </c>
      <c r="S16" s="37">
        <f t="shared" si="16"/>
        <v>150</v>
      </c>
      <c r="T16" s="37">
        <f t="shared" si="19"/>
        <v>1740</v>
      </c>
      <c r="U16" s="37">
        <f t="shared" si="20"/>
        <v>4340</v>
      </c>
      <c r="V16" s="37">
        <f t="shared" si="21"/>
        <v>3970</v>
      </c>
      <c r="W16" s="37">
        <f t="shared" si="22"/>
        <v>2440</v>
      </c>
      <c r="X16" s="37">
        <f t="shared" si="23"/>
        <v>4850</v>
      </c>
      <c r="Y16" s="37">
        <f t="shared" si="24"/>
        <v>6080</v>
      </c>
      <c r="Z16" s="37">
        <f t="shared" si="25"/>
        <v>2950</v>
      </c>
      <c r="AA16" s="37">
        <f t="shared" si="26"/>
        <v>3230</v>
      </c>
      <c r="AB16" s="37">
        <f t="shared" si="27"/>
        <v>7490</v>
      </c>
      <c r="AC16" s="37">
        <f t="shared" si="28"/>
        <v>10540</v>
      </c>
      <c r="AD16" s="35">
        <f t="shared" si="29"/>
        <v>72590</v>
      </c>
      <c r="AF16" s="20">
        <f t="shared" si="1"/>
        <v>54.800000000000004</v>
      </c>
      <c r="AG16" s="20">
        <f t="shared" si="2"/>
        <v>69.25</v>
      </c>
      <c r="AH16" s="20">
        <f t="shared" si="3"/>
        <v>0.75</v>
      </c>
      <c r="AI16" s="20">
        <f t="shared" si="4"/>
        <v>8.7000000000000011</v>
      </c>
      <c r="AJ16" s="20">
        <f t="shared" si="5"/>
        <v>21.7</v>
      </c>
      <c r="AK16" s="20">
        <f t="shared" si="6"/>
        <v>19.850000000000001</v>
      </c>
      <c r="AL16" s="20">
        <f t="shared" si="7"/>
        <v>12.200000000000001</v>
      </c>
      <c r="AM16" s="20">
        <f t="shared" si="8"/>
        <v>24.25</v>
      </c>
      <c r="AN16" s="20">
        <f t="shared" si="9"/>
        <v>30.400000000000002</v>
      </c>
      <c r="AO16" s="20">
        <f t="shared" si="10"/>
        <v>14.75</v>
      </c>
      <c r="AP16" s="20">
        <f t="shared" si="11"/>
        <v>16.149999999999999</v>
      </c>
      <c r="AQ16" s="20">
        <f t="shared" si="12"/>
        <v>37.450000000000003</v>
      </c>
      <c r="AR16" s="20">
        <f t="shared" si="13"/>
        <v>52.7</v>
      </c>
      <c r="AS16" s="35">
        <f t="shared" si="30"/>
        <v>362.94999999999993</v>
      </c>
      <c r="AU16" s="47">
        <v>220310</v>
      </c>
      <c r="AV16" s="37">
        <f t="shared" si="31"/>
        <v>2642</v>
      </c>
      <c r="AW16" s="35">
        <f t="shared" si="14"/>
        <v>5.2839999999999998</v>
      </c>
    </row>
    <row r="17" spans="1:49" x14ac:dyDescent="0.25">
      <c r="A17" s="23">
        <v>44450</v>
      </c>
      <c r="B17" s="40">
        <v>84</v>
      </c>
      <c r="C17" s="24">
        <v>6896420</v>
      </c>
      <c r="D17" s="24">
        <v>16944570</v>
      </c>
      <c r="E17" s="24">
        <v>3054670</v>
      </c>
      <c r="F17" s="24">
        <v>3645910</v>
      </c>
      <c r="G17" s="24">
        <v>10783280</v>
      </c>
      <c r="H17" s="24">
        <v>5840760</v>
      </c>
      <c r="I17" s="24">
        <v>5302660</v>
      </c>
      <c r="J17" s="24">
        <v>6301340</v>
      </c>
      <c r="K17" s="24">
        <v>9678530</v>
      </c>
      <c r="L17" s="24">
        <v>4076290</v>
      </c>
      <c r="M17" s="24">
        <v>8190830</v>
      </c>
      <c r="N17" s="24">
        <v>12708730</v>
      </c>
      <c r="O17" s="24">
        <v>17505810</v>
      </c>
      <c r="Q17" s="37">
        <f t="shared" si="17"/>
        <v>10500</v>
      </c>
      <c r="R17" s="37">
        <f t="shared" si="18"/>
        <v>13400</v>
      </c>
      <c r="S17" s="37">
        <f t="shared" si="16"/>
        <v>140</v>
      </c>
      <c r="T17" s="37">
        <f t="shared" si="19"/>
        <v>2950</v>
      </c>
      <c r="U17" s="37">
        <f t="shared" si="20"/>
        <v>4160</v>
      </c>
      <c r="V17" s="37">
        <f t="shared" si="21"/>
        <v>3770</v>
      </c>
      <c r="W17" s="37">
        <f t="shared" si="22"/>
        <v>2300</v>
      </c>
      <c r="X17" s="37">
        <f t="shared" si="23"/>
        <v>4890</v>
      </c>
      <c r="Y17" s="37">
        <f t="shared" si="24"/>
        <v>5880</v>
      </c>
      <c r="Z17" s="37">
        <f t="shared" si="25"/>
        <v>2870</v>
      </c>
      <c r="AA17" s="37">
        <f t="shared" si="26"/>
        <v>3160</v>
      </c>
      <c r="AB17" s="37">
        <f t="shared" si="27"/>
        <v>7480</v>
      </c>
      <c r="AC17" s="37">
        <f t="shared" si="28"/>
        <v>10880</v>
      </c>
      <c r="AD17" s="35">
        <f t="shared" si="29"/>
        <v>72380</v>
      </c>
      <c r="AF17" s="20">
        <f t="shared" si="1"/>
        <v>52.5</v>
      </c>
      <c r="AG17" s="20">
        <f t="shared" si="2"/>
        <v>67</v>
      </c>
      <c r="AH17" s="20">
        <f t="shared" si="3"/>
        <v>0.70000000000000007</v>
      </c>
      <c r="AI17" s="20">
        <f t="shared" si="4"/>
        <v>14.75</v>
      </c>
      <c r="AJ17" s="20">
        <f t="shared" si="5"/>
        <v>20.8</v>
      </c>
      <c r="AK17" s="20">
        <f t="shared" si="6"/>
        <v>18.850000000000001</v>
      </c>
      <c r="AL17" s="20">
        <f t="shared" si="7"/>
        <v>11.5</v>
      </c>
      <c r="AM17" s="20">
        <f t="shared" si="8"/>
        <v>24.45</v>
      </c>
      <c r="AN17" s="20">
        <f t="shared" si="9"/>
        <v>29.400000000000002</v>
      </c>
      <c r="AO17" s="20">
        <f t="shared" si="10"/>
        <v>14.35</v>
      </c>
      <c r="AP17" s="20">
        <f t="shared" si="11"/>
        <v>15.8</v>
      </c>
      <c r="AQ17" s="20">
        <f t="shared" si="12"/>
        <v>37.4</v>
      </c>
      <c r="AR17" s="20">
        <f t="shared" si="13"/>
        <v>54.4</v>
      </c>
      <c r="AS17" s="35">
        <f t="shared" si="30"/>
        <v>361.89999999999992</v>
      </c>
      <c r="AU17" s="47">
        <v>222477</v>
      </c>
      <c r="AV17" s="37">
        <f t="shared" si="31"/>
        <v>2167</v>
      </c>
      <c r="AW17" s="35">
        <f t="shared" si="14"/>
        <v>4.3340000000000005</v>
      </c>
    </row>
    <row r="18" spans="1:49" x14ac:dyDescent="0.25">
      <c r="A18" s="23">
        <v>44451</v>
      </c>
      <c r="B18" s="40">
        <v>75</v>
      </c>
      <c r="C18" s="24">
        <v>6907330</v>
      </c>
      <c r="D18" s="24">
        <v>16958630</v>
      </c>
      <c r="E18" s="24">
        <v>3054810</v>
      </c>
      <c r="F18" s="24">
        <v>3646520</v>
      </c>
      <c r="G18" s="24">
        <v>10787600</v>
      </c>
      <c r="H18" s="24">
        <v>5844620</v>
      </c>
      <c r="I18" s="24">
        <v>5305120</v>
      </c>
      <c r="J18" s="24">
        <v>6306020</v>
      </c>
      <c r="K18" s="24">
        <v>9684660</v>
      </c>
      <c r="L18" s="24">
        <v>4079070</v>
      </c>
      <c r="M18" s="24">
        <v>8194070</v>
      </c>
      <c r="N18" s="24">
        <v>12716570</v>
      </c>
      <c r="O18" s="24">
        <v>17517380</v>
      </c>
      <c r="Q18" s="37">
        <f t="shared" si="17"/>
        <v>10910</v>
      </c>
      <c r="R18" s="37">
        <f t="shared" si="18"/>
        <v>14060</v>
      </c>
      <c r="S18" s="37">
        <f t="shared" si="16"/>
        <v>140</v>
      </c>
      <c r="T18" s="37">
        <f t="shared" si="19"/>
        <v>610</v>
      </c>
      <c r="U18" s="37">
        <f t="shared" si="20"/>
        <v>4320</v>
      </c>
      <c r="V18" s="37">
        <f t="shared" si="21"/>
        <v>3860</v>
      </c>
      <c r="W18" s="37">
        <f t="shared" si="22"/>
        <v>2460</v>
      </c>
      <c r="X18" s="37">
        <f t="shared" si="23"/>
        <v>4680</v>
      </c>
      <c r="Y18" s="37">
        <f t="shared" si="24"/>
        <v>6130</v>
      </c>
      <c r="Z18" s="37">
        <f t="shared" si="25"/>
        <v>2780</v>
      </c>
      <c r="AA18" s="37">
        <f t="shared" si="26"/>
        <v>3240</v>
      </c>
      <c r="AB18" s="37">
        <f t="shared" si="27"/>
        <v>7840</v>
      </c>
      <c r="AC18" s="37">
        <f t="shared" si="28"/>
        <v>11570</v>
      </c>
      <c r="AD18" s="35">
        <f t="shared" si="29"/>
        <v>72600</v>
      </c>
      <c r="AF18" s="20">
        <f t="shared" si="1"/>
        <v>54.550000000000004</v>
      </c>
      <c r="AG18" s="20">
        <f t="shared" si="2"/>
        <v>70.3</v>
      </c>
      <c r="AH18" s="20">
        <f t="shared" si="3"/>
        <v>0.70000000000000007</v>
      </c>
      <c r="AI18" s="20">
        <f t="shared" si="4"/>
        <v>3.0500000000000003</v>
      </c>
      <c r="AJ18" s="20">
        <f t="shared" si="5"/>
        <v>21.6</v>
      </c>
      <c r="AK18" s="20">
        <f t="shared" si="6"/>
        <v>19.3</v>
      </c>
      <c r="AL18" s="20">
        <f t="shared" si="7"/>
        <v>12.3</v>
      </c>
      <c r="AM18" s="20">
        <f t="shared" si="8"/>
        <v>23.400000000000002</v>
      </c>
      <c r="AN18" s="20">
        <f t="shared" si="9"/>
        <v>30.650000000000002</v>
      </c>
      <c r="AO18" s="20">
        <f t="shared" si="10"/>
        <v>13.9</v>
      </c>
      <c r="AP18" s="20">
        <f t="shared" si="11"/>
        <v>16.2</v>
      </c>
      <c r="AQ18" s="20">
        <f t="shared" si="12"/>
        <v>39.200000000000003</v>
      </c>
      <c r="AR18" s="20">
        <f t="shared" si="13"/>
        <v>57.85</v>
      </c>
      <c r="AS18" s="35">
        <f t="shared" si="30"/>
        <v>363.00000000000006</v>
      </c>
      <c r="AU18" s="47">
        <v>224762</v>
      </c>
      <c r="AV18" s="37">
        <f t="shared" si="31"/>
        <v>2285</v>
      </c>
      <c r="AW18" s="35">
        <f t="shared" si="14"/>
        <v>4.57</v>
      </c>
    </row>
    <row r="19" spans="1:49" x14ac:dyDescent="0.25">
      <c r="A19" s="23">
        <v>44452</v>
      </c>
      <c r="B19" s="40">
        <v>74</v>
      </c>
      <c r="C19" s="24">
        <v>6916980</v>
      </c>
      <c r="D19" s="24">
        <v>16971010</v>
      </c>
      <c r="E19" s="24">
        <v>3054930</v>
      </c>
      <c r="F19" s="24">
        <v>3648130</v>
      </c>
      <c r="G19" s="24">
        <v>10791390</v>
      </c>
      <c r="H19" s="24">
        <v>5848050</v>
      </c>
      <c r="I19" s="24">
        <v>5307290</v>
      </c>
      <c r="J19" s="24">
        <v>6310230</v>
      </c>
      <c r="K19" s="24">
        <v>9689690</v>
      </c>
      <c r="L19" s="24">
        <v>4081560</v>
      </c>
      <c r="M19" s="24">
        <v>8196850</v>
      </c>
      <c r="N19" s="24">
        <v>12723420</v>
      </c>
      <c r="O19" s="24">
        <v>17527020</v>
      </c>
      <c r="Q19" s="37">
        <f t="shared" si="17"/>
        <v>9650</v>
      </c>
      <c r="R19" s="37">
        <f t="shared" si="18"/>
        <v>12380</v>
      </c>
      <c r="S19" s="37">
        <f t="shared" si="16"/>
        <v>120</v>
      </c>
      <c r="T19" s="37">
        <f t="shared" si="19"/>
        <v>1610</v>
      </c>
      <c r="U19" s="37">
        <f t="shared" si="20"/>
        <v>3790</v>
      </c>
      <c r="V19" s="37">
        <f t="shared" si="21"/>
        <v>3430</v>
      </c>
      <c r="W19" s="37">
        <f t="shared" si="22"/>
        <v>2170</v>
      </c>
      <c r="X19" s="37">
        <f t="shared" si="23"/>
        <v>4210</v>
      </c>
      <c r="Y19" s="37">
        <f t="shared" si="24"/>
        <v>5030</v>
      </c>
      <c r="Z19" s="37">
        <f t="shared" si="25"/>
        <v>2490</v>
      </c>
      <c r="AA19" s="37">
        <f t="shared" si="26"/>
        <v>2780</v>
      </c>
      <c r="AB19" s="37">
        <f t="shared" si="27"/>
        <v>6850</v>
      </c>
      <c r="AC19" s="37">
        <f t="shared" si="28"/>
        <v>9640</v>
      </c>
      <c r="AD19" s="35">
        <f t="shared" si="29"/>
        <v>64150</v>
      </c>
      <c r="AF19" s="20">
        <f t="shared" si="1"/>
        <v>48.25</v>
      </c>
      <c r="AG19" s="20">
        <f t="shared" si="2"/>
        <v>61.9</v>
      </c>
      <c r="AH19" s="20">
        <f t="shared" si="3"/>
        <v>0.6</v>
      </c>
      <c r="AI19" s="20">
        <f t="shared" si="4"/>
        <v>8.0500000000000007</v>
      </c>
      <c r="AJ19" s="20">
        <f t="shared" si="5"/>
        <v>18.95</v>
      </c>
      <c r="AK19" s="20">
        <f t="shared" si="6"/>
        <v>17.150000000000002</v>
      </c>
      <c r="AL19" s="20">
        <f t="shared" si="7"/>
        <v>10.85</v>
      </c>
      <c r="AM19" s="20">
        <f t="shared" si="8"/>
        <v>21.05</v>
      </c>
      <c r="AN19" s="20">
        <f t="shared" si="9"/>
        <v>25.150000000000002</v>
      </c>
      <c r="AO19" s="20">
        <f t="shared" si="10"/>
        <v>12.450000000000001</v>
      </c>
      <c r="AP19" s="20">
        <f t="shared" si="11"/>
        <v>13.9</v>
      </c>
      <c r="AQ19" s="20">
        <f t="shared" si="12"/>
        <v>34.25</v>
      </c>
      <c r="AR19" s="20">
        <f t="shared" si="13"/>
        <v>48.2</v>
      </c>
      <c r="AS19" s="35">
        <f t="shared" si="30"/>
        <v>320.75</v>
      </c>
      <c r="AU19" s="47">
        <v>227244</v>
      </c>
      <c r="AV19" s="37">
        <f t="shared" si="31"/>
        <v>2482</v>
      </c>
      <c r="AW19" s="35">
        <f t="shared" si="14"/>
        <v>4.9640000000000004</v>
      </c>
    </row>
    <row r="20" spans="1:49" x14ac:dyDescent="0.25">
      <c r="A20" s="23">
        <v>44453</v>
      </c>
      <c r="B20" s="40">
        <v>65</v>
      </c>
      <c r="C20" s="24">
        <v>6927040</v>
      </c>
      <c r="D20" s="24">
        <v>16983930</v>
      </c>
      <c r="E20" s="24">
        <v>3055070</v>
      </c>
      <c r="F20" s="24">
        <v>3649810</v>
      </c>
      <c r="G20" s="24">
        <v>10795320</v>
      </c>
      <c r="H20" s="24">
        <v>5851560</v>
      </c>
      <c r="I20" s="24">
        <v>5309550</v>
      </c>
      <c r="J20" s="24">
        <v>6314960</v>
      </c>
      <c r="K20" s="24">
        <v>9695360</v>
      </c>
      <c r="L20" s="24">
        <v>4084100</v>
      </c>
      <c r="M20" s="24">
        <v>8199740</v>
      </c>
      <c r="N20" s="24">
        <v>12730710</v>
      </c>
      <c r="O20" s="24">
        <v>17537210</v>
      </c>
      <c r="Q20" s="37">
        <f t="shared" si="17"/>
        <v>10060</v>
      </c>
      <c r="R20" s="37">
        <f t="shared" si="18"/>
        <v>12920</v>
      </c>
      <c r="S20" s="37">
        <f t="shared" si="16"/>
        <v>140</v>
      </c>
      <c r="T20" s="37">
        <f t="shared" si="19"/>
        <v>1680</v>
      </c>
      <c r="U20" s="37">
        <f t="shared" si="20"/>
        <v>3930</v>
      </c>
      <c r="V20" s="37">
        <f t="shared" si="21"/>
        <v>3510</v>
      </c>
      <c r="W20" s="37">
        <f t="shared" si="22"/>
        <v>2260</v>
      </c>
      <c r="X20" s="37">
        <f t="shared" si="23"/>
        <v>4730</v>
      </c>
      <c r="Y20" s="37">
        <f t="shared" si="24"/>
        <v>5670</v>
      </c>
      <c r="Z20" s="37">
        <f t="shared" si="25"/>
        <v>2540</v>
      </c>
      <c r="AA20" s="37">
        <f t="shared" si="26"/>
        <v>2890</v>
      </c>
      <c r="AB20" s="37">
        <f t="shared" si="27"/>
        <v>7290</v>
      </c>
      <c r="AC20" s="37">
        <f t="shared" si="28"/>
        <v>10190</v>
      </c>
      <c r="AD20" s="35">
        <f t="shared" si="29"/>
        <v>67810</v>
      </c>
      <c r="AF20" s="20">
        <f t="shared" si="1"/>
        <v>50.300000000000004</v>
      </c>
      <c r="AG20" s="20">
        <f t="shared" si="2"/>
        <v>64.599999999999994</v>
      </c>
      <c r="AH20" s="20">
        <f t="shared" si="3"/>
        <v>0.70000000000000007</v>
      </c>
      <c r="AI20" s="20">
        <f t="shared" si="4"/>
        <v>8.4</v>
      </c>
      <c r="AJ20" s="20">
        <f t="shared" si="5"/>
        <v>19.650000000000002</v>
      </c>
      <c r="AK20" s="20">
        <f t="shared" si="6"/>
        <v>17.55</v>
      </c>
      <c r="AL20" s="20">
        <f t="shared" si="7"/>
        <v>11.3</v>
      </c>
      <c r="AM20" s="20">
        <f t="shared" si="8"/>
        <v>23.650000000000002</v>
      </c>
      <c r="AN20" s="20">
        <f t="shared" si="9"/>
        <v>28.35</v>
      </c>
      <c r="AO20" s="20">
        <f t="shared" si="10"/>
        <v>12.700000000000001</v>
      </c>
      <c r="AP20" s="20">
        <f t="shared" si="11"/>
        <v>14.450000000000001</v>
      </c>
      <c r="AQ20" s="20">
        <f t="shared" si="12"/>
        <v>36.450000000000003</v>
      </c>
      <c r="AR20" s="20">
        <f t="shared" si="13"/>
        <v>50.95</v>
      </c>
      <c r="AS20" s="35">
        <f t="shared" si="30"/>
        <v>339.05</v>
      </c>
      <c r="AU20" s="47">
        <v>229492</v>
      </c>
      <c r="AV20" s="37">
        <f t="shared" si="31"/>
        <v>2248</v>
      </c>
      <c r="AW20" s="35">
        <f t="shared" si="14"/>
        <v>4.4960000000000004</v>
      </c>
    </row>
    <row r="21" spans="1:49" x14ac:dyDescent="0.25">
      <c r="A21" s="23">
        <v>44454</v>
      </c>
      <c r="B21" s="40">
        <v>91</v>
      </c>
      <c r="C21" s="24">
        <v>6937630</v>
      </c>
      <c r="D21" s="24">
        <v>16997630</v>
      </c>
      <c r="E21" s="24">
        <v>3055200</v>
      </c>
      <c r="F21" s="24">
        <v>3651620</v>
      </c>
      <c r="G21" s="24">
        <v>10799370</v>
      </c>
      <c r="H21" s="24">
        <v>5855400</v>
      </c>
      <c r="I21" s="24">
        <v>5311970</v>
      </c>
      <c r="J21" s="24">
        <v>6320090</v>
      </c>
      <c r="K21" s="24">
        <v>9701520</v>
      </c>
      <c r="L21" s="24">
        <v>4086810</v>
      </c>
      <c r="M21" s="24">
        <v>8202950</v>
      </c>
      <c r="N21" s="24">
        <v>12738500</v>
      </c>
      <c r="O21" s="24">
        <v>17548090</v>
      </c>
      <c r="Q21" s="37">
        <f t="shared" si="17"/>
        <v>10590</v>
      </c>
      <c r="R21" s="37">
        <f t="shared" si="18"/>
        <v>13700</v>
      </c>
      <c r="S21" s="37">
        <f t="shared" si="16"/>
        <v>130</v>
      </c>
      <c r="T21" s="37">
        <f t="shared" si="19"/>
        <v>1810</v>
      </c>
      <c r="U21" s="37">
        <f t="shared" si="20"/>
        <v>4050</v>
      </c>
      <c r="V21" s="37">
        <f t="shared" si="21"/>
        <v>3840</v>
      </c>
      <c r="W21" s="37">
        <f t="shared" si="22"/>
        <v>2420</v>
      </c>
      <c r="X21" s="37">
        <f t="shared" si="23"/>
        <v>5130</v>
      </c>
      <c r="Y21" s="37">
        <f t="shared" si="24"/>
        <v>6160</v>
      </c>
      <c r="Z21" s="37">
        <f t="shared" si="25"/>
        <v>2710</v>
      </c>
      <c r="AA21" s="37">
        <f t="shared" si="26"/>
        <v>3210</v>
      </c>
      <c r="AB21" s="37">
        <f t="shared" si="27"/>
        <v>7790</v>
      </c>
      <c r="AC21" s="37">
        <f t="shared" si="28"/>
        <v>10880</v>
      </c>
      <c r="AD21" s="35">
        <f t="shared" si="29"/>
        <v>72420</v>
      </c>
      <c r="AF21" s="20">
        <f t="shared" si="1"/>
        <v>52.95</v>
      </c>
      <c r="AG21" s="20">
        <f t="shared" si="2"/>
        <v>68.5</v>
      </c>
      <c r="AH21" s="20">
        <f t="shared" si="3"/>
        <v>0.65</v>
      </c>
      <c r="AI21" s="20">
        <f t="shared" si="4"/>
        <v>9.0500000000000007</v>
      </c>
      <c r="AJ21" s="20">
        <f t="shared" si="5"/>
        <v>20.25</v>
      </c>
      <c r="AK21" s="20">
        <f t="shared" si="6"/>
        <v>19.2</v>
      </c>
      <c r="AL21" s="20">
        <f t="shared" si="7"/>
        <v>12.1</v>
      </c>
      <c r="AM21" s="20">
        <f t="shared" si="8"/>
        <v>25.650000000000002</v>
      </c>
      <c r="AN21" s="20">
        <f t="shared" si="9"/>
        <v>30.8</v>
      </c>
      <c r="AO21" s="20">
        <f t="shared" si="10"/>
        <v>13.55</v>
      </c>
      <c r="AP21" s="20">
        <f t="shared" si="11"/>
        <v>16.05</v>
      </c>
      <c r="AQ21" s="20">
        <f t="shared" si="12"/>
        <v>38.950000000000003</v>
      </c>
      <c r="AR21" s="20">
        <f t="shared" si="13"/>
        <v>54.4</v>
      </c>
      <c r="AS21" s="35">
        <f t="shared" si="30"/>
        <v>362.09999999999997</v>
      </c>
      <c r="AU21" s="47">
        <v>231719</v>
      </c>
      <c r="AV21" s="37">
        <f t="shared" si="31"/>
        <v>2227</v>
      </c>
      <c r="AW21" s="35">
        <f t="shared" si="14"/>
        <v>4.4539999999999997</v>
      </c>
    </row>
    <row r="22" spans="1:49" x14ac:dyDescent="0.25">
      <c r="A22" s="23">
        <v>44455</v>
      </c>
      <c r="B22" s="40">
        <v>126</v>
      </c>
      <c r="C22" s="24">
        <v>6947020</v>
      </c>
      <c r="D22" s="24">
        <v>17009700</v>
      </c>
      <c r="E22" s="24">
        <v>3055310</v>
      </c>
      <c r="F22" s="24">
        <v>3653180</v>
      </c>
      <c r="G22" s="24">
        <v>10803160</v>
      </c>
      <c r="H22" s="24">
        <v>5858870</v>
      </c>
      <c r="I22" s="24">
        <v>5314090</v>
      </c>
      <c r="J22" s="44">
        <v>6324520</v>
      </c>
      <c r="K22" s="24">
        <v>9706860</v>
      </c>
      <c r="L22" s="24">
        <v>4089320</v>
      </c>
      <c r="M22" s="24">
        <v>8206010</v>
      </c>
      <c r="N22" s="24">
        <v>12745170</v>
      </c>
      <c r="O22" s="44">
        <v>17558420</v>
      </c>
      <c r="Q22" s="37">
        <f t="shared" si="17"/>
        <v>9390</v>
      </c>
      <c r="R22" s="37">
        <f t="shared" si="18"/>
        <v>12070</v>
      </c>
      <c r="S22" s="37">
        <f t="shared" si="16"/>
        <v>110</v>
      </c>
      <c r="T22" s="37">
        <f t="shared" si="19"/>
        <v>1560</v>
      </c>
      <c r="U22" s="37">
        <f t="shared" si="20"/>
        <v>3790</v>
      </c>
      <c r="V22" s="37">
        <f t="shared" si="21"/>
        <v>3470</v>
      </c>
      <c r="W22" s="37">
        <f t="shared" si="22"/>
        <v>2120</v>
      </c>
      <c r="X22" s="37">
        <f t="shared" si="23"/>
        <v>4430</v>
      </c>
      <c r="Y22" s="37">
        <f t="shared" si="24"/>
        <v>5340</v>
      </c>
      <c r="Z22" s="37">
        <f t="shared" si="25"/>
        <v>2510</v>
      </c>
      <c r="AA22" s="37">
        <f t="shared" si="26"/>
        <v>3060</v>
      </c>
      <c r="AB22" s="37">
        <f t="shared" si="27"/>
        <v>6670</v>
      </c>
      <c r="AC22" s="37">
        <f t="shared" si="28"/>
        <v>10330</v>
      </c>
      <c r="AD22" s="35">
        <f t="shared" si="29"/>
        <v>64850</v>
      </c>
      <c r="AF22" s="20">
        <f t="shared" si="1"/>
        <v>46.95</v>
      </c>
      <c r="AG22" s="20">
        <f t="shared" si="2"/>
        <v>60.35</v>
      </c>
      <c r="AH22" s="20">
        <f t="shared" si="3"/>
        <v>0.55000000000000004</v>
      </c>
      <c r="AI22" s="20">
        <f t="shared" si="4"/>
        <v>7.8</v>
      </c>
      <c r="AJ22" s="20">
        <f t="shared" si="5"/>
        <v>18.95</v>
      </c>
      <c r="AK22" s="20">
        <f t="shared" si="6"/>
        <v>17.350000000000001</v>
      </c>
      <c r="AL22" s="20">
        <f t="shared" si="7"/>
        <v>10.6</v>
      </c>
      <c r="AM22" s="20">
        <f t="shared" si="8"/>
        <v>22.150000000000002</v>
      </c>
      <c r="AN22" s="20">
        <f t="shared" si="9"/>
        <v>26.7</v>
      </c>
      <c r="AO22" s="20">
        <f t="shared" si="10"/>
        <v>12.55</v>
      </c>
      <c r="AP22" s="20">
        <f t="shared" si="11"/>
        <v>15.3</v>
      </c>
      <c r="AQ22" s="20">
        <f t="shared" si="12"/>
        <v>33.35</v>
      </c>
      <c r="AR22" s="20">
        <f t="shared" si="13"/>
        <v>51.65</v>
      </c>
      <c r="AS22" s="35">
        <f t="shared" si="30"/>
        <v>324.25</v>
      </c>
      <c r="AU22" s="47">
        <v>234351</v>
      </c>
      <c r="AV22" s="37">
        <f t="shared" si="31"/>
        <v>2632</v>
      </c>
      <c r="AW22" s="35">
        <f t="shared" si="14"/>
        <v>5.2640000000000002</v>
      </c>
    </row>
    <row r="23" spans="1:49" x14ac:dyDescent="0.25">
      <c r="A23" s="23">
        <v>44456</v>
      </c>
      <c r="B23" s="40">
        <v>142</v>
      </c>
      <c r="C23" s="24">
        <v>6957020</v>
      </c>
      <c r="D23" s="24">
        <v>17022640</v>
      </c>
      <c r="E23" s="24">
        <v>3055430</v>
      </c>
      <c r="F23" s="24">
        <v>3654890</v>
      </c>
      <c r="G23" s="24">
        <v>10807440</v>
      </c>
      <c r="H23" s="24">
        <v>5862600</v>
      </c>
      <c r="I23" s="24">
        <v>5316350</v>
      </c>
      <c r="J23" s="24">
        <v>6329430</v>
      </c>
      <c r="K23" s="24">
        <v>9712630</v>
      </c>
      <c r="L23" s="24">
        <v>4092040</v>
      </c>
      <c r="M23" s="24">
        <v>8209080</v>
      </c>
      <c r="N23" s="24">
        <v>12752540</v>
      </c>
      <c r="O23" s="24">
        <v>17570270</v>
      </c>
      <c r="Q23" s="37">
        <f t="shared" si="17"/>
        <v>10000</v>
      </c>
      <c r="R23" s="37">
        <f t="shared" si="18"/>
        <v>12940</v>
      </c>
      <c r="S23" s="37">
        <f t="shared" si="16"/>
        <v>120</v>
      </c>
      <c r="T23" s="37">
        <f t="shared" si="19"/>
        <v>1710</v>
      </c>
      <c r="U23" s="37">
        <f t="shared" si="20"/>
        <v>4280</v>
      </c>
      <c r="V23" s="37">
        <f t="shared" si="21"/>
        <v>3730</v>
      </c>
      <c r="W23" s="37">
        <f t="shared" si="22"/>
        <v>2260</v>
      </c>
      <c r="X23" s="37">
        <f t="shared" si="23"/>
        <v>4910</v>
      </c>
      <c r="Y23" s="37">
        <f t="shared" si="24"/>
        <v>5770</v>
      </c>
      <c r="Z23" s="37">
        <f t="shared" si="25"/>
        <v>2720</v>
      </c>
      <c r="AA23" s="37">
        <f t="shared" si="26"/>
        <v>3070</v>
      </c>
      <c r="AB23" s="37">
        <f t="shared" si="27"/>
        <v>7370</v>
      </c>
      <c r="AC23" s="37">
        <f t="shared" si="28"/>
        <v>11850</v>
      </c>
      <c r="AD23" s="35">
        <f t="shared" si="29"/>
        <v>70730</v>
      </c>
      <c r="AF23" s="20">
        <f t="shared" si="1"/>
        <v>50</v>
      </c>
      <c r="AG23" s="20">
        <f t="shared" si="2"/>
        <v>64.7</v>
      </c>
      <c r="AH23" s="20">
        <f t="shared" si="3"/>
        <v>0.6</v>
      </c>
      <c r="AI23" s="20">
        <f t="shared" si="4"/>
        <v>8.5500000000000007</v>
      </c>
      <c r="AJ23" s="20">
        <f t="shared" si="5"/>
        <v>21.400000000000002</v>
      </c>
      <c r="AK23" s="20">
        <f t="shared" si="6"/>
        <v>18.650000000000002</v>
      </c>
      <c r="AL23" s="20">
        <f t="shared" si="7"/>
        <v>11.3</v>
      </c>
      <c r="AM23" s="20">
        <f t="shared" si="8"/>
        <v>24.55</v>
      </c>
      <c r="AN23" s="20">
        <f t="shared" si="9"/>
        <v>28.85</v>
      </c>
      <c r="AO23" s="20">
        <f t="shared" si="10"/>
        <v>13.6</v>
      </c>
      <c r="AP23" s="20">
        <f t="shared" si="11"/>
        <v>15.35</v>
      </c>
      <c r="AQ23" s="20">
        <f t="shared" si="12"/>
        <v>36.85</v>
      </c>
      <c r="AR23" s="20">
        <f t="shared" si="13"/>
        <v>59.25</v>
      </c>
      <c r="AS23" s="35">
        <f t="shared" si="30"/>
        <v>353.65000000000003</v>
      </c>
      <c r="AU23" s="47">
        <v>236992</v>
      </c>
      <c r="AV23" s="37">
        <f t="shared" si="31"/>
        <v>2641</v>
      </c>
      <c r="AW23" s="35">
        <f t="shared" si="14"/>
        <v>5.282</v>
      </c>
    </row>
    <row r="24" spans="1:49" x14ac:dyDescent="0.25">
      <c r="A24" s="23">
        <v>44457</v>
      </c>
      <c r="B24" s="40">
        <v>57</v>
      </c>
      <c r="C24" s="24">
        <v>6967190</v>
      </c>
      <c r="D24" s="24">
        <v>17035730</v>
      </c>
      <c r="E24" s="24">
        <v>3055560</v>
      </c>
      <c r="F24" s="24">
        <v>3656600</v>
      </c>
      <c r="G24" s="24">
        <v>10811630</v>
      </c>
      <c r="H24" s="24">
        <v>5866350</v>
      </c>
      <c r="I24" s="24">
        <v>5318650</v>
      </c>
      <c r="J24" s="24">
        <v>6334300</v>
      </c>
      <c r="K24" s="24">
        <v>9718320</v>
      </c>
      <c r="L24" s="24">
        <v>4094650</v>
      </c>
      <c r="M24" s="24">
        <v>8212220</v>
      </c>
      <c r="N24" s="24">
        <v>12760030</v>
      </c>
      <c r="O24" s="24">
        <v>17580480</v>
      </c>
      <c r="Q24" s="37">
        <f t="shared" si="17"/>
        <v>10170</v>
      </c>
      <c r="R24" s="37">
        <f t="shared" si="18"/>
        <v>13090</v>
      </c>
      <c r="S24" s="37">
        <f t="shared" si="16"/>
        <v>130</v>
      </c>
      <c r="T24" s="37">
        <f t="shared" si="19"/>
        <v>1710</v>
      </c>
      <c r="U24" s="37">
        <f t="shared" si="20"/>
        <v>4190</v>
      </c>
      <c r="V24" s="37">
        <f t="shared" si="21"/>
        <v>3750</v>
      </c>
      <c r="W24" s="37">
        <f t="shared" si="22"/>
        <v>2300</v>
      </c>
      <c r="X24" s="37">
        <f t="shared" si="23"/>
        <v>4870</v>
      </c>
      <c r="Y24" s="37">
        <f t="shared" si="24"/>
        <v>5690</v>
      </c>
      <c r="Z24" s="37">
        <f t="shared" si="25"/>
        <v>2610</v>
      </c>
      <c r="AA24" s="37">
        <f t="shared" si="26"/>
        <v>3140</v>
      </c>
      <c r="AB24" s="37">
        <f t="shared" si="27"/>
        <v>7490</v>
      </c>
      <c r="AC24" s="37">
        <f t="shared" si="28"/>
        <v>10210</v>
      </c>
      <c r="AD24" s="35">
        <f t="shared" si="29"/>
        <v>69350</v>
      </c>
      <c r="AF24" s="20">
        <f t="shared" si="1"/>
        <v>50.85</v>
      </c>
      <c r="AG24" s="20">
        <f t="shared" si="2"/>
        <v>65.45</v>
      </c>
      <c r="AH24" s="20">
        <f t="shared" si="3"/>
        <v>0.65</v>
      </c>
      <c r="AI24" s="20">
        <f t="shared" si="4"/>
        <v>8.5500000000000007</v>
      </c>
      <c r="AJ24" s="20">
        <f t="shared" si="5"/>
        <v>20.95</v>
      </c>
      <c r="AK24" s="20">
        <f t="shared" si="6"/>
        <v>18.75</v>
      </c>
      <c r="AL24" s="20">
        <f t="shared" si="7"/>
        <v>11.5</v>
      </c>
      <c r="AM24" s="20">
        <f t="shared" si="8"/>
        <v>24.35</v>
      </c>
      <c r="AN24" s="20">
        <f t="shared" si="9"/>
        <v>28.45</v>
      </c>
      <c r="AO24" s="20">
        <f t="shared" si="10"/>
        <v>13.05</v>
      </c>
      <c r="AP24" s="20">
        <f t="shared" si="11"/>
        <v>15.700000000000001</v>
      </c>
      <c r="AQ24" s="20">
        <f t="shared" si="12"/>
        <v>37.450000000000003</v>
      </c>
      <c r="AR24" s="20">
        <f t="shared" si="13"/>
        <v>51.050000000000004</v>
      </c>
      <c r="AS24" s="35">
        <f t="shared" si="30"/>
        <v>346.75</v>
      </c>
      <c r="AU24" s="47">
        <v>239089</v>
      </c>
      <c r="AV24" s="37">
        <f t="shared" si="31"/>
        <v>2097</v>
      </c>
      <c r="AW24" s="35">
        <f t="shared" si="14"/>
        <v>4.194</v>
      </c>
    </row>
    <row r="25" spans="1:49" x14ac:dyDescent="0.25">
      <c r="A25" s="23">
        <v>44458</v>
      </c>
      <c r="B25" s="40">
        <v>56</v>
      </c>
      <c r="C25" s="24">
        <v>6977690</v>
      </c>
      <c r="D25" s="24">
        <v>17049320</v>
      </c>
      <c r="E25" s="24">
        <v>3055700</v>
      </c>
      <c r="F25" s="24">
        <v>3658360</v>
      </c>
      <c r="G25" s="24">
        <v>10815910</v>
      </c>
      <c r="H25" s="24">
        <v>5870120</v>
      </c>
      <c r="I25" s="24">
        <v>5321050</v>
      </c>
      <c r="J25" s="24">
        <v>6339140</v>
      </c>
      <c r="K25" s="24">
        <v>9723870</v>
      </c>
      <c r="L25" s="24">
        <v>4097140</v>
      </c>
      <c r="M25" s="24">
        <v>8215380</v>
      </c>
      <c r="N25" s="24">
        <v>12767610</v>
      </c>
      <c r="O25" s="24">
        <v>17590120</v>
      </c>
      <c r="Q25" s="37">
        <f t="shared" ref="Q25:AC27" si="33">IF((C25-C24&lt;0), "0",C25-C24)</f>
        <v>10500</v>
      </c>
      <c r="R25" s="37">
        <f t="shared" si="33"/>
        <v>13590</v>
      </c>
      <c r="S25" s="37">
        <f t="shared" si="33"/>
        <v>140</v>
      </c>
      <c r="T25" s="37">
        <f t="shared" si="33"/>
        <v>1760</v>
      </c>
      <c r="U25" s="37">
        <f t="shared" si="33"/>
        <v>4280</v>
      </c>
      <c r="V25" s="37">
        <f t="shared" si="33"/>
        <v>3770</v>
      </c>
      <c r="W25" s="37">
        <f t="shared" si="33"/>
        <v>2400</v>
      </c>
      <c r="X25" s="37">
        <f t="shared" si="33"/>
        <v>4840</v>
      </c>
      <c r="Y25" s="37">
        <f t="shared" si="33"/>
        <v>5550</v>
      </c>
      <c r="Z25" s="37">
        <f t="shared" si="33"/>
        <v>2490</v>
      </c>
      <c r="AA25" s="37">
        <f t="shared" si="33"/>
        <v>3160</v>
      </c>
      <c r="AB25" s="37">
        <f t="shared" si="33"/>
        <v>7580</v>
      </c>
      <c r="AC25" s="37">
        <f t="shared" si="33"/>
        <v>9640</v>
      </c>
      <c r="AD25" s="35">
        <f t="shared" si="29"/>
        <v>69700</v>
      </c>
      <c r="AF25" s="20">
        <f t="shared" si="1"/>
        <v>52.5</v>
      </c>
      <c r="AG25" s="20">
        <f t="shared" si="2"/>
        <v>67.95</v>
      </c>
      <c r="AH25" s="20">
        <f t="shared" si="3"/>
        <v>0.70000000000000007</v>
      </c>
      <c r="AI25" s="20">
        <f t="shared" si="4"/>
        <v>8.8000000000000007</v>
      </c>
      <c r="AJ25" s="20">
        <f t="shared" si="5"/>
        <v>21.400000000000002</v>
      </c>
      <c r="AK25" s="20">
        <f t="shared" si="6"/>
        <v>18.850000000000001</v>
      </c>
      <c r="AL25" s="20">
        <f t="shared" si="7"/>
        <v>12</v>
      </c>
      <c r="AM25" s="20">
        <f t="shared" si="8"/>
        <v>24.2</v>
      </c>
      <c r="AN25" s="20">
        <f t="shared" si="9"/>
        <v>27.75</v>
      </c>
      <c r="AO25" s="20">
        <f t="shared" si="10"/>
        <v>12.450000000000001</v>
      </c>
      <c r="AP25" s="20">
        <f t="shared" si="11"/>
        <v>15.8</v>
      </c>
      <c r="AQ25" s="20">
        <f t="shared" si="12"/>
        <v>37.9</v>
      </c>
      <c r="AR25" s="20">
        <f t="shared" si="13"/>
        <v>48.2</v>
      </c>
      <c r="AS25" s="35">
        <f t="shared" si="30"/>
        <v>348.49999999999994</v>
      </c>
      <c r="AU25" s="47">
        <v>241962</v>
      </c>
      <c r="AV25" s="37">
        <f t="shared" si="31"/>
        <v>2873</v>
      </c>
      <c r="AW25" s="35">
        <f t="shared" si="14"/>
        <v>5.7460000000000004</v>
      </c>
    </row>
    <row r="26" spans="1:49" x14ac:dyDescent="0.25">
      <c r="A26" s="23">
        <v>44459</v>
      </c>
      <c r="B26" s="40">
        <v>62</v>
      </c>
      <c r="C26" s="24">
        <v>6987290</v>
      </c>
      <c r="D26" s="24">
        <v>17061720</v>
      </c>
      <c r="E26" s="24">
        <v>3055820</v>
      </c>
      <c r="F26" s="24">
        <v>3660090</v>
      </c>
      <c r="G26" s="24">
        <v>10819680</v>
      </c>
      <c r="H26" s="24">
        <v>5873690</v>
      </c>
      <c r="I26" s="24">
        <v>5323240</v>
      </c>
      <c r="J26" s="24">
        <v>6343530</v>
      </c>
      <c r="K26" s="24">
        <v>9729030</v>
      </c>
      <c r="L26" s="24">
        <v>4099480</v>
      </c>
      <c r="M26" s="24">
        <v>8218180</v>
      </c>
      <c r="N26" s="24">
        <v>12774390</v>
      </c>
      <c r="O26" s="24">
        <v>17600940</v>
      </c>
      <c r="Q26" s="37">
        <f t="shared" si="33"/>
        <v>9600</v>
      </c>
      <c r="R26" s="37">
        <f t="shared" si="33"/>
        <v>12400</v>
      </c>
      <c r="S26" s="37">
        <f t="shared" si="33"/>
        <v>120</v>
      </c>
      <c r="T26" s="37">
        <f t="shared" si="33"/>
        <v>1730</v>
      </c>
      <c r="U26" s="37">
        <f t="shared" si="33"/>
        <v>3770</v>
      </c>
      <c r="V26" s="37">
        <f t="shared" si="33"/>
        <v>3570</v>
      </c>
      <c r="W26" s="37">
        <f t="shared" si="33"/>
        <v>2190</v>
      </c>
      <c r="X26" s="37">
        <f t="shared" si="33"/>
        <v>4390</v>
      </c>
      <c r="Y26" s="37">
        <f t="shared" si="33"/>
        <v>5160</v>
      </c>
      <c r="Z26" s="37">
        <f t="shared" si="33"/>
        <v>2340</v>
      </c>
      <c r="AA26" s="37">
        <f t="shared" si="33"/>
        <v>2800</v>
      </c>
      <c r="AB26" s="37">
        <f t="shared" si="33"/>
        <v>6780</v>
      </c>
      <c r="AC26" s="37">
        <f t="shared" si="33"/>
        <v>10820</v>
      </c>
      <c r="AD26" s="35">
        <f t="shared" si="29"/>
        <v>65670</v>
      </c>
      <c r="AF26" s="20">
        <f t="shared" si="1"/>
        <v>48</v>
      </c>
      <c r="AG26" s="20">
        <f t="shared" si="2"/>
        <v>62</v>
      </c>
      <c r="AH26" s="20">
        <f t="shared" si="3"/>
        <v>0.6</v>
      </c>
      <c r="AI26" s="20">
        <f t="shared" si="4"/>
        <v>8.65</v>
      </c>
      <c r="AJ26" s="20">
        <f t="shared" si="5"/>
        <v>18.850000000000001</v>
      </c>
      <c r="AK26" s="20">
        <f t="shared" si="6"/>
        <v>17.850000000000001</v>
      </c>
      <c r="AL26" s="20">
        <f t="shared" si="7"/>
        <v>10.950000000000001</v>
      </c>
      <c r="AM26" s="20">
        <f t="shared" si="8"/>
        <v>21.95</v>
      </c>
      <c r="AN26" s="20">
        <f t="shared" si="9"/>
        <v>25.8</v>
      </c>
      <c r="AO26" s="20">
        <f t="shared" si="10"/>
        <v>11.700000000000001</v>
      </c>
      <c r="AP26" s="20">
        <f t="shared" si="11"/>
        <v>14</v>
      </c>
      <c r="AQ26" s="20">
        <f t="shared" si="12"/>
        <v>33.9</v>
      </c>
      <c r="AR26" s="20">
        <f t="shared" si="13"/>
        <v>54.1</v>
      </c>
      <c r="AS26" s="35">
        <f t="shared" si="30"/>
        <v>328.34999999999997</v>
      </c>
      <c r="AU26" s="47">
        <v>244312</v>
      </c>
      <c r="AV26" s="37">
        <f t="shared" si="31"/>
        <v>2350</v>
      </c>
      <c r="AW26" s="35">
        <f t="shared" si="14"/>
        <v>4.7</v>
      </c>
    </row>
    <row r="27" spans="1:49" x14ac:dyDescent="0.25">
      <c r="A27" s="23">
        <v>44460</v>
      </c>
      <c r="B27" s="40">
        <v>74</v>
      </c>
      <c r="C27" s="24">
        <v>6997450</v>
      </c>
      <c r="D27" s="24">
        <v>17074850</v>
      </c>
      <c r="E27" s="24">
        <v>3055950</v>
      </c>
      <c r="F27" s="24">
        <v>3661740</v>
      </c>
      <c r="G27" s="24">
        <v>10823570</v>
      </c>
      <c r="H27" s="24">
        <v>5877500</v>
      </c>
      <c r="I27" s="24">
        <v>5325520</v>
      </c>
      <c r="J27" s="24">
        <v>6348440</v>
      </c>
      <c r="K27" s="24">
        <v>9734730</v>
      </c>
      <c r="L27" s="24">
        <v>4101880</v>
      </c>
      <c r="M27" s="24">
        <v>8221120</v>
      </c>
      <c r="N27" s="24">
        <v>12781650</v>
      </c>
      <c r="O27" s="24">
        <v>17612880</v>
      </c>
      <c r="Q27" s="37">
        <f t="shared" si="33"/>
        <v>10160</v>
      </c>
      <c r="R27" s="37">
        <f t="shared" si="33"/>
        <v>13130</v>
      </c>
      <c r="S27" s="37">
        <f t="shared" si="33"/>
        <v>130</v>
      </c>
      <c r="T27" s="37">
        <f t="shared" si="33"/>
        <v>1650</v>
      </c>
      <c r="U27" s="37">
        <f t="shared" si="33"/>
        <v>3890</v>
      </c>
      <c r="V27" s="37">
        <f t="shared" si="33"/>
        <v>3810</v>
      </c>
      <c r="W27" s="37">
        <f t="shared" si="33"/>
        <v>2280</v>
      </c>
      <c r="X27" s="37">
        <f t="shared" si="33"/>
        <v>4910</v>
      </c>
      <c r="Y27" s="37">
        <f t="shared" si="33"/>
        <v>5700</v>
      </c>
      <c r="Z27" s="37">
        <f t="shared" si="33"/>
        <v>2400</v>
      </c>
      <c r="AA27" s="37">
        <f t="shared" si="33"/>
        <v>2940</v>
      </c>
      <c r="AB27" s="37">
        <f t="shared" si="33"/>
        <v>7260</v>
      </c>
      <c r="AC27" s="37">
        <f t="shared" si="33"/>
        <v>11940</v>
      </c>
      <c r="AD27" s="35">
        <f t="shared" si="29"/>
        <v>70200</v>
      </c>
      <c r="AF27" s="20">
        <f t="shared" si="1"/>
        <v>50.800000000000004</v>
      </c>
      <c r="AG27" s="20">
        <f t="shared" si="2"/>
        <v>65.650000000000006</v>
      </c>
      <c r="AH27" s="20">
        <f t="shared" si="3"/>
        <v>0.65</v>
      </c>
      <c r="AI27" s="20">
        <f t="shared" si="4"/>
        <v>8.25</v>
      </c>
      <c r="AJ27" s="20">
        <f t="shared" si="5"/>
        <v>19.45</v>
      </c>
      <c r="AK27" s="20">
        <f t="shared" si="6"/>
        <v>19.05</v>
      </c>
      <c r="AL27" s="20">
        <f t="shared" si="7"/>
        <v>11.4</v>
      </c>
      <c r="AM27" s="20">
        <f t="shared" si="8"/>
        <v>24.55</v>
      </c>
      <c r="AN27" s="20">
        <f t="shared" si="9"/>
        <v>28.5</v>
      </c>
      <c r="AO27" s="20">
        <f t="shared" si="10"/>
        <v>12</v>
      </c>
      <c r="AP27" s="20">
        <f t="shared" si="11"/>
        <v>14.700000000000001</v>
      </c>
      <c r="AQ27" s="20">
        <f t="shared" si="12"/>
        <v>36.300000000000004</v>
      </c>
      <c r="AR27" s="20">
        <f t="shared" si="13"/>
        <v>59.7</v>
      </c>
      <c r="AS27" s="35">
        <f t="shared" si="30"/>
        <v>351</v>
      </c>
      <c r="AU27" s="47">
        <v>246661</v>
      </c>
      <c r="AV27" s="37">
        <f>IF((AU27-AU26&lt;0),"0",AU27-AU26)</f>
        <v>2349</v>
      </c>
      <c r="AW27" s="35">
        <f t="shared" si="14"/>
        <v>4.6980000000000004</v>
      </c>
    </row>
    <row r="28" spans="1:49" x14ac:dyDescent="0.25">
      <c r="A28" s="23">
        <v>44461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7"/>
        <v>0</v>
      </c>
      <c r="R28" s="37" t="str">
        <f t="shared" si="18"/>
        <v>0</v>
      </c>
      <c r="S28" s="37" t="str">
        <f t="shared" si="16"/>
        <v>0</v>
      </c>
      <c r="T28" s="37" t="str">
        <f t="shared" si="19"/>
        <v>0</v>
      </c>
      <c r="U28" s="37" t="str">
        <f t="shared" si="20"/>
        <v>0</v>
      </c>
      <c r="V28" s="37" t="str">
        <f t="shared" si="21"/>
        <v>0</v>
      </c>
      <c r="W28" s="37" t="str">
        <f t="shared" si="22"/>
        <v>0</v>
      </c>
      <c r="X28" s="37" t="str">
        <f t="shared" si="23"/>
        <v>0</v>
      </c>
      <c r="Y28" s="37" t="str">
        <f t="shared" si="24"/>
        <v>0</v>
      </c>
      <c r="Z28" s="37" t="str">
        <f t="shared" si="25"/>
        <v>0</v>
      </c>
      <c r="AA28" s="37" t="str">
        <f t="shared" si="26"/>
        <v>0</v>
      </c>
      <c r="AB28" s="37" t="str">
        <f t="shared" si="27"/>
        <v>0</v>
      </c>
      <c r="AC28" s="37" t="str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 t="str">
        <f>IF((AU28-AU27&lt;0),"0",AU28-AU27)</f>
        <v>0</v>
      </c>
      <c r="AW28" s="35">
        <f t="shared" si="14"/>
        <v>0</v>
      </c>
    </row>
    <row r="29" spans="1:49" x14ac:dyDescent="0.25">
      <c r="A29" s="23">
        <v>44462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44463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44464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44465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44466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217670</v>
      </c>
      <c r="R38" s="38">
        <f t="shared" ref="R38:AD38" si="62">SUM(R7:R37)</f>
        <v>280780</v>
      </c>
      <c r="S38" s="38">
        <f t="shared" si="62"/>
        <v>11980</v>
      </c>
      <c r="T38" s="38">
        <f t="shared" si="62"/>
        <v>35620</v>
      </c>
      <c r="U38" s="38">
        <f t="shared" si="62"/>
        <v>84300</v>
      </c>
      <c r="V38" s="38">
        <f t="shared" si="62"/>
        <v>76930</v>
      </c>
      <c r="W38" s="38">
        <f t="shared" si="62"/>
        <v>48080</v>
      </c>
      <c r="X38" s="38">
        <f t="shared" si="62"/>
        <v>97610</v>
      </c>
      <c r="Y38" s="38">
        <f t="shared" si="62"/>
        <v>116550</v>
      </c>
      <c r="Z38" s="38">
        <f t="shared" si="62"/>
        <v>54630</v>
      </c>
      <c r="AA38" s="38">
        <f t="shared" si="62"/>
        <v>63720</v>
      </c>
      <c r="AB38" s="38">
        <f t="shared" si="62"/>
        <v>151520</v>
      </c>
      <c r="AC38" s="38">
        <f t="shared" si="62"/>
        <v>210840</v>
      </c>
      <c r="AD38" s="38">
        <f t="shared" si="62"/>
        <v>1450230</v>
      </c>
      <c r="AF38" s="35">
        <f>SUM(AF7:AF37)</f>
        <v>1088.3499999999999</v>
      </c>
      <c r="AG38" s="35">
        <f t="shared" ref="AG38:AS38" si="63">SUM(AG7:AG37)</f>
        <v>1403.9</v>
      </c>
      <c r="AH38" s="35">
        <f t="shared" si="63"/>
        <v>59.900000000000006</v>
      </c>
      <c r="AI38" s="35">
        <f t="shared" si="63"/>
        <v>178.10000000000005</v>
      </c>
      <c r="AJ38" s="35">
        <f t="shared" si="63"/>
        <v>421.49999999999994</v>
      </c>
      <c r="AK38" s="35">
        <f t="shared" si="63"/>
        <v>384.65000000000009</v>
      </c>
      <c r="AL38" s="35">
        <f t="shared" si="63"/>
        <v>240.4</v>
      </c>
      <c r="AM38" s="35">
        <f t="shared" si="63"/>
        <v>488.04999999999995</v>
      </c>
      <c r="AN38" s="35">
        <f t="shared" si="63"/>
        <v>582.74999999999989</v>
      </c>
      <c r="AO38" s="35">
        <f t="shared" si="63"/>
        <v>273.14999999999998</v>
      </c>
      <c r="AP38" s="35">
        <f t="shared" si="63"/>
        <v>318.60000000000002</v>
      </c>
      <c r="AQ38" s="35">
        <f t="shared" si="63"/>
        <v>757.59999999999991</v>
      </c>
      <c r="AR38" s="35">
        <f t="shared" si="63"/>
        <v>1054.2</v>
      </c>
      <c r="AS38" s="35">
        <f t="shared" si="63"/>
        <v>7251.1500000000005</v>
      </c>
      <c r="AU38" s="48"/>
      <c r="AV38" s="34">
        <f>SUM(AV7:AV37)</f>
        <v>51759</v>
      </c>
      <c r="AW38" s="35">
        <f>SUM(AW7:AW37)</f>
        <v>103.51799999999997</v>
      </c>
    </row>
    <row r="39" spans="1:49" x14ac:dyDescent="0.25">
      <c r="D39">
        <v>5.0000000000000001E-3</v>
      </c>
      <c r="AV39" s="36">
        <f>AV38*0.00378541*1000</f>
        <v>195929.03619000001</v>
      </c>
    </row>
    <row r="40" spans="1:49" x14ac:dyDescent="0.25">
      <c r="D40">
        <v>2E-3</v>
      </c>
      <c r="AV40">
        <f>AV39/31</f>
        <v>6320.2914900000005</v>
      </c>
    </row>
    <row r="41" spans="1:49" x14ac:dyDescent="0.25">
      <c r="AV41">
        <f>AV38*0.00378541</f>
        <v>195.92903619000001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2021-09-22T05:07:39Z</dcterms:modified>
</cp:coreProperties>
</file>