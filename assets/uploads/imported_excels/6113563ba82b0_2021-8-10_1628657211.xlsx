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K38" i="7" l="1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<sst xmlns="http://schemas.openxmlformats.org/spreadsheetml/2006/main" count="128" uniqueCount="49">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</sst>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Submetering!R2</f>
        <v>594.68791099999999</v>
      </c>
      <c r="H2" s="11">
        <v>0.52800000000000002</v>
      </c>
      <c r="I2" s="12">
        <f>Hotel!B7</f>
        <v>92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Submetering!R3</f>
        <v>1141.301115</v>
      </c>
      <c r="H3" s="11">
        <v>0.52800000000000002</v>
      </c>
      <c r="I3" s="12">
        <f>Hotel!B8</f>
        <v>86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Submetering!R4</f>
        <v>899.41341599999998</v>
      </c>
      <c r="H4" s="11">
        <v>0.52800000000000002</v>
      </c>
      <c r="I4" s="12">
        <f>Hotel!B9</f>
        <v>82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Submetering!R5</f>
        <v>1323.0007949999999</v>
      </c>
      <c r="H5" s="11">
        <v>0.52800000000000002</v>
      </c>
      <c r="I5" s="12">
        <f>Hotel!B10</f>
        <v>93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Submetering!R6</f>
        <v>1030.010061</v>
      </c>
      <c r="H6" s="11">
        <v>0.52800000000000002</v>
      </c>
      <c r="I6" s="12">
        <f>Hotel!B11</f>
        <v>108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Submetering!R7</f>
        <v>1034.1740119999999</v>
      </c>
      <c r="H7" s="11">
        <v>0.52800000000000002</v>
      </c>
      <c r="I7" s="12">
        <f>Hotel!B12</f>
        <v>137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Submetering!R8</f>
        <v>1028.8744379999998</v>
      </c>
      <c r="H8" s="11">
        <v>0.52800000000000002</v>
      </c>
      <c r="I8" s="12">
        <f>Hotel!B13</f>
        <v>158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Submetering!R9</f>
        <v>1054.6152259999999</v>
      </c>
      <c r="H9" s="11">
        <v>0.52800000000000002</v>
      </c>
      <c r="I9" s="12">
        <f>Hotel!B14</f>
        <v>123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Submetering!R10</f>
        <v>1020.5465359999999</v>
      </c>
      <c r="H10" s="11">
        <v>0.52800000000000002</v>
      </c>
      <c r="I10" s="12">
        <f>Hotel!B15</f>
        <v>74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Submetering!R11</f>
        <v>1088.3053749999999</v>
      </c>
      <c r="H11" s="11">
        <v>0.52800000000000002</v>
      </c>
      <c r="I11" s="12">
        <f>Hotel!B16</f>
        <v>83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Hotel!AV7*0.00378541*100</f>
        <v>594.68791099999999</v>
      </c>
      <c r="S2" s="4">
        <f>Hotel!B7</f>
        <v>92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Hotel!AV8*0.00378541*100</f>
        <v>1141.301115</v>
      </c>
      <c r="S3" s="4">
        <f>Hotel!B8</f>
        <v>86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Hotel!AV9*0.00378541*100</f>
        <v>899.41341599999998</v>
      </c>
      <c r="S4" s="4">
        <f>Hotel!B9</f>
        <v>82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Hotel!AV10*0.00378541*100</f>
        <v>1323.0007949999999</v>
      </c>
      <c r="S5" s="4">
        <f>Hotel!B10</f>
        <v>93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Hotel!AV11*0.00378541*100</f>
        <v>1030.010061</v>
      </c>
      <c r="S6" s="4">
        <f>Hotel!B11</f>
        <v>108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Hotel!AV12*0.00378541*100</f>
        <v>1034.1740119999999</v>
      </c>
      <c r="S7" s="4">
        <f>Hotel!B12</f>
        <v>137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Hotel!AV13*0.00378541*100</f>
        <v>1028.8744379999998</v>
      </c>
      <c r="S8" s="4">
        <f>Hotel!B13</f>
        <v>158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Hotel!AV14*0.00378541*100</f>
        <v>1054.6152259999999</v>
      </c>
      <c r="S9" s="4">
        <f>Hotel!B14</f>
        <v>123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Hotel!AV15*0.00378541*100</f>
        <v>1020.5465359999999</v>
      </c>
      <c r="S10" s="4">
        <f>Hotel!B15</f>
        <v>74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Hotel!AV16*0.00378541*100</f>
        <v>1088.3053749999999</v>
      </c>
      <c r="S11" s="4">
        <f>Hotel!B16</f>
        <v>83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 t="str">
        <f>Hotel!Q17</f>
        <v>0</v>
      </c>
      <c r="F12" s="4" t="str">
        <f>Hotel!R17</f>
        <v>0</v>
      </c>
      <c r="G12" s="4" t="str">
        <f>Hotel!S17</f>
        <v>0</v>
      </c>
      <c r="H12" s="4" t="str">
        <f>Hotel!T17</f>
        <v>0</v>
      </c>
      <c r="I12" s="4" t="str">
        <f>Hotel!U17</f>
        <v>0</v>
      </c>
      <c r="J12" s="4" t="str">
        <f>Hotel!V17</f>
        <v>0</v>
      </c>
      <c r="K12" s="4" t="str">
        <f>Hotel!W17</f>
        <v>0</v>
      </c>
      <c r="L12" s="4" t="str">
        <f>Hotel!X17</f>
        <v>0</v>
      </c>
      <c r="M12" s="4" t="str">
        <f>Hotel!Y17</f>
        <v>0</v>
      </c>
      <c r="N12" s="4" t="str">
        <f>Hotel!Z17</f>
        <v>0</v>
      </c>
      <c r="O12" s="4" t="str">
        <f>Hotel!AA17</f>
        <v>0</v>
      </c>
      <c r="P12" s="4" t="str">
        <f>Hotel!AB17</f>
        <v>0</v>
      </c>
      <c r="Q12" s="4" t="str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N23" sqref="AN2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112117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112117</v>
      </c>
    </row>
    <row r="7" spans="1:49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>IF((C7-C2&lt;0), "0",C7-C2)</f>
        <v>650</v>
      </c>
      <c r="R7" s="37">
        <f t="shared" ref="R7:AC7" si="0">IF((D7-D2&lt;0), "0",D7-D2)</f>
        <v>9390</v>
      </c>
      <c r="S7" s="37">
        <f>IF((E7-E2&lt;0), "0",E7-E2)</f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U7" s="47">
        <v>113688</v>
      </c>
      <c r="AV7" s="37">
        <f>IF((AU7-AU6&lt;0),"0",AU7-AU6)</f>
        <v>1571</v>
      </c>
      <c r="AW7" s="35">
        <f t="shared" ref="AW7:AW35" si="14">AV7*$D$40</f>
        <v>3.1419999999999999</v>
      </c>
    </row>
    <row r="8" spans="1:49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U8" s="47">
        <v>116703</v>
      </c>
      <c r="AV8" s="37">
        <f>IF((AU8-AU7&lt;0),"0",AU8-AU7)</f>
        <v>3015</v>
      </c>
      <c r="AW8" s="35">
        <f t="shared" si="14"/>
        <v>6.03</v>
      </c>
    </row>
    <row r="9" spans="1:49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17">IF((C9-C8&lt;0), "0",C9-C8)</f>
        <v>1000</v>
      </c>
      <c r="R9" s="37">
        <f t="shared" ref="R9:R35" si="18">IF((D9-D8&lt;0), "0",D9-D8)</f>
        <v>13540</v>
      </c>
      <c r="S9" s="37">
        <f t="shared" si="16"/>
        <v>3150</v>
      </c>
      <c r="T9" s="37">
        <f t="shared" ref="T9:T35" si="19">IF((F9-F8&lt;0), "0",F9-F8)</f>
        <v>1660</v>
      </c>
      <c r="U9" s="37">
        <f t="shared" ref="U9:U35" si="20">IF((G9-G8&lt;0), "0",G9-G8)</f>
        <v>4280</v>
      </c>
      <c r="V9" s="37">
        <f t="shared" ref="V9:V35" si="21">IF((H9-H8&lt;0), "0",H9-H8)</f>
        <v>3330</v>
      </c>
      <c r="W9" s="37">
        <f t="shared" ref="W9:W35" si="22">IF((I9-I8&lt;0), "0",I9-I8)</f>
        <v>2330</v>
      </c>
      <c r="X9" s="37">
        <f t="shared" ref="X9:X35" si="23">IF((J9-J8&lt;0), "0",J9-J8)</f>
        <v>4010</v>
      </c>
      <c r="Y9" s="37">
        <f t="shared" ref="Y9:Y35" si="24">IF((K9-K8&lt;0), "0",K9-K8)</f>
        <v>5380</v>
      </c>
      <c r="Z9" s="37">
        <f t="shared" ref="Z9:Z35" si="25">IF((L9-L8&lt;0), "0",L9-L8)</f>
        <v>2620</v>
      </c>
      <c r="AA9" s="37">
        <f t="shared" ref="AA9:AA35" si="26">IF((M9-M8&lt;0), "0",M9-M8)</f>
        <v>2910</v>
      </c>
      <c r="AB9" s="37">
        <f t="shared" ref="AB9:AB37" si="27">IF((N9-N8&lt;0), "0",N9-N8)</f>
        <v>7830</v>
      </c>
      <c r="AC9" s="37">
        <f t="shared" ref="AC9:AC37" si="28">IF((O9-O8&lt;0), "0",O9-O8)</f>
        <v>9140</v>
      </c>
      <c r="AD9" s="35">
        <f t="shared" ref="AD9:AD37" si="29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0">SUM(AF9:AR9)</f>
        <v>305.90000000000003</v>
      </c>
      <c r="AU9" s="47">
        <v>119079</v>
      </c>
      <c r="AV9" s="37">
        <f>IF((AU9-AU8&lt;0),"0",AU9-AU8)</f>
        <v>2376</v>
      </c>
      <c r="AW9" s="35">
        <f t="shared" si="14"/>
        <v>4.7519999999999998</v>
      </c>
    </row>
    <row r="10" spans="1:49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17"/>
        <v>1000</v>
      </c>
      <c r="R10" s="37">
        <f t="shared" si="18"/>
        <v>14000</v>
      </c>
      <c r="S10" s="37">
        <f t="shared" si="16"/>
        <v>3800</v>
      </c>
      <c r="T10" s="37">
        <f t="shared" si="19"/>
        <v>1680</v>
      </c>
      <c r="U10" s="37">
        <f t="shared" si="20"/>
        <v>4220</v>
      </c>
      <c r="V10" s="37">
        <f t="shared" si="21"/>
        <v>3390</v>
      </c>
      <c r="W10" s="37">
        <f t="shared" si="22"/>
        <v>2330</v>
      </c>
      <c r="X10" s="37">
        <f t="shared" si="23"/>
        <v>4110</v>
      </c>
      <c r="Y10" s="37">
        <f t="shared" si="24"/>
        <v>5300</v>
      </c>
      <c r="Z10" s="37">
        <f t="shared" si="25"/>
        <v>2580</v>
      </c>
      <c r="AA10" s="37">
        <f t="shared" si="26"/>
        <v>2850</v>
      </c>
      <c r="AB10" s="37">
        <f t="shared" si="27"/>
        <v>7730</v>
      </c>
      <c r="AC10" s="37">
        <f t="shared" si="28"/>
        <v>8280</v>
      </c>
      <c r="AD10" s="35">
        <f t="shared" si="29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0"/>
        <v>306.34999999999997</v>
      </c>
      <c r="AU10" s="47">
        <v>122574</v>
      </c>
      <c r="AV10" s="37">
        <f t="shared" ref="AV10:AV26" si="31">IF((AU10-AU9&lt;0),"0",AU10-AU9)</f>
        <v>3495</v>
      </c>
      <c r="AW10" s="35">
        <f t="shared" si="14"/>
        <v>6.99</v>
      </c>
    </row>
    <row r="11" spans="1:49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17"/>
        <v>980</v>
      </c>
      <c r="R11" s="37">
        <f t="shared" si="18"/>
        <v>13920</v>
      </c>
      <c r="S11" s="37">
        <f t="shared" si="16"/>
        <v>3810</v>
      </c>
      <c r="T11" s="37">
        <f t="shared" si="19"/>
        <v>1640</v>
      </c>
      <c r="U11" s="37">
        <f t="shared" si="20"/>
        <v>4060</v>
      </c>
      <c r="V11" s="37">
        <f t="shared" si="21"/>
        <v>3360</v>
      </c>
      <c r="W11" s="37">
        <f t="shared" si="22"/>
        <v>2300</v>
      </c>
      <c r="X11" s="37">
        <f t="shared" si="23"/>
        <v>3980</v>
      </c>
      <c r="Y11" s="37">
        <f t="shared" si="24"/>
        <v>5420</v>
      </c>
      <c r="Z11" s="37">
        <f t="shared" si="25"/>
        <v>2590</v>
      </c>
      <c r="AA11" s="37">
        <f t="shared" si="26"/>
        <v>2990</v>
      </c>
      <c r="AB11" s="37">
        <f t="shared" si="27"/>
        <v>7610</v>
      </c>
      <c r="AC11" s="37">
        <f t="shared" si="28"/>
        <v>8230</v>
      </c>
      <c r="AD11" s="35">
        <f t="shared" si="29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0"/>
        <v>304.45</v>
      </c>
      <c r="AU11" s="47">
        <v>125295</v>
      </c>
      <c r="AV11" s="37">
        <f t="shared" si="31"/>
        <v>2721</v>
      </c>
      <c r="AW11" s="35">
        <f t="shared" si="14"/>
        <v>5.4420000000000002</v>
      </c>
    </row>
    <row r="12" spans="1:49" x14ac:dyDescent="0.25">
      <c r="A12" s="23">
        <v>44414</v>
      </c>
      <c r="B12" s="40">
        <v>137</v>
      </c>
      <c r="C12" s="4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17"/>
        <v>980</v>
      </c>
      <c r="R12" s="37">
        <f t="shared" si="18"/>
        <v>14170</v>
      </c>
      <c r="S12" s="37">
        <f t="shared" si="16"/>
        <v>3900</v>
      </c>
      <c r="T12" s="37">
        <f t="shared" ref="T12:W14" si="32">IF((F12-F11&lt;0), "0",F12-F11)</f>
        <v>1650</v>
      </c>
      <c r="U12" s="37">
        <f t="shared" si="32"/>
        <v>4290</v>
      </c>
      <c r="V12" s="37">
        <f t="shared" si="32"/>
        <v>3470</v>
      </c>
      <c r="W12" s="37">
        <f t="shared" si="32"/>
        <v>2300</v>
      </c>
      <c r="X12" s="37">
        <f t="shared" si="23"/>
        <v>4210</v>
      </c>
      <c r="Y12" s="37">
        <f t="shared" si="24"/>
        <v>5640</v>
      </c>
      <c r="Z12" s="37">
        <f>IF((L12-L11&lt;0), "0",L12-L11)</f>
        <v>2710</v>
      </c>
      <c r="AA12" s="37">
        <f t="shared" si="26"/>
        <v>3120</v>
      </c>
      <c r="AB12" s="37">
        <f t="shared" si="27"/>
        <v>7720</v>
      </c>
      <c r="AC12" s="37">
        <f t="shared" si="28"/>
        <v>8470</v>
      </c>
      <c r="AD12" s="35">
        <f t="shared" si="29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0"/>
        <v>313.15000000000003</v>
      </c>
      <c r="AU12" s="47">
        <v>128027</v>
      </c>
      <c r="AV12" s="37">
        <f t="shared" si="31"/>
        <v>2732</v>
      </c>
      <c r="AW12" s="35">
        <f t="shared" si="14"/>
        <v>5.4640000000000004</v>
      </c>
    </row>
    <row r="13" spans="1:49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17"/>
        <v>1010</v>
      </c>
      <c r="R13" s="37">
        <f t="shared" si="18"/>
        <v>15220</v>
      </c>
      <c r="S13" s="37">
        <f t="shared" si="16"/>
        <v>4260</v>
      </c>
      <c r="T13" s="37">
        <f t="shared" si="32"/>
        <v>1710</v>
      </c>
      <c r="U13" s="37">
        <f t="shared" si="32"/>
        <v>4380</v>
      </c>
      <c r="V13" s="37">
        <f t="shared" si="32"/>
        <v>3620</v>
      </c>
      <c r="W13" s="37">
        <f t="shared" si="32"/>
        <v>2360</v>
      </c>
      <c r="X13" s="37">
        <f t="shared" si="23"/>
        <v>4240</v>
      </c>
      <c r="Y13" s="37">
        <f t="shared" si="24"/>
        <v>5860</v>
      </c>
      <c r="Z13" s="37">
        <f>IF((L13-L12&lt;0), "0",L13-L12)</f>
        <v>2770</v>
      </c>
      <c r="AA13" s="37">
        <f t="shared" si="26"/>
        <v>3270</v>
      </c>
      <c r="AB13" s="37">
        <f t="shared" si="27"/>
        <v>7800</v>
      </c>
      <c r="AC13" s="37">
        <f t="shared" si="28"/>
        <v>8400</v>
      </c>
      <c r="AD13" s="35">
        <f t="shared" si="29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0"/>
        <v>324.5</v>
      </c>
      <c r="AU13" s="47">
        <v>130745</v>
      </c>
      <c r="AV13" s="37">
        <f t="shared" si="31"/>
        <v>2718</v>
      </c>
      <c r="AW13" s="35">
        <f t="shared" si="14"/>
        <v>5.4359999999999999</v>
      </c>
    </row>
    <row r="14" spans="1:49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53"/>
      <c r="Q14" s="37">
        <f t="shared" si="17"/>
        <v>1000</v>
      </c>
      <c r="R14" s="37">
        <f t="shared" si="18"/>
        <v>14290</v>
      </c>
      <c r="S14" s="37">
        <f t="shared" si="16"/>
        <v>3920</v>
      </c>
      <c r="T14" s="37">
        <f t="shared" si="32"/>
        <v>1670</v>
      </c>
      <c r="U14" s="37">
        <f t="shared" si="32"/>
        <v>4360</v>
      </c>
      <c r="V14" s="37">
        <f t="shared" si="32"/>
        <v>3540</v>
      </c>
      <c r="W14" s="37">
        <f t="shared" si="32"/>
        <v>2320</v>
      </c>
      <c r="X14" s="37">
        <f t="shared" si="23"/>
        <v>3870</v>
      </c>
      <c r="Y14" s="37">
        <f t="shared" si="24"/>
        <v>5670</v>
      </c>
      <c r="Z14" s="37">
        <f>IF((L14-L13&lt;0), "0",L14-L13)</f>
        <v>2850</v>
      </c>
      <c r="AA14" s="37">
        <f t="shared" si="26"/>
        <v>3180</v>
      </c>
      <c r="AB14" s="37">
        <f t="shared" si="27"/>
        <v>7700</v>
      </c>
      <c r="AC14" s="37">
        <f t="shared" si="28"/>
        <v>8600</v>
      </c>
      <c r="AD14" s="35">
        <f t="shared" si="29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0"/>
        <v>314.85000000000002</v>
      </c>
      <c r="AU14" s="47">
        <v>133531</v>
      </c>
      <c r="AV14" s="37">
        <f t="shared" si="31"/>
        <v>2786</v>
      </c>
      <c r="AW14" s="35">
        <f t="shared" si="14"/>
        <v>5.5720000000000001</v>
      </c>
    </row>
    <row r="15" spans="1:49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17"/>
        <v>1050</v>
      </c>
      <c r="R15" s="37">
        <f t="shared" si="18"/>
        <v>14670</v>
      </c>
      <c r="S15" s="37">
        <f t="shared" si="16"/>
        <v>3980</v>
      </c>
      <c r="T15" s="37">
        <f t="shared" si="19"/>
        <v>1770</v>
      </c>
      <c r="U15" s="37">
        <f t="shared" si="20"/>
        <v>4470</v>
      </c>
      <c r="V15" s="37">
        <f t="shared" si="21"/>
        <v>3710</v>
      </c>
      <c r="W15" s="37">
        <f t="shared" si="22"/>
        <v>2500</v>
      </c>
      <c r="X15" s="37">
        <f t="shared" si="23"/>
        <v>3910</v>
      </c>
      <c r="Y15" s="37">
        <f t="shared" si="24"/>
        <v>5920</v>
      </c>
      <c r="Z15" s="37">
        <f t="shared" si="25"/>
        <v>2820</v>
      </c>
      <c r="AA15" s="37">
        <f t="shared" si="26"/>
        <v>3170</v>
      </c>
      <c r="AB15" s="37">
        <f t="shared" si="27"/>
        <v>8190</v>
      </c>
      <c r="AC15" s="37">
        <f t="shared" si="28"/>
        <v>9770</v>
      </c>
      <c r="AD15" s="35">
        <f t="shared" si="29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0"/>
        <v>329.65000000000003</v>
      </c>
      <c r="AU15" s="47">
        <v>136227</v>
      </c>
      <c r="AV15" s="37">
        <f t="shared" si="31"/>
        <v>2696</v>
      </c>
      <c r="AW15" s="35">
        <f t="shared" si="14"/>
        <v>5.3920000000000003</v>
      </c>
    </row>
    <row r="16" spans="1:49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17"/>
        <v>1120</v>
      </c>
      <c r="R16" s="37">
        <f t="shared" si="18"/>
        <v>15560</v>
      </c>
      <c r="S16" s="37">
        <f t="shared" si="16"/>
        <v>4210</v>
      </c>
      <c r="T16" s="37">
        <f t="shared" si="19"/>
        <v>1890</v>
      </c>
      <c r="U16" s="37">
        <f t="shared" si="20"/>
        <v>4550</v>
      </c>
      <c r="V16" s="37">
        <f t="shared" si="21"/>
        <v>3890</v>
      </c>
      <c r="W16" s="37">
        <f t="shared" si="22"/>
        <v>2630</v>
      </c>
      <c r="X16" s="37">
        <f t="shared" si="23"/>
        <v>4520</v>
      </c>
      <c r="Y16" s="37">
        <f t="shared" si="24"/>
        <v>6150</v>
      </c>
      <c r="Z16" s="37">
        <f t="shared" si="25"/>
        <v>2820</v>
      </c>
      <c r="AA16" s="37">
        <f t="shared" si="26"/>
        <v>3200</v>
      </c>
      <c r="AB16" s="37">
        <f t="shared" si="27"/>
        <v>8360</v>
      </c>
      <c r="AC16" s="37">
        <f t="shared" si="28"/>
        <v>11250</v>
      </c>
      <c r="AD16" s="35">
        <f t="shared" si="29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0"/>
        <v>350.74999999999994</v>
      </c>
      <c r="AU16" s="47">
        <v>139102</v>
      </c>
      <c r="AV16" s="37">
        <f t="shared" si="31"/>
        <v>2875</v>
      </c>
      <c r="AW16" s="35">
        <f t="shared" si="14"/>
        <v>5.75</v>
      </c>
    </row>
    <row r="17" spans="1:49" x14ac:dyDescent="0.25">
      <c r="A17" s="23">
        <v>44419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 t="str">
        <f t="shared" si="17"/>
        <v>0</v>
      </c>
      <c r="R17" s="37" t="str">
        <f t="shared" si="18"/>
        <v>0</v>
      </c>
      <c r="S17" s="37" t="str">
        <f t="shared" si="16"/>
        <v>0</v>
      </c>
      <c r="T17" s="37" t="str">
        <f t="shared" si="19"/>
        <v>0</v>
      </c>
      <c r="U17" s="37" t="str">
        <f t="shared" si="20"/>
        <v>0</v>
      </c>
      <c r="V17" s="37" t="str">
        <f t="shared" si="21"/>
        <v>0</v>
      </c>
      <c r="W17" s="37" t="str">
        <f t="shared" si="22"/>
        <v>0</v>
      </c>
      <c r="X17" s="37" t="str">
        <f t="shared" si="23"/>
        <v>0</v>
      </c>
      <c r="Y17" s="37" t="str">
        <f t="shared" si="24"/>
        <v>0</v>
      </c>
      <c r="Z17" s="37" t="str">
        <f t="shared" si="25"/>
        <v>0</v>
      </c>
      <c r="AA17" s="37" t="str">
        <f t="shared" si="26"/>
        <v>0</v>
      </c>
      <c r="AB17" s="37" t="str">
        <f t="shared" si="27"/>
        <v>0</v>
      </c>
      <c r="AC17" s="37" t="str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 t="str">
        <f t="shared" si="31"/>
        <v>0</v>
      </c>
      <c r="AW17" s="35">
        <f t="shared" si="14"/>
        <v>0</v>
      </c>
    </row>
    <row r="18" spans="1:49" x14ac:dyDescent="0.25">
      <c r="A18" s="23">
        <v>44420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44421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44422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44423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44424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44425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44426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44427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44428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44429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44430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44431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44432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44433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44434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44435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44436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44437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44438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44439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9810</v>
      </c>
      <c r="R38" s="38">
        <f t="shared" ref="R38:AD38" si="62">SUM(R7:R37)</f>
        <v>139330</v>
      </c>
      <c r="S38" s="38">
        <f t="shared" si="62"/>
        <v>38110</v>
      </c>
      <c r="T38" s="38">
        <f t="shared" si="62"/>
        <v>16480</v>
      </c>
      <c r="U38" s="38">
        <f t="shared" si="62"/>
        <v>41990</v>
      </c>
      <c r="V38" s="38">
        <f t="shared" si="62"/>
        <v>34060</v>
      </c>
      <c r="W38" s="38">
        <f t="shared" si="62"/>
        <v>23000</v>
      </c>
      <c r="X38" s="38">
        <f t="shared" si="62"/>
        <v>39220</v>
      </c>
      <c r="Y38" s="38">
        <f t="shared" si="62"/>
        <v>54420</v>
      </c>
      <c r="Z38" s="38">
        <f t="shared" si="62"/>
        <v>26190</v>
      </c>
      <c r="AA38" s="38">
        <f t="shared" si="62"/>
        <v>30000</v>
      </c>
      <c r="AB38" s="38">
        <f t="shared" si="62"/>
        <v>76300</v>
      </c>
      <c r="AC38" s="38">
        <f t="shared" si="62"/>
        <v>86810</v>
      </c>
      <c r="AD38" s="38">
        <f t="shared" si="62"/>
        <v>615720</v>
      </c>
      <c r="AF38" s="35">
        <f>SUM(AF7:AF37)</f>
        <v>49.05</v>
      </c>
      <c r="AG38" s="35">
        <f t="shared" ref="AG38:AS38" si="63">SUM(AG7:AG37)</f>
        <v>696.65000000000009</v>
      </c>
      <c r="AH38" s="35">
        <f t="shared" si="63"/>
        <v>190.55</v>
      </c>
      <c r="AI38" s="35">
        <f t="shared" si="63"/>
        <v>82.399999999999991</v>
      </c>
      <c r="AJ38" s="35">
        <f t="shared" si="63"/>
        <v>209.95000000000002</v>
      </c>
      <c r="AK38" s="35">
        <f t="shared" si="63"/>
        <v>170.29999999999998</v>
      </c>
      <c r="AL38" s="35">
        <f t="shared" si="63"/>
        <v>114.99999999999999</v>
      </c>
      <c r="AM38" s="35">
        <f t="shared" si="63"/>
        <v>196.1</v>
      </c>
      <c r="AN38" s="35">
        <f t="shared" si="63"/>
        <v>272.10000000000002</v>
      </c>
      <c r="AO38" s="35">
        <f t="shared" si="63"/>
        <v>130.94999999999999</v>
      </c>
      <c r="AP38" s="35">
        <f t="shared" si="63"/>
        <v>150</v>
      </c>
      <c r="AQ38" s="35">
        <f t="shared" si="63"/>
        <v>381.5</v>
      </c>
      <c r="AR38" s="35">
        <f t="shared" si="63"/>
        <v>434.05</v>
      </c>
      <c r="AS38" s="35">
        <f t="shared" si="63"/>
        <v>3078.6000000000004</v>
      </c>
      <c r="AU38" s="48"/>
      <c r="AV38" s="35">
        <f>SUM(AV7:AV34)</f>
        <v>26985</v>
      </c>
      <c r="AW38" s="35">
        <f>SUM(AW7:AW34)</f>
        <v>53.970000000000006</v>
      </c>
    </row>
    <row r="39" spans="1:49" x14ac:dyDescent="0.25">
      <c r="D39">
        <v>5.0000000000000001E-3</v>
      </c>
      <c r="AV39" s="36">
        <f>AV38*0.00378541*1000</f>
        <v>102149.28885</v>
      </c>
    </row>
    <row r="40" spans="1:49" x14ac:dyDescent="0.25">
      <c r="D40">
        <v>2E-3</v>
      </c>
      <c r="AV40">
        <f>AV39/31</f>
        <v>3295.1383499999997</v>
      </c>
    </row>
    <row r="41" spans="1:49" x14ac:dyDescent="0.25">
      <c r="AV41">
        <f>AV38*0.00378541</f>
        <v>102.14928884999999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2021-08-11T04:46:14Z</dcterms:modified>
</cp:coreProperties>
</file>