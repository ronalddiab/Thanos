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279" documentId="8_{5B502D95-7A37-4D5A-8B6B-374537CC2F26}" xr6:coauthVersionLast="47" xr6:coauthVersionMax="47" xr10:uidLastSave="{ACE977C0-4763-4D72-A716-C07529D22AE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7" i="2" l="1"/>
  <c r="N18" i="2"/>
  <c r="M18" i="2"/>
  <c r="L18" i="2"/>
  <c r="F18" i="2"/>
  <c r="K17" i="6"/>
  <c r="I17" i="6"/>
  <c r="G17" i="6"/>
  <c r="E17" i="6"/>
  <c r="C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6" i="6"/>
  <c r="I16" i="6"/>
  <c r="G16" i="6"/>
  <c r="E16" i="6"/>
  <c r="C16" i="6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2" i="6"/>
  <c r="K13" i="6"/>
  <c r="I12" i="6"/>
  <c r="I13" i="6"/>
  <c r="G12" i="6"/>
  <c r="G13" i="6"/>
  <c r="E12" i="6"/>
  <c r="E13" i="6"/>
  <c r="C12" i="6"/>
  <c r="C13" i="6"/>
  <c r="M48" i="4"/>
  <c r="P5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<sst xmlns="http://schemas.openxmlformats.org/spreadsheetml/2006/main" count="484" uniqueCount="187">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</sst>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2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12.94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12.94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12.94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12.94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12.94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12.94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12.94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0</v>
      </c>
      <c r="H10" s="134">
        <v>12.94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12.94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12.94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12.94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12.94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12.94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12.94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12.94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12.94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12.94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12.94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12.94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12.94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12.94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12.94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12.94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12.94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12.94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12.94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12.94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12.94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12.94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12.94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E39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V10*12.94</f>
        <v>2070.3488870000001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1656.2791096000001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2903.9676260000001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3726.6279965999997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2070.3488870000001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3726.6279965999997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1656.2791096000001</v>
      </c>
    </row>
    <row r="18" spans="1:24" ht="32.25" customHeight="1">
      <c r="A18" s="2"/>
      <c r="B18" s="6">
        <v>44782</v>
      </c>
      <c r="C18" s="7"/>
      <c r="D18" s="143"/>
      <c r="E18" s="143"/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44783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44784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44785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44786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44787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44788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44789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44790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44791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44792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44793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44794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44795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44796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44797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44798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1209</v>
      </c>
      <c r="E41" s="8">
        <f>SUM(E10:E40)</f>
        <v>2272</v>
      </c>
      <c r="F41" s="152">
        <f>SUM(F10:F40)</f>
        <v>1596.1000000000058</v>
      </c>
      <c r="G41" s="1"/>
      <c r="H41" s="206">
        <f>SUM(H10:H40)</f>
        <v>14029.719000000052</v>
      </c>
      <c r="I41" s="207"/>
      <c r="J41" s="208"/>
      <c r="K41" s="1"/>
      <c r="L41" s="53">
        <f>SUM(L10:L40)</f>
        <v>46434</v>
      </c>
      <c r="M41" s="53">
        <f>SUM(M10:M40)</f>
        <v>101481</v>
      </c>
      <c r="N41" s="54">
        <f>SUM(N10:N40)</f>
        <v>41670</v>
      </c>
      <c r="O41" s="55">
        <f>SUM(O10:O40)</f>
        <v>189585</v>
      </c>
      <c r="P41" s="31"/>
      <c r="Q41" s="34">
        <f t="shared" ref="Q40:Q41" si="8">L41*0.6985+M41*0.9514+N41*1.3304</f>
        <v>184420.94040000002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1504.3863000000001</v>
      </c>
      <c r="W41" s="31"/>
      <c r="X41" s="32">
        <f>SUM(X10:X40)</f>
        <v>19466.758721999999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46434</v>
      </c>
      <c r="J44" s="221"/>
      <c r="K44" s="222"/>
      <c r="L44" s="204">
        <f>I44*H44</f>
        <v>32434.149000000001</v>
      </c>
      <c r="M44" s="205"/>
      <c r="N44" s="177">
        <f>L44+L45+L46</f>
        <v>184420.94040000002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101481</v>
      </c>
      <c r="J45" s="221"/>
      <c r="K45" s="222"/>
      <c r="L45" s="204">
        <f>I45*H45</f>
        <v>96549.023400000005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41670</v>
      </c>
      <c r="J46" s="196"/>
      <c r="K46" s="197"/>
      <c r="L46" s="204">
        <f>I46*H46</f>
        <v>55437.768000000004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239747.22252000004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1596.1000000000058</v>
      </c>
      <c r="J48" s="216"/>
      <c r="K48" s="217"/>
      <c r="L48" s="218">
        <f>I48*H48</f>
        <v>14029.71900000005</v>
      </c>
      <c r="M48" s="219"/>
      <c r="N48" s="174">
        <f>L48</f>
        <v>14029.71900000005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12.94</v>
      </c>
      <c r="I49" s="192">
        <f>V41</f>
        <v>1504.3863000000001</v>
      </c>
      <c r="J49" s="193"/>
      <c r="K49" s="194"/>
      <c r="L49" s="192">
        <f>I49*H49</f>
        <v>19466.758722000002</v>
      </c>
      <c r="M49" s="194"/>
      <c r="N49" s="171">
        <f>L49</f>
        <v>19466.758722000002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B17" sqref="B17:K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17" si="0">B12-B11</f>
        <v>0</v>
      </c>
      <c r="D12" s="57">
        <v>159087</v>
      </c>
      <c r="E12" s="50">
        <f t="shared" ref="E12:E17" si="1">D12-D11</f>
        <v>155</v>
      </c>
      <c r="F12" s="51">
        <v>12166599</v>
      </c>
      <c r="G12" s="50">
        <f t="shared" ref="G12:G17" si="2">F12-F11</f>
        <v>6251</v>
      </c>
      <c r="H12" s="51">
        <v>20784020</v>
      </c>
      <c r="I12" s="50">
        <f t="shared" ref="I12:I17" si="3">H12-H11</f>
        <v>11848</v>
      </c>
      <c r="J12" s="51">
        <v>9097096</v>
      </c>
      <c r="K12" s="50">
        <f t="shared" ref="K12:K17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44784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44785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44786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44787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44788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44789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44790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44791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44792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44793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44794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44795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44796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44797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44798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8:E40">
    <cfRule type="cellIs" dxfId="3" priority="10" stopIfTrue="1" operator="lessThanOrEqual">
      <formula>0</formula>
    </cfRule>
  </conditionalFormatting>
  <conditionalFormatting sqref="E18:E40">
    <cfRule type="cellIs" dxfId="2" priority="9" stopIfTrue="1" operator="lessThanOrEqual">
      <formula>0</formula>
    </cfRule>
  </conditionalFormatting>
  <conditionalFormatting sqref="E9:E17">
    <cfRule type="cellIs" dxfId="1" priority="8" stopIfTrue="1" operator="lessThanOrEqual">
      <formula>0</formula>
    </cfRule>
  </conditionalFormatting>
  <conditionalFormatting sqref="E9:E17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B12" sqref="B12:H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O4*12.94</f>
        <v>2070.3488870000001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1656.2791096000001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2903.9676260000001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3726.6279965999997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2070.3488870000001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3726.6279965999997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1656.2791096000001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0</v>
      </c>
      <c r="D12" s="41">
        <v>59</v>
      </c>
      <c r="E12" s="39">
        <f t="shared" si="8"/>
        <v>0</v>
      </c>
      <c r="F12" s="41">
        <v>61</v>
      </c>
      <c r="G12" s="39">
        <f t="shared" si="9"/>
        <v>0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44784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2843.0299999999997</v>
      </c>
      <c r="O43" s="39">
        <f>N43*0.529</f>
        <v>1503.9628699999998</v>
      </c>
      <c r="P43" s="42">
        <f>O43*12.94</f>
        <v>19461.279537799997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2843.0299999999997</v>
      </c>
      <c r="L47" s="46">
        <f>O43</f>
        <v>1503.9628699999998</v>
      </c>
      <c r="M47" s="46">
        <f>P43</f>
        <v>19461.279537799997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L48*12.94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0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44599</v>
      </c>
      <c r="D8" s="327"/>
      <c r="E8" s="113">
        <v>44627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44375</v>
      </c>
      <c r="D8" s="327"/>
      <c r="E8" s="113">
        <v>44770</v>
      </c>
      <c r="F8" s="163" t="s">
        <v>132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41"/>
      <c r="H17" s="342"/>
      <c r="I17" s="341">
        <f>+E17</f>
        <v>321318</v>
      </c>
      <c r="J17" s="342"/>
    </row>
    <row r="18" spans="1:10">
      <c r="A18" s="339" t="s">
        <v>111</v>
      </c>
      <c r="B18" s="340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41"/>
      <c r="H18" s="342"/>
      <c r="I18" s="341">
        <f>+E18</f>
        <v>153681</v>
      </c>
      <c r="J18" s="342"/>
    </row>
    <row r="19" spans="1:10">
      <c r="A19" s="339" t="s">
        <v>112</v>
      </c>
      <c r="B19" s="340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41"/>
      <c r="H19" s="342"/>
      <c r="I19" s="341">
        <f>+E19</f>
        <v>126487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601486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46">
        <f>SUM(H25,F25)</f>
        <v>348500.21752800001</v>
      </c>
      <c r="J25" s="347"/>
    </row>
    <row r="26" spans="1:10" ht="15">
      <c r="A26" s="348" t="s">
        <v>124</v>
      </c>
      <c r="B26" s="349"/>
      <c r="C26" s="350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46">
        <f t="shared" ref="I26:I31" si="0">SUM(H26,F26)</f>
        <v>122374.64348999999</v>
      </c>
      <c r="J26" s="347"/>
    </row>
    <row r="27" spans="1:10" ht="15">
      <c r="A27" s="348" t="s">
        <v>125</v>
      </c>
      <c r="B27" s="349"/>
      <c r="C27" s="350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46">
        <f>SUM(H27,F27)</f>
        <v>191837.26747200001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79">
        <f t="shared" si="0"/>
        <v>30240.175247100007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654067.56801500008</v>
      </c>
      <c r="G32" s="85"/>
      <c r="H32" s="86"/>
      <c r="I32" s="375">
        <f>SUM(I25:J31)</f>
        <v>745583.04753710004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5359</v>
      </c>
      <c r="C13" s="396"/>
      <c r="D13" s="396">
        <v>8.7899999999999991</v>
      </c>
      <c r="E13" s="396"/>
      <c r="F13" s="400">
        <f>PRODUCT(D13,B13)</f>
        <v>47105.609999999993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5359</v>
      </c>
      <c r="C19" s="396"/>
      <c r="D19" s="396">
        <v>2.61</v>
      </c>
      <c r="E19" s="396"/>
      <c r="F19" s="396">
        <f>PRODUCT(D19,B19)</f>
        <v>13986.99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61115.599999999991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4278.0919999999996</v>
      </c>
      <c r="G21" s="396"/>
      <c r="H21" s="396"/>
    </row>
    <row r="22" spans="1:8" ht="15">
      <c r="A22" s="434" t="s">
        <v>151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4486.3519999999999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65601.95199999999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151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151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2022-08-09T10:06:19Z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