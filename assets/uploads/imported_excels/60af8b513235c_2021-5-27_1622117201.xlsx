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23"/>
  <workbookPr defaultThemeVersion="124226"/>
  <xr:revisionPtr revIDLastSave="770" documentId="11_DCC3B37F4955D290B1340D5BC003844749173A1E" xr6:coauthVersionLast="47" xr6:coauthVersionMax="47" xr10:uidLastSave="{471A90A5-193F-4BC8-A32A-4E8B8CEB118D}"/>
  <bookViews>
    <workbookView xWindow="-105" yWindow="-105" windowWidth="25440" windowHeight="12240" firstSheet="8" activeTab="17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Daily report Gen" sheetId="12" r:id="rId7"/>
    <sheet name="Summery Report" sheetId="11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G30" i="23" l="1"/>
  <c r="G31" i="23"/>
  <c r="F30" i="23"/>
  <c r="F31" i="23"/>
  <c r="F32" i="23"/>
  <c r="F33" i="23"/>
  <c r="E29" i="23"/>
  <c r="E30" i="23"/>
  <c r="C36" i="1"/>
  <c r="C37" i="1"/>
  <c r="C38" i="1"/>
  <c r="C39" i="1"/>
  <c r="C31" i="23"/>
  <c r="C32" i="23"/>
  <c r="C33" i="23"/>
  <c r="C34" i="23"/>
  <c r="C35" i="23"/>
  <c r="C27" i="23"/>
  <c r="C28" i="23"/>
  <c r="C29" i="23"/>
  <c r="G28" i="23"/>
  <c r="F28" i="23"/>
  <c r="D28" i="23"/>
  <c r="F23" i="23"/>
  <c r="F26" i="23"/>
  <c r="H26" i="23"/>
  <c r="F27" i="23"/>
  <c r="S22" i="12"/>
  <c r="H22" i="23"/>
  <c r="H23" i="23"/>
  <c r="AC25" i="13"/>
  <c r="H24" i="23" s="1"/>
  <c r="AC26" i="13"/>
  <c r="H25" i="23" s="1"/>
  <c r="AC27" i="13"/>
  <c r="AC28" i="13"/>
  <c r="H27" i="23" s="1"/>
  <c r="AT30" i="1"/>
  <c r="AT31" i="1"/>
  <c r="AT29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C23" i="23"/>
  <c r="C24" i="23"/>
  <c r="D24" i="23"/>
  <c r="D23" i="23"/>
  <c r="G19" i="23"/>
  <c r="J23" i="23"/>
  <c r="J32" i="23"/>
  <c r="J33" i="23"/>
  <c r="J34" i="23"/>
  <c r="J35" i="23"/>
  <c r="J20" i="23"/>
  <c r="J21" i="23"/>
  <c r="J22" i="23"/>
  <c r="I32" i="23"/>
  <c r="I33" i="23"/>
  <c r="I34" i="23"/>
  <c r="I35" i="23"/>
  <c r="I21" i="23"/>
  <c r="I22" i="23"/>
  <c r="I23" i="23"/>
  <c r="H21" i="23"/>
  <c r="E23" i="23"/>
  <c r="E24" i="23"/>
  <c r="E22" i="23"/>
  <c r="D22" i="23"/>
  <c r="C22" i="23"/>
  <c r="AH27" i="3"/>
  <c r="AH28" i="3"/>
  <c r="AJ26" i="3"/>
  <c r="AJ27" i="3"/>
  <c r="AJ28" i="3"/>
  <c r="U16" i="3"/>
  <c r="U17" i="3"/>
  <c r="U18" i="3"/>
  <c r="U19" i="3"/>
  <c r="U20" i="3"/>
  <c r="U21" i="3"/>
  <c r="U22" i="3"/>
  <c r="Y24" i="3"/>
  <c r="V23" i="3"/>
  <c r="AA23" i="3"/>
  <c r="AA24" i="3"/>
  <c r="V22" i="3"/>
  <c r="V26" i="3"/>
  <c r="V25" i="3"/>
  <c r="V27" i="3"/>
  <c r="AA17" i="3"/>
  <c r="AA18" i="3"/>
  <c r="S21" i="3"/>
  <c r="S22" i="3"/>
  <c r="X21" i="3"/>
  <c r="X22" i="3"/>
  <c r="X23" i="3"/>
  <c r="AA20" i="3"/>
  <c r="AA19" i="3"/>
  <c r="AB18" i="3"/>
  <c r="B34" i="23"/>
  <c r="H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E20" i="3" l="1"/>
  <c r="F19" i="23" s="1"/>
  <c r="E21" i="3"/>
  <c r="F20" i="23" s="1"/>
  <c r="S26" i="1"/>
  <c r="S27" i="1"/>
  <c r="S28" i="1"/>
  <c r="S29" i="1"/>
  <c r="S30" i="1"/>
  <c r="S31" i="1"/>
  <c r="D25" i="23" s="1"/>
  <c r="S32" i="1"/>
  <c r="D26" i="23" s="1"/>
  <c r="S33" i="1"/>
  <c r="D27" i="23" s="1"/>
  <c r="S34" i="1"/>
  <c r="S35" i="1"/>
  <c r="D29" i="23" s="1"/>
  <c r="S36" i="1"/>
  <c r="D30" i="23" s="1"/>
  <c r="S37" i="1"/>
  <c r="D31" i="23" s="1"/>
  <c r="S38" i="1"/>
  <c r="S39" i="1"/>
  <c r="S40" i="1"/>
  <c r="S41" i="1"/>
  <c r="S42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AJ24" i="1"/>
  <c r="AJ25" i="1"/>
  <c r="AJ26" i="1"/>
  <c r="AJ27" i="1"/>
  <c r="AJ28" i="1"/>
  <c r="AJ29" i="1"/>
  <c r="AJ30" i="1"/>
  <c r="AJ31" i="1"/>
  <c r="C25" i="23" s="1"/>
  <c r="AJ32" i="1"/>
  <c r="C26" i="23" s="1"/>
  <c r="AJ33" i="1"/>
  <c r="AJ34" i="1"/>
  <c r="AJ35" i="1"/>
  <c r="AJ36" i="1"/>
  <c r="C30" i="23" s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B5" i="23"/>
  <c r="B6" i="23"/>
  <c r="B7" i="23"/>
  <c r="B8" i="23"/>
  <c r="B9" i="23"/>
  <c r="B10" i="23"/>
  <c r="B11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K10" i="3" l="1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4" i="18" l="1"/>
  <c r="P15" i="18"/>
  <c r="P16" i="18"/>
  <c r="P17" i="18"/>
  <c r="O18" i="18"/>
  <c r="P18" i="18"/>
  <c r="O19" i="18"/>
  <c r="Q20" i="18" s="1"/>
  <c r="P19" i="18"/>
  <c r="O20" i="18"/>
  <c r="P20" i="18"/>
  <c r="O21" i="18"/>
  <c r="Q22" i="18" s="1"/>
  <c r="P21" i="18"/>
  <c r="O22" i="18"/>
  <c r="P22" i="18"/>
  <c r="O23" i="18"/>
  <c r="P23" i="18"/>
  <c r="O24" i="18"/>
  <c r="P24" i="18"/>
  <c r="O25" i="18"/>
  <c r="Q26" i="18" s="1"/>
  <c r="P25" i="18"/>
  <c r="O26" i="18"/>
  <c r="P26" i="18"/>
  <c r="O27" i="18"/>
  <c r="P27" i="18"/>
  <c r="O28" i="18"/>
  <c r="P28" i="18"/>
  <c r="O29" i="18"/>
  <c r="Q30" i="18" s="1"/>
  <c r="P29" i="18"/>
  <c r="O30" i="18"/>
  <c r="P30" i="18"/>
  <c r="O31" i="18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1" i="18"/>
  <c r="Q23" i="18"/>
  <c r="Q24" i="18"/>
  <c r="Q25" i="18"/>
  <c r="Q27" i="18"/>
  <c r="Q28" i="18"/>
  <c r="Q29" i="18"/>
  <c r="Q31" i="18"/>
  <c r="Q32" i="18"/>
  <c r="Q33" i="18"/>
  <c r="Q35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J30" i="15" s="1"/>
  <c r="H29" i="15"/>
  <c r="I29" i="15" s="1"/>
  <c r="H28" i="15"/>
  <c r="I28" i="15" s="1"/>
  <c r="J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24" i="15" l="1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J10" i="15"/>
  <c r="G42" i="15"/>
  <c r="B14" i="23" l="1"/>
  <c r="B15" i="23"/>
  <c r="B16" i="23"/>
  <c r="B17" i="23"/>
  <c r="B18" i="23"/>
  <c r="B19" i="23"/>
  <c r="B20" i="23"/>
  <c r="B21" i="23"/>
  <c r="B22" i="23"/>
  <c r="B23" i="23"/>
  <c r="B24" i="23"/>
  <c r="B25" i="23"/>
  <c r="B26" i="23"/>
  <c r="B31" i="23"/>
  <c r="B32" i="23"/>
  <c r="B33" i="23"/>
  <c r="F34" i="24"/>
  <c r="D56" i="3"/>
  <c r="T10" i="1" l="1"/>
  <c r="T11" i="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E15" i="24" s="1"/>
  <c r="AJ22" i="1"/>
  <c r="S22" i="1"/>
  <c r="AJ21" i="1"/>
  <c r="S21" i="1"/>
  <c r="AJ20" i="1"/>
  <c r="S20" i="1"/>
  <c r="AJ19" i="1"/>
  <c r="S19" i="1"/>
  <c r="AJ18" i="1"/>
  <c r="S18" i="1"/>
  <c r="S17" i="1"/>
  <c r="AJ16" i="1"/>
  <c r="S16" i="1"/>
  <c r="AJ15" i="1"/>
  <c r="S15" i="1"/>
  <c r="AJ14" i="1"/>
  <c r="S14" i="1"/>
  <c r="AJ13" i="1"/>
  <c r="S13" i="1"/>
  <c r="E5" i="24" s="1"/>
  <c r="AJ12" i="1"/>
  <c r="S12" i="1"/>
  <c r="AJ11" i="1"/>
  <c r="S11" i="1"/>
  <c r="AJ10" i="1"/>
  <c r="S10" i="1"/>
  <c r="T9" i="1"/>
  <c r="S9" i="1"/>
  <c r="AR9" i="1" s="1"/>
  <c r="S45" i="1" l="1"/>
  <c r="I30" i="24"/>
  <c r="E33" i="24"/>
  <c r="D33" i="23"/>
  <c r="I33" i="24"/>
  <c r="I32" i="24"/>
  <c r="I31" i="24"/>
  <c r="I29" i="24"/>
  <c r="I28" i="24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I21" i="24"/>
  <c r="I23" i="24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I20" i="24"/>
  <c r="I22" i="24"/>
  <c r="I24" i="24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E23" i="24"/>
  <c r="E27" i="24"/>
  <c r="E31" i="24"/>
  <c r="E20" i="24"/>
  <c r="E24" i="24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U10" i="1"/>
  <c r="AR13" i="1"/>
  <c r="AS13" i="1" s="1"/>
  <c r="AR26" i="1"/>
  <c r="D7" i="23"/>
  <c r="D20" i="23"/>
  <c r="AR25" i="1"/>
  <c r="U24" i="1"/>
  <c r="F18" i="11" s="1"/>
  <c r="U23" i="1"/>
  <c r="F17" i="11" s="1"/>
  <c r="D17" i="23"/>
  <c r="U19" i="1"/>
  <c r="F13" i="11" s="1"/>
  <c r="AJ45" i="1"/>
  <c r="AR12" i="1"/>
  <c r="U11" i="1"/>
  <c r="F5" i="11" s="1"/>
  <c r="U15" i="1"/>
  <c r="F9" i="11" s="1"/>
  <c r="AR27" i="1"/>
  <c r="AR31" i="1"/>
  <c r="AR35" i="1"/>
  <c r="AR28" i="1"/>
  <c r="AR32" i="1"/>
  <c r="AR36" i="1"/>
  <c r="AR40" i="1"/>
  <c r="AR39" i="1"/>
  <c r="U16" i="1"/>
  <c r="F10" i="11" s="1"/>
  <c r="U20" i="1"/>
  <c r="F14" i="11" s="1"/>
  <c r="U17" i="1"/>
  <c r="F11" i="11" s="1"/>
  <c r="U21" i="1"/>
  <c r="F15" i="11" s="1"/>
  <c r="T45" i="1"/>
  <c r="U14" i="1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 i="1"/>
  <c r="T47" i="1"/>
  <c r="T48" i="1" s="1"/>
  <c r="U12" i="1"/>
  <c r="F6" i="11" s="1"/>
  <c r="U13" i="1"/>
  <c r="F7" i="11" s="1"/>
  <c r="U25" i="1"/>
  <c r="F19" i="11" s="1"/>
  <c r="U26" i="1"/>
  <c r="F20" i="11" s="1"/>
  <c r="U27" i="1"/>
  <c r="F21" i="11" s="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AG10" i="3"/>
  <c r="AG11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9" i="3"/>
  <c r="AJ30" i="3"/>
  <c r="AJ31" i="3"/>
  <c r="AJ32" i="3"/>
  <c r="AJ33" i="3"/>
  <c r="AJ34" i="3"/>
  <c r="AJ35" i="3"/>
  <c r="AJ36" i="3"/>
  <c r="AJ37" i="3"/>
  <c r="AJ6" i="3"/>
  <c r="AH37" i="3"/>
  <c r="AH36" i="3"/>
  <c r="AH35" i="3"/>
  <c r="AH34" i="3"/>
  <c r="AH33" i="3"/>
  <c r="AH32" i="3"/>
  <c r="AH31" i="3"/>
  <c r="AH30" i="3"/>
  <c r="AH29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J38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K13" i="18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U22" i="13"/>
  <c r="U23" i="13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T15" i="12"/>
  <c r="V15" i="12" s="1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N15" i="12"/>
  <c r="P15" i="12" s="1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V10" i="13" s="1"/>
  <c r="Y10" i="13"/>
  <c r="Z10" i="13" s="1"/>
  <c r="AA10" i="13" s="1"/>
  <c r="AC10" i="13"/>
  <c r="H9" i="23" s="1"/>
  <c r="Q11" i="13"/>
  <c r="R11" i="13" s="1"/>
  <c r="U11" i="13"/>
  <c r="V11" i="13" s="1"/>
  <c r="Y11" i="13"/>
  <c r="Z11" i="13" s="1"/>
  <c r="AA11" i="13" s="1"/>
  <c r="AC11" i="13"/>
  <c r="H10" i="23" s="1"/>
  <c r="Q12" i="13"/>
  <c r="R12" i="13" s="1"/>
  <c r="U12" i="13"/>
  <c r="V12" i="13" s="1"/>
  <c r="Y12" i="13"/>
  <c r="Z12" i="13" s="1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U21" i="13"/>
  <c r="V21" i="13" s="1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U24" i="13"/>
  <c r="V24" i="13" s="1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Q26" i="13"/>
  <c r="R26" i="13" s="1"/>
  <c r="U26" i="13"/>
  <c r="V26" i="13" s="1"/>
  <c r="Y26" i="13"/>
  <c r="Z26" i="13" s="1"/>
  <c r="AA26" i="13" s="1"/>
  <c r="Q27" i="13"/>
  <c r="R27" i="13" s="1"/>
  <c r="U27" i="13"/>
  <c r="V27" i="13" s="1"/>
  <c r="Y27" i="13"/>
  <c r="Z27" i="13" s="1"/>
  <c r="AA27" i="13" s="1"/>
  <c r="Q28" i="13"/>
  <c r="R28" i="13" s="1"/>
  <c r="U28" i="13"/>
  <c r="V28" i="13" s="1"/>
  <c r="Y28" i="13"/>
  <c r="Z28" i="13" s="1"/>
  <c r="AA28" i="13" s="1"/>
  <c r="U25" i="3"/>
  <c r="X19" i="3"/>
  <c r="X20" i="3"/>
  <c r="X24" i="3"/>
  <c r="AA21" i="3"/>
  <c r="AA22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G22" i="23" s="1"/>
  <c r="AN22" i="3"/>
  <c r="G21" i="23" s="1"/>
  <c r="AN21" i="3"/>
  <c r="G20" i="23" s="1"/>
  <c r="AN24" i="3"/>
  <c r="G23" i="23" s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16" i="3"/>
  <c r="AA15" i="3"/>
  <c r="AA14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8" i="3"/>
  <c r="X27" i="3"/>
  <c r="X26" i="3"/>
  <c r="X25" i="3"/>
  <c r="X18" i="3"/>
  <c r="X17" i="3"/>
  <c r="X16" i="3"/>
  <c r="AN16" i="3" s="1"/>
  <c r="X15" i="3"/>
  <c r="X14" i="3"/>
  <c r="X13" i="3"/>
  <c r="X12" i="3"/>
  <c r="X11" i="3"/>
  <c r="X10" i="3"/>
  <c r="X9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E22" i="3"/>
  <c r="F21" i="23" s="1"/>
  <c r="E23" i="3"/>
  <c r="F22" i="23" s="1"/>
  <c r="E24" i="3"/>
  <c r="E25" i="3"/>
  <c r="F24" i="23" s="1"/>
  <c r="E26" i="3"/>
  <c r="F25" i="23" s="1"/>
  <c r="E27" i="3"/>
  <c r="E28" i="3"/>
  <c r="E29" i="3"/>
  <c r="E30" i="3"/>
  <c r="F29" i="23" s="1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F34" i="23" l="1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AN31" i="3"/>
  <c r="AN30" i="3"/>
  <c r="G29" i="23" s="1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D35" i="18"/>
  <c r="B35" i="18"/>
  <c r="H35" i="18" s="1"/>
  <c r="M35" i="18" s="1"/>
  <c r="T35" i="18" s="1"/>
  <c r="Y35" i="18" s="1"/>
  <c r="A35" i="18"/>
  <c r="V34" i="18"/>
  <c r="X34" i="18" s="1"/>
  <c r="D34" i="18"/>
  <c r="F34" i="18" s="1"/>
  <c r="H34" i="18"/>
  <c r="M34" i="18" s="1"/>
  <c r="V33" i="18"/>
  <c r="X33" i="18" s="1"/>
  <c r="D33" i="18"/>
  <c r="F33" i="18" s="1"/>
  <c r="V32" i="18"/>
  <c r="D32" i="18"/>
  <c r="F32" i="18" s="1"/>
  <c r="V31" i="18"/>
  <c r="D31" i="18"/>
  <c r="F31" i="18" s="1"/>
  <c r="V30" i="18"/>
  <c r="X30" i="18" s="1"/>
  <c r="J31" i="23" s="1"/>
  <c r="D30" i="18"/>
  <c r="F30" i="18" s="1"/>
  <c r="I31" i="23" s="1"/>
  <c r="V29" i="18"/>
  <c r="X29" i="18" s="1"/>
  <c r="J30" i="23" s="1"/>
  <c r="D29" i="18"/>
  <c r="F29" i="18" s="1"/>
  <c r="I30" i="23" s="1"/>
  <c r="V28" i="18"/>
  <c r="X28" i="18" s="1"/>
  <c r="J29" i="23" s="1"/>
  <c r="D28" i="18"/>
  <c r="F28" i="18" s="1"/>
  <c r="I29" i="23" s="1"/>
  <c r="V27" i="18"/>
  <c r="X27" i="18" s="1"/>
  <c r="J28" i="23" s="1"/>
  <c r="D27" i="18"/>
  <c r="F27" i="18" s="1"/>
  <c r="I28" i="23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I25" i="23" s="1"/>
  <c r="V23" i="18"/>
  <c r="D23" i="18"/>
  <c r="F23" i="18" s="1"/>
  <c r="I24" i="23" s="1"/>
  <c r="V22" i="18"/>
  <c r="D22" i="18"/>
  <c r="F22" i="18" s="1"/>
  <c r="V21" i="18"/>
  <c r="D21" i="18"/>
  <c r="F21" i="18" s="1"/>
  <c r="V20" i="18"/>
  <c r="D20" i="18"/>
  <c r="F20" i="18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Y33" i="13"/>
  <c r="Z33" i="13" s="1"/>
  <c r="AA33" i="13" s="1"/>
  <c r="U33" i="13"/>
  <c r="V33" i="13" s="1"/>
  <c r="Q33" i="13"/>
  <c r="R33" i="13" s="1"/>
  <c r="AE32" i="13"/>
  <c r="H32" i="14" s="1"/>
  <c r="AC32" i="13"/>
  <c r="Y32" i="13"/>
  <c r="Z32" i="13" s="1"/>
  <c r="AA32" i="13" s="1"/>
  <c r="U32" i="13"/>
  <c r="V32" i="13" s="1"/>
  <c r="Q32" i="13"/>
  <c r="R32" i="13" s="1"/>
  <c r="AE31" i="13"/>
  <c r="H31" i="14" s="1"/>
  <c r="AC31" i="13"/>
  <c r="H30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9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8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3" i="23" s="1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G32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S28" i="3"/>
  <c r="N24" i="25"/>
  <c r="O28" i="3"/>
  <c r="L28" i="3"/>
  <c r="L24" i="25"/>
  <c r="I28" i="3"/>
  <c r="M24" i="25"/>
  <c r="C28" i="3"/>
  <c r="AK27" i="3"/>
  <c r="AE27" i="3"/>
  <c r="Y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V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V14" i="3"/>
  <c r="N10" i="25"/>
  <c r="L10" i="25"/>
  <c r="M10" i="25"/>
  <c r="K13" i="11"/>
  <c r="C14" i="3"/>
  <c r="AK13" i="3"/>
  <c r="Y13" i="3"/>
  <c r="V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X31" i="18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X21" i="18"/>
  <c r="X20" i="18"/>
  <c r="X19" i="18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2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8" i="23" s="1"/>
  <c r="G15" i="23"/>
  <c r="AN17" i="3"/>
  <c r="AN12" i="3"/>
  <c r="G11" i="23" s="1"/>
  <c r="AN18" i="3"/>
  <c r="G17" i="23" s="1"/>
  <c r="AN11" i="3"/>
  <c r="AN15" i="3"/>
  <c r="U38" i="3"/>
  <c r="AN38" i="3" s="1"/>
  <c r="G35" i="23" s="1"/>
  <c r="W16" i="25" l="1"/>
  <c r="W15" i="25"/>
  <c r="W13" i="25"/>
  <c r="G16" i="23"/>
  <c r="W7" i="25"/>
  <c r="G10" i="23"/>
  <c r="W11" i="25"/>
  <c r="G14" i="23"/>
  <c r="W2" i="25"/>
  <c r="G8" i="23"/>
  <c r="W14" i="25"/>
  <c r="W12" i="25"/>
  <c r="W10" i="25"/>
  <c r="AN37" i="3"/>
  <c r="G34" i="23" s="1"/>
  <c r="W8" i="25"/>
  <c r="G9" i="23"/>
  <c r="W4" i="25"/>
  <c r="G6" i="23"/>
  <c r="W9" i="25"/>
  <c r="C11" i="1" l="1"/>
  <c r="AT11" i="1" l="1"/>
  <c r="C12" i="1"/>
  <c r="J5" i="11"/>
  <c r="E5" i="23"/>
  <c r="H6" i="13"/>
  <c r="H3" i="13"/>
  <c r="C13" i="1" l="1"/>
  <c r="J6" i="11"/>
  <c r="H7" i="13"/>
  <c r="E6" i="23"/>
  <c r="C14" i="1" l="1"/>
  <c r="E7" i="23"/>
  <c r="J7" i="11"/>
  <c r="H8" i="13"/>
  <c r="C15" i="1" l="1"/>
  <c r="H9" i="13"/>
  <c r="J8" i="11"/>
  <c r="E8" i="23"/>
  <c r="C16" i="1" l="1"/>
  <c r="H10" i="13"/>
  <c r="J9" i="11"/>
  <c r="E9" i="23"/>
  <c r="C17" i="1" l="1"/>
  <c r="J10" i="11"/>
  <c r="H11" i="13"/>
  <c r="E10" i="23"/>
  <c r="C18" i="1" l="1"/>
  <c r="H12" i="13"/>
  <c r="J11" i="11"/>
  <c r="E11" i="23"/>
  <c r="C19" i="1" l="1"/>
  <c r="E12" i="23"/>
  <c r="H13" i="13"/>
  <c r="J12" i="11"/>
  <c r="C20" i="1" l="1"/>
  <c r="J13" i="11"/>
  <c r="H14" i="13"/>
  <c r="E13" i="23"/>
  <c r="C21" i="1" l="1"/>
  <c r="J14" i="11"/>
  <c r="H15" i="13"/>
  <c r="E14" i="23"/>
  <c r="C22" i="1" l="1"/>
  <c r="E15" i="23"/>
  <c r="J15" i="11"/>
  <c r="H16" i="13"/>
  <c r="C23" i="1" l="1"/>
  <c r="H17" i="13"/>
  <c r="J16" i="11"/>
  <c r="E16" i="23"/>
  <c r="C24" i="1" l="1"/>
  <c r="E17" i="23"/>
  <c r="J17" i="11"/>
  <c r="H18" i="13"/>
  <c r="C25" i="1" l="1"/>
  <c r="J18" i="11"/>
  <c r="H19" i="13"/>
  <c r="E18" i="23"/>
  <c r="C26" i="1" l="1"/>
  <c r="J19" i="11"/>
  <c r="E19" i="23"/>
  <c r="H20" i="13"/>
  <c r="C27" i="1" l="1"/>
  <c r="J20" i="11"/>
  <c r="H21" i="13"/>
  <c r="E20" i="23"/>
  <c r="C28" i="1" l="1"/>
  <c r="H22" i="13"/>
  <c r="J21" i="11"/>
  <c r="E21" i="23"/>
  <c r="C29" i="1" l="1"/>
  <c r="J22" i="11"/>
  <c r="H23" i="13"/>
  <c r="C30" i="1" l="1"/>
  <c r="J23" i="11"/>
  <c r="H24" i="13"/>
  <c r="C31" i="1" l="1"/>
  <c r="J24" i="11"/>
  <c r="H25" i="13"/>
  <c r="E25" i="23" l="1"/>
  <c r="C32" i="1"/>
  <c r="AT32" i="1" s="1"/>
  <c r="J25" i="11"/>
  <c r="H26" i="13"/>
  <c r="C33" i="1" l="1"/>
  <c r="AT33" i="1" s="1"/>
  <c r="E26" i="23"/>
  <c r="H27" i="13"/>
  <c r="J26" i="11"/>
  <c r="C34" i="1" l="1"/>
  <c r="E27" i="23"/>
  <c r="J27" i="11"/>
  <c r="H28" i="13"/>
  <c r="C35" i="1" l="1"/>
  <c r="AT34" i="1"/>
  <c r="E28" i="23" s="1"/>
  <c r="H29" i="13"/>
  <c r="J28" i="11"/>
  <c r="AT35" i="1" l="1"/>
  <c r="C40" i="1"/>
  <c r="C41" i="1" s="1"/>
  <c r="C42" i="1" s="1"/>
  <c r="H30" i="13"/>
  <c r="J29" i="11"/>
  <c r="AT36" i="1" l="1"/>
  <c r="H31" i="13"/>
  <c r="J30" i="11"/>
  <c r="AT37" i="1" l="1"/>
  <c r="E31" i="23" s="1"/>
  <c r="J31" i="11"/>
  <c r="H32" i="13"/>
  <c r="AT38" i="1" l="1"/>
  <c r="E32" i="23" s="1"/>
  <c r="J32" i="11"/>
  <c r="H33" i="13"/>
  <c r="AT39" i="1" l="1"/>
  <c r="E33" i="23" s="1"/>
  <c r="J33" i="11"/>
  <c r="H34" i="13"/>
  <c r="AT40" i="1" l="1"/>
  <c r="E34" i="23" s="1"/>
  <c r="H35" i="13"/>
  <c r="J34" i="11"/>
  <c r="C43" i="1" l="1"/>
  <c r="AT41" i="1"/>
  <c r="E35" i="23" s="1"/>
  <c r="J35" i="11"/>
  <c r="H36" i="13"/>
  <c r="AT43" i="1" l="1"/>
  <c r="AT42" i="1"/>
  <c r="J3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michael.wendo</author>
  </authors>
  <commentList>
    <comment ref="K38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<sst xmlns="http://schemas.openxmlformats.org/spreadsheetml/2006/main" count="549" uniqueCount="334">
  <si>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</si>
  <si>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</si>
  <si>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</si>
  <si>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</si>
  <si>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</si>
  <si>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</si>
  <si>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</si>
  <si>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</si>
  <si>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</si>
  <si>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</si>
  <si>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</si>
  <si>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</si>
  <si>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</si>
  <si>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</si>
  <si>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</si>
  <si>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</si>
  <si>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</si>
  <si>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</si>
  <si>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</si>
  <si>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</si>
  <si>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</si>
  <si>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</si>
  <si>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</si>
  <si>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</si>
  <si>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</si>
  <si>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</si>
  <si>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</si>
  <si>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</si>
  <si>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</si>
  <si>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</si>
  <si>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</si>
  <si>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</si>
  <si>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</si>
  <si>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</si>
  <si>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</si>
  <si>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</si>
  <si>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</si>
  <si>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</si>
  <si>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</si>
  <si>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</si>
  <si>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</si>
  <si>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</si>
  <si>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</si>
  <si>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</si>
  <si>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</si>
  <si>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</si>
  <si>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</si>
  <si>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</si>
  <si>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</si>
  <si>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</si>
  <si>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</si>
  <si>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</si>
  <si>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</si>
  <si>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</si>
  <si>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</si>
  <si>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</si>
  <si>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</si>
  <si>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</si>
  <si>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</si>
  <si>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</si>
  <si>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</si>
  <si>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</si>
  <si>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</si>
  <si>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</si>
  <si>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</si>
  <si>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</si>
  <si>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</si>
  <si>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</si>
  <si>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</si>
  <si>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</si>
  <si>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</si>
  <si>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</si>
  <si>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</si>
  <si>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</si>
  <si>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</si>
  <si>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</si>
  <si>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</si>
  <si>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</si>
  <si>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</si>
  <si>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</si>
  <si>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</si>
  <si>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</si>
  <si>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</si>
  <si>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</si>
  <si>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</si>
  <si>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</si>
  <si>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</si>
  <si>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</si>
  <si>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</si>
  <si>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</si>
  <si>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</si>
  <si>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</si>
  <si>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</si>
  <si>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</si>
  <si>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</si>
  <si>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</si>
  <si>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</si>
  <si>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</si>
  <si>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</si>
  <si>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</si>
  <si>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</si>
  <si>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</si>
  <si>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</si>
  <si>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</si>
  <si>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</si>
  <si>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</si>
  <si>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</si>
  <si>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</si>
  <si>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</si>
  <si>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</si>
  <si>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</si>
  <si>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</si>
  <si>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</si>
  <si>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</si>
  <si>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</si>
  <si>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</si>
  <si>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</si>
  <si>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</si>
  <si>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</si>
  <si>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</si>
  <si>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</si>
  <si>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</si>
  <si>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</si>
  <si>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</si>
  <si>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</si>
  <si>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</si>
  <si>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</si>
  <si>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</si>
  <si>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</si>
  <si>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</si>
  <si>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</si>
  <si>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</si>
  <si>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</si>
  <si>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</si>
  <si>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</si>
  <si>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</si>
  <si>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</si>
  <si>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</si>
  <si>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</si>
  <si>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</si>
  <si>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</si>
  <si>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</si>
  <si>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</si>
  <si>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</si>
  <si>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</si>
  <si>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</si>
  <si>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</si>
  <si>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</si>
  <si>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</si>
  <si>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</si>
  <si>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</si>
  <si>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</si>
  <si>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</si>
  <si>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</si>
  <si>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</si>
  <si>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</si>
  <si>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</si>
  <si>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</si>
  <si>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</si>
  <si>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</si>
  <si>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</si>
  <si>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</si>
  <si>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</si>
  <si>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</si>
  <si>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</si>
  <si>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</si>
  <si>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</si>
  <si>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</si>
  <si>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</si>
  <si>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</si>
  <si>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</si>
  <si>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</si>
  <si>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</si>
  <si>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</si>
  <si>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</si>
  <si>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</si>
  <si>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</si>
  <si>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</si>
  <si>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</si>
  <si>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</si>
  <si>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</si>
  <si>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</si>
  <si>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</si>
  <si>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</si>
  <si>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</si>
  <si>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</si>
  <si>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</si>
  <si>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</si>
  <si>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</si>
  <si>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</si>
  <si>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</si>
  <si>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</si>
  <si>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</si>
  <si>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</si>
  <si>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</si>
  <si>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</si>
  <si>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</si>
  <si>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</si>
  <si>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</si>
  <si>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</si>
  <si>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</si>
  <si>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</si>
  <si>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</si>
  <si>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</si>
  <si>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</si>
  <si>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</si>
  <si>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</si>
  <si>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</si>
  <si>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</si>
  <si>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</si>
  <si>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</si>
  <si>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</si>
  <si>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</si>
  <si>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</si>
  <si>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Emmanuel</t>
  </si>
  <si>
    <t>T882DKQ</t>
  </si>
  <si>
    <t>Goodluck</t>
  </si>
  <si>
    <t>19/5/2021</t>
  </si>
  <si>
    <t>TT111CWQ</t>
  </si>
  <si>
    <t>GEORGE</t>
  </si>
  <si>
    <t>21/5/2021</t>
  </si>
  <si>
    <t>T840DDW</t>
  </si>
  <si>
    <t>JEREMIAH</t>
  </si>
  <si>
    <t>T106CWQ</t>
  </si>
  <si>
    <t>NUSURA</t>
  </si>
  <si>
    <t>25/05/2021</t>
  </si>
  <si>
    <t>T880DQR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</si>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</sst>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6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3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166" fontId="25" fillId="24" borderId="1" xfId="4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2697</c:v>
                </c:pt>
                <c:pt idx="1">
                  <c:v>2639</c:v>
                </c:pt>
                <c:pt idx="2">
                  <c:v>2826</c:v>
                </c:pt>
                <c:pt idx="3">
                  <c:v>2780</c:v>
                </c:pt>
                <c:pt idx="4">
                  <c:v>2900</c:v>
                </c:pt>
                <c:pt idx="5">
                  <c:v>2734</c:v>
                </c:pt>
                <c:pt idx="6">
                  <c:v>2996</c:v>
                </c:pt>
                <c:pt idx="7">
                  <c:v>2627</c:v>
                </c:pt>
                <c:pt idx="8">
                  <c:v>2619</c:v>
                </c:pt>
                <c:pt idx="9">
                  <c:v>2525</c:v>
                </c:pt>
                <c:pt idx="10">
                  <c:v>2428</c:v>
                </c:pt>
                <c:pt idx="11">
                  <c:v>2512</c:v>
                </c:pt>
                <c:pt idx="12">
                  <c:v>2744</c:v>
                </c:pt>
                <c:pt idx="13">
                  <c:v>2461</c:v>
                </c:pt>
                <c:pt idx="14">
                  <c:v>2626</c:v>
                </c:pt>
                <c:pt idx="15">
                  <c:v>3052</c:v>
                </c:pt>
                <c:pt idx="16">
                  <c:v>2929</c:v>
                </c:pt>
                <c:pt idx="17">
                  <c:v>2825</c:v>
                </c:pt>
                <c:pt idx="18">
                  <c:v>2766</c:v>
                </c:pt>
                <c:pt idx="19">
                  <c:v>2747</c:v>
                </c:pt>
                <c:pt idx="20">
                  <c:v>2714</c:v>
                </c:pt>
                <c:pt idx="21">
                  <c:v>2815</c:v>
                </c:pt>
                <c:pt idx="22">
                  <c:v>2616</c:v>
                </c:pt>
                <c:pt idx="23">
                  <c:v>2941</c:v>
                </c:pt>
                <c:pt idx="24">
                  <c:v>2802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353856"/>
        <c:axId val="13735974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61280"/>
        <c:axId val="137362816"/>
      </c:lineChart>
      <c:catAx>
        <c:axId val="13735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59744"/>
        <c:crosses val="autoZero"/>
        <c:auto val="1"/>
        <c:lblAlgn val="ctr"/>
        <c:lblOffset val="100"/>
        <c:noMultiLvlLbl val="0"/>
      </c:catAx>
      <c:valAx>
        <c:axId val="1373597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53856"/>
        <c:crosses val="autoZero"/>
        <c:crossBetween val="between"/>
        <c:majorUnit val="200"/>
      </c:valAx>
      <c:catAx>
        <c:axId val="137361280"/>
        <c:scaling>
          <c:orientation val="minMax"/>
        </c:scaling>
        <c:delete val="1"/>
        <c:axPos val="b"/>
        <c:majorTickMark val="out"/>
        <c:minorTickMark val="none"/>
        <c:tickLblPos val="none"/>
        <c:crossAx val="137362816"/>
        <c:crosses val="autoZero"/>
        <c:auto val="1"/>
        <c:lblAlgn val="ctr"/>
        <c:lblOffset val="100"/>
        <c:noMultiLvlLbl val="0"/>
      </c:catAx>
      <c:valAx>
        <c:axId val="137362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61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631040"/>
        <c:axId val="13663257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34368"/>
        <c:axId val="136635904"/>
      </c:lineChart>
      <c:catAx>
        <c:axId val="13663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32576"/>
        <c:crosses val="autoZero"/>
        <c:auto val="1"/>
        <c:lblAlgn val="ctr"/>
        <c:lblOffset val="100"/>
        <c:noMultiLvlLbl val="0"/>
      </c:catAx>
      <c:valAx>
        <c:axId val="13663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31040"/>
        <c:crosses val="autoZero"/>
        <c:crossBetween val="between"/>
        <c:majorUnit val="200"/>
      </c:valAx>
      <c:catAx>
        <c:axId val="136634368"/>
        <c:scaling>
          <c:orientation val="minMax"/>
        </c:scaling>
        <c:delete val="1"/>
        <c:axPos val="b"/>
        <c:majorTickMark val="out"/>
        <c:minorTickMark val="none"/>
        <c:tickLblPos val="none"/>
        <c:crossAx val="136635904"/>
        <c:crosses val="autoZero"/>
        <c:auto val="1"/>
        <c:lblAlgn val="ctr"/>
        <c:lblOffset val="100"/>
        <c:noMultiLvlLbl val="0"/>
      </c:catAx>
      <c:valAx>
        <c:axId val="136635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34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2941</c:v>
                </c:pt>
                <c:pt idx="27">
                  <c:v>2802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72416"/>
        <c:axId val="164973952"/>
      </c:lineChart>
      <c:catAx>
        <c:axId val="16497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73952"/>
        <c:crosses val="autoZero"/>
        <c:auto val="1"/>
        <c:lblAlgn val="ctr"/>
        <c:lblOffset val="200"/>
        <c:tickLblSkip val="1"/>
        <c:noMultiLvlLbl val="0"/>
      </c:catAx>
      <c:valAx>
        <c:axId val="1649739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98528"/>
        <c:axId val="165434496"/>
      </c:lineChart>
      <c:catAx>
        <c:axId val="16499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34496"/>
        <c:crosses val="autoZero"/>
        <c:auto val="1"/>
        <c:lblAlgn val="ctr"/>
        <c:lblOffset val="100"/>
        <c:noMultiLvlLbl val="0"/>
      </c:catAx>
      <c:valAx>
        <c:axId val="1654344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9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0.43087314662273479</c:v>
                </c:pt>
                <c:pt idx="12">
                  <c:v>0.400421974522293</c:v>
                </c:pt>
                <c:pt idx="13">
                  <c:v>0.41580903790087465</c:v>
                </c:pt>
                <c:pt idx="14">
                  <c:v>0.42675335229581474</c:v>
                </c:pt>
                <c:pt idx="15">
                  <c:v>0.42278370144706778</c:v>
                </c:pt>
                <c:pt idx="16">
                  <c:v>0.40053735255570122</c:v>
                </c:pt>
                <c:pt idx="17">
                  <c:v>0.41726186411744626</c:v>
                </c:pt>
                <c:pt idx="18">
                  <c:v>0.41349380530973445</c:v>
                </c:pt>
                <c:pt idx="19">
                  <c:v>0.4097903109182936</c:v>
                </c:pt>
                <c:pt idx="20">
                  <c:v>0.40506006552602841</c:v>
                </c:pt>
                <c:pt idx="21">
                  <c:v>0.41389830508474573</c:v>
                </c:pt>
                <c:pt idx="22">
                  <c:v>0.41595381882770871</c:v>
                </c:pt>
                <c:pt idx="23">
                  <c:v>0.41536697247706417</c:v>
                </c:pt>
                <c:pt idx="24">
                  <c:v>0.40613056783407009</c:v>
                </c:pt>
                <c:pt idx="25">
                  <c:v>0.41911134903640251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75456"/>
        <c:axId val="165477376"/>
      </c:lineChart>
      <c:catAx>
        <c:axId val="16547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7376"/>
        <c:crosses val="autoZero"/>
        <c:auto val="1"/>
        <c:lblAlgn val="ctr"/>
        <c:lblOffset val="100"/>
        <c:noMultiLvlLbl val="0"/>
      </c:catAx>
      <c:valAx>
        <c:axId val="1654773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5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51</c:v>
                </c:pt>
                <c:pt idx="12">
                  <c:v>54</c:v>
                </c:pt>
                <c:pt idx="13">
                  <c:v>42</c:v>
                </c:pt>
                <c:pt idx="14">
                  <c:v>46</c:v>
                </c:pt>
                <c:pt idx="15">
                  <c:v>45</c:v>
                </c:pt>
                <c:pt idx="16">
                  <c:v>57</c:v>
                </c:pt>
                <c:pt idx="17">
                  <c:v>47</c:v>
                </c:pt>
                <c:pt idx="18">
                  <c:v>45</c:v>
                </c:pt>
                <c:pt idx="19">
                  <c:v>49</c:v>
                </c:pt>
                <c:pt idx="20">
                  <c:v>45</c:v>
                </c:pt>
                <c:pt idx="21">
                  <c:v>63</c:v>
                </c:pt>
                <c:pt idx="22">
                  <c:v>47</c:v>
                </c:pt>
                <c:pt idx="23">
                  <c:v>46</c:v>
                </c:pt>
                <c:pt idx="24">
                  <c:v>51</c:v>
                </c:pt>
                <c:pt idx="25">
                  <c:v>56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86816"/>
        <c:axId val="138401280"/>
      </c:lineChart>
      <c:catAx>
        <c:axId val="13838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1280"/>
        <c:crosses val="autoZero"/>
        <c:auto val="1"/>
        <c:lblAlgn val="ctr"/>
        <c:lblOffset val="100"/>
        <c:noMultiLvlLbl val="0"/>
      </c:catAx>
      <c:valAx>
        <c:axId val="1384012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86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51.787999999953904</c:v>
                </c:pt>
                <c:pt idx="13">
                  <c:v>75.020000000012814</c:v>
                </c:pt>
                <c:pt idx="14">
                  <c:v>62.524000000028181</c:v>
                </c:pt>
                <c:pt idx="15">
                  <c:v>72.159999999974389</c:v>
                </c:pt>
                <c:pt idx="16">
                  <c:v>64.636000000010256</c:v>
                </c:pt>
                <c:pt idx="17">
                  <c:v>80.211999999982083</c:v>
                </c:pt>
                <c:pt idx="18">
                  <c:v>79.904000000015373</c:v>
                </c:pt>
                <c:pt idx="19">
                  <c:v>72.995999999984633</c:v>
                </c:pt>
                <c:pt idx="20">
                  <c:v>59.620000000012809</c:v>
                </c:pt>
                <c:pt idx="21">
                  <c:v>43.340000000025611</c:v>
                </c:pt>
                <c:pt idx="22">
                  <c:v>68.683999999938536</c:v>
                </c:pt>
                <c:pt idx="23">
                  <c:v>-171.64399999997696</c:v>
                </c:pt>
                <c:pt idx="24">
                  <c:v>289.25600000002305</c:v>
                </c:pt>
                <c:pt idx="25">
                  <c:v>122.23199999999488</c:v>
                </c:pt>
                <c:pt idx="26">
                  <c:v>-337131.03600000002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08704"/>
        <c:axId val="166010240"/>
      </c:lineChart>
      <c:catAx>
        <c:axId val="16600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10240"/>
        <c:crosses val="autoZero"/>
        <c:auto val="1"/>
        <c:lblAlgn val="ctr"/>
        <c:lblOffset val="100"/>
        <c:noMultiLvlLbl val="0"/>
      </c:catAx>
      <c:valAx>
        <c:axId val="1660102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60416"/>
        <c:axId val="166061952"/>
      </c:lineChart>
      <c:catAx>
        <c:axId val="16606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1952"/>
        <c:crosses val="autoZero"/>
        <c:auto val="1"/>
        <c:lblAlgn val="ctr"/>
        <c:lblOffset val="100"/>
        <c:noMultiLvlLbl val="0"/>
      </c:catAx>
      <c:valAx>
        <c:axId val="16606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2941</c:v>
                </c:pt>
                <c:pt idx="27">
                  <c:v>2802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87552"/>
        <c:axId val="166489088"/>
      </c:lineChart>
      <c:catAx>
        <c:axId val="16648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89088"/>
        <c:crosses val="autoZero"/>
        <c:auto val="1"/>
        <c:lblAlgn val="ctr"/>
        <c:lblOffset val="100"/>
        <c:noMultiLvlLbl val="0"/>
      </c:catAx>
      <c:valAx>
        <c:axId val="166489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8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4"/>
          <c:y val="7.4713247051123519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13664"/>
        <c:axId val="167052032"/>
      </c:lineChart>
      <c:catAx>
        <c:axId val="16651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2032"/>
        <c:crosses val="autoZero"/>
        <c:auto val="1"/>
        <c:lblAlgn val="ctr"/>
        <c:lblOffset val="200"/>
        <c:tickLblSkip val="1"/>
        <c:noMultiLvlLbl val="0"/>
      </c:catAx>
      <c:valAx>
        <c:axId val="16705203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1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93376"/>
        <c:axId val="167094912"/>
      </c:lineChart>
      <c:catAx>
        <c:axId val="16709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4912"/>
        <c:crosses val="autoZero"/>
        <c:auto val="1"/>
        <c:lblAlgn val="ctr"/>
        <c:lblOffset val="100"/>
        <c:noMultiLvlLbl val="0"/>
      </c:catAx>
      <c:valAx>
        <c:axId val="167094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15392"/>
        <c:axId val="96383744"/>
      </c:lineChart>
      <c:catAx>
        <c:axId val="16711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3744"/>
        <c:crosses val="autoZero"/>
        <c:auto val="1"/>
        <c:lblAlgn val="ctr"/>
        <c:lblOffset val="100"/>
        <c:noMultiLvlLbl val="0"/>
      </c:catAx>
      <c:valAx>
        <c:axId val="9638374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153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9888"/>
        <c:axId val="96631808"/>
      </c:lineChart>
      <c:catAx>
        <c:axId val="9662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31808"/>
        <c:crosses val="autoZero"/>
        <c:auto val="1"/>
        <c:lblAlgn val="ctr"/>
        <c:lblOffset val="100"/>
        <c:noMultiLvlLbl val="0"/>
      </c:catAx>
      <c:valAx>
        <c:axId val="9663180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29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60864"/>
        <c:axId val="96662656"/>
      </c:lineChart>
      <c:catAx>
        <c:axId val="9666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62656"/>
        <c:crosses val="autoZero"/>
        <c:auto val="1"/>
        <c:lblAlgn val="ctr"/>
        <c:lblOffset val="100"/>
        <c:noMultiLvlLbl val="0"/>
      </c:catAx>
      <c:valAx>
        <c:axId val="9666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425920"/>
        <c:axId val="167427456"/>
      </c:lineChart>
      <c:catAx>
        <c:axId val="16742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7456"/>
        <c:crosses val="autoZero"/>
        <c:auto val="1"/>
        <c:lblAlgn val="ctr"/>
        <c:lblOffset val="100"/>
        <c:noMultiLvlLbl val="0"/>
      </c:catAx>
      <c:valAx>
        <c:axId val="16742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43104"/>
        <c:axId val="96953088"/>
      </c:lineChart>
      <c:catAx>
        <c:axId val="969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53088"/>
        <c:crosses val="autoZero"/>
        <c:auto val="1"/>
        <c:lblAlgn val="ctr"/>
        <c:lblOffset val="100"/>
        <c:noMultiLvlLbl val="0"/>
      </c:catAx>
      <c:valAx>
        <c:axId val="9695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733"/>
          <c:y val="7.4713247051123963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31072"/>
        <c:axId val="97332608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50784"/>
        <c:axId val="97352320"/>
      </c:lineChart>
      <c:catAx>
        <c:axId val="9733107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2608"/>
        <c:crosses val="autoZero"/>
        <c:auto val="0"/>
        <c:lblAlgn val="ctr"/>
        <c:lblOffset val="100"/>
        <c:tickMarkSkip val="1"/>
        <c:noMultiLvlLbl val="0"/>
      </c:catAx>
      <c:valAx>
        <c:axId val="973326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1072"/>
        <c:crosses val="autoZero"/>
        <c:crossBetween val="between"/>
      </c:valAx>
      <c:catAx>
        <c:axId val="97350784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97352320"/>
        <c:crosses val="autoZero"/>
        <c:auto val="0"/>
        <c:lblAlgn val="ctr"/>
        <c:lblOffset val="100"/>
        <c:noMultiLvlLbl val="0"/>
      </c:catAx>
      <c:valAx>
        <c:axId val="973523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0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85088"/>
        <c:axId val="136995200"/>
      </c:lineChart>
      <c:catAx>
        <c:axId val="973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95200"/>
        <c:crosses val="autoZero"/>
        <c:auto val="1"/>
        <c:lblAlgn val="ctr"/>
        <c:lblOffset val="100"/>
        <c:noMultiLvlLbl val="0"/>
      </c:catAx>
      <c:valAx>
        <c:axId val="13699520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8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19776"/>
        <c:axId val="137021312"/>
      </c:lineChart>
      <c:catAx>
        <c:axId val="13701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21312"/>
        <c:crosses val="autoZero"/>
        <c:auto val="1"/>
        <c:lblAlgn val="ctr"/>
        <c:lblOffset val="100"/>
        <c:noMultiLvlLbl val="0"/>
      </c:catAx>
      <c:valAx>
        <c:axId val="137021312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1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62144"/>
        <c:axId val="99063680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65216"/>
        <c:axId val="99087488"/>
      </c:lineChart>
      <c:catAx>
        <c:axId val="9906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3680"/>
        <c:crosses val="autoZero"/>
        <c:auto val="0"/>
        <c:lblAlgn val="ctr"/>
        <c:lblOffset val="100"/>
        <c:tickMarkSkip val="1"/>
        <c:noMultiLvlLbl val="0"/>
      </c:catAx>
      <c:valAx>
        <c:axId val="9906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2144"/>
        <c:crosses val="autoZero"/>
        <c:crossBetween val="between"/>
      </c:valAx>
      <c:catAx>
        <c:axId val="99065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9087488"/>
        <c:crosses val="autoZero"/>
        <c:auto val="0"/>
        <c:lblAlgn val="ctr"/>
        <c:lblOffset val="100"/>
        <c:noMultiLvlLbl val="0"/>
      </c:catAx>
      <c:valAx>
        <c:axId val="99087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5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13472"/>
        <c:axId val="99515008"/>
      </c:lineChart>
      <c:catAx>
        <c:axId val="9951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5008"/>
        <c:crosses val="autoZero"/>
        <c:auto val="1"/>
        <c:lblAlgn val="ctr"/>
        <c:lblOffset val="100"/>
        <c:noMultiLvlLbl val="0"/>
      </c:catAx>
      <c:valAx>
        <c:axId val="9951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47776"/>
        <c:axId val="99946880"/>
      </c:lineChart>
      <c:catAx>
        <c:axId val="995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6880"/>
        <c:crosses val="autoZero"/>
        <c:auto val="1"/>
        <c:lblAlgn val="ctr"/>
        <c:lblOffset val="100"/>
        <c:noMultiLvlLbl val="0"/>
      </c:catAx>
      <c:valAx>
        <c:axId val="9994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4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81888"/>
        <c:axId val="100183424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93408"/>
        <c:axId val="100194944"/>
      </c:lineChart>
      <c:catAx>
        <c:axId val="100181888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83424"/>
        <c:crosses val="autoZero"/>
        <c:auto val="0"/>
        <c:lblAlgn val="ctr"/>
        <c:lblOffset val="100"/>
        <c:tickMarkSkip val="1"/>
        <c:noMultiLvlLbl val="0"/>
      </c:catAx>
      <c:valAx>
        <c:axId val="1001834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81888"/>
        <c:crosses val="autoZero"/>
        <c:crossBetween val="between"/>
      </c:valAx>
      <c:catAx>
        <c:axId val="1001934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00194944"/>
        <c:crosses val="autoZero"/>
        <c:auto val="0"/>
        <c:lblAlgn val="ctr"/>
        <c:lblOffset val="100"/>
        <c:noMultiLvlLbl val="0"/>
      </c:catAx>
      <c:valAx>
        <c:axId val="1001949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93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14112"/>
        <c:axId val="99915648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17184"/>
        <c:axId val="99927168"/>
      </c:lineChart>
      <c:catAx>
        <c:axId val="9991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15648"/>
        <c:crosses val="autoZero"/>
        <c:auto val="0"/>
        <c:lblAlgn val="ctr"/>
        <c:lblOffset val="100"/>
        <c:tickMarkSkip val="1"/>
        <c:noMultiLvlLbl val="0"/>
      </c:catAx>
      <c:valAx>
        <c:axId val="999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14112"/>
        <c:crosses val="autoZero"/>
        <c:crossBetween val="between"/>
      </c:valAx>
      <c:catAx>
        <c:axId val="9991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9927168"/>
        <c:crosses val="autoZero"/>
        <c:auto val="0"/>
        <c:lblAlgn val="ctr"/>
        <c:lblOffset val="100"/>
        <c:noMultiLvlLbl val="0"/>
      </c:catAx>
      <c:valAx>
        <c:axId val="99927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17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57984"/>
        <c:axId val="101663872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65408"/>
        <c:axId val="101671296"/>
      </c:lineChart>
      <c:catAx>
        <c:axId val="10165798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3872"/>
        <c:crosses val="autoZero"/>
        <c:auto val="0"/>
        <c:lblAlgn val="ctr"/>
        <c:lblOffset val="100"/>
        <c:tickMarkSkip val="1"/>
        <c:noMultiLvlLbl val="0"/>
      </c:catAx>
      <c:valAx>
        <c:axId val="1016638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57984"/>
        <c:crosses val="autoZero"/>
        <c:crossBetween val="between"/>
      </c:valAx>
      <c:catAx>
        <c:axId val="1016654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01671296"/>
        <c:crosses val="autoZero"/>
        <c:auto val="0"/>
        <c:lblAlgn val="ctr"/>
        <c:lblOffset val="100"/>
        <c:noMultiLvlLbl val="0"/>
      </c:catAx>
      <c:valAx>
        <c:axId val="10167129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5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05600"/>
        <c:axId val="101707136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08928"/>
        <c:axId val="101710464"/>
      </c:lineChart>
      <c:catAx>
        <c:axId val="1017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7136"/>
        <c:crosses val="autoZero"/>
        <c:auto val="0"/>
        <c:lblAlgn val="ctr"/>
        <c:lblOffset val="100"/>
        <c:tickMarkSkip val="1"/>
        <c:noMultiLvlLbl val="0"/>
      </c:catAx>
      <c:valAx>
        <c:axId val="10170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5600"/>
        <c:crosses val="autoZero"/>
        <c:crossBetween val="between"/>
      </c:valAx>
      <c:catAx>
        <c:axId val="101708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1710464"/>
        <c:crosses val="autoZero"/>
        <c:auto val="0"/>
        <c:lblAlgn val="ctr"/>
        <c:lblOffset val="100"/>
        <c:noMultiLvlLbl val="0"/>
      </c:catAx>
      <c:valAx>
        <c:axId val="1017104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8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0.43087314662273479</c:v>
                </c:pt>
                <c:pt idx="12">
                  <c:v>0.400421974522293</c:v>
                </c:pt>
                <c:pt idx="13">
                  <c:v>0.41580903790087465</c:v>
                </c:pt>
                <c:pt idx="14">
                  <c:v>0.42675335229581474</c:v>
                </c:pt>
                <c:pt idx="15">
                  <c:v>0.42278370144706778</c:v>
                </c:pt>
                <c:pt idx="16">
                  <c:v>0.40053735255570122</c:v>
                </c:pt>
                <c:pt idx="17">
                  <c:v>0.41726186411744626</c:v>
                </c:pt>
                <c:pt idx="18">
                  <c:v>0.41349380530973445</c:v>
                </c:pt>
                <c:pt idx="19">
                  <c:v>0.4097903109182936</c:v>
                </c:pt>
                <c:pt idx="20">
                  <c:v>0.40506006552602841</c:v>
                </c:pt>
                <c:pt idx="21">
                  <c:v>0.41389830508474573</c:v>
                </c:pt>
                <c:pt idx="22">
                  <c:v>0.41595381882770871</c:v>
                </c:pt>
                <c:pt idx="23">
                  <c:v>0.41536697247706417</c:v>
                </c:pt>
                <c:pt idx="24">
                  <c:v>0.40613056783407009</c:v>
                </c:pt>
                <c:pt idx="25">
                  <c:v>0.41911134903640251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76512"/>
        <c:axId val="102990976"/>
      </c:lineChart>
      <c:catAx>
        <c:axId val="10297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90976"/>
        <c:crosses val="autoZero"/>
        <c:auto val="1"/>
        <c:lblAlgn val="ctr"/>
        <c:lblOffset val="100"/>
        <c:noMultiLvlLbl val="0"/>
      </c:catAx>
      <c:valAx>
        <c:axId val="1029909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6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51</c:v>
                </c:pt>
                <c:pt idx="12">
                  <c:v>54</c:v>
                </c:pt>
                <c:pt idx="13">
                  <c:v>42</c:v>
                </c:pt>
                <c:pt idx="14">
                  <c:v>46</c:v>
                </c:pt>
                <c:pt idx="15">
                  <c:v>45</c:v>
                </c:pt>
                <c:pt idx="16">
                  <c:v>57</c:v>
                </c:pt>
                <c:pt idx="17">
                  <c:v>47</c:v>
                </c:pt>
                <c:pt idx="18">
                  <c:v>45</c:v>
                </c:pt>
                <c:pt idx="19">
                  <c:v>49</c:v>
                </c:pt>
                <c:pt idx="20">
                  <c:v>45</c:v>
                </c:pt>
                <c:pt idx="21">
                  <c:v>63</c:v>
                </c:pt>
                <c:pt idx="22">
                  <c:v>47</c:v>
                </c:pt>
                <c:pt idx="23">
                  <c:v>46</c:v>
                </c:pt>
                <c:pt idx="24">
                  <c:v>51</c:v>
                </c:pt>
                <c:pt idx="25">
                  <c:v>56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70880"/>
        <c:axId val="102972800"/>
      </c:lineChart>
      <c:catAx>
        <c:axId val="10297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2800"/>
        <c:crosses val="autoZero"/>
        <c:auto val="1"/>
        <c:lblAlgn val="ctr"/>
        <c:lblOffset val="100"/>
        <c:noMultiLvlLbl val="0"/>
      </c:catAx>
      <c:valAx>
        <c:axId val="1029728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08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2941</c:v>
                </c:pt>
                <c:pt idx="27">
                  <c:v>2802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64256"/>
        <c:axId val="103265792"/>
      </c:lineChart>
      <c:catAx>
        <c:axId val="1032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65792"/>
        <c:crosses val="autoZero"/>
        <c:auto val="1"/>
        <c:lblAlgn val="ctr"/>
        <c:lblOffset val="200"/>
        <c:tickLblSkip val="1"/>
        <c:noMultiLvlLbl val="0"/>
      </c:catAx>
      <c:valAx>
        <c:axId val="1032657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88384"/>
        <c:axId val="103889920"/>
      </c:lineChart>
      <c:catAx>
        <c:axId val="10388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9920"/>
        <c:crosses val="autoZero"/>
        <c:auto val="1"/>
        <c:lblAlgn val="ctr"/>
        <c:lblOffset val="100"/>
        <c:noMultiLvlLbl val="0"/>
      </c:catAx>
      <c:valAx>
        <c:axId val="103889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39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51.787999999953904</c:v>
                </c:pt>
                <c:pt idx="13">
                  <c:v>75.020000000012814</c:v>
                </c:pt>
                <c:pt idx="14">
                  <c:v>62.524000000028181</c:v>
                </c:pt>
                <c:pt idx="15">
                  <c:v>72.159999999974389</c:v>
                </c:pt>
                <c:pt idx="16">
                  <c:v>64.636000000010256</c:v>
                </c:pt>
                <c:pt idx="17">
                  <c:v>80.211999999982083</c:v>
                </c:pt>
                <c:pt idx="18">
                  <c:v>79.904000000015373</c:v>
                </c:pt>
                <c:pt idx="19">
                  <c:v>72.995999999984633</c:v>
                </c:pt>
                <c:pt idx="20">
                  <c:v>59.620000000012809</c:v>
                </c:pt>
                <c:pt idx="21">
                  <c:v>43.340000000025611</c:v>
                </c:pt>
                <c:pt idx="22">
                  <c:v>68.683999999938536</c:v>
                </c:pt>
                <c:pt idx="23">
                  <c:v>-171.64399999997696</c:v>
                </c:pt>
                <c:pt idx="24">
                  <c:v>289.25600000002305</c:v>
                </c:pt>
                <c:pt idx="25">
                  <c:v>122.23199999999488</c:v>
                </c:pt>
                <c:pt idx="26">
                  <c:v>-337131.03600000002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2688"/>
        <c:axId val="103932672"/>
      </c:lineChart>
      <c:catAx>
        <c:axId val="10392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32672"/>
        <c:crosses val="autoZero"/>
        <c:auto val="1"/>
        <c:lblAlgn val="ctr"/>
        <c:lblOffset val="100"/>
        <c:noMultiLvlLbl val="0"/>
      </c:catAx>
      <c:valAx>
        <c:axId val="1039326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0.43087314662273479</c:v>
                </c:pt>
                <c:pt idx="12">
                  <c:v>0.400421974522293</c:v>
                </c:pt>
                <c:pt idx="13">
                  <c:v>0.41580903790087465</c:v>
                </c:pt>
                <c:pt idx="14">
                  <c:v>0.42675335229581474</c:v>
                </c:pt>
                <c:pt idx="15">
                  <c:v>0.42278370144706778</c:v>
                </c:pt>
                <c:pt idx="16">
                  <c:v>0.40053735255570122</c:v>
                </c:pt>
                <c:pt idx="17">
                  <c:v>0.41726186411744626</c:v>
                </c:pt>
                <c:pt idx="18">
                  <c:v>0.41349380530973445</c:v>
                </c:pt>
                <c:pt idx="19">
                  <c:v>0.4097903109182936</c:v>
                </c:pt>
                <c:pt idx="20">
                  <c:v>0.40506006552602841</c:v>
                </c:pt>
                <c:pt idx="21">
                  <c:v>0.41389830508474573</c:v>
                </c:pt>
                <c:pt idx="22">
                  <c:v>0.41595381882770871</c:v>
                </c:pt>
                <c:pt idx="23">
                  <c:v>0.41536697247706417</c:v>
                </c:pt>
                <c:pt idx="24">
                  <c:v>0.40613056783407009</c:v>
                </c:pt>
                <c:pt idx="25">
                  <c:v>0.41911134903640251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10208"/>
        <c:axId val="104512128"/>
      </c:lineChart>
      <c:catAx>
        <c:axId val="10451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12128"/>
        <c:crosses val="autoZero"/>
        <c:auto val="1"/>
        <c:lblAlgn val="ctr"/>
        <c:lblOffset val="100"/>
        <c:noMultiLvlLbl val="0"/>
      </c:catAx>
      <c:valAx>
        <c:axId val="10451212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102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51</c:v>
                </c:pt>
                <c:pt idx="12">
                  <c:v>54</c:v>
                </c:pt>
                <c:pt idx="13">
                  <c:v>42</c:v>
                </c:pt>
                <c:pt idx="14">
                  <c:v>46</c:v>
                </c:pt>
                <c:pt idx="15">
                  <c:v>45</c:v>
                </c:pt>
                <c:pt idx="16">
                  <c:v>57</c:v>
                </c:pt>
                <c:pt idx="17">
                  <c:v>47</c:v>
                </c:pt>
                <c:pt idx="18">
                  <c:v>45</c:v>
                </c:pt>
                <c:pt idx="19">
                  <c:v>49</c:v>
                </c:pt>
                <c:pt idx="20">
                  <c:v>45</c:v>
                </c:pt>
                <c:pt idx="21">
                  <c:v>63</c:v>
                </c:pt>
                <c:pt idx="22">
                  <c:v>47</c:v>
                </c:pt>
                <c:pt idx="23">
                  <c:v>46</c:v>
                </c:pt>
                <c:pt idx="24">
                  <c:v>51</c:v>
                </c:pt>
                <c:pt idx="25">
                  <c:v>56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91648"/>
        <c:axId val="164930688"/>
      </c:lineChart>
      <c:catAx>
        <c:axId val="16489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30688"/>
        <c:crosses val="autoZero"/>
        <c:auto val="1"/>
        <c:lblAlgn val="ctr"/>
        <c:lblOffset val="100"/>
        <c:noMultiLvlLbl val="0"/>
      </c:catAx>
      <c:valAx>
        <c:axId val="1649306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1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2941</c:v>
                </c:pt>
                <c:pt idx="27">
                  <c:v>2802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36544"/>
        <c:axId val="168238080"/>
      </c:lineChart>
      <c:catAx>
        <c:axId val="16823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38080"/>
        <c:crosses val="autoZero"/>
        <c:auto val="1"/>
        <c:lblAlgn val="ctr"/>
        <c:lblOffset val="200"/>
        <c:tickLblSkip val="1"/>
        <c:noMultiLvlLbl val="0"/>
      </c:catAx>
      <c:valAx>
        <c:axId val="168238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62656"/>
        <c:axId val="168272640"/>
      </c:lineChart>
      <c:catAx>
        <c:axId val="16826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72640"/>
        <c:crosses val="autoZero"/>
        <c:auto val="1"/>
        <c:lblAlgn val="ctr"/>
        <c:lblOffset val="100"/>
        <c:noMultiLvlLbl val="0"/>
      </c:catAx>
      <c:valAx>
        <c:axId val="1682726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6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39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51.787999999953904</c:v>
                </c:pt>
                <c:pt idx="13">
                  <c:v>75.020000000012814</c:v>
                </c:pt>
                <c:pt idx="14">
                  <c:v>62.524000000028181</c:v>
                </c:pt>
                <c:pt idx="15">
                  <c:v>72.159999999974389</c:v>
                </c:pt>
                <c:pt idx="16">
                  <c:v>64.636000000010256</c:v>
                </c:pt>
                <c:pt idx="17">
                  <c:v>80.211999999982083</c:v>
                </c:pt>
                <c:pt idx="18">
                  <c:v>79.904000000015373</c:v>
                </c:pt>
                <c:pt idx="19">
                  <c:v>72.995999999984633</c:v>
                </c:pt>
                <c:pt idx="20">
                  <c:v>59.620000000012809</c:v>
                </c:pt>
                <c:pt idx="21">
                  <c:v>43.340000000025611</c:v>
                </c:pt>
                <c:pt idx="22">
                  <c:v>68.683999999938536</c:v>
                </c:pt>
                <c:pt idx="23">
                  <c:v>-171.64399999997696</c:v>
                </c:pt>
                <c:pt idx="24">
                  <c:v>289.25600000002305</c:v>
                </c:pt>
                <c:pt idx="25">
                  <c:v>122.23199999999488</c:v>
                </c:pt>
                <c:pt idx="26">
                  <c:v>-337131.03600000002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99328"/>
        <c:axId val="168900864"/>
      </c:lineChart>
      <c:catAx>
        <c:axId val="16889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0864"/>
        <c:crosses val="autoZero"/>
        <c:auto val="1"/>
        <c:lblAlgn val="ctr"/>
        <c:lblOffset val="100"/>
        <c:noMultiLvlLbl val="0"/>
      </c:catAx>
      <c:valAx>
        <c:axId val="1689008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50016"/>
        <c:axId val="169361792"/>
      </c:lineChart>
      <c:catAx>
        <c:axId val="16895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61792"/>
        <c:crosses val="autoZero"/>
        <c:auto val="1"/>
        <c:lblAlgn val="ctr"/>
        <c:lblOffset val="100"/>
        <c:noMultiLvlLbl val="0"/>
      </c:catAx>
      <c:valAx>
        <c:axId val="169361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50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94944"/>
        <c:axId val="169396864"/>
      </c:lineChart>
      <c:catAx>
        <c:axId val="16939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96864"/>
        <c:crosses val="autoZero"/>
        <c:auto val="1"/>
        <c:lblAlgn val="ctr"/>
        <c:lblOffset val="100"/>
        <c:noMultiLvlLbl val="0"/>
      </c:catAx>
      <c:valAx>
        <c:axId val="16939686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94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83968"/>
        <c:axId val="169710336"/>
      </c:lineChart>
      <c:catAx>
        <c:axId val="16968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0336"/>
        <c:crosses val="autoZero"/>
        <c:auto val="1"/>
        <c:lblAlgn val="ctr"/>
        <c:lblOffset val="200"/>
        <c:tickLblSkip val="1"/>
        <c:noMultiLvlLbl val="0"/>
      </c:catAx>
      <c:valAx>
        <c:axId val="16971033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34912"/>
        <c:axId val="169736448"/>
      </c:lineChart>
      <c:catAx>
        <c:axId val="16973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36448"/>
        <c:crosses val="autoZero"/>
        <c:auto val="1"/>
        <c:lblAlgn val="ctr"/>
        <c:lblOffset val="100"/>
        <c:noMultiLvlLbl val="0"/>
      </c:catAx>
      <c:valAx>
        <c:axId val="16973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3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0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53536"/>
        <c:axId val="169984000"/>
      </c:lineChart>
      <c:catAx>
        <c:axId val="16995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84000"/>
        <c:crosses val="autoZero"/>
        <c:auto val="1"/>
        <c:lblAlgn val="ctr"/>
        <c:lblOffset val="100"/>
        <c:noMultiLvlLbl val="0"/>
      </c:catAx>
      <c:valAx>
        <c:axId val="16998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83008"/>
        <c:axId val="170284928"/>
      </c:lineChart>
      <c:catAx>
        <c:axId val="17028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84928"/>
        <c:crosses val="autoZero"/>
        <c:auto val="1"/>
        <c:lblAlgn val="ctr"/>
        <c:lblOffset val="100"/>
        <c:noMultiLvlLbl val="0"/>
      </c:catAx>
      <c:valAx>
        <c:axId val="17028492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83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69632"/>
        <c:axId val="170484096"/>
      </c:lineChart>
      <c:catAx>
        <c:axId val="17046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84096"/>
        <c:crosses val="autoZero"/>
        <c:auto val="1"/>
        <c:lblAlgn val="ctr"/>
        <c:lblOffset val="100"/>
        <c:noMultiLvlLbl val="0"/>
      </c:catAx>
      <c:valAx>
        <c:axId val="1704840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69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09056"/>
        <c:axId val="170510592"/>
      </c:lineChart>
      <c:catAx>
        <c:axId val="1705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10592"/>
        <c:crosses val="autoZero"/>
        <c:auto val="1"/>
        <c:lblAlgn val="ctr"/>
        <c:lblOffset val="200"/>
        <c:tickLblSkip val="1"/>
        <c:noMultiLvlLbl val="0"/>
      </c:catAx>
      <c:valAx>
        <c:axId val="170510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05504"/>
        <c:axId val="170811392"/>
      </c:lineChart>
      <c:catAx>
        <c:axId val="17080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11392"/>
        <c:crosses val="autoZero"/>
        <c:auto val="1"/>
        <c:lblAlgn val="ctr"/>
        <c:lblOffset val="100"/>
        <c:noMultiLvlLbl val="0"/>
      </c:catAx>
      <c:valAx>
        <c:axId val="17081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0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0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44160"/>
        <c:axId val="170845696"/>
      </c:lineChart>
      <c:catAx>
        <c:axId val="17084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45696"/>
        <c:crosses val="autoZero"/>
        <c:auto val="1"/>
        <c:lblAlgn val="ctr"/>
        <c:lblOffset val="100"/>
        <c:noMultiLvlLbl val="0"/>
      </c:catAx>
      <c:valAx>
        <c:axId val="17084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4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5</v>
      </c>
      <c r="D2" s="398">
        <v>2021</v>
      </c>
      <c r="E2" s="399">
        <f>'UTILITY REPORT 1'!F3</f>
        <v>2650</v>
      </c>
      <c r="F2" s="400">
        <f>('UTILITY REPORT 1'!E3*'UTILITY REPORT 1'!D3)/'UTILITY REPORT 1'!F3</f>
        <v>0.4119358490566038</v>
      </c>
      <c r="G2" s="400">
        <f>IF('Utility summery'!M6&lt;0,"0",'Utility summery'!M6)</f>
        <v>0</v>
      </c>
      <c r="H2" s="404">
        <v>0</v>
      </c>
      <c r="I2" s="400">
        <f>IF('UTILITY REPORT 1'!G3&lt;0,"0",'UTILITY REPORT 1'!G3)</f>
        <v>41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5</v>
      </c>
      <c r="D3" s="398">
        <v>2021</v>
      </c>
      <c r="E3" s="399">
        <f>'UTILITY REPORT 1'!F4</f>
        <v>2697</v>
      </c>
      <c r="F3" s="400">
        <f>('UTILITY REPORT 1'!E4*'UTILITY REPORT 1'!D4)/'UTILITY REPORT 1'!F4</f>
        <v>0.41311086392287732</v>
      </c>
      <c r="G3" s="400">
        <f>IF('Utility summery'!M7&lt;0,"0",'Utility summery'!M7)</f>
        <v>49.631999999994882</v>
      </c>
      <c r="H3" s="404">
        <v>0</v>
      </c>
      <c r="I3" s="400">
        <f>IF('UTILITY REPORT 1'!G4&lt;0,"0",'UTILITY REPORT 1'!G4)</f>
        <v>50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5</v>
      </c>
      <c r="D4" s="398">
        <v>2021</v>
      </c>
      <c r="E4" s="399">
        <f>'UTILITY REPORT 1'!F5</f>
        <v>2639</v>
      </c>
      <c r="F4" s="400">
        <f>('UTILITY REPORT 1'!E5*'UTILITY REPORT 1'!D5)/'UTILITY REPORT 1'!F5</f>
        <v>0.41249336870026521</v>
      </c>
      <c r="G4" s="400">
        <f>IF('Utility summery'!M8&lt;0,"0",'Utility summery'!M8)</f>
        <v>42.768000000005124</v>
      </c>
      <c r="H4" s="404">
        <v>0</v>
      </c>
      <c r="I4" s="400">
        <f>IF('UTILITY REPORT 1'!G5&lt;0,"0",'UTILITY REPORT 1'!G5)</f>
        <v>50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5</v>
      </c>
      <c r="D5" s="398">
        <v>2021</v>
      </c>
      <c r="E5" s="399">
        <f>'UTILITY REPORT 1'!F6</f>
        <v>2826</v>
      </c>
      <c r="F5" s="400">
        <f>('UTILITY REPORT 1'!E6*'UTILITY REPORT 1'!D6)/'UTILITY REPORT 1'!F6</f>
        <v>0.41276362349610757</v>
      </c>
      <c r="G5" s="400">
        <f>IF('Utility summery'!M9&lt;0,"0",'Utility summery'!M9)</f>
        <v>55.22000000001281</v>
      </c>
      <c r="H5" s="404">
        <v>0</v>
      </c>
      <c r="I5" s="400">
        <f>IF('UTILITY REPORT 1'!G6&lt;0,"0",'UTILITY REPORT 1'!G6)</f>
        <v>50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5</v>
      </c>
      <c r="D6" s="398">
        <v>2021</v>
      </c>
      <c r="E6" s="399">
        <f>'UTILITY REPORT 1'!F7</f>
        <v>2780</v>
      </c>
      <c r="F6" s="400">
        <f>('UTILITY REPORT 1'!E7*'UTILITY REPORT 1'!D7)/'UTILITY REPORT 1'!F7</f>
        <v>0.40473021582733815</v>
      </c>
      <c r="G6" s="400">
        <f>IF('Utility summery'!M10&lt;0,"0",'Utility summery'!M10)</f>
        <v>65.295999999984645</v>
      </c>
      <c r="H6" s="404">
        <v>0</v>
      </c>
      <c r="I6" s="400">
        <f>IF('UTILITY REPORT 1'!G7&lt;0,"0",'UTILITY REPORT 1'!G7)</f>
        <v>67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5</v>
      </c>
      <c r="D7" s="398">
        <v>2021</v>
      </c>
      <c r="E7" s="399">
        <f>'UTILITY REPORT 1'!F8</f>
        <v>2900</v>
      </c>
      <c r="F7" s="400">
        <f>('UTILITY REPORT 1'!E8*'UTILITY REPORT 1'!D8)/'UTILITY REPORT 1'!F8</f>
        <v>0.40669310344827592</v>
      </c>
      <c r="G7" s="400">
        <f>IF('Utility summery'!M11&lt;0,"0",'Utility summery'!M11)</f>
        <v>64.988000000017934</v>
      </c>
      <c r="H7" s="404">
        <v>0</v>
      </c>
      <c r="I7" s="400">
        <f>IF('UTILITY REPORT 1'!G8&lt;0,"0",'UTILITY REPORT 1'!G8)</f>
        <v>70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5</v>
      </c>
      <c r="D8" s="398">
        <v>2021</v>
      </c>
      <c r="E8" s="399">
        <f>'UTILITY REPORT 1'!F9</f>
        <v>2734</v>
      </c>
      <c r="F8" s="400">
        <f>('UTILITY REPORT 1'!E9*'UTILITY REPORT 1'!D9)/'UTILITY REPORT 1'!F9</f>
        <v>0.41198244330651057</v>
      </c>
      <c r="G8" s="400">
        <f>IF('Utility summery'!M12&lt;0,"0",'Utility summery'!M12)</f>
        <v>62.391999999969272</v>
      </c>
      <c r="H8" s="404">
        <v>0</v>
      </c>
      <c r="I8" s="400">
        <f>IF('UTILITY REPORT 1'!G9&lt;0,"0",'UTILITY REPORT 1'!G9)</f>
        <v>50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5</v>
      </c>
      <c r="D9" s="398">
        <v>2021</v>
      </c>
      <c r="E9" s="399">
        <f>'UTILITY REPORT 1'!F10</f>
        <v>2996</v>
      </c>
      <c r="F9" s="400">
        <f>('UTILITY REPORT 1'!E10*'UTILITY REPORT 1'!D10)/'UTILITY REPORT 1'!F10</f>
        <v>0.41156542056074763</v>
      </c>
      <c r="G9" s="400">
        <f>IF('Utility summery'!M13&lt;0,"0",'Utility summery'!M13)</f>
        <v>68.904000000015373</v>
      </c>
      <c r="H9" s="404">
        <v>0</v>
      </c>
      <c r="I9" s="400">
        <f>IF('UTILITY REPORT 1'!G10&lt;0,"0",'UTILITY REPORT 1'!G10)</f>
        <v>51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5</v>
      </c>
      <c r="D10" s="398">
        <v>2021</v>
      </c>
      <c r="E10" s="399">
        <f>'UTILITY REPORT 1'!F11</f>
        <v>2627</v>
      </c>
      <c r="F10" s="400">
        <f>('UTILITY REPORT 1'!E11*'UTILITY REPORT 1'!D11)/'UTILITY REPORT 1'!F11</f>
        <v>0.40277502854967639</v>
      </c>
      <c r="G10" s="400">
        <f>IF('Utility summery'!M14&lt;0,"0",'Utility summery'!M14)</f>
        <v>66</v>
      </c>
      <c r="H10" s="404">
        <v>0</v>
      </c>
      <c r="I10" s="400">
        <f>IF('UTILITY REPORT 1'!G11&lt;0,"0",'UTILITY REPORT 1'!G11)</f>
        <v>76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5</v>
      </c>
      <c r="D11" s="398">
        <v>2021</v>
      </c>
      <c r="E11" s="399">
        <f>'UTILITY REPORT 1'!F12</f>
        <v>2619</v>
      </c>
      <c r="F11" s="400">
        <f>('UTILITY REPORT 1'!E12*'UTILITY REPORT 1'!D12)/'UTILITY REPORT 1'!F12</f>
        <v>0.41490645284459721</v>
      </c>
      <c r="G11" s="400">
        <f>IF('Utility summery'!M15&lt;0,"0",'Utility summery'!M15)</f>
        <v>79.068000000005128</v>
      </c>
      <c r="H11" s="404">
        <v>0</v>
      </c>
      <c r="I11" s="400">
        <f>IF('UTILITY REPORT 1'!G12&lt;0,"0",'UTILITY REPORT 1'!G12)</f>
        <v>20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5</v>
      </c>
      <c r="D12" s="398">
        <v>2021</v>
      </c>
      <c r="E12" s="399">
        <f>'UTILITY REPORT 1'!F13</f>
        <v>2525</v>
      </c>
      <c r="F12" s="400">
        <f>('UTILITY REPORT 1'!E13*'UTILITY REPORT 1'!D13)/'UTILITY REPORT 1'!F13</f>
        <v>0.41942574257425741</v>
      </c>
      <c r="G12" s="400">
        <f>IF('Utility summery'!M16&lt;0,"0",'Utility summery'!M16)</f>
        <v>71.279999999987197</v>
      </c>
      <c r="H12" s="404">
        <v>0</v>
      </c>
      <c r="I12" s="400">
        <f>IF('UTILITY REPORT 1'!G13&lt;0,"0",'UTILITY REPORT 1'!G13)</f>
        <v>54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5</v>
      </c>
      <c r="D13" s="398">
        <v>2021</v>
      </c>
      <c r="E13" s="399">
        <f>'UTILITY REPORT 1'!F14</f>
        <v>2428</v>
      </c>
      <c r="F13" s="400">
        <f>('UTILITY REPORT 1'!E14*'UTILITY REPORT 1'!D14)/'UTILITY REPORT 1'!F14</f>
        <v>0.43087314662273479</v>
      </c>
      <c r="G13" s="400">
        <f>IF('Utility summery'!M17&lt;0,"0",'Utility summery'!M17)</f>
        <v>52.360000000038418</v>
      </c>
      <c r="H13" s="404">
        <v>0</v>
      </c>
      <c r="I13" s="400">
        <f>IF('UTILITY REPORT 1'!G14&lt;0,"0",'UTILITY REPORT 1'!G14)</f>
        <v>51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5</v>
      </c>
      <c r="D14" s="398">
        <v>2021</v>
      </c>
      <c r="E14" s="399">
        <f>'UTILITY REPORT 1'!F15</f>
        <v>2512</v>
      </c>
      <c r="F14" s="400">
        <f>('UTILITY REPORT 1'!E15*'UTILITY REPORT 1'!D15)/'UTILITY REPORT 1'!F15</f>
        <v>0.400421974522293</v>
      </c>
      <c r="G14" s="400">
        <f>IF('Utility summery'!M18&lt;0,"0",'Utility summery'!M18)</f>
        <v>51.787999999953904</v>
      </c>
      <c r="H14" s="404">
        <v>0</v>
      </c>
      <c r="I14" s="400">
        <f>IF('UTILITY REPORT 1'!G15&lt;0,"0",'UTILITY REPORT 1'!G15)</f>
        <v>54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5</v>
      </c>
      <c r="D15" s="398">
        <v>2021</v>
      </c>
      <c r="E15" s="399">
        <f>'UTILITY REPORT 1'!F16</f>
        <v>2744</v>
      </c>
      <c r="F15" s="400">
        <f>('UTILITY REPORT 1'!E16*'UTILITY REPORT 1'!D16)/'UTILITY REPORT 1'!F16</f>
        <v>0.41580903790087465</v>
      </c>
      <c r="G15" s="400">
        <f>IF('Utility summery'!M19&lt;0,"0",'Utility summery'!M19)</f>
        <v>75.020000000012814</v>
      </c>
      <c r="H15" s="404">
        <v>0</v>
      </c>
      <c r="I15" s="400">
        <f>IF('UTILITY REPORT 1'!G16&lt;0,"0",'UTILITY REPORT 1'!G16)</f>
        <v>42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5</v>
      </c>
      <c r="D16" s="398">
        <v>2021</v>
      </c>
      <c r="E16" s="399">
        <f>'UTILITY REPORT 1'!F17</f>
        <v>2461</v>
      </c>
      <c r="F16" s="400">
        <f>('UTILITY REPORT 1'!E17*'UTILITY REPORT 1'!D17)/'UTILITY REPORT 1'!F17</f>
        <v>0.42675335229581474</v>
      </c>
      <c r="G16" s="400">
        <f>IF('Utility summery'!M20&lt;0,"0",'Utility summery'!M20)</f>
        <v>62.524000000028181</v>
      </c>
      <c r="H16" s="404">
        <v>0</v>
      </c>
      <c r="I16" s="400">
        <f>IF('UTILITY REPORT 1'!G17&lt;0,"0",'UTILITY REPORT 1'!G17)</f>
        <v>46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5</v>
      </c>
      <c r="D17" s="398">
        <v>2021</v>
      </c>
      <c r="E17" s="399">
        <f>'UTILITY REPORT 1'!F18</f>
        <v>2626</v>
      </c>
      <c r="F17" s="400">
        <f>('UTILITY REPORT 1'!E18*'UTILITY REPORT 1'!D18)/'UTILITY REPORT 1'!F18</f>
        <v>0.42278370144706778</v>
      </c>
      <c r="G17" s="400">
        <f>IF('Utility summery'!M21&lt;0,"0",'Utility summery'!M21)</f>
        <v>72.159999999974389</v>
      </c>
      <c r="H17" s="404">
        <v>0</v>
      </c>
      <c r="I17" s="400">
        <f>IF('UTILITY REPORT 1'!G18&lt;0,"0",'UTILITY REPORT 1'!G18)</f>
        <v>45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5</v>
      </c>
      <c r="D18" s="398">
        <v>2021</v>
      </c>
      <c r="E18" s="399">
        <f>'UTILITY REPORT 1'!F19</f>
        <v>3052</v>
      </c>
      <c r="F18" s="400">
        <f>('UTILITY REPORT 1'!E19*'UTILITY REPORT 1'!D19)/'UTILITY REPORT 1'!F19</f>
        <v>0.40053735255570122</v>
      </c>
      <c r="G18" s="400">
        <f>IF('Utility summery'!M22&lt;0,"0",'Utility summery'!M22)</f>
        <v>64.636000000010256</v>
      </c>
      <c r="H18" s="404">
        <v>0</v>
      </c>
      <c r="I18" s="400">
        <f>IF('UTILITY REPORT 1'!G19&lt;0,"0",'UTILITY REPORT 1'!G19)</f>
        <v>57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5</v>
      </c>
      <c r="D19" s="398">
        <v>2021</v>
      </c>
      <c r="E19" s="399">
        <f>'UTILITY REPORT 1'!F20</f>
        <v>2929</v>
      </c>
      <c r="F19" s="400">
        <f>('UTILITY REPORT 1'!E20*'UTILITY REPORT 1'!D20)/'UTILITY REPORT 1'!F20</f>
        <v>0.41726186411744626</v>
      </c>
      <c r="G19" s="400">
        <f>IF('Utility summery'!M23&lt;0,"0",'Utility summery'!M23)</f>
        <v>80.211999999982083</v>
      </c>
      <c r="H19" s="404">
        <v>0</v>
      </c>
      <c r="I19" s="400">
        <f>IF('UTILITY REPORT 1'!G20&lt;0,"0",'UTILITY REPORT 1'!G20)</f>
        <v>47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5</v>
      </c>
      <c r="D20" s="398">
        <v>2021</v>
      </c>
      <c r="E20" s="399">
        <f>'UTILITY REPORT 1'!F21</f>
        <v>2825</v>
      </c>
      <c r="F20" s="400">
        <f>('UTILITY REPORT 1'!E21*'UTILITY REPORT 1'!D21)/'UTILITY REPORT 1'!F21</f>
        <v>0.41349380530973445</v>
      </c>
      <c r="G20" s="400">
        <f>IF('Utility summery'!M24&lt;0,"0",'Utility summery'!M24)</f>
        <v>79.904000000015373</v>
      </c>
      <c r="H20" s="404">
        <v>0</v>
      </c>
      <c r="I20" s="400">
        <f>IF('UTILITY REPORT 1'!G21&lt;0,"0",'UTILITY REPORT 1'!G21)</f>
        <v>45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5</v>
      </c>
      <c r="D21" s="398">
        <v>2021</v>
      </c>
      <c r="E21" s="399">
        <f>'UTILITY REPORT 1'!F22</f>
        <v>2766</v>
      </c>
      <c r="F21" s="400">
        <f>('UTILITY REPORT 1'!E22*'UTILITY REPORT 1'!D22)/'UTILITY REPORT 1'!F22</f>
        <v>0.4097903109182936</v>
      </c>
      <c r="G21" s="400">
        <f>IF('Utility summery'!M25&lt;0,"0",'Utility summery'!M25)</f>
        <v>72.995999999984633</v>
      </c>
      <c r="H21" s="404">
        <v>0</v>
      </c>
      <c r="I21" s="400">
        <f>IF('UTILITY REPORT 1'!G22&lt;0,"0",'UTILITY REPORT 1'!G22)</f>
        <v>49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5</v>
      </c>
      <c r="D22" s="398">
        <v>2021</v>
      </c>
      <c r="E22" s="399">
        <f>'UTILITY REPORT 1'!F23</f>
        <v>2747</v>
      </c>
      <c r="F22" s="400">
        <f>('UTILITY REPORT 1'!E23*'UTILITY REPORT 1'!D23)/'UTILITY REPORT 1'!F23</f>
        <v>0.40506006552602841</v>
      </c>
      <c r="G22" s="400">
        <f>IF('Utility summery'!M26&lt;0,"0",'Utility summery'!M26)</f>
        <v>59.620000000012809</v>
      </c>
      <c r="H22" s="404">
        <v>0</v>
      </c>
      <c r="I22" s="400">
        <f>IF('UTILITY REPORT 1'!G23&lt;0,"0",'UTILITY REPORT 1'!G23)</f>
        <v>45</v>
      </c>
      <c r="J22" s="404">
        <v>0</v>
      </c>
      <c r="K22" s="399">
        <f>'UTILITY REPORT 1'!C23</f>
        <v>0</v>
      </c>
      <c r="L22" s="401" t="e">
        <f>E22*F22+G22*H22+#REF!*#REF!+I22*J22</f>
        <v>#REF!</v>
      </c>
    </row>
    <row r="23" spans="1:12">
      <c r="A23" s="396" t="s">
        <v>12</v>
      </c>
      <c r="B23" s="397">
        <f t="shared" si="0"/>
        <v>22</v>
      </c>
      <c r="C23" s="397">
        <v>5</v>
      </c>
      <c r="D23" s="398">
        <v>2021</v>
      </c>
      <c r="E23" s="399">
        <f>'UTILITY REPORT 1'!F24</f>
        <v>2714</v>
      </c>
      <c r="F23" s="400">
        <f>('UTILITY REPORT 1'!E24*'UTILITY REPORT 1'!D24)/'UTILITY REPORT 1'!F24</f>
        <v>0.41389830508474573</v>
      </c>
      <c r="G23" s="400">
        <f>IF('Utility summery'!M27&lt;0,"0",'Utility summery'!M27)</f>
        <v>43.340000000025611</v>
      </c>
      <c r="H23" s="404">
        <v>0</v>
      </c>
      <c r="I23" s="400">
        <f>IF('UTILITY REPORT 1'!G24&lt;0,"0",'UTILITY REPORT 1'!G24)</f>
        <v>63</v>
      </c>
      <c r="J23" s="404">
        <v>0</v>
      </c>
      <c r="K23" s="399">
        <f>'UTILITY REPORT 1'!C24</f>
        <v>0</v>
      </c>
      <c r="L23" s="401" t="e">
        <f>E23*F23+G23*H23+#REF!*#REF!+I23*J23</f>
        <v>#REF!</v>
      </c>
    </row>
    <row r="24" spans="1:12">
      <c r="A24" s="396" t="s">
        <v>12</v>
      </c>
      <c r="B24" s="397">
        <f t="shared" si="0"/>
        <v>23</v>
      </c>
      <c r="C24" s="397">
        <v>5</v>
      </c>
      <c r="D24" s="398">
        <v>2021</v>
      </c>
      <c r="E24" s="399">
        <f>'UTILITY REPORT 1'!F25</f>
        <v>2815</v>
      </c>
      <c r="F24" s="400">
        <f>('UTILITY REPORT 1'!E25*'UTILITY REPORT 1'!D25)/'UTILITY REPORT 1'!F25</f>
        <v>0.41595381882770871</v>
      </c>
      <c r="G24" s="400">
        <f>IF('Utility summery'!M28&lt;0,"0",'Utility summery'!M28)</f>
        <v>68.683999999938536</v>
      </c>
      <c r="H24" s="404">
        <v>0</v>
      </c>
      <c r="I24" s="400">
        <f>IF('UTILITY REPORT 1'!G25&lt;0,"0",'UTILITY REPORT 1'!G25)</f>
        <v>47</v>
      </c>
      <c r="J24" s="404">
        <v>0</v>
      </c>
      <c r="K24" s="399">
        <f>'UTILITY REPORT 1'!C25</f>
        <v>0</v>
      </c>
      <c r="L24" s="401" t="e">
        <f>E24*F24+G24*H24+#REF!*#REF!+I24*J24</f>
        <v>#REF!</v>
      </c>
    </row>
    <row r="25" spans="1:12">
      <c r="A25" s="396" t="s">
        <v>12</v>
      </c>
      <c r="B25" s="397">
        <f t="shared" si="0"/>
        <v>24</v>
      </c>
      <c r="C25" s="397">
        <v>5</v>
      </c>
      <c r="D25" s="398">
        <v>2021</v>
      </c>
      <c r="E25" s="399">
        <f>'UTILITY REPORT 1'!F26</f>
        <v>2616</v>
      </c>
      <c r="F25" s="400">
        <f>('UTILITY REPORT 1'!E26*'UTILITY REPORT 1'!D26)/'UTILITY REPORT 1'!F26</f>
        <v>0.41536697247706417</v>
      </c>
      <c r="G25" s="400" t="str">
        <f>IF('Utility summery'!M29&lt;0,"0",'Utility summery'!M29)</f>
        <v>0</v>
      </c>
      <c r="H25" s="404">
        <v>0</v>
      </c>
      <c r="I25" s="400">
        <f>IF('UTILITY REPORT 1'!G26&lt;0,"0",'UTILITY REPORT 1'!G26)</f>
        <v>46</v>
      </c>
      <c r="J25" s="404">
        <v>0</v>
      </c>
      <c r="K25" s="399">
        <f>'UTILITY REPORT 1'!C26</f>
        <v>0</v>
      </c>
      <c r="L25" s="401" t="e">
        <f>E25*F25+G25*H25+#REF!*#REF!+I25*J25</f>
        <v>#REF!</v>
      </c>
    </row>
    <row r="26" spans="1:12">
      <c r="A26" s="396" t="s">
        <v>12</v>
      </c>
      <c r="B26" s="397">
        <f>B25+1</f>
        <v>25</v>
      </c>
      <c r="C26" s="397">
        <v>5</v>
      </c>
      <c r="D26" s="398">
        <v>2021</v>
      </c>
      <c r="E26" s="399">
        <f>'UTILITY REPORT 1'!F27</f>
        <v>2941</v>
      </c>
      <c r="F26" s="400">
        <f>('UTILITY REPORT 1'!E27*'UTILITY REPORT 1'!D27)/'UTILITY REPORT 1'!F27</f>
        <v>0.40613056783407009</v>
      </c>
      <c r="G26" s="400">
        <f>IF('Utility summery'!M30&lt;0,"0",'Utility summery'!M30)</f>
        <v>289.25600000002305</v>
      </c>
      <c r="H26" s="404">
        <v>0</v>
      </c>
      <c r="I26" s="400">
        <f>IF('UTILITY REPORT 1'!G27&lt;0,"0",'UTILITY REPORT 1'!G27)</f>
        <v>51</v>
      </c>
      <c r="J26" s="404">
        <v>0</v>
      </c>
      <c r="K26" s="399">
        <f>'UTILITY REPORT 1'!C27</f>
        <v>0</v>
      </c>
      <c r="L26" s="401" t="e">
        <f>E26*F26+G26*H26+#REF!*#REF!+I26*J26</f>
        <v>#REF!</v>
      </c>
    </row>
    <row r="27" spans="1:12">
      <c r="A27" s="396" t="s">
        <v>12</v>
      </c>
      <c r="B27" s="397">
        <f t="shared" si="0"/>
        <v>26</v>
      </c>
      <c r="C27" s="397">
        <v>5</v>
      </c>
      <c r="D27" s="398">
        <v>2021</v>
      </c>
      <c r="E27" s="399">
        <f>'UTILITY REPORT 1'!F28</f>
        <v>2802</v>
      </c>
      <c r="F27" s="400">
        <f>('UTILITY REPORT 1'!E28*'UTILITY REPORT 1'!D28)/'UTILITY REPORT 1'!F28</f>
        <v>0.41911134903640251</v>
      </c>
      <c r="G27" s="400">
        <f>IF('Utility summery'!M31&lt;0,"0",'Utility summery'!M31)</f>
        <v>122.23199999999488</v>
      </c>
      <c r="H27" s="404">
        <v>0</v>
      </c>
      <c r="I27" s="400">
        <f>IF('UTILITY REPORT 1'!G28&lt;0,"0",'UTILITY REPORT 1'!G28)</f>
        <v>56</v>
      </c>
      <c r="J27" s="404">
        <v>0</v>
      </c>
      <c r="K27" s="399">
        <f>'UTILITY REPORT 1'!C28</f>
        <v>0</v>
      </c>
      <c r="L27" s="401" t="e">
        <f>E27*F27+G27*H27+#REF!*#REF!+I27*J27</f>
        <v>#REF!</v>
      </c>
    </row>
    <row r="28" spans="1:12">
      <c r="A28" s="396" t="s">
        <v>12</v>
      </c>
      <c r="B28" s="397">
        <f t="shared" si="0"/>
        <v>27</v>
      </c>
      <c r="C28" s="397">
        <v>5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 t="str">
        <f>IF('Utility summery'!M32&lt;0,"0",'Utility summery'!M32)</f>
        <v>0</v>
      </c>
      <c r="H28" s="404">
        <v>0</v>
      </c>
      <c r="I28" s="400" t="str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5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5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5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5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5</v>
      </c>
      <c r="D2" s="439">
        <v>2021</v>
      </c>
      <c r="E2" s="440">
        <f>'UTILITY REPORT 1'!I3</f>
        <v>88.75</v>
      </c>
      <c r="F2" s="440">
        <f>'UTILITY REPORT 1'!E3</f>
        <v>1091.6300000000001</v>
      </c>
      <c r="G2" s="441">
        <f>'UTILITY REPORT 1'!F3</f>
        <v>2650</v>
      </c>
      <c r="H2" s="440">
        <f>IF('Kit report'!F4&lt;0,"0",'Kit report'!F4)</f>
        <v>263.99999999986903</v>
      </c>
      <c r="I2" s="440">
        <f>IF('Kit report'!X4&lt;0,"0",'Kit report'!X4)</f>
        <v>140.00000000014552</v>
      </c>
      <c r="J2" s="440">
        <f>IF('Utility summery'!H6&lt;0,"0",'Utility summery'!H6)</f>
        <v>66</v>
      </c>
      <c r="K2" s="441">
        <f>IF('UTILITY REPORT 1'!H3&lt;0,"0",'UTILITY REPORT 1'!H3)</f>
        <v>118</v>
      </c>
      <c r="L2" s="440">
        <f>'Water-Meter'!K6</f>
        <v>4</v>
      </c>
      <c r="M2" s="441">
        <f>'Water-Meter'!H6</f>
        <v>0</v>
      </c>
      <c r="N2" s="441">
        <f>'Water-Meter'!Q6</f>
        <v>3</v>
      </c>
      <c r="O2" s="440" t="e">
        <f>K2*E2+H2*I2+#REF!*#REF!+J2*L2</f>
        <v>#REF!</v>
      </c>
      <c r="P2" s="440">
        <f>'Water-Meter'!E6</f>
        <v>41</v>
      </c>
      <c r="Q2" s="387">
        <f>IF('Water-Meter'!U6&lt;0,"0",'Water-Meter'!U6)</f>
        <v>88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15</v>
      </c>
      <c r="U2" s="387">
        <f>IF('Water-Meter'!AG6&lt;0,"0",'Water-Meter'!AG6)</f>
        <v>0</v>
      </c>
      <c r="V2" s="387">
        <f>IF('Water-Meter'!AJ6&lt;0,"0",'Water-Meter'!AJ6)</f>
        <v>27</v>
      </c>
      <c r="W2" s="29">
        <f>'Water-Meter'!AN6</f>
        <v>130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5</v>
      </c>
      <c r="D3" s="439">
        <v>2021</v>
      </c>
      <c r="E3" s="434">
        <f>'UTILITY REPORT 1'!I4</f>
        <v>0</v>
      </c>
      <c r="F3" s="434">
        <f>'UTILITY REPORT 1'!E4</f>
        <v>1114.1600000000001</v>
      </c>
      <c r="G3" s="435">
        <f>'UTILITY REPORT 1'!F4</f>
        <v>2697</v>
      </c>
      <c r="H3" s="434">
        <f>IF('Kit report'!F5&lt;0,"0",'Kit report'!F5)</f>
        <v>264.00000000008731</v>
      </c>
      <c r="I3" s="434">
        <f>IF('Kit report'!X5&lt;0,"0",'Kit report'!X5)</f>
        <v>300</v>
      </c>
      <c r="J3" s="434">
        <f>IF('Utility summery'!H7&lt;0,"0",'Utility summery'!H7)</f>
        <v>50</v>
      </c>
      <c r="K3" s="435">
        <f>IF('UTILITY REPORT 1'!H4&lt;0,"0",'UTILITY REPORT 1'!H4)</f>
        <v>38</v>
      </c>
      <c r="L3" s="434">
        <f>'Water-Meter'!K7</f>
        <v>1</v>
      </c>
      <c r="M3" s="435">
        <f>'Water-Meter'!H7</f>
        <v>0</v>
      </c>
      <c r="N3" s="435">
        <f>'Water-Meter'!Q7</f>
        <v>4</v>
      </c>
      <c r="O3" s="434" t="e">
        <f>K3*E3+H3*I3+#REF!*#REF!+J3*L3</f>
        <v>#REF!</v>
      </c>
      <c r="P3" s="440">
        <f>'Water-Meter'!E7</f>
        <v>50</v>
      </c>
      <c r="Q3" s="228">
        <f>IF('Water-Meter'!U7&lt;0,"0",'Water-Meter'!U7)</f>
        <v>82</v>
      </c>
      <c r="R3" s="228">
        <f>IF('Water-Meter'!X7&lt;0,"0",'Water-Meter'!X7)</f>
        <v>0</v>
      </c>
      <c r="S3" s="228">
        <f>IF('Water-Meter'!AA7&lt;0,"0",'Water-Meter'!AA7)</f>
        <v>0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27</v>
      </c>
      <c r="W3" s="29">
        <f>'Water-Meter'!AN7</f>
        <v>126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5</v>
      </c>
      <c r="D4" s="439">
        <v>2021</v>
      </c>
      <c r="E4" s="434">
        <f>'UTILITY REPORT 1'!I5</f>
        <v>29.76</v>
      </c>
      <c r="F4" s="434">
        <f>'UTILITY REPORT 1'!E5</f>
        <v>1088.57</v>
      </c>
      <c r="G4" s="435">
        <f>'UTILITY REPORT 1'!F5</f>
        <v>2639</v>
      </c>
      <c r="H4" s="434">
        <f>IF('Kit report'!F6&lt;0,"0",'Kit report'!F6)</f>
        <v>287.99999999995634</v>
      </c>
      <c r="I4" s="434">
        <f>IF('Kit report'!X6&lt;0,"0",'Kit report'!X6)</f>
        <v>219.99999999989086</v>
      </c>
      <c r="J4" s="434">
        <f>IF('Utility summery'!H8&lt;0,"0",'Utility summery'!H8)</f>
        <v>44</v>
      </c>
      <c r="K4" s="435">
        <f>IF('UTILITY REPORT 1'!H5&lt;0,"0",'UTILITY REPORT 1'!H5)</f>
        <v>37</v>
      </c>
      <c r="L4" s="434">
        <f>'Water-Meter'!K8</f>
        <v>1</v>
      </c>
      <c r="M4" s="435">
        <f>'Water-Meter'!H8</f>
        <v>0</v>
      </c>
      <c r="N4" s="435">
        <f>'Water-Meter'!Q8</f>
        <v>5</v>
      </c>
      <c r="O4" s="434" t="e">
        <f>K4*E4+H4*I4+#REF!*#REF!+J4*L4</f>
        <v>#REF!</v>
      </c>
      <c r="P4" s="440">
        <f>'Water-Meter'!E8</f>
        <v>50</v>
      </c>
      <c r="Q4" s="228">
        <f>IF('Water-Meter'!U8&lt;0,"0",'Water-Meter'!U8)</f>
        <v>82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16</v>
      </c>
      <c r="U4" s="228">
        <f>IF('Water-Meter'!AG8&lt;0,"0",'Water-Meter'!AG8)</f>
        <v>0</v>
      </c>
      <c r="V4" s="228">
        <f>IF('Water-Meter'!AJ8&lt;0,"0",'Water-Meter'!AJ8)</f>
        <v>28</v>
      </c>
      <c r="W4" s="29">
        <f>'Water-Meter'!AN8</f>
        <v>126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5</v>
      </c>
      <c r="D5" s="439">
        <v>2021</v>
      </c>
      <c r="E5" s="434">
        <f>'UTILITY REPORT 1'!I6</f>
        <v>38.130000000000003</v>
      </c>
      <c r="F5" s="434">
        <f>'UTILITY REPORT 1'!E6</f>
        <v>1166.47</v>
      </c>
      <c r="G5" s="435">
        <f>'UTILITY REPORT 1'!F6</f>
        <v>2826</v>
      </c>
      <c r="H5" s="434">
        <f>IF('Kit report'!F7&lt;0,"0",'Kit report'!F7)</f>
        <v>300</v>
      </c>
      <c r="I5" s="434">
        <f>IF('Kit report'!X7&lt;0,"0",'Kit report'!X7)</f>
        <v>320.00000000007276</v>
      </c>
      <c r="J5" s="434">
        <f>IF('Utility summery'!H9&lt;0,"0",'Utility summery'!H9)</f>
        <v>56</v>
      </c>
      <c r="K5" s="435">
        <f>IF('UTILITY REPORT 1'!H6&lt;0,"0",'UTILITY REPORT 1'!H6)</f>
        <v>32</v>
      </c>
      <c r="L5" s="434">
        <f>'Water-Meter'!K9</f>
        <v>2</v>
      </c>
      <c r="M5" s="435">
        <f>'Water-Meter'!H9</f>
        <v>0</v>
      </c>
      <c r="N5" s="435">
        <f>'Water-Meter'!Q9</f>
        <v>3</v>
      </c>
      <c r="O5" s="434" t="e">
        <f>K5*E5+H5*I5+#REF!*#REF!+J5*L5</f>
        <v>#REF!</v>
      </c>
      <c r="P5" s="440">
        <f>'Water-Meter'!E9</f>
        <v>50</v>
      </c>
      <c r="Q5" s="228">
        <f>IF('Water-Meter'!U9&lt;0,"0",'Water-Meter'!U9)</f>
        <v>24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16</v>
      </c>
      <c r="U5" s="228">
        <f>IF('Water-Meter'!AG9&lt;0,"0",'Water-Meter'!AG9)</f>
        <v>0</v>
      </c>
      <c r="V5" s="228">
        <f>IF('Water-Meter'!AJ9&lt;0,"0",'Water-Meter'!AJ9)</f>
        <v>29</v>
      </c>
      <c r="W5" s="29">
        <f>'Water-Meter'!AN9</f>
        <v>69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5</v>
      </c>
      <c r="D6" s="439">
        <v>2021</v>
      </c>
      <c r="E6" s="434">
        <f>'UTILITY REPORT 1'!I7</f>
        <v>0</v>
      </c>
      <c r="F6" s="434">
        <f>'UTILITY REPORT 1'!E7</f>
        <v>1125.1500000000001</v>
      </c>
      <c r="G6" s="435">
        <f>'UTILITY REPORT 1'!F7</f>
        <v>2780</v>
      </c>
      <c r="H6" s="434">
        <f>IF('Kit report'!F8&lt;0,"0",'Kit report'!F8)</f>
        <v>264.00000000008731</v>
      </c>
      <c r="I6" s="434">
        <f>IF('Kit report'!X8&lt;0,"0",'Kit report'!X8)</f>
        <v>260.00000000003638</v>
      </c>
      <c r="J6" s="434">
        <f>IF('Utility summery'!H10&lt;0,"0",'Utility summery'!H10)</f>
        <v>50</v>
      </c>
      <c r="K6" s="435">
        <f>IF('UTILITY REPORT 1'!H7&lt;0,"0",'UTILITY REPORT 1'!H7)</f>
        <v>38</v>
      </c>
      <c r="L6" s="434">
        <f>'Water-Meter'!K10</f>
        <v>1</v>
      </c>
      <c r="M6" s="435">
        <f>'Water-Meter'!H10</f>
        <v>0</v>
      </c>
      <c r="N6" s="435">
        <f>'Water-Meter'!Q10</f>
        <v>4</v>
      </c>
      <c r="O6" s="434" t="e">
        <f>K6*E6+H6*I6+#REF!*#REF!+J6*L6</f>
        <v>#REF!</v>
      </c>
      <c r="P6" s="440">
        <f>'Water-Meter'!E10</f>
        <v>67</v>
      </c>
      <c r="Q6" s="228">
        <f>IF('Water-Meter'!U10&lt;0,"0",'Water-Meter'!U10)</f>
        <v>0</v>
      </c>
      <c r="R6" s="228">
        <f>IF('Water-Meter'!X10&lt;0,"0",'Water-Meter'!X10)</f>
        <v>0</v>
      </c>
      <c r="S6" s="228">
        <f>IF('Water-Meter'!AA10&lt;0,"0",'Water-Meter'!AA10)</f>
        <v>0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29</v>
      </c>
      <c r="W6" s="29">
        <f>'Water-Meter'!AN10</f>
        <v>45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5</v>
      </c>
      <c r="D7" s="439">
        <v>2021</v>
      </c>
      <c r="E7" s="434">
        <f>'UTILITY REPORT 1'!I8</f>
        <v>500.13000000000005</v>
      </c>
      <c r="F7" s="434">
        <f>'UTILITY REPORT 1'!E8</f>
        <v>1179.4100000000001</v>
      </c>
      <c r="G7" s="435">
        <f>'UTILITY REPORT 1'!F8</f>
        <v>2900</v>
      </c>
      <c r="H7" s="434">
        <f>IF('Kit report'!F9&lt;0,"0",'Kit report'!F9)</f>
        <v>263.99999999986903</v>
      </c>
      <c r="I7" s="434">
        <f>IF('Kit report'!X9&lt;0,"0",'Kit report'!X9)</f>
        <v>319.99999999989086</v>
      </c>
      <c r="J7" s="434">
        <f>IF('Utility summery'!H11&lt;0,"0",'Utility summery'!H11)</f>
        <v>53</v>
      </c>
      <c r="K7" s="435">
        <f>IF('UTILITY REPORT 1'!H8&lt;0,"0",'UTILITY REPORT 1'!H8)</f>
        <v>34</v>
      </c>
      <c r="L7" s="434">
        <f>'Water-Meter'!K11</f>
        <v>1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70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16</v>
      </c>
      <c r="U7" s="228">
        <f>IF('Water-Meter'!AG11&lt;0,"0",'Water-Meter'!AG11)</f>
        <v>0</v>
      </c>
      <c r="V7" s="228">
        <f>IF('Water-Meter'!AJ11&lt;0,"0",'Water-Meter'!AJ11)</f>
        <v>28</v>
      </c>
      <c r="W7" s="29">
        <f>'Water-Meter'!AN11</f>
        <v>44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5</v>
      </c>
      <c r="D8" s="439">
        <v>2021</v>
      </c>
      <c r="E8" s="434">
        <f>'UTILITY REPORT 1'!I9</f>
        <v>0</v>
      </c>
      <c r="F8" s="434">
        <f>'UTILITY REPORT 1'!E9</f>
        <v>1126.3599999999999</v>
      </c>
      <c r="G8" s="435">
        <f>'UTILITY REPORT 1'!F9</f>
        <v>2734</v>
      </c>
      <c r="H8" s="434">
        <f>IF('Kit report'!F10&lt;0,"0",'Kit report'!F10)</f>
        <v>240</v>
      </c>
      <c r="I8" s="434">
        <f>IF('Kit report'!X10&lt;0,"0",'Kit report'!X10)</f>
        <v>180.00000000010914</v>
      </c>
      <c r="J8" s="434">
        <f>IF('Utility summery'!H12&lt;0,"0",'Utility summery'!H12)</f>
        <v>45</v>
      </c>
      <c r="K8" s="435">
        <f>IF('UTILITY REPORT 1'!H9&lt;0,"0",'UTILITY REPORT 1'!H9)</f>
        <v>88</v>
      </c>
      <c r="L8" s="434">
        <f>'Water-Meter'!K12</f>
        <v>2</v>
      </c>
      <c r="M8" s="435">
        <f>'Water-Meter'!H12</f>
        <v>0</v>
      </c>
      <c r="N8" s="435">
        <f>'Water-Meter'!Q12</f>
        <v>3</v>
      </c>
      <c r="O8" s="434" t="e">
        <f>K8*E8+H8*I8+#REF!*#REF!+J8*L8</f>
        <v>#REF!</v>
      </c>
      <c r="P8" s="440">
        <f>'Water-Meter'!E12</f>
        <v>50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0</v>
      </c>
      <c r="T8" s="228">
        <f>IF('Water-Meter'!AD12&lt;0,"0",'Water-Meter'!AD12)</f>
        <v>17</v>
      </c>
      <c r="U8" s="228">
        <f>IF('Water-Meter'!AG12&lt;0,"0",'Water-Meter'!AG12)</f>
        <v>0</v>
      </c>
      <c r="V8" s="228">
        <f>IF('Water-Meter'!AJ12&lt;0,"0",'Water-Meter'!AJ12)</f>
        <v>29</v>
      </c>
      <c r="W8" s="29">
        <f>'Water-Meter'!AN12</f>
        <v>46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5</v>
      </c>
      <c r="D9" s="439">
        <v>2021</v>
      </c>
      <c r="E9" s="434">
        <f>'UTILITY REPORT 1'!I10</f>
        <v>248</v>
      </c>
      <c r="F9" s="434">
        <f>'UTILITY REPORT 1'!E10</f>
        <v>1233.05</v>
      </c>
      <c r="G9" s="435">
        <f>'UTILITY REPORT 1'!F10</f>
        <v>2996</v>
      </c>
      <c r="H9" s="434">
        <f>IF('Kit report'!F11&lt;0,"0",'Kit report'!F11)</f>
        <v>276.00000000013097</v>
      </c>
      <c r="I9" s="434">
        <f>IF('Kit report'!X11&lt;0,"0",'Kit report'!X11)</f>
        <v>100</v>
      </c>
      <c r="J9" s="434">
        <f>IF('Utility summery'!H13&lt;0,"0",'Utility summery'!H13)</f>
        <v>44</v>
      </c>
      <c r="K9" s="435">
        <f>IF('UTILITY REPORT 1'!H10&lt;0,"0",'UTILITY REPORT 1'!H10)</f>
        <v>150</v>
      </c>
      <c r="L9" s="434">
        <f>'Water-Meter'!K13</f>
        <v>2</v>
      </c>
      <c r="M9" s="435">
        <f>'Water-Meter'!H13</f>
        <v>0</v>
      </c>
      <c r="N9" s="435">
        <f>'Water-Meter'!Q13</f>
        <v>2</v>
      </c>
      <c r="O9" s="434" t="e">
        <f>K9*E9+H9*I9+#REF!*#REF!+J9*L9</f>
        <v>#REF!</v>
      </c>
      <c r="P9" s="440">
        <f>'Water-Meter'!E13</f>
        <v>51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5</v>
      </c>
      <c r="D10" s="439">
        <v>2021</v>
      </c>
      <c r="E10" s="434">
        <f>'UTILITY REPORT 1'!I11</f>
        <v>146.15</v>
      </c>
      <c r="F10" s="434">
        <f>'UTILITY REPORT 1'!E11</f>
        <v>1058.0899999999999</v>
      </c>
      <c r="G10" s="435">
        <f>'UTILITY REPORT 1'!F11</f>
        <v>2627</v>
      </c>
      <c r="H10" s="434">
        <f>IF('Kit report'!F12&lt;0,"0",'Kit report'!F12)</f>
        <v>203.99999999986903</v>
      </c>
      <c r="I10" s="434">
        <f>IF('Kit report'!X12&lt;0,"0",'Kit report'!X12)</f>
        <v>339.99999999996362</v>
      </c>
      <c r="J10" s="434">
        <f>IF('Utility summery'!H14&lt;0,"0",'Utility summery'!H14)</f>
        <v>66</v>
      </c>
      <c r="K10" s="435">
        <f>IF('UTILITY REPORT 1'!H11&lt;0,"0",'UTILITY REPORT 1'!H11)</f>
        <v>22</v>
      </c>
      <c r="L10" s="434">
        <f>'Water-Meter'!K14</f>
        <v>1</v>
      </c>
      <c r="M10" s="435">
        <f>'Water-Meter'!H14</f>
        <v>0</v>
      </c>
      <c r="N10" s="435">
        <f>'Water-Meter'!Q14</f>
        <v>4</v>
      </c>
      <c r="O10" s="434" t="e">
        <f>K10*E10+H10*I10+#REF!*#REF!+J10*L10</f>
        <v>#REF!</v>
      </c>
      <c r="P10" s="440">
        <f>'Water-Meter'!E14</f>
        <v>76</v>
      </c>
      <c r="Q10" s="228">
        <f>IF('Water-Meter'!U14&lt;0,"0",'Water-Meter'!U14)</f>
        <v>81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15</v>
      </c>
      <c r="U10" s="228">
        <f>IF('Water-Meter'!AG14&lt;0,"0",'Water-Meter'!AG14)</f>
        <v>0</v>
      </c>
      <c r="V10" s="228">
        <f>IF('Water-Meter'!AJ14&lt;0,"0",'Water-Meter'!AJ14)</f>
        <v>29</v>
      </c>
      <c r="W10" s="29">
        <f>'Water-Meter'!AN14</f>
        <v>125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5</v>
      </c>
      <c r="D11" s="439">
        <v>2021</v>
      </c>
      <c r="E11" s="434">
        <f>'UTILITY REPORT 1'!I12</f>
        <v>140.32999999999998</v>
      </c>
      <c r="F11" s="434">
        <f>'UTILITY REPORT 1'!E12</f>
        <v>1086.6400000000001</v>
      </c>
      <c r="G11" s="435">
        <f>'UTILITY REPORT 1'!F12</f>
        <v>2619</v>
      </c>
      <c r="H11" s="434">
        <f>IF('Kit report'!F13&lt;0,"0",'Kit report'!F13)</f>
        <v>228.00000000017462</v>
      </c>
      <c r="I11" s="434">
        <f>IF('Kit report'!X13&lt;0,"0",'Kit report'!X13)</f>
        <v>260.00000000003638</v>
      </c>
      <c r="J11" s="434">
        <f>IF('Utility summery'!H15&lt;0,"0",'Utility summery'!H15)</f>
        <v>53</v>
      </c>
      <c r="K11" s="435">
        <f>IF('UTILITY REPORT 1'!H12&lt;0,"0",'UTILITY REPORT 1'!H12)</f>
        <v>33</v>
      </c>
      <c r="L11" s="434">
        <f>'Water-Meter'!K15</f>
        <v>2</v>
      </c>
      <c r="M11" s="435">
        <f>'Water-Meter'!H15</f>
        <v>0</v>
      </c>
      <c r="N11" s="435">
        <f>'Water-Meter'!Q15</f>
        <v>6</v>
      </c>
      <c r="O11" s="434" t="e">
        <f>K11*E11+H11*I11+#REF!*#REF!+J11*L11</f>
        <v>#REF!</v>
      </c>
      <c r="P11" s="440">
        <f>'Water-Meter'!E15</f>
        <v>20</v>
      </c>
      <c r="Q11" s="228">
        <f>IF('Water-Meter'!U15&lt;0,"0",'Water-Meter'!U15)</f>
        <v>25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17</v>
      </c>
      <c r="U11" s="228">
        <f>IF('Water-Meter'!AG15&lt;0,"0",'Water-Meter'!AG15)</f>
        <v>0</v>
      </c>
      <c r="V11" s="228">
        <f>IF('Water-Meter'!AJ15&lt;0,"0",'Water-Meter'!AJ15)</f>
        <v>29</v>
      </c>
      <c r="W11" s="29">
        <f>'Water-Meter'!AN15</f>
        <v>71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5</v>
      </c>
      <c r="D12" s="439">
        <v>2021</v>
      </c>
      <c r="E12" s="434">
        <f>'UTILITY REPORT 1'!I13</f>
        <v>647</v>
      </c>
      <c r="F12" s="434">
        <f>'UTILITY REPORT 1'!E13</f>
        <v>1059.05</v>
      </c>
      <c r="G12" s="435">
        <f>'UTILITY REPORT 1'!F13</f>
        <v>2525</v>
      </c>
      <c r="H12" s="434">
        <f>IF('Kit report'!F14&lt;0,"0",'Kit report'!F14)</f>
        <v>227.99999999995634</v>
      </c>
      <c r="I12" s="434">
        <f>IF('Kit report'!X14&lt;0,"0",'Kit report'!X14)</f>
        <v>200</v>
      </c>
      <c r="J12" s="434">
        <f>IF('Utility summery'!H16&lt;0,"0",'Utility summery'!H16)</f>
        <v>51</v>
      </c>
      <c r="K12" s="435">
        <f>IF('UTILITY REPORT 1'!H13&lt;0,"0",'UTILITY REPORT 1'!H13)</f>
        <v>33</v>
      </c>
      <c r="L12" s="434">
        <f>'Water-Meter'!K16</f>
        <v>1</v>
      </c>
      <c r="M12" s="435">
        <f>'Water-Meter'!H16</f>
        <v>0</v>
      </c>
      <c r="N12" s="435">
        <f>'Water-Meter'!Q16</f>
        <v>2</v>
      </c>
      <c r="O12" s="434" t="e">
        <f>K12*E12+H12*I12+#REF!*#REF!+J12*L12</f>
        <v>#REF!</v>
      </c>
      <c r="P12" s="440">
        <f>'Water-Meter'!E16</f>
        <v>54</v>
      </c>
      <c r="Q12" s="228">
        <f>IF('Water-Meter'!U16&lt;0,"0",'Water-Meter'!U16)</f>
        <v>0</v>
      </c>
      <c r="R12" s="228">
        <f>IF('Water-Meter'!X16&lt;0,"0",'Water-Meter'!X16)</f>
        <v>0</v>
      </c>
      <c r="S12" s="228">
        <f>IF('Water-Meter'!AA16&lt;0,"0",'Water-Meter'!AA16)</f>
        <v>89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28</v>
      </c>
      <c r="W12" s="29">
        <f>'Water-Meter'!AN16</f>
        <v>133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5</v>
      </c>
      <c r="D13" s="439">
        <v>2021</v>
      </c>
      <c r="E13" s="434">
        <f>'UTILITY REPORT 1'!I14</f>
        <v>0</v>
      </c>
      <c r="F13" s="434">
        <f>'UTILITY REPORT 1'!E14</f>
        <v>1046.1600000000001</v>
      </c>
      <c r="G13" s="435">
        <f>'UTILITY REPORT 1'!F14</f>
        <v>2428</v>
      </c>
      <c r="H13" s="434">
        <f>IF('Kit report'!F15&lt;0,"0",'Kit report'!F15)</f>
        <v>227.99999999995634</v>
      </c>
      <c r="I13" s="434">
        <f>IF('Kit report'!X15&lt;0,"0",'Kit report'!X15)</f>
        <v>159.99999999985448</v>
      </c>
      <c r="J13" s="434">
        <f>IF('Utility summery'!H17&lt;0,"0",'Utility summery'!H17)</f>
        <v>48</v>
      </c>
      <c r="K13" s="435">
        <f>IF('UTILITY REPORT 1'!H14&lt;0,"0",'UTILITY REPORT 1'!H14)</f>
        <v>31</v>
      </c>
      <c r="L13" s="434">
        <f>'Water-Meter'!K17</f>
        <v>1</v>
      </c>
      <c r="M13" s="435">
        <f>'Water-Meter'!H17</f>
        <v>0</v>
      </c>
      <c r="N13" s="435">
        <f>'Water-Meter'!Q17</f>
        <v>2</v>
      </c>
      <c r="O13" s="434" t="e">
        <f>K13*E13+H13*I13+#REF!*#REF!+J13*L13</f>
        <v>#REF!</v>
      </c>
      <c r="P13" s="440">
        <f>'Water-Meter'!E17</f>
        <v>51</v>
      </c>
      <c r="Q13" s="228">
        <f>IF('Water-Meter'!U17&lt;0,"0",'Water-Meter'!U17)</f>
        <v>0</v>
      </c>
      <c r="R13" s="228">
        <f>IF('Water-Meter'!X17&lt;0,"0",'Water-Meter'!X17)</f>
        <v>0</v>
      </c>
      <c r="S13" s="228">
        <f>IF('Water-Meter'!AA17&lt;0,"0",'Water-Meter'!AA17)</f>
        <v>0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29</v>
      </c>
      <c r="W13" s="29">
        <f>'Water-Meter'!AN17</f>
        <v>46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5</v>
      </c>
      <c r="D14" s="439">
        <v>2021</v>
      </c>
      <c r="E14" s="434">
        <f>'UTILITY REPORT 1'!I15</f>
        <v>249.48</v>
      </c>
      <c r="F14" s="434">
        <f>'UTILITY REPORT 1'!E15</f>
        <v>1005.86</v>
      </c>
      <c r="G14" s="435">
        <f>'UTILITY REPORT 1'!F15</f>
        <v>2512</v>
      </c>
      <c r="H14" s="434">
        <f>IF('Kit report'!F16&lt;0,"0",'Kit report'!F16)</f>
        <v>227.99999999995634</v>
      </c>
      <c r="I14" s="434">
        <f>IF('Kit report'!X16&lt;0,"0",'Kit report'!X16)</f>
        <v>200</v>
      </c>
      <c r="J14" s="434">
        <f>IF('Utility summery'!H18&lt;0,"0",'Utility summery'!H18)</f>
        <v>56</v>
      </c>
      <c r="K14" s="435">
        <f>IF('UTILITY REPORT 1'!H15&lt;0,"0",'UTILITY REPORT 1'!H15)</f>
        <v>85</v>
      </c>
      <c r="L14" s="434">
        <f>'Water-Meter'!K18</f>
        <v>2</v>
      </c>
      <c r="M14" s="435">
        <f>'Water-Meter'!H18</f>
        <v>0</v>
      </c>
      <c r="N14" s="435">
        <f>'Water-Meter'!Q18</f>
        <v>8</v>
      </c>
      <c r="O14" s="434" t="e">
        <f>K14*E14+H14*I14+#REF!*#REF!+J14*L14</f>
        <v>#REF!</v>
      </c>
      <c r="P14" s="440">
        <f>'Water-Meter'!E18</f>
        <v>54</v>
      </c>
      <c r="Q14" s="228">
        <f>IF('Water-Meter'!U18&lt;0,"0",'Water-Meter'!U18)</f>
        <v>0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16</v>
      </c>
      <c r="U14" s="228">
        <f>IF('Water-Meter'!AG18&lt;0,"0",'Water-Meter'!AG18)</f>
        <v>0</v>
      </c>
      <c r="V14" s="228">
        <f>IF('Water-Meter'!AJ18&lt;0,"0",'Water-Meter'!AJ18)</f>
        <v>31</v>
      </c>
      <c r="W14" s="29">
        <f>'Water-Meter'!AN18</f>
        <v>47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5</v>
      </c>
      <c r="D15" s="439">
        <v>2021</v>
      </c>
      <c r="E15" s="434">
        <f>'UTILITY REPORT 1'!I16</f>
        <v>93.42</v>
      </c>
      <c r="F15" s="434">
        <f>'UTILITY REPORT 1'!E16</f>
        <v>1140.98</v>
      </c>
      <c r="G15" s="435">
        <f>'UTILITY REPORT 1'!F16</f>
        <v>2744</v>
      </c>
      <c r="H15" s="434">
        <f>IF('Kit report'!F17&lt;0,"0",'Kit report'!F17)</f>
        <v>227.99999999995634</v>
      </c>
      <c r="I15" s="434">
        <f>IF('Kit report'!X17&lt;0,"0",'Kit report'!X17)</f>
        <v>380.00000000010914</v>
      </c>
      <c r="J15" s="434">
        <f>IF('Utility summery'!H19&lt;0,"0",'Utility summery'!H19)</f>
        <v>53</v>
      </c>
      <c r="K15" s="435">
        <f>IF('UTILITY REPORT 1'!H16&lt;0,"0",'UTILITY REPORT 1'!H16)</f>
        <v>89</v>
      </c>
      <c r="L15" s="434">
        <f>'Water-Meter'!K19</f>
        <v>1</v>
      </c>
      <c r="M15" s="435">
        <f>'Water-Meter'!H19</f>
        <v>0</v>
      </c>
      <c r="N15" s="435">
        <f>'Water-Meter'!Q19</f>
        <v>1</v>
      </c>
      <c r="O15" s="434" t="e">
        <f>K15*E15+H15*I15+#REF!*#REF!+J15*L15</f>
        <v>#REF!</v>
      </c>
      <c r="P15" s="440">
        <f>'Water-Meter'!E19</f>
        <v>42</v>
      </c>
      <c r="Q15" s="228">
        <f>IF('Water-Meter'!U19&lt;0,"0",'Water-Meter'!U19)</f>
        <v>0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31</v>
      </c>
      <c r="W15" s="29">
        <f>'Water-Meter'!AN19</f>
        <v>48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5</v>
      </c>
      <c r="D16" s="439">
        <v>2021</v>
      </c>
      <c r="E16" s="434">
        <f>'UTILITY REPORT 1'!I17</f>
        <v>156.24</v>
      </c>
      <c r="F16" s="434">
        <f>'UTILITY REPORT 1'!E17</f>
        <v>1050.24</v>
      </c>
      <c r="G16" s="435">
        <f>'UTILITY REPORT 1'!F17</f>
        <v>2461</v>
      </c>
      <c r="H16" s="434">
        <f>IF('Kit report'!F18&lt;0,"0",'Kit report'!F18)</f>
        <v>240</v>
      </c>
      <c r="I16" s="434">
        <f>IF('Kit report'!X18&lt;0,"0",'Kit report'!X18)</f>
        <v>219.99999999989086</v>
      </c>
      <c r="J16" s="434">
        <f>IF('Utility summery'!H20&lt;0,"0",'Utility summery'!H20)</f>
        <v>53</v>
      </c>
      <c r="K16" s="435">
        <f>IF('UTILITY REPORT 1'!H17&lt;0,"0",'UTILITY REPORT 1'!H17)</f>
        <v>10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46</v>
      </c>
      <c r="Q16" s="228">
        <f>IF('Water-Meter'!U20&lt;0,"0",'Water-Meter'!U20)</f>
        <v>37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16</v>
      </c>
      <c r="U16" s="228">
        <f>IF('Water-Meter'!AG20&lt;0,"0",'Water-Meter'!AG20)</f>
        <v>0</v>
      </c>
      <c r="V16" s="228">
        <f>IF('Water-Meter'!AJ20&lt;0,"0",'Water-Meter'!AJ20)</f>
        <v>40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5</v>
      </c>
      <c r="D17" s="439">
        <v>2021</v>
      </c>
      <c r="E17" s="434">
        <f>'UTILITY REPORT 1'!I18</f>
        <v>0</v>
      </c>
      <c r="F17" s="434">
        <f>'UTILITY REPORT 1'!E18</f>
        <v>1110.23</v>
      </c>
      <c r="G17" s="435">
        <f>'UTILITY REPORT 1'!F18</f>
        <v>2626</v>
      </c>
      <c r="H17" s="434">
        <f>IF('Kit report'!F19&lt;0,"0",'Kit report'!F19)</f>
        <v>240</v>
      </c>
      <c r="I17" s="434">
        <f>IF('Kit report'!X19&lt;0,"0",'Kit report'!X19)</f>
        <v>340.00000000014552</v>
      </c>
      <c r="J17" s="434">
        <f>IF('Utility summery'!H21&lt;0,"0",'Utility summery'!H21)</f>
        <v>53</v>
      </c>
      <c r="K17" s="435">
        <f>IF('UTILITY REPORT 1'!H18&lt;0,"0",'UTILITY REPORT 1'!H18)</f>
        <v>70</v>
      </c>
      <c r="L17" s="434">
        <f>'Water-Meter'!K21</f>
        <v>1</v>
      </c>
      <c r="M17" s="435">
        <f>'Water-Meter'!H21</f>
        <v>0</v>
      </c>
      <c r="N17" s="435">
        <f>'Water-Meter'!Q21</f>
        <v>6</v>
      </c>
      <c r="O17" s="434" t="e">
        <f>K17*E17+H17*I17+#REF!*#REF!+J17*L17</f>
        <v>#REF!</v>
      </c>
      <c r="P17" s="440">
        <f>'Water-Meter'!E21</f>
        <v>45</v>
      </c>
      <c r="Q17" s="228">
        <f>IF('Water-Meter'!U21&lt;0,"0",'Water-Meter'!U21)</f>
        <v>120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22</v>
      </c>
      <c r="W17" s="29">
        <f>'Water-Meter'!AN21</f>
        <v>159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5</v>
      </c>
      <c r="D18" s="439">
        <v>2021</v>
      </c>
      <c r="E18" s="434">
        <f>'UTILITY REPORT 1'!I19</f>
        <v>117.91999999999999</v>
      </c>
      <c r="F18" s="434">
        <f>'UTILITY REPORT 1'!E19</f>
        <v>1222.44</v>
      </c>
      <c r="G18" s="435">
        <f>'UTILITY REPORT 1'!F19</f>
        <v>3052</v>
      </c>
      <c r="H18" s="434">
        <f>IF('Kit report'!F20&lt;0,"0",'Kit report'!F20)</f>
        <v>252.00000000004366</v>
      </c>
      <c r="I18" s="434">
        <f>IF('Kit report'!X20&lt;0,"0",'Kit report'!X20)</f>
        <v>319.99999999989086</v>
      </c>
      <c r="J18" s="434">
        <f>IF('Utility summery'!H22&lt;0,"0",'Utility summery'!H22)</f>
        <v>53</v>
      </c>
      <c r="K18" s="435">
        <f>IF('UTILITY REPORT 1'!H19&lt;0,"0",'UTILITY REPORT 1'!H19)</f>
        <v>79</v>
      </c>
      <c r="L18" s="434">
        <f>'Water-Meter'!K22</f>
        <v>1</v>
      </c>
      <c r="M18" s="435">
        <f>'Water-Meter'!H22</f>
        <v>0</v>
      </c>
      <c r="N18" s="435">
        <f>'Water-Meter'!Q22</f>
        <v>3</v>
      </c>
      <c r="O18" s="434" t="e">
        <f>K18*E18+H18*I18+#REF!*#REF!+J18*L18</f>
        <v>#REF!</v>
      </c>
      <c r="P18" s="440">
        <f>'Water-Meter'!E22</f>
        <v>57</v>
      </c>
      <c r="Q18" s="228">
        <f>IF('Water-Meter'!U22&lt;0,"0",'Water-Meter'!U22)</f>
        <v>166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17</v>
      </c>
      <c r="U18" s="228">
        <f>IF('Water-Meter'!AG22&lt;0,"0",'Water-Meter'!AG22)</f>
        <v>0</v>
      </c>
      <c r="V18" s="228">
        <f>IF('Water-Meter'!AJ22&lt;0,"0",'Water-Meter'!AJ22)</f>
        <v>32</v>
      </c>
      <c r="W18" s="29">
        <f>'Water-Meter'!AN22</f>
        <v>215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5</v>
      </c>
      <c r="D19" s="439">
        <v>2021</v>
      </c>
      <c r="E19" s="434">
        <f>'UTILITY REPORT 1'!I20</f>
        <v>0</v>
      </c>
      <c r="F19" s="434">
        <f>'UTILITY REPORT 1'!E20</f>
        <v>1222.1600000000001</v>
      </c>
      <c r="G19" s="435">
        <f>'UTILITY REPORT 1'!F20</f>
        <v>2929</v>
      </c>
      <c r="H19" s="434">
        <f>IF('Kit report'!F21&lt;0,"0",'Kit report'!F21)</f>
        <v>216.00000000013097</v>
      </c>
      <c r="I19" s="434">
        <f>IF('Kit report'!X21&lt;0,"0",'Kit report'!X21)</f>
        <v>380.00000000010914</v>
      </c>
      <c r="J19" s="434">
        <f>IF('Utility summery'!H23&lt;0,"0",'Utility summery'!H23)</f>
        <v>54</v>
      </c>
      <c r="K19" s="435">
        <f>IF('UTILITY REPORT 1'!H20&lt;0,"0",'UTILITY REPORT 1'!H20)</f>
        <v>36</v>
      </c>
      <c r="L19" s="434">
        <f>'Water-Meter'!K23</f>
        <v>2</v>
      </c>
      <c r="M19" s="435">
        <f>'Water-Meter'!H23</f>
        <v>0</v>
      </c>
      <c r="N19" s="435">
        <f>'Water-Meter'!Q23</f>
        <v>3</v>
      </c>
      <c r="O19" s="434" t="e">
        <f>K19*E19+H19*I19+#REF!*#REF!+J19*L19</f>
        <v>#REF!</v>
      </c>
      <c r="P19" s="440">
        <f>'Water-Meter'!E23</f>
        <v>47</v>
      </c>
      <c r="Q19" s="228">
        <f>IF('Water-Meter'!U23&lt;0,"0",'Water-Meter'!U23)</f>
        <v>83</v>
      </c>
      <c r="R19" s="228">
        <f>IF('Water-Meter'!X23&lt;0,"0",'Water-Meter'!X23)</f>
        <v>0</v>
      </c>
      <c r="S19" s="228">
        <f>IF('Water-Meter'!AA23&lt;0,"0",'Water-Meter'!AA23)</f>
        <v>0</v>
      </c>
      <c r="T19" s="228">
        <f>IF('Water-Meter'!AD23&lt;0,"0",'Water-Meter'!AD23)</f>
        <v>16</v>
      </c>
      <c r="U19" s="228">
        <f>IF('Water-Meter'!AG23&lt;0,"0",'Water-Meter'!AG23)</f>
        <v>0</v>
      </c>
      <c r="V19" s="228">
        <f>IF('Water-Meter'!AJ23&lt;0,"0",'Water-Meter'!AJ23)</f>
        <v>31</v>
      </c>
      <c r="W19" s="29">
        <f>'Water-Meter'!AN23</f>
        <v>130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5</v>
      </c>
      <c r="D20" s="439">
        <v>2021</v>
      </c>
      <c r="E20" s="434">
        <f>'UTILITY REPORT 1'!I21</f>
        <v>168.17000000000002</v>
      </c>
      <c r="F20" s="434">
        <f>'UTILITY REPORT 1'!E21</f>
        <v>1168.1199999999999</v>
      </c>
      <c r="G20" s="435">
        <f>'UTILITY REPORT 1'!F21</f>
        <v>2825</v>
      </c>
      <c r="H20" s="434">
        <f>IF('Kit report'!F22&lt;0,"0",'Kit report'!F22)</f>
        <v>240</v>
      </c>
      <c r="I20" s="434">
        <f>IF('Kit report'!X22&lt;0,"0",'Kit report'!X22)</f>
        <v>279.99999999992724</v>
      </c>
      <c r="J20" s="434">
        <f>IF('Utility summery'!H24&lt;0,"0",'Utility summery'!H24)</f>
        <v>54</v>
      </c>
      <c r="K20" s="435">
        <f>IF('UTILITY REPORT 1'!H21&lt;0,"0",'UTILITY REPORT 1'!H21)</f>
        <v>35</v>
      </c>
      <c r="L20" s="434">
        <f>'Water-Meter'!K24</f>
        <v>1</v>
      </c>
      <c r="M20" s="435">
        <f>'Water-Meter'!H24</f>
        <v>0</v>
      </c>
      <c r="N20" s="435">
        <f>'Water-Meter'!Q24</f>
        <v>2</v>
      </c>
      <c r="O20" s="434" t="e">
        <f>K20*E20+H20*I20+#REF!*#REF!+J20*L20</f>
        <v>#REF!</v>
      </c>
      <c r="P20" s="440">
        <f>'Water-Meter'!E24</f>
        <v>45</v>
      </c>
      <c r="Q20" s="228">
        <f>IF('Water-Meter'!U24&lt;0,"0",'Water-Meter'!U24)</f>
        <v>39</v>
      </c>
      <c r="R20" s="228">
        <f>IF('Water-Meter'!X24&lt;0,"0",'Water-Meter'!X24)</f>
        <v>0</v>
      </c>
      <c r="S20" s="228">
        <f>IF('Water-Meter'!AA24&lt;0,"0",'Water-Meter'!AA24)</f>
        <v>0</v>
      </c>
      <c r="T20" s="228">
        <f>IF('Water-Meter'!AD24&lt;0,"0",'Water-Meter'!AD24)</f>
        <v>17</v>
      </c>
      <c r="U20" s="228">
        <f>IF('Water-Meter'!AG24&lt;0,"0",'Water-Meter'!AG24)</f>
        <v>0</v>
      </c>
      <c r="V20" s="228">
        <f>IF('Water-Meter'!AJ24&lt;0,"0",'Water-Meter'!AJ24)</f>
        <v>33</v>
      </c>
      <c r="W20" s="29">
        <f>'Water-Meter'!AN24</f>
        <v>89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5</v>
      </c>
      <c r="D21" s="439">
        <v>2021</v>
      </c>
      <c r="E21" s="434">
        <f>'UTILITY REPORT 1'!I22</f>
        <v>80.400000000000006</v>
      </c>
      <c r="F21" s="434">
        <f>'UTILITY REPORT 1'!E22</f>
        <v>1133.48</v>
      </c>
      <c r="G21" s="435">
        <f>'UTILITY REPORT 1'!F22</f>
        <v>2766</v>
      </c>
      <c r="H21" s="434">
        <f>IF('Kit report'!F23&lt;0,"0",'Kit report'!F23)</f>
        <v>287.99999999995634</v>
      </c>
      <c r="I21" s="434">
        <f>IF('Kit report'!X23&lt;0,"0",'Kit report'!X23)</f>
        <v>279.99999999992724</v>
      </c>
      <c r="J21" s="434">
        <f>IF('Utility summery'!H25&lt;0,"0",'Utility summery'!H25)</f>
        <v>55</v>
      </c>
      <c r="K21" s="435">
        <f>IF('UTILITY REPORT 1'!H22&lt;0,"0",'UTILITY REPORT 1'!H22)</f>
        <v>34</v>
      </c>
      <c r="L21" s="434">
        <f>'Water-Meter'!K25</f>
        <v>2</v>
      </c>
      <c r="M21" s="435">
        <f>'Water-Meter'!H25</f>
        <v>0</v>
      </c>
      <c r="N21" s="435">
        <f>'Water-Meter'!Q25</f>
        <v>5</v>
      </c>
      <c r="O21" s="434" t="e">
        <f>K21*E21+H21*I21+#REF!*#REF!+J21*L21</f>
        <v>#REF!</v>
      </c>
      <c r="P21" s="440">
        <f>'Water-Meter'!E25</f>
        <v>49</v>
      </c>
      <c r="Q21" s="228">
        <f>IF('Water-Meter'!U25&lt;0,"0",'Water-Meter'!U25)</f>
        <v>0</v>
      </c>
      <c r="R21" s="228">
        <f>IF('Water-Meter'!X25&lt;0,"0",'Water-Meter'!X25)</f>
        <v>0</v>
      </c>
      <c r="S21" s="228">
        <f>IF('Water-Meter'!AA25&lt;0,"0",'Water-Meter'!AA25)</f>
        <v>0</v>
      </c>
      <c r="T21" s="228">
        <f>IF('Water-Meter'!AD25&lt;0,"0",'Water-Meter'!AD25)</f>
        <v>17</v>
      </c>
      <c r="U21" s="228">
        <f>IF('Water-Meter'!AG25&lt;0,"0",'Water-Meter'!AG25)</f>
        <v>0</v>
      </c>
      <c r="V21" s="228">
        <f>IF('Water-Meter'!AJ25&lt;0,"0",'Water-Meter'!AJ25)</f>
        <v>32</v>
      </c>
      <c r="W21" s="29">
        <f>'Water-Meter'!AN25</f>
        <v>49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5</v>
      </c>
      <c r="D22" s="439">
        <v>2021</v>
      </c>
      <c r="E22" s="434">
        <f>'UTILITY REPORT 1'!I23</f>
        <v>289</v>
      </c>
      <c r="F22" s="434">
        <f>'UTILITY REPORT 1'!E23</f>
        <v>1112.7</v>
      </c>
      <c r="G22" s="435">
        <f>'UTILITY REPORT 1'!F23</f>
        <v>2747</v>
      </c>
      <c r="H22" s="434">
        <f>IF('Kit report'!F24&lt;0,"0",'Kit report'!F24)</f>
        <v>300</v>
      </c>
      <c r="I22" s="434">
        <f>IF('Kit report'!X24&lt;0,"0",'Kit report'!X24)</f>
        <v>360.00000000003638</v>
      </c>
      <c r="J22" s="434">
        <f>IF('Utility summery'!H26&lt;0,"0",'Utility summery'!H26)</f>
        <v>56</v>
      </c>
      <c r="K22" s="435">
        <f>IF('UTILITY REPORT 1'!H23&lt;0,"0",'UTILITY REPORT 1'!H23)</f>
        <v>31</v>
      </c>
      <c r="L22" s="434">
        <f>'Water-Meter'!K26</f>
        <v>1</v>
      </c>
      <c r="M22" s="435">
        <f>'Water-Meter'!H26</f>
        <v>0</v>
      </c>
      <c r="N22" s="435">
        <f>'Water-Meter'!Q26</f>
        <v>4</v>
      </c>
      <c r="O22" s="434" t="e">
        <f>K22*E22+H22*I22+#REF!*#REF!+J22*L22</f>
        <v>#REF!</v>
      </c>
      <c r="P22" s="440">
        <f>'Water-Meter'!E26</f>
        <v>45</v>
      </c>
      <c r="Q22" s="228">
        <f>IF('Water-Meter'!U26&lt;0,"0",'Water-Meter'!U26)</f>
        <v>0</v>
      </c>
      <c r="R22" s="228">
        <f>IF('Water-Meter'!X26&lt;0,"0",'Water-Meter'!X26)</f>
        <v>0</v>
      </c>
      <c r="S22" s="228">
        <f>IF('Water-Meter'!AA26&lt;0,"0",'Water-Meter'!AA26)</f>
        <v>0</v>
      </c>
      <c r="T22" s="228">
        <f>IF('Water-Meter'!AD26&lt;0,"0",'Water-Meter'!AD26)</f>
        <v>17</v>
      </c>
      <c r="U22" s="228">
        <f>IF('Water-Meter'!AG26&lt;0,"0",'Water-Meter'!AG26)</f>
        <v>0</v>
      </c>
      <c r="V22" s="228">
        <f>IF('Water-Meter'!AJ26&lt;0,"0",'Water-Meter'!AJ26)</f>
        <v>31</v>
      </c>
      <c r="W22" s="29">
        <f>'Water-Meter'!AN26</f>
        <v>48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5</v>
      </c>
      <c r="D23" s="439">
        <v>2021</v>
      </c>
      <c r="E23" s="434">
        <f>'UTILITY REPORT 1'!I24</f>
        <v>299.91999999999996</v>
      </c>
      <c r="F23" s="434">
        <f>'UTILITY REPORT 1'!E24</f>
        <v>1123.32</v>
      </c>
      <c r="G23" s="435">
        <f>'UTILITY REPORT 1'!F24</f>
        <v>2714</v>
      </c>
      <c r="H23" s="434">
        <f>IF('Kit report'!F25&lt;0,"0",'Kit report'!F25)</f>
        <v>252.00000000004366</v>
      </c>
      <c r="I23" s="434">
        <f>IF('Kit report'!X25&lt;0,"0",'Kit report'!X25)</f>
        <v>280.00000000010914</v>
      </c>
      <c r="J23" s="434">
        <f>IF('Utility summery'!H27&lt;0,"0",'Utility summery'!H27)</f>
        <v>54</v>
      </c>
      <c r="K23" s="435">
        <f>IF('UTILITY REPORT 1'!H24&lt;0,"0",'UTILITY REPORT 1'!H24)</f>
        <v>19</v>
      </c>
      <c r="L23" s="434">
        <f>'Water-Meter'!K27</f>
        <v>2</v>
      </c>
      <c r="M23" s="435">
        <f>'Water-Meter'!H27</f>
        <v>0</v>
      </c>
      <c r="N23" s="435">
        <f>'Water-Meter'!Q27</f>
        <v>5</v>
      </c>
      <c r="O23" s="434" t="e">
        <f>K23*E23+H23*I23+#REF!*#REF!+J23*L23</f>
        <v>#REF!</v>
      </c>
      <c r="P23" s="440">
        <f>'Water-Meter'!E27</f>
        <v>63</v>
      </c>
      <c r="Q23" s="228">
        <f>IF('Water-Meter'!U27&lt;0,"0",'Water-Meter'!U27)</f>
        <v>0</v>
      </c>
      <c r="R23" s="228">
        <f>IF('Water-Meter'!X27&lt;0,"0",'Water-Meter'!X27)</f>
        <v>0</v>
      </c>
      <c r="S23" s="228">
        <f>IF('Water-Meter'!AA27&lt;0,"0",'Water-Meter'!AA27)</f>
        <v>0</v>
      </c>
      <c r="T23" s="228">
        <f>IF('Water-Meter'!AD27&lt;0,"0",'Water-Meter'!AD27)</f>
        <v>17</v>
      </c>
      <c r="U23" s="228">
        <f>IF('Water-Meter'!AG27&lt;0,"0",'Water-Meter'!AG27)</f>
        <v>0</v>
      </c>
      <c r="V23" s="228">
        <f>IF('Water-Meter'!AJ27&lt;0,"0",'Water-Meter'!AJ27)</f>
        <v>32</v>
      </c>
      <c r="W23" s="29">
        <f>'Water-Meter'!AN27</f>
        <v>49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5</v>
      </c>
      <c r="D24" s="439">
        <v>2021</v>
      </c>
      <c r="E24" s="434">
        <f>'UTILITY REPORT 1'!I25</f>
        <v>11.74</v>
      </c>
      <c r="F24" s="434">
        <f>'UTILITY REPORT 1'!E25</f>
        <v>1170.9100000000001</v>
      </c>
      <c r="G24" s="435">
        <f>'UTILITY REPORT 1'!F25</f>
        <v>2815</v>
      </c>
      <c r="H24" s="434">
        <f>IF('Kit report'!F26&lt;0,"0",'Kit report'!F26)</f>
        <v>251.99999999982538</v>
      </c>
      <c r="I24" s="434">
        <f>IF('Kit report'!X26&lt;0,"0",'Kit report'!X26)</f>
        <v>400</v>
      </c>
      <c r="J24" s="434">
        <f>IF('Utility summery'!H28&lt;0,"0",'Utility summery'!H28)</f>
        <v>56</v>
      </c>
      <c r="K24" s="435">
        <f>IF('UTILITY REPORT 1'!H25&lt;0,"0",'UTILITY REPORT 1'!H25)</f>
        <v>25</v>
      </c>
      <c r="L24" s="434">
        <f>'Water-Meter'!K28</f>
        <v>2</v>
      </c>
      <c r="M24" s="435">
        <f>'Water-Meter'!H28</f>
        <v>0</v>
      </c>
      <c r="N24" s="435">
        <f>'Water-Meter'!Q28</f>
        <v>6</v>
      </c>
      <c r="O24" s="434" t="e">
        <f>K24*E24+H24*I24+#REF!*#REF!+J24*L24</f>
        <v>#REF!</v>
      </c>
      <c r="P24" s="440">
        <f>'Water-Meter'!E28</f>
        <v>47</v>
      </c>
      <c r="Q24" s="228">
        <f>IF('Water-Meter'!U28&lt;0,"0",'Water-Meter'!U28)</f>
        <v>0</v>
      </c>
      <c r="R24" s="228">
        <f>IF('Water-Meter'!X28&lt;0,"0",'Water-Meter'!X28)</f>
        <v>0</v>
      </c>
      <c r="S24" s="228">
        <f>IF('Water-Meter'!AA28&lt;0,"0",'Water-Meter'!AA28)</f>
        <v>0</v>
      </c>
      <c r="T24" s="228">
        <f>IF('Water-Meter'!AD28&lt;0,"0",'Water-Meter'!AD28)</f>
        <v>20</v>
      </c>
      <c r="U24" s="228">
        <f>IF('Water-Meter'!AG28&lt;0,"0",'Water-Meter'!AG28)</f>
        <v>0</v>
      </c>
      <c r="V24" s="228">
        <f>IF('Water-Meter'!AJ28&lt;0,"0",'Water-Meter'!AJ28)</f>
        <v>32</v>
      </c>
      <c r="W24" s="29">
        <f>'Water-Meter'!AN28</f>
        <v>52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5</v>
      </c>
      <c r="D25" s="439">
        <v>2021</v>
      </c>
      <c r="E25" s="434">
        <f>'UTILITY REPORT 1'!I26</f>
        <v>61.32</v>
      </c>
      <c r="F25" s="434">
        <f>'UTILITY REPORT 1'!E26</f>
        <v>1086.5999999999999</v>
      </c>
      <c r="G25" s="435">
        <f>'UTILITY REPORT 1'!F26</f>
        <v>2616</v>
      </c>
      <c r="H25" s="434">
        <f>IF('Kit report'!F27&lt;0,"0",'Kit report'!F27)</f>
        <v>252.00000000004366</v>
      </c>
      <c r="I25" s="434">
        <f>IF('Kit report'!X27&lt;0,"0",'Kit report'!X27)</f>
        <v>339.99999999996362</v>
      </c>
      <c r="J25" s="434">
        <f>IF('Utility summery'!H29&lt;0,"0",'Utility summery'!H29)</f>
        <v>47</v>
      </c>
      <c r="K25" s="435">
        <f>IF('UTILITY REPORT 1'!H26&lt;0,"0",'UTILITY REPORT 1'!H26)</f>
        <v>162</v>
      </c>
      <c r="L25" s="434">
        <f>'Water-Meter'!K29</f>
        <v>1</v>
      </c>
      <c r="M25" s="435">
        <f>'Water-Meter'!H29</f>
        <v>0</v>
      </c>
      <c r="N25" s="435">
        <f>'Water-Meter'!Q29</f>
        <v>4</v>
      </c>
      <c r="O25" s="434" t="e">
        <f>K25*E25+H25*I25+#REF!*#REF!+J25*L25</f>
        <v>#REF!</v>
      </c>
      <c r="P25" s="440">
        <f>'Water-Meter'!E29</f>
        <v>46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0</v>
      </c>
      <c r="T25" s="228">
        <f>IF('Water-Meter'!AD29&lt;0,"0",'Water-Meter'!AD29)</f>
        <v>15</v>
      </c>
      <c r="U25" s="228">
        <f>IF('Water-Meter'!AG29&lt;0,"0",'Water-Meter'!AG29)</f>
        <v>0</v>
      </c>
      <c r="V25" s="228">
        <f>IF('Water-Meter'!AJ29&lt;0,"0",'Water-Meter'!AJ29)</f>
        <v>31</v>
      </c>
      <c r="W25" s="29">
        <f>'Water-Meter'!AN29</f>
        <v>46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5</v>
      </c>
      <c r="D26" s="439">
        <v>2021</v>
      </c>
      <c r="E26" s="434">
        <f>'UTILITY REPORT 1'!I27</f>
        <v>255.52</v>
      </c>
      <c r="F26" s="434">
        <f>'UTILITY REPORT 1'!E27</f>
        <v>1194.43</v>
      </c>
      <c r="G26" s="435">
        <f>'UTILITY REPORT 1'!F27</f>
        <v>2941</v>
      </c>
      <c r="H26" s="434">
        <f>IF('Kit report'!F28&lt;0,"0",'Kit report'!F28)</f>
        <v>276.00000000013097</v>
      </c>
      <c r="I26" s="434">
        <f>IF('Kit report'!X28&lt;0,"0",'Kit report'!X28)</f>
        <v>360.00000000003638</v>
      </c>
      <c r="J26" s="434">
        <f>IF('Utility summery'!H30&lt;0,"0",'Utility summery'!H30)</f>
        <v>24</v>
      </c>
      <c r="K26" s="435">
        <f>IF('UTILITY REPORT 1'!H27&lt;0,"0",'UTILITY REPORT 1'!H27)</f>
        <v>75</v>
      </c>
      <c r="L26" s="434">
        <f>'Water-Meter'!K30</f>
        <v>1</v>
      </c>
      <c r="M26" s="435">
        <f>'Water-Meter'!H30</f>
        <v>0</v>
      </c>
      <c r="N26" s="435">
        <f>'Water-Meter'!Q30</f>
        <v>4</v>
      </c>
      <c r="O26" s="434" t="e">
        <f>K26*E26+H26*I26+#REF!*#REF!+J26*L26</f>
        <v>#REF!</v>
      </c>
      <c r="P26" s="440">
        <f>'Water-Meter'!E30</f>
        <v>51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29</v>
      </c>
      <c r="T26" s="228">
        <f>IF('Water-Meter'!AD30&lt;0,"0",'Water-Meter'!AD30)</f>
        <v>15</v>
      </c>
      <c r="U26" s="228">
        <f>IF('Water-Meter'!AG30&lt;0,"0",'Water-Meter'!AG30)</f>
        <v>0</v>
      </c>
      <c r="V26" s="228">
        <f>IF('Water-Meter'!AJ30&lt;0,"0",'Water-Meter'!AJ30)</f>
        <v>28</v>
      </c>
      <c r="W26" s="29">
        <f>'Water-Meter'!AN30</f>
        <v>72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5</v>
      </c>
      <c r="D27" s="439">
        <v>2021</v>
      </c>
      <c r="E27" s="434">
        <f>'UTILITY REPORT 1'!I28</f>
        <v>23.89</v>
      </c>
      <c r="F27" s="434">
        <f>'UTILITY REPORT 1'!E28</f>
        <v>1174.3499999999999</v>
      </c>
      <c r="G27" s="435">
        <f>'UTILITY REPORT 1'!F28</f>
        <v>2802</v>
      </c>
      <c r="H27" s="434">
        <f>IF('Kit report'!F29&lt;0,"0",'Kit report'!F29)</f>
        <v>287.99999999995634</v>
      </c>
      <c r="I27" s="434">
        <f>IF('Kit report'!X29&lt;0,"0",'Kit report'!X29)</f>
        <v>359.99999999985448</v>
      </c>
      <c r="J27" s="434">
        <f>IF('Utility summery'!H31&lt;0,"0",'Utility summery'!H31)</f>
        <v>21</v>
      </c>
      <c r="K27" s="435">
        <f>IF('UTILITY REPORT 1'!H28&lt;0,"0",'UTILITY REPORT 1'!H28)</f>
        <v>55</v>
      </c>
      <c r="L27" s="434">
        <f>'Water-Meter'!K31</f>
        <v>3</v>
      </c>
      <c r="M27" s="435">
        <f>'Water-Meter'!H31</f>
        <v>0</v>
      </c>
      <c r="N27" s="435">
        <f>'Water-Meter'!Q31</f>
        <v>4</v>
      </c>
      <c r="O27" s="434" t="e">
        <f>K27*E27+H27*I27+#REF!*#REF!+J27*L27</f>
        <v>#REF!</v>
      </c>
      <c r="P27" s="440">
        <f>'Water-Meter'!E31</f>
        <v>56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36</v>
      </c>
      <c r="T27" s="228">
        <f>IF('Water-Meter'!AD31&lt;0,"0",'Water-Meter'!AD31)</f>
        <v>17</v>
      </c>
      <c r="U27" s="228">
        <f>IF('Water-Meter'!AG31&lt;0,"0",'Water-Meter'!AG31)</f>
        <v>0</v>
      </c>
      <c r="V27" s="228">
        <f>IF('Water-Meter'!AJ31&lt;0,"0",'Water-Meter'!AJ31)</f>
        <v>35</v>
      </c>
      <c r="W27" s="29">
        <f>'Water-Meter'!AN31</f>
        <v>88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5</v>
      </c>
      <c r="D28" s="439">
        <v>2021</v>
      </c>
      <c r="E28" s="434">
        <f>'UTILITY REPORT 1'!I29</f>
        <v>0</v>
      </c>
      <c r="F28" s="434">
        <f>'UTILITY REPORT 1'!E29</f>
        <v>0</v>
      </c>
      <c r="G28" s="435">
        <f>'UTILITY REPORT 1'!F29</f>
        <v>0</v>
      </c>
      <c r="H28" s="434" t="str">
        <f>IF('Kit report'!F30&lt;0,"0",'Kit report'!F30)</f>
        <v>0</v>
      </c>
      <c r="I28" s="434" t="str">
        <f>IF('Kit report'!X30&lt;0,"0",'Kit report'!X30)</f>
        <v>0</v>
      </c>
      <c r="J28" s="434" t="str">
        <f>IF('Utility summery'!H32&lt;0,"0",'Utility summery'!H32)</f>
        <v>0</v>
      </c>
      <c r="K28" s="435" t="str">
        <f>IF('UTILITY REPORT 1'!H29&lt;0,"0",'UTILITY REPORT 1'!H29)</f>
        <v>0</v>
      </c>
      <c r="L28" s="434" t="str">
        <f>'Water-Meter'!K32</f>
        <v>0</v>
      </c>
      <c r="M28" s="435" t="str">
        <f>'Water-Meter'!H32</f>
        <v>0</v>
      </c>
      <c r="N28" s="435" t="str">
        <f>'Water-Meter'!Q32</f>
        <v>0</v>
      </c>
      <c r="O28" s="434" t="e">
        <f>K28*E28+H28*I28+#REF!*#REF!+J28*L28</f>
        <v>#REF!</v>
      </c>
      <c r="P28" s="440" t="str">
        <f>'Water-Meter'!E32</f>
        <v>0</v>
      </c>
      <c r="Q28" s="228" t="str">
        <f>IF('Water-Meter'!U32&lt;0,"0",'Water-Meter'!U32)</f>
        <v>0</v>
      </c>
      <c r="R28" s="228" t="str">
        <f>IF('Water-Meter'!X32&lt;0,"0",'Water-Meter'!X32)</f>
        <v>0</v>
      </c>
      <c r="S28" s="228" t="str">
        <f>IF('Water-Meter'!AA32&lt;0,"0",'Water-Meter'!AA32)</f>
        <v>0</v>
      </c>
      <c r="T28" s="228" t="str">
        <f>IF('Water-Meter'!AD32&lt;0,"0",'Water-Meter'!AD32)</f>
        <v>0</v>
      </c>
      <c r="U28" s="228" t="str">
        <f>IF('Water-Meter'!AG32&lt;0,"0",'Water-Meter'!AG32)</f>
        <v>0</v>
      </c>
      <c r="V28" s="228" t="str">
        <f>IF('Water-Meter'!AJ32&lt;0,"0",'Water-Meter'!AJ32)</f>
        <v>0</v>
      </c>
      <c r="W28" s="29">
        <f>'Water-Meter'!AN32</f>
        <v>0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5</v>
      </c>
      <c r="D29" s="439">
        <v>2021</v>
      </c>
      <c r="E29" s="434">
        <f>'UTILITY REPORT 1'!I30</f>
        <v>0</v>
      </c>
      <c r="F29" s="434">
        <f>'UTILITY REPORT 1'!E30</f>
        <v>0</v>
      </c>
      <c r="G29" s="435">
        <f>'UTILITY REPORT 1'!F30</f>
        <v>0</v>
      </c>
      <c r="H29" s="434">
        <f>IF('Kit report'!F31&lt;0,"0",'Kit report'!F31)</f>
        <v>0</v>
      </c>
      <c r="I29" s="434">
        <f>IF('Kit report'!X31&lt;0,"0",'Kit report'!X31)</f>
        <v>0</v>
      </c>
      <c r="J29" s="434">
        <f>IF('Utility summery'!H33&lt;0,"0",'Utility summery'!H33)</f>
        <v>0</v>
      </c>
      <c r="K29" s="435">
        <f>IF('UTILITY REPORT 1'!H30&lt;0,"0",'UTILITY REPORT 1'!H30)</f>
        <v>0</v>
      </c>
      <c r="L29" s="434">
        <f>'Water-Meter'!K33</f>
        <v>0</v>
      </c>
      <c r="M29" s="435">
        <f>'Water-Meter'!H33</f>
        <v>0</v>
      </c>
      <c r="N29" s="435">
        <f>'Water-Meter'!Q33</f>
        <v>0</v>
      </c>
      <c r="O29" s="434" t="e">
        <f>K29*E29+H29*I29+#REF!*#REF!+J29*L29</f>
        <v>#REF!</v>
      </c>
      <c r="P29" s="440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5</v>
      </c>
      <c r="D30" s="439">
        <v>2021</v>
      </c>
      <c r="E30" s="434">
        <f>'UTILITY REPORT 1'!I31</f>
        <v>0</v>
      </c>
      <c r="F30" s="434">
        <f>'UTILITY REPORT 1'!E31</f>
        <v>0</v>
      </c>
      <c r="G30" s="435">
        <f>'UTILITY REPORT 1'!F31</f>
        <v>0</v>
      </c>
      <c r="H30" s="434">
        <f>IF('Kit report'!F32&lt;0,"0",'Kit report'!F32)</f>
        <v>0</v>
      </c>
      <c r="I30" s="434">
        <f>IF('Kit report'!X32&lt;0,"0",'Kit report'!X32)</f>
        <v>0</v>
      </c>
      <c r="J30" s="434">
        <f>IF('Utility summery'!H34&lt;0,"0",'Utility summery'!H34)</f>
        <v>0</v>
      </c>
      <c r="K30" s="435">
        <f>IF('UTILITY REPORT 1'!H31&lt;0,"0",'UTILITY REPORT 1'!H31)</f>
        <v>0</v>
      </c>
      <c r="L30" s="434">
        <f>'Water-Meter'!K34</f>
        <v>0</v>
      </c>
      <c r="M30" s="435">
        <f>'Water-Meter'!H34</f>
        <v>0</v>
      </c>
      <c r="N30" s="435">
        <f>'Water-Meter'!Q34</f>
        <v>0</v>
      </c>
      <c r="O30" s="434" t="e">
        <f>K30*E30+H30*I30+#REF!*#REF!+J30*L30</f>
        <v>#REF!</v>
      </c>
      <c r="P30" s="440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5</v>
      </c>
      <c r="D31" s="439">
        <v>2021</v>
      </c>
      <c r="E31" s="434">
        <f>'UTILITY REPORT 1'!I32</f>
        <v>0</v>
      </c>
      <c r="F31" s="434">
        <f>'UTILITY REPORT 1'!E32</f>
        <v>0</v>
      </c>
      <c r="G31" s="435">
        <f>'UTILITY REPORT 1'!F32</f>
        <v>0</v>
      </c>
      <c r="H31" s="434">
        <f>IF('Kit report'!F33&lt;0,"0",'Kit report'!F33)</f>
        <v>0</v>
      </c>
      <c r="I31" s="434">
        <f>IF('Kit report'!X33&lt;0,"0",'Kit report'!X33)</f>
        <v>0</v>
      </c>
      <c r="J31" s="434">
        <f>IF('Utility summery'!H35&lt;0,"0",'Utility summery'!H35)</f>
        <v>0</v>
      </c>
      <c r="K31" s="435">
        <f>IF('UTILITY REPORT 1'!H32&lt;0,"0",'UTILITY REPORT 1'!H32)</f>
        <v>0</v>
      </c>
      <c r="L31" s="434">
        <f>'Water-Meter'!K35</f>
        <v>0</v>
      </c>
      <c r="M31" s="435">
        <f>'Water-Meter'!H35</f>
        <v>0</v>
      </c>
      <c r="N31" s="435">
        <f>'Water-Meter'!Q35</f>
        <v>0</v>
      </c>
      <c r="O31" s="434" t="e">
        <f>K31*E31+H31*I31+#REF!*#REF!+J31*L31</f>
        <v>#REF!</v>
      </c>
      <c r="P31" s="440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5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>
        <f>IF('Kit report'!F34&lt;0,"0",'Kit report'!F34)</f>
        <v>0</v>
      </c>
      <c r="I32" s="434">
        <f>IF('Kit report'!X34&lt;0,"0",'Kit report'!X34)</f>
        <v>0</v>
      </c>
      <c r="J32" s="434">
        <f>IF('Utility summery'!H36&lt;0,"0",'Utility summery'!H36)</f>
        <v>0</v>
      </c>
      <c r="K32" s="435">
        <f>IF('UTILITY REPORT 1'!H33&lt;0,"0",'UTILITY REPORT 1'!H33)</f>
        <v>0</v>
      </c>
      <c r="L32" s="434">
        <f>'Water-Meter'!K36</f>
        <v>0</v>
      </c>
      <c r="M32" s="435">
        <f>'Water-Meter'!H36</f>
        <v>0</v>
      </c>
      <c r="N32" s="435">
        <f>'Water-Meter'!Q36</f>
        <v>0</v>
      </c>
      <c r="O32" s="228"/>
      <c r="P32" s="440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1" t="s">
        <v>31</v>
      </c>
      <c r="B1" s="821"/>
      <c r="C1" s="821"/>
      <c r="D1" s="821"/>
      <c r="E1" s="821"/>
      <c r="F1" s="821"/>
      <c r="G1" s="821"/>
      <c r="H1" s="821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44317</v>
      </c>
      <c r="B3" s="386">
        <f>Gen!B11</f>
        <v>0.01</v>
      </c>
      <c r="C3" s="387">
        <f>'Summery Report'!E5</f>
        <v>0</v>
      </c>
      <c r="D3" s="388">
        <v>1</v>
      </c>
      <c r="E3" s="387">
        <f>Gen!S11</f>
        <v>1091.6300000000001</v>
      </c>
      <c r="F3" s="387">
        <f>Gen!T11</f>
        <v>2650</v>
      </c>
      <c r="G3" s="387">
        <f>'Water-Meter'!E6</f>
        <v>41</v>
      </c>
      <c r="H3" s="387">
        <f>'Utility report '!AC6</f>
        <v>118</v>
      </c>
      <c r="I3" s="387">
        <f>Gen!AJ11</f>
        <v>88.75</v>
      </c>
    </row>
    <row r="4" spans="1:9" ht="13.5">
      <c r="A4" s="384">
        <f>Gen!A12</f>
        <v>44318</v>
      </c>
      <c r="B4" s="386">
        <f>Gen!B12</f>
        <v>0</v>
      </c>
      <c r="C4" s="387">
        <f>'Summery Report'!E6</f>
        <v>0</v>
      </c>
      <c r="D4" s="388">
        <v>1</v>
      </c>
      <c r="E4" s="387">
        <f>Gen!S12</f>
        <v>1114.1600000000001</v>
      </c>
      <c r="F4" s="387">
        <f>Gen!T12</f>
        <v>2697</v>
      </c>
      <c r="G4" s="387">
        <f>'Water-Meter'!E7</f>
        <v>50</v>
      </c>
      <c r="H4" s="387">
        <f>'Utility report '!AC7</f>
        <v>38</v>
      </c>
      <c r="I4" s="387">
        <f>Gen!AJ12</f>
        <v>0</v>
      </c>
    </row>
    <row r="5" spans="1:9" ht="13.5">
      <c r="A5" s="384">
        <f>Gen!A13</f>
        <v>44319</v>
      </c>
      <c r="B5" s="386">
        <f>Gen!B13</f>
        <v>3.9E-2</v>
      </c>
      <c r="C5" s="387">
        <f>'Summery Report'!E7</f>
        <v>0</v>
      </c>
      <c r="D5" s="388">
        <v>1</v>
      </c>
      <c r="E5" s="387">
        <f>Gen!S13</f>
        <v>1088.57</v>
      </c>
      <c r="F5" s="387">
        <f>Gen!T13</f>
        <v>2639</v>
      </c>
      <c r="G5" s="387">
        <f>'Water-Meter'!E8</f>
        <v>50</v>
      </c>
      <c r="H5" s="387">
        <f>'Utility report '!AC8</f>
        <v>37</v>
      </c>
      <c r="I5" s="387">
        <f>Gen!AJ13</f>
        <v>29.76</v>
      </c>
    </row>
    <row r="6" spans="1:9" ht="13.5">
      <c r="A6" s="384">
        <f>Gen!A14</f>
        <v>44320</v>
      </c>
      <c r="B6" s="386">
        <f>Gen!B14</f>
        <v>5.1999999999999998E-2</v>
      </c>
      <c r="C6" s="387">
        <f>'Summery Report'!E8</f>
        <v>0</v>
      </c>
      <c r="D6" s="388">
        <v>1</v>
      </c>
      <c r="E6" s="387">
        <f>Gen!S14</f>
        <v>1166.47</v>
      </c>
      <c r="F6" s="387">
        <f>Gen!T14</f>
        <v>2826</v>
      </c>
      <c r="G6" s="387">
        <f>'Water-Meter'!E9</f>
        <v>50</v>
      </c>
      <c r="H6" s="387">
        <f>'Utility report '!AC9</f>
        <v>32</v>
      </c>
      <c r="I6" s="387">
        <f>Gen!AJ14</f>
        <v>38.130000000000003</v>
      </c>
    </row>
    <row r="7" spans="1:9" ht="13.5">
      <c r="A7" s="384">
        <f>Gen!A15</f>
        <v>44321</v>
      </c>
      <c r="B7" s="386">
        <f>Gen!B15</f>
        <v>5.6000000000000001E-2</v>
      </c>
      <c r="C7" s="387">
        <f>'Summery Report'!E9</f>
        <v>0</v>
      </c>
      <c r="D7" s="388">
        <v>1</v>
      </c>
      <c r="E7" s="387">
        <f>Gen!S15</f>
        <v>1125.1500000000001</v>
      </c>
      <c r="F7" s="387">
        <f>Gen!T15</f>
        <v>2780</v>
      </c>
      <c r="G7" s="387">
        <f>'Water-Meter'!E10</f>
        <v>67</v>
      </c>
      <c r="H7" s="387">
        <f>'Utility report '!AC10</f>
        <v>38</v>
      </c>
      <c r="I7" s="387">
        <f>Gen!AJ15</f>
        <v>0</v>
      </c>
    </row>
    <row r="8" spans="1:9" ht="13.5">
      <c r="A8" s="384">
        <f>Gen!A16</f>
        <v>44322</v>
      </c>
      <c r="B8" s="386">
        <f>Gen!B16</f>
        <v>5.6000000000000001E-2</v>
      </c>
      <c r="C8" s="387">
        <f>'Summery Report'!E10</f>
        <v>0</v>
      </c>
      <c r="D8" s="388">
        <v>1</v>
      </c>
      <c r="E8" s="387">
        <f>Gen!S16</f>
        <v>1179.4100000000001</v>
      </c>
      <c r="F8" s="387">
        <f>Gen!T16</f>
        <v>2900</v>
      </c>
      <c r="G8" s="387">
        <f>'Water-Meter'!E11</f>
        <v>70</v>
      </c>
      <c r="H8" s="387">
        <f>'Utility report '!AC11</f>
        <v>34</v>
      </c>
      <c r="I8" s="387">
        <f>Gen!AJ16</f>
        <v>500.13000000000005</v>
      </c>
    </row>
    <row r="9" spans="1:9" ht="13.5">
      <c r="A9" s="384">
        <f>Gen!A17</f>
        <v>44323</v>
      </c>
      <c r="B9" s="386">
        <f>Gen!B17</f>
        <v>0</v>
      </c>
      <c r="C9" s="387">
        <f>'Summery Report'!E11</f>
        <v>0</v>
      </c>
      <c r="D9" s="388">
        <v>1</v>
      </c>
      <c r="E9" s="387">
        <f>Gen!S17</f>
        <v>1126.3599999999999</v>
      </c>
      <c r="F9" s="387">
        <f>Gen!T17</f>
        <v>2734</v>
      </c>
      <c r="G9" s="387">
        <f>'Water-Meter'!E12</f>
        <v>50</v>
      </c>
      <c r="H9" s="387">
        <f>'Utility report '!AC12</f>
        <v>88</v>
      </c>
      <c r="I9" s="387">
        <f>Gen!AJ17</f>
        <v>0</v>
      </c>
    </row>
    <row r="10" spans="1:9" ht="13.5">
      <c r="A10" s="384">
        <f>Gen!A18</f>
        <v>44324</v>
      </c>
      <c r="B10" s="386">
        <f>Gen!B18</f>
        <v>0</v>
      </c>
      <c r="C10" s="387">
        <f>'Summery Report'!E12</f>
        <v>0</v>
      </c>
      <c r="D10" s="388">
        <v>1</v>
      </c>
      <c r="E10" s="387">
        <f>Gen!S18</f>
        <v>1233.05</v>
      </c>
      <c r="F10" s="387">
        <f>Gen!T18</f>
        <v>2996</v>
      </c>
      <c r="G10" s="387">
        <f>'Water-Meter'!E13</f>
        <v>51</v>
      </c>
      <c r="H10" s="387">
        <f>'Utility report '!AC13</f>
        <v>150</v>
      </c>
      <c r="I10" s="387">
        <f>Gen!AJ18</f>
        <v>248</v>
      </c>
    </row>
    <row r="11" spans="1:9" ht="13.5">
      <c r="A11" s="384">
        <f>Gen!A19</f>
        <v>44325</v>
      </c>
      <c r="B11" s="386">
        <f>Gen!B19</f>
        <v>0</v>
      </c>
      <c r="C11" s="387">
        <f>'Summery Report'!E13</f>
        <v>0</v>
      </c>
      <c r="D11" s="388">
        <v>1</v>
      </c>
      <c r="E11" s="387">
        <f>Gen!S19</f>
        <v>1058.0899999999999</v>
      </c>
      <c r="F11" s="387">
        <f>Gen!T19</f>
        <v>2627</v>
      </c>
      <c r="G11" s="387">
        <f>'Water-Meter'!E14</f>
        <v>76</v>
      </c>
      <c r="H11" s="387">
        <f>'Utility report '!AC14</f>
        <v>22</v>
      </c>
      <c r="I11" s="387">
        <f>Gen!AJ19</f>
        <v>146.15</v>
      </c>
    </row>
    <row r="12" spans="1:9" ht="13.5">
      <c r="A12" s="384">
        <f>Gen!A20</f>
        <v>44326</v>
      </c>
      <c r="B12" s="386">
        <f>Gen!B20</f>
        <v>0</v>
      </c>
      <c r="C12" s="387">
        <f>'Summery Report'!E14</f>
        <v>0</v>
      </c>
      <c r="D12" s="388">
        <v>1</v>
      </c>
      <c r="E12" s="387">
        <f>Gen!S20</f>
        <v>1086.6400000000001</v>
      </c>
      <c r="F12" s="387">
        <f>Gen!T20</f>
        <v>2619</v>
      </c>
      <c r="G12" s="387">
        <f>'Water-Meter'!E15</f>
        <v>20</v>
      </c>
      <c r="H12" s="387">
        <f>'Utility report '!AC15</f>
        <v>33</v>
      </c>
      <c r="I12" s="387">
        <f>Gen!AJ20</f>
        <v>140.32999999999998</v>
      </c>
    </row>
    <row r="13" spans="1:9" ht="13.5">
      <c r="A13" s="384">
        <f>Gen!A21</f>
        <v>44327</v>
      </c>
      <c r="B13" s="386">
        <f>Gen!B21</f>
        <v>0</v>
      </c>
      <c r="C13" s="387">
        <f>'Summery Report'!E15</f>
        <v>0</v>
      </c>
      <c r="D13" s="388">
        <v>1</v>
      </c>
      <c r="E13" s="387">
        <f>Gen!S21</f>
        <v>1059.05</v>
      </c>
      <c r="F13" s="387">
        <f>Gen!T21</f>
        <v>2525</v>
      </c>
      <c r="G13" s="387">
        <f>'Water-Meter'!E16</f>
        <v>54</v>
      </c>
      <c r="H13" s="387">
        <f>'Utility report '!AC16</f>
        <v>33</v>
      </c>
      <c r="I13" s="387">
        <f>Gen!AJ21</f>
        <v>647</v>
      </c>
    </row>
    <row r="14" spans="1:9" ht="13.5">
      <c r="A14" s="384">
        <f>Gen!A22</f>
        <v>44328</v>
      </c>
      <c r="B14" s="386">
        <f>Gen!B22</f>
        <v>0</v>
      </c>
      <c r="C14" s="387">
        <f>'Summery Report'!E16</f>
        <v>0</v>
      </c>
      <c r="D14" s="388">
        <v>1</v>
      </c>
      <c r="E14" s="387">
        <f>Gen!S22</f>
        <v>1046.1600000000001</v>
      </c>
      <c r="F14" s="387">
        <f>Gen!T22</f>
        <v>2428</v>
      </c>
      <c r="G14" s="387">
        <f>'Water-Meter'!E17</f>
        <v>51</v>
      </c>
      <c r="H14" s="387">
        <f>'Utility report '!AC17</f>
        <v>31</v>
      </c>
      <c r="I14" s="387">
        <f>Gen!AJ22</f>
        <v>0</v>
      </c>
    </row>
    <row r="15" spans="1:9" ht="13.5">
      <c r="A15" s="384">
        <f>Gen!A23</f>
        <v>44329</v>
      </c>
      <c r="B15" s="386">
        <f>Gen!B23</f>
        <v>0</v>
      </c>
      <c r="C15" s="387">
        <f>'Summery Report'!E17</f>
        <v>0</v>
      </c>
      <c r="D15" s="388">
        <v>1</v>
      </c>
      <c r="E15" s="387">
        <f>Gen!S23</f>
        <v>1005.86</v>
      </c>
      <c r="F15" s="387">
        <f>Gen!T23</f>
        <v>2512</v>
      </c>
      <c r="G15" s="387">
        <f>'Water-Meter'!E18</f>
        <v>54</v>
      </c>
      <c r="H15" s="387">
        <f>'Utility report '!AC18</f>
        <v>85</v>
      </c>
      <c r="I15" s="387">
        <f>Gen!AJ23</f>
        <v>249.48</v>
      </c>
    </row>
    <row r="16" spans="1:9" ht="13.5">
      <c r="A16" s="384">
        <f>Gen!A24</f>
        <v>44330</v>
      </c>
      <c r="B16" s="386">
        <f>Gen!B24</f>
        <v>0</v>
      </c>
      <c r="C16" s="387">
        <f>'Summery Report'!E18</f>
        <v>0</v>
      </c>
      <c r="D16" s="388">
        <v>1</v>
      </c>
      <c r="E16" s="387">
        <f>Gen!S24</f>
        <v>1140.98</v>
      </c>
      <c r="F16" s="387">
        <f>Gen!T24</f>
        <v>2744</v>
      </c>
      <c r="G16" s="387">
        <f>'Water-Meter'!E19</f>
        <v>42</v>
      </c>
      <c r="H16" s="387">
        <f>'Utility report '!AC19</f>
        <v>89</v>
      </c>
      <c r="I16" s="387">
        <f>Gen!AJ24</f>
        <v>93.42</v>
      </c>
    </row>
    <row r="17" spans="1:9" ht="13.5">
      <c r="A17" s="384">
        <f>Gen!A25</f>
        <v>44331</v>
      </c>
      <c r="B17" s="386">
        <f>Gen!B25</f>
        <v>0</v>
      </c>
      <c r="C17" s="387">
        <f>'Summery Report'!E19</f>
        <v>0</v>
      </c>
      <c r="D17" s="388">
        <v>1</v>
      </c>
      <c r="E17" s="387">
        <f>Gen!S25</f>
        <v>1050.24</v>
      </c>
      <c r="F17" s="387">
        <f>Gen!T25</f>
        <v>2461</v>
      </c>
      <c r="G17" s="387">
        <f>'Water-Meter'!E20</f>
        <v>46</v>
      </c>
      <c r="H17" s="387">
        <f>'Utility report '!AC20</f>
        <v>10</v>
      </c>
      <c r="I17" s="387">
        <f>Gen!AJ25</f>
        <v>156.24</v>
      </c>
    </row>
    <row r="18" spans="1:9" ht="13.5">
      <c r="A18" s="384">
        <f>Gen!A26</f>
        <v>44332</v>
      </c>
      <c r="B18" s="386">
        <f>Gen!B26</f>
        <v>0</v>
      </c>
      <c r="C18" s="387">
        <f>'Summery Report'!E20</f>
        <v>0</v>
      </c>
      <c r="D18" s="388">
        <v>1</v>
      </c>
      <c r="E18" s="387">
        <f>Gen!S26</f>
        <v>1110.23</v>
      </c>
      <c r="F18" s="387">
        <f>Gen!T26</f>
        <v>2626</v>
      </c>
      <c r="G18" s="387">
        <f>'Water-Meter'!E21</f>
        <v>45</v>
      </c>
      <c r="H18" s="387">
        <f>'Utility report '!AC21</f>
        <v>70</v>
      </c>
      <c r="I18" s="387">
        <f>Gen!AJ26</f>
        <v>0</v>
      </c>
    </row>
    <row r="19" spans="1:9" ht="13.5">
      <c r="A19" s="384">
        <f>Gen!A27</f>
        <v>44333</v>
      </c>
      <c r="B19" s="386">
        <f>Gen!B27</f>
        <v>0</v>
      </c>
      <c r="C19" s="387">
        <f>'Summery Report'!E21</f>
        <v>0</v>
      </c>
      <c r="D19" s="388">
        <v>1</v>
      </c>
      <c r="E19" s="387">
        <f>Gen!S27</f>
        <v>1222.44</v>
      </c>
      <c r="F19" s="387">
        <f>Gen!T27</f>
        <v>3052</v>
      </c>
      <c r="G19" s="387">
        <f>'Water-Meter'!E22</f>
        <v>57</v>
      </c>
      <c r="H19" s="387">
        <f>'Utility report '!AC22</f>
        <v>79</v>
      </c>
      <c r="I19" s="387">
        <f>Gen!AJ27</f>
        <v>117.91999999999999</v>
      </c>
    </row>
    <row r="20" spans="1:9" ht="13.5">
      <c r="A20" s="384">
        <f>Gen!A28</f>
        <v>44334</v>
      </c>
      <c r="B20" s="386">
        <f>Gen!B28</f>
        <v>0</v>
      </c>
      <c r="C20" s="387">
        <f>'Summery Report'!E22</f>
        <v>0</v>
      </c>
      <c r="D20" s="388">
        <v>1</v>
      </c>
      <c r="E20" s="387">
        <f>Gen!S28</f>
        <v>1222.1600000000001</v>
      </c>
      <c r="F20" s="387">
        <f>Gen!T28</f>
        <v>2929</v>
      </c>
      <c r="G20" s="387">
        <f>'Water-Meter'!E23</f>
        <v>47</v>
      </c>
      <c r="H20" s="387">
        <f>'Utility report '!AC23</f>
        <v>36</v>
      </c>
      <c r="I20" s="387">
        <f>Gen!AJ28</f>
        <v>0</v>
      </c>
    </row>
    <row r="21" spans="1:9" ht="13.5">
      <c r="A21" s="384">
        <f>Gen!A29</f>
        <v>44335</v>
      </c>
      <c r="B21" s="386">
        <f>Gen!B29</f>
        <v>0</v>
      </c>
      <c r="C21" s="387">
        <f>'Summery Report'!E23</f>
        <v>0</v>
      </c>
      <c r="D21" s="388">
        <v>1</v>
      </c>
      <c r="E21" s="387">
        <f>Gen!S29</f>
        <v>1168.1199999999999</v>
      </c>
      <c r="F21" s="387">
        <f>Gen!T29</f>
        <v>2825</v>
      </c>
      <c r="G21" s="387">
        <f>'Water-Meter'!E24</f>
        <v>45</v>
      </c>
      <c r="H21" s="387">
        <f>'Utility report '!AC24</f>
        <v>35</v>
      </c>
      <c r="I21" s="387">
        <f>Gen!AJ29</f>
        <v>168.17000000000002</v>
      </c>
    </row>
    <row r="22" spans="1:9" ht="13.5">
      <c r="A22" s="384">
        <f>Gen!A30</f>
        <v>44336</v>
      </c>
      <c r="B22" s="386">
        <f>Gen!B30</f>
        <v>0</v>
      </c>
      <c r="C22" s="387">
        <f>'Summery Report'!E24</f>
        <v>0</v>
      </c>
      <c r="D22" s="388">
        <v>1</v>
      </c>
      <c r="E22" s="387">
        <f>Gen!S30</f>
        <v>1133.48</v>
      </c>
      <c r="F22" s="387">
        <f>Gen!T30</f>
        <v>2766</v>
      </c>
      <c r="G22" s="387">
        <f>'Water-Meter'!E25</f>
        <v>49</v>
      </c>
      <c r="H22" s="387">
        <f>'Utility report '!AC25</f>
        <v>34</v>
      </c>
      <c r="I22" s="387">
        <f>Gen!AJ30</f>
        <v>80.400000000000006</v>
      </c>
    </row>
    <row r="23" spans="1:9" ht="13.5">
      <c r="A23" s="384">
        <f>Gen!A31</f>
        <v>44337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1112.7</v>
      </c>
      <c r="F23" s="387">
        <f>Gen!T31</f>
        <v>2747</v>
      </c>
      <c r="G23" s="387">
        <f>'Water-Meter'!E26</f>
        <v>45</v>
      </c>
      <c r="H23" s="387">
        <f>'Utility report '!AC26</f>
        <v>31</v>
      </c>
      <c r="I23" s="387">
        <f>Gen!AJ31</f>
        <v>289</v>
      </c>
    </row>
    <row r="24" spans="1:9" ht="13.5">
      <c r="A24" s="384">
        <f>Gen!A32</f>
        <v>44338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1123.32</v>
      </c>
      <c r="F24" s="387">
        <f>Gen!T32</f>
        <v>2714</v>
      </c>
      <c r="G24" s="387">
        <f>'Water-Meter'!E27</f>
        <v>63</v>
      </c>
      <c r="H24" s="387">
        <f>'Utility report '!AC27</f>
        <v>19</v>
      </c>
      <c r="I24" s="387">
        <f>Gen!AJ32</f>
        <v>299.91999999999996</v>
      </c>
    </row>
    <row r="25" spans="1:9" ht="13.5">
      <c r="A25" s="384">
        <f>Gen!A33</f>
        <v>44339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1170.9100000000001</v>
      </c>
      <c r="F25" s="387">
        <f>Gen!T33</f>
        <v>2815</v>
      </c>
      <c r="G25" s="387">
        <f>'Water-Meter'!E28</f>
        <v>47</v>
      </c>
      <c r="H25" s="387">
        <f>'Utility report '!AC28</f>
        <v>25</v>
      </c>
      <c r="I25" s="387">
        <f>Gen!AJ33</f>
        <v>11.74</v>
      </c>
    </row>
    <row r="26" spans="1:9" ht="13.5">
      <c r="A26" s="384">
        <f>Gen!A34</f>
        <v>44340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1086.5999999999999</v>
      </c>
      <c r="F26" s="387">
        <f>Gen!T34</f>
        <v>2616</v>
      </c>
      <c r="G26" s="387">
        <f>'Water-Meter'!E29</f>
        <v>46</v>
      </c>
      <c r="H26" s="387">
        <f>'Utility report '!AC29</f>
        <v>162</v>
      </c>
      <c r="I26" s="387">
        <f>Gen!AJ34</f>
        <v>61.32</v>
      </c>
    </row>
    <row r="27" spans="1:9" ht="13.5">
      <c r="A27" s="384">
        <f>Gen!A35</f>
        <v>44341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1194.43</v>
      </c>
      <c r="F27" s="387">
        <f>Gen!T35</f>
        <v>2941</v>
      </c>
      <c r="G27" s="387">
        <f>'Water-Meter'!E30</f>
        <v>51</v>
      </c>
      <c r="H27" s="387">
        <f>'Utility report '!AC30</f>
        <v>75</v>
      </c>
      <c r="I27" s="387">
        <f>Gen!AJ35</f>
        <v>255.52</v>
      </c>
    </row>
    <row r="28" spans="1:9" ht="13.5">
      <c r="A28" s="384">
        <f>Gen!A36</f>
        <v>44342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1174.3499999999999</v>
      </c>
      <c r="F28" s="387">
        <f>Gen!T36</f>
        <v>2802</v>
      </c>
      <c r="G28" s="387">
        <f>'Water-Meter'!E31</f>
        <v>56</v>
      </c>
      <c r="H28" s="387">
        <f>'Utility report '!AC31</f>
        <v>55</v>
      </c>
      <c r="I28" s="387">
        <f>Gen!AJ36</f>
        <v>23.89</v>
      </c>
    </row>
    <row r="29" spans="1:9" ht="13.5">
      <c r="A29" s="384">
        <f>Gen!A37</f>
        <v>44343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 t="str">
        <f>'Water-Meter'!E32</f>
        <v>0</v>
      </c>
      <c r="H29" s="387">
        <f>'Utility report '!AC32</f>
        <v>-2436</v>
      </c>
      <c r="I29" s="387">
        <f>Gen!AJ37</f>
        <v>0</v>
      </c>
    </row>
    <row r="30" spans="1:9" ht="13.5">
      <c r="A30" s="384">
        <f>Gen!A38</f>
        <v>44344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44345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44346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44347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9" t="s">
        <v>32</v>
      </c>
      <c r="B4" s="740" t="s">
        <v>40</v>
      </c>
      <c r="C4" s="741" t="s">
        <v>41</v>
      </c>
      <c r="D4" s="822" t="s">
        <v>42</v>
      </c>
      <c r="E4" s="822"/>
      <c r="F4" s="822"/>
      <c r="G4" s="823" t="s">
        <v>43</v>
      </c>
      <c r="H4" s="823"/>
      <c r="I4" s="823"/>
      <c r="J4" s="824" t="s">
        <v>44</v>
      </c>
      <c r="K4" s="824"/>
      <c r="L4" s="824"/>
      <c r="M4" s="824"/>
      <c r="N4" s="825" t="s">
        <v>45</v>
      </c>
      <c r="O4" s="825"/>
      <c r="P4" s="825"/>
      <c r="Q4" s="742"/>
      <c r="R4" s="742"/>
      <c r="S4" s="743"/>
    </row>
    <row r="5" spans="1:19" ht="25.5">
      <c r="A5" s="744"/>
      <c r="B5" s="745"/>
      <c r="C5" s="746"/>
      <c r="D5" s="747" t="s">
        <v>46</v>
      </c>
      <c r="E5" s="747" t="s">
        <v>47</v>
      </c>
      <c r="F5" s="747" t="s">
        <v>48</v>
      </c>
      <c r="G5" s="748" t="s">
        <v>49</v>
      </c>
      <c r="H5" s="748" t="s">
        <v>50</v>
      </c>
      <c r="I5" s="749" t="s">
        <v>51</v>
      </c>
      <c r="J5" s="750" t="s">
        <v>52</v>
      </c>
      <c r="K5" s="750" t="s">
        <v>53</v>
      </c>
      <c r="L5" s="750" t="s">
        <v>53</v>
      </c>
      <c r="M5" s="751" t="s">
        <v>54</v>
      </c>
      <c r="N5" s="752" t="s">
        <v>55</v>
      </c>
      <c r="O5" s="752" t="s">
        <v>56</v>
      </c>
      <c r="P5" s="753" t="s">
        <v>57</v>
      </c>
      <c r="Q5" s="754" t="s">
        <v>58</v>
      </c>
      <c r="R5" s="754" t="s">
        <v>59</v>
      </c>
      <c r="S5" s="755" t="s">
        <v>60</v>
      </c>
    </row>
    <row r="6" spans="1:19" ht="14.25">
      <c r="A6" s="428">
        <f>Gen!A11</f>
        <v>44317</v>
      </c>
      <c r="B6" s="6">
        <f>'Summery Report'!E5</f>
        <v>0</v>
      </c>
      <c r="C6" s="6">
        <f>Gen!U11</f>
        <v>0.4119358490566038</v>
      </c>
      <c r="D6" s="145">
        <f>Gen!T11</f>
        <v>2650</v>
      </c>
      <c r="E6" s="145">
        <f>Gen!AK11</f>
        <v>0</v>
      </c>
      <c r="F6" s="145">
        <f>Gen!AS11</f>
        <v>0</v>
      </c>
      <c r="G6" s="146">
        <f>'Utility report '!AC6</f>
        <v>118</v>
      </c>
      <c r="H6" s="146">
        <f>'Utility report '!AE6</f>
        <v>66</v>
      </c>
      <c r="I6" s="281">
        <f>'Water-Meter'!E6</f>
        <v>41</v>
      </c>
      <c r="J6" s="147">
        <f>'Lpg (2)'!B10</f>
        <v>85</v>
      </c>
      <c r="K6" s="147">
        <f>'Lpg (2)'!C10</f>
        <v>85</v>
      </c>
      <c r="L6" s="147">
        <f>'Lpg (2)'!D10</f>
        <v>1</v>
      </c>
      <c r="M6" s="6">
        <f>'Lpg (2)'!G10</f>
        <v>0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44318</v>
      </c>
      <c r="B7" s="6">
        <f>'Summery Report'!E6</f>
        <v>0</v>
      </c>
      <c r="C7" s="6">
        <f>Gen!U12</f>
        <v>0.41311086392287732</v>
      </c>
      <c r="D7" s="145">
        <f>Gen!T12</f>
        <v>2697</v>
      </c>
      <c r="E7" s="145">
        <f>Gen!AK12</f>
        <v>0</v>
      </c>
      <c r="F7" s="145">
        <f>Gen!AS12</f>
        <v>0</v>
      </c>
      <c r="G7" s="146">
        <f>'Utility report '!AC7</f>
        <v>38</v>
      </c>
      <c r="H7" s="146">
        <f>'Utility report '!AE7</f>
        <v>50</v>
      </c>
      <c r="I7" s="281">
        <f>'Water-Meter'!E7</f>
        <v>50</v>
      </c>
      <c r="J7" s="147">
        <f>'Lpg (2)'!B11</f>
        <v>85</v>
      </c>
      <c r="K7" s="147">
        <f>'Lpg (2)'!C11</f>
        <v>85</v>
      </c>
      <c r="L7" s="147">
        <f>'Lpg (2)'!D11</f>
        <v>1</v>
      </c>
      <c r="M7" s="6">
        <f>'Lpg (2)'!G11</f>
        <v>49.631999999994882</v>
      </c>
      <c r="N7" s="144">
        <f>D7*1.4</f>
        <v>3775.7999999999997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44319</v>
      </c>
      <c r="B8" s="6">
        <f>'Summery Report'!E7</f>
        <v>0</v>
      </c>
      <c r="C8" s="6">
        <f>Gen!U13</f>
        <v>0.41249336870026521</v>
      </c>
      <c r="D8" s="145">
        <f>Gen!T13</f>
        <v>2639</v>
      </c>
      <c r="E8" s="145">
        <f>Gen!AK13</f>
        <v>0</v>
      </c>
      <c r="F8" s="145">
        <f>Gen!AS13</f>
        <v>0</v>
      </c>
      <c r="G8" s="146">
        <f>'Utility report '!AC8</f>
        <v>37</v>
      </c>
      <c r="H8" s="146">
        <f>'Utility report '!AE8</f>
        <v>44</v>
      </c>
      <c r="I8" s="281">
        <f>'Water-Meter'!E8</f>
        <v>50</v>
      </c>
      <c r="J8" s="147">
        <f>'Lpg (2)'!B12</f>
        <v>85</v>
      </c>
      <c r="K8" s="147">
        <f>'Lpg (2)'!C12</f>
        <v>85</v>
      </c>
      <c r="L8" s="147">
        <f>'Lpg (2)'!D12</f>
        <v>0</v>
      </c>
      <c r="M8" s="6">
        <f>'Lpg (2)'!G12</f>
        <v>42.768000000005124</v>
      </c>
      <c r="N8" s="144">
        <f t="shared" ref="N8:O36" si="2">D8*1.4</f>
        <v>3694.6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44320</v>
      </c>
      <c r="B9" s="6">
        <f>'Summery Report'!E8</f>
        <v>0</v>
      </c>
      <c r="C9" s="6">
        <f>Gen!U14</f>
        <v>0.41276362349610757</v>
      </c>
      <c r="D9" s="145">
        <f>Gen!T14</f>
        <v>2826</v>
      </c>
      <c r="E9" s="145">
        <f>Gen!AK14</f>
        <v>0</v>
      </c>
      <c r="F9" s="145">
        <f>Gen!AS14</f>
        <v>0</v>
      </c>
      <c r="G9" s="146">
        <f>'Utility report '!AC9</f>
        <v>32</v>
      </c>
      <c r="H9" s="146">
        <f>'Utility report '!AE9</f>
        <v>56</v>
      </c>
      <c r="I9" s="281">
        <f>'Water-Meter'!E9</f>
        <v>50</v>
      </c>
      <c r="J9" s="147">
        <f>'Lpg (2)'!B13</f>
        <v>85</v>
      </c>
      <c r="K9" s="147">
        <f>'Lpg (2)'!C13</f>
        <v>85</v>
      </c>
      <c r="L9" s="147">
        <f>'Lpg (2)'!D13</f>
        <v>0</v>
      </c>
      <c r="M9" s="6">
        <f>'Lpg (2)'!G13</f>
        <v>55.22000000001281</v>
      </c>
      <c r="N9" s="144">
        <f t="shared" si="2"/>
        <v>3956.3999999999996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44321</v>
      </c>
      <c r="B10" s="6">
        <f>'Summery Report'!E9</f>
        <v>0</v>
      </c>
      <c r="C10" s="6">
        <f>Gen!U15</f>
        <v>0.40473021582733815</v>
      </c>
      <c r="D10" s="145">
        <f>Gen!T15</f>
        <v>2780</v>
      </c>
      <c r="E10" s="145">
        <f>Gen!AK15</f>
        <v>0</v>
      </c>
      <c r="F10" s="145">
        <f>Gen!AS15</f>
        <v>0</v>
      </c>
      <c r="G10" s="146">
        <f>'Utility report '!AC10</f>
        <v>38</v>
      </c>
      <c r="H10" s="146">
        <f>'Utility report '!AE10</f>
        <v>50</v>
      </c>
      <c r="I10" s="281">
        <f>'Water-Meter'!E10</f>
        <v>67</v>
      </c>
      <c r="J10" s="147">
        <f>'Lpg (2)'!B14</f>
        <v>85</v>
      </c>
      <c r="K10" s="147">
        <f>'Lpg (2)'!C14</f>
        <v>85</v>
      </c>
      <c r="L10" s="147">
        <f>'Lpg (2)'!D14</f>
        <v>0</v>
      </c>
      <c r="M10" s="6">
        <f>'Lpg (2)'!G14</f>
        <v>65.295999999984645</v>
      </c>
      <c r="N10" s="144">
        <f t="shared" si="2"/>
        <v>3891.9999999999995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44322</v>
      </c>
      <c r="B11" s="6">
        <f>'Summery Report'!E10</f>
        <v>0</v>
      </c>
      <c r="C11" s="6">
        <f>Gen!U16</f>
        <v>0.40669310344827592</v>
      </c>
      <c r="D11" s="145">
        <f>Gen!T16</f>
        <v>2900</v>
      </c>
      <c r="E11" s="145">
        <f>Gen!AK16</f>
        <v>0</v>
      </c>
      <c r="F11" s="145">
        <f>Gen!AS16</f>
        <v>0</v>
      </c>
      <c r="G11" s="146">
        <f>'Utility report '!AC11</f>
        <v>34</v>
      </c>
      <c r="H11" s="146">
        <f>'Utility report '!AE11</f>
        <v>53</v>
      </c>
      <c r="I11" s="281">
        <f>'Water-Meter'!E11</f>
        <v>70</v>
      </c>
      <c r="J11" s="147">
        <f>'Lpg (2)'!B15</f>
        <v>85</v>
      </c>
      <c r="K11" s="147">
        <f>'Lpg (2)'!C15</f>
        <v>84</v>
      </c>
      <c r="L11" s="147">
        <f>'Lpg (2)'!D15</f>
        <v>0</v>
      </c>
      <c r="M11" s="6">
        <f>'Lpg (2)'!G15</f>
        <v>64.988000000017934</v>
      </c>
      <c r="N11" s="144">
        <f t="shared" si="2"/>
        <v>4059.9999999999995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44323</v>
      </c>
      <c r="B12" s="6">
        <f>'Summery Report'!E11</f>
        <v>0</v>
      </c>
      <c r="C12" s="6">
        <f>Gen!U17</f>
        <v>0.41198244330651057</v>
      </c>
      <c r="D12" s="145">
        <f>Gen!T17</f>
        <v>2734</v>
      </c>
      <c r="E12" s="145">
        <f>Gen!AK17</f>
        <v>0</v>
      </c>
      <c r="F12" s="145">
        <f>Gen!AS17</f>
        <v>0</v>
      </c>
      <c r="G12" s="146">
        <f>'Utility report '!AC12</f>
        <v>88</v>
      </c>
      <c r="H12" s="146">
        <f>'Utility report '!AE12</f>
        <v>45</v>
      </c>
      <c r="I12" s="281">
        <f>'Water-Meter'!E12</f>
        <v>50</v>
      </c>
      <c r="J12" s="147">
        <f>'Lpg (2)'!B16</f>
        <v>85</v>
      </c>
      <c r="K12" s="147">
        <f>'Lpg (2)'!C16</f>
        <v>75</v>
      </c>
      <c r="L12" s="147">
        <f>'Lpg (2)'!D16</f>
        <v>0</v>
      </c>
      <c r="M12" s="6">
        <f>'Lpg (2)'!G16</f>
        <v>62.391999999969272</v>
      </c>
      <c r="N12" s="144">
        <f t="shared" si="2"/>
        <v>3827.6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44324</v>
      </c>
      <c r="B13" s="6">
        <f>'Summery Report'!E12</f>
        <v>0</v>
      </c>
      <c r="C13" s="6">
        <f>Gen!U18</f>
        <v>0.41156542056074763</v>
      </c>
      <c r="D13" s="145">
        <f>Gen!T18</f>
        <v>2996</v>
      </c>
      <c r="E13" s="145">
        <f>Gen!AK18</f>
        <v>0</v>
      </c>
      <c r="F13" s="145">
        <f>Gen!AS18</f>
        <v>0</v>
      </c>
      <c r="G13" s="146">
        <f>'Utility report '!AC13</f>
        <v>150</v>
      </c>
      <c r="H13" s="146">
        <f>'Utility report '!AE13</f>
        <v>44</v>
      </c>
      <c r="I13" s="281">
        <f>'Water-Meter'!E13</f>
        <v>51</v>
      </c>
      <c r="J13" s="147">
        <f>'Lpg (2)'!B17</f>
        <v>85</v>
      </c>
      <c r="K13" s="147">
        <f>'Lpg (2)'!C17</f>
        <v>70</v>
      </c>
      <c r="L13" s="147">
        <f>'Lpg (2)'!D17</f>
        <v>0</v>
      </c>
      <c r="M13" s="6">
        <f>'Lpg (2)'!G17</f>
        <v>68.904000000015373</v>
      </c>
      <c r="N13" s="144">
        <f t="shared" si="2"/>
        <v>4194.3999999999996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44325</v>
      </c>
      <c r="B14" s="6">
        <f>'Summery Report'!E13</f>
        <v>0</v>
      </c>
      <c r="C14" s="6">
        <f>Gen!U19</f>
        <v>0.40277502854967639</v>
      </c>
      <c r="D14" s="145">
        <f>Gen!T19</f>
        <v>2627</v>
      </c>
      <c r="E14" s="145">
        <f>Gen!AK19</f>
        <v>0</v>
      </c>
      <c r="F14" s="145">
        <f>Gen!AS19</f>
        <v>0</v>
      </c>
      <c r="G14" s="146">
        <f>'Utility report '!AC14</f>
        <v>22</v>
      </c>
      <c r="H14" s="146">
        <f>'Utility report '!AE14</f>
        <v>66</v>
      </c>
      <c r="I14" s="281">
        <f>'Water-Meter'!E14</f>
        <v>76</v>
      </c>
      <c r="J14" s="147">
        <f>'Lpg (2)'!B18</f>
        <v>85</v>
      </c>
      <c r="K14" s="147">
        <f>'Lpg (2)'!C18</f>
        <v>68</v>
      </c>
      <c r="L14" s="147">
        <f>'Lpg (2)'!D18</f>
        <v>0</v>
      </c>
      <c r="M14" s="6">
        <f>'Lpg (2)'!G18</f>
        <v>66</v>
      </c>
      <c r="N14" s="144">
        <f t="shared" si="2"/>
        <v>3677.7999999999997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44326</v>
      </c>
      <c r="B15" s="6">
        <f>'Summery Report'!E14</f>
        <v>0</v>
      </c>
      <c r="C15" s="6">
        <f>Gen!U20</f>
        <v>0.41490645284459721</v>
      </c>
      <c r="D15" s="145">
        <f>Gen!T20</f>
        <v>2619</v>
      </c>
      <c r="E15" s="145">
        <f>Gen!AK20</f>
        <v>0</v>
      </c>
      <c r="F15" s="145">
        <f>Gen!AS20</f>
        <v>0</v>
      </c>
      <c r="G15" s="146">
        <f>'Utility report '!AC15</f>
        <v>33</v>
      </c>
      <c r="H15" s="146">
        <f>'Utility report '!AE15</f>
        <v>53</v>
      </c>
      <c r="I15" s="281">
        <f>'Water-Meter'!E15</f>
        <v>20</v>
      </c>
      <c r="J15" s="147">
        <f>'Lpg (2)'!B19</f>
        <v>85</v>
      </c>
      <c r="K15" s="147">
        <f>'Lpg (2)'!C19</f>
        <v>65</v>
      </c>
      <c r="L15" s="147">
        <f>'Lpg (2)'!D19</f>
        <v>0</v>
      </c>
      <c r="M15" s="6">
        <f>'Lpg (2)'!G19</f>
        <v>79.068000000005128</v>
      </c>
      <c r="N15" s="144">
        <f t="shared" si="2"/>
        <v>3666.6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44327</v>
      </c>
      <c r="B16" s="6">
        <f>'Summery Report'!E15</f>
        <v>0</v>
      </c>
      <c r="C16" s="6">
        <f>Gen!U21</f>
        <v>0.41942574257425741</v>
      </c>
      <c r="D16" s="145">
        <f>Gen!T21</f>
        <v>2525</v>
      </c>
      <c r="E16" s="145">
        <f>Gen!AK21</f>
        <v>0</v>
      </c>
      <c r="F16" s="145">
        <f>Gen!AS21</f>
        <v>0</v>
      </c>
      <c r="G16" s="146">
        <f>'Utility report '!AC16</f>
        <v>33</v>
      </c>
      <c r="H16" s="146">
        <f>'Utility report '!AE16</f>
        <v>51</v>
      </c>
      <c r="I16" s="281">
        <f>'Water-Meter'!E16</f>
        <v>54</v>
      </c>
      <c r="J16" s="147">
        <f>'Lpg (2)'!B20</f>
        <v>85</v>
      </c>
      <c r="K16" s="147">
        <f>'Lpg (2)'!C20</f>
        <v>60</v>
      </c>
      <c r="L16" s="147">
        <f>'Lpg (2)'!D20</f>
        <v>0</v>
      </c>
      <c r="M16" s="6">
        <f>'Lpg (2)'!G20</f>
        <v>71.279999999987197</v>
      </c>
      <c r="N16" s="144">
        <f t="shared" si="2"/>
        <v>3535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44328</v>
      </c>
      <c r="B17" s="6">
        <f>'Summery Report'!E16</f>
        <v>0</v>
      </c>
      <c r="C17" s="6">
        <f>Gen!U22</f>
        <v>0.43087314662273479</v>
      </c>
      <c r="D17" s="145">
        <f>Gen!T22</f>
        <v>2428</v>
      </c>
      <c r="E17" s="145">
        <f>Gen!AK22</f>
        <v>0</v>
      </c>
      <c r="F17" s="145">
        <f>Gen!AS22</f>
        <v>0</v>
      </c>
      <c r="G17" s="146">
        <f>'Utility report '!AC17</f>
        <v>31</v>
      </c>
      <c r="H17" s="146">
        <f>'Utility report '!AE17</f>
        <v>48</v>
      </c>
      <c r="I17" s="281">
        <f>'Water-Meter'!E17</f>
        <v>51</v>
      </c>
      <c r="J17" s="147">
        <f>'Lpg (2)'!B21</f>
        <v>85</v>
      </c>
      <c r="K17" s="147">
        <f>'Lpg (2)'!C22</f>
        <v>51</v>
      </c>
      <c r="L17" s="147">
        <f>'Lpg (2)'!D21</f>
        <v>0</v>
      </c>
      <c r="M17" s="6">
        <f>'Lpg (2)'!G21</f>
        <v>52.360000000038418</v>
      </c>
      <c r="N17" s="144">
        <f t="shared" si="2"/>
        <v>3399.2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44329</v>
      </c>
      <c r="B18" s="6">
        <f>'Summery Report'!E17</f>
        <v>0</v>
      </c>
      <c r="C18" s="6">
        <f>Gen!U23</f>
        <v>0.400421974522293</v>
      </c>
      <c r="D18" s="145">
        <f>Gen!T23</f>
        <v>2512</v>
      </c>
      <c r="E18" s="145">
        <f>Gen!AK23</f>
        <v>0</v>
      </c>
      <c r="F18" s="145">
        <f>Gen!AS23</f>
        <v>0</v>
      </c>
      <c r="G18" s="146">
        <f>'Utility report '!AC18</f>
        <v>85</v>
      </c>
      <c r="H18" s="146">
        <f>'Utility report '!AE18</f>
        <v>56</v>
      </c>
      <c r="I18" s="281">
        <f>'Water-Meter'!E18</f>
        <v>54</v>
      </c>
      <c r="J18" s="147">
        <f>'Lpg (2)'!B22</f>
        <v>85</v>
      </c>
      <c r="K18" s="147">
        <f>'Lpg (2)'!C23</f>
        <v>48</v>
      </c>
      <c r="L18" s="147">
        <f>'Lpg (2)'!D22</f>
        <v>0</v>
      </c>
      <c r="M18" s="6">
        <f>'Lpg (2)'!G22</f>
        <v>51.787999999953904</v>
      </c>
      <c r="N18" s="144">
        <f t="shared" si="2"/>
        <v>3516.7999999999997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44330</v>
      </c>
      <c r="B19" s="6">
        <f>'Summery Report'!E18</f>
        <v>0</v>
      </c>
      <c r="C19" s="6">
        <f>Gen!U24</f>
        <v>0.41580903790087465</v>
      </c>
      <c r="D19" s="145">
        <f>Gen!T24</f>
        <v>2744</v>
      </c>
      <c r="E19" s="145">
        <f>Gen!AK24</f>
        <v>0</v>
      </c>
      <c r="F19" s="145">
        <f>Gen!AS24</f>
        <v>0</v>
      </c>
      <c r="G19" s="146">
        <f>'Utility report '!AC19</f>
        <v>89</v>
      </c>
      <c r="H19" s="146">
        <f>'Utility report '!AE19</f>
        <v>53</v>
      </c>
      <c r="I19" s="281">
        <f>'Water-Meter'!E19</f>
        <v>42</v>
      </c>
      <c r="J19" s="147">
        <f>'Lpg (2)'!B23</f>
        <v>85</v>
      </c>
      <c r="K19" s="147">
        <f>'Lpg (2)'!C24</f>
        <v>40</v>
      </c>
      <c r="L19" s="147">
        <f>'Lpg (2)'!D23</f>
        <v>0</v>
      </c>
      <c r="M19" s="6">
        <f>'Lpg (2)'!G23</f>
        <v>75.020000000012814</v>
      </c>
      <c r="N19" s="144">
        <f t="shared" si="2"/>
        <v>3841.6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44331</v>
      </c>
      <c r="B20" s="6">
        <f>'Summery Report'!E19</f>
        <v>0</v>
      </c>
      <c r="C20" s="6">
        <f>Gen!U25</f>
        <v>0.42675335229581474</v>
      </c>
      <c r="D20" s="145">
        <f>Gen!T25</f>
        <v>2461</v>
      </c>
      <c r="E20" s="145">
        <f>Gen!AK25</f>
        <v>0</v>
      </c>
      <c r="F20" s="145">
        <f>Gen!AS25</f>
        <v>0</v>
      </c>
      <c r="G20" s="146">
        <f>'Utility report '!AC20</f>
        <v>10</v>
      </c>
      <c r="H20" s="146">
        <f>'Utility report '!AE20</f>
        <v>53</v>
      </c>
      <c r="I20" s="281">
        <f>'Water-Meter'!E20</f>
        <v>46</v>
      </c>
      <c r="J20" s="147">
        <f>'Lpg (2)'!B24</f>
        <v>85</v>
      </c>
      <c r="K20" s="147">
        <f>'Lpg (2)'!C25</f>
        <v>37</v>
      </c>
      <c r="L20" s="147">
        <f>'Lpg (2)'!D24</f>
        <v>0</v>
      </c>
      <c r="M20" s="6">
        <f>'Lpg (2)'!G24</f>
        <v>62.524000000028181</v>
      </c>
      <c r="N20" s="144">
        <f t="shared" si="2"/>
        <v>3445.3999999999996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44332</v>
      </c>
      <c r="B21" s="6">
        <f>'Summery Report'!E20</f>
        <v>0</v>
      </c>
      <c r="C21" s="6">
        <f>Gen!U26</f>
        <v>0.42278370144706778</v>
      </c>
      <c r="D21" s="145">
        <f>Gen!T26</f>
        <v>2626</v>
      </c>
      <c r="E21" s="145">
        <f>Gen!AK26</f>
        <v>0</v>
      </c>
      <c r="F21" s="145">
        <f>Gen!AS26</f>
        <v>0</v>
      </c>
      <c r="G21" s="146">
        <f>'Utility report '!AC21</f>
        <v>70</v>
      </c>
      <c r="H21" s="146">
        <f>'Utility report '!AE21</f>
        <v>53</v>
      </c>
      <c r="I21" s="281">
        <f>'Water-Meter'!E21</f>
        <v>45</v>
      </c>
      <c r="J21" s="147">
        <f>'Lpg (2)'!B25</f>
        <v>85</v>
      </c>
      <c r="K21" s="147">
        <f>'Lpg (2)'!C25</f>
        <v>37</v>
      </c>
      <c r="L21" s="147">
        <f>'Lpg (2)'!D25</f>
        <v>0</v>
      </c>
      <c r="M21" s="6">
        <f>'Lpg (2)'!G25</f>
        <v>72.159999999974389</v>
      </c>
      <c r="N21" s="144">
        <f t="shared" si="2"/>
        <v>3676.3999999999996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44333</v>
      </c>
      <c r="B22" s="6">
        <f>'Summery Report'!E21</f>
        <v>0</v>
      </c>
      <c r="C22" s="6">
        <f>Gen!U27</f>
        <v>0.40053735255570122</v>
      </c>
      <c r="D22" s="145">
        <f>Gen!T27</f>
        <v>3052</v>
      </c>
      <c r="E22" s="145">
        <f>Gen!AK27</f>
        <v>0</v>
      </c>
      <c r="F22" s="145">
        <f>Gen!AS27</f>
        <v>0</v>
      </c>
      <c r="G22" s="146">
        <f>'Utility report '!AC22</f>
        <v>79</v>
      </c>
      <c r="H22" s="146">
        <f>'Utility report '!AE22</f>
        <v>53</v>
      </c>
      <c r="I22" s="281">
        <f>'Water-Meter'!E22</f>
        <v>57</v>
      </c>
      <c r="J22" s="147">
        <f>'Lpg (2)'!B26</f>
        <v>85</v>
      </c>
      <c r="K22" s="147">
        <f>'Lpg (2)'!C26</f>
        <v>34</v>
      </c>
      <c r="L22" s="147">
        <f>'Lpg (2)'!D26</f>
        <v>0</v>
      </c>
      <c r="M22" s="6">
        <f>'Lpg (2)'!G26</f>
        <v>64.636000000010256</v>
      </c>
      <c r="N22" s="144">
        <f t="shared" si="2"/>
        <v>4272.8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44334</v>
      </c>
      <c r="B23" s="6">
        <f>'Summery Report'!E22</f>
        <v>0</v>
      </c>
      <c r="C23" s="6">
        <f>Gen!U28</f>
        <v>0.41726186411744626</v>
      </c>
      <c r="D23" s="145">
        <f>Gen!T28</f>
        <v>2929</v>
      </c>
      <c r="E23" s="145">
        <f>Gen!AK28</f>
        <v>0</v>
      </c>
      <c r="F23" s="145">
        <f>Gen!AS28</f>
        <v>0</v>
      </c>
      <c r="G23" s="146">
        <f>'Utility report '!AC23</f>
        <v>36</v>
      </c>
      <c r="H23" s="146">
        <f>'Utility report '!AE23</f>
        <v>54</v>
      </c>
      <c r="I23" s="281">
        <f>'Water-Meter'!E23</f>
        <v>47</v>
      </c>
      <c r="J23" s="147">
        <f>'Lpg (2)'!B27</f>
        <v>85</v>
      </c>
      <c r="K23" s="147">
        <f>'Lpg (2)'!C27</f>
        <v>31</v>
      </c>
      <c r="L23" s="147">
        <f>'Lpg (2)'!D27</f>
        <v>0</v>
      </c>
      <c r="M23" s="6">
        <f>'Lpg (2)'!G27</f>
        <v>80.211999999982083</v>
      </c>
      <c r="N23" s="144">
        <f t="shared" si="2"/>
        <v>4100.5999999999995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44335</v>
      </c>
      <c r="B24" s="6">
        <f>'Summery Report'!E23</f>
        <v>0</v>
      </c>
      <c r="C24" s="6">
        <f>Gen!U29</f>
        <v>0.41349380530973445</v>
      </c>
      <c r="D24" s="145">
        <f>Gen!T29</f>
        <v>2825</v>
      </c>
      <c r="E24" s="145">
        <f>Gen!AK29</f>
        <v>0</v>
      </c>
      <c r="F24" s="145">
        <f>Gen!AS29</f>
        <v>0</v>
      </c>
      <c r="G24" s="146">
        <f>'Utility report '!AC24</f>
        <v>35</v>
      </c>
      <c r="H24" s="146">
        <f>'Utility report '!AE24</f>
        <v>54</v>
      </c>
      <c r="I24" s="281">
        <f>'Water-Meter'!E24</f>
        <v>45</v>
      </c>
      <c r="J24" s="147">
        <f>'Lpg (2)'!B28</f>
        <v>85</v>
      </c>
      <c r="K24" s="147">
        <f>'Lpg (2)'!C28</f>
        <v>29</v>
      </c>
      <c r="L24" s="147">
        <f>'Lpg (2)'!D28</f>
        <v>0</v>
      </c>
      <c r="M24" s="6">
        <f>'Lpg (2)'!G28</f>
        <v>79.904000000015373</v>
      </c>
      <c r="N24" s="144">
        <f t="shared" si="2"/>
        <v>3954.9999999999995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44336</v>
      </c>
      <c r="B25" s="6">
        <f>'Summery Report'!E24</f>
        <v>0</v>
      </c>
      <c r="C25" s="6">
        <f>Gen!U30</f>
        <v>0.4097903109182936</v>
      </c>
      <c r="D25" s="145">
        <f>Gen!T30</f>
        <v>2766</v>
      </c>
      <c r="E25" s="145">
        <f>Gen!AK30</f>
        <v>0</v>
      </c>
      <c r="F25" s="145">
        <f>Gen!AS30</f>
        <v>0</v>
      </c>
      <c r="G25" s="146">
        <f>'Utility report '!AC25</f>
        <v>34</v>
      </c>
      <c r="H25" s="146">
        <f>'Utility report '!AE25</f>
        <v>55</v>
      </c>
      <c r="I25" s="281">
        <f>'Water-Meter'!E25</f>
        <v>49</v>
      </c>
      <c r="J25" s="147">
        <f>'Lpg (2)'!B29</f>
        <v>85</v>
      </c>
      <c r="K25" s="147">
        <f>'Lpg (2)'!C29</f>
        <v>85</v>
      </c>
      <c r="L25" s="147">
        <f>'Lpg (2)'!D29</f>
        <v>85</v>
      </c>
      <c r="M25" s="6">
        <f>'Lpg (2)'!G29</f>
        <v>72.995999999984633</v>
      </c>
      <c r="N25" s="144">
        <f t="shared" si="2"/>
        <v>3872.3999999999996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44337</v>
      </c>
      <c r="B26" s="6">
        <f>'Summery Report'!E25</f>
        <v>0</v>
      </c>
      <c r="C26" s="6">
        <f>Gen!U31</f>
        <v>0.40506006552602841</v>
      </c>
      <c r="D26" s="145">
        <f>Gen!T31</f>
        <v>2747</v>
      </c>
      <c r="E26" s="145">
        <f>Gen!AK31</f>
        <v>0</v>
      </c>
      <c r="F26" s="145">
        <f>Gen!AS31</f>
        <v>0</v>
      </c>
      <c r="G26" s="146">
        <f>'Utility report '!AC26</f>
        <v>31</v>
      </c>
      <c r="H26" s="146">
        <f>'Utility report '!AE26</f>
        <v>56</v>
      </c>
      <c r="I26" s="281">
        <f>'Water-Meter'!E26</f>
        <v>45</v>
      </c>
      <c r="J26" s="147">
        <f>'Lpg (2)'!B30</f>
        <v>85</v>
      </c>
      <c r="K26" s="147">
        <f>'Lpg (2)'!C30</f>
        <v>82</v>
      </c>
      <c r="L26" s="147">
        <f>'Lpg (2)'!D30</f>
        <v>85</v>
      </c>
      <c r="M26" s="6">
        <f>'Lpg (2)'!G30</f>
        <v>59.620000000012809</v>
      </c>
      <c r="N26" s="144">
        <f t="shared" si="2"/>
        <v>3845.7999999999997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44338</v>
      </c>
      <c r="B27" s="6">
        <f>'Summery Report'!E26</f>
        <v>0</v>
      </c>
      <c r="C27" s="6">
        <f>Gen!U32</f>
        <v>0.41389830508474573</v>
      </c>
      <c r="D27" s="145">
        <f>Gen!T32</f>
        <v>2714</v>
      </c>
      <c r="E27" s="145">
        <f>Gen!AK32</f>
        <v>0</v>
      </c>
      <c r="F27" s="145">
        <f>Gen!AS32</f>
        <v>0</v>
      </c>
      <c r="G27" s="146">
        <f>'Utility report '!AC27</f>
        <v>19</v>
      </c>
      <c r="H27" s="146">
        <f>'Utility report '!AE27</f>
        <v>54</v>
      </c>
      <c r="I27" s="281">
        <f>'Water-Meter'!E27</f>
        <v>63</v>
      </c>
      <c r="J27" s="147">
        <f>'Lpg (2)'!B31</f>
        <v>85</v>
      </c>
      <c r="K27" s="147">
        <f>'Lpg (2)'!C31</f>
        <v>79</v>
      </c>
      <c r="L27" s="147">
        <f>'Lpg (2)'!D31</f>
        <v>85</v>
      </c>
      <c r="M27" s="6">
        <f>'Lpg (2)'!G31</f>
        <v>43.340000000025611</v>
      </c>
      <c r="N27" s="144">
        <f t="shared" si="2"/>
        <v>3799.6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44339</v>
      </c>
      <c r="B28" s="6">
        <f>'Summery Report'!E27</f>
        <v>0</v>
      </c>
      <c r="C28" s="6">
        <f>Gen!U33</f>
        <v>0.41595381882770871</v>
      </c>
      <c r="D28" s="145">
        <f>Gen!T33</f>
        <v>2815</v>
      </c>
      <c r="E28" s="145">
        <f>Gen!AK33</f>
        <v>0</v>
      </c>
      <c r="F28" s="145">
        <f>Gen!AS33</f>
        <v>0</v>
      </c>
      <c r="G28" s="146">
        <f>'Utility report '!AC28</f>
        <v>25</v>
      </c>
      <c r="H28" s="146">
        <f>'Utility report '!AE28</f>
        <v>56</v>
      </c>
      <c r="I28" s="281">
        <f>'Water-Meter'!E28</f>
        <v>47</v>
      </c>
      <c r="J28" s="147">
        <f>'Lpg (2)'!B32</f>
        <v>85</v>
      </c>
      <c r="K28" s="147">
        <f>'Lpg (2)'!C32</f>
        <v>70</v>
      </c>
      <c r="L28" s="147">
        <f>'Lpg (2)'!D32</f>
        <v>85</v>
      </c>
      <c r="M28" s="6">
        <f>'Lpg (2)'!G32</f>
        <v>68.683999999938536</v>
      </c>
      <c r="N28" s="144">
        <f t="shared" si="2"/>
        <v>3940.9999999999995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44340</v>
      </c>
      <c r="B29" s="6">
        <f>'Summery Report'!E28</f>
        <v>0</v>
      </c>
      <c r="C29" s="6">
        <f>Gen!U34</f>
        <v>0.41536697247706417</v>
      </c>
      <c r="D29" s="145">
        <f>Gen!T34</f>
        <v>2616</v>
      </c>
      <c r="E29" s="145">
        <f>Gen!AK34</f>
        <v>0</v>
      </c>
      <c r="F29" s="145">
        <f>Gen!AS34</f>
        <v>0</v>
      </c>
      <c r="G29" s="146">
        <f>'Utility report '!AC29</f>
        <v>162</v>
      </c>
      <c r="H29" s="146">
        <f>'Utility report '!AE29</f>
        <v>47</v>
      </c>
      <c r="I29" s="281">
        <f>'Water-Meter'!E29</f>
        <v>46</v>
      </c>
      <c r="J29" s="147">
        <f>'Lpg (2)'!B33</f>
        <v>85</v>
      </c>
      <c r="K29" s="147">
        <f>'Lpg (2)'!C33</f>
        <v>65</v>
      </c>
      <c r="L29" s="147">
        <f>'Lpg (2)'!D33</f>
        <v>85</v>
      </c>
      <c r="M29" s="6">
        <f>'Lpg (2)'!G33</f>
        <v>-171.64399999997696</v>
      </c>
      <c r="N29" s="144">
        <f t="shared" si="2"/>
        <v>3662.3999999999996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44341</v>
      </c>
      <c r="B30" s="6">
        <f>'Summery Report'!E29</f>
        <v>0</v>
      </c>
      <c r="C30" s="6">
        <f>Gen!U35</f>
        <v>0.40613056783407009</v>
      </c>
      <c r="D30" s="145">
        <f>Gen!T35</f>
        <v>2941</v>
      </c>
      <c r="E30" s="145">
        <f>Gen!AK35</f>
        <v>0</v>
      </c>
      <c r="F30" s="145">
        <f>Gen!AS35</f>
        <v>0</v>
      </c>
      <c r="G30" s="146">
        <f>'Utility report '!AC30</f>
        <v>75</v>
      </c>
      <c r="H30" s="146">
        <f>'Utility report '!AE30</f>
        <v>24</v>
      </c>
      <c r="I30" s="281">
        <f>'Water-Meter'!E30</f>
        <v>51</v>
      </c>
      <c r="J30" s="147">
        <f>'Lpg (2)'!B34</f>
        <v>85</v>
      </c>
      <c r="K30" s="147">
        <f>'Lpg (2)'!C34</f>
        <v>60</v>
      </c>
      <c r="L30" s="147">
        <f>'Lpg (2)'!D34</f>
        <v>85</v>
      </c>
      <c r="M30" s="6">
        <f>'Lpg (2)'!G34</f>
        <v>289.25600000002305</v>
      </c>
      <c r="N30" s="144">
        <f t="shared" si="2"/>
        <v>4117.3999999999996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44342</v>
      </c>
      <c r="B31" s="6">
        <f>'Summery Report'!E30</f>
        <v>0</v>
      </c>
      <c r="C31" s="6">
        <f>Gen!U36</f>
        <v>0.41911134903640251</v>
      </c>
      <c r="D31" s="145">
        <f>Gen!T36</f>
        <v>2802</v>
      </c>
      <c r="E31" s="145">
        <f>Gen!AK36</f>
        <v>0</v>
      </c>
      <c r="F31" s="145">
        <f>Gen!AS36</f>
        <v>0</v>
      </c>
      <c r="G31" s="146">
        <f>'Utility report '!AC31</f>
        <v>55</v>
      </c>
      <c r="H31" s="146">
        <f>'Utility report '!AE31</f>
        <v>21</v>
      </c>
      <c r="I31" s="281">
        <f>'Water-Meter'!E31</f>
        <v>56</v>
      </c>
      <c r="J31" s="147">
        <f>'Lpg (2)'!B35</f>
        <v>85</v>
      </c>
      <c r="K31" s="147">
        <f>'Lpg (2)'!C35</f>
        <v>57</v>
      </c>
      <c r="L31" s="147">
        <f>'Lpg (2)'!D35</f>
        <v>85</v>
      </c>
      <c r="M31" s="6">
        <f>'Lpg (2)'!G35</f>
        <v>122.23199999999488</v>
      </c>
      <c r="N31" s="144">
        <f t="shared" si="2"/>
        <v>3922.7999999999997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44343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-2436</v>
      </c>
      <c r="H32" s="146">
        <f>'Utility report '!AE32</f>
        <v>-217003</v>
      </c>
      <c r="I32" s="281" t="str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-337131.03600000002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44344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44345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44346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44347</v>
      </c>
      <c r="B36" s="6">
        <f>'Summery Report'!E35</f>
        <v>0</v>
      </c>
      <c r="C36" s="6" t="e">
        <f>Gen!U41</f>
        <v>#DIV/0!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 t="e">
        <f>SUM(C7:C35)</f>
        <v>#DIV/0!</v>
      </c>
      <c r="D39" s="431">
        <f>SUM(D7:D35)</f>
        <v>68321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-1095</v>
      </c>
      <c r="H39" s="431">
        <f t="shared" si="3"/>
        <v>-215754</v>
      </c>
      <c r="I39" s="431">
        <f t="shared" si="3"/>
        <v>1282</v>
      </c>
      <c r="J39" s="431">
        <f t="shared" si="3"/>
        <v>2125</v>
      </c>
      <c r="K39" s="431">
        <f t="shared" si="3"/>
        <v>1567</v>
      </c>
      <c r="L39" s="431">
        <f t="shared" si="3"/>
        <v>596</v>
      </c>
      <c r="M39" s="431">
        <f t="shared" si="3"/>
        <v>-335482.40000000002</v>
      </c>
      <c r="N39" s="431">
        <f t="shared" si="3"/>
        <v>95649.4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topLeftCell="A16" zoomScalePageLayoutView="85" workbookViewId="0">
      <pane xSplit="1" topLeftCell="N17" activePane="topRight" state="frozen"/>
      <selection pane="topRight" activeCell="AB33" sqref="AB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3">
        <f>A6</f>
        <v>44317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4"/>
      <c r="T1" s="834"/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  <c r="AK1" s="835"/>
    </row>
    <row r="2" spans="1:37" ht="61.5" customHeight="1" thickBot="1">
      <c r="A2" s="132" t="s">
        <v>62</v>
      </c>
      <c r="B2" s="836" t="s">
        <v>63</v>
      </c>
      <c r="C2" s="837"/>
      <c r="D2" s="838"/>
      <c r="E2" s="133"/>
      <c r="F2" s="133"/>
      <c r="G2" s="133"/>
      <c r="H2" s="130" t="s">
        <v>64</v>
      </c>
      <c r="I2" s="710" t="s">
        <v>65</v>
      </c>
      <c r="J2" s="712" t="s">
        <v>66</v>
      </c>
      <c r="K2" s="713"/>
      <c r="L2" s="714" t="s">
        <v>67</v>
      </c>
      <c r="M2" s="590" t="s">
        <v>68</v>
      </c>
      <c r="N2" s="269" t="s">
        <v>69</v>
      </c>
      <c r="O2" s="826" t="s">
        <v>70</v>
      </c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269" t="s">
        <v>71</v>
      </c>
      <c r="AB2" s="836" t="s">
        <v>72</v>
      </c>
      <c r="AC2" s="838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39">
        <f>SUM(D3/B3)</f>
        <v>1.3262195121951219</v>
      </c>
      <c r="G3" s="840"/>
      <c r="H3" s="122">
        <f>Gen!C11</f>
        <v>27860.560000000001</v>
      </c>
      <c r="I3" s="591"/>
      <c r="J3" s="715"/>
      <c r="K3" s="716" t="s">
        <v>81</v>
      </c>
      <c r="L3" s="715"/>
      <c r="M3" s="593" t="s">
        <v>82</v>
      </c>
      <c r="N3" s="715"/>
      <c r="O3" s="826" t="s">
        <v>83</v>
      </c>
      <c r="P3" s="826"/>
      <c r="Q3" s="826"/>
      <c r="R3" s="826"/>
      <c r="S3" s="827" t="s">
        <v>84</v>
      </c>
      <c r="T3" s="828"/>
      <c r="U3" s="828"/>
      <c r="V3" s="829"/>
      <c r="W3" s="830" t="s">
        <v>85</v>
      </c>
      <c r="X3" s="831"/>
      <c r="Y3" s="831"/>
      <c r="Z3" s="832"/>
      <c r="AA3" s="271" t="s">
        <v>86</v>
      </c>
      <c r="AB3" s="121" t="s">
        <v>82</v>
      </c>
      <c r="AD3" s="121">
        <v>0</v>
      </c>
      <c r="AE3" s="121" t="s">
        <v>87</v>
      </c>
      <c r="AF3" s="704" t="s">
        <v>88</v>
      </c>
      <c r="AG3" s="705" t="s">
        <v>88</v>
      </c>
      <c r="AH3" s="382" t="s">
        <v>88</v>
      </c>
      <c r="AI3" s="129" t="s">
        <v>89</v>
      </c>
      <c r="AJ3" s="706" t="s">
        <v>86</v>
      </c>
      <c r="AK3" s="707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11"/>
      <c r="J4" s="725"/>
      <c r="K4" s="274"/>
      <c r="L4" s="714"/>
      <c r="M4" s="717"/>
      <c r="N4" s="269"/>
      <c r="O4" s="718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8">
        <v>2000</v>
      </c>
      <c r="AG4" s="709">
        <v>1000</v>
      </c>
      <c r="AH4" s="590">
        <v>1000</v>
      </c>
      <c r="AI4" s="121">
        <f>SUM([2]Sheet1!$AA$36)</f>
        <v>950</v>
      </c>
      <c r="AJ4" s="592" t="s">
        <v>100</v>
      </c>
      <c r="AK4" s="121" t="s">
        <v>99</v>
      </c>
    </row>
    <row r="5" spans="1:37" ht="19.5" thickBot="1">
      <c r="A5" s="720"/>
      <c r="B5" s="728"/>
      <c r="C5" s="729"/>
      <c r="D5" s="730"/>
      <c r="E5" s="730"/>
      <c r="F5" s="730"/>
      <c r="G5" s="730"/>
      <c r="H5" s="731"/>
      <c r="I5" s="731"/>
      <c r="J5" s="664"/>
      <c r="K5" s="682"/>
      <c r="L5" s="123"/>
      <c r="M5" s="448"/>
      <c r="N5" s="719"/>
      <c r="O5" s="663">
        <v>1.9</v>
      </c>
      <c r="P5" s="681">
        <v>19038</v>
      </c>
      <c r="Q5" s="692"/>
      <c r="R5" s="682"/>
      <c r="S5" s="663">
        <v>6.2</v>
      </c>
      <c r="T5" s="670">
        <v>17942</v>
      </c>
      <c r="U5" s="663"/>
      <c r="V5" s="682"/>
      <c r="W5" s="663">
        <v>1.7</v>
      </c>
      <c r="X5" s="675">
        <v>28101</v>
      </c>
      <c r="Y5" s="663"/>
      <c r="Z5" s="668"/>
      <c r="AA5" s="678"/>
      <c r="AB5" s="677">
        <v>977</v>
      </c>
      <c r="AC5" s="663"/>
      <c r="AD5" s="660">
        <v>215688</v>
      </c>
      <c r="AE5" s="665"/>
      <c r="AF5" s="685">
        <v>0.85</v>
      </c>
      <c r="AG5" s="686">
        <v>0.85</v>
      </c>
      <c r="AH5" s="699">
        <v>0.85</v>
      </c>
      <c r="AI5" s="689"/>
      <c r="AJ5" s="678"/>
      <c r="AK5" s="678"/>
    </row>
    <row r="6" spans="1:37" ht="19.5" thickBot="1">
      <c r="A6" s="721">
        <f>Gen!A11</f>
        <v>44317</v>
      </c>
      <c r="B6" s="406">
        <f>'Summery Report'!E5</f>
        <v>0</v>
      </c>
      <c r="C6" s="726">
        <f>Gen!B11</f>
        <v>0.01</v>
      </c>
      <c r="D6" s="688">
        <f>'Summery Report'!E5</f>
        <v>0</v>
      </c>
      <c r="E6" s="688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8">
        <f>Gen!C11</f>
        <v>27860.560000000001</v>
      </c>
      <c r="I6" s="688">
        <f>Gen!E11</f>
        <v>15000</v>
      </c>
      <c r="J6" s="727">
        <f>Gen!T11</f>
        <v>2650</v>
      </c>
      <c r="K6" s="732">
        <f>Gen!AK11</f>
        <v>0</v>
      </c>
      <c r="L6" s="723">
        <f t="shared" ref="L6:L13" si="1">SUM(J6:K6)</f>
        <v>2650</v>
      </c>
      <c r="M6" s="427">
        <f>'Water-Meter'!K46</f>
        <v>356.0902651508203</v>
      </c>
      <c r="N6" s="683">
        <f>'Water-Meter'!E6</f>
        <v>41</v>
      </c>
      <c r="O6" s="663">
        <v>1.9</v>
      </c>
      <c r="P6" s="681">
        <v>19038</v>
      </c>
      <c r="Q6" s="693">
        <f t="shared" ref="Q6:Q36" si="2">SUM(P6-P5)</f>
        <v>0</v>
      </c>
      <c r="R6" s="407">
        <f>SUM(Q6*O6)</f>
        <v>0</v>
      </c>
      <c r="S6" s="663">
        <v>6.2</v>
      </c>
      <c r="T6" s="670">
        <v>17958</v>
      </c>
      <c r="U6" s="693">
        <f>T6-T5</f>
        <v>16</v>
      </c>
      <c r="V6" s="408" t="s">
        <v>101</v>
      </c>
      <c r="W6" s="663">
        <v>1.7</v>
      </c>
      <c r="X6" s="675">
        <v>28101</v>
      </c>
      <c r="Y6" s="693">
        <f>X6-X5</f>
        <v>0</v>
      </c>
      <c r="Z6" s="676">
        <f t="shared" ref="Z6:AA6" si="3">Y6-Y5</f>
        <v>0</v>
      </c>
      <c r="AA6" s="679">
        <f t="shared" si="3"/>
        <v>0</v>
      </c>
      <c r="AB6" s="677">
        <v>1095</v>
      </c>
      <c r="AC6" s="658">
        <f>AB6-AB5</f>
        <v>118</v>
      </c>
      <c r="AD6" s="660">
        <v>215754</v>
      </c>
      <c r="AE6" s="170">
        <f>AD6-AD5</f>
        <v>66</v>
      </c>
      <c r="AF6" s="687">
        <f>'Lpg (2)'!B10*2000/85</f>
        <v>2000</v>
      </c>
      <c r="AG6" s="252">
        <f>'Lpg (2)'!C10*1000/85</f>
        <v>1000</v>
      </c>
      <c r="AH6" s="700">
        <f>'Lpg (2)'!D10*1000/85</f>
        <v>11.764705882352942</v>
      </c>
      <c r="AI6" s="690">
        <f>SUM(AF6*2000)+(AG6*1000)+(AH6*1000)</f>
        <v>5011764.7058823528</v>
      </c>
      <c r="AJ6" s="409">
        <f t="shared" ref="AJ6:AJ36" si="4">SUM(AI5-AI6)</f>
        <v>-5011764.7058823528</v>
      </c>
      <c r="AK6" s="127"/>
    </row>
    <row r="7" spans="1:37" ht="19.5" thickBot="1">
      <c r="A7" s="721">
        <f>Gen!A12</f>
        <v>44318</v>
      </c>
      <c r="B7" s="406">
        <f>'Summery Report'!E6</f>
        <v>0</v>
      </c>
      <c r="C7" s="726">
        <f>Gen!B12</f>
        <v>0</v>
      </c>
      <c r="D7" s="688">
        <f>'Summery Report'!E6</f>
        <v>0</v>
      </c>
      <c r="E7" s="688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8">
        <f>Gen!C12</f>
        <v>26680.18</v>
      </c>
      <c r="I7" s="688">
        <f>Gen!E12</f>
        <v>0</v>
      </c>
      <c r="J7" s="727">
        <f>Gen!T12</f>
        <v>2697</v>
      </c>
      <c r="K7" s="732">
        <f>Gen!AK12</f>
        <v>0</v>
      </c>
      <c r="L7" s="723">
        <f t="shared" si="1"/>
        <v>2697</v>
      </c>
      <c r="M7" s="427">
        <f>'Water-Meter'!K47</f>
        <v>425.02401677422006</v>
      </c>
      <c r="N7" s="683">
        <f>'Water-Meter'!E7</f>
        <v>50</v>
      </c>
      <c r="O7" s="663">
        <v>1.9</v>
      </c>
      <c r="P7" s="681">
        <v>19038</v>
      </c>
      <c r="Q7" s="693">
        <f t="shared" si="2"/>
        <v>0</v>
      </c>
      <c r="R7" s="407">
        <f t="shared" ref="R7:R36" si="5">SUM(Q7*O7)</f>
        <v>0</v>
      </c>
      <c r="S7" s="663">
        <v>6.2</v>
      </c>
      <c r="T7" s="670">
        <v>17958</v>
      </c>
      <c r="U7" s="693">
        <f t="shared" ref="U7:U36" si="6">T7-T6</f>
        <v>0</v>
      </c>
      <c r="V7" s="408">
        <f t="shared" ref="V7:V8" si="7">SUM(U7*S7)</f>
        <v>0</v>
      </c>
      <c r="W7" s="663">
        <v>1.7</v>
      </c>
      <c r="X7" s="675">
        <v>28128</v>
      </c>
      <c r="Y7" s="693">
        <f t="shared" ref="Y7:Y36" si="8">X7-X6</f>
        <v>27</v>
      </c>
      <c r="Z7" s="673">
        <f t="shared" ref="Z7:Z36" si="9">SUM(Y7*W7)</f>
        <v>45.9</v>
      </c>
      <c r="AA7" s="680">
        <f t="shared" ref="AA7:AA36" si="10">SUM(Z7*X9)</f>
        <v>1293278.3999999999</v>
      </c>
      <c r="AB7" s="677">
        <v>1133</v>
      </c>
      <c r="AC7" s="658">
        <f t="shared" ref="AC7:AC28" si="11">AB7-AB6</f>
        <v>38</v>
      </c>
      <c r="AD7" s="660">
        <v>215804</v>
      </c>
      <c r="AE7" s="170">
        <f>AD7-AD6</f>
        <v>50</v>
      </c>
      <c r="AF7" s="687">
        <f>'Lpg (2)'!B11*2000/85</f>
        <v>2000</v>
      </c>
      <c r="AG7" s="252">
        <f>'Lpg (2)'!C11*1000/85</f>
        <v>1000</v>
      </c>
      <c r="AH7" s="700">
        <f>'Lpg (2)'!D11*1000/85</f>
        <v>11.764705882352942</v>
      </c>
      <c r="AI7" s="690">
        <f t="shared" ref="AI7:AI14" si="12">SUM(AF6*2000)+(AG7*1000)+(AH7*1000)</f>
        <v>5011764.7058823528</v>
      </c>
      <c r="AJ7" s="409">
        <f t="shared" si="4"/>
        <v>0</v>
      </c>
      <c r="AK7" s="127"/>
    </row>
    <row r="8" spans="1:37" ht="19.5" thickBot="1">
      <c r="A8" s="721">
        <f>Gen!A13</f>
        <v>44319</v>
      </c>
      <c r="B8" s="406">
        <f>'Summery Report'!E7</f>
        <v>0</v>
      </c>
      <c r="C8" s="726">
        <f>Gen!B13</f>
        <v>3.9E-2</v>
      </c>
      <c r="D8" s="688">
        <f>'Summery Report'!E7</f>
        <v>0</v>
      </c>
      <c r="E8" s="688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8">
        <f>Gen!C13</f>
        <v>40466.020000000004</v>
      </c>
      <c r="I8" s="688">
        <f>Gen!E13</f>
        <v>0</v>
      </c>
      <c r="J8" s="727">
        <f>Gen!T13</f>
        <v>2639</v>
      </c>
      <c r="K8" s="732">
        <f>Gen!AK13</f>
        <v>0</v>
      </c>
      <c r="L8" s="723">
        <f t="shared" si="1"/>
        <v>2639</v>
      </c>
      <c r="M8" s="427">
        <f>'Water-Meter'!K48</f>
        <v>483.24620738604517</v>
      </c>
      <c r="N8" s="683">
        <f>'Water-Meter'!E8</f>
        <v>50</v>
      </c>
      <c r="O8" s="663">
        <v>1.9</v>
      </c>
      <c r="P8" s="681">
        <v>19038</v>
      </c>
      <c r="Q8" s="693">
        <f t="shared" si="2"/>
        <v>0</v>
      </c>
      <c r="R8" s="407">
        <f t="shared" si="5"/>
        <v>0</v>
      </c>
      <c r="S8" s="663">
        <v>6.2</v>
      </c>
      <c r="T8" s="670">
        <v>17958</v>
      </c>
      <c r="U8" s="693">
        <f t="shared" si="6"/>
        <v>0</v>
      </c>
      <c r="V8" s="408">
        <f t="shared" si="7"/>
        <v>0</v>
      </c>
      <c r="W8" s="663">
        <v>1.7</v>
      </c>
      <c r="X8" s="675">
        <v>28152</v>
      </c>
      <c r="Y8" s="693">
        <f t="shared" si="8"/>
        <v>24</v>
      </c>
      <c r="Z8" s="673">
        <f t="shared" si="9"/>
        <v>40.799999999999997</v>
      </c>
      <c r="AA8" s="680">
        <f t="shared" si="10"/>
        <v>1150560</v>
      </c>
      <c r="AB8" s="677">
        <v>1170</v>
      </c>
      <c r="AC8" s="658">
        <f t="shared" si="11"/>
        <v>37</v>
      </c>
      <c r="AD8" s="660">
        <v>215848</v>
      </c>
      <c r="AE8" s="170">
        <f t="shared" ref="AE8:AE37" si="15">AD8-AD7</f>
        <v>44</v>
      </c>
      <c r="AF8" s="687">
        <f>'Lpg (2)'!B12*2000/85</f>
        <v>2000</v>
      </c>
      <c r="AG8" s="252">
        <f>'Lpg (2)'!C12*1000/85</f>
        <v>1000</v>
      </c>
      <c r="AH8" s="700">
        <f>'Lpg (2)'!D12*1000/85</f>
        <v>0</v>
      </c>
      <c r="AI8" s="690">
        <f t="shared" si="12"/>
        <v>5000000</v>
      </c>
      <c r="AJ8" s="409">
        <f t="shared" si="4"/>
        <v>11764.705882352777</v>
      </c>
      <c r="AK8" s="127"/>
    </row>
    <row r="9" spans="1:37" ht="19.5" thickBot="1">
      <c r="A9" s="721">
        <f>Gen!A14</f>
        <v>44320</v>
      </c>
      <c r="B9" s="406">
        <f>'Summery Report'!E8</f>
        <v>0</v>
      </c>
      <c r="C9" s="726">
        <f>Gen!B14</f>
        <v>5.1999999999999998E-2</v>
      </c>
      <c r="D9" s="688">
        <f>'Summery Report'!E8</f>
        <v>0</v>
      </c>
      <c r="E9" s="688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8">
        <f>Gen!C14</f>
        <v>39347.69</v>
      </c>
      <c r="I9" s="688">
        <f>Gen!E14</f>
        <v>0</v>
      </c>
      <c r="J9" s="727">
        <f>Gen!T14</f>
        <v>2826</v>
      </c>
      <c r="K9" s="732">
        <f>Gen!AK14</f>
        <v>0</v>
      </c>
      <c r="L9" s="723">
        <f t="shared" si="1"/>
        <v>2826</v>
      </c>
      <c r="M9" s="427">
        <f>'Water-Meter'!K49</f>
        <v>530.87795528245806</v>
      </c>
      <c r="N9" s="683">
        <f>'Water-Meter'!E9</f>
        <v>50</v>
      </c>
      <c r="O9" s="663">
        <v>1.9</v>
      </c>
      <c r="P9" s="681">
        <v>19038</v>
      </c>
      <c r="Q9" s="693">
        <f t="shared" si="2"/>
        <v>0</v>
      </c>
      <c r="R9" s="407">
        <f t="shared" si="5"/>
        <v>0</v>
      </c>
      <c r="S9" s="663">
        <v>6.2</v>
      </c>
      <c r="T9" s="670">
        <v>17958</v>
      </c>
      <c r="U9" s="693">
        <f t="shared" si="6"/>
        <v>0</v>
      </c>
      <c r="V9" s="408">
        <f>SUM(U9*S10)</f>
        <v>0</v>
      </c>
      <c r="W9" s="663">
        <v>1.7</v>
      </c>
      <c r="X9" s="675">
        <v>28176</v>
      </c>
      <c r="Y9" s="693">
        <f t="shared" si="8"/>
        <v>24</v>
      </c>
      <c r="Z9" s="673">
        <f>SUM(Y9*W11)</f>
        <v>40.799999999999997</v>
      </c>
      <c r="AA9" s="680">
        <f t="shared" si="10"/>
        <v>1151539.2</v>
      </c>
      <c r="AB9" s="677">
        <v>1202</v>
      </c>
      <c r="AC9" s="658">
        <f t="shared" si="11"/>
        <v>32</v>
      </c>
      <c r="AD9" s="660">
        <v>215904</v>
      </c>
      <c r="AE9" s="170">
        <f t="shared" si="15"/>
        <v>56</v>
      </c>
      <c r="AF9" s="687">
        <f>'Lpg (2)'!B13*2000/85</f>
        <v>2000</v>
      </c>
      <c r="AG9" s="252">
        <f>'Lpg (2)'!C13*1000/85</f>
        <v>1000</v>
      </c>
      <c r="AH9" s="700">
        <f>'Lpg (2)'!D13*1000/85</f>
        <v>0</v>
      </c>
      <c r="AI9" s="690">
        <f t="shared" si="12"/>
        <v>5000000</v>
      </c>
      <c r="AJ9" s="409">
        <f t="shared" si="4"/>
        <v>0</v>
      </c>
      <c r="AK9" s="127"/>
    </row>
    <row r="10" spans="1:37" ht="19.5" thickBot="1">
      <c r="A10" s="721">
        <f>Gen!A15</f>
        <v>44321</v>
      </c>
      <c r="B10" s="406">
        <f>'Summery Report'!E9</f>
        <v>0</v>
      </c>
      <c r="C10" s="726">
        <f>Gen!B15</f>
        <v>5.6000000000000001E-2</v>
      </c>
      <c r="D10" s="688">
        <f>'Summery Report'!E9</f>
        <v>0</v>
      </c>
      <c r="E10" s="688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8">
        <f>Gen!C15</f>
        <v>38143.090000000004</v>
      </c>
      <c r="I10" s="688">
        <f>Gen!E15</f>
        <v>0</v>
      </c>
      <c r="J10" s="727">
        <f>Gen!T15</f>
        <v>2780</v>
      </c>
      <c r="K10" s="732">
        <f>Gen!AK15</f>
        <v>0</v>
      </c>
      <c r="L10" s="723">
        <f t="shared" si="1"/>
        <v>2780</v>
      </c>
      <c r="M10" s="427">
        <f>'Water-Meter'!K50</f>
        <v>520.23188855616422</v>
      </c>
      <c r="N10" s="683">
        <f>'Water-Meter'!E10</f>
        <v>67</v>
      </c>
      <c r="O10" s="663">
        <v>1.9</v>
      </c>
      <c r="P10" s="681">
        <v>19038</v>
      </c>
      <c r="Q10" s="693">
        <f t="shared" si="2"/>
        <v>0</v>
      </c>
      <c r="R10" s="407">
        <f t="shared" si="5"/>
        <v>0</v>
      </c>
      <c r="S10" s="663">
        <v>6.2</v>
      </c>
      <c r="T10" s="670">
        <v>17958</v>
      </c>
      <c r="U10" s="693">
        <f t="shared" si="6"/>
        <v>0</v>
      </c>
      <c r="V10" s="408" t="e">
        <f>SUM(U10*#REF!)</f>
        <v>#REF!</v>
      </c>
      <c r="W10" s="663">
        <v>1.7</v>
      </c>
      <c r="X10" s="675">
        <v>28200</v>
      </c>
      <c r="Y10" s="693">
        <f t="shared" si="8"/>
        <v>24</v>
      </c>
      <c r="Z10" s="673">
        <f t="shared" si="9"/>
        <v>40.799999999999997</v>
      </c>
      <c r="AA10" s="680">
        <f t="shared" si="10"/>
        <v>1152151.2</v>
      </c>
      <c r="AB10" s="677">
        <v>1240</v>
      </c>
      <c r="AC10" s="658">
        <f t="shared" si="11"/>
        <v>38</v>
      </c>
      <c r="AD10" s="660">
        <v>215954</v>
      </c>
      <c r="AE10" s="170">
        <f t="shared" si="15"/>
        <v>50</v>
      </c>
      <c r="AF10" s="687">
        <f>'Lpg (2)'!B14*2000/85</f>
        <v>2000</v>
      </c>
      <c r="AG10" s="252">
        <f>'Lpg (2)'!C14*1000/85</f>
        <v>1000</v>
      </c>
      <c r="AH10" s="700">
        <f>'Lpg (2)'!D14*1000/85</f>
        <v>0</v>
      </c>
      <c r="AI10" s="690">
        <f t="shared" si="12"/>
        <v>5000000</v>
      </c>
      <c r="AJ10" s="409">
        <f t="shared" si="4"/>
        <v>0</v>
      </c>
      <c r="AK10" s="127"/>
    </row>
    <row r="11" spans="1:37" ht="19.5" thickBot="1">
      <c r="A11" s="721">
        <f>Gen!A16</f>
        <v>44322</v>
      </c>
      <c r="B11" s="406">
        <f>'Summery Report'!E10</f>
        <v>0</v>
      </c>
      <c r="C11" s="726">
        <f>Gen!B16</f>
        <v>5.6000000000000001E-2</v>
      </c>
      <c r="D11" s="688">
        <f>'Summery Report'!E10</f>
        <v>0</v>
      </c>
      <c r="E11" s="688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8">
        <f>Gen!C16</f>
        <v>37017.94</v>
      </c>
      <c r="I11" s="688">
        <f>Gen!E16</f>
        <v>0</v>
      </c>
      <c r="J11" s="727">
        <f>Gen!T16</f>
        <v>2900</v>
      </c>
      <c r="K11" s="732">
        <f>Gen!AK16</f>
        <v>0</v>
      </c>
      <c r="L11" s="723">
        <f t="shared" si="1"/>
        <v>2900</v>
      </c>
      <c r="M11" s="427">
        <f>'Water-Meter'!K51</f>
        <v>509.27933914449773</v>
      </c>
      <c r="N11" s="683">
        <f>'Water-Meter'!E11</f>
        <v>70</v>
      </c>
      <c r="O11" s="663">
        <v>1.9</v>
      </c>
      <c r="P11" s="681">
        <v>19038</v>
      </c>
      <c r="Q11" s="693">
        <f t="shared" si="2"/>
        <v>0</v>
      </c>
      <c r="R11" s="407">
        <f t="shared" si="5"/>
        <v>0</v>
      </c>
      <c r="S11" s="663">
        <v>6.2</v>
      </c>
      <c r="T11" s="670">
        <v>17958</v>
      </c>
      <c r="U11" s="693">
        <f t="shared" si="6"/>
        <v>0</v>
      </c>
      <c r="V11" s="408">
        <f t="shared" ref="V11:V16" si="16">SUM(U11*S11)</f>
        <v>0</v>
      </c>
      <c r="W11" s="663">
        <v>1.7</v>
      </c>
      <c r="X11" s="675">
        <v>28224</v>
      </c>
      <c r="Y11" s="693">
        <f t="shared" si="8"/>
        <v>24</v>
      </c>
      <c r="Z11" s="673" t="e">
        <f>SUM(Y11*#REF!)</f>
        <v>#REF!</v>
      </c>
      <c r="AA11" s="680" t="e">
        <f t="shared" si="10"/>
        <v>#REF!</v>
      </c>
      <c r="AB11" s="677">
        <v>1274</v>
      </c>
      <c r="AC11" s="658">
        <f t="shared" si="11"/>
        <v>34</v>
      </c>
      <c r="AD11" s="660">
        <v>216007</v>
      </c>
      <c r="AE11" s="170">
        <f t="shared" si="15"/>
        <v>53</v>
      </c>
      <c r="AF11" s="687">
        <f>'Lpg (2)'!B15*2000/85</f>
        <v>2000</v>
      </c>
      <c r="AG11" s="252">
        <f>'Lpg (2)'!C15*1000/85</f>
        <v>988.23529411764707</v>
      </c>
      <c r="AH11" s="700">
        <f>'Lpg (2)'!D15*1000/85</f>
        <v>0</v>
      </c>
      <c r="AI11" s="690">
        <f t="shared" si="12"/>
        <v>4988235.2941176472</v>
      </c>
      <c r="AJ11" s="409">
        <f t="shared" si="4"/>
        <v>11764.705882352777</v>
      </c>
      <c r="AK11" s="127"/>
    </row>
    <row r="12" spans="1:37" ht="19.5" thickBot="1">
      <c r="A12" s="721">
        <f>Gen!A17</f>
        <v>44323</v>
      </c>
      <c r="B12" s="406">
        <f>'Summery Report'!E11</f>
        <v>0</v>
      </c>
      <c r="C12" s="726">
        <f>Gen!B17</f>
        <v>0</v>
      </c>
      <c r="D12" s="688">
        <f>'Summery Report'!E11</f>
        <v>0</v>
      </c>
      <c r="E12" s="688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8">
        <f>Gen!C17</f>
        <v>35338.400000000001</v>
      </c>
      <c r="I12" s="688">
        <f>Gen!E17</f>
        <v>0</v>
      </c>
      <c r="J12" s="727">
        <f>Gen!T17</f>
        <v>2734</v>
      </c>
      <c r="K12" s="732">
        <f>Gen!AK17</f>
        <v>0</v>
      </c>
      <c r="L12" s="723">
        <f t="shared" si="1"/>
        <v>2734</v>
      </c>
      <c r="M12" s="427">
        <f>'Water-Meter'!K52</f>
        <v>430.60260517935171</v>
      </c>
      <c r="N12" s="683">
        <f>'Water-Meter'!E12</f>
        <v>50</v>
      </c>
      <c r="O12" s="663">
        <v>1.9</v>
      </c>
      <c r="P12" s="681">
        <v>19038</v>
      </c>
      <c r="Q12" s="693">
        <f t="shared" si="2"/>
        <v>0</v>
      </c>
      <c r="R12" s="407">
        <f t="shared" si="5"/>
        <v>0</v>
      </c>
      <c r="S12" s="663">
        <v>6.2</v>
      </c>
      <c r="T12" s="670">
        <v>17968</v>
      </c>
      <c r="U12" s="693">
        <f t="shared" si="6"/>
        <v>10</v>
      </c>
      <c r="V12" s="408">
        <f t="shared" si="16"/>
        <v>62</v>
      </c>
      <c r="W12" s="663">
        <v>1.7</v>
      </c>
      <c r="X12" s="675">
        <v>28239</v>
      </c>
      <c r="Y12" s="693">
        <f t="shared" si="8"/>
        <v>15</v>
      </c>
      <c r="Z12" s="673">
        <f t="shared" si="9"/>
        <v>25.5</v>
      </c>
      <c r="AA12" s="680">
        <f t="shared" si="10"/>
        <v>720477</v>
      </c>
      <c r="AB12" s="677">
        <v>1362</v>
      </c>
      <c r="AC12" s="658">
        <f t="shared" si="11"/>
        <v>88</v>
      </c>
      <c r="AD12" s="660">
        <v>216052</v>
      </c>
      <c r="AE12" s="170">
        <f t="shared" si="15"/>
        <v>45</v>
      </c>
      <c r="AF12" s="687">
        <f>'Lpg (2)'!B16*2000/85</f>
        <v>2000</v>
      </c>
      <c r="AG12" s="252">
        <f>'Lpg (2)'!C16*1000/85</f>
        <v>882.35294117647061</v>
      </c>
      <c r="AH12" s="700">
        <f>'Lpg (2)'!D16*1000/85</f>
        <v>0</v>
      </c>
      <c r="AI12" s="690">
        <f t="shared" si="12"/>
        <v>4882352.9411764704</v>
      </c>
      <c r="AJ12" s="409">
        <f t="shared" si="4"/>
        <v>105882.35294117685</v>
      </c>
      <c r="AK12" s="127"/>
    </row>
    <row r="13" spans="1:37" ht="19.5" thickBot="1">
      <c r="A13" s="721">
        <f>Gen!A18</f>
        <v>44324</v>
      </c>
      <c r="B13" s="406">
        <f>'Summery Report'!E12</f>
        <v>0</v>
      </c>
      <c r="C13" s="726">
        <f>Gen!B18</f>
        <v>0</v>
      </c>
      <c r="D13" s="688">
        <f>'Summery Report'!E12</f>
        <v>0</v>
      </c>
      <c r="E13" s="688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8">
        <f>Gen!C18</f>
        <v>49212.04</v>
      </c>
      <c r="I13" s="688">
        <f>Gen!E18</f>
        <v>0</v>
      </c>
      <c r="J13" s="727">
        <f>Gen!T18</f>
        <v>2996</v>
      </c>
      <c r="K13" s="732">
        <f>Gen!AK18</f>
        <v>0</v>
      </c>
      <c r="L13" s="723">
        <f t="shared" si="1"/>
        <v>2996</v>
      </c>
      <c r="M13" s="427">
        <f>'Water-Meter'!K53</f>
        <v>436.71662313203637</v>
      </c>
      <c r="N13" s="683">
        <f>'Water-Meter'!E13</f>
        <v>51</v>
      </c>
      <c r="O13" s="663">
        <v>1.9</v>
      </c>
      <c r="P13" s="681">
        <v>19038</v>
      </c>
      <c r="Q13" s="693">
        <f t="shared" si="2"/>
        <v>0</v>
      </c>
      <c r="R13" s="407">
        <f t="shared" si="5"/>
        <v>0</v>
      </c>
      <c r="S13" s="663">
        <v>6.2</v>
      </c>
      <c r="T13" s="670">
        <v>17989</v>
      </c>
      <c r="U13" s="693">
        <f t="shared" si="6"/>
        <v>21</v>
      </c>
      <c r="V13" s="408">
        <f t="shared" si="16"/>
        <v>130.20000000000002</v>
      </c>
      <c r="W13" s="663">
        <v>1.7</v>
      </c>
      <c r="X13" s="675">
        <v>28239</v>
      </c>
      <c r="Y13" s="693">
        <f t="shared" si="8"/>
        <v>0</v>
      </c>
      <c r="Z13" s="673">
        <f t="shared" si="9"/>
        <v>0</v>
      </c>
      <c r="AA13" s="680">
        <f t="shared" si="10"/>
        <v>0</v>
      </c>
      <c r="AB13" s="677">
        <v>1512</v>
      </c>
      <c r="AC13" s="658">
        <f t="shared" si="11"/>
        <v>150</v>
      </c>
      <c r="AD13" s="660">
        <v>216096</v>
      </c>
      <c r="AE13" s="170">
        <f t="shared" si="15"/>
        <v>44</v>
      </c>
      <c r="AF13" s="687">
        <f>'Lpg (2)'!B17*2000/85</f>
        <v>2000</v>
      </c>
      <c r="AG13" s="252">
        <f>'Lpg (2)'!C17*1000/85</f>
        <v>823.52941176470586</v>
      </c>
      <c r="AH13" s="700">
        <f>'Lpg (2)'!D17*1000/85</f>
        <v>0</v>
      </c>
      <c r="AI13" s="690">
        <f t="shared" si="12"/>
        <v>4823529.4117647056</v>
      </c>
      <c r="AJ13" s="409">
        <f t="shared" si="4"/>
        <v>58823.529411764815</v>
      </c>
      <c r="AK13" s="127"/>
    </row>
    <row r="14" spans="1:37" ht="19.5" thickBot="1">
      <c r="A14" s="721">
        <f>Gen!A19</f>
        <v>44325</v>
      </c>
      <c r="B14" s="406">
        <f>'Summery Report'!E13</f>
        <v>0</v>
      </c>
      <c r="C14" s="726">
        <f>Gen!B19</f>
        <v>0</v>
      </c>
      <c r="D14" s="688">
        <f>'Summery Report'!E13</f>
        <v>0</v>
      </c>
      <c r="E14" s="688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8">
        <f>Gen!C19</f>
        <v>47730.99</v>
      </c>
      <c r="I14" s="688">
        <f>Gen!E19</f>
        <v>0</v>
      </c>
      <c r="J14" s="727">
        <f>Gen!T19</f>
        <v>2627</v>
      </c>
      <c r="K14" s="732">
        <f>Gen!AK19</f>
        <v>0</v>
      </c>
      <c r="L14" s="723">
        <f t="shared" ref="L14:L37" si="17">SUM(J14:K14)</f>
        <v>2627</v>
      </c>
      <c r="M14" s="427">
        <f>'Water-Meter'!K54</f>
        <v>523.50956322138109</v>
      </c>
      <c r="N14" s="683">
        <f>'Water-Meter'!E14</f>
        <v>76</v>
      </c>
      <c r="O14" s="663">
        <v>1.9</v>
      </c>
      <c r="P14" s="681">
        <v>19038</v>
      </c>
      <c r="Q14" s="693">
        <f t="shared" si="2"/>
        <v>0</v>
      </c>
      <c r="R14" s="407">
        <f t="shared" si="5"/>
        <v>0</v>
      </c>
      <c r="S14" s="663">
        <v>6.2</v>
      </c>
      <c r="T14" s="670">
        <v>17989</v>
      </c>
      <c r="U14" s="693">
        <f t="shared" si="6"/>
        <v>0</v>
      </c>
      <c r="V14" s="408">
        <f t="shared" si="16"/>
        <v>0</v>
      </c>
      <c r="W14" s="674">
        <v>1.7</v>
      </c>
      <c r="X14" s="675">
        <v>28254</v>
      </c>
      <c r="Y14" s="693">
        <f t="shared" si="8"/>
        <v>15</v>
      </c>
      <c r="Z14" s="673">
        <f t="shared" si="9"/>
        <v>25.5</v>
      </c>
      <c r="AA14" s="680">
        <f t="shared" si="10"/>
        <v>721675.5</v>
      </c>
      <c r="AB14" s="677">
        <v>1534</v>
      </c>
      <c r="AC14" s="658">
        <f t="shared" si="11"/>
        <v>22</v>
      </c>
      <c r="AD14" s="660">
        <v>216162</v>
      </c>
      <c r="AE14" s="170">
        <f t="shared" si="15"/>
        <v>66</v>
      </c>
      <c r="AF14" s="687">
        <f>'Lpg (2)'!B18*2000/85</f>
        <v>2000</v>
      </c>
      <c r="AG14" s="252">
        <f>'Lpg (2)'!C18*1000/85</f>
        <v>800</v>
      </c>
      <c r="AH14" s="700">
        <f>'Lpg (2)'!D18*1000/85</f>
        <v>0</v>
      </c>
      <c r="AI14" s="690">
        <f t="shared" si="12"/>
        <v>4800000</v>
      </c>
      <c r="AJ14" s="409">
        <f t="shared" si="4"/>
        <v>23529.411764705554</v>
      </c>
      <c r="AK14" s="127"/>
    </row>
    <row r="15" spans="1:37" ht="19.5" thickBot="1">
      <c r="A15" s="721">
        <f>Gen!A20</f>
        <v>44326</v>
      </c>
      <c r="B15" s="406">
        <f>'Summery Report'!E14</f>
        <v>0</v>
      </c>
      <c r="C15" s="726">
        <f>Gen!B20</f>
        <v>0</v>
      </c>
      <c r="D15" s="688">
        <f>'Summery Report'!E14</f>
        <v>0</v>
      </c>
      <c r="E15" s="688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8">
        <f>Gen!C20</f>
        <v>46526.75</v>
      </c>
      <c r="I15" s="688">
        <f>Gen!E20</f>
        <v>0</v>
      </c>
      <c r="J15" s="727">
        <f>Gen!T20</f>
        <v>2619</v>
      </c>
      <c r="K15" s="732">
        <f>Gen!AK20</f>
        <v>0</v>
      </c>
      <c r="L15" s="723">
        <f t="shared" si="17"/>
        <v>2619</v>
      </c>
      <c r="M15" s="427">
        <f>'Water-Meter'!K55</f>
        <v>593.50820372539329</v>
      </c>
      <c r="N15" s="683">
        <f>'Water-Meter'!E15</f>
        <v>20</v>
      </c>
      <c r="O15" s="663">
        <v>1.9</v>
      </c>
      <c r="P15" s="681">
        <v>19038</v>
      </c>
      <c r="Q15" s="693">
        <f t="shared" si="2"/>
        <v>0</v>
      </c>
      <c r="R15" s="407">
        <f t="shared" si="5"/>
        <v>0</v>
      </c>
      <c r="S15" s="663">
        <v>6.2</v>
      </c>
      <c r="T15" s="670">
        <v>17989</v>
      </c>
      <c r="U15" s="693">
        <f t="shared" si="6"/>
        <v>0</v>
      </c>
      <c r="V15" s="408">
        <f t="shared" si="16"/>
        <v>0</v>
      </c>
      <c r="W15" s="674">
        <v>1.4</v>
      </c>
      <c r="X15" s="675">
        <v>28277</v>
      </c>
      <c r="Y15" s="693">
        <f t="shared" si="8"/>
        <v>23</v>
      </c>
      <c r="Z15" s="673">
        <f t="shared" si="9"/>
        <v>32.199999999999996</v>
      </c>
      <c r="AA15" s="680">
        <f t="shared" si="10"/>
        <v>912064.99999999988</v>
      </c>
      <c r="AB15" s="677">
        <v>1567</v>
      </c>
      <c r="AC15" s="658">
        <f t="shared" si="11"/>
        <v>33</v>
      </c>
      <c r="AD15" s="660">
        <v>216215</v>
      </c>
      <c r="AE15" s="170">
        <f>AD15-AD14</f>
        <v>53</v>
      </c>
      <c r="AF15" s="687">
        <f>'Lpg (2)'!B19*2000/85</f>
        <v>2000</v>
      </c>
      <c r="AG15" s="252">
        <f>'Lpg (2)'!C19*1000/85</f>
        <v>764.70588235294122</v>
      </c>
      <c r="AH15" s="700">
        <f>'Lpg (2)'!D19*1000/85</f>
        <v>0</v>
      </c>
      <c r="AI15" s="690">
        <f t="shared" ref="AI15:AI35" si="18">SUM(AF15*2000)+(AG15*1000)+(AH15*1000)</f>
        <v>4764705.8823529407</v>
      </c>
      <c r="AJ15" s="409">
        <f t="shared" si="4"/>
        <v>35294.117647059262</v>
      </c>
      <c r="AK15" s="127"/>
    </row>
    <row r="16" spans="1:37" ht="19.5" thickBot="1">
      <c r="A16" s="721">
        <f>Gen!A21</f>
        <v>44327</v>
      </c>
      <c r="B16" s="406">
        <f>'Summery Report'!E15</f>
        <v>0</v>
      </c>
      <c r="C16" s="726">
        <f>Gen!B21</f>
        <v>0</v>
      </c>
      <c r="D16" s="688">
        <f>'Summery Report'!E15</f>
        <v>0</v>
      </c>
      <c r="E16" s="688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8">
        <f>Gen!C21</f>
        <v>45299.78</v>
      </c>
      <c r="I16" s="688">
        <f>Gen!E21</f>
        <v>0</v>
      </c>
      <c r="J16" s="727">
        <f>Gen!T21</f>
        <v>2525</v>
      </c>
      <c r="K16" s="732">
        <f>Gen!AK21</f>
        <v>0</v>
      </c>
      <c r="L16" s="723">
        <f t="shared" si="17"/>
        <v>2525</v>
      </c>
      <c r="M16" s="427">
        <f>'Water-Meter'!K56</f>
        <v>567.076915593217</v>
      </c>
      <c r="N16" s="683">
        <f>'Water-Meter'!E16</f>
        <v>54</v>
      </c>
      <c r="O16" s="663">
        <v>1.9</v>
      </c>
      <c r="P16" s="681">
        <v>19038</v>
      </c>
      <c r="Q16" s="693">
        <f t="shared" si="2"/>
        <v>0</v>
      </c>
      <c r="R16" s="407">
        <f t="shared" si="5"/>
        <v>0</v>
      </c>
      <c r="S16" s="663">
        <v>6.2</v>
      </c>
      <c r="T16" s="670">
        <v>17989</v>
      </c>
      <c r="U16" s="693">
        <f t="shared" si="6"/>
        <v>0</v>
      </c>
      <c r="V16" s="408">
        <f t="shared" si="16"/>
        <v>0</v>
      </c>
      <c r="W16" s="674">
        <v>1.4</v>
      </c>
      <c r="X16" s="675">
        <v>28301</v>
      </c>
      <c r="Y16" s="693">
        <f t="shared" si="8"/>
        <v>24</v>
      </c>
      <c r="Z16" s="673">
        <f t="shared" si="9"/>
        <v>33.599999999999994</v>
      </c>
      <c r="AA16" s="680">
        <f t="shared" si="10"/>
        <v>951719.99999999988</v>
      </c>
      <c r="AB16" s="677">
        <v>1600</v>
      </c>
      <c r="AC16" s="658">
        <f t="shared" si="11"/>
        <v>33</v>
      </c>
      <c r="AD16" s="660">
        <v>216266</v>
      </c>
      <c r="AE16" s="170">
        <f t="shared" si="15"/>
        <v>51</v>
      </c>
      <c r="AF16" s="687">
        <f>'Lpg (2)'!B20*2000/85</f>
        <v>2000</v>
      </c>
      <c r="AG16" s="252">
        <f>'Lpg (2)'!C20*1000/85</f>
        <v>705.88235294117646</v>
      </c>
      <c r="AH16" s="700">
        <f>'Lpg (2)'!D20*1000/85</f>
        <v>0</v>
      </c>
      <c r="AI16" s="690">
        <f t="shared" si="18"/>
        <v>4705882.3529411769</v>
      </c>
      <c r="AJ16" s="409">
        <f t="shared" si="4"/>
        <v>58823.529411763884</v>
      </c>
      <c r="AK16" s="127"/>
    </row>
    <row r="17" spans="1:37" ht="19.5" thickBot="1">
      <c r="A17" s="721">
        <f>Gen!A22</f>
        <v>44328</v>
      </c>
      <c r="B17" s="406">
        <f>'Summery Report'!E16</f>
        <v>0</v>
      </c>
      <c r="C17" s="726">
        <f>Gen!B22</f>
        <v>0</v>
      </c>
      <c r="D17" s="688">
        <f>'Summery Report'!E16</f>
        <v>0</v>
      </c>
      <c r="E17" s="688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8">
        <f>Gen!C22</f>
        <v>43593.729999999996</v>
      </c>
      <c r="I17" s="688">
        <f>Gen!E22</f>
        <v>0</v>
      </c>
      <c r="J17" s="727">
        <f>Gen!T22</f>
        <v>2428</v>
      </c>
      <c r="K17" s="732">
        <f>Gen!AK22</f>
        <v>0</v>
      </c>
      <c r="L17" s="723">
        <f t="shared" si="17"/>
        <v>2428</v>
      </c>
      <c r="M17" s="427">
        <f>'Water-Meter'!K57</f>
        <v>520.13348239242384</v>
      </c>
      <c r="N17" s="683">
        <f>'Water-Meter'!E17</f>
        <v>51</v>
      </c>
      <c r="O17" s="663">
        <v>1.9</v>
      </c>
      <c r="P17" s="681">
        <v>19038</v>
      </c>
      <c r="Q17" s="693">
        <f>SUM(P18-P16)</f>
        <v>0</v>
      </c>
      <c r="R17" s="407">
        <f t="shared" si="5"/>
        <v>0</v>
      </c>
      <c r="S17" s="663">
        <v>6.2</v>
      </c>
      <c r="T17" s="670">
        <v>17989</v>
      </c>
      <c r="U17" s="693">
        <f t="shared" si="6"/>
        <v>0</v>
      </c>
      <c r="V17" s="408">
        <f t="shared" ref="V17:V36" si="19">SUM(U17*S17)</f>
        <v>0</v>
      </c>
      <c r="W17" s="674">
        <v>1.4</v>
      </c>
      <c r="X17" s="675">
        <v>28325</v>
      </c>
      <c r="Y17" s="693">
        <f t="shared" si="8"/>
        <v>24</v>
      </c>
      <c r="Z17" s="673">
        <f t="shared" si="9"/>
        <v>33.599999999999994</v>
      </c>
      <c r="AA17" s="680">
        <f t="shared" si="10"/>
        <v>951719.99999999988</v>
      </c>
      <c r="AB17" s="677">
        <v>1631</v>
      </c>
      <c r="AC17" s="658">
        <f t="shared" si="11"/>
        <v>31</v>
      </c>
      <c r="AD17" s="660">
        <v>216314</v>
      </c>
      <c r="AE17" s="170">
        <f t="shared" si="15"/>
        <v>48</v>
      </c>
      <c r="AF17" s="687">
        <f>'Lpg (2)'!B21*2000/85</f>
        <v>2000</v>
      </c>
      <c r="AG17" s="252">
        <f>'Lpg (2)'!C21*1000/85</f>
        <v>658.82352941176475</v>
      </c>
      <c r="AH17" s="700">
        <f>'Lpg (2)'!D21*1000/85</f>
        <v>0</v>
      </c>
      <c r="AI17" s="690">
        <f t="shared" si="18"/>
        <v>4658823.5294117648</v>
      </c>
      <c r="AJ17" s="409">
        <f t="shared" si="4"/>
        <v>47058.823529412039</v>
      </c>
      <c r="AK17" s="127"/>
    </row>
    <row r="18" spans="1:37" ht="18.75">
      <c r="A18" s="721">
        <f>Gen!A23</f>
        <v>44329</v>
      </c>
      <c r="B18" s="406">
        <f>'Summery Report'!E17</f>
        <v>0</v>
      </c>
      <c r="C18" s="726">
        <f>Gen!B23</f>
        <v>0</v>
      </c>
      <c r="D18" s="688">
        <f>'Summery Report'!E17</f>
        <v>0</v>
      </c>
      <c r="E18" s="688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8">
        <f>Gen!C23</f>
        <v>42547.569999999992</v>
      </c>
      <c r="I18" s="688">
        <f>Gen!E23</f>
        <v>15000</v>
      </c>
      <c r="J18" s="727">
        <f>Gen!T23</f>
        <v>2512</v>
      </c>
      <c r="K18" s="732">
        <f>Gen!AK23</f>
        <v>0</v>
      </c>
      <c r="L18" s="723">
        <f t="shared" si="17"/>
        <v>2512</v>
      </c>
      <c r="M18" s="427">
        <f>'Water-Meter'!K58</f>
        <v>510.42352198586843</v>
      </c>
      <c r="N18" s="683">
        <f>'Water-Meter'!E18</f>
        <v>54</v>
      </c>
      <c r="O18" s="663">
        <v>1.9</v>
      </c>
      <c r="P18" s="681">
        <v>19038</v>
      </c>
      <c r="Q18" s="693"/>
      <c r="R18" s="407">
        <f t="shared" si="5"/>
        <v>0</v>
      </c>
      <c r="S18" s="663">
        <v>6.2</v>
      </c>
      <c r="T18" s="670">
        <v>18000</v>
      </c>
      <c r="U18" s="693">
        <f t="shared" si="6"/>
        <v>11</v>
      </c>
      <c r="V18" s="408">
        <f t="shared" si="19"/>
        <v>68.2</v>
      </c>
      <c r="W18" s="674">
        <v>1.4</v>
      </c>
      <c r="X18" s="675">
        <v>28325</v>
      </c>
      <c r="Y18" s="693">
        <f t="shared" si="8"/>
        <v>0</v>
      </c>
      <c r="Z18" s="673">
        <f t="shared" si="9"/>
        <v>0</v>
      </c>
      <c r="AA18" s="680">
        <f t="shared" si="10"/>
        <v>0</v>
      </c>
      <c r="AB18" s="677">
        <v>1716</v>
      </c>
      <c r="AC18" s="658">
        <f t="shared" si="11"/>
        <v>85</v>
      </c>
      <c r="AD18" s="660">
        <v>216370</v>
      </c>
      <c r="AE18" s="170">
        <f t="shared" si="15"/>
        <v>56</v>
      </c>
      <c r="AF18" s="687">
        <f>'Lpg (2)'!B22*2000/85</f>
        <v>2000</v>
      </c>
      <c r="AG18" s="252">
        <f>'Lpg (2)'!C22*1000/85</f>
        <v>600</v>
      </c>
      <c r="AH18" s="700">
        <f>'Lpg (2)'!D22*1000/85</f>
        <v>0</v>
      </c>
      <c r="AI18" s="690">
        <f t="shared" si="18"/>
        <v>4600000</v>
      </c>
      <c r="AJ18" s="409">
        <f t="shared" si="4"/>
        <v>58823.529411764815</v>
      </c>
      <c r="AK18" s="127"/>
    </row>
    <row r="19" spans="1:37" ht="18.75">
      <c r="A19" s="721">
        <f>Gen!A24</f>
        <v>44330</v>
      </c>
      <c r="B19" s="406">
        <f>'Summery Report'!E18</f>
        <v>0</v>
      </c>
      <c r="C19" s="726">
        <f>Gen!B24</f>
        <v>0</v>
      </c>
      <c r="D19" s="688">
        <f>'Summery Report'!E18</f>
        <v>0</v>
      </c>
      <c r="E19" s="688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8">
        <f>Gen!C24</f>
        <v>41292.229999999996</v>
      </c>
      <c r="I19" s="688">
        <f>Gen!E24</f>
        <v>0</v>
      </c>
      <c r="J19" s="727">
        <f>Gen!T24</f>
        <v>2744</v>
      </c>
      <c r="K19" s="732">
        <f>Gen!AK24</f>
        <v>0</v>
      </c>
      <c r="L19" s="723">
        <f t="shared" si="17"/>
        <v>2744</v>
      </c>
      <c r="M19" s="427">
        <f>'Water-Meter'!K59</f>
        <v>384.10641739176515</v>
      </c>
      <c r="N19" s="683">
        <f>'Water-Meter'!E19</f>
        <v>42</v>
      </c>
      <c r="O19" s="663">
        <v>1.9</v>
      </c>
      <c r="P19" s="681">
        <v>19038</v>
      </c>
      <c r="Q19" s="693"/>
      <c r="R19" s="407">
        <f t="shared" si="5"/>
        <v>0</v>
      </c>
      <c r="S19" s="663">
        <v>6.2</v>
      </c>
      <c r="T19" s="670">
        <v>18013</v>
      </c>
      <c r="U19" s="693">
        <f t="shared" si="6"/>
        <v>13</v>
      </c>
      <c r="V19" s="408">
        <f t="shared" si="19"/>
        <v>80.600000000000009</v>
      </c>
      <c r="W19" s="674">
        <v>1.4</v>
      </c>
      <c r="X19" s="675">
        <v>28325</v>
      </c>
      <c r="Y19" s="693">
        <f t="shared" si="8"/>
        <v>0</v>
      </c>
      <c r="Z19" s="673">
        <f t="shared" si="9"/>
        <v>0</v>
      </c>
      <c r="AA19" s="680">
        <f t="shared" si="10"/>
        <v>0</v>
      </c>
      <c r="AB19" s="677">
        <v>1805</v>
      </c>
      <c r="AC19" s="658">
        <f t="shared" si="11"/>
        <v>89</v>
      </c>
      <c r="AD19" s="660">
        <v>216423</v>
      </c>
      <c r="AE19" s="170">
        <f t="shared" si="15"/>
        <v>53</v>
      </c>
      <c r="AF19" s="687">
        <f>'Lpg (2)'!B23*2000/85</f>
        <v>2000</v>
      </c>
      <c r="AG19" s="252">
        <f>'Lpg (2)'!C23*1000/85</f>
        <v>564.70588235294122</v>
      </c>
      <c r="AH19" s="700">
        <f>'Lpg (2)'!D23*1000/85</f>
        <v>0</v>
      </c>
      <c r="AI19" s="690">
        <f t="shared" si="18"/>
        <v>4564705.8823529407</v>
      </c>
      <c r="AJ19" s="409">
        <f t="shared" si="4"/>
        <v>35294.117647059262</v>
      </c>
      <c r="AK19" s="127"/>
    </row>
    <row r="20" spans="1:37" ht="18.75">
      <c r="A20" s="721">
        <f>Gen!A25</f>
        <v>44331</v>
      </c>
      <c r="B20" s="406">
        <f>'Summery Report'!E19</f>
        <v>0</v>
      </c>
      <c r="C20" s="726">
        <f>Gen!B25</f>
        <v>0</v>
      </c>
      <c r="D20" s="688">
        <f>'Summery Report'!E19</f>
        <v>0</v>
      </c>
      <c r="E20" s="688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8">
        <f>Gen!C25</f>
        <v>40057.829999999994</v>
      </c>
      <c r="I20" s="688">
        <f>Gen!E25</f>
        <v>0</v>
      </c>
      <c r="J20" s="727">
        <f>Gen!T25</f>
        <v>2461</v>
      </c>
      <c r="K20" s="732">
        <f>Gen!AK25</f>
        <v>0</v>
      </c>
      <c r="L20" s="723">
        <f t="shared" si="17"/>
        <v>2461</v>
      </c>
      <c r="M20" s="427">
        <f>'Water-Meter'!K60</f>
        <v>456.77054126914328</v>
      </c>
      <c r="N20" s="683">
        <f>'Water-Meter'!E20</f>
        <v>46</v>
      </c>
      <c r="O20" s="663">
        <v>1.9</v>
      </c>
      <c r="P20" s="681">
        <v>19038</v>
      </c>
      <c r="Q20" s="693">
        <f t="shared" si="2"/>
        <v>0</v>
      </c>
      <c r="R20" s="407">
        <f t="shared" si="5"/>
        <v>0</v>
      </c>
      <c r="S20" s="669">
        <v>6.2</v>
      </c>
      <c r="T20" s="670">
        <v>1815</v>
      </c>
      <c r="U20" s="693">
        <f t="shared" si="6"/>
        <v>-16198</v>
      </c>
      <c r="V20" s="408">
        <f t="shared" si="19"/>
        <v>-100427.6</v>
      </c>
      <c r="W20" s="674">
        <v>1.4</v>
      </c>
      <c r="X20" s="675">
        <v>28325</v>
      </c>
      <c r="Y20" s="693">
        <f t="shared" si="8"/>
        <v>0</v>
      </c>
      <c r="Z20" s="673">
        <f t="shared" si="9"/>
        <v>0</v>
      </c>
      <c r="AA20" s="680">
        <f t="shared" si="10"/>
        <v>0</v>
      </c>
      <c r="AB20" s="677">
        <v>1815</v>
      </c>
      <c r="AC20" s="658">
        <f t="shared" si="11"/>
        <v>10</v>
      </c>
      <c r="AD20" s="660">
        <v>216476</v>
      </c>
      <c r="AE20" s="170">
        <f t="shared" si="15"/>
        <v>53</v>
      </c>
      <c r="AF20" s="687">
        <f>'Lpg (2)'!B24*2000/85</f>
        <v>2000</v>
      </c>
      <c r="AG20" s="252">
        <f>'Lpg (2)'!C24*1000/85</f>
        <v>470.58823529411762</v>
      </c>
      <c r="AH20" s="700">
        <f>'Lpg (2)'!D24*1000/85</f>
        <v>0</v>
      </c>
      <c r="AI20" s="690">
        <f t="shared" si="18"/>
        <v>4470588.2352941176</v>
      </c>
      <c r="AJ20" s="409">
        <f t="shared" si="4"/>
        <v>94117.647058823146</v>
      </c>
      <c r="AK20" s="127"/>
    </row>
    <row r="21" spans="1:37" ht="18.75">
      <c r="A21" s="721">
        <f>Gen!A26</f>
        <v>44332</v>
      </c>
      <c r="B21" s="406">
        <f>'Summery Report'!E20</f>
        <v>0</v>
      </c>
      <c r="C21" s="726">
        <f>Gen!B26</f>
        <v>0</v>
      </c>
      <c r="D21" s="688">
        <f>'Summery Report'!E20</f>
        <v>0</v>
      </c>
      <c r="E21" s="688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8">
        <f>Gen!C26</f>
        <v>38851.349999999991</v>
      </c>
      <c r="I21" s="688">
        <f>Gen!E26</f>
        <v>0</v>
      </c>
      <c r="J21" s="727">
        <f>Gen!T26</f>
        <v>2626</v>
      </c>
      <c r="K21" s="732">
        <f>Gen!AK26</f>
        <v>0</v>
      </c>
      <c r="L21" s="723">
        <f t="shared" si="17"/>
        <v>2626</v>
      </c>
      <c r="M21" s="427">
        <f>'Water-Meter'!K61</f>
        <v>459.20376445680472</v>
      </c>
      <c r="N21" s="683">
        <f>'Water-Meter'!E21</f>
        <v>45</v>
      </c>
      <c r="O21" s="663">
        <v>1.9</v>
      </c>
      <c r="P21" s="681">
        <v>19038</v>
      </c>
      <c r="Q21" s="693">
        <f t="shared" si="2"/>
        <v>0</v>
      </c>
      <c r="R21" s="407">
        <f t="shared" si="5"/>
        <v>0</v>
      </c>
      <c r="S21" s="669">
        <v>6.2</v>
      </c>
      <c r="T21" s="670">
        <v>18025</v>
      </c>
      <c r="U21" s="693">
        <f>T22-T20</f>
        <v>16217</v>
      </c>
      <c r="V21" s="408">
        <f t="shared" si="19"/>
        <v>100545.40000000001</v>
      </c>
      <c r="W21" s="674">
        <v>1.4</v>
      </c>
      <c r="X21" s="675">
        <v>28325</v>
      </c>
      <c r="Y21" s="693">
        <f t="shared" si="8"/>
        <v>0</v>
      </c>
      <c r="Z21" s="673">
        <f t="shared" si="9"/>
        <v>0</v>
      </c>
      <c r="AA21" s="680">
        <f t="shared" si="10"/>
        <v>0</v>
      </c>
      <c r="AB21" s="677">
        <v>1885</v>
      </c>
      <c r="AC21" s="658">
        <f t="shared" si="11"/>
        <v>70</v>
      </c>
      <c r="AD21" s="660">
        <v>216529</v>
      </c>
      <c r="AE21" s="170">
        <f t="shared" si="15"/>
        <v>53</v>
      </c>
      <c r="AF21" s="687">
        <f>'Lpg (2)'!B25*2000/85</f>
        <v>2000</v>
      </c>
      <c r="AG21" s="252">
        <f>'Lpg (2)'!C25*1000/85</f>
        <v>435.29411764705884</v>
      </c>
      <c r="AH21" s="700">
        <f>'Lpg (2)'!D25*1000/85</f>
        <v>0</v>
      </c>
      <c r="AI21" s="690">
        <f t="shared" si="18"/>
        <v>4435294.1176470593</v>
      </c>
      <c r="AJ21" s="409">
        <f t="shared" si="4"/>
        <v>35294.11764705833</v>
      </c>
      <c r="AK21" s="127"/>
    </row>
    <row r="22" spans="1:37" ht="18.75">
      <c r="A22" s="721">
        <f>Gen!A27</f>
        <v>44333</v>
      </c>
      <c r="B22" s="406">
        <f>'Summery Report'!E21</f>
        <v>0</v>
      </c>
      <c r="C22" s="726">
        <f>Gen!B27</f>
        <v>0</v>
      </c>
      <c r="D22" s="688">
        <f>'Summery Report'!E21</f>
        <v>0</v>
      </c>
      <c r="E22" s="688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8">
        <f>Gen!C27</f>
        <v>37741.119999999988</v>
      </c>
      <c r="I22" s="688">
        <f>Gen!E27</f>
        <v>0</v>
      </c>
      <c r="J22" s="727">
        <f>Gen!T27</f>
        <v>3052</v>
      </c>
      <c r="K22" s="732">
        <f>Gen!AK27</f>
        <v>0</v>
      </c>
      <c r="L22" s="723">
        <f t="shared" si="17"/>
        <v>3052</v>
      </c>
      <c r="M22" s="427">
        <f>'Water-Meter'!K62</f>
        <v>473.84375709325417</v>
      </c>
      <c r="N22" s="683">
        <f>'Water-Meter'!E22</f>
        <v>57</v>
      </c>
      <c r="O22" s="674">
        <v>1.9</v>
      </c>
      <c r="P22" s="681">
        <v>19038</v>
      </c>
      <c r="Q22" s="693">
        <f t="shared" si="2"/>
        <v>0</v>
      </c>
      <c r="R22" s="407">
        <f t="shared" si="5"/>
        <v>0</v>
      </c>
      <c r="S22" s="669">
        <v>6.2</v>
      </c>
      <c r="T22" s="670">
        <v>18032</v>
      </c>
      <c r="U22" s="693">
        <f t="shared" ref="U22:U23" si="20">T23-T21</f>
        <v>7</v>
      </c>
      <c r="V22" s="408">
        <f t="shared" si="19"/>
        <v>43.4</v>
      </c>
      <c r="W22" s="669">
        <v>1.6</v>
      </c>
      <c r="X22" s="675">
        <v>28348</v>
      </c>
      <c r="Y22" s="693">
        <f t="shared" si="8"/>
        <v>23</v>
      </c>
      <c r="Z22" s="673">
        <f t="shared" si="9"/>
        <v>36.800000000000004</v>
      </c>
      <c r="AA22" s="680">
        <f t="shared" si="10"/>
        <v>1044972.8000000002</v>
      </c>
      <c r="AB22" s="677">
        <v>1964</v>
      </c>
      <c r="AC22" s="658">
        <f t="shared" si="11"/>
        <v>79</v>
      </c>
      <c r="AD22" s="660">
        <v>216582</v>
      </c>
      <c r="AE22" s="170">
        <f t="shared" si="15"/>
        <v>53</v>
      </c>
      <c r="AF22" s="687">
        <f>'Lpg (2)'!B26*2000/85</f>
        <v>2000</v>
      </c>
      <c r="AG22" s="252">
        <f>'Lpg (2)'!C26*1000/85</f>
        <v>400</v>
      </c>
      <c r="AH22" s="700">
        <f>'Lpg (2)'!D26*1000/85</f>
        <v>0</v>
      </c>
      <c r="AI22" s="690">
        <f t="shared" si="18"/>
        <v>4400000</v>
      </c>
      <c r="AJ22" s="409">
        <f t="shared" si="4"/>
        <v>35294.117647059262</v>
      </c>
      <c r="AK22" s="127"/>
    </row>
    <row r="23" spans="1:37" ht="18.75">
      <c r="A23" s="721">
        <f>Gen!A28</f>
        <v>44334</v>
      </c>
      <c r="B23" s="406">
        <f>'Summery Report'!E22</f>
        <v>0</v>
      </c>
      <c r="C23" s="726">
        <f>Gen!B28</f>
        <v>0</v>
      </c>
      <c r="D23" s="688">
        <f>'Summery Report'!E22</f>
        <v>0</v>
      </c>
      <c r="E23" s="688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8">
        <f>Gen!C28</f>
        <v>36400.759999999987</v>
      </c>
      <c r="I23" s="688">
        <f>Gen!E28</f>
        <v>0</v>
      </c>
      <c r="J23" s="727">
        <f>Gen!T28</f>
        <v>2929</v>
      </c>
      <c r="K23" s="732">
        <f>Gen!AK28</f>
        <v>0</v>
      </c>
      <c r="L23" s="723">
        <f t="shared" si="17"/>
        <v>2929</v>
      </c>
      <c r="M23" s="427">
        <f>'Water-Meter'!K63</f>
        <v>514.23534918405221</v>
      </c>
      <c r="N23" s="683">
        <f>'Water-Meter'!E23</f>
        <v>47</v>
      </c>
      <c r="O23" s="674">
        <v>1.9</v>
      </c>
      <c r="P23" s="681">
        <v>19038</v>
      </c>
      <c r="Q23" s="693">
        <f t="shared" si="2"/>
        <v>0</v>
      </c>
      <c r="R23" s="407">
        <f t="shared" si="5"/>
        <v>0</v>
      </c>
      <c r="S23" s="669">
        <v>6.2</v>
      </c>
      <c r="T23" s="670">
        <v>18032</v>
      </c>
      <c r="U23" s="693">
        <f t="shared" si="20"/>
        <v>0</v>
      </c>
      <c r="V23" s="408">
        <f t="shared" si="19"/>
        <v>0</v>
      </c>
      <c r="W23" s="669">
        <v>1.6</v>
      </c>
      <c r="X23" s="675">
        <v>28372</v>
      </c>
      <c r="Y23" s="693">
        <f t="shared" si="8"/>
        <v>24</v>
      </c>
      <c r="Z23" s="673">
        <f t="shared" si="9"/>
        <v>38.400000000000006</v>
      </c>
      <c r="AA23" s="680">
        <f t="shared" si="10"/>
        <v>1091350.6560000002</v>
      </c>
      <c r="AB23" s="677">
        <v>2000</v>
      </c>
      <c r="AC23" s="658">
        <f t="shared" si="11"/>
        <v>36</v>
      </c>
      <c r="AD23" s="661">
        <v>216636</v>
      </c>
      <c r="AE23" s="170">
        <f t="shared" si="15"/>
        <v>54</v>
      </c>
      <c r="AF23" s="687">
        <f>'Lpg (2)'!B27*2000/85</f>
        <v>2000</v>
      </c>
      <c r="AG23" s="252">
        <f>'Lpg (2)'!C27*1000/85</f>
        <v>364.70588235294116</v>
      </c>
      <c r="AH23" s="700">
        <f>'Lpg (2)'!D27*1000/85</f>
        <v>0</v>
      </c>
      <c r="AI23" s="690">
        <f t="shared" si="18"/>
        <v>4364705.8823529407</v>
      </c>
      <c r="AJ23" s="409">
        <f t="shared" si="4"/>
        <v>35294.117647059262</v>
      </c>
      <c r="AK23" s="127"/>
    </row>
    <row r="24" spans="1:37" ht="18.75">
      <c r="A24" s="721">
        <f>Gen!A29</f>
        <v>44335</v>
      </c>
      <c r="B24" s="406">
        <f>'Summery Report'!E23</f>
        <v>0</v>
      </c>
      <c r="C24" s="726">
        <f>Gen!B29</f>
        <v>0</v>
      </c>
      <c r="D24" s="688">
        <f>'Summery Report'!E23</f>
        <v>0</v>
      </c>
      <c r="E24" s="688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8">
        <f>Gen!C29</f>
        <v>35178.599999999984</v>
      </c>
      <c r="I24" s="688">
        <f>Gen!E29</f>
        <v>0</v>
      </c>
      <c r="J24" s="727">
        <f>Gen!T29</f>
        <v>2825</v>
      </c>
      <c r="K24" s="732">
        <f>Gen!AK29</f>
        <v>0</v>
      </c>
      <c r="L24" s="723">
        <f t="shared" si="17"/>
        <v>2825</v>
      </c>
      <c r="M24" s="427">
        <f>'Water-Meter'!K64</f>
        <v>571.66588732359389</v>
      </c>
      <c r="N24" s="683">
        <f>'Water-Meter'!E24</f>
        <v>45</v>
      </c>
      <c r="O24" s="674">
        <v>1.9</v>
      </c>
      <c r="P24" s="681">
        <v>19038</v>
      </c>
      <c r="Q24" s="693">
        <f t="shared" si="2"/>
        <v>0</v>
      </c>
      <c r="R24" s="407">
        <f t="shared" si="5"/>
        <v>0</v>
      </c>
      <c r="S24" s="669">
        <v>6.2</v>
      </c>
      <c r="T24" s="670">
        <v>18032</v>
      </c>
      <c r="U24" s="693">
        <f t="shared" si="6"/>
        <v>0</v>
      </c>
      <c r="V24" s="408">
        <f t="shared" si="19"/>
        <v>0</v>
      </c>
      <c r="W24" s="669">
        <v>1.5</v>
      </c>
      <c r="X24" s="675">
        <v>28396</v>
      </c>
      <c r="Y24" s="693">
        <f t="shared" si="8"/>
        <v>24</v>
      </c>
      <c r="Z24" s="673">
        <f t="shared" si="9"/>
        <v>36</v>
      </c>
      <c r="AA24" s="680">
        <f t="shared" si="10"/>
        <v>1023141.24</v>
      </c>
      <c r="AB24" s="677">
        <v>2035</v>
      </c>
      <c r="AC24" s="658">
        <f t="shared" si="11"/>
        <v>35</v>
      </c>
      <c r="AD24" s="661">
        <v>216690</v>
      </c>
      <c r="AE24" s="170">
        <f t="shared" si="15"/>
        <v>54</v>
      </c>
      <c r="AF24" s="687">
        <f>'Lpg (2)'!B28*2000/85</f>
        <v>2000</v>
      </c>
      <c r="AG24" s="252">
        <f>'Lpg (2)'!C28*1000/85</f>
        <v>341.1764705882353</v>
      </c>
      <c r="AH24" s="700">
        <f>'Lpg (2)'!D28*1000/85</f>
        <v>0</v>
      </c>
      <c r="AI24" s="690">
        <f t="shared" si="18"/>
        <v>4341176.4705882352</v>
      </c>
      <c r="AJ24" s="409">
        <f t="shared" si="4"/>
        <v>23529.411764705554</v>
      </c>
      <c r="AK24" s="127"/>
    </row>
    <row r="25" spans="1:37" ht="18.75">
      <c r="A25" s="721">
        <f>Gen!A30</f>
        <v>44336</v>
      </c>
      <c r="B25" s="406">
        <f>'Summery Report'!E24</f>
        <v>0</v>
      </c>
      <c r="C25" s="726">
        <f>Gen!B30</f>
        <v>0</v>
      </c>
      <c r="D25" s="688">
        <f>'Summery Report'!E24</f>
        <v>0</v>
      </c>
      <c r="E25" s="688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8">
        <f>Gen!C30</f>
        <v>33842.309999999983</v>
      </c>
      <c r="I25" s="688">
        <f>Gen!E30</f>
        <v>0</v>
      </c>
      <c r="J25" s="727">
        <f>Gen!T30</f>
        <v>2766</v>
      </c>
      <c r="K25" s="732">
        <f>Gen!AK30</f>
        <v>0</v>
      </c>
      <c r="L25" s="723">
        <f t="shared" si="17"/>
        <v>2766</v>
      </c>
      <c r="M25" s="427">
        <f>'Water-Meter'!K65</f>
        <v>574.15106533381584</v>
      </c>
      <c r="N25" s="683">
        <f>'Water-Meter'!E25</f>
        <v>49</v>
      </c>
      <c r="O25" s="674">
        <v>1.9</v>
      </c>
      <c r="P25" s="681">
        <v>19038</v>
      </c>
      <c r="Q25" s="693">
        <f t="shared" si="2"/>
        <v>0</v>
      </c>
      <c r="R25" s="407">
        <f t="shared" si="5"/>
        <v>0</v>
      </c>
      <c r="S25" s="669">
        <v>6.2</v>
      </c>
      <c r="T25" s="670">
        <v>18032</v>
      </c>
      <c r="U25" s="693">
        <f t="shared" si="6"/>
        <v>0</v>
      </c>
      <c r="V25" s="408">
        <f t="shared" si="19"/>
        <v>0</v>
      </c>
      <c r="W25" s="669">
        <v>1.5</v>
      </c>
      <c r="X25" s="675">
        <v>28420.59</v>
      </c>
      <c r="Y25" s="693">
        <f t="shared" si="8"/>
        <v>24.590000000000146</v>
      </c>
      <c r="Z25" s="673">
        <f t="shared" si="9"/>
        <v>36.885000000000218</v>
      </c>
      <c r="AA25" s="680">
        <f t="shared" si="10"/>
        <v>1048293.4621500062</v>
      </c>
      <c r="AB25" s="677">
        <v>2069</v>
      </c>
      <c r="AC25" s="658">
        <f t="shared" si="11"/>
        <v>34</v>
      </c>
      <c r="AD25" s="661">
        <v>216745</v>
      </c>
      <c r="AE25" s="170">
        <f t="shared" si="15"/>
        <v>55</v>
      </c>
      <c r="AF25" s="687">
        <f>'Lpg (2)'!B29*2000/85</f>
        <v>2000</v>
      </c>
      <c r="AG25" s="252">
        <f>'Lpg (2)'!C29*1000/85</f>
        <v>1000</v>
      </c>
      <c r="AH25" s="700">
        <f>'Lpg (2)'!D29*1000/85</f>
        <v>1000</v>
      </c>
      <c r="AI25" s="690">
        <f t="shared" si="18"/>
        <v>6000000</v>
      </c>
      <c r="AJ25" s="409">
        <f t="shared" si="4"/>
        <v>-1658823.5294117648</v>
      </c>
      <c r="AK25" s="127"/>
    </row>
    <row r="26" spans="1:37" ht="18.75">
      <c r="A26" s="721">
        <f>Gen!A31</f>
        <v>44337</v>
      </c>
      <c r="B26" s="406">
        <f>'Summery Report'!E25</f>
        <v>0</v>
      </c>
      <c r="C26" s="726">
        <f>Gen!B31</f>
        <v>0</v>
      </c>
      <c r="D26" s="688">
        <f>'Summery Report'!E25</f>
        <v>0</v>
      </c>
      <c r="E26" s="688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8">
        <f>Gen!C31</f>
        <v>32628.429999999982</v>
      </c>
      <c r="I26" s="688">
        <f>Gen!E31</f>
        <v>0</v>
      </c>
      <c r="J26" s="727">
        <f>Gen!T31</f>
        <v>2747</v>
      </c>
      <c r="K26" s="732">
        <f>Gen!AK31</f>
        <v>0</v>
      </c>
      <c r="L26" s="723">
        <f t="shared" si="17"/>
        <v>2747</v>
      </c>
      <c r="M26" s="427">
        <f>'Water-Meter'!K66</f>
        <v>543.51863775055574</v>
      </c>
      <c r="N26" s="683">
        <f>'Water-Meter'!E26</f>
        <v>45</v>
      </c>
      <c r="O26" s="674">
        <v>1.9</v>
      </c>
      <c r="P26" s="681">
        <v>19038</v>
      </c>
      <c r="Q26" s="693">
        <f t="shared" si="2"/>
        <v>0</v>
      </c>
      <c r="R26" s="407">
        <f t="shared" si="5"/>
        <v>0</v>
      </c>
      <c r="S26" s="669">
        <v>6.2</v>
      </c>
      <c r="T26" s="670">
        <v>18032</v>
      </c>
      <c r="U26" s="693">
        <f t="shared" si="6"/>
        <v>0</v>
      </c>
      <c r="V26" s="408">
        <f t="shared" si="19"/>
        <v>0</v>
      </c>
      <c r="W26" s="669">
        <v>1.5</v>
      </c>
      <c r="X26" s="675">
        <v>28420.59</v>
      </c>
      <c r="Y26" s="693">
        <f t="shared" si="8"/>
        <v>0</v>
      </c>
      <c r="Z26" s="673">
        <f t="shared" si="9"/>
        <v>0</v>
      </c>
      <c r="AA26" s="680">
        <f t="shared" si="10"/>
        <v>0</v>
      </c>
      <c r="AB26" s="677">
        <v>2100</v>
      </c>
      <c r="AC26" s="658">
        <f t="shared" si="11"/>
        <v>31</v>
      </c>
      <c r="AD26" s="661">
        <v>216801</v>
      </c>
      <c r="AE26" s="170">
        <f t="shared" si="15"/>
        <v>56</v>
      </c>
      <c r="AF26" s="687">
        <f>'Lpg (2)'!B30*2000/85</f>
        <v>2000</v>
      </c>
      <c r="AG26" s="252">
        <f>'Lpg (2)'!C30*1000/85</f>
        <v>964.70588235294122</v>
      </c>
      <c r="AH26" s="700">
        <f>'Lpg (2)'!D30*1000/85</f>
        <v>1000</v>
      </c>
      <c r="AI26" s="690">
        <f t="shared" si="18"/>
        <v>5964705.8823529407</v>
      </c>
      <c r="AJ26" s="409">
        <f t="shared" si="4"/>
        <v>35294.117647059262</v>
      </c>
      <c r="AK26" s="127"/>
    </row>
    <row r="27" spans="1:37" ht="18.75">
      <c r="A27" s="721">
        <f>Gen!A32</f>
        <v>44338</v>
      </c>
      <c r="B27" s="406">
        <f>'Summery Report'!E26</f>
        <v>0</v>
      </c>
      <c r="C27" s="726">
        <f>Gen!B32</f>
        <v>0</v>
      </c>
      <c r="D27" s="688">
        <f>'Summery Report'!E26</f>
        <v>0</v>
      </c>
      <c r="E27" s="688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8">
        <f>Gen!C32</f>
        <v>31226.729999999981</v>
      </c>
      <c r="I27" s="688">
        <f>Gen!E32</f>
        <v>0</v>
      </c>
      <c r="J27" s="727">
        <f>Gen!T32</f>
        <v>2714</v>
      </c>
      <c r="K27" s="732">
        <f>Gen!AK32</f>
        <v>0</v>
      </c>
      <c r="L27" s="723">
        <f t="shared" si="17"/>
        <v>2714</v>
      </c>
      <c r="M27" s="427">
        <f>'Water-Meter'!K67</f>
        <v>516.81621806263763</v>
      </c>
      <c r="N27" s="683">
        <f>'Water-Meter'!E27</f>
        <v>63</v>
      </c>
      <c r="O27" s="674">
        <v>1.9</v>
      </c>
      <c r="P27" s="681">
        <v>19038</v>
      </c>
      <c r="Q27" s="693">
        <f t="shared" si="2"/>
        <v>0</v>
      </c>
      <c r="R27" s="407">
        <f t="shared" si="5"/>
        <v>0</v>
      </c>
      <c r="S27" s="669">
        <v>6.2</v>
      </c>
      <c r="T27" s="670">
        <v>18032</v>
      </c>
      <c r="U27" s="693">
        <f t="shared" si="6"/>
        <v>0</v>
      </c>
      <c r="V27" s="408">
        <f t="shared" si="19"/>
        <v>0</v>
      </c>
      <c r="W27" s="669">
        <v>1.5</v>
      </c>
      <c r="X27" s="675">
        <v>28420.59</v>
      </c>
      <c r="Y27" s="693">
        <f t="shared" si="8"/>
        <v>0</v>
      </c>
      <c r="Z27" s="673">
        <f t="shared" si="9"/>
        <v>0</v>
      </c>
      <c r="AA27" s="680">
        <f t="shared" si="10"/>
        <v>0</v>
      </c>
      <c r="AB27" s="677">
        <v>2119</v>
      </c>
      <c r="AC27" s="658">
        <f t="shared" si="11"/>
        <v>19</v>
      </c>
      <c r="AD27" s="661">
        <v>216855</v>
      </c>
      <c r="AE27" s="170">
        <f t="shared" si="15"/>
        <v>54</v>
      </c>
      <c r="AF27" s="687">
        <f>'Lpg (2)'!B31*2000/85</f>
        <v>2000</v>
      </c>
      <c r="AG27" s="252">
        <f>'Lpg (2)'!C31*1000/85</f>
        <v>929.41176470588232</v>
      </c>
      <c r="AH27" s="700">
        <f>'Lpg (2)'!D31*1000/85</f>
        <v>1000</v>
      </c>
      <c r="AI27" s="690">
        <f t="shared" si="18"/>
        <v>5929411.7647058824</v>
      </c>
      <c r="AJ27" s="409">
        <f t="shared" si="4"/>
        <v>35294.11764705833</v>
      </c>
      <c r="AK27" s="127"/>
    </row>
    <row r="28" spans="1:37" ht="18.75">
      <c r="A28" s="721">
        <f>Gen!A33</f>
        <v>44339</v>
      </c>
      <c r="B28" s="406">
        <f>'Summery Report'!E27</f>
        <v>0</v>
      </c>
      <c r="C28" s="726">
        <f>Gen!B33</f>
        <v>0</v>
      </c>
      <c r="D28" s="688">
        <f>'Summery Report'!E27</f>
        <v>0</v>
      </c>
      <c r="E28" s="688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8">
        <f>Gen!C33</f>
        <v>29803.489999999983</v>
      </c>
      <c r="I28" s="688">
        <f>Gen!E33</f>
        <v>0</v>
      </c>
      <c r="J28" s="727">
        <f>Gen!T33</f>
        <v>2815</v>
      </c>
      <c r="K28" s="732">
        <f>Gen!AK33</f>
        <v>0</v>
      </c>
      <c r="L28" s="723">
        <f t="shared" si="17"/>
        <v>2815</v>
      </c>
      <c r="M28" s="427">
        <f>'Water-Meter'!K68</f>
        <v>508.43029563710559</v>
      </c>
      <c r="N28" s="683">
        <f>'Water-Meter'!E28</f>
        <v>47</v>
      </c>
      <c r="O28" s="674">
        <v>1.9</v>
      </c>
      <c r="P28" s="681">
        <v>19038</v>
      </c>
      <c r="Q28" s="693">
        <f t="shared" si="2"/>
        <v>0</v>
      </c>
      <c r="R28" s="407">
        <f t="shared" si="5"/>
        <v>0</v>
      </c>
      <c r="S28" s="669">
        <v>6.2</v>
      </c>
      <c r="T28" s="670">
        <v>18036</v>
      </c>
      <c r="U28" s="693">
        <f t="shared" si="6"/>
        <v>4</v>
      </c>
      <c r="V28" s="408">
        <f t="shared" si="19"/>
        <v>24.8</v>
      </c>
      <c r="W28" s="669">
        <v>1.5</v>
      </c>
      <c r="X28" s="675">
        <v>28420.59</v>
      </c>
      <c r="Y28" s="693">
        <f t="shared" si="8"/>
        <v>0</v>
      </c>
      <c r="Z28" s="673">
        <f t="shared" si="9"/>
        <v>0</v>
      </c>
      <c r="AA28" s="680">
        <f t="shared" si="10"/>
        <v>0</v>
      </c>
      <c r="AB28" s="677">
        <v>2144</v>
      </c>
      <c r="AC28" s="658">
        <f t="shared" si="11"/>
        <v>25</v>
      </c>
      <c r="AD28" s="661">
        <v>216911</v>
      </c>
      <c r="AE28" s="170">
        <f t="shared" si="15"/>
        <v>56</v>
      </c>
      <c r="AF28" s="687">
        <f>'Lpg (2)'!B32*2000/85</f>
        <v>2000</v>
      </c>
      <c r="AG28" s="252">
        <f>'Lpg (2)'!C32*1000/85</f>
        <v>823.52941176470586</v>
      </c>
      <c r="AH28" s="700">
        <f>'Lpg (2)'!D32*1000/85</f>
        <v>1000</v>
      </c>
      <c r="AI28" s="690">
        <f t="shared" si="18"/>
        <v>5823529.4117647056</v>
      </c>
      <c r="AJ28" s="409">
        <f t="shared" si="4"/>
        <v>105882.35294117685</v>
      </c>
      <c r="AK28" s="127"/>
    </row>
    <row r="29" spans="1:37" ht="18.75">
      <c r="A29" s="721">
        <f>Gen!A34</f>
        <v>44340</v>
      </c>
      <c r="B29" s="406">
        <f>'Summery Report'!E28</f>
        <v>0</v>
      </c>
      <c r="C29" s="726">
        <f>Gen!B34</f>
        <v>0</v>
      </c>
      <c r="D29" s="688">
        <f>'Summery Report'!E28</f>
        <v>0</v>
      </c>
      <c r="E29" s="688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8">
        <f>Gen!C34</f>
        <v>28620.839999999982</v>
      </c>
      <c r="I29" s="688">
        <f>Gen!E34</f>
        <v>0</v>
      </c>
      <c r="J29" s="727">
        <f>Gen!T34</f>
        <v>2616</v>
      </c>
      <c r="K29" s="732">
        <f>Gen!AK34</f>
        <v>0</v>
      </c>
      <c r="L29" s="723">
        <f t="shared" si="17"/>
        <v>2616</v>
      </c>
      <c r="M29" s="427">
        <f>'Water-Meter'!K69</f>
        <v>491.42532745472221</v>
      </c>
      <c r="N29" s="683">
        <f>'Water-Meter'!E29</f>
        <v>46</v>
      </c>
      <c r="O29" s="674">
        <v>1.9</v>
      </c>
      <c r="P29" s="681">
        <v>19038</v>
      </c>
      <c r="Q29" s="693">
        <f t="shared" si="2"/>
        <v>0</v>
      </c>
      <c r="R29" s="407">
        <f t="shared" si="5"/>
        <v>0</v>
      </c>
      <c r="S29" s="669">
        <v>6.2</v>
      </c>
      <c r="T29" s="670">
        <v>18058</v>
      </c>
      <c r="U29" s="693">
        <f t="shared" si="6"/>
        <v>22</v>
      </c>
      <c r="V29" s="408">
        <f t="shared" si="19"/>
        <v>136.4</v>
      </c>
      <c r="W29" s="669">
        <v>1.5</v>
      </c>
      <c r="X29" s="675">
        <v>28420.59</v>
      </c>
      <c r="Y29" s="693">
        <f t="shared" si="8"/>
        <v>0</v>
      </c>
      <c r="Z29" s="673">
        <f t="shared" si="9"/>
        <v>0</v>
      </c>
      <c r="AA29" s="680">
        <f t="shared" si="10"/>
        <v>0</v>
      </c>
      <c r="AB29" s="677">
        <v>2306</v>
      </c>
      <c r="AC29" s="658">
        <f t="shared" ref="AC28:AC37" si="21">SUM(AB29-AB28)</f>
        <v>162</v>
      </c>
      <c r="AD29" s="661">
        <v>216958</v>
      </c>
      <c r="AE29" s="170">
        <f t="shared" si="15"/>
        <v>47</v>
      </c>
      <c r="AF29" s="687">
        <f>'Lpg (2)'!B33*2000/85</f>
        <v>2000</v>
      </c>
      <c r="AG29" s="252">
        <f>'Lpg (2)'!C33*1000/85</f>
        <v>764.70588235294122</v>
      </c>
      <c r="AH29" s="700">
        <f>'Lpg (2)'!D33*1000/85</f>
        <v>1000</v>
      </c>
      <c r="AI29" s="690">
        <f t="shared" si="18"/>
        <v>5764705.8823529407</v>
      </c>
      <c r="AJ29" s="409">
        <f t="shared" si="4"/>
        <v>58823.529411764815</v>
      </c>
      <c r="AK29" s="127"/>
    </row>
    <row r="30" spans="1:37" ht="18.75">
      <c r="A30" s="721">
        <f>Gen!A35</f>
        <v>44341</v>
      </c>
      <c r="B30" s="406">
        <f>'Summery Report'!E29</f>
        <v>0</v>
      </c>
      <c r="C30" s="726">
        <f>Gen!B35</f>
        <v>0</v>
      </c>
      <c r="D30" s="688">
        <f>'Summery Report'!E29</f>
        <v>0</v>
      </c>
      <c r="E30" s="688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8">
        <f>Gen!C35</f>
        <v>27472.919999999984</v>
      </c>
      <c r="I30" s="688">
        <f>Gen!E35</f>
        <v>0</v>
      </c>
      <c r="J30" s="727">
        <f>Gen!T35</f>
        <v>2941</v>
      </c>
      <c r="K30" s="732">
        <f>Gen!AK35</f>
        <v>0</v>
      </c>
      <c r="L30" s="723">
        <f t="shared" si="17"/>
        <v>2941</v>
      </c>
      <c r="M30" s="427">
        <f>'Water-Meter'!K70</f>
        <v>415.28895940838117</v>
      </c>
      <c r="N30" s="683">
        <f>'Water-Meter'!E30</f>
        <v>51</v>
      </c>
      <c r="O30" s="674">
        <v>1.9</v>
      </c>
      <c r="P30" s="681">
        <v>19038</v>
      </c>
      <c r="Q30" s="693">
        <f t="shared" si="2"/>
        <v>0</v>
      </c>
      <c r="R30" s="407">
        <f t="shared" si="5"/>
        <v>0</v>
      </c>
      <c r="S30" s="669">
        <v>6.2</v>
      </c>
      <c r="T30" s="670">
        <v>18069</v>
      </c>
      <c r="U30" s="693">
        <f t="shared" si="6"/>
        <v>11</v>
      </c>
      <c r="V30" s="408">
        <f t="shared" si="19"/>
        <v>68.2</v>
      </c>
      <c r="W30" s="669">
        <v>1.5</v>
      </c>
      <c r="X30" s="675">
        <v>28420.59</v>
      </c>
      <c r="Y30" s="693">
        <f t="shared" si="8"/>
        <v>0</v>
      </c>
      <c r="Z30" s="673">
        <f t="shared" si="9"/>
        <v>0</v>
      </c>
      <c r="AA30" s="680">
        <f t="shared" si="10"/>
        <v>0</v>
      </c>
      <c r="AB30" s="677">
        <v>2381</v>
      </c>
      <c r="AC30" s="658">
        <f t="shared" si="21"/>
        <v>75</v>
      </c>
      <c r="AD30" s="661">
        <v>216982</v>
      </c>
      <c r="AE30" s="170">
        <f t="shared" si="15"/>
        <v>24</v>
      </c>
      <c r="AF30" s="687">
        <f>'Lpg (2)'!B34*2000/85</f>
        <v>2000</v>
      </c>
      <c r="AG30" s="252">
        <f>'Lpg (2)'!C34*1000/85</f>
        <v>705.88235294117646</v>
      </c>
      <c r="AH30" s="700">
        <f>'Lpg (2)'!D34*1000/85</f>
        <v>1000</v>
      </c>
      <c r="AI30" s="690">
        <f t="shared" si="18"/>
        <v>5705882.3529411769</v>
      </c>
      <c r="AJ30" s="409">
        <f t="shared" si="4"/>
        <v>58823.529411763884</v>
      </c>
      <c r="AK30" s="127"/>
    </row>
    <row r="31" spans="1:37" ht="18.75">
      <c r="A31" s="721">
        <f>Gen!A36</f>
        <v>44342</v>
      </c>
      <c r="B31" s="406">
        <f>'Summery Report'!E30</f>
        <v>0</v>
      </c>
      <c r="C31" s="726">
        <f>Gen!B36</f>
        <v>0</v>
      </c>
      <c r="D31" s="688">
        <f>'Summery Report'!E30</f>
        <v>0</v>
      </c>
      <c r="E31" s="688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8">
        <f>Gen!C36</f>
        <v>41022.969999999987</v>
      </c>
      <c r="I31" s="688">
        <f>Gen!E36</f>
        <v>0</v>
      </c>
      <c r="J31" s="727">
        <f>Gen!T36</f>
        <v>2802</v>
      </c>
      <c r="K31" s="732">
        <f>Gen!AK36</f>
        <v>0</v>
      </c>
      <c r="L31" s="723">
        <f t="shared" si="17"/>
        <v>2802</v>
      </c>
      <c r="M31" s="427">
        <f>'Water-Meter'!K71</f>
        <v>420.3207370202598</v>
      </c>
      <c r="N31" s="683">
        <f>'Water-Meter'!E31</f>
        <v>56</v>
      </c>
      <c r="O31" s="674">
        <v>1.9</v>
      </c>
      <c r="P31" s="681">
        <v>19038</v>
      </c>
      <c r="Q31" s="693">
        <f t="shared" si="2"/>
        <v>0</v>
      </c>
      <c r="R31" s="407">
        <f t="shared" si="5"/>
        <v>0</v>
      </c>
      <c r="S31" s="669">
        <v>6.2</v>
      </c>
      <c r="T31" s="670">
        <v>18077</v>
      </c>
      <c r="U31" s="693">
        <f t="shared" si="6"/>
        <v>8</v>
      </c>
      <c r="V31" s="408">
        <f t="shared" si="19"/>
        <v>49.6</v>
      </c>
      <c r="W31" s="669">
        <v>1.5</v>
      </c>
      <c r="X31" s="675">
        <v>28420.59</v>
      </c>
      <c r="Y31" s="693">
        <f t="shared" si="8"/>
        <v>0</v>
      </c>
      <c r="Z31" s="673">
        <f t="shared" si="9"/>
        <v>0</v>
      </c>
      <c r="AA31" s="680">
        <f t="shared" si="10"/>
        <v>0</v>
      </c>
      <c r="AB31" s="677">
        <v>2436</v>
      </c>
      <c r="AC31" s="658">
        <f t="shared" si="21"/>
        <v>55</v>
      </c>
      <c r="AD31" s="661">
        <v>217003</v>
      </c>
      <c r="AE31" s="170">
        <f t="shared" si="15"/>
        <v>21</v>
      </c>
      <c r="AF31" s="687">
        <f>'Lpg (2)'!B35*2000/85</f>
        <v>2000</v>
      </c>
      <c r="AG31" s="252">
        <f>'Lpg (2)'!C35*1000/85</f>
        <v>670.58823529411768</v>
      </c>
      <c r="AH31" s="700">
        <f>'Lpg (2)'!D35*1000/85</f>
        <v>1000</v>
      </c>
      <c r="AI31" s="690">
        <f t="shared" si="18"/>
        <v>5670588.2352941176</v>
      </c>
      <c r="AJ31" s="409">
        <f t="shared" si="4"/>
        <v>35294.117647059262</v>
      </c>
      <c r="AK31" s="127"/>
    </row>
    <row r="32" spans="1:37" ht="18.75">
      <c r="A32" s="721">
        <f>Gen!A37</f>
        <v>44343</v>
      </c>
      <c r="B32" s="406">
        <f>'Summery Report'!E31</f>
        <v>0</v>
      </c>
      <c r="C32" s="726">
        <f>Gen!B37</f>
        <v>0</v>
      </c>
      <c r="D32" s="688">
        <f>'Summery Report'!E31</f>
        <v>0</v>
      </c>
      <c r="E32" s="688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8">
        <f>Gen!C37</f>
        <v>39824.729999999989</v>
      </c>
      <c r="I32" s="688">
        <f>Gen!E37</f>
        <v>0</v>
      </c>
      <c r="J32" s="727">
        <f>Gen!T37</f>
        <v>0</v>
      </c>
      <c r="K32" s="732">
        <f>Gen!AK37</f>
        <v>0</v>
      </c>
      <c r="L32" s="723">
        <f t="shared" si="17"/>
        <v>0</v>
      </c>
      <c r="M32" s="427">
        <f>'Water-Meter'!K72</f>
        <v>425.54400657197812</v>
      </c>
      <c r="N32" s="683" t="str">
        <f>'Water-Meter'!E32</f>
        <v>0</v>
      </c>
      <c r="O32" s="674"/>
      <c r="P32" s="681"/>
      <c r="Q32" s="693">
        <f t="shared" si="2"/>
        <v>-19038</v>
      </c>
      <c r="R32" s="407">
        <f t="shared" si="5"/>
        <v>0</v>
      </c>
      <c r="S32" s="669"/>
      <c r="T32" s="670"/>
      <c r="U32" s="693">
        <f t="shared" si="6"/>
        <v>-18077</v>
      </c>
      <c r="V32" s="408">
        <f t="shared" si="19"/>
        <v>0</v>
      </c>
      <c r="W32" s="669"/>
      <c r="X32" s="675"/>
      <c r="Y32" s="693">
        <f t="shared" si="8"/>
        <v>-28420.59</v>
      </c>
      <c r="Z32" s="673">
        <f t="shared" si="9"/>
        <v>0</v>
      </c>
      <c r="AA32" s="680">
        <f t="shared" si="10"/>
        <v>0</v>
      </c>
      <c r="AB32" s="677"/>
      <c r="AC32" s="658">
        <f t="shared" si="21"/>
        <v>-2436</v>
      </c>
      <c r="AD32" s="661"/>
      <c r="AE32" s="170">
        <f t="shared" si="15"/>
        <v>-217003</v>
      </c>
      <c r="AF32" s="687">
        <f>'Lpg (2)'!B36*2000/85</f>
        <v>0</v>
      </c>
      <c r="AG32" s="252">
        <f>'Lpg (2)'!C36*1000/85</f>
        <v>0</v>
      </c>
      <c r="AH32" s="700">
        <f>'Lpg (2)'!D36*1000/85</f>
        <v>0</v>
      </c>
      <c r="AI32" s="690">
        <f t="shared" si="18"/>
        <v>0</v>
      </c>
      <c r="AJ32" s="409">
        <f t="shared" si="4"/>
        <v>5670588.2352941176</v>
      </c>
      <c r="AK32" s="127"/>
    </row>
    <row r="33" spans="1:37" ht="18.75">
      <c r="A33" s="721">
        <f>Gen!A38</f>
        <v>44344</v>
      </c>
      <c r="B33" s="406">
        <f>'Summery Report'!E32</f>
        <v>0</v>
      </c>
      <c r="C33" s="726">
        <f>Gen!B38</f>
        <v>0</v>
      </c>
      <c r="D33" s="688">
        <f>'Summery Report'!E32</f>
        <v>0</v>
      </c>
      <c r="E33" s="688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8">
        <f>Gen!C38</f>
        <v>39824.729999999989</v>
      </c>
      <c r="I33" s="688">
        <f>Gen!E38</f>
        <v>15000</v>
      </c>
      <c r="J33" s="727">
        <f>Gen!T38</f>
        <v>0</v>
      </c>
      <c r="K33" s="732">
        <f>Gen!AK38</f>
        <v>0</v>
      </c>
      <c r="L33" s="723">
        <f t="shared" si="17"/>
        <v>0</v>
      </c>
      <c r="M33" s="427">
        <f>'Water-Meter'!K73</f>
        <v>0</v>
      </c>
      <c r="N33" s="683">
        <f>'Water-Meter'!E33</f>
        <v>0</v>
      </c>
      <c r="O33" s="674"/>
      <c r="P33" s="681"/>
      <c r="Q33" s="693">
        <f t="shared" si="2"/>
        <v>0</v>
      </c>
      <c r="R33" s="407">
        <f t="shared" si="5"/>
        <v>0</v>
      </c>
      <c r="S33" s="669"/>
      <c r="T33" s="670"/>
      <c r="U33" s="693">
        <f t="shared" si="6"/>
        <v>0</v>
      </c>
      <c r="V33" s="408">
        <f t="shared" si="19"/>
        <v>0</v>
      </c>
      <c r="W33" s="669"/>
      <c r="X33" s="675"/>
      <c r="Y33" s="693">
        <f t="shared" si="8"/>
        <v>0</v>
      </c>
      <c r="Z33" s="673">
        <f t="shared" si="9"/>
        <v>0</v>
      </c>
      <c r="AA33" s="680">
        <f t="shared" si="10"/>
        <v>0</v>
      </c>
      <c r="AB33" s="677"/>
      <c r="AC33" s="658">
        <f t="shared" si="21"/>
        <v>0</v>
      </c>
      <c r="AD33" s="661"/>
      <c r="AE33" s="170">
        <f t="shared" si="15"/>
        <v>0</v>
      </c>
      <c r="AF33" s="687">
        <f>'Lpg (2)'!B37*2000/85</f>
        <v>0</v>
      </c>
      <c r="AG33" s="252">
        <f>'Lpg (2)'!C37*1000/85</f>
        <v>0</v>
      </c>
      <c r="AH33" s="700">
        <f>'Lpg (2)'!D37*1000/85</f>
        <v>0</v>
      </c>
      <c r="AI33" s="690">
        <f t="shared" si="18"/>
        <v>0</v>
      </c>
      <c r="AJ33" s="409">
        <f t="shared" si="4"/>
        <v>0</v>
      </c>
      <c r="AK33" s="127"/>
    </row>
    <row r="34" spans="1:37" ht="18.75">
      <c r="A34" s="721">
        <f>Gen!A39</f>
        <v>44345</v>
      </c>
      <c r="B34" s="406">
        <f>'Summery Report'!E33</f>
        <v>0</v>
      </c>
      <c r="C34" s="726">
        <f>Gen!B39</f>
        <v>0</v>
      </c>
      <c r="D34" s="688">
        <f>'Summery Report'!E33</f>
        <v>0</v>
      </c>
      <c r="E34" s="688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8">
        <f>Gen!C39</f>
        <v>39824.729999999989</v>
      </c>
      <c r="I34" s="688">
        <f>Gen!E39</f>
        <v>0</v>
      </c>
      <c r="J34" s="727">
        <f>Gen!T39</f>
        <v>0</v>
      </c>
      <c r="K34" s="732">
        <f>Gen!AK39</f>
        <v>0</v>
      </c>
      <c r="L34" s="723">
        <f t="shared" si="17"/>
        <v>0</v>
      </c>
      <c r="M34" s="427">
        <f>'Water-Meter'!K74</f>
        <v>0</v>
      </c>
      <c r="N34" s="683">
        <f>'Water-Meter'!E34</f>
        <v>0</v>
      </c>
      <c r="O34" s="674"/>
      <c r="P34" s="681"/>
      <c r="Q34" s="693">
        <f t="shared" si="2"/>
        <v>0</v>
      </c>
      <c r="R34" s="407">
        <f t="shared" si="5"/>
        <v>0</v>
      </c>
      <c r="S34" s="669"/>
      <c r="T34" s="670"/>
      <c r="U34" s="693">
        <f t="shared" si="6"/>
        <v>0</v>
      </c>
      <c r="V34" s="408">
        <f t="shared" si="19"/>
        <v>0</v>
      </c>
      <c r="W34" s="669"/>
      <c r="X34" s="675"/>
      <c r="Y34" s="693">
        <f t="shared" si="8"/>
        <v>0</v>
      </c>
      <c r="Z34" s="673">
        <f t="shared" si="9"/>
        <v>0</v>
      </c>
      <c r="AA34" s="680">
        <f t="shared" si="10"/>
        <v>0</v>
      </c>
      <c r="AB34" s="677"/>
      <c r="AC34" s="658">
        <f t="shared" si="21"/>
        <v>0</v>
      </c>
      <c r="AD34" s="661"/>
      <c r="AE34" s="170">
        <f t="shared" si="15"/>
        <v>0</v>
      </c>
      <c r="AF34" s="687">
        <f>'Lpg (2)'!B38*2000/85</f>
        <v>0</v>
      </c>
      <c r="AG34" s="252">
        <f>'Lpg (2)'!C38*1000/85</f>
        <v>0</v>
      </c>
      <c r="AH34" s="700">
        <f>'Lpg (2)'!D38*1000/85</f>
        <v>0</v>
      </c>
      <c r="AI34" s="690">
        <f t="shared" si="18"/>
        <v>0</v>
      </c>
      <c r="AJ34" s="409">
        <f t="shared" si="4"/>
        <v>0</v>
      </c>
      <c r="AK34" s="127"/>
    </row>
    <row r="35" spans="1:37" ht="18.75">
      <c r="A35" s="721">
        <f>Gen!A40</f>
        <v>44346</v>
      </c>
      <c r="B35" s="406">
        <f>'Summery Report'!E34</f>
        <v>0</v>
      </c>
      <c r="C35" s="726">
        <f>Gen!B40</f>
        <v>0</v>
      </c>
      <c r="D35" s="688">
        <f>'Summery Report'!E34</f>
        <v>0</v>
      </c>
      <c r="E35" s="688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8">
        <f>Gen!C40</f>
        <v>39824.729999999989</v>
      </c>
      <c r="I35" s="688">
        <f>Gen!E40</f>
        <v>0</v>
      </c>
      <c r="J35" s="727">
        <f>Gen!T40</f>
        <v>0</v>
      </c>
      <c r="K35" s="732">
        <f>Gen!AK40</f>
        <v>0</v>
      </c>
      <c r="L35" s="723">
        <f t="shared" si="17"/>
        <v>0</v>
      </c>
      <c r="M35" s="427">
        <f>'Water-Meter'!K75</f>
        <v>0</v>
      </c>
      <c r="N35" s="683">
        <f>'Water-Meter'!E35</f>
        <v>0</v>
      </c>
      <c r="O35" s="674"/>
      <c r="P35" s="681"/>
      <c r="Q35" s="693">
        <f t="shared" si="2"/>
        <v>0</v>
      </c>
      <c r="R35" s="407">
        <f t="shared" si="5"/>
        <v>0</v>
      </c>
      <c r="S35" s="669"/>
      <c r="T35" s="670"/>
      <c r="U35" s="693">
        <f t="shared" si="6"/>
        <v>0</v>
      </c>
      <c r="V35" s="408">
        <f t="shared" si="19"/>
        <v>0</v>
      </c>
      <c r="W35" s="669"/>
      <c r="X35" s="675"/>
      <c r="Y35" s="693">
        <f t="shared" si="8"/>
        <v>0</v>
      </c>
      <c r="Z35" s="673">
        <f t="shared" si="9"/>
        <v>0</v>
      </c>
      <c r="AA35" s="680">
        <f t="shared" si="10"/>
        <v>0</v>
      </c>
      <c r="AB35" s="677"/>
      <c r="AC35" s="658">
        <f t="shared" si="21"/>
        <v>0</v>
      </c>
      <c r="AD35" s="661"/>
      <c r="AE35" s="170">
        <f t="shared" si="15"/>
        <v>0</v>
      </c>
      <c r="AF35" s="687">
        <f>'Lpg (2)'!B39*2000/85</f>
        <v>0</v>
      </c>
      <c r="AG35" s="252">
        <f>'Lpg (2)'!C39*1000/85</f>
        <v>0</v>
      </c>
      <c r="AH35" s="700">
        <f>'Lpg (2)'!D39*1000/85</f>
        <v>0</v>
      </c>
      <c r="AI35" s="690">
        <f t="shared" si="18"/>
        <v>0</v>
      </c>
      <c r="AJ35" s="409">
        <f t="shared" si="4"/>
        <v>0</v>
      </c>
      <c r="AK35" s="127"/>
    </row>
    <row r="36" spans="1:37" ht="18.75">
      <c r="A36" s="721">
        <f>Gen!A41</f>
        <v>44347</v>
      </c>
      <c r="B36" s="406">
        <f>'Summery Report'!E35</f>
        <v>0</v>
      </c>
      <c r="C36" s="726">
        <f>Gen!B41</f>
        <v>0</v>
      </c>
      <c r="D36" s="688">
        <f>'Summery Report'!E35</f>
        <v>0</v>
      </c>
      <c r="E36" s="688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8">
        <f>Gen!C41</f>
        <v>39824.729999999989</v>
      </c>
      <c r="I36" s="688">
        <f>Gen!E41</f>
        <v>0</v>
      </c>
      <c r="J36" s="727">
        <f>Gen!T41</f>
        <v>0</v>
      </c>
      <c r="K36" s="732">
        <f>Gen!AK41</f>
        <v>0</v>
      </c>
      <c r="L36" s="723">
        <f t="shared" si="17"/>
        <v>0</v>
      </c>
      <c r="M36" s="427">
        <f>'Water-Meter'!K76</f>
        <v>0</v>
      </c>
      <c r="N36" s="683">
        <f>'Water-Meter'!E36</f>
        <v>0</v>
      </c>
      <c r="O36" s="674"/>
      <c r="P36" s="681"/>
      <c r="Q36" s="693">
        <f t="shared" si="2"/>
        <v>0</v>
      </c>
      <c r="R36" s="407">
        <f t="shared" si="5"/>
        <v>0</v>
      </c>
      <c r="S36" s="669"/>
      <c r="T36" s="670"/>
      <c r="U36" s="693">
        <f t="shared" si="6"/>
        <v>0</v>
      </c>
      <c r="V36" s="408">
        <f t="shared" si="19"/>
        <v>0</v>
      </c>
      <c r="W36" s="669"/>
      <c r="X36" s="675"/>
      <c r="Y36" s="693">
        <f t="shared" si="8"/>
        <v>0</v>
      </c>
      <c r="Z36" s="673">
        <f t="shared" si="9"/>
        <v>0</v>
      </c>
      <c r="AA36" s="680">
        <f t="shared" si="10"/>
        <v>0</v>
      </c>
      <c r="AB36" s="677"/>
      <c r="AC36" s="658">
        <f t="shared" si="21"/>
        <v>0</v>
      </c>
      <c r="AD36" s="661"/>
      <c r="AE36" s="170">
        <f t="shared" si="15"/>
        <v>0</v>
      </c>
      <c r="AF36" s="687">
        <f>'Lpg (2)'!B40*2000/85</f>
        <v>0</v>
      </c>
      <c r="AG36" s="252">
        <f>'Lpg (2)'!C40*1000/85</f>
        <v>0</v>
      </c>
      <c r="AH36" s="700">
        <f>'Lpg (2)'!D40*1000/85</f>
        <v>0</v>
      </c>
      <c r="AI36" s="690">
        <f>SUM(AF36*1000)+(AG36*1000)+(AH36*2000)</f>
        <v>0</v>
      </c>
      <c r="AJ36" s="409">
        <f t="shared" si="4"/>
        <v>0</v>
      </c>
      <c r="AK36" s="127"/>
    </row>
    <row r="37" spans="1:37" s="8" customFormat="1" ht="18" thickBot="1">
      <c r="A37" s="722">
        <f>Gen!A42</f>
        <v>0</v>
      </c>
      <c r="B37" s="733">
        <v>0</v>
      </c>
      <c r="C37" s="734"/>
      <c r="D37" s="734"/>
      <c r="E37" s="734"/>
      <c r="F37" s="734"/>
      <c r="G37" s="734"/>
      <c r="H37" s="735"/>
      <c r="I37" s="736"/>
      <c r="J37" s="737">
        <f>SUM(J6:J36)</f>
        <v>70971</v>
      </c>
      <c r="K37" s="738"/>
      <c r="L37" s="724">
        <f t="shared" si="17"/>
        <v>70971</v>
      </c>
      <c r="M37" s="427">
        <f>'Water-Meter'!K77</f>
        <v>0</v>
      </c>
      <c r="N37" s="684">
        <f>'Water-Meter'!E37</f>
        <v>0</v>
      </c>
      <c r="O37" s="671"/>
      <c r="P37" s="672"/>
      <c r="Q37" s="694">
        <f t="shared" ref="Q37" si="22">SUM(P37-P36)</f>
        <v>0</v>
      </c>
      <c r="R37" s="695">
        <f t="shared" ref="R37" si="23">SUM(Q37*O37)</f>
        <v>0</v>
      </c>
      <c r="S37" s="671"/>
      <c r="T37" s="672"/>
      <c r="U37" s="694">
        <f t="shared" ref="U37" si="24">T37-T36</f>
        <v>0</v>
      </c>
      <c r="V37" s="696">
        <f t="shared" ref="V37" si="25">SUM(U37*S37)</f>
        <v>0</v>
      </c>
      <c r="W37" s="671"/>
      <c r="X37" s="672"/>
      <c r="Y37" s="694">
        <f t="shared" ref="Y37" si="26">X37-X36</f>
        <v>0</v>
      </c>
      <c r="Z37" s="697">
        <f t="shared" ref="Z37" si="27">SUM(Y37*W37)</f>
        <v>0</v>
      </c>
      <c r="AA37" s="698">
        <f t="shared" ref="AA37" si="28">SUM(Z37*X39)</f>
        <v>0</v>
      </c>
      <c r="AB37" s="666"/>
      <c r="AC37" s="659">
        <f t="shared" si="21"/>
        <v>0</v>
      </c>
      <c r="AD37" s="662"/>
      <c r="AE37" s="667">
        <f t="shared" si="15"/>
        <v>0</v>
      </c>
      <c r="AF37" s="701">
        <f>'Lpg (2)'!B41*2000/85</f>
        <v>0</v>
      </c>
      <c r="AG37" s="702">
        <f>'Lpg (2)'!C41*1000/85</f>
        <v>0</v>
      </c>
      <c r="AH37" s="703">
        <f>'Lpg (2)'!D41*1000/85</f>
        <v>0</v>
      </c>
      <c r="AI37" s="691"/>
      <c r="AJ37" s="410">
        <f t="shared" ref="AJ37" si="29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3" zoomScale="70" zoomScaleNormal="70" workbookViewId="0">
      <selection activeCell="W30" sqref="W30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41" t="s">
        <v>102</v>
      </c>
      <c r="C1" s="842"/>
      <c r="D1" s="842"/>
      <c r="E1" s="842"/>
      <c r="F1" s="843"/>
      <c r="G1" s="150"/>
      <c r="H1" s="841" t="s">
        <v>103</v>
      </c>
      <c r="I1" s="842"/>
      <c r="J1" s="842"/>
      <c r="K1" s="842"/>
      <c r="L1" s="843"/>
      <c r="M1" s="841" t="s">
        <v>104</v>
      </c>
      <c r="N1" s="842"/>
      <c r="O1" s="842"/>
      <c r="P1" s="842"/>
      <c r="Q1" s="843"/>
      <c r="R1" s="150"/>
      <c r="T1" s="841" t="s">
        <v>105</v>
      </c>
      <c r="U1" s="842"/>
      <c r="V1" s="842"/>
      <c r="W1" s="842"/>
      <c r="X1" s="843"/>
      <c r="Y1" s="841" t="s">
        <v>106</v>
      </c>
      <c r="Z1" s="842"/>
      <c r="AA1" s="842"/>
      <c r="AB1" s="842"/>
      <c r="AC1" s="843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10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44317</v>
      </c>
      <c r="B3" s="844" t="s">
        <v>120</v>
      </c>
      <c r="C3" s="845"/>
      <c r="D3" s="159"/>
      <c r="E3" s="548">
        <v>9269.1</v>
      </c>
      <c r="F3" s="555" t="s">
        <v>121</v>
      </c>
      <c r="G3" s="556"/>
      <c r="H3" s="844" t="s">
        <v>120</v>
      </c>
      <c r="I3" s="845"/>
      <c r="J3" s="582">
        <f>'Water-Meter'!G5</f>
        <v>75790</v>
      </c>
      <c r="K3" s="557">
        <f>'Water-Meter'!G5</f>
        <v>75790</v>
      </c>
      <c r="L3" s="227"/>
      <c r="M3" s="844" t="s">
        <v>120</v>
      </c>
      <c r="N3" s="845"/>
      <c r="O3" s="159"/>
      <c r="P3" s="558">
        <f>'Water-Meter'!J5</f>
        <v>8410</v>
      </c>
      <c r="Q3" s="158"/>
      <c r="R3" s="227"/>
      <c r="S3" s="611"/>
      <c r="T3" s="844" t="s">
        <v>120</v>
      </c>
      <c r="U3" s="845"/>
      <c r="V3" s="159"/>
      <c r="W3" s="549">
        <v>8119.9</v>
      </c>
      <c r="X3" s="559">
        <f t="shared" ref="X3:X35" si="0">(W3-V3)*200</f>
        <v>1623980</v>
      </c>
      <c r="Y3" s="844" t="s">
        <v>120</v>
      </c>
      <c r="Z3" s="845"/>
      <c r="AA3" s="159"/>
      <c r="AB3" s="161"/>
      <c r="AC3" s="162"/>
    </row>
    <row r="4" spans="1:29" ht="19.5" thickBot="1">
      <c r="A4" s="612">
        <f>Gen!B11</f>
        <v>0.01</v>
      </c>
      <c r="B4" s="560">
        <f>Gen!A11</f>
        <v>44317</v>
      </c>
      <c r="C4" s="561"/>
      <c r="D4" s="562">
        <f t="shared" ref="D4:D23" si="1">E3</f>
        <v>9269.1</v>
      </c>
      <c r="E4" s="548">
        <v>9271.2999999999993</v>
      </c>
      <c r="F4" s="562">
        <f t="shared" ref="F4:F15" si="2">SUM(E4-D4)*120</f>
        <v>263.99999999986903</v>
      </c>
      <c r="G4" s="561"/>
      <c r="H4" s="599">
        <f>B4</f>
        <v>44317</v>
      </c>
      <c r="I4" s="561"/>
      <c r="J4" s="600">
        <f>'Water-Meter'!G6</f>
        <v>75790</v>
      </c>
      <c r="K4" s="601">
        <f>'Water-Meter'!G6</f>
        <v>75790</v>
      </c>
      <c r="L4" s="561">
        <f t="shared" ref="L4:L34" si="3">SUM(K4-J4)</f>
        <v>0</v>
      </c>
      <c r="M4" s="599">
        <f>H4</f>
        <v>44317</v>
      </c>
      <c r="N4" s="561"/>
      <c r="O4" s="58"/>
      <c r="P4" s="568">
        <f>'Water-Meter'!J6</f>
        <v>8414</v>
      </c>
      <c r="Q4" s="561">
        <f>N4-O3</f>
        <v>0</v>
      </c>
      <c r="R4" s="602">
        <f t="shared" ref="R4:R20" si="4">SUM(Q4/1615)</f>
        <v>0</v>
      </c>
      <c r="S4" s="603">
        <f>Gen!T11</f>
        <v>2650</v>
      </c>
      <c r="T4" s="599">
        <f>M4</f>
        <v>44317</v>
      </c>
      <c r="U4" s="561"/>
      <c r="V4" s="562">
        <f t="shared" ref="V4:V33" si="5">W3</f>
        <v>8119.9</v>
      </c>
      <c r="W4" s="549">
        <v>8120.6</v>
      </c>
      <c r="X4" s="562">
        <f t="shared" si="0"/>
        <v>140.00000000014552</v>
      </c>
      <c r="Y4" s="599">
        <f>T4</f>
        <v>44317</v>
      </c>
      <c r="Z4" s="561"/>
      <c r="AA4" s="561"/>
      <c r="AB4" s="568">
        <f>'Water-Meter'!P6</f>
        <v>21233</v>
      </c>
      <c r="AC4" s="569">
        <f>AA4-AB3</f>
        <v>0</v>
      </c>
    </row>
    <row r="5" spans="1:29" ht="19.5" thickBot="1">
      <c r="A5" s="613">
        <f>Gen!B12</f>
        <v>0</v>
      </c>
      <c r="B5" s="563">
        <f>Gen!A12</f>
        <v>44318</v>
      </c>
      <c r="C5" s="547"/>
      <c r="D5" s="552">
        <f t="shared" si="1"/>
        <v>9271.2999999999993</v>
      </c>
      <c r="E5" s="548">
        <v>9273.5</v>
      </c>
      <c r="F5" s="552">
        <f t="shared" si="2"/>
        <v>264.00000000008731</v>
      </c>
      <c r="G5" s="547"/>
      <c r="H5" s="594">
        <f t="shared" ref="H5:H35" si="6">B5</f>
        <v>44318</v>
      </c>
      <c r="I5" s="547"/>
      <c r="J5" s="595">
        <f>'Water-Meter'!G7</f>
        <v>75790</v>
      </c>
      <c r="K5" s="596">
        <f>'Water-Meter'!G7</f>
        <v>75790</v>
      </c>
      <c r="L5" s="547">
        <f t="shared" si="3"/>
        <v>0</v>
      </c>
      <c r="M5" s="594">
        <f t="shared" ref="M5:M35" si="7">H5</f>
        <v>44318</v>
      </c>
      <c r="N5" s="547"/>
      <c r="O5" s="6"/>
      <c r="P5" s="551">
        <f>'Water-Meter'!J7</f>
        <v>8415</v>
      </c>
      <c r="Q5" s="547">
        <f t="shared" ref="Q5:Q20" si="8">N5-O4</f>
        <v>0</v>
      </c>
      <c r="R5" s="597">
        <f t="shared" si="4"/>
        <v>0</v>
      </c>
      <c r="S5" s="598">
        <f>Gen!T12</f>
        <v>2697</v>
      </c>
      <c r="T5" s="599">
        <f t="shared" ref="T5:T34" si="9">M5</f>
        <v>44318</v>
      </c>
      <c r="U5" s="547"/>
      <c r="V5" s="552">
        <f t="shared" si="5"/>
        <v>8120.6</v>
      </c>
      <c r="W5" s="549">
        <v>8122.1</v>
      </c>
      <c r="X5" s="552">
        <f t="shared" si="0"/>
        <v>300</v>
      </c>
      <c r="Y5" s="594">
        <f t="shared" ref="Y5:Y30" si="10">T5</f>
        <v>44318</v>
      </c>
      <c r="Z5" s="547"/>
      <c r="AA5" s="547"/>
      <c r="AB5" s="551">
        <f>'Water-Meter'!P7</f>
        <v>21237</v>
      </c>
      <c r="AC5" s="604">
        <f t="shared" ref="AC5:AC35" si="11">AA5-AB4</f>
        <v>-21233</v>
      </c>
    </row>
    <row r="6" spans="1:29" ht="19.5" thickBot="1">
      <c r="A6" s="613">
        <f>Gen!B13</f>
        <v>3.9E-2</v>
      </c>
      <c r="B6" s="563">
        <f>Gen!A13</f>
        <v>44319</v>
      </c>
      <c r="C6" s="547"/>
      <c r="D6" s="552">
        <f t="shared" si="1"/>
        <v>9273.5</v>
      </c>
      <c r="E6" s="548">
        <v>9275.9</v>
      </c>
      <c r="F6" s="552">
        <f t="shared" si="2"/>
        <v>287.99999999995634</v>
      </c>
      <c r="G6" s="547"/>
      <c r="H6" s="594">
        <f t="shared" si="6"/>
        <v>44319</v>
      </c>
      <c r="I6" s="547"/>
      <c r="J6" s="595">
        <f>'Water-Meter'!G8</f>
        <v>75790</v>
      </c>
      <c r="K6" s="596">
        <f>'Water-Meter'!G8</f>
        <v>75790</v>
      </c>
      <c r="L6" s="547">
        <f t="shared" si="3"/>
        <v>0</v>
      </c>
      <c r="M6" s="594">
        <f t="shared" si="7"/>
        <v>44319</v>
      </c>
      <c r="N6" s="547"/>
      <c r="O6" s="6"/>
      <c r="P6" s="551">
        <f>'Water-Meter'!J8</f>
        <v>8416</v>
      </c>
      <c r="Q6" s="547">
        <f t="shared" si="8"/>
        <v>0</v>
      </c>
      <c r="R6" s="597">
        <f t="shared" si="4"/>
        <v>0</v>
      </c>
      <c r="S6" s="598">
        <f>Gen!T13</f>
        <v>2639</v>
      </c>
      <c r="T6" s="599">
        <f t="shared" si="9"/>
        <v>44319</v>
      </c>
      <c r="U6" s="547"/>
      <c r="V6" s="552">
        <f t="shared" si="5"/>
        <v>8122.1</v>
      </c>
      <c r="W6" s="549">
        <v>8123.2</v>
      </c>
      <c r="X6" s="552">
        <f t="shared" si="0"/>
        <v>219.99999999989086</v>
      </c>
      <c r="Y6" s="594">
        <f t="shared" si="10"/>
        <v>44319</v>
      </c>
      <c r="Z6" s="547"/>
      <c r="AA6" s="547"/>
      <c r="AB6" s="551">
        <f>'Water-Meter'!P8</f>
        <v>21242</v>
      </c>
      <c r="AC6" s="604">
        <f t="shared" si="11"/>
        <v>-21237</v>
      </c>
    </row>
    <row r="7" spans="1:29" ht="19.5" thickBot="1">
      <c r="A7" s="613">
        <f>Gen!B14</f>
        <v>5.1999999999999998E-2</v>
      </c>
      <c r="B7" s="563">
        <f>Gen!A14</f>
        <v>44320</v>
      </c>
      <c r="C7" s="547"/>
      <c r="D7" s="552">
        <f t="shared" si="1"/>
        <v>9275.9</v>
      </c>
      <c r="E7" s="548">
        <v>9278.4</v>
      </c>
      <c r="F7" s="552">
        <f t="shared" si="2"/>
        <v>300</v>
      </c>
      <c r="G7" s="547"/>
      <c r="H7" s="594">
        <f t="shared" si="6"/>
        <v>44320</v>
      </c>
      <c r="I7" s="547"/>
      <c r="J7" s="595">
        <f>'Water-Meter'!G9</f>
        <v>75790</v>
      </c>
      <c r="K7" s="596">
        <f>'Water-Meter'!G9</f>
        <v>75790</v>
      </c>
      <c r="L7" s="547">
        <f t="shared" si="3"/>
        <v>0</v>
      </c>
      <c r="M7" s="594">
        <f t="shared" si="7"/>
        <v>44320</v>
      </c>
      <c r="N7" s="547"/>
      <c r="O7" s="6"/>
      <c r="P7" s="551">
        <f>'Water-Meter'!J9</f>
        <v>8418</v>
      </c>
      <c r="Q7" s="547">
        <f t="shared" si="8"/>
        <v>0</v>
      </c>
      <c r="R7" s="597">
        <f t="shared" si="4"/>
        <v>0</v>
      </c>
      <c r="S7" s="598">
        <f>Gen!T14</f>
        <v>2826</v>
      </c>
      <c r="T7" s="599">
        <f t="shared" si="9"/>
        <v>44320</v>
      </c>
      <c r="U7" s="547"/>
      <c r="V7" s="552">
        <f t="shared" si="5"/>
        <v>8123.2</v>
      </c>
      <c r="W7" s="549">
        <v>8124.8</v>
      </c>
      <c r="X7" s="552">
        <f t="shared" si="0"/>
        <v>320.00000000007276</v>
      </c>
      <c r="Y7" s="594">
        <f t="shared" si="10"/>
        <v>44320</v>
      </c>
      <c r="Z7" s="547"/>
      <c r="AA7" s="547"/>
      <c r="AB7" s="551">
        <f>'Water-Meter'!P9</f>
        <v>21245</v>
      </c>
      <c r="AC7" s="604">
        <f t="shared" si="11"/>
        <v>-21242</v>
      </c>
    </row>
    <row r="8" spans="1:29" ht="19.5" thickBot="1">
      <c r="A8" s="613">
        <f>Gen!B15</f>
        <v>5.6000000000000001E-2</v>
      </c>
      <c r="B8" s="563">
        <f>Gen!A15</f>
        <v>44321</v>
      </c>
      <c r="C8" s="547"/>
      <c r="D8" s="552">
        <f t="shared" si="1"/>
        <v>9278.4</v>
      </c>
      <c r="E8" s="548">
        <v>9280.6</v>
      </c>
      <c r="F8" s="552">
        <f t="shared" si="2"/>
        <v>264.00000000008731</v>
      </c>
      <c r="G8" s="547"/>
      <c r="H8" s="594">
        <f t="shared" si="6"/>
        <v>44321</v>
      </c>
      <c r="I8" s="547"/>
      <c r="J8" s="595">
        <f>'Water-Meter'!G10</f>
        <v>75790</v>
      </c>
      <c r="K8" s="596">
        <f>'Water-Meter'!G10</f>
        <v>75790</v>
      </c>
      <c r="L8" s="547">
        <f t="shared" si="3"/>
        <v>0</v>
      </c>
      <c r="M8" s="594">
        <f t="shared" si="7"/>
        <v>44321</v>
      </c>
      <c r="N8" s="547"/>
      <c r="O8" s="6"/>
      <c r="P8" s="551">
        <f>'Water-Meter'!J10</f>
        <v>8419</v>
      </c>
      <c r="Q8" s="547">
        <f t="shared" si="8"/>
        <v>0</v>
      </c>
      <c r="R8" s="597">
        <f t="shared" si="4"/>
        <v>0</v>
      </c>
      <c r="S8" s="598">
        <f>Gen!T15</f>
        <v>2780</v>
      </c>
      <c r="T8" s="599">
        <f t="shared" si="9"/>
        <v>44321</v>
      </c>
      <c r="U8" s="547"/>
      <c r="V8" s="552">
        <f t="shared" si="5"/>
        <v>8124.8</v>
      </c>
      <c r="W8" s="549">
        <v>8126.1</v>
      </c>
      <c r="X8" s="552">
        <f t="shared" si="0"/>
        <v>260.00000000003638</v>
      </c>
      <c r="Y8" s="594">
        <f t="shared" si="10"/>
        <v>44321</v>
      </c>
      <c r="Z8" s="547"/>
      <c r="AA8" s="547"/>
      <c r="AB8" s="551">
        <f>'Water-Meter'!P10</f>
        <v>21249</v>
      </c>
      <c r="AC8" s="604">
        <f t="shared" si="11"/>
        <v>-21245</v>
      </c>
    </row>
    <row r="9" spans="1:29" ht="19.5" thickBot="1">
      <c r="A9" s="613">
        <f>Gen!B16</f>
        <v>5.6000000000000001E-2</v>
      </c>
      <c r="B9" s="563">
        <f>Gen!A16</f>
        <v>44322</v>
      </c>
      <c r="C9" s="547"/>
      <c r="D9" s="552">
        <f t="shared" si="1"/>
        <v>9280.6</v>
      </c>
      <c r="E9" s="548">
        <v>9282.7999999999993</v>
      </c>
      <c r="F9" s="552">
        <f t="shared" si="2"/>
        <v>263.99999999986903</v>
      </c>
      <c r="G9" s="547"/>
      <c r="H9" s="594">
        <f t="shared" si="6"/>
        <v>44322</v>
      </c>
      <c r="I9" s="547"/>
      <c r="J9" s="595">
        <f>'Water-Meter'!G11</f>
        <v>75790</v>
      </c>
      <c r="K9" s="596">
        <f>'Water-Meter'!G11</f>
        <v>75790</v>
      </c>
      <c r="L9" s="547">
        <f t="shared" si="3"/>
        <v>0</v>
      </c>
      <c r="M9" s="594">
        <f t="shared" si="7"/>
        <v>44322</v>
      </c>
      <c r="N9" s="547"/>
      <c r="O9" s="6"/>
      <c r="P9" s="551">
        <f>'Water-Meter'!J11</f>
        <v>8420</v>
      </c>
      <c r="Q9" s="547">
        <f t="shared" si="8"/>
        <v>0</v>
      </c>
      <c r="R9" s="597">
        <f t="shared" si="4"/>
        <v>0</v>
      </c>
      <c r="S9" s="598">
        <f>Gen!T16</f>
        <v>2900</v>
      </c>
      <c r="T9" s="599">
        <f t="shared" si="9"/>
        <v>44322</v>
      </c>
      <c r="U9" s="547"/>
      <c r="V9" s="552">
        <f t="shared" si="5"/>
        <v>8126.1</v>
      </c>
      <c r="W9" s="549">
        <v>8127.7</v>
      </c>
      <c r="X9" s="552">
        <f t="shared" si="0"/>
        <v>319.99999999989086</v>
      </c>
      <c r="Y9" s="594">
        <f t="shared" si="10"/>
        <v>44322</v>
      </c>
      <c r="Z9" s="547"/>
      <c r="AA9" s="547"/>
      <c r="AB9" s="551">
        <f>'Water-Meter'!P11</f>
        <v>21256</v>
      </c>
      <c r="AC9" s="604">
        <f t="shared" si="11"/>
        <v>-21249</v>
      </c>
    </row>
    <row r="10" spans="1:29" ht="19.5" thickBot="1">
      <c r="A10" s="613">
        <f>Gen!B17</f>
        <v>0</v>
      </c>
      <c r="B10" s="563">
        <f>Gen!A17</f>
        <v>44323</v>
      </c>
      <c r="C10" s="547"/>
      <c r="D10" s="552">
        <f t="shared" si="1"/>
        <v>9282.7999999999993</v>
      </c>
      <c r="E10" s="548">
        <v>9284.7999999999993</v>
      </c>
      <c r="F10" s="552">
        <f t="shared" si="2"/>
        <v>240</v>
      </c>
      <c r="G10" s="547"/>
      <c r="H10" s="594">
        <f t="shared" si="6"/>
        <v>44323</v>
      </c>
      <c r="I10" s="547"/>
      <c r="J10" s="595">
        <f>'Water-Meter'!G12</f>
        <v>75790</v>
      </c>
      <c r="K10" s="596">
        <f>'Water-Meter'!G12</f>
        <v>75790</v>
      </c>
      <c r="L10" s="547">
        <f t="shared" si="3"/>
        <v>0</v>
      </c>
      <c r="M10" s="594">
        <f t="shared" si="7"/>
        <v>44323</v>
      </c>
      <c r="N10" s="547"/>
      <c r="O10" s="6"/>
      <c r="P10" s="551">
        <f>'Water-Meter'!J12</f>
        <v>8422</v>
      </c>
      <c r="Q10" s="547">
        <f t="shared" si="8"/>
        <v>0</v>
      </c>
      <c r="R10" s="597">
        <f t="shared" si="4"/>
        <v>0</v>
      </c>
      <c r="S10" s="598">
        <f>Gen!T17</f>
        <v>2734</v>
      </c>
      <c r="T10" s="599">
        <f t="shared" si="9"/>
        <v>44323</v>
      </c>
      <c r="U10" s="547"/>
      <c r="V10" s="552">
        <f t="shared" si="5"/>
        <v>8127.7</v>
      </c>
      <c r="W10" s="549">
        <v>8128.6</v>
      </c>
      <c r="X10" s="552">
        <f t="shared" si="0"/>
        <v>180.00000000010914</v>
      </c>
      <c r="Y10" s="594">
        <f t="shared" si="10"/>
        <v>44323</v>
      </c>
      <c r="Z10" s="547"/>
      <c r="AA10" s="547"/>
      <c r="AB10" s="551">
        <f>'Water-Meter'!P12</f>
        <v>21259</v>
      </c>
      <c r="AC10" s="604">
        <f t="shared" si="11"/>
        <v>-21256</v>
      </c>
    </row>
    <row r="11" spans="1:29" ht="19.5" thickBot="1">
      <c r="A11" s="613">
        <f>Gen!B18</f>
        <v>0</v>
      </c>
      <c r="B11" s="563">
        <f>Gen!A18</f>
        <v>44324</v>
      </c>
      <c r="C11" s="547"/>
      <c r="D11" s="552">
        <f t="shared" si="1"/>
        <v>9284.7999999999993</v>
      </c>
      <c r="E11" s="548">
        <v>9287.1</v>
      </c>
      <c r="F11" s="552">
        <f t="shared" si="2"/>
        <v>276.00000000013097</v>
      </c>
      <c r="G11" s="547"/>
      <c r="H11" s="594">
        <f t="shared" si="6"/>
        <v>44324</v>
      </c>
      <c r="I11" s="547"/>
      <c r="J11" s="595">
        <f>'Water-Meter'!G13</f>
        <v>75790</v>
      </c>
      <c r="K11" s="596">
        <f>'Water-Meter'!G13</f>
        <v>75790</v>
      </c>
      <c r="L11" s="547">
        <f t="shared" si="3"/>
        <v>0</v>
      </c>
      <c r="M11" s="594">
        <f t="shared" si="7"/>
        <v>44324</v>
      </c>
      <c r="N11" s="547"/>
      <c r="O11" s="6"/>
      <c r="P11" s="551">
        <f>'Water-Meter'!J13</f>
        <v>8424</v>
      </c>
      <c r="Q11" s="547">
        <f t="shared" si="8"/>
        <v>0</v>
      </c>
      <c r="R11" s="597">
        <f t="shared" si="4"/>
        <v>0</v>
      </c>
      <c r="S11" s="598">
        <f>Gen!T18</f>
        <v>2996</v>
      </c>
      <c r="T11" s="599">
        <f t="shared" si="9"/>
        <v>44324</v>
      </c>
      <c r="U11" s="547"/>
      <c r="V11" s="552">
        <f t="shared" si="5"/>
        <v>8128.6</v>
      </c>
      <c r="W11" s="549">
        <v>8129.1</v>
      </c>
      <c r="X11" s="552">
        <f t="shared" si="0"/>
        <v>100</v>
      </c>
      <c r="Y11" s="594">
        <f t="shared" si="10"/>
        <v>44324</v>
      </c>
      <c r="Z11" s="547"/>
      <c r="AA11" s="547"/>
      <c r="AB11" s="551">
        <f>'Water-Meter'!P13</f>
        <v>21261</v>
      </c>
      <c r="AC11" s="604">
        <f t="shared" si="11"/>
        <v>-21259</v>
      </c>
    </row>
    <row r="12" spans="1:29" ht="19.5" thickBot="1">
      <c r="A12" s="613">
        <f>Gen!B19</f>
        <v>0</v>
      </c>
      <c r="B12" s="563">
        <f>Gen!A19</f>
        <v>44325</v>
      </c>
      <c r="C12" s="547"/>
      <c r="D12" s="552">
        <f t="shared" si="1"/>
        <v>9287.1</v>
      </c>
      <c r="E12" s="548">
        <v>9288.7999999999993</v>
      </c>
      <c r="F12" s="552">
        <f t="shared" si="2"/>
        <v>203.99999999986903</v>
      </c>
      <c r="G12" s="547"/>
      <c r="H12" s="594">
        <f t="shared" si="6"/>
        <v>44325</v>
      </c>
      <c r="I12" s="547"/>
      <c r="J12" s="595">
        <f>'Water-Meter'!G14</f>
        <v>75790</v>
      </c>
      <c r="K12" s="596">
        <f>'Water-Meter'!G14</f>
        <v>75790</v>
      </c>
      <c r="L12" s="547">
        <f t="shared" si="3"/>
        <v>0</v>
      </c>
      <c r="M12" s="594">
        <f t="shared" si="7"/>
        <v>44325</v>
      </c>
      <c r="N12" s="547"/>
      <c r="O12" s="6"/>
      <c r="P12" s="551">
        <f>'Water-Meter'!J14</f>
        <v>8425</v>
      </c>
      <c r="Q12" s="547">
        <f t="shared" si="8"/>
        <v>0</v>
      </c>
      <c r="R12" s="597">
        <f t="shared" si="4"/>
        <v>0</v>
      </c>
      <c r="S12" s="598">
        <f>Gen!T19</f>
        <v>2627</v>
      </c>
      <c r="T12" s="599">
        <f t="shared" si="9"/>
        <v>44325</v>
      </c>
      <c r="U12" s="547"/>
      <c r="V12" s="552">
        <f t="shared" si="5"/>
        <v>8129.1</v>
      </c>
      <c r="W12" s="549">
        <v>8130.8</v>
      </c>
      <c r="X12" s="552">
        <f t="shared" si="0"/>
        <v>339.99999999996362</v>
      </c>
      <c r="Y12" s="594">
        <f t="shared" si="10"/>
        <v>44325</v>
      </c>
      <c r="Z12" s="547"/>
      <c r="AA12" s="547"/>
      <c r="AB12" s="551">
        <f>'Water-Meter'!P14</f>
        <v>21265</v>
      </c>
      <c r="AC12" s="604">
        <f t="shared" si="11"/>
        <v>-21261</v>
      </c>
    </row>
    <row r="13" spans="1:29" ht="19.5" thickBot="1">
      <c r="A13" s="613">
        <f>Gen!B20</f>
        <v>0</v>
      </c>
      <c r="B13" s="563">
        <f>Gen!A20</f>
        <v>44326</v>
      </c>
      <c r="C13" s="547"/>
      <c r="D13" s="552">
        <f t="shared" si="1"/>
        <v>9288.7999999999993</v>
      </c>
      <c r="E13" s="548">
        <v>9290.7000000000007</v>
      </c>
      <c r="F13" s="552">
        <f t="shared" si="2"/>
        <v>228.00000000017462</v>
      </c>
      <c r="G13" s="547"/>
      <c r="H13" s="594">
        <f t="shared" si="6"/>
        <v>44326</v>
      </c>
      <c r="I13" s="547"/>
      <c r="J13" s="595">
        <f>'Water-Meter'!G15</f>
        <v>75790</v>
      </c>
      <c r="K13" s="596">
        <f>'Water-Meter'!G15</f>
        <v>75790</v>
      </c>
      <c r="L13" s="547">
        <f t="shared" si="3"/>
        <v>0</v>
      </c>
      <c r="M13" s="594">
        <f t="shared" si="7"/>
        <v>44326</v>
      </c>
      <c r="N13" s="547"/>
      <c r="O13" s="6"/>
      <c r="P13" s="551">
        <f>'Water-Meter'!J15</f>
        <v>8427</v>
      </c>
      <c r="Q13" s="547">
        <f t="shared" si="8"/>
        <v>0</v>
      </c>
      <c r="R13" s="597">
        <f t="shared" si="4"/>
        <v>0</v>
      </c>
      <c r="S13" s="598">
        <f>Gen!T20</f>
        <v>2619</v>
      </c>
      <c r="T13" s="599">
        <f t="shared" si="9"/>
        <v>44326</v>
      </c>
      <c r="U13" s="547"/>
      <c r="V13" s="552">
        <f t="shared" si="5"/>
        <v>8130.8</v>
      </c>
      <c r="W13" s="549">
        <v>8132.1</v>
      </c>
      <c r="X13" s="552">
        <f t="shared" si="0"/>
        <v>260.00000000003638</v>
      </c>
      <c r="Y13" s="594">
        <f t="shared" si="10"/>
        <v>44326</v>
      </c>
      <c r="Z13" s="547"/>
      <c r="AA13" s="547"/>
      <c r="AB13" s="551">
        <f>'Water-Meter'!P15</f>
        <v>21271</v>
      </c>
      <c r="AC13" s="604">
        <f t="shared" si="11"/>
        <v>-21265</v>
      </c>
    </row>
    <row r="14" spans="1:29" ht="19.5" thickBot="1">
      <c r="A14" s="613">
        <f>Gen!B21</f>
        <v>0</v>
      </c>
      <c r="B14" s="563">
        <f>Gen!A21</f>
        <v>44327</v>
      </c>
      <c r="C14" s="547"/>
      <c r="D14" s="552">
        <f t="shared" si="1"/>
        <v>9290.7000000000007</v>
      </c>
      <c r="E14" s="548">
        <v>9292.6</v>
      </c>
      <c r="F14" s="552">
        <f t="shared" si="2"/>
        <v>227.99999999995634</v>
      </c>
      <c r="G14" s="547"/>
      <c r="H14" s="594">
        <f t="shared" si="6"/>
        <v>44327</v>
      </c>
      <c r="I14" s="547"/>
      <c r="J14" s="595">
        <f>'Water-Meter'!G16</f>
        <v>75790</v>
      </c>
      <c r="K14" s="596">
        <f>'Water-Meter'!G16</f>
        <v>75790</v>
      </c>
      <c r="L14" s="547">
        <f t="shared" si="3"/>
        <v>0</v>
      </c>
      <c r="M14" s="594">
        <f t="shared" si="7"/>
        <v>44327</v>
      </c>
      <c r="N14" s="547"/>
      <c r="O14" s="6"/>
      <c r="P14" s="551">
        <f>'Water-Meter'!J16</f>
        <v>8428</v>
      </c>
      <c r="Q14" s="547">
        <v>8095</v>
      </c>
      <c r="R14" s="597">
        <f t="shared" si="4"/>
        <v>5.0123839009287927</v>
      </c>
      <c r="S14" s="598">
        <f>Gen!T21</f>
        <v>2525</v>
      </c>
      <c r="T14" s="599">
        <f t="shared" si="9"/>
        <v>44327</v>
      </c>
      <c r="U14" s="547"/>
      <c r="V14" s="552">
        <f t="shared" si="5"/>
        <v>8132.1</v>
      </c>
      <c r="W14" s="549">
        <v>8133.1</v>
      </c>
      <c r="X14" s="552">
        <f t="shared" si="0"/>
        <v>200</v>
      </c>
      <c r="Y14" s="594">
        <f t="shared" si="10"/>
        <v>44327</v>
      </c>
      <c r="Z14" s="547"/>
      <c r="AA14" s="547"/>
      <c r="AB14" s="551">
        <f>'Water-Meter'!P16</f>
        <v>21273</v>
      </c>
      <c r="AC14" s="604">
        <v>20490</v>
      </c>
    </row>
    <row r="15" spans="1:29" ht="19.5" thickBot="1">
      <c r="A15" s="613">
        <f>Gen!B22</f>
        <v>0</v>
      </c>
      <c r="B15" s="563">
        <f>Gen!A22</f>
        <v>44328</v>
      </c>
      <c r="C15" s="547"/>
      <c r="D15" s="552">
        <f t="shared" si="1"/>
        <v>9292.6</v>
      </c>
      <c r="E15" s="548">
        <v>9294.5</v>
      </c>
      <c r="F15" s="552">
        <f t="shared" si="2"/>
        <v>227.99999999995634</v>
      </c>
      <c r="G15" s="547"/>
      <c r="H15" s="594">
        <f t="shared" si="6"/>
        <v>44328</v>
      </c>
      <c r="I15" s="547"/>
      <c r="J15" s="595">
        <f>'Water-Meter'!G17</f>
        <v>75790</v>
      </c>
      <c r="K15" s="596">
        <f>'Water-Meter'!G17</f>
        <v>75790</v>
      </c>
      <c r="L15" s="547">
        <f t="shared" si="3"/>
        <v>0</v>
      </c>
      <c r="M15" s="594">
        <f t="shared" si="7"/>
        <v>44328</v>
      </c>
      <c r="N15" s="547"/>
      <c r="O15" s="6"/>
      <c r="P15" s="551">
        <f>'Water-Meter'!J17</f>
        <v>8429</v>
      </c>
      <c r="Q15" s="547">
        <f t="shared" si="8"/>
        <v>0</v>
      </c>
      <c r="R15" s="597">
        <f t="shared" si="4"/>
        <v>0</v>
      </c>
      <c r="S15" s="598">
        <f>Gen!T22</f>
        <v>2428</v>
      </c>
      <c r="T15" s="599">
        <f t="shared" si="9"/>
        <v>44328</v>
      </c>
      <c r="U15" s="547"/>
      <c r="V15" s="552">
        <f t="shared" si="5"/>
        <v>8133.1</v>
      </c>
      <c r="W15" s="549">
        <v>8133.9</v>
      </c>
      <c r="X15" s="552">
        <f t="shared" si="0"/>
        <v>159.99999999985448</v>
      </c>
      <c r="Y15" s="594">
        <f t="shared" si="10"/>
        <v>44328</v>
      </c>
      <c r="Z15" s="547"/>
      <c r="AA15" s="547"/>
      <c r="AB15" s="551">
        <f>'Water-Meter'!P17</f>
        <v>21275</v>
      </c>
      <c r="AC15" s="604">
        <f t="shared" si="11"/>
        <v>-21273</v>
      </c>
    </row>
    <row r="16" spans="1:29" ht="19.5" thickBot="1">
      <c r="A16" s="613">
        <f>Gen!B23</f>
        <v>0</v>
      </c>
      <c r="B16" s="563">
        <f>Gen!A23</f>
        <v>44329</v>
      </c>
      <c r="C16" s="547"/>
      <c r="D16" s="552">
        <f t="shared" si="1"/>
        <v>9294.5</v>
      </c>
      <c r="E16" s="548">
        <v>9296.4</v>
      </c>
      <c r="F16" s="552">
        <f>SUM(E16-D16)*120</f>
        <v>227.99999999995634</v>
      </c>
      <c r="G16" s="547"/>
      <c r="H16" s="594">
        <f t="shared" si="6"/>
        <v>44329</v>
      </c>
      <c r="I16" s="547"/>
      <c r="J16" s="595">
        <f>'Water-Meter'!G18</f>
        <v>75790</v>
      </c>
      <c r="K16" s="596">
        <f>'Water-Meter'!G18</f>
        <v>75790</v>
      </c>
      <c r="L16" s="547">
        <f t="shared" si="3"/>
        <v>0</v>
      </c>
      <c r="M16" s="594">
        <f t="shared" si="7"/>
        <v>44329</v>
      </c>
      <c r="N16" s="547"/>
      <c r="O16" s="6"/>
      <c r="P16" s="551">
        <f>'Water-Meter'!J18</f>
        <v>8431</v>
      </c>
      <c r="Q16" s="547">
        <f t="shared" si="8"/>
        <v>0</v>
      </c>
      <c r="R16" s="597">
        <f t="shared" si="4"/>
        <v>0</v>
      </c>
      <c r="S16" s="598">
        <f>Gen!T23</f>
        <v>2512</v>
      </c>
      <c r="T16" s="599">
        <f t="shared" si="9"/>
        <v>44329</v>
      </c>
      <c r="U16" s="547"/>
      <c r="V16" s="552">
        <f t="shared" si="5"/>
        <v>8133.9</v>
      </c>
      <c r="W16" s="549">
        <v>8134.9</v>
      </c>
      <c r="X16" s="552">
        <f t="shared" si="0"/>
        <v>200</v>
      </c>
      <c r="Y16" s="594">
        <f t="shared" si="10"/>
        <v>44329</v>
      </c>
      <c r="Z16" s="547"/>
      <c r="AA16" s="547"/>
      <c r="AB16" s="551">
        <f>'Water-Meter'!P18</f>
        <v>21283</v>
      </c>
      <c r="AC16" s="604">
        <f t="shared" si="11"/>
        <v>-21275</v>
      </c>
    </row>
    <row r="17" spans="1:29" ht="19.5" thickBot="1">
      <c r="A17" s="613">
        <f>Gen!B24</f>
        <v>0</v>
      </c>
      <c r="B17" s="563">
        <f>Gen!A24</f>
        <v>44330</v>
      </c>
      <c r="C17" s="547"/>
      <c r="D17" s="552">
        <f t="shared" si="1"/>
        <v>9296.4</v>
      </c>
      <c r="E17" s="548">
        <v>9298.2999999999993</v>
      </c>
      <c r="F17" s="552">
        <f>SUM(E17-D17)*120</f>
        <v>227.99999999995634</v>
      </c>
      <c r="G17" s="547"/>
      <c r="H17" s="594">
        <f t="shared" si="6"/>
        <v>44330</v>
      </c>
      <c r="I17" s="547"/>
      <c r="J17" s="595">
        <f>'Water-Meter'!G19</f>
        <v>75790</v>
      </c>
      <c r="K17" s="596">
        <f>'Water-Meter'!G19</f>
        <v>75790</v>
      </c>
      <c r="L17" s="547">
        <f t="shared" si="3"/>
        <v>0</v>
      </c>
      <c r="M17" s="594">
        <f t="shared" si="7"/>
        <v>44330</v>
      </c>
      <c r="N17" s="547"/>
      <c r="O17" s="6"/>
      <c r="P17" s="551">
        <f>'Water-Meter'!J19</f>
        <v>8432</v>
      </c>
      <c r="Q17" s="547">
        <f t="shared" si="8"/>
        <v>0</v>
      </c>
      <c r="R17" s="597">
        <f t="shared" si="4"/>
        <v>0</v>
      </c>
      <c r="S17" s="598">
        <f>Gen!T24</f>
        <v>2744</v>
      </c>
      <c r="T17" s="599">
        <f t="shared" si="9"/>
        <v>44330</v>
      </c>
      <c r="U17" s="547"/>
      <c r="V17" s="552">
        <f t="shared" si="5"/>
        <v>8134.9</v>
      </c>
      <c r="W17" s="549">
        <v>8136.8</v>
      </c>
      <c r="X17" s="552">
        <f t="shared" si="0"/>
        <v>380.00000000010914</v>
      </c>
      <c r="Y17" s="594">
        <f t="shared" si="10"/>
        <v>44330</v>
      </c>
      <c r="Z17" s="547"/>
      <c r="AA17" s="547"/>
      <c r="AB17" s="551">
        <f>'Water-Meter'!P19</f>
        <v>21284</v>
      </c>
      <c r="AC17" s="604">
        <f t="shared" si="11"/>
        <v>-21283</v>
      </c>
    </row>
    <row r="18" spans="1:29" ht="19.5" thickBot="1">
      <c r="A18" s="613">
        <f>Gen!B25</f>
        <v>0</v>
      </c>
      <c r="B18" s="563">
        <f>Gen!A25</f>
        <v>44331</v>
      </c>
      <c r="C18" s="547"/>
      <c r="D18" s="552">
        <f t="shared" si="1"/>
        <v>9298.2999999999993</v>
      </c>
      <c r="E18" s="548">
        <v>9300.2999999999993</v>
      </c>
      <c r="F18" s="552">
        <f t="shared" ref="F18:F22" si="12">SUM(E18-D18)*120</f>
        <v>240</v>
      </c>
      <c r="G18" s="547"/>
      <c r="H18" s="594">
        <f t="shared" si="6"/>
        <v>44331</v>
      </c>
      <c r="I18" s="547"/>
      <c r="J18" s="595">
        <f>'Water-Meter'!G20</f>
        <v>75790</v>
      </c>
      <c r="K18" s="596">
        <f>'Water-Meter'!G20</f>
        <v>75790</v>
      </c>
      <c r="L18" s="547">
        <f t="shared" si="3"/>
        <v>0</v>
      </c>
      <c r="M18" s="594">
        <f t="shared" si="7"/>
        <v>44331</v>
      </c>
      <c r="N18" s="547"/>
      <c r="O18" s="6">
        <f>'Water-Meter'!J20</f>
        <v>8434</v>
      </c>
      <c r="P18" s="551">
        <f>'Water-Meter'!J20</f>
        <v>8434</v>
      </c>
      <c r="Q18" s="547">
        <f t="shared" si="8"/>
        <v>0</v>
      </c>
      <c r="R18" s="597">
        <f t="shared" si="4"/>
        <v>0</v>
      </c>
      <c r="S18" s="598">
        <f>Gen!T25</f>
        <v>2461</v>
      </c>
      <c r="T18" s="599">
        <f t="shared" si="9"/>
        <v>44331</v>
      </c>
      <c r="U18" s="547"/>
      <c r="V18" s="552">
        <f t="shared" si="5"/>
        <v>8136.8</v>
      </c>
      <c r="W18" s="549">
        <v>8137.9</v>
      </c>
      <c r="X18" s="552">
        <f t="shared" si="0"/>
        <v>219.99999999989086</v>
      </c>
      <c r="Y18" s="594">
        <f t="shared" si="10"/>
        <v>44331</v>
      </c>
      <c r="Z18" s="547"/>
      <c r="AA18" s="547"/>
      <c r="AB18" s="551">
        <f>'Water-Meter'!P20</f>
        <v>21289</v>
      </c>
      <c r="AC18" s="604">
        <f t="shared" si="11"/>
        <v>-21284</v>
      </c>
    </row>
    <row r="19" spans="1:29" ht="19.5" thickBot="1">
      <c r="A19" s="613">
        <f>Gen!B26</f>
        <v>0</v>
      </c>
      <c r="B19" s="563">
        <f>Gen!A26</f>
        <v>44332</v>
      </c>
      <c r="C19" s="550"/>
      <c r="D19" s="552">
        <f t="shared" si="1"/>
        <v>9300.2999999999993</v>
      </c>
      <c r="E19" s="548">
        <v>9302.2999999999993</v>
      </c>
      <c r="F19" s="552">
        <f t="shared" si="12"/>
        <v>240</v>
      </c>
      <c r="G19" s="547"/>
      <c r="H19" s="594">
        <f t="shared" si="6"/>
        <v>44332</v>
      </c>
      <c r="I19" s="550"/>
      <c r="J19" s="595">
        <f>'Water-Meter'!G21</f>
        <v>75790</v>
      </c>
      <c r="K19" s="596">
        <f>'Water-Meter'!G21</f>
        <v>75790</v>
      </c>
      <c r="L19" s="547">
        <f t="shared" si="3"/>
        <v>0</v>
      </c>
      <c r="M19" s="594">
        <f t="shared" si="7"/>
        <v>44332</v>
      </c>
      <c r="N19" s="550"/>
      <c r="O19" s="6">
        <f>'Water-Meter'!J21</f>
        <v>8435</v>
      </c>
      <c r="P19" s="551">
        <f>'Water-Meter'!J21</f>
        <v>8435</v>
      </c>
      <c r="Q19" s="547">
        <f t="shared" si="8"/>
        <v>-8434</v>
      </c>
      <c r="R19" s="597">
        <f t="shared" si="4"/>
        <v>-5.2222910216718263</v>
      </c>
      <c r="S19" s="598">
        <f>Gen!T26</f>
        <v>2626</v>
      </c>
      <c r="T19" s="599">
        <f t="shared" si="9"/>
        <v>44332</v>
      </c>
      <c r="U19" s="550"/>
      <c r="V19" s="552">
        <f t="shared" si="5"/>
        <v>8137.9</v>
      </c>
      <c r="W19" s="549">
        <v>8139.6</v>
      </c>
      <c r="X19" s="552">
        <f t="shared" si="0"/>
        <v>340.00000000014552</v>
      </c>
      <c r="Y19" s="594">
        <f t="shared" si="10"/>
        <v>44332</v>
      </c>
      <c r="Z19" s="550"/>
      <c r="AA19" s="547"/>
      <c r="AB19" s="551">
        <f>'Water-Meter'!P21</f>
        <v>21295</v>
      </c>
      <c r="AC19" s="604">
        <f t="shared" si="11"/>
        <v>-21289</v>
      </c>
    </row>
    <row r="20" spans="1:29" ht="19.5" thickBot="1">
      <c r="A20" s="613">
        <f>Gen!B27</f>
        <v>0</v>
      </c>
      <c r="B20" s="563">
        <f>Gen!A27</f>
        <v>44333</v>
      </c>
      <c r="C20" s="550"/>
      <c r="D20" s="552">
        <f t="shared" si="1"/>
        <v>9302.2999999999993</v>
      </c>
      <c r="E20" s="548">
        <v>9304.4</v>
      </c>
      <c r="F20" s="552">
        <f t="shared" si="12"/>
        <v>252.00000000004366</v>
      </c>
      <c r="G20" s="547"/>
      <c r="H20" s="594">
        <f t="shared" si="6"/>
        <v>44333</v>
      </c>
      <c r="I20" s="550"/>
      <c r="J20" s="595">
        <f>'Water-Meter'!G22</f>
        <v>75790</v>
      </c>
      <c r="K20" s="596">
        <f>'Water-Meter'!G22</f>
        <v>75790</v>
      </c>
      <c r="L20" s="547">
        <f t="shared" si="3"/>
        <v>0</v>
      </c>
      <c r="M20" s="594">
        <f t="shared" si="7"/>
        <v>44333</v>
      </c>
      <c r="N20" s="550"/>
      <c r="O20" s="6">
        <f>'Water-Meter'!J22</f>
        <v>8436</v>
      </c>
      <c r="P20" s="551">
        <f>'Water-Meter'!J22</f>
        <v>8436</v>
      </c>
      <c r="Q20" s="547">
        <f t="shared" si="8"/>
        <v>-8435</v>
      </c>
      <c r="R20" s="597">
        <f t="shared" si="4"/>
        <v>-5.2229102167182662</v>
      </c>
      <c r="S20" s="598">
        <f>Gen!T27</f>
        <v>3052</v>
      </c>
      <c r="T20" s="599">
        <f t="shared" si="9"/>
        <v>44333</v>
      </c>
      <c r="U20" s="550"/>
      <c r="V20" s="552">
        <f t="shared" si="5"/>
        <v>8139.6</v>
      </c>
      <c r="W20" s="549">
        <v>8141.2</v>
      </c>
      <c r="X20" s="552">
        <f t="shared" si="0"/>
        <v>319.99999999989086</v>
      </c>
      <c r="Y20" s="594">
        <f t="shared" si="10"/>
        <v>44333</v>
      </c>
      <c r="Z20" s="550"/>
      <c r="AA20" s="547"/>
      <c r="AB20" s="551">
        <f>'Water-Meter'!P22</f>
        <v>21298</v>
      </c>
      <c r="AC20" s="604">
        <f t="shared" si="11"/>
        <v>-21295</v>
      </c>
    </row>
    <row r="21" spans="1:29" ht="19.5" thickBot="1">
      <c r="A21" s="613">
        <f>Gen!B28</f>
        <v>0</v>
      </c>
      <c r="B21" s="563">
        <f>Gen!A28</f>
        <v>44334</v>
      </c>
      <c r="C21" s="550"/>
      <c r="D21" s="552">
        <f t="shared" si="1"/>
        <v>9304.4</v>
      </c>
      <c r="E21" s="548">
        <v>9306.2000000000007</v>
      </c>
      <c r="F21" s="552">
        <f t="shared" si="12"/>
        <v>216.00000000013097</v>
      </c>
      <c r="G21" s="547"/>
      <c r="H21" s="594">
        <f t="shared" si="6"/>
        <v>44334</v>
      </c>
      <c r="I21" s="550"/>
      <c r="J21" s="595">
        <f>'Water-Meter'!G23</f>
        <v>75790</v>
      </c>
      <c r="K21" s="596">
        <f>'Water-Meter'!G23</f>
        <v>75790</v>
      </c>
      <c r="L21" s="547">
        <f t="shared" si="3"/>
        <v>0</v>
      </c>
      <c r="M21" s="594">
        <f t="shared" si="7"/>
        <v>44334</v>
      </c>
      <c r="N21" s="550"/>
      <c r="O21" s="6">
        <f>'Water-Meter'!J23</f>
        <v>8438</v>
      </c>
      <c r="P21" s="551">
        <f>'Water-Meter'!J23</f>
        <v>8438</v>
      </c>
      <c r="Q21" s="547">
        <f t="shared" ref="Q21:Q35" si="13">N21-O20</f>
        <v>-8436</v>
      </c>
      <c r="R21" s="597">
        <f t="shared" ref="R21:R35" si="14">SUM(Q21/1615)</f>
        <v>-5.223529411764706</v>
      </c>
      <c r="S21" s="598">
        <f>Gen!T28</f>
        <v>2929</v>
      </c>
      <c r="T21" s="599">
        <f t="shared" si="9"/>
        <v>44334</v>
      </c>
      <c r="U21" s="550"/>
      <c r="V21" s="552">
        <f t="shared" si="5"/>
        <v>8141.2</v>
      </c>
      <c r="W21" s="549">
        <v>8143.1</v>
      </c>
      <c r="X21" s="552">
        <f t="shared" si="0"/>
        <v>380.00000000010914</v>
      </c>
      <c r="Y21" s="594">
        <f t="shared" si="10"/>
        <v>44334</v>
      </c>
      <c r="Z21" s="550"/>
      <c r="AA21" s="547"/>
      <c r="AB21" s="551">
        <f>'Water-Meter'!P23</f>
        <v>21301</v>
      </c>
      <c r="AC21" s="604">
        <f t="shared" si="11"/>
        <v>-21298</v>
      </c>
    </row>
    <row r="22" spans="1:29" ht="19.5" thickBot="1">
      <c r="A22" s="613">
        <f>Gen!B29</f>
        <v>0</v>
      </c>
      <c r="B22" s="563">
        <f>Gen!A29</f>
        <v>44335</v>
      </c>
      <c r="C22" s="547"/>
      <c r="D22" s="552">
        <f t="shared" si="1"/>
        <v>9306.2000000000007</v>
      </c>
      <c r="E22" s="548">
        <v>9308.2000000000007</v>
      </c>
      <c r="F22" s="552">
        <f t="shared" si="12"/>
        <v>240</v>
      </c>
      <c r="G22" s="547"/>
      <c r="H22" s="594">
        <f t="shared" si="6"/>
        <v>44335</v>
      </c>
      <c r="I22" s="547"/>
      <c r="J22" s="595">
        <f>'Water-Meter'!G24</f>
        <v>75790</v>
      </c>
      <c r="K22" s="596">
        <f>'Water-Meter'!G24</f>
        <v>75790</v>
      </c>
      <c r="L22" s="547">
        <f t="shared" si="3"/>
        <v>0</v>
      </c>
      <c r="M22" s="594">
        <f t="shared" si="7"/>
        <v>44335</v>
      </c>
      <c r="N22" s="547"/>
      <c r="O22" s="6">
        <f>'Water-Meter'!J24</f>
        <v>8439</v>
      </c>
      <c r="P22" s="551">
        <f>'Water-Meter'!J24</f>
        <v>8439</v>
      </c>
      <c r="Q22" s="547">
        <f t="shared" si="13"/>
        <v>-8438</v>
      </c>
      <c r="R22" s="597">
        <f t="shared" si="14"/>
        <v>-5.2247678018575847</v>
      </c>
      <c r="S22" s="598">
        <f>Gen!T29</f>
        <v>2825</v>
      </c>
      <c r="T22" s="599">
        <f t="shared" si="9"/>
        <v>44335</v>
      </c>
      <c r="U22" s="547"/>
      <c r="V22" s="552">
        <f t="shared" si="5"/>
        <v>8143.1</v>
      </c>
      <c r="W22" s="549">
        <v>8144.5</v>
      </c>
      <c r="X22" s="552">
        <f t="shared" si="0"/>
        <v>279.99999999992724</v>
      </c>
      <c r="Y22" s="594">
        <f t="shared" si="10"/>
        <v>44335</v>
      </c>
      <c r="Z22" s="547"/>
      <c r="AA22" s="547"/>
      <c r="AB22" s="551">
        <f>'Water-Meter'!P24</f>
        <v>21303</v>
      </c>
      <c r="AC22" s="604">
        <f t="shared" si="11"/>
        <v>-21301</v>
      </c>
    </row>
    <row r="23" spans="1:29" ht="19.5" thickBot="1">
      <c r="A23" s="613">
        <f>Gen!B30</f>
        <v>0</v>
      </c>
      <c r="B23" s="563">
        <f>Gen!A30</f>
        <v>44336</v>
      </c>
      <c r="C23" s="550"/>
      <c r="D23" s="552">
        <f t="shared" si="1"/>
        <v>9308.2000000000007</v>
      </c>
      <c r="E23" s="548">
        <v>9310.6</v>
      </c>
      <c r="F23" s="552">
        <f t="shared" ref="F23:F34" si="15">SUM(E23-D23)*120</f>
        <v>287.99999999995634</v>
      </c>
      <c r="G23" s="547"/>
      <c r="H23" s="594">
        <f t="shared" si="6"/>
        <v>44336</v>
      </c>
      <c r="I23" s="550"/>
      <c r="J23" s="595">
        <f>'Water-Meter'!G25</f>
        <v>75790</v>
      </c>
      <c r="K23" s="596">
        <f>'Water-Meter'!G26</f>
        <v>75790</v>
      </c>
      <c r="L23" s="547">
        <f t="shared" si="3"/>
        <v>0</v>
      </c>
      <c r="M23" s="594">
        <f t="shared" si="7"/>
        <v>44336</v>
      </c>
      <c r="N23" s="550"/>
      <c r="O23" s="6">
        <f>'Water-Meter'!J25</f>
        <v>8441</v>
      </c>
      <c r="P23" s="551">
        <f>'Water-Meter'!J25</f>
        <v>8441</v>
      </c>
      <c r="Q23" s="547">
        <f t="shared" si="13"/>
        <v>-8439</v>
      </c>
      <c r="R23" s="597">
        <f t="shared" si="14"/>
        <v>-5.2253869969040245</v>
      </c>
      <c r="S23" s="598">
        <f>Gen!T30</f>
        <v>2766</v>
      </c>
      <c r="T23" s="599">
        <f t="shared" si="9"/>
        <v>44336</v>
      </c>
      <c r="U23" s="550"/>
      <c r="V23" s="552">
        <f t="shared" si="5"/>
        <v>8144.5</v>
      </c>
      <c r="W23" s="549">
        <v>8145.9</v>
      </c>
      <c r="X23" s="552">
        <f t="shared" si="0"/>
        <v>279.99999999992724</v>
      </c>
      <c r="Y23" s="594">
        <f t="shared" si="10"/>
        <v>44336</v>
      </c>
      <c r="Z23" s="550"/>
      <c r="AA23" s="547"/>
      <c r="AB23" s="551">
        <f>'Water-Meter'!P25</f>
        <v>21308</v>
      </c>
      <c r="AC23" s="604">
        <f t="shared" si="11"/>
        <v>-21303</v>
      </c>
    </row>
    <row r="24" spans="1:29" ht="19.5" thickBot="1">
      <c r="A24" s="613">
        <f>Gen!B31</f>
        <v>0</v>
      </c>
      <c r="B24" s="563">
        <f>Gen!A31</f>
        <v>44337</v>
      </c>
      <c r="C24" s="550"/>
      <c r="D24" s="552">
        <f t="shared" ref="D24:D35" si="16">SUM(E23)</f>
        <v>9310.6</v>
      </c>
      <c r="E24" s="548">
        <v>9313.1</v>
      </c>
      <c r="F24" s="552">
        <f t="shared" si="15"/>
        <v>300</v>
      </c>
      <c r="G24" s="547"/>
      <c r="H24" s="594">
        <f t="shared" si="6"/>
        <v>44337</v>
      </c>
      <c r="I24" s="550"/>
      <c r="J24" s="595">
        <f>'Water-Meter'!G26</f>
        <v>75790</v>
      </c>
      <c r="K24" s="596">
        <f>'Water-Meter'!G27</f>
        <v>75790</v>
      </c>
      <c r="L24" s="547">
        <f t="shared" si="3"/>
        <v>0</v>
      </c>
      <c r="M24" s="594">
        <f t="shared" si="7"/>
        <v>44337</v>
      </c>
      <c r="N24" s="550"/>
      <c r="O24" s="6">
        <f>'Water-Meter'!J26</f>
        <v>8442</v>
      </c>
      <c r="P24" s="551">
        <f>'Water-Meter'!J26</f>
        <v>8442</v>
      </c>
      <c r="Q24" s="547">
        <f t="shared" si="13"/>
        <v>-8441</v>
      </c>
      <c r="R24" s="597">
        <f t="shared" si="14"/>
        <v>-5.2266253869969042</v>
      </c>
      <c r="S24" s="598">
        <f>Gen!T31</f>
        <v>2747</v>
      </c>
      <c r="T24" s="599">
        <f t="shared" si="9"/>
        <v>44337</v>
      </c>
      <c r="U24" s="550"/>
      <c r="V24" s="552">
        <f t="shared" si="5"/>
        <v>8145.9</v>
      </c>
      <c r="W24" s="549">
        <v>8147.7</v>
      </c>
      <c r="X24" s="552">
        <f t="shared" si="0"/>
        <v>360.00000000003638</v>
      </c>
      <c r="Y24" s="594">
        <f t="shared" si="10"/>
        <v>44337</v>
      </c>
      <c r="Z24" s="550"/>
      <c r="AA24" s="547"/>
      <c r="AB24" s="551">
        <f>'Water-Meter'!P26</f>
        <v>21312</v>
      </c>
      <c r="AC24" s="604">
        <f t="shared" si="11"/>
        <v>-21308</v>
      </c>
    </row>
    <row r="25" spans="1:29" ht="19.5" thickBot="1">
      <c r="A25" s="613">
        <f>Gen!B32</f>
        <v>0</v>
      </c>
      <c r="B25" s="563">
        <f>Gen!A32</f>
        <v>44338</v>
      </c>
      <c r="C25" s="550"/>
      <c r="D25" s="552">
        <f t="shared" si="16"/>
        <v>9313.1</v>
      </c>
      <c r="E25" s="548">
        <v>9315.2000000000007</v>
      </c>
      <c r="F25" s="552">
        <f t="shared" si="15"/>
        <v>252.00000000004366</v>
      </c>
      <c r="G25" s="547"/>
      <c r="H25" s="594">
        <f t="shared" si="6"/>
        <v>44338</v>
      </c>
      <c r="I25" s="550"/>
      <c r="J25" s="595">
        <f>'Water-Meter'!G27</f>
        <v>75790</v>
      </c>
      <c r="K25" s="596">
        <f>'Water-Meter'!G28</f>
        <v>75790</v>
      </c>
      <c r="L25" s="547">
        <f t="shared" si="3"/>
        <v>0</v>
      </c>
      <c r="M25" s="594">
        <f t="shared" si="7"/>
        <v>44338</v>
      </c>
      <c r="N25" s="550"/>
      <c r="O25" s="6">
        <f>'Water-Meter'!J27</f>
        <v>8444</v>
      </c>
      <c r="P25" s="551">
        <f>'Water-Meter'!J27</f>
        <v>8444</v>
      </c>
      <c r="Q25" s="547">
        <f t="shared" si="13"/>
        <v>-8442</v>
      </c>
      <c r="R25" s="597">
        <f t="shared" si="14"/>
        <v>-5.227244582043344</v>
      </c>
      <c r="S25" s="598">
        <f>Gen!T32</f>
        <v>2714</v>
      </c>
      <c r="T25" s="599">
        <f t="shared" si="9"/>
        <v>44338</v>
      </c>
      <c r="U25" s="550"/>
      <c r="V25" s="552">
        <f t="shared" si="5"/>
        <v>8147.7</v>
      </c>
      <c r="W25" s="549">
        <v>8149.1</v>
      </c>
      <c r="X25" s="552">
        <f t="shared" si="0"/>
        <v>280.00000000010914</v>
      </c>
      <c r="Y25" s="594">
        <f t="shared" si="10"/>
        <v>44338</v>
      </c>
      <c r="Z25" s="550"/>
      <c r="AA25" s="547"/>
      <c r="AB25" s="551">
        <f>'Water-Meter'!P27</f>
        <v>21317</v>
      </c>
      <c r="AC25" s="604">
        <f t="shared" si="11"/>
        <v>-21312</v>
      </c>
    </row>
    <row r="26" spans="1:29" ht="19.5" thickBot="1">
      <c r="A26" s="613">
        <f>Gen!B33</f>
        <v>0</v>
      </c>
      <c r="B26" s="563">
        <f>Gen!A33</f>
        <v>44339</v>
      </c>
      <c r="C26" s="550"/>
      <c r="D26" s="552">
        <f t="shared" si="16"/>
        <v>9315.2000000000007</v>
      </c>
      <c r="E26" s="548">
        <v>9317.2999999999993</v>
      </c>
      <c r="F26" s="552">
        <f t="shared" si="15"/>
        <v>251.99999999982538</v>
      </c>
      <c r="G26" s="547"/>
      <c r="H26" s="594">
        <f t="shared" si="6"/>
        <v>44339</v>
      </c>
      <c r="I26" s="550"/>
      <c r="J26" s="595">
        <f>'Water-Meter'!G28</f>
        <v>75790</v>
      </c>
      <c r="K26" s="596">
        <f>'Water-Meter'!G29</f>
        <v>75790</v>
      </c>
      <c r="L26" s="547">
        <f t="shared" si="3"/>
        <v>0</v>
      </c>
      <c r="M26" s="594">
        <f t="shared" si="7"/>
        <v>44339</v>
      </c>
      <c r="N26" s="550"/>
      <c r="O26" s="6">
        <f>'Water-Meter'!J28</f>
        <v>8446</v>
      </c>
      <c r="P26" s="551">
        <f>'Water-Meter'!J28</f>
        <v>8446</v>
      </c>
      <c r="Q26" s="547">
        <f t="shared" si="13"/>
        <v>-8444</v>
      </c>
      <c r="R26" s="597">
        <f t="shared" si="14"/>
        <v>-5.2284829721362227</v>
      </c>
      <c r="S26" s="598">
        <f>Gen!T33</f>
        <v>2815</v>
      </c>
      <c r="T26" s="599">
        <f t="shared" si="9"/>
        <v>44339</v>
      </c>
      <c r="U26" s="550"/>
      <c r="V26" s="552">
        <f t="shared" si="5"/>
        <v>8149.1</v>
      </c>
      <c r="W26" s="549">
        <v>8151.1</v>
      </c>
      <c r="X26" s="552">
        <f t="shared" si="0"/>
        <v>400</v>
      </c>
      <c r="Y26" s="594">
        <f t="shared" si="10"/>
        <v>44339</v>
      </c>
      <c r="Z26" s="550"/>
      <c r="AA26" s="547"/>
      <c r="AB26" s="551">
        <f>'Water-Meter'!P28</f>
        <v>21323</v>
      </c>
      <c r="AC26" s="604">
        <f t="shared" si="11"/>
        <v>-21317</v>
      </c>
    </row>
    <row r="27" spans="1:29" ht="19.5" thickBot="1">
      <c r="A27" s="613">
        <f>Gen!B34</f>
        <v>0</v>
      </c>
      <c r="B27" s="563">
        <f>Gen!A34</f>
        <v>44340</v>
      </c>
      <c r="C27" s="550"/>
      <c r="D27" s="552">
        <f t="shared" si="16"/>
        <v>9317.2999999999993</v>
      </c>
      <c r="E27" s="548">
        <v>9319.4</v>
      </c>
      <c r="F27" s="552">
        <f t="shared" si="15"/>
        <v>252.00000000004366</v>
      </c>
      <c r="G27" s="547"/>
      <c r="H27" s="594">
        <f t="shared" si="6"/>
        <v>44340</v>
      </c>
      <c r="I27" s="550"/>
      <c r="J27" s="595">
        <f>'Water-Meter'!G29</f>
        <v>75790</v>
      </c>
      <c r="K27" s="596">
        <f>'Water-Meter'!G30</f>
        <v>75790</v>
      </c>
      <c r="L27" s="547">
        <f t="shared" si="3"/>
        <v>0</v>
      </c>
      <c r="M27" s="594">
        <f t="shared" si="7"/>
        <v>44340</v>
      </c>
      <c r="N27" s="550"/>
      <c r="O27" s="6">
        <f>'Water-Meter'!J29</f>
        <v>8447</v>
      </c>
      <c r="P27" s="551">
        <f>'Water-Meter'!J29</f>
        <v>8447</v>
      </c>
      <c r="Q27" s="547">
        <f t="shared" si="13"/>
        <v>-8446</v>
      </c>
      <c r="R27" s="597">
        <f t="shared" si="14"/>
        <v>-5.2297213622291023</v>
      </c>
      <c r="S27" s="598">
        <f>Gen!T34</f>
        <v>2616</v>
      </c>
      <c r="T27" s="599">
        <f t="shared" si="9"/>
        <v>44340</v>
      </c>
      <c r="U27" s="550"/>
      <c r="V27" s="552">
        <f t="shared" si="5"/>
        <v>8151.1</v>
      </c>
      <c r="W27" s="549">
        <v>8152.8</v>
      </c>
      <c r="X27" s="552">
        <f t="shared" si="0"/>
        <v>339.99999999996362</v>
      </c>
      <c r="Y27" s="594">
        <f t="shared" si="10"/>
        <v>44340</v>
      </c>
      <c r="Z27" s="550"/>
      <c r="AA27" s="547"/>
      <c r="AB27" s="551">
        <f>'Water-Meter'!P29</f>
        <v>21327</v>
      </c>
      <c r="AC27" s="604">
        <f t="shared" si="11"/>
        <v>-21323</v>
      </c>
    </row>
    <row r="28" spans="1:29" ht="19.5" thickBot="1">
      <c r="A28" s="613">
        <f>Gen!B35</f>
        <v>0</v>
      </c>
      <c r="B28" s="563">
        <f>Gen!A35</f>
        <v>44341</v>
      </c>
      <c r="C28" s="550"/>
      <c r="D28" s="552">
        <f t="shared" si="16"/>
        <v>9319.4</v>
      </c>
      <c r="E28" s="548">
        <v>9321.7000000000007</v>
      </c>
      <c r="F28" s="552">
        <f t="shared" si="15"/>
        <v>276.00000000013097</v>
      </c>
      <c r="G28" s="547"/>
      <c r="H28" s="594">
        <f t="shared" si="6"/>
        <v>44341</v>
      </c>
      <c r="I28" s="550"/>
      <c r="J28" s="595">
        <f>'Water-Meter'!G30</f>
        <v>75790</v>
      </c>
      <c r="K28" s="596">
        <f>'Water-Meter'!G31</f>
        <v>75790</v>
      </c>
      <c r="L28" s="547">
        <f t="shared" si="3"/>
        <v>0</v>
      </c>
      <c r="M28" s="594">
        <f t="shared" si="7"/>
        <v>44341</v>
      </c>
      <c r="N28" s="550"/>
      <c r="O28" s="6">
        <f>'Water-Meter'!J30</f>
        <v>8448</v>
      </c>
      <c r="P28" s="551">
        <f>'Water-Meter'!J30</f>
        <v>8448</v>
      </c>
      <c r="Q28" s="547">
        <f t="shared" si="13"/>
        <v>-8447</v>
      </c>
      <c r="R28" s="597">
        <f t="shared" si="14"/>
        <v>-5.2303405572755421</v>
      </c>
      <c r="S28" s="598">
        <f>Gen!T35</f>
        <v>2941</v>
      </c>
      <c r="T28" s="599">
        <f t="shared" si="9"/>
        <v>44341</v>
      </c>
      <c r="U28" s="550"/>
      <c r="V28" s="552">
        <f t="shared" si="5"/>
        <v>8152.8</v>
      </c>
      <c r="W28" s="549">
        <v>8154.6</v>
      </c>
      <c r="X28" s="552">
        <f t="shared" si="0"/>
        <v>360.00000000003638</v>
      </c>
      <c r="Y28" s="594">
        <f t="shared" si="10"/>
        <v>44341</v>
      </c>
      <c r="Z28" s="550"/>
      <c r="AA28" s="547"/>
      <c r="AB28" s="551">
        <f>'Water-Meter'!P30</f>
        <v>21331</v>
      </c>
      <c r="AC28" s="604">
        <f t="shared" si="11"/>
        <v>-21327</v>
      </c>
    </row>
    <row r="29" spans="1:29" ht="19.5" thickBot="1">
      <c r="A29" s="613">
        <f>Gen!B36</f>
        <v>0</v>
      </c>
      <c r="B29" s="563">
        <f>Gen!A36</f>
        <v>44342</v>
      </c>
      <c r="C29" s="550"/>
      <c r="D29" s="552">
        <f t="shared" si="16"/>
        <v>9321.7000000000007</v>
      </c>
      <c r="E29" s="548">
        <v>9324.1</v>
      </c>
      <c r="F29" s="552">
        <f t="shared" si="15"/>
        <v>287.99999999995634</v>
      </c>
      <c r="G29" s="547"/>
      <c r="H29" s="594">
        <f t="shared" si="6"/>
        <v>44342</v>
      </c>
      <c r="I29" s="550"/>
      <c r="J29" s="595">
        <f>'Water-Meter'!G31</f>
        <v>75790</v>
      </c>
      <c r="K29" s="596">
        <f>'Water-Meter'!G32</f>
        <v>0</v>
      </c>
      <c r="L29" s="547">
        <f t="shared" si="3"/>
        <v>-75790</v>
      </c>
      <c r="M29" s="594">
        <f t="shared" si="7"/>
        <v>44342</v>
      </c>
      <c r="N29" s="550"/>
      <c r="O29" s="6">
        <f>'Water-Meter'!J31</f>
        <v>8451</v>
      </c>
      <c r="P29" s="551">
        <f>'Water-Meter'!J31</f>
        <v>8451</v>
      </c>
      <c r="Q29" s="547">
        <f t="shared" si="13"/>
        <v>-8448</v>
      </c>
      <c r="R29" s="597">
        <f t="shared" si="14"/>
        <v>-5.2309597523219811</v>
      </c>
      <c r="S29" s="598">
        <f>Gen!T36</f>
        <v>2802</v>
      </c>
      <c r="T29" s="599">
        <f t="shared" si="9"/>
        <v>44342</v>
      </c>
      <c r="U29" s="550"/>
      <c r="V29" s="552">
        <f t="shared" si="5"/>
        <v>8154.6</v>
      </c>
      <c r="W29" s="549">
        <v>8156.4</v>
      </c>
      <c r="X29" s="552">
        <f t="shared" si="0"/>
        <v>359.99999999985448</v>
      </c>
      <c r="Y29" s="594">
        <f t="shared" si="10"/>
        <v>44342</v>
      </c>
      <c r="Z29" s="550"/>
      <c r="AA29" s="547"/>
      <c r="AB29" s="551">
        <f>'Water-Meter'!P31</f>
        <v>21335</v>
      </c>
      <c r="AC29" s="604">
        <f t="shared" si="11"/>
        <v>-21331</v>
      </c>
    </row>
    <row r="30" spans="1:29" ht="19.5" thickBot="1">
      <c r="A30" s="613">
        <f>Gen!B37</f>
        <v>0</v>
      </c>
      <c r="B30" s="563">
        <f>Gen!A37</f>
        <v>44343</v>
      </c>
      <c r="C30" s="550"/>
      <c r="D30" s="552">
        <f t="shared" si="16"/>
        <v>9324.1</v>
      </c>
      <c r="E30" s="548"/>
      <c r="F30" s="552">
        <f t="shared" si="15"/>
        <v>-1118892</v>
      </c>
      <c r="G30" s="547"/>
      <c r="H30" s="594">
        <f t="shared" si="6"/>
        <v>44343</v>
      </c>
      <c r="I30" s="550"/>
      <c r="J30" s="595">
        <f>'Water-Meter'!G32</f>
        <v>0</v>
      </c>
      <c r="K30" s="596">
        <f>'Water-Meter'!G33</f>
        <v>0</v>
      </c>
      <c r="L30" s="547">
        <f t="shared" si="3"/>
        <v>0</v>
      </c>
      <c r="M30" s="594">
        <f t="shared" si="7"/>
        <v>44343</v>
      </c>
      <c r="N30" s="550"/>
      <c r="O30" s="6">
        <f>'Water-Meter'!J32</f>
        <v>0</v>
      </c>
      <c r="P30" s="551">
        <f>'Water-Meter'!J32</f>
        <v>0</v>
      </c>
      <c r="Q30" s="547">
        <f t="shared" si="13"/>
        <v>-8451</v>
      </c>
      <c r="R30" s="597">
        <f t="shared" si="14"/>
        <v>-5.2328173374613005</v>
      </c>
      <c r="S30" s="598">
        <f>Gen!T37</f>
        <v>0</v>
      </c>
      <c r="T30" s="599">
        <f t="shared" si="9"/>
        <v>44343</v>
      </c>
      <c r="U30" s="550"/>
      <c r="V30" s="552">
        <f t="shared" si="5"/>
        <v>8156.4</v>
      </c>
      <c r="W30" s="549"/>
      <c r="X30" s="552">
        <f t="shared" si="0"/>
        <v>-1631280</v>
      </c>
      <c r="Y30" s="594">
        <f t="shared" si="10"/>
        <v>44343</v>
      </c>
      <c r="Z30" s="550"/>
      <c r="AA30" s="547"/>
      <c r="AB30" s="551">
        <f>'Water-Meter'!P32</f>
        <v>0</v>
      </c>
      <c r="AC30" s="604">
        <f t="shared" si="11"/>
        <v>-21335</v>
      </c>
    </row>
    <row r="31" spans="1:29" ht="19.5" thickBot="1">
      <c r="A31" s="613">
        <f>Gen!B38</f>
        <v>0</v>
      </c>
      <c r="B31" s="563">
        <f>Gen!A38</f>
        <v>44344</v>
      </c>
      <c r="C31" s="550"/>
      <c r="D31" s="552">
        <f t="shared" si="16"/>
        <v>0</v>
      </c>
      <c r="E31" s="548"/>
      <c r="F31" s="552">
        <f t="shared" si="15"/>
        <v>0</v>
      </c>
      <c r="G31" s="547"/>
      <c r="H31" s="594">
        <f t="shared" si="6"/>
        <v>44344</v>
      </c>
      <c r="I31" s="550"/>
      <c r="J31" s="595">
        <f>'Water-Meter'!G33</f>
        <v>0</v>
      </c>
      <c r="K31" s="596">
        <f>'Water-Meter'!G34</f>
        <v>0</v>
      </c>
      <c r="L31" s="547">
        <f t="shared" si="3"/>
        <v>0</v>
      </c>
      <c r="M31" s="594">
        <f t="shared" si="7"/>
        <v>44344</v>
      </c>
      <c r="N31" s="550"/>
      <c r="O31" s="6">
        <f>'Water-Meter'!J33</f>
        <v>0</v>
      </c>
      <c r="P31" s="551">
        <f>'Water-Meter'!J33</f>
        <v>0</v>
      </c>
      <c r="Q31" s="547">
        <f t="shared" si="13"/>
        <v>0</v>
      </c>
      <c r="R31" s="597">
        <f t="shared" si="14"/>
        <v>0</v>
      </c>
      <c r="S31" s="598">
        <f>Gen!T38</f>
        <v>0</v>
      </c>
      <c r="T31" s="599">
        <f t="shared" si="9"/>
        <v>44344</v>
      </c>
      <c r="U31" s="550"/>
      <c r="V31" s="552">
        <f t="shared" si="5"/>
        <v>0</v>
      </c>
      <c r="W31" s="549"/>
      <c r="X31" s="552">
        <f t="shared" si="0"/>
        <v>0</v>
      </c>
      <c r="Y31" s="594">
        <f>T31</f>
        <v>44344</v>
      </c>
      <c r="Z31" s="550"/>
      <c r="AA31" s="547"/>
      <c r="AB31" s="551">
        <f>'Water-Meter'!P33</f>
        <v>0</v>
      </c>
      <c r="AC31" s="604">
        <f t="shared" si="11"/>
        <v>0</v>
      </c>
    </row>
    <row r="32" spans="1:29" ht="19.5" thickBot="1">
      <c r="A32" s="613">
        <f>Gen!B39</f>
        <v>0</v>
      </c>
      <c r="B32" s="563">
        <f>Gen!A39</f>
        <v>44345</v>
      </c>
      <c r="C32" s="550"/>
      <c r="D32" s="552">
        <f t="shared" si="16"/>
        <v>0</v>
      </c>
      <c r="E32" s="548"/>
      <c r="F32" s="552">
        <f t="shared" si="15"/>
        <v>0</v>
      </c>
      <c r="G32" s="547"/>
      <c r="H32" s="594">
        <f t="shared" si="6"/>
        <v>44345</v>
      </c>
      <c r="I32" s="550"/>
      <c r="J32" s="595">
        <f>'Water-Meter'!G34</f>
        <v>0</v>
      </c>
      <c r="K32" s="596">
        <f>'Water-Meter'!G34</f>
        <v>0</v>
      </c>
      <c r="L32" s="547">
        <f t="shared" si="3"/>
        <v>0</v>
      </c>
      <c r="M32" s="594">
        <f t="shared" si="7"/>
        <v>44345</v>
      </c>
      <c r="N32" s="550"/>
      <c r="O32" s="6">
        <f>'Water-Meter'!J34</f>
        <v>0</v>
      </c>
      <c r="P32" s="551">
        <f>'Water-Meter'!J34</f>
        <v>0</v>
      </c>
      <c r="Q32" s="547">
        <f t="shared" si="13"/>
        <v>0</v>
      </c>
      <c r="R32" s="597">
        <f t="shared" si="14"/>
        <v>0</v>
      </c>
      <c r="S32" s="598">
        <f>Gen!T39</f>
        <v>0</v>
      </c>
      <c r="T32" s="599">
        <f t="shared" si="9"/>
        <v>44345</v>
      </c>
      <c r="U32" s="550"/>
      <c r="V32" s="552">
        <f t="shared" si="5"/>
        <v>0</v>
      </c>
      <c r="W32" s="549"/>
      <c r="X32" s="552">
        <f t="shared" si="0"/>
        <v>0</v>
      </c>
      <c r="Y32" s="594">
        <f t="shared" ref="Y32:Y35" si="17">T32</f>
        <v>44345</v>
      </c>
      <c r="Z32" s="550"/>
      <c r="AA32" s="547"/>
      <c r="AB32" s="551">
        <f>'Water-Meter'!P34</f>
        <v>0</v>
      </c>
      <c r="AC32" s="604">
        <f t="shared" si="11"/>
        <v>0</v>
      </c>
    </row>
    <row r="33" spans="1:29" ht="19.5" thickBot="1">
      <c r="A33" s="613">
        <f>Gen!B40</f>
        <v>0</v>
      </c>
      <c r="B33" s="563">
        <f>Gen!A40</f>
        <v>44346</v>
      </c>
      <c r="C33" s="550"/>
      <c r="D33" s="552">
        <f t="shared" si="16"/>
        <v>0</v>
      </c>
      <c r="E33" s="548"/>
      <c r="F33" s="552">
        <f t="shared" si="15"/>
        <v>0</v>
      </c>
      <c r="G33" s="547"/>
      <c r="H33" s="594">
        <f t="shared" si="6"/>
        <v>44346</v>
      </c>
      <c r="I33" s="550"/>
      <c r="J33" s="595">
        <f>'Water-Meter'!G35</f>
        <v>0</v>
      </c>
      <c r="K33" s="596">
        <f>'Water-Meter'!G35</f>
        <v>0</v>
      </c>
      <c r="L33" s="547">
        <f t="shared" si="3"/>
        <v>0</v>
      </c>
      <c r="M33" s="594">
        <f t="shared" si="7"/>
        <v>44346</v>
      </c>
      <c r="N33" s="550"/>
      <c r="O33" s="6">
        <f>'Water-Meter'!J35</f>
        <v>0</v>
      </c>
      <c r="P33" s="551">
        <f>'Water-Meter'!J35</f>
        <v>0</v>
      </c>
      <c r="Q33" s="547">
        <f t="shared" si="13"/>
        <v>0</v>
      </c>
      <c r="R33" s="597">
        <f t="shared" si="14"/>
        <v>0</v>
      </c>
      <c r="S33" s="598">
        <f>Gen!T40</f>
        <v>0</v>
      </c>
      <c r="T33" s="599">
        <f t="shared" si="9"/>
        <v>44346</v>
      </c>
      <c r="U33" s="550"/>
      <c r="V33" s="552">
        <f t="shared" si="5"/>
        <v>0</v>
      </c>
      <c r="W33" s="549"/>
      <c r="X33" s="552">
        <f t="shared" si="0"/>
        <v>0</v>
      </c>
      <c r="Y33" s="594">
        <f t="shared" si="17"/>
        <v>44346</v>
      </c>
      <c r="Z33" s="550"/>
      <c r="AA33" s="547"/>
      <c r="AB33" s="551">
        <f>'Water-Meter'!P35</f>
        <v>0</v>
      </c>
      <c r="AC33" s="604">
        <f t="shared" si="11"/>
        <v>0</v>
      </c>
    </row>
    <row r="34" spans="1:29" ht="18.75">
      <c r="A34" s="613">
        <f>Gen!B41</f>
        <v>0</v>
      </c>
      <c r="B34" s="563"/>
      <c r="C34" s="6"/>
      <c r="D34" s="552">
        <f t="shared" si="16"/>
        <v>0</v>
      </c>
      <c r="E34" s="548"/>
      <c r="F34" s="552">
        <f t="shared" si="15"/>
        <v>0</v>
      </c>
      <c r="G34" s="6"/>
      <c r="H34" s="594">
        <f t="shared" si="6"/>
        <v>0</v>
      </c>
      <c r="I34" s="6"/>
      <c r="J34" s="595">
        <f>'Water-Meter'!G36</f>
        <v>0</v>
      </c>
      <c r="K34" s="596">
        <f>'Water-Meter'!G36</f>
        <v>0</v>
      </c>
      <c r="L34" s="547">
        <f t="shared" si="3"/>
        <v>0</v>
      </c>
      <c r="M34" s="594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0</v>
      </c>
      <c r="R34" s="597">
        <f t="shared" si="14"/>
        <v>0</v>
      </c>
      <c r="S34" s="598">
        <f>Gen!T41</f>
        <v>0</v>
      </c>
      <c r="T34" s="599">
        <f t="shared" si="9"/>
        <v>0</v>
      </c>
      <c r="U34" s="6"/>
      <c r="V34" s="552">
        <f t="shared" ref="V34:V35" si="18">SUM(W33)</f>
        <v>0</v>
      </c>
      <c r="W34" s="549"/>
      <c r="X34" s="552">
        <f t="shared" si="0"/>
        <v>0</v>
      </c>
      <c r="Y34" s="594">
        <f t="shared" si="17"/>
        <v>0</v>
      </c>
      <c r="Z34" s="6"/>
      <c r="AA34" s="547"/>
      <c r="AB34" s="551">
        <f>'Water-Meter'!P36</f>
        <v>0</v>
      </c>
      <c r="AC34" s="604">
        <f t="shared" si="11"/>
        <v>0</v>
      </c>
    </row>
    <row r="35" spans="1:29" ht="20.25" customHeight="1" thickBot="1">
      <c r="A35" s="614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815.99999999991269</v>
      </c>
      <c r="G35" s="7"/>
      <c r="H35" s="605" t="e">
        <f t="shared" si="6"/>
        <v>#REF!</v>
      </c>
      <c r="I35" s="7"/>
      <c r="J35" s="570">
        <f t="shared" ref="J35" si="19">SUM(K34)</f>
        <v>0</v>
      </c>
      <c r="K35" s="606">
        <f>'Water-Meter'!G37</f>
        <v>0</v>
      </c>
      <c r="L35" s="7">
        <f>SUM(L5:L34)</f>
        <v>-75790</v>
      </c>
      <c r="M35" s="605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7">
        <f t="shared" si="14"/>
        <v>0</v>
      </c>
      <c r="S35" s="608">
        <f>Gen!T42</f>
        <v>0</v>
      </c>
      <c r="T35" s="605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5" t="e">
        <f t="shared" si="17"/>
        <v>#REF!</v>
      </c>
      <c r="Z35" s="7"/>
      <c r="AA35" s="570"/>
      <c r="AB35" s="571">
        <f>'Water-Meter'!P37</f>
        <v>0</v>
      </c>
      <c r="AC35" s="609">
        <f t="shared" si="11"/>
        <v>0</v>
      </c>
    </row>
    <row r="36" spans="1:29" ht="24.75" customHeight="1">
      <c r="E36" s="373"/>
      <c r="L36" s="135"/>
      <c r="Q36" s="135"/>
      <c r="R36" s="156"/>
      <c r="X36" s="371">
        <f>SUM(X4:X6)</f>
        <v>660.00000000003638</v>
      </c>
      <c r="AC36" s="135"/>
    </row>
    <row r="37" spans="1:29" ht="12.75" customHeight="1">
      <c r="E37" s="373"/>
    </row>
    <row r="38" spans="1:29" ht="12.75" customHeight="1">
      <c r="E38" s="156"/>
      <c r="K38" s="156"/>
      <c r="W38" s="156"/>
      <c r="AB38" s="156"/>
    </row>
    <row r="39" spans="1:29" ht="12.75" customHeight="1">
      <c r="E39" s="373"/>
    </row>
    <row r="40" spans="1:29" ht="12.75" customHeight="1">
      <c r="D40" s="135"/>
      <c r="E40" s="156"/>
      <c r="V40" s="135"/>
      <c r="W40" s="156"/>
    </row>
    <row r="41" spans="1:29" ht="12.75" customHeight="1">
      <c r="E41" s="373"/>
    </row>
    <row r="42" spans="1:29" ht="12.75" customHeight="1">
      <c r="C42" s="157"/>
      <c r="E42" s="156"/>
      <c r="U42" s="157"/>
    </row>
    <row r="43" spans="1:29" ht="18.75">
      <c r="E43" s="373"/>
    </row>
    <row r="44" spans="1:29">
      <c r="E44" s="156"/>
    </row>
    <row r="45" spans="1:29" ht="18.75">
      <c r="E45" s="373"/>
    </row>
    <row r="46" spans="1:29">
      <c r="E46" s="156"/>
    </row>
    <row r="47" spans="1:29" ht="18.75">
      <c r="E47" s="373"/>
    </row>
    <row r="48" spans="1:29"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24" activePane="topRight" state="frozen"/>
      <selection pane="topRight" activeCell="H41" sqref="H4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46">
        <f>A6</f>
        <v>44317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</row>
    <row r="2" spans="1:29" ht="12" customHeight="1" thickBot="1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  <c r="L2" s="847"/>
      <c r="M2" s="847"/>
      <c r="N2" s="847"/>
      <c r="O2" s="847"/>
      <c r="P2" s="847"/>
      <c r="Q2" s="847"/>
      <c r="R2" s="847"/>
      <c r="S2" s="847"/>
      <c r="T2" s="847"/>
      <c r="U2" s="847"/>
      <c r="V2" s="847"/>
      <c r="W2" s="847"/>
      <c r="X2" s="847"/>
      <c r="Y2" s="847"/>
      <c r="Z2" s="847"/>
      <c r="AA2" s="847"/>
      <c r="AB2" s="847"/>
    </row>
    <row r="3" spans="1:29" ht="27.75" customHeight="1" thickBot="1">
      <c r="I3" s="36"/>
      <c r="K3" s="848" t="s">
        <v>122</v>
      </c>
      <c r="L3" s="849"/>
      <c r="M3" s="850"/>
      <c r="N3" s="848" t="s">
        <v>123</v>
      </c>
      <c r="O3" s="849"/>
      <c r="P3" s="850"/>
      <c r="Q3" s="848" t="s">
        <v>124</v>
      </c>
      <c r="R3" s="849"/>
      <c r="S3" s="850"/>
      <c r="T3" s="848" t="s">
        <v>125</v>
      </c>
      <c r="U3" s="849"/>
      <c r="V3" s="850"/>
      <c r="W3" s="848" t="s">
        <v>126</v>
      </c>
      <c r="X3" s="849"/>
      <c r="Y3" s="850"/>
      <c r="Z3" s="10"/>
    </row>
    <row r="4" spans="1:29" ht="35.25" customHeight="1" thickBot="1">
      <c r="A4" s="248" t="s">
        <v>127</v>
      </c>
      <c r="B4" s="810" t="s">
        <v>128</v>
      </c>
      <c r="C4" s="810" t="s">
        <v>129</v>
      </c>
      <c r="D4" s="810" t="s">
        <v>130</v>
      </c>
      <c r="E4" s="810" t="s">
        <v>131</v>
      </c>
      <c r="F4" s="810" t="s">
        <v>132</v>
      </c>
      <c r="G4" s="813" t="s">
        <v>133</v>
      </c>
      <c r="H4" s="810" t="s">
        <v>134</v>
      </c>
      <c r="I4" s="813" t="s">
        <v>135</v>
      </c>
      <c r="J4" s="818" t="s">
        <v>136</v>
      </c>
      <c r="K4" s="319" t="s">
        <v>137</v>
      </c>
      <c r="L4" s="317" t="s">
        <v>138</v>
      </c>
      <c r="M4" s="317" t="s">
        <v>139</v>
      </c>
      <c r="N4" s="319" t="s">
        <v>137</v>
      </c>
      <c r="O4" s="317" t="s">
        <v>138</v>
      </c>
      <c r="P4" s="317" t="s">
        <v>139</v>
      </c>
      <c r="Q4" s="784" t="s">
        <v>137</v>
      </c>
      <c r="R4" s="322" t="s">
        <v>138</v>
      </c>
      <c r="S4" s="785" t="s">
        <v>139</v>
      </c>
      <c r="T4" s="319" t="s">
        <v>137</v>
      </c>
      <c r="U4" s="317" t="s">
        <v>138</v>
      </c>
      <c r="V4" s="317" t="s">
        <v>139</v>
      </c>
      <c r="W4" s="319" t="s">
        <v>137</v>
      </c>
      <c r="X4" s="317" t="s">
        <v>138</v>
      </c>
      <c r="Y4" s="318" t="s">
        <v>139</v>
      </c>
      <c r="Z4" s="320" t="s">
        <v>140</v>
      </c>
      <c r="AA4" s="316" t="s">
        <v>141</v>
      </c>
      <c r="AB4" s="321" t="s">
        <v>142</v>
      </c>
      <c r="AC4" s="322" t="s">
        <v>143</v>
      </c>
    </row>
    <row r="5" spans="1:29" ht="18.75" customHeight="1" thickBot="1">
      <c r="A5" s="814"/>
      <c r="B5" s="812"/>
      <c r="C5" s="811">
        <v>5587.56</v>
      </c>
      <c r="D5">
        <v>22273</v>
      </c>
      <c r="E5" s="812"/>
      <c r="F5" s="812"/>
      <c r="G5" s="812"/>
      <c r="H5" s="812"/>
      <c r="I5">
        <v>31991.4</v>
      </c>
      <c r="J5" s="16">
        <v>21328.7</v>
      </c>
      <c r="K5" s="816"/>
      <c r="L5" s="289">
        <v>36261</v>
      </c>
      <c r="M5" s="649"/>
      <c r="N5" s="58"/>
      <c r="O5" s="742">
        <v>31197</v>
      </c>
      <c r="P5" s="650"/>
      <c r="Q5" s="58"/>
      <c r="R5" s="289">
        <v>36489</v>
      </c>
      <c r="S5" s="650"/>
      <c r="T5" s="58"/>
      <c r="U5" s="742">
        <v>33660</v>
      </c>
      <c r="V5" s="650"/>
      <c r="W5" s="58"/>
      <c r="X5" s="58">
        <v>22034</v>
      </c>
      <c r="Y5" s="650"/>
      <c r="Z5" s="650"/>
      <c r="AA5" s="58"/>
      <c r="AB5" s="58"/>
      <c r="AC5" s="651"/>
    </row>
    <row r="6" spans="1:29" ht="20.100000000000001" customHeight="1" thickBot="1">
      <c r="A6" s="815">
        <f>Gen!A11</f>
        <v>44317</v>
      </c>
      <c r="B6" s="812"/>
      <c r="C6" s="811">
        <v>5587.56</v>
      </c>
      <c r="D6">
        <v>22273</v>
      </c>
      <c r="E6" s="497"/>
      <c r="G6">
        <v>88.75</v>
      </c>
      <c r="I6">
        <v>31991.4</v>
      </c>
      <c r="J6" s="16">
        <v>21328.7</v>
      </c>
      <c r="K6" s="817">
        <f>L5</f>
        <v>36261</v>
      </c>
      <c r="L6" s="289">
        <v>36261</v>
      </c>
      <c r="M6" s="288">
        <f>L6-K6</f>
        <v>0</v>
      </c>
      <c r="N6" s="290">
        <f>O5</f>
        <v>31197</v>
      </c>
      <c r="O6" s="742">
        <v>31197</v>
      </c>
      <c r="P6" s="288">
        <f>O6-N6</f>
        <v>0</v>
      </c>
      <c r="Q6" s="288">
        <f>R5</f>
        <v>36489</v>
      </c>
      <c r="R6" s="289">
        <v>36489</v>
      </c>
      <c r="S6" s="288">
        <f>R6-Q6</f>
        <v>0</v>
      </c>
      <c r="T6" s="288">
        <f>U5</f>
        <v>33660</v>
      </c>
      <c r="U6" s="742">
        <v>33684</v>
      </c>
      <c r="V6" s="288">
        <f>U6-T6</f>
        <v>24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24</v>
      </c>
      <c r="AA6" s="6">
        <v>230</v>
      </c>
      <c r="AB6" s="6">
        <v>125</v>
      </c>
      <c r="AC6" s="653">
        <f>Gen!AR11</f>
        <v>1180.3800000000001</v>
      </c>
    </row>
    <row r="7" spans="1:29" ht="20.100000000000001" customHeight="1" thickBot="1">
      <c r="A7" s="815">
        <f>Gen!A12</f>
        <v>44318</v>
      </c>
      <c r="B7" s="812"/>
      <c r="C7" s="811">
        <v>4407.18</v>
      </c>
      <c r="D7">
        <v>22273</v>
      </c>
      <c r="E7" s="497"/>
      <c r="I7">
        <v>31995.8</v>
      </c>
      <c r="J7" s="809">
        <v>21331.7</v>
      </c>
      <c r="K7" s="817">
        <f t="shared" ref="K7:K37" si="0">L6</f>
        <v>36261</v>
      </c>
      <c r="L7" s="289">
        <v>36286</v>
      </c>
      <c r="M7" s="288">
        <f t="shared" ref="M7:M37" si="1">L7-K7</f>
        <v>25</v>
      </c>
      <c r="N7" s="290">
        <f t="shared" ref="N7:N37" si="2">O6</f>
        <v>31197</v>
      </c>
      <c r="O7" s="742">
        <v>31197</v>
      </c>
      <c r="P7" s="288">
        <f t="shared" ref="P7:P37" si="3">O7-N7</f>
        <v>0</v>
      </c>
      <c r="Q7" s="288">
        <f t="shared" ref="Q7:Q37" si="4">R6</f>
        <v>36489</v>
      </c>
      <c r="R7" s="289">
        <v>36489</v>
      </c>
      <c r="S7" s="288">
        <f t="shared" ref="S7:S37" si="5">R7-Q7</f>
        <v>0</v>
      </c>
      <c r="T7" s="288">
        <f t="shared" ref="T7:T37" si="6">U6</f>
        <v>33684</v>
      </c>
      <c r="U7" s="742">
        <v>33684</v>
      </c>
      <c r="V7" s="288">
        <f t="shared" ref="V7:V37" si="7">U7-T7</f>
        <v>0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25</v>
      </c>
      <c r="AA7" s="6">
        <v>220</v>
      </c>
      <c r="AB7" s="6">
        <v>125</v>
      </c>
      <c r="AC7" s="653">
        <f>Gen!AR12</f>
        <v>1114.1600000000001</v>
      </c>
    </row>
    <row r="8" spans="1:29" ht="20.100000000000001" customHeight="1" thickBot="1">
      <c r="A8" s="815">
        <f>Gen!A13</f>
        <v>44319</v>
      </c>
      <c r="B8" s="812"/>
      <c r="C8" s="811">
        <v>18193.02</v>
      </c>
      <c r="D8">
        <v>22273</v>
      </c>
      <c r="E8" s="497"/>
      <c r="F8" s="811"/>
      <c r="G8">
        <v>29.76</v>
      </c>
      <c r="I8">
        <v>32000.400000000001</v>
      </c>
      <c r="J8" s="809">
        <v>21334.799999999999</v>
      </c>
      <c r="K8" s="817">
        <f t="shared" si="0"/>
        <v>36286</v>
      </c>
      <c r="L8" s="289">
        <v>36286</v>
      </c>
      <c r="M8" s="288">
        <f t="shared" si="1"/>
        <v>0</v>
      </c>
      <c r="N8" s="290">
        <f t="shared" si="2"/>
        <v>31197</v>
      </c>
      <c r="O8" s="742">
        <v>31197</v>
      </c>
      <c r="P8" s="288">
        <f t="shared" si="3"/>
        <v>0</v>
      </c>
      <c r="Q8" s="288">
        <f t="shared" si="4"/>
        <v>36489</v>
      </c>
      <c r="R8" s="289">
        <v>36489</v>
      </c>
      <c r="S8" s="288">
        <f t="shared" si="5"/>
        <v>0</v>
      </c>
      <c r="T8" s="288">
        <f t="shared" si="6"/>
        <v>33684</v>
      </c>
      <c r="U8" s="742">
        <v>33708</v>
      </c>
      <c r="V8" s="288">
        <f t="shared" si="7"/>
        <v>24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24</v>
      </c>
      <c r="AA8" s="6">
        <v>200</v>
      </c>
      <c r="AB8" s="6">
        <v>120</v>
      </c>
      <c r="AC8" s="653">
        <f>Gen!AR13</f>
        <v>1118.33</v>
      </c>
    </row>
    <row r="9" spans="1:29" ht="20.100000000000001" customHeight="1" thickBot="1">
      <c r="A9" s="815">
        <f>Gen!A14</f>
        <v>44320</v>
      </c>
      <c r="B9" s="812"/>
      <c r="C9" s="811">
        <v>17074.689999999999</v>
      </c>
      <c r="D9">
        <v>22273</v>
      </c>
      <c r="E9" s="497"/>
      <c r="G9">
        <v>38.130000000000003</v>
      </c>
      <c r="I9">
        <v>32004.7</v>
      </c>
      <c r="J9" s="809">
        <v>21337.9</v>
      </c>
      <c r="K9" s="817">
        <f t="shared" si="0"/>
        <v>36286</v>
      </c>
      <c r="L9" s="289">
        <v>36286</v>
      </c>
      <c r="M9" s="288">
        <f t="shared" si="1"/>
        <v>0</v>
      </c>
      <c r="N9" s="290">
        <f t="shared" si="2"/>
        <v>31197</v>
      </c>
      <c r="O9" s="742">
        <v>31197</v>
      </c>
      <c r="P9" s="288">
        <f t="shared" si="3"/>
        <v>0</v>
      </c>
      <c r="Q9" s="288">
        <f t="shared" si="4"/>
        <v>36489</v>
      </c>
      <c r="R9" s="289">
        <v>36513</v>
      </c>
      <c r="S9" s="288">
        <f t="shared" si="5"/>
        <v>24</v>
      </c>
      <c r="T9" s="288">
        <f t="shared" si="6"/>
        <v>33708</v>
      </c>
      <c r="U9" s="742">
        <v>33708</v>
      </c>
      <c r="V9" s="288">
        <f t="shared" si="7"/>
        <v>0</v>
      </c>
      <c r="W9" s="290">
        <f t="shared" si="8"/>
        <v>22034</v>
      </c>
      <c r="X9" s="58">
        <v>22034</v>
      </c>
      <c r="Y9" s="288">
        <f t="shared" si="9"/>
        <v>0</v>
      </c>
      <c r="Z9" s="291">
        <f t="shared" si="10"/>
        <v>24</v>
      </c>
      <c r="AA9" s="6">
        <v>220</v>
      </c>
      <c r="AB9" s="6">
        <v>100</v>
      </c>
      <c r="AC9" s="653">
        <f>Gen!AR14</f>
        <v>1204.6000000000001</v>
      </c>
    </row>
    <row r="10" spans="1:29" ht="20.100000000000001" customHeight="1" thickBot="1">
      <c r="A10" s="815">
        <f>Gen!A15</f>
        <v>44321</v>
      </c>
      <c r="B10" s="812"/>
      <c r="C10" s="811">
        <v>15870.09</v>
      </c>
      <c r="D10">
        <v>22273</v>
      </c>
      <c r="E10" s="497"/>
      <c r="I10">
        <v>32009.8</v>
      </c>
      <c r="J10" s="809">
        <v>21341.1</v>
      </c>
      <c r="K10" s="817">
        <f t="shared" si="0"/>
        <v>36286</v>
      </c>
      <c r="L10" s="289">
        <v>36286</v>
      </c>
      <c r="M10" s="288">
        <f t="shared" si="1"/>
        <v>0</v>
      </c>
      <c r="N10" s="290">
        <f t="shared" si="2"/>
        <v>31197</v>
      </c>
      <c r="O10" s="6">
        <v>31222</v>
      </c>
      <c r="P10" s="288">
        <f t="shared" si="3"/>
        <v>25</v>
      </c>
      <c r="Q10" s="288">
        <f t="shared" si="4"/>
        <v>36513</v>
      </c>
      <c r="R10" s="289">
        <v>36513</v>
      </c>
      <c r="S10" s="288">
        <f t="shared" si="5"/>
        <v>0</v>
      </c>
      <c r="T10" s="288">
        <f t="shared" si="6"/>
        <v>33708</v>
      </c>
      <c r="U10" s="742">
        <v>33708</v>
      </c>
      <c r="V10" s="288">
        <f t="shared" si="7"/>
        <v>0</v>
      </c>
      <c r="W10" s="290">
        <f t="shared" si="8"/>
        <v>22034</v>
      </c>
      <c r="X10" s="58">
        <v>22034</v>
      </c>
      <c r="Y10" s="288">
        <f t="shared" si="9"/>
        <v>0</v>
      </c>
      <c r="Z10" s="291">
        <f t="shared" si="10"/>
        <v>25</v>
      </c>
      <c r="AA10" s="6">
        <v>230</v>
      </c>
      <c r="AB10" s="6">
        <v>120</v>
      </c>
      <c r="AC10" s="653">
        <f>Gen!AR15</f>
        <v>1125.1500000000001</v>
      </c>
    </row>
    <row r="11" spans="1:29" ht="20.100000000000001" customHeight="1" thickBot="1">
      <c r="A11" s="815">
        <f>Gen!A16</f>
        <v>44322</v>
      </c>
      <c r="B11" s="812"/>
      <c r="C11" s="811">
        <v>14744.94</v>
      </c>
      <c r="D11">
        <v>22273</v>
      </c>
      <c r="E11" s="497"/>
      <c r="G11">
        <v>500.13</v>
      </c>
      <c r="I11">
        <v>32014.5</v>
      </c>
      <c r="J11" s="809">
        <v>21344.2</v>
      </c>
      <c r="K11" s="817">
        <f t="shared" si="0"/>
        <v>36286</v>
      </c>
      <c r="L11" s="289">
        <v>36310</v>
      </c>
      <c r="M11" s="288">
        <f t="shared" si="1"/>
        <v>24</v>
      </c>
      <c r="N11" s="290">
        <f t="shared" si="2"/>
        <v>31222</v>
      </c>
      <c r="O11" s="6">
        <v>31222</v>
      </c>
      <c r="P11" s="288">
        <f t="shared" si="3"/>
        <v>0</v>
      </c>
      <c r="Q11" s="288">
        <f t="shared" si="4"/>
        <v>36513</v>
      </c>
      <c r="R11" s="289">
        <v>36513</v>
      </c>
      <c r="S11" s="288">
        <f t="shared" si="5"/>
        <v>0</v>
      </c>
      <c r="T11" s="288">
        <f t="shared" si="6"/>
        <v>33708</v>
      </c>
      <c r="U11" s="742">
        <v>33708</v>
      </c>
      <c r="V11" s="288">
        <f t="shared" si="7"/>
        <v>0</v>
      </c>
      <c r="W11" s="290">
        <f t="shared" si="8"/>
        <v>22034</v>
      </c>
      <c r="X11" s="58">
        <v>22034</v>
      </c>
      <c r="Y11" s="288">
        <f t="shared" si="9"/>
        <v>0</v>
      </c>
      <c r="Z11" s="291">
        <f t="shared" si="10"/>
        <v>24</v>
      </c>
      <c r="AA11" s="6">
        <v>225</v>
      </c>
      <c r="AB11" s="6">
        <v>120</v>
      </c>
      <c r="AC11" s="653">
        <f>Gen!AR16</f>
        <v>1679.5400000000002</v>
      </c>
    </row>
    <row r="12" spans="1:29" ht="20.100000000000001" customHeight="1" thickBot="1">
      <c r="A12" s="815">
        <f>Gen!A17</f>
        <v>44323</v>
      </c>
      <c r="B12" s="812"/>
      <c r="C12" s="811">
        <v>13065.4</v>
      </c>
      <c r="D12">
        <v>22273</v>
      </c>
      <c r="E12" s="497"/>
      <c r="I12">
        <v>32019.5</v>
      </c>
      <c r="J12" s="809">
        <v>21347.3</v>
      </c>
      <c r="K12" s="817">
        <f t="shared" si="0"/>
        <v>36310</v>
      </c>
      <c r="L12" s="289">
        <v>36310</v>
      </c>
      <c r="M12" s="288">
        <f t="shared" si="1"/>
        <v>0</v>
      </c>
      <c r="N12" s="290">
        <f t="shared" si="2"/>
        <v>31222</v>
      </c>
      <c r="O12" s="6">
        <v>31222</v>
      </c>
      <c r="P12" s="288">
        <f t="shared" si="3"/>
        <v>0</v>
      </c>
      <c r="Q12" s="288">
        <f t="shared" si="4"/>
        <v>36513</v>
      </c>
      <c r="R12" s="289">
        <v>36513</v>
      </c>
      <c r="S12" s="288">
        <f t="shared" si="5"/>
        <v>0</v>
      </c>
      <c r="T12" s="288">
        <f t="shared" si="6"/>
        <v>33708</v>
      </c>
      <c r="U12" s="6">
        <v>33733</v>
      </c>
      <c r="V12" s="288">
        <f t="shared" si="7"/>
        <v>25</v>
      </c>
      <c r="W12" s="290">
        <f t="shared" si="8"/>
        <v>22034</v>
      </c>
      <c r="X12" s="58">
        <v>22034</v>
      </c>
      <c r="Y12" s="288">
        <f t="shared" si="9"/>
        <v>0</v>
      </c>
      <c r="Z12" s="291">
        <f t="shared" si="10"/>
        <v>25</v>
      </c>
      <c r="AA12" s="6">
        <v>230</v>
      </c>
      <c r="AB12" s="6">
        <v>130</v>
      </c>
      <c r="AC12" s="653">
        <f>Gen!AR17</f>
        <v>1126.3599999999999</v>
      </c>
    </row>
    <row r="13" spans="1:29" ht="20.100000000000001" customHeight="1" thickBot="1">
      <c r="A13" s="815">
        <f>Gen!A18</f>
        <v>44324</v>
      </c>
      <c r="B13" s="812"/>
      <c r="C13" s="811">
        <v>11939.04</v>
      </c>
      <c r="D13">
        <v>22273</v>
      </c>
      <c r="E13" s="497"/>
      <c r="G13">
        <v>248</v>
      </c>
      <c r="I13">
        <v>32024.2</v>
      </c>
      <c r="J13" s="809">
        <v>21350.400000000001</v>
      </c>
      <c r="K13" s="817">
        <f t="shared" si="0"/>
        <v>36310</v>
      </c>
      <c r="L13" s="289">
        <v>36310</v>
      </c>
      <c r="M13" s="288">
        <f t="shared" si="1"/>
        <v>0</v>
      </c>
      <c r="N13" s="290">
        <f t="shared" si="2"/>
        <v>31222</v>
      </c>
      <c r="O13" s="6">
        <v>31222</v>
      </c>
      <c r="P13" s="288">
        <f>O14-N13</f>
        <v>23</v>
      </c>
      <c r="Q13" s="288">
        <f t="shared" si="4"/>
        <v>36513</v>
      </c>
      <c r="R13" s="6">
        <v>36538</v>
      </c>
      <c r="S13" s="288">
        <f t="shared" si="5"/>
        <v>25</v>
      </c>
      <c r="T13" s="288">
        <f t="shared" si="6"/>
        <v>33733</v>
      </c>
      <c r="U13" s="6">
        <v>33733</v>
      </c>
      <c r="V13" s="288">
        <f t="shared" si="7"/>
        <v>0</v>
      </c>
      <c r="W13" s="290">
        <f t="shared" si="8"/>
        <v>22034</v>
      </c>
      <c r="X13" s="58">
        <v>22034</v>
      </c>
      <c r="Y13" s="288">
        <f t="shared" si="9"/>
        <v>0</v>
      </c>
      <c r="Z13" s="291">
        <f t="shared" si="10"/>
        <v>48</v>
      </c>
      <c r="AA13" s="6">
        <v>219</v>
      </c>
      <c r="AB13" s="6">
        <v>128</v>
      </c>
      <c r="AC13" s="653">
        <f>Gen!AR18</f>
        <v>1481.05</v>
      </c>
    </row>
    <row r="14" spans="1:29" ht="20.100000000000001" customHeight="1" thickBot="1">
      <c r="A14" s="815">
        <f>Gen!A19</f>
        <v>44325</v>
      </c>
      <c r="B14" s="812"/>
      <c r="C14" s="811">
        <v>26939.040000000001</v>
      </c>
      <c r="D14">
        <v>22273</v>
      </c>
      <c r="E14" s="497"/>
      <c r="G14">
        <v>146.15</v>
      </c>
      <c r="I14">
        <v>32029.1</v>
      </c>
      <c r="J14" s="809">
        <v>21353.9</v>
      </c>
      <c r="K14" s="817">
        <f t="shared" si="0"/>
        <v>36310</v>
      </c>
      <c r="L14" s="289">
        <v>36310</v>
      </c>
      <c r="M14" s="288">
        <f t="shared" si="1"/>
        <v>0</v>
      </c>
      <c r="N14" s="290">
        <f>O14</f>
        <v>31245</v>
      </c>
      <c r="O14" s="6">
        <v>31245</v>
      </c>
      <c r="P14" s="288">
        <f t="shared" ref="P14:P15" si="11">O15-N14</f>
        <v>0</v>
      </c>
      <c r="Q14" s="288">
        <f t="shared" si="4"/>
        <v>36538</v>
      </c>
      <c r="R14" s="6">
        <v>36538</v>
      </c>
      <c r="S14" s="288">
        <f t="shared" si="5"/>
        <v>0</v>
      </c>
      <c r="T14" s="288">
        <f t="shared" si="6"/>
        <v>33733</v>
      </c>
      <c r="U14" s="6">
        <v>33733</v>
      </c>
      <c r="V14" s="288">
        <f t="shared" si="7"/>
        <v>0</v>
      </c>
      <c r="W14" s="290">
        <f t="shared" si="8"/>
        <v>22034</v>
      </c>
      <c r="X14" s="58">
        <v>22034</v>
      </c>
      <c r="Y14" s="288">
        <f t="shared" si="9"/>
        <v>0</v>
      </c>
      <c r="Z14" s="291">
        <f t="shared" si="10"/>
        <v>0</v>
      </c>
      <c r="AA14" s="6">
        <v>220</v>
      </c>
      <c r="AB14" s="6">
        <v>120</v>
      </c>
      <c r="AC14" s="653">
        <f>Gen!AR19</f>
        <v>1204.24</v>
      </c>
    </row>
    <row r="15" spans="1:29" ht="20.100000000000001" customHeight="1" thickBot="1">
      <c r="A15" s="815">
        <f>Gen!A20</f>
        <v>44326</v>
      </c>
      <c r="B15" s="812"/>
      <c r="C15" s="811">
        <v>24253.75</v>
      </c>
      <c r="D15">
        <v>22273</v>
      </c>
      <c r="E15" s="497"/>
      <c r="G15" s="401">
        <v>140.33000000000001</v>
      </c>
      <c r="I15">
        <v>32033.4</v>
      </c>
      <c r="J15" s="809">
        <v>21357.1</v>
      </c>
      <c r="K15" s="817">
        <f t="shared" si="0"/>
        <v>36310</v>
      </c>
      <c r="L15" s="289">
        <v>36334</v>
      </c>
      <c r="M15" s="288">
        <f t="shared" si="1"/>
        <v>24</v>
      </c>
      <c r="N15" s="290" t="e">
        <f>#REF!</f>
        <v>#REF!</v>
      </c>
      <c r="O15" s="6">
        <v>31245</v>
      </c>
      <c r="P15" s="288" t="e">
        <f t="shared" si="11"/>
        <v>#REF!</v>
      </c>
      <c r="Q15" s="288">
        <f t="shared" si="4"/>
        <v>36538</v>
      </c>
      <c r="R15" s="6">
        <v>36538</v>
      </c>
      <c r="S15" s="288">
        <f t="shared" si="5"/>
        <v>0</v>
      </c>
      <c r="T15" s="288">
        <f t="shared" si="6"/>
        <v>33733</v>
      </c>
      <c r="U15" s="6">
        <v>33733</v>
      </c>
      <c r="V15" s="288">
        <f t="shared" si="7"/>
        <v>0</v>
      </c>
      <c r="W15" s="290">
        <f t="shared" si="8"/>
        <v>22034</v>
      </c>
      <c r="X15" s="58">
        <v>22034</v>
      </c>
      <c r="Y15" s="288">
        <f t="shared" si="9"/>
        <v>0</v>
      </c>
      <c r="Z15" s="291" t="e">
        <f t="shared" si="10"/>
        <v>#REF!</v>
      </c>
      <c r="AA15" s="6">
        <v>215</v>
      </c>
      <c r="AB15" s="6">
        <v>115</v>
      </c>
      <c r="AC15" s="653">
        <f>Gen!AR20</f>
        <v>1226.97</v>
      </c>
    </row>
    <row r="16" spans="1:29" ht="20.100000000000001" customHeight="1" thickBot="1">
      <c r="A16" s="815">
        <f>Gen!A21</f>
        <v>44327</v>
      </c>
      <c r="B16" s="812"/>
      <c r="C16" s="811">
        <v>23026.78</v>
      </c>
      <c r="D16">
        <v>22273</v>
      </c>
      <c r="E16" s="497"/>
      <c r="G16">
        <v>647</v>
      </c>
      <c r="I16">
        <v>32037.9</v>
      </c>
      <c r="J16" s="809">
        <v>21359.9</v>
      </c>
      <c r="K16" s="817">
        <f t="shared" si="0"/>
        <v>36334</v>
      </c>
      <c r="L16" s="289">
        <v>36334</v>
      </c>
      <c r="M16" s="288">
        <f>L16-K16</f>
        <v>0</v>
      </c>
      <c r="N16" s="290">
        <f t="shared" si="2"/>
        <v>31245</v>
      </c>
      <c r="O16" s="6">
        <v>31245</v>
      </c>
      <c r="P16" s="288">
        <f t="shared" si="3"/>
        <v>0</v>
      </c>
      <c r="Q16" s="288">
        <f t="shared" si="4"/>
        <v>36538</v>
      </c>
      <c r="R16" s="6">
        <v>36538</v>
      </c>
      <c r="S16" s="288">
        <f t="shared" si="5"/>
        <v>0</v>
      </c>
      <c r="T16" s="288">
        <f t="shared" si="6"/>
        <v>33733</v>
      </c>
      <c r="U16" s="289">
        <v>33757</v>
      </c>
      <c r="V16" s="288">
        <f t="shared" si="7"/>
        <v>24</v>
      </c>
      <c r="W16" s="290">
        <f t="shared" si="8"/>
        <v>22034</v>
      </c>
      <c r="X16" s="58">
        <v>22034</v>
      </c>
      <c r="Y16" s="288">
        <f t="shared" si="9"/>
        <v>0</v>
      </c>
      <c r="Z16" s="291">
        <f t="shared" si="10"/>
        <v>24</v>
      </c>
      <c r="AA16" s="6">
        <v>200</v>
      </c>
      <c r="AB16" s="6">
        <v>110</v>
      </c>
      <c r="AC16" s="653">
        <f>Gen!AR21</f>
        <v>1706.05</v>
      </c>
    </row>
    <row r="17" spans="1:29" ht="20.100000000000001" customHeight="1" thickBot="1">
      <c r="A17" s="815">
        <f>Gen!A22</f>
        <v>44328</v>
      </c>
      <c r="B17" s="812"/>
      <c r="C17" s="811">
        <v>21320.73</v>
      </c>
      <c r="D17">
        <v>22273</v>
      </c>
      <c r="E17" s="497"/>
      <c r="I17">
        <v>32042.3</v>
      </c>
      <c r="J17" s="809">
        <v>21362.7</v>
      </c>
      <c r="K17" s="817">
        <f>L16</f>
        <v>36334</v>
      </c>
      <c r="L17" s="289">
        <v>36334</v>
      </c>
      <c r="M17" s="288">
        <f>L17-K17</f>
        <v>0</v>
      </c>
      <c r="N17" s="290">
        <f t="shared" si="2"/>
        <v>31245</v>
      </c>
      <c r="O17" s="6">
        <v>31245</v>
      </c>
      <c r="P17" s="288">
        <f t="shared" si="3"/>
        <v>0</v>
      </c>
      <c r="Q17" s="288">
        <f t="shared" si="4"/>
        <v>36538</v>
      </c>
      <c r="R17" s="6">
        <v>36563</v>
      </c>
      <c r="S17" s="288">
        <f t="shared" si="5"/>
        <v>25</v>
      </c>
      <c r="T17" s="288">
        <f t="shared" si="6"/>
        <v>33757</v>
      </c>
      <c r="U17" s="289">
        <v>33757</v>
      </c>
      <c r="V17" s="288">
        <f t="shared" si="7"/>
        <v>0</v>
      </c>
      <c r="W17" s="290">
        <f t="shared" si="8"/>
        <v>22034</v>
      </c>
      <c r="X17" s="58">
        <v>22034</v>
      </c>
      <c r="Y17" s="288">
        <f t="shared" si="9"/>
        <v>0</v>
      </c>
      <c r="Z17" s="291">
        <f t="shared" si="10"/>
        <v>25</v>
      </c>
      <c r="AA17" s="6">
        <v>220</v>
      </c>
      <c r="AB17" s="6">
        <v>115</v>
      </c>
      <c r="AC17" s="653">
        <f>Gen!AR22</f>
        <v>1046.1600000000001</v>
      </c>
    </row>
    <row r="18" spans="1:29" ht="20.100000000000001" customHeight="1" thickBot="1">
      <c r="A18" s="815">
        <f>Gen!A23</f>
        <v>44329</v>
      </c>
      <c r="B18" s="812"/>
      <c r="C18" s="811">
        <v>20274.57</v>
      </c>
      <c r="D18">
        <v>22273</v>
      </c>
      <c r="I18">
        <v>32046.5</v>
      </c>
      <c r="J18" s="809">
        <v>21365.5</v>
      </c>
      <c r="K18" s="817">
        <f>L17</f>
        <v>36334</v>
      </c>
      <c r="L18" s="289">
        <v>36334</v>
      </c>
      <c r="M18" s="288">
        <f t="shared" si="1"/>
        <v>0</v>
      </c>
      <c r="N18" s="290">
        <f t="shared" si="2"/>
        <v>31245</v>
      </c>
      <c r="O18" s="6">
        <v>31269</v>
      </c>
      <c r="P18" s="288">
        <f t="shared" si="3"/>
        <v>24</v>
      </c>
      <c r="Q18" s="288">
        <f t="shared" si="4"/>
        <v>36563</v>
      </c>
      <c r="R18" s="6">
        <v>36563</v>
      </c>
      <c r="S18" s="288">
        <f t="shared" si="5"/>
        <v>0</v>
      </c>
      <c r="T18" s="288">
        <f t="shared" si="6"/>
        <v>33757</v>
      </c>
      <c r="U18" s="289">
        <v>33757</v>
      </c>
      <c r="V18" s="288">
        <f t="shared" si="7"/>
        <v>0</v>
      </c>
      <c r="W18" s="290">
        <f t="shared" si="8"/>
        <v>22034</v>
      </c>
      <c r="X18" s="58">
        <v>22034</v>
      </c>
      <c r="Y18" s="288">
        <f t="shared" si="9"/>
        <v>0</v>
      </c>
      <c r="Z18" s="291">
        <f t="shared" si="10"/>
        <v>24</v>
      </c>
      <c r="AA18" s="6">
        <v>250</v>
      </c>
      <c r="AB18" s="6">
        <v>115</v>
      </c>
      <c r="AC18" s="653">
        <f>Gen!AR23</f>
        <v>1255.3399999999999</v>
      </c>
    </row>
    <row r="19" spans="1:29" ht="20.100000000000001" customHeight="1" thickBot="1">
      <c r="A19" s="815">
        <f>Gen!A24</f>
        <v>44330</v>
      </c>
      <c r="B19" s="812"/>
      <c r="C19" s="811">
        <v>19019.23</v>
      </c>
      <c r="D19">
        <v>22273</v>
      </c>
      <c r="I19">
        <v>32050.799999999999</v>
      </c>
      <c r="J19" s="809">
        <v>21368.400000000001</v>
      </c>
      <c r="K19" s="817">
        <f t="shared" si="0"/>
        <v>36334</v>
      </c>
      <c r="L19" s="289">
        <v>36358</v>
      </c>
      <c r="M19" s="288">
        <f t="shared" si="1"/>
        <v>24</v>
      </c>
      <c r="N19" s="290">
        <f t="shared" si="2"/>
        <v>31269</v>
      </c>
      <c r="O19" s="6">
        <v>31269</v>
      </c>
      <c r="P19" s="288">
        <f t="shared" si="3"/>
        <v>0</v>
      </c>
      <c r="Q19" s="288">
        <f t="shared" si="4"/>
        <v>36563</v>
      </c>
      <c r="R19" s="6">
        <v>36563</v>
      </c>
      <c r="S19" s="288">
        <f t="shared" si="5"/>
        <v>0</v>
      </c>
      <c r="T19" s="288">
        <f t="shared" si="6"/>
        <v>33757</v>
      </c>
      <c r="U19" s="289">
        <v>33757</v>
      </c>
      <c r="V19" s="288">
        <f t="shared" si="7"/>
        <v>0</v>
      </c>
      <c r="W19" s="290">
        <f t="shared" si="8"/>
        <v>22034</v>
      </c>
      <c r="X19" s="58">
        <v>22034</v>
      </c>
      <c r="Y19" s="288">
        <f t="shared" si="9"/>
        <v>0</v>
      </c>
      <c r="Z19" s="291">
        <f t="shared" si="10"/>
        <v>24</v>
      </c>
      <c r="AA19" s="6">
        <v>260</v>
      </c>
      <c r="AB19" s="6">
        <v>130</v>
      </c>
      <c r="AC19" s="653">
        <f>Gen!AR24</f>
        <v>1234.4000000000001</v>
      </c>
    </row>
    <row r="20" spans="1:29" ht="20.100000000000001" customHeight="1">
      <c r="A20" s="815">
        <f>Gen!A25</f>
        <v>44331</v>
      </c>
      <c r="B20" s="812"/>
      <c r="C20" s="811">
        <v>17784.830000000002</v>
      </c>
      <c r="D20">
        <v>22273</v>
      </c>
      <c r="I20">
        <v>32055.8</v>
      </c>
      <c r="J20" s="809">
        <v>21371.4</v>
      </c>
      <c r="K20" s="817">
        <f t="shared" si="0"/>
        <v>36358</v>
      </c>
      <c r="L20" s="289">
        <v>36358</v>
      </c>
      <c r="M20" s="288">
        <f t="shared" si="1"/>
        <v>0</v>
      </c>
      <c r="N20" s="290">
        <f t="shared" si="2"/>
        <v>31269</v>
      </c>
      <c r="O20" s="6">
        <v>31269</v>
      </c>
      <c r="P20" s="288">
        <f t="shared" si="3"/>
        <v>0</v>
      </c>
      <c r="Q20" s="288">
        <f t="shared" si="4"/>
        <v>36563</v>
      </c>
      <c r="R20" s="6">
        <v>36563</v>
      </c>
      <c r="S20" s="288">
        <f t="shared" si="5"/>
        <v>0</v>
      </c>
      <c r="T20" s="288">
        <f t="shared" si="6"/>
        <v>33757</v>
      </c>
      <c r="U20" s="289">
        <v>33781</v>
      </c>
      <c r="V20" s="288">
        <f t="shared" si="7"/>
        <v>24</v>
      </c>
      <c r="W20" s="290">
        <f t="shared" si="8"/>
        <v>22034</v>
      </c>
      <c r="X20" s="58">
        <v>22034</v>
      </c>
      <c r="Y20" s="288">
        <f t="shared" si="9"/>
        <v>0</v>
      </c>
      <c r="Z20" s="291">
        <f t="shared" si="10"/>
        <v>24</v>
      </c>
      <c r="AA20" s="6">
        <v>250</v>
      </c>
      <c r="AB20" s="6">
        <v>120</v>
      </c>
      <c r="AC20" s="653">
        <f>Gen!AR25</f>
        <v>1206.48</v>
      </c>
    </row>
    <row r="21" spans="1:29" ht="20.100000000000001" customHeight="1">
      <c r="A21" s="815">
        <f>Gen!A26</f>
        <v>44332</v>
      </c>
      <c r="B21" s="812"/>
      <c r="C21" s="811">
        <v>16584.349999999999</v>
      </c>
      <c r="D21">
        <v>22273</v>
      </c>
      <c r="I21">
        <v>32060.3</v>
      </c>
      <c r="J21" s="809">
        <v>21374.2</v>
      </c>
      <c r="K21" s="817">
        <f t="shared" si="0"/>
        <v>36358</v>
      </c>
      <c r="L21" s="289">
        <v>36358</v>
      </c>
      <c r="M21" s="288">
        <f t="shared" si="1"/>
        <v>0</v>
      </c>
      <c r="N21" s="290">
        <f t="shared" si="2"/>
        <v>31269</v>
      </c>
      <c r="O21" s="6">
        <v>31269</v>
      </c>
      <c r="P21" s="288">
        <f t="shared" si="3"/>
        <v>0</v>
      </c>
      <c r="Q21" s="288">
        <f t="shared" si="4"/>
        <v>36563</v>
      </c>
      <c r="R21" s="6">
        <v>36587</v>
      </c>
      <c r="S21" s="288">
        <f t="shared" si="5"/>
        <v>24</v>
      </c>
      <c r="T21" s="288">
        <f t="shared" si="6"/>
        <v>33781</v>
      </c>
      <c r="U21" s="289">
        <v>33781</v>
      </c>
      <c r="V21" s="288">
        <f t="shared" si="7"/>
        <v>0</v>
      </c>
      <c r="W21" s="290">
        <f t="shared" si="8"/>
        <v>22034</v>
      </c>
      <c r="X21" s="58">
        <v>22034</v>
      </c>
      <c r="Y21" s="288">
        <f t="shared" si="9"/>
        <v>0</v>
      </c>
      <c r="Z21" s="291">
        <f t="shared" si="10"/>
        <v>24</v>
      </c>
      <c r="AA21" s="6">
        <v>240</v>
      </c>
      <c r="AB21" s="6">
        <v>125</v>
      </c>
      <c r="AC21" s="653">
        <f>Gen!AR26</f>
        <v>1110.23</v>
      </c>
    </row>
    <row r="22" spans="1:29" ht="18.75" customHeight="1">
      <c r="A22" s="815">
        <f>Gen!A27</f>
        <v>44333</v>
      </c>
      <c r="B22" s="812"/>
      <c r="C22" s="811">
        <v>15474.12</v>
      </c>
      <c r="D22">
        <v>22273</v>
      </c>
      <c r="I22">
        <v>32065.1</v>
      </c>
      <c r="J22" s="809">
        <v>21377.1</v>
      </c>
      <c r="K22" s="817">
        <f t="shared" si="0"/>
        <v>36358</v>
      </c>
      <c r="L22" s="289">
        <v>36358</v>
      </c>
      <c r="M22" s="288">
        <f t="shared" si="1"/>
        <v>0</v>
      </c>
      <c r="N22" s="290">
        <f t="shared" si="2"/>
        <v>31269</v>
      </c>
      <c r="O22" s="6">
        <v>31293</v>
      </c>
      <c r="P22" s="288">
        <f t="shared" si="3"/>
        <v>24</v>
      </c>
      <c r="Q22" s="288">
        <f t="shared" si="4"/>
        <v>36587</v>
      </c>
      <c r="R22" s="6">
        <v>36587</v>
      </c>
      <c r="S22" s="288">
        <f t="shared" si="5"/>
        <v>0</v>
      </c>
      <c r="T22" s="288">
        <f t="shared" si="6"/>
        <v>33781</v>
      </c>
      <c r="U22" s="289">
        <v>33781</v>
      </c>
      <c r="V22" s="288">
        <f t="shared" si="7"/>
        <v>0</v>
      </c>
      <c r="W22" s="290">
        <f t="shared" si="8"/>
        <v>22034</v>
      </c>
      <c r="X22" s="58">
        <v>22034</v>
      </c>
      <c r="Y22" s="288">
        <f t="shared" si="9"/>
        <v>0</v>
      </c>
      <c r="Z22" s="291">
        <f t="shared" si="10"/>
        <v>24</v>
      </c>
      <c r="AA22" s="6">
        <v>250</v>
      </c>
      <c r="AB22" s="6">
        <v>130</v>
      </c>
      <c r="AC22" s="653">
        <f>Gen!AR27</f>
        <v>1340.3600000000001</v>
      </c>
    </row>
    <row r="23" spans="1:29" ht="20.100000000000001" customHeight="1">
      <c r="A23" s="815">
        <f>Gen!A28</f>
        <v>44334</v>
      </c>
      <c r="B23" s="812"/>
      <c r="C23" s="811">
        <v>14133.76</v>
      </c>
      <c r="D23">
        <v>22273</v>
      </c>
      <c r="E23" s="497"/>
      <c r="I23">
        <v>32070.1</v>
      </c>
      <c r="J23" s="809">
        <v>21380.6</v>
      </c>
      <c r="K23" s="817">
        <f t="shared" si="0"/>
        <v>36358</v>
      </c>
      <c r="L23" s="289">
        <v>36382</v>
      </c>
      <c r="M23" s="288">
        <f t="shared" si="1"/>
        <v>24</v>
      </c>
      <c r="N23" s="290">
        <f t="shared" si="2"/>
        <v>31293</v>
      </c>
      <c r="O23" s="6">
        <v>31293</v>
      </c>
      <c r="P23" s="288">
        <f t="shared" si="3"/>
        <v>0</v>
      </c>
      <c r="Q23" s="288">
        <f t="shared" si="4"/>
        <v>36587</v>
      </c>
      <c r="R23" s="6">
        <v>36587</v>
      </c>
      <c r="S23" s="288">
        <f t="shared" si="5"/>
        <v>0</v>
      </c>
      <c r="T23" s="288">
        <f t="shared" si="6"/>
        <v>33781</v>
      </c>
      <c r="U23" s="289">
        <v>33781</v>
      </c>
      <c r="V23" s="288">
        <f t="shared" si="7"/>
        <v>0</v>
      </c>
      <c r="W23" s="290">
        <f t="shared" si="8"/>
        <v>22034</v>
      </c>
      <c r="X23" s="58">
        <v>22034</v>
      </c>
      <c r="Y23" s="288">
        <f t="shared" si="9"/>
        <v>0</v>
      </c>
      <c r="Z23" s="291">
        <f t="shared" si="10"/>
        <v>24</v>
      </c>
      <c r="AA23" s="6">
        <v>260</v>
      </c>
      <c r="AB23" s="6">
        <v>135</v>
      </c>
      <c r="AC23" s="653">
        <f>Gen!AR28</f>
        <v>1222.1600000000001</v>
      </c>
    </row>
    <row r="24" spans="1:29" ht="20.100000000000001" customHeight="1">
      <c r="A24" s="815">
        <f>Gen!A29</f>
        <v>44335</v>
      </c>
      <c r="B24" s="812"/>
      <c r="C24" s="811">
        <v>12911.6</v>
      </c>
      <c r="D24">
        <v>22273</v>
      </c>
      <c r="I24">
        <v>32075.200000000001</v>
      </c>
      <c r="J24" s="809">
        <v>21384.1</v>
      </c>
      <c r="K24" s="817">
        <f t="shared" si="0"/>
        <v>36382</v>
      </c>
      <c r="L24" s="289">
        <v>36382</v>
      </c>
      <c r="M24" s="288">
        <f t="shared" si="1"/>
        <v>0</v>
      </c>
      <c r="N24" s="290">
        <f t="shared" si="2"/>
        <v>31293</v>
      </c>
      <c r="O24" s="6">
        <v>31293</v>
      </c>
      <c r="P24" s="288">
        <f t="shared" si="3"/>
        <v>0</v>
      </c>
      <c r="Q24" s="288">
        <f t="shared" si="4"/>
        <v>36587</v>
      </c>
      <c r="R24" s="6">
        <v>36587</v>
      </c>
      <c r="S24" s="288">
        <f t="shared" si="5"/>
        <v>0</v>
      </c>
      <c r="T24" s="288">
        <f t="shared" si="6"/>
        <v>33781</v>
      </c>
      <c r="U24" s="289">
        <v>33806</v>
      </c>
      <c r="V24" s="288">
        <f t="shared" si="7"/>
        <v>25</v>
      </c>
      <c r="W24" s="290">
        <f t="shared" si="8"/>
        <v>22034</v>
      </c>
      <c r="X24" s="58">
        <v>22034</v>
      </c>
      <c r="Y24" s="288">
        <f t="shared" si="9"/>
        <v>0</v>
      </c>
      <c r="Z24" s="291">
        <f t="shared" si="10"/>
        <v>25</v>
      </c>
      <c r="AA24" s="6">
        <v>240</v>
      </c>
      <c r="AB24" s="6">
        <v>120</v>
      </c>
      <c r="AC24" s="653">
        <f>Gen!AR29</f>
        <v>1336.29</v>
      </c>
    </row>
    <row r="25" spans="1:29" ht="18.75" customHeight="1">
      <c r="A25" s="815">
        <f>Gen!A30</f>
        <v>44336</v>
      </c>
      <c r="B25" s="812"/>
      <c r="C25" s="811">
        <v>11569.31</v>
      </c>
      <c r="D25">
        <v>22273</v>
      </c>
      <c r="I25">
        <v>32080.1</v>
      </c>
      <c r="J25" s="809">
        <v>21387.4</v>
      </c>
      <c r="K25" s="817">
        <f t="shared" si="0"/>
        <v>36382</v>
      </c>
      <c r="L25" s="289">
        <v>36382</v>
      </c>
      <c r="M25" s="288">
        <f t="shared" si="1"/>
        <v>0</v>
      </c>
      <c r="N25" s="290">
        <f t="shared" si="2"/>
        <v>31293</v>
      </c>
      <c r="O25" s="6">
        <v>31293</v>
      </c>
      <c r="P25" s="288">
        <f t="shared" si="3"/>
        <v>0</v>
      </c>
      <c r="Q25" s="288">
        <f t="shared" si="4"/>
        <v>36587</v>
      </c>
      <c r="R25" s="289">
        <v>36611</v>
      </c>
      <c r="S25" s="288">
        <f t="shared" si="5"/>
        <v>24</v>
      </c>
      <c r="T25" s="288">
        <f t="shared" si="6"/>
        <v>33806</v>
      </c>
      <c r="U25" s="289">
        <v>33806</v>
      </c>
      <c r="V25" s="288">
        <f t="shared" si="7"/>
        <v>0</v>
      </c>
      <c r="W25" s="290">
        <f t="shared" si="8"/>
        <v>22034</v>
      </c>
      <c r="X25" s="58">
        <v>22034</v>
      </c>
      <c r="Y25" s="288">
        <f t="shared" si="9"/>
        <v>0</v>
      </c>
      <c r="Z25" s="291">
        <f t="shared" si="10"/>
        <v>24</v>
      </c>
      <c r="AA25" s="6">
        <v>250</v>
      </c>
      <c r="AB25" s="6">
        <v>130</v>
      </c>
      <c r="AC25" s="653">
        <f>Gen!AR30</f>
        <v>1213.8800000000001</v>
      </c>
    </row>
    <row r="26" spans="1:29" ht="20.100000000000001" customHeight="1">
      <c r="A26" s="815">
        <f>Gen!A31</f>
        <v>44337</v>
      </c>
      <c r="B26" s="812"/>
      <c r="C26" s="811">
        <v>10355.43</v>
      </c>
      <c r="D26">
        <v>22273</v>
      </c>
      <c r="I26">
        <v>32084.7</v>
      </c>
      <c r="J26" s="809">
        <v>21390.400000000001</v>
      </c>
      <c r="K26" s="817">
        <f t="shared" si="0"/>
        <v>36382</v>
      </c>
      <c r="L26" s="289">
        <v>36382</v>
      </c>
      <c r="M26" s="288">
        <f t="shared" si="1"/>
        <v>0</v>
      </c>
      <c r="N26" s="290">
        <f t="shared" si="2"/>
        <v>31293</v>
      </c>
      <c r="O26" s="6">
        <v>31318</v>
      </c>
      <c r="P26" s="288">
        <f t="shared" si="3"/>
        <v>25</v>
      </c>
      <c r="Q26" s="288">
        <f t="shared" si="4"/>
        <v>36611</v>
      </c>
      <c r="R26" s="289">
        <v>36611</v>
      </c>
      <c r="S26" s="288">
        <f t="shared" si="5"/>
        <v>0</v>
      </c>
      <c r="T26" s="288">
        <f t="shared" si="6"/>
        <v>33806</v>
      </c>
      <c r="U26" s="289">
        <v>33806</v>
      </c>
      <c r="V26" s="288">
        <f t="shared" si="7"/>
        <v>0</v>
      </c>
      <c r="W26" s="290">
        <f t="shared" si="8"/>
        <v>22034</v>
      </c>
      <c r="X26" s="58">
        <v>22034</v>
      </c>
      <c r="Y26" s="288">
        <f t="shared" si="9"/>
        <v>0</v>
      </c>
      <c r="Z26" s="291">
        <f t="shared" ref="Z26:Z37" si="12">Y26+V26+S26+P26+M26</f>
        <v>25</v>
      </c>
      <c r="AA26" s="6">
        <v>245</v>
      </c>
      <c r="AB26" s="6">
        <v>120</v>
      </c>
      <c r="AC26" s="653">
        <f>Gen!AR31</f>
        <v>1401.7</v>
      </c>
    </row>
    <row r="27" spans="1:29" ht="20.100000000000001" customHeight="1">
      <c r="A27" s="815">
        <f>Gen!A32</f>
        <v>44338</v>
      </c>
      <c r="B27" s="812"/>
      <c r="C27" s="811">
        <v>8953.73</v>
      </c>
      <c r="D27">
        <v>22273</v>
      </c>
      <c r="I27">
        <v>32089.7</v>
      </c>
      <c r="J27" s="809">
        <v>21393.1</v>
      </c>
      <c r="K27" s="817">
        <f t="shared" si="0"/>
        <v>36382</v>
      </c>
      <c r="L27" s="289">
        <v>36407</v>
      </c>
      <c r="M27" s="288">
        <f t="shared" si="1"/>
        <v>25</v>
      </c>
      <c r="N27" s="290">
        <f t="shared" si="2"/>
        <v>31318</v>
      </c>
      <c r="O27" s="6">
        <v>31318</v>
      </c>
      <c r="P27" s="288">
        <f t="shared" si="3"/>
        <v>0</v>
      </c>
      <c r="Q27" s="288">
        <f t="shared" si="4"/>
        <v>36611</v>
      </c>
      <c r="R27" s="289">
        <v>36611</v>
      </c>
      <c r="S27" s="288">
        <f t="shared" si="5"/>
        <v>0</v>
      </c>
      <c r="T27" s="288">
        <f t="shared" si="6"/>
        <v>33806</v>
      </c>
      <c r="U27" s="289">
        <v>33806</v>
      </c>
      <c r="V27" s="288">
        <f t="shared" si="7"/>
        <v>0</v>
      </c>
      <c r="W27" s="290">
        <f t="shared" si="8"/>
        <v>22034</v>
      </c>
      <c r="X27" s="58">
        <v>22034</v>
      </c>
      <c r="Y27" s="288">
        <f t="shared" si="9"/>
        <v>0</v>
      </c>
      <c r="Z27" s="291">
        <f t="shared" si="12"/>
        <v>25</v>
      </c>
      <c r="AA27" s="6">
        <v>260</v>
      </c>
      <c r="AB27" s="6">
        <v>130</v>
      </c>
      <c r="AC27" s="653">
        <f>Gen!AR32</f>
        <v>1423.2399999999998</v>
      </c>
    </row>
    <row r="28" spans="1:29" ht="20.100000000000001" customHeight="1">
      <c r="A28" s="815">
        <f>Gen!A33</f>
        <v>44339</v>
      </c>
      <c r="B28" s="819"/>
      <c r="C28" s="756">
        <v>7530.49</v>
      </c>
      <c r="D28">
        <v>22273</v>
      </c>
      <c r="E28" s="289"/>
      <c r="F28" s="289"/>
      <c r="G28" s="289"/>
      <c r="H28" s="289"/>
      <c r="I28" s="289">
        <v>32094.5</v>
      </c>
      <c r="J28" s="289">
        <v>21396.2</v>
      </c>
      <c r="K28" s="817">
        <f t="shared" si="0"/>
        <v>36407</v>
      </c>
      <c r="L28" s="289">
        <v>36407</v>
      </c>
      <c r="M28" s="288">
        <f t="shared" si="1"/>
        <v>0</v>
      </c>
      <c r="N28" s="290">
        <f t="shared" si="2"/>
        <v>31318</v>
      </c>
      <c r="O28" s="6">
        <v>31318</v>
      </c>
      <c r="P28" s="288">
        <f t="shared" si="3"/>
        <v>0</v>
      </c>
      <c r="Q28" s="288">
        <f t="shared" si="4"/>
        <v>36611</v>
      </c>
      <c r="R28" s="289">
        <v>36636</v>
      </c>
      <c r="S28" s="288">
        <f t="shared" si="5"/>
        <v>25</v>
      </c>
      <c r="T28" s="288">
        <f t="shared" si="6"/>
        <v>33806</v>
      </c>
      <c r="U28" s="289">
        <v>33806</v>
      </c>
      <c r="V28" s="288">
        <f t="shared" si="7"/>
        <v>0</v>
      </c>
      <c r="W28" s="290">
        <f t="shared" si="8"/>
        <v>22034</v>
      </c>
      <c r="X28" s="58">
        <v>22034</v>
      </c>
      <c r="Y28" s="288">
        <f t="shared" si="9"/>
        <v>0</v>
      </c>
      <c r="Z28" s="291">
        <f t="shared" si="12"/>
        <v>25</v>
      </c>
      <c r="AA28" s="6">
        <v>230</v>
      </c>
      <c r="AB28" s="6">
        <v>115</v>
      </c>
      <c r="AC28" s="653">
        <f>Gen!AR33</f>
        <v>1182.6500000000001</v>
      </c>
    </row>
    <row r="29" spans="1:29" ht="20.100000000000001" customHeight="1">
      <c r="A29" s="647">
        <f>Gen!A34</f>
        <v>44340</v>
      </c>
      <c r="B29" s="643"/>
      <c r="C29" s="756">
        <v>6347.84</v>
      </c>
      <c r="D29">
        <v>22273</v>
      </c>
      <c r="E29" s="289"/>
      <c r="F29" s="289"/>
      <c r="G29" s="289"/>
      <c r="H29" s="289"/>
      <c r="I29" s="289">
        <v>32099.599999999999</v>
      </c>
      <c r="J29" s="644">
        <v>21399.1</v>
      </c>
      <c r="K29" s="652">
        <f t="shared" si="0"/>
        <v>36407</v>
      </c>
      <c r="L29" s="289">
        <v>36407</v>
      </c>
      <c r="M29" s="288">
        <f t="shared" si="1"/>
        <v>0</v>
      </c>
      <c r="N29" s="290">
        <f t="shared" si="2"/>
        <v>31318</v>
      </c>
      <c r="O29" s="6">
        <v>31318</v>
      </c>
      <c r="P29" s="288">
        <f t="shared" si="3"/>
        <v>0</v>
      </c>
      <c r="Q29" s="288">
        <f t="shared" si="4"/>
        <v>36636</v>
      </c>
      <c r="R29" s="289">
        <v>36636</v>
      </c>
      <c r="S29" s="288">
        <f t="shared" si="5"/>
        <v>0</v>
      </c>
      <c r="T29" s="288">
        <f t="shared" si="6"/>
        <v>33806</v>
      </c>
      <c r="U29" s="289">
        <v>33830</v>
      </c>
      <c r="V29" s="288">
        <f t="shared" si="7"/>
        <v>24</v>
      </c>
      <c r="W29" s="290">
        <f t="shared" si="8"/>
        <v>22034</v>
      </c>
      <c r="X29" s="58">
        <v>22034</v>
      </c>
      <c r="Y29" s="288">
        <f t="shared" si="9"/>
        <v>0</v>
      </c>
      <c r="Z29" s="291">
        <f t="shared" si="12"/>
        <v>24</v>
      </c>
      <c r="AA29" s="6">
        <v>240</v>
      </c>
      <c r="AB29" s="6">
        <v>100</v>
      </c>
      <c r="AC29" s="653">
        <f>Gen!AR34</f>
        <v>1147.9199999999998</v>
      </c>
    </row>
    <row r="30" spans="1:29" ht="20.100000000000001" customHeight="1">
      <c r="A30" s="647">
        <f>Gen!A35</f>
        <v>44341</v>
      </c>
      <c r="B30" s="643"/>
      <c r="C30" s="756">
        <v>5199.92</v>
      </c>
      <c r="D30">
        <v>22273</v>
      </c>
      <c r="E30" s="289"/>
      <c r="F30" s="289"/>
      <c r="G30" s="289"/>
      <c r="H30" s="289"/>
      <c r="I30" s="289">
        <v>32104.2</v>
      </c>
      <c r="J30" s="644">
        <v>21402.1</v>
      </c>
      <c r="K30" s="652">
        <f t="shared" si="0"/>
        <v>36407</v>
      </c>
      <c r="L30" s="289">
        <v>36407</v>
      </c>
      <c r="M30" s="288">
        <f t="shared" si="1"/>
        <v>0</v>
      </c>
      <c r="N30" s="290">
        <f t="shared" si="2"/>
        <v>31318</v>
      </c>
      <c r="O30" s="289">
        <v>31342</v>
      </c>
      <c r="P30" s="288">
        <f t="shared" si="3"/>
        <v>24</v>
      </c>
      <c r="Q30" s="288">
        <f t="shared" si="4"/>
        <v>36636</v>
      </c>
      <c r="R30" s="289">
        <v>36636</v>
      </c>
      <c r="S30" s="288">
        <f t="shared" si="5"/>
        <v>0</v>
      </c>
      <c r="T30" s="288">
        <f t="shared" si="6"/>
        <v>33830</v>
      </c>
      <c r="U30" s="289">
        <v>33830</v>
      </c>
      <c r="V30" s="288">
        <f t="shared" si="7"/>
        <v>0</v>
      </c>
      <c r="W30" s="290">
        <f t="shared" si="8"/>
        <v>22034</v>
      </c>
      <c r="X30" s="58">
        <v>22034</v>
      </c>
      <c r="Y30" s="288">
        <f t="shared" si="9"/>
        <v>0</v>
      </c>
      <c r="Z30" s="291">
        <f t="shared" si="12"/>
        <v>24</v>
      </c>
      <c r="AA30" s="6">
        <v>250</v>
      </c>
      <c r="AB30" s="6">
        <v>120</v>
      </c>
      <c r="AC30" s="653">
        <f>Gen!AR35</f>
        <v>1449.95</v>
      </c>
    </row>
    <row r="31" spans="1:29" ht="20.100000000000001" customHeight="1">
      <c r="A31" s="647">
        <f>Gen!A36</f>
        <v>44342</v>
      </c>
      <c r="B31" s="643"/>
      <c r="C31" s="756">
        <v>3749.97</v>
      </c>
      <c r="D31">
        <v>22273</v>
      </c>
      <c r="E31" s="289"/>
      <c r="F31" s="289"/>
      <c r="G31" s="289"/>
      <c r="H31" s="289"/>
      <c r="I31" s="289">
        <v>32114.3</v>
      </c>
      <c r="J31" s="644">
        <v>21408.7</v>
      </c>
      <c r="K31" s="652">
        <f t="shared" si="0"/>
        <v>36407</v>
      </c>
      <c r="L31" s="289">
        <v>36430</v>
      </c>
      <c r="M31" s="288">
        <f t="shared" si="1"/>
        <v>23</v>
      </c>
      <c r="N31" s="290">
        <f t="shared" si="2"/>
        <v>31342</v>
      </c>
      <c r="O31" s="289">
        <v>31342</v>
      </c>
      <c r="P31" s="288">
        <f t="shared" si="3"/>
        <v>0</v>
      </c>
      <c r="Q31" s="288">
        <f t="shared" si="4"/>
        <v>36636</v>
      </c>
      <c r="R31" s="289">
        <v>36636</v>
      </c>
      <c r="S31" s="288">
        <f t="shared" si="5"/>
        <v>0</v>
      </c>
      <c r="T31" s="288">
        <f t="shared" si="6"/>
        <v>33830</v>
      </c>
      <c r="U31" s="289">
        <v>33830</v>
      </c>
      <c r="V31" s="288">
        <f t="shared" si="7"/>
        <v>0</v>
      </c>
      <c r="W31" s="290">
        <f t="shared" si="8"/>
        <v>22034</v>
      </c>
      <c r="X31" s="58">
        <v>22034</v>
      </c>
      <c r="Y31" s="288">
        <f t="shared" si="9"/>
        <v>0</v>
      </c>
      <c r="Z31" s="291">
        <f t="shared" si="12"/>
        <v>23</v>
      </c>
      <c r="AA31" s="6">
        <v>260</v>
      </c>
      <c r="AB31" s="6">
        <v>130</v>
      </c>
      <c r="AC31" s="653">
        <f>Gen!AR36</f>
        <v>1198.24</v>
      </c>
    </row>
    <row r="32" spans="1:29" ht="20.100000000000001" customHeight="1">
      <c r="A32" s="647">
        <f>Gen!A37</f>
        <v>44343</v>
      </c>
      <c r="B32" s="643"/>
      <c r="C32" s="756">
        <v>17551.73</v>
      </c>
      <c r="D32">
        <v>22273</v>
      </c>
      <c r="E32" s="289"/>
      <c r="F32" s="289"/>
      <c r="G32" s="289"/>
      <c r="H32" s="289"/>
      <c r="I32" s="289"/>
      <c r="J32" s="644"/>
      <c r="K32" s="652">
        <f t="shared" si="0"/>
        <v>36430</v>
      </c>
      <c r="L32" s="289"/>
      <c r="M32" s="288">
        <f t="shared" si="1"/>
        <v>-36430</v>
      </c>
      <c r="N32" s="290">
        <f t="shared" si="2"/>
        <v>31342</v>
      </c>
      <c r="O32" s="289"/>
      <c r="P32" s="288">
        <f t="shared" si="3"/>
        <v>-31342</v>
      </c>
      <c r="Q32" s="288">
        <f t="shared" si="4"/>
        <v>36636</v>
      </c>
      <c r="R32" s="289"/>
      <c r="S32" s="288">
        <f t="shared" si="5"/>
        <v>-36636</v>
      </c>
      <c r="T32" s="288">
        <f t="shared" si="6"/>
        <v>33830</v>
      </c>
      <c r="U32" s="289"/>
      <c r="V32" s="288">
        <f t="shared" si="7"/>
        <v>-33830</v>
      </c>
      <c r="W32" s="290">
        <f t="shared" si="8"/>
        <v>22034</v>
      </c>
      <c r="X32" s="289"/>
      <c r="Y32" s="288">
        <f t="shared" si="9"/>
        <v>-22034</v>
      </c>
      <c r="Z32" s="291">
        <f t="shared" si="12"/>
        <v>-160272</v>
      </c>
      <c r="AA32" s="6"/>
      <c r="AB32" s="6"/>
      <c r="AC32" s="653">
        <f>Gen!AR37</f>
        <v>0</v>
      </c>
    </row>
    <row r="33" spans="1:29" ht="20.100000000000001" customHeight="1">
      <c r="A33" s="647">
        <f>Gen!A38</f>
        <v>44344</v>
      </c>
      <c r="B33" s="643"/>
      <c r="C33" s="756"/>
      <c r="D33" s="289"/>
      <c r="E33" s="289"/>
      <c r="F33" s="289"/>
      <c r="G33" s="289"/>
      <c r="H33" s="289"/>
      <c r="I33" s="289"/>
      <c r="J33" s="644"/>
      <c r="K33" s="652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2"/>
        <v>0</v>
      </c>
      <c r="AA33" s="6"/>
      <c r="AB33" s="6"/>
      <c r="AC33" s="653">
        <f>Gen!AR38</f>
        <v>0</v>
      </c>
    </row>
    <row r="34" spans="1:29" ht="20.100000000000001" customHeight="1">
      <c r="A34" s="647">
        <f>Gen!A39</f>
        <v>44345</v>
      </c>
      <c r="B34" s="643"/>
      <c r="C34" s="756"/>
      <c r="D34" s="289"/>
      <c r="E34" s="289"/>
      <c r="F34" s="289"/>
      <c r="G34" s="289"/>
      <c r="H34" s="289"/>
      <c r="I34" s="289"/>
      <c r="J34" s="644"/>
      <c r="K34" s="652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2"/>
        <v>#REF!</v>
      </c>
      <c r="AA34" s="6"/>
      <c r="AB34" s="6"/>
      <c r="AC34" s="653">
        <f>Gen!AR39</f>
        <v>0</v>
      </c>
    </row>
    <row r="35" spans="1:29" ht="20.100000000000001" customHeight="1">
      <c r="A35" s="647">
        <f>Gen!A40</f>
        <v>44346</v>
      </c>
      <c r="B35" s="643"/>
      <c r="C35" s="756"/>
      <c r="D35" s="289"/>
      <c r="E35" s="289"/>
      <c r="F35" s="289"/>
      <c r="G35" s="289"/>
      <c r="H35" s="289"/>
      <c r="I35" s="289"/>
      <c r="J35" s="644"/>
      <c r="K35" s="652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2"/>
        <v>#REF!</v>
      </c>
      <c r="AA35" s="6"/>
      <c r="AB35" s="6"/>
      <c r="AC35" s="653">
        <f>Gen!AR40</f>
        <v>0</v>
      </c>
    </row>
    <row r="36" spans="1:29" ht="20.100000000000001" customHeight="1" thickBot="1">
      <c r="A36" s="648">
        <f>Gen!A41</f>
        <v>44347</v>
      </c>
      <c r="B36" s="643"/>
      <c r="C36" s="756"/>
      <c r="D36" s="289"/>
      <c r="E36" s="289"/>
      <c r="F36" s="289"/>
      <c r="G36" s="289"/>
      <c r="H36" s="289"/>
      <c r="I36" s="289"/>
      <c r="J36" s="644"/>
      <c r="K36" s="652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2"/>
        <v>0</v>
      </c>
      <c r="AA36" s="6"/>
      <c r="AB36" s="6"/>
      <c r="AC36" s="653">
        <f>Gen!AR41</f>
        <v>0</v>
      </c>
    </row>
    <row r="37" spans="1:29" ht="21" customHeight="1" thickBot="1">
      <c r="A37" s="648">
        <f>Gen!A42</f>
        <v>0</v>
      </c>
      <c r="B37" s="643">
        <f>Gen!B42</f>
        <v>0</v>
      </c>
      <c r="C37" s="645"/>
      <c r="D37" s="645"/>
      <c r="E37" s="645"/>
      <c r="F37" s="645"/>
      <c r="G37" s="645"/>
      <c r="H37" s="645"/>
      <c r="I37" s="645"/>
      <c r="J37" s="646"/>
      <c r="K37" s="654">
        <f t="shared" si="0"/>
        <v>0</v>
      </c>
      <c r="L37" s="645"/>
      <c r="M37" s="655">
        <f t="shared" si="1"/>
        <v>0</v>
      </c>
      <c r="N37" s="656">
        <f t="shared" si="2"/>
        <v>0</v>
      </c>
      <c r="O37" s="645"/>
      <c r="P37" s="655">
        <f t="shared" si="3"/>
        <v>0</v>
      </c>
      <c r="Q37" s="655">
        <f t="shared" si="4"/>
        <v>0</v>
      </c>
      <c r="R37" s="645"/>
      <c r="S37" s="655">
        <f t="shared" si="5"/>
        <v>0</v>
      </c>
      <c r="T37" s="655">
        <f t="shared" si="6"/>
        <v>0</v>
      </c>
      <c r="U37" s="645"/>
      <c r="V37" s="655">
        <f t="shared" si="7"/>
        <v>0</v>
      </c>
      <c r="W37" s="656">
        <f t="shared" si="8"/>
        <v>0</v>
      </c>
      <c r="X37" s="289"/>
      <c r="Y37" s="655">
        <f t="shared" si="9"/>
        <v>0</v>
      </c>
      <c r="Z37" s="657">
        <f t="shared" si="12"/>
        <v>0</v>
      </c>
      <c r="AA37" s="7"/>
      <c r="AB37" s="7"/>
      <c r="AC37" s="653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1">
        <f>A5</f>
        <v>44317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</row>
    <row r="2" spans="1:13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</row>
    <row r="3" spans="1:13" ht="50.25" customHeight="1" thickBot="1">
      <c r="A3" s="635"/>
      <c r="B3" s="636"/>
      <c r="C3" s="71"/>
      <c r="D3" s="71"/>
      <c r="E3" s="71"/>
      <c r="F3" s="71"/>
      <c r="G3" s="71"/>
      <c r="H3" s="71"/>
      <c r="I3" s="71"/>
      <c r="J3" s="71"/>
      <c r="K3" s="71"/>
      <c r="L3" s="637"/>
    </row>
    <row r="4" spans="1:13" s="48" customFormat="1" ht="50.25" customHeight="1" thickBot="1">
      <c r="A4" s="638" t="s">
        <v>32</v>
      </c>
      <c r="B4" s="639" t="s">
        <v>144</v>
      </c>
      <c r="C4" s="640" t="s">
        <v>145</v>
      </c>
      <c r="D4" s="641" t="s">
        <v>146</v>
      </c>
      <c r="E4" s="641" t="s">
        <v>147</v>
      </c>
      <c r="F4" s="641" t="s">
        <v>148</v>
      </c>
      <c r="G4" s="641" t="s">
        <v>149</v>
      </c>
      <c r="H4" s="641" t="s">
        <v>150</v>
      </c>
      <c r="I4" s="641" t="s">
        <v>151</v>
      </c>
      <c r="J4" s="641" t="s">
        <v>152</v>
      </c>
      <c r="K4" s="641" t="s">
        <v>153</v>
      </c>
      <c r="L4" s="642" t="s">
        <v>154</v>
      </c>
    </row>
    <row r="5" spans="1:13">
      <c r="A5" s="632">
        <f>Gen!A11</f>
        <v>44317</v>
      </c>
      <c r="B5" s="615">
        <f>'Daily report Gen'!Z6</f>
        <v>24</v>
      </c>
      <c r="C5" s="616">
        <f>Gen!B11</f>
        <v>0.01</v>
      </c>
      <c r="D5" s="617">
        <f t="shared" ref="D5:D36" si="0">E5</f>
        <v>0</v>
      </c>
      <c r="E5" s="618"/>
      <c r="F5" s="68">
        <f>Gen!U11</f>
        <v>0.4119358490566038</v>
      </c>
      <c r="G5" s="619">
        <f>Gen!T9</f>
        <v>0</v>
      </c>
      <c r="H5" s="619">
        <f>Gen!AK11</f>
        <v>0</v>
      </c>
      <c r="I5" s="619">
        <f t="shared" ref="I5:I36" si="1">SUM(G5:H5)</f>
        <v>0</v>
      </c>
      <c r="J5" s="620">
        <f>Gen!C11</f>
        <v>27860.560000000001</v>
      </c>
      <c r="K5" s="621">
        <f>'Water-Meter'!E6</f>
        <v>41</v>
      </c>
      <c r="L5" s="622">
        <f>'Lpg (2)'!G10</f>
        <v>0</v>
      </c>
      <c r="M5" s="75" t="e">
        <f>SUM(#REF!-#REF!)</f>
        <v>#REF!</v>
      </c>
    </row>
    <row r="6" spans="1:13">
      <c r="A6" s="633">
        <f>Gen!A12</f>
        <v>44318</v>
      </c>
      <c r="B6" s="623">
        <f>'Daily report Gen'!Z7</f>
        <v>25</v>
      </c>
      <c r="C6" s="83">
        <f>Gen!B12</f>
        <v>0</v>
      </c>
      <c r="D6" s="414">
        <f t="shared" si="0"/>
        <v>0</v>
      </c>
      <c r="E6" s="70"/>
      <c r="F6" s="68">
        <f>Gen!U12</f>
        <v>0.41311086392287732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26680.18</v>
      </c>
      <c r="K6" s="280">
        <f>'Water-Meter'!E7</f>
        <v>50</v>
      </c>
      <c r="L6" s="624">
        <f>'Lpg (2)'!G11</f>
        <v>49.631999999994882</v>
      </c>
      <c r="M6" s="75" t="e">
        <f>SUM(#REF!-#REF!)</f>
        <v>#REF!</v>
      </c>
    </row>
    <row r="7" spans="1:13">
      <c r="A7" s="633">
        <f>Gen!A13</f>
        <v>44319</v>
      </c>
      <c r="B7" s="623">
        <f>'Daily report Gen'!Z8</f>
        <v>24</v>
      </c>
      <c r="C7" s="83">
        <f>Gen!B13</f>
        <v>3.9E-2</v>
      </c>
      <c r="D7" s="414">
        <f t="shared" si="0"/>
        <v>0</v>
      </c>
      <c r="E7" s="70"/>
      <c r="F7" s="68">
        <f>Gen!U13</f>
        <v>0.41249336870026521</v>
      </c>
      <c r="G7" s="81">
        <f>Gen!T11</f>
        <v>2650</v>
      </c>
      <c r="H7" s="81">
        <f>Gen!AK13</f>
        <v>0</v>
      </c>
      <c r="I7" s="81">
        <f t="shared" si="1"/>
        <v>2650</v>
      </c>
      <c r="J7" s="425">
        <f>Gen!C13</f>
        <v>40466.020000000004</v>
      </c>
      <c r="K7" s="280">
        <f>'Water-Meter'!E8</f>
        <v>50</v>
      </c>
      <c r="L7" s="624">
        <f>'Lpg (2)'!G12</f>
        <v>42.768000000005124</v>
      </c>
      <c r="M7" s="75" t="e">
        <f>SUM(#REF!-#REF!)</f>
        <v>#REF!</v>
      </c>
    </row>
    <row r="8" spans="1:13">
      <c r="A8" s="633">
        <f>Gen!A14</f>
        <v>44320</v>
      </c>
      <c r="B8" s="623">
        <f>'Daily report Gen'!Z9</f>
        <v>24</v>
      </c>
      <c r="C8" s="83">
        <f>Gen!B14</f>
        <v>5.1999999999999998E-2</v>
      </c>
      <c r="D8" s="414">
        <f>E8</f>
        <v>0</v>
      </c>
      <c r="E8" s="70"/>
      <c r="F8" s="68">
        <f>Gen!U14</f>
        <v>0.41276362349610757</v>
      </c>
      <c r="G8" s="81">
        <f>Gen!T12</f>
        <v>2697</v>
      </c>
      <c r="H8" s="81">
        <f>Gen!AK14</f>
        <v>0</v>
      </c>
      <c r="I8" s="81">
        <f t="shared" si="1"/>
        <v>2697</v>
      </c>
      <c r="J8" s="425">
        <f>Gen!C14</f>
        <v>39347.69</v>
      </c>
      <c r="K8" s="280">
        <f>'Water-Meter'!E9</f>
        <v>50</v>
      </c>
      <c r="L8" s="624">
        <f>'Lpg (2)'!G13</f>
        <v>55.22000000001281</v>
      </c>
      <c r="M8" s="75" t="e">
        <f>SUM(#REF!-#REF!)</f>
        <v>#REF!</v>
      </c>
    </row>
    <row r="9" spans="1:13">
      <c r="A9" s="633">
        <f>Gen!A15</f>
        <v>44321</v>
      </c>
      <c r="B9" s="623">
        <f>'Daily report Gen'!Z10</f>
        <v>25</v>
      </c>
      <c r="C9" s="83">
        <f>Gen!B15</f>
        <v>5.6000000000000001E-2</v>
      </c>
      <c r="D9" s="414">
        <f t="shared" si="0"/>
        <v>0</v>
      </c>
      <c r="E9" s="70"/>
      <c r="F9" s="68">
        <f>Gen!U15</f>
        <v>0.40473021582733815</v>
      </c>
      <c r="G9" s="81">
        <f>Gen!T13</f>
        <v>2639</v>
      </c>
      <c r="H9" s="81">
        <f>Gen!AK15</f>
        <v>0</v>
      </c>
      <c r="I9" s="81">
        <f t="shared" si="1"/>
        <v>2639</v>
      </c>
      <c r="J9" s="425">
        <f>Gen!C15</f>
        <v>38143.090000000004</v>
      </c>
      <c r="K9" s="280">
        <f>'Water-Meter'!E10</f>
        <v>67</v>
      </c>
      <c r="L9" s="624">
        <f>'Lpg (2)'!G14</f>
        <v>65.295999999984645</v>
      </c>
      <c r="M9" s="75" t="e">
        <f>SUM(#REF!-#REF!)</f>
        <v>#REF!</v>
      </c>
    </row>
    <row r="10" spans="1:13">
      <c r="A10" s="633">
        <f>Gen!A16</f>
        <v>44322</v>
      </c>
      <c r="B10" s="623">
        <f>'Daily report Gen'!Z11</f>
        <v>24</v>
      </c>
      <c r="C10" s="83">
        <f>Gen!B16</f>
        <v>5.6000000000000001E-2</v>
      </c>
      <c r="D10" s="414">
        <f t="shared" si="0"/>
        <v>0</v>
      </c>
      <c r="E10" s="70"/>
      <c r="F10" s="68">
        <f>Gen!U16</f>
        <v>0.40669310344827592</v>
      </c>
      <c r="G10" s="81">
        <f>Gen!T14</f>
        <v>2826</v>
      </c>
      <c r="H10" s="81">
        <f>Gen!AK16</f>
        <v>0</v>
      </c>
      <c r="I10" s="81">
        <f t="shared" si="1"/>
        <v>2826</v>
      </c>
      <c r="J10" s="425">
        <f>Gen!C16</f>
        <v>37017.94</v>
      </c>
      <c r="K10" s="280">
        <f>'Water-Meter'!E11</f>
        <v>70</v>
      </c>
      <c r="L10" s="624">
        <f>'Lpg (2)'!G15</f>
        <v>64.988000000017934</v>
      </c>
      <c r="M10" s="75" t="e">
        <f>SUM(#REF!-#REF!)</f>
        <v>#REF!</v>
      </c>
    </row>
    <row r="11" spans="1:13">
      <c r="A11" s="633">
        <f>Gen!A17</f>
        <v>44323</v>
      </c>
      <c r="B11" s="623">
        <f>'Daily report Gen'!Z12</f>
        <v>25</v>
      </c>
      <c r="C11" s="83">
        <f>Gen!B17</f>
        <v>0</v>
      </c>
      <c r="D11" s="414">
        <f t="shared" si="0"/>
        <v>0</v>
      </c>
      <c r="E11" s="70"/>
      <c r="F11" s="68">
        <f>Gen!U17</f>
        <v>0.41198244330651057</v>
      </c>
      <c r="G11" s="81">
        <f>Gen!T15</f>
        <v>2780</v>
      </c>
      <c r="H11" s="81">
        <f>Gen!AK17</f>
        <v>0</v>
      </c>
      <c r="I11" s="81">
        <f t="shared" si="1"/>
        <v>2780</v>
      </c>
      <c r="J11" s="425">
        <f>Gen!C17</f>
        <v>35338.400000000001</v>
      </c>
      <c r="K11" s="280">
        <f>'Water-Meter'!E12</f>
        <v>50</v>
      </c>
      <c r="L11" s="624">
        <f>'Lpg (2)'!G16</f>
        <v>62.391999999969272</v>
      </c>
      <c r="M11" s="75" t="e">
        <f>SUM(#REF!-#REF!)</f>
        <v>#REF!</v>
      </c>
    </row>
    <row r="12" spans="1:13">
      <c r="A12" s="633">
        <f>Gen!A18</f>
        <v>44324</v>
      </c>
      <c r="B12" s="623">
        <f>'Daily report Gen'!Z13</f>
        <v>48</v>
      </c>
      <c r="C12" s="83">
        <f>Gen!B18</f>
        <v>0</v>
      </c>
      <c r="D12" s="414">
        <f t="shared" si="0"/>
        <v>0</v>
      </c>
      <c r="E12" s="70"/>
      <c r="F12" s="68">
        <f>Gen!U18</f>
        <v>0.41156542056074763</v>
      </c>
      <c r="G12" s="81">
        <f>Gen!T16</f>
        <v>2900</v>
      </c>
      <c r="H12" s="81">
        <f>Gen!AK18</f>
        <v>0</v>
      </c>
      <c r="I12" s="81">
        <f t="shared" si="1"/>
        <v>2900</v>
      </c>
      <c r="J12" s="425">
        <f>Gen!C18</f>
        <v>49212.04</v>
      </c>
      <c r="K12" s="280">
        <f>'Water-Meter'!E13</f>
        <v>51</v>
      </c>
      <c r="L12" s="624">
        <f>'Lpg (2)'!G17</f>
        <v>68.904000000015373</v>
      </c>
      <c r="M12" s="75" t="e">
        <f>SUM(#REF!-#REF!)</f>
        <v>#REF!</v>
      </c>
    </row>
    <row r="13" spans="1:13">
      <c r="A13" s="633">
        <f>Gen!A19</f>
        <v>44325</v>
      </c>
      <c r="B13" s="623">
        <f>'Daily report Gen'!Z14</f>
        <v>0</v>
      </c>
      <c r="C13" s="83">
        <f>Gen!B19</f>
        <v>0</v>
      </c>
      <c r="D13" s="414">
        <f t="shared" si="0"/>
        <v>0</v>
      </c>
      <c r="E13" s="70"/>
      <c r="F13" s="68">
        <f>Gen!U19</f>
        <v>0.40277502854967639</v>
      </c>
      <c r="G13" s="81">
        <f>Gen!T17</f>
        <v>2734</v>
      </c>
      <c r="H13" s="81">
        <f>Gen!AK19</f>
        <v>0</v>
      </c>
      <c r="I13" s="81">
        <f t="shared" si="1"/>
        <v>2734</v>
      </c>
      <c r="J13" s="425">
        <f>Gen!C19</f>
        <v>47730.99</v>
      </c>
      <c r="K13" s="280">
        <f>'Water-Meter'!E14</f>
        <v>76</v>
      </c>
      <c r="L13" s="624">
        <f>'Lpg (2)'!G18</f>
        <v>66</v>
      </c>
      <c r="M13" s="75" t="e">
        <f>SUM(#REF!-#REF!)</f>
        <v>#REF!</v>
      </c>
    </row>
    <row r="14" spans="1:13">
      <c r="A14" s="633">
        <f>Gen!A20</f>
        <v>44326</v>
      </c>
      <c r="B14" s="623" t="e">
        <f>'Daily report Gen'!Z15</f>
        <v>#REF!</v>
      </c>
      <c r="C14" s="83">
        <f>Gen!B20</f>
        <v>0</v>
      </c>
      <c r="D14" s="414">
        <f t="shared" si="0"/>
        <v>0</v>
      </c>
      <c r="E14" s="70"/>
      <c r="F14" s="68">
        <f>Gen!U20</f>
        <v>0.41490645284459721</v>
      </c>
      <c r="G14" s="81">
        <f>Gen!T18</f>
        <v>2996</v>
      </c>
      <c r="H14" s="81">
        <f>Gen!AK20</f>
        <v>0</v>
      </c>
      <c r="I14" s="81">
        <f t="shared" si="1"/>
        <v>2996</v>
      </c>
      <c r="J14" s="425">
        <f>Gen!C20</f>
        <v>46526.75</v>
      </c>
      <c r="K14" s="280">
        <f>'Water-Meter'!E15</f>
        <v>20</v>
      </c>
      <c r="L14" s="624">
        <f>'Lpg (2)'!G19</f>
        <v>79.068000000005128</v>
      </c>
      <c r="M14" s="75" t="e">
        <f>SUM(#REF!-#REF!)</f>
        <v>#REF!</v>
      </c>
    </row>
    <row r="15" spans="1:13">
      <c r="A15" s="633">
        <f>Gen!A21</f>
        <v>44327</v>
      </c>
      <c r="B15" s="623">
        <f>'Daily report Gen'!Z16</f>
        <v>24</v>
      </c>
      <c r="C15" s="83">
        <f>Gen!B21</f>
        <v>0</v>
      </c>
      <c r="D15" s="414">
        <f t="shared" si="0"/>
        <v>0</v>
      </c>
      <c r="E15" s="70"/>
      <c r="F15" s="68">
        <f>Gen!U21</f>
        <v>0.41942574257425741</v>
      </c>
      <c r="G15" s="81">
        <f>Gen!T19</f>
        <v>2627</v>
      </c>
      <c r="H15" s="81">
        <f>Gen!AK21</f>
        <v>0</v>
      </c>
      <c r="I15" s="81">
        <f t="shared" si="1"/>
        <v>2627</v>
      </c>
      <c r="J15" s="425">
        <f>Gen!C21</f>
        <v>45299.78</v>
      </c>
      <c r="K15" s="280">
        <f>'Water-Meter'!E16</f>
        <v>54</v>
      </c>
      <c r="L15" s="624">
        <f>'Lpg (2)'!G20</f>
        <v>71.279999999987197</v>
      </c>
      <c r="M15" s="75" t="e">
        <f>SUM(#REF!-#REF!)</f>
        <v>#REF!</v>
      </c>
    </row>
    <row r="16" spans="1:13">
      <c r="A16" s="633">
        <f>Gen!A22</f>
        <v>44328</v>
      </c>
      <c r="B16" s="623">
        <f>'Daily report Gen'!Z17</f>
        <v>25</v>
      </c>
      <c r="C16" s="83">
        <f>Gen!B22</f>
        <v>0</v>
      </c>
      <c r="D16" s="414">
        <f t="shared" si="0"/>
        <v>0</v>
      </c>
      <c r="E16" s="70"/>
      <c r="F16" s="68">
        <f>Gen!U22</f>
        <v>0.43087314662273479</v>
      </c>
      <c r="G16" s="81">
        <f>Gen!T20</f>
        <v>2619</v>
      </c>
      <c r="H16" s="81">
        <f>Gen!AK22</f>
        <v>0</v>
      </c>
      <c r="I16" s="81">
        <f t="shared" si="1"/>
        <v>2619</v>
      </c>
      <c r="J16" s="425">
        <f>Gen!C22</f>
        <v>43593.729999999996</v>
      </c>
      <c r="K16" s="280">
        <f>'Water-Meter'!E17</f>
        <v>51</v>
      </c>
      <c r="L16" s="624">
        <f>'Lpg (2)'!G21</f>
        <v>52.360000000038418</v>
      </c>
      <c r="M16" s="75" t="e">
        <f>SUM(#REF!-#REF!)</f>
        <v>#REF!</v>
      </c>
    </row>
    <row r="17" spans="1:13">
      <c r="A17" s="633">
        <f>Gen!A23</f>
        <v>44329</v>
      </c>
      <c r="B17" s="623">
        <f>'Daily report Gen'!Z18</f>
        <v>24</v>
      </c>
      <c r="C17" s="83">
        <f>Gen!B23</f>
        <v>0</v>
      </c>
      <c r="D17" s="414">
        <f t="shared" si="0"/>
        <v>0</v>
      </c>
      <c r="E17" s="70"/>
      <c r="F17" s="68">
        <f>Gen!U23</f>
        <v>0.400421974522293</v>
      </c>
      <c r="G17" s="81">
        <f>Gen!T21</f>
        <v>2525</v>
      </c>
      <c r="H17" s="81">
        <f>Gen!AK23</f>
        <v>0</v>
      </c>
      <c r="I17" s="81">
        <f t="shared" si="1"/>
        <v>2525</v>
      </c>
      <c r="J17" s="425">
        <f>Gen!C23</f>
        <v>42547.569999999992</v>
      </c>
      <c r="K17" s="280">
        <f>'Water-Meter'!E18</f>
        <v>54</v>
      </c>
      <c r="L17" s="624">
        <f>'Lpg (2)'!G22</f>
        <v>51.787999999953904</v>
      </c>
      <c r="M17" s="75" t="e">
        <f>SUM(#REF!-#REF!)</f>
        <v>#REF!</v>
      </c>
    </row>
    <row r="18" spans="1:13">
      <c r="A18" s="633">
        <f>Gen!A24</f>
        <v>44330</v>
      </c>
      <c r="B18" s="623">
        <f>'Daily report Gen'!Z19</f>
        <v>24</v>
      </c>
      <c r="C18" s="83">
        <f>Gen!B24</f>
        <v>0</v>
      </c>
      <c r="D18" s="414">
        <f t="shared" si="0"/>
        <v>0</v>
      </c>
      <c r="E18" s="70"/>
      <c r="F18" s="68">
        <f>Gen!U24</f>
        <v>0.41580903790087465</v>
      </c>
      <c r="G18" s="81">
        <f>Gen!T22</f>
        <v>2428</v>
      </c>
      <c r="H18" s="81">
        <f>Gen!AK24</f>
        <v>0</v>
      </c>
      <c r="I18" s="81">
        <f t="shared" si="1"/>
        <v>2428</v>
      </c>
      <c r="J18" s="425">
        <f>Gen!C24</f>
        <v>41292.229999999996</v>
      </c>
      <c r="K18" s="280">
        <f>'Water-Meter'!E19</f>
        <v>42</v>
      </c>
      <c r="L18" s="624">
        <f>'Lpg (2)'!G23</f>
        <v>75.020000000012814</v>
      </c>
      <c r="M18" s="75" t="e">
        <f>SUM(#REF!-#REF!)</f>
        <v>#REF!</v>
      </c>
    </row>
    <row r="19" spans="1:13">
      <c r="A19" s="633">
        <f>Gen!A25</f>
        <v>44331</v>
      </c>
      <c r="B19" s="623">
        <f>'Daily report Gen'!Z20</f>
        <v>24</v>
      </c>
      <c r="C19" s="83">
        <f>Gen!B25</f>
        <v>0</v>
      </c>
      <c r="D19" s="414">
        <f t="shared" si="0"/>
        <v>0</v>
      </c>
      <c r="E19" s="70"/>
      <c r="F19" s="68">
        <f>Gen!U25</f>
        <v>0.42675335229581474</v>
      </c>
      <c r="G19" s="81">
        <f>Gen!T23</f>
        <v>2512</v>
      </c>
      <c r="H19" s="81">
        <f>Gen!AK25</f>
        <v>0</v>
      </c>
      <c r="I19" s="81">
        <f t="shared" si="1"/>
        <v>2512</v>
      </c>
      <c r="J19" s="425">
        <f>Gen!C25</f>
        <v>40057.829999999994</v>
      </c>
      <c r="K19" s="280">
        <f>'Water-Meter'!E20</f>
        <v>46</v>
      </c>
      <c r="L19" s="624">
        <f>'Lpg (2)'!G24</f>
        <v>62.524000000028181</v>
      </c>
      <c r="M19" s="75" t="e">
        <f>SUM(#REF!-#REF!)</f>
        <v>#REF!</v>
      </c>
    </row>
    <row r="20" spans="1:13">
      <c r="A20" s="633">
        <f>Gen!A26</f>
        <v>44332</v>
      </c>
      <c r="B20" s="623">
        <f>'Daily report Gen'!Z21</f>
        <v>24</v>
      </c>
      <c r="C20" s="83">
        <f>Gen!B26</f>
        <v>0</v>
      </c>
      <c r="D20" s="414">
        <f t="shared" si="0"/>
        <v>0</v>
      </c>
      <c r="E20" s="70"/>
      <c r="F20" s="68">
        <f>Gen!U26</f>
        <v>0.42278370144706778</v>
      </c>
      <c r="G20" s="81">
        <f>Gen!T24</f>
        <v>2744</v>
      </c>
      <c r="H20" s="81">
        <f>Gen!AK26</f>
        <v>0</v>
      </c>
      <c r="I20" s="81">
        <f t="shared" si="1"/>
        <v>2744</v>
      </c>
      <c r="J20" s="425">
        <f>Gen!C26</f>
        <v>38851.349999999991</v>
      </c>
      <c r="K20" s="280">
        <f>'Water-Meter'!E21</f>
        <v>45</v>
      </c>
      <c r="L20" s="624">
        <f>'Lpg (2)'!G25</f>
        <v>72.159999999974389</v>
      </c>
      <c r="M20" s="75" t="e">
        <f>SUM(#REF!-#REF!)</f>
        <v>#REF!</v>
      </c>
    </row>
    <row r="21" spans="1:13">
      <c r="A21" s="633">
        <f>Gen!A27</f>
        <v>44333</v>
      </c>
      <c r="B21" s="623">
        <f>'Daily report Gen'!Z22</f>
        <v>24</v>
      </c>
      <c r="C21" s="83">
        <f>Gen!B27</f>
        <v>0</v>
      </c>
      <c r="D21" s="414">
        <f t="shared" si="0"/>
        <v>0</v>
      </c>
      <c r="E21" s="70"/>
      <c r="F21" s="68">
        <f>Gen!U27</f>
        <v>0.40053735255570122</v>
      </c>
      <c r="G21" s="81">
        <f>Gen!T25</f>
        <v>2461</v>
      </c>
      <c r="H21" s="81">
        <f>Gen!AK27</f>
        <v>0</v>
      </c>
      <c r="I21" s="81">
        <f t="shared" si="1"/>
        <v>2461</v>
      </c>
      <c r="J21" s="425">
        <f>Gen!C27</f>
        <v>37741.119999999988</v>
      </c>
      <c r="K21" s="280">
        <f>'Water-Meter'!E22</f>
        <v>57</v>
      </c>
      <c r="L21" s="624">
        <f>'Lpg (2)'!G26</f>
        <v>64.636000000010256</v>
      </c>
      <c r="M21" s="75" t="e">
        <f>SUM(#REF!-#REF!)</f>
        <v>#REF!</v>
      </c>
    </row>
    <row r="22" spans="1:13">
      <c r="A22" s="633">
        <f>Gen!A28</f>
        <v>44334</v>
      </c>
      <c r="B22" s="623">
        <f>'Daily report Gen'!Z23</f>
        <v>24</v>
      </c>
      <c r="C22" s="83">
        <f>Gen!B28</f>
        <v>0</v>
      </c>
      <c r="D22" s="414">
        <f t="shared" si="0"/>
        <v>0</v>
      </c>
      <c r="E22" s="70"/>
      <c r="F22" s="68">
        <f>Gen!U28</f>
        <v>0.41726186411744626</v>
      </c>
      <c r="G22" s="81">
        <f>Gen!T26</f>
        <v>2626</v>
      </c>
      <c r="H22" s="81">
        <f>Gen!AK28</f>
        <v>0</v>
      </c>
      <c r="I22" s="81">
        <f t="shared" si="1"/>
        <v>2626</v>
      </c>
      <c r="J22" s="425">
        <f>Gen!C28</f>
        <v>36400.759999999987</v>
      </c>
      <c r="K22" s="280">
        <f>'Water-Meter'!E23</f>
        <v>47</v>
      </c>
      <c r="L22" s="624">
        <f>'Lpg (2)'!G27</f>
        <v>80.211999999982083</v>
      </c>
      <c r="M22" s="75" t="e">
        <f>SUM(#REF!-#REF!)</f>
        <v>#REF!</v>
      </c>
    </row>
    <row r="23" spans="1:13">
      <c r="A23" s="633">
        <f>Gen!A29</f>
        <v>44335</v>
      </c>
      <c r="B23" s="623">
        <f>'Daily report Gen'!Z24</f>
        <v>25</v>
      </c>
      <c r="C23" s="83">
        <f>Gen!B29</f>
        <v>0</v>
      </c>
      <c r="D23" s="414">
        <f t="shared" si="0"/>
        <v>0</v>
      </c>
      <c r="E23" s="70"/>
      <c r="F23" s="68">
        <f>Gen!U29</f>
        <v>0.41349380530973445</v>
      </c>
      <c r="G23" s="81">
        <f>Gen!T27</f>
        <v>3052</v>
      </c>
      <c r="H23" s="81">
        <f>Gen!AK29</f>
        <v>0</v>
      </c>
      <c r="I23" s="81">
        <f t="shared" si="1"/>
        <v>3052</v>
      </c>
      <c r="J23" s="425">
        <f>Gen!C29</f>
        <v>35178.599999999984</v>
      </c>
      <c r="K23" s="280">
        <f>'Water-Meter'!E24</f>
        <v>45</v>
      </c>
      <c r="L23" s="624">
        <f>'Lpg (2)'!G28</f>
        <v>79.904000000015373</v>
      </c>
      <c r="M23" s="75" t="e">
        <f>SUM(#REF!-#REF!)</f>
        <v>#REF!</v>
      </c>
    </row>
    <row r="24" spans="1:13">
      <c r="A24" s="633">
        <f>Gen!A30</f>
        <v>44336</v>
      </c>
      <c r="B24" s="623">
        <f>'Daily report Gen'!Z25</f>
        <v>24</v>
      </c>
      <c r="C24" s="83">
        <f>Gen!B30</f>
        <v>0</v>
      </c>
      <c r="D24" s="414">
        <f t="shared" si="0"/>
        <v>0</v>
      </c>
      <c r="E24" s="70"/>
      <c r="F24" s="68">
        <f>Gen!U30</f>
        <v>0.4097903109182936</v>
      </c>
      <c r="G24" s="81">
        <f>Gen!T28</f>
        <v>2929</v>
      </c>
      <c r="H24" s="81">
        <f>Gen!AK30</f>
        <v>0</v>
      </c>
      <c r="I24" s="81">
        <f t="shared" si="1"/>
        <v>2929</v>
      </c>
      <c r="J24" s="425">
        <f>Gen!C30</f>
        <v>33842.309999999983</v>
      </c>
      <c r="K24" s="280">
        <f>'Water-Meter'!E25</f>
        <v>49</v>
      </c>
      <c r="L24" s="624">
        <f>'Lpg (2)'!G29</f>
        <v>72.995999999984633</v>
      </c>
      <c r="M24" s="75" t="e">
        <f>SUM(#REF!-#REF!)</f>
        <v>#REF!</v>
      </c>
    </row>
    <row r="25" spans="1:13">
      <c r="A25" s="633">
        <f>Gen!A31</f>
        <v>44337</v>
      </c>
      <c r="B25" s="623">
        <f>'Daily report Gen'!Z26</f>
        <v>25</v>
      </c>
      <c r="C25" s="83">
        <f>Gen!B31</f>
        <v>0</v>
      </c>
      <c r="D25" s="414">
        <f t="shared" si="0"/>
        <v>0</v>
      </c>
      <c r="E25" s="70"/>
      <c r="F25" s="68">
        <f>Gen!U31</f>
        <v>0.40506006552602841</v>
      </c>
      <c r="G25" s="81">
        <f>Gen!T29</f>
        <v>2825</v>
      </c>
      <c r="H25" s="81">
        <f>Gen!AK31</f>
        <v>0</v>
      </c>
      <c r="I25" s="81">
        <f t="shared" si="1"/>
        <v>2825</v>
      </c>
      <c r="J25" s="425">
        <f>Gen!C31</f>
        <v>32628.429999999982</v>
      </c>
      <c r="K25" s="280">
        <f>'Water-Meter'!E26</f>
        <v>45</v>
      </c>
      <c r="L25" s="624">
        <f>'Lpg (2)'!G30</f>
        <v>59.620000000012809</v>
      </c>
      <c r="M25" s="75" t="e">
        <f>SUM(#REF!-#REF!)</f>
        <v>#REF!</v>
      </c>
    </row>
    <row r="26" spans="1:13">
      <c r="A26" s="633">
        <f>Gen!A32</f>
        <v>44338</v>
      </c>
      <c r="B26" s="623">
        <f>'Daily report Gen'!Z27</f>
        <v>25</v>
      </c>
      <c r="C26" s="83">
        <f>Gen!B32</f>
        <v>0</v>
      </c>
      <c r="D26" s="414">
        <f t="shared" si="0"/>
        <v>0</v>
      </c>
      <c r="E26" s="70"/>
      <c r="F26" s="68">
        <f>Gen!U32</f>
        <v>0.41389830508474573</v>
      </c>
      <c r="G26" s="81">
        <f>Gen!T30</f>
        <v>2766</v>
      </c>
      <c r="H26" s="81">
        <f>Gen!AK32</f>
        <v>0</v>
      </c>
      <c r="I26" s="81">
        <f t="shared" si="1"/>
        <v>2766</v>
      </c>
      <c r="J26" s="425">
        <f>Gen!C32</f>
        <v>31226.729999999981</v>
      </c>
      <c r="K26" s="280">
        <f>'Water-Meter'!E27</f>
        <v>63</v>
      </c>
      <c r="L26" s="624">
        <f>'Lpg (2)'!G31</f>
        <v>43.340000000025611</v>
      </c>
      <c r="M26" s="75" t="e">
        <f>SUM(#REF!-#REF!)</f>
        <v>#REF!</v>
      </c>
    </row>
    <row r="27" spans="1:13">
      <c r="A27" s="633">
        <f>Gen!A33</f>
        <v>44339</v>
      </c>
      <c r="B27" s="623">
        <f>'Daily report Gen'!Z28</f>
        <v>25</v>
      </c>
      <c r="C27" s="83">
        <f>Gen!B33</f>
        <v>0</v>
      </c>
      <c r="D27" s="414">
        <f t="shared" si="0"/>
        <v>0</v>
      </c>
      <c r="E27" s="70"/>
      <c r="F27" s="68">
        <f>Gen!U33</f>
        <v>0.41595381882770871</v>
      </c>
      <c r="G27" s="81">
        <f>Gen!T31</f>
        <v>2747</v>
      </c>
      <c r="H27" s="81">
        <f>Gen!AK33</f>
        <v>0</v>
      </c>
      <c r="I27" s="81">
        <f t="shared" si="1"/>
        <v>2747</v>
      </c>
      <c r="J27" s="425">
        <f>Gen!C33</f>
        <v>29803.489999999983</v>
      </c>
      <c r="K27" s="280">
        <f>'Water-Meter'!E28</f>
        <v>47</v>
      </c>
      <c r="L27" s="624">
        <f>'Lpg (2)'!G32</f>
        <v>68.683999999938536</v>
      </c>
      <c r="M27" s="75" t="e">
        <f>SUM(#REF!-#REF!)</f>
        <v>#REF!</v>
      </c>
    </row>
    <row r="28" spans="1:13">
      <c r="A28" s="633">
        <f>Gen!A34</f>
        <v>44340</v>
      </c>
      <c r="B28" s="623">
        <f>'Daily report Gen'!Z29</f>
        <v>24</v>
      </c>
      <c r="C28" s="83">
        <f>Gen!B34</f>
        <v>0</v>
      </c>
      <c r="D28" s="414">
        <f t="shared" si="0"/>
        <v>0</v>
      </c>
      <c r="E28" s="70"/>
      <c r="F28" s="68">
        <f>Gen!U34</f>
        <v>0.41536697247706417</v>
      </c>
      <c r="G28" s="81">
        <f>Gen!T32</f>
        <v>2714</v>
      </c>
      <c r="H28" s="81">
        <f>Gen!AK34</f>
        <v>0</v>
      </c>
      <c r="I28" s="81">
        <f t="shared" si="1"/>
        <v>2714</v>
      </c>
      <c r="J28" s="425">
        <f>Gen!C34</f>
        <v>28620.839999999982</v>
      </c>
      <c r="K28" s="280">
        <f>'Water-Meter'!E29</f>
        <v>46</v>
      </c>
      <c r="L28" s="624">
        <f>'Lpg (2)'!G33</f>
        <v>-171.64399999997696</v>
      </c>
      <c r="M28" s="75" t="e">
        <f>SUM(#REF!-#REF!)</f>
        <v>#REF!</v>
      </c>
    </row>
    <row r="29" spans="1:13">
      <c r="A29" s="633">
        <f>Gen!A35</f>
        <v>44341</v>
      </c>
      <c r="B29" s="623">
        <f>'Daily report Gen'!Z30</f>
        <v>24</v>
      </c>
      <c r="C29" s="83">
        <f>Gen!B35</f>
        <v>0</v>
      </c>
      <c r="D29" s="414">
        <f t="shared" si="0"/>
        <v>0</v>
      </c>
      <c r="E29" s="70"/>
      <c r="F29" s="68">
        <f>Gen!U35</f>
        <v>0.40613056783407009</v>
      </c>
      <c r="G29" s="81">
        <f>Gen!T33</f>
        <v>2815</v>
      </c>
      <c r="H29" s="81">
        <f>Gen!AK35</f>
        <v>0</v>
      </c>
      <c r="I29" s="81">
        <f t="shared" si="1"/>
        <v>2815</v>
      </c>
      <c r="J29" s="425">
        <f>Gen!C35</f>
        <v>27472.919999999984</v>
      </c>
      <c r="K29" s="280">
        <f>'Water-Meter'!E30</f>
        <v>51</v>
      </c>
      <c r="L29" s="624">
        <f>'Lpg (2)'!G34</f>
        <v>289.25600000002305</v>
      </c>
      <c r="M29" s="75" t="e">
        <f>SUM(#REF!-#REF!)</f>
        <v>#REF!</v>
      </c>
    </row>
    <row r="30" spans="1:13">
      <c r="A30" s="633">
        <f>Gen!A36</f>
        <v>44342</v>
      </c>
      <c r="B30" s="623">
        <f>'Daily report Gen'!Z31</f>
        <v>23</v>
      </c>
      <c r="C30" s="83">
        <f>Gen!B36</f>
        <v>0</v>
      </c>
      <c r="D30" s="414">
        <f t="shared" si="0"/>
        <v>0</v>
      </c>
      <c r="E30" s="70"/>
      <c r="F30" s="68">
        <f>Gen!U36</f>
        <v>0.41911134903640251</v>
      </c>
      <c r="G30" s="81">
        <f>Gen!T34</f>
        <v>2616</v>
      </c>
      <c r="H30" s="81">
        <f>Gen!AK36</f>
        <v>0</v>
      </c>
      <c r="I30" s="81">
        <f t="shared" si="1"/>
        <v>2616</v>
      </c>
      <c r="J30" s="425">
        <f>Gen!C36</f>
        <v>41022.969999999987</v>
      </c>
      <c r="K30" s="280">
        <f>'Water-Meter'!E31</f>
        <v>56</v>
      </c>
      <c r="L30" s="624">
        <f>'Lpg (2)'!G35</f>
        <v>122.23199999999488</v>
      </c>
      <c r="M30" s="75" t="e">
        <f>SUM(#REF!-#REF!)</f>
        <v>#REF!</v>
      </c>
    </row>
    <row r="31" spans="1:13">
      <c r="A31" s="633">
        <f>Gen!A37</f>
        <v>44343</v>
      </c>
      <c r="B31" s="623">
        <f>'Daily report Gen'!Z32</f>
        <v>-160272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2941</v>
      </c>
      <c r="H31" s="81">
        <f>Gen!AK37</f>
        <v>0</v>
      </c>
      <c r="I31" s="81">
        <f t="shared" si="1"/>
        <v>2941</v>
      </c>
      <c r="J31" s="425">
        <f>Gen!C37</f>
        <v>39824.729999999989</v>
      </c>
      <c r="K31" s="280" t="str">
        <f>'Water-Meter'!E32</f>
        <v>0</v>
      </c>
      <c r="L31" s="624">
        <f>'Lpg (2)'!G36</f>
        <v>-337131.03600000002</v>
      </c>
      <c r="M31" s="75" t="e">
        <f>SUM(#REF!-#REF!)</f>
        <v>#REF!</v>
      </c>
    </row>
    <row r="32" spans="1:13">
      <c r="A32" s="633">
        <f>Gen!A38</f>
        <v>44344</v>
      </c>
      <c r="B32" s="623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2802</v>
      </c>
      <c r="H32" s="81">
        <f>Gen!AK38</f>
        <v>0</v>
      </c>
      <c r="I32" s="81">
        <f t="shared" si="1"/>
        <v>2802</v>
      </c>
      <c r="J32" s="425">
        <f>Gen!C38</f>
        <v>39824.729999999989</v>
      </c>
      <c r="K32" s="280">
        <f>'Water-Meter'!E33</f>
        <v>0</v>
      </c>
      <c r="L32" s="624">
        <f>'Lpg (2)'!G37</f>
        <v>0</v>
      </c>
      <c r="M32" s="75" t="e">
        <f>SUM(#REF!-#REF!)</f>
        <v>#REF!</v>
      </c>
    </row>
    <row r="33" spans="1:13">
      <c r="A33" s="633">
        <f>Gen!A39</f>
        <v>44345</v>
      </c>
      <c r="B33" s="623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5">
        <f>Gen!C39</f>
        <v>39824.729999999989</v>
      </c>
      <c r="K33" s="280">
        <f>'Water-Meter'!E34</f>
        <v>0</v>
      </c>
      <c r="L33" s="624">
        <f>'Lpg (2)'!G38</f>
        <v>0</v>
      </c>
      <c r="M33" s="75" t="e">
        <f>SUM(#REF!-#REF!)</f>
        <v>#REF!</v>
      </c>
    </row>
    <row r="34" spans="1:13">
      <c r="A34" s="633">
        <f>Gen!A40</f>
        <v>44346</v>
      </c>
      <c r="B34" s="623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5">
        <f>Gen!C40</f>
        <v>39824.729999999989</v>
      </c>
      <c r="K34" s="280">
        <f>'Water-Meter'!E35</f>
        <v>0</v>
      </c>
      <c r="L34" s="624">
        <f>'Lpg (2)'!G39</f>
        <v>0</v>
      </c>
      <c r="M34" s="75" t="e">
        <f>SUM(#REF!-#REF!)</f>
        <v>#REF!</v>
      </c>
    </row>
    <row r="35" spans="1:13">
      <c r="A35" s="633">
        <f>Gen!A41</f>
        <v>44347</v>
      </c>
      <c r="B35" s="623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5">
        <f>Gen!C41</f>
        <v>39824.729999999989</v>
      </c>
      <c r="K35" s="280">
        <f>'Water-Meter'!E36</f>
        <v>0</v>
      </c>
      <c r="L35" s="624">
        <f>'Lpg (2)'!G40</f>
        <v>0</v>
      </c>
      <c r="M35" s="75" t="e">
        <f>SUM(#REF!-#REF!)</f>
        <v>#REF!</v>
      </c>
    </row>
    <row r="36" spans="1:13" ht="13.5" thickBot="1">
      <c r="A36" s="634">
        <f>Gen!A42</f>
        <v>0</v>
      </c>
      <c r="B36" s="625">
        <f>'Daily report Gen'!Z37</f>
        <v>0</v>
      </c>
      <c r="C36" s="626">
        <f>Gen!B42</f>
        <v>0</v>
      </c>
      <c r="D36" s="627">
        <f t="shared" si="0"/>
        <v>0</v>
      </c>
      <c r="E36" s="628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9">
        <f>Gen!C42</f>
        <v>39824.729999999989</v>
      </c>
      <c r="K36" s="630">
        <f>'Water-Meter'!E37</f>
        <v>0</v>
      </c>
      <c r="L36" s="631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7" workbookViewId="0">
      <pane xSplit="1" topLeftCell="B30" activePane="topRight" state="frozen"/>
      <selection pane="topRight" activeCell="V36" sqref="V36"/>
    </sheetView>
  </sheetViews>
  <sheetFormatPr defaultColWidth="9.140625" defaultRowHeight="11.25"/>
  <cols>
    <col min="1" max="1" width="9.85546875" style="174" customWidth="1"/>
    <col min="2" max="2" width="9.5703125" style="174" customWidth="1"/>
    <col min="3" max="3" width="13.42578125" style="174" customWidth="1"/>
    <col min="4" max="4" width="11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2"/>
      <c r="B1" s="862"/>
    </row>
    <row r="2" spans="1:46" ht="26.25">
      <c r="A2" s="862"/>
      <c r="B2" s="862"/>
      <c r="D2" s="863">
        <f>A11</f>
        <v>44317</v>
      </c>
      <c r="E2" s="863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  <c r="W2" s="864"/>
      <c r="X2" s="864"/>
      <c r="Y2" s="864"/>
      <c r="Z2" s="864"/>
      <c r="AA2" s="864"/>
      <c r="AB2" s="864"/>
      <c r="AC2" s="864"/>
      <c r="AD2" s="864"/>
      <c r="AE2" s="864"/>
      <c r="AF2" s="864"/>
      <c r="AG2" s="864"/>
      <c r="AH2" s="864"/>
      <c r="AI2" s="864"/>
      <c r="AJ2" s="864"/>
      <c r="AK2" s="864"/>
      <c r="AL2" s="864"/>
      <c r="AM2" s="864"/>
      <c r="AN2" s="864"/>
      <c r="AO2" s="864"/>
      <c r="AP2" s="864"/>
      <c r="AQ2" s="864"/>
      <c r="AR2" s="864"/>
      <c r="AS2" s="864"/>
      <c r="AT2" s="864"/>
    </row>
    <row r="3" spans="1:46" ht="12.75" customHeight="1">
      <c r="A3" s="862"/>
      <c r="B3" s="862"/>
      <c r="H3" s="865"/>
      <c r="I3" s="865"/>
      <c r="J3" s="865"/>
      <c r="K3" s="173"/>
      <c r="Q3" s="173"/>
    </row>
    <row r="4" spans="1:46" ht="11.25" customHeight="1">
      <c r="A4" s="862"/>
      <c r="B4" s="862"/>
      <c r="H4" s="865"/>
      <c r="I4" s="865"/>
      <c r="J4" s="865"/>
      <c r="K4" s="173"/>
      <c r="Q4" s="173"/>
    </row>
    <row r="5" spans="1:46" ht="12" thickBot="1">
      <c r="A5" s="862"/>
      <c r="B5" s="862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2"/>
      <c r="B6" s="862"/>
      <c r="C6" s="176"/>
      <c r="F6" s="866" t="s">
        <v>155</v>
      </c>
      <c r="G6" s="867"/>
      <c r="H6" s="867"/>
      <c r="I6" s="867"/>
      <c r="J6" s="867"/>
      <c r="K6" s="867"/>
      <c r="L6" s="868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R6" s="177"/>
      <c r="AS6" s="800"/>
      <c r="AT6" s="801"/>
    </row>
    <row r="7" spans="1:46" ht="21" thickBot="1">
      <c r="C7" s="178"/>
      <c r="D7" s="178"/>
      <c r="E7" s="178"/>
      <c r="F7" s="869" t="s">
        <v>156</v>
      </c>
      <c r="G7" s="870"/>
      <c r="H7" s="870"/>
      <c r="I7" s="870"/>
      <c r="J7" s="870"/>
      <c r="K7" s="870"/>
      <c r="L7" s="871"/>
      <c r="M7" s="872" t="s">
        <v>157</v>
      </c>
      <c r="N7" s="873"/>
      <c r="O7" s="873"/>
      <c r="P7" s="873"/>
      <c r="Q7" s="873"/>
      <c r="R7" s="874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802"/>
      <c r="AT7" s="803"/>
    </row>
    <row r="8" spans="1:46" s="181" customFormat="1" ht="30" customHeight="1" thickBot="1">
      <c r="A8" s="363" t="s">
        <v>32</v>
      </c>
      <c r="B8" s="364" t="s">
        <v>171</v>
      </c>
      <c r="C8" s="757" t="s">
        <v>172</v>
      </c>
      <c r="D8" s="758" t="s">
        <v>173</v>
      </c>
      <c r="E8" s="758" t="s">
        <v>174</v>
      </c>
      <c r="F8" s="759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46" ht="14.25">
      <c r="A9" s="469"/>
      <c r="B9" s="182"/>
      <c r="C9" s="786">
        <v>27860.560000000001</v>
      </c>
      <c r="D9" s="760"/>
      <c r="E9" s="761"/>
      <c r="F9" s="762"/>
      <c r="G9" s="763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/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2">SUM(AJ9+S9)</f>
        <v>0</v>
      </c>
      <c r="AS9" s="190"/>
      <c r="AT9" s="191">
        <v>38784.699999999997</v>
      </c>
    </row>
    <row r="10" spans="1:46" ht="13.5" customHeight="1" thickBot="1">
      <c r="A10" s="470"/>
      <c r="B10" s="544"/>
      <c r="C10" s="764"/>
      <c r="D10" s="765"/>
      <c r="E10" s="766"/>
      <c r="F10" s="284"/>
      <c r="G10" s="767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2">
        <f>SUM(N10:S10)</f>
        <v>0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3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2"/>
        <v>0</v>
      </c>
      <c r="AS10" s="204"/>
      <c r="AT10" s="268"/>
    </row>
    <row r="11" spans="1:46" ht="13.5" customHeight="1">
      <c r="A11" s="546">
        <v>44317</v>
      </c>
      <c r="B11" s="787">
        <v>0.01</v>
      </c>
      <c r="C11" s="768">
        <f>SUM(C9+D11)</f>
        <v>27860.560000000001</v>
      </c>
      <c r="D11" s="769"/>
      <c r="E11" s="766">
        <v>15000</v>
      </c>
      <c r="F11" s="807" t="s">
        <v>195</v>
      </c>
      <c r="G11" s="767"/>
      <c r="H11" s="192"/>
      <c r="I11" s="210"/>
      <c r="J11" s="192"/>
      <c r="K11" s="192">
        <v>1091.6300000000001</v>
      </c>
      <c r="L11" s="284"/>
      <c r="M11" s="283"/>
      <c r="N11" s="194"/>
      <c r="O11" s="194"/>
      <c r="P11" s="194"/>
      <c r="Q11" s="194">
        <v>2650</v>
      </c>
      <c r="R11" s="534"/>
      <c r="S11" s="541">
        <f t="shared" si="0"/>
        <v>1091.6300000000001</v>
      </c>
      <c r="T11" s="206">
        <f t="shared" si="1"/>
        <v>2650</v>
      </c>
      <c r="U11" s="542">
        <f t="shared" ref="U11:U41" si="4">S11/T11</f>
        <v>0.4119358490566038</v>
      </c>
      <c r="V11" s="199"/>
      <c r="W11" s="207"/>
      <c r="X11" s="185"/>
      <c r="Y11" s="207"/>
      <c r="Z11" s="192"/>
      <c r="AA11" s="251"/>
      <c r="AB11" s="207">
        <v>88.75</v>
      </c>
      <c r="AC11" s="207"/>
      <c r="AD11" s="207"/>
      <c r="AE11" s="207"/>
      <c r="AF11" s="207"/>
      <c r="AG11" s="207"/>
      <c r="AH11" s="207"/>
      <c r="AI11" s="369"/>
      <c r="AJ11" s="257">
        <f t="shared" si="3"/>
        <v>88.75</v>
      </c>
      <c r="AK11" s="208"/>
      <c r="AL11" s="208"/>
      <c r="AM11" s="208"/>
      <c r="AN11" s="208"/>
      <c r="AO11" s="208"/>
      <c r="AP11" s="208"/>
      <c r="AQ11" s="208"/>
      <c r="AR11" s="203">
        <f t="shared" si="2"/>
        <v>1180.3800000000001</v>
      </c>
      <c r="AS11" s="209">
        <f>AR11*AU11</f>
        <v>0</v>
      </c>
      <c r="AT11" s="268">
        <f t="shared" ref="AT11:AT43" si="5">C11</f>
        <v>27860.560000000001</v>
      </c>
    </row>
    <row r="12" spans="1:46" ht="13.5" customHeight="1">
      <c r="A12" s="546">
        <v>44318</v>
      </c>
      <c r="B12" s="788">
        <v>0</v>
      </c>
      <c r="C12" s="768">
        <f t="shared" ref="C12:C43" si="6">SUM(C11-AR11+D12)</f>
        <v>26680.18</v>
      </c>
      <c r="D12" s="769"/>
      <c r="E12" s="766"/>
      <c r="F12" s="502"/>
      <c r="G12" s="767">
        <v>1114.1600000000001</v>
      </c>
      <c r="H12" s="192"/>
      <c r="I12" s="210"/>
      <c r="J12" s="192"/>
      <c r="K12" s="192"/>
      <c r="L12" s="284"/>
      <c r="M12" s="283">
        <v>2697</v>
      </c>
      <c r="N12" s="194"/>
      <c r="O12" s="194"/>
      <c r="P12" s="194"/>
      <c r="Q12" s="194"/>
      <c r="R12" s="534"/>
      <c r="S12" s="541">
        <f t="shared" si="0"/>
        <v>1114.1600000000001</v>
      </c>
      <c r="T12" s="206">
        <f t="shared" si="1"/>
        <v>2697</v>
      </c>
      <c r="U12" s="542">
        <f t="shared" si="4"/>
        <v>0.41311086392287732</v>
      </c>
      <c r="V12" s="199"/>
      <c r="W12" s="207"/>
      <c r="X12" s="185"/>
      <c r="Y12" s="207"/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0</v>
      </c>
      <c r="AK12" s="201"/>
      <c r="AL12" s="201"/>
      <c r="AM12" s="201"/>
      <c r="AN12" s="201"/>
      <c r="AO12" s="201"/>
      <c r="AP12" s="201"/>
      <c r="AQ12" s="201"/>
      <c r="AR12" s="203">
        <f t="shared" si="2"/>
        <v>1114.1600000000001</v>
      </c>
      <c r="AS12" s="209">
        <f t="shared" ref="AS12:AS44" si="7">AR12*AU12</f>
        <v>0</v>
      </c>
      <c r="AT12" s="268">
        <f t="shared" si="5"/>
        <v>26680.18</v>
      </c>
    </row>
    <row r="13" spans="1:46" ht="13.5" customHeight="1">
      <c r="A13" s="546">
        <v>44319</v>
      </c>
      <c r="B13" s="789">
        <v>3.9E-2</v>
      </c>
      <c r="C13" s="768">
        <f t="shared" si="6"/>
        <v>40466.020000000004</v>
      </c>
      <c r="D13" s="769">
        <v>14900</v>
      </c>
      <c r="E13" s="766"/>
      <c r="F13" s="502"/>
      <c r="G13" s="767"/>
      <c r="H13" s="192"/>
      <c r="I13" s="210"/>
      <c r="J13" s="192"/>
      <c r="K13" s="192">
        <v>1088.57</v>
      </c>
      <c r="L13" s="284"/>
      <c r="M13" s="283"/>
      <c r="N13" s="194"/>
      <c r="O13" s="194"/>
      <c r="P13" s="194"/>
      <c r="Q13" s="194">
        <v>2639</v>
      </c>
      <c r="R13" s="534"/>
      <c r="S13" s="541">
        <f t="shared" si="0"/>
        <v>1088.57</v>
      </c>
      <c r="T13" s="206">
        <f t="shared" si="1"/>
        <v>2639</v>
      </c>
      <c r="U13" s="542">
        <f t="shared" si="4"/>
        <v>0.41249336870026521</v>
      </c>
      <c r="V13" s="199"/>
      <c r="W13" s="207"/>
      <c r="X13" s="185">
        <v>29.76</v>
      </c>
      <c r="Y13" s="207"/>
      <c r="Z13" s="192"/>
      <c r="AA13" s="251"/>
      <c r="AB13" s="207"/>
      <c r="AC13" s="207"/>
      <c r="AD13" s="207"/>
      <c r="AE13" s="207"/>
      <c r="AF13" s="207"/>
      <c r="AG13" s="207"/>
      <c r="AH13" s="207"/>
      <c r="AI13" s="369"/>
      <c r="AJ13" s="257">
        <f t="shared" si="3"/>
        <v>29.76</v>
      </c>
      <c r="AK13" s="211"/>
      <c r="AL13" s="211"/>
      <c r="AM13" s="211"/>
      <c r="AN13" s="211"/>
      <c r="AO13" s="211"/>
      <c r="AP13" s="211"/>
      <c r="AQ13" s="211"/>
      <c r="AR13" s="203">
        <f t="shared" si="2"/>
        <v>1118.33</v>
      </c>
      <c r="AS13" s="209">
        <f t="shared" si="7"/>
        <v>0</v>
      </c>
      <c r="AT13" s="268">
        <f t="shared" si="5"/>
        <v>40466.020000000004</v>
      </c>
    </row>
    <row r="14" spans="1:46" ht="13.5" customHeight="1">
      <c r="A14" s="546">
        <v>44320</v>
      </c>
      <c r="B14" s="789">
        <v>5.1999999999999998E-2</v>
      </c>
      <c r="C14" s="768">
        <f t="shared" si="6"/>
        <v>39347.69</v>
      </c>
      <c r="D14" s="769"/>
      <c r="E14" s="766"/>
      <c r="F14" s="770"/>
      <c r="G14" s="767"/>
      <c r="H14" s="192"/>
      <c r="I14" s="210"/>
      <c r="J14" s="192">
        <v>1166.47</v>
      </c>
      <c r="K14" s="192"/>
      <c r="L14" s="284"/>
      <c r="M14" s="283"/>
      <c r="N14" s="194"/>
      <c r="O14" s="194"/>
      <c r="P14" s="194">
        <v>2826</v>
      </c>
      <c r="Q14" s="194"/>
      <c r="R14" s="534"/>
      <c r="S14" s="541">
        <f t="shared" si="0"/>
        <v>1166.47</v>
      </c>
      <c r="T14" s="206">
        <f t="shared" si="1"/>
        <v>2826</v>
      </c>
      <c r="U14" s="542">
        <f t="shared" si="4"/>
        <v>0.41276362349610757</v>
      </c>
      <c r="V14" s="199"/>
      <c r="W14" s="207"/>
      <c r="X14" s="185">
        <v>38.130000000000003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/>
      <c r="AJ14" s="257">
        <f t="shared" si="3"/>
        <v>38.130000000000003</v>
      </c>
      <c r="AK14" s="208"/>
      <c r="AL14" s="208"/>
      <c r="AM14" s="208"/>
      <c r="AN14" s="208"/>
      <c r="AO14" s="208"/>
      <c r="AP14" s="208"/>
      <c r="AQ14" s="208"/>
      <c r="AR14" s="203">
        <f t="shared" si="2"/>
        <v>1204.6000000000001</v>
      </c>
      <c r="AS14" s="209">
        <f t="shared" si="7"/>
        <v>0</v>
      </c>
      <c r="AT14" s="268">
        <f t="shared" si="5"/>
        <v>39347.69</v>
      </c>
    </row>
    <row r="15" spans="1:46" ht="13.5" customHeight="1">
      <c r="A15" s="546">
        <v>44321</v>
      </c>
      <c r="B15" s="789">
        <v>5.6000000000000001E-2</v>
      </c>
      <c r="C15" s="768">
        <f t="shared" si="6"/>
        <v>38143.090000000004</v>
      </c>
      <c r="D15" s="769"/>
      <c r="E15" s="766"/>
      <c r="F15" s="770"/>
      <c r="G15" s="767"/>
      <c r="H15" s="192">
        <v>1125.1500000000001</v>
      </c>
      <c r="I15" s="210"/>
      <c r="J15" s="192"/>
      <c r="K15" s="192"/>
      <c r="L15" s="284"/>
      <c r="M15" s="283"/>
      <c r="N15" s="194">
        <v>2780</v>
      </c>
      <c r="O15" s="194"/>
      <c r="P15" s="194"/>
      <c r="Q15" s="194"/>
      <c r="R15" s="534"/>
      <c r="S15" s="541">
        <f t="shared" si="0"/>
        <v>1125.1500000000001</v>
      </c>
      <c r="T15" s="206">
        <f t="shared" si="1"/>
        <v>2780</v>
      </c>
      <c r="U15" s="542">
        <f t="shared" si="4"/>
        <v>0.40473021582733815</v>
      </c>
      <c r="V15" s="199"/>
      <c r="W15" s="207"/>
      <c r="X15" s="185"/>
      <c r="Y15" s="207"/>
      <c r="Z15" s="192"/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3"/>
        <v>0</v>
      </c>
      <c r="AK15" s="208"/>
      <c r="AL15" s="208"/>
      <c r="AM15" s="208"/>
      <c r="AN15" s="208"/>
      <c r="AO15" s="208"/>
      <c r="AP15" s="208"/>
      <c r="AQ15" s="208"/>
      <c r="AR15" s="203">
        <f t="shared" si="2"/>
        <v>1125.1500000000001</v>
      </c>
      <c r="AS15" s="209">
        <f t="shared" si="7"/>
        <v>0</v>
      </c>
      <c r="AT15" s="268">
        <f t="shared" si="5"/>
        <v>38143.090000000004</v>
      </c>
    </row>
    <row r="16" spans="1:46" ht="13.5" customHeight="1">
      <c r="A16" s="546">
        <v>44322</v>
      </c>
      <c r="B16" s="789">
        <v>5.6000000000000001E-2</v>
      </c>
      <c r="C16" s="768">
        <f t="shared" si="6"/>
        <v>37017.94</v>
      </c>
      <c r="D16" s="769"/>
      <c r="E16" s="766"/>
      <c r="F16" s="770"/>
      <c r="G16" s="767">
        <v>1179.4100000000001</v>
      </c>
      <c r="H16" s="192"/>
      <c r="I16" s="210"/>
      <c r="J16" s="192"/>
      <c r="K16" s="192"/>
      <c r="L16" s="284"/>
      <c r="M16" s="283">
        <v>2900</v>
      </c>
      <c r="N16" s="194"/>
      <c r="O16" s="194"/>
      <c r="P16" s="194"/>
      <c r="Q16" s="194"/>
      <c r="R16" s="534"/>
      <c r="S16" s="541">
        <f t="shared" si="0"/>
        <v>1179.4100000000001</v>
      </c>
      <c r="T16" s="206">
        <f t="shared" si="1"/>
        <v>2900</v>
      </c>
      <c r="U16" s="542">
        <f t="shared" si="4"/>
        <v>0.40669310344827592</v>
      </c>
      <c r="V16" s="199"/>
      <c r="W16" s="207"/>
      <c r="X16" s="185">
        <v>25.75</v>
      </c>
      <c r="Y16" s="207"/>
      <c r="Z16" s="192">
        <v>70.400000000000006</v>
      </c>
      <c r="AA16" s="251"/>
      <c r="AB16" s="207"/>
      <c r="AC16" s="207"/>
      <c r="AD16" s="207">
        <v>298.44</v>
      </c>
      <c r="AE16" s="207">
        <v>105.54</v>
      </c>
      <c r="AF16" s="207"/>
      <c r="AG16" s="207"/>
      <c r="AH16" s="207"/>
      <c r="AI16" s="369"/>
      <c r="AJ16" s="257">
        <f t="shared" si="3"/>
        <v>500.13000000000005</v>
      </c>
      <c r="AK16" s="208"/>
      <c r="AL16" s="208"/>
      <c r="AM16" s="208"/>
      <c r="AN16" s="208"/>
      <c r="AO16" s="208"/>
      <c r="AP16" s="208"/>
      <c r="AQ16" s="208"/>
      <c r="AR16" s="203">
        <f t="shared" si="2"/>
        <v>1679.5400000000002</v>
      </c>
      <c r="AS16" s="209">
        <f t="shared" si="7"/>
        <v>0</v>
      </c>
      <c r="AT16" s="268">
        <f t="shared" si="5"/>
        <v>37017.94</v>
      </c>
    </row>
    <row r="17" spans="1:46" ht="13.5" customHeight="1">
      <c r="A17" s="546">
        <v>44323</v>
      </c>
      <c r="B17" s="789"/>
      <c r="C17" s="768">
        <f t="shared" si="6"/>
        <v>35338.400000000001</v>
      </c>
      <c r="D17" s="769"/>
      <c r="E17" s="766"/>
      <c r="F17" s="770"/>
      <c r="G17" s="767"/>
      <c r="H17" s="192"/>
      <c r="I17" s="210"/>
      <c r="J17" s="192"/>
      <c r="K17" s="192">
        <v>1126.3599999999999</v>
      </c>
      <c r="L17" s="284"/>
      <c r="M17" s="283"/>
      <c r="N17" s="194"/>
      <c r="O17" s="194"/>
      <c r="P17" s="194"/>
      <c r="Q17" s="194">
        <v>2734</v>
      </c>
      <c r="R17" s="534"/>
      <c r="S17" s="541">
        <f t="shared" si="0"/>
        <v>1126.3599999999999</v>
      </c>
      <c r="T17" s="206">
        <f t="shared" si="1"/>
        <v>2734</v>
      </c>
      <c r="U17" s="542">
        <f t="shared" si="4"/>
        <v>0.41198244330651057</v>
      </c>
      <c r="V17" s="199"/>
      <c r="W17" s="207"/>
      <c r="X17" s="185"/>
      <c r="Y17" s="207"/>
      <c r="Z17" s="192"/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3"/>
        <v>0</v>
      </c>
      <c r="AK17" s="208"/>
      <c r="AL17" s="208"/>
      <c r="AM17" s="208"/>
      <c r="AN17" s="208"/>
      <c r="AO17" s="208"/>
      <c r="AP17" s="208"/>
      <c r="AQ17" s="208"/>
      <c r="AR17" s="203">
        <f t="shared" si="2"/>
        <v>1126.3599999999999</v>
      </c>
      <c r="AS17" s="209">
        <f t="shared" si="7"/>
        <v>0</v>
      </c>
      <c r="AT17" s="268">
        <f t="shared" si="5"/>
        <v>35338.400000000001</v>
      </c>
    </row>
    <row r="18" spans="1:46" ht="13.5" customHeight="1">
      <c r="A18" s="546">
        <v>44324</v>
      </c>
      <c r="B18" s="789"/>
      <c r="C18" s="768">
        <f t="shared" si="6"/>
        <v>49212.04</v>
      </c>
      <c r="D18" s="769">
        <v>15000</v>
      </c>
      <c r="E18" s="766"/>
      <c r="F18" s="770"/>
      <c r="G18" s="767"/>
      <c r="H18" s="192"/>
      <c r="I18" s="210"/>
      <c r="J18" s="192">
        <v>1233.05</v>
      </c>
      <c r="K18" s="192"/>
      <c r="L18" s="284"/>
      <c r="M18" s="283"/>
      <c r="N18" s="194"/>
      <c r="O18" s="194"/>
      <c r="P18" s="194">
        <v>2996</v>
      </c>
      <c r="Q18" s="194"/>
      <c r="R18" s="534"/>
      <c r="S18" s="541">
        <f t="shared" si="0"/>
        <v>1233.05</v>
      </c>
      <c r="T18" s="206">
        <f t="shared" si="1"/>
        <v>2996</v>
      </c>
      <c r="U18" s="542">
        <f t="shared" si="4"/>
        <v>0.41156542056074763</v>
      </c>
      <c r="V18" s="199"/>
      <c r="W18" s="207"/>
      <c r="X18" s="185">
        <v>61.73</v>
      </c>
      <c r="Y18" s="207"/>
      <c r="Z18" s="192">
        <v>76.239999999999995</v>
      </c>
      <c r="AA18" s="251"/>
      <c r="AB18" s="207"/>
      <c r="AC18" s="207"/>
      <c r="AD18" s="207"/>
      <c r="AE18" s="207"/>
      <c r="AF18" s="207"/>
      <c r="AG18" s="207"/>
      <c r="AH18" s="207">
        <v>110.03</v>
      </c>
      <c r="AI18" s="369"/>
      <c r="AJ18" s="257">
        <f t="shared" si="3"/>
        <v>248</v>
      </c>
      <c r="AK18" s="208"/>
      <c r="AL18" s="208"/>
      <c r="AM18" s="208"/>
      <c r="AN18" s="208"/>
      <c r="AO18" s="208"/>
      <c r="AP18" s="208"/>
      <c r="AQ18" s="208"/>
      <c r="AR18" s="203">
        <f t="shared" si="2"/>
        <v>1481.05</v>
      </c>
      <c r="AS18" s="209">
        <f t="shared" si="7"/>
        <v>0</v>
      </c>
      <c r="AT18" s="268">
        <f t="shared" si="5"/>
        <v>49212.04</v>
      </c>
    </row>
    <row r="19" spans="1:46" ht="13.5" customHeight="1">
      <c r="A19" s="546">
        <v>44325</v>
      </c>
      <c r="B19" s="789"/>
      <c r="C19" s="768">
        <f t="shared" si="6"/>
        <v>47730.99</v>
      </c>
      <c r="D19" s="769"/>
      <c r="E19" s="766"/>
      <c r="F19" s="770"/>
      <c r="G19" s="767"/>
      <c r="H19" s="192">
        <v>1058.0899999999999</v>
      </c>
      <c r="I19" s="210"/>
      <c r="J19" s="192"/>
      <c r="K19" s="192"/>
      <c r="L19" s="284"/>
      <c r="M19" s="283"/>
      <c r="N19" s="194">
        <v>2627</v>
      </c>
      <c r="O19" s="194"/>
      <c r="P19" s="194"/>
      <c r="Q19" s="194"/>
      <c r="R19" s="534"/>
      <c r="S19" s="541">
        <f t="shared" si="0"/>
        <v>1058.0899999999999</v>
      </c>
      <c r="T19" s="206">
        <f t="shared" si="1"/>
        <v>2627</v>
      </c>
      <c r="U19" s="542">
        <f t="shared" si="4"/>
        <v>0.40277502854967639</v>
      </c>
      <c r="V19" s="199"/>
      <c r="W19" s="207"/>
      <c r="X19" s="185"/>
      <c r="Y19" s="207"/>
      <c r="Z19" s="192"/>
      <c r="AA19" s="251"/>
      <c r="AB19" s="207">
        <v>72.39</v>
      </c>
      <c r="AC19" s="207"/>
      <c r="AD19" s="207"/>
      <c r="AE19" s="207"/>
      <c r="AF19" s="207">
        <v>73.760000000000005</v>
      </c>
      <c r="AG19" s="207"/>
      <c r="AH19" s="207"/>
      <c r="AI19" s="369"/>
      <c r="AJ19" s="257">
        <f t="shared" si="3"/>
        <v>146.15</v>
      </c>
      <c r="AK19" s="208"/>
      <c r="AL19" s="202"/>
      <c r="AM19" s="208"/>
      <c r="AN19" s="212"/>
      <c r="AO19" s="212"/>
      <c r="AP19" s="212"/>
      <c r="AQ19" s="213"/>
      <c r="AR19" s="203">
        <f t="shared" si="2"/>
        <v>1204.24</v>
      </c>
      <c r="AS19" s="209">
        <f t="shared" si="7"/>
        <v>0</v>
      </c>
      <c r="AT19" s="268">
        <f t="shared" si="5"/>
        <v>47730.99</v>
      </c>
    </row>
    <row r="20" spans="1:46" ht="15.75">
      <c r="A20" s="546">
        <v>44326</v>
      </c>
      <c r="B20" s="789"/>
      <c r="C20" s="768">
        <f t="shared" si="6"/>
        <v>46526.75</v>
      </c>
      <c r="D20" s="769"/>
      <c r="E20" s="766"/>
      <c r="F20" s="770"/>
      <c r="G20" s="767">
        <v>1086.6400000000001</v>
      </c>
      <c r="H20" s="207"/>
      <c r="I20" s="210"/>
      <c r="J20" s="192"/>
      <c r="K20" s="192"/>
      <c r="L20" s="502"/>
      <c r="M20" s="283">
        <v>2619</v>
      </c>
      <c r="N20" s="194"/>
      <c r="O20" s="194"/>
      <c r="P20" s="194"/>
      <c r="Q20" s="194"/>
      <c r="R20" s="534"/>
      <c r="S20" s="541">
        <f t="shared" si="0"/>
        <v>1086.6400000000001</v>
      </c>
      <c r="T20" s="206">
        <f t="shared" si="1"/>
        <v>2619</v>
      </c>
      <c r="U20" s="542">
        <f t="shared" si="4"/>
        <v>0.41490645284459721</v>
      </c>
      <c r="V20" s="199"/>
      <c r="W20" s="207"/>
      <c r="X20" s="185">
        <v>21.31</v>
      </c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119.02</v>
      </c>
      <c r="AI20" s="369"/>
      <c r="AJ20" s="257">
        <f t="shared" si="3"/>
        <v>140.32999999999998</v>
      </c>
      <c r="AK20" s="208"/>
      <c r="AL20" s="202"/>
      <c r="AM20" s="208"/>
      <c r="AN20" s="212"/>
      <c r="AO20" s="212"/>
      <c r="AP20" s="212"/>
      <c r="AQ20" s="213"/>
      <c r="AR20" s="203">
        <f t="shared" si="2"/>
        <v>1226.97</v>
      </c>
      <c r="AS20" s="209">
        <f t="shared" si="7"/>
        <v>0</v>
      </c>
      <c r="AT20" s="268">
        <f t="shared" si="5"/>
        <v>46526.75</v>
      </c>
    </row>
    <row r="21" spans="1:46" ht="15.75">
      <c r="A21" s="546">
        <v>44327</v>
      </c>
      <c r="B21" s="789"/>
      <c r="C21" s="768">
        <f t="shared" si="6"/>
        <v>45299.78</v>
      </c>
      <c r="D21" s="769"/>
      <c r="E21" s="766"/>
      <c r="F21" s="770"/>
      <c r="G21" s="767"/>
      <c r="H21" s="207"/>
      <c r="I21" s="210"/>
      <c r="J21" s="192"/>
      <c r="K21" s="192">
        <v>1059.05</v>
      </c>
      <c r="L21" s="471"/>
      <c r="M21" s="283"/>
      <c r="N21" s="283"/>
      <c r="O21" s="194"/>
      <c r="P21" s="194"/>
      <c r="Q21" s="194">
        <v>2525</v>
      </c>
      <c r="R21" s="534"/>
      <c r="S21" s="541">
        <f t="shared" si="0"/>
        <v>1059.05</v>
      </c>
      <c r="T21" s="206">
        <f t="shared" si="1"/>
        <v>2525</v>
      </c>
      <c r="U21" s="542">
        <f t="shared" si="4"/>
        <v>0.41942574257425741</v>
      </c>
      <c r="V21" s="199"/>
      <c r="W21" s="207"/>
      <c r="X21" s="185"/>
      <c r="Y21" s="207"/>
      <c r="Z21" s="192">
        <v>47</v>
      </c>
      <c r="AA21" s="251"/>
      <c r="AB21" s="207"/>
      <c r="AC21" s="207"/>
      <c r="AD21" s="207"/>
      <c r="AE21" s="207"/>
      <c r="AF21" s="207"/>
      <c r="AG21" s="207">
        <v>600</v>
      </c>
      <c r="AH21" s="207"/>
      <c r="AI21" s="369"/>
      <c r="AJ21" s="257">
        <f t="shared" si="3"/>
        <v>647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1706.05</v>
      </c>
      <c r="AS21" s="209">
        <f t="shared" si="7"/>
        <v>0</v>
      </c>
      <c r="AT21" s="268">
        <f t="shared" si="5"/>
        <v>45299.78</v>
      </c>
    </row>
    <row r="22" spans="1:46" ht="15.75">
      <c r="A22" s="546">
        <v>44328</v>
      </c>
      <c r="B22" s="789"/>
      <c r="C22" s="768">
        <f t="shared" si="6"/>
        <v>43593.729999999996</v>
      </c>
      <c r="D22" s="769"/>
      <c r="E22" s="766"/>
      <c r="F22" s="771"/>
      <c r="G22" s="767"/>
      <c r="H22" s="192"/>
      <c r="I22" s="210"/>
      <c r="J22" s="192">
        <v>1046.1600000000001</v>
      </c>
      <c r="K22" s="192"/>
      <c r="L22" s="502"/>
      <c r="M22" s="283"/>
      <c r="N22" s="283"/>
      <c r="O22" s="194"/>
      <c r="P22" s="194">
        <v>2428</v>
      </c>
      <c r="Q22" s="194"/>
      <c r="R22" s="534"/>
      <c r="S22" s="541">
        <f t="shared" si="0"/>
        <v>1046.1600000000001</v>
      </c>
      <c r="T22" s="206">
        <f t="shared" si="1"/>
        <v>2428</v>
      </c>
      <c r="U22" s="542">
        <f t="shared" si="4"/>
        <v>0.43087314662273479</v>
      </c>
      <c r="V22" s="199"/>
      <c r="W22" s="207"/>
      <c r="X22" s="185"/>
      <c r="Y22" s="207"/>
      <c r="Z22" s="192"/>
      <c r="AA22" s="251"/>
      <c r="AB22" s="207"/>
      <c r="AC22" s="207"/>
      <c r="AD22" s="207"/>
      <c r="AE22" s="207"/>
      <c r="AF22" s="207"/>
      <c r="AG22" s="207"/>
      <c r="AH22" s="207"/>
      <c r="AI22" s="369"/>
      <c r="AJ22" s="257">
        <f t="shared" si="3"/>
        <v>0</v>
      </c>
      <c r="AK22" s="201"/>
      <c r="AL22" s="202"/>
      <c r="AM22" s="208"/>
      <c r="AN22" s="212"/>
      <c r="AO22" s="212"/>
      <c r="AP22" s="212"/>
      <c r="AQ22" s="213"/>
      <c r="AR22" s="203">
        <f t="shared" si="2"/>
        <v>1046.1600000000001</v>
      </c>
      <c r="AS22" s="209">
        <f t="shared" si="7"/>
        <v>0</v>
      </c>
      <c r="AT22" s="268">
        <f t="shared" si="5"/>
        <v>43593.729999999996</v>
      </c>
    </row>
    <row r="23" spans="1:46" ht="13.5" customHeight="1">
      <c r="A23" s="546">
        <v>44329</v>
      </c>
      <c r="B23" s="789"/>
      <c r="C23" s="768">
        <f t="shared" si="6"/>
        <v>42547.569999999992</v>
      </c>
      <c r="D23" s="769"/>
      <c r="E23" s="766">
        <v>15000</v>
      </c>
      <c r="F23" s="808" t="s">
        <v>195</v>
      </c>
      <c r="G23" s="767"/>
      <c r="H23" s="207">
        <v>1005.86</v>
      </c>
      <c r="I23" s="210"/>
      <c r="J23" s="192"/>
      <c r="K23" s="192"/>
      <c r="L23" s="502"/>
      <c r="M23" s="283"/>
      <c r="N23" s="194">
        <v>2512</v>
      </c>
      <c r="O23" s="194"/>
      <c r="P23" s="194"/>
      <c r="Q23" s="194"/>
      <c r="R23" s="534"/>
      <c r="S23" s="541">
        <f t="shared" si="0"/>
        <v>1005.86</v>
      </c>
      <c r="T23" s="206">
        <f t="shared" si="1"/>
        <v>2512</v>
      </c>
      <c r="U23" s="542">
        <f t="shared" si="4"/>
        <v>0.400421974522293</v>
      </c>
      <c r="V23" s="199">
        <v>148.44</v>
      </c>
      <c r="W23" s="207"/>
      <c r="X23" s="185">
        <v>68.88</v>
      </c>
      <c r="Y23" s="207"/>
      <c r="Z23" s="192">
        <v>32.159999999999997</v>
      </c>
      <c r="AA23" s="251"/>
      <c r="AB23" s="207"/>
      <c r="AC23" s="207"/>
      <c r="AD23" s="207"/>
      <c r="AE23" s="207"/>
      <c r="AF23" s="207"/>
      <c r="AG23" s="207"/>
      <c r="AH23" s="207"/>
      <c r="AI23" s="369"/>
      <c r="AJ23" s="257">
        <f t="shared" si="3"/>
        <v>249.48</v>
      </c>
      <c r="AK23" s="201"/>
      <c r="AL23" s="201"/>
      <c r="AM23" s="201"/>
      <c r="AN23" s="201"/>
      <c r="AO23" s="201"/>
      <c r="AP23" s="201"/>
      <c r="AQ23" s="201"/>
      <c r="AR23" s="203">
        <f t="shared" si="2"/>
        <v>1255.3399999999999</v>
      </c>
      <c r="AS23" s="209">
        <f t="shared" si="7"/>
        <v>0</v>
      </c>
      <c r="AT23" s="268">
        <f t="shared" si="5"/>
        <v>42547.569999999992</v>
      </c>
    </row>
    <row r="24" spans="1:46" ht="15.75">
      <c r="A24" s="546">
        <v>44330</v>
      </c>
      <c r="B24" s="789"/>
      <c r="C24" s="768">
        <f t="shared" si="6"/>
        <v>41292.229999999996</v>
      </c>
      <c r="D24" s="772"/>
      <c r="E24" s="766"/>
      <c r="F24" s="771"/>
      <c r="G24" s="767">
        <v>1140.98</v>
      </c>
      <c r="H24" s="192"/>
      <c r="I24" s="210"/>
      <c r="J24" s="192"/>
      <c r="K24" s="192"/>
      <c r="L24" s="502"/>
      <c r="M24" s="283">
        <v>2744</v>
      </c>
      <c r="N24" s="283"/>
      <c r="O24" s="194"/>
      <c r="P24" s="194"/>
      <c r="Q24" s="194"/>
      <c r="R24" s="534"/>
      <c r="S24" s="541">
        <f>SUM(F24:L24)</f>
        <v>1140.98</v>
      </c>
      <c r="T24" s="206">
        <f t="shared" si="1"/>
        <v>2744</v>
      </c>
      <c r="U24" s="542">
        <f>S24/T24</f>
        <v>0.41580903790087465</v>
      </c>
      <c r="V24" s="199">
        <v>25.51</v>
      </c>
      <c r="W24" s="207"/>
      <c r="X24" s="185">
        <v>67.91</v>
      </c>
      <c r="Y24" s="207"/>
      <c r="Z24" s="192"/>
      <c r="AA24" s="251"/>
      <c r="AB24" s="207"/>
      <c r="AC24" s="207"/>
      <c r="AD24" s="207"/>
      <c r="AE24" s="207"/>
      <c r="AF24" s="207"/>
      <c r="AG24" s="207"/>
      <c r="AH24" s="207"/>
      <c r="AI24" s="369"/>
      <c r="AJ24" s="257">
        <f t="shared" si="3"/>
        <v>93.42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1234.4000000000001</v>
      </c>
      <c r="AS24" s="209">
        <f t="shared" si="7"/>
        <v>0</v>
      </c>
      <c r="AT24" s="268">
        <f t="shared" si="5"/>
        <v>41292.229999999996</v>
      </c>
    </row>
    <row r="25" spans="1:46" ht="15.75">
      <c r="A25" s="546">
        <v>44331</v>
      </c>
      <c r="B25" s="789"/>
      <c r="C25" s="768">
        <f t="shared" si="6"/>
        <v>40057.829999999994</v>
      </c>
      <c r="D25" s="769"/>
      <c r="E25" s="766"/>
      <c r="F25" s="770"/>
      <c r="G25" s="767"/>
      <c r="H25" s="207"/>
      <c r="I25" s="210"/>
      <c r="J25" s="192"/>
      <c r="K25" s="192">
        <v>1050.24</v>
      </c>
      <c r="L25" s="502"/>
      <c r="M25" s="283"/>
      <c r="N25" s="194"/>
      <c r="O25" s="194"/>
      <c r="P25" s="194"/>
      <c r="Q25" s="194">
        <v>2461</v>
      </c>
      <c r="R25" s="534"/>
      <c r="S25" s="541">
        <f t="shared" si="0"/>
        <v>1050.24</v>
      </c>
      <c r="T25" s="206">
        <f>SUM(M25:R25)</f>
        <v>2461</v>
      </c>
      <c r="U25" s="542">
        <f t="shared" si="4"/>
        <v>0.42675335229581474</v>
      </c>
      <c r="V25" s="199"/>
      <c r="W25" s="207">
        <v>67.930000000000007</v>
      </c>
      <c r="X25" s="185"/>
      <c r="Y25" s="207"/>
      <c r="Z25" s="192">
        <v>88.31</v>
      </c>
      <c r="AA25" s="251"/>
      <c r="AB25" s="207"/>
      <c r="AC25" s="207"/>
      <c r="AD25" s="207"/>
      <c r="AE25" s="207"/>
      <c r="AF25" s="207"/>
      <c r="AG25" s="207"/>
      <c r="AH25" s="207"/>
      <c r="AI25" s="369"/>
      <c r="AJ25" s="257">
        <f t="shared" si="3"/>
        <v>156.24</v>
      </c>
      <c r="AK25" s="201"/>
      <c r="AL25" s="201"/>
      <c r="AM25" s="201"/>
      <c r="AN25" s="201"/>
      <c r="AO25" s="201"/>
      <c r="AP25" s="201"/>
      <c r="AQ25" s="201"/>
      <c r="AR25" s="203">
        <f t="shared" si="2"/>
        <v>1206.48</v>
      </c>
      <c r="AS25" s="209">
        <f t="shared" si="7"/>
        <v>0</v>
      </c>
      <c r="AT25" s="268">
        <f t="shared" si="5"/>
        <v>40057.829999999994</v>
      </c>
    </row>
    <row r="26" spans="1:46" ht="15.75">
      <c r="A26" s="546">
        <v>44332</v>
      </c>
      <c r="B26" s="789"/>
      <c r="C26" s="768">
        <f t="shared" si="6"/>
        <v>38851.349999999991</v>
      </c>
      <c r="D26" s="769"/>
      <c r="E26" s="766"/>
      <c r="F26" s="771"/>
      <c r="G26" s="767"/>
      <c r="H26" s="207"/>
      <c r="I26" s="193"/>
      <c r="J26" s="192">
        <v>1110.23</v>
      </c>
      <c r="K26" s="192"/>
      <c r="L26" s="502"/>
      <c r="M26" s="283"/>
      <c r="N26" s="194"/>
      <c r="O26" s="194"/>
      <c r="P26" s="194">
        <v>2626</v>
      </c>
      <c r="Q26" s="194"/>
      <c r="R26" s="534"/>
      <c r="S26" s="541">
        <f t="shared" si="0"/>
        <v>1110.23</v>
      </c>
      <c r="T26" s="206">
        <f>SUM(M26:R26)</f>
        <v>2626</v>
      </c>
      <c r="U26" s="542">
        <f t="shared" si="4"/>
        <v>0.42278370144706778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3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2"/>
        <v>1110.23</v>
      </c>
      <c r="AS26" s="209">
        <f t="shared" si="7"/>
        <v>0</v>
      </c>
      <c r="AT26" s="268">
        <f t="shared" si="5"/>
        <v>38851.349999999991</v>
      </c>
    </row>
    <row r="27" spans="1:46" ht="15.75">
      <c r="A27" s="546">
        <v>44333</v>
      </c>
      <c r="B27" s="789"/>
      <c r="C27" s="768">
        <f t="shared" si="6"/>
        <v>37741.119999999988</v>
      </c>
      <c r="D27" s="769"/>
      <c r="E27" s="766"/>
      <c r="F27" s="770"/>
      <c r="G27" s="767"/>
      <c r="H27" s="207">
        <v>1222.44</v>
      </c>
      <c r="I27" s="193"/>
      <c r="J27" s="192"/>
      <c r="K27" s="192"/>
      <c r="L27" s="502"/>
      <c r="M27" s="283"/>
      <c r="N27" s="194">
        <v>3052</v>
      </c>
      <c r="O27" s="194"/>
      <c r="P27" s="194"/>
      <c r="Q27" s="194"/>
      <c r="R27" s="534"/>
      <c r="S27" s="541">
        <f t="shared" si="0"/>
        <v>1222.44</v>
      </c>
      <c r="T27" s="206">
        <f t="shared" si="1"/>
        <v>3052</v>
      </c>
      <c r="U27" s="542">
        <f t="shared" si="4"/>
        <v>0.40053735255570122</v>
      </c>
      <c r="V27" s="199">
        <v>37.729999999999997</v>
      </c>
      <c r="W27" s="207">
        <v>27.51</v>
      </c>
      <c r="X27" s="185">
        <v>23.91</v>
      </c>
      <c r="Y27" s="207"/>
      <c r="Z27" s="192">
        <v>28.77</v>
      </c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3"/>
        <v>117.91999999999999</v>
      </c>
      <c r="AK27" s="201"/>
      <c r="AL27" s="201"/>
      <c r="AM27" s="201"/>
      <c r="AN27" s="201"/>
      <c r="AO27" s="201"/>
      <c r="AP27" s="201"/>
      <c r="AQ27" s="201"/>
      <c r="AR27" s="203">
        <f t="shared" si="2"/>
        <v>1340.3600000000001</v>
      </c>
      <c r="AS27" s="209">
        <f t="shared" si="7"/>
        <v>0</v>
      </c>
      <c r="AT27" s="268">
        <f t="shared" si="5"/>
        <v>37741.119999999988</v>
      </c>
    </row>
    <row r="28" spans="1:46" ht="15.75">
      <c r="A28" s="546">
        <v>44334</v>
      </c>
      <c r="B28" s="789"/>
      <c r="C28" s="768">
        <f t="shared" si="6"/>
        <v>36400.759999999987</v>
      </c>
      <c r="D28" s="769"/>
      <c r="E28" s="766"/>
      <c r="F28" s="770"/>
      <c r="G28" s="767">
        <v>1222.1600000000001</v>
      </c>
      <c r="H28" s="207"/>
      <c r="I28" s="193"/>
      <c r="J28" s="192"/>
      <c r="K28" s="192"/>
      <c r="L28" s="502"/>
      <c r="M28" s="283">
        <v>2929</v>
      </c>
      <c r="N28" s="194"/>
      <c r="O28" s="194"/>
      <c r="P28" s="194"/>
      <c r="Q28" s="194"/>
      <c r="R28" s="534"/>
      <c r="S28" s="541">
        <f t="shared" si="0"/>
        <v>1222.1600000000001</v>
      </c>
      <c r="T28" s="206">
        <f t="shared" si="1"/>
        <v>2929</v>
      </c>
      <c r="U28" s="542">
        <f t="shared" si="4"/>
        <v>0.41726186411744626</v>
      </c>
      <c r="V28" s="199"/>
      <c r="W28" s="207"/>
      <c r="X28" s="185"/>
      <c r="Y28" s="207"/>
      <c r="Z28" s="192"/>
      <c r="AA28" s="251"/>
      <c r="AB28" s="207"/>
      <c r="AC28" s="207"/>
      <c r="AD28" s="207"/>
      <c r="AE28" s="207"/>
      <c r="AF28" s="207"/>
      <c r="AG28" s="207"/>
      <c r="AH28" s="207"/>
      <c r="AI28" s="369"/>
      <c r="AJ28" s="257">
        <f>SUM(V28:AI28)</f>
        <v>0</v>
      </c>
      <c r="AK28" s="201"/>
      <c r="AL28" s="201"/>
      <c r="AM28" s="201"/>
      <c r="AN28" s="201"/>
      <c r="AO28" s="201"/>
      <c r="AP28" s="201"/>
      <c r="AQ28" s="201"/>
      <c r="AR28" s="203">
        <f t="shared" si="2"/>
        <v>1222.1600000000001</v>
      </c>
      <c r="AS28" s="209">
        <f t="shared" si="7"/>
        <v>0</v>
      </c>
      <c r="AT28" s="268">
        <f t="shared" si="5"/>
        <v>36400.759999999987</v>
      </c>
    </row>
    <row r="29" spans="1:46" ht="15.75">
      <c r="A29" s="546">
        <v>44335</v>
      </c>
      <c r="B29" s="789"/>
      <c r="C29" s="768">
        <f t="shared" si="6"/>
        <v>35178.599999999984</v>
      </c>
      <c r="D29" s="769"/>
      <c r="E29" s="766"/>
      <c r="F29" s="770"/>
      <c r="G29" s="767"/>
      <c r="H29" s="207"/>
      <c r="I29" s="193"/>
      <c r="J29" s="192"/>
      <c r="K29" s="192">
        <v>1168.1199999999999</v>
      </c>
      <c r="L29" s="502"/>
      <c r="M29" s="283"/>
      <c r="N29" s="194"/>
      <c r="O29" s="194"/>
      <c r="P29" s="194"/>
      <c r="Q29" s="194">
        <v>2825</v>
      </c>
      <c r="R29" s="534"/>
      <c r="S29" s="541">
        <f t="shared" si="0"/>
        <v>1168.1199999999999</v>
      </c>
      <c r="T29" s="206">
        <f t="shared" si="1"/>
        <v>2825</v>
      </c>
      <c r="U29" s="542">
        <f t="shared" si="4"/>
        <v>0.41349380530973445</v>
      </c>
      <c r="V29" s="199"/>
      <c r="W29" s="207"/>
      <c r="X29" s="185"/>
      <c r="Y29" s="207"/>
      <c r="Z29" s="192">
        <v>18.170000000000002</v>
      </c>
      <c r="AA29" s="251"/>
      <c r="AB29" s="207"/>
      <c r="AC29" s="207"/>
      <c r="AD29" s="207"/>
      <c r="AE29" s="207"/>
      <c r="AF29" s="207"/>
      <c r="AG29" s="207"/>
      <c r="AH29" s="207">
        <v>150</v>
      </c>
      <c r="AI29" s="369"/>
      <c r="AJ29" s="257">
        <f t="shared" si="3"/>
        <v>168.17000000000002</v>
      </c>
      <c r="AK29" s="201"/>
      <c r="AL29" s="201"/>
      <c r="AM29" s="201"/>
      <c r="AN29" s="201"/>
      <c r="AO29" s="201"/>
      <c r="AP29" s="201"/>
      <c r="AQ29" s="201"/>
      <c r="AR29" s="203">
        <f t="shared" si="2"/>
        <v>1336.29</v>
      </c>
      <c r="AS29" s="209">
        <f t="shared" si="7"/>
        <v>0</v>
      </c>
      <c r="AT29" s="268">
        <f t="shared" si="5"/>
        <v>35178.599999999984</v>
      </c>
    </row>
    <row r="30" spans="1:46" ht="15.75">
      <c r="A30" s="546">
        <v>44336</v>
      </c>
      <c r="B30" s="789"/>
      <c r="C30" s="768">
        <f t="shared" si="6"/>
        <v>33842.309999999983</v>
      </c>
      <c r="D30" s="769"/>
      <c r="E30" s="766"/>
      <c r="F30" s="770"/>
      <c r="G30" s="767"/>
      <c r="H30" s="207"/>
      <c r="I30" s="193"/>
      <c r="J30" s="192">
        <v>1133.48</v>
      </c>
      <c r="K30" s="192"/>
      <c r="L30" s="502"/>
      <c r="M30" s="283"/>
      <c r="N30" s="194"/>
      <c r="O30" s="194"/>
      <c r="P30" s="194">
        <v>2766</v>
      </c>
      <c r="Q30" s="194"/>
      <c r="R30" s="534"/>
      <c r="S30" s="541">
        <f t="shared" si="0"/>
        <v>1133.48</v>
      </c>
      <c r="T30" s="206">
        <f t="shared" si="1"/>
        <v>2766</v>
      </c>
      <c r="U30" s="542">
        <f t="shared" si="4"/>
        <v>0.4097903109182936</v>
      </c>
      <c r="V30" s="199">
        <v>16.420000000000002</v>
      </c>
      <c r="W30" s="207">
        <v>35.130000000000003</v>
      </c>
      <c r="X30" s="185">
        <v>28.85</v>
      </c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3"/>
        <v>80.400000000000006</v>
      </c>
      <c r="AK30" s="201"/>
      <c r="AL30" s="201"/>
      <c r="AM30" s="201"/>
      <c r="AN30" s="201"/>
      <c r="AO30" s="201"/>
      <c r="AP30" s="201"/>
      <c r="AQ30" s="201"/>
      <c r="AR30" s="203">
        <f t="shared" si="2"/>
        <v>1213.8800000000001</v>
      </c>
      <c r="AS30" s="209">
        <f t="shared" si="7"/>
        <v>0</v>
      </c>
      <c r="AT30" s="268">
        <f t="shared" si="5"/>
        <v>33842.309999999983</v>
      </c>
    </row>
    <row r="31" spans="1:46" ht="15.75">
      <c r="A31" s="546">
        <v>44337</v>
      </c>
      <c r="B31" s="789"/>
      <c r="C31" s="768">
        <f t="shared" si="6"/>
        <v>32628.429999999982</v>
      </c>
      <c r="D31" s="769"/>
      <c r="E31" s="766"/>
      <c r="F31" s="770"/>
      <c r="G31" s="767"/>
      <c r="H31" s="207">
        <v>1112.7</v>
      </c>
      <c r="I31" s="193"/>
      <c r="J31" s="192"/>
      <c r="K31" s="192"/>
      <c r="L31" s="502"/>
      <c r="M31" s="283"/>
      <c r="N31" s="194">
        <v>2747</v>
      </c>
      <c r="O31" s="194"/>
      <c r="P31" s="194"/>
      <c r="Q31" s="194"/>
      <c r="R31" s="534"/>
      <c r="S31" s="541">
        <f t="shared" si="0"/>
        <v>1112.7</v>
      </c>
      <c r="T31" s="206">
        <f t="shared" si="1"/>
        <v>2747</v>
      </c>
      <c r="U31" s="542">
        <f t="shared" si="4"/>
        <v>0.40506006552602841</v>
      </c>
      <c r="V31" s="199"/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>
        <v>289</v>
      </c>
      <c r="AI31" s="369"/>
      <c r="AJ31" s="257">
        <f t="shared" si="3"/>
        <v>289</v>
      </c>
      <c r="AK31" s="201"/>
      <c r="AL31" s="201"/>
      <c r="AM31" s="201"/>
      <c r="AN31" s="201"/>
      <c r="AO31" s="201"/>
      <c r="AP31" s="201"/>
      <c r="AQ31" s="201"/>
      <c r="AR31" s="203">
        <f t="shared" si="2"/>
        <v>1401.7</v>
      </c>
      <c r="AS31" s="209">
        <f t="shared" si="7"/>
        <v>0</v>
      </c>
      <c r="AT31" s="268">
        <f t="shared" si="5"/>
        <v>32628.429999999982</v>
      </c>
    </row>
    <row r="32" spans="1:46" ht="15.75">
      <c r="A32" s="546">
        <v>44338</v>
      </c>
      <c r="B32" s="789"/>
      <c r="C32" s="768">
        <f t="shared" si="6"/>
        <v>31226.729999999981</v>
      </c>
      <c r="D32" s="769"/>
      <c r="E32" s="766"/>
      <c r="F32" s="770"/>
      <c r="G32" s="767">
        <v>1123.32</v>
      </c>
      <c r="H32" s="192"/>
      <c r="I32" s="192"/>
      <c r="J32" s="192"/>
      <c r="K32" s="192"/>
      <c r="L32" s="502"/>
      <c r="M32" s="283">
        <v>2714</v>
      </c>
      <c r="N32" s="194"/>
      <c r="O32" s="194"/>
      <c r="P32" s="194"/>
      <c r="Q32" s="194"/>
      <c r="R32" s="534"/>
      <c r="S32" s="541">
        <f t="shared" si="0"/>
        <v>1123.32</v>
      </c>
      <c r="T32" s="206">
        <f t="shared" si="1"/>
        <v>2714</v>
      </c>
      <c r="U32" s="542">
        <f t="shared" si="4"/>
        <v>0.41389830508474573</v>
      </c>
      <c r="V32" s="199"/>
      <c r="W32" s="207">
        <v>78.48</v>
      </c>
      <c r="X32" s="185">
        <v>8.99</v>
      </c>
      <c r="Y32" s="207"/>
      <c r="Z32" s="192">
        <v>94.57</v>
      </c>
      <c r="AA32" s="251"/>
      <c r="AB32" s="207"/>
      <c r="AC32" s="207"/>
      <c r="AD32" s="207"/>
      <c r="AE32" s="207">
        <v>117.88</v>
      </c>
      <c r="AF32" s="207"/>
      <c r="AG32" s="207"/>
      <c r="AH32" s="207"/>
      <c r="AI32" s="369"/>
      <c r="AJ32" s="257">
        <f t="shared" si="3"/>
        <v>299.91999999999996</v>
      </c>
      <c r="AK32" s="201"/>
      <c r="AL32" s="201"/>
      <c r="AM32" s="201"/>
      <c r="AN32" s="201"/>
      <c r="AO32" s="201"/>
      <c r="AP32" s="201"/>
      <c r="AQ32" s="201"/>
      <c r="AR32" s="203">
        <f t="shared" si="2"/>
        <v>1423.2399999999998</v>
      </c>
      <c r="AS32" s="209">
        <f t="shared" si="7"/>
        <v>0</v>
      </c>
      <c r="AT32" s="268">
        <f t="shared" si="5"/>
        <v>31226.729999999981</v>
      </c>
    </row>
    <row r="33" spans="1:46" ht="15.75">
      <c r="A33" s="546">
        <v>44339</v>
      </c>
      <c r="B33" s="789"/>
      <c r="C33" s="768">
        <f t="shared" si="6"/>
        <v>29803.489999999983</v>
      </c>
      <c r="D33" s="769"/>
      <c r="E33" s="766"/>
      <c r="F33" s="770"/>
      <c r="G33" s="767"/>
      <c r="H33" s="192"/>
      <c r="I33" s="192"/>
      <c r="J33" s="192">
        <v>1170.9100000000001</v>
      </c>
      <c r="K33" s="192"/>
      <c r="L33" s="502"/>
      <c r="M33" s="283"/>
      <c r="N33" s="194"/>
      <c r="O33" s="194"/>
      <c r="P33" s="194">
        <v>2815</v>
      </c>
      <c r="Q33" s="194"/>
      <c r="R33" s="534"/>
      <c r="S33" s="541">
        <f t="shared" si="0"/>
        <v>1170.9100000000001</v>
      </c>
      <c r="T33" s="206">
        <f t="shared" si="1"/>
        <v>2815</v>
      </c>
      <c r="U33" s="542">
        <f t="shared" si="4"/>
        <v>0.41595381882770871</v>
      </c>
      <c r="V33" s="199"/>
      <c r="W33" s="207"/>
      <c r="X33" s="185"/>
      <c r="Y33" s="207"/>
      <c r="Z33" s="192"/>
      <c r="AA33" s="251"/>
      <c r="AB33" s="207"/>
      <c r="AC33" s="207"/>
      <c r="AD33" s="207">
        <v>11.74</v>
      </c>
      <c r="AE33" s="207"/>
      <c r="AF33" s="207"/>
      <c r="AG33" s="207"/>
      <c r="AH33" s="207"/>
      <c r="AI33" s="369"/>
      <c r="AJ33" s="257">
        <f t="shared" si="3"/>
        <v>11.74</v>
      </c>
      <c r="AK33" s="201"/>
      <c r="AL33" s="201"/>
      <c r="AM33" s="201"/>
      <c r="AN33" s="201"/>
      <c r="AO33" s="201"/>
      <c r="AP33" s="201"/>
      <c r="AQ33" s="201"/>
      <c r="AR33" s="203">
        <f t="shared" si="2"/>
        <v>1182.6500000000001</v>
      </c>
      <c r="AS33" s="209">
        <f t="shared" si="7"/>
        <v>0</v>
      </c>
      <c r="AT33" s="268">
        <f t="shared" si="5"/>
        <v>29803.489999999983</v>
      </c>
    </row>
    <row r="34" spans="1:46" ht="15.75">
      <c r="A34" s="546">
        <v>44340</v>
      </c>
      <c r="B34" s="789"/>
      <c r="C34" s="768">
        <f t="shared" si="6"/>
        <v>28620.839999999982</v>
      </c>
      <c r="D34" s="769"/>
      <c r="E34" s="766"/>
      <c r="F34" s="770"/>
      <c r="G34" s="767"/>
      <c r="H34" s="207"/>
      <c r="I34" s="193"/>
      <c r="J34" s="192"/>
      <c r="K34" s="192">
        <v>1086.5999999999999</v>
      </c>
      <c r="L34" s="502"/>
      <c r="M34" s="283"/>
      <c r="N34" s="194"/>
      <c r="O34" s="194"/>
      <c r="P34" s="194"/>
      <c r="Q34" s="194">
        <v>2616</v>
      </c>
      <c r="R34" s="534"/>
      <c r="S34" s="541">
        <f t="shared" si="0"/>
        <v>1086.5999999999999</v>
      </c>
      <c r="T34" s="206">
        <f t="shared" si="1"/>
        <v>2616</v>
      </c>
      <c r="U34" s="542">
        <f t="shared" si="4"/>
        <v>0.41536697247706417</v>
      </c>
      <c r="V34" s="199"/>
      <c r="W34" s="207"/>
      <c r="X34" s="185"/>
      <c r="Y34" s="207"/>
      <c r="Z34" s="192"/>
      <c r="AA34" s="251"/>
      <c r="AB34" s="207"/>
      <c r="AC34" s="207">
        <v>61.32</v>
      </c>
      <c r="AD34" s="207"/>
      <c r="AE34" s="207"/>
      <c r="AF34" s="207"/>
      <c r="AG34" s="207"/>
      <c r="AH34" s="207"/>
      <c r="AI34" s="369"/>
      <c r="AJ34" s="257">
        <f t="shared" si="3"/>
        <v>61.32</v>
      </c>
      <c r="AK34" s="201"/>
      <c r="AL34" s="201"/>
      <c r="AM34" s="201"/>
      <c r="AN34" s="201"/>
      <c r="AO34" s="201"/>
      <c r="AP34" s="201"/>
      <c r="AQ34" s="201"/>
      <c r="AR34" s="203">
        <f t="shared" si="2"/>
        <v>1147.9199999999998</v>
      </c>
      <c r="AS34" s="209">
        <f t="shared" si="7"/>
        <v>0</v>
      </c>
      <c r="AT34" s="268">
        <f t="shared" si="5"/>
        <v>28620.839999999982</v>
      </c>
    </row>
    <row r="35" spans="1:46" ht="15.75">
      <c r="A35" s="546">
        <v>44341</v>
      </c>
      <c r="B35" s="789"/>
      <c r="C35" s="768">
        <f t="shared" si="6"/>
        <v>27472.919999999984</v>
      </c>
      <c r="D35" s="769"/>
      <c r="E35" s="766"/>
      <c r="F35" s="770"/>
      <c r="G35" s="767"/>
      <c r="H35" s="207">
        <v>1194.43</v>
      </c>
      <c r="I35" s="193"/>
      <c r="J35" s="192"/>
      <c r="K35" s="192"/>
      <c r="L35" s="502"/>
      <c r="M35" s="283"/>
      <c r="N35" s="194">
        <v>2941</v>
      </c>
      <c r="O35" s="194"/>
      <c r="P35" s="194"/>
      <c r="Q35" s="194"/>
      <c r="R35" s="534"/>
      <c r="S35" s="541">
        <f t="shared" si="0"/>
        <v>1194.43</v>
      </c>
      <c r="T35" s="206">
        <f t="shared" si="1"/>
        <v>2941</v>
      </c>
      <c r="U35" s="542">
        <f t="shared" si="4"/>
        <v>0.40613056783407009</v>
      </c>
      <c r="V35" s="199">
        <v>83.26</v>
      </c>
      <c r="W35" s="207"/>
      <c r="X35" s="185"/>
      <c r="Y35" s="207"/>
      <c r="Z35" s="192"/>
      <c r="AA35" s="251"/>
      <c r="AB35" s="207">
        <v>49.26</v>
      </c>
      <c r="AC35" s="207"/>
      <c r="AD35" s="207"/>
      <c r="AE35" s="207"/>
      <c r="AF35" s="207"/>
      <c r="AG35" s="207"/>
      <c r="AH35" s="207">
        <v>123</v>
      </c>
      <c r="AI35" s="369"/>
      <c r="AJ35" s="257">
        <f t="shared" si="3"/>
        <v>255.52</v>
      </c>
      <c r="AK35" s="201"/>
      <c r="AL35" s="201"/>
      <c r="AM35" s="201"/>
      <c r="AN35" s="201"/>
      <c r="AO35" s="201"/>
      <c r="AP35" s="201"/>
      <c r="AQ35" s="201"/>
      <c r="AR35" s="203">
        <f t="shared" si="2"/>
        <v>1449.95</v>
      </c>
      <c r="AS35" s="209">
        <f t="shared" si="7"/>
        <v>0</v>
      </c>
      <c r="AT35" s="268">
        <f t="shared" si="5"/>
        <v>27472.919999999984</v>
      </c>
    </row>
    <row r="36" spans="1:46" ht="15.75">
      <c r="A36" s="546">
        <v>44342</v>
      </c>
      <c r="B36" s="789"/>
      <c r="C36" s="768">
        <f t="shared" si="6"/>
        <v>41022.969999999987</v>
      </c>
      <c r="D36" s="769">
        <v>15000</v>
      </c>
      <c r="E36" s="766"/>
      <c r="F36" s="770"/>
      <c r="G36" s="767">
        <v>1174.3499999999999</v>
      </c>
      <c r="H36" s="207"/>
      <c r="I36" s="193"/>
      <c r="J36" s="192"/>
      <c r="K36" s="192"/>
      <c r="L36" s="502"/>
      <c r="M36" s="283">
        <v>2802</v>
      </c>
      <c r="N36" s="194"/>
      <c r="O36" s="194"/>
      <c r="P36" s="194"/>
      <c r="Q36" s="194"/>
      <c r="R36" s="534"/>
      <c r="S36" s="541">
        <f t="shared" si="0"/>
        <v>1174.3499999999999</v>
      </c>
      <c r="T36" s="206">
        <f t="shared" si="1"/>
        <v>2802</v>
      </c>
      <c r="U36" s="542">
        <f t="shared" si="4"/>
        <v>0.41911134903640251</v>
      </c>
      <c r="V36" s="199">
        <v>23.89</v>
      </c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3"/>
        <v>23.89</v>
      </c>
      <c r="AK36" s="201"/>
      <c r="AL36" s="201"/>
      <c r="AM36" s="201"/>
      <c r="AN36" s="201"/>
      <c r="AO36" s="201"/>
      <c r="AP36" s="201"/>
      <c r="AQ36" s="201"/>
      <c r="AR36" s="203">
        <f t="shared" si="2"/>
        <v>1198.24</v>
      </c>
      <c r="AS36" s="209">
        <f t="shared" si="7"/>
        <v>0</v>
      </c>
      <c r="AT36" s="268">
        <f t="shared" si="5"/>
        <v>41022.969999999987</v>
      </c>
    </row>
    <row r="37" spans="1:46" ht="15.75">
      <c r="A37" s="546">
        <v>44343</v>
      </c>
      <c r="B37" s="789"/>
      <c r="C37" s="768">
        <f t="shared" si="6"/>
        <v>39824.729999999989</v>
      </c>
      <c r="D37" s="769"/>
      <c r="E37" s="766"/>
      <c r="F37" s="502"/>
      <c r="G37" s="767"/>
      <c r="H37" s="207"/>
      <c r="I37" s="193"/>
      <c r="J37" s="192"/>
      <c r="K37" s="192"/>
      <c r="L37" s="502"/>
      <c r="M37" s="283"/>
      <c r="N37" s="194"/>
      <c r="O37" s="194"/>
      <c r="P37" s="194"/>
      <c r="Q37" s="194"/>
      <c r="R37" s="194"/>
      <c r="S37" s="541">
        <f t="shared" si="0"/>
        <v>0</v>
      </c>
      <c r="T37" s="206">
        <f t="shared" si="1"/>
        <v>0</v>
      </c>
      <c r="U37" s="542" t="e">
        <f t="shared" si="4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3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2"/>
        <v>0</v>
      </c>
      <c r="AS37" s="209">
        <f t="shared" si="7"/>
        <v>0</v>
      </c>
      <c r="AT37" s="268">
        <f t="shared" si="5"/>
        <v>39824.729999999989</v>
      </c>
    </row>
    <row r="38" spans="1:46" ht="15.75">
      <c r="A38" s="546">
        <v>44344</v>
      </c>
      <c r="B38" s="789"/>
      <c r="C38" s="768">
        <f t="shared" si="6"/>
        <v>39824.729999999989</v>
      </c>
      <c r="D38" s="769"/>
      <c r="E38" s="766">
        <v>15000</v>
      </c>
      <c r="F38" s="807" t="s">
        <v>195</v>
      </c>
      <c r="G38" s="767"/>
      <c r="H38" s="207"/>
      <c r="I38" s="193"/>
      <c r="J38" s="192"/>
      <c r="K38" s="192"/>
      <c r="L38" s="502"/>
      <c r="M38" s="283"/>
      <c r="N38" s="194"/>
      <c r="O38" s="194"/>
      <c r="P38" s="194"/>
      <c r="Q38" s="194"/>
      <c r="R38" s="194"/>
      <c r="S38" s="541">
        <f t="shared" si="0"/>
        <v>0</v>
      </c>
      <c r="T38" s="206">
        <f t="shared" si="1"/>
        <v>0</v>
      </c>
      <c r="U38" s="542" t="e">
        <f t="shared" si="4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3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2"/>
        <v>0</v>
      </c>
      <c r="AS38" s="209">
        <f t="shared" si="7"/>
        <v>0</v>
      </c>
      <c r="AT38" s="268">
        <f t="shared" si="5"/>
        <v>39824.729999999989</v>
      </c>
    </row>
    <row r="39" spans="1:46" ht="15.75">
      <c r="A39" s="546">
        <v>44345</v>
      </c>
      <c r="B39" s="789"/>
      <c r="C39" s="768">
        <f t="shared" si="6"/>
        <v>39824.729999999989</v>
      </c>
      <c r="D39" s="769"/>
      <c r="E39" s="766"/>
      <c r="F39" s="502"/>
      <c r="G39" s="767"/>
      <c r="H39" s="207"/>
      <c r="I39" s="214"/>
      <c r="J39" s="192"/>
      <c r="K39" s="192"/>
      <c r="L39" s="502"/>
      <c r="M39" s="283"/>
      <c r="N39" s="194"/>
      <c r="O39" s="215"/>
      <c r="P39" s="194"/>
      <c r="Q39" s="194"/>
      <c r="R39" s="534"/>
      <c r="S39" s="541">
        <f t="shared" si="0"/>
        <v>0</v>
      </c>
      <c r="T39" s="206">
        <f t="shared" si="1"/>
        <v>0</v>
      </c>
      <c r="U39" s="542" t="e">
        <f t="shared" si="4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3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2"/>
        <v>0</v>
      </c>
      <c r="AS39" s="209">
        <f t="shared" si="7"/>
        <v>0</v>
      </c>
      <c r="AT39" s="268">
        <f t="shared" si="5"/>
        <v>39824.729999999989</v>
      </c>
    </row>
    <row r="40" spans="1:46" ht="15.75">
      <c r="A40" s="546">
        <v>44346</v>
      </c>
      <c r="B40" s="789"/>
      <c r="C40" s="768">
        <f t="shared" si="6"/>
        <v>39824.729999999989</v>
      </c>
      <c r="D40" s="769"/>
      <c r="E40" s="766"/>
      <c r="F40" s="284"/>
      <c r="G40" s="767"/>
      <c r="H40" s="207"/>
      <c r="I40" s="193"/>
      <c r="J40" s="192"/>
      <c r="K40" s="192"/>
      <c r="L40" s="502"/>
      <c r="M40" s="283"/>
      <c r="N40" s="194"/>
      <c r="O40" s="194"/>
      <c r="P40" s="194"/>
      <c r="Q40" s="194"/>
      <c r="R40" s="534"/>
      <c r="S40" s="541">
        <f t="shared" si="0"/>
        <v>0</v>
      </c>
      <c r="T40" s="206">
        <f t="shared" si="1"/>
        <v>0</v>
      </c>
      <c r="U40" s="542" t="e">
        <f t="shared" si="4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3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2"/>
        <v>0</v>
      </c>
      <c r="AS40" s="209">
        <f t="shared" si="7"/>
        <v>0</v>
      </c>
      <c r="AT40" s="268">
        <f t="shared" si="5"/>
        <v>39824.729999999989</v>
      </c>
    </row>
    <row r="41" spans="1:46" ht="15.75">
      <c r="A41" s="546">
        <v>44347</v>
      </c>
      <c r="B41" s="789"/>
      <c r="C41" s="768">
        <f t="shared" si="6"/>
        <v>39824.729999999989</v>
      </c>
      <c r="D41" s="769"/>
      <c r="E41" s="766"/>
      <c r="F41" s="284"/>
      <c r="G41" s="767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542" t="e">
        <f t="shared" si="4"/>
        <v>#DIV/0!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3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2"/>
        <v>0</v>
      </c>
      <c r="AS41" s="209">
        <f t="shared" si="7"/>
        <v>0</v>
      </c>
      <c r="AT41" s="268">
        <f t="shared" si="5"/>
        <v>39824.729999999989</v>
      </c>
    </row>
    <row r="42" spans="1:46" ht="14.25">
      <c r="A42" s="546"/>
      <c r="B42" s="545"/>
      <c r="C42" s="768">
        <f t="shared" si="6"/>
        <v>39824.729999999989</v>
      </c>
      <c r="D42" s="773"/>
      <c r="E42" s="766"/>
      <c r="F42" s="284"/>
      <c r="G42" s="767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3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2"/>
        <v>0</v>
      </c>
      <c r="AS42" s="209">
        <f t="shared" si="7"/>
        <v>0</v>
      </c>
      <c r="AT42" s="268">
        <f t="shared" si="5"/>
        <v>39824.729999999989</v>
      </c>
    </row>
    <row r="43" spans="1:46" ht="14.25">
      <c r="A43" s="472" t="s">
        <v>196</v>
      </c>
      <c r="B43" s="447">
        <f>AVERAGE(B11:B42)</f>
        <v>3.5499999999999997E-2</v>
      </c>
      <c r="C43" s="764">
        <f t="shared" si="6"/>
        <v>39824.729999999989</v>
      </c>
      <c r="D43" s="773"/>
      <c r="E43" s="766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3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2"/>
        <v>0</v>
      </c>
      <c r="AS43" s="209">
        <f t="shared" si="7"/>
        <v>0</v>
      </c>
      <c r="AT43" s="268">
        <f t="shared" si="5"/>
        <v>39824.729999999989</v>
      </c>
    </row>
    <row r="44" spans="1:46" ht="15" thickBot="1">
      <c r="A44" s="473"/>
      <c r="B44" s="474"/>
      <c r="C44" s="774"/>
      <c r="D44" s="775"/>
      <c r="E44" s="776"/>
      <c r="F44" s="777"/>
      <c r="G44" s="778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3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44900</v>
      </c>
      <c r="E45" s="297">
        <f>SUM(E11:E42)</f>
        <v>45000</v>
      </c>
      <c r="F45" s="779">
        <f t="shared" ref="F45:O45" si="8">SUM(F11:F44)</f>
        <v>0</v>
      </c>
      <c r="G45" s="297">
        <f t="shared" si="8"/>
        <v>8041.02</v>
      </c>
      <c r="H45" s="292">
        <f t="shared" si="8"/>
        <v>6718.67</v>
      </c>
      <c r="I45" s="297">
        <f t="shared" si="8"/>
        <v>0</v>
      </c>
      <c r="J45" s="292">
        <f t="shared" si="8"/>
        <v>6860.2999999999993</v>
      </c>
      <c r="K45" s="297">
        <f t="shared" si="8"/>
        <v>7670.57</v>
      </c>
      <c r="L45" s="292">
        <f t="shared" si="8"/>
        <v>0</v>
      </c>
      <c r="M45" s="297">
        <f t="shared" si="8"/>
        <v>19405</v>
      </c>
      <c r="N45" s="519">
        <f t="shared" si="8"/>
        <v>16659</v>
      </c>
      <c r="O45" s="297">
        <f t="shared" si="8"/>
        <v>0</v>
      </c>
      <c r="P45" s="292">
        <f>SUM(P11:P43)</f>
        <v>16457</v>
      </c>
      <c r="Q45" s="297">
        <f>SUM(Q11:Q44)</f>
        <v>18450</v>
      </c>
      <c r="R45" s="292">
        <f>SUM(R11:R44)</f>
        <v>0</v>
      </c>
      <c r="S45" s="524">
        <f>SUM(G45:L45)</f>
        <v>29290.559999999998</v>
      </c>
      <c r="T45" s="292">
        <f>SUM(M45:R45)</f>
        <v>70971</v>
      </c>
      <c r="U45" s="221" t="e">
        <f>SUM(U11:U42)</f>
        <v>#DIV/0!</v>
      </c>
      <c r="V45" s="519">
        <f t="shared" ref="V45:AB45" si="9">SUM(V9:V44)</f>
        <v>335.24999999999994</v>
      </c>
      <c r="W45" s="221">
        <f t="shared" si="9"/>
        <v>209.05</v>
      </c>
      <c r="X45" s="519">
        <f t="shared" si="9"/>
        <v>375.22000000000008</v>
      </c>
      <c r="Y45" s="221">
        <f t="shared" si="9"/>
        <v>0</v>
      </c>
      <c r="Z45" s="519">
        <f t="shared" si="9"/>
        <v>455.62</v>
      </c>
      <c r="AA45" s="221">
        <f t="shared" si="9"/>
        <v>0</v>
      </c>
      <c r="AB45" s="519">
        <f t="shared" si="9"/>
        <v>210.39999999999998</v>
      </c>
      <c r="AC45" s="221">
        <f>SUM(AC10:AC44)</f>
        <v>61.32</v>
      </c>
      <c r="AD45" s="519">
        <f>SUM(AD10:AD44)</f>
        <v>310.18</v>
      </c>
      <c r="AE45" s="221">
        <f>SUM(AE9:AE44)</f>
        <v>223.42000000000002</v>
      </c>
      <c r="AF45" s="519">
        <f>SUM(AF9:AF44)</f>
        <v>73.760000000000005</v>
      </c>
      <c r="AG45" s="221">
        <f>SUM(AG9:AG44)</f>
        <v>600</v>
      </c>
      <c r="AH45" s="519">
        <f>SUM(AH9:AH43)</f>
        <v>791.05</v>
      </c>
      <c r="AI45" s="221">
        <f>SUM(AI9:AI39)</f>
        <v>0</v>
      </c>
      <c r="AJ45" s="519">
        <f>SUM(AJ9:AJ44)</f>
        <v>3645.2700000000004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32935.83</v>
      </c>
      <c r="AS45" s="522">
        <f>SUM(AS11:AS44)</f>
        <v>0</v>
      </c>
      <c r="AT45" s="523"/>
    </row>
    <row r="46" spans="1:46" ht="14.25" thickBot="1">
      <c r="A46" s="174" t="s">
        <v>197</v>
      </c>
      <c r="S46" s="573"/>
      <c r="W46" s="178"/>
      <c r="X46" s="178"/>
      <c r="Y46" s="178"/>
      <c r="Z46" s="178"/>
      <c r="AA46" s="178"/>
      <c r="AR46" s="173"/>
      <c r="AS46" s="223"/>
      <c r="AT46" s="172"/>
    </row>
    <row r="47" spans="1:46" ht="14.25" thickBot="1">
      <c r="A47" s="306"/>
      <c r="F47" s="176"/>
      <c r="R47" s="173"/>
      <c r="S47" s="780">
        <f>AVERAGE(S11:S41)</f>
        <v>944.85677419354818</v>
      </c>
      <c r="T47" s="299">
        <f>S45*2315</f>
        <v>67807646.399999991</v>
      </c>
      <c r="U47" s="300" t="s">
        <v>198</v>
      </c>
      <c r="AR47" s="499">
        <f>AR45*2143</f>
        <v>70581483.689999998</v>
      </c>
      <c r="AS47" s="498" t="s">
        <v>198</v>
      </c>
      <c r="AT47" s="172"/>
    </row>
    <row r="48" spans="1:46" ht="14.25" thickBot="1">
      <c r="A48" s="307" t="s">
        <v>199</v>
      </c>
      <c r="B48" s="224"/>
      <c r="F48" s="174" t="s">
        <v>13</v>
      </c>
      <c r="T48" s="299">
        <f>T47/2289</f>
        <v>29623.261861074701</v>
      </c>
      <c r="U48" s="300" t="s">
        <v>200</v>
      </c>
      <c r="W48" s="178"/>
      <c r="X48" s="178"/>
      <c r="Y48" s="178"/>
      <c r="Z48" s="178"/>
      <c r="AA48" s="178"/>
      <c r="AR48" s="299">
        <f>AR47/2289</f>
        <v>30835.073695937088</v>
      </c>
      <c r="AS48" s="500" t="s">
        <v>200</v>
      </c>
      <c r="AT48" s="223"/>
    </row>
    <row r="49" spans="2:46" ht="14.25" thickBot="1">
      <c r="U49" s="225"/>
      <c r="W49" s="178"/>
      <c r="X49" s="178"/>
      <c r="Y49" s="178"/>
      <c r="Z49" s="178"/>
      <c r="AA49" s="178"/>
      <c r="AR49" s="225"/>
      <c r="AT49" s="223"/>
    </row>
    <row r="50" spans="2:46" ht="13.5" customHeight="1" thickBot="1">
      <c r="B50" s="875" t="s">
        <v>201</v>
      </c>
      <c r="C50" s="876"/>
      <c r="D50" s="876"/>
      <c r="E50" s="876"/>
      <c r="F50" s="877"/>
      <c r="H50" s="853" t="s">
        <v>202</v>
      </c>
      <c r="I50" s="854"/>
      <c r="J50" s="854"/>
      <c r="K50" s="854"/>
      <c r="L50" s="855"/>
      <c r="N50" s="856" t="s">
        <v>203</v>
      </c>
      <c r="O50" s="857"/>
      <c r="P50" s="857"/>
      <c r="Q50" s="857"/>
      <c r="R50" s="858"/>
      <c r="T50" s="859" t="s">
        <v>204</v>
      </c>
      <c r="U50" s="860"/>
      <c r="V50" s="860"/>
      <c r="W50" s="860"/>
      <c r="X50" s="860"/>
      <c r="Y50" s="861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</row>
    <row r="52" spans="2:46" ht="11.25" customHeight="1" thickBot="1">
      <c r="B52" s="475">
        <v>44413</v>
      </c>
      <c r="C52" s="475" t="s">
        <v>213</v>
      </c>
      <c r="D52" s="477">
        <v>110</v>
      </c>
      <c r="E52" s="476" t="s">
        <v>214</v>
      </c>
      <c r="F52" s="503"/>
      <c r="H52" s="506"/>
      <c r="I52" s="483"/>
      <c r="J52" s="483"/>
      <c r="K52" s="483"/>
      <c r="L52" s="507"/>
      <c r="N52" s="331"/>
      <c r="O52" s="483"/>
      <c r="P52" s="501"/>
      <c r="Q52" s="501"/>
      <c r="R52" s="487"/>
      <c r="T52" s="331"/>
      <c r="U52" s="501"/>
      <c r="V52" s="583"/>
      <c r="W52" s="508"/>
      <c r="X52" s="508"/>
      <c r="Y52" s="487"/>
    </row>
    <row r="53" spans="2:46" ht="11.25" customHeight="1">
      <c r="B53" s="475">
        <v>44474</v>
      </c>
      <c r="C53" s="475" t="s">
        <v>215</v>
      </c>
      <c r="D53" s="477">
        <v>119</v>
      </c>
      <c r="E53" s="476" t="s">
        <v>216</v>
      </c>
      <c r="F53" s="503"/>
      <c r="H53" s="781"/>
      <c r="I53" s="782"/>
      <c r="J53" s="782"/>
      <c r="K53" s="782"/>
      <c r="L53" s="503"/>
      <c r="N53" s="475"/>
      <c r="O53" s="782"/>
      <c r="P53" s="188"/>
      <c r="Q53" s="188"/>
      <c r="R53" s="487"/>
      <c r="T53" s="475"/>
      <c r="U53" s="188"/>
      <c r="V53" s="583"/>
      <c r="W53" s="476"/>
      <c r="X53" s="476"/>
      <c r="Y53" s="783"/>
    </row>
    <row r="54" spans="2:46" ht="11.25" customHeight="1">
      <c r="B54" s="475" t="s">
        <v>217</v>
      </c>
      <c r="C54" s="475" t="s">
        <v>218</v>
      </c>
      <c r="D54" s="477">
        <v>150</v>
      </c>
      <c r="E54" s="476" t="s">
        <v>219</v>
      </c>
      <c r="F54" s="503"/>
      <c r="H54" s="492"/>
      <c r="I54" s="251"/>
      <c r="J54" s="251"/>
      <c r="K54" s="251"/>
      <c r="L54" s="503"/>
      <c r="N54" s="324"/>
      <c r="O54" s="251"/>
      <c r="P54" s="369"/>
      <c r="Q54" s="369"/>
      <c r="R54" s="488"/>
      <c r="T54" s="324"/>
      <c r="U54" s="369"/>
      <c r="V54" s="584"/>
      <c r="W54" s="287"/>
      <c r="X54" s="287"/>
      <c r="Y54" s="488"/>
    </row>
    <row r="55" spans="2:46" ht="11.25" customHeight="1">
      <c r="B55" s="324" t="s">
        <v>220</v>
      </c>
      <c r="C55" s="287" t="s">
        <v>221</v>
      </c>
      <c r="D55" s="365">
        <v>151</v>
      </c>
      <c r="E55" s="287" t="s">
        <v>222</v>
      </c>
      <c r="F55" s="503"/>
      <c r="H55" s="492"/>
      <c r="I55" s="251"/>
      <c r="J55" s="251"/>
      <c r="K55" s="251"/>
      <c r="L55" s="504"/>
      <c r="N55" s="324"/>
      <c r="O55" s="251"/>
      <c r="P55" s="369"/>
      <c r="Q55" s="369"/>
      <c r="R55" s="488"/>
      <c r="T55" s="324"/>
      <c r="U55" s="369"/>
      <c r="V55" s="584"/>
      <c r="W55" s="287"/>
      <c r="X55" s="287"/>
      <c r="Y55" s="488"/>
    </row>
    <row r="56" spans="2:46" ht="11.25" customHeight="1">
      <c r="B56" s="324" t="s">
        <v>220</v>
      </c>
      <c r="C56" s="287" t="s">
        <v>223</v>
      </c>
      <c r="D56" s="365">
        <v>138</v>
      </c>
      <c r="E56" s="287" t="s">
        <v>224</v>
      </c>
      <c r="F56" s="503"/>
      <c r="H56" s="484"/>
      <c r="I56" s="251"/>
      <c r="J56" s="251"/>
      <c r="K56" s="251"/>
      <c r="L56" s="504"/>
      <c r="N56" s="490"/>
      <c r="O56" s="251"/>
      <c r="P56" s="369"/>
      <c r="Q56" s="369"/>
      <c r="R56" s="488"/>
      <c r="T56" s="324"/>
      <c r="U56" s="369"/>
      <c r="V56" s="584"/>
      <c r="W56" s="287"/>
      <c r="X56" s="287"/>
      <c r="Y56" s="488"/>
    </row>
    <row r="57" spans="2:46" ht="11.25" customHeight="1">
      <c r="B57" s="324" t="s">
        <v>225</v>
      </c>
      <c r="C57" s="287" t="s">
        <v>226</v>
      </c>
      <c r="D57" s="365">
        <v>123</v>
      </c>
      <c r="E57" s="287" t="s">
        <v>214</v>
      </c>
      <c r="F57" s="503"/>
      <c r="H57" s="484"/>
      <c r="I57" s="251"/>
      <c r="J57" s="251"/>
      <c r="K57" s="251"/>
      <c r="L57" s="504"/>
      <c r="N57" s="490"/>
      <c r="O57" s="251"/>
      <c r="P57" s="369"/>
      <c r="Q57" s="369"/>
      <c r="R57" s="488"/>
      <c r="T57" s="324"/>
      <c r="U57" s="369"/>
      <c r="V57" s="584"/>
      <c r="W57" s="287"/>
      <c r="X57" s="287"/>
      <c r="Y57" s="488"/>
    </row>
    <row r="58" spans="2:46" ht="11.25" customHeight="1">
      <c r="B58" s="324"/>
      <c r="C58" s="287"/>
      <c r="D58" s="365"/>
      <c r="E58" s="287"/>
      <c r="F58" s="503"/>
      <c r="H58" s="484"/>
      <c r="I58" s="251"/>
      <c r="J58" s="251"/>
      <c r="K58" s="251"/>
      <c r="L58" s="504"/>
      <c r="N58" s="490"/>
      <c r="O58" s="251"/>
      <c r="P58" s="369"/>
      <c r="Q58" s="369"/>
      <c r="R58" s="488"/>
      <c r="T58" s="324"/>
      <c r="U58" s="369"/>
      <c r="V58" s="584"/>
      <c r="W58" s="287"/>
      <c r="X58" s="287"/>
      <c r="Y58" s="488"/>
    </row>
    <row r="59" spans="2:46" ht="11.25" customHeight="1">
      <c r="B59" s="324"/>
      <c r="C59" s="287"/>
      <c r="D59" s="365"/>
      <c r="E59" s="287"/>
      <c r="F59" s="503"/>
      <c r="H59" s="484"/>
      <c r="I59" s="251"/>
      <c r="J59" s="251"/>
      <c r="K59" s="251"/>
      <c r="L59" s="504"/>
      <c r="N59" s="490"/>
      <c r="O59" s="251"/>
      <c r="P59" s="369"/>
      <c r="Q59" s="369"/>
      <c r="R59" s="488"/>
      <c r="T59" s="324"/>
      <c r="U59" s="369"/>
      <c r="V59" s="584"/>
      <c r="W59" s="287"/>
      <c r="X59" s="287"/>
      <c r="Y59" s="488"/>
    </row>
    <row r="60" spans="2:46" ht="11.25" customHeight="1">
      <c r="B60" s="324"/>
      <c r="C60" s="475"/>
      <c r="D60" s="365"/>
      <c r="E60" s="287"/>
      <c r="F60" s="503"/>
      <c r="H60" s="484"/>
      <c r="I60" s="251"/>
      <c r="J60" s="251"/>
      <c r="K60" s="251"/>
      <c r="L60" s="504"/>
      <c r="N60" s="490"/>
      <c r="O60" s="251"/>
      <c r="P60" s="369"/>
      <c r="Q60" s="369"/>
      <c r="R60" s="488"/>
      <c r="T60" s="324"/>
      <c r="U60" s="369"/>
      <c r="V60" s="584"/>
      <c r="W60" s="287"/>
      <c r="X60" s="287"/>
      <c r="Y60" s="488"/>
    </row>
    <row r="61" spans="2:46" ht="11.25" customHeight="1">
      <c r="B61" s="324"/>
      <c r="C61" s="287"/>
      <c r="D61" s="365"/>
      <c r="E61" s="287"/>
      <c r="F61" s="503"/>
      <c r="H61" s="484"/>
      <c r="I61" s="251"/>
      <c r="J61" s="251"/>
      <c r="K61" s="251"/>
      <c r="L61" s="504"/>
      <c r="N61" s="490"/>
      <c r="O61" s="251"/>
      <c r="P61" s="369"/>
      <c r="Q61" s="369"/>
      <c r="R61" s="488"/>
      <c r="T61" s="324"/>
      <c r="U61" s="369"/>
      <c r="V61" s="584"/>
      <c r="W61" s="287"/>
      <c r="X61" s="287"/>
      <c r="Y61" s="488"/>
    </row>
    <row r="62" spans="2:46" ht="11.25" customHeight="1">
      <c r="B62" s="324"/>
      <c r="C62" s="287"/>
      <c r="D62" s="365"/>
      <c r="E62" s="287"/>
      <c r="F62" s="503"/>
      <c r="H62" s="484"/>
      <c r="I62" s="251"/>
      <c r="J62" s="251"/>
      <c r="K62" s="251"/>
      <c r="L62" s="504"/>
      <c r="N62" s="490"/>
      <c r="O62" s="251"/>
      <c r="P62" s="369"/>
      <c r="Q62" s="369"/>
      <c r="R62" s="488"/>
      <c r="T62" s="324"/>
      <c r="U62" s="369"/>
      <c r="V62" s="584"/>
      <c r="W62" s="287"/>
      <c r="X62" s="287"/>
      <c r="Y62" s="488"/>
    </row>
    <row r="63" spans="2:46" ht="11.25" customHeight="1">
      <c r="B63" s="324"/>
      <c r="C63" s="287"/>
      <c r="D63" s="365"/>
      <c r="E63" s="287"/>
      <c r="F63" s="503"/>
      <c r="H63" s="484"/>
      <c r="I63" s="251"/>
      <c r="J63" s="251"/>
      <c r="K63" s="251"/>
      <c r="L63" s="504"/>
      <c r="N63" s="490"/>
      <c r="O63" s="251"/>
      <c r="P63" s="369"/>
      <c r="Q63" s="369"/>
      <c r="R63" s="488"/>
      <c r="T63" s="324"/>
      <c r="U63" s="369"/>
      <c r="V63" s="584"/>
      <c r="W63" s="287"/>
      <c r="X63" s="287"/>
      <c r="Y63" s="488"/>
    </row>
    <row r="64" spans="2:46" ht="11.25" customHeight="1">
      <c r="B64" s="324"/>
      <c r="C64" s="475"/>
      <c r="D64" s="365"/>
      <c r="E64" s="287"/>
      <c r="F64" s="503"/>
      <c r="H64" s="484"/>
      <c r="I64" s="251"/>
      <c r="J64" s="251"/>
      <c r="K64" s="251"/>
      <c r="L64" s="504"/>
      <c r="N64" s="490"/>
      <c r="O64" s="251"/>
      <c r="P64" s="369"/>
      <c r="Q64" s="369"/>
      <c r="R64" s="488"/>
      <c r="T64" s="324"/>
      <c r="U64" s="369"/>
      <c r="V64" s="584"/>
      <c r="W64" s="287"/>
      <c r="X64" s="287"/>
      <c r="Y64" s="488"/>
    </row>
    <row r="65" spans="2:25" ht="11.25" customHeight="1">
      <c r="B65" s="324"/>
      <c r="C65" s="287"/>
      <c r="D65" s="365"/>
      <c r="E65" s="287"/>
      <c r="F65" s="503"/>
      <c r="H65" s="484"/>
      <c r="I65" s="251"/>
      <c r="J65" s="251"/>
      <c r="K65" s="251"/>
      <c r="L65" s="504"/>
      <c r="N65" s="490"/>
      <c r="O65" s="251"/>
      <c r="P65" s="369"/>
      <c r="Q65" s="369"/>
      <c r="R65" s="488"/>
      <c r="T65" s="324"/>
      <c r="U65" s="369"/>
      <c r="V65" s="584"/>
      <c r="W65" s="287"/>
      <c r="X65" s="287"/>
      <c r="Y65" s="488"/>
    </row>
    <row r="66" spans="2:25" ht="11.25" customHeight="1">
      <c r="B66" s="324"/>
      <c r="C66" s="287"/>
      <c r="D66" s="365"/>
      <c r="E66" s="287"/>
      <c r="F66" s="503"/>
      <c r="H66" s="484"/>
      <c r="I66" s="251"/>
      <c r="J66" s="251"/>
      <c r="K66" s="251"/>
      <c r="L66" s="504"/>
      <c r="N66" s="490"/>
      <c r="O66" s="251"/>
      <c r="P66" s="369"/>
      <c r="Q66" s="369"/>
      <c r="R66" s="488"/>
      <c r="T66" s="324"/>
      <c r="U66" s="369"/>
      <c r="V66" s="584"/>
      <c r="W66" s="287"/>
      <c r="X66" s="287"/>
      <c r="Y66" s="488"/>
    </row>
    <row r="67" spans="2:25" ht="11.25" customHeight="1">
      <c r="B67" s="324"/>
      <c r="C67" s="287"/>
      <c r="D67" s="365"/>
      <c r="E67" s="287"/>
      <c r="F67" s="503"/>
      <c r="H67" s="484"/>
      <c r="I67" s="251"/>
      <c r="J67" s="251"/>
      <c r="K67" s="251"/>
      <c r="L67" s="504"/>
      <c r="N67" s="490"/>
      <c r="O67" s="251"/>
      <c r="P67" s="251"/>
      <c r="Q67" s="512"/>
      <c r="R67" s="488"/>
      <c r="T67" s="324"/>
      <c r="U67" s="369"/>
      <c r="V67" s="584"/>
      <c r="W67" s="287"/>
      <c r="X67" s="287"/>
      <c r="Y67" s="488"/>
    </row>
    <row r="68" spans="2:25" ht="11.25" customHeight="1">
      <c r="B68" s="324"/>
      <c r="C68" s="287"/>
      <c r="D68" s="365"/>
      <c r="E68" s="287"/>
      <c r="F68" s="503"/>
      <c r="H68" s="484"/>
      <c r="I68" s="251"/>
      <c r="J68" s="251"/>
      <c r="K68" s="251"/>
      <c r="L68" s="504"/>
      <c r="N68" s="490"/>
      <c r="O68" s="251"/>
      <c r="P68" s="251"/>
      <c r="Q68" s="512"/>
      <c r="R68" s="488"/>
      <c r="T68" s="324"/>
      <c r="U68" s="369"/>
      <c r="V68" s="584"/>
      <c r="W68" s="287"/>
      <c r="X68" s="287"/>
      <c r="Y68" s="488"/>
    </row>
    <row r="69" spans="2:25" ht="11.25" customHeight="1">
      <c r="B69" s="324"/>
      <c r="C69" s="475"/>
      <c r="D69" s="365"/>
      <c r="E69" s="287"/>
      <c r="F69" s="503"/>
      <c r="H69" s="484"/>
      <c r="I69" s="251"/>
      <c r="J69" s="251"/>
      <c r="K69" s="251"/>
      <c r="L69" s="504"/>
      <c r="N69" s="490"/>
      <c r="O69" s="251"/>
      <c r="P69" s="251"/>
      <c r="Q69" s="369"/>
      <c r="R69" s="488"/>
      <c r="T69" s="324"/>
      <c r="U69" s="369"/>
      <c r="V69" s="584"/>
      <c r="W69" s="287"/>
      <c r="X69" s="287"/>
      <c r="Y69" s="488"/>
    </row>
    <row r="70" spans="2:25" ht="11.25" customHeight="1">
      <c r="B70" s="324"/>
      <c r="C70" s="287"/>
      <c r="D70" s="365"/>
      <c r="E70" s="287"/>
      <c r="F70" s="503"/>
      <c r="H70" s="484"/>
      <c r="I70" s="251"/>
      <c r="J70" s="251"/>
      <c r="K70" s="251"/>
      <c r="L70" s="504"/>
      <c r="N70" s="490"/>
      <c r="O70" s="251"/>
      <c r="P70" s="251"/>
      <c r="Q70" s="369"/>
      <c r="R70" s="488"/>
      <c r="T70" s="324"/>
      <c r="U70" s="369"/>
      <c r="V70" s="584"/>
      <c r="W70" s="287"/>
      <c r="X70" s="287"/>
      <c r="Y70" s="488"/>
    </row>
    <row r="71" spans="2:25" ht="11.25" customHeight="1">
      <c r="B71" s="324"/>
      <c r="C71" s="287"/>
      <c r="D71" s="365"/>
      <c r="E71" s="287"/>
      <c r="F71" s="504"/>
      <c r="H71" s="484"/>
      <c r="I71" s="251"/>
      <c r="J71" s="251"/>
      <c r="K71" s="251"/>
      <c r="L71" s="504"/>
      <c r="N71" s="490"/>
      <c r="O71" s="251"/>
      <c r="P71" s="251"/>
      <c r="Q71" s="369"/>
      <c r="R71" s="488"/>
      <c r="T71" s="324"/>
      <c r="U71" s="369"/>
      <c r="V71" s="584"/>
      <c r="W71" s="287"/>
      <c r="X71" s="287"/>
      <c r="Y71" s="488"/>
    </row>
    <row r="72" spans="2:25" ht="11.25" customHeight="1">
      <c r="B72" s="324"/>
      <c r="C72" s="287"/>
      <c r="D72" s="365"/>
      <c r="E72" s="287"/>
      <c r="F72" s="504"/>
      <c r="H72" s="484"/>
      <c r="I72" s="251"/>
      <c r="J72" s="251"/>
      <c r="K72" s="251"/>
      <c r="L72" s="504"/>
      <c r="N72" s="490"/>
      <c r="O72" s="251"/>
      <c r="P72" s="251"/>
      <c r="Q72" s="369"/>
      <c r="R72" s="488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H73" s="485"/>
      <c r="I73" s="253"/>
      <c r="J73" s="253"/>
      <c r="K73" s="253"/>
      <c r="L73" s="504"/>
      <c r="N73" s="490"/>
      <c r="O73" s="251"/>
      <c r="P73" s="251"/>
      <c r="Q73" s="513"/>
      <c r="R73" s="488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H74" s="484"/>
      <c r="I74" s="251"/>
      <c r="J74" s="251"/>
      <c r="K74" s="251"/>
      <c r="L74" s="504"/>
      <c r="N74" s="490"/>
      <c r="O74" s="251"/>
      <c r="P74" s="251"/>
      <c r="Q74" s="369"/>
      <c r="R74" s="488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H75" s="484"/>
      <c r="I75" s="251"/>
      <c r="J75" s="251"/>
      <c r="K75" s="251"/>
      <c r="L75" s="504"/>
      <c r="N75" s="490"/>
      <c r="O75" s="251"/>
      <c r="P75" s="251"/>
      <c r="Q75" s="369"/>
      <c r="R75" s="488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H76" s="484"/>
      <c r="I76" s="251"/>
      <c r="J76" s="251"/>
      <c r="K76" s="251"/>
      <c r="L76" s="504"/>
      <c r="N76" s="490"/>
      <c r="O76" s="251"/>
      <c r="P76" s="251"/>
      <c r="Q76" s="369"/>
      <c r="R76" s="488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H77" s="484"/>
      <c r="I77" s="251"/>
      <c r="J77" s="251"/>
      <c r="K77" s="251"/>
      <c r="L77" s="504"/>
      <c r="N77" s="490"/>
      <c r="O77" s="251"/>
      <c r="P77" s="251"/>
      <c r="Q77" s="369"/>
      <c r="R77" s="488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H78" s="484"/>
      <c r="I78" s="369"/>
      <c r="J78" s="369"/>
      <c r="K78" s="251"/>
      <c r="L78" s="504"/>
      <c r="N78" s="490"/>
      <c r="O78" s="251"/>
      <c r="P78" s="251"/>
      <c r="Q78" s="369"/>
      <c r="R78" s="488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H79" s="484"/>
      <c r="I79" s="251"/>
      <c r="J79" s="251"/>
      <c r="K79" s="251"/>
      <c r="L79" s="504"/>
      <c r="N79" s="490"/>
      <c r="O79" s="251"/>
      <c r="P79" s="251"/>
      <c r="Q79" s="369"/>
      <c r="R79" s="488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H80" s="484"/>
      <c r="I80" s="251"/>
      <c r="J80" s="251"/>
      <c r="K80" s="251"/>
      <c r="L80" s="504"/>
      <c r="N80" s="490"/>
      <c r="O80" s="251"/>
      <c r="P80" s="251"/>
      <c r="Q80" s="369"/>
      <c r="R80" s="488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H81" s="484"/>
      <c r="I81" s="251"/>
      <c r="J81" s="251"/>
      <c r="K81" s="251"/>
      <c r="L81" s="504"/>
      <c r="N81" s="490"/>
      <c r="O81" s="251"/>
      <c r="P81" s="251"/>
      <c r="Q81" s="369"/>
      <c r="R81" s="488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H82" s="484"/>
      <c r="I82" s="251"/>
      <c r="J82" s="251"/>
      <c r="K82" s="251"/>
      <c r="L82" s="504"/>
      <c r="N82" s="490"/>
      <c r="O82" s="251"/>
      <c r="P82" s="251"/>
      <c r="Q82" s="369"/>
      <c r="R82" s="488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H83" s="484"/>
      <c r="I83" s="251"/>
      <c r="J83" s="251"/>
      <c r="K83" s="251"/>
      <c r="L83" s="504"/>
      <c r="N83" s="490"/>
      <c r="O83" s="251"/>
      <c r="P83" s="251"/>
      <c r="Q83" s="369"/>
      <c r="R83" s="488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H84" s="484"/>
      <c r="I84" s="251"/>
      <c r="J84" s="251"/>
      <c r="K84" s="251"/>
      <c r="L84" s="504"/>
      <c r="N84" s="490"/>
      <c r="O84" s="251"/>
      <c r="P84" s="251"/>
      <c r="Q84" s="369"/>
      <c r="R84" s="488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H85" s="484"/>
      <c r="I85" s="251"/>
      <c r="J85" s="251"/>
      <c r="K85" s="251"/>
      <c r="L85" s="504"/>
      <c r="N85" s="490"/>
      <c r="O85" s="251"/>
      <c r="P85" s="251"/>
      <c r="Q85" s="369"/>
      <c r="R85" s="488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H86" s="484"/>
      <c r="I86" s="251"/>
      <c r="J86" s="251"/>
      <c r="K86" s="251"/>
      <c r="L86" s="504"/>
      <c r="N86" s="490"/>
      <c r="O86" s="251"/>
      <c r="P86" s="251"/>
      <c r="Q86" s="369"/>
      <c r="R86" s="488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H87" s="484"/>
      <c r="I87" s="251"/>
      <c r="J87" s="251"/>
      <c r="K87" s="251"/>
      <c r="L87" s="504"/>
      <c r="N87" s="490"/>
      <c r="O87" s="251"/>
      <c r="P87" s="251"/>
      <c r="Q87" s="369"/>
      <c r="R87" s="488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H88" s="484"/>
      <c r="I88" s="251"/>
      <c r="J88" s="251"/>
      <c r="K88" s="251"/>
      <c r="L88" s="504"/>
      <c r="N88" s="490"/>
      <c r="O88" s="251"/>
      <c r="P88" s="251"/>
      <c r="Q88" s="369"/>
      <c r="R88" s="488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H89" s="484"/>
      <c r="I89" s="251"/>
      <c r="J89" s="251"/>
      <c r="K89" s="251"/>
      <c r="L89" s="504"/>
      <c r="N89" s="490"/>
      <c r="O89" s="251"/>
      <c r="P89" s="251"/>
      <c r="Q89" s="369"/>
      <c r="R89" s="488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H90" s="484"/>
      <c r="I90" s="251"/>
      <c r="J90" s="251"/>
      <c r="K90" s="251"/>
      <c r="L90" s="504"/>
      <c r="N90" s="490"/>
      <c r="O90" s="251"/>
      <c r="P90" s="251"/>
      <c r="Q90" s="369"/>
      <c r="R90" s="488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H91" s="484"/>
      <c r="I91" s="251"/>
      <c r="J91" s="251"/>
      <c r="K91" s="251"/>
      <c r="L91" s="504"/>
      <c r="N91" s="490"/>
      <c r="O91" s="251"/>
      <c r="P91" s="251"/>
      <c r="Q91" s="369"/>
      <c r="R91" s="488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H92" s="484"/>
      <c r="I92" s="251"/>
      <c r="J92" s="251"/>
      <c r="K92" s="251"/>
      <c r="L92" s="504"/>
      <c r="N92" s="490"/>
      <c r="O92" s="251"/>
      <c r="P92" s="251"/>
      <c r="Q92" s="369"/>
      <c r="R92" s="488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H93" s="484"/>
      <c r="I93" s="251"/>
      <c r="J93" s="251"/>
      <c r="K93" s="251"/>
      <c r="L93" s="504"/>
      <c r="N93" s="490"/>
      <c r="O93" s="251"/>
      <c r="P93" s="251"/>
      <c r="Q93" s="369"/>
      <c r="R93" s="488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H94" s="484"/>
      <c r="I94" s="251"/>
      <c r="J94" s="251"/>
      <c r="K94" s="251"/>
      <c r="L94" s="504"/>
      <c r="N94" s="490"/>
      <c r="O94" s="251"/>
      <c r="P94" s="251"/>
      <c r="Q94" s="369"/>
      <c r="R94" s="488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H95" s="484"/>
      <c r="I95" s="251"/>
      <c r="J95" s="251"/>
      <c r="K95" s="251"/>
      <c r="L95" s="504"/>
      <c r="N95" s="490"/>
      <c r="O95" s="251"/>
      <c r="P95" s="251"/>
      <c r="Q95" s="369"/>
      <c r="R95" s="488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H96" s="484"/>
      <c r="I96" s="251"/>
      <c r="J96" s="251"/>
      <c r="K96" s="251"/>
      <c r="L96" s="504"/>
      <c r="N96" s="490"/>
      <c r="O96" s="251"/>
      <c r="P96" s="251"/>
      <c r="Q96" s="369"/>
      <c r="R96" s="488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H97" s="484"/>
      <c r="I97" s="251"/>
      <c r="J97" s="251"/>
      <c r="K97" s="251"/>
      <c r="L97" s="504"/>
      <c r="N97" s="490"/>
      <c r="O97" s="251"/>
      <c r="P97" s="251"/>
      <c r="Q97" s="369"/>
      <c r="R97" s="488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H98" s="486"/>
      <c r="I98" s="481"/>
      <c r="J98" s="481"/>
      <c r="K98" s="481"/>
      <c r="L98" s="505"/>
      <c r="N98" s="491"/>
      <c r="O98" s="481"/>
      <c r="P98" s="481"/>
      <c r="Q98" s="514"/>
      <c r="R98" s="489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227</v>
      </c>
      <c r="C1" s="10" t="s">
        <v>107</v>
      </c>
      <c r="D1" s="73" t="s">
        <v>228</v>
      </c>
      <c r="E1" s="73" t="s">
        <v>229</v>
      </c>
    </row>
    <row r="2" spans="1:6">
      <c r="A2" s="89">
        <f>Gen!A11</f>
        <v>44317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44318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44319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44320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44321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44322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44323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44324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44325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44326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44327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44328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44329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44330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44331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44332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44333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44334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44335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44336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44337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44338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44339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44340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44341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44342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44343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44344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44345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44346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44347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3" zoomScale="70" zoomScaleNormal="70" workbookViewId="0">
      <selection activeCell="F38" sqref="F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230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0"/>
      <c r="D6" s="881"/>
      <c r="E6" s="882"/>
      <c r="F6" s="882"/>
      <c r="G6" s="46" t="s">
        <v>231</v>
      </c>
      <c r="H6" s="44" t="s">
        <v>232</v>
      </c>
      <c r="I6" s="39"/>
      <c r="J6" s="109"/>
    </row>
    <row r="7" spans="1:15" ht="18" customHeight="1">
      <c r="A7" s="883" t="s">
        <v>233</v>
      </c>
      <c r="B7" s="94" t="s">
        <v>234</v>
      </c>
      <c r="C7" s="93" t="s">
        <v>235</v>
      </c>
      <c r="D7" s="94" t="s">
        <v>236</v>
      </c>
      <c r="E7" s="98"/>
      <c r="F7" s="99" t="s">
        <v>237</v>
      </c>
      <c r="G7" s="100" t="s">
        <v>61</v>
      </c>
      <c r="H7" s="148" t="s">
        <v>238</v>
      </c>
      <c r="I7" s="101" t="s">
        <v>239</v>
      </c>
      <c r="J7" s="45" t="s">
        <v>100</v>
      </c>
    </row>
    <row r="8" spans="1:15" ht="18" customHeight="1">
      <c r="A8" s="884"/>
      <c r="B8" s="279" t="s">
        <v>240</v>
      </c>
      <c r="C8" s="94" t="s">
        <v>241</v>
      </c>
      <c r="D8" s="95" t="s">
        <v>242</v>
      </c>
      <c r="E8" s="103"/>
      <c r="F8" s="106" t="s">
        <v>243</v>
      </c>
      <c r="G8" s="104" t="s">
        <v>244</v>
      </c>
      <c r="H8" s="102" t="s">
        <v>33</v>
      </c>
      <c r="I8" s="105" t="s">
        <v>245</v>
      </c>
      <c r="J8" s="45" t="s">
        <v>246</v>
      </c>
    </row>
    <row r="9" spans="1:15" ht="18.75">
      <c r="A9" s="229"/>
      <c r="B9" s="254">
        <v>85</v>
      </c>
      <c r="C9" s="254">
        <v>85</v>
      </c>
      <c r="D9" s="254">
        <v>1</v>
      </c>
      <c r="E9" s="254"/>
      <c r="F9" s="254">
        <v>76246</v>
      </c>
      <c r="G9" s="254"/>
      <c r="H9" s="32"/>
      <c r="I9" s="19"/>
      <c r="J9" s="112"/>
      <c r="N9" s="149"/>
      <c r="O9" s="149"/>
    </row>
    <row r="10" spans="1:15" ht="18.75">
      <c r="A10" s="90">
        <f>Gen!A11</f>
        <v>44317</v>
      </c>
      <c r="B10" s="254">
        <v>85</v>
      </c>
      <c r="C10" s="254">
        <v>85</v>
      </c>
      <c r="D10" s="254">
        <v>1</v>
      </c>
      <c r="E10" s="254"/>
      <c r="F10" s="254">
        <v>76246</v>
      </c>
      <c r="G10" s="254">
        <f t="shared" ref="G10:G41" si="0">(F10-F9)*4.4</f>
        <v>0</v>
      </c>
      <c r="H10" s="107">
        <f>[4]Gen!B11</f>
        <v>7.6999999999999999E-2</v>
      </c>
      <c r="I10" s="804">
        <f>SUM(F10/H10)</f>
        <v>990207.79220779217</v>
      </c>
      <c r="J10" s="805">
        <f t="shared" ref="J10:J40" si="1">SUM(G10/I10)</f>
        <v>0</v>
      </c>
      <c r="N10" s="149"/>
      <c r="O10" s="149"/>
    </row>
    <row r="11" spans="1:15" ht="18.75">
      <c r="A11" s="90">
        <f>Gen!A12</f>
        <v>44318</v>
      </c>
      <c r="B11" s="254">
        <v>85</v>
      </c>
      <c r="C11" s="254">
        <v>85</v>
      </c>
      <c r="D11" s="254">
        <v>1</v>
      </c>
      <c r="E11" s="254"/>
      <c r="F11" s="254">
        <v>76257.279999999999</v>
      </c>
      <c r="G11" s="254">
        <f t="shared" si="0"/>
        <v>49.631999999994882</v>
      </c>
      <c r="H11" s="107">
        <f>[4]Gen!B12</f>
        <v>9.0999999999999998E-2</v>
      </c>
      <c r="I11" s="804">
        <f t="shared" ref="I11:I41" si="2">SUM(F11/H11)</f>
        <v>837992.08791208791</v>
      </c>
      <c r="J11" s="805">
        <f t="shared" si="1"/>
        <v>5.9227289512549284E-5</v>
      </c>
      <c r="M11" s="149"/>
      <c r="N11" s="149"/>
    </row>
    <row r="12" spans="1:15" ht="18.75">
      <c r="A12" s="90">
        <f>Gen!A13</f>
        <v>44319</v>
      </c>
      <c r="B12" s="254">
        <v>85</v>
      </c>
      <c r="C12" s="254">
        <v>85</v>
      </c>
      <c r="D12" s="254">
        <v>0</v>
      </c>
      <c r="E12" s="254"/>
      <c r="F12" s="254">
        <v>76267</v>
      </c>
      <c r="G12" s="254">
        <f t="shared" si="0"/>
        <v>42.768000000005124</v>
      </c>
      <c r="H12" s="107">
        <f>[4]Gen!B13</f>
        <v>1.2999999999999999E-2</v>
      </c>
      <c r="I12" s="804">
        <f t="shared" si="2"/>
        <v>5866692.307692308</v>
      </c>
      <c r="J12" s="805">
        <f t="shared" si="1"/>
        <v>7.2899681382520168E-6</v>
      </c>
      <c r="M12" s="149"/>
      <c r="N12" s="149"/>
    </row>
    <row r="13" spans="1:15" ht="18.75">
      <c r="A13" s="90">
        <f>Gen!A14</f>
        <v>44320</v>
      </c>
      <c r="B13" s="254">
        <v>85</v>
      </c>
      <c r="C13" s="254">
        <v>85</v>
      </c>
      <c r="D13" s="254">
        <v>0</v>
      </c>
      <c r="E13" s="254"/>
      <c r="F13" s="254">
        <v>76279.55</v>
      </c>
      <c r="G13" s="254">
        <f t="shared" ref="G13" si="3">(F13-F12)*4.4</f>
        <v>55.22000000001281</v>
      </c>
      <c r="H13" s="107">
        <f>[4]Gen!B14</f>
        <v>1.2999999999999999E-2</v>
      </c>
      <c r="I13" s="804">
        <f t="shared" si="2"/>
        <v>5867657.692307693</v>
      </c>
      <c r="J13" s="805">
        <f t="shared" si="1"/>
        <v>9.410910263631162E-6</v>
      </c>
      <c r="M13" s="149"/>
      <c r="N13" s="149"/>
    </row>
    <row r="14" spans="1:15" ht="18.75">
      <c r="A14" s="90">
        <f>Gen!A15</f>
        <v>44321</v>
      </c>
      <c r="B14" s="254">
        <v>85</v>
      </c>
      <c r="C14" s="254">
        <v>85</v>
      </c>
      <c r="D14" s="254">
        <v>0</v>
      </c>
      <c r="E14" s="254"/>
      <c r="F14" s="254">
        <v>76294.39</v>
      </c>
      <c r="G14" s="254">
        <f t="shared" si="0"/>
        <v>65.295999999984645</v>
      </c>
      <c r="H14" s="107">
        <f>[4]Gen!B15</f>
        <v>0.01</v>
      </c>
      <c r="I14" s="804">
        <f t="shared" si="2"/>
        <v>7629439</v>
      </c>
      <c r="J14" s="805">
        <f t="shared" si="1"/>
        <v>8.5584274282794108E-6</v>
      </c>
      <c r="M14" s="149"/>
      <c r="N14" s="149"/>
    </row>
    <row r="15" spans="1:15" ht="18.75">
      <c r="A15" s="90">
        <f>Gen!A16</f>
        <v>44322</v>
      </c>
      <c r="B15" s="254">
        <v>85</v>
      </c>
      <c r="C15" s="254">
        <v>84</v>
      </c>
      <c r="D15" s="254">
        <v>0</v>
      </c>
      <c r="E15" s="254"/>
      <c r="F15" s="254">
        <v>76309.16</v>
      </c>
      <c r="G15" s="254">
        <f t="shared" si="0"/>
        <v>64.988000000017934</v>
      </c>
      <c r="H15" s="107">
        <f>[4]Gen!B16</f>
        <v>0.01</v>
      </c>
      <c r="I15" s="804">
        <f t="shared" si="2"/>
        <v>7630916</v>
      </c>
      <c r="J15" s="805">
        <f t="shared" si="1"/>
        <v>8.5164087771399835E-6</v>
      </c>
      <c r="M15" s="149"/>
      <c r="N15" s="149"/>
    </row>
    <row r="16" spans="1:15" ht="18.75">
      <c r="A16" s="90">
        <f>Gen!A17</f>
        <v>44323</v>
      </c>
      <c r="B16" s="254">
        <v>85</v>
      </c>
      <c r="C16" s="254">
        <v>75</v>
      </c>
      <c r="D16" s="254">
        <v>0</v>
      </c>
      <c r="E16" s="254"/>
      <c r="F16" s="254">
        <v>76323.34</v>
      </c>
      <c r="G16" s="254">
        <f t="shared" si="0"/>
        <v>62.391999999969272</v>
      </c>
      <c r="H16" s="107">
        <f>[4]Gen!B17</f>
        <v>0.01</v>
      </c>
      <c r="I16" s="804">
        <f t="shared" si="2"/>
        <v>7632333.9999999991</v>
      </c>
      <c r="J16" s="805">
        <f t="shared" si="1"/>
        <v>8.1746946608952498E-6</v>
      </c>
      <c r="M16" s="149"/>
      <c r="N16" s="149"/>
    </row>
    <row r="17" spans="1:14" ht="18.75">
      <c r="A17" s="90">
        <f>Gen!A18</f>
        <v>44324</v>
      </c>
      <c r="B17" s="254">
        <v>85</v>
      </c>
      <c r="C17" s="254">
        <v>70</v>
      </c>
      <c r="D17" s="254">
        <v>0</v>
      </c>
      <c r="E17" s="254"/>
      <c r="F17" s="254">
        <v>76339</v>
      </c>
      <c r="G17" s="254">
        <f t="shared" si="0"/>
        <v>68.904000000015373</v>
      </c>
      <c r="H17" s="107">
        <f>[4]Gen!B18</f>
        <v>0.01</v>
      </c>
      <c r="I17" s="804">
        <f t="shared" si="2"/>
        <v>7633900</v>
      </c>
      <c r="J17" s="805">
        <f t="shared" si="1"/>
        <v>9.0260548343592886E-6</v>
      </c>
      <c r="M17" s="149"/>
      <c r="N17" s="149"/>
    </row>
    <row r="18" spans="1:14" ht="18.75">
      <c r="A18" s="90">
        <f>Gen!A19</f>
        <v>44325</v>
      </c>
      <c r="B18" s="254">
        <v>85</v>
      </c>
      <c r="C18" s="254">
        <v>68</v>
      </c>
      <c r="D18" s="254">
        <v>0</v>
      </c>
      <c r="E18" s="254"/>
      <c r="F18" s="254">
        <v>76354</v>
      </c>
      <c r="G18" s="254">
        <f t="shared" si="0"/>
        <v>66</v>
      </c>
      <c r="H18" s="107">
        <f>[4]Gen!B19</f>
        <v>0.01</v>
      </c>
      <c r="I18" s="804">
        <f t="shared" si="2"/>
        <v>7635400</v>
      </c>
      <c r="J18" s="805">
        <f t="shared" si="1"/>
        <v>8.6439479267621873E-6</v>
      </c>
      <c r="M18" s="149"/>
      <c r="N18" s="149"/>
    </row>
    <row r="19" spans="1:14" ht="18.75">
      <c r="A19" s="90">
        <f>Gen!A20</f>
        <v>44326</v>
      </c>
      <c r="B19" s="254">
        <v>85</v>
      </c>
      <c r="C19" s="254">
        <v>65</v>
      </c>
      <c r="D19" s="254">
        <v>0</v>
      </c>
      <c r="E19" s="254"/>
      <c r="F19" s="254">
        <v>76371.97</v>
      </c>
      <c r="G19" s="254">
        <f t="shared" si="0"/>
        <v>79.068000000005128</v>
      </c>
      <c r="H19" s="107">
        <f>[4]Gen!B20</f>
        <v>0.01</v>
      </c>
      <c r="I19" s="804">
        <f t="shared" si="2"/>
        <v>7637197</v>
      </c>
      <c r="J19" s="805">
        <f t="shared" si="1"/>
        <v>1.0353013022972319E-5</v>
      </c>
      <c r="M19" s="149"/>
      <c r="N19" s="149"/>
    </row>
    <row r="20" spans="1:14" ht="18.75">
      <c r="A20" s="90">
        <f>Gen!A21</f>
        <v>44327</v>
      </c>
      <c r="B20" s="254">
        <v>85</v>
      </c>
      <c r="C20" s="254">
        <v>60</v>
      </c>
      <c r="D20" s="254">
        <v>0</v>
      </c>
      <c r="E20" s="254"/>
      <c r="F20" s="254">
        <v>76388.17</v>
      </c>
      <c r="G20" s="254">
        <f t="shared" si="0"/>
        <v>71.279999999987197</v>
      </c>
      <c r="H20" s="107">
        <f>[4]Gen!B21</f>
        <v>0.01</v>
      </c>
      <c r="I20" s="804">
        <f t="shared" si="2"/>
        <v>7638817</v>
      </c>
      <c r="J20" s="805">
        <f t="shared" si="1"/>
        <v>9.3312878158996611E-6</v>
      </c>
    </row>
    <row r="21" spans="1:14" ht="18.75">
      <c r="A21" s="90">
        <f>Gen!A22</f>
        <v>44328</v>
      </c>
      <c r="B21" s="254">
        <v>85</v>
      </c>
      <c r="C21" s="254">
        <v>56</v>
      </c>
      <c r="D21" s="254">
        <v>0</v>
      </c>
      <c r="E21" s="254"/>
      <c r="F21" s="254">
        <v>76400.070000000007</v>
      </c>
      <c r="G21" s="254">
        <f t="shared" si="0"/>
        <v>52.360000000038418</v>
      </c>
      <c r="H21" s="107">
        <f>[4]Gen!B22</f>
        <v>0.03</v>
      </c>
      <c r="I21" s="804">
        <f t="shared" si="2"/>
        <v>2546669.0000000005</v>
      </c>
      <c r="J21" s="805">
        <f t="shared" si="1"/>
        <v>2.0560190586227897E-5</v>
      </c>
    </row>
    <row r="22" spans="1:14" ht="18.75">
      <c r="A22" s="90">
        <f>Gen!A23</f>
        <v>44329</v>
      </c>
      <c r="B22" s="254">
        <v>85</v>
      </c>
      <c r="C22" s="254">
        <v>51</v>
      </c>
      <c r="D22" s="254">
        <v>0</v>
      </c>
      <c r="E22" s="254"/>
      <c r="F22" s="254">
        <v>76411.839999999997</v>
      </c>
      <c r="G22" s="254">
        <f t="shared" si="0"/>
        <v>51.787999999953904</v>
      </c>
      <c r="H22" s="107">
        <f>[4]Gen!B23</f>
        <v>0.22</v>
      </c>
      <c r="I22" s="804">
        <f t="shared" si="2"/>
        <v>347326.54545454541</v>
      </c>
      <c r="J22" s="805">
        <f t="shared" si="1"/>
        <v>1.4910464137481651E-4</v>
      </c>
    </row>
    <row r="23" spans="1:14" ht="18.75">
      <c r="A23" s="90">
        <f>Gen!A24</f>
        <v>44330</v>
      </c>
      <c r="B23" s="254">
        <v>85</v>
      </c>
      <c r="C23" s="254">
        <v>48</v>
      </c>
      <c r="D23" s="254">
        <v>0</v>
      </c>
      <c r="E23" s="254"/>
      <c r="F23" s="254">
        <v>76428.89</v>
      </c>
      <c r="G23" s="254">
        <f>(F23-F22)*4.4</f>
        <v>75.020000000012814</v>
      </c>
      <c r="H23" s="107">
        <f>[4]Gen!B24</f>
        <v>0.23</v>
      </c>
      <c r="I23" s="804">
        <f t="shared" si="2"/>
        <v>332299.52173913043</v>
      </c>
      <c r="J23" s="805">
        <f t="shared" si="1"/>
        <v>2.2576018047629564E-4</v>
      </c>
    </row>
    <row r="24" spans="1:14" ht="18.75">
      <c r="A24" s="90">
        <f>Gen!A25</f>
        <v>44331</v>
      </c>
      <c r="B24" s="254">
        <v>85</v>
      </c>
      <c r="C24" s="254">
        <v>40</v>
      </c>
      <c r="D24" s="254">
        <v>0</v>
      </c>
      <c r="E24" s="254"/>
      <c r="F24" s="254">
        <v>76443.100000000006</v>
      </c>
      <c r="G24" s="254">
        <f t="shared" si="0"/>
        <v>62.524000000028181</v>
      </c>
      <c r="H24" s="107">
        <f>[4]Gen!B25</f>
        <v>0.21</v>
      </c>
      <c r="I24" s="804">
        <f t="shared" si="2"/>
        <v>364014.76190476195</v>
      </c>
      <c r="J24" s="805">
        <f t="shared" si="1"/>
        <v>1.717622650050288E-4</v>
      </c>
    </row>
    <row r="25" spans="1:14" ht="18.75">
      <c r="A25" s="90">
        <f>Gen!A26</f>
        <v>44332</v>
      </c>
      <c r="B25" s="254">
        <v>85</v>
      </c>
      <c r="C25" s="254">
        <v>37</v>
      </c>
      <c r="D25" s="254">
        <v>0</v>
      </c>
      <c r="E25" s="254"/>
      <c r="F25" s="254">
        <v>76459.5</v>
      </c>
      <c r="G25" s="254">
        <f t="shared" si="0"/>
        <v>72.159999999974389</v>
      </c>
      <c r="H25" s="107">
        <f>[4]Gen!B26</f>
        <v>0.03</v>
      </c>
      <c r="I25" s="804">
        <f t="shared" si="2"/>
        <v>2548650</v>
      </c>
      <c r="J25" s="805">
        <f t="shared" si="1"/>
        <v>2.8313028466040605E-5</v>
      </c>
    </row>
    <row r="26" spans="1:14" ht="18.75">
      <c r="A26" s="90">
        <f>Gen!A27</f>
        <v>44333</v>
      </c>
      <c r="B26" s="254">
        <v>85</v>
      </c>
      <c r="C26" s="254">
        <v>34</v>
      </c>
      <c r="D26" s="254">
        <v>0</v>
      </c>
      <c r="E26" s="254"/>
      <c r="F26" s="254">
        <v>76474.19</v>
      </c>
      <c r="G26" s="254">
        <f t="shared" si="0"/>
        <v>64.636000000010256</v>
      </c>
      <c r="H26" s="107">
        <f>[4]Gen!B27</f>
        <v>0.06</v>
      </c>
      <c r="I26" s="804">
        <f t="shared" si="2"/>
        <v>1274569.8333333335</v>
      </c>
      <c r="J26" s="805">
        <f t="shared" si="1"/>
        <v>5.0712011464268071E-5</v>
      </c>
    </row>
    <row r="27" spans="1:14" ht="18.75">
      <c r="A27" s="90">
        <f>Gen!A28</f>
        <v>44334</v>
      </c>
      <c r="B27" s="254">
        <v>85</v>
      </c>
      <c r="C27" s="254">
        <v>31</v>
      </c>
      <c r="D27" s="254">
        <v>0</v>
      </c>
      <c r="E27" s="254"/>
      <c r="F27" s="254">
        <v>76492.42</v>
      </c>
      <c r="G27" s="254">
        <f t="shared" si="0"/>
        <v>80.211999999982083</v>
      </c>
      <c r="H27" s="107">
        <f>[4]Gen!B28</f>
        <v>0.05</v>
      </c>
      <c r="I27" s="804">
        <f t="shared" si="2"/>
        <v>1529848.4</v>
      </c>
      <c r="J27" s="805">
        <f t="shared" si="1"/>
        <v>5.2431338948344218E-5</v>
      </c>
    </row>
    <row r="28" spans="1:14" ht="18.75">
      <c r="A28" s="90">
        <f>Gen!A29</f>
        <v>44335</v>
      </c>
      <c r="B28" s="254">
        <v>85</v>
      </c>
      <c r="C28" s="254">
        <v>29</v>
      </c>
      <c r="D28" s="254">
        <v>0</v>
      </c>
      <c r="E28" s="254"/>
      <c r="F28" s="254">
        <v>76510.58</v>
      </c>
      <c r="G28" s="254">
        <f t="shared" si="0"/>
        <v>79.904000000015373</v>
      </c>
      <c r="H28" s="107">
        <f>[4]Gen!B29</f>
        <v>7.7899999999999997E-2</v>
      </c>
      <c r="I28" s="804">
        <f t="shared" si="2"/>
        <v>982164.05648267013</v>
      </c>
      <c r="J28" s="805">
        <f t="shared" si="1"/>
        <v>8.1355043969098093E-5</v>
      </c>
    </row>
    <row r="29" spans="1:14" ht="18.75">
      <c r="A29" s="90">
        <f>Gen!A30</f>
        <v>44336</v>
      </c>
      <c r="B29" s="254">
        <v>85</v>
      </c>
      <c r="C29" s="254">
        <v>85</v>
      </c>
      <c r="D29" s="254">
        <v>85</v>
      </c>
      <c r="E29" s="254"/>
      <c r="F29" s="254">
        <v>76527.17</v>
      </c>
      <c r="G29" s="254">
        <f t="shared" si="0"/>
        <v>72.995999999984633</v>
      </c>
      <c r="H29" s="107">
        <f>[4]Gen!B30</f>
        <v>0.12989999999999999</v>
      </c>
      <c r="I29" s="804">
        <f t="shared" si="2"/>
        <v>589123.71054657432</v>
      </c>
      <c r="J29" s="805">
        <f t="shared" si="1"/>
        <v>1.2390606368951058E-4</v>
      </c>
    </row>
    <row r="30" spans="1:14" ht="18.75">
      <c r="A30" s="90">
        <f>Gen!A31</f>
        <v>44337</v>
      </c>
      <c r="B30" s="254">
        <v>85</v>
      </c>
      <c r="C30" s="254">
        <v>82</v>
      </c>
      <c r="D30" s="254">
        <v>85</v>
      </c>
      <c r="E30" s="254"/>
      <c r="F30" s="254">
        <v>76540.72</v>
      </c>
      <c r="G30" s="254">
        <f t="shared" si="0"/>
        <v>59.620000000012809</v>
      </c>
      <c r="H30" s="107">
        <f>[4]Gen!B31</f>
        <v>0.18179999999999999</v>
      </c>
      <c r="I30" s="804">
        <f t="shared" si="2"/>
        <v>421016.06160616066</v>
      </c>
      <c r="J30" s="805">
        <f t="shared" si="1"/>
        <v>1.4160979933298677E-4</v>
      </c>
    </row>
    <row r="31" spans="1:14" ht="18.75">
      <c r="A31" s="90">
        <f>Gen!A32</f>
        <v>44338</v>
      </c>
      <c r="B31" s="254">
        <v>85</v>
      </c>
      <c r="C31" s="254">
        <v>79</v>
      </c>
      <c r="D31" s="254">
        <v>85</v>
      </c>
      <c r="E31" s="254"/>
      <c r="F31" s="254">
        <v>76550.570000000007</v>
      </c>
      <c r="G31" s="254">
        <f t="shared" si="0"/>
        <v>43.340000000025611</v>
      </c>
      <c r="H31" s="107">
        <f>[4]Gen!B32</f>
        <v>0.31169999999999998</v>
      </c>
      <c r="I31" s="804">
        <f t="shared" si="2"/>
        <v>245590.53577157526</v>
      </c>
      <c r="J31" s="805">
        <f t="shared" si="1"/>
        <v>1.7647259844058615E-4</v>
      </c>
    </row>
    <row r="32" spans="1:14" ht="18.75">
      <c r="A32" s="90">
        <f>Gen!A33</f>
        <v>44339</v>
      </c>
      <c r="B32" s="254">
        <v>85</v>
      </c>
      <c r="C32" s="254">
        <v>70</v>
      </c>
      <c r="D32" s="254">
        <v>85</v>
      </c>
      <c r="E32" s="254"/>
      <c r="F32" s="254">
        <v>76566.179999999993</v>
      </c>
      <c r="G32" s="254">
        <f t="shared" si="0"/>
        <v>68.683999999938536</v>
      </c>
      <c r="H32" s="107">
        <f>[4]Gen!B33</f>
        <v>0.41560000000000002</v>
      </c>
      <c r="I32" s="804">
        <f t="shared" si="2"/>
        <v>184230.46198267562</v>
      </c>
      <c r="J32" s="805">
        <f t="shared" si="1"/>
        <v>3.7281565307260281E-4</v>
      </c>
    </row>
    <row r="33" spans="1:10" ht="18.75">
      <c r="A33" s="90">
        <f>Gen!A34</f>
        <v>44340</v>
      </c>
      <c r="B33" s="254">
        <v>85</v>
      </c>
      <c r="C33" s="254">
        <v>65</v>
      </c>
      <c r="D33" s="254">
        <v>85</v>
      </c>
      <c r="E33" s="254"/>
      <c r="F33" s="254">
        <v>76527.17</v>
      </c>
      <c r="G33" s="254">
        <f t="shared" si="0"/>
        <v>-171.64399999997696</v>
      </c>
      <c r="H33" s="107">
        <f>[4]Gen!B34</f>
        <v>0.37659999999999999</v>
      </c>
      <c r="I33" s="804">
        <f t="shared" si="2"/>
        <v>203205.44344131704</v>
      </c>
      <c r="J33" s="805">
        <f t="shared" si="1"/>
        <v>-8.4468209656768075E-4</v>
      </c>
    </row>
    <row r="34" spans="1:10" ht="18.75">
      <c r="A34" s="90">
        <f>Gen!A35</f>
        <v>44341</v>
      </c>
      <c r="B34" s="254">
        <v>85</v>
      </c>
      <c r="C34" s="254">
        <v>60</v>
      </c>
      <c r="D34" s="254">
        <v>85</v>
      </c>
      <c r="E34" s="254"/>
      <c r="F34" s="254">
        <v>76592.91</v>
      </c>
      <c r="G34" s="254">
        <f t="shared" si="0"/>
        <v>289.25600000002305</v>
      </c>
      <c r="H34" s="107">
        <f>[4]Gen!B35</f>
        <v>0.37</v>
      </c>
      <c r="I34" s="804">
        <f t="shared" si="2"/>
        <v>207007.86486486488</v>
      </c>
      <c r="J34" s="805">
        <f t="shared" si="1"/>
        <v>1.3973188902211512E-3</v>
      </c>
    </row>
    <row r="35" spans="1:10" ht="18.75">
      <c r="A35" s="90">
        <f>Gen!A36</f>
        <v>44342</v>
      </c>
      <c r="B35" s="254">
        <v>85</v>
      </c>
      <c r="C35" s="254">
        <v>57</v>
      </c>
      <c r="D35" s="254">
        <v>85</v>
      </c>
      <c r="E35" s="254"/>
      <c r="F35" s="254">
        <v>76620.69</v>
      </c>
      <c r="G35" s="254">
        <f t="shared" si="0"/>
        <v>122.23199999999488</v>
      </c>
      <c r="H35" s="107">
        <f>[4]Gen!B36</f>
        <v>0.29870000000000002</v>
      </c>
      <c r="I35" s="804">
        <f t="shared" si="2"/>
        <v>256513.86006026113</v>
      </c>
      <c r="J35" s="805">
        <f t="shared" si="1"/>
        <v>4.7651226320199509E-4</v>
      </c>
    </row>
    <row r="36" spans="1:10" ht="18.75">
      <c r="A36" s="90">
        <f>Gen!A37</f>
        <v>44343</v>
      </c>
      <c r="B36" s="254"/>
      <c r="C36" s="254"/>
      <c r="D36" s="254"/>
      <c r="E36" s="254"/>
      <c r="F36" s="254"/>
      <c r="G36" s="254">
        <f t="shared" si="0"/>
        <v>-337131.03600000002</v>
      </c>
      <c r="H36" s="107">
        <f>[4]Gen!B37</f>
        <v>0.28570000000000001</v>
      </c>
      <c r="I36" s="804">
        <f t="shared" si="2"/>
        <v>0</v>
      </c>
      <c r="J36" s="805" t="e">
        <f t="shared" si="1"/>
        <v>#DIV/0!</v>
      </c>
    </row>
    <row r="37" spans="1:10" ht="18.75">
      <c r="A37" s="90">
        <f>Gen!A38</f>
        <v>44344</v>
      </c>
      <c r="B37" s="254"/>
      <c r="C37" s="254"/>
      <c r="D37" s="254"/>
      <c r="E37" s="254"/>
      <c r="F37" s="254"/>
      <c r="G37" s="254">
        <f t="shared" si="0"/>
        <v>0</v>
      </c>
      <c r="H37" s="107">
        <f>[4]Gen!B38</f>
        <v>0.42859999999999998</v>
      </c>
      <c r="I37" s="804">
        <f t="shared" si="2"/>
        <v>0</v>
      </c>
      <c r="J37" s="805" t="e">
        <f t="shared" si="1"/>
        <v>#DIV/0!</v>
      </c>
    </row>
    <row r="38" spans="1:10" ht="18.75">
      <c r="A38" s="90">
        <f>Gen!A39</f>
        <v>44345</v>
      </c>
      <c r="B38" s="254"/>
      <c r="C38" s="254"/>
      <c r="D38" s="254"/>
      <c r="E38" s="254"/>
      <c r="F38" s="254"/>
      <c r="G38" s="254">
        <f t="shared" si="0"/>
        <v>0</v>
      </c>
      <c r="H38" s="107">
        <f>[4]Gen!B39</f>
        <v>0.55800000000000005</v>
      </c>
      <c r="I38" s="804">
        <f t="shared" si="2"/>
        <v>0</v>
      </c>
      <c r="J38" s="805" t="e">
        <f t="shared" si="1"/>
        <v>#DIV/0!</v>
      </c>
    </row>
    <row r="39" spans="1:10" ht="18.75">
      <c r="A39" s="90">
        <f>Gen!A40</f>
        <v>44346</v>
      </c>
      <c r="B39" s="254"/>
      <c r="C39" s="254"/>
      <c r="D39" s="254"/>
      <c r="E39" s="254"/>
      <c r="F39" s="254"/>
      <c r="G39" s="254">
        <f t="shared" si="0"/>
        <v>0</v>
      </c>
      <c r="H39" s="107">
        <f>[4]Gen!B40</f>
        <v>0.6</v>
      </c>
      <c r="I39" s="804">
        <f t="shared" si="2"/>
        <v>0</v>
      </c>
      <c r="J39" s="805" t="e">
        <f t="shared" si="1"/>
        <v>#DIV/0!</v>
      </c>
    </row>
    <row r="40" spans="1:10" ht="18.75">
      <c r="A40" s="90">
        <f>Gen!A41</f>
        <v>44347</v>
      </c>
      <c r="B40" s="254"/>
      <c r="C40" s="254"/>
      <c r="D40" s="254"/>
      <c r="E40" s="254"/>
      <c r="F40" s="254"/>
      <c r="G40" s="254">
        <f t="shared" si="0"/>
        <v>0</v>
      </c>
      <c r="H40" s="107">
        <f>[4]Gen!B41</f>
        <v>0.63690000000000002</v>
      </c>
      <c r="I40" s="804">
        <f t="shared" si="2"/>
        <v>0</v>
      </c>
      <c r="J40" s="805" t="e">
        <f t="shared" si="1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[4]Gen!B42</f>
        <v>0</v>
      </c>
      <c r="I41" s="804" t="e">
        <f t="shared" si="2"/>
        <v>#DIV/0!</v>
      </c>
      <c r="J41" s="806"/>
    </row>
    <row r="42" spans="1:10" ht="17.25">
      <c r="A42" s="90"/>
      <c r="B42" s="5"/>
      <c r="C42" s="879" t="s">
        <v>247</v>
      </c>
      <c r="D42" s="879"/>
      <c r="E42" s="2">
        <f t="shared" ref="E42" si="4">SUM(E10:E40)</f>
        <v>0</v>
      </c>
      <c r="F42" s="2">
        <f>SUM(F10:F41)</f>
        <v>1986975.8599999996</v>
      </c>
      <c r="G42" s="97">
        <f>SUM(G10:G40)</f>
        <v>-335482.40000000002</v>
      </c>
      <c r="H42" s="107">
        <f>[4]Gen!B43</f>
        <v>0.18598064516129031</v>
      </c>
      <c r="I42" s="804"/>
      <c r="J42" s="805"/>
    </row>
    <row r="44" spans="1:10">
      <c r="G44"/>
    </row>
    <row r="45" spans="1:10">
      <c r="B45" s="878"/>
      <c r="C45" s="878"/>
      <c r="D45" s="878"/>
      <c r="E45" s="878"/>
      <c r="F45" s="878"/>
      <c r="G45" s="878"/>
      <c r="H45" s="878"/>
      <c r="J45" s="799"/>
    </row>
    <row r="46" spans="1:10">
      <c r="B46" s="878"/>
      <c r="C46" s="878"/>
      <c r="D46" s="878"/>
      <c r="E46" s="878"/>
      <c r="F46" s="878"/>
      <c r="G46" s="878"/>
      <c r="H46" s="878"/>
      <c r="J46" s="799"/>
    </row>
    <row r="47" spans="1:10">
      <c r="G47"/>
      <c r="J47" s="799"/>
    </row>
    <row r="48" spans="1:10">
      <c r="G48"/>
      <c r="J48" s="799"/>
    </row>
    <row r="49" spans="7:10">
      <c r="G49"/>
      <c r="J49" s="799"/>
    </row>
    <row r="50" spans="7:10">
      <c r="G50"/>
      <c r="J50" s="799"/>
    </row>
    <row r="51" spans="7:10">
      <c r="G51"/>
      <c r="J51" s="799"/>
    </row>
    <row r="52" spans="7:10">
      <c r="G52"/>
      <c r="J52" s="799"/>
    </row>
    <row r="53" spans="7:10">
      <c r="G53"/>
      <c r="J53" s="799"/>
    </row>
    <row r="54" spans="7:10">
      <c r="G54"/>
      <c r="J54" s="799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248</v>
      </c>
      <c r="C1" s="13" t="s">
        <v>107</v>
      </c>
    </row>
    <row r="2" spans="1:3">
      <c r="A2" s="89">
        <f>Gen!A11</f>
        <v>44317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44318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44319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44320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44321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44322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44323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44324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44325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44326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44327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44328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44329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44330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44331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44332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44333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44334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44335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44336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44337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44338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44339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44340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44341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44342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44343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44344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44345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44346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44347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10" zoomScale="94" zoomScaleNormal="94" workbookViewId="0">
      <pane xSplit="1" topLeftCell="B16" activePane="topRight" state="frozen"/>
      <selection pane="topRight" activeCell="P34" sqref="P3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6.85546875" bestFit="1" customWidth="1"/>
    <col min="22" max="22" width="10.7109375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3.28515625" customWidth="1"/>
    <col min="28" max="28" width="10.85546875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904" t="s">
        <v>249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8"/>
      <c r="B2" s="28"/>
      <c r="C2" s="903" t="s">
        <v>250</v>
      </c>
      <c r="D2" s="903"/>
      <c r="E2" s="903"/>
      <c r="F2" s="903" t="s">
        <v>251</v>
      </c>
      <c r="G2" s="903"/>
      <c r="H2" s="903"/>
      <c r="I2" s="903" t="s">
        <v>252</v>
      </c>
      <c r="J2" s="903"/>
      <c r="K2" s="903"/>
      <c r="L2" s="903" t="s">
        <v>253</v>
      </c>
      <c r="M2" s="903"/>
      <c r="N2" s="903"/>
      <c r="O2" s="903" t="s">
        <v>254</v>
      </c>
      <c r="P2" s="903"/>
      <c r="Q2" s="903"/>
      <c r="R2" s="238"/>
      <c r="S2" s="912" t="s">
        <v>255</v>
      </c>
      <c r="T2" s="913"/>
      <c r="U2" s="914"/>
      <c r="V2" s="912" t="s">
        <v>256</v>
      </c>
      <c r="W2" s="913"/>
      <c r="X2" s="914"/>
      <c r="Y2" s="912" t="s">
        <v>257</v>
      </c>
      <c r="Z2" s="913"/>
      <c r="AA2" s="914"/>
      <c r="AB2" s="912" t="s">
        <v>258</v>
      </c>
      <c r="AC2" s="913"/>
      <c r="AD2" s="914"/>
      <c r="AE2" s="906" t="s">
        <v>259</v>
      </c>
      <c r="AF2" s="907"/>
      <c r="AG2" s="918"/>
      <c r="AH2" s="906" t="s">
        <v>260</v>
      </c>
      <c r="AI2" s="907"/>
      <c r="AJ2" s="918"/>
      <c r="AK2" s="906" t="s">
        <v>261</v>
      </c>
      <c r="AL2" s="907"/>
      <c r="AM2" s="907"/>
      <c r="AN2" s="910" t="s">
        <v>262</v>
      </c>
    </row>
    <row r="3" spans="1:40" ht="21.75" customHeight="1" thickBot="1">
      <c r="A3" s="901" t="s">
        <v>233</v>
      </c>
      <c r="B3" s="28"/>
      <c r="C3" s="903" t="s">
        <v>263</v>
      </c>
      <c r="D3" s="903" t="s">
        <v>264</v>
      </c>
      <c r="E3" s="903" t="s">
        <v>243</v>
      </c>
      <c r="F3" s="903" t="s">
        <v>263</v>
      </c>
      <c r="G3" s="903" t="s">
        <v>264</v>
      </c>
      <c r="H3" s="903" t="s">
        <v>243</v>
      </c>
      <c r="I3" s="903" t="s">
        <v>263</v>
      </c>
      <c r="J3" s="903" t="s">
        <v>264</v>
      </c>
      <c r="K3" s="903" t="s">
        <v>243</v>
      </c>
      <c r="L3" s="903" t="s">
        <v>263</v>
      </c>
      <c r="M3" s="903" t="s">
        <v>264</v>
      </c>
      <c r="N3" s="903" t="s">
        <v>243</v>
      </c>
      <c r="O3" s="903" t="s">
        <v>263</v>
      </c>
      <c r="P3" s="903" t="s">
        <v>264</v>
      </c>
      <c r="Q3" s="903" t="s">
        <v>243</v>
      </c>
      <c r="R3" s="920" t="s">
        <v>265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2"/>
      <c r="B4" s="230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0"/>
      <c r="S4" s="244" t="s">
        <v>266</v>
      </c>
      <c r="T4" s="245" t="s">
        <v>267</v>
      </c>
      <c r="U4" s="242" t="s">
        <v>268</v>
      </c>
      <c r="V4" s="240" t="s">
        <v>266</v>
      </c>
      <c r="W4" s="241" t="s">
        <v>267</v>
      </c>
      <c r="X4" s="242" t="s">
        <v>268</v>
      </c>
      <c r="Y4" s="240" t="s">
        <v>266</v>
      </c>
      <c r="Z4" s="241" t="s">
        <v>267</v>
      </c>
      <c r="AA4" s="242" t="s">
        <v>268</v>
      </c>
      <c r="AB4" s="574" t="s">
        <v>266</v>
      </c>
      <c r="AC4" s="575" t="s">
        <v>267</v>
      </c>
      <c r="AD4" s="576" t="s">
        <v>99</v>
      </c>
      <c r="AE4" s="240" t="s">
        <v>266</v>
      </c>
      <c r="AF4" s="241" t="s">
        <v>267</v>
      </c>
      <c r="AG4" s="276" t="s">
        <v>99</v>
      </c>
      <c r="AH4" s="240" t="s">
        <v>266</v>
      </c>
      <c r="AI4" s="241" t="s">
        <v>267</v>
      </c>
      <c r="AJ4" s="276" t="s">
        <v>99</v>
      </c>
      <c r="AK4" s="240" t="s">
        <v>266</v>
      </c>
      <c r="AL4" s="241" t="s">
        <v>267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254752</v>
      </c>
      <c r="E5" s="56">
        <f t="shared" ref="E5:E15" si="1">IF((D5-D4)&lt;0,"0",(D5-D4))</f>
        <v>254752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8410</v>
      </c>
      <c r="K5" s="452">
        <f t="shared" ref="K5:K6" si="4">J5-J4</f>
        <v>8410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21230</v>
      </c>
      <c r="Q5" s="452">
        <f t="shared" ref="Q5:Q27" si="7">IF((P5-P4)&lt;0,"0",(P5-P4))</f>
        <v>21230</v>
      </c>
      <c r="R5" s="232"/>
      <c r="S5" s="231"/>
      <c r="T5" s="367">
        <v>68997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90129</v>
      </c>
      <c r="AA5" s="232">
        <v>0</v>
      </c>
      <c r="AB5" s="577" t="str">
        <f>AC4</f>
        <v>FINAL</v>
      </c>
      <c r="AC5" s="581">
        <v>19263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31157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44317</v>
      </c>
      <c r="B6" s="4"/>
      <c r="C6" s="91">
        <f t="shared" si="0"/>
        <v>254752</v>
      </c>
      <c r="D6" s="1">
        <v>254793</v>
      </c>
      <c r="E6" s="56">
        <f t="shared" si="1"/>
        <v>41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8410</v>
      </c>
      <c r="J6" s="1">
        <v>8414</v>
      </c>
      <c r="K6" s="452">
        <f t="shared" si="4"/>
        <v>4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21230</v>
      </c>
      <c r="P6" s="366">
        <v>21233</v>
      </c>
      <c r="Q6" s="452">
        <f t="shared" si="7"/>
        <v>3</v>
      </c>
      <c r="R6" s="236"/>
      <c r="S6" s="231">
        <f t="shared" ref="S6:S24" si="15">T5</f>
        <v>68997</v>
      </c>
      <c r="T6" s="367">
        <v>69085</v>
      </c>
      <c r="U6" s="453">
        <f t="shared" ref="U6:U24" si="16">IF((T6-T5)&lt;0,"0",(T6-T5))</f>
        <v>88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90129</v>
      </c>
      <c r="Z6" s="367">
        <v>90129</v>
      </c>
      <c r="AA6" s="453">
        <f t="shared" ref="AA6:AA37" si="18">IF((Z6-Z5)&lt;0,"0",(Z6-Z5))</f>
        <v>0</v>
      </c>
      <c r="AB6" s="577">
        <f>AC5</f>
        <v>19263</v>
      </c>
      <c r="AC6" s="588">
        <v>19278</v>
      </c>
      <c r="AD6" s="580">
        <f>IF((AC6-AC5)&lt;0,"0",(AC6-AC5))</f>
        <v>15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31157</v>
      </c>
      <c r="AI6" s="368">
        <v>31184</v>
      </c>
      <c r="AJ6" s="453">
        <f t="shared" ref="AJ6:AJ37" si="20">IF((AI6-AI5)&lt;0,"0",(AI6-AI5))</f>
        <v>27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130</v>
      </c>
    </row>
    <row r="7" spans="1:40" ht="23.1" customHeight="1">
      <c r="A7" s="55">
        <f>Gen!A12</f>
        <v>44318</v>
      </c>
      <c r="B7" s="4"/>
      <c r="C7" s="91">
        <f t="shared" si="0"/>
        <v>254793</v>
      </c>
      <c r="D7" s="1">
        <v>254843</v>
      </c>
      <c r="E7" s="56">
        <f t="shared" si="1"/>
        <v>50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8414</v>
      </c>
      <c r="J7" s="1">
        <v>8415</v>
      </c>
      <c r="K7" s="452">
        <f>J7-J6</f>
        <v>1</v>
      </c>
      <c r="L7" s="91">
        <f t="shared" si="5"/>
        <v>0</v>
      </c>
      <c r="M7" s="1"/>
      <c r="N7" s="452">
        <f t="shared" si="14"/>
        <v>0</v>
      </c>
      <c r="O7" s="91">
        <f t="shared" si="6"/>
        <v>21233</v>
      </c>
      <c r="P7" s="366">
        <v>21237</v>
      </c>
      <c r="Q7" s="452">
        <f t="shared" si="7"/>
        <v>4</v>
      </c>
      <c r="R7" s="236"/>
      <c r="S7" s="231">
        <f t="shared" si="15"/>
        <v>69085</v>
      </c>
      <c r="T7" s="367">
        <v>69167</v>
      </c>
      <c r="U7" s="453">
        <f t="shared" si="16"/>
        <v>82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90129</v>
      </c>
      <c r="Z7" s="367">
        <v>90129</v>
      </c>
      <c r="AA7" s="453">
        <f t="shared" si="18"/>
        <v>0</v>
      </c>
      <c r="AB7" s="577">
        <f t="shared" ref="AB7:AB37" si="22">AC6</f>
        <v>19278</v>
      </c>
      <c r="AC7" s="578">
        <v>19295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31184</v>
      </c>
      <c r="AI7" s="368">
        <v>31211</v>
      </c>
      <c r="AJ7" s="453">
        <f t="shared" si="20"/>
        <v>27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126</v>
      </c>
    </row>
    <row r="8" spans="1:40" ht="23.1" customHeight="1">
      <c r="A8" s="55">
        <f>Gen!A13</f>
        <v>44319</v>
      </c>
      <c r="B8" s="4"/>
      <c r="C8" s="91">
        <f t="shared" si="0"/>
        <v>254843</v>
      </c>
      <c r="D8" s="1">
        <v>254893</v>
      </c>
      <c r="E8" s="56">
        <f t="shared" si="1"/>
        <v>50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8415</v>
      </c>
      <c r="J8" s="1">
        <v>8416</v>
      </c>
      <c r="K8" s="452">
        <f>J8-J7</f>
        <v>1</v>
      </c>
      <c r="L8" s="91">
        <f t="shared" si="5"/>
        <v>0</v>
      </c>
      <c r="M8" s="1"/>
      <c r="N8" s="452">
        <f t="shared" si="14"/>
        <v>0</v>
      </c>
      <c r="O8" s="91">
        <f t="shared" si="6"/>
        <v>21237</v>
      </c>
      <c r="P8" s="366">
        <v>21242</v>
      </c>
      <c r="Q8" s="452">
        <f t="shared" si="7"/>
        <v>5</v>
      </c>
      <c r="R8" s="236"/>
      <c r="S8" s="231">
        <f t="shared" si="15"/>
        <v>69167</v>
      </c>
      <c r="T8" s="367">
        <v>69249</v>
      </c>
      <c r="U8" s="453">
        <f t="shared" si="16"/>
        <v>82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90129</v>
      </c>
      <c r="Z8" s="367">
        <v>90129</v>
      </c>
      <c r="AA8" s="453">
        <f t="shared" si="18"/>
        <v>0</v>
      </c>
      <c r="AB8" s="577">
        <f t="shared" si="22"/>
        <v>19295</v>
      </c>
      <c r="AC8" s="578">
        <v>19311</v>
      </c>
      <c r="AD8" s="580">
        <f t="shared" si="23"/>
        <v>16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31211</v>
      </c>
      <c r="AI8" s="368">
        <v>31239</v>
      </c>
      <c r="AJ8" s="453">
        <f t="shared" si="20"/>
        <v>28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126</v>
      </c>
    </row>
    <row r="9" spans="1:40" ht="23.1" customHeight="1">
      <c r="A9" s="55">
        <f>Gen!A14</f>
        <v>44320</v>
      </c>
      <c r="B9" s="4"/>
      <c r="C9" s="91">
        <f t="shared" si="0"/>
        <v>254893</v>
      </c>
      <c r="D9" s="1">
        <v>254943</v>
      </c>
      <c r="E9" s="56">
        <f t="shared" si="1"/>
        <v>50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8416</v>
      </c>
      <c r="J9" s="1">
        <v>8418</v>
      </c>
      <c r="K9" s="452">
        <f>J9-J8</f>
        <v>2</v>
      </c>
      <c r="L9" s="91">
        <f t="shared" si="5"/>
        <v>0</v>
      </c>
      <c r="M9" s="1"/>
      <c r="N9" s="452">
        <f t="shared" si="14"/>
        <v>0</v>
      </c>
      <c r="O9" s="91">
        <f t="shared" si="6"/>
        <v>21242</v>
      </c>
      <c r="P9" s="366">
        <v>21245</v>
      </c>
      <c r="Q9" s="452">
        <f t="shared" si="7"/>
        <v>3</v>
      </c>
      <c r="R9" s="236"/>
      <c r="S9" s="231">
        <f t="shared" si="15"/>
        <v>69249</v>
      </c>
      <c r="T9" s="367">
        <v>69273</v>
      </c>
      <c r="U9" s="453">
        <f t="shared" si="16"/>
        <v>24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90129</v>
      </c>
      <c r="Z9" s="367">
        <v>90129</v>
      </c>
      <c r="AA9" s="453">
        <f t="shared" si="18"/>
        <v>0</v>
      </c>
      <c r="AB9" s="577">
        <f t="shared" si="22"/>
        <v>19311</v>
      </c>
      <c r="AC9" s="578">
        <v>19327</v>
      </c>
      <c r="AD9" s="580">
        <f t="shared" si="23"/>
        <v>16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31268</v>
      </c>
      <c r="AI9" s="368">
        <v>31268</v>
      </c>
      <c r="AJ9" s="453">
        <f t="shared" si="20"/>
        <v>29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69</v>
      </c>
    </row>
    <row r="10" spans="1:40" ht="23.1" customHeight="1">
      <c r="A10" s="55">
        <f>Gen!A15</f>
        <v>44321</v>
      </c>
      <c r="B10" s="4"/>
      <c r="C10" s="91">
        <f t="shared" si="0"/>
        <v>254943</v>
      </c>
      <c r="D10" s="1">
        <v>255010</v>
      </c>
      <c r="E10" s="56">
        <f t="shared" si="1"/>
        <v>67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8418</v>
      </c>
      <c r="J10" s="1">
        <v>8419</v>
      </c>
      <c r="K10" s="452">
        <f t="shared" ref="K10:K13" si="26">J10-J9</f>
        <v>1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21245</v>
      </c>
      <c r="P10" s="366">
        <v>21249</v>
      </c>
      <c r="Q10" s="452">
        <f t="shared" si="7"/>
        <v>4</v>
      </c>
      <c r="R10" s="236"/>
      <c r="S10" s="231">
        <f t="shared" si="15"/>
        <v>69273</v>
      </c>
      <c r="T10" s="367">
        <v>69273</v>
      </c>
      <c r="U10" s="453">
        <f t="shared" si="16"/>
        <v>0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90129</v>
      </c>
      <c r="Z10" s="367">
        <v>90129</v>
      </c>
      <c r="AA10" s="453">
        <f t="shared" si="18"/>
        <v>0</v>
      </c>
      <c r="AB10" s="577">
        <f t="shared" si="22"/>
        <v>19327</v>
      </c>
      <c r="AC10" s="578">
        <v>19343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31268</v>
      </c>
      <c r="AI10" s="368">
        <v>31297</v>
      </c>
      <c r="AJ10" s="453">
        <f t="shared" si="20"/>
        <v>29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45</v>
      </c>
    </row>
    <row r="11" spans="1:40" ht="23.1" customHeight="1">
      <c r="A11" s="55">
        <f>Gen!A16</f>
        <v>44322</v>
      </c>
      <c r="B11" s="4"/>
      <c r="C11" s="91">
        <f t="shared" si="0"/>
        <v>255010</v>
      </c>
      <c r="D11" s="1">
        <v>255080</v>
      </c>
      <c r="E11" s="56">
        <f t="shared" si="1"/>
        <v>70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8419</v>
      </c>
      <c r="J11" s="1">
        <v>8420</v>
      </c>
      <c r="K11" s="452">
        <f t="shared" si="26"/>
        <v>1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21249</v>
      </c>
      <c r="P11" s="366">
        <v>21256</v>
      </c>
      <c r="Q11" s="452">
        <f t="shared" si="7"/>
        <v>7</v>
      </c>
      <c r="R11" s="236"/>
      <c r="S11" s="231">
        <f t="shared" si="15"/>
        <v>69273</v>
      </c>
      <c r="T11" s="367">
        <v>69273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 t="shared" si="17"/>
        <v>0</v>
      </c>
      <c r="Y11" s="231">
        <f t="shared" si="9"/>
        <v>90129</v>
      </c>
      <c r="Z11" s="367">
        <v>90129</v>
      </c>
      <c r="AA11" s="453">
        <f t="shared" si="18"/>
        <v>0</v>
      </c>
      <c r="AB11" s="577">
        <f t="shared" si="22"/>
        <v>19343</v>
      </c>
      <c r="AC11" s="578">
        <v>19359</v>
      </c>
      <c r="AD11" s="580">
        <f t="shared" si="23"/>
        <v>16</v>
      </c>
      <c r="AE11" s="231">
        <f>AF11</f>
        <v>8300</v>
      </c>
      <c r="AF11" s="368">
        <v>8300</v>
      </c>
      <c r="AG11" s="453">
        <f t="shared" si="19"/>
        <v>0</v>
      </c>
      <c r="AH11" s="231">
        <f t="shared" si="11"/>
        <v>31297</v>
      </c>
      <c r="AI11" s="368">
        <v>31325</v>
      </c>
      <c r="AJ11" s="453">
        <f t="shared" si="20"/>
        <v>28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44</v>
      </c>
    </row>
    <row r="12" spans="1:40" ht="23.1" customHeight="1">
      <c r="A12" s="55">
        <f>Gen!A17</f>
        <v>44323</v>
      </c>
      <c r="B12" s="4"/>
      <c r="C12" s="91">
        <f t="shared" si="0"/>
        <v>255080</v>
      </c>
      <c r="D12" s="1">
        <v>255130</v>
      </c>
      <c r="E12" s="56">
        <f t="shared" si="1"/>
        <v>50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8420</v>
      </c>
      <c r="J12" s="1">
        <v>8422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21256</v>
      </c>
      <c r="P12" s="366">
        <v>21259</v>
      </c>
      <c r="Q12" s="452">
        <f t="shared" si="7"/>
        <v>3</v>
      </c>
      <c r="R12" s="236"/>
      <c r="S12" s="231">
        <f t="shared" si="15"/>
        <v>69273</v>
      </c>
      <c r="T12" s="367">
        <v>69273</v>
      </c>
      <c r="U12" s="453">
        <f t="shared" si="16"/>
        <v>0</v>
      </c>
      <c r="V12" s="231">
        <f t="shared" si="8"/>
        <v>73031</v>
      </c>
      <c r="W12" s="367">
        <v>73031</v>
      </c>
      <c r="X12" s="453">
        <f t="shared" si="17"/>
        <v>0</v>
      </c>
      <c r="Y12" s="231">
        <f t="shared" si="9"/>
        <v>90129</v>
      </c>
      <c r="Z12" s="367">
        <v>90129</v>
      </c>
      <c r="AA12" s="453">
        <f t="shared" si="18"/>
        <v>0</v>
      </c>
      <c r="AB12" s="577">
        <f t="shared" si="22"/>
        <v>19359</v>
      </c>
      <c r="AC12" s="578">
        <v>19376</v>
      </c>
      <c r="AD12" s="580">
        <f t="shared" si="23"/>
        <v>17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31325</v>
      </c>
      <c r="AI12" s="368">
        <v>31354</v>
      </c>
      <c r="AJ12" s="453">
        <f t="shared" si="20"/>
        <v>29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46</v>
      </c>
    </row>
    <row r="13" spans="1:40" ht="23.1" customHeight="1">
      <c r="A13" s="55">
        <f>Gen!A18</f>
        <v>44324</v>
      </c>
      <c r="B13" s="4"/>
      <c r="C13" s="91">
        <f t="shared" si="0"/>
        <v>255130</v>
      </c>
      <c r="D13" s="1">
        <v>255181</v>
      </c>
      <c r="E13" s="56">
        <f t="shared" si="1"/>
        <v>51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8422</v>
      </c>
      <c r="J13" s="1">
        <v>8424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21259</v>
      </c>
      <c r="P13" s="366">
        <v>21261</v>
      </c>
      <c r="Q13" s="452">
        <f t="shared" si="7"/>
        <v>2</v>
      </c>
      <c r="R13" s="236"/>
      <c r="S13" s="231">
        <f t="shared" si="15"/>
        <v>69273</v>
      </c>
      <c r="T13" s="367">
        <v>69360</v>
      </c>
      <c r="U13" s="453">
        <f t="shared" si="16"/>
        <v>87</v>
      </c>
      <c r="V13" s="231">
        <f t="shared" si="8"/>
        <v>73031</v>
      </c>
      <c r="W13" s="367">
        <v>73031</v>
      </c>
      <c r="X13" s="453">
        <f t="shared" si="17"/>
        <v>0</v>
      </c>
      <c r="Y13" s="231">
        <f t="shared" si="9"/>
        <v>90129</v>
      </c>
      <c r="Z13" s="367">
        <v>90129</v>
      </c>
      <c r="AA13" s="453">
        <f t="shared" si="18"/>
        <v>0</v>
      </c>
      <c r="AB13" s="577">
        <f t="shared" si="22"/>
        <v>19376</v>
      </c>
      <c r="AC13" s="578">
        <v>19392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31354</v>
      </c>
      <c r="AI13" s="368">
        <v>31382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44325</v>
      </c>
      <c r="B14" s="4"/>
      <c r="C14" s="91">
        <f t="shared" si="0"/>
        <v>255181</v>
      </c>
      <c r="D14" s="1">
        <v>255257</v>
      </c>
      <c r="E14" s="56">
        <f t="shared" si="1"/>
        <v>76</v>
      </c>
      <c r="F14" s="91">
        <f t="shared" si="2"/>
        <v>75790</v>
      </c>
      <c r="G14" s="370">
        <v>75790</v>
      </c>
      <c r="H14" s="452">
        <f t="shared" si="13"/>
        <v>0</v>
      </c>
      <c r="I14" s="91">
        <f t="shared" si="3"/>
        <v>8424</v>
      </c>
      <c r="J14" s="1">
        <v>8425</v>
      </c>
      <c r="K14" s="452">
        <f t="shared" ref="K14:K27" si="28">IF((J14-J13)&lt;0,"0",(J14-J13))</f>
        <v>1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21261</v>
      </c>
      <c r="P14" s="366">
        <v>21265</v>
      </c>
      <c r="Q14" s="452">
        <f t="shared" si="7"/>
        <v>4</v>
      </c>
      <c r="R14" s="236"/>
      <c r="S14" s="231">
        <f t="shared" si="15"/>
        <v>69360</v>
      </c>
      <c r="T14" s="367">
        <v>69441</v>
      </c>
      <c r="U14" s="453">
        <f t="shared" si="16"/>
        <v>81</v>
      </c>
      <c r="V14" s="231">
        <f t="shared" si="8"/>
        <v>73031</v>
      </c>
      <c r="W14" s="367">
        <v>73031</v>
      </c>
      <c r="X14" s="453">
        <f t="shared" si="17"/>
        <v>0</v>
      </c>
      <c r="Y14" s="231">
        <f t="shared" si="9"/>
        <v>90129</v>
      </c>
      <c r="Z14" s="367">
        <v>90129</v>
      </c>
      <c r="AA14" s="453">
        <f t="shared" si="18"/>
        <v>0</v>
      </c>
      <c r="AB14" s="577">
        <f t="shared" si="22"/>
        <v>19392</v>
      </c>
      <c r="AC14" s="581">
        <v>19407</v>
      </c>
      <c r="AD14" s="580">
        <f t="shared" si="23"/>
        <v>15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31382</v>
      </c>
      <c r="AI14" s="368">
        <v>31411</v>
      </c>
      <c r="AJ14" s="453">
        <f t="shared" si="20"/>
        <v>29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125</v>
      </c>
    </row>
    <row r="15" spans="1:40" ht="23.1" customHeight="1">
      <c r="A15" s="55">
        <f>Gen!A20</f>
        <v>44326</v>
      </c>
      <c r="B15" s="4"/>
      <c r="C15" s="91">
        <f t="shared" si="0"/>
        <v>255257</v>
      </c>
      <c r="D15" s="1">
        <v>255277</v>
      </c>
      <c r="E15" s="56">
        <f t="shared" si="1"/>
        <v>20</v>
      </c>
      <c r="F15" s="91">
        <f t="shared" si="2"/>
        <v>75790</v>
      </c>
      <c r="G15" s="370">
        <v>75790</v>
      </c>
      <c r="H15" s="452">
        <f t="shared" si="13"/>
        <v>0</v>
      </c>
      <c r="I15" s="91">
        <f t="shared" si="3"/>
        <v>8425</v>
      </c>
      <c r="J15" s="1">
        <v>8427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21265</v>
      </c>
      <c r="P15" s="366">
        <v>21271</v>
      </c>
      <c r="Q15" s="452">
        <f t="shared" si="7"/>
        <v>6</v>
      </c>
      <c r="R15" s="236"/>
      <c r="S15" s="231">
        <f t="shared" si="15"/>
        <v>69441</v>
      </c>
      <c r="T15" s="367">
        <v>69466</v>
      </c>
      <c r="U15" s="453">
        <f t="shared" si="16"/>
        <v>25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90129</v>
      </c>
      <c r="Z15" s="367">
        <v>90129</v>
      </c>
      <c r="AA15" s="453">
        <f t="shared" si="18"/>
        <v>0</v>
      </c>
      <c r="AB15" s="577">
        <f t="shared" si="22"/>
        <v>19407</v>
      </c>
      <c r="AC15" s="581">
        <v>19424</v>
      </c>
      <c r="AD15" s="580">
        <f t="shared" si="23"/>
        <v>17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31411</v>
      </c>
      <c r="AI15" s="368">
        <v>31440</v>
      </c>
      <c r="AJ15" s="453">
        <f t="shared" si="20"/>
        <v>29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71</v>
      </c>
    </row>
    <row r="16" spans="1:40" ht="23.1" customHeight="1">
      <c r="A16" s="55">
        <f>Gen!A21</f>
        <v>44327</v>
      </c>
      <c r="B16" s="4"/>
      <c r="C16" s="91">
        <f t="shared" si="0"/>
        <v>255277</v>
      </c>
      <c r="D16" s="1">
        <v>255331</v>
      </c>
      <c r="E16" s="56">
        <f>IF((D16-D15)&lt;0,"0",(D16-D15))</f>
        <v>54</v>
      </c>
      <c r="F16" s="91">
        <f t="shared" si="2"/>
        <v>75790</v>
      </c>
      <c r="G16" s="370">
        <v>75790</v>
      </c>
      <c r="H16" s="452">
        <f t="shared" si="13"/>
        <v>0</v>
      </c>
      <c r="I16" s="91">
        <f t="shared" si="3"/>
        <v>8427</v>
      </c>
      <c r="J16" s="1">
        <v>8428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21271</v>
      </c>
      <c r="P16" s="366">
        <v>21273</v>
      </c>
      <c r="Q16" s="452">
        <f t="shared" si="7"/>
        <v>2</v>
      </c>
      <c r="R16" s="236"/>
      <c r="S16" s="231">
        <f t="shared" si="15"/>
        <v>69466</v>
      </c>
      <c r="T16" s="367">
        <v>69466</v>
      </c>
      <c r="U16" s="453">
        <f t="shared" si="16"/>
        <v>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90129</v>
      </c>
      <c r="Z16" s="367">
        <v>90218</v>
      </c>
      <c r="AA16" s="453">
        <f t="shared" si="18"/>
        <v>89</v>
      </c>
      <c r="AB16" s="577">
        <f t="shared" si="22"/>
        <v>19424</v>
      </c>
      <c r="AC16" s="581">
        <v>19440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31440</v>
      </c>
      <c r="AI16" s="368">
        <v>31468</v>
      </c>
      <c r="AJ16" s="453">
        <f t="shared" si="20"/>
        <v>28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133</v>
      </c>
    </row>
    <row r="17" spans="1:40" ht="23.1" customHeight="1">
      <c r="A17" s="55">
        <f>Gen!A22</f>
        <v>44328</v>
      </c>
      <c r="B17" s="4"/>
      <c r="C17" s="91">
        <f t="shared" si="0"/>
        <v>255331</v>
      </c>
      <c r="D17" s="1">
        <v>255382</v>
      </c>
      <c r="E17" s="452">
        <f>IF((D17-D16)&lt;0,"0",(D17-D16))</f>
        <v>51</v>
      </c>
      <c r="F17" s="91">
        <f t="shared" si="2"/>
        <v>75790</v>
      </c>
      <c r="G17" s="370">
        <v>75790</v>
      </c>
      <c r="H17" s="452">
        <f t="shared" si="13"/>
        <v>0</v>
      </c>
      <c r="I17" s="91">
        <f t="shared" si="3"/>
        <v>8428</v>
      </c>
      <c r="J17" s="1">
        <v>8429</v>
      </c>
      <c r="K17" s="452">
        <f t="shared" si="28"/>
        <v>1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21273</v>
      </c>
      <c r="P17" s="366">
        <v>21275</v>
      </c>
      <c r="Q17" s="452">
        <f t="shared" si="7"/>
        <v>2</v>
      </c>
      <c r="R17" s="236"/>
      <c r="S17" s="231">
        <f t="shared" si="15"/>
        <v>69466</v>
      </c>
      <c r="T17" s="367">
        <v>69466</v>
      </c>
      <c r="U17" s="453">
        <f t="shared" si="16"/>
        <v>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90218</v>
      </c>
      <c r="Z17" s="367">
        <v>90218</v>
      </c>
      <c r="AA17" s="453">
        <f t="shared" si="18"/>
        <v>0</v>
      </c>
      <c r="AB17" s="577">
        <f t="shared" si="22"/>
        <v>19440</v>
      </c>
      <c r="AC17" s="581">
        <v>19457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31468</v>
      </c>
      <c r="AI17" s="368">
        <v>31497</v>
      </c>
      <c r="AJ17" s="453">
        <f t="shared" si="20"/>
        <v>29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46</v>
      </c>
    </row>
    <row r="18" spans="1:40" ht="23.1" customHeight="1">
      <c r="A18" s="55">
        <f>Gen!A23</f>
        <v>44329</v>
      </c>
      <c r="B18" s="4"/>
      <c r="C18" s="91">
        <f t="shared" si="0"/>
        <v>255382</v>
      </c>
      <c r="D18" s="1">
        <v>255436</v>
      </c>
      <c r="E18" s="452">
        <f t="shared" ref="E18:E37" si="29">IF((D18-D17)&lt;0,"0",(D18-D17))</f>
        <v>54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8431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21275</v>
      </c>
      <c r="P18" s="366">
        <v>21283</v>
      </c>
      <c r="Q18" s="452">
        <f t="shared" si="7"/>
        <v>8</v>
      </c>
      <c r="R18" s="236"/>
      <c r="S18" s="231">
        <f t="shared" si="15"/>
        <v>69466</v>
      </c>
      <c r="T18" s="367">
        <v>69466</v>
      </c>
      <c r="U18" s="453">
        <f t="shared" si="16"/>
        <v>0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90218</v>
      </c>
      <c r="Z18" s="367">
        <v>90218</v>
      </c>
      <c r="AA18" s="453">
        <f t="shared" si="18"/>
        <v>0</v>
      </c>
      <c r="AB18" s="577">
        <f t="shared" si="22"/>
        <v>19457</v>
      </c>
      <c r="AC18" s="581">
        <v>19473</v>
      </c>
      <c r="AD18" s="580">
        <f t="shared" si="23"/>
        <v>16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31497</v>
      </c>
      <c r="AI18" s="368">
        <v>31528</v>
      </c>
      <c r="AJ18" s="453">
        <f t="shared" si="20"/>
        <v>31</v>
      </c>
      <c r="AK18" s="231">
        <f t="shared" si="12"/>
        <v>0</v>
      </c>
      <c r="AL18" s="367"/>
      <c r="AM18" s="453">
        <f t="shared" ref="AM18:AM26" si="30">IF((AL18-AL17)&lt;0,"0",(AL18-AL17))</f>
        <v>0</v>
      </c>
      <c r="AN18" s="372">
        <f t="shared" si="24"/>
        <v>47</v>
      </c>
    </row>
    <row r="19" spans="1:40" ht="23.1" customHeight="1">
      <c r="A19" s="55">
        <f>Gen!A24</f>
        <v>44330</v>
      </c>
      <c r="B19" s="4"/>
      <c r="C19" s="91">
        <f t="shared" si="0"/>
        <v>255436</v>
      </c>
      <c r="D19" s="1">
        <v>255478</v>
      </c>
      <c r="E19" s="452">
        <f t="shared" si="29"/>
        <v>42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8431</v>
      </c>
      <c r="J19" s="1">
        <v>8432</v>
      </c>
      <c r="K19" s="452">
        <f t="shared" si="28"/>
        <v>1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21283</v>
      </c>
      <c r="P19" s="366">
        <v>21284</v>
      </c>
      <c r="Q19" s="452">
        <f t="shared" si="7"/>
        <v>1</v>
      </c>
      <c r="R19" s="236"/>
      <c r="S19" s="231">
        <f t="shared" si="15"/>
        <v>69466</v>
      </c>
      <c r="T19" s="367">
        <v>69466</v>
      </c>
      <c r="U19" s="453">
        <f t="shared" si="16"/>
        <v>0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90218</v>
      </c>
      <c r="Z19" s="367">
        <v>90218</v>
      </c>
      <c r="AA19" s="453">
        <f t="shared" si="18"/>
        <v>0</v>
      </c>
      <c r="AB19" s="577">
        <f t="shared" si="22"/>
        <v>19473</v>
      </c>
      <c r="AC19" s="581">
        <v>19490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31528</v>
      </c>
      <c r="AI19" s="368">
        <v>31559</v>
      </c>
      <c r="AJ19" s="453">
        <f t="shared" si="20"/>
        <v>31</v>
      </c>
      <c r="AK19" s="231">
        <f t="shared" si="12"/>
        <v>0</v>
      </c>
      <c r="AL19" s="367"/>
      <c r="AM19" s="453">
        <f t="shared" si="30"/>
        <v>0</v>
      </c>
      <c r="AN19" s="372">
        <f t="shared" si="24"/>
        <v>48</v>
      </c>
    </row>
    <row r="20" spans="1:40" ht="23.1" customHeight="1">
      <c r="A20" s="55">
        <f>Gen!A25</f>
        <v>44331</v>
      </c>
      <c r="B20" s="4"/>
      <c r="C20" s="91">
        <f t="shared" si="0"/>
        <v>255478</v>
      </c>
      <c r="D20" s="1">
        <v>255524</v>
      </c>
      <c r="E20" s="452">
        <f t="shared" si="29"/>
        <v>46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8432</v>
      </c>
      <c r="J20" s="1">
        <v>8434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21284</v>
      </c>
      <c r="P20" s="366">
        <v>21289</v>
      </c>
      <c r="Q20" s="452">
        <f t="shared" si="7"/>
        <v>5</v>
      </c>
      <c r="R20" s="236"/>
      <c r="S20" s="231">
        <f>T20</f>
        <v>69466</v>
      </c>
      <c r="T20" s="367">
        <v>69466</v>
      </c>
      <c r="U20" s="453">
        <f t="shared" ref="U20:U22" si="31">IF((T21-T19)&lt;0,"0",(T21-T19))</f>
        <v>37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90218</v>
      </c>
      <c r="Z20" s="367">
        <v>90218</v>
      </c>
      <c r="AA20" s="453">
        <f>IF((Z20-Z19)&lt;0,"0",(Z20-Z19))</f>
        <v>0</v>
      </c>
      <c r="AB20" s="577">
        <f t="shared" si="22"/>
        <v>19490</v>
      </c>
      <c r="AC20" s="581">
        <v>19506</v>
      </c>
      <c r="AD20" s="580">
        <f t="shared" si="23"/>
        <v>16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31559</v>
      </c>
      <c r="AI20" s="368">
        <v>31599</v>
      </c>
      <c r="AJ20" s="453">
        <f t="shared" si="20"/>
        <v>40</v>
      </c>
      <c r="AK20" s="231">
        <f t="shared" si="12"/>
        <v>0</v>
      </c>
      <c r="AL20" s="367"/>
      <c r="AM20" s="453">
        <f t="shared" si="30"/>
        <v>0</v>
      </c>
      <c r="AN20" s="372">
        <v>56</v>
      </c>
    </row>
    <row r="21" spans="1:40" ht="23.1" customHeight="1">
      <c r="A21" s="55">
        <f>Gen!A26</f>
        <v>44332</v>
      </c>
      <c r="B21" s="4"/>
      <c r="C21" s="91">
        <f t="shared" si="0"/>
        <v>255524</v>
      </c>
      <c r="D21" s="1">
        <v>255569</v>
      </c>
      <c r="E21" s="452">
        <f t="shared" si="29"/>
        <v>45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8434</v>
      </c>
      <c r="J21" s="1">
        <v>8435</v>
      </c>
      <c r="K21" s="452">
        <f t="shared" si="28"/>
        <v>1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21289</v>
      </c>
      <c r="P21" s="366">
        <v>21295</v>
      </c>
      <c r="Q21" s="452">
        <f t="shared" si="7"/>
        <v>6</v>
      </c>
      <c r="R21" s="236"/>
      <c r="S21" s="231">
        <f t="shared" ref="S21:S22" si="32">T21</f>
        <v>69503</v>
      </c>
      <c r="T21" s="367">
        <v>69503</v>
      </c>
      <c r="U21" s="453">
        <f t="shared" si="31"/>
        <v>120</v>
      </c>
      <c r="V21" s="231">
        <f t="shared" ref="V21:V35" si="33">W20</f>
        <v>73031</v>
      </c>
      <c r="W21" s="367">
        <v>73031</v>
      </c>
      <c r="X21" s="453">
        <f t="shared" si="17"/>
        <v>0</v>
      </c>
      <c r="Y21" s="231">
        <f t="shared" si="9"/>
        <v>90218</v>
      </c>
      <c r="Z21" s="367">
        <v>90218</v>
      </c>
      <c r="AA21" s="453">
        <f t="shared" si="18"/>
        <v>0</v>
      </c>
      <c r="AB21" s="577">
        <f t="shared" si="22"/>
        <v>19506</v>
      </c>
      <c r="AC21" s="581">
        <v>19523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31599</v>
      </c>
      <c r="AI21" s="368">
        <v>31621</v>
      </c>
      <c r="AJ21" s="453">
        <f t="shared" si="20"/>
        <v>22</v>
      </c>
      <c r="AK21" s="231">
        <f t="shared" si="12"/>
        <v>0</v>
      </c>
      <c r="AL21" s="367"/>
      <c r="AM21" s="453">
        <f t="shared" si="30"/>
        <v>0</v>
      </c>
      <c r="AN21" s="372">
        <f t="shared" si="24"/>
        <v>159</v>
      </c>
    </row>
    <row r="22" spans="1:40" ht="23.1" customHeight="1">
      <c r="A22" s="55">
        <f>Gen!A27</f>
        <v>44333</v>
      </c>
      <c r="B22" s="4"/>
      <c r="C22" s="91">
        <f t="shared" si="0"/>
        <v>255569</v>
      </c>
      <c r="D22" s="1">
        <v>255626</v>
      </c>
      <c r="E22" s="452">
        <f t="shared" si="29"/>
        <v>57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8435</v>
      </c>
      <c r="J22" s="1">
        <v>8436</v>
      </c>
      <c r="K22" s="452">
        <f t="shared" si="28"/>
        <v>1</v>
      </c>
      <c r="L22" s="91">
        <f t="shared" si="5"/>
        <v>0</v>
      </c>
      <c r="M22" s="1"/>
      <c r="N22" s="452">
        <f t="shared" si="14"/>
        <v>0</v>
      </c>
      <c r="O22" s="91">
        <f t="shared" si="6"/>
        <v>21295</v>
      </c>
      <c r="P22" s="366">
        <v>21298</v>
      </c>
      <c r="Q22" s="452">
        <f t="shared" si="7"/>
        <v>3</v>
      </c>
      <c r="R22" s="236"/>
      <c r="S22" s="231">
        <f t="shared" si="32"/>
        <v>69586</v>
      </c>
      <c r="T22" s="367">
        <v>69586</v>
      </c>
      <c r="U22" s="453">
        <f t="shared" si="31"/>
        <v>166</v>
      </c>
      <c r="V22" s="820">
        <f>W21</f>
        <v>73031</v>
      </c>
      <c r="W22" s="367">
        <v>73031</v>
      </c>
      <c r="X22" s="453">
        <f t="shared" si="17"/>
        <v>0</v>
      </c>
      <c r="Y22" s="231">
        <f t="shared" si="9"/>
        <v>90218</v>
      </c>
      <c r="Z22" s="367">
        <v>90218</v>
      </c>
      <c r="AA22" s="453">
        <f>IF((Z23-Z21)&lt;0,"0",(Z23-Z21))</f>
        <v>0</v>
      </c>
      <c r="AB22" s="577">
        <f t="shared" si="22"/>
        <v>19523</v>
      </c>
      <c r="AC22" s="581">
        <v>19540</v>
      </c>
      <c r="AD22" s="580">
        <f t="shared" si="23"/>
        <v>17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31621</v>
      </c>
      <c r="AI22" s="368">
        <v>31653</v>
      </c>
      <c r="AJ22" s="453">
        <f t="shared" si="20"/>
        <v>32</v>
      </c>
      <c r="AK22" s="231">
        <f t="shared" si="12"/>
        <v>0</v>
      </c>
      <c r="AL22" s="367"/>
      <c r="AM22" s="453">
        <f t="shared" si="30"/>
        <v>0</v>
      </c>
      <c r="AN22" s="372">
        <f>U22+X22+AA22+AD22+AG22+AJ22+AM22</f>
        <v>215</v>
      </c>
    </row>
    <row r="23" spans="1:40" ht="23.1" customHeight="1">
      <c r="A23" s="55">
        <f>Gen!A28</f>
        <v>44334</v>
      </c>
      <c r="B23" s="4"/>
      <c r="C23" s="91">
        <f t="shared" si="0"/>
        <v>255626</v>
      </c>
      <c r="D23" s="1">
        <v>255673</v>
      </c>
      <c r="E23" s="452">
        <f t="shared" si="29"/>
        <v>47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8436</v>
      </c>
      <c r="J23" s="1">
        <v>8438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21298</v>
      </c>
      <c r="P23" s="366">
        <v>21301</v>
      </c>
      <c r="Q23" s="452">
        <f t="shared" si="7"/>
        <v>3</v>
      </c>
      <c r="R23" s="236"/>
      <c r="S23" s="231">
        <f t="shared" si="15"/>
        <v>69586</v>
      </c>
      <c r="T23" s="367">
        <v>69669</v>
      </c>
      <c r="U23" s="453">
        <f t="shared" si="16"/>
        <v>83</v>
      </c>
      <c r="V23" s="820">
        <f>W22</f>
        <v>73031</v>
      </c>
      <c r="W23" s="367">
        <v>73031</v>
      </c>
      <c r="X23" s="453">
        <f t="shared" si="17"/>
        <v>0</v>
      </c>
      <c r="Y23" s="231">
        <f>Z23</f>
        <v>90218</v>
      </c>
      <c r="Z23" s="367">
        <v>90218</v>
      </c>
      <c r="AA23" s="453">
        <f t="shared" ref="AA23:AA24" si="34">IF((Z24-Z22)&lt;0,"0",(Z24-Z22))</f>
        <v>0</v>
      </c>
      <c r="AB23" s="577">
        <f t="shared" si="22"/>
        <v>19540</v>
      </c>
      <c r="AC23" s="578">
        <v>19556</v>
      </c>
      <c r="AD23" s="580">
        <f t="shared" si="23"/>
        <v>16</v>
      </c>
      <c r="AE23" s="231">
        <f t="shared" si="10"/>
        <v>8300</v>
      </c>
      <c r="AF23" s="368">
        <v>8300</v>
      </c>
      <c r="AG23" s="453">
        <f t="shared" si="19"/>
        <v>0</v>
      </c>
      <c r="AH23" s="231">
        <f t="shared" si="11"/>
        <v>31653</v>
      </c>
      <c r="AI23" s="368">
        <v>31684</v>
      </c>
      <c r="AJ23" s="453">
        <f t="shared" si="20"/>
        <v>31</v>
      </c>
      <c r="AK23" s="231">
        <f t="shared" si="12"/>
        <v>0</v>
      </c>
      <c r="AL23" s="367"/>
      <c r="AM23" s="453">
        <f t="shared" si="30"/>
        <v>0</v>
      </c>
      <c r="AN23" s="372">
        <f t="shared" si="24"/>
        <v>130</v>
      </c>
    </row>
    <row r="24" spans="1:40" ht="23.1" customHeight="1">
      <c r="A24" s="55">
        <f>Gen!A29</f>
        <v>44335</v>
      </c>
      <c r="B24" s="4"/>
      <c r="C24" s="91">
        <f t="shared" si="0"/>
        <v>255673</v>
      </c>
      <c r="D24" s="1">
        <v>255718</v>
      </c>
      <c r="E24" s="452">
        <f t="shared" si="29"/>
        <v>45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8438</v>
      </c>
      <c r="J24" s="1">
        <v>8439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21301</v>
      </c>
      <c r="P24" s="366">
        <v>21303</v>
      </c>
      <c r="Q24" s="452">
        <f t="shared" si="7"/>
        <v>2</v>
      </c>
      <c r="R24" s="236"/>
      <c r="S24" s="231">
        <f t="shared" si="15"/>
        <v>69669</v>
      </c>
      <c r="T24" s="367">
        <v>69708</v>
      </c>
      <c r="U24" s="453">
        <f t="shared" si="16"/>
        <v>39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>Z24</f>
        <v>90218</v>
      </c>
      <c r="Z24" s="367">
        <v>90218</v>
      </c>
      <c r="AA24" s="453">
        <f t="shared" si="34"/>
        <v>0</v>
      </c>
      <c r="AB24" s="577">
        <f t="shared" si="22"/>
        <v>19556</v>
      </c>
      <c r="AC24" s="578">
        <v>19573</v>
      </c>
      <c r="AD24" s="580">
        <f t="shared" si="23"/>
        <v>17</v>
      </c>
      <c r="AE24" s="231">
        <f t="shared" si="10"/>
        <v>8300</v>
      </c>
      <c r="AF24" s="368">
        <v>8300</v>
      </c>
      <c r="AG24" s="453">
        <f t="shared" si="19"/>
        <v>0</v>
      </c>
      <c r="AH24" s="231">
        <f t="shared" si="11"/>
        <v>31684</v>
      </c>
      <c r="AI24" s="368">
        <v>31717</v>
      </c>
      <c r="AJ24" s="453">
        <f t="shared" si="20"/>
        <v>33</v>
      </c>
      <c r="AK24" s="231">
        <f t="shared" si="12"/>
        <v>0</v>
      </c>
      <c r="AL24" s="367"/>
      <c r="AM24" s="453">
        <f t="shared" si="30"/>
        <v>0</v>
      </c>
      <c r="AN24" s="372">
        <f t="shared" si="24"/>
        <v>89</v>
      </c>
    </row>
    <row r="25" spans="1:40" ht="23.1" customHeight="1">
      <c r="A25" s="55">
        <f>Gen!A30</f>
        <v>44336</v>
      </c>
      <c r="B25" s="4"/>
      <c r="C25" s="91">
        <f>D24</f>
        <v>255718</v>
      </c>
      <c r="D25" s="1">
        <v>255767</v>
      </c>
      <c r="E25" s="452">
        <f t="shared" si="29"/>
        <v>49</v>
      </c>
      <c r="F25" s="91">
        <f t="shared" si="2"/>
        <v>75790</v>
      </c>
      <c r="G25" s="370">
        <v>75790</v>
      </c>
      <c r="H25" s="452">
        <f>IF((G26-G24)&lt;0,"0",(G26-G24))</f>
        <v>0</v>
      </c>
      <c r="I25" s="91">
        <f t="shared" ref="I25:I37" si="35">J24</f>
        <v>8439</v>
      </c>
      <c r="J25" s="1">
        <v>8441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21303</v>
      </c>
      <c r="P25" s="366">
        <v>21308</v>
      </c>
      <c r="Q25" s="452">
        <f t="shared" si="7"/>
        <v>5</v>
      </c>
      <c r="R25" s="236"/>
      <c r="S25" s="231">
        <f t="shared" ref="S25:S37" si="38">T24</f>
        <v>69708</v>
      </c>
      <c r="T25" s="367">
        <v>69708</v>
      </c>
      <c r="U25" s="453">
        <f t="shared" ref="U25:U37" si="39">IF((T25-T24)&lt;0,"0",(T25-T24))</f>
        <v>0</v>
      </c>
      <c r="V25" s="820">
        <f>W24</f>
        <v>73031</v>
      </c>
      <c r="W25" s="367">
        <v>73031</v>
      </c>
      <c r="X25" s="453">
        <f>IF((W25-W24)&lt;0,"0",(W25-W24))</f>
        <v>0</v>
      </c>
      <c r="Y25" s="231">
        <f t="shared" si="9"/>
        <v>90218</v>
      </c>
      <c r="Z25" s="367">
        <v>90218</v>
      </c>
      <c r="AA25" s="453">
        <f t="shared" si="18"/>
        <v>0</v>
      </c>
      <c r="AB25" s="577">
        <f t="shared" si="22"/>
        <v>19573</v>
      </c>
      <c r="AC25" s="578">
        <v>19590</v>
      </c>
      <c r="AD25" s="580">
        <f t="shared" si="23"/>
        <v>17</v>
      </c>
      <c r="AE25" s="231">
        <f t="shared" si="10"/>
        <v>8300</v>
      </c>
      <c r="AF25" s="368">
        <v>8300</v>
      </c>
      <c r="AG25" s="453">
        <f t="shared" si="19"/>
        <v>0</v>
      </c>
      <c r="AH25" s="231">
        <f t="shared" si="11"/>
        <v>31717</v>
      </c>
      <c r="AI25" s="368">
        <v>31749</v>
      </c>
      <c r="AJ25" s="453">
        <f t="shared" si="20"/>
        <v>32</v>
      </c>
      <c r="AK25" s="231">
        <f t="shared" si="12"/>
        <v>0</v>
      </c>
      <c r="AL25" s="367"/>
      <c r="AM25" s="453">
        <f t="shared" si="30"/>
        <v>0</v>
      </c>
      <c r="AN25" s="372">
        <f t="shared" si="24"/>
        <v>49</v>
      </c>
    </row>
    <row r="26" spans="1:40" ht="23.1" customHeight="1">
      <c r="A26" s="55">
        <f>Gen!A31</f>
        <v>44337</v>
      </c>
      <c r="B26" s="4"/>
      <c r="C26" s="91">
        <f>D25</f>
        <v>255767</v>
      </c>
      <c r="D26" s="1">
        <v>255812</v>
      </c>
      <c r="E26" s="452">
        <f t="shared" si="29"/>
        <v>45</v>
      </c>
      <c r="F26" s="91">
        <f>G26</f>
        <v>75790</v>
      </c>
      <c r="G26" s="370">
        <v>75790</v>
      </c>
      <c r="H26" s="452">
        <f t="shared" ref="H26:H27" si="40">IF((G27-G25)&lt;0,"0",(G27-G25))</f>
        <v>0</v>
      </c>
      <c r="I26" s="91">
        <f t="shared" si="35"/>
        <v>8441</v>
      </c>
      <c r="J26" s="1">
        <v>8442</v>
      </c>
      <c r="K26" s="452">
        <f t="shared" si="28"/>
        <v>1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21308</v>
      </c>
      <c r="P26" s="366">
        <v>21312</v>
      </c>
      <c r="Q26" s="452">
        <f t="shared" si="7"/>
        <v>4</v>
      </c>
      <c r="R26" s="236"/>
      <c r="S26" s="231">
        <f t="shared" si="38"/>
        <v>69708</v>
      </c>
      <c r="T26" s="367">
        <v>69708</v>
      </c>
      <c r="U26" s="453">
        <f t="shared" si="39"/>
        <v>0</v>
      </c>
      <c r="V26" s="820">
        <f>W25</f>
        <v>73031</v>
      </c>
      <c r="W26" s="367">
        <v>73031</v>
      </c>
      <c r="X26" s="453">
        <f>IF((W26-W25)&lt;0,"0",(W26-W25))</f>
        <v>0</v>
      </c>
      <c r="Y26" s="231">
        <f t="shared" si="9"/>
        <v>90218</v>
      </c>
      <c r="Z26" s="367">
        <v>90218</v>
      </c>
      <c r="AA26" s="453">
        <f t="shared" si="18"/>
        <v>0</v>
      </c>
      <c r="AB26" s="577">
        <f t="shared" si="22"/>
        <v>19590</v>
      </c>
      <c r="AC26" s="578">
        <v>19607</v>
      </c>
      <c r="AD26" s="580">
        <f t="shared" si="23"/>
        <v>17</v>
      </c>
      <c r="AE26" s="231">
        <f t="shared" si="10"/>
        <v>8300</v>
      </c>
      <c r="AF26" s="368">
        <v>8300</v>
      </c>
      <c r="AG26" s="453">
        <f t="shared" si="19"/>
        <v>0</v>
      </c>
      <c r="AH26" s="231">
        <f t="shared" si="11"/>
        <v>31749</v>
      </c>
      <c r="AI26" s="368">
        <v>31780</v>
      </c>
      <c r="AJ26" s="453">
        <f t="shared" si="20"/>
        <v>31</v>
      </c>
      <c r="AK26" s="231">
        <f t="shared" si="12"/>
        <v>0</v>
      </c>
      <c r="AL26" s="367"/>
      <c r="AM26" s="453">
        <f t="shared" si="30"/>
        <v>0</v>
      </c>
      <c r="AN26" s="372">
        <f t="shared" si="24"/>
        <v>48</v>
      </c>
    </row>
    <row r="27" spans="1:40" ht="23.1" customHeight="1">
      <c r="A27" s="55">
        <f>Gen!A32</f>
        <v>44338</v>
      </c>
      <c r="B27" s="4"/>
      <c r="C27" s="91">
        <f>D26</f>
        <v>255812</v>
      </c>
      <c r="D27" s="1">
        <v>255875</v>
      </c>
      <c r="E27" s="452">
        <f t="shared" si="29"/>
        <v>63</v>
      </c>
      <c r="F27" s="91">
        <f t="shared" ref="F27:F31" si="42">G27</f>
        <v>75790</v>
      </c>
      <c r="G27" s="370">
        <v>75790</v>
      </c>
      <c r="H27" s="452">
        <f t="shared" si="40"/>
        <v>0</v>
      </c>
      <c r="I27" s="91">
        <f t="shared" si="35"/>
        <v>8442</v>
      </c>
      <c r="J27" s="1">
        <v>8444</v>
      </c>
      <c r="K27" s="452">
        <f t="shared" si="28"/>
        <v>2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21312</v>
      </c>
      <c r="P27" s="366">
        <v>21317</v>
      </c>
      <c r="Q27" s="452">
        <f t="shared" si="7"/>
        <v>5</v>
      </c>
      <c r="R27" s="236"/>
      <c r="S27" s="231">
        <f t="shared" si="38"/>
        <v>69708</v>
      </c>
      <c r="T27" s="367">
        <v>69708</v>
      </c>
      <c r="U27" s="453">
        <f t="shared" si="39"/>
        <v>0</v>
      </c>
      <c r="V27" s="820">
        <f>W26</f>
        <v>73031</v>
      </c>
      <c r="W27" s="367">
        <v>73031</v>
      </c>
      <c r="X27" s="453">
        <f t="shared" si="17"/>
        <v>0</v>
      </c>
      <c r="Y27" s="231">
        <f t="shared" si="9"/>
        <v>90218</v>
      </c>
      <c r="Z27" s="367">
        <v>90218</v>
      </c>
      <c r="AA27" s="453">
        <f t="shared" si="18"/>
        <v>0</v>
      </c>
      <c r="AB27" s="577">
        <f t="shared" si="22"/>
        <v>19607</v>
      </c>
      <c r="AC27" s="578">
        <v>19624</v>
      </c>
      <c r="AD27" s="580">
        <f t="shared" si="23"/>
        <v>17</v>
      </c>
      <c r="AE27" s="231">
        <f t="shared" si="10"/>
        <v>8300</v>
      </c>
      <c r="AF27" s="368">
        <v>8300</v>
      </c>
      <c r="AG27" s="453">
        <f t="shared" si="19"/>
        <v>0</v>
      </c>
      <c r="AH27" s="231">
        <f t="shared" si="11"/>
        <v>31780</v>
      </c>
      <c r="AI27" s="368">
        <v>31812</v>
      </c>
      <c r="AJ27" s="453">
        <f t="shared" si="20"/>
        <v>32</v>
      </c>
      <c r="AK27" s="231">
        <f t="shared" si="12"/>
        <v>0</v>
      </c>
      <c r="AL27" s="367"/>
      <c r="AM27" s="453">
        <f t="shared" si="21"/>
        <v>0</v>
      </c>
      <c r="AN27" s="372">
        <f t="shared" si="24"/>
        <v>49</v>
      </c>
    </row>
    <row r="28" spans="1:40" ht="23.1" customHeight="1">
      <c r="A28" s="55">
        <f>Gen!A33</f>
        <v>44339</v>
      </c>
      <c r="B28" s="4"/>
      <c r="C28" s="91">
        <f t="shared" ref="C28:C37" si="43">D27</f>
        <v>255875</v>
      </c>
      <c r="D28" s="1">
        <v>255922</v>
      </c>
      <c r="E28" s="452">
        <f t="shared" si="29"/>
        <v>47</v>
      </c>
      <c r="F28" s="91">
        <f t="shared" si="42"/>
        <v>75790</v>
      </c>
      <c r="G28" s="370">
        <v>75790</v>
      </c>
      <c r="H28" s="452">
        <f t="shared" ref="H28:H37" si="44">IF((G28-G27)&lt;0,"0",(G28-G27))</f>
        <v>0</v>
      </c>
      <c r="I28" s="91">
        <f t="shared" si="35"/>
        <v>8444</v>
      </c>
      <c r="J28" s="1">
        <v>8446</v>
      </c>
      <c r="K28" s="452">
        <f>IF((J28-J27)&lt;0,"0",(J28-J27))</f>
        <v>2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21317</v>
      </c>
      <c r="P28" s="366">
        <v>21323</v>
      </c>
      <c r="Q28" s="452">
        <f t="shared" ref="Q28:Q37" si="45">IF((P28-P27)&lt;0,"0",(P28-P27))</f>
        <v>6</v>
      </c>
      <c r="R28" s="236"/>
      <c r="S28" s="231">
        <f t="shared" si="38"/>
        <v>69708</v>
      </c>
      <c r="T28" s="367">
        <v>69708</v>
      </c>
      <c r="U28" s="453">
        <f t="shared" si="39"/>
        <v>0</v>
      </c>
      <c r="V28" s="231">
        <f t="shared" si="33"/>
        <v>73031</v>
      </c>
      <c r="W28" s="367">
        <v>73031</v>
      </c>
      <c r="X28" s="453">
        <f t="shared" si="17"/>
        <v>0</v>
      </c>
      <c r="Y28" s="231">
        <f t="shared" si="9"/>
        <v>90218</v>
      </c>
      <c r="Z28" s="367">
        <v>90218</v>
      </c>
      <c r="AA28" s="453">
        <f t="shared" si="18"/>
        <v>0</v>
      </c>
      <c r="AB28" s="577">
        <f t="shared" si="22"/>
        <v>19624</v>
      </c>
      <c r="AC28" s="578">
        <v>19644</v>
      </c>
      <c r="AD28" s="580">
        <f t="shared" si="23"/>
        <v>20</v>
      </c>
      <c r="AE28" s="231">
        <f t="shared" si="10"/>
        <v>8300</v>
      </c>
      <c r="AF28" s="368">
        <v>8300</v>
      </c>
      <c r="AG28" s="453">
        <f t="shared" si="19"/>
        <v>0</v>
      </c>
      <c r="AH28" s="231">
        <f t="shared" si="11"/>
        <v>31812</v>
      </c>
      <c r="AI28" s="368">
        <v>31844</v>
      </c>
      <c r="AJ28" s="453">
        <f t="shared" si="20"/>
        <v>32</v>
      </c>
      <c r="AK28" s="231">
        <f t="shared" si="12"/>
        <v>0</v>
      </c>
      <c r="AL28" s="367"/>
      <c r="AM28" s="453">
        <f t="shared" si="21"/>
        <v>0</v>
      </c>
      <c r="AN28" s="372">
        <f t="shared" si="24"/>
        <v>52</v>
      </c>
    </row>
    <row r="29" spans="1:40" ht="23.1" customHeight="1">
      <c r="A29" s="55">
        <f>Gen!A34</f>
        <v>44340</v>
      </c>
      <c r="B29" s="4"/>
      <c r="C29" s="91">
        <f t="shared" si="43"/>
        <v>255922</v>
      </c>
      <c r="D29" s="1">
        <v>255968</v>
      </c>
      <c r="E29" s="452">
        <f t="shared" si="29"/>
        <v>46</v>
      </c>
      <c r="F29" s="91">
        <f t="shared" si="42"/>
        <v>75790</v>
      </c>
      <c r="G29" s="370">
        <v>75790</v>
      </c>
      <c r="H29" s="452">
        <f t="shared" si="44"/>
        <v>0</v>
      </c>
      <c r="I29" s="91">
        <f t="shared" si="35"/>
        <v>8446</v>
      </c>
      <c r="J29" s="1">
        <v>8447</v>
      </c>
      <c r="K29" s="452">
        <f t="shared" ref="K29:K37" si="46">IF((J29-J28)&lt;0,"0",(J29-J28))</f>
        <v>1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21323</v>
      </c>
      <c r="P29" s="366">
        <v>21327</v>
      </c>
      <c r="Q29" s="452">
        <f t="shared" si="45"/>
        <v>4</v>
      </c>
      <c r="R29" s="236"/>
      <c r="S29" s="231">
        <f t="shared" si="38"/>
        <v>69708</v>
      </c>
      <c r="T29" s="367">
        <v>69708</v>
      </c>
      <c r="U29" s="453">
        <f t="shared" si="39"/>
        <v>0</v>
      </c>
      <c r="V29" s="231">
        <f t="shared" si="33"/>
        <v>73031</v>
      </c>
      <c r="W29" s="367">
        <v>73031</v>
      </c>
      <c r="X29" s="453">
        <f t="shared" si="17"/>
        <v>0</v>
      </c>
      <c r="Y29" s="231">
        <f t="shared" si="9"/>
        <v>90218</v>
      </c>
      <c r="Z29" s="367">
        <v>90218</v>
      </c>
      <c r="AA29" s="453">
        <f t="shared" si="18"/>
        <v>0</v>
      </c>
      <c r="AB29" s="577">
        <f t="shared" si="22"/>
        <v>19644</v>
      </c>
      <c r="AC29" s="578">
        <v>19659</v>
      </c>
      <c r="AD29" s="580">
        <f t="shared" si="23"/>
        <v>15</v>
      </c>
      <c r="AE29" s="231">
        <f t="shared" si="10"/>
        <v>8300</v>
      </c>
      <c r="AF29" s="368">
        <v>8300</v>
      </c>
      <c r="AG29" s="453">
        <f t="shared" si="19"/>
        <v>0</v>
      </c>
      <c r="AH29" s="231">
        <f t="shared" si="11"/>
        <v>31844</v>
      </c>
      <c r="AI29" s="368">
        <v>31875</v>
      </c>
      <c r="AJ29" s="453">
        <f t="shared" si="20"/>
        <v>31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46</v>
      </c>
    </row>
    <row r="30" spans="1:40" ht="23.1" customHeight="1">
      <c r="A30" s="55">
        <f>Gen!A35</f>
        <v>44341</v>
      </c>
      <c r="B30" s="4"/>
      <c r="C30" s="91">
        <f t="shared" si="43"/>
        <v>255968</v>
      </c>
      <c r="D30" s="1">
        <v>256019</v>
      </c>
      <c r="E30" s="452">
        <f t="shared" si="29"/>
        <v>51</v>
      </c>
      <c r="F30" s="91">
        <f t="shared" si="42"/>
        <v>75790</v>
      </c>
      <c r="G30" s="370">
        <v>75790</v>
      </c>
      <c r="H30" s="452">
        <f t="shared" si="44"/>
        <v>0</v>
      </c>
      <c r="I30" s="91">
        <f t="shared" si="35"/>
        <v>8447</v>
      </c>
      <c r="J30" s="1">
        <v>8448</v>
      </c>
      <c r="K30" s="452">
        <f t="shared" si="46"/>
        <v>1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21327</v>
      </c>
      <c r="P30" s="366">
        <v>21331</v>
      </c>
      <c r="Q30" s="452">
        <f t="shared" si="45"/>
        <v>4</v>
      </c>
      <c r="R30" s="236"/>
      <c r="S30" s="231">
        <f t="shared" si="38"/>
        <v>69708</v>
      </c>
      <c r="T30" s="367">
        <v>69708</v>
      </c>
      <c r="U30" s="453">
        <f t="shared" si="39"/>
        <v>0</v>
      </c>
      <c r="V30" s="231">
        <f t="shared" si="33"/>
        <v>73031</v>
      </c>
      <c r="W30" s="367">
        <v>73031</v>
      </c>
      <c r="X30" s="453">
        <f t="shared" si="17"/>
        <v>0</v>
      </c>
      <c r="Y30" s="231">
        <f t="shared" si="9"/>
        <v>90218</v>
      </c>
      <c r="Z30" s="367">
        <v>90247</v>
      </c>
      <c r="AA30" s="453">
        <f t="shared" si="18"/>
        <v>29</v>
      </c>
      <c r="AB30" s="577">
        <f t="shared" si="22"/>
        <v>19659</v>
      </c>
      <c r="AC30" s="578">
        <v>19674</v>
      </c>
      <c r="AD30" s="580">
        <f t="shared" si="23"/>
        <v>15</v>
      </c>
      <c r="AE30" s="231">
        <f t="shared" si="10"/>
        <v>8300</v>
      </c>
      <c r="AF30" s="368">
        <v>8300</v>
      </c>
      <c r="AG30" s="453">
        <f t="shared" si="19"/>
        <v>0</v>
      </c>
      <c r="AH30" s="231">
        <f t="shared" si="11"/>
        <v>31875</v>
      </c>
      <c r="AI30" s="368">
        <v>31903</v>
      </c>
      <c r="AJ30" s="453">
        <f t="shared" si="20"/>
        <v>28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72</v>
      </c>
    </row>
    <row r="31" spans="1:40" ht="23.1" customHeight="1">
      <c r="A31" s="55">
        <f>Gen!A36</f>
        <v>44342</v>
      </c>
      <c r="B31" s="4"/>
      <c r="C31" s="91">
        <f t="shared" si="43"/>
        <v>256019</v>
      </c>
      <c r="D31" s="1">
        <v>256075</v>
      </c>
      <c r="E31" s="452">
        <f t="shared" si="29"/>
        <v>56</v>
      </c>
      <c r="F31" s="91">
        <f t="shared" si="42"/>
        <v>75790</v>
      </c>
      <c r="G31" s="370">
        <v>75790</v>
      </c>
      <c r="H31" s="452">
        <f t="shared" si="44"/>
        <v>0</v>
      </c>
      <c r="I31" s="91">
        <f t="shared" si="35"/>
        <v>8448</v>
      </c>
      <c r="J31" s="1">
        <v>8451</v>
      </c>
      <c r="K31" s="452">
        <f t="shared" si="46"/>
        <v>3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21331</v>
      </c>
      <c r="P31" s="366">
        <v>21335</v>
      </c>
      <c r="Q31" s="452">
        <f t="shared" si="45"/>
        <v>4</v>
      </c>
      <c r="R31" s="236"/>
      <c r="S31" s="231">
        <f t="shared" si="38"/>
        <v>69708</v>
      </c>
      <c r="T31" s="367">
        <v>69708</v>
      </c>
      <c r="U31" s="453">
        <f t="shared" si="39"/>
        <v>0</v>
      </c>
      <c r="V31" s="231">
        <f t="shared" si="33"/>
        <v>73031</v>
      </c>
      <c r="W31" s="367">
        <v>73031</v>
      </c>
      <c r="X31" s="453">
        <f t="shared" si="17"/>
        <v>0</v>
      </c>
      <c r="Y31" s="231">
        <f t="shared" si="9"/>
        <v>90247</v>
      </c>
      <c r="Z31" s="367">
        <v>90283</v>
      </c>
      <c r="AA31" s="453">
        <f t="shared" si="18"/>
        <v>36</v>
      </c>
      <c r="AB31" s="577">
        <f t="shared" si="22"/>
        <v>19674</v>
      </c>
      <c r="AC31" s="578">
        <v>19691</v>
      </c>
      <c r="AD31" s="580">
        <f t="shared" si="23"/>
        <v>17</v>
      </c>
      <c r="AE31" s="231">
        <f t="shared" si="10"/>
        <v>8300</v>
      </c>
      <c r="AF31" s="368">
        <v>8300</v>
      </c>
      <c r="AG31" s="453">
        <f t="shared" si="19"/>
        <v>0</v>
      </c>
      <c r="AH31" s="231">
        <f t="shared" si="11"/>
        <v>31903</v>
      </c>
      <c r="AI31" s="368">
        <v>31938</v>
      </c>
      <c r="AJ31" s="453">
        <f t="shared" si="20"/>
        <v>35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88</v>
      </c>
    </row>
    <row r="32" spans="1:40" ht="23.1" customHeight="1">
      <c r="A32" s="55">
        <f>Gen!A37</f>
        <v>44343</v>
      </c>
      <c r="B32" s="4" t="s">
        <v>269</v>
      </c>
      <c r="C32" s="91">
        <f t="shared" si="43"/>
        <v>256075</v>
      </c>
      <c r="D32" s="1"/>
      <c r="E32" s="452" t="str">
        <f t="shared" si="29"/>
        <v>0</v>
      </c>
      <c r="F32" s="91">
        <f t="shared" si="2"/>
        <v>75790</v>
      </c>
      <c r="G32" s="370"/>
      <c r="H32" s="452" t="str">
        <f t="shared" si="44"/>
        <v>0</v>
      </c>
      <c r="I32" s="91">
        <f t="shared" si="35"/>
        <v>8451</v>
      </c>
      <c r="J32" s="1"/>
      <c r="K32" s="452" t="str">
        <f t="shared" si="46"/>
        <v>0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21335</v>
      </c>
      <c r="P32" s="366"/>
      <c r="Q32" s="452" t="str">
        <f t="shared" si="45"/>
        <v>0</v>
      </c>
      <c r="R32" s="236"/>
      <c r="S32" s="231">
        <f t="shared" si="38"/>
        <v>69708</v>
      </c>
      <c r="T32" s="367"/>
      <c r="U32" s="453" t="str">
        <f t="shared" si="39"/>
        <v>0</v>
      </c>
      <c r="V32" s="231">
        <f t="shared" si="33"/>
        <v>73031</v>
      </c>
      <c r="W32" s="367"/>
      <c r="X32" s="453" t="str">
        <f t="shared" si="17"/>
        <v>0</v>
      </c>
      <c r="Y32" s="231">
        <f t="shared" si="9"/>
        <v>90283</v>
      </c>
      <c r="Z32" s="367"/>
      <c r="AA32" s="453" t="str">
        <f t="shared" si="18"/>
        <v>0</v>
      </c>
      <c r="AB32" s="577">
        <f t="shared" si="22"/>
        <v>19691</v>
      </c>
      <c r="AC32" s="578"/>
      <c r="AD32" s="580" t="str">
        <f t="shared" si="23"/>
        <v>0</v>
      </c>
      <c r="AE32" s="231">
        <f t="shared" si="10"/>
        <v>8300</v>
      </c>
      <c r="AF32" s="368"/>
      <c r="AG32" s="453" t="str">
        <f t="shared" si="19"/>
        <v>0</v>
      </c>
      <c r="AH32" s="231">
        <f t="shared" si="11"/>
        <v>31938</v>
      </c>
      <c r="AI32" s="368"/>
      <c r="AJ32" s="453" t="str">
        <f t="shared" si="20"/>
        <v>0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44344</v>
      </c>
      <c r="B33" s="4"/>
      <c r="C33" s="91">
        <f t="shared" si="43"/>
        <v>0</v>
      </c>
      <c r="D33" s="1"/>
      <c r="E33" s="452">
        <f t="shared" si="29"/>
        <v>0</v>
      </c>
      <c r="F33" s="91">
        <f t="shared" si="2"/>
        <v>0</v>
      </c>
      <c r="G33" s="370"/>
      <c r="H33" s="452">
        <f t="shared" si="44"/>
        <v>0</v>
      </c>
      <c r="I33" s="91">
        <f t="shared" si="35"/>
        <v>0</v>
      </c>
      <c r="J33" s="1"/>
      <c r="K33" s="452">
        <f t="shared" si="46"/>
        <v>0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0</v>
      </c>
      <c r="P33" s="366"/>
      <c r="Q33" s="452">
        <f t="shared" si="45"/>
        <v>0</v>
      </c>
      <c r="R33" s="236"/>
      <c r="S33" s="231">
        <f t="shared" si="38"/>
        <v>0</v>
      </c>
      <c r="T33" s="367"/>
      <c r="U33" s="453">
        <f t="shared" si="39"/>
        <v>0</v>
      </c>
      <c r="V33" s="231">
        <f t="shared" si="33"/>
        <v>0</v>
      </c>
      <c r="W33" s="367"/>
      <c r="X33" s="453">
        <f t="shared" si="17"/>
        <v>0</v>
      </c>
      <c r="Y33" s="231">
        <f t="shared" si="9"/>
        <v>0</v>
      </c>
      <c r="Z33" s="367"/>
      <c r="AA33" s="453">
        <f t="shared" si="18"/>
        <v>0</v>
      </c>
      <c r="AB33" s="577">
        <f t="shared" si="22"/>
        <v>0</v>
      </c>
      <c r="AC33" s="232"/>
      <c r="AD33" s="580">
        <f t="shared" si="23"/>
        <v>0</v>
      </c>
      <c r="AE33" s="231">
        <f t="shared" si="10"/>
        <v>0</v>
      </c>
      <c r="AF33" s="368"/>
      <c r="AG33" s="453">
        <f t="shared" si="19"/>
        <v>0</v>
      </c>
      <c r="AH33" s="231">
        <f t="shared" si="11"/>
        <v>0</v>
      </c>
      <c r="AI33" s="368"/>
      <c r="AJ33" s="453">
        <f t="shared" si="20"/>
        <v>0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44345</v>
      </c>
      <c r="B34" s="141"/>
      <c r="C34" s="91">
        <f t="shared" si="43"/>
        <v>0</v>
      </c>
      <c r="D34" s="1"/>
      <c r="E34" s="452">
        <f t="shared" si="29"/>
        <v>0</v>
      </c>
      <c r="F34" s="91">
        <f t="shared" si="2"/>
        <v>0</v>
      </c>
      <c r="G34" s="370"/>
      <c r="H34" s="452">
        <f t="shared" si="44"/>
        <v>0</v>
      </c>
      <c r="I34" s="91">
        <f t="shared" si="35"/>
        <v>0</v>
      </c>
      <c r="J34" s="1"/>
      <c r="K34" s="452">
        <f t="shared" si="46"/>
        <v>0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0</v>
      </c>
      <c r="P34" s="366"/>
      <c r="Q34" s="452">
        <f t="shared" si="45"/>
        <v>0</v>
      </c>
      <c r="R34" s="236"/>
      <c r="S34" s="231">
        <f t="shared" si="38"/>
        <v>0</v>
      </c>
      <c r="T34" s="367"/>
      <c r="U34" s="453">
        <f t="shared" si="39"/>
        <v>0</v>
      </c>
      <c r="V34" s="231">
        <f t="shared" si="33"/>
        <v>0</v>
      </c>
      <c r="W34" s="367"/>
      <c r="X34" s="453">
        <f t="shared" si="17"/>
        <v>0</v>
      </c>
      <c r="Y34" s="231">
        <f t="shared" si="9"/>
        <v>0</v>
      </c>
      <c r="Z34" s="367"/>
      <c r="AA34" s="453">
        <f t="shared" si="18"/>
        <v>0</v>
      </c>
      <c r="AB34" s="577">
        <f t="shared" si="22"/>
        <v>0</v>
      </c>
      <c r="AC34" s="232"/>
      <c r="AD34" s="580">
        <f t="shared" si="23"/>
        <v>0</v>
      </c>
      <c r="AE34" s="231">
        <f t="shared" si="10"/>
        <v>0</v>
      </c>
      <c r="AF34" s="368"/>
      <c r="AG34" s="453">
        <f t="shared" si="19"/>
        <v>0</v>
      </c>
      <c r="AH34" s="231">
        <f t="shared" si="11"/>
        <v>0</v>
      </c>
      <c r="AI34" s="368"/>
      <c r="AJ34" s="453">
        <f t="shared" si="20"/>
        <v>0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44346</v>
      </c>
      <c r="B35" s="141"/>
      <c r="C35" s="91">
        <f t="shared" si="43"/>
        <v>0</v>
      </c>
      <c r="D35" s="1"/>
      <c r="E35" s="452">
        <f t="shared" si="29"/>
        <v>0</v>
      </c>
      <c r="F35" s="91">
        <f t="shared" si="2"/>
        <v>0</v>
      </c>
      <c r="G35" s="370"/>
      <c r="H35" s="452">
        <f t="shared" si="44"/>
        <v>0</v>
      </c>
      <c r="I35" s="91">
        <f t="shared" si="35"/>
        <v>0</v>
      </c>
      <c r="J35" s="1"/>
      <c r="K35" s="452">
        <f t="shared" si="46"/>
        <v>0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0</v>
      </c>
      <c r="P35" s="366"/>
      <c r="Q35" s="452">
        <f t="shared" si="45"/>
        <v>0</v>
      </c>
      <c r="R35" s="236"/>
      <c r="S35" s="231">
        <f t="shared" si="38"/>
        <v>0</v>
      </c>
      <c r="T35" s="367"/>
      <c r="U35" s="453">
        <f t="shared" si="39"/>
        <v>0</v>
      </c>
      <c r="V35" s="231">
        <f t="shared" si="33"/>
        <v>0</v>
      </c>
      <c r="W35" s="367"/>
      <c r="X35" s="453">
        <f>IF((W36-W34)&lt;0,"0",(W36-W34))</f>
        <v>0</v>
      </c>
      <c r="Y35" s="231">
        <f t="shared" si="9"/>
        <v>0</v>
      </c>
      <c r="Z35" s="367"/>
      <c r="AA35" s="453">
        <f t="shared" si="18"/>
        <v>0</v>
      </c>
      <c r="AB35" s="577">
        <f t="shared" si="22"/>
        <v>0</v>
      </c>
      <c r="AC35" s="232"/>
      <c r="AD35" s="580">
        <f t="shared" si="23"/>
        <v>0</v>
      </c>
      <c r="AE35" s="231">
        <f t="shared" si="10"/>
        <v>0</v>
      </c>
      <c r="AF35" s="368"/>
      <c r="AG35" s="453">
        <f t="shared" si="19"/>
        <v>0</v>
      </c>
      <c r="AH35" s="231">
        <f t="shared" si="11"/>
        <v>0</v>
      </c>
      <c r="AI35" s="368"/>
      <c r="AJ35" s="453">
        <f t="shared" si="20"/>
        <v>0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0</v>
      </c>
    </row>
    <row r="36" spans="1:40" ht="23.1" customHeight="1">
      <c r="A36" s="55">
        <f>Gen!A41</f>
        <v>44347</v>
      </c>
      <c r="B36" s="142"/>
      <c r="C36" s="91">
        <f t="shared" si="43"/>
        <v>0</v>
      </c>
      <c r="D36" s="1"/>
      <c r="E36" s="452">
        <f t="shared" si="29"/>
        <v>0</v>
      </c>
      <c r="F36" s="91">
        <f t="shared" si="2"/>
        <v>0</v>
      </c>
      <c r="G36" s="370"/>
      <c r="H36" s="452">
        <f t="shared" si="44"/>
        <v>0</v>
      </c>
      <c r="I36" s="91">
        <f t="shared" si="35"/>
        <v>0</v>
      </c>
      <c r="J36" s="1"/>
      <c r="K36" s="452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0</v>
      </c>
      <c r="P36" s="366"/>
      <c r="Q36" s="452">
        <f t="shared" si="45"/>
        <v>0</v>
      </c>
      <c r="R36" s="236"/>
      <c r="S36" s="231">
        <f t="shared" si="38"/>
        <v>0</v>
      </c>
      <c r="T36" s="367"/>
      <c r="U36" s="453">
        <f t="shared" si="39"/>
        <v>0</v>
      </c>
      <c r="V36" s="231">
        <f>W36</f>
        <v>0</v>
      </c>
      <c r="W36" s="367"/>
      <c r="X36" s="453">
        <f>IF((W37-W35)&lt;0,"0",(W37-W35))</f>
        <v>0</v>
      </c>
      <c r="Y36" s="231">
        <f t="shared" si="9"/>
        <v>0</v>
      </c>
      <c r="Z36" s="367"/>
      <c r="AA36" s="453">
        <f t="shared" si="18"/>
        <v>0</v>
      </c>
      <c r="AB36" s="577">
        <f t="shared" si="22"/>
        <v>0</v>
      </c>
      <c r="AC36" s="232"/>
      <c r="AD36" s="580">
        <f t="shared" si="23"/>
        <v>0</v>
      </c>
      <c r="AE36" s="231">
        <f t="shared" si="10"/>
        <v>0</v>
      </c>
      <c r="AF36" s="368"/>
      <c r="AG36" s="453">
        <f t="shared" si="19"/>
        <v>0</v>
      </c>
      <c r="AH36" s="231">
        <f t="shared" si="11"/>
        <v>0</v>
      </c>
      <c r="AI36" s="368"/>
      <c r="AJ36" s="453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29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914</v>
      </c>
    </row>
    <row r="38" spans="1:40" ht="18.75">
      <c r="A38" s="55"/>
      <c r="B38" s="20"/>
      <c r="C38" s="921" t="s">
        <v>247</v>
      </c>
      <c r="D38" s="921"/>
      <c r="E38" s="21">
        <f>SUM(E6:E36)</f>
        <v>1323</v>
      </c>
      <c r="F38" s="22" t="s">
        <v>270</v>
      </c>
      <c r="G38" s="23"/>
      <c r="H38" s="24">
        <f>SUM(H6:H37)</f>
        <v>0</v>
      </c>
      <c r="I38" s="25"/>
      <c r="J38" s="22"/>
      <c r="K38" s="26">
        <f>SUM(K6:K37)</f>
        <v>41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1323</v>
      </c>
      <c r="S38" s="233"/>
      <c r="T38" s="233"/>
      <c r="U38" s="243">
        <f>SUM(U6:U37)</f>
        <v>914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453">
        <f t="shared" ref="AJ38" si="50">IF((AI39-AI37)&lt;0,"0",(AI39-AI37))</f>
        <v>0</v>
      </c>
      <c r="AK38" s="233"/>
      <c r="AL38" s="233"/>
      <c r="AM38" s="233"/>
      <c r="AN38" s="239">
        <f t="shared" ref="AN38" si="51">U38+X38+AA38+AD38+AG38+AJ38+AM38</f>
        <v>914</v>
      </c>
    </row>
    <row r="40" spans="1:40">
      <c r="AF40" t="s">
        <v>13</v>
      </c>
    </row>
    <row r="41" spans="1:40" ht="13.5" thickBot="1"/>
    <row r="42" spans="1:40" ht="18.75" thickBot="1">
      <c r="A42" s="890"/>
      <c r="B42" s="262"/>
      <c r="C42" s="887" t="s">
        <v>271</v>
      </c>
      <c r="D42" s="888"/>
      <c r="E42" s="888"/>
      <c r="F42" s="888"/>
      <c r="G42" s="888"/>
      <c r="H42" s="888"/>
      <c r="I42" s="888"/>
      <c r="J42" s="888"/>
      <c r="K42" s="889"/>
    </row>
    <row r="43" spans="1:40" ht="24.75" customHeight="1">
      <c r="A43" s="891"/>
      <c r="C43" s="893" t="s">
        <v>272</v>
      </c>
      <c r="D43" s="894"/>
      <c r="E43" s="895" t="s">
        <v>273</v>
      </c>
      <c r="F43" s="896"/>
      <c r="G43" s="897" t="s">
        <v>274</v>
      </c>
      <c r="H43" s="898"/>
      <c r="I43" s="897" t="s">
        <v>275</v>
      </c>
      <c r="J43" s="898"/>
      <c r="K43" s="885" t="s">
        <v>276</v>
      </c>
    </row>
    <row r="44" spans="1:40" ht="21" customHeight="1" thickBot="1">
      <c r="A44" s="891"/>
      <c r="C44" s="899" t="s">
        <v>277</v>
      </c>
      <c r="D44" s="900"/>
      <c r="E44" s="899" t="s">
        <v>278</v>
      </c>
      <c r="F44" s="900"/>
      <c r="G44" s="899" t="s">
        <v>279</v>
      </c>
      <c r="H44" s="900"/>
      <c r="I44" s="899" t="s">
        <v>280</v>
      </c>
      <c r="J44" s="900"/>
      <c r="K44" s="886"/>
    </row>
    <row r="45" spans="1:40" ht="21" customHeight="1" thickBot="1">
      <c r="A45" s="892"/>
      <c r="C45" s="309" t="s">
        <v>281</v>
      </c>
      <c r="D45" s="310" t="s">
        <v>282</v>
      </c>
      <c r="E45" s="311" t="s">
        <v>281</v>
      </c>
      <c r="F45" s="312" t="s">
        <v>282</v>
      </c>
      <c r="G45" s="454"/>
      <c r="H45" s="312" t="s">
        <v>282</v>
      </c>
      <c r="I45" s="311"/>
      <c r="J45" s="312" t="s">
        <v>282</v>
      </c>
      <c r="K45" s="313" t="s">
        <v>282</v>
      </c>
    </row>
    <row r="46" spans="1:40" ht="20.25" customHeight="1">
      <c r="A46" s="278">
        <f>Gen!A11</f>
        <v>44317</v>
      </c>
      <c r="C46" s="60">
        <v>175</v>
      </c>
      <c r="D46" s="308">
        <f t="shared" ref="D46:D77" si="52">C46*217/300</f>
        <v>126.58333333333333</v>
      </c>
      <c r="E46" s="6">
        <v>140</v>
      </c>
      <c r="F46" s="308">
        <f t="shared" ref="F46:F77" si="53">E46*92/305</f>
        <v>42.229508196721312</v>
      </c>
      <c r="G46" s="589">
        <v>45</v>
      </c>
      <c r="H46" s="308">
        <f t="shared" ref="H46:H77" si="54">G46*146/383</f>
        <v>17.154046997389035</v>
      </c>
      <c r="I46" s="6">
        <v>246</v>
      </c>
      <c r="J46" s="308">
        <f t="shared" ref="J46:J77" si="55">I46*213/308</f>
        <v>170.12337662337663</v>
      </c>
      <c r="K46" s="314">
        <f>D46+F46+H46+J46</f>
        <v>356.0902651508203</v>
      </c>
    </row>
    <row r="47" spans="1:40" ht="13.5">
      <c r="A47" s="278">
        <f>Gen!A12</f>
        <v>44318</v>
      </c>
      <c r="C47" s="60">
        <v>150</v>
      </c>
      <c r="D47" s="308">
        <f t="shared" si="52"/>
        <v>108.5</v>
      </c>
      <c r="E47" s="6">
        <v>115</v>
      </c>
      <c r="F47" s="308">
        <f t="shared" si="53"/>
        <v>34.688524590163937</v>
      </c>
      <c r="G47" s="589">
        <v>235</v>
      </c>
      <c r="H47" s="308">
        <f t="shared" si="54"/>
        <v>89.582245430809394</v>
      </c>
      <c r="I47" s="6">
        <v>278</v>
      </c>
      <c r="J47" s="308">
        <f t="shared" si="55"/>
        <v>192.25324675324674</v>
      </c>
      <c r="K47" s="314">
        <f t="shared" ref="K47:K77" si="56">D47+F47+H47+J47</f>
        <v>425.02401677422006</v>
      </c>
    </row>
    <row r="48" spans="1:40" ht="13.5">
      <c r="A48" s="278">
        <f>Gen!A13</f>
        <v>44319</v>
      </c>
      <c r="C48" s="60">
        <v>211</v>
      </c>
      <c r="D48" s="308">
        <f t="shared" si="52"/>
        <v>152.62333333333333</v>
      </c>
      <c r="E48" s="6">
        <v>176</v>
      </c>
      <c r="F48" s="308">
        <f t="shared" si="53"/>
        <v>53.088524590163935</v>
      </c>
      <c r="G48" s="589">
        <v>260</v>
      </c>
      <c r="H48" s="308">
        <f t="shared" si="54"/>
        <v>99.112271540469976</v>
      </c>
      <c r="I48" s="6">
        <v>258</v>
      </c>
      <c r="J48" s="308">
        <f t="shared" si="55"/>
        <v>178.42207792207793</v>
      </c>
      <c r="K48" s="314">
        <f t="shared" si="56"/>
        <v>483.24620738604517</v>
      </c>
    </row>
    <row r="49" spans="1:15" ht="13.5">
      <c r="A49" s="278">
        <f>Gen!A14</f>
        <v>44320</v>
      </c>
      <c r="C49" s="60">
        <v>280</v>
      </c>
      <c r="D49" s="308">
        <f t="shared" si="52"/>
        <v>202.53333333333333</v>
      </c>
      <c r="E49" s="6">
        <v>245</v>
      </c>
      <c r="F49" s="308">
        <f t="shared" si="53"/>
        <v>73.901639344262293</v>
      </c>
      <c r="G49" s="589">
        <v>145</v>
      </c>
      <c r="H49" s="308">
        <f t="shared" si="54"/>
        <v>55.274151436031332</v>
      </c>
      <c r="I49" s="6">
        <v>288</v>
      </c>
      <c r="J49" s="308">
        <f t="shared" si="55"/>
        <v>199.16883116883116</v>
      </c>
      <c r="K49" s="314">
        <f t="shared" si="56"/>
        <v>530.87795528245806</v>
      </c>
    </row>
    <row r="50" spans="1:15" ht="13.5">
      <c r="A50" s="278">
        <f>Gen!A15</f>
        <v>44321</v>
      </c>
      <c r="C50" s="60">
        <v>285</v>
      </c>
      <c r="D50" s="308">
        <f t="shared" si="52"/>
        <v>206.15</v>
      </c>
      <c r="E50" s="6">
        <v>250</v>
      </c>
      <c r="F50" s="308">
        <f t="shared" si="53"/>
        <v>75.409836065573771</v>
      </c>
      <c r="G50" s="589">
        <v>100</v>
      </c>
      <c r="H50" s="308">
        <f t="shared" si="54"/>
        <v>38.120104438642301</v>
      </c>
      <c r="I50" s="6">
        <v>290</v>
      </c>
      <c r="J50" s="308">
        <f t="shared" si="55"/>
        <v>200.55194805194805</v>
      </c>
      <c r="K50" s="314">
        <f t="shared" si="56"/>
        <v>520.23188855616422</v>
      </c>
    </row>
    <row r="51" spans="1:15" ht="13.5">
      <c r="A51" s="278">
        <f>Gen!A16</f>
        <v>44322</v>
      </c>
      <c r="C51" s="60">
        <v>265</v>
      </c>
      <c r="D51" s="308">
        <f t="shared" si="52"/>
        <v>191.68333333333334</v>
      </c>
      <c r="E51" s="6">
        <v>230</v>
      </c>
      <c r="F51" s="308">
        <f t="shared" si="53"/>
        <v>69.377049180327873</v>
      </c>
      <c r="G51" s="589">
        <v>145</v>
      </c>
      <c r="H51" s="308">
        <f t="shared" si="54"/>
        <v>55.274151436031332</v>
      </c>
      <c r="I51" s="6">
        <v>279</v>
      </c>
      <c r="J51" s="308">
        <f t="shared" si="55"/>
        <v>192.94480519480518</v>
      </c>
      <c r="K51" s="314">
        <f t="shared" si="56"/>
        <v>509.27933914449773</v>
      </c>
    </row>
    <row r="52" spans="1:15" ht="13.5">
      <c r="A52" s="278">
        <f>Gen!A17</f>
        <v>44323</v>
      </c>
      <c r="C52" s="60">
        <v>246</v>
      </c>
      <c r="D52" s="308">
        <f t="shared" si="52"/>
        <v>177.94</v>
      </c>
      <c r="E52" s="6">
        <v>210</v>
      </c>
      <c r="F52" s="308">
        <f t="shared" si="53"/>
        <v>63.344262295081968</v>
      </c>
      <c r="G52" s="589">
        <v>5</v>
      </c>
      <c r="H52" s="308">
        <f t="shared" si="54"/>
        <v>1.9060052219321149</v>
      </c>
      <c r="I52" s="6">
        <v>271</v>
      </c>
      <c r="J52" s="308">
        <f t="shared" si="55"/>
        <v>187.41233766233765</v>
      </c>
      <c r="K52" s="314">
        <f t="shared" si="56"/>
        <v>430.60260517935171</v>
      </c>
    </row>
    <row r="53" spans="1:15" ht="13.5">
      <c r="A53" s="278">
        <f>Gen!A18</f>
        <v>44324</v>
      </c>
      <c r="C53" s="60">
        <v>210</v>
      </c>
      <c r="D53" s="308">
        <f t="shared" si="52"/>
        <v>151.9</v>
      </c>
      <c r="E53" s="6">
        <v>175</v>
      </c>
      <c r="F53" s="308">
        <f t="shared" si="53"/>
        <v>52.786885245901637</v>
      </c>
      <c r="G53" s="589">
        <v>137</v>
      </c>
      <c r="H53" s="308">
        <f t="shared" si="54"/>
        <v>52.224543080939945</v>
      </c>
      <c r="I53" s="6">
        <v>260</v>
      </c>
      <c r="J53" s="308">
        <f t="shared" si="55"/>
        <v>179.80519480519482</v>
      </c>
      <c r="K53" s="314">
        <f t="shared" si="56"/>
        <v>436.71662313203637</v>
      </c>
    </row>
    <row r="54" spans="1:15" ht="13.5">
      <c r="A54" s="278">
        <f>Gen!A19</f>
        <v>44325</v>
      </c>
      <c r="C54" s="60">
        <v>215</v>
      </c>
      <c r="D54" s="308">
        <f t="shared" si="52"/>
        <v>155.51666666666668</v>
      </c>
      <c r="E54" s="6">
        <v>180</v>
      </c>
      <c r="F54" s="308">
        <f t="shared" si="53"/>
        <v>54.295081967213115</v>
      </c>
      <c r="G54" s="589">
        <v>295</v>
      </c>
      <c r="H54" s="308">
        <f t="shared" si="54"/>
        <v>112.45430809399478</v>
      </c>
      <c r="I54" s="6">
        <v>291</v>
      </c>
      <c r="J54" s="308">
        <f t="shared" si="55"/>
        <v>201.24350649350649</v>
      </c>
      <c r="K54" s="314">
        <f t="shared" si="56"/>
        <v>523.50956322138109</v>
      </c>
    </row>
    <row r="55" spans="1:15" ht="13.5">
      <c r="A55" s="278">
        <f>Gen!A20</f>
        <v>44326</v>
      </c>
      <c r="C55" s="60">
        <v>300</v>
      </c>
      <c r="D55" s="308">
        <f t="shared" si="52"/>
        <v>217</v>
      </c>
      <c r="E55" s="6">
        <v>284</v>
      </c>
      <c r="F55" s="308">
        <f t="shared" si="53"/>
        <v>85.665573770491804</v>
      </c>
      <c r="G55" s="589">
        <v>255</v>
      </c>
      <c r="H55" s="308">
        <f t="shared" si="54"/>
        <v>97.206266318537857</v>
      </c>
      <c r="I55" s="6">
        <v>280</v>
      </c>
      <c r="J55" s="308">
        <f t="shared" si="55"/>
        <v>193.63636363636363</v>
      </c>
      <c r="K55" s="314">
        <f t="shared" si="56"/>
        <v>593.50820372539329</v>
      </c>
    </row>
    <row r="56" spans="1:15" ht="13.5">
      <c r="A56" s="278">
        <f>Gen!A21</f>
        <v>44327</v>
      </c>
      <c r="C56" s="60">
        <v>295</v>
      </c>
      <c r="D56" s="308">
        <f t="shared" si="52"/>
        <v>213.38333333333333</v>
      </c>
      <c r="E56" s="6">
        <v>260</v>
      </c>
      <c r="F56" s="308">
        <f t="shared" si="53"/>
        <v>78.426229508196727</v>
      </c>
      <c r="G56" s="589">
        <v>196</v>
      </c>
      <c r="H56" s="308">
        <f t="shared" si="54"/>
        <v>74.715404699738897</v>
      </c>
      <c r="I56" s="6">
        <v>290</v>
      </c>
      <c r="J56" s="308">
        <f t="shared" si="55"/>
        <v>200.55194805194805</v>
      </c>
      <c r="K56" s="314">
        <f t="shared" si="56"/>
        <v>567.076915593217</v>
      </c>
    </row>
    <row r="57" spans="1:15" ht="13.5">
      <c r="A57" s="278">
        <f>Gen!A22</f>
        <v>44328</v>
      </c>
      <c r="C57" s="60">
        <v>280</v>
      </c>
      <c r="D57" s="308">
        <f t="shared" si="52"/>
        <v>202.53333333333333</v>
      </c>
      <c r="E57" s="6">
        <v>245</v>
      </c>
      <c r="F57" s="308">
        <f t="shared" si="53"/>
        <v>73.901639344262293</v>
      </c>
      <c r="G57" s="589">
        <v>115</v>
      </c>
      <c r="H57" s="308">
        <f t="shared" si="54"/>
        <v>43.838120104438644</v>
      </c>
      <c r="I57" s="6">
        <v>289</v>
      </c>
      <c r="J57" s="308">
        <f t="shared" si="55"/>
        <v>199.8603896103896</v>
      </c>
      <c r="K57" s="314">
        <f t="shared" si="56"/>
        <v>520.13348239242384</v>
      </c>
    </row>
    <row r="58" spans="1:15" ht="13.5">
      <c r="A58" s="278">
        <f>Gen!A23</f>
        <v>44329</v>
      </c>
      <c r="C58" s="60">
        <v>270</v>
      </c>
      <c r="D58" s="308">
        <f t="shared" si="52"/>
        <v>195.3</v>
      </c>
      <c r="E58" s="6">
        <v>235</v>
      </c>
      <c r="F58" s="308">
        <f t="shared" si="53"/>
        <v>70.885245901639351</v>
      </c>
      <c r="G58" s="589">
        <v>140</v>
      </c>
      <c r="H58" s="308">
        <f t="shared" si="54"/>
        <v>53.36814621409922</v>
      </c>
      <c r="I58" s="6">
        <v>276</v>
      </c>
      <c r="J58" s="308">
        <f t="shared" si="55"/>
        <v>190.87012987012986</v>
      </c>
      <c r="K58" s="314">
        <f t="shared" si="56"/>
        <v>510.42352198586843</v>
      </c>
    </row>
    <row r="59" spans="1:15" ht="13.5">
      <c r="A59" s="278">
        <f>Gen!A24</f>
        <v>44330</v>
      </c>
      <c r="C59" s="60">
        <v>136</v>
      </c>
      <c r="D59" s="308">
        <f t="shared" si="52"/>
        <v>98.373333333333335</v>
      </c>
      <c r="E59" s="6">
        <v>102</v>
      </c>
      <c r="F59" s="308">
        <f t="shared" si="53"/>
        <v>30.767213114754099</v>
      </c>
      <c r="G59" s="589">
        <v>150</v>
      </c>
      <c r="H59" s="308">
        <f t="shared" si="54"/>
        <v>57.180156657963444</v>
      </c>
      <c r="I59" s="6">
        <v>286</v>
      </c>
      <c r="J59" s="308">
        <f t="shared" si="55"/>
        <v>197.78571428571428</v>
      </c>
      <c r="K59" s="314">
        <f t="shared" si="56"/>
        <v>384.10641739176515</v>
      </c>
    </row>
    <row r="60" spans="1:15" ht="13.5">
      <c r="A60" s="278">
        <f>Gen!A25</f>
        <v>44331</v>
      </c>
      <c r="C60" s="60">
        <v>158</v>
      </c>
      <c r="D60" s="308">
        <f t="shared" si="52"/>
        <v>114.28666666666666</v>
      </c>
      <c r="E60" s="6">
        <v>123</v>
      </c>
      <c r="F60" s="308">
        <f t="shared" si="53"/>
        <v>37.101639344262296</v>
      </c>
      <c r="G60" s="589">
        <v>275</v>
      </c>
      <c r="H60" s="308">
        <f t="shared" si="54"/>
        <v>104.83028720626632</v>
      </c>
      <c r="I60" s="6">
        <v>290</v>
      </c>
      <c r="J60" s="308">
        <f t="shared" si="55"/>
        <v>200.55194805194805</v>
      </c>
      <c r="K60" s="314">
        <f t="shared" si="56"/>
        <v>456.77054126914328</v>
      </c>
      <c r="L60" t="s">
        <v>283</v>
      </c>
      <c r="O60" t="s">
        <v>284</v>
      </c>
    </row>
    <row r="61" spans="1:15">
      <c r="A61" s="278">
        <f>Gen!A26</f>
        <v>44332</v>
      </c>
      <c r="C61" s="60">
        <v>196</v>
      </c>
      <c r="D61" s="308">
        <f t="shared" si="52"/>
        <v>141.77333333333334</v>
      </c>
      <c r="E61" s="6">
        <v>160</v>
      </c>
      <c r="F61" s="308">
        <f t="shared" si="53"/>
        <v>48.26229508196721</v>
      </c>
      <c r="G61" s="589">
        <v>180</v>
      </c>
      <c r="H61" s="308">
        <f t="shared" si="54"/>
        <v>68.616187989556138</v>
      </c>
      <c r="I61" s="6">
        <v>290</v>
      </c>
      <c r="J61" s="308">
        <f t="shared" si="55"/>
        <v>200.55194805194805</v>
      </c>
      <c r="K61" s="314">
        <f t="shared" si="56"/>
        <v>459.20376445680472</v>
      </c>
      <c r="L61" t="s">
        <v>285</v>
      </c>
      <c r="N61" t="s">
        <v>286</v>
      </c>
    </row>
    <row r="62" spans="1:15">
      <c r="A62" s="278">
        <f>Gen!A27</f>
        <v>44333</v>
      </c>
      <c r="C62" s="60">
        <v>200</v>
      </c>
      <c r="D62" s="308">
        <f t="shared" si="52"/>
        <v>144.66666666666666</v>
      </c>
      <c r="E62" s="6">
        <v>165</v>
      </c>
      <c r="F62" s="308">
        <f t="shared" si="53"/>
        <v>49.770491803278688</v>
      </c>
      <c r="G62" s="589">
        <v>225</v>
      </c>
      <c r="H62" s="308">
        <f t="shared" si="54"/>
        <v>85.770234986945169</v>
      </c>
      <c r="I62" s="6">
        <v>280</v>
      </c>
      <c r="J62" s="308">
        <f t="shared" si="55"/>
        <v>193.63636363636363</v>
      </c>
      <c r="K62" s="314">
        <f t="shared" si="56"/>
        <v>473.84375709325417</v>
      </c>
    </row>
    <row r="63" spans="1:15">
      <c r="A63" s="278">
        <f>Gen!A28</f>
        <v>44334</v>
      </c>
      <c r="C63" s="60">
        <v>210</v>
      </c>
      <c r="D63" s="308">
        <f t="shared" si="52"/>
        <v>151.9</v>
      </c>
      <c r="E63" s="6">
        <v>175</v>
      </c>
      <c r="F63" s="308">
        <f t="shared" si="53"/>
        <v>52.786885245901637</v>
      </c>
      <c r="G63" s="455">
        <v>295</v>
      </c>
      <c r="H63" s="308">
        <f t="shared" si="54"/>
        <v>112.45430809399478</v>
      </c>
      <c r="I63" s="6">
        <v>285</v>
      </c>
      <c r="J63" s="308">
        <f t="shared" si="55"/>
        <v>197.09415584415584</v>
      </c>
      <c r="K63" s="314">
        <f t="shared" si="56"/>
        <v>514.23534918405221</v>
      </c>
    </row>
    <row r="64" spans="1:15">
      <c r="A64" s="278">
        <f>Gen!A29</f>
        <v>44335</v>
      </c>
      <c r="C64" s="60">
        <v>275</v>
      </c>
      <c r="D64" s="308">
        <f t="shared" si="52"/>
        <v>198.91666666666666</v>
      </c>
      <c r="E64" s="6">
        <v>240</v>
      </c>
      <c r="F64" s="308">
        <f t="shared" si="53"/>
        <v>72.393442622950815</v>
      </c>
      <c r="G64" s="455">
        <v>260</v>
      </c>
      <c r="H64" s="308">
        <f t="shared" si="54"/>
        <v>99.112271540469976</v>
      </c>
      <c r="I64" s="6">
        <v>291</v>
      </c>
      <c r="J64" s="308">
        <f t="shared" si="55"/>
        <v>201.24350649350649</v>
      </c>
      <c r="K64" s="314">
        <f t="shared" si="56"/>
        <v>571.66588732359389</v>
      </c>
    </row>
    <row r="65" spans="1:11">
      <c r="A65" s="278">
        <f>Gen!A30</f>
        <v>44336</v>
      </c>
      <c r="C65" s="60">
        <v>295</v>
      </c>
      <c r="D65" s="308">
        <f t="shared" si="52"/>
        <v>213.38333333333333</v>
      </c>
      <c r="E65" s="6">
        <v>260</v>
      </c>
      <c r="F65" s="308">
        <f t="shared" si="53"/>
        <v>78.426229508196727</v>
      </c>
      <c r="G65" s="455">
        <v>220</v>
      </c>
      <c r="H65" s="308">
        <f t="shared" si="54"/>
        <v>83.86422976501305</v>
      </c>
      <c r="I65" s="6">
        <v>287</v>
      </c>
      <c r="J65" s="308">
        <f t="shared" si="55"/>
        <v>198.47727272727272</v>
      </c>
      <c r="K65" s="314">
        <f t="shared" si="56"/>
        <v>574.15106533381584</v>
      </c>
    </row>
    <row r="66" spans="1:11">
      <c r="A66" s="278">
        <f>Gen!A31</f>
        <v>44337</v>
      </c>
      <c r="C66" s="60">
        <v>285</v>
      </c>
      <c r="D66" s="308">
        <f t="shared" si="52"/>
        <v>206.15</v>
      </c>
      <c r="E66" s="6">
        <v>245</v>
      </c>
      <c r="F66" s="308">
        <f t="shared" si="53"/>
        <v>73.901639344262293</v>
      </c>
      <c r="G66" s="455">
        <v>185</v>
      </c>
      <c r="H66" s="308">
        <f t="shared" si="54"/>
        <v>70.522193211488258</v>
      </c>
      <c r="I66" s="6">
        <v>279</v>
      </c>
      <c r="J66" s="308">
        <f t="shared" si="55"/>
        <v>192.94480519480518</v>
      </c>
      <c r="K66" s="314">
        <f t="shared" si="56"/>
        <v>543.51863775055574</v>
      </c>
    </row>
    <row r="67" spans="1:11">
      <c r="A67" s="278">
        <f>Gen!A32</f>
        <v>44338</v>
      </c>
      <c r="C67" s="60">
        <v>270</v>
      </c>
      <c r="D67" s="308">
        <f t="shared" si="52"/>
        <v>195.3</v>
      </c>
      <c r="E67" s="6">
        <v>235</v>
      </c>
      <c r="F67" s="308">
        <f t="shared" si="53"/>
        <v>70.885245901639351</v>
      </c>
      <c r="G67" s="455">
        <v>135</v>
      </c>
      <c r="H67" s="308">
        <f t="shared" si="54"/>
        <v>51.4621409921671</v>
      </c>
      <c r="I67" s="6">
        <v>288</v>
      </c>
      <c r="J67" s="308">
        <f t="shared" si="55"/>
        <v>199.16883116883116</v>
      </c>
      <c r="K67" s="314">
        <f t="shared" si="56"/>
        <v>516.81621806263763</v>
      </c>
    </row>
    <row r="68" spans="1:11">
      <c r="A68" s="278">
        <f>Gen!A33</f>
        <v>44339</v>
      </c>
      <c r="C68" s="60">
        <v>290</v>
      </c>
      <c r="D68" s="308">
        <f t="shared" si="52"/>
        <v>209.76666666666668</v>
      </c>
      <c r="E68" s="6">
        <v>285</v>
      </c>
      <c r="F68" s="308">
        <f t="shared" si="53"/>
        <v>85.967213114754102</v>
      </c>
      <c r="G68" s="455">
        <v>50</v>
      </c>
      <c r="H68" s="308">
        <f t="shared" si="54"/>
        <v>19.06005221932115</v>
      </c>
      <c r="I68" s="6">
        <v>280</v>
      </c>
      <c r="J68" s="308">
        <f t="shared" si="55"/>
        <v>193.63636363636363</v>
      </c>
      <c r="K68" s="314">
        <f t="shared" si="56"/>
        <v>508.43029563710559</v>
      </c>
    </row>
    <row r="69" spans="1:11">
      <c r="A69" s="278">
        <f>Gen!A34</f>
        <v>44340</v>
      </c>
      <c r="C69" s="60">
        <v>300</v>
      </c>
      <c r="D69" s="308">
        <f t="shared" si="52"/>
        <v>217</v>
      </c>
      <c r="E69" s="6">
        <v>285</v>
      </c>
      <c r="F69" s="308">
        <f t="shared" si="53"/>
        <v>85.967213114754102</v>
      </c>
      <c r="G69" s="455">
        <v>10</v>
      </c>
      <c r="H69" s="308">
        <f t="shared" si="54"/>
        <v>3.8120104438642297</v>
      </c>
      <c r="I69" s="6">
        <v>267</v>
      </c>
      <c r="J69" s="308">
        <f t="shared" si="55"/>
        <v>184.64610389610391</v>
      </c>
      <c r="K69" s="314">
        <f t="shared" si="56"/>
        <v>491.42532745472221</v>
      </c>
    </row>
    <row r="70" spans="1:11">
      <c r="A70" s="278">
        <f>Gen!A35</f>
        <v>44341</v>
      </c>
      <c r="C70" s="60">
        <v>185</v>
      </c>
      <c r="D70" s="308">
        <f t="shared" si="52"/>
        <v>133.81666666666666</v>
      </c>
      <c r="E70" s="6">
        <v>150</v>
      </c>
      <c r="F70" s="308">
        <f t="shared" si="53"/>
        <v>45.245901639344261</v>
      </c>
      <c r="G70" s="455">
        <v>275</v>
      </c>
      <c r="H70" s="308">
        <f t="shared" si="54"/>
        <v>104.83028720626632</v>
      </c>
      <c r="I70" s="6">
        <v>190</v>
      </c>
      <c r="J70" s="308">
        <f t="shared" si="55"/>
        <v>131.39610389610391</v>
      </c>
      <c r="K70" s="314">
        <f t="shared" si="56"/>
        <v>415.28895940838117</v>
      </c>
    </row>
    <row r="71" spans="1:11">
      <c r="A71" s="278">
        <f>Gen!A36</f>
        <v>44342</v>
      </c>
      <c r="C71" s="60">
        <v>115</v>
      </c>
      <c r="D71" s="308">
        <f t="shared" si="52"/>
        <v>83.183333333333337</v>
      </c>
      <c r="E71" s="6">
        <v>80</v>
      </c>
      <c r="F71" s="308">
        <f t="shared" si="53"/>
        <v>24.131147540983605</v>
      </c>
      <c r="G71" s="455">
        <v>295</v>
      </c>
      <c r="H71" s="308">
        <f t="shared" si="54"/>
        <v>112.45430809399478</v>
      </c>
      <c r="I71" s="6">
        <v>290</v>
      </c>
      <c r="J71" s="308">
        <f t="shared" si="55"/>
        <v>200.55194805194805</v>
      </c>
      <c r="K71" s="314">
        <f t="shared" si="56"/>
        <v>420.3207370202598</v>
      </c>
    </row>
    <row r="72" spans="1:11">
      <c r="A72" s="278">
        <f>Gen!A37</f>
        <v>44343</v>
      </c>
      <c r="C72" s="60">
        <v>125</v>
      </c>
      <c r="D72" s="308">
        <f t="shared" si="52"/>
        <v>90.416666666666671</v>
      </c>
      <c r="E72" s="6">
        <v>90</v>
      </c>
      <c r="F72" s="308">
        <f t="shared" si="53"/>
        <v>27.147540983606557</v>
      </c>
      <c r="G72" s="455">
        <v>280</v>
      </c>
      <c r="H72" s="308">
        <f t="shared" si="54"/>
        <v>106.73629242819844</v>
      </c>
      <c r="I72" s="6">
        <v>291</v>
      </c>
      <c r="J72" s="308">
        <f t="shared" si="55"/>
        <v>201.24350649350649</v>
      </c>
      <c r="K72" s="314">
        <f t="shared" si="56"/>
        <v>425.54400657197812</v>
      </c>
    </row>
    <row r="73" spans="1:11" ht="13.5">
      <c r="A73" s="278">
        <f>Gen!A38</f>
        <v>44344</v>
      </c>
      <c r="C73" s="60"/>
      <c r="D73" s="308">
        <f t="shared" si="52"/>
        <v>0</v>
      </c>
      <c r="E73" s="6"/>
      <c r="F73" s="308">
        <f t="shared" si="53"/>
        <v>0</v>
      </c>
      <c r="G73" s="455"/>
      <c r="H73" s="308">
        <f t="shared" si="54"/>
        <v>0</v>
      </c>
      <c r="I73" s="6"/>
      <c r="J73" s="308">
        <f t="shared" si="55"/>
        <v>0</v>
      </c>
      <c r="K73" s="314">
        <f t="shared" si="56"/>
        <v>0</v>
      </c>
    </row>
    <row r="74" spans="1:11" ht="13.5">
      <c r="A74" s="278">
        <f>Gen!A39</f>
        <v>44345</v>
      </c>
      <c r="C74" s="60"/>
      <c r="D74" s="308">
        <f t="shared" si="52"/>
        <v>0</v>
      </c>
      <c r="E74" s="6"/>
      <c r="F74" s="308">
        <f t="shared" si="53"/>
        <v>0</v>
      </c>
      <c r="G74" s="455"/>
      <c r="H74" s="308">
        <f t="shared" si="54"/>
        <v>0</v>
      </c>
      <c r="I74" s="6"/>
      <c r="J74" s="308">
        <f t="shared" si="55"/>
        <v>0</v>
      </c>
      <c r="K74" s="314">
        <f t="shared" si="56"/>
        <v>0</v>
      </c>
    </row>
    <row r="75" spans="1:11" ht="14.25" thickBot="1">
      <c r="A75" s="278">
        <f>Gen!A40</f>
        <v>44346</v>
      </c>
      <c r="B75" s="237"/>
      <c r="C75" s="60"/>
      <c r="D75" s="308">
        <f t="shared" si="52"/>
        <v>0</v>
      </c>
      <c r="E75" s="6"/>
      <c r="F75" s="308">
        <f t="shared" si="53"/>
        <v>0</v>
      </c>
      <c r="G75" s="455"/>
      <c r="H75" s="308">
        <f t="shared" si="54"/>
        <v>0</v>
      </c>
      <c r="I75" s="6"/>
      <c r="J75" s="308">
        <f t="shared" si="55"/>
        <v>0</v>
      </c>
      <c r="K75" s="314">
        <f t="shared" si="56"/>
        <v>0</v>
      </c>
    </row>
    <row r="76" spans="1:11" ht="13.5">
      <c r="A76" s="278">
        <f>Gen!A41</f>
        <v>44347</v>
      </c>
      <c r="C76" s="60"/>
      <c r="D76" s="308">
        <f t="shared" si="52"/>
        <v>0</v>
      </c>
      <c r="E76" s="6"/>
      <c r="F76" s="308">
        <f t="shared" si="53"/>
        <v>0</v>
      </c>
      <c r="G76" s="455"/>
      <c r="H76" s="308">
        <f t="shared" si="54"/>
        <v>0</v>
      </c>
      <c r="I76" s="6"/>
      <c r="J76" s="308">
        <f t="shared" si="55"/>
        <v>0</v>
      </c>
      <c r="K76" s="314">
        <f t="shared" si="56"/>
        <v>0</v>
      </c>
    </row>
    <row r="77" spans="1:11" ht="14.25" thickBot="1">
      <c r="A77" s="278">
        <f>Gen!A42</f>
        <v>0</v>
      </c>
      <c r="C77" s="60"/>
      <c r="D77" s="308">
        <f t="shared" si="52"/>
        <v>0</v>
      </c>
      <c r="E77" s="6"/>
      <c r="F77" s="308">
        <f t="shared" si="53"/>
        <v>0</v>
      </c>
      <c r="G77" s="455"/>
      <c r="H77" s="308">
        <f t="shared" si="54"/>
        <v>0</v>
      </c>
      <c r="I77" s="6"/>
      <c r="J77" s="308">
        <f t="shared" si="55"/>
        <v>0</v>
      </c>
      <c r="K77" s="315">
        <f t="shared" si="56"/>
        <v>0</v>
      </c>
    </row>
    <row r="78" spans="1:11" ht="13.5">
      <c r="A78" s="278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287</v>
      </c>
      <c r="C1" s="13" t="s">
        <v>107</v>
      </c>
    </row>
    <row r="2" spans="1:3">
      <c r="A2" s="89">
        <f>Gen!A11</f>
        <v>44317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44318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44319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44320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44321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44322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44323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44324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44325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44326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44327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44328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44329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44330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44331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44332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44333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44334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44335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44336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44337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44338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44339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44340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44341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44342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44343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44344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44345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44346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44347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A4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2" t="s">
        <v>288</v>
      </c>
      <c r="B2" s="923"/>
      <c r="C2" s="923"/>
      <c r="D2" s="923"/>
      <c r="E2" s="92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289</v>
      </c>
      <c r="S2" s="415" t="s">
        <v>290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291</v>
      </c>
      <c r="N3" s="115"/>
      <c r="O3" s="115"/>
      <c r="P3" s="115" t="s">
        <v>292</v>
      </c>
      <c r="Q3" s="116" t="s">
        <v>293</v>
      </c>
      <c r="R3" s="116"/>
      <c r="S3" s="116"/>
      <c r="T3" s="416"/>
      <c r="U3" s="417"/>
      <c r="V3" s="65" t="s">
        <v>294</v>
      </c>
      <c r="W3" s="115" t="s">
        <v>295</v>
      </c>
      <c r="AA3" s="135" t="s">
        <v>296</v>
      </c>
    </row>
    <row r="4" spans="1:27" s="48" customFormat="1" ht="50.25" customHeight="1">
      <c r="A4" s="61" t="s">
        <v>32</v>
      </c>
      <c r="B4" s="76" t="s">
        <v>144</v>
      </c>
      <c r="C4" s="50" t="s">
        <v>145</v>
      </c>
      <c r="D4" s="50" t="s">
        <v>146</v>
      </c>
      <c r="E4" s="50" t="s">
        <v>147</v>
      </c>
      <c r="F4" s="50" t="s">
        <v>148</v>
      </c>
      <c r="G4" s="50" t="s">
        <v>297</v>
      </c>
      <c r="H4" s="50" t="s">
        <v>298</v>
      </c>
      <c r="I4" s="50" t="s">
        <v>299</v>
      </c>
      <c r="J4" s="50" t="s">
        <v>300</v>
      </c>
      <c r="K4" s="50" t="s">
        <v>153</v>
      </c>
      <c r="L4" s="50" t="s">
        <v>154</v>
      </c>
      <c r="M4" s="50">
        <v>3</v>
      </c>
      <c r="N4" s="50">
        <v>2</v>
      </c>
      <c r="O4" s="50">
        <v>1</v>
      </c>
      <c r="P4" s="54"/>
      <c r="Q4" s="57" t="s">
        <v>301</v>
      </c>
      <c r="R4" s="57" t="s">
        <v>302</v>
      </c>
      <c r="S4" s="57" t="s">
        <v>303</v>
      </c>
      <c r="T4" s="57" t="s">
        <v>43</v>
      </c>
      <c r="U4" s="62" t="s">
        <v>44</v>
      </c>
      <c r="V4" s="64"/>
      <c r="W4" s="53"/>
    </row>
    <row r="5" spans="1:27">
      <c r="A5" s="51">
        <f>Gen!A11</f>
        <v>44317</v>
      </c>
      <c r="B5" s="78">
        <v>0</v>
      </c>
      <c r="C5" s="83">
        <f>Gen!B11</f>
        <v>0.01</v>
      </c>
      <c r="D5" s="414">
        <f>SUM(77*C5)</f>
        <v>0.77</v>
      </c>
      <c r="E5" s="70"/>
      <c r="F5" s="68">
        <f>Gen!U11</f>
        <v>0.4119358490566038</v>
      </c>
      <c r="G5" s="81">
        <f>Gen!T11</f>
        <v>2650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41</v>
      </c>
      <c r="L5" s="426">
        <f>'Lpg (2)'!G10</f>
        <v>0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2.6401515151515151</v>
      </c>
      <c r="U5" s="118">
        <f>SUM(L5*1963)/X5</f>
        <v>0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44318</v>
      </c>
      <c r="B6" s="78">
        <v>0</v>
      </c>
      <c r="C6" s="83">
        <f>Gen!B12</f>
        <v>0</v>
      </c>
      <c r="D6" s="414">
        <f t="shared" ref="D6:D35" si="2">SUM(77*C6)</f>
        <v>0</v>
      </c>
      <c r="E6" s="70"/>
      <c r="F6" s="68">
        <f>Gen!U12</f>
        <v>0.41311086392287732</v>
      </c>
      <c r="G6" s="81">
        <f>Gen!T12</f>
        <v>2697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50</v>
      </c>
      <c r="L6" s="426">
        <f>'Lpg (2)'!G11</f>
        <v>49.631999999994882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3.2196969696969697</v>
      </c>
      <c r="U6" s="118">
        <f t="shared" ref="U6:U35" si="6">SUM(L6*1963)/X6</f>
        <v>61.50733333332699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44319</v>
      </c>
      <c r="B7" s="78">
        <v>0</v>
      </c>
      <c r="C7" s="83">
        <f>Gen!B13</f>
        <v>3.9E-2</v>
      </c>
      <c r="D7" s="414">
        <f t="shared" si="2"/>
        <v>3.0030000000000001</v>
      </c>
      <c r="E7" s="70"/>
      <c r="F7" s="68">
        <f>Gen!U13</f>
        <v>0.41249336870026521</v>
      </c>
      <c r="G7" s="81">
        <f>Gen!T13</f>
        <v>2639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50</v>
      </c>
      <c r="L7" s="426">
        <f>'Lpg (2)'!G12</f>
        <v>42.768000000005124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3.2196969696969697</v>
      </c>
      <c r="U7" s="118">
        <f t="shared" si="6"/>
        <v>53.00100000000635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44320</v>
      </c>
      <c r="B8" s="78">
        <v>0</v>
      </c>
      <c r="C8" s="83">
        <f>Gen!B14</f>
        <v>5.1999999999999998E-2</v>
      </c>
      <c r="D8" s="414">
        <f t="shared" si="2"/>
        <v>4.0039999999999996</v>
      </c>
      <c r="E8" s="70"/>
      <c r="F8" s="68">
        <f>Gen!U14</f>
        <v>0.41276362349610757</v>
      </c>
      <c r="G8" s="81">
        <f>Gen!T14</f>
        <v>2826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50</v>
      </c>
      <c r="L8" s="426">
        <f>'Lpg (2)'!G13</f>
        <v>55.22000000001281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3.2196969696969697</v>
      </c>
      <c r="U8" s="118">
        <f t="shared" si="6"/>
        <v>68.43236111112698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44321</v>
      </c>
      <c r="B9" s="78">
        <v>0</v>
      </c>
      <c r="C9" s="83">
        <f>Gen!B15</f>
        <v>5.6000000000000001E-2</v>
      </c>
      <c r="D9" s="414">
        <f t="shared" si="2"/>
        <v>4.3120000000000003</v>
      </c>
      <c r="E9" s="70"/>
      <c r="F9" s="68">
        <f>Gen!U15</f>
        <v>0.40473021582733815</v>
      </c>
      <c r="G9" s="81">
        <f>Gen!T15</f>
        <v>2780</v>
      </c>
      <c r="H9" s="81">
        <f>[1]Gen!AJ10</f>
        <v>0</v>
      </c>
      <c r="I9" s="81">
        <f t="shared" si="0"/>
        <v>2780</v>
      </c>
      <c r="J9" s="81">
        <f>[1]Gen!AT15</f>
        <v>37525.210000000021</v>
      </c>
      <c r="K9" s="67">
        <f>'Water-Meter'!E10</f>
        <v>67</v>
      </c>
      <c r="L9" s="426">
        <f>'Lpg (2)'!G14</f>
        <v>65.295999999984645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6143383</v>
      </c>
      <c r="R9" s="72">
        <f t="shared" si="3"/>
        <v>899.44303306722134</v>
      </c>
      <c r="S9" s="418" t="e">
        <f t="shared" si="4"/>
        <v>#DIV/0!</v>
      </c>
      <c r="T9" s="72">
        <f t="shared" si="5"/>
        <v>4.3143939393939394</v>
      </c>
      <c r="U9" s="118">
        <f t="shared" si="6"/>
        <v>80.919222222203189</v>
      </c>
      <c r="V9" s="17">
        <f t="shared" si="7"/>
        <v>6143468.2336161621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44322</v>
      </c>
      <c r="B10" s="78">
        <v>0</v>
      </c>
      <c r="C10" s="83">
        <f>Gen!B16</f>
        <v>5.6000000000000001E-2</v>
      </c>
      <c r="D10" s="414">
        <f t="shared" si="2"/>
        <v>4.3120000000000003</v>
      </c>
      <c r="E10" s="70"/>
      <c r="F10" s="68">
        <f>Gen!U16</f>
        <v>0.40669310344827592</v>
      </c>
      <c r="G10" s="81">
        <f>Gen!T16</f>
        <v>2900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70</v>
      </c>
      <c r="L10" s="426">
        <f>'Lpg (2)'!G15</f>
        <v>64.988000000017934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4.5075757575757578</v>
      </c>
      <c r="U10" s="118">
        <f t="shared" si="6"/>
        <v>80.537527777800008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44323</v>
      </c>
      <c r="B11" s="78">
        <v>0</v>
      </c>
      <c r="C11" s="83">
        <f>Gen!B17</f>
        <v>0</v>
      </c>
      <c r="D11" s="414">
        <f t="shared" si="2"/>
        <v>0</v>
      </c>
      <c r="E11" s="70"/>
      <c r="F11" s="68">
        <f>Gen!U17</f>
        <v>0.41198244330651057</v>
      </c>
      <c r="G11" s="81">
        <f>Gen!T17</f>
        <v>2734</v>
      </c>
      <c r="H11" s="81">
        <f>[1]Gen!AJ25</f>
        <v>80.56</v>
      </c>
      <c r="I11" s="81">
        <f t="shared" si="0"/>
        <v>2814.56</v>
      </c>
      <c r="J11" s="81">
        <f>[1]Gen!AT17</f>
        <v>47513.140000000029</v>
      </c>
      <c r="K11" s="67">
        <f>'Water-Meter'!E12</f>
        <v>50</v>
      </c>
      <c r="L11" s="426">
        <f>'Lpg (2)'!G16</f>
        <v>62.391999999969272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6219755.4159999993</v>
      </c>
      <c r="R11" s="72" t="e">
        <f t="shared" si="3"/>
        <v>#DIV/0!</v>
      </c>
      <c r="S11" s="418" t="e">
        <f t="shared" si="4"/>
        <v>#DIV/0!</v>
      </c>
      <c r="T11" s="72">
        <f t="shared" si="5"/>
        <v>3.2196969696969697</v>
      </c>
      <c r="U11" s="118">
        <f t="shared" si="6"/>
        <v>77.320388888850815</v>
      </c>
      <c r="V11" s="17">
        <f t="shared" si="7"/>
        <v>6219835.9560858579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44324</v>
      </c>
      <c r="B12" s="78">
        <v>0</v>
      </c>
      <c r="C12" s="83">
        <f>Gen!B18</f>
        <v>0</v>
      </c>
      <c r="D12" s="414">
        <f t="shared" si="2"/>
        <v>0</v>
      </c>
      <c r="E12" s="70"/>
      <c r="F12" s="68">
        <f>Gen!U18</f>
        <v>0.41156542056074763</v>
      </c>
      <c r="G12" s="81">
        <f>Gen!T18</f>
        <v>2996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51</v>
      </c>
      <c r="L12" s="426">
        <f>'Lpg (2)'!G17</f>
        <v>68.904000000015373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3.2840909090909092</v>
      </c>
      <c r="U12" s="118">
        <f t="shared" si="6"/>
        <v>85.390500000019046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44325</v>
      </c>
      <c r="B13" s="78">
        <v>0</v>
      </c>
      <c r="C13" s="83">
        <f>Gen!B19</f>
        <v>0</v>
      </c>
      <c r="D13" s="414">
        <f t="shared" si="2"/>
        <v>0</v>
      </c>
      <c r="E13" s="70"/>
      <c r="F13" s="68">
        <f>Gen!U19</f>
        <v>0.40277502854967639</v>
      </c>
      <c r="G13" s="81">
        <f>Gen!T19</f>
        <v>2627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76</v>
      </c>
      <c r="L13" s="426">
        <f>'Lpg (2)'!G18</f>
        <v>66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4.8939393939393936</v>
      </c>
      <c r="U13" s="118">
        <f t="shared" si="6"/>
        <v>81.791666666666671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44326</v>
      </c>
      <c r="B14" s="78">
        <v>0</v>
      </c>
      <c r="C14" s="83">
        <f>Gen!B20</f>
        <v>0</v>
      </c>
      <c r="D14" s="414">
        <f t="shared" si="2"/>
        <v>0</v>
      </c>
      <c r="E14" s="70"/>
      <c r="F14" s="68">
        <f>Gen!U20</f>
        <v>0.41490645284459721</v>
      </c>
      <c r="G14" s="81">
        <f>Gen!T20</f>
        <v>2619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20</v>
      </c>
      <c r="L14" s="426">
        <f>'Lpg (2)'!G19</f>
        <v>79.068000000005128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1.2878787878787878</v>
      </c>
      <c r="U14" s="118">
        <f t="shared" si="6"/>
        <v>97.986416666673023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44327</v>
      </c>
      <c r="B15" s="78">
        <v>0</v>
      </c>
      <c r="C15" s="83">
        <f>Gen!B21</f>
        <v>0</v>
      </c>
      <c r="D15" s="414">
        <f t="shared" si="2"/>
        <v>0</v>
      </c>
      <c r="E15" s="70"/>
      <c r="F15" s="68">
        <f>Gen!U21</f>
        <v>0.41942574257425741</v>
      </c>
      <c r="G15" s="81">
        <f>Gen!T21</f>
        <v>2525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54</v>
      </c>
      <c r="L15" s="426">
        <f>'Lpg (2)'!G20</f>
        <v>71.279999999987197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3.4772727272727271</v>
      </c>
      <c r="U15" s="118">
        <f t="shared" si="6"/>
        <v>88.334999999984134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44328</v>
      </c>
      <c r="B16" s="78">
        <v>0</v>
      </c>
      <c r="C16" s="83">
        <f>Gen!B22</f>
        <v>0</v>
      </c>
      <c r="D16" s="414">
        <f t="shared" si="2"/>
        <v>0</v>
      </c>
      <c r="E16" s="70"/>
      <c r="F16" s="68">
        <f>Gen!U22</f>
        <v>0.43087314662273479</v>
      </c>
      <c r="G16" s="81">
        <f>Gen!T22</f>
        <v>2428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51</v>
      </c>
      <c r="L16" s="426">
        <f>'Lpg (2)'!G21</f>
        <v>52.360000000038418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3.2840909090909092</v>
      </c>
      <c r="U16" s="118">
        <f t="shared" si="6"/>
        <v>64.88805555560316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44329</v>
      </c>
      <c r="B17" s="78">
        <v>0</v>
      </c>
      <c r="C17" s="83">
        <f>Gen!B23</f>
        <v>0</v>
      </c>
      <c r="D17" s="414">
        <f t="shared" si="2"/>
        <v>0</v>
      </c>
      <c r="E17" s="70"/>
      <c r="F17" s="68">
        <f>Gen!U23</f>
        <v>0.400421974522293</v>
      </c>
      <c r="G17" s="81">
        <f>Gen!T23</f>
        <v>2512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54</v>
      </c>
      <c r="L17" s="426">
        <f>'Lpg (2)'!G22</f>
        <v>51.787999999953904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3.4772727272727271</v>
      </c>
      <c r="U17" s="118">
        <f t="shared" si="6"/>
        <v>64.179194444387321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44330</v>
      </c>
      <c r="B18" s="78">
        <v>0</v>
      </c>
      <c r="C18" s="83">
        <f>Gen!B24</f>
        <v>0</v>
      </c>
      <c r="D18" s="414">
        <f t="shared" si="2"/>
        <v>0</v>
      </c>
      <c r="E18" s="70"/>
      <c r="F18" s="68">
        <f>Gen!U24</f>
        <v>0.41580903790087465</v>
      </c>
      <c r="G18" s="81">
        <f>Gen!T24</f>
        <v>2744</v>
      </c>
      <c r="H18" s="81">
        <f>[1]Gen!AJ27</f>
        <v>597.9</v>
      </c>
      <c r="I18" s="81">
        <f t="shared" si="0"/>
        <v>3341.9</v>
      </c>
      <c r="J18" s="81">
        <f>[1]Gen!AT24</f>
        <v>29915.45000000003</v>
      </c>
      <c r="K18" s="67">
        <f>'Water-Meter'!E19</f>
        <v>42</v>
      </c>
      <c r="L18" s="426">
        <f>'Lpg (2)'!G23</f>
        <v>75.020000000012814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7385097.7149999999</v>
      </c>
      <c r="R18" s="72" t="e">
        <f t="shared" si="3"/>
        <v>#DIV/0!</v>
      </c>
      <c r="S18" s="418" t="e">
        <f t="shared" si="4"/>
        <v>#DIV/0!</v>
      </c>
      <c r="T18" s="72">
        <f t="shared" si="5"/>
        <v>2.7045454545454546</v>
      </c>
      <c r="U18" s="118">
        <f t="shared" si="6"/>
        <v>92.969861111126988</v>
      </c>
      <c r="V18" s="17">
        <f t="shared" si="7"/>
        <v>7385193.3894065646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44331</v>
      </c>
      <c r="B19" s="78">
        <v>0</v>
      </c>
      <c r="C19" s="83">
        <f>Gen!B25</f>
        <v>0</v>
      </c>
      <c r="D19" s="414">
        <f t="shared" si="2"/>
        <v>0</v>
      </c>
      <c r="E19" s="70"/>
      <c r="F19" s="68">
        <f>Gen!U25</f>
        <v>0.42675335229581474</v>
      </c>
      <c r="G19" s="81">
        <f>Gen!T25</f>
        <v>2461</v>
      </c>
      <c r="H19" s="81">
        <f>[1]Gen!AJ28</f>
        <v>227.73000000000002</v>
      </c>
      <c r="I19" s="81">
        <f t="shared" si="0"/>
        <v>2688.73</v>
      </c>
      <c r="J19" s="81">
        <f>[1]Gen!AT25</f>
        <v>42248.240000000034</v>
      </c>
      <c r="K19" s="67">
        <f>'Water-Meter'!E20</f>
        <v>46</v>
      </c>
      <c r="L19" s="426">
        <f>'Lpg (2)'!G24</f>
        <v>62.524000000028181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5941689.9904999994</v>
      </c>
      <c r="R19" s="72" t="e">
        <f t="shared" si="3"/>
        <v>#DIV/0!</v>
      </c>
      <c r="S19" s="418" t="e">
        <f t="shared" si="4"/>
        <v>#DIV/0!</v>
      </c>
      <c r="T19" s="72">
        <f t="shared" si="5"/>
        <v>2.9621212121212119</v>
      </c>
      <c r="U19" s="118">
        <f t="shared" si="6"/>
        <v>77.483972222257151</v>
      </c>
      <c r="V19" s="17">
        <f t="shared" si="7"/>
        <v>5941770.4365934338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44332</v>
      </c>
      <c r="B20" s="78">
        <v>0</v>
      </c>
      <c r="C20" s="83">
        <f>Gen!B26</f>
        <v>0</v>
      </c>
      <c r="D20" s="414">
        <f t="shared" si="2"/>
        <v>0</v>
      </c>
      <c r="E20" s="70"/>
      <c r="F20" s="68">
        <f>Gen!U26</f>
        <v>0.42278370144706778</v>
      </c>
      <c r="G20" s="81">
        <f>Gen!T26</f>
        <v>2626</v>
      </c>
      <c r="H20" s="81">
        <f>[1]Gen!AJ29</f>
        <v>88.289999999999992</v>
      </c>
      <c r="I20" s="81">
        <f t="shared" si="0"/>
        <v>2714.29</v>
      </c>
      <c r="J20" s="81">
        <f>[1]Gen!AT26</f>
        <v>39497.370000000032</v>
      </c>
      <c r="K20" s="67">
        <f>'Water-Meter'!E21</f>
        <v>45</v>
      </c>
      <c r="L20" s="426">
        <f>'Lpg (2)'!G25</f>
        <v>72.159999999974389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5998173.7565000001</v>
      </c>
      <c r="R20" s="72" t="e">
        <f t="shared" si="3"/>
        <v>#DIV/0!</v>
      </c>
      <c r="S20" s="418" t="e">
        <f t="shared" si="4"/>
        <v>#DIV/0!</v>
      </c>
      <c r="T20" s="72">
        <f t="shared" si="5"/>
        <v>2.8977272727272729</v>
      </c>
      <c r="U20" s="118">
        <f t="shared" si="6"/>
        <v>89.425555555523815</v>
      </c>
      <c r="V20" s="17">
        <f t="shared" si="7"/>
        <v>5998266.0797828278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44333</v>
      </c>
      <c r="B21" s="78">
        <v>0</v>
      </c>
      <c r="C21" s="83">
        <f>Gen!B27</f>
        <v>0</v>
      </c>
      <c r="D21" s="414">
        <f t="shared" si="2"/>
        <v>0</v>
      </c>
      <c r="E21" s="70"/>
      <c r="F21" s="68">
        <f>Gen!U27</f>
        <v>0.40053735255570122</v>
      </c>
      <c r="G21" s="81">
        <f>Gen!T27</f>
        <v>3052</v>
      </c>
      <c r="H21" s="81">
        <f>[1]Gen!AJ30</f>
        <v>783.92</v>
      </c>
      <c r="I21" s="81">
        <f t="shared" si="0"/>
        <v>3835.92</v>
      </c>
      <c r="J21" s="81">
        <f>[1]Gen!AT27</f>
        <v>36688.350000000035</v>
      </c>
      <c r="K21" s="67">
        <f>'Water-Meter'!E22</f>
        <v>57</v>
      </c>
      <c r="L21" s="426">
        <f>'Lpg (2)'!G26</f>
        <v>64.636000000010256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8476807.811999999</v>
      </c>
      <c r="R21" s="72" t="e">
        <f t="shared" si="3"/>
        <v>#DIV/0!</v>
      </c>
      <c r="S21" s="418" t="e">
        <f t="shared" si="4"/>
        <v>#DIV/0!</v>
      </c>
      <c r="T21" s="72">
        <f t="shared" si="5"/>
        <v>3.6704545454545454</v>
      </c>
      <c r="U21" s="118">
        <f t="shared" si="6"/>
        <v>80.10130555556826</v>
      </c>
      <c r="V21" s="17">
        <f t="shared" si="7"/>
        <v>8476891.5837600995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44334</v>
      </c>
      <c r="B22" s="78">
        <v>0</v>
      </c>
      <c r="C22" s="83">
        <f>Gen!B28</f>
        <v>0</v>
      </c>
      <c r="D22" s="414">
        <f t="shared" si="2"/>
        <v>0</v>
      </c>
      <c r="E22" s="70"/>
      <c r="F22" s="68">
        <f>Gen!U28</f>
        <v>0.41726186411744626</v>
      </c>
      <c r="G22" s="81">
        <f>Gen!T28</f>
        <v>2929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47</v>
      </c>
      <c r="L22" s="426">
        <f>'Lpg (2)'!G27</f>
        <v>80.211999999982083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3.0265151515151514</v>
      </c>
      <c r="U22" s="118">
        <f t="shared" si="6"/>
        <v>99.404138888866683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44335</v>
      </c>
      <c r="B23" s="78">
        <v>0</v>
      </c>
      <c r="C23" s="83">
        <f>Gen!B29</f>
        <v>0</v>
      </c>
      <c r="D23" s="414">
        <f t="shared" si="2"/>
        <v>0</v>
      </c>
      <c r="E23" s="70"/>
      <c r="F23" s="68">
        <f>Gen!U29</f>
        <v>0.41349380530973445</v>
      </c>
      <c r="G23" s="81">
        <f>Gen!T29</f>
        <v>2825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45</v>
      </c>
      <c r="L23" s="426">
        <f>'Lpg (2)'!G28</f>
        <v>79.904000000015373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2.8977272727272729</v>
      </c>
      <c r="U23" s="118">
        <f t="shared" si="6"/>
        <v>99.022444444463488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44336</v>
      </c>
      <c r="B24" s="78">
        <v>0</v>
      </c>
      <c r="C24" s="83">
        <f>Gen!B30</f>
        <v>0</v>
      </c>
      <c r="D24" s="414">
        <f t="shared" si="2"/>
        <v>0</v>
      </c>
      <c r="E24" s="70"/>
      <c r="F24" s="68">
        <f>Gen!U30</f>
        <v>0.4097903109182936</v>
      </c>
      <c r="G24" s="81">
        <f>Gen!T30</f>
        <v>2766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49</v>
      </c>
      <c r="L24" s="426">
        <f>'Lpg (2)'!G29</f>
        <v>72.995999999984633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3.1553030303030303</v>
      </c>
      <c r="U24" s="118">
        <f t="shared" si="6"/>
        <v>90.461583333314294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44337</v>
      </c>
      <c r="B25" s="78">
        <v>0</v>
      </c>
      <c r="C25" s="83">
        <f>Gen!B31</f>
        <v>0</v>
      </c>
      <c r="D25" s="414">
        <f t="shared" si="2"/>
        <v>0</v>
      </c>
      <c r="E25" s="70"/>
      <c r="F25" s="68">
        <f>Gen!U31</f>
        <v>0.40506006552602841</v>
      </c>
      <c r="G25" s="81">
        <f>Gen!T31</f>
        <v>2747</v>
      </c>
      <c r="H25" s="81">
        <f>[1]Gen!AJ31</f>
        <v>172.05</v>
      </c>
      <c r="I25" s="81">
        <f t="shared" si="0"/>
        <v>2919.05</v>
      </c>
      <c r="J25" s="81">
        <f>[1]Gen!AT31</f>
        <v>41422.370000000032</v>
      </c>
      <c r="K25" s="67">
        <f>'Water-Meter'!E26</f>
        <v>45</v>
      </c>
      <c r="L25" s="426">
        <f>'Lpg (2)'!G30</f>
        <v>59.620000000012809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6450662.6425000001</v>
      </c>
      <c r="R25" s="72" t="e">
        <f t="shared" si="3"/>
        <v>#DIV/0!</v>
      </c>
      <c r="S25" s="418" t="e">
        <f t="shared" si="4"/>
        <v>#DIV/0!</v>
      </c>
      <c r="T25" s="72">
        <f t="shared" si="5"/>
        <v>2.8977272727272729</v>
      </c>
      <c r="U25" s="118">
        <f t="shared" si="6"/>
        <v>73.885138888904763</v>
      </c>
      <c r="V25" s="17">
        <f t="shared" si="7"/>
        <v>6450739.4253661614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44338</v>
      </c>
      <c r="B26" s="78">
        <v>0</v>
      </c>
      <c r="C26" s="83">
        <f>Gen!B32</f>
        <v>0</v>
      </c>
      <c r="D26" s="414">
        <f t="shared" si="2"/>
        <v>0</v>
      </c>
      <c r="E26" s="70"/>
      <c r="F26" s="68">
        <f>Gen!U32</f>
        <v>0.41389830508474573</v>
      </c>
      <c r="G26" s="81">
        <f>Gen!T32</f>
        <v>2714</v>
      </c>
      <c r="H26" s="81">
        <f>[1]Gen!AJ32</f>
        <v>18.63</v>
      </c>
      <c r="I26" s="81">
        <f t="shared" si="0"/>
        <v>2732.63</v>
      </c>
      <c r="J26" s="81">
        <f>[1]Gen!AT32</f>
        <v>38988.160000000033</v>
      </c>
      <c r="K26" s="67">
        <f>'Water-Meter'!E27</f>
        <v>63</v>
      </c>
      <c r="L26" s="426">
        <f>'Lpg (2)'!G31</f>
        <v>43.340000000025611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6038702.4055000003</v>
      </c>
      <c r="R26" s="72" t="e">
        <f t="shared" si="3"/>
        <v>#DIV/0!</v>
      </c>
      <c r="S26" s="418" t="e">
        <f t="shared" si="4"/>
        <v>#DIV/0!</v>
      </c>
      <c r="T26" s="72">
        <f t="shared" si="5"/>
        <v>4.0568181818181817</v>
      </c>
      <c r="U26" s="118">
        <f t="shared" si="6"/>
        <v>53.70986111114285</v>
      </c>
      <c r="V26" s="17">
        <f t="shared" si="7"/>
        <v>6038760.1721792929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44339</v>
      </c>
      <c r="B27" s="78">
        <v>0</v>
      </c>
      <c r="C27" s="83">
        <f>Gen!B33</f>
        <v>0</v>
      </c>
      <c r="D27" s="414">
        <f t="shared" si="2"/>
        <v>0</v>
      </c>
      <c r="E27" s="70"/>
      <c r="F27" s="68">
        <f>Gen!U33</f>
        <v>0.41595381882770871</v>
      </c>
      <c r="G27" s="81">
        <f>Gen!T33</f>
        <v>2815</v>
      </c>
      <c r="H27" s="81">
        <f>[1]Gen!AJ33</f>
        <v>311.34000000000003</v>
      </c>
      <c r="I27" s="81">
        <f t="shared" si="0"/>
        <v>3126.34</v>
      </c>
      <c r="J27" s="81">
        <f>[1]Gen!AT33</f>
        <v>36682.670000000035</v>
      </c>
      <c r="K27" s="67">
        <f>'Water-Meter'!E28</f>
        <v>47</v>
      </c>
      <c r="L27" s="426">
        <f>'Lpg (2)'!G32</f>
        <v>68.683999999938536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6908742.449</v>
      </c>
      <c r="R27" s="72" t="e">
        <f t="shared" si="3"/>
        <v>#DIV/0!</v>
      </c>
      <c r="S27" s="418" t="e">
        <f t="shared" si="4"/>
        <v>#DIV/0!</v>
      </c>
      <c r="T27" s="72">
        <f t="shared" si="5"/>
        <v>3.0265151515151514</v>
      </c>
      <c r="U27" s="118">
        <f t="shared" si="6"/>
        <v>85.117861111034941</v>
      </c>
      <c r="V27" s="17">
        <f t="shared" si="7"/>
        <v>6908830.5933762621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44340</v>
      </c>
      <c r="B28" s="78">
        <v>0</v>
      </c>
      <c r="C28" s="83">
        <f>Gen!B34</f>
        <v>0</v>
      </c>
      <c r="D28" s="414">
        <f t="shared" si="2"/>
        <v>0</v>
      </c>
      <c r="E28" s="70"/>
      <c r="F28" s="68">
        <f>Gen!U34</f>
        <v>0.41536697247706417</v>
      </c>
      <c r="G28" s="81">
        <f>Gen!T34</f>
        <v>2616</v>
      </c>
      <c r="H28" s="81">
        <f>[1]Gen!AJ34</f>
        <v>380.7</v>
      </c>
      <c r="I28" s="81">
        <f t="shared" si="0"/>
        <v>2996.7</v>
      </c>
      <c r="J28" s="81">
        <f>[1]Gen!AT34</f>
        <v>44223.030000000035</v>
      </c>
      <c r="K28" s="67">
        <f>'Water-Meter'!E29</f>
        <v>46</v>
      </c>
      <c r="L28" s="426">
        <f>'Lpg (2)'!G33</f>
        <v>-171.64399999997696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6622257.4949999992</v>
      </c>
      <c r="R28" s="72" t="e">
        <f t="shared" si="3"/>
        <v>#DIV/0!</v>
      </c>
      <c r="S28" s="418" t="e">
        <f t="shared" si="4"/>
        <v>#DIV/0!</v>
      </c>
      <c r="T28" s="72">
        <f t="shared" si="5"/>
        <v>2.9621212121212119</v>
      </c>
      <c r="U28" s="118">
        <f t="shared" si="6"/>
        <v>-212.71286111108253</v>
      </c>
      <c r="V28" s="17">
        <f t="shared" si="7"/>
        <v>6622047.7442600997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44341</v>
      </c>
      <c r="B29" s="78">
        <v>0</v>
      </c>
      <c r="C29" s="83">
        <f>Gen!B35</f>
        <v>0</v>
      </c>
      <c r="D29" s="414">
        <f t="shared" si="2"/>
        <v>0</v>
      </c>
      <c r="E29" s="70"/>
      <c r="F29" s="68">
        <f>Gen!U35</f>
        <v>0.40613056783407009</v>
      </c>
      <c r="G29" s="81">
        <f>Gen!T35</f>
        <v>2941</v>
      </c>
      <c r="H29" s="81">
        <f>[1]Gen!AJ35</f>
        <v>273.37</v>
      </c>
      <c r="I29" s="81">
        <f t="shared" si="0"/>
        <v>3214.37</v>
      </c>
      <c r="J29" s="81">
        <f>[1]Gen!AT35</f>
        <v>41629.060000000034</v>
      </c>
      <c r="K29" s="67">
        <f>'Water-Meter'!E30</f>
        <v>51</v>
      </c>
      <c r="L29" s="426">
        <f>'Lpg (2)'!G34</f>
        <v>289.25600000002305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7103275.5444999998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3.2840909090909092</v>
      </c>
      <c r="U29" s="118">
        <f t="shared" si="6"/>
        <v>358.46561111113965</v>
      </c>
      <c r="V29" s="17">
        <f t="shared" si="7"/>
        <v>7103637.2942020204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44342</v>
      </c>
      <c r="B30" s="78">
        <v>0</v>
      </c>
      <c r="C30" s="83">
        <f>Gen!B36</f>
        <v>0</v>
      </c>
      <c r="D30" s="414">
        <f t="shared" si="2"/>
        <v>0</v>
      </c>
      <c r="E30" s="70"/>
      <c r="F30" s="68">
        <f>Gen!U36</f>
        <v>0.41911134903640251</v>
      </c>
      <c r="G30" s="81">
        <f>Gen!T36</f>
        <v>2802</v>
      </c>
      <c r="H30" s="81">
        <f>[1]Gen!AJ36</f>
        <v>396.56</v>
      </c>
      <c r="I30" s="81">
        <f t="shared" si="0"/>
        <v>3198.56</v>
      </c>
      <c r="J30" s="81">
        <f>[1]Gen!AT36</f>
        <v>39251.170000000035</v>
      </c>
      <c r="K30" s="67">
        <f>'Water-Meter'!E31</f>
        <v>56</v>
      </c>
      <c r="L30" s="426">
        <f>'Lpg (2)'!G35</f>
        <v>122.23199999999488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7068337.8159999996</v>
      </c>
      <c r="R30" s="72" t="e">
        <f t="shared" si="3"/>
        <v>#DIV/0!</v>
      </c>
      <c r="S30" s="418" t="e">
        <f t="shared" si="4"/>
        <v>#DIV/0!</v>
      </c>
      <c r="T30" s="72">
        <f t="shared" si="5"/>
        <v>3.606060606060606</v>
      </c>
      <c r="U30" s="118">
        <f t="shared" si="6"/>
        <v>151.47816666666031</v>
      </c>
      <c r="V30" s="17">
        <f t="shared" si="7"/>
        <v>7068492.9002272729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44343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 t="str">
        <f>'Water-Meter'!E32</f>
        <v>0</v>
      </c>
      <c r="L31" s="426">
        <f>'Lpg (2)'!G36</f>
        <v>-337131.03600000002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-417795.59575000004</v>
      </c>
      <c r="V31" s="17">
        <f t="shared" si="7"/>
        <v>202354.60974999989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44344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6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44345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6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44346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6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44347</v>
      </c>
      <c r="B35" s="78">
        <v>0</v>
      </c>
      <c r="C35" s="83">
        <f>Gen!B41</f>
        <v>0</v>
      </c>
      <c r="D35" s="414">
        <f t="shared" si="2"/>
        <v>0</v>
      </c>
      <c r="E35" s="70"/>
      <c r="F35" s="68" t="e">
        <f>Gen!U41</f>
        <v>#DIV/0!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6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1323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304</v>
      </c>
      <c r="S39" s="75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C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5" t="s">
        <v>305</v>
      </c>
      <c r="B1" s="926"/>
      <c r="C1" s="926"/>
      <c r="D1" s="926"/>
      <c r="E1" s="926"/>
      <c r="F1" s="926"/>
      <c r="G1" s="927"/>
    </row>
    <row r="2" spans="1:7" ht="13.5" thickBot="1">
      <c r="A2" s="285"/>
      <c r="B2" s="928" t="s">
        <v>306</v>
      </c>
      <c r="C2" s="929"/>
      <c r="D2" s="930"/>
      <c r="E2" s="928" t="s">
        <v>307</v>
      </c>
      <c r="F2" s="929"/>
      <c r="G2" s="930"/>
    </row>
    <row r="3" spans="1:7" ht="40.5" customHeight="1">
      <c r="A3" s="301" t="s">
        <v>233</v>
      </c>
      <c r="B3" s="302" t="s">
        <v>308</v>
      </c>
      <c r="C3" s="302" t="s">
        <v>309</v>
      </c>
      <c r="D3" s="302" t="s">
        <v>310</v>
      </c>
      <c r="E3" s="302" t="s">
        <v>308</v>
      </c>
      <c r="F3" s="302" t="s">
        <v>309</v>
      </c>
      <c r="G3" s="303" t="s">
        <v>310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6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6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6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6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6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94"/>
      <c r="C77" s="262"/>
      <c r="D77" s="795"/>
      <c r="E77" s="262"/>
      <c r="F77" s="262"/>
      <c r="G77" s="795"/>
    </row>
    <row r="78" spans="1:7">
      <c r="B78" s="790"/>
      <c r="D78" s="791"/>
      <c r="G78" s="791"/>
    </row>
    <row r="79" spans="1:7">
      <c r="B79" s="790"/>
      <c r="D79" s="791"/>
      <c r="G79" s="791"/>
    </row>
    <row r="80" spans="1:7">
      <c r="B80" s="790"/>
      <c r="D80" s="791"/>
      <c r="G80" s="791"/>
    </row>
    <row r="81" spans="2:7">
      <c r="B81" s="790"/>
      <c r="D81" s="791"/>
      <c r="G81" s="791"/>
    </row>
    <row r="82" spans="2:7">
      <c r="B82" s="790"/>
      <c r="D82" s="791"/>
      <c r="G82" s="791"/>
    </row>
    <row r="83" spans="2:7">
      <c r="B83" s="790"/>
      <c r="D83" s="791"/>
      <c r="G83" s="791"/>
    </row>
    <row r="84" spans="2:7">
      <c r="B84" s="790"/>
      <c r="D84" s="791"/>
      <c r="G84" s="791"/>
    </row>
    <row r="85" spans="2:7">
      <c r="B85" s="790"/>
      <c r="D85" s="791"/>
      <c r="G85" s="791"/>
    </row>
    <row r="86" spans="2:7">
      <c r="B86" s="790"/>
      <c r="D86" s="791"/>
      <c r="G86" s="791"/>
    </row>
    <row r="87" spans="2:7">
      <c r="B87" s="790"/>
      <c r="D87" s="791"/>
      <c r="G87" s="791"/>
    </row>
    <row r="88" spans="2:7" ht="13.5" thickBot="1">
      <c r="B88" s="792"/>
      <c r="C88" s="237"/>
      <c r="D88" s="793"/>
      <c r="E88" s="237"/>
      <c r="F88" s="237"/>
      <c r="G88" s="793"/>
    </row>
    <row r="89" spans="2:7" ht="13.5" thickBot="1">
      <c r="B89" s="796" t="s">
        <v>311</v>
      </c>
      <c r="C89" s="797"/>
      <c r="D89" s="798"/>
      <c r="E89" s="796" t="s">
        <v>312</v>
      </c>
      <c r="F89" s="797"/>
      <c r="G89" s="798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5" t="s">
        <v>313</v>
      </c>
      <c r="B1" s="926"/>
      <c r="C1" s="926"/>
      <c r="D1" s="926"/>
      <c r="G1" s="259"/>
      <c r="H1" s="260" t="s">
        <v>314</v>
      </c>
      <c r="I1" s="260"/>
      <c r="J1" s="259"/>
      <c r="K1" s="259"/>
    </row>
    <row r="2" spans="1:12" ht="39" thickBot="1">
      <c r="A2" s="457" t="s">
        <v>233</v>
      </c>
      <c r="B2" s="458" t="s">
        <v>308</v>
      </c>
      <c r="C2" s="458" t="s">
        <v>309</v>
      </c>
      <c r="D2" s="459" t="s">
        <v>315</v>
      </c>
      <c r="E2" s="459" t="s">
        <v>316</v>
      </c>
      <c r="F2" s="460" t="s">
        <v>317</v>
      </c>
      <c r="G2" s="461" t="s">
        <v>318</v>
      </c>
      <c r="H2" s="462" t="s">
        <v>319</v>
      </c>
      <c r="I2" s="463" t="s">
        <v>320</v>
      </c>
      <c r="J2" s="462" t="s">
        <v>321</v>
      </c>
      <c r="K2" s="462" t="s">
        <v>317</v>
      </c>
      <c r="L2" s="464" t="s">
        <v>143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5">
        <f t="shared" si="2"/>
        <v>-8594661</v>
      </c>
      <c r="G40" s="466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7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5">
        <f t="shared" si="2"/>
        <v>0</v>
      </c>
      <c r="G41" s="466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7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5">
        <f t="shared" si="2"/>
        <v>0</v>
      </c>
      <c r="G42" s="466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7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5">
        <f t="shared" si="2"/>
        <v>0</v>
      </c>
      <c r="G43" s="466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7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5">
        <f t="shared" si="2"/>
        <v>0</v>
      </c>
      <c r="G44" s="466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7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5">
        <f t="shared" si="2"/>
        <v>0</v>
      </c>
      <c r="G45" s="466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7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1"/>
      <c r="C76" s="932"/>
      <c r="D76" s="932"/>
      <c r="E76" s="933"/>
      <c r="H76" s="931"/>
      <c r="I76" s="932"/>
      <c r="J76" s="932"/>
      <c r="K76" s="932"/>
      <c r="L76" s="933"/>
    </row>
    <row r="77" spans="1:12">
      <c r="B77" s="934"/>
      <c r="C77" s="935"/>
      <c r="D77" s="935"/>
      <c r="E77" s="936"/>
      <c r="H77" s="934"/>
      <c r="I77" s="935"/>
      <c r="J77" s="935"/>
      <c r="K77" s="935"/>
      <c r="L77" s="936"/>
    </row>
    <row r="78" spans="1:12">
      <c r="B78" s="934"/>
      <c r="C78" s="935"/>
      <c r="D78" s="935"/>
      <c r="E78" s="936"/>
      <c r="H78" s="934"/>
      <c r="I78" s="935"/>
      <c r="J78" s="935"/>
      <c r="K78" s="935"/>
      <c r="L78" s="936"/>
    </row>
    <row r="79" spans="1:12">
      <c r="B79" s="934"/>
      <c r="C79" s="935"/>
      <c r="D79" s="935"/>
      <c r="E79" s="936"/>
      <c r="H79" s="934"/>
      <c r="I79" s="935"/>
      <c r="J79" s="935"/>
      <c r="K79" s="935"/>
      <c r="L79" s="936"/>
    </row>
    <row r="80" spans="1:12">
      <c r="B80" s="934"/>
      <c r="C80" s="935"/>
      <c r="D80" s="935"/>
      <c r="E80" s="936"/>
      <c r="H80" s="934"/>
      <c r="I80" s="935"/>
      <c r="J80" s="935"/>
      <c r="K80" s="935"/>
      <c r="L80" s="936"/>
    </row>
    <row r="81" spans="2:12">
      <c r="B81" s="934"/>
      <c r="C81" s="935"/>
      <c r="D81" s="935"/>
      <c r="E81" s="936"/>
      <c r="H81" s="934"/>
      <c r="I81" s="935"/>
      <c r="J81" s="935"/>
      <c r="K81" s="935"/>
      <c r="L81" s="936"/>
    </row>
    <row r="82" spans="2:12">
      <c r="B82" s="934"/>
      <c r="C82" s="935"/>
      <c r="D82" s="935"/>
      <c r="E82" s="936"/>
      <c r="H82" s="934"/>
      <c r="I82" s="935"/>
      <c r="J82" s="935"/>
      <c r="K82" s="935"/>
      <c r="L82" s="936"/>
    </row>
    <row r="83" spans="2:12">
      <c r="B83" s="934"/>
      <c r="C83" s="935"/>
      <c r="D83" s="935"/>
      <c r="E83" s="936"/>
      <c r="H83" s="934"/>
      <c r="I83" s="935"/>
      <c r="J83" s="935"/>
      <c r="K83" s="935"/>
      <c r="L83" s="936"/>
    </row>
    <row r="84" spans="2:12">
      <c r="B84" s="934"/>
      <c r="C84" s="935"/>
      <c r="D84" s="935"/>
      <c r="E84" s="936"/>
      <c r="H84" s="934"/>
      <c r="I84" s="935"/>
      <c r="J84" s="935"/>
      <c r="K84" s="935"/>
      <c r="L84" s="936"/>
    </row>
    <row r="85" spans="2:12">
      <c r="B85" s="934"/>
      <c r="C85" s="935"/>
      <c r="D85" s="935"/>
      <c r="E85" s="936"/>
      <c r="H85" s="934"/>
      <c r="I85" s="935"/>
      <c r="J85" s="935"/>
      <c r="K85" s="935"/>
      <c r="L85" s="936"/>
    </row>
    <row r="86" spans="2:12">
      <c r="B86" s="934"/>
      <c r="C86" s="935"/>
      <c r="D86" s="935"/>
      <c r="E86" s="936"/>
      <c r="H86" s="934"/>
      <c r="I86" s="935"/>
      <c r="J86" s="935"/>
      <c r="K86" s="935"/>
      <c r="L86" s="936"/>
    </row>
    <row r="87" spans="2:12">
      <c r="B87" s="934"/>
      <c r="C87" s="935"/>
      <c r="D87" s="935"/>
      <c r="E87" s="936"/>
      <c r="H87" s="934"/>
      <c r="I87" s="935"/>
      <c r="J87" s="935"/>
      <c r="K87" s="935"/>
      <c r="L87" s="936"/>
    </row>
    <row r="88" spans="2:12">
      <c r="B88" s="934"/>
      <c r="C88" s="935"/>
      <c r="D88" s="935"/>
      <c r="E88" s="936"/>
      <c r="H88" s="934"/>
      <c r="I88" s="935"/>
      <c r="J88" s="935"/>
      <c r="K88" s="935"/>
      <c r="L88" s="936"/>
    </row>
    <row r="89" spans="2:12">
      <c r="B89" s="934"/>
      <c r="C89" s="935"/>
      <c r="D89" s="935"/>
      <c r="E89" s="936"/>
      <c r="H89" s="934"/>
      <c r="I89" s="935"/>
      <c r="J89" s="935"/>
      <c r="K89" s="935"/>
      <c r="L89" s="936"/>
    </row>
    <row r="90" spans="2:12" ht="13.5" thickBot="1">
      <c r="B90" s="937"/>
      <c r="C90" s="938"/>
      <c r="D90" s="938"/>
      <c r="E90" s="939"/>
      <c r="H90" s="937"/>
      <c r="I90" s="938"/>
      <c r="J90" s="938"/>
      <c r="K90" s="938"/>
      <c r="L90" s="939"/>
    </row>
    <row r="91" spans="2:12">
      <c r="B91" s="940" t="s">
        <v>322</v>
      </c>
      <c r="C91" s="941"/>
      <c r="D91" s="941"/>
      <c r="E91" s="942"/>
      <c r="H91" s="940" t="s">
        <v>323</v>
      </c>
      <c r="I91" s="941"/>
      <c r="J91" s="941"/>
      <c r="K91" s="941"/>
      <c r="L91" s="942"/>
    </row>
    <row r="92" spans="2:12">
      <c r="B92" s="943"/>
      <c r="C92" s="944"/>
      <c r="D92" s="944"/>
      <c r="E92" s="945"/>
      <c r="H92" s="943"/>
      <c r="I92" s="944"/>
      <c r="J92" s="944"/>
      <c r="K92" s="944"/>
      <c r="L92" s="945"/>
    </row>
    <row r="93" spans="2:12" ht="13.5" thickBot="1">
      <c r="B93" s="946"/>
      <c r="C93" s="947"/>
      <c r="D93" s="947"/>
      <c r="E93" s="948"/>
      <c r="H93" s="946"/>
      <c r="I93" s="947"/>
      <c r="J93" s="947"/>
      <c r="K93" s="947"/>
      <c r="L93" s="948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tabSelected="1" topLeftCell="A13" workbookViewId="0">
      <selection activeCell="G29" sqref="G29:G3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49" t="s">
        <v>324</v>
      </c>
      <c r="B1" s="949"/>
      <c r="C1" s="949"/>
      <c r="D1" s="949"/>
      <c r="E1" s="949"/>
      <c r="F1" s="949"/>
      <c r="G1" s="949"/>
      <c r="H1" s="949"/>
      <c r="I1" s="949"/>
      <c r="J1" s="949"/>
    </row>
    <row r="2" spans="1:10" ht="19.5" thickBot="1">
      <c r="A2" s="958">
        <f>A5</f>
        <v>44317</v>
      </c>
      <c r="B2" s="959"/>
      <c r="C2" s="959"/>
      <c r="D2" s="959"/>
      <c r="E2" s="959"/>
      <c r="F2" s="959"/>
      <c r="G2" s="959"/>
      <c r="H2" s="959"/>
      <c r="I2" s="959"/>
      <c r="J2" s="959"/>
    </row>
    <row r="3" spans="1:10" ht="15.75" thickBot="1">
      <c r="A3" s="950" t="s">
        <v>233</v>
      </c>
      <c r="B3" s="952" t="s">
        <v>325</v>
      </c>
      <c r="C3" s="420"/>
      <c r="D3" s="954" t="s">
        <v>326</v>
      </c>
      <c r="E3" s="955"/>
      <c r="F3" s="956" t="s">
        <v>327</v>
      </c>
      <c r="G3" s="957"/>
      <c r="H3" s="955"/>
      <c r="I3" s="956" t="s">
        <v>328</v>
      </c>
      <c r="J3" s="955"/>
    </row>
    <row r="4" spans="1:10" ht="30.75" thickBot="1">
      <c r="A4" s="951"/>
      <c r="B4" s="953"/>
      <c r="C4" s="424" t="s">
        <v>329</v>
      </c>
      <c r="D4" s="375" t="s">
        <v>330</v>
      </c>
      <c r="E4" s="380" t="s">
        <v>194</v>
      </c>
      <c r="F4" s="375" t="s">
        <v>330</v>
      </c>
      <c r="G4" s="375" t="s">
        <v>331</v>
      </c>
      <c r="H4" s="375" t="s">
        <v>332</v>
      </c>
      <c r="I4" s="375" t="s">
        <v>251</v>
      </c>
      <c r="J4" s="375" t="s">
        <v>333</v>
      </c>
    </row>
    <row r="5" spans="1:10" ht="17.100000000000001" customHeight="1" thickBot="1">
      <c r="A5" s="205">
        <f>Gen!A11</f>
        <v>44317</v>
      </c>
      <c r="B5" s="381">
        <f>Gen!B11</f>
        <v>0.01</v>
      </c>
      <c r="C5" s="422">
        <f>Gen!AJ11</f>
        <v>88.75</v>
      </c>
      <c r="D5" s="423">
        <f>Gen!S11</f>
        <v>1091.6300000000001</v>
      </c>
      <c r="E5" s="377">
        <f>Gen!C11</f>
        <v>27860.560000000001</v>
      </c>
      <c r="F5" s="378">
        <f>'Water-Meter'!E6</f>
        <v>41</v>
      </c>
      <c r="G5" s="379">
        <f>'Water-Meter'!AN6</f>
        <v>130</v>
      </c>
      <c r="H5" s="377">
        <f>'Utility report '!AC6</f>
        <v>118</v>
      </c>
      <c r="I5" s="376">
        <f>'Kit report'!F4</f>
        <v>263.99999999986903</v>
      </c>
      <c r="J5" s="377">
        <f>'Kit report'!X4</f>
        <v>140.00000000014552</v>
      </c>
    </row>
    <row r="6" spans="1:10" ht="17.100000000000001" customHeight="1" thickBot="1">
      <c r="A6" s="205">
        <f>Gen!A12</f>
        <v>44318</v>
      </c>
      <c r="B6" s="381">
        <f>Gen!B12</f>
        <v>0</v>
      </c>
      <c r="C6" s="422">
        <f>Gen!AJ12</f>
        <v>0</v>
      </c>
      <c r="D6" s="423">
        <f>Gen!S12</f>
        <v>1114.1600000000001</v>
      </c>
      <c r="E6" s="377">
        <f>Gen!C12</f>
        <v>26680.18</v>
      </c>
      <c r="F6" s="378">
        <f>'Water-Meter'!E7</f>
        <v>50</v>
      </c>
      <c r="G6" s="379">
        <f>'Water-Meter'!AN7</f>
        <v>126</v>
      </c>
      <c r="H6" s="377">
        <f>'Utility report '!AC7</f>
        <v>38</v>
      </c>
      <c r="I6" s="376">
        <f>'Kit report'!F5</f>
        <v>264.00000000008731</v>
      </c>
      <c r="J6" s="377">
        <f>'Kit report'!X5</f>
        <v>300</v>
      </c>
    </row>
    <row r="7" spans="1:10" ht="17.100000000000001" customHeight="1" thickBot="1">
      <c r="A7" s="205">
        <f>Gen!A13</f>
        <v>44319</v>
      </c>
      <c r="B7" s="381">
        <f>Gen!B13</f>
        <v>3.9E-2</v>
      </c>
      <c r="C7" s="422">
        <f>Gen!AJ13</f>
        <v>29.76</v>
      </c>
      <c r="D7" s="423">
        <f>Gen!S13</f>
        <v>1088.57</v>
      </c>
      <c r="E7" s="377">
        <f>Gen!C13</f>
        <v>40466.020000000004</v>
      </c>
      <c r="F7" s="378">
        <f>'Water-Meter'!E8</f>
        <v>50</v>
      </c>
      <c r="G7" s="379">
        <f>'Water-Meter'!AN8</f>
        <v>126</v>
      </c>
      <c r="H7" s="377">
        <f>'Utility report '!AC8</f>
        <v>37</v>
      </c>
      <c r="I7" s="376">
        <f>'Kit report'!F6</f>
        <v>287.99999999995634</v>
      </c>
      <c r="J7" s="377">
        <f>'Kit report'!X6</f>
        <v>219.99999999989086</v>
      </c>
    </row>
    <row r="8" spans="1:10" ht="17.100000000000001" customHeight="1" thickBot="1">
      <c r="A8" s="205">
        <f>Gen!A14</f>
        <v>44320</v>
      </c>
      <c r="B8" s="381">
        <f>Gen!B14</f>
        <v>5.1999999999999998E-2</v>
      </c>
      <c r="C8" s="422">
        <f>Gen!AJ14</f>
        <v>38.130000000000003</v>
      </c>
      <c r="D8" s="423">
        <f>Gen!S14</f>
        <v>1166.47</v>
      </c>
      <c r="E8" s="377">
        <f>Gen!C14</f>
        <v>39347.69</v>
      </c>
      <c r="F8" s="378">
        <f>'Water-Meter'!E9</f>
        <v>50</v>
      </c>
      <c r="G8" s="379">
        <f>'Water-Meter'!AN9</f>
        <v>69</v>
      </c>
      <c r="H8" s="377">
        <f>'Utility report '!AC9</f>
        <v>32</v>
      </c>
      <c r="I8" s="376">
        <f>'Kit report'!F7</f>
        <v>300</v>
      </c>
      <c r="J8" s="377">
        <f>'Kit report'!X7</f>
        <v>320.00000000007276</v>
      </c>
    </row>
    <row r="9" spans="1:10" ht="17.100000000000001" customHeight="1" thickBot="1">
      <c r="A9" s="205">
        <f>Gen!A15</f>
        <v>44321</v>
      </c>
      <c r="B9" s="381">
        <f>Gen!B15</f>
        <v>5.6000000000000001E-2</v>
      </c>
      <c r="C9" s="422">
        <f>Gen!AJ15</f>
        <v>0</v>
      </c>
      <c r="D9" s="423">
        <f>Gen!S15</f>
        <v>1125.1500000000001</v>
      </c>
      <c r="E9" s="377">
        <f>Gen!C15</f>
        <v>38143.090000000004</v>
      </c>
      <c r="F9" s="378">
        <f>'Water-Meter'!E10</f>
        <v>67</v>
      </c>
      <c r="G9" s="379">
        <f>'Water-Meter'!AN10</f>
        <v>45</v>
      </c>
      <c r="H9" s="377">
        <f>'Utility report '!AC10</f>
        <v>38</v>
      </c>
      <c r="I9" s="376">
        <f>'Kit report'!F8</f>
        <v>264.00000000008731</v>
      </c>
      <c r="J9" s="377">
        <f>'Kit report'!X8</f>
        <v>260.00000000003638</v>
      </c>
    </row>
    <row r="10" spans="1:10" ht="17.100000000000001" customHeight="1" thickBot="1">
      <c r="A10" s="205">
        <f>Gen!A16</f>
        <v>44322</v>
      </c>
      <c r="B10" s="381">
        <f>Gen!B16</f>
        <v>5.6000000000000001E-2</v>
      </c>
      <c r="C10" s="422">
        <f>Gen!AJ16</f>
        <v>500.13000000000005</v>
      </c>
      <c r="D10" s="423">
        <f>Gen!S16</f>
        <v>1179.4100000000001</v>
      </c>
      <c r="E10" s="377">
        <f>Gen!C16</f>
        <v>37017.94</v>
      </c>
      <c r="F10" s="378">
        <f>'Water-Meter'!E11</f>
        <v>70</v>
      </c>
      <c r="G10" s="379">
        <f>'Water-Meter'!AN11</f>
        <v>44</v>
      </c>
      <c r="H10" s="377">
        <f>'Utility report '!AC11</f>
        <v>34</v>
      </c>
      <c r="I10" s="376">
        <f>'Kit report'!F9</f>
        <v>263.99999999986903</v>
      </c>
      <c r="J10" s="377">
        <f>'Kit report'!X9</f>
        <v>319.99999999989086</v>
      </c>
    </row>
    <row r="11" spans="1:10" ht="17.100000000000001" customHeight="1" thickBot="1">
      <c r="A11" s="205">
        <f>Gen!A17</f>
        <v>44323</v>
      </c>
      <c r="B11" s="381">
        <f>Gen!B17</f>
        <v>0</v>
      </c>
      <c r="C11" s="422">
        <f>Gen!AJ17</f>
        <v>0</v>
      </c>
      <c r="D11" s="423">
        <f>Gen!S17</f>
        <v>1126.3599999999999</v>
      </c>
      <c r="E11" s="377">
        <f>Gen!C17</f>
        <v>35338.400000000001</v>
      </c>
      <c r="F11" s="378">
        <f>'Water-Meter'!E12</f>
        <v>50</v>
      </c>
      <c r="G11" s="379">
        <f>'Water-Meter'!AN12</f>
        <v>46</v>
      </c>
      <c r="H11" s="377">
        <f>'Utility report '!AC12</f>
        <v>88</v>
      </c>
      <c r="I11" s="376">
        <f>'Kit report'!F10</f>
        <v>240</v>
      </c>
      <c r="J11" s="377">
        <f>'Kit report'!X10</f>
        <v>180.00000000010914</v>
      </c>
    </row>
    <row r="12" spans="1:10" ht="17.100000000000001" customHeight="1" thickBot="1">
      <c r="A12" s="205">
        <f>Gen!A18</f>
        <v>44324</v>
      </c>
      <c r="B12" s="381">
        <f>Gen!B18</f>
        <v>0</v>
      </c>
      <c r="C12" s="422">
        <f>Gen!AJ18</f>
        <v>248</v>
      </c>
      <c r="D12" s="423">
        <f>Gen!S18</f>
        <v>1233.05</v>
      </c>
      <c r="E12" s="377">
        <f>Gen!C18</f>
        <v>49212.04</v>
      </c>
      <c r="F12" s="378">
        <f>'Water-Meter'!E13</f>
        <v>51</v>
      </c>
      <c r="G12" s="379">
        <f>'Water-Meter'!AN13</f>
        <v>131</v>
      </c>
      <c r="H12" s="377">
        <f>'Utility report '!AC13</f>
        <v>150</v>
      </c>
      <c r="I12" s="376">
        <f>'Kit report'!F11</f>
        <v>276.00000000013097</v>
      </c>
      <c r="J12" s="377">
        <f>'Kit report'!X11</f>
        <v>100</v>
      </c>
    </row>
    <row r="13" spans="1:10" ht="17.100000000000001" customHeight="1" thickBot="1">
      <c r="A13" s="205">
        <f>Gen!A19</f>
        <v>44325</v>
      </c>
      <c r="B13" s="381">
        <f>Gen!B19</f>
        <v>0</v>
      </c>
      <c r="C13" s="422">
        <f>Gen!AJ19</f>
        <v>146.15</v>
      </c>
      <c r="D13" s="423">
        <f>Gen!S19</f>
        <v>1058.0899999999999</v>
      </c>
      <c r="E13" s="377">
        <f>Gen!C19</f>
        <v>47730.99</v>
      </c>
      <c r="F13" s="378">
        <f>'Water-Meter'!E14</f>
        <v>76</v>
      </c>
      <c r="G13" s="379">
        <f>'Water-Meter'!AN14</f>
        <v>125</v>
      </c>
      <c r="H13" s="377">
        <f>'Utility report '!AC14</f>
        <v>22</v>
      </c>
      <c r="I13" s="376">
        <f>'Kit report'!F12</f>
        <v>203.99999999986903</v>
      </c>
      <c r="J13" s="377">
        <f>'Kit report'!X12</f>
        <v>339.99999999996362</v>
      </c>
    </row>
    <row r="14" spans="1:10" ht="17.100000000000001" customHeight="1" thickBot="1">
      <c r="A14" s="205">
        <f>Gen!A20</f>
        <v>44326</v>
      </c>
      <c r="B14" s="381">
        <f>Gen!B20</f>
        <v>0</v>
      </c>
      <c r="C14" s="422">
        <f>Gen!AJ20</f>
        <v>140.32999999999998</v>
      </c>
      <c r="D14" s="423">
        <f>Gen!S20</f>
        <v>1086.6400000000001</v>
      </c>
      <c r="E14" s="377">
        <f>Gen!C20</f>
        <v>46526.75</v>
      </c>
      <c r="F14" s="378">
        <f>'Water-Meter'!E15</f>
        <v>20</v>
      </c>
      <c r="G14" s="379">
        <f>'Water-Meter'!AN15</f>
        <v>71</v>
      </c>
      <c r="H14" s="377">
        <f>'Utility report '!AC15</f>
        <v>33</v>
      </c>
      <c r="I14" s="376">
        <f>'Kit report'!F13</f>
        <v>228.00000000017462</v>
      </c>
      <c r="J14" s="377">
        <f>'Kit report'!X13</f>
        <v>260.00000000003638</v>
      </c>
    </row>
    <row r="15" spans="1:10" ht="17.100000000000001" customHeight="1" thickBot="1">
      <c r="A15" s="205">
        <f>Gen!A21</f>
        <v>44327</v>
      </c>
      <c r="B15" s="381">
        <f>Gen!B21</f>
        <v>0</v>
      </c>
      <c r="C15" s="422">
        <f>Gen!AJ21</f>
        <v>647</v>
      </c>
      <c r="D15" s="423">
        <f>Gen!S21</f>
        <v>1059.05</v>
      </c>
      <c r="E15" s="377">
        <f>Gen!C21</f>
        <v>45299.78</v>
      </c>
      <c r="F15" s="378">
        <f>'Water-Meter'!E16</f>
        <v>54</v>
      </c>
      <c r="G15" s="379">
        <f>'Water-Meter'!AN16</f>
        <v>133</v>
      </c>
      <c r="H15" s="377">
        <f>'Utility report '!AC16</f>
        <v>33</v>
      </c>
      <c r="I15" s="376">
        <f>'Kit report'!F14</f>
        <v>227.99999999995634</v>
      </c>
      <c r="J15" s="377">
        <f>'Kit report'!X14</f>
        <v>200</v>
      </c>
    </row>
    <row r="16" spans="1:10" ht="17.100000000000001" customHeight="1" thickBot="1">
      <c r="A16" s="205">
        <f>Gen!A22</f>
        <v>44328</v>
      </c>
      <c r="B16" s="381">
        <f>Gen!B22</f>
        <v>0</v>
      </c>
      <c r="C16" s="422">
        <f>Gen!AJ22</f>
        <v>0</v>
      </c>
      <c r="D16" s="423">
        <f>Gen!S22</f>
        <v>1046.1600000000001</v>
      </c>
      <c r="E16" s="377">
        <f>Gen!C22</f>
        <v>43593.729999999996</v>
      </c>
      <c r="F16" s="378">
        <f>'Water-Meter'!E17</f>
        <v>51</v>
      </c>
      <c r="G16" s="379">
        <f>'Water-Meter'!AN17</f>
        <v>46</v>
      </c>
      <c r="H16" s="377">
        <f>'Utility report '!AC17</f>
        <v>31</v>
      </c>
      <c r="I16" s="376">
        <f>'Kit report'!F15</f>
        <v>227.99999999995634</v>
      </c>
      <c r="J16" s="377">
        <f>'Kit report'!X15</f>
        <v>159.99999999985448</v>
      </c>
    </row>
    <row r="17" spans="1:10" ht="17.100000000000001" customHeight="1" thickBot="1">
      <c r="A17" s="205">
        <f>Gen!A23</f>
        <v>44329</v>
      </c>
      <c r="B17" s="381">
        <f>Gen!B23</f>
        <v>0</v>
      </c>
      <c r="C17" s="422">
        <f>Gen!AJ23</f>
        <v>249.48</v>
      </c>
      <c r="D17" s="423">
        <f>Gen!S23</f>
        <v>1005.86</v>
      </c>
      <c r="E17" s="377">
        <f>Gen!C23</f>
        <v>42547.569999999992</v>
      </c>
      <c r="F17" s="378">
        <f>'Water-Meter'!E18</f>
        <v>54</v>
      </c>
      <c r="G17" s="379">
        <f>'Water-Meter'!AN18</f>
        <v>47</v>
      </c>
      <c r="H17" s="377">
        <f>'Utility report '!AC18</f>
        <v>85</v>
      </c>
      <c r="I17" s="376">
        <f>'Kit report'!F16</f>
        <v>227.99999999995634</v>
      </c>
      <c r="J17" s="377">
        <f>'Kit report'!X16</f>
        <v>200</v>
      </c>
    </row>
    <row r="18" spans="1:10" ht="17.100000000000001" customHeight="1" thickBot="1">
      <c r="A18" s="205">
        <f>Gen!A24</f>
        <v>44330</v>
      </c>
      <c r="B18" s="381">
        <f>Gen!B24</f>
        <v>0</v>
      </c>
      <c r="C18" s="422">
        <f>Gen!AJ24</f>
        <v>93.42</v>
      </c>
      <c r="D18" s="423">
        <f>Gen!S24</f>
        <v>1140.98</v>
      </c>
      <c r="E18" s="377">
        <f>Gen!C24</f>
        <v>41292.229999999996</v>
      </c>
      <c r="F18" s="378">
        <f>'Water-Meter'!E19</f>
        <v>42</v>
      </c>
      <c r="G18" s="379">
        <f>'Water-Meter'!AN19</f>
        <v>48</v>
      </c>
      <c r="H18" s="377">
        <f>'Utility report '!AC19</f>
        <v>89</v>
      </c>
      <c r="I18" s="376">
        <f>'Kit report'!F17</f>
        <v>227.99999999995634</v>
      </c>
      <c r="J18" s="377">
        <f>'Kit report'!X17</f>
        <v>380.00000000010914</v>
      </c>
    </row>
    <row r="19" spans="1:10" ht="17.100000000000001" customHeight="1" thickBot="1">
      <c r="A19" s="205">
        <f>Gen!A25</f>
        <v>44331</v>
      </c>
      <c r="B19" s="381">
        <f>Gen!B25</f>
        <v>0</v>
      </c>
      <c r="C19" s="422">
        <f>Gen!AJ25</f>
        <v>156.24</v>
      </c>
      <c r="D19" s="423">
        <f>Gen!S25</f>
        <v>1050.24</v>
      </c>
      <c r="E19" s="377">
        <f>Gen!C25</f>
        <v>40057.829999999994</v>
      </c>
      <c r="F19" s="378">
        <f>'Water-Meter'!E20</f>
        <v>46</v>
      </c>
      <c r="G19" s="379">
        <f>'Water-Meter'!AN20</f>
        <v>56</v>
      </c>
      <c r="H19" s="377">
        <f>'Utility report '!AC20</f>
        <v>10</v>
      </c>
      <c r="I19" s="376">
        <f>'Kit report'!F18</f>
        <v>240</v>
      </c>
      <c r="J19" s="377">
        <f>'Kit report'!X18</f>
        <v>219.99999999989086</v>
      </c>
    </row>
    <row r="20" spans="1:10" ht="17.100000000000001" customHeight="1" thickBot="1">
      <c r="A20" s="205">
        <f>Gen!A26</f>
        <v>44332</v>
      </c>
      <c r="B20" s="381">
        <f>Gen!B26</f>
        <v>0</v>
      </c>
      <c r="C20" s="422">
        <f>Gen!AJ26</f>
        <v>0</v>
      </c>
      <c r="D20" s="423">
        <f>Gen!S26</f>
        <v>1110.23</v>
      </c>
      <c r="E20" s="377">
        <f>Gen!C26</f>
        <v>38851.349999999991</v>
      </c>
      <c r="F20" s="378">
        <f>'Water-Meter'!E21</f>
        <v>45</v>
      </c>
      <c r="G20" s="379">
        <f>'Water-Meter'!AN21</f>
        <v>159</v>
      </c>
      <c r="H20" s="377">
        <f>'Utility report '!AC21</f>
        <v>70</v>
      </c>
      <c r="I20" s="376">
        <f>'Kit report'!F19</f>
        <v>240</v>
      </c>
      <c r="J20" s="377">
        <f>'Kit report'!X19</f>
        <v>340.00000000014552</v>
      </c>
    </row>
    <row r="21" spans="1:10" ht="15.75" thickBot="1">
      <c r="A21" s="205">
        <f>Gen!A27</f>
        <v>44333</v>
      </c>
      <c r="B21" s="381">
        <f>Gen!B27</f>
        <v>0</v>
      </c>
      <c r="C21" s="422">
        <f>Gen!AJ27</f>
        <v>117.91999999999999</v>
      </c>
      <c r="D21" s="423">
        <f>Gen!S27</f>
        <v>1222.44</v>
      </c>
      <c r="E21" s="377">
        <f>Gen!C27</f>
        <v>37741.119999999988</v>
      </c>
      <c r="F21" s="378">
        <f>'Water-Meter'!E22</f>
        <v>57</v>
      </c>
      <c r="G21" s="379">
        <f>'Water-Meter'!AN22</f>
        <v>215</v>
      </c>
      <c r="H21" s="377">
        <f>'Utility report '!AC22</f>
        <v>79</v>
      </c>
      <c r="I21" s="376">
        <f>'Kit report'!F20</f>
        <v>252.00000000004366</v>
      </c>
      <c r="J21" s="377">
        <f>'Kit report'!X20</f>
        <v>319.99999999989086</v>
      </c>
    </row>
    <row r="22" spans="1:10" ht="15" customHeight="1" thickBot="1">
      <c r="A22" s="205">
        <f>Gen!A28</f>
        <v>44334</v>
      </c>
      <c r="B22" s="381">
        <f>Gen!B30</f>
        <v>0</v>
      </c>
      <c r="C22" s="422">
        <f>Gen!AJ28</f>
        <v>0</v>
      </c>
      <c r="D22" s="423">
        <f>Gen!S28</f>
        <v>1222.1600000000001</v>
      </c>
      <c r="E22" s="377">
        <f>Gen!AT28</f>
        <v>36400.759999999987</v>
      </c>
      <c r="F22" s="378">
        <f>'Water-Meter'!E23</f>
        <v>47</v>
      </c>
      <c r="G22" s="379">
        <f>'Water-Meter'!AN23</f>
        <v>130</v>
      </c>
      <c r="H22" s="377">
        <f>'Utility report '!AC23</f>
        <v>36</v>
      </c>
      <c r="I22" s="376">
        <f>'Kit report'!F21</f>
        <v>216.00000000013097</v>
      </c>
      <c r="J22" s="377">
        <f>'Kit report'!X21</f>
        <v>380.00000000010914</v>
      </c>
    </row>
    <row r="23" spans="1:10" ht="15" customHeight="1" thickBot="1">
      <c r="A23" s="205">
        <f>Gen!A29</f>
        <v>44335</v>
      </c>
      <c r="B23" s="381">
        <f>Gen!B31</f>
        <v>0</v>
      </c>
      <c r="C23" s="422">
        <f>Gen!AJ29</f>
        <v>168.17000000000002</v>
      </c>
      <c r="D23" s="423">
        <f>Gen!S29</f>
        <v>1168.1199999999999</v>
      </c>
      <c r="E23" s="377">
        <f>Gen!AT29</f>
        <v>35178.599999999984</v>
      </c>
      <c r="F23" s="378">
        <f>'Water-Meter'!E24</f>
        <v>45</v>
      </c>
      <c r="G23" s="379">
        <f>'Water-Meter'!AN24</f>
        <v>89</v>
      </c>
      <c r="H23" s="377">
        <f>'Utility report '!AC24</f>
        <v>35</v>
      </c>
      <c r="I23" s="376">
        <f>'Kit report'!F22</f>
        <v>240</v>
      </c>
      <c r="J23" s="377">
        <f>'Kit report'!X22</f>
        <v>279.99999999992724</v>
      </c>
    </row>
    <row r="24" spans="1:10" ht="15" customHeight="1" thickBot="1">
      <c r="A24" s="205">
        <f>Gen!A30</f>
        <v>44336</v>
      </c>
      <c r="B24" s="381">
        <f>Gen!B32</f>
        <v>0</v>
      </c>
      <c r="C24" s="422">
        <f>Gen!AJ30</f>
        <v>80.400000000000006</v>
      </c>
      <c r="D24" s="423">
        <f>Gen!S30</f>
        <v>1133.48</v>
      </c>
      <c r="E24" s="377">
        <f>Gen!AT30</f>
        <v>33842.309999999983</v>
      </c>
      <c r="F24" s="378">
        <f>'Water-Meter'!E25</f>
        <v>49</v>
      </c>
      <c r="G24" s="379">
        <f>'Water-Meter'!AN25</f>
        <v>49</v>
      </c>
      <c r="H24" s="377">
        <f>'Utility report '!AC25</f>
        <v>34</v>
      </c>
      <c r="I24" s="376">
        <f>'Kit report'!F23</f>
        <v>287.99999999995634</v>
      </c>
      <c r="J24" s="377">
        <f>'Kit report'!X23</f>
        <v>279.99999999992724</v>
      </c>
    </row>
    <row r="25" spans="1:10" ht="15" customHeight="1" thickBot="1">
      <c r="A25" s="205">
        <f>Gen!A31</f>
        <v>44337</v>
      </c>
      <c r="B25" s="381">
        <f>Gen!B33</f>
        <v>0</v>
      </c>
      <c r="C25" s="422">
        <f>Gen!AJ31</f>
        <v>289</v>
      </c>
      <c r="D25" s="423">
        <f>Gen!S31</f>
        <v>1112.7</v>
      </c>
      <c r="E25" s="377">
        <f>Gen!AT31</f>
        <v>32628.429999999982</v>
      </c>
      <c r="F25" s="378">
        <f>'Water-Meter'!E26</f>
        <v>45</v>
      </c>
      <c r="G25" s="379">
        <f>'Water-Meter'!AN26</f>
        <v>48</v>
      </c>
      <c r="H25" s="377">
        <f>'Utility report '!AC26</f>
        <v>31</v>
      </c>
      <c r="I25" s="376">
        <f>'Kit report'!F24</f>
        <v>300</v>
      </c>
      <c r="J25" s="377">
        <f>'Kit report'!X24</f>
        <v>360.00000000003638</v>
      </c>
    </row>
    <row r="26" spans="1:10" ht="15" customHeight="1" thickBot="1">
      <c r="A26" s="205">
        <f>Gen!A32</f>
        <v>44338</v>
      </c>
      <c r="B26" s="381">
        <f>Gen!B34</f>
        <v>0</v>
      </c>
      <c r="C26" s="422">
        <f>Gen!AJ32</f>
        <v>299.91999999999996</v>
      </c>
      <c r="D26" s="423">
        <f>Gen!S32</f>
        <v>1123.32</v>
      </c>
      <c r="E26" s="377">
        <f>Gen!AT32</f>
        <v>31226.729999999981</v>
      </c>
      <c r="F26" s="378">
        <f>'Water-Meter'!E27</f>
        <v>63</v>
      </c>
      <c r="G26" s="379">
        <f>'Water-Meter'!AN27</f>
        <v>49</v>
      </c>
      <c r="H26" s="377">
        <f>'Utility report '!AC27</f>
        <v>19</v>
      </c>
      <c r="I26" s="376">
        <f>'Kit report'!F25</f>
        <v>252.00000000004366</v>
      </c>
      <c r="J26" s="377">
        <f>'Kit report'!X25</f>
        <v>280.00000000010914</v>
      </c>
    </row>
    <row r="27" spans="1:10" ht="15" customHeight="1" thickBot="1">
      <c r="A27" s="205">
        <f>Gen!A33</f>
        <v>44339</v>
      </c>
      <c r="B27" s="381">
        <v>0.09</v>
      </c>
      <c r="C27" s="422">
        <f>Gen!AJ33</f>
        <v>11.74</v>
      </c>
      <c r="D27" s="423">
        <f>Gen!S33</f>
        <v>1170.9100000000001</v>
      </c>
      <c r="E27" s="377">
        <f>Gen!AT33</f>
        <v>29803.489999999983</v>
      </c>
      <c r="F27" s="378">
        <f>'Water-Meter'!E28</f>
        <v>47</v>
      </c>
      <c r="G27" s="379">
        <f>'Water-Meter'!AN28</f>
        <v>52</v>
      </c>
      <c r="H27" s="377">
        <f>'Utility report '!AC28</f>
        <v>25</v>
      </c>
      <c r="I27" s="376">
        <f>'Kit report'!F26</f>
        <v>251.99999999982538</v>
      </c>
      <c r="J27" s="377">
        <f>'Kit report'!X26</f>
        <v>400</v>
      </c>
    </row>
    <row r="28" spans="1:10" ht="15" customHeight="1" thickBot="1">
      <c r="A28" s="205">
        <f>Gen!A34</f>
        <v>44340</v>
      </c>
      <c r="B28" s="381">
        <v>6.5000000000000002E-2</v>
      </c>
      <c r="C28" s="422">
        <f>Gen!AJ34</f>
        <v>61.32</v>
      </c>
      <c r="D28" s="423">
        <f>Gen!S34</f>
        <v>1086.5999999999999</v>
      </c>
      <c r="E28" s="377">
        <f>Gen!AT34</f>
        <v>28620.839999999982</v>
      </c>
      <c r="F28" s="378">
        <f>'Water-Meter'!E29</f>
        <v>46</v>
      </c>
      <c r="G28" s="379">
        <f>'Water-Meter'!AN29</f>
        <v>46</v>
      </c>
      <c r="H28" s="377">
        <f>'Utility report '!AC29</f>
        <v>162</v>
      </c>
      <c r="I28" s="376">
        <f>'Kit report'!F27</f>
        <v>252.00000000004366</v>
      </c>
      <c r="J28" s="377">
        <f>'Kit report'!X27</f>
        <v>339.99999999996362</v>
      </c>
    </row>
    <row r="29" spans="1:10" ht="15" customHeight="1" thickBot="1">
      <c r="A29" s="205">
        <f>Gen!A35</f>
        <v>44341</v>
      </c>
      <c r="B29" s="381">
        <v>6.5000000000000002E-2</v>
      </c>
      <c r="C29" s="422">
        <f>Gen!AJ35</f>
        <v>255.52</v>
      </c>
      <c r="D29" s="423">
        <f>Gen!S35</f>
        <v>1194.43</v>
      </c>
      <c r="E29" s="377">
        <f>Gen!AT35</f>
        <v>27472.919999999984</v>
      </c>
      <c r="F29" s="378">
        <f>'Water-Meter'!E30</f>
        <v>51</v>
      </c>
      <c r="G29" s="379">
        <f>'Water-Meter'!AN30</f>
        <v>72</v>
      </c>
      <c r="H29" s="377">
        <f>'Utility report '!AC30</f>
        <v>75</v>
      </c>
      <c r="I29" s="376">
        <f>'Kit report'!F28</f>
        <v>276.00000000013097</v>
      </c>
      <c r="J29" s="377">
        <f>'Kit report'!X28</f>
        <v>360.00000000003638</v>
      </c>
    </row>
    <row r="30" spans="1:10" ht="15" customHeight="1" thickBot="1">
      <c r="A30" s="205">
        <f>Gen!A36</f>
        <v>44342</v>
      </c>
      <c r="B30" s="381">
        <v>0.09</v>
      </c>
      <c r="C30" s="422">
        <f>Gen!AJ36</f>
        <v>23.89</v>
      </c>
      <c r="D30" s="423">
        <f>Gen!S36</f>
        <v>1174.3499999999999</v>
      </c>
      <c r="E30" s="377">
        <f>Gen!AT36</f>
        <v>41022.969999999987</v>
      </c>
      <c r="F30" s="378">
        <f>'Water-Meter'!E31</f>
        <v>56</v>
      </c>
      <c r="G30" s="379">
        <f>'Water-Meter'!AN31</f>
        <v>88</v>
      </c>
      <c r="H30" s="377">
        <f>'Utility report '!AC31</f>
        <v>55</v>
      </c>
      <c r="I30" s="376">
        <f>'Kit report'!F29</f>
        <v>287.99999999995634</v>
      </c>
      <c r="J30" s="377">
        <f>'Kit report'!X29</f>
        <v>359.99999999985448</v>
      </c>
    </row>
    <row r="31" spans="1:10" ht="15" customHeight="1" thickBot="1">
      <c r="A31" s="205">
        <f>Gen!A37</f>
        <v>44343</v>
      </c>
      <c r="B31" s="381">
        <f>Gen!B39</f>
        <v>0</v>
      </c>
      <c r="C31" s="422">
        <f>Gen!AJ37</f>
        <v>0</v>
      </c>
      <c r="D31" s="423">
        <f>Gen!S37</f>
        <v>0</v>
      </c>
      <c r="E31" s="377">
        <f>Gen!AT37</f>
        <v>39824.729999999989</v>
      </c>
      <c r="F31" s="378" t="str">
        <f>'Water-Meter'!E32</f>
        <v>0</v>
      </c>
      <c r="G31" s="379">
        <f>'Water-Meter'!AN32</f>
        <v>0</v>
      </c>
      <c r="H31" s="377">
        <f>'Utility report '!AC34</f>
        <v>0</v>
      </c>
      <c r="I31" s="376">
        <f>'Kit report'!F30</f>
        <v>-1118892</v>
      </c>
      <c r="J31" s="377">
        <f>'Kit report'!X30</f>
        <v>-1631280</v>
      </c>
    </row>
    <row r="32" spans="1:10" ht="15" customHeight="1" thickBot="1">
      <c r="A32" s="205">
        <f>Gen!A38</f>
        <v>44344</v>
      </c>
      <c r="B32" s="381">
        <f>Gen!B40</f>
        <v>0</v>
      </c>
      <c r="C32" s="422">
        <f>Gen!AJ38</f>
        <v>0</v>
      </c>
      <c r="D32" s="423">
        <f>Gen!S40</f>
        <v>0</v>
      </c>
      <c r="E32" s="377">
        <f>Gen!AT38</f>
        <v>39824.729999999989</v>
      </c>
      <c r="F32" s="378">
        <f>'Water-Meter'!E33</f>
        <v>0</v>
      </c>
      <c r="G32" s="379">
        <f>'Water-Meter'!AN35</f>
        <v>0</v>
      </c>
      <c r="H32" s="377">
        <f>'Utility report '!AC35</f>
        <v>0</v>
      </c>
      <c r="I32" s="376">
        <f>'Kit report'!F31</f>
        <v>0</v>
      </c>
      <c r="J32" s="377">
        <f>'Kit report'!X31</f>
        <v>0</v>
      </c>
    </row>
    <row r="33" spans="1:10" ht="15" customHeight="1" thickBot="1">
      <c r="A33" s="205">
        <f>Gen!A39</f>
        <v>44345</v>
      </c>
      <c r="B33" s="381">
        <f>Gen!B41</f>
        <v>0</v>
      </c>
      <c r="C33" s="422">
        <f>Gen!AJ39</f>
        <v>0</v>
      </c>
      <c r="D33" s="423">
        <f>Gen!S41</f>
        <v>0</v>
      </c>
      <c r="E33" s="377">
        <f>Gen!AT39</f>
        <v>39824.729999999989</v>
      </c>
      <c r="F33" s="378">
        <f>'Water-Meter'!E34</f>
        <v>0</v>
      </c>
      <c r="G33" s="379">
        <f>'Water-Meter'!AN36</f>
        <v>0</v>
      </c>
      <c r="H33" s="377">
        <f>'Utility report '!AC36</f>
        <v>0</v>
      </c>
      <c r="I33" s="376">
        <f>'Kit report'!F32</f>
        <v>0</v>
      </c>
      <c r="J33" s="377">
        <f>'Kit report'!X32</f>
        <v>0</v>
      </c>
    </row>
    <row r="34" spans="1:10" ht="15.75" thickBot="1">
      <c r="A34" s="205">
        <f>Gen!A40</f>
        <v>44346</v>
      </c>
      <c r="B34" s="381">
        <f>Gen!B42</f>
        <v>0</v>
      </c>
      <c r="C34" s="422">
        <f>Gen!AJ40</f>
        <v>0</v>
      </c>
      <c r="D34" s="423">
        <f>Gen!T42</f>
        <v>0</v>
      </c>
      <c r="E34" s="377">
        <f>Gen!AT40</f>
        <v>39824.729999999989</v>
      </c>
      <c r="F34" s="378">
        <f>'Water-Meter'!E37</f>
        <v>0</v>
      </c>
      <c r="G34" s="379">
        <f>'Water-Meter'!AN37</f>
        <v>914</v>
      </c>
      <c r="H34" s="377">
        <f>'Utility report '!AC37</f>
        <v>0</v>
      </c>
      <c r="I34" s="376">
        <f>'Kit report'!F33</f>
        <v>0</v>
      </c>
      <c r="J34" s="377">
        <f>'Kit report'!X33</f>
        <v>0</v>
      </c>
    </row>
    <row r="35" spans="1:10" ht="15">
      <c r="A35" s="205">
        <f>Gen!A41</f>
        <v>44347</v>
      </c>
      <c r="B35" s="381"/>
      <c r="C35" s="422">
        <f>Gen!AJ41</f>
        <v>0</v>
      </c>
      <c r="D35" s="423">
        <f>Gen!T43</f>
        <v>0</v>
      </c>
      <c r="E35" s="377">
        <f>Gen!AT41</f>
        <v>39824.729999999989</v>
      </c>
      <c r="F35" s="378">
        <f>'Water-Meter'!E38</f>
        <v>1323</v>
      </c>
      <c r="G35" s="379">
        <f>'Water-Meter'!AN38</f>
        <v>914</v>
      </c>
      <c r="H35" s="377">
        <f>'Utility report '!AC38</f>
        <v>0</v>
      </c>
      <c r="I35" s="376">
        <f>'Kit report'!F34</f>
        <v>0</v>
      </c>
      <c r="J35" s="377">
        <f>'Kit report'!X34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FC3B6A-F63B-42FE-9A5D-398EE53DE8C0}"/>
</file>

<file path=customXml/itemProps2.xml><?xml version="1.0" encoding="utf-8"?>
<ds:datastoreItem xmlns:ds="http://schemas.openxmlformats.org/officeDocument/2006/customXml" ds:itemID="{77CFE40D-3B88-4930-9CD4-D020803B2A81}"/>
</file>

<file path=customXml/itemProps3.xml><?xml version="1.0" encoding="utf-8"?>
<ds:datastoreItem xmlns:ds="http://schemas.openxmlformats.org/officeDocument/2006/customXml" ds:itemID="{A5FF6829-AE3F-474D-8584-53673DD0A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Aziz Mbungiro</cp:lastModifiedBy>
  <cp:revision/>
  <dcterms:created xsi:type="dcterms:W3CDTF">2009-01-25T09:02:38Z</dcterms:created>
  <dcterms:modified xsi:type="dcterms:W3CDTF">2021-05-27T05:39:04Z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