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38C0D568-71EA-435F-82B7-95712F006BAA}" xr6:coauthVersionLast="47" xr6:coauthVersionMax="47" xr10:uidLastSave="{00000000-0000-0000-0000-000000000000}"/>
  <bookViews>
    <workbookView xWindow="-108" yWindow="-108" windowWidth="23256" windowHeight="12456" tabRatio="599" xr2:uid="{00000000-000D-0000-FFFF-FFFF00000000}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7" i="9" l="1"/>
  <c r="I8" i="9"/>
  <c r="I9" i="9"/>
  <c r="J12" i="11"/>
  <c r="J31" i="11"/>
  <c r="J30" i="11"/>
  <c r="J29" i="11"/>
  <c r="J32" i="11"/>
  <c r="J35" i="11"/>
  <c r="J26" i="11"/>
  <c r="J25" i="11"/>
  <c r="J24" i="11"/>
  <c r="J23" i="11"/>
  <c r="J22" i="11"/>
  <c r="J21" i="11"/>
  <c r="J19" i="11"/>
  <c r="J18" i="11"/>
  <c r="J17" i="11"/>
  <c r="J16" i="11"/>
  <c r="J10" i="11"/>
  <c r="J9" i="11"/>
  <c r="J8" i="11"/>
  <c r="J7" i="11"/>
  <c r="J6" i="11"/>
  <c r="J4" i="11"/>
  <c r="J3" i="1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T3" i="10"/>
  <c r="M3" i="10"/>
  <c r="F3" i="10"/>
  <c r="T2" i="10"/>
  <c r="M2" i="10"/>
  <c r="F2" i="10"/>
  <c r="F64" i="10" l="1"/>
  <c r="M64" i="10"/>
  <c r="T64" i="10"/>
  <c r="B16" i="2"/>
  <c r="D16" i="2"/>
  <c r="E17" i="2" s="1"/>
  <c r="F16" i="2"/>
  <c r="H16" i="2"/>
  <c r="I17" i="2" s="1"/>
  <c r="J16" i="2"/>
  <c r="K17" i="2" s="1"/>
  <c r="L16" i="2"/>
  <c r="M17" i="2" s="1"/>
  <c r="N16" i="2"/>
  <c r="T16" i="2"/>
  <c r="C17" i="2"/>
  <c r="G17" i="2"/>
  <c r="O17" i="2"/>
  <c r="W13" i="4" l="1"/>
  <c r="T5" i="2" l="1"/>
  <c r="T7" i="2" s="1"/>
  <c r="T8" i="2" s="1"/>
  <c r="T13" i="2" s="1"/>
  <c r="T22" i="2" s="1"/>
  <c r="R5" i="2"/>
  <c r="R6" i="2" s="1"/>
  <c r="R7" i="2" s="1"/>
  <c r="R8" i="2" s="1"/>
  <c r="R9" i="2" s="1"/>
  <c r="R10" i="2" s="1"/>
  <c r="R11" i="2" s="1"/>
  <c r="R12" i="2" s="1"/>
  <c r="R13" i="2" s="1"/>
  <c r="R14" i="2" s="1"/>
  <c r="R15" i="2" s="1"/>
  <c r="R16" i="2" s="1"/>
  <c r="P5" i="2"/>
  <c r="P6" i="2" s="1"/>
  <c r="P13" i="2" s="1"/>
  <c r="P14" i="2" s="1"/>
  <c r="P15" i="2" s="1"/>
  <c r="P16" i="2" s="1"/>
  <c r="P17" i="2" s="1"/>
  <c r="N13" i="2"/>
  <c r="L13" i="2"/>
  <c r="J13" i="2"/>
  <c r="H13" i="2"/>
  <c r="F13" i="2"/>
  <c r="D13" i="2"/>
  <c r="B13" i="2"/>
  <c r="R17" i="2" l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2" i="2" s="1"/>
  <c r="R33" i="2" s="1"/>
  <c r="J20" i="11" s="1"/>
  <c r="Q17" i="2"/>
  <c r="P18" i="2"/>
  <c r="P19" i="2" s="1"/>
  <c r="P23" i="2" s="1"/>
  <c r="P25" i="2" s="1"/>
  <c r="P28" i="2" s="1"/>
  <c r="P29" i="2" s="1"/>
  <c r="P30" i="2" s="1"/>
  <c r="S2" i="1"/>
  <c r="P2" i="1"/>
  <c r="M2" i="1"/>
  <c r="J2" i="1"/>
  <c r="G2" i="1"/>
  <c r="D2" i="1"/>
  <c r="Z2" i="4"/>
  <c r="X2" i="4"/>
  <c r="I2" i="4"/>
  <c r="J2" i="3"/>
  <c r="K2" i="3" s="1"/>
  <c r="C3" i="2"/>
  <c r="E3" i="2"/>
  <c r="T2" i="1" l="1"/>
  <c r="U2" i="1" s="1"/>
  <c r="Y2" i="4"/>
  <c r="S28" i="4"/>
  <c r="H19" i="4" l="1"/>
  <c r="H20" i="4"/>
  <c r="B34" i="4" l="1"/>
  <c r="C8" i="2" l="1"/>
  <c r="C9" i="2"/>
  <c r="C10" i="2"/>
  <c r="C11" i="2"/>
  <c r="C12" i="2"/>
  <c r="C13" i="2"/>
  <c r="C14" i="2"/>
  <c r="C15" i="2"/>
  <c r="C16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K32" i="9"/>
  <c r="AB32" i="8"/>
  <c r="AA32" i="8"/>
  <c r="X32" i="8"/>
  <c r="E12" i="2" l="1"/>
  <c r="R33" i="1"/>
  <c r="W32" i="8" s="1"/>
  <c r="O33" i="1"/>
  <c r="U32" i="8" s="1"/>
  <c r="L33" i="1"/>
  <c r="V32" i="8" s="1"/>
  <c r="I33" i="1"/>
  <c r="T32" i="8" s="1"/>
  <c r="F33" i="1"/>
  <c r="S32" i="8" s="1"/>
  <c r="C33" i="1"/>
  <c r="R32" i="8" s="1"/>
  <c r="AG33" i="1"/>
  <c r="AE33" i="1"/>
  <c r="AC33" i="1"/>
  <c r="AA33" i="1"/>
  <c r="Y33" i="1"/>
  <c r="C33" i="5"/>
  <c r="G32" i="9" s="1"/>
  <c r="I33" i="3"/>
  <c r="H32" i="8" s="1"/>
  <c r="G33" i="3"/>
  <c r="G32" i="8" s="1"/>
  <c r="E33" i="3"/>
  <c r="F32" i="8" s="1"/>
  <c r="C33" i="3"/>
  <c r="E32" i="8" s="1"/>
  <c r="W33" i="4"/>
  <c r="P32" i="8" s="1"/>
  <c r="S33" i="4"/>
  <c r="O32" i="8" s="1"/>
  <c r="Q33" i="4"/>
  <c r="N32" i="8" s="1"/>
  <c r="O33" i="4"/>
  <c r="M32" i="8" s="1"/>
  <c r="M33" i="4"/>
  <c r="L32" i="8" s="1"/>
  <c r="K33" i="4"/>
  <c r="K32" i="8" s="1"/>
  <c r="F33" i="4"/>
  <c r="I32" i="8" s="1"/>
  <c r="D33" i="4"/>
  <c r="Q32" i="8" s="1"/>
  <c r="U34" i="4"/>
  <c r="T34" i="4"/>
  <c r="AD32" i="8" l="1"/>
  <c r="AE32" i="8" s="1"/>
  <c r="J33" i="3"/>
  <c r="K33" i="3" s="1"/>
  <c r="H21" i="4"/>
  <c r="E13" i="2"/>
  <c r="K25" i="4"/>
  <c r="K32" i="4"/>
  <c r="K24" i="4"/>
  <c r="K31" i="4"/>
  <c r="K23" i="4"/>
  <c r="K30" i="4"/>
  <c r="K20" i="4"/>
  <c r="K29" i="4"/>
  <c r="K19" i="4"/>
  <c r="K26" i="4"/>
  <c r="K18" i="4"/>
  <c r="Z33" i="4"/>
  <c r="X33" i="4"/>
  <c r="K28" i="4"/>
  <c r="K22" i="4"/>
  <c r="K27" i="4"/>
  <c r="K21" i="4"/>
  <c r="H9" i="4"/>
  <c r="K7" i="9"/>
  <c r="I32" i="9" l="1"/>
  <c r="H22" i="4"/>
  <c r="E14" i="2"/>
  <c r="G4" i="3"/>
  <c r="H23" i="4" l="1"/>
  <c r="E15" i="2"/>
  <c r="H33" i="4" l="1"/>
  <c r="H24" i="4"/>
  <c r="E16" i="2"/>
  <c r="J32" i="8" l="1"/>
  <c r="Y32" i="8" s="1"/>
  <c r="I33" i="4"/>
  <c r="Y33" i="4" s="1"/>
  <c r="AC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4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O34" i="4" l="1"/>
  <c r="W34" i="4"/>
  <c r="S34" i="4"/>
  <c r="Q34" i="4"/>
  <c r="M34" i="4"/>
  <c r="K34" i="4"/>
  <c r="I14" i="4"/>
  <c r="F34" i="4"/>
  <c r="D3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11" i="11"/>
  <c r="AA25" i="4" l="1"/>
  <c r="Z34" i="4"/>
  <c r="Y14" i="4"/>
  <c r="X34" i="4"/>
  <c r="E20" i="2"/>
  <c r="AA33" i="4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4" i="4" l="1"/>
  <c r="E21" i="2"/>
  <c r="AE7" i="1"/>
  <c r="E22" i="2" l="1"/>
  <c r="AE8" i="1"/>
  <c r="AC6" i="8"/>
  <c r="E23" i="2" l="1"/>
  <c r="M3" i="2"/>
  <c r="M34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4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C13" i="8"/>
  <c r="AA12" i="8"/>
  <c r="E30" i="2" l="1"/>
  <c r="AE23" i="1"/>
  <c r="AC14" i="8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3" i="2" l="1"/>
  <c r="E32" i="2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4" i="2" s="1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A21" i="8"/>
  <c r="F3" i="8"/>
  <c r="E3" i="3"/>
  <c r="E34" i="3" s="1"/>
  <c r="Y3" i="1"/>
  <c r="G29" i="9"/>
  <c r="AE34" i="1" l="1"/>
  <c r="Y34" i="1"/>
  <c r="AA22" i="8"/>
  <c r="AA23" i="8" l="1"/>
  <c r="AA24" i="8" l="1"/>
  <c r="AA25" i="8" l="1"/>
  <c r="AA26" i="8" l="1"/>
  <c r="AA27" i="8" l="1"/>
  <c r="AA28" i="8" l="1"/>
  <c r="AC30" i="8" l="1"/>
  <c r="AC31" i="8"/>
  <c r="AA29" i="8"/>
  <c r="AA30" i="8" l="1"/>
  <c r="C34" i="2"/>
  <c r="E34" i="2"/>
  <c r="G3" i="2"/>
  <c r="G34" i="2" s="1"/>
  <c r="I3" i="2"/>
  <c r="I34" i="2" s="1"/>
  <c r="O3" i="2"/>
  <c r="O34" i="2" s="1"/>
  <c r="U3" i="2"/>
  <c r="U34" i="2" s="1"/>
  <c r="AC3" i="8" l="1"/>
  <c r="AA31" i="8"/>
  <c r="AB4" i="8"/>
  <c r="S5" i="2"/>
  <c r="AC4" i="8" l="1"/>
  <c r="AB3" i="8"/>
  <c r="Z4" i="8"/>
  <c r="E4" i="9" l="1"/>
  <c r="Z3" i="8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W3" i="8" l="1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7" i="3"/>
  <c r="G16" i="8" s="1"/>
  <c r="G18" i="3"/>
  <c r="G17" i="8" s="1"/>
  <c r="G15" i="8" l="1"/>
  <c r="S33" i="1"/>
  <c r="S34" i="1" s="1"/>
  <c r="O34" i="1"/>
  <c r="P33" i="1"/>
  <c r="P34" i="1" s="1"/>
  <c r="L34" i="1"/>
  <c r="M33" i="1"/>
  <c r="M34" i="1" s="1"/>
  <c r="I34" i="1"/>
  <c r="J33" i="1"/>
  <c r="J34" i="1" s="1"/>
  <c r="F34" i="1"/>
  <c r="G33" i="1"/>
  <c r="G34" i="1" s="1"/>
  <c r="C34" i="1"/>
  <c r="T33" i="1"/>
  <c r="U33" i="1" s="1"/>
  <c r="D33" i="1"/>
  <c r="D34" i="1" s="1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4" i="3" l="1"/>
  <c r="J4" i="3" s="1"/>
  <c r="C5" i="3"/>
  <c r="E4" i="8" s="1"/>
  <c r="C6" i="3"/>
  <c r="E5" i="8" s="1"/>
  <c r="C7" i="3"/>
  <c r="E6" i="8" s="1"/>
  <c r="E3" i="8" l="1"/>
  <c r="AD3" i="8" s="1"/>
  <c r="F2" i="8"/>
  <c r="AB2" i="8"/>
  <c r="AC2" i="8"/>
  <c r="S18" i="2"/>
  <c r="AC17" i="8" s="1"/>
  <c r="S19" i="2"/>
  <c r="AC18" i="8" s="1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17" i="2" s="1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AC22" i="8" l="1"/>
  <c r="G18" i="8"/>
  <c r="H15" i="8"/>
  <c r="I34" i="3"/>
  <c r="Z22" i="8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AC16" i="8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4" i="3" l="1"/>
  <c r="E8" i="9"/>
  <c r="E5" i="9"/>
  <c r="S33" i="2"/>
  <c r="S34" i="2" s="1"/>
  <c r="E16" i="9"/>
  <c r="E15" i="9"/>
  <c r="E17" i="9"/>
  <c r="AE5" i="8"/>
  <c r="I5" i="9" s="1"/>
  <c r="AE6" i="8"/>
  <c r="I6" i="9" s="1"/>
  <c r="AE9" i="8"/>
  <c r="AE8" i="8"/>
  <c r="AE7" i="8"/>
  <c r="D9" i="11"/>
  <c r="I2" i="9"/>
  <c r="U6" i="1"/>
  <c r="K6" i="3"/>
  <c r="C22" i="11"/>
  <c r="D22" i="11" s="1"/>
  <c r="U4" i="1"/>
  <c r="T12" i="1"/>
  <c r="U12" i="1" s="1"/>
  <c r="Y2" i="8"/>
  <c r="E2" i="9" s="1"/>
  <c r="AC32" i="8" l="1"/>
  <c r="Z10" i="8"/>
  <c r="E10" i="9" s="1"/>
  <c r="AE4" i="8"/>
  <c r="I4" i="9" s="1"/>
  <c r="Z11" i="8"/>
  <c r="E11" i="9" s="1"/>
  <c r="Z12" i="8"/>
  <c r="E12" i="9" s="1"/>
  <c r="T30" i="1" l="1"/>
  <c r="U30" i="1" s="1"/>
  <c r="Z32" i="8" l="1"/>
  <c r="E32" i="9" s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4" i="3" s="1"/>
  <c r="J29" i="3"/>
  <c r="K29" i="3" s="1"/>
  <c r="E29" i="8" l="1"/>
  <c r="AD29" i="8" s="1"/>
  <c r="AE27" i="8"/>
  <c r="I27" i="9" s="1"/>
  <c r="J30" i="3"/>
  <c r="AE28" i="8" l="1"/>
  <c r="I28" i="9" s="1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C34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AA34" i="4"/>
</calcChain>
</file>

<file path=xl/sharedStrings.xml><?xml version="1.0" encoding="utf-8"?>
<sst xmlns="http://schemas.openxmlformats.org/spreadsheetml/2006/main" count="516" uniqueCount="155">
  <si>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</si>
  <si>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</si>
  <si>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</si>
  <si>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</si>
  <si>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</si>
  <si>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</si>
  <si>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</si>
  <si>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</si>
  <si>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</si>
  <si>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</si>
  <si>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</si>
  <si>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</si>
  <si>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</si>
  <si>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</si>
  <si>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</si>
  <si>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</si>
  <si>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</si>
  <si>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</si>
  <si>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</si>
  <si>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</si>
  <si>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</si>
  <si>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</si>
  <si>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</si>
  <si>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</si>
  <si>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</si>
  <si>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</si>
  <si>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</si>
  <si>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</si>
  <si>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</si>
  <si>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</si>
  <si>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</si>
  <si>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</si>
  <si>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</si>
  <si>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</si>
  <si>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</si>
  <si>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</si>
  <si>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</si>
  <si>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</si>
  <si>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</si>
  <si>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</si>
  <si>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</si>
  <si>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</si>
  <si>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</si>
  <si>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</si>
  <si>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</si>
  <si>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</si>
  <si>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</si>
  <si>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</si>
  <si>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</si>
  <si>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</si>
  <si>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</si>
  <si>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</si>
  <si>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</si>
  <si>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</si>
  <si>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</si>
  <si>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</si>
  <si>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</si>
  <si>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</si>
  <si>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</si>
  <si>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</si>
  <si>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</si>
  <si>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</si>
  <si>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</si>
  <si>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</si>
  <si>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</si>
  <si>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</si>
  <si>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</si>
  <si>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</si>
  <si>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</si>
  <si>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</si>
  <si>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</si>
  <si>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</si>
  <si>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</si>
  <si>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</si>
  <si>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</si>
  <si>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</si>
  <si>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</si>
  <si>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</si>
  <si>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</si>
  <si>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</si>
  <si>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</si>
  <si>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</si>
  <si>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</si>
  <si>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</si>
  <si>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</si>
  <si>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</si>
  <si>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</si>
  <si>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</si>
  <si>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</si>
  <si>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</si>
  <si>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</si>
  <si>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</si>
  <si>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</si>
  <si>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</si>
  <si>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</si>
  <si>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</si>
  <si>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</si>
  <si>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</si>
  <si>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</si>
  <si>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</si>
  <si>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</si>
  <si>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</si>
  <si>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</si>
  <si>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</si>
  <si>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</si>
  <si>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</si>
  <si>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</si>
  <si>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</si>
  <si>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</si>
  <si>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</si>
  <si>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</si>
  <si>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</si>
  <si>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</si>
  <si>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</si>
  <si>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</si>
  <si>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</si>
  <si>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</si>
  <si>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</si>
  <si>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</si>
  <si>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</si>
  <si>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</si>
  <si>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</si>
  <si>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</si>
  <si>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</si>
  <si>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</si>
  <si>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</si>
  <si>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</si>
  <si>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</si>
  <si>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</si>
  <si>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</si>
  <si>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</si>
  <si>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</si>
  <si>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</si>
  <si>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</si>
  <si>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</si>
  <si>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</si>
  <si>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</si>
  <si>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</si>
  <si>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</si>
  <si>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</si>
  <si>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</si>
  <si>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</si>
  <si>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</si>
  <si>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</si>
  <si>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</si>
  <si>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May. 2022</t>
  </si>
  <si>
    <t>Acutal till    Jun. 2022</t>
  </si>
  <si>
    <t>Acutal till June. 2022</t>
  </si>
  <si>
    <t>Acutal till   July. 2022</t>
  </si>
  <si>
    <t>Acutal till July. 2022</t>
  </si>
  <si>
    <t>Acutal till   Aug. 2022</t>
  </si>
  <si>
    <t>Energy Monthly Statement Aug 2022</t>
  </si>
  <si>
    <t>Electricity Consumption(KWh)</t>
  </si>
  <si>
    <t>Water Consumption(M3)</t>
  </si>
  <si>
    <t>Gas Consumption(M3)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</si>
</sst>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#,##0.0"/>
    <numFmt numFmtId="167" formatCode="[$-409]d\-mmm\-yyyy;@"/>
    <numFmt numFmtId="168" formatCode="0.000"/>
    <numFmt numFmtId="169" formatCode="0;[Red]0"/>
    <numFmt numFmtId="170" formatCode="[$-409]d\-mmm;@"/>
    <numFmt numFmtId="171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  <font>
      <sz val="10"/>
      <color rgb="FFFFFF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7" fontId="11" fillId="2" borderId="0" applyNumberFormat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167" fontId="1" fillId="0" borderId="0"/>
    <xf numFmtId="0" fontId="1" fillId="0" borderId="0"/>
    <xf numFmtId="0" fontId="3" fillId="0" borderId="0"/>
    <xf numFmtId="0" fontId="1" fillId="0" borderId="0"/>
    <xf numFmtId="167" fontId="1" fillId="0" borderId="0"/>
    <xf numFmtId="167" fontId="1" fillId="0" borderId="0"/>
    <xf numFmtId="0" fontId="1" fillId="0" borderId="0"/>
    <xf numFmtId="167" fontId="25" fillId="0" borderId="0"/>
    <xf numFmtId="0" fontId="1" fillId="0" borderId="0"/>
    <xf numFmtId="0" fontId="1" fillId="0" borderId="0"/>
    <xf numFmtId="167" fontId="39" fillId="0" borderId="0"/>
  </cellStyleXfs>
  <cellXfs count="179">
    <xf numFmtId="0" fontId="0" fillId="0" borderId="0" xfId="0"/>
    <xf numFmtId="0" fontId="4" fillId="0" borderId="1" xfId="0" applyFont="1" applyBorder="1" applyAlignment="1">
      <alignment horizontal="center"/>
    </xf>
    <xf numFmtId="167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7" fontId="7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67" fontId="4" fillId="0" borderId="1" xfId="0" applyNumberFormat="1" applyFont="1" applyBorder="1" applyAlignment="1">
      <alignment horizontal="center" vertical="center"/>
    </xf>
    <xf numFmtId="167" fontId="6" fillId="0" borderId="2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7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2" fillId="0" borderId="0" xfId="0" applyFont="1"/>
    <xf numFmtId="167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8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Border="1" applyAlignment="1">
      <alignment horizontal="center" vertical="center"/>
    </xf>
    <xf numFmtId="165" fontId="1" fillId="0" borderId="1" xfId="13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165" fontId="34" fillId="0" borderId="1" xfId="0" applyNumberFormat="1" applyFont="1" applyBorder="1" applyAlignment="1">
      <alignment horizontal="center" vertical="center"/>
    </xf>
    <xf numFmtId="165" fontId="34" fillId="0" borderId="0" xfId="0" applyNumberFormat="1" applyFont="1" applyAlignment="1">
      <alignment horizontal="center" vertical="center"/>
    </xf>
    <xf numFmtId="0" fontId="34" fillId="0" borderId="0" xfId="13" applyFont="1" applyAlignment="1">
      <alignment horizontal="center" vertical="center"/>
    </xf>
    <xf numFmtId="0" fontId="1" fillId="0" borderId="0" xfId="13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166" fontId="34" fillId="0" borderId="1" xfId="0" applyNumberFormat="1" applyFont="1" applyBorder="1" applyAlignment="1">
      <alignment horizontal="center" vertical="center"/>
    </xf>
    <xf numFmtId="166" fontId="34" fillId="0" borderId="0" xfId="0" applyNumberFormat="1" applyFont="1" applyAlignment="1">
      <alignment horizontal="center" vertical="center"/>
    </xf>
    <xf numFmtId="0" fontId="1" fillId="16" borderId="1" xfId="13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Border="1" applyAlignment="1">
      <alignment horizontal="center" vertical="center"/>
    </xf>
    <xf numFmtId="166" fontId="34" fillId="0" borderId="1" xfId="13" applyNumberFormat="1" applyFont="1" applyBorder="1" applyAlignment="1">
      <alignment horizontal="center" vertical="center"/>
    </xf>
    <xf numFmtId="166" fontId="34" fillId="0" borderId="0" xfId="13" applyNumberFormat="1" applyFont="1" applyAlignment="1">
      <alignment horizontal="center" vertical="center"/>
    </xf>
    <xf numFmtId="166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6" fontId="34" fillId="0" borderId="8" xfId="13" applyNumberFormat="1" applyFont="1" applyBorder="1" applyAlignment="1">
      <alignment horizontal="center" vertical="center"/>
    </xf>
    <xf numFmtId="166" fontId="37" fillId="0" borderId="1" xfId="0" applyNumberFormat="1" applyFont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34" fillId="0" borderId="0" xfId="13" applyFont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Border="1"/>
    <xf numFmtId="1" fontId="1" fillId="16" borderId="4" xfId="0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9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70" fontId="0" fillId="0" borderId="0" xfId="0" applyNumberFormat="1"/>
    <xf numFmtId="170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1" fontId="29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8" fontId="0" fillId="0" borderId="0" xfId="0" applyNumberFormat="1"/>
    <xf numFmtId="0" fontId="1" fillId="0" borderId="0" xfId="8"/>
    <xf numFmtId="0" fontId="1" fillId="0" borderId="6" xfId="8" applyBorder="1"/>
    <xf numFmtId="0" fontId="1" fillId="3" borderId="0" xfId="8" applyFill="1"/>
    <xf numFmtId="0" fontId="1" fillId="0" borderId="0" xfId="14"/>
    <xf numFmtId="17" fontId="2" fillId="0" borderId="0" xfId="14" applyNumberFormat="1" applyFont="1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0" fontId="1" fillId="21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left"/>
    </xf>
    <xf numFmtId="0" fontId="1" fillId="21" borderId="0" xfId="0" applyFont="1" applyFill="1"/>
    <xf numFmtId="0" fontId="1" fillId="21" borderId="0" xfId="0" applyFont="1" applyFill="1" applyAlignment="1">
      <alignment horizontal="right"/>
    </xf>
    <xf numFmtId="0" fontId="0" fillId="21" borderId="0" xfId="0" applyFill="1"/>
    <xf numFmtId="0" fontId="41" fillId="21" borderId="0" xfId="0" applyFont="1" applyFill="1" applyAlignment="1">
      <alignment horizontal="left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Alignment="1">
      <alignment horizontal="left" vertical="center"/>
    </xf>
  </cellXfs>
  <cellStyles count="16">
    <cellStyle name="Bad" xfId="1" builtinId="27" customBuiltin="1"/>
    <cellStyle name="Bad 2" xfId="2" xr:uid="{00000000-0005-0000-0000-000001000000}"/>
    <cellStyle name="Comma" xfId="3" builtinId="3"/>
    <cellStyle name="Normal" xfId="0" builtinId="0"/>
    <cellStyle name="Normal 12" xfId="4" xr:uid="{00000000-0005-0000-0000-000004000000}"/>
    <cellStyle name="Normal 12 2" xfId="5" xr:uid="{00000000-0005-0000-0000-000005000000}"/>
    <cellStyle name="Normal 12 3" xfId="14" xr:uid="{00000000-0005-0000-0000-000006000000}"/>
    <cellStyle name="Normal 12_Plaza and residential" xfId="6" xr:uid="{00000000-0005-0000-0000-000007000000}"/>
    <cellStyle name="Normal 14" xfId="7" xr:uid="{00000000-0005-0000-0000-000008000000}"/>
    <cellStyle name="Normal 14 2" xfId="8" xr:uid="{00000000-0005-0000-0000-000009000000}"/>
    <cellStyle name="Normal 14 2 2" xfId="9" xr:uid="{00000000-0005-0000-0000-00000A000000}"/>
    <cellStyle name="Normal 14 3" xfId="10" xr:uid="{00000000-0005-0000-0000-00000B000000}"/>
    <cellStyle name="Normal 14_Plaza and residential" xfId="11" xr:uid="{00000000-0005-0000-0000-00000C000000}"/>
    <cellStyle name="Normal 2" xfId="12" xr:uid="{00000000-0005-0000-0000-00000D000000}"/>
    <cellStyle name="Normal 2 2" xfId="15" xr:uid="{00000000-0005-0000-0000-00000E000000}"/>
    <cellStyle name="Normal_~0313373" xfId="13" xr:uid="{00000000-0005-0000-0000-00000F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N32"/>
  <sheetViews>
    <sheetView tabSelected="1" zoomScale="85" zoomScaleNormal="85" workbookViewId="0">
      <pane ySplit="1" topLeftCell="A2" activePane="bottomLeft" state="frozen"/>
      <selection pane="bottomLeft" activeCell="J4" sqref="J4"/>
    </sheetView>
  </sheetViews>
  <sheetFormatPr defaultColWidth="11.5546875" defaultRowHeight="13.2" x14ac:dyDescent="0.25"/>
  <cols>
    <col min="1" max="1" width="15.88671875" style="45" bestFit="1" customWidth="1"/>
    <col min="2" max="3" width="11.5546875" style="50"/>
    <col min="4" max="4" width="13.44140625" style="50" customWidth="1"/>
    <col min="5" max="6" width="12.5546875" style="12" customWidth="1"/>
    <col min="7" max="7" width="12.109375" style="12" customWidth="1"/>
    <col min="8" max="11" width="11.5546875" style="12"/>
  </cols>
  <sheetData>
    <row r="1" spans="1:14" s="31" customFormat="1" ht="43.2" x14ac:dyDescent="0.3">
      <c r="A1" s="44" t="s">
        <v>45</v>
      </c>
      <c r="B1" s="48" t="s">
        <v>0</v>
      </c>
      <c r="C1" s="48" t="s">
        <v>46</v>
      </c>
      <c r="D1" s="48" t="s">
        <v>47</v>
      </c>
      <c r="E1" s="47" t="s">
        <v>48</v>
      </c>
      <c r="F1" s="47" t="s">
        <v>49</v>
      </c>
      <c r="G1" s="47" t="s">
        <v>74</v>
      </c>
      <c r="H1" s="47" t="s">
        <v>75</v>
      </c>
      <c r="I1" s="47" t="s">
        <v>50</v>
      </c>
      <c r="J1" s="47" t="s">
        <v>51</v>
      </c>
      <c r="K1" s="47" t="s">
        <v>52</v>
      </c>
    </row>
    <row r="2" spans="1:14" x14ac:dyDescent="0.25">
      <c r="A2" s="45" t="s">
        <v>53</v>
      </c>
      <c r="B2" s="50">
        <v>1</v>
      </c>
      <c r="C2" s="50">
        <v>8</v>
      </c>
      <c r="D2" s="50">
        <v>2022</v>
      </c>
      <c r="E2" s="34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84560.415768000006</v>
      </c>
      <c r="F2" s="12">
        <v>1.27</v>
      </c>
      <c r="G2" s="34">
        <f>Gas!C3*0.9147</f>
        <v>1906.2348</v>
      </c>
      <c r="H2" s="12">
        <v>3.65</v>
      </c>
      <c r="I2" s="35">
        <f>Submetering!H2+Submetering!AD2+Submetering!AE2</f>
        <v>1036.0000000000002</v>
      </c>
      <c r="J2" s="35">
        <v>10.029999999999999</v>
      </c>
      <c r="K2" s="34">
        <f>ELECT.!B3</f>
        <v>0</v>
      </c>
    </row>
    <row r="3" spans="1:14" x14ac:dyDescent="0.25">
      <c r="A3" s="45" t="s">
        <v>53</v>
      </c>
      <c r="B3" s="50">
        <f>B2+1</f>
        <v>2</v>
      </c>
      <c r="C3" s="50">
        <v>8</v>
      </c>
      <c r="D3" s="50">
        <v>2022</v>
      </c>
      <c r="E3" s="34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64846.018592</v>
      </c>
      <c r="F3" s="12">
        <v>1.27</v>
      </c>
      <c r="G3" s="34">
        <f>Gas!C4*0.9147</f>
        <v>1973.0078999999998</v>
      </c>
      <c r="H3" s="12">
        <v>3.65</v>
      </c>
      <c r="I3" s="35">
        <f>Submetering!H3+Submetering!AD3+Submetering!AE3</f>
        <v>796.00000000000011</v>
      </c>
      <c r="J3" s="35">
        <v>10.029999999999999</v>
      </c>
      <c r="K3" s="34">
        <f>ELECT.!B4</f>
        <v>195</v>
      </c>
    </row>
    <row r="4" spans="1:14" x14ac:dyDescent="0.25">
      <c r="A4" s="45" t="s">
        <v>53</v>
      </c>
      <c r="B4" s="50">
        <f t="shared" ref="B4:B32" si="0">B3+1</f>
        <v>3</v>
      </c>
      <c r="C4" s="50">
        <v>8</v>
      </c>
      <c r="D4" s="50">
        <v>2022</v>
      </c>
      <c r="E4" s="34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78015.970851999999</v>
      </c>
      <c r="F4" s="12">
        <v>1.27</v>
      </c>
      <c r="G4" s="34">
        <f>Gas!C5*0.9147</f>
        <v>1877.8790999999999</v>
      </c>
      <c r="H4" s="12">
        <v>3.65</v>
      </c>
      <c r="I4" s="35">
        <f>Submetering!H4+Submetering!AD4+Submetering!AE4</f>
        <v>1015.9999999999999</v>
      </c>
      <c r="J4" s="35">
        <v>10.029999999999999</v>
      </c>
      <c r="K4" s="34">
        <f>ELECT.!B5</f>
        <v>180</v>
      </c>
    </row>
    <row r="5" spans="1:14" x14ac:dyDescent="0.25">
      <c r="A5" s="45" t="s">
        <v>53</v>
      </c>
      <c r="B5" s="50">
        <f t="shared" si="0"/>
        <v>4</v>
      </c>
      <c r="C5" s="50">
        <v>8</v>
      </c>
      <c r="D5" s="50">
        <v>2022</v>
      </c>
      <c r="E5" s="34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91948.480460000006</v>
      </c>
      <c r="F5" s="12">
        <v>1.27</v>
      </c>
      <c r="G5" s="34">
        <f>Gas!C6*0.9147</f>
        <v>2274.8588999999997</v>
      </c>
      <c r="H5" s="12">
        <v>3.65</v>
      </c>
      <c r="I5" s="35">
        <f>Submetering!H5+Submetering!AD5+Submetering!AE5</f>
        <v>1686</v>
      </c>
      <c r="J5" s="35">
        <v>10.029999999999999</v>
      </c>
      <c r="K5" s="34">
        <f>ELECT.!B6</f>
        <v>201</v>
      </c>
    </row>
    <row r="6" spans="1:14" x14ac:dyDescent="0.25">
      <c r="A6" s="45" t="s">
        <v>53</v>
      </c>
      <c r="B6" s="50">
        <f t="shared" si="0"/>
        <v>5</v>
      </c>
      <c r="C6" s="50">
        <v>8</v>
      </c>
      <c r="D6" s="50">
        <v>2022</v>
      </c>
      <c r="E6" s="34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81554.5913</v>
      </c>
      <c r="F6" s="12">
        <v>1.27</v>
      </c>
      <c r="G6" s="34">
        <f>Gas!C7*0.9147</f>
        <v>1224.7833000000001</v>
      </c>
      <c r="H6" s="12">
        <v>3.65</v>
      </c>
      <c r="I6" s="35">
        <f>Submetering!H6+Submetering!AD6+Submetering!AE6</f>
        <v>626</v>
      </c>
      <c r="J6" s="35">
        <v>10.029999999999999</v>
      </c>
      <c r="K6" s="34">
        <f>ELECT.!B7</f>
        <v>198</v>
      </c>
    </row>
    <row r="7" spans="1:14" x14ac:dyDescent="0.25">
      <c r="A7" s="45" t="s">
        <v>53</v>
      </c>
      <c r="B7" s="50">
        <f t="shared" si="0"/>
        <v>6</v>
      </c>
      <c r="C7" s="50">
        <v>8</v>
      </c>
      <c r="D7" s="50">
        <v>2022</v>
      </c>
      <c r="E7" s="34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57165.183755999999</v>
      </c>
      <c r="F7" s="12">
        <v>1.27</v>
      </c>
      <c r="G7" s="34">
        <f>Gas!C8*0.9147</f>
        <v>1317.1679999999999</v>
      </c>
      <c r="H7" s="12">
        <v>3.65</v>
      </c>
      <c r="I7" s="35">
        <f>Submetering!H7+Submetering!AD7+Submetering!AE7</f>
        <v>-104.00000000000001</v>
      </c>
      <c r="J7" s="35">
        <v>10.029999999999999</v>
      </c>
      <c r="K7" s="34">
        <f>ELECT.!B8</f>
        <v>195</v>
      </c>
    </row>
    <row r="8" spans="1:14" x14ac:dyDescent="0.25">
      <c r="A8" s="45" t="s">
        <v>53</v>
      </c>
      <c r="B8" s="50">
        <f t="shared" si="0"/>
        <v>7</v>
      </c>
      <c r="C8" s="50">
        <v>8</v>
      </c>
      <c r="D8" s="50">
        <v>2022</v>
      </c>
      <c r="E8" s="34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83503.326263999988</v>
      </c>
      <c r="F8" s="12">
        <v>1.27</v>
      </c>
      <c r="G8" s="34">
        <f>Gas!C9*0.9147</f>
        <v>1249.4802</v>
      </c>
      <c r="H8" s="12">
        <v>3.65</v>
      </c>
      <c r="I8" s="35">
        <f>Submetering!H8+Submetering!AD8+Submetering!AE8</f>
        <v>636</v>
      </c>
      <c r="J8" s="35">
        <v>10.029999999999999</v>
      </c>
      <c r="K8" s="34">
        <f>ELECT.!B9</f>
        <v>185</v>
      </c>
    </row>
    <row r="9" spans="1:14" x14ac:dyDescent="0.25">
      <c r="A9" s="45" t="s">
        <v>53</v>
      </c>
      <c r="B9" s="50">
        <f t="shared" si="0"/>
        <v>8</v>
      </c>
      <c r="C9" s="50">
        <v>8</v>
      </c>
      <c r="D9" s="50">
        <v>2022</v>
      </c>
      <c r="E9" s="34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86978.514532000001</v>
      </c>
      <c r="F9" s="12">
        <v>1.27</v>
      </c>
      <c r="G9" s="34">
        <f>Gas!C10*0.9147</f>
        <v>1887.0260999999998</v>
      </c>
      <c r="H9" s="12">
        <v>3.65</v>
      </c>
      <c r="I9" s="35">
        <f>Submetering!H9+Submetering!AD9+Submetering!AE9</f>
        <v>836.00000000000011</v>
      </c>
      <c r="J9" s="35">
        <v>10.029999999999999</v>
      </c>
      <c r="K9" s="34">
        <f>ELECT.!B10</f>
        <v>245</v>
      </c>
      <c r="N9" t="s">
        <v>12</v>
      </c>
    </row>
    <row r="10" spans="1:14" x14ac:dyDescent="0.25">
      <c r="A10" s="45" t="s">
        <v>53</v>
      </c>
      <c r="B10" s="50">
        <f t="shared" si="0"/>
        <v>9</v>
      </c>
      <c r="C10" s="50">
        <v>8</v>
      </c>
      <c r="D10" s="50">
        <v>2022</v>
      </c>
      <c r="E10" s="34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68027.619936000003</v>
      </c>
      <c r="F10" s="12">
        <v>1.27</v>
      </c>
      <c r="G10" s="34">
        <f>Gas!C11*0.9147</f>
        <v>1801.0443</v>
      </c>
      <c r="H10" s="12">
        <v>3.65</v>
      </c>
      <c r="I10" s="35">
        <f>Submetering!H10+Submetering!AD10+Submetering!AE10</f>
        <v>806</v>
      </c>
      <c r="J10" s="35">
        <v>10.029999999999999</v>
      </c>
      <c r="K10" s="34">
        <f>ELECT.!B11</f>
        <v>203</v>
      </c>
    </row>
    <row r="11" spans="1:14" x14ac:dyDescent="0.25">
      <c r="A11" s="45" t="s">
        <v>53</v>
      </c>
      <c r="B11" s="50">
        <f t="shared" si="0"/>
        <v>10</v>
      </c>
      <c r="C11" s="50">
        <v>8</v>
      </c>
      <c r="D11" s="50">
        <v>2022</v>
      </c>
      <c r="E11" s="34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66002.122275999995</v>
      </c>
      <c r="F11" s="12">
        <v>1.27</v>
      </c>
      <c r="G11" s="34">
        <f>Gas!C12*0.9147</f>
        <v>1670.2421999999999</v>
      </c>
      <c r="H11" s="12">
        <v>3.65</v>
      </c>
      <c r="I11" s="35">
        <f>Submetering!H11+Submetering!AD11+Submetering!AE11</f>
        <v>786</v>
      </c>
      <c r="J11" s="35">
        <v>10.029999999999999</v>
      </c>
      <c r="K11" s="34">
        <f>ELECT.!B12</f>
        <v>234</v>
      </c>
    </row>
    <row r="12" spans="1:14" x14ac:dyDescent="0.25">
      <c r="A12" s="45" t="s">
        <v>53</v>
      </c>
      <c r="B12" s="50">
        <f t="shared" si="0"/>
        <v>11</v>
      </c>
      <c r="C12" s="50">
        <v>8</v>
      </c>
      <c r="D12" s="50">
        <v>2022</v>
      </c>
      <c r="E12" s="34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104692.759984</v>
      </c>
      <c r="F12" s="12">
        <v>1.27</v>
      </c>
      <c r="G12" s="34">
        <f>Gas!C13*0.9147</f>
        <v>1706.8301999999999</v>
      </c>
      <c r="H12" s="12">
        <v>3.65</v>
      </c>
      <c r="I12" s="35">
        <f>Submetering!H12+Submetering!AD12+Submetering!AE12</f>
        <v>1006.0000000000001</v>
      </c>
      <c r="J12" s="35">
        <v>10.029999999999999</v>
      </c>
      <c r="K12" s="34">
        <f>ELECT.!B13</f>
        <v>222</v>
      </c>
    </row>
    <row r="13" spans="1:14" x14ac:dyDescent="0.25">
      <c r="A13" s="45" t="s">
        <v>53</v>
      </c>
      <c r="B13" s="50">
        <f t="shared" si="0"/>
        <v>12</v>
      </c>
      <c r="C13" s="50">
        <v>8</v>
      </c>
      <c r="D13" s="50">
        <v>2022</v>
      </c>
      <c r="E13" s="34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66811.583259999999</v>
      </c>
      <c r="F13" s="12">
        <v>1.27</v>
      </c>
      <c r="G13" s="34">
        <f>Gas!C14*0.9147</f>
        <v>1511.0844</v>
      </c>
      <c r="H13" s="12">
        <v>3.65</v>
      </c>
      <c r="I13" s="35">
        <f>Submetering!H13+Submetering!AD13+Submetering!AE13</f>
        <v>906.00000000000011</v>
      </c>
      <c r="J13" s="35">
        <v>10.029999999999999</v>
      </c>
      <c r="K13" s="34">
        <f>ELECT.!B14</f>
        <v>245</v>
      </c>
    </row>
    <row r="14" spans="1:14" x14ac:dyDescent="0.25">
      <c r="A14" s="45" t="s">
        <v>53</v>
      </c>
      <c r="B14" s="50">
        <f t="shared" si="0"/>
        <v>13</v>
      </c>
      <c r="C14" s="50">
        <v>8</v>
      </c>
      <c r="D14" s="50">
        <v>2022</v>
      </c>
      <c r="E14" s="34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75219.95248800001</v>
      </c>
      <c r="F14" s="12">
        <v>1.27</v>
      </c>
      <c r="G14" s="34">
        <f>Gas!C15*0.9147</f>
        <v>2232.7826999999997</v>
      </c>
      <c r="H14" s="12">
        <v>3.65</v>
      </c>
      <c r="I14" s="35">
        <f>Submetering!H14+Submetering!AD14+Submetering!AE14</f>
        <v>866</v>
      </c>
      <c r="J14" s="35">
        <v>10.029999999999999</v>
      </c>
      <c r="K14" s="34">
        <f>ELECT.!B15</f>
        <v>218</v>
      </c>
    </row>
    <row r="15" spans="1:14" x14ac:dyDescent="0.25">
      <c r="A15" s="45" t="s">
        <v>53</v>
      </c>
      <c r="B15" s="50">
        <f t="shared" si="0"/>
        <v>14</v>
      </c>
      <c r="C15" s="50">
        <v>8</v>
      </c>
      <c r="D15" s="50">
        <v>2022</v>
      </c>
      <c r="E15" s="34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74894.297420000003</v>
      </c>
      <c r="F15" s="12">
        <v>1.27</v>
      </c>
      <c r="G15" s="34">
        <f>Gas!C16*0.9147</f>
        <v>1707.7448999999999</v>
      </c>
      <c r="H15" s="12">
        <v>3.65</v>
      </c>
      <c r="I15" s="35">
        <f>Submetering!H15+Submetering!AD15+Submetering!AE15</f>
        <v>856.00000000000011</v>
      </c>
      <c r="J15" s="35">
        <v>10.029999999999999</v>
      </c>
      <c r="K15" s="34">
        <f>ELECT.!B16</f>
        <v>224</v>
      </c>
    </row>
    <row r="16" spans="1:14" x14ac:dyDescent="0.25">
      <c r="A16" s="45" t="s">
        <v>53</v>
      </c>
      <c r="B16" s="50">
        <f t="shared" si="0"/>
        <v>15</v>
      </c>
      <c r="C16" s="50">
        <v>8</v>
      </c>
      <c r="D16" s="50">
        <v>2022</v>
      </c>
      <c r="E16" s="34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91577.853600000002</v>
      </c>
      <c r="F16" s="12">
        <v>1.27</v>
      </c>
      <c r="G16" s="34">
        <f>Gas!C17*0.9147</f>
        <v>1793.7266999999999</v>
      </c>
      <c r="H16" s="12">
        <v>3.65</v>
      </c>
      <c r="I16" s="35">
        <f>Submetering!H16+Submetering!AD16+Submetering!AE16</f>
        <v>526</v>
      </c>
      <c r="J16" s="35">
        <v>10.029999999999999</v>
      </c>
      <c r="K16" s="34">
        <f>ELECT.!B17</f>
        <v>223</v>
      </c>
    </row>
    <row r="17" spans="1:13" x14ac:dyDescent="0.25">
      <c r="A17" s="45" t="s">
        <v>53</v>
      </c>
      <c r="B17" s="50">
        <f t="shared" si="0"/>
        <v>16</v>
      </c>
      <c r="C17" s="50">
        <v>8</v>
      </c>
      <c r="D17" s="50">
        <v>2022</v>
      </c>
      <c r="E17" s="34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62741.828992000002</v>
      </c>
      <c r="F17" s="12">
        <v>1.27</v>
      </c>
      <c r="G17" s="34">
        <f>Gas!C18*0.9147</f>
        <v>1648.2893999999999</v>
      </c>
      <c r="H17" s="12">
        <v>3.65</v>
      </c>
      <c r="I17" s="35">
        <f>Submetering!H17+Submetering!AD17+Submetering!AE17</f>
        <v>905.99999999999989</v>
      </c>
      <c r="J17" s="35">
        <v>10.029999999999999</v>
      </c>
      <c r="K17" s="34">
        <f>ELECT.!B18</f>
        <v>107</v>
      </c>
    </row>
    <row r="18" spans="1:13" x14ac:dyDescent="0.25">
      <c r="A18" s="45" t="s">
        <v>53</v>
      </c>
      <c r="B18" s="50">
        <f t="shared" si="0"/>
        <v>17</v>
      </c>
      <c r="C18" s="50">
        <v>8</v>
      </c>
      <c r="D18" s="50">
        <v>2022</v>
      </c>
      <c r="E18" s="34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88313.335271999997</v>
      </c>
      <c r="F18" s="12">
        <v>1.27</v>
      </c>
      <c r="G18" s="34">
        <f>Gas!C19*0.9147</f>
        <v>1632.7394999999999</v>
      </c>
      <c r="H18" s="12">
        <v>3.65</v>
      </c>
      <c r="I18" s="35">
        <f>Submetering!H18+Submetering!AD18+Submetering!AE18</f>
        <v>995.99999999999977</v>
      </c>
      <c r="J18" s="35">
        <v>10.029999999999999</v>
      </c>
      <c r="K18" s="34">
        <v>231</v>
      </c>
    </row>
    <row r="19" spans="1:13" x14ac:dyDescent="0.25">
      <c r="A19" s="45" t="s">
        <v>53</v>
      </c>
      <c r="B19" s="50">
        <f t="shared" si="0"/>
        <v>18</v>
      </c>
      <c r="C19" s="50">
        <v>8</v>
      </c>
      <c r="D19" s="50">
        <v>2022</v>
      </c>
      <c r="E19" s="34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63465.578472000001</v>
      </c>
      <c r="F19" s="12">
        <v>1.27</v>
      </c>
      <c r="G19" s="34">
        <f>Gas!C20*0.9147</f>
        <v>1684.8773999999999</v>
      </c>
      <c r="H19" s="12">
        <v>3.65</v>
      </c>
      <c r="I19" s="35">
        <f>Submetering!H19+Submetering!AD19+Submetering!AE19</f>
        <v>896</v>
      </c>
      <c r="J19" s="35">
        <v>10.029999999999999</v>
      </c>
      <c r="K19" s="34">
        <f>ELECT.!B20</f>
        <v>155</v>
      </c>
    </row>
    <row r="20" spans="1:13" x14ac:dyDescent="0.25">
      <c r="A20" s="45" t="s">
        <v>53</v>
      </c>
      <c r="B20" s="50">
        <f t="shared" si="0"/>
        <v>19</v>
      </c>
      <c r="C20" s="50">
        <v>8</v>
      </c>
      <c r="D20" s="50">
        <v>2022</v>
      </c>
      <c r="E20" s="34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82897.442035999993</v>
      </c>
      <c r="F20" s="12">
        <v>1.27</v>
      </c>
      <c r="G20" s="34">
        <f>Gas!C21*0.9147</f>
        <v>1448.8848</v>
      </c>
      <c r="H20" s="12">
        <v>3.65</v>
      </c>
      <c r="I20" s="35">
        <f>Submetering!H20+Submetering!AD20+Submetering!AE20</f>
        <v>976</v>
      </c>
      <c r="J20" s="35">
        <v>10.029999999999999</v>
      </c>
      <c r="K20" s="34">
        <f>ELECT.!B21</f>
        <v>160</v>
      </c>
    </row>
    <row r="21" spans="1:13" x14ac:dyDescent="0.25">
      <c r="A21" s="45" t="s">
        <v>53</v>
      </c>
      <c r="B21" s="50">
        <f t="shared" si="0"/>
        <v>20</v>
      </c>
      <c r="C21" s="50">
        <v>8</v>
      </c>
      <c r="D21" s="50">
        <v>2022</v>
      </c>
      <c r="E21" s="34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73111.027487999992</v>
      </c>
      <c r="F21" s="12">
        <v>1.27</v>
      </c>
      <c r="G21" s="34">
        <f>Gas!C22*0.9147</f>
        <v>2018.7429</v>
      </c>
      <c r="H21" s="12">
        <v>3.65</v>
      </c>
      <c r="I21" s="35">
        <f>Submetering!H21+Submetering!AD21+Submetering!AE21</f>
        <v>1085.9999999999998</v>
      </c>
      <c r="J21" s="35">
        <v>10.029999999999999</v>
      </c>
      <c r="K21" s="34">
        <f>ELECT.!B22</f>
        <v>152</v>
      </c>
    </row>
    <row r="22" spans="1:13" x14ac:dyDescent="0.25">
      <c r="A22" s="45" t="s">
        <v>53</v>
      </c>
      <c r="B22" s="50">
        <f t="shared" si="0"/>
        <v>21</v>
      </c>
      <c r="C22" s="50">
        <v>8</v>
      </c>
      <c r="D22" s="50">
        <v>2022</v>
      </c>
      <c r="E22" s="34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88830.939515999999</v>
      </c>
      <c r="F22" s="12">
        <v>1.27</v>
      </c>
      <c r="G22" s="34">
        <f>Gas!C23*0.9147</f>
        <v>1798.3001999999999</v>
      </c>
      <c r="H22" s="12">
        <v>3.65</v>
      </c>
      <c r="I22" s="35">
        <f>Submetering!H22+Submetering!AD22+Submetering!AE22</f>
        <v>1016</v>
      </c>
      <c r="J22" s="35">
        <v>10.029999999999999</v>
      </c>
      <c r="K22" s="34">
        <f>ELECT.!B23</f>
        <v>226</v>
      </c>
    </row>
    <row r="23" spans="1:13" x14ac:dyDescent="0.25">
      <c r="A23" s="45" t="s">
        <v>53</v>
      </c>
      <c r="B23" s="50">
        <f t="shared" si="0"/>
        <v>22</v>
      </c>
      <c r="C23" s="50">
        <v>8</v>
      </c>
      <c r="D23" s="50">
        <v>2022</v>
      </c>
      <c r="E23" s="34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73378.360060000006</v>
      </c>
      <c r="F23" s="12">
        <v>1.27</v>
      </c>
      <c r="G23" s="34">
        <f>Gas!C24*0.9147</f>
        <v>2784.3467999999998</v>
      </c>
      <c r="H23" s="12">
        <v>3.65</v>
      </c>
      <c r="I23" s="35">
        <f>Submetering!H23+Submetering!AD23+Submetering!AE23</f>
        <v>826</v>
      </c>
      <c r="J23" s="35">
        <v>10.029999999999999</v>
      </c>
      <c r="K23" s="34">
        <f>ELECT.!B24</f>
        <v>225</v>
      </c>
    </row>
    <row r="24" spans="1:13" x14ac:dyDescent="0.25">
      <c r="A24" s="45" t="s">
        <v>53</v>
      </c>
      <c r="B24" s="50">
        <f t="shared" si="0"/>
        <v>23</v>
      </c>
      <c r="C24" s="50">
        <v>8</v>
      </c>
      <c r="D24" s="50">
        <v>2022</v>
      </c>
      <c r="E24" s="34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62335.985571999998</v>
      </c>
      <c r="F24" s="12">
        <v>1.27</v>
      </c>
      <c r="G24" s="34">
        <f>Gas!C25*0.9147</f>
        <v>1434.2495999999999</v>
      </c>
      <c r="H24" s="12">
        <v>3.65</v>
      </c>
      <c r="I24" s="35">
        <f>Submetering!H24+Submetering!AD24+Submetering!AE24</f>
        <v>1106</v>
      </c>
      <c r="J24" s="35">
        <v>10.029999999999999</v>
      </c>
      <c r="K24" s="34">
        <f>ELECT.!B25</f>
        <v>175</v>
      </c>
    </row>
    <row r="25" spans="1:13" x14ac:dyDescent="0.25">
      <c r="A25" s="45" t="s">
        <v>53</v>
      </c>
      <c r="B25" s="50">
        <f t="shared" si="0"/>
        <v>24</v>
      </c>
      <c r="C25" s="50">
        <v>8</v>
      </c>
      <c r="D25" s="50">
        <v>2022</v>
      </c>
      <c r="E25" s="34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82134.847039999993</v>
      </c>
      <c r="F25" s="12">
        <v>1.27</v>
      </c>
      <c r="G25" s="34">
        <f>Gas!C26*0.9147</f>
        <v>1477.2404999999999</v>
      </c>
      <c r="H25" s="12">
        <v>3.65</v>
      </c>
      <c r="I25" s="35">
        <f>Submetering!H25+Submetering!AD25+Submetering!AE25</f>
        <v>816</v>
      </c>
      <c r="J25" s="35">
        <v>10.029999999999999</v>
      </c>
      <c r="K25" s="34">
        <f>ELECT.!B26</f>
        <v>177</v>
      </c>
    </row>
    <row r="26" spans="1:13" x14ac:dyDescent="0.25">
      <c r="A26" s="45" t="s">
        <v>53</v>
      </c>
      <c r="B26" s="50">
        <f>B25+1</f>
        <v>25</v>
      </c>
      <c r="C26" s="50">
        <v>8</v>
      </c>
      <c r="D26" s="50">
        <v>2022</v>
      </c>
      <c r="E26" s="34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75821.706216000006</v>
      </c>
      <c r="F26" s="12">
        <v>1.27</v>
      </c>
      <c r="G26" s="34">
        <f>Gas!C27*0.9147</f>
        <v>2541.0365999999999</v>
      </c>
      <c r="H26" s="12">
        <v>3.65</v>
      </c>
      <c r="I26" s="35">
        <f>Submetering!H26+Submetering!AD26+Submetering!AE26</f>
        <v>866</v>
      </c>
      <c r="J26" s="35">
        <v>10.029999999999999</v>
      </c>
      <c r="K26" s="34">
        <f>ELECT.!B27</f>
        <v>180</v>
      </c>
      <c r="M26" s="24" t="s">
        <v>12</v>
      </c>
    </row>
    <row r="27" spans="1:13" x14ac:dyDescent="0.25">
      <c r="A27" s="45" t="s">
        <v>53</v>
      </c>
      <c r="B27" s="50">
        <f t="shared" si="0"/>
        <v>26</v>
      </c>
      <c r="C27" s="50">
        <v>8</v>
      </c>
      <c r="D27" s="50">
        <v>2022</v>
      </c>
      <c r="E27" s="34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88873.032107999999</v>
      </c>
      <c r="F27" s="12">
        <v>1.27</v>
      </c>
      <c r="G27" s="34">
        <f>Gas!C28*0.9147</f>
        <v>1826.6559</v>
      </c>
      <c r="H27" s="12">
        <v>3.65</v>
      </c>
      <c r="I27" s="35">
        <f>Submetering!H27+Submetering!AD27+Submetering!AE27</f>
        <v>746</v>
      </c>
      <c r="J27" s="35">
        <v>10.029999999999999</v>
      </c>
      <c r="K27" s="34">
        <f>ELECT.!B28</f>
        <v>188</v>
      </c>
    </row>
    <row r="28" spans="1:13" x14ac:dyDescent="0.25">
      <c r="A28" s="45" t="s">
        <v>53</v>
      </c>
      <c r="B28" s="50">
        <f t="shared" si="0"/>
        <v>27</v>
      </c>
      <c r="C28" s="50">
        <v>8</v>
      </c>
      <c r="D28" s="50">
        <v>2022</v>
      </c>
      <c r="E28" s="34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66711.950572000002</v>
      </c>
      <c r="F28" s="12">
        <v>1.27</v>
      </c>
      <c r="G28" s="34">
        <f>Gas!C29*0.9147</f>
        <v>1727.8682999999999</v>
      </c>
      <c r="H28" s="12">
        <v>3.65</v>
      </c>
      <c r="I28" s="35">
        <f>Submetering!H28+Submetering!AD28+Submetering!AE28</f>
        <v>866</v>
      </c>
      <c r="J28" s="35">
        <v>10.029999999999999</v>
      </c>
      <c r="K28" s="34">
        <f>ELECT.!B29</f>
        <v>154</v>
      </c>
    </row>
    <row r="29" spans="1:13" x14ac:dyDescent="0.25">
      <c r="A29" s="45" t="s">
        <v>53</v>
      </c>
      <c r="B29" s="50">
        <f t="shared" si="0"/>
        <v>28</v>
      </c>
      <c r="C29" s="50">
        <v>8</v>
      </c>
      <c r="D29" s="50">
        <v>2022</v>
      </c>
      <c r="E29" s="34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81168.070768000005</v>
      </c>
      <c r="F29" s="12">
        <v>1.27</v>
      </c>
      <c r="G29" s="34">
        <f>Gas!C30*0.9147</f>
        <v>648.52229999999997</v>
      </c>
      <c r="H29" s="12">
        <v>3.65</v>
      </c>
      <c r="I29" s="35">
        <f>Submetering!H29+Submetering!AD29+Submetering!AE29</f>
        <v>806</v>
      </c>
      <c r="J29" s="35">
        <v>10.029999999999999</v>
      </c>
      <c r="K29" s="34">
        <f>ELECT.!B30</f>
        <v>212</v>
      </c>
    </row>
    <row r="30" spans="1:13" x14ac:dyDescent="0.25">
      <c r="A30" s="45" t="s">
        <v>53</v>
      </c>
      <c r="B30" s="50">
        <f t="shared" si="0"/>
        <v>29</v>
      </c>
      <c r="C30" s="50">
        <v>8</v>
      </c>
      <c r="D30" s="50">
        <v>2022</v>
      </c>
      <c r="E30" s="34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87558.192036000008</v>
      </c>
      <c r="F30" s="12">
        <v>1.27</v>
      </c>
      <c r="G30" s="34">
        <f>Gas!C31*0.9147</f>
        <v>1765.3709999999999</v>
      </c>
      <c r="H30" s="12">
        <v>3.65</v>
      </c>
      <c r="I30" s="35">
        <f>Submetering!H30+Submetering!AD30+Submetering!AE30</f>
        <v>786</v>
      </c>
      <c r="J30" s="35">
        <v>10.029999999999999</v>
      </c>
      <c r="K30" s="34">
        <f>ELECT.!B31</f>
        <v>197</v>
      </c>
    </row>
    <row r="31" spans="1:13" x14ac:dyDescent="0.25">
      <c r="A31" s="45" t="s">
        <v>53</v>
      </c>
      <c r="B31" s="50">
        <f t="shared" si="0"/>
        <v>30</v>
      </c>
      <c r="C31" s="50">
        <v>8</v>
      </c>
      <c r="D31" s="50">
        <v>2022</v>
      </c>
      <c r="E31" s="34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61389.695447999999</v>
      </c>
      <c r="F31" s="12">
        <v>1.27</v>
      </c>
      <c r="G31" s="34">
        <f>Gas!C32*0.9147</f>
        <v>1661.0952</v>
      </c>
      <c r="H31" s="12">
        <v>3.65</v>
      </c>
      <c r="I31" s="35">
        <f>Submetering!H31+Submetering!AD31+Submetering!AE31</f>
        <v>796</v>
      </c>
      <c r="J31" s="35">
        <v>10.029999999999999</v>
      </c>
      <c r="K31" s="34">
        <f>ELECT.!B32</f>
        <v>155</v>
      </c>
    </row>
    <row r="32" spans="1:13" x14ac:dyDescent="0.25">
      <c r="A32" s="45" t="s">
        <v>53</v>
      </c>
      <c r="B32" s="50">
        <f t="shared" si="0"/>
        <v>31</v>
      </c>
      <c r="C32" s="50">
        <v>8</v>
      </c>
      <c r="D32" s="50">
        <v>2022</v>
      </c>
      <c r="E32" s="34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92503.111867999993</v>
      </c>
      <c r="F32" s="12">
        <v>1.27</v>
      </c>
      <c r="G32" s="34">
        <f>Gas!C33*0.9147</f>
        <v>1603.4691</v>
      </c>
      <c r="H32" s="12">
        <v>3.65</v>
      </c>
      <c r="I32" s="35">
        <f>Submetering!H32+Submetering!AD32+Submetering!AE32</f>
        <v>906</v>
      </c>
      <c r="J32" s="35">
        <v>10.029999999999999</v>
      </c>
      <c r="K32" s="34">
        <f>ELECT.!B33</f>
        <v>230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E32"/>
  <sheetViews>
    <sheetView zoomScale="85" zoomScaleNormal="85" workbookViewId="0">
      <selection activeCell="E20" sqref="E20"/>
    </sheetView>
  </sheetViews>
  <sheetFormatPr defaultColWidth="11.5546875" defaultRowHeight="13.2" x14ac:dyDescent="0.25"/>
  <cols>
    <col min="1" max="1" width="15.88671875" style="45" bestFit="1" customWidth="1"/>
    <col min="2" max="3" width="11.5546875" style="50"/>
    <col min="4" max="4" width="13.44140625" style="50" customWidth="1"/>
    <col min="5" max="17" width="12.5546875" style="34" customWidth="1"/>
    <col min="18" max="21" width="12.5546875" style="35" customWidth="1"/>
    <col min="22" max="22" width="13.109375" style="35" customWidth="1"/>
    <col min="23" max="23" width="12.5546875" style="35" customWidth="1"/>
    <col min="24" max="25" width="11.5546875" style="32"/>
    <col min="27" max="27" width="13.6640625" bestFit="1" customWidth="1"/>
    <col min="28" max="28" width="13.5546875" bestFit="1" customWidth="1"/>
    <col min="30" max="30" width="15.5546875" customWidth="1"/>
  </cols>
  <sheetData>
    <row r="1" spans="1:31" s="31" customFormat="1" ht="43.2" x14ac:dyDescent="0.3">
      <c r="A1" s="44" t="s">
        <v>45</v>
      </c>
      <c r="B1" s="48" t="s">
        <v>0</v>
      </c>
      <c r="C1" s="48" t="s">
        <v>46</v>
      </c>
      <c r="D1" s="48" t="s">
        <v>47</v>
      </c>
      <c r="E1" s="49" t="s">
        <v>64</v>
      </c>
      <c r="F1" s="49" t="s">
        <v>65</v>
      </c>
      <c r="G1" s="49" t="s">
        <v>66</v>
      </c>
      <c r="H1" s="49" t="s">
        <v>67</v>
      </c>
      <c r="I1" s="49" t="s">
        <v>57</v>
      </c>
      <c r="J1" s="49" t="s">
        <v>56</v>
      </c>
      <c r="K1" s="49" t="s">
        <v>55</v>
      </c>
      <c r="L1" s="49" t="s">
        <v>58</v>
      </c>
      <c r="M1" s="49" t="s">
        <v>59</v>
      </c>
      <c r="N1" s="49" t="s">
        <v>60</v>
      </c>
      <c r="O1" s="49" t="s">
        <v>61</v>
      </c>
      <c r="P1" s="49" t="s">
        <v>62</v>
      </c>
      <c r="Q1" s="49" t="s">
        <v>76</v>
      </c>
      <c r="R1" s="51" t="s">
        <v>68</v>
      </c>
      <c r="S1" s="51" t="s">
        <v>69</v>
      </c>
      <c r="T1" s="51" t="s">
        <v>70</v>
      </c>
      <c r="U1" s="51" t="s">
        <v>71</v>
      </c>
      <c r="V1" s="51" t="s">
        <v>72</v>
      </c>
      <c r="W1" s="51" t="s">
        <v>73</v>
      </c>
      <c r="X1" s="46" t="s">
        <v>52</v>
      </c>
      <c r="Y1" s="110" t="s">
        <v>128</v>
      </c>
      <c r="Z1" s="31" t="s">
        <v>129</v>
      </c>
      <c r="AA1" s="31" t="s">
        <v>130</v>
      </c>
      <c r="AB1" s="31" t="s">
        <v>131</v>
      </c>
      <c r="AC1" s="31" t="s">
        <v>132</v>
      </c>
      <c r="AD1" s="111" t="s">
        <v>133</v>
      </c>
      <c r="AE1" s="111" t="s">
        <v>134</v>
      </c>
    </row>
    <row r="2" spans="1:31" x14ac:dyDescent="0.25">
      <c r="A2" s="45" t="s">
        <v>53</v>
      </c>
      <c r="B2" s="50">
        <v>1</v>
      </c>
      <c r="C2" s="50">
        <v>8</v>
      </c>
      <c r="D2" s="50">
        <v>2022</v>
      </c>
      <c r="E2" s="34">
        <f>Water!C3</f>
        <v>1230</v>
      </c>
      <c r="F2" s="34">
        <f>Water!E3</f>
        <v>480</v>
      </c>
      <c r="G2" s="34">
        <f>Water!G3</f>
        <v>639.9</v>
      </c>
      <c r="H2" s="34">
        <f>Water!I3</f>
        <v>3.456</v>
      </c>
      <c r="I2" s="34">
        <f>ELECT.!F3</f>
        <v>27470</v>
      </c>
      <c r="J2" s="34">
        <f>ELECT.!H3</f>
        <v>59901</v>
      </c>
      <c r="K2" s="34">
        <f>ELECT.!K3</f>
        <v>13974</v>
      </c>
      <c r="L2" s="34">
        <f>ELECT.!M3</f>
        <v>7313</v>
      </c>
      <c r="M2" s="34">
        <f>ELECT.!O3</f>
        <v>20004</v>
      </c>
      <c r="N2" s="34">
        <f>ELECT.!Q3</f>
        <v>15489</v>
      </c>
      <c r="O2" s="34">
        <f>ELECT.!S3</f>
        <v>11486</v>
      </c>
      <c r="P2" s="34">
        <f>ELECT.!W3*2</f>
        <v>25516</v>
      </c>
      <c r="Q2" s="34">
        <f>ELECT.!D3</f>
        <v>960</v>
      </c>
      <c r="R2" s="35">
        <f>BTU!C3</f>
        <v>15.761999999998807</v>
      </c>
      <c r="S2" s="35">
        <f>BTU!F3</f>
        <v>3.7460000000000946</v>
      </c>
      <c r="T2" s="35">
        <f>BTU!I3</f>
        <v>8</v>
      </c>
      <c r="U2" s="35">
        <f>BTU!O3</f>
        <v>1.94399999999996</v>
      </c>
      <c r="V2" s="35">
        <f>BTU!L3</f>
        <v>2.7800000000006548</v>
      </c>
      <c r="W2" s="35" t="str">
        <f>BTU!R3</f>
        <v>0</v>
      </c>
      <c r="X2" s="32">
        <f>ELECT.!B3</f>
        <v>0</v>
      </c>
      <c r="Y2" s="32">
        <f>I2+J2-(K2+L2+M2+N2+O2+P2)</f>
        <v>-6411</v>
      </c>
      <c r="Z2">
        <f>'Mall, Citadel, Rotana'!C3+'Mall, Citadel, Rotana'!E3+'Mall, Citadel, Rotana'!G3+'Mall, Citadel, Rotana'!I3</f>
        <v>1017</v>
      </c>
      <c r="AA2">
        <f>'Mall, Citadel, Rotana'!K3+'Mall, Citadel, Rotana'!M3</f>
        <v>414</v>
      </c>
      <c r="AB2">
        <f>'Mall, Citadel, Rotana'!O3</f>
        <v>3</v>
      </c>
      <c r="AC2">
        <f>'Mall, Citadel, Rotana'!Q3+'Mall, Citadel, Rotana'!S3</f>
        <v>224</v>
      </c>
      <c r="AD2" s="32">
        <f>(E2-H2-194)*0.1318</f>
        <v>136.0892992</v>
      </c>
      <c r="AE2" s="32">
        <f>E2-H2-AD2-194</f>
        <v>896.45470080000018</v>
      </c>
    </row>
    <row r="3" spans="1:31" x14ac:dyDescent="0.25">
      <c r="A3" s="45" t="s">
        <v>53</v>
      </c>
      <c r="B3" s="50">
        <f>B2+1</f>
        <v>2</v>
      </c>
      <c r="C3" s="50">
        <v>8</v>
      </c>
      <c r="D3" s="50">
        <v>2022</v>
      </c>
      <c r="E3" s="34">
        <f>Water!C4</f>
        <v>990</v>
      </c>
      <c r="F3" s="34">
        <f>Water!E4</f>
        <v>320</v>
      </c>
      <c r="G3" s="34">
        <f>Water!G4</f>
        <v>588.6</v>
      </c>
      <c r="H3" s="34">
        <f>Water!I4</f>
        <v>3.1320000000000001</v>
      </c>
      <c r="I3" s="34">
        <f>ELECT.!F4</f>
        <v>20689</v>
      </c>
      <c r="J3" s="34">
        <f>ELECT.!H4</f>
        <v>47057</v>
      </c>
      <c r="K3" s="34">
        <f>ELECT.!K4</f>
        <v>9950</v>
      </c>
      <c r="L3" s="34">
        <f>ELECT.!M4</f>
        <v>5657</v>
      </c>
      <c r="M3" s="34">
        <f>ELECT.!O4</f>
        <v>14832</v>
      </c>
      <c r="N3" s="34">
        <f>ELECT.!Q4</f>
        <v>11860</v>
      </c>
      <c r="O3" s="34">
        <f>ELECT.!S4</f>
        <v>8818</v>
      </c>
      <c r="P3" s="34">
        <f>ELECT.!W4*2</f>
        <v>20370</v>
      </c>
      <c r="Q3" s="34">
        <f>ELECT.!D4</f>
        <v>640</v>
      </c>
      <c r="R3" s="35">
        <f>BTU!C4</f>
        <v>13.223000000001775</v>
      </c>
      <c r="S3" s="35">
        <f>BTU!F4</f>
        <v>2.7079999999996289</v>
      </c>
      <c r="T3" s="35">
        <f>BTU!I4</f>
        <v>7</v>
      </c>
      <c r="U3" s="35">
        <f>BTU!O4</f>
        <v>1.9659999999998945</v>
      </c>
      <c r="V3" s="35">
        <f>BTU!L4</f>
        <v>2.2000000000007276</v>
      </c>
      <c r="W3" s="35">
        <f>BTU!R4</f>
        <v>1.8299999999999272</v>
      </c>
      <c r="X3" s="32">
        <f>ELECT.!B4</f>
        <v>195</v>
      </c>
      <c r="Y3" s="32">
        <f t="shared" ref="Y3:Y31" si="0">I3+J3-(K3+L3+M3+N3+O3+P3)</f>
        <v>-3741</v>
      </c>
      <c r="Z3">
        <f>'Mall, Citadel, Rotana'!C4+'Mall, Citadel, Rotana'!E4+'Mall, Citadel, Rotana'!G4+'Mall, Citadel, Rotana'!I4</f>
        <v>1412</v>
      </c>
      <c r="AA3">
        <f>'Mall, Citadel, Rotana'!K4+'Mall, Citadel, Rotana'!M4</f>
        <v>422</v>
      </c>
      <c r="AB3">
        <f>'Mall, Citadel, Rotana'!O4</f>
        <v>4</v>
      </c>
      <c r="AC3">
        <f>'Mall, Citadel, Rotana'!Q4+'Mall, Citadel, Rotana'!S4</f>
        <v>135</v>
      </c>
      <c r="AD3" s="32">
        <f t="shared" ref="AD3:AD31" si="1">(E3-H3-194)*0.1318</f>
        <v>104.50000240000001</v>
      </c>
      <c r="AE3" s="32">
        <f t="shared" ref="AE3:AE31" si="2">E3-H3-AD3-194</f>
        <v>688.36799760000008</v>
      </c>
    </row>
    <row r="4" spans="1:31" x14ac:dyDescent="0.25">
      <c r="A4" s="45" t="s">
        <v>53</v>
      </c>
      <c r="B4" s="50">
        <f t="shared" ref="B4:B32" si="3">B3+1</f>
        <v>3</v>
      </c>
      <c r="C4" s="50">
        <v>8</v>
      </c>
      <c r="D4" s="50">
        <v>2022</v>
      </c>
      <c r="E4" s="34">
        <f>Water!C5</f>
        <v>1210</v>
      </c>
      <c r="F4" s="34">
        <f>Water!E5</f>
        <v>440</v>
      </c>
      <c r="G4" s="34">
        <f>Water!G5</f>
        <v>669.6</v>
      </c>
      <c r="H4" s="34">
        <f>Water!I5</f>
        <v>3.8609999999999998</v>
      </c>
      <c r="I4" s="34">
        <f>ELECT.!F5</f>
        <v>24437</v>
      </c>
      <c r="J4" s="34">
        <f>ELECT.!H5</f>
        <v>56297</v>
      </c>
      <c r="K4" s="34">
        <f>ELECT.!K5</f>
        <v>11578</v>
      </c>
      <c r="L4" s="34">
        <f>ELECT.!M5</f>
        <v>6850</v>
      </c>
      <c r="M4" s="34">
        <f>ELECT.!O5</f>
        <v>17382</v>
      </c>
      <c r="N4" s="34">
        <f>ELECT.!Q5</f>
        <v>13976</v>
      </c>
      <c r="O4" s="34">
        <f>ELECT.!S5</f>
        <v>10651</v>
      </c>
      <c r="P4" s="34">
        <f>ELECT.!W5*2</f>
        <v>24652</v>
      </c>
      <c r="Q4" s="34">
        <f>ELECT.!D5</f>
        <v>640</v>
      </c>
      <c r="R4" s="35">
        <f>BTU!C5</f>
        <v>14.973000000001775</v>
      </c>
      <c r="S4" s="35">
        <f>BTU!F5</f>
        <v>3.9250000000001819</v>
      </c>
      <c r="T4" s="35">
        <f>BTU!I5</f>
        <v>9</v>
      </c>
      <c r="U4" s="35">
        <f>BTU!O5</f>
        <v>2.0420000000003711</v>
      </c>
      <c r="V4" s="35">
        <f>BTU!L5</f>
        <v>2.6700000000000728</v>
      </c>
      <c r="W4" s="35">
        <f>BTU!R5</f>
        <v>1.2000000000007276</v>
      </c>
      <c r="X4" s="32">
        <f>ELECT.!B5</f>
        <v>180</v>
      </c>
      <c r="Y4" s="32">
        <f t="shared" si="0"/>
        <v>-4355</v>
      </c>
      <c r="Z4">
        <f>'Mall, Citadel, Rotana'!C5+'Mall, Citadel, Rotana'!E5+'Mall, Citadel, Rotana'!G5+'Mall, Citadel, Rotana'!I5</f>
        <v>1250</v>
      </c>
      <c r="AA4">
        <f>'Mall, Citadel, Rotana'!K5+'Mall, Citadel, Rotana'!M5</f>
        <v>349</v>
      </c>
      <c r="AB4">
        <f>'Mall, Citadel, Rotana'!O5</f>
        <v>3</v>
      </c>
      <c r="AC4">
        <f>'Mall, Citadel, Rotana'!Q5+'Mall, Citadel, Rotana'!S5</f>
        <v>0</v>
      </c>
      <c r="AD4" s="32">
        <f t="shared" si="1"/>
        <v>133.3999202</v>
      </c>
      <c r="AE4" s="32">
        <f t="shared" si="2"/>
        <v>878.7390797999999</v>
      </c>
    </row>
    <row r="5" spans="1:31" x14ac:dyDescent="0.25">
      <c r="A5" s="45" t="s">
        <v>53</v>
      </c>
      <c r="B5" s="50">
        <f t="shared" si="3"/>
        <v>4</v>
      </c>
      <c r="C5" s="50">
        <v>8</v>
      </c>
      <c r="D5" s="50">
        <v>2022</v>
      </c>
      <c r="E5" s="34">
        <f>Water!C6</f>
        <v>1880</v>
      </c>
      <c r="F5" s="34">
        <f>Water!E6</f>
        <v>450</v>
      </c>
      <c r="G5" s="34">
        <f>Water!G6</f>
        <v>580.5</v>
      </c>
      <c r="H5" s="34">
        <f>Water!I6</f>
        <v>3.6179999999999999</v>
      </c>
      <c r="I5" s="34">
        <f>ELECT.!F6</f>
        <v>29027</v>
      </c>
      <c r="J5" s="34">
        <f>ELECT.!H6</f>
        <v>66155</v>
      </c>
      <c r="K5" s="34">
        <f>ELECT.!K6</f>
        <v>13402</v>
      </c>
      <c r="L5" s="34">
        <f>ELECT.!M6</f>
        <v>8076</v>
      </c>
      <c r="M5" s="34">
        <f>ELECT.!O6</f>
        <v>20722</v>
      </c>
      <c r="N5" s="34">
        <f>ELECT.!Q6</f>
        <v>16273</v>
      </c>
      <c r="O5" s="34">
        <f>ELECT.!S6</f>
        <v>12875</v>
      </c>
      <c r="P5" s="34">
        <f>ELECT.!W6*2</f>
        <v>28890</v>
      </c>
      <c r="Q5" s="34">
        <f>ELECT.!D6</f>
        <v>640</v>
      </c>
      <c r="R5" s="35">
        <f>BTU!C6</f>
        <v>15.925999999999476</v>
      </c>
      <c r="S5" s="35">
        <f>BTU!F6</f>
        <v>4.1109999999998763</v>
      </c>
      <c r="T5" s="35">
        <f>BTU!I6</f>
        <v>10</v>
      </c>
      <c r="U5" s="35">
        <f>BTU!O6</f>
        <v>1.9909999999999854</v>
      </c>
      <c r="V5" s="35">
        <f>BTU!L6</f>
        <v>2.6299999999991996</v>
      </c>
      <c r="W5" s="35">
        <f>BTU!R6</f>
        <v>3.7399999999997817</v>
      </c>
      <c r="X5" s="32">
        <f>ELECT.!B6</f>
        <v>201</v>
      </c>
      <c r="Y5" s="32">
        <f t="shared" si="0"/>
        <v>-5056</v>
      </c>
      <c r="Z5">
        <f>'Mall, Citadel, Rotana'!C6+'Mall, Citadel, Rotana'!E6+'Mall, Citadel, Rotana'!G6+'Mall, Citadel, Rotana'!I6</f>
        <v>1549</v>
      </c>
      <c r="AA5">
        <f>'Mall, Citadel, Rotana'!K6+'Mall, Citadel, Rotana'!M6</f>
        <v>344</v>
      </c>
      <c r="AB5">
        <f>'Mall, Citadel, Rotana'!O6</f>
        <v>3</v>
      </c>
      <c r="AC5">
        <f>'Mall, Citadel, Rotana'!Q6+'Mall, Citadel, Rotana'!S6</f>
        <v>0</v>
      </c>
      <c r="AD5" s="32">
        <f t="shared" si="1"/>
        <v>221.73794760000001</v>
      </c>
      <c r="AE5" s="32">
        <f t="shared" si="2"/>
        <v>1460.6440524</v>
      </c>
    </row>
    <row r="6" spans="1:31" x14ac:dyDescent="0.25">
      <c r="A6" s="45" t="s">
        <v>53</v>
      </c>
      <c r="B6" s="50">
        <f t="shared" si="3"/>
        <v>5</v>
      </c>
      <c r="C6" s="50">
        <v>8</v>
      </c>
      <c r="D6" s="50">
        <v>2022</v>
      </c>
      <c r="E6" s="34">
        <f>Water!C7</f>
        <v>820</v>
      </c>
      <c r="F6" s="34">
        <f>Water!E7</f>
        <v>360</v>
      </c>
      <c r="G6" s="34">
        <f>Water!G7</f>
        <v>469.8</v>
      </c>
      <c r="H6" s="34">
        <f>Water!I7</f>
        <v>2.754</v>
      </c>
      <c r="I6" s="34">
        <f>ELECT.!F7</f>
        <v>25690</v>
      </c>
      <c r="J6" s="34">
        <f>ELECT.!H7</f>
        <v>59175</v>
      </c>
      <c r="K6" s="34">
        <f>ELECT.!K7</f>
        <v>10828</v>
      </c>
      <c r="L6" s="34">
        <f>ELECT.!M7</f>
        <v>6766</v>
      </c>
      <c r="M6" s="34">
        <f>ELECT.!O7</f>
        <v>12478</v>
      </c>
      <c r="N6" s="34">
        <f>ELECT.!Q7</f>
        <v>14631</v>
      </c>
      <c r="O6" s="34">
        <f>ELECT.!S7</f>
        <v>11797</v>
      </c>
      <c r="P6" s="34">
        <f>ELECT.!W7*2</f>
        <v>26078</v>
      </c>
      <c r="Q6" s="34">
        <f>ELECT.!D7</f>
        <v>640</v>
      </c>
      <c r="R6" s="35">
        <f>BTU!C7</f>
        <v>15.108000000000175</v>
      </c>
      <c r="S6" s="35">
        <f>BTU!F7</f>
        <v>1.9210000000002765</v>
      </c>
      <c r="T6" s="35">
        <f>BTU!I7</f>
        <v>7</v>
      </c>
      <c r="U6" s="35">
        <f>BTU!O7</f>
        <v>2.0149999999998727</v>
      </c>
      <c r="V6" s="35">
        <f>BTU!L7</f>
        <v>3.1900000000005093</v>
      </c>
      <c r="W6" s="35">
        <f>BTU!R7</f>
        <v>2.2100000000000364</v>
      </c>
      <c r="X6" s="32">
        <f>ELECT.!B7</f>
        <v>198</v>
      </c>
      <c r="Y6" s="32">
        <f t="shared" si="0"/>
        <v>2287</v>
      </c>
      <c r="Z6">
        <f>'Mall, Citadel, Rotana'!C7+'Mall, Citadel, Rotana'!E7+'Mall, Citadel, Rotana'!G7+'Mall, Citadel, Rotana'!I7</f>
        <v>1091</v>
      </c>
      <c r="AA6">
        <f>'Mall, Citadel, Rotana'!K7+'Mall, Citadel, Rotana'!M7</f>
        <v>226</v>
      </c>
      <c r="AB6">
        <f>'Mall, Citadel, Rotana'!O7</f>
        <v>3</v>
      </c>
      <c r="AC6">
        <f>'Mall, Citadel, Rotana'!Q7+'Mall, Citadel, Rotana'!S7</f>
        <v>772</v>
      </c>
      <c r="AD6" s="32">
        <f t="shared" si="1"/>
        <v>82.143822799999995</v>
      </c>
      <c r="AE6" s="32">
        <f t="shared" si="2"/>
        <v>541.10217720000003</v>
      </c>
    </row>
    <row r="7" spans="1:31" x14ac:dyDescent="0.25">
      <c r="A7" s="45" t="s">
        <v>53</v>
      </c>
      <c r="B7" s="50">
        <f t="shared" si="3"/>
        <v>6</v>
      </c>
      <c r="C7" s="50">
        <v>8</v>
      </c>
      <c r="D7" s="50">
        <v>2022</v>
      </c>
      <c r="E7" s="34">
        <f>Water!C8</f>
        <v>90</v>
      </c>
      <c r="F7" s="34">
        <f>Water!E8</f>
        <v>410</v>
      </c>
      <c r="G7" s="34">
        <f>Water!G8</f>
        <v>567</v>
      </c>
      <c r="H7" s="34">
        <f>Water!I8</f>
        <v>3.0779999999999998</v>
      </c>
      <c r="I7" s="34">
        <f>ELECT.!F8</f>
        <v>18172</v>
      </c>
      <c r="J7" s="34">
        <f>ELECT.!H8</f>
        <v>41433</v>
      </c>
      <c r="K7" s="34">
        <f>ELECT.!K8</f>
        <v>7782</v>
      </c>
      <c r="L7" s="34">
        <f>ELECT.!M8</f>
        <v>4903</v>
      </c>
      <c r="M7" s="34">
        <f>ELECT.!O8</f>
        <v>19312</v>
      </c>
      <c r="N7" s="34">
        <f>ELECT.!Q8</f>
        <v>10346</v>
      </c>
      <c r="O7" s="34">
        <f>ELECT.!S8</f>
        <v>7981</v>
      </c>
      <c r="P7" s="34">
        <f>ELECT.!W8*2</f>
        <v>18328</v>
      </c>
      <c r="Q7" s="34">
        <f>ELECT.!D8</f>
        <v>800</v>
      </c>
      <c r="R7" s="35">
        <f>BTU!C8</f>
        <v>12.820999999999913</v>
      </c>
      <c r="S7" s="35">
        <f>BTU!F8</f>
        <v>2.2280000000000655</v>
      </c>
      <c r="T7" s="35">
        <f>BTU!I8</f>
        <v>8</v>
      </c>
      <c r="U7" s="35">
        <f>BTU!O8</f>
        <v>1.9510000000000218</v>
      </c>
      <c r="V7" s="35">
        <f>BTU!L8</f>
        <v>2.7799999999988358</v>
      </c>
      <c r="W7" s="35">
        <f>BTU!R8</f>
        <v>2.3699999999998909</v>
      </c>
      <c r="X7" s="32">
        <f>ELECT.!B8</f>
        <v>195</v>
      </c>
      <c r="Y7" s="32">
        <f t="shared" si="0"/>
        <v>-9047</v>
      </c>
      <c r="Z7">
        <f>'Mall, Citadel, Rotana'!C8+'Mall, Citadel, Rotana'!E8+'Mall, Citadel, Rotana'!G8+'Mall, Citadel, Rotana'!I8</f>
        <v>1234</v>
      </c>
      <c r="AA7">
        <f>'Mall, Citadel, Rotana'!K8+'Mall, Citadel, Rotana'!M8</f>
        <v>267</v>
      </c>
      <c r="AB7">
        <f>'Mall, Citadel, Rotana'!O8</f>
        <v>3</v>
      </c>
      <c r="AC7">
        <f>'Mall, Citadel, Rotana'!Q8+'Mall, Citadel, Rotana'!S8</f>
        <v>136</v>
      </c>
      <c r="AD7" s="32">
        <f t="shared" si="1"/>
        <v>-14.1128804</v>
      </c>
      <c r="AE7" s="32">
        <f t="shared" si="2"/>
        <v>-92.965119600000008</v>
      </c>
    </row>
    <row r="8" spans="1:31" x14ac:dyDescent="0.25">
      <c r="A8" s="45" t="s">
        <v>53</v>
      </c>
      <c r="B8" s="50">
        <f t="shared" si="3"/>
        <v>7</v>
      </c>
      <c r="C8" s="50">
        <v>8</v>
      </c>
      <c r="D8" s="50">
        <v>2022</v>
      </c>
      <c r="E8" s="34">
        <f>Water!C9</f>
        <v>830</v>
      </c>
      <c r="F8" s="34">
        <f>Water!E9</f>
        <v>440</v>
      </c>
      <c r="G8" s="34">
        <f>Water!G9</f>
        <v>604.79999999999995</v>
      </c>
      <c r="H8" s="34">
        <f>Water!I9</f>
        <v>3.78</v>
      </c>
      <c r="I8" s="34">
        <f>ELECT.!F9</f>
        <v>26520</v>
      </c>
      <c r="J8" s="34">
        <f>ELECT.!H9</f>
        <v>60112</v>
      </c>
      <c r="K8" s="34">
        <f>ELECT.!K9</f>
        <v>11822</v>
      </c>
      <c r="L8" s="34">
        <f>ELECT.!M9</f>
        <v>7208</v>
      </c>
      <c r="M8" s="34">
        <f>ELECT.!O9</f>
        <v>19084</v>
      </c>
      <c r="N8" s="34">
        <f>ELECT.!Q9</f>
        <v>15008</v>
      </c>
      <c r="O8" s="34">
        <f>ELECT.!S9</f>
        <v>11496</v>
      </c>
      <c r="P8" s="34">
        <f>ELECT.!W9*2</f>
        <v>26450</v>
      </c>
      <c r="Q8" s="34">
        <f>ELECT.!D9</f>
        <v>640</v>
      </c>
      <c r="R8" s="35">
        <f>BTU!C9</f>
        <v>18.332999999998719</v>
      </c>
      <c r="S8" s="35">
        <f>BTU!F9</f>
        <v>3.714999999999236</v>
      </c>
      <c r="T8" s="35">
        <f>BTU!I9</f>
        <v>10</v>
      </c>
      <c r="U8" s="35">
        <f>BTU!O9</f>
        <v>2.7010000000000218</v>
      </c>
      <c r="V8" s="35">
        <f>BTU!L9</f>
        <v>3.7300000000013824</v>
      </c>
      <c r="W8" s="35">
        <f>BTU!R9</f>
        <v>2.2799999999997453</v>
      </c>
      <c r="X8" s="32">
        <f>ELECT.!B9</f>
        <v>185</v>
      </c>
      <c r="Y8" s="32">
        <f t="shared" si="0"/>
        <v>-4436</v>
      </c>
      <c r="Z8">
        <f>'Mall, Citadel, Rotana'!C9+'Mall, Citadel, Rotana'!E9+'Mall, Citadel, Rotana'!G9+'Mall, Citadel, Rotana'!I9</f>
        <v>1379</v>
      </c>
      <c r="AA8">
        <f>'Mall, Citadel, Rotana'!K9+'Mall, Citadel, Rotana'!M9</f>
        <v>402</v>
      </c>
      <c r="AB8">
        <f>'Mall, Citadel, Rotana'!O9</f>
        <v>4</v>
      </c>
      <c r="AC8">
        <f>'Mall, Citadel, Rotana'!Q9+'Mall, Citadel, Rotana'!S9</f>
        <v>116</v>
      </c>
      <c r="AD8" s="32">
        <f t="shared" si="1"/>
        <v>83.326596000000009</v>
      </c>
      <c r="AE8" s="32">
        <f t="shared" si="2"/>
        <v>548.89340400000003</v>
      </c>
    </row>
    <row r="9" spans="1:31" x14ac:dyDescent="0.25">
      <c r="A9" s="45" t="s">
        <v>53</v>
      </c>
      <c r="B9" s="50">
        <f t="shared" si="3"/>
        <v>8</v>
      </c>
      <c r="C9" s="50">
        <v>8</v>
      </c>
      <c r="D9" s="50">
        <v>2022</v>
      </c>
      <c r="E9" s="34">
        <f>Water!C10</f>
        <v>1030</v>
      </c>
      <c r="F9" s="34">
        <f>Water!E10</f>
        <v>410</v>
      </c>
      <c r="G9" s="34">
        <f>Water!G10</f>
        <v>531.9</v>
      </c>
      <c r="H9" s="34">
        <f>Water!I10</f>
        <v>3.1859999999999999</v>
      </c>
      <c r="I9" s="34">
        <f>ELECT.!F10</f>
        <v>27207</v>
      </c>
      <c r="J9" s="34">
        <f>ELECT.!H10</f>
        <v>62879</v>
      </c>
      <c r="K9" s="34">
        <f>ELECT.!K10</f>
        <v>12734</v>
      </c>
      <c r="L9" s="34">
        <f>ELECT.!M10</f>
        <v>7330</v>
      </c>
      <c r="M9" s="34">
        <f>ELECT.!O10</f>
        <v>19670</v>
      </c>
      <c r="N9" s="34">
        <f>ELECT.!Q10</f>
        <v>15531</v>
      </c>
      <c r="O9" s="34">
        <f>ELECT.!S10</f>
        <v>12065</v>
      </c>
      <c r="P9" s="34">
        <f>ELECT.!W10*2</f>
        <v>27558</v>
      </c>
      <c r="Q9" s="34">
        <f>ELECT.!D10</f>
        <v>800</v>
      </c>
      <c r="R9" s="35">
        <f>BTU!C10</f>
        <v>12.493999999998778</v>
      </c>
      <c r="S9" s="35">
        <f>BTU!F10</f>
        <v>2.1159999999999854</v>
      </c>
      <c r="T9" s="35">
        <f>BTU!I10</f>
        <v>7</v>
      </c>
      <c r="U9" s="35">
        <f>BTU!O10</f>
        <v>1.5889999999999418</v>
      </c>
      <c r="V9" s="35">
        <f>BTU!L10</f>
        <v>1.4799999999995634</v>
      </c>
      <c r="W9" s="35">
        <f>BTU!R10</f>
        <v>0.53999999999996362</v>
      </c>
      <c r="X9" s="32">
        <f>ELECT.!B10</f>
        <v>245</v>
      </c>
      <c r="Y9" s="32">
        <f t="shared" si="0"/>
        <v>-4802</v>
      </c>
      <c r="Z9">
        <f>'Mall, Citadel, Rotana'!C10+'Mall, Citadel, Rotana'!E10+'Mall, Citadel, Rotana'!G10+'Mall, Citadel, Rotana'!I10</f>
        <v>1387</v>
      </c>
      <c r="AA9">
        <f>'Mall, Citadel, Rotana'!K10+'Mall, Citadel, Rotana'!M10</f>
        <v>353</v>
      </c>
      <c r="AB9">
        <f>'Mall, Citadel, Rotana'!O10</f>
        <v>3</v>
      </c>
      <c r="AC9">
        <f>'Mall, Citadel, Rotana'!Q10+'Mall, Citadel, Rotana'!S10</f>
        <v>121</v>
      </c>
      <c r="AD9" s="32">
        <f t="shared" si="1"/>
        <v>109.76488520000001</v>
      </c>
      <c r="AE9" s="32">
        <f t="shared" si="2"/>
        <v>723.0491148000001</v>
      </c>
    </row>
    <row r="10" spans="1:31" x14ac:dyDescent="0.25">
      <c r="A10" s="45" t="s">
        <v>53</v>
      </c>
      <c r="B10" s="50">
        <f t="shared" si="3"/>
        <v>9</v>
      </c>
      <c r="C10" s="50">
        <v>8</v>
      </c>
      <c r="D10" s="50">
        <v>2022</v>
      </c>
      <c r="E10" s="34">
        <f>Water!C11</f>
        <v>1000</v>
      </c>
      <c r="F10" s="34">
        <f>Water!E11</f>
        <v>450</v>
      </c>
      <c r="G10" s="34">
        <f>Water!G11</f>
        <v>591.29999999999995</v>
      </c>
      <c r="H10" s="34">
        <f>Water!I11</f>
        <v>3.4830000000000001</v>
      </c>
      <c r="I10" s="34">
        <f>ELECT.!F11</f>
        <v>21948</v>
      </c>
      <c r="J10" s="34">
        <f>ELECT.!H11</f>
        <v>48774</v>
      </c>
      <c r="K10" s="34">
        <f>ELECT.!K11</f>
        <v>10282</v>
      </c>
      <c r="L10" s="34">
        <f>ELECT.!M11</f>
        <v>5872</v>
      </c>
      <c r="M10" s="34">
        <f>ELECT.!O11</f>
        <v>15870</v>
      </c>
      <c r="N10" s="34">
        <f>ELECT.!Q11</f>
        <v>12499</v>
      </c>
      <c r="O10" s="34">
        <f>ELECT.!S11</f>
        <v>9506</v>
      </c>
      <c r="P10" s="34">
        <f>ELECT.!W11*2</f>
        <v>20598</v>
      </c>
      <c r="Q10" s="34">
        <f>ELECT.!D11</f>
        <v>640</v>
      </c>
      <c r="R10" s="35">
        <f>BTU!C11</f>
        <v>10.020000000000437</v>
      </c>
      <c r="S10" s="35">
        <f>BTU!F11</f>
        <v>3.3000000000001819</v>
      </c>
      <c r="T10" s="35">
        <f>BTU!I11</f>
        <v>7</v>
      </c>
      <c r="U10" s="35">
        <f>BTU!O11</f>
        <v>1.3000000000001819</v>
      </c>
      <c r="V10" s="35">
        <f>BTU!L11</f>
        <v>1.8999999999996362</v>
      </c>
      <c r="W10" s="35">
        <f>BTU!R11</f>
        <v>1</v>
      </c>
      <c r="X10" s="32">
        <f>ELECT.!B11</f>
        <v>203</v>
      </c>
      <c r="Y10" s="32">
        <f t="shared" si="0"/>
        <v>-3905</v>
      </c>
      <c r="Z10">
        <f>'Mall, Citadel, Rotana'!C11+'Mall, Citadel, Rotana'!E11+'Mall, Citadel, Rotana'!G11+'Mall, Citadel, Rotana'!I11</f>
        <v>1241</v>
      </c>
      <c r="AA10">
        <f>'Mall, Citadel, Rotana'!K11+'Mall, Citadel, Rotana'!M11</f>
        <v>350</v>
      </c>
      <c r="AB10">
        <f>'Mall, Citadel, Rotana'!O11</f>
        <v>3</v>
      </c>
      <c r="AC10">
        <f>'Mall, Citadel, Rotana'!Q11+'Mall, Citadel, Rotana'!S11</f>
        <v>115</v>
      </c>
      <c r="AD10" s="32">
        <f t="shared" si="1"/>
        <v>105.7717406</v>
      </c>
      <c r="AE10" s="32">
        <f t="shared" si="2"/>
        <v>696.74525940000001</v>
      </c>
    </row>
    <row r="11" spans="1:31" x14ac:dyDescent="0.25">
      <c r="A11" s="45" t="s">
        <v>53</v>
      </c>
      <c r="B11" s="50">
        <f t="shared" si="3"/>
        <v>10</v>
      </c>
      <c r="C11" s="50">
        <v>8</v>
      </c>
      <c r="D11" s="50">
        <v>2022</v>
      </c>
      <c r="E11" s="34">
        <f>Water!C12</f>
        <v>980</v>
      </c>
      <c r="F11" s="34">
        <f>Water!E12</f>
        <v>410</v>
      </c>
      <c r="G11" s="34">
        <f>Water!G12</f>
        <v>569.70000000000005</v>
      </c>
      <c r="H11" s="34">
        <f>Water!I12</f>
        <v>3.6720000000000002</v>
      </c>
      <c r="I11" s="34">
        <f>ELECT.!F12</f>
        <v>21596</v>
      </c>
      <c r="J11" s="34">
        <f>ELECT.!H12</f>
        <v>48029</v>
      </c>
      <c r="K11" s="34">
        <f>ELECT.!K12</f>
        <v>10088</v>
      </c>
      <c r="L11" s="34">
        <f>ELECT.!M12</f>
        <v>5571</v>
      </c>
      <c r="M11" s="34">
        <f>ELECT.!O12</f>
        <v>15848</v>
      </c>
      <c r="N11" s="34">
        <f>ELECT.!Q12</f>
        <v>12350</v>
      </c>
      <c r="O11" s="34">
        <f>ELECT.!S12</f>
        <v>9269</v>
      </c>
      <c r="P11" s="34">
        <f>ELECT.!W12*2</f>
        <v>20370</v>
      </c>
      <c r="Q11" s="34">
        <f>ELECT.!D12</f>
        <v>800</v>
      </c>
      <c r="R11" s="35">
        <f>BTU!C12</f>
        <v>14.849000000001979</v>
      </c>
      <c r="S11" s="35">
        <f>BTU!F12</f>
        <v>3.7669999999998254</v>
      </c>
      <c r="T11" s="35">
        <f>BTU!I12</f>
        <v>9</v>
      </c>
      <c r="U11" s="35">
        <f>BTU!O12</f>
        <v>1.6599999999998545</v>
      </c>
      <c r="V11" s="35">
        <f>BTU!L12</f>
        <v>2.7399999999997817</v>
      </c>
      <c r="W11" s="35">
        <f>BTU!R12</f>
        <v>1.0500000000001819</v>
      </c>
      <c r="X11" s="32">
        <f>ELECT.!B12</f>
        <v>234</v>
      </c>
      <c r="Y11" s="32">
        <f t="shared" si="0"/>
        <v>-3871</v>
      </c>
      <c r="Z11">
        <f>'Mall, Citadel, Rotana'!C12+'Mall, Citadel, Rotana'!E12+'Mall, Citadel, Rotana'!G12+'Mall, Citadel, Rotana'!I12</f>
        <v>1837</v>
      </c>
      <c r="AA11">
        <f>'Mall, Citadel, Rotana'!K12+'Mall, Citadel, Rotana'!M12</f>
        <v>706</v>
      </c>
      <c r="AB11">
        <f>'Mall, Citadel, Rotana'!O12</f>
        <v>6</v>
      </c>
      <c r="AC11">
        <f>'Mall, Citadel, Rotana'!Q12+'Mall, Citadel, Rotana'!S12</f>
        <v>121</v>
      </c>
      <c r="AD11" s="32">
        <f t="shared" si="1"/>
        <v>103.1108304</v>
      </c>
      <c r="AE11" s="32">
        <f t="shared" si="2"/>
        <v>679.21716960000003</v>
      </c>
    </row>
    <row r="12" spans="1:31" x14ac:dyDescent="0.25">
      <c r="A12" s="45" t="s">
        <v>53</v>
      </c>
      <c r="B12" s="50">
        <f t="shared" si="3"/>
        <v>11</v>
      </c>
      <c r="C12" s="50">
        <v>8</v>
      </c>
      <c r="D12" s="50">
        <v>2022</v>
      </c>
      <c r="E12" s="34">
        <f>Water!C13</f>
        <v>1200</v>
      </c>
      <c r="F12" s="34">
        <f>Water!E13</f>
        <v>480</v>
      </c>
      <c r="G12" s="34">
        <f>Water!G13</f>
        <v>602.1</v>
      </c>
      <c r="H12" s="34">
        <f>Water!I13</f>
        <v>3.456</v>
      </c>
      <c r="I12" s="34">
        <f>ELECT.!F13</f>
        <v>32407</v>
      </c>
      <c r="J12" s="34">
        <f>ELECT.!H13</f>
        <v>73860</v>
      </c>
      <c r="K12" s="34">
        <f>ELECT.!K13</f>
        <v>14956</v>
      </c>
      <c r="L12" s="34">
        <f>ELECT.!M13</f>
        <v>8187</v>
      </c>
      <c r="M12" s="34">
        <f>ELECT.!O13</f>
        <v>23962</v>
      </c>
      <c r="N12" s="34">
        <f>ELECT.!Q13</f>
        <v>18974</v>
      </c>
      <c r="O12" s="34">
        <f>ELECT.!S13</f>
        <v>14756</v>
      </c>
      <c r="P12" s="34">
        <f>ELECT.!W13*2</f>
        <v>31120</v>
      </c>
      <c r="Q12" s="34">
        <f>ELECT.!D13</f>
        <v>480</v>
      </c>
      <c r="R12" s="35">
        <f>BTU!C13</f>
        <v>15.454999999998108</v>
      </c>
      <c r="S12" s="35">
        <f>BTU!F13</f>
        <v>3.4600000000000364</v>
      </c>
      <c r="T12" s="35">
        <f>BTU!I13</f>
        <v>8</v>
      </c>
      <c r="U12" s="35">
        <f>BTU!O13</f>
        <v>2.0619999999998981</v>
      </c>
      <c r="V12" s="35">
        <f>BTU!L13</f>
        <v>2.5500000000010914</v>
      </c>
      <c r="W12" s="35">
        <f>BTU!R13</f>
        <v>1.1199999999998909</v>
      </c>
      <c r="X12" s="32">
        <f>ELECT.!B13</f>
        <v>222</v>
      </c>
      <c r="Y12" s="32">
        <f t="shared" si="0"/>
        <v>-5688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2">
        <f t="shared" si="1"/>
        <v>132.13529920000002</v>
      </c>
      <c r="AE12" s="32">
        <f t="shared" si="2"/>
        <v>870.40870080000013</v>
      </c>
    </row>
    <row r="13" spans="1:31" x14ac:dyDescent="0.25">
      <c r="A13" s="45" t="s">
        <v>53</v>
      </c>
      <c r="B13" s="50">
        <f t="shared" si="3"/>
        <v>12</v>
      </c>
      <c r="C13" s="50">
        <v>8</v>
      </c>
      <c r="D13" s="50">
        <v>2022</v>
      </c>
      <c r="E13" s="34">
        <f>Water!C14</f>
        <v>1100</v>
      </c>
      <c r="F13" s="34">
        <f>Water!E14</f>
        <v>430</v>
      </c>
      <c r="G13" s="34">
        <f>Water!G14</f>
        <v>569.70000000000005</v>
      </c>
      <c r="H13" s="34">
        <f>Water!I14</f>
        <v>3.456</v>
      </c>
      <c r="I13" s="34">
        <f>ELECT.!F14</f>
        <v>21145</v>
      </c>
      <c r="J13" s="34">
        <f>ELECT.!H14</f>
        <v>48912</v>
      </c>
      <c r="K13" s="34">
        <f>ELECT.!K14</f>
        <v>9378</v>
      </c>
      <c r="L13" s="34">
        <f>ELECT.!M14</f>
        <v>5450</v>
      </c>
      <c r="M13" s="34">
        <f>ELECT.!O14</f>
        <v>15486</v>
      </c>
      <c r="N13" s="34">
        <f>ELECT.!Q14</f>
        <v>12299</v>
      </c>
      <c r="O13" s="34">
        <f>ELECT.!S14</f>
        <v>9947</v>
      </c>
      <c r="P13" s="34">
        <f>ELECT.!W14*2</f>
        <v>21018</v>
      </c>
      <c r="Q13" s="34">
        <f>ELECT.!D14</f>
        <v>640</v>
      </c>
      <c r="R13" s="35">
        <f>BTU!C14</f>
        <v>14.02100000000064</v>
      </c>
      <c r="S13" s="35">
        <f>BTU!F14</f>
        <v>1.7310000000006767</v>
      </c>
      <c r="T13" s="35">
        <f>BTU!I14</f>
        <v>7</v>
      </c>
      <c r="U13" s="35">
        <f>BTU!O14</f>
        <v>1.7989999999999782</v>
      </c>
      <c r="V13" s="35">
        <f>BTU!L14</f>
        <v>2.5799999999999272</v>
      </c>
      <c r="W13" s="35">
        <f>BTU!R14</f>
        <v>0.93000000000029104</v>
      </c>
      <c r="X13" s="32">
        <f>ELECT.!B14</f>
        <v>245</v>
      </c>
      <c r="Y13" s="32">
        <f t="shared" si="0"/>
        <v>-3521</v>
      </c>
      <c r="Z13">
        <f>'Mall, Citadel, Rotana'!C14+'Mall, Citadel, Rotana'!E14+'Mall, Citadel, Rotana'!G14+'Mall, Citadel, Rotana'!I14</f>
        <v>2016</v>
      </c>
      <c r="AA13">
        <f>'Mall, Citadel, Rotana'!K14+'Mall, Citadel, Rotana'!M14</f>
        <v>239</v>
      </c>
      <c r="AB13">
        <f>'Mall, Citadel, Rotana'!O14</f>
        <v>4</v>
      </c>
      <c r="AC13">
        <f>'Mall, Citadel, Rotana'!Q14+'Mall, Citadel, Rotana'!S14</f>
        <v>0</v>
      </c>
      <c r="AD13" s="32">
        <f t="shared" si="1"/>
        <v>118.95529920000001</v>
      </c>
      <c r="AE13" s="32">
        <f t="shared" si="2"/>
        <v>783.58870080000008</v>
      </c>
    </row>
    <row r="14" spans="1:31" x14ac:dyDescent="0.25">
      <c r="A14" s="45" t="s">
        <v>53</v>
      </c>
      <c r="B14" s="50">
        <f t="shared" si="3"/>
        <v>13</v>
      </c>
      <c r="C14" s="50">
        <v>8</v>
      </c>
      <c r="D14" s="50">
        <v>2022</v>
      </c>
      <c r="E14" s="34">
        <f>Water!C15</f>
        <v>1060</v>
      </c>
      <c r="F14" s="34">
        <f>Water!E15</f>
        <v>440</v>
      </c>
      <c r="G14" s="34">
        <f>Water!G15</f>
        <v>588.6</v>
      </c>
      <c r="H14" s="34">
        <f>Water!I15</f>
        <v>2.835</v>
      </c>
      <c r="I14" s="34">
        <f>ELECT.!F15</f>
        <v>23240</v>
      </c>
      <c r="J14" s="34">
        <f>ELECT.!H15</f>
        <v>54688</v>
      </c>
      <c r="K14" s="34">
        <f>ELECT.!K15</f>
        <v>10760</v>
      </c>
      <c r="L14" s="34">
        <f>ELECT.!M15</f>
        <v>5944</v>
      </c>
      <c r="M14" s="34">
        <f>ELECT.!O15</f>
        <v>17104</v>
      </c>
      <c r="N14" s="34">
        <f>ELECT.!Q15</f>
        <v>13562</v>
      </c>
      <c r="O14" s="34">
        <f>ELECT.!S15</f>
        <v>13214</v>
      </c>
      <c r="P14" s="34">
        <f>ELECT.!W15*2</f>
        <v>23368</v>
      </c>
      <c r="Q14" s="34">
        <f>ELECT.!D15</f>
        <v>640</v>
      </c>
      <c r="R14" s="35">
        <f>BTU!C15</f>
        <v>18.180000000000291</v>
      </c>
      <c r="S14" s="35">
        <f>BTU!F15</f>
        <v>2.4259999999994761</v>
      </c>
      <c r="T14" s="35">
        <f>BTU!I15</f>
        <v>9</v>
      </c>
      <c r="U14" s="35">
        <f>BTU!O15</f>
        <v>3.0799999999999272</v>
      </c>
      <c r="V14" s="35">
        <f>BTU!L15</f>
        <v>3.3299999999999272</v>
      </c>
      <c r="W14" s="35">
        <f>BTU!R15</f>
        <v>1.180000000000291</v>
      </c>
      <c r="X14" s="32">
        <f>ELECT.!B15</f>
        <v>218</v>
      </c>
      <c r="Y14" s="32">
        <f t="shared" si="0"/>
        <v>-6024</v>
      </c>
      <c r="Z14">
        <f>'Mall, Citadel, Rotana'!C15+'Mall, Citadel, Rotana'!E15+'Mall, Citadel, Rotana'!G15+'Mall, Citadel, Rotana'!I15</f>
        <v>1398</v>
      </c>
      <c r="AA14">
        <f>'Mall, Citadel, Rotana'!K15+'Mall, Citadel, Rotana'!M15</f>
        <v>258</v>
      </c>
      <c r="AB14">
        <f>'Mall, Citadel, Rotana'!O15</f>
        <v>3</v>
      </c>
      <c r="AC14">
        <f>'Mall, Citadel, Rotana'!Q15+'Mall, Citadel, Rotana'!S15</f>
        <v>0</v>
      </c>
      <c r="AD14" s="32">
        <f t="shared" si="1"/>
        <v>113.765147</v>
      </c>
      <c r="AE14" s="32">
        <f t="shared" si="2"/>
        <v>749.39985300000001</v>
      </c>
    </row>
    <row r="15" spans="1:31" x14ac:dyDescent="0.25">
      <c r="A15" s="45" t="s">
        <v>53</v>
      </c>
      <c r="B15" s="50">
        <f t="shared" si="3"/>
        <v>14</v>
      </c>
      <c r="C15" s="50">
        <v>8</v>
      </c>
      <c r="D15" s="50">
        <v>2022</v>
      </c>
      <c r="E15" s="34">
        <f>Water!C16</f>
        <v>1050</v>
      </c>
      <c r="F15" s="34">
        <f>Water!E16</f>
        <v>440</v>
      </c>
      <c r="G15" s="34">
        <f>Water!G16</f>
        <v>572.4</v>
      </c>
      <c r="H15" s="34">
        <f>Water!I16</f>
        <v>3.5909999999999997</v>
      </c>
      <c r="I15" s="34">
        <f>ELECT.!F16</f>
        <v>23201</v>
      </c>
      <c r="J15" s="34">
        <f>ELECT.!H16</f>
        <v>52839</v>
      </c>
      <c r="K15" s="34">
        <f>ELECT.!K16</f>
        <v>10970</v>
      </c>
      <c r="L15" s="34">
        <f>ELECT.!M16</f>
        <v>6038</v>
      </c>
      <c r="M15" s="34">
        <f>ELECT.!O16</f>
        <v>16966</v>
      </c>
      <c r="N15" s="34">
        <f>ELECT.!Q16</f>
        <v>13567</v>
      </c>
      <c r="O15" s="34">
        <f>ELECT.!S16</f>
        <v>7417</v>
      </c>
      <c r="P15" s="34">
        <f>ELECT.!W16*2</f>
        <v>22188</v>
      </c>
      <c r="Q15" s="34">
        <f>ELECT.!D16</f>
        <v>640</v>
      </c>
      <c r="R15" s="35">
        <f>BTU!C16</f>
        <v>10.819999999999709</v>
      </c>
      <c r="S15" s="35">
        <f>BTU!F16</f>
        <v>2.3000000000001819</v>
      </c>
      <c r="T15" s="35">
        <f>BTU!I16</f>
        <v>7</v>
      </c>
      <c r="U15" s="35">
        <f>BTU!O16</f>
        <v>1.1100000000001273</v>
      </c>
      <c r="V15" s="35">
        <f>BTU!L16</f>
        <v>2.2199999999993452</v>
      </c>
      <c r="W15" s="35">
        <f>BTU!R16</f>
        <v>1.7799999999997453</v>
      </c>
      <c r="X15" s="32">
        <f>ELECT.!B16</f>
        <v>224</v>
      </c>
      <c r="Y15" s="32">
        <f t="shared" si="0"/>
        <v>-1106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2">
        <f t="shared" si="1"/>
        <v>112.34750620000001</v>
      </c>
      <c r="AE15" s="32">
        <f t="shared" si="2"/>
        <v>740.06149380000011</v>
      </c>
    </row>
    <row r="16" spans="1:31" x14ac:dyDescent="0.25">
      <c r="A16" s="45" t="s">
        <v>53</v>
      </c>
      <c r="B16" s="50">
        <f t="shared" si="3"/>
        <v>15</v>
      </c>
      <c r="C16" s="50">
        <v>8</v>
      </c>
      <c r="D16" s="50">
        <v>2022</v>
      </c>
      <c r="E16" s="34">
        <f>Water!C17</f>
        <v>720</v>
      </c>
      <c r="F16" s="34">
        <f>Water!E17</f>
        <v>420</v>
      </c>
      <c r="G16" s="34">
        <f>Water!G17</f>
        <v>567</v>
      </c>
      <c r="H16" s="34">
        <f>Water!I17</f>
        <v>3.4289999999999998</v>
      </c>
      <c r="I16" s="34">
        <f>ELECT.!F17</f>
        <v>30016</v>
      </c>
      <c r="J16" s="34">
        <f>ELECT.!H17</f>
        <v>66248</v>
      </c>
      <c r="K16" s="34">
        <f>ELECT.!K17</f>
        <v>13966</v>
      </c>
      <c r="L16" s="34">
        <f>ELECT.!M17</f>
        <v>8267</v>
      </c>
      <c r="M16" s="34">
        <f>ELECT.!O17</f>
        <v>21510</v>
      </c>
      <c r="N16" s="34">
        <f>ELECT.!Q17</f>
        <v>17175</v>
      </c>
      <c r="O16" s="34">
        <f>ELECT.!S17</f>
        <v>13822</v>
      </c>
      <c r="P16" s="34">
        <f>ELECT.!W17*2</f>
        <v>27878</v>
      </c>
      <c r="Q16" s="34">
        <f>ELECT.!D17</f>
        <v>800</v>
      </c>
      <c r="R16" s="35">
        <f>BTU!C17</f>
        <v>13</v>
      </c>
      <c r="S16" s="35">
        <f>BTU!F17</f>
        <v>3.8000000000001819</v>
      </c>
      <c r="T16" s="35">
        <f>BTU!I17</f>
        <v>8</v>
      </c>
      <c r="U16" s="35">
        <f>BTU!O17</f>
        <v>2.5109999999999673</v>
      </c>
      <c r="V16" s="35">
        <f>BTU!L17</f>
        <v>2.3400000000001455</v>
      </c>
      <c r="W16" s="35">
        <f>BTU!R17</f>
        <v>0.1499999999996362</v>
      </c>
      <c r="X16" s="32">
        <f>ELECT.!B17</f>
        <v>223</v>
      </c>
      <c r="Y16" s="32">
        <f t="shared" si="0"/>
        <v>-6354</v>
      </c>
      <c r="Z16">
        <f>'Mall, Citadel, Rotana'!C17+'Mall, Citadel, Rotana'!E17+'Mall, Citadel, Rotana'!G17+'Mall, Citadel, Rotana'!I17</f>
        <v>2601</v>
      </c>
      <c r="AA16">
        <f>'Mall, Citadel, Rotana'!K17+'Mall, Citadel, Rotana'!M17</f>
        <v>753</v>
      </c>
      <c r="AB16">
        <f>'Mall, Citadel, Rotana'!O17</f>
        <v>6</v>
      </c>
      <c r="AC16">
        <f>'Mall, Citadel, Rotana'!Q17+'Mall, Citadel, Rotana'!S17</f>
        <v>0</v>
      </c>
      <c r="AD16" s="32">
        <f t="shared" si="1"/>
        <v>68.874857800000001</v>
      </c>
      <c r="AE16" s="32">
        <f t="shared" si="2"/>
        <v>453.69614220000005</v>
      </c>
    </row>
    <row r="17" spans="1:31" x14ac:dyDescent="0.25">
      <c r="A17" s="45" t="s">
        <v>53</v>
      </c>
      <c r="B17" s="50">
        <f t="shared" si="3"/>
        <v>16</v>
      </c>
      <c r="C17" s="50">
        <v>8</v>
      </c>
      <c r="D17" s="50">
        <v>2022</v>
      </c>
      <c r="E17" s="34">
        <f>Water!C18</f>
        <v>1100</v>
      </c>
      <c r="F17" s="34">
        <f>Water!E18</f>
        <v>430</v>
      </c>
      <c r="G17" s="34">
        <f>Water!G18</f>
        <v>631.79999999999995</v>
      </c>
      <c r="H17" s="34">
        <f>Water!I18</f>
        <v>3.5640000000000001</v>
      </c>
      <c r="I17" s="34">
        <f>ELECT.!F18</f>
        <v>19581</v>
      </c>
      <c r="J17" s="34">
        <f>ELECT.!H18</f>
        <v>45809</v>
      </c>
      <c r="K17" s="34">
        <f>ELECT.!K18</f>
        <v>9950</v>
      </c>
      <c r="L17" s="34">
        <f>ELECT.!M18</f>
        <v>5801</v>
      </c>
      <c r="M17" s="34">
        <f>ELECT.!O18</f>
        <v>13584</v>
      </c>
      <c r="N17" s="34">
        <f>ELECT.!Q18</f>
        <v>12054</v>
      </c>
      <c r="O17" s="34">
        <f>ELECT.!S18</f>
        <v>8990</v>
      </c>
      <c r="P17" s="34">
        <f>ELECT.!W18*2</f>
        <v>18798</v>
      </c>
      <c r="Q17" s="34">
        <f>ELECT.!D18</f>
        <v>800</v>
      </c>
      <c r="R17" s="35">
        <f>BTU!C18</f>
        <v>11.900000000001455</v>
      </c>
      <c r="S17" s="35">
        <f>BTU!F18</f>
        <v>2.6939999999995052</v>
      </c>
      <c r="T17" s="35">
        <f>BTU!I18</f>
        <v>8</v>
      </c>
      <c r="U17" s="35">
        <f>BTU!O18</f>
        <v>1.8240000000000691</v>
      </c>
      <c r="V17" s="35">
        <f>BTU!L18</f>
        <v>1.9599999999991269</v>
      </c>
      <c r="W17" s="35">
        <f>BTU!R18</f>
        <v>0.9499999999998181</v>
      </c>
      <c r="X17" s="32">
        <f>ELECT.!B18</f>
        <v>107</v>
      </c>
      <c r="Y17" s="32">
        <f t="shared" si="0"/>
        <v>-3787</v>
      </c>
      <c r="Z17">
        <f>'Mall, Citadel, Rotana'!C18+'Mall, Citadel, Rotana'!E18+'Mall, Citadel, Rotana'!G18+'Mall, Citadel, Rotana'!I18</f>
        <v>1382</v>
      </c>
      <c r="AA17">
        <f>'Mall, Citadel, Rotana'!K18+'Mall, Citadel, Rotana'!M18</f>
        <v>408</v>
      </c>
      <c r="AB17">
        <f>'Mall, Citadel, Rotana'!O18</f>
        <v>4</v>
      </c>
      <c r="AC17">
        <f>'Mall, Citadel, Rotana'!Q18+'Mall, Citadel, Rotana'!S18</f>
        <v>0</v>
      </c>
      <c r="AD17" s="32">
        <f t="shared" si="1"/>
        <v>118.94106479999999</v>
      </c>
      <c r="AE17" s="32">
        <f t="shared" si="2"/>
        <v>783.49493519999987</v>
      </c>
    </row>
    <row r="18" spans="1:31" x14ac:dyDescent="0.25">
      <c r="A18" s="45" t="s">
        <v>53</v>
      </c>
      <c r="B18" s="50">
        <f t="shared" si="3"/>
        <v>17</v>
      </c>
      <c r="C18" s="50">
        <v>8</v>
      </c>
      <c r="D18" s="50">
        <v>2022</v>
      </c>
      <c r="E18" s="34">
        <f>Water!C19</f>
        <v>1190</v>
      </c>
      <c r="F18" s="34">
        <f>Water!E19</f>
        <v>520</v>
      </c>
      <c r="G18" s="34">
        <f>Water!G19</f>
        <v>585.9</v>
      </c>
      <c r="H18" s="34">
        <f>Water!I19</f>
        <v>4.266</v>
      </c>
      <c r="I18" s="34">
        <f>ELECT.!F19</f>
        <v>28295</v>
      </c>
      <c r="J18" s="34">
        <f>ELECT.!H19</f>
        <v>63021</v>
      </c>
      <c r="K18" s="34">
        <f>ELECT.!K19</f>
        <v>13476</v>
      </c>
      <c r="L18" s="34">
        <f>ELECT.!M19</f>
        <v>7949</v>
      </c>
      <c r="M18" s="34">
        <f>ELECT.!O19</f>
        <v>20126</v>
      </c>
      <c r="N18" s="34">
        <f>ELECT.!Q19</f>
        <v>15903</v>
      </c>
      <c r="O18" s="34">
        <f>ELECT.!S19</f>
        <v>12260</v>
      </c>
      <c r="P18" s="34">
        <f>ELECT.!W19*2</f>
        <v>26798</v>
      </c>
      <c r="Q18" s="34">
        <f>ELECT.!D19</f>
        <v>640</v>
      </c>
      <c r="R18" s="35">
        <f>BTU!C19</f>
        <v>14.099999999998545</v>
      </c>
      <c r="S18" s="35">
        <f>BTU!F19</f>
        <v>4.01299999999992</v>
      </c>
      <c r="T18" s="35">
        <f>BTU!I19</f>
        <v>9</v>
      </c>
      <c r="U18" s="35">
        <f>BTU!O19</f>
        <v>2.2649999999998727</v>
      </c>
      <c r="V18" s="35">
        <f>BTU!L19</f>
        <v>2.2000000000007276</v>
      </c>
      <c r="W18" s="35">
        <f>BTU!R19</f>
        <v>0.8000000000001819</v>
      </c>
      <c r="X18" s="32">
        <f>ELECT.!B19</f>
        <v>150</v>
      </c>
      <c r="Y18" s="32">
        <f t="shared" si="0"/>
        <v>-5196</v>
      </c>
      <c r="Z18">
        <f>'Mall, Citadel, Rotana'!C19+'Mall, Citadel, Rotana'!E19+'Mall, Citadel, Rotana'!G19+'Mall, Citadel, Rotana'!I19</f>
        <v>1375</v>
      </c>
      <c r="AA18">
        <f>'Mall, Citadel, Rotana'!K19+'Mall, Citadel, Rotana'!M19</f>
        <v>348</v>
      </c>
      <c r="AB18">
        <f>'Mall, Citadel, Rotana'!O19</f>
        <v>3</v>
      </c>
      <c r="AC18">
        <f>'Mall, Citadel, Rotana'!Q19+'Mall, Citadel, Rotana'!S19</f>
        <v>0</v>
      </c>
      <c r="AD18" s="32">
        <f t="shared" si="1"/>
        <v>130.71054119999999</v>
      </c>
      <c r="AE18" s="32">
        <f t="shared" si="2"/>
        <v>861.02345879999984</v>
      </c>
    </row>
    <row r="19" spans="1:31" x14ac:dyDescent="0.25">
      <c r="A19" s="45" t="s">
        <v>53</v>
      </c>
      <c r="B19" s="50">
        <f t="shared" si="3"/>
        <v>18</v>
      </c>
      <c r="C19" s="50">
        <v>8</v>
      </c>
      <c r="D19" s="50">
        <v>2022</v>
      </c>
      <c r="E19" s="34">
        <f>Water!C20</f>
        <v>1090</v>
      </c>
      <c r="F19" s="34">
        <f>Water!E20</f>
        <v>320</v>
      </c>
      <c r="G19" s="34">
        <f>Water!G20</f>
        <v>585.9</v>
      </c>
      <c r="H19" s="34">
        <f>Water!I20</f>
        <v>3.915</v>
      </c>
      <c r="I19" s="34">
        <f>ELECT.!F20</f>
        <v>20714</v>
      </c>
      <c r="J19" s="34">
        <f>ELECT.!H20</f>
        <v>46644</v>
      </c>
      <c r="K19" s="34">
        <f>ELECT.!K20</f>
        <v>9720</v>
      </c>
      <c r="L19" s="34">
        <f>ELECT.!M20</f>
        <v>5720</v>
      </c>
      <c r="M19" s="34">
        <f>ELECT.!O20</f>
        <v>14790</v>
      </c>
      <c r="N19" s="34">
        <f>ELECT.!Q20</f>
        <v>11821</v>
      </c>
      <c r="O19" s="34">
        <f>ELECT.!S20</f>
        <v>9070</v>
      </c>
      <c r="P19" s="34">
        <f>ELECT.!W20*2</f>
        <v>19888</v>
      </c>
      <c r="Q19" s="34">
        <f>ELECT.!D20</f>
        <v>800</v>
      </c>
      <c r="R19" s="35">
        <f>BTU!C20</f>
        <v>13.754000000000815</v>
      </c>
      <c r="S19" s="35">
        <f>BTU!F20</f>
        <v>3.2380000000002838</v>
      </c>
      <c r="T19" s="35">
        <f>BTU!I20</f>
        <v>8</v>
      </c>
      <c r="U19" s="35">
        <f>BTU!O20</f>
        <v>2.1280000000001564</v>
      </c>
      <c r="V19" s="35">
        <f>BTU!L20</f>
        <v>3.3899999999994179</v>
      </c>
      <c r="W19" s="35">
        <f>BTU!R20</f>
        <v>0.98999999999978172</v>
      </c>
      <c r="X19" s="32">
        <f>ELECT.!B20</f>
        <v>155</v>
      </c>
      <c r="Y19" s="32">
        <f t="shared" si="0"/>
        <v>-3651</v>
      </c>
      <c r="Z19">
        <f>'Mall, Citadel, Rotana'!C20+'Mall, Citadel, Rotana'!E20+'Mall, Citadel, Rotana'!G20+'Mall, Citadel, Rotana'!I20</f>
        <v>1223</v>
      </c>
      <c r="AA19">
        <f>'Mall, Citadel, Rotana'!K20+'Mall, Citadel, Rotana'!M20</f>
        <v>339</v>
      </c>
      <c r="AB19">
        <f>'Mall, Citadel, Rotana'!O20</f>
        <v>3</v>
      </c>
      <c r="AC19">
        <f>'Mall, Citadel, Rotana'!Q20+'Mall, Citadel, Rotana'!S20</f>
        <v>1426</v>
      </c>
      <c r="AD19" s="32">
        <f t="shared" si="1"/>
        <v>117.576803</v>
      </c>
      <c r="AE19" s="32">
        <f t="shared" si="2"/>
        <v>774.508197</v>
      </c>
    </row>
    <row r="20" spans="1:31" x14ac:dyDescent="0.25">
      <c r="A20" s="45" t="s">
        <v>53</v>
      </c>
      <c r="B20" s="50">
        <f t="shared" si="3"/>
        <v>19</v>
      </c>
      <c r="C20" s="50">
        <v>8</v>
      </c>
      <c r="D20" s="50">
        <v>2022</v>
      </c>
      <c r="E20" s="34">
        <f>Water!C21</f>
        <v>1170</v>
      </c>
      <c r="F20" s="34">
        <f>Water!E21</f>
        <v>570</v>
      </c>
      <c r="G20" s="34">
        <f>Water!G21</f>
        <v>610.20000000000005</v>
      </c>
      <c r="H20" s="34">
        <f>Water!I21</f>
        <v>2.8889999999999998</v>
      </c>
      <c r="I20" s="34">
        <f>ELECT.!F21</f>
        <v>26303</v>
      </c>
      <c r="J20" s="34">
        <f>ELECT.!H21</f>
        <v>59608</v>
      </c>
      <c r="K20" s="34">
        <f>ELECT.!K21</f>
        <v>11180</v>
      </c>
      <c r="L20" s="34">
        <f>ELECT.!M21</f>
        <v>7104</v>
      </c>
      <c r="M20" s="34">
        <f>ELECT.!O21</f>
        <v>18928</v>
      </c>
      <c r="N20" s="34">
        <f>ELECT.!Q21</f>
        <v>15559</v>
      </c>
      <c r="O20" s="34">
        <f>ELECT.!S21</f>
        <v>11733</v>
      </c>
      <c r="P20" s="34">
        <f>ELECT.!W21*2</f>
        <v>25346</v>
      </c>
      <c r="Q20" s="34">
        <f>ELECT.!D21</f>
        <v>640</v>
      </c>
      <c r="R20" s="35">
        <f>BTU!C21</f>
        <v>11.96900000000096</v>
      </c>
      <c r="S20" s="35">
        <f>BTU!F21</f>
        <v>1.2150000000001455</v>
      </c>
      <c r="T20" s="35">
        <f>BTU!I21</f>
        <v>7</v>
      </c>
      <c r="U20" s="35">
        <f>BTU!O21</f>
        <v>1.9659999999998945</v>
      </c>
      <c r="V20" s="35">
        <f>BTU!L21</f>
        <v>2.2700000000004366</v>
      </c>
      <c r="W20" s="35">
        <f>BTU!R21</f>
        <v>0.84000000000014552</v>
      </c>
      <c r="X20" s="32">
        <f>ELECT.!B21</f>
        <v>160</v>
      </c>
      <c r="Y20" s="32">
        <f t="shared" si="0"/>
        <v>-3939</v>
      </c>
      <c r="Z20">
        <f>'Mall, Citadel, Rotana'!C21+'Mall, Citadel, Rotana'!E21+'Mall, Citadel, Rotana'!G21+'Mall, Citadel, Rotana'!I21</f>
        <v>1420</v>
      </c>
      <c r="AA20">
        <f>'Mall, Citadel, Rotana'!K21+'Mall, Citadel, Rotana'!M21</f>
        <v>227</v>
      </c>
      <c r="AB20">
        <f>'Mall, Citadel, Rotana'!O21</f>
        <v>3</v>
      </c>
      <c r="AC20">
        <f>'Mall, Citadel, Rotana'!Q21+'Mall, Citadel, Rotana'!S21</f>
        <v>114</v>
      </c>
      <c r="AD20" s="32">
        <f t="shared" si="1"/>
        <v>128.25602980000002</v>
      </c>
      <c r="AE20" s="32">
        <f t="shared" si="2"/>
        <v>844.85497020000003</v>
      </c>
    </row>
    <row r="21" spans="1:31" x14ac:dyDescent="0.25">
      <c r="A21" s="45" t="s">
        <v>53</v>
      </c>
      <c r="B21" s="50">
        <f t="shared" si="3"/>
        <v>20</v>
      </c>
      <c r="C21" s="50">
        <v>8</v>
      </c>
      <c r="D21" s="50">
        <v>2022</v>
      </c>
      <c r="E21" s="34">
        <f>Water!C22</f>
        <v>1280</v>
      </c>
      <c r="F21" s="34">
        <f>Water!E22</f>
        <v>640</v>
      </c>
      <c r="G21" s="34">
        <f>Water!G22</f>
        <v>653.4</v>
      </c>
      <c r="H21" s="34">
        <f>Water!I22</f>
        <v>3.5369999999999999</v>
      </c>
      <c r="I21" s="34">
        <f>ELECT.!F22</f>
        <v>23018</v>
      </c>
      <c r="J21" s="34">
        <f>ELECT.!H22</f>
        <v>52992</v>
      </c>
      <c r="K21" s="34">
        <f>ELECT.!K22</f>
        <v>10468</v>
      </c>
      <c r="L21" s="34">
        <f>ELECT.!M22</f>
        <v>5953</v>
      </c>
      <c r="M21" s="34">
        <f>ELECT.!O22</f>
        <v>16918</v>
      </c>
      <c r="N21" s="34">
        <f>ELECT.!Q22</f>
        <v>14431</v>
      </c>
      <c r="O21" s="34">
        <f>ELECT.!S22</f>
        <v>10332</v>
      </c>
      <c r="P21" s="34">
        <f>ELECT.!W22*2</f>
        <v>22000</v>
      </c>
      <c r="Q21" s="34">
        <f>ELECT.!D22</f>
        <v>640</v>
      </c>
      <c r="R21" s="35">
        <f>BTU!C22</f>
        <v>15.53599999999642</v>
      </c>
      <c r="S21" s="35">
        <f>BTU!F22</f>
        <v>2.4030000000002474</v>
      </c>
      <c r="T21" s="35">
        <f>BTU!I22</f>
        <v>9</v>
      </c>
      <c r="U21" s="35">
        <f>BTU!O22</f>
        <v>2.793999999999869</v>
      </c>
      <c r="V21" s="35">
        <f>BTU!L22</f>
        <v>3.0200000000004366</v>
      </c>
      <c r="W21" s="35">
        <f>BTU!R22</f>
        <v>1.2899999999999636</v>
      </c>
      <c r="X21" s="32">
        <f>ELECT.!B22</f>
        <v>152</v>
      </c>
      <c r="Y21" s="32">
        <f t="shared" si="0"/>
        <v>-4092</v>
      </c>
      <c r="Z21">
        <f>'Mall, Citadel, Rotana'!C22+'Mall, Citadel, Rotana'!E22+'Mall, Citadel, Rotana'!G22+'Mall, Citadel, Rotana'!I22</f>
        <v>1410</v>
      </c>
      <c r="AA21">
        <f>'Mall, Citadel, Rotana'!K22+'Mall, Citadel, Rotana'!M22</f>
        <v>281</v>
      </c>
      <c r="AB21">
        <f>'Mall, Citadel, Rotana'!O22</f>
        <v>3</v>
      </c>
      <c r="AC21">
        <f>'Mall, Citadel, Rotana'!Q22+'Mall, Citadel, Rotana'!S22</f>
        <v>107</v>
      </c>
      <c r="AD21" s="32">
        <f t="shared" si="1"/>
        <v>142.6686234</v>
      </c>
      <c r="AE21" s="32">
        <f t="shared" si="2"/>
        <v>939.79437659999985</v>
      </c>
    </row>
    <row r="22" spans="1:31" x14ac:dyDescent="0.25">
      <c r="A22" s="45" t="s">
        <v>53</v>
      </c>
      <c r="B22" s="50">
        <f t="shared" si="3"/>
        <v>21</v>
      </c>
      <c r="C22" s="50">
        <v>8</v>
      </c>
      <c r="D22" s="50">
        <v>2022</v>
      </c>
      <c r="E22" s="34">
        <f>Water!C23</f>
        <v>1210</v>
      </c>
      <c r="F22" s="34">
        <f>Water!E23</f>
        <v>530</v>
      </c>
      <c r="G22" s="34">
        <f>Water!G23</f>
        <v>604.79999999999995</v>
      </c>
      <c r="H22" s="34">
        <f>Water!I23</f>
        <v>3.6989999999999998</v>
      </c>
      <c r="I22" s="34">
        <f>ELECT.!F23</f>
        <v>26956</v>
      </c>
      <c r="J22" s="34">
        <f>ELECT.!H23</f>
        <v>64493</v>
      </c>
      <c r="K22" s="34">
        <f>ELECT.!K23</f>
        <v>13492</v>
      </c>
      <c r="L22" s="34">
        <f>ELECT.!M23</f>
        <v>7289</v>
      </c>
      <c r="M22" s="34">
        <f>ELECT.!O23</f>
        <v>19430</v>
      </c>
      <c r="N22" s="34">
        <f>ELECT.!Q23</f>
        <v>16603</v>
      </c>
      <c r="O22" s="34">
        <f>ELECT.!S23</f>
        <v>12709</v>
      </c>
      <c r="P22" s="34">
        <f>ELECT.!W23*2</f>
        <v>27140</v>
      </c>
      <c r="Q22" s="34">
        <f>ELECT.!D23</f>
        <v>480</v>
      </c>
      <c r="R22" s="35">
        <f>BTU!C23</f>
        <v>12.64100000000326</v>
      </c>
      <c r="S22" s="35">
        <f>BTU!F23</f>
        <v>2.4719999999997526</v>
      </c>
      <c r="T22" s="35">
        <f>BTU!I23</f>
        <v>7</v>
      </c>
      <c r="U22" s="35">
        <f>BTU!O23</f>
        <v>1.8859999999999673</v>
      </c>
      <c r="V22" s="35">
        <f>BTU!L23</f>
        <v>1.819999999999709</v>
      </c>
      <c r="W22" s="35">
        <f>BTU!R23</f>
        <v>1.5799999999999272</v>
      </c>
      <c r="X22" s="32">
        <f>ELECT.!B23</f>
        <v>226</v>
      </c>
      <c r="Y22" s="32">
        <f t="shared" si="0"/>
        <v>-5214</v>
      </c>
      <c r="Z22">
        <f>'Mall, Citadel, Rotana'!C23+'Mall, Citadel, Rotana'!E23+'Mall, Citadel, Rotana'!G23+'Mall, Citadel, Rotana'!I23</f>
        <v>1092</v>
      </c>
      <c r="AA22">
        <f>'Mall, Citadel, Rotana'!K23+'Mall, Citadel, Rotana'!M23</f>
        <v>217</v>
      </c>
      <c r="AB22">
        <f>'Mall, Citadel, Rotana'!O23</f>
        <v>2</v>
      </c>
      <c r="AC22">
        <f>'Mall, Citadel, Rotana'!Q23+'Mall, Citadel, Rotana'!S23</f>
        <v>0</v>
      </c>
      <c r="AD22" s="32">
        <f t="shared" si="1"/>
        <v>133.4212718</v>
      </c>
      <c r="AE22" s="32">
        <f t="shared" si="2"/>
        <v>878.87972820000005</v>
      </c>
    </row>
    <row r="23" spans="1:31" x14ac:dyDescent="0.25">
      <c r="A23" s="45" t="s">
        <v>53</v>
      </c>
      <c r="B23" s="50">
        <f t="shared" si="3"/>
        <v>22</v>
      </c>
      <c r="C23" s="50">
        <v>8</v>
      </c>
      <c r="D23" s="50">
        <v>2022</v>
      </c>
      <c r="E23" s="34">
        <f>Water!C24</f>
        <v>1020</v>
      </c>
      <c r="F23" s="34">
        <f>Water!E24</f>
        <v>400</v>
      </c>
      <c r="G23" s="34">
        <f>Water!G24</f>
        <v>642.6</v>
      </c>
      <c r="H23" s="34">
        <f>Water!I24</f>
        <v>3.8609999999999998</v>
      </c>
      <c r="I23" s="34">
        <f>ELECT.!F24</f>
        <v>22995</v>
      </c>
      <c r="J23" s="34">
        <f>ELECT.!H24</f>
        <v>53335</v>
      </c>
      <c r="K23" s="34">
        <f>ELECT.!K24</f>
        <v>11516</v>
      </c>
      <c r="L23" s="34">
        <f>ELECT.!M24</f>
        <v>6301</v>
      </c>
      <c r="M23" s="34">
        <f>ELECT.!O24</f>
        <v>16522</v>
      </c>
      <c r="N23" s="34">
        <f>ELECT.!Q24</f>
        <v>14055</v>
      </c>
      <c r="O23" s="34">
        <f>ELECT.!S24</f>
        <v>10249</v>
      </c>
      <c r="P23" s="34">
        <f>ELECT.!W24*2</f>
        <v>22116</v>
      </c>
      <c r="Q23" s="34">
        <f>ELECT.!D24</f>
        <v>800</v>
      </c>
      <c r="R23" s="35">
        <f>BTU!C24</f>
        <v>14.099999999998545</v>
      </c>
      <c r="S23" s="35">
        <f>BTU!F24</f>
        <v>3.555000000000291</v>
      </c>
      <c r="T23" s="35">
        <f>BTU!I24</f>
        <v>8</v>
      </c>
      <c r="U23" s="35">
        <f>BTU!O24</f>
        <v>2.2260000000001128</v>
      </c>
      <c r="V23" s="35">
        <f>BTU!L24</f>
        <v>2.5400000000008731</v>
      </c>
      <c r="W23" s="35">
        <f>BTU!R24</f>
        <v>0.42000000000007276</v>
      </c>
      <c r="X23" s="32">
        <f>ELECT.!B24</f>
        <v>225</v>
      </c>
      <c r="Y23" s="32">
        <f t="shared" si="0"/>
        <v>-4429</v>
      </c>
      <c r="Z23">
        <f>'Mall, Citadel, Rotana'!C24+'Mall, Citadel, Rotana'!E24+'Mall, Citadel, Rotana'!G24+'Mall, Citadel, Rotana'!I24</f>
        <v>1030</v>
      </c>
      <c r="AA23">
        <f>'Mall, Citadel, Rotana'!K24+'Mall, Citadel, Rotana'!M24</f>
        <v>514</v>
      </c>
      <c r="AB23">
        <f>'Mall, Citadel, Rotana'!O24</f>
        <v>5</v>
      </c>
      <c r="AC23">
        <f>'Mall, Citadel, Rotana'!Q24+'Mall, Citadel, Rotana'!S24</f>
        <v>365</v>
      </c>
      <c r="AD23" s="32">
        <f t="shared" si="1"/>
        <v>108.3579202</v>
      </c>
      <c r="AE23" s="32">
        <f t="shared" si="2"/>
        <v>713.78107980000004</v>
      </c>
    </row>
    <row r="24" spans="1:31" x14ac:dyDescent="0.25">
      <c r="A24" s="45" t="s">
        <v>53</v>
      </c>
      <c r="B24" s="50">
        <f t="shared" si="3"/>
        <v>23</v>
      </c>
      <c r="C24" s="50">
        <v>8</v>
      </c>
      <c r="D24" s="50">
        <v>2022</v>
      </c>
      <c r="E24" s="34">
        <f>Water!C25</f>
        <v>1300</v>
      </c>
      <c r="F24" s="34">
        <f>Water!E25</f>
        <v>490</v>
      </c>
      <c r="G24" s="34">
        <f>Water!G25</f>
        <v>669.6</v>
      </c>
      <c r="H24" s="34">
        <f>Water!I25</f>
        <v>4.266</v>
      </c>
      <c r="I24" s="34">
        <f>ELECT.!F25</f>
        <v>19302</v>
      </c>
      <c r="J24" s="34">
        <f>ELECT.!H25</f>
        <v>45236</v>
      </c>
      <c r="K24" s="34">
        <f>ELECT.!K25</f>
        <v>9660</v>
      </c>
      <c r="L24" s="34">
        <f>ELECT.!M25</f>
        <v>5418</v>
      </c>
      <c r="M24" s="34">
        <f>ELECT.!O25</f>
        <v>13696</v>
      </c>
      <c r="N24" s="34">
        <f>ELECT.!Q25</f>
        <v>11741</v>
      </c>
      <c r="O24" s="34">
        <f>ELECT.!S25</f>
        <v>8761</v>
      </c>
      <c r="P24" s="34">
        <f>ELECT.!W25*2</f>
        <v>18822</v>
      </c>
      <c r="Q24" s="34">
        <f>ELECT.!D25</f>
        <v>640</v>
      </c>
      <c r="R24" s="35">
        <f>BTU!C25</f>
        <v>15.349999999998545</v>
      </c>
      <c r="S24" s="35">
        <f>BTU!F25</f>
        <v>3.6659999999992579</v>
      </c>
      <c r="T24" s="35">
        <f>BTU!I25</f>
        <v>9</v>
      </c>
      <c r="U24" s="35">
        <f>BTU!O25</f>
        <v>2.0990000000001601</v>
      </c>
      <c r="V24" s="35">
        <f>BTU!L25</f>
        <v>2.7799999999988358</v>
      </c>
      <c r="W24" s="35">
        <f>BTU!R25</f>
        <v>1.1599999999998545</v>
      </c>
      <c r="X24" s="32">
        <f>ELECT.!B25</f>
        <v>175</v>
      </c>
      <c r="Y24" s="32">
        <f t="shared" si="0"/>
        <v>-3560</v>
      </c>
      <c r="Z24">
        <f>'Mall, Citadel, Rotana'!C25+'Mall, Citadel, Rotana'!E25+'Mall, Citadel, Rotana'!G25+'Mall, Citadel, Rotana'!I25</f>
        <v>910</v>
      </c>
      <c r="AA24">
        <f>'Mall, Citadel, Rotana'!K25+'Mall, Citadel, Rotana'!M25</f>
        <v>415</v>
      </c>
      <c r="AB24">
        <f>'Mall, Citadel, Rotana'!O25</f>
        <v>0</v>
      </c>
      <c r="AC24">
        <f>'Mall, Citadel, Rotana'!Q25+'Mall, Citadel, Rotana'!S25</f>
        <v>0</v>
      </c>
      <c r="AD24" s="32">
        <f t="shared" si="1"/>
        <v>145.20854119999998</v>
      </c>
      <c r="AE24" s="32">
        <f t="shared" si="2"/>
        <v>956.52545880000002</v>
      </c>
    </row>
    <row r="25" spans="1:31" x14ac:dyDescent="0.25">
      <c r="A25" s="45" t="s">
        <v>53</v>
      </c>
      <c r="B25" s="50">
        <f t="shared" si="3"/>
        <v>24</v>
      </c>
      <c r="C25" s="50">
        <v>8</v>
      </c>
      <c r="D25" s="50">
        <v>2022</v>
      </c>
      <c r="E25" s="34">
        <f>Water!C26</f>
        <v>1010</v>
      </c>
      <c r="F25" s="34">
        <f>Water!E26</f>
        <v>420</v>
      </c>
      <c r="G25" s="34">
        <f>Water!G26</f>
        <v>658.8</v>
      </c>
      <c r="H25" s="34">
        <f>Water!I26</f>
        <v>3.3479999999999999</v>
      </c>
      <c r="I25" s="34">
        <f>ELECT.!F26</f>
        <v>24617</v>
      </c>
      <c r="J25" s="34">
        <f>ELECT.!H26</f>
        <v>60394</v>
      </c>
      <c r="K25" s="34">
        <f>ELECT.!K26</f>
        <v>12068</v>
      </c>
      <c r="L25" s="34">
        <f>ELECT.!M26</f>
        <v>7082</v>
      </c>
      <c r="M25" s="34">
        <f>ELECT.!O26</f>
        <v>17326</v>
      </c>
      <c r="N25" s="34">
        <f>ELECT.!Q26</f>
        <v>14642</v>
      </c>
      <c r="O25" s="34">
        <f>ELECT.!S26</f>
        <v>12056</v>
      </c>
      <c r="P25" s="34">
        <f>ELECT.!W26*2</f>
        <v>25804</v>
      </c>
      <c r="Q25" s="34">
        <f>ELECT.!D26</f>
        <v>800</v>
      </c>
      <c r="R25" s="35">
        <f>BTU!C26</f>
        <v>13.691000000002532</v>
      </c>
      <c r="S25" s="35">
        <f>BTU!F26</f>
        <v>3.3170000000000073</v>
      </c>
      <c r="T25" s="35">
        <f>BTU!I26</f>
        <v>8</v>
      </c>
      <c r="U25" s="35">
        <f>BTU!O26</f>
        <v>2.2669999999998254</v>
      </c>
      <c r="V25" s="35">
        <f>BTU!L26</f>
        <v>2.3999999999996362</v>
      </c>
      <c r="W25" s="35">
        <f>BTU!R26</f>
        <v>1.2000000000007276</v>
      </c>
      <c r="X25" s="32">
        <f>ELECT.!B26</f>
        <v>177</v>
      </c>
      <c r="Y25" s="32">
        <f t="shared" si="0"/>
        <v>-3967</v>
      </c>
      <c r="Z25">
        <f>'Mall, Citadel, Rotana'!C26+'Mall, Citadel, Rotana'!E26+'Mall, Citadel, Rotana'!G26+'Mall, Citadel, Rotana'!I26</f>
        <v>1030</v>
      </c>
      <c r="AA25">
        <f>'Mall, Citadel, Rotana'!K26+'Mall, Citadel, Rotana'!M26</f>
        <v>354</v>
      </c>
      <c r="AB25">
        <f>'Mall, Citadel, Rotana'!O26</f>
        <v>6</v>
      </c>
      <c r="AC25">
        <f>'Mall, Citadel, Rotana'!Q26+'Mall, Citadel, Rotana'!S26</f>
        <v>338</v>
      </c>
      <c r="AD25" s="32">
        <f t="shared" si="1"/>
        <v>107.10753360000001</v>
      </c>
      <c r="AE25" s="32">
        <f t="shared" si="2"/>
        <v>705.54446640000003</v>
      </c>
    </row>
    <row r="26" spans="1:31" x14ac:dyDescent="0.25">
      <c r="A26" s="45" t="s">
        <v>53</v>
      </c>
      <c r="B26" s="50">
        <f>B25+1</f>
        <v>25</v>
      </c>
      <c r="C26" s="50">
        <v>8</v>
      </c>
      <c r="D26" s="50">
        <v>2022</v>
      </c>
      <c r="E26" s="34">
        <f>Water!C27</f>
        <v>1060</v>
      </c>
      <c r="F26" s="34">
        <f>Water!E27</f>
        <v>440</v>
      </c>
      <c r="G26" s="34">
        <f>Water!G27</f>
        <v>653.4</v>
      </c>
      <c r="H26" s="34">
        <f>Water!I27</f>
        <v>3.5369999999999999</v>
      </c>
      <c r="I26" s="34">
        <f>ELECT.!F27</f>
        <v>23563</v>
      </c>
      <c r="J26" s="34">
        <f>ELECT.!H27</f>
        <v>54947</v>
      </c>
      <c r="K26" s="34">
        <f>ELECT.!K27</f>
        <v>11044</v>
      </c>
      <c r="L26" s="34">
        <f>ELECT.!M27</f>
        <v>6279</v>
      </c>
      <c r="M26" s="34">
        <f>ELECT.!O27</f>
        <v>17088</v>
      </c>
      <c r="N26" s="34">
        <f>ELECT.!Q27</f>
        <v>14386</v>
      </c>
      <c r="O26" s="34">
        <f>ELECT.!S27</f>
        <v>10712</v>
      </c>
      <c r="P26" s="34">
        <f>ELECT.!W27*2</f>
        <v>22762</v>
      </c>
      <c r="Q26" s="34">
        <f>ELECT.!D27</f>
        <v>640</v>
      </c>
      <c r="R26" s="35">
        <f>BTU!C27</f>
        <v>13.325999999997293</v>
      </c>
      <c r="S26" s="35">
        <f>BTU!F27</f>
        <v>3.0020000000004075</v>
      </c>
      <c r="T26" s="35">
        <f>BTU!I27</f>
        <v>7</v>
      </c>
      <c r="U26" s="35">
        <f>BTU!O27</f>
        <v>2.0740000000000691</v>
      </c>
      <c r="V26" s="35">
        <f>BTU!L27</f>
        <v>2.1700000000000728</v>
      </c>
      <c r="W26" s="35">
        <f>BTU!R27</f>
        <v>0.98999999999978172</v>
      </c>
      <c r="X26" s="32">
        <f>ELECT.!B27</f>
        <v>180</v>
      </c>
      <c r="Y26" s="32">
        <f t="shared" si="0"/>
        <v>-3761</v>
      </c>
      <c r="Z26">
        <f>'Mall, Citadel, Rotana'!C27+'Mall, Citadel, Rotana'!E27+'Mall, Citadel, Rotana'!G27+'Mall, Citadel, Rotana'!I27</f>
        <v>1031</v>
      </c>
      <c r="AA26">
        <f>'Mall, Citadel, Rotana'!K27+'Mall, Citadel, Rotana'!M27</f>
        <v>411</v>
      </c>
      <c r="AB26">
        <f>'Mall, Citadel, Rotana'!O27</f>
        <v>3</v>
      </c>
      <c r="AC26">
        <f>'Mall, Citadel, Rotana'!Q27+'Mall, Citadel, Rotana'!S27</f>
        <v>120</v>
      </c>
      <c r="AD26" s="32">
        <f t="shared" si="1"/>
        <v>113.67262339999999</v>
      </c>
      <c r="AE26" s="32">
        <f t="shared" si="2"/>
        <v>748.79037659999995</v>
      </c>
    </row>
    <row r="27" spans="1:31" x14ac:dyDescent="0.25">
      <c r="A27" s="45" t="s">
        <v>53</v>
      </c>
      <c r="B27" s="50">
        <f t="shared" si="3"/>
        <v>26</v>
      </c>
      <c r="C27" s="50">
        <v>8</v>
      </c>
      <c r="D27" s="50">
        <v>2022</v>
      </c>
      <c r="E27" s="34">
        <f>Water!C28</f>
        <v>940</v>
      </c>
      <c r="F27" s="34">
        <f>Water!E28</f>
        <v>410</v>
      </c>
      <c r="G27" s="34">
        <f>Water!G28</f>
        <v>604.79999999999995</v>
      </c>
      <c r="H27" s="34">
        <f>Water!I28</f>
        <v>3.645</v>
      </c>
      <c r="I27" s="34">
        <f>ELECT.!F28</f>
        <v>27425</v>
      </c>
      <c r="J27" s="34">
        <f>ELECT.!H28</f>
        <v>65537</v>
      </c>
      <c r="K27" s="34">
        <f>ELECT.!K28</f>
        <v>12284</v>
      </c>
      <c r="L27" s="34">
        <f>ELECT.!M28</f>
        <v>7209</v>
      </c>
      <c r="M27" s="34">
        <f>ELECT.!O28</f>
        <v>19682</v>
      </c>
      <c r="N27" s="34">
        <f>ELECT.!Q28</f>
        <v>16405</v>
      </c>
      <c r="O27" s="34">
        <f>ELECT.!S28</f>
        <v>13631</v>
      </c>
      <c r="P27" s="34">
        <f>ELECT.!W28*2</f>
        <v>27506</v>
      </c>
      <c r="Q27" s="34">
        <f>ELECT.!D28</f>
        <v>640</v>
      </c>
      <c r="R27" s="35">
        <f>BTU!C28</f>
        <v>20.503000000000611</v>
      </c>
      <c r="S27" s="35">
        <f>BTU!F28</f>
        <v>2.805000000000291</v>
      </c>
      <c r="T27" s="35">
        <f>BTU!I28</f>
        <v>12</v>
      </c>
      <c r="U27" s="35">
        <f>BTU!O28</f>
        <v>3.6599999999998545</v>
      </c>
      <c r="V27" s="35">
        <f>BTU!L28</f>
        <v>4.2100000000009459</v>
      </c>
      <c r="W27" s="35">
        <f>BTU!R28</f>
        <v>1.1400000000003274</v>
      </c>
      <c r="X27" s="32">
        <f>ELECT.!B28</f>
        <v>188</v>
      </c>
      <c r="Y27" s="32">
        <f t="shared" si="0"/>
        <v>-3755</v>
      </c>
      <c r="Z27">
        <f>'Mall, Citadel, Rotana'!C28+'Mall, Citadel, Rotana'!E28+'Mall, Citadel, Rotana'!G28+'Mall, Citadel, Rotana'!I28</f>
        <v>2506</v>
      </c>
      <c r="AA27">
        <f>'Mall, Citadel, Rotana'!K28+'Mall, Citadel, Rotana'!M28</f>
        <v>234</v>
      </c>
      <c r="AB27">
        <f>'Mall, Citadel, Rotana'!O28</f>
        <v>4</v>
      </c>
      <c r="AC27">
        <f>'Mall, Citadel, Rotana'!Q28+'Mall, Citadel, Rotana'!S28</f>
        <v>0</v>
      </c>
      <c r="AD27" s="32">
        <f t="shared" si="1"/>
        <v>97.842388999999997</v>
      </c>
      <c r="AE27" s="32">
        <f t="shared" si="2"/>
        <v>644.51261099999999</v>
      </c>
    </row>
    <row r="28" spans="1:31" x14ac:dyDescent="0.25">
      <c r="A28" s="45" t="s">
        <v>53</v>
      </c>
      <c r="B28" s="50">
        <f t="shared" si="3"/>
        <v>27</v>
      </c>
      <c r="C28" s="50">
        <v>8</v>
      </c>
      <c r="D28" s="50">
        <v>2022</v>
      </c>
      <c r="E28" s="34">
        <f>Water!C29</f>
        <v>1060</v>
      </c>
      <c r="F28" s="34">
        <f>Water!E29</f>
        <v>430</v>
      </c>
      <c r="G28" s="34">
        <f>Water!G29</f>
        <v>691.2</v>
      </c>
      <c r="H28" s="34">
        <f>Water!I29</f>
        <v>4.32</v>
      </c>
      <c r="I28" s="34">
        <f>ELECT.!F29</f>
        <v>19895</v>
      </c>
      <c r="J28" s="34">
        <f>ELECT.!H29</f>
        <v>49228</v>
      </c>
      <c r="K28" s="34">
        <f>ELECT.!K29</f>
        <v>9948</v>
      </c>
      <c r="L28" s="34">
        <f>ELECT.!M29</f>
        <v>5224</v>
      </c>
      <c r="M28" s="34">
        <f>ELECT.!O29</f>
        <v>14700</v>
      </c>
      <c r="N28" s="34">
        <f>ELECT.!Q29</f>
        <v>12221</v>
      </c>
      <c r="O28" s="34">
        <f>ELECT.!S29</f>
        <v>10007</v>
      </c>
      <c r="P28" s="34">
        <f>ELECT.!W29*2</f>
        <v>20626</v>
      </c>
      <c r="Q28" s="34">
        <f>ELECT.!D29</f>
        <v>640</v>
      </c>
      <c r="R28" s="35">
        <f>BTU!C29</f>
        <v>11.096000000001368</v>
      </c>
      <c r="S28" s="35">
        <f>BTU!F29</f>
        <v>1.8519999999998618</v>
      </c>
      <c r="T28" s="35">
        <f>BTU!I29</f>
        <v>6</v>
      </c>
      <c r="U28" s="35">
        <f>BTU!O29</f>
        <v>1.4400000000000546</v>
      </c>
      <c r="V28" s="35">
        <f>BTU!L29</f>
        <v>1.430000000000291</v>
      </c>
      <c r="W28" s="35">
        <f>BTU!R29</f>
        <v>1.0299999999997453</v>
      </c>
      <c r="X28" s="32">
        <f>ELECT.!B29</f>
        <v>154</v>
      </c>
      <c r="Y28" s="32">
        <f t="shared" si="0"/>
        <v>-3603</v>
      </c>
      <c r="Z28">
        <f>'Mall, Citadel, Rotana'!C29+'Mall, Citadel, Rotana'!E29+'Mall, Citadel, Rotana'!G29+'Mall, Citadel, Rotana'!I29</f>
        <v>1201</v>
      </c>
      <c r="AA28">
        <f>'Mall, Citadel, Rotana'!K29+'Mall, Citadel, Rotana'!M29</f>
        <v>255</v>
      </c>
      <c r="AB28">
        <f>'Mall, Citadel, Rotana'!O29</f>
        <v>3</v>
      </c>
      <c r="AC28">
        <f>'Mall, Citadel, Rotana'!Q29+'Mall, Citadel, Rotana'!S29</f>
        <v>0</v>
      </c>
      <c r="AD28" s="32">
        <f t="shared" si="1"/>
        <v>113.56942400000001</v>
      </c>
      <c r="AE28" s="32">
        <f t="shared" si="2"/>
        <v>748.11057600000004</v>
      </c>
    </row>
    <row r="29" spans="1:31" x14ac:dyDescent="0.25">
      <c r="A29" s="45" t="s">
        <v>53</v>
      </c>
      <c r="B29" s="50">
        <f t="shared" si="3"/>
        <v>28</v>
      </c>
      <c r="C29" s="50">
        <v>8</v>
      </c>
      <c r="D29" s="50">
        <v>2022</v>
      </c>
      <c r="E29" s="34">
        <f>Water!C30</f>
        <v>1000</v>
      </c>
      <c r="F29" s="34">
        <f>Water!E30</f>
        <v>410</v>
      </c>
      <c r="G29" s="34">
        <f>Water!G30</f>
        <v>637.20000000000005</v>
      </c>
      <c r="H29" s="34">
        <f>Water!I30</f>
        <v>4.3739999999999997</v>
      </c>
      <c r="I29" s="34">
        <f>ELECT.!F30</f>
        <v>25014</v>
      </c>
      <c r="J29" s="34">
        <f>ELECT.!H30</f>
        <v>58710</v>
      </c>
      <c r="K29" s="34">
        <f>ELECT.!K30</f>
        <v>12604</v>
      </c>
      <c r="L29" s="34">
        <f>ELECT.!M30</f>
        <v>6809</v>
      </c>
      <c r="M29" s="34">
        <f>ELECT.!O30</f>
        <v>18084</v>
      </c>
      <c r="N29" s="34">
        <f>ELECT.!Q30</f>
        <v>15278</v>
      </c>
      <c r="O29" s="34">
        <f>ELECT.!S30</f>
        <v>11786</v>
      </c>
      <c r="P29" s="34">
        <f>ELECT.!W30*2</f>
        <v>24566</v>
      </c>
      <c r="Q29" s="34">
        <f>ELECT.!D30</f>
        <v>480</v>
      </c>
      <c r="R29" s="35">
        <f>BTU!C30</f>
        <v>16.585999999999331</v>
      </c>
      <c r="S29" s="35">
        <f>BTU!F30</f>
        <v>4.1279999999997017</v>
      </c>
      <c r="T29" s="35">
        <f>BTU!I30</f>
        <v>11</v>
      </c>
      <c r="U29" s="35">
        <f>BTU!O30</f>
        <v>2.680000000000291</v>
      </c>
      <c r="V29" s="35">
        <f>BTU!L30</f>
        <v>3.3799999999991996</v>
      </c>
      <c r="W29" s="35">
        <f>BTU!R30</f>
        <v>1.6649999999999636</v>
      </c>
      <c r="X29" s="32">
        <f>ELECT.!B30</f>
        <v>212</v>
      </c>
      <c r="Y29" s="32">
        <f t="shared" si="0"/>
        <v>-5403</v>
      </c>
      <c r="Z29">
        <f>'Mall, Citadel, Rotana'!C30+'Mall, Citadel, Rotana'!E30+'Mall, Citadel, Rotana'!G30+'Mall, Citadel, Rotana'!I30</f>
        <v>1039</v>
      </c>
      <c r="AA29">
        <f>'Mall, Citadel, Rotana'!K30+'Mall, Citadel, Rotana'!M30</f>
        <v>333</v>
      </c>
      <c r="AB29">
        <f>'Mall, Citadel, Rotana'!O30</f>
        <v>3</v>
      </c>
      <c r="AC29">
        <f>'Mall, Citadel, Rotana'!Q30+'Mall, Citadel, Rotana'!S30</f>
        <v>0</v>
      </c>
      <c r="AD29" s="32">
        <f t="shared" si="1"/>
        <v>105.6543068</v>
      </c>
      <c r="AE29" s="32">
        <f t="shared" si="2"/>
        <v>695.9716932</v>
      </c>
    </row>
    <row r="30" spans="1:31" x14ac:dyDescent="0.25">
      <c r="A30" s="45" t="s">
        <v>53</v>
      </c>
      <c r="B30" s="50">
        <f t="shared" si="3"/>
        <v>29</v>
      </c>
      <c r="C30" s="50">
        <v>8</v>
      </c>
      <c r="D30" s="50">
        <v>2022</v>
      </c>
      <c r="E30" s="34">
        <f>Water!C31</f>
        <v>980</v>
      </c>
      <c r="F30" s="34">
        <f>Water!E31</f>
        <v>430</v>
      </c>
      <c r="G30" s="34">
        <f>Water!G31</f>
        <v>599.4</v>
      </c>
      <c r="H30" s="34">
        <f>Water!I31</f>
        <v>4.2119999999999997</v>
      </c>
      <c r="I30" s="34">
        <f>ELECT.!F31</f>
        <v>27358</v>
      </c>
      <c r="J30" s="34">
        <f>ELECT.!H31</f>
        <v>64100</v>
      </c>
      <c r="K30" s="34">
        <f>ELECT.!K31</f>
        <v>13184</v>
      </c>
      <c r="L30" s="34">
        <f>ELECT.!M31</f>
        <v>7629</v>
      </c>
      <c r="M30" s="34">
        <f>ELECT.!O31</f>
        <v>19526</v>
      </c>
      <c r="N30" s="34">
        <f>ELECT.!Q31</f>
        <v>15883</v>
      </c>
      <c r="O30" s="34">
        <f>ELECT.!S31</f>
        <v>12779</v>
      </c>
      <c r="P30" s="34">
        <f>ELECT.!W31*2</f>
        <v>26200</v>
      </c>
      <c r="Q30" s="34">
        <f>ELECT.!D31</f>
        <v>800</v>
      </c>
      <c r="R30" s="35">
        <f>BTU!C31</f>
        <v>11.528000000002066</v>
      </c>
      <c r="S30" s="35">
        <f>BTU!F31</f>
        <v>2.5060000000003129</v>
      </c>
      <c r="T30" s="35">
        <f>BTU!I31</f>
        <v>8</v>
      </c>
      <c r="U30" s="35">
        <f>BTU!O31</f>
        <v>1.1799999999998363</v>
      </c>
      <c r="V30" s="35">
        <f>BTU!L31</f>
        <v>1.6399999999994179</v>
      </c>
      <c r="W30" s="35">
        <f>BTU!R31</f>
        <v>0.35499999999956344</v>
      </c>
      <c r="X30" s="32">
        <f>ELECT.!B31</f>
        <v>197</v>
      </c>
      <c r="Y30" s="32">
        <f t="shared" si="0"/>
        <v>-3743</v>
      </c>
      <c r="Z30">
        <f>'Mall, Citadel, Rotana'!C31+'Mall, Citadel, Rotana'!E31+'Mall, Citadel, Rotana'!G31+'Mall, Citadel, Rotana'!I31</f>
        <v>1555</v>
      </c>
      <c r="AA30">
        <f>'Mall, Citadel, Rotana'!K31+'Mall, Citadel, Rotana'!M31</f>
        <v>408</v>
      </c>
      <c r="AB30">
        <f>'Mall, Citadel, Rotana'!O31</f>
        <v>3</v>
      </c>
      <c r="AC30">
        <f>'Mall, Citadel, Rotana'!Q31+'Mall, Citadel, Rotana'!S31</f>
        <v>654</v>
      </c>
      <c r="AD30" s="32">
        <f t="shared" si="1"/>
        <v>103.03965840000001</v>
      </c>
      <c r="AE30" s="32">
        <f t="shared" si="2"/>
        <v>678.7483416</v>
      </c>
    </row>
    <row r="31" spans="1:31" x14ac:dyDescent="0.25">
      <c r="A31" s="45" t="s">
        <v>53</v>
      </c>
      <c r="B31" s="50">
        <f t="shared" si="3"/>
        <v>30</v>
      </c>
      <c r="C31" s="50">
        <v>8</v>
      </c>
      <c r="D31" s="50">
        <v>2022</v>
      </c>
      <c r="E31" s="34">
        <f>Water!C32</f>
        <v>990</v>
      </c>
      <c r="F31" s="34">
        <f>Water!E32</f>
        <v>470</v>
      </c>
      <c r="G31" s="34">
        <f>Water!G32</f>
        <v>645.29999999999995</v>
      </c>
      <c r="H31" s="34">
        <f>Water!I32</f>
        <v>4.7519999999999998</v>
      </c>
      <c r="I31" s="34">
        <f>ELECT.!F32</f>
        <v>19141</v>
      </c>
      <c r="J31" s="34">
        <f>ELECT.!H32</f>
        <v>44706</v>
      </c>
      <c r="K31" s="34">
        <f>ELECT.!K32</f>
        <v>9238</v>
      </c>
      <c r="L31" s="34">
        <f>ELECT.!M32</f>
        <v>5238</v>
      </c>
      <c r="M31" s="34">
        <f>ELECT.!O32</f>
        <v>13710</v>
      </c>
      <c r="N31" s="34">
        <f>ELECT.!Q32</f>
        <v>11244</v>
      </c>
      <c r="O31" s="34">
        <f>ELECT.!S32</f>
        <v>9256</v>
      </c>
      <c r="P31" s="34">
        <f>ELECT.!W32*2</f>
        <v>18366</v>
      </c>
      <c r="Q31" s="34">
        <f>ELECT.!D32</f>
        <v>800</v>
      </c>
      <c r="R31" s="35">
        <f>BTU!C32</f>
        <v>17.253999999997177</v>
      </c>
      <c r="S31" s="35">
        <f>BTU!F32</f>
        <v>4.4529999999995198</v>
      </c>
      <c r="T31" s="35">
        <f>BTU!I32</f>
        <v>11</v>
      </c>
      <c r="U31" s="35">
        <f>BTU!O32</f>
        <v>3.2390000000000327</v>
      </c>
      <c r="V31" s="35">
        <f>BTU!L32</f>
        <v>3.195000000001528</v>
      </c>
      <c r="W31" s="35">
        <f>BTU!R32</f>
        <v>0.32000000000061846</v>
      </c>
      <c r="X31" s="32">
        <f>ELECT.!B32</f>
        <v>155</v>
      </c>
      <c r="Y31" s="32">
        <f t="shared" si="0"/>
        <v>-3205</v>
      </c>
      <c r="Z31">
        <f>'Mall, Citadel, Rotana'!C32+'Mall, Citadel, Rotana'!E32+'Mall, Citadel, Rotana'!G32+'Mall, Citadel, Rotana'!I32</f>
        <v>1195</v>
      </c>
      <c r="AA31">
        <f>'Mall, Citadel, Rotana'!K32+'Mall, Citadel, Rotana'!M32</f>
        <v>410</v>
      </c>
      <c r="AB31">
        <f>'Mall, Citadel, Rotana'!O32</f>
        <v>3</v>
      </c>
      <c r="AC31">
        <f>'Mall, Citadel, Rotana'!Q32+'Mall, Citadel, Rotana'!S32</f>
        <v>0</v>
      </c>
      <c r="AD31" s="32">
        <f t="shared" si="1"/>
        <v>104.2864864</v>
      </c>
      <c r="AE31" s="32">
        <f t="shared" si="2"/>
        <v>686.96151359999999</v>
      </c>
    </row>
    <row r="32" spans="1:31" x14ac:dyDescent="0.25">
      <c r="A32" s="45" t="s">
        <v>53</v>
      </c>
      <c r="B32" s="50">
        <f t="shared" si="3"/>
        <v>31</v>
      </c>
      <c r="C32" s="50">
        <v>8</v>
      </c>
      <c r="D32" s="50">
        <v>2022</v>
      </c>
      <c r="E32" s="34">
        <f>Water!C33</f>
        <v>1100</v>
      </c>
      <c r="F32" s="34">
        <f>Water!E33</f>
        <v>560</v>
      </c>
      <c r="G32" s="34">
        <f>Water!G33</f>
        <v>577.79999999999995</v>
      </c>
      <c r="H32" s="34">
        <f>Water!I33</f>
        <v>4.5090000000000003</v>
      </c>
      <c r="I32" s="34">
        <f>ELECT.!F33</f>
        <v>28430</v>
      </c>
      <c r="J32" s="34">
        <f>ELECT.!H33</f>
        <v>67452</v>
      </c>
      <c r="K32" s="34">
        <f>ELECT.!K33</f>
        <v>13306</v>
      </c>
      <c r="L32" s="34">
        <f>ELECT.!M33</f>
        <v>7785</v>
      </c>
      <c r="M32" s="34">
        <f>ELECT.!O33</f>
        <v>20406</v>
      </c>
      <c r="N32" s="34">
        <f>ELECT.!Q33</f>
        <v>17051</v>
      </c>
      <c r="O32" s="34">
        <f>ELECT.!S33</f>
        <v>13271</v>
      </c>
      <c r="P32" s="34">
        <f>ELECT.!W33*2</f>
        <v>28606</v>
      </c>
      <c r="Q32" s="34">
        <f>ELECT.!D33</f>
        <v>640</v>
      </c>
      <c r="R32" s="35">
        <f>BTU!C33</f>
        <v>13.59400000000096</v>
      </c>
      <c r="S32" s="35">
        <f>BTU!F33</f>
        <v>2.9260000000003856</v>
      </c>
      <c r="T32" s="35">
        <f>BTU!I33</f>
        <v>8</v>
      </c>
      <c r="U32" s="35">
        <f>BTU!O33</f>
        <v>1.9000000000000909</v>
      </c>
      <c r="V32" s="35">
        <f>BTU!L33</f>
        <v>2.1849999999994907</v>
      </c>
      <c r="W32" s="35">
        <f>BTU!R33</f>
        <v>1.6999999999998181</v>
      </c>
      <c r="X32" s="32">
        <f>ELECT.!B33</f>
        <v>230</v>
      </c>
      <c r="Y32" s="32">
        <f t="shared" ref="Y32" si="4">I32+J32-(K32+L32+M32+N32+O32+P32)</f>
        <v>-4543</v>
      </c>
      <c r="Z32">
        <f>'Mall, Citadel, Rotana'!C33+'Mall, Citadel, Rotana'!E33+'Mall, Citadel, Rotana'!G33+'Mall, Citadel, Rotana'!I33</f>
        <v>1423</v>
      </c>
      <c r="AA32">
        <f>'Mall, Citadel, Rotana'!K33+'Mall, Citadel, Rotana'!M33</f>
        <v>355</v>
      </c>
      <c r="AB32">
        <f>'Mall, Citadel, Rotana'!O33</f>
        <v>4</v>
      </c>
      <c r="AC32">
        <f>'Mall, Citadel, Rotana'!Q33+'Mall, Citadel, Rotana'!S33</f>
        <v>226</v>
      </c>
      <c r="AD32" s="32">
        <f t="shared" ref="AD32" si="5">(E32-H32-194)*0.1318</f>
        <v>118.8165138</v>
      </c>
      <c r="AE32" s="32">
        <f t="shared" ref="AE32" si="6">E32-H32-AD32-194</f>
        <v>782.67448620000005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15"/>
  <sheetViews>
    <sheetView zoomScale="110" zoomScaleNormal="110" workbookViewId="0">
      <pane ySplit="1" topLeftCell="A2" activePane="bottomLeft" state="frozen"/>
      <selection pane="bottomLeft" activeCell="A33" sqref="A33:XFD33"/>
    </sheetView>
  </sheetViews>
  <sheetFormatPr defaultRowHeight="13.2" x14ac:dyDescent="0.25"/>
  <cols>
    <col min="1" max="1" width="16.5546875" style="15" bestFit="1" customWidth="1"/>
    <col min="2" max="2" width="10.5546875" style="16" bestFit="1" customWidth="1"/>
    <col min="3" max="3" width="11.44140625" style="17" bestFit="1" customWidth="1"/>
    <col min="4" max="4" width="10.6640625" style="16" bestFit="1" customWidth="1"/>
    <col min="5" max="5" width="11.44140625" style="17" bestFit="1" customWidth="1"/>
    <col min="6" max="6" width="8.6640625" style="16" customWidth="1"/>
    <col min="7" max="7" width="9.6640625" style="17" bestFit="1" customWidth="1"/>
    <col min="8" max="8" width="10" style="16" bestFit="1" customWidth="1"/>
    <col min="9" max="9" width="9.6640625" style="17" bestFit="1" customWidth="1"/>
    <col min="10" max="10" width="9.33203125" style="16" bestFit="1" customWidth="1"/>
    <col min="11" max="11" width="11" style="17" bestFit="1" customWidth="1"/>
    <col min="12" max="12" width="8.6640625" style="16" bestFit="1" customWidth="1"/>
    <col min="13" max="13" width="11" style="17" customWidth="1"/>
    <col min="14" max="14" width="11.44140625" style="29" customWidth="1"/>
    <col min="15" max="15" width="10.109375" style="17" customWidth="1"/>
    <col min="16" max="16" width="10" style="16" bestFit="1" customWidth="1"/>
    <col min="17" max="17" width="9.6640625" style="17" bestFit="1" customWidth="1"/>
    <col min="18" max="18" width="8.6640625" style="16" customWidth="1"/>
    <col min="19" max="19" width="11" style="17" bestFit="1" customWidth="1"/>
  </cols>
  <sheetData>
    <row r="1" spans="1:24" s="12" customFormat="1" ht="14.4" thickBot="1" x14ac:dyDescent="0.3">
      <c r="A1" s="9" t="s">
        <v>0</v>
      </c>
      <c r="B1" s="1" t="s">
        <v>13</v>
      </c>
      <c r="C1" s="10" t="s">
        <v>14</v>
      </c>
      <c r="D1" s="1" t="s">
        <v>15</v>
      </c>
      <c r="E1" s="10" t="s">
        <v>16</v>
      </c>
      <c r="F1" s="1" t="s">
        <v>17</v>
      </c>
      <c r="G1" s="10" t="s">
        <v>16</v>
      </c>
      <c r="H1" s="1" t="s">
        <v>18</v>
      </c>
      <c r="I1" s="10" t="s">
        <v>16</v>
      </c>
      <c r="J1" s="1" t="s">
        <v>19</v>
      </c>
      <c r="K1" s="10" t="s">
        <v>16</v>
      </c>
      <c r="L1" s="1" t="s">
        <v>20</v>
      </c>
      <c r="M1" s="10" t="s">
        <v>16</v>
      </c>
      <c r="N1" s="30" t="s">
        <v>44</v>
      </c>
      <c r="O1" s="10" t="s">
        <v>16</v>
      </c>
      <c r="P1" s="1" t="s">
        <v>21</v>
      </c>
      <c r="Q1" s="10" t="s">
        <v>16</v>
      </c>
      <c r="R1" s="1" t="s">
        <v>22</v>
      </c>
      <c r="S1" s="11" t="s">
        <v>16</v>
      </c>
      <c r="T1" s="1" t="s">
        <v>135</v>
      </c>
      <c r="U1" s="11" t="s">
        <v>16</v>
      </c>
    </row>
    <row r="2" spans="1:24" ht="13.8" thickBot="1" x14ac:dyDescent="0.3">
      <c r="A2" s="8">
        <v>44773</v>
      </c>
      <c r="B2" s="30">
        <v>47370</v>
      </c>
      <c r="C2" s="13"/>
      <c r="D2" s="30">
        <v>40832</v>
      </c>
      <c r="E2" s="13"/>
      <c r="F2" s="30">
        <v>21902</v>
      </c>
      <c r="G2" s="13"/>
      <c r="H2" s="30">
        <v>257036</v>
      </c>
      <c r="I2" s="13"/>
      <c r="J2" s="30">
        <v>325715</v>
      </c>
      <c r="K2" s="13"/>
      <c r="L2" s="30">
        <v>26354</v>
      </c>
      <c r="M2" s="13"/>
      <c r="N2" s="30">
        <v>226230</v>
      </c>
      <c r="O2" s="13"/>
      <c r="P2" s="30">
        <v>162611</v>
      </c>
      <c r="Q2" s="13"/>
      <c r="R2" s="1">
        <v>55047</v>
      </c>
      <c r="S2" s="13"/>
      <c r="T2" s="30">
        <v>4029</v>
      </c>
      <c r="U2" s="13"/>
    </row>
    <row r="3" spans="1:24" ht="13.8" thickBot="1" x14ac:dyDescent="0.3">
      <c r="A3" s="8">
        <v>44774</v>
      </c>
      <c r="B3" s="30">
        <v>47374</v>
      </c>
      <c r="C3" s="13">
        <f t="shared" ref="C3" si="0">(B3-B2)*800/5</f>
        <v>640</v>
      </c>
      <c r="D3" s="30">
        <v>40834</v>
      </c>
      <c r="E3" s="13">
        <f t="shared" ref="E3" si="1">(D3-D2)*800/5</f>
        <v>320</v>
      </c>
      <c r="F3" s="30">
        <v>21903</v>
      </c>
      <c r="G3" s="13">
        <f>(F3-F2)*100/5</f>
        <v>20</v>
      </c>
      <c r="H3" s="30">
        <v>257073</v>
      </c>
      <c r="I3" s="13">
        <f>(H3-H2)</f>
        <v>37</v>
      </c>
      <c r="J3" s="30">
        <v>325889</v>
      </c>
      <c r="K3" s="13">
        <f>(J3-J2)</f>
        <v>174</v>
      </c>
      <c r="L3" s="30">
        <v>26358</v>
      </c>
      <c r="M3" s="13">
        <f>(L3-L2)*300/5</f>
        <v>240</v>
      </c>
      <c r="N3" s="30">
        <v>226233</v>
      </c>
      <c r="O3" s="13">
        <f>N3-N2</f>
        <v>3</v>
      </c>
      <c r="P3" s="30">
        <v>162835</v>
      </c>
      <c r="Q3" s="13">
        <f t="shared" ref="Q3:Q33" si="2">P3-P2</f>
        <v>224</v>
      </c>
      <c r="R3" s="1">
        <v>55047</v>
      </c>
      <c r="S3" s="13">
        <v>0</v>
      </c>
      <c r="T3" s="30">
        <v>4030</v>
      </c>
      <c r="U3" s="13">
        <f>(T3-T2)*800/5</f>
        <v>160</v>
      </c>
    </row>
    <row r="4" spans="1:24" ht="13.8" thickBot="1" x14ac:dyDescent="0.3">
      <c r="A4" s="8">
        <v>44775</v>
      </c>
      <c r="B4" s="30">
        <v>47379</v>
      </c>
      <c r="C4" s="13">
        <f t="shared" ref="C4:C33" si="3">(B4-B3)*800/5</f>
        <v>800</v>
      </c>
      <c r="D4" s="30">
        <v>40837</v>
      </c>
      <c r="E4" s="13">
        <f t="shared" ref="E4:E33" si="4">(D4-D3)*800/5</f>
        <v>480</v>
      </c>
      <c r="F4" s="30">
        <v>21908</v>
      </c>
      <c r="G4" s="13">
        <f t="shared" ref="G4:G33" si="5">(F4-F3)*100/5</f>
        <v>100</v>
      </c>
      <c r="H4" s="30">
        <v>257105</v>
      </c>
      <c r="I4" s="13">
        <f t="shared" ref="I4:I33" si="6">(H4-H3)</f>
        <v>32</v>
      </c>
      <c r="J4" s="30">
        <v>326071</v>
      </c>
      <c r="K4" s="13">
        <f t="shared" ref="K4:K33" si="7">(J4-J3)</f>
        <v>182</v>
      </c>
      <c r="L4" s="30">
        <v>26362</v>
      </c>
      <c r="M4" s="13">
        <f t="shared" ref="M4:M33" si="8">(L4-L3)*300/5</f>
        <v>240</v>
      </c>
      <c r="N4" s="30">
        <v>226237</v>
      </c>
      <c r="O4" s="13">
        <f t="shared" ref="O4:O33" si="9">N4-N3</f>
        <v>4</v>
      </c>
      <c r="P4" s="30">
        <v>162970</v>
      </c>
      <c r="Q4" s="13">
        <f t="shared" si="2"/>
        <v>135</v>
      </c>
      <c r="R4" s="1">
        <v>55047</v>
      </c>
      <c r="S4" s="13">
        <v>0</v>
      </c>
      <c r="T4" s="30">
        <v>4030</v>
      </c>
      <c r="U4" s="13">
        <f t="shared" ref="U4:U33" si="10">(T4-T3)*800/5</f>
        <v>0</v>
      </c>
    </row>
    <row r="5" spans="1:24" ht="13.8" thickBot="1" x14ac:dyDescent="0.3">
      <c r="A5" s="8">
        <v>44776</v>
      </c>
      <c r="B5" s="30">
        <v>47383</v>
      </c>
      <c r="C5" s="13">
        <f t="shared" si="3"/>
        <v>640</v>
      </c>
      <c r="D5" s="30">
        <v>40840</v>
      </c>
      <c r="E5" s="13">
        <f t="shared" si="4"/>
        <v>480</v>
      </c>
      <c r="F5" s="30">
        <v>21913</v>
      </c>
      <c r="G5" s="13">
        <f t="shared" si="5"/>
        <v>100</v>
      </c>
      <c r="H5" s="30">
        <v>257135</v>
      </c>
      <c r="I5" s="13">
        <f t="shared" si="6"/>
        <v>30</v>
      </c>
      <c r="J5" s="30">
        <v>326240</v>
      </c>
      <c r="K5" s="13">
        <f t="shared" si="7"/>
        <v>169</v>
      </c>
      <c r="L5" s="30">
        <v>26365</v>
      </c>
      <c r="M5" s="13">
        <f t="shared" si="8"/>
        <v>180</v>
      </c>
      <c r="N5" s="30">
        <v>226240</v>
      </c>
      <c r="O5" s="13">
        <f t="shared" si="9"/>
        <v>3</v>
      </c>
      <c r="P5" s="30">
        <f>P4</f>
        <v>162970</v>
      </c>
      <c r="Q5" s="13">
        <f t="shared" si="2"/>
        <v>0</v>
      </c>
      <c r="R5" s="1">
        <f>R4</f>
        <v>55047</v>
      </c>
      <c r="S5" s="13">
        <f t="shared" ref="S5:S32" si="11">R5-R4</f>
        <v>0</v>
      </c>
      <c r="T5" s="30">
        <f>T4</f>
        <v>4030</v>
      </c>
      <c r="U5" s="13">
        <f t="shared" si="10"/>
        <v>0</v>
      </c>
    </row>
    <row r="6" spans="1:24" ht="13.8" thickBot="1" x14ac:dyDescent="0.3">
      <c r="A6" s="8">
        <v>44777</v>
      </c>
      <c r="B6" s="30">
        <v>47388</v>
      </c>
      <c r="C6" s="13">
        <f t="shared" si="3"/>
        <v>800</v>
      </c>
      <c r="D6" s="30">
        <v>40844</v>
      </c>
      <c r="E6" s="13">
        <f t="shared" si="4"/>
        <v>640</v>
      </c>
      <c r="F6" s="30">
        <v>21917</v>
      </c>
      <c r="G6" s="13">
        <f t="shared" si="5"/>
        <v>80</v>
      </c>
      <c r="H6" s="30">
        <v>257164</v>
      </c>
      <c r="I6" s="13">
        <f t="shared" si="6"/>
        <v>29</v>
      </c>
      <c r="J6" s="30">
        <v>326404</v>
      </c>
      <c r="K6" s="13">
        <f t="shared" si="7"/>
        <v>164</v>
      </c>
      <c r="L6" s="30">
        <v>26368</v>
      </c>
      <c r="M6" s="13">
        <f t="shared" si="8"/>
        <v>180</v>
      </c>
      <c r="N6" s="30">
        <v>226243</v>
      </c>
      <c r="O6" s="13">
        <f t="shared" si="9"/>
        <v>3</v>
      </c>
      <c r="P6" s="30">
        <f t="shared" ref="P6:P13" si="12">P5</f>
        <v>162970</v>
      </c>
      <c r="Q6" s="13">
        <f t="shared" si="2"/>
        <v>0</v>
      </c>
      <c r="R6" s="1">
        <f t="shared" ref="R6:R33" si="13">R5</f>
        <v>55047</v>
      </c>
      <c r="S6" s="13">
        <v>0</v>
      </c>
      <c r="T6" s="30">
        <v>4031</v>
      </c>
      <c r="U6" s="13">
        <f t="shared" si="10"/>
        <v>160</v>
      </c>
    </row>
    <row r="7" spans="1:24" ht="13.8" thickBot="1" x14ac:dyDescent="0.3">
      <c r="A7" s="8">
        <v>44778</v>
      </c>
      <c r="B7" s="30">
        <v>47392</v>
      </c>
      <c r="C7" s="13">
        <f t="shared" si="3"/>
        <v>640</v>
      </c>
      <c r="D7" s="30">
        <v>40846</v>
      </c>
      <c r="E7" s="13">
        <f t="shared" si="4"/>
        <v>320</v>
      </c>
      <c r="F7" s="30">
        <v>21921</v>
      </c>
      <c r="G7" s="13">
        <f t="shared" si="5"/>
        <v>80</v>
      </c>
      <c r="H7" s="30">
        <v>257215</v>
      </c>
      <c r="I7" s="13">
        <f t="shared" si="6"/>
        <v>51</v>
      </c>
      <c r="J7" s="30">
        <v>326510</v>
      </c>
      <c r="K7" s="13">
        <f t="shared" si="7"/>
        <v>106</v>
      </c>
      <c r="L7" s="30">
        <v>26370</v>
      </c>
      <c r="M7" s="13">
        <f t="shared" si="8"/>
        <v>120</v>
      </c>
      <c r="N7" s="30">
        <v>226246</v>
      </c>
      <c r="O7" s="13">
        <f t="shared" si="9"/>
        <v>3</v>
      </c>
      <c r="P7" s="30">
        <v>163742</v>
      </c>
      <c r="Q7" s="13">
        <f t="shared" si="2"/>
        <v>772</v>
      </c>
      <c r="R7" s="1">
        <f t="shared" si="13"/>
        <v>55047</v>
      </c>
      <c r="S7" s="13">
        <v>0</v>
      </c>
      <c r="T7" s="30">
        <f t="shared" ref="T7:T22" si="14">T6</f>
        <v>4031</v>
      </c>
      <c r="U7" s="13">
        <f t="shared" si="10"/>
        <v>0</v>
      </c>
    </row>
    <row r="8" spans="1:24" ht="13.8" thickBot="1" x14ac:dyDescent="0.3">
      <c r="A8" s="8">
        <v>44779</v>
      </c>
      <c r="B8" s="30">
        <v>47396</v>
      </c>
      <c r="C8" s="13">
        <f t="shared" si="3"/>
        <v>640</v>
      </c>
      <c r="D8" s="30">
        <v>40849</v>
      </c>
      <c r="E8" s="13">
        <f t="shared" si="4"/>
        <v>480</v>
      </c>
      <c r="F8" s="30">
        <v>21925</v>
      </c>
      <c r="G8" s="13">
        <f t="shared" si="5"/>
        <v>80</v>
      </c>
      <c r="H8" s="30">
        <v>257249</v>
      </c>
      <c r="I8" s="13">
        <f t="shared" si="6"/>
        <v>34</v>
      </c>
      <c r="J8" s="30">
        <v>326657</v>
      </c>
      <c r="K8" s="13">
        <f t="shared" si="7"/>
        <v>147</v>
      </c>
      <c r="L8" s="30">
        <v>26372</v>
      </c>
      <c r="M8" s="13">
        <f t="shared" si="8"/>
        <v>120</v>
      </c>
      <c r="N8" s="30">
        <v>226249</v>
      </c>
      <c r="O8" s="13">
        <f t="shared" si="9"/>
        <v>3</v>
      </c>
      <c r="P8" s="30">
        <v>163878</v>
      </c>
      <c r="Q8" s="13">
        <f t="shared" si="2"/>
        <v>136</v>
      </c>
      <c r="R8" s="1">
        <f t="shared" si="13"/>
        <v>55047</v>
      </c>
      <c r="S8" s="13">
        <f>R8-R7</f>
        <v>0</v>
      </c>
      <c r="T8" s="30">
        <f t="shared" si="14"/>
        <v>4031</v>
      </c>
      <c r="U8" s="13">
        <f t="shared" si="10"/>
        <v>0</v>
      </c>
    </row>
    <row r="9" spans="1:24" ht="13.8" thickBot="1" x14ac:dyDescent="0.3">
      <c r="A9" s="8">
        <v>44780</v>
      </c>
      <c r="B9" s="30">
        <v>47401</v>
      </c>
      <c r="C9" s="13">
        <f t="shared" si="3"/>
        <v>800</v>
      </c>
      <c r="D9" s="30">
        <v>40852</v>
      </c>
      <c r="E9" s="13">
        <f t="shared" si="4"/>
        <v>480</v>
      </c>
      <c r="F9" s="30">
        <v>21928</v>
      </c>
      <c r="G9" s="13">
        <f t="shared" si="5"/>
        <v>60</v>
      </c>
      <c r="H9" s="30">
        <v>257288</v>
      </c>
      <c r="I9" s="13">
        <f t="shared" si="6"/>
        <v>39</v>
      </c>
      <c r="J9" s="30">
        <v>326879</v>
      </c>
      <c r="K9" s="13">
        <f t="shared" si="7"/>
        <v>222</v>
      </c>
      <c r="L9" s="30">
        <v>26375</v>
      </c>
      <c r="M9" s="13">
        <f t="shared" si="8"/>
        <v>180</v>
      </c>
      <c r="N9" s="30">
        <v>226253</v>
      </c>
      <c r="O9" s="13">
        <f t="shared" si="9"/>
        <v>4</v>
      </c>
      <c r="P9" s="30">
        <v>163994</v>
      </c>
      <c r="Q9" s="13">
        <f t="shared" si="2"/>
        <v>116</v>
      </c>
      <c r="R9" s="1">
        <f t="shared" si="13"/>
        <v>55047</v>
      </c>
      <c r="S9" s="13">
        <f>R9-R8</f>
        <v>0</v>
      </c>
      <c r="T9" s="30">
        <v>4031</v>
      </c>
      <c r="U9" s="13">
        <f t="shared" si="10"/>
        <v>0</v>
      </c>
    </row>
    <row r="10" spans="1:24" ht="13.8" thickBot="1" x14ac:dyDescent="0.3">
      <c r="A10" s="8">
        <v>44781</v>
      </c>
      <c r="B10" s="30">
        <v>47406</v>
      </c>
      <c r="C10" s="13">
        <f t="shared" si="3"/>
        <v>800</v>
      </c>
      <c r="D10" s="30">
        <v>40855</v>
      </c>
      <c r="E10" s="13">
        <f t="shared" si="4"/>
        <v>480</v>
      </c>
      <c r="F10" s="30">
        <v>21931</v>
      </c>
      <c r="G10" s="13">
        <f t="shared" si="5"/>
        <v>60</v>
      </c>
      <c r="H10" s="30">
        <v>257335</v>
      </c>
      <c r="I10" s="13">
        <f t="shared" si="6"/>
        <v>47</v>
      </c>
      <c r="J10" s="30">
        <v>326992</v>
      </c>
      <c r="K10" s="13">
        <f t="shared" si="7"/>
        <v>113</v>
      </c>
      <c r="L10" s="30">
        <v>26379</v>
      </c>
      <c r="M10" s="13">
        <f t="shared" si="8"/>
        <v>240</v>
      </c>
      <c r="N10" s="30">
        <v>226256</v>
      </c>
      <c r="O10" s="13">
        <f t="shared" si="9"/>
        <v>3</v>
      </c>
      <c r="P10" s="30">
        <v>164115</v>
      </c>
      <c r="Q10" s="13">
        <f t="shared" si="2"/>
        <v>121</v>
      </c>
      <c r="R10" s="1">
        <f t="shared" si="13"/>
        <v>55047</v>
      </c>
      <c r="S10" s="13">
        <f>R10-R9</f>
        <v>0</v>
      </c>
      <c r="T10" s="30">
        <v>4032</v>
      </c>
      <c r="U10" s="13">
        <f t="shared" si="10"/>
        <v>160</v>
      </c>
    </row>
    <row r="11" spans="1:24" ht="13.8" thickBot="1" x14ac:dyDescent="0.3">
      <c r="A11" s="8">
        <v>44782</v>
      </c>
      <c r="B11" s="30">
        <v>47410</v>
      </c>
      <c r="C11" s="13">
        <f t="shared" si="3"/>
        <v>640</v>
      </c>
      <c r="D11" s="30">
        <v>40858</v>
      </c>
      <c r="E11" s="13">
        <f t="shared" si="4"/>
        <v>480</v>
      </c>
      <c r="F11" s="30">
        <v>21935</v>
      </c>
      <c r="G11" s="13">
        <f t="shared" si="5"/>
        <v>80</v>
      </c>
      <c r="H11" s="30">
        <v>257376</v>
      </c>
      <c r="I11" s="13">
        <f t="shared" si="6"/>
        <v>41</v>
      </c>
      <c r="J11" s="30">
        <v>327162</v>
      </c>
      <c r="K11" s="13">
        <f t="shared" si="7"/>
        <v>170</v>
      </c>
      <c r="L11" s="30">
        <v>26382</v>
      </c>
      <c r="M11" s="13">
        <f t="shared" si="8"/>
        <v>180</v>
      </c>
      <c r="N11" s="30">
        <v>226259</v>
      </c>
      <c r="O11" s="13">
        <f t="shared" si="9"/>
        <v>3</v>
      </c>
      <c r="P11" s="30">
        <v>164230</v>
      </c>
      <c r="Q11" s="13">
        <f t="shared" si="2"/>
        <v>115</v>
      </c>
      <c r="R11" s="1">
        <f t="shared" si="13"/>
        <v>55047</v>
      </c>
      <c r="S11" s="13">
        <f t="shared" si="11"/>
        <v>0</v>
      </c>
      <c r="T11" s="30">
        <v>4032</v>
      </c>
      <c r="U11" s="13">
        <f t="shared" si="10"/>
        <v>0</v>
      </c>
    </row>
    <row r="12" spans="1:24" ht="13.8" thickBot="1" x14ac:dyDescent="0.3">
      <c r="A12" s="8">
        <v>44783</v>
      </c>
      <c r="B12" s="30">
        <v>47414</v>
      </c>
      <c r="C12" s="13">
        <f t="shared" si="3"/>
        <v>640</v>
      </c>
      <c r="D12" s="30">
        <v>40864</v>
      </c>
      <c r="E12" s="13">
        <f t="shared" si="4"/>
        <v>960</v>
      </c>
      <c r="F12" s="30">
        <v>21943</v>
      </c>
      <c r="G12" s="13">
        <f t="shared" si="5"/>
        <v>160</v>
      </c>
      <c r="H12" s="30">
        <v>257453</v>
      </c>
      <c r="I12" s="13">
        <f t="shared" si="6"/>
        <v>77</v>
      </c>
      <c r="J12" s="30">
        <v>327508</v>
      </c>
      <c r="K12" s="13">
        <f t="shared" si="7"/>
        <v>346</v>
      </c>
      <c r="L12" s="30">
        <v>26388</v>
      </c>
      <c r="M12" s="13">
        <f t="shared" si="8"/>
        <v>360</v>
      </c>
      <c r="N12" s="30">
        <v>226265</v>
      </c>
      <c r="O12" s="13">
        <f t="shared" si="9"/>
        <v>6</v>
      </c>
      <c r="P12" s="30">
        <v>164351</v>
      </c>
      <c r="Q12" s="13">
        <f t="shared" si="2"/>
        <v>121</v>
      </c>
      <c r="R12" s="1">
        <f t="shared" si="13"/>
        <v>55047</v>
      </c>
      <c r="S12" s="13">
        <f t="shared" si="11"/>
        <v>0</v>
      </c>
      <c r="T12" s="30">
        <v>4033</v>
      </c>
      <c r="U12" s="13">
        <f t="shared" si="10"/>
        <v>160</v>
      </c>
    </row>
    <row r="13" spans="1:24" ht="13.8" thickBot="1" x14ac:dyDescent="0.3">
      <c r="A13" s="8">
        <v>44784</v>
      </c>
      <c r="B13" s="30">
        <f t="shared" ref="B13:B16" si="15">B12</f>
        <v>47414</v>
      </c>
      <c r="C13" s="13">
        <f t="shared" si="3"/>
        <v>0</v>
      </c>
      <c r="D13" s="30">
        <f t="shared" ref="D13:D16" si="16">D12</f>
        <v>40864</v>
      </c>
      <c r="E13" s="13">
        <f t="shared" si="4"/>
        <v>0</v>
      </c>
      <c r="F13" s="30">
        <f t="shared" ref="F13:F16" si="17">F12</f>
        <v>21943</v>
      </c>
      <c r="G13" s="13">
        <f t="shared" si="5"/>
        <v>0</v>
      </c>
      <c r="H13" s="30">
        <f t="shared" ref="H13:H16" si="18">H12</f>
        <v>257453</v>
      </c>
      <c r="I13" s="13">
        <f t="shared" si="6"/>
        <v>0</v>
      </c>
      <c r="J13" s="30">
        <f t="shared" ref="J13:J16" si="19">J12</f>
        <v>327508</v>
      </c>
      <c r="K13" s="13">
        <f t="shared" si="7"/>
        <v>0</v>
      </c>
      <c r="L13" s="30">
        <f t="shared" ref="L13:L16" si="20">L12</f>
        <v>26388</v>
      </c>
      <c r="M13" s="13">
        <f t="shared" si="8"/>
        <v>0</v>
      </c>
      <c r="N13" s="30">
        <f t="shared" ref="N13:N16" si="21">N12</f>
        <v>226265</v>
      </c>
      <c r="O13" s="13">
        <f t="shared" si="9"/>
        <v>0</v>
      </c>
      <c r="P13" s="30">
        <f t="shared" si="12"/>
        <v>164351</v>
      </c>
      <c r="Q13" s="13">
        <f t="shared" si="2"/>
        <v>0</v>
      </c>
      <c r="R13" s="1">
        <f t="shared" si="13"/>
        <v>55047</v>
      </c>
      <c r="S13" s="13">
        <f t="shared" si="11"/>
        <v>0</v>
      </c>
      <c r="T13" s="30">
        <f t="shared" si="14"/>
        <v>4033</v>
      </c>
      <c r="U13" s="13">
        <f t="shared" si="10"/>
        <v>0</v>
      </c>
    </row>
    <row r="14" spans="1:24" ht="13.8" thickBot="1" x14ac:dyDescent="0.3">
      <c r="A14" s="8">
        <v>44785</v>
      </c>
      <c r="B14" s="30">
        <v>47423</v>
      </c>
      <c r="C14" s="13">
        <f t="shared" si="3"/>
        <v>1440</v>
      </c>
      <c r="D14" s="30">
        <v>40867</v>
      </c>
      <c r="E14" s="13">
        <f t="shared" si="4"/>
        <v>480</v>
      </c>
      <c r="F14" s="30">
        <v>21947</v>
      </c>
      <c r="G14" s="13">
        <f t="shared" si="5"/>
        <v>80</v>
      </c>
      <c r="H14" s="30">
        <v>257469</v>
      </c>
      <c r="I14" s="13">
        <f t="shared" si="6"/>
        <v>16</v>
      </c>
      <c r="J14" s="30">
        <v>327627</v>
      </c>
      <c r="K14" s="13">
        <f t="shared" si="7"/>
        <v>119</v>
      </c>
      <c r="L14" s="30">
        <v>26390</v>
      </c>
      <c r="M14" s="13">
        <f t="shared" si="8"/>
        <v>120</v>
      </c>
      <c r="N14" s="30">
        <v>226269</v>
      </c>
      <c r="O14" s="13">
        <f t="shared" si="9"/>
        <v>4</v>
      </c>
      <c r="P14" s="30">
        <f>P13</f>
        <v>164351</v>
      </c>
      <c r="Q14" s="13">
        <f t="shared" si="2"/>
        <v>0</v>
      </c>
      <c r="R14" s="1">
        <f t="shared" si="13"/>
        <v>55047</v>
      </c>
      <c r="S14" s="13">
        <v>0</v>
      </c>
      <c r="T14" s="30">
        <v>4034</v>
      </c>
      <c r="U14" s="13">
        <f t="shared" si="10"/>
        <v>160</v>
      </c>
    </row>
    <row r="15" spans="1:24" ht="13.8" thickBot="1" x14ac:dyDescent="0.3">
      <c r="A15" s="8">
        <v>44786</v>
      </c>
      <c r="B15" s="30">
        <v>47428</v>
      </c>
      <c r="C15" s="13">
        <f t="shared" si="3"/>
        <v>800</v>
      </c>
      <c r="D15" s="30">
        <v>40870</v>
      </c>
      <c r="E15" s="13">
        <f t="shared" si="4"/>
        <v>480</v>
      </c>
      <c r="F15" s="30">
        <v>21951</v>
      </c>
      <c r="G15" s="13">
        <f t="shared" si="5"/>
        <v>80</v>
      </c>
      <c r="H15" s="30">
        <v>257507</v>
      </c>
      <c r="I15" s="13">
        <f t="shared" si="6"/>
        <v>38</v>
      </c>
      <c r="J15" s="30">
        <v>327765</v>
      </c>
      <c r="K15" s="13">
        <f t="shared" si="7"/>
        <v>138</v>
      </c>
      <c r="L15" s="30">
        <v>26392</v>
      </c>
      <c r="M15" s="13">
        <f t="shared" si="8"/>
        <v>120</v>
      </c>
      <c r="N15" s="30">
        <v>226272</v>
      </c>
      <c r="O15" s="13">
        <f t="shared" si="9"/>
        <v>3</v>
      </c>
      <c r="P15" s="30">
        <f t="shared" ref="P15:P30" si="22">P14</f>
        <v>164351</v>
      </c>
      <c r="Q15" s="13">
        <f t="shared" si="2"/>
        <v>0</v>
      </c>
      <c r="R15" s="1">
        <f t="shared" si="13"/>
        <v>55047</v>
      </c>
      <c r="S15" s="13">
        <v>0</v>
      </c>
      <c r="T15" s="30">
        <v>4034</v>
      </c>
      <c r="U15" s="13">
        <f t="shared" si="10"/>
        <v>0</v>
      </c>
      <c r="X15" t="s">
        <v>12</v>
      </c>
    </row>
    <row r="16" spans="1:24" ht="13.8" thickBot="1" x14ac:dyDescent="0.3">
      <c r="A16" s="8">
        <v>44787</v>
      </c>
      <c r="B16" s="30">
        <f t="shared" si="15"/>
        <v>47428</v>
      </c>
      <c r="C16" s="13">
        <f t="shared" si="3"/>
        <v>0</v>
      </c>
      <c r="D16" s="30">
        <f t="shared" si="16"/>
        <v>40870</v>
      </c>
      <c r="E16" s="13">
        <f t="shared" si="4"/>
        <v>0</v>
      </c>
      <c r="F16" s="30">
        <f t="shared" si="17"/>
        <v>21951</v>
      </c>
      <c r="G16" s="13">
        <f t="shared" si="5"/>
        <v>0</v>
      </c>
      <c r="H16" s="30">
        <f t="shared" si="18"/>
        <v>257507</v>
      </c>
      <c r="I16" s="13">
        <f t="shared" si="6"/>
        <v>0</v>
      </c>
      <c r="J16" s="30">
        <f t="shared" si="19"/>
        <v>327765</v>
      </c>
      <c r="K16" s="13">
        <f t="shared" si="7"/>
        <v>0</v>
      </c>
      <c r="L16" s="30">
        <f t="shared" si="20"/>
        <v>26392</v>
      </c>
      <c r="M16" s="13">
        <f t="shared" si="8"/>
        <v>0</v>
      </c>
      <c r="N16" s="30">
        <f t="shared" si="21"/>
        <v>226272</v>
      </c>
      <c r="O16" s="13">
        <f t="shared" si="9"/>
        <v>0</v>
      </c>
      <c r="P16" s="30">
        <f t="shared" si="22"/>
        <v>164351</v>
      </c>
      <c r="Q16" s="13">
        <f t="shared" si="2"/>
        <v>0</v>
      </c>
      <c r="R16" s="1">
        <f t="shared" si="13"/>
        <v>55047</v>
      </c>
      <c r="S16" s="13">
        <f t="shared" si="11"/>
        <v>0</v>
      </c>
      <c r="T16" s="30">
        <f t="shared" si="14"/>
        <v>4034</v>
      </c>
      <c r="U16" s="13">
        <f t="shared" si="10"/>
        <v>0</v>
      </c>
      <c r="W16" t="s">
        <v>12</v>
      </c>
    </row>
    <row r="17" spans="1:23" ht="13.8" thickBot="1" x14ac:dyDescent="0.3">
      <c r="A17" s="8">
        <v>44788</v>
      </c>
      <c r="B17" s="30">
        <v>47437</v>
      </c>
      <c r="C17" s="13">
        <f t="shared" si="3"/>
        <v>1440</v>
      </c>
      <c r="D17" s="30">
        <v>40876</v>
      </c>
      <c r="E17" s="13">
        <f t="shared" si="4"/>
        <v>960</v>
      </c>
      <c r="F17" s="30">
        <v>21958</v>
      </c>
      <c r="G17" s="13">
        <f t="shared" si="5"/>
        <v>140</v>
      </c>
      <c r="H17" s="30">
        <v>257568</v>
      </c>
      <c r="I17" s="13">
        <f t="shared" si="6"/>
        <v>61</v>
      </c>
      <c r="J17" s="30">
        <v>328098</v>
      </c>
      <c r="K17" s="13">
        <f t="shared" si="7"/>
        <v>333</v>
      </c>
      <c r="L17" s="30">
        <v>26399</v>
      </c>
      <c r="M17" s="13">
        <f t="shared" si="8"/>
        <v>420</v>
      </c>
      <c r="N17" s="30">
        <v>226278</v>
      </c>
      <c r="O17" s="13">
        <f t="shared" si="9"/>
        <v>6</v>
      </c>
      <c r="P17" s="30">
        <f t="shared" si="22"/>
        <v>164351</v>
      </c>
      <c r="Q17" s="13">
        <f t="shared" si="2"/>
        <v>0</v>
      </c>
      <c r="R17" s="1">
        <f t="shared" si="13"/>
        <v>55047</v>
      </c>
      <c r="S17" s="13">
        <f>S16</f>
        <v>0</v>
      </c>
      <c r="T17" s="30">
        <v>4035</v>
      </c>
      <c r="U17" s="13">
        <f t="shared" si="10"/>
        <v>160</v>
      </c>
    </row>
    <row r="18" spans="1:23" ht="13.8" thickBot="1" x14ac:dyDescent="0.3">
      <c r="A18" s="8">
        <v>44789</v>
      </c>
      <c r="B18" s="30">
        <v>47442</v>
      </c>
      <c r="C18" s="13">
        <f t="shared" si="3"/>
        <v>800</v>
      </c>
      <c r="D18" s="30">
        <v>40879</v>
      </c>
      <c r="E18" s="13">
        <f t="shared" si="4"/>
        <v>480</v>
      </c>
      <c r="F18" s="30">
        <v>21961</v>
      </c>
      <c r="G18" s="13">
        <f t="shared" si="5"/>
        <v>60</v>
      </c>
      <c r="H18" s="30">
        <v>257610</v>
      </c>
      <c r="I18" s="13">
        <f t="shared" si="6"/>
        <v>42</v>
      </c>
      <c r="J18" s="30">
        <v>328266</v>
      </c>
      <c r="K18" s="13">
        <f t="shared" si="7"/>
        <v>168</v>
      </c>
      <c r="L18" s="30">
        <v>26403</v>
      </c>
      <c r="M18" s="13">
        <f t="shared" si="8"/>
        <v>240</v>
      </c>
      <c r="N18" s="30">
        <v>226282</v>
      </c>
      <c r="O18" s="13">
        <f t="shared" si="9"/>
        <v>4</v>
      </c>
      <c r="P18" s="30">
        <f t="shared" si="22"/>
        <v>164351</v>
      </c>
      <c r="Q18" s="13">
        <f t="shared" si="2"/>
        <v>0</v>
      </c>
      <c r="R18" s="1">
        <f t="shared" si="13"/>
        <v>55047</v>
      </c>
      <c r="S18" s="13">
        <f t="shared" si="11"/>
        <v>0</v>
      </c>
      <c r="T18" s="30">
        <v>4036</v>
      </c>
      <c r="U18" s="13">
        <f t="shared" si="10"/>
        <v>160</v>
      </c>
    </row>
    <row r="19" spans="1:23" ht="13.8" thickBot="1" x14ac:dyDescent="0.3">
      <c r="A19" s="8">
        <v>44790</v>
      </c>
      <c r="B19" s="30">
        <v>47447</v>
      </c>
      <c r="C19" s="13">
        <f t="shared" si="3"/>
        <v>800</v>
      </c>
      <c r="D19" s="30">
        <v>40882</v>
      </c>
      <c r="E19" s="13">
        <f t="shared" si="4"/>
        <v>480</v>
      </c>
      <c r="F19" s="30">
        <v>21964</v>
      </c>
      <c r="G19" s="13">
        <f t="shared" si="5"/>
        <v>60</v>
      </c>
      <c r="H19" s="30">
        <v>257645</v>
      </c>
      <c r="I19" s="13">
        <f t="shared" si="6"/>
        <v>35</v>
      </c>
      <c r="J19" s="30">
        <v>328434</v>
      </c>
      <c r="K19" s="13">
        <f t="shared" si="7"/>
        <v>168</v>
      </c>
      <c r="L19" s="30">
        <v>26406</v>
      </c>
      <c r="M19" s="13">
        <f t="shared" si="8"/>
        <v>180</v>
      </c>
      <c r="N19" s="30">
        <v>226285</v>
      </c>
      <c r="O19" s="13">
        <f t="shared" si="9"/>
        <v>3</v>
      </c>
      <c r="P19" s="30">
        <f t="shared" si="22"/>
        <v>164351</v>
      </c>
      <c r="Q19" s="13">
        <v>0</v>
      </c>
      <c r="R19" s="1">
        <f t="shared" si="13"/>
        <v>55047</v>
      </c>
      <c r="S19" s="13">
        <f t="shared" si="11"/>
        <v>0</v>
      </c>
      <c r="T19" s="30">
        <v>4037</v>
      </c>
      <c r="U19" s="13">
        <f t="shared" si="10"/>
        <v>160</v>
      </c>
      <c r="W19" t="s">
        <v>12</v>
      </c>
    </row>
    <row r="20" spans="1:23" ht="13.8" thickBot="1" x14ac:dyDescent="0.3">
      <c r="A20" s="8">
        <v>44791</v>
      </c>
      <c r="B20" s="30">
        <v>47451</v>
      </c>
      <c r="C20" s="13">
        <f t="shared" si="3"/>
        <v>640</v>
      </c>
      <c r="D20" s="30">
        <v>40885</v>
      </c>
      <c r="E20" s="13">
        <f t="shared" si="4"/>
        <v>480</v>
      </c>
      <c r="F20" s="30">
        <v>21968</v>
      </c>
      <c r="G20" s="13">
        <f t="shared" si="5"/>
        <v>80</v>
      </c>
      <c r="H20" s="30">
        <v>257668</v>
      </c>
      <c r="I20" s="13">
        <f t="shared" si="6"/>
        <v>23</v>
      </c>
      <c r="J20" s="30">
        <v>328593</v>
      </c>
      <c r="K20" s="13">
        <f t="shared" si="7"/>
        <v>159</v>
      </c>
      <c r="L20" s="30">
        <v>26409</v>
      </c>
      <c r="M20" s="13">
        <f t="shared" si="8"/>
        <v>180</v>
      </c>
      <c r="N20" s="30">
        <v>226288</v>
      </c>
      <c r="O20" s="13">
        <f t="shared" si="9"/>
        <v>3</v>
      </c>
      <c r="P20" s="30">
        <v>165777</v>
      </c>
      <c r="Q20" s="13">
        <f t="shared" si="2"/>
        <v>1426</v>
      </c>
      <c r="R20" s="1">
        <v>55047</v>
      </c>
      <c r="S20" s="13">
        <f t="shared" si="11"/>
        <v>0</v>
      </c>
      <c r="T20" s="30">
        <v>4037</v>
      </c>
      <c r="U20" s="13">
        <f t="shared" si="10"/>
        <v>0</v>
      </c>
    </row>
    <row r="21" spans="1:23" ht="13.8" thickBot="1" x14ac:dyDescent="0.3">
      <c r="A21" s="8">
        <v>44792</v>
      </c>
      <c r="B21" s="30">
        <v>47456</v>
      </c>
      <c r="C21" s="13">
        <f t="shared" si="3"/>
        <v>800</v>
      </c>
      <c r="D21" s="30">
        <v>40888</v>
      </c>
      <c r="E21" s="13">
        <f t="shared" si="4"/>
        <v>480</v>
      </c>
      <c r="F21" s="30">
        <v>21973</v>
      </c>
      <c r="G21" s="13">
        <f t="shared" si="5"/>
        <v>100</v>
      </c>
      <c r="H21" s="30">
        <v>257708</v>
      </c>
      <c r="I21" s="13">
        <f t="shared" si="6"/>
        <v>40</v>
      </c>
      <c r="J21" s="30">
        <v>328700</v>
      </c>
      <c r="K21" s="13">
        <f t="shared" si="7"/>
        <v>107</v>
      </c>
      <c r="L21" s="30">
        <v>26411</v>
      </c>
      <c r="M21" s="13">
        <f t="shared" si="8"/>
        <v>120</v>
      </c>
      <c r="N21" s="30">
        <v>226291</v>
      </c>
      <c r="O21" s="13">
        <f t="shared" si="9"/>
        <v>3</v>
      </c>
      <c r="P21" s="30">
        <v>165891</v>
      </c>
      <c r="Q21" s="13">
        <f t="shared" si="2"/>
        <v>114</v>
      </c>
      <c r="R21" s="1">
        <f t="shared" si="13"/>
        <v>55047</v>
      </c>
      <c r="S21" s="13">
        <f t="shared" si="11"/>
        <v>0</v>
      </c>
      <c r="T21" s="30">
        <v>4038</v>
      </c>
      <c r="U21" s="13">
        <f t="shared" si="10"/>
        <v>160</v>
      </c>
    </row>
    <row r="22" spans="1:23" ht="13.8" thickBot="1" x14ac:dyDescent="0.3">
      <c r="A22" s="8">
        <v>44793</v>
      </c>
      <c r="B22" s="30">
        <v>47461</v>
      </c>
      <c r="C22" s="13">
        <f t="shared" si="3"/>
        <v>800</v>
      </c>
      <c r="D22" s="30">
        <v>40891</v>
      </c>
      <c r="E22" s="13">
        <f t="shared" si="4"/>
        <v>480</v>
      </c>
      <c r="F22" s="30">
        <v>21977</v>
      </c>
      <c r="G22" s="13">
        <f t="shared" si="5"/>
        <v>80</v>
      </c>
      <c r="H22" s="30">
        <v>257758</v>
      </c>
      <c r="I22" s="13">
        <f t="shared" si="6"/>
        <v>50</v>
      </c>
      <c r="J22" s="30">
        <v>328801</v>
      </c>
      <c r="K22" s="13">
        <f t="shared" si="7"/>
        <v>101</v>
      </c>
      <c r="L22" s="30">
        <v>26414</v>
      </c>
      <c r="M22" s="13">
        <f t="shared" si="8"/>
        <v>180</v>
      </c>
      <c r="N22" s="30">
        <v>226294</v>
      </c>
      <c r="O22" s="13">
        <f t="shared" si="9"/>
        <v>3</v>
      </c>
      <c r="P22" s="30">
        <v>165998</v>
      </c>
      <c r="Q22" s="13">
        <f t="shared" si="2"/>
        <v>107</v>
      </c>
      <c r="R22" s="1">
        <f t="shared" si="13"/>
        <v>55047</v>
      </c>
      <c r="S22" s="13">
        <f t="shared" si="11"/>
        <v>0</v>
      </c>
      <c r="T22" s="30">
        <f t="shared" si="14"/>
        <v>4038</v>
      </c>
      <c r="U22" s="13">
        <f t="shared" si="10"/>
        <v>0</v>
      </c>
    </row>
    <row r="23" spans="1:23" ht="13.8" thickBot="1" x14ac:dyDescent="0.3">
      <c r="A23" s="8">
        <v>44794</v>
      </c>
      <c r="B23" s="30">
        <v>47465</v>
      </c>
      <c r="C23" s="13">
        <f t="shared" si="3"/>
        <v>640</v>
      </c>
      <c r="D23" s="30">
        <v>40893</v>
      </c>
      <c r="E23" s="13">
        <f t="shared" si="4"/>
        <v>320</v>
      </c>
      <c r="F23" s="30">
        <v>21981</v>
      </c>
      <c r="G23" s="13">
        <f t="shared" si="5"/>
        <v>80</v>
      </c>
      <c r="H23" s="30">
        <v>257810</v>
      </c>
      <c r="I23" s="13">
        <f t="shared" si="6"/>
        <v>52</v>
      </c>
      <c r="J23" s="30">
        <v>328898</v>
      </c>
      <c r="K23" s="13">
        <f t="shared" si="7"/>
        <v>97</v>
      </c>
      <c r="L23" s="30">
        <v>26416</v>
      </c>
      <c r="M23" s="13">
        <f t="shared" si="8"/>
        <v>120</v>
      </c>
      <c r="N23" s="30">
        <v>226296</v>
      </c>
      <c r="O23" s="13">
        <f t="shared" si="9"/>
        <v>2</v>
      </c>
      <c r="P23" s="30">
        <f t="shared" si="22"/>
        <v>165998</v>
      </c>
      <c r="Q23" s="13">
        <f t="shared" si="2"/>
        <v>0</v>
      </c>
      <c r="R23" s="1">
        <f t="shared" si="13"/>
        <v>55047</v>
      </c>
      <c r="S23" s="13">
        <f t="shared" si="11"/>
        <v>0</v>
      </c>
      <c r="T23" s="30">
        <v>4039</v>
      </c>
      <c r="U23" s="13">
        <f t="shared" si="10"/>
        <v>160</v>
      </c>
    </row>
    <row r="24" spans="1:23" s="114" customFormat="1" ht="13.8" thickBot="1" x14ac:dyDescent="0.3">
      <c r="A24" s="8">
        <v>44795</v>
      </c>
      <c r="B24" s="30">
        <v>47467</v>
      </c>
      <c r="C24" s="13">
        <f t="shared" si="3"/>
        <v>320</v>
      </c>
      <c r="D24" s="30">
        <v>40897</v>
      </c>
      <c r="E24" s="13">
        <f t="shared" si="4"/>
        <v>640</v>
      </c>
      <c r="F24" s="30">
        <v>21984</v>
      </c>
      <c r="G24" s="13">
        <f t="shared" si="5"/>
        <v>60</v>
      </c>
      <c r="H24" s="30">
        <v>257820</v>
      </c>
      <c r="I24" s="13">
        <f t="shared" si="6"/>
        <v>10</v>
      </c>
      <c r="J24" s="30">
        <v>329172</v>
      </c>
      <c r="K24" s="13">
        <f t="shared" si="7"/>
        <v>274</v>
      </c>
      <c r="L24" s="30">
        <v>26420</v>
      </c>
      <c r="M24" s="13">
        <f t="shared" si="8"/>
        <v>240</v>
      </c>
      <c r="N24" s="30">
        <v>226301</v>
      </c>
      <c r="O24" s="13">
        <f t="shared" si="9"/>
        <v>5</v>
      </c>
      <c r="P24" s="30">
        <v>166363</v>
      </c>
      <c r="Q24" s="13">
        <f t="shared" si="2"/>
        <v>365</v>
      </c>
      <c r="R24" s="1">
        <f t="shared" si="13"/>
        <v>55047</v>
      </c>
      <c r="S24" s="13">
        <f t="shared" si="11"/>
        <v>0</v>
      </c>
      <c r="T24" s="30">
        <v>4039</v>
      </c>
      <c r="U24" s="13">
        <f t="shared" si="10"/>
        <v>0</v>
      </c>
    </row>
    <row r="25" spans="1:23" ht="13.8" thickBot="1" x14ac:dyDescent="0.3">
      <c r="A25" s="8">
        <v>44796</v>
      </c>
      <c r="B25" s="30">
        <v>47469</v>
      </c>
      <c r="C25" s="13">
        <f t="shared" si="3"/>
        <v>320</v>
      </c>
      <c r="D25" s="30">
        <v>40900</v>
      </c>
      <c r="E25" s="13">
        <f t="shared" si="4"/>
        <v>480</v>
      </c>
      <c r="F25" s="30">
        <v>21989</v>
      </c>
      <c r="G25" s="13">
        <f t="shared" si="5"/>
        <v>100</v>
      </c>
      <c r="H25" s="30">
        <v>257830</v>
      </c>
      <c r="I25" s="13">
        <f t="shared" si="6"/>
        <v>10</v>
      </c>
      <c r="J25" s="30">
        <v>329347</v>
      </c>
      <c r="K25" s="13">
        <f t="shared" si="7"/>
        <v>175</v>
      </c>
      <c r="L25" s="30">
        <v>26424</v>
      </c>
      <c r="M25" s="13">
        <f t="shared" si="8"/>
        <v>240</v>
      </c>
      <c r="N25" s="30">
        <v>226301</v>
      </c>
      <c r="O25" s="13">
        <f t="shared" si="9"/>
        <v>0</v>
      </c>
      <c r="P25" s="30">
        <f t="shared" si="22"/>
        <v>166363</v>
      </c>
      <c r="Q25" s="13">
        <f t="shared" si="2"/>
        <v>0</v>
      </c>
      <c r="R25" s="1">
        <f t="shared" si="13"/>
        <v>55047</v>
      </c>
      <c r="S25" s="13">
        <f t="shared" si="11"/>
        <v>0</v>
      </c>
      <c r="T25" s="30">
        <v>4040</v>
      </c>
      <c r="U25" s="13">
        <f t="shared" si="10"/>
        <v>160</v>
      </c>
      <c r="V25" t="s">
        <v>12</v>
      </c>
    </row>
    <row r="26" spans="1:23" ht="12.75" customHeight="1" thickBot="1" x14ac:dyDescent="0.3">
      <c r="A26" s="8">
        <v>44797</v>
      </c>
      <c r="B26" s="30">
        <v>47472</v>
      </c>
      <c r="C26" s="13">
        <f t="shared" si="3"/>
        <v>480</v>
      </c>
      <c r="D26" s="30">
        <v>40903</v>
      </c>
      <c r="E26" s="13">
        <f t="shared" si="4"/>
        <v>480</v>
      </c>
      <c r="F26" s="30">
        <v>21992</v>
      </c>
      <c r="G26" s="13">
        <f t="shared" si="5"/>
        <v>60</v>
      </c>
      <c r="H26" s="30">
        <v>257840</v>
      </c>
      <c r="I26" s="13">
        <f t="shared" si="6"/>
        <v>10</v>
      </c>
      <c r="J26" s="30">
        <v>329521</v>
      </c>
      <c r="K26" s="13">
        <f t="shared" si="7"/>
        <v>174</v>
      </c>
      <c r="L26" s="30">
        <v>26427</v>
      </c>
      <c r="M26" s="13">
        <f t="shared" si="8"/>
        <v>180</v>
      </c>
      <c r="N26" s="30">
        <v>226307</v>
      </c>
      <c r="O26" s="13">
        <f t="shared" si="9"/>
        <v>6</v>
      </c>
      <c r="P26" s="30">
        <v>166701</v>
      </c>
      <c r="Q26" s="13">
        <f t="shared" si="2"/>
        <v>338</v>
      </c>
      <c r="R26" s="1">
        <f t="shared" si="13"/>
        <v>55047</v>
      </c>
      <c r="S26" s="13">
        <f t="shared" si="11"/>
        <v>0</v>
      </c>
      <c r="T26" s="30">
        <v>4041</v>
      </c>
      <c r="U26" s="13">
        <f t="shared" si="10"/>
        <v>160</v>
      </c>
      <c r="W26" t="s">
        <v>12</v>
      </c>
    </row>
    <row r="27" spans="1:23" ht="13.8" thickBot="1" x14ac:dyDescent="0.3">
      <c r="A27" s="8">
        <v>44798</v>
      </c>
      <c r="B27" s="30">
        <v>47475</v>
      </c>
      <c r="C27" s="13">
        <f t="shared" si="3"/>
        <v>480</v>
      </c>
      <c r="D27" s="30">
        <v>40906</v>
      </c>
      <c r="E27" s="13">
        <f t="shared" si="4"/>
        <v>480</v>
      </c>
      <c r="F27" s="30">
        <v>21995</v>
      </c>
      <c r="G27" s="13">
        <f t="shared" si="5"/>
        <v>60</v>
      </c>
      <c r="H27" s="30">
        <v>257851</v>
      </c>
      <c r="I27" s="13">
        <f t="shared" si="6"/>
        <v>11</v>
      </c>
      <c r="J27" s="30">
        <v>329692</v>
      </c>
      <c r="K27" s="13">
        <f t="shared" si="7"/>
        <v>171</v>
      </c>
      <c r="L27" s="30">
        <v>26431</v>
      </c>
      <c r="M27" s="13">
        <f t="shared" si="8"/>
        <v>240</v>
      </c>
      <c r="N27" s="30">
        <v>226310</v>
      </c>
      <c r="O27" s="13">
        <f t="shared" si="9"/>
        <v>3</v>
      </c>
      <c r="P27" s="30">
        <v>166821</v>
      </c>
      <c r="Q27" s="13">
        <f t="shared" si="2"/>
        <v>120</v>
      </c>
      <c r="R27" s="1">
        <f t="shared" si="13"/>
        <v>55047</v>
      </c>
      <c r="S27" s="13">
        <f t="shared" si="11"/>
        <v>0</v>
      </c>
      <c r="T27" s="30">
        <v>4042</v>
      </c>
      <c r="U27" s="13">
        <f t="shared" si="10"/>
        <v>160</v>
      </c>
    </row>
    <row r="28" spans="1:23" ht="13.8" thickBot="1" x14ac:dyDescent="0.3">
      <c r="A28" s="8">
        <v>44799</v>
      </c>
      <c r="B28" s="30">
        <v>47487</v>
      </c>
      <c r="C28" s="13">
        <f t="shared" si="3"/>
        <v>1920</v>
      </c>
      <c r="D28" s="30">
        <v>40909</v>
      </c>
      <c r="E28" s="13">
        <f t="shared" si="4"/>
        <v>480</v>
      </c>
      <c r="F28" s="30">
        <v>22000</v>
      </c>
      <c r="G28" s="13">
        <f t="shared" si="5"/>
        <v>100</v>
      </c>
      <c r="H28" s="30">
        <v>257857</v>
      </c>
      <c r="I28" s="13">
        <f t="shared" si="6"/>
        <v>6</v>
      </c>
      <c r="J28" s="30">
        <v>329806</v>
      </c>
      <c r="K28" s="13">
        <f t="shared" si="7"/>
        <v>114</v>
      </c>
      <c r="L28" s="30">
        <v>26433</v>
      </c>
      <c r="M28" s="13">
        <f t="shared" si="8"/>
        <v>120</v>
      </c>
      <c r="N28" s="30">
        <v>226314</v>
      </c>
      <c r="O28" s="13">
        <f t="shared" si="9"/>
        <v>4</v>
      </c>
      <c r="P28" s="30">
        <f t="shared" si="22"/>
        <v>166821</v>
      </c>
      <c r="Q28" s="13">
        <f t="shared" si="2"/>
        <v>0</v>
      </c>
      <c r="R28" s="1">
        <f t="shared" si="13"/>
        <v>55047</v>
      </c>
      <c r="S28" s="14">
        <f t="shared" si="11"/>
        <v>0</v>
      </c>
      <c r="T28" s="30">
        <v>4042</v>
      </c>
      <c r="U28" s="13">
        <f t="shared" si="10"/>
        <v>0</v>
      </c>
    </row>
    <row r="29" spans="1:23" ht="13.8" thickBot="1" x14ac:dyDescent="0.3">
      <c r="A29" s="8">
        <v>44800</v>
      </c>
      <c r="B29" s="30">
        <v>47491</v>
      </c>
      <c r="C29" s="13">
        <f t="shared" si="3"/>
        <v>640</v>
      </c>
      <c r="D29" s="30">
        <v>40912</v>
      </c>
      <c r="E29" s="13">
        <f t="shared" si="4"/>
        <v>480</v>
      </c>
      <c r="F29" s="30">
        <v>22003</v>
      </c>
      <c r="G29" s="13">
        <f t="shared" si="5"/>
        <v>60</v>
      </c>
      <c r="H29" s="30">
        <v>257878</v>
      </c>
      <c r="I29" s="13">
        <f t="shared" si="6"/>
        <v>21</v>
      </c>
      <c r="J29" s="30">
        <v>329941</v>
      </c>
      <c r="K29" s="13">
        <f t="shared" si="7"/>
        <v>135</v>
      </c>
      <c r="L29" s="30">
        <v>26435</v>
      </c>
      <c r="M29" s="13">
        <f t="shared" si="8"/>
        <v>120</v>
      </c>
      <c r="N29" s="30">
        <v>226317</v>
      </c>
      <c r="O29" s="13">
        <f t="shared" si="9"/>
        <v>3</v>
      </c>
      <c r="P29" s="30">
        <f t="shared" si="22"/>
        <v>166821</v>
      </c>
      <c r="Q29" s="13">
        <f t="shared" si="2"/>
        <v>0</v>
      </c>
      <c r="R29" s="1">
        <f t="shared" si="13"/>
        <v>55047</v>
      </c>
      <c r="S29" s="13">
        <f t="shared" si="11"/>
        <v>0</v>
      </c>
      <c r="T29" s="30">
        <v>4043</v>
      </c>
      <c r="U29" s="13">
        <f t="shared" si="10"/>
        <v>160</v>
      </c>
    </row>
    <row r="30" spans="1:23" ht="13.8" thickBot="1" x14ac:dyDescent="0.3">
      <c r="A30" s="8">
        <v>44801</v>
      </c>
      <c r="B30" s="30">
        <v>47495</v>
      </c>
      <c r="C30" s="13">
        <f t="shared" si="3"/>
        <v>640</v>
      </c>
      <c r="D30" s="30">
        <v>40914</v>
      </c>
      <c r="E30" s="13">
        <f t="shared" si="4"/>
        <v>320</v>
      </c>
      <c r="F30" s="30">
        <v>22006</v>
      </c>
      <c r="G30" s="13">
        <f t="shared" si="5"/>
        <v>60</v>
      </c>
      <c r="H30" s="30">
        <v>257897</v>
      </c>
      <c r="I30" s="13">
        <f t="shared" si="6"/>
        <v>19</v>
      </c>
      <c r="J30" s="30">
        <v>330094</v>
      </c>
      <c r="K30" s="13">
        <f t="shared" si="7"/>
        <v>153</v>
      </c>
      <c r="L30" s="30">
        <v>26438</v>
      </c>
      <c r="M30" s="13">
        <f t="shared" si="8"/>
        <v>180</v>
      </c>
      <c r="N30" s="30">
        <v>226320</v>
      </c>
      <c r="O30" s="13">
        <f t="shared" si="9"/>
        <v>3</v>
      </c>
      <c r="P30" s="30">
        <f t="shared" si="22"/>
        <v>166821</v>
      </c>
      <c r="Q30" s="13">
        <f t="shared" si="2"/>
        <v>0</v>
      </c>
      <c r="R30" s="1">
        <f t="shared" si="13"/>
        <v>55047</v>
      </c>
      <c r="S30" s="13">
        <f t="shared" si="11"/>
        <v>0</v>
      </c>
      <c r="T30" s="30">
        <v>4043</v>
      </c>
      <c r="U30" s="13">
        <f t="shared" si="10"/>
        <v>0</v>
      </c>
    </row>
    <row r="31" spans="1:23" ht="13.8" thickBot="1" x14ac:dyDescent="0.3">
      <c r="A31" s="8">
        <v>44802</v>
      </c>
      <c r="B31" s="30">
        <v>47500</v>
      </c>
      <c r="C31" s="13">
        <f t="shared" si="3"/>
        <v>800</v>
      </c>
      <c r="D31" s="30">
        <v>40918</v>
      </c>
      <c r="E31" s="13">
        <f t="shared" si="4"/>
        <v>640</v>
      </c>
      <c r="F31" s="30">
        <v>22011</v>
      </c>
      <c r="G31" s="13">
        <f t="shared" si="5"/>
        <v>100</v>
      </c>
      <c r="H31" s="30">
        <v>257912</v>
      </c>
      <c r="I31" s="13">
        <f t="shared" si="6"/>
        <v>15</v>
      </c>
      <c r="J31" s="30">
        <v>330262</v>
      </c>
      <c r="K31" s="13">
        <f t="shared" si="7"/>
        <v>168</v>
      </c>
      <c r="L31" s="30">
        <v>26442</v>
      </c>
      <c r="M31" s="13">
        <f t="shared" si="8"/>
        <v>240</v>
      </c>
      <c r="N31" s="30">
        <v>226323</v>
      </c>
      <c r="O31" s="13">
        <f t="shared" si="9"/>
        <v>3</v>
      </c>
      <c r="P31" s="30">
        <v>167475</v>
      </c>
      <c r="Q31" s="13">
        <f t="shared" si="2"/>
        <v>654</v>
      </c>
      <c r="R31" s="1">
        <v>55047</v>
      </c>
      <c r="S31" s="13">
        <v>0</v>
      </c>
      <c r="T31" s="30">
        <v>4044</v>
      </c>
      <c r="U31" s="13">
        <f t="shared" si="10"/>
        <v>160</v>
      </c>
    </row>
    <row r="32" spans="1:23" ht="13.8" thickBot="1" x14ac:dyDescent="0.3">
      <c r="A32" s="8">
        <v>44803</v>
      </c>
      <c r="B32" s="30">
        <v>47504</v>
      </c>
      <c r="C32" s="13">
        <f t="shared" si="3"/>
        <v>640</v>
      </c>
      <c r="D32" s="30">
        <v>40921</v>
      </c>
      <c r="E32" s="13">
        <f t="shared" si="4"/>
        <v>480</v>
      </c>
      <c r="F32" s="30">
        <v>22014</v>
      </c>
      <c r="G32" s="13">
        <f t="shared" si="5"/>
        <v>60</v>
      </c>
      <c r="H32" s="30">
        <v>257927</v>
      </c>
      <c r="I32" s="13">
        <f t="shared" si="6"/>
        <v>15</v>
      </c>
      <c r="J32" s="30">
        <v>330432</v>
      </c>
      <c r="K32" s="13">
        <f t="shared" si="7"/>
        <v>170</v>
      </c>
      <c r="L32" s="30">
        <v>26446</v>
      </c>
      <c r="M32" s="13">
        <f t="shared" si="8"/>
        <v>240</v>
      </c>
      <c r="N32" s="30">
        <v>226326</v>
      </c>
      <c r="O32" s="13">
        <f t="shared" si="9"/>
        <v>3</v>
      </c>
      <c r="P32" s="30">
        <v>167475</v>
      </c>
      <c r="Q32" s="13">
        <f t="shared" si="2"/>
        <v>0</v>
      </c>
      <c r="R32" s="1">
        <f t="shared" si="13"/>
        <v>55047</v>
      </c>
      <c r="S32" s="13">
        <f t="shared" si="11"/>
        <v>0</v>
      </c>
      <c r="T32" s="30">
        <v>4045</v>
      </c>
      <c r="U32" s="13">
        <f t="shared" si="10"/>
        <v>160</v>
      </c>
    </row>
    <row r="33" spans="1:21" ht="13.8" thickBot="1" x14ac:dyDescent="0.3">
      <c r="A33" s="8">
        <v>44804</v>
      </c>
      <c r="B33" s="30">
        <v>47509</v>
      </c>
      <c r="C33" s="13">
        <f t="shared" si="3"/>
        <v>800</v>
      </c>
      <c r="D33" s="30">
        <v>40924</v>
      </c>
      <c r="E33" s="13">
        <f t="shared" si="4"/>
        <v>480</v>
      </c>
      <c r="F33" s="30">
        <v>22019</v>
      </c>
      <c r="G33" s="13">
        <f t="shared" si="5"/>
        <v>100</v>
      </c>
      <c r="H33" s="30">
        <v>257970</v>
      </c>
      <c r="I33" s="13">
        <f t="shared" si="6"/>
        <v>43</v>
      </c>
      <c r="J33" s="30">
        <v>330607</v>
      </c>
      <c r="K33" s="13">
        <f t="shared" si="7"/>
        <v>175</v>
      </c>
      <c r="L33" s="30">
        <v>26449</v>
      </c>
      <c r="M33" s="13">
        <f t="shared" si="8"/>
        <v>180</v>
      </c>
      <c r="N33" s="30">
        <v>226330</v>
      </c>
      <c r="O33" s="13">
        <f t="shared" si="9"/>
        <v>4</v>
      </c>
      <c r="P33" s="30">
        <v>167701</v>
      </c>
      <c r="Q33" s="13">
        <f t="shared" si="2"/>
        <v>226</v>
      </c>
      <c r="R33" s="1">
        <f t="shared" si="13"/>
        <v>55047</v>
      </c>
      <c r="S33" s="13">
        <f>SUM(S3:S32)</f>
        <v>0</v>
      </c>
      <c r="T33" s="30">
        <v>4046</v>
      </c>
      <c r="U33" s="13">
        <f t="shared" si="10"/>
        <v>160</v>
      </c>
    </row>
    <row r="34" spans="1:21" ht="13.8" thickBot="1" x14ac:dyDescent="0.3">
      <c r="A34" s="13" t="s">
        <v>23</v>
      </c>
      <c r="B34" s="13"/>
      <c r="C34" s="13">
        <f>SUM(C3:C33)</f>
        <v>22240</v>
      </c>
      <c r="D34" s="13"/>
      <c r="E34" s="13">
        <f>SUM(E3:E33)</f>
        <v>14720</v>
      </c>
      <c r="F34" s="13"/>
      <c r="G34" s="13">
        <f>SUM(G3:G33)</f>
        <v>2340</v>
      </c>
      <c r="H34" s="13"/>
      <c r="I34" s="13">
        <f>SUM(I3:I33)</f>
        <v>934</v>
      </c>
      <c r="J34" s="13"/>
      <c r="K34" s="13">
        <f>SUM(K3:K33)</f>
        <v>4892</v>
      </c>
      <c r="L34" s="13"/>
      <c r="M34" s="13">
        <f>SUM(M3:M33)</f>
        <v>5700</v>
      </c>
      <c r="N34" s="13"/>
      <c r="O34" s="13">
        <f>SUM(O3:O33)</f>
        <v>100</v>
      </c>
      <c r="P34" s="13"/>
      <c r="Q34" s="13">
        <f>SUM(Q3:Q33)</f>
        <v>5090</v>
      </c>
      <c r="R34" s="13"/>
      <c r="S34" s="13">
        <f>SUM(S3:S33)</f>
        <v>0</v>
      </c>
      <c r="T34" s="13"/>
      <c r="U34" s="13">
        <f>SUM(U3:U33)</f>
        <v>2720</v>
      </c>
    </row>
    <row r="35" spans="1:21" x14ac:dyDescent="0.25">
      <c r="N35" s="16"/>
    </row>
    <row r="36" spans="1:21" x14ac:dyDescent="0.25">
      <c r="N36" s="16"/>
    </row>
    <row r="37" spans="1:21" x14ac:dyDescent="0.25">
      <c r="I37" s="16"/>
      <c r="N37" s="16"/>
    </row>
    <row r="38" spans="1:21" x14ac:dyDescent="0.25">
      <c r="N38" s="16"/>
    </row>
    <row r="39" spans="1:21" x14ac:dyDescent="0.25">
      <c r="N39" s="16"/>
    </row>
    <row r="40" spans="1:21" x14ac:dyDescent="0.25">
      <c r="N40" s="16"/>
    </row>
    <row r="41" spans="1:21" x14ac:dyDescent="0.25">
      <c r="N41" s="16"/>
    </row>
    <row r="42" spans="1:21" x14ac:dyDescent="0.25">
      <c r="N42" s="16"/>
    </row>
    <row r="43" spans="1:21" x14ac:dyDescent="0.25">
      <c r="N43" s="16"/>
    </row>
    <row r="44" spans="1:21" x14ac:dyDescent="0.25">
      <c r="N44" s="16"/>
    </row>
    <row r="45" spans="1:21" x14ac:dyDescent="0.25">
      <c r="N45" s="16"/>
    </row>
    <row r="46" spans="1:21" x14ac:dyDescent="0.25">
      <c r="N46" s="16"/>
    </row>
    <row r="47" spans="1:21" x14ac:dyDescent="0.25">
      <c r="N47" s="16"/>
    </row>
    <row r="48" spans="1:21" x14ac:dyDescent="0.25">
      <c r="N48" s="16"/>
    </row>
    <row r="49" spans="12:15" x14ac:dyDescent="0.25">
      <c r="N49" s="16"/>
    </row>
    <row r="50" spans="12:15" x14ac:dyDescent="0.25">
      <c r="N50" s="16"/>
    </row>
    <row r="51" spans="12:15" x14ac:dyDescent="0.25">
      <c r="N51" s="16"/>
    </row>
    <row r="52" spans="12:15" x14ac:dyDescent="0.25">
      <c r="N52" s="16"/>
    </row>
    <row r="53" spans="12:15" x14ac:dyDescent="0.25">
      <c r="N53" s="16"/>
    </row>
    <row r="54" spans="12:15" x14ac:dyDescent="0.25">
      <c r="N54" s="16"/>
    </row>
    <row r="55" spans="12:15" x14ac:dyDescent="0.25">
      <c r="N55" s="16"/>
    </row>
    <row r="56" spans="12:15" x14ac:dyDescent="0.25">
      <c r="N56" s="16"/>
    </row>
    <row r="57" spans="12:15" x14ac:dyDescent="0.25">
      <c r="N57" s="16"/>
    </row>
    <row r="58" spans="12:15" x14ac:dyDescent="0.25">
      <c r="L58" s="17"/>
      <c r="M58" s="16"/>
      <c r="N58" s="17"/>
      <c r="O58" s="16"/>
    </row>
    <row r="59" spans="12:15" x14ac:dyDescent="0.25">
      <c r="L59" s="17"/>
      <c r="M59" s="16"/>
      <c r="N59" s="17"/>
      <c r="O59" s="16"/>
    </row>
    <row r="60" spans="12:15" x14ac:dyDescent="0.25">
      <c r="L60" s="17"/>
      <c r="M60" s="16"/>
      <c r="N60" s="17"/>
      <c r="O60" s="16"/>
    </row>
    <row r="61" spans="12:15" x14ac:dyDescent="0.25">
      <c r="L61" s="17"/>
      <c r="M61" s="16"/>
      <c r="N61" s="17"/>
      <c r="O61" s="16"/>
    </row>
    <row r="62" spans="12:15" x14ac:dyDescent="0.25">
      <c r="L62" s="17"/>
      <c r="M62" s="16"/>
      <c r="N62" s="17"/>
      <c r="O62" s="16"/>
    </row>
    <row r="63" spans="12:15" x14ac:dyDescent="0.25">
      <c r="L63" s="17"/>
      <c r="M63" s="16"/>
      <c r="N63" s="17"/>
      <c r="O63" s="16"/>
    </row>
    <row r="64" spans="12:15" x14ac:dyDescent="0.25">
      <c r="L64" s="17"/>
      <c r="M64" s="16"/>
      <c r="N64" s="17"/>
      <c r="O64" s="16"/>
    </row>
    <row r="65" spans="12:15" x14ac:dyDescent="0.25">
      <c r="L65" s="17"/>
      <c r="M65" s="16"/>
      <c r="N65" s="17"/>
      <c r="O65" s="16"/>
    </row>
    <row r="66" spans="12:15" x14ac:dyDescent="0.25">
      <c r="L66" s="17"/>
      <c r="M66" s="16"/>
      <c r="N66" s="17"/>
      <c r="O66" s="16"/>
    </row>
    <row r="67" spans="12:15" x14ac:dyDescent="0.25">
      <c r="L67" s="17"/>
      <c r="M67" s="16"/>
      <c r="N67" s="17"/>
      <c r="O67" s="16"/>
    </row>
    <row r="68" spans="12:15" x14ac:dyDescent="0.25">
      <c r="L68" s="17"/>
      <c r="M68" s="16"/>
      <c r="N68" s="17"/>
      <c r="O68" s="16"/>
    </row>
    <row r="69" spans="12:15" x14ac:dyDescent="0.25">
      <c r="L69" s="17"/>
      <c r="M69" s="16"/>
      <c r="N69" s="17"/>
      <c r="O69" s="16"/>
    </row>
    <row r="70" spans="12:15" x14ac:dyDescent="0.25">
      <c r="L70" s="17"/>
      <c r="N70" s="16"/>
    </row>
    <row r="71" spans="12:15" x14ac:dyDescent="0.25">
      <c r="N71" s="16"/>
    </row>
    <row r="72" spans="12:15" x14ac:dyDescent="0.25">
      <c r="N72" s="16"/>
    </row>
    <row r="73" spans="12:15" x14ac:dyDescent="0.25">
      <c r="N73" s="16"/>
    </row>
    <row r="74" spans="12:15" x14ac:dyDescent="0.25">
      <c r="N74" s="16"/>
    </row>
    <row r="75" spans="12:15" x14ac:dyDescent="0.25">
      <c r="N75" s="16"/>
    </row>
    <row r="76" spans="12:15" x14ac:dyDescent="0.25">
      <c r="N76" s="16"/>
    </row>
    <row r="77" spans="12:15" x14ac:dyDescent="0.25">
      <c r="N77" s="16"/>
    </row>
    <row r="78" spans="12:15" x14ac:dyDescent="0.25">
      <c r="N78" s="16"/>
    </row>
    <row r="79" spans="12:15" x14ac:dyDescent="0.25">
      <c r="N79" s="16"/>
    </row>
    <row r="80" spans="12:15" x14ac:dyDescent="0.25">
      <c r="N80" s="16"/>
    </row>
    <row r="81" spans="14:14" x14ac:dyDescent="0.25">
      <c r="N81" s="16"/>
    </row>
    <row r="82" spans="14:14" x14ac:dyDescent="0.25">
      <c r="N82" s="16"/>
    </row>
    <row r="83" spans="14:14" x14ac:dyDescent="0.25">
      <c r="N83" s="16"/>
    </row>
    <row r="84" spans="14:14" x14ac:dyDescent="0.25">
      <c r="N84" s="16"/>
    </row>
    <row r="85" spans="14:14" x14ac:dyDescent="0.25">
      <c r="N85" s="16"/>
    </row>
    <row r="86" spans="14:14" x14ac:dyDescent="0.25">
      <c r="N86" s="16"/>
    </row>
    <row r="87" spans="14:14" x14ac:dyDescent="0.25">
      <c r="N87" s="16"/>
    </row>
    <row r="88" spans="14:14" x14ac:dyDescent="0.25">
      <c r="N88" s="16"/>
    </row>
    <row r="89" spans="14:14" x14ac:dyDescent="0.25">
      <c r="N89" s="16"/>
    </row>
    <row r="90" spans="14:14" x14ac:dyDescent="0.25">
      <c r="N90" s="16"/>
    </row>
    <row r="91" spans="14:14" x14ac:dyDescent="0.25">
      <c r="N91" s="16"/>
    </row>
    <row r="92" spans="14:14" x14ac:dyDescent="0.25">
      <c r="N92" s="16"/>
    </row>
    <row r="93" spans="14:14" x14ac:dyDescent="0.25">
      <c r="N93" s="16"/>
    </row>
    <row r="94" spans="14:14" x14ac:dyDescent="0.25">
      <c r="N94" s="16"/>
    </row>
    <row r="95" spans="14:14" x14ac:dyDescent="0.25">
      <c r="N95" s="16"/>
    </row>
    <row r="96" spans="14:14" x14ac:dyDescent="0.25">
      <c r="N96" s="16"/>
    </row>
    <row r="97" spans="14:14" x14ac:dyDescent="0.25">
      <c r="N97" s="16"/>
    </row>
    <row r="98" spans="14:14" x14ac:dyDescent="0.25">
      <c r="N98" s="16"/>
    </row>
    <row r="99" spans="14:14" x14ac:dyDescent="0.25">
      <c r="N99" s="16"/>
    </row>
    <row r="100" spans="14:14" x14ac:dyDescent="0.25">
      <c r="N100" s="16"/>
    </row>
    <row r="101" spans="14:14" x14ac:dyDescent="0.25">
      <c r="N101" s="16"/>
    </row>
    <row r="102" spans="14:14" x14ac:dyDescent="0.25">
      <c r="N102" s="16"/>
    </row>
    <row r="103" spans="14:14" x14ac:dyDescent="0.25">
      <c r="N103" s="16"/>
    </row>
    <row r="104" spans="14:14" x14ac:dyDescent="0.25">
      <c r="N104" s="16"/>
    </row>
    <row r="105" spans="14:14" x14ac:dyDescent="0.25">
      <c r="N105" s="16"/>
    </row>
    <row r="106" spans="14:14" x14ac:dyDescent="0.25">
      <c r="N106" s="16"/>
    </row>
    <row r="107" spans="14:14" x14ac:dyDescent="0.25">
      <c r="N107" s="16"/>
    </row>
    <row r="108" spans="14:14" x14ac:dyDescent="0.25">
      <c r="N108" s="16"/>
    </row>
    <row r="109" spans="14:14" x14ac:dyDescent="0.25">
      <c r="N109" s="16"/>
    </row>
    <row r="110" spans="14:14" x14ac:dyDescent="0.25">
      <c r="N110" s="16"/>
    </row>
    <row r="111" spans="14:14" x14ac:dyDescent="0.25">
      <c r="N111" s="16"/>
    </row>
    <row r="112" spans="14:14" x14ac:dyDescent="0.25">
      <c r="N112" s="16"/>
    </row>
    <row r="113" spans="14:14" x14ac:dyDescent="0.25">
      <c r="N113" s="16"/>
    </row>
    <row r="114" spans="14:14" x14ac:dyDescent="0.25">
      <c r="N114" s="16"/>
    </row>
    <row r="115" spans="14:14" x14ac:dyDescent="0.25">
      <c r="N115" s="16"/>
    </row>
    <row r="116" spans="14:14" x14ac:dyDescent="0.25">
      <c r="N116" s="16"/>
    </row>
    <row r="117" spans="14:14" x14ac:dyDescent="0.25">
      <c r="N117" s="16"/>
    </row>
    <row r="118" spans="14:14" x14ac:dyDescent="0.25">
      <c r="N118" s="16"/>
    </row>
    <row r="119" spans="14:14" x14ac:dyDescent="0.25">
      <c r="N119" s="16"/>
    </row>
    <row r="120" spans="14:14" x14ac:dyDescent="0.25">
      <c r="N120" s="16"/>
    </row>
    <row r="121" spans="14:14" x14ac:dyDescent="0.25">
      <c r="N121" s="16"/>
    </row>
    <row r="122" spans="14:14" x14ac:dyDescent="0.25">
      <c r="N122" s="16"/>
    </row>
    <row r="123" spans="14:14" x14ac:dyDescent="0.25">
      <c r="N123" s="16"/>
    </row>
    <row r="124" spans="14:14" x14ac:dyDescent="0.25">
      <c r="N124" s="16"/>
    </row>
    <row r="125" spans="14:14" x14ac:dyDescent="0.25">
      <c r="N125" s="16"/>
    </row>
    <row r="126" spans="14:14" x14ac:dyDescent="0.25">
      <c r="N126" s="16"/>
    </row>
    <row r="127" spans="14:14" x14ac:dyDescent="0.25">
      <c r="N127" s="16"/>
    </row>
    <row r="128" spans="14:14" x14ac:dyDescent="0.25">
      <c r="N128" s="16"/>
    </row>
    <row r="129" spans="14:14" x14ac:dyDescent="0.25">
      <c r="N129" s="16"/>
    </row>
    <row r="130" spans="14:14" x14ac:dyDescent="0.25">
      <c r="N130" s="16"/>
    </row>
    <row r="131" spans="14:14" x14ac:dyDescent="0.25">
      <c r="N131" s="16"/>
    </row>
    <row r="132" spans="14:14" x14ac:dyDescent="0.25">
      <c r="N132" s="16"/>
    </row>
    <row r="133" spans="14:14" x14ac:dyDescent="0.25">
      <c r="N133" s="16"/>
    </row>
    <row r="134" spans="14:14" x14ac:dyDescent="0.25">
      <c r="N134" s="16"/>
    </row>
    <row r="135" spans="14:14" x14ac:dyDescent="0.25">
      <c r="N135" s="16"/>
    </row>
    <row r="136" spans="14:14" x14ac:dyDescent="0.25">
      <c r="N136" s="16"/>
    </row>
    <row r="137" spans="14:14" x14ac:dyDescent="0.25">
      <c r="N137" s="16"/>
    </row>
    <row r="138" spans="14:14" x14ac:dyDescent="0.25">
      <c r="N138" s="16"/>
    </row>
    <row r="139" spans="14:14" x14ac:dyDescent="0.25">
      <c r="N139" s="16"/>
    </row>
    <row r="140" spans="14:14" x14ac:dyDescent="0.25">
      <c r="N140" s="16"/>
    </row>
    <row r="141" spans="14:14" x14ac:dyDescent="0.25">
      <c r="N141" s="16"/>
    </row>
    <row r="142" spans="14:14" x14ac:dyDescent="0.25">
      <c r="N142" s="16"/>
    </row>
    <row r="143" spans="14:14" x14ac:dyDescent="0.25">
      <c r="N143" s="16"/>
    </row>
    <row r="144" spans="14:14" x14ac:dyDescent="0.25">
      <c r="N144" s="16"/>
    </row>
    <row r="145" spans="14:14" x14ac:dyDescent="0.25">
      <c r="N145" s="16"/>
    </row>
    <row r="146" spans="14:14" x14ac:dyDescent="0.25">
      <c r="N146" s="16"/>
    </row>
    <row r="147" spans="14:14" x14ac:dyDescent="0.25">
      <c r="N147" s="16"/>
    </row>
    <row r="148" spans="14:14" x14ac:dyDescent="0.25">
      <c r="N148" s="16"/>
    </row>
    <row r="149" spans="14:14" x14ac:dyDescent="0.25">
      <c r="N149" s="16"/>
    </row>
    <row r="150" spans="14:14" x14ac:dyDescent="0.25">
      <c r="N150" s="16"/>
    </row>
    <row r="151" spans="14:14" x14ac:dyDescent="0.25">
      <c r="N151" s="16"/>
    </row>
    <row r="152" spans="14:14" x14ac:dyDescent="0.25">
      <c r="N152" s="16"/>
    </row>
    <row r="153" spans="14:14" x14ac:dyDescent="0.25">
      <c r="N153" s="16"/>
    </row>
    <row r="154" spans="14:14" x14ac:dyDescent="0.25">
      <c r="N154" s="16"/>
    </row>
    <row r="155" spans="14:14" x14ac:dyDescent="0.25">
      <c r="N155" s="16"/>
    </row>
    <row r="156" spans="14:14" x14ac:dyDescent="0.25">
      <c r="N156" s="16"/>
    </row>
    <row r="157" spans="14:14" x14ac:dyDescent="0.25">
      <c r="N157" s="16"/>
    </row>
    <row r="158" spans="14:14" x14ac:dyDescent="0.25">
      <c r="N158" s="16"/>
    </row>
    <row r="159" spans="14:14" x14ac:dyDescent="0.25">
      <c r="N159" s="16"/>
    </row>
    <row r="160" spans="14:14" x14ac:dyDescent="0.25">
      <c r="N160" s="16"/>
    </row>
    <row r="161" spans="14:14" x14ac:dyDescent="0.25">
      <c r="N161" s="16"/>
    </row>
    <row r="162" spans="14:14" x14ac:dyDescent="0.25">
      <c r="N162" s="16"/>
    </row>
    <row r="163" spans="14:14" x14ac:dyDescent="0.25">
      <c r="N163" s="16"/>
    </row>
    <row r="164" spans="14:14" x14ac:dyDescent="0.25">
      <c r="N164" s="16"/>
    </row>
    <row r="165" spans="14:14" x14ac:dyDescent="0.25">
      <c r="N165" s="16"/>
    </row>
    <row r="166" spans="14:14" x14ac:dyDescent="0.25">
      <c r="N166" s="16"/>
    </row>
    <row r="167" spans="14:14" x14ac:dyDescent="0.25">
      <c r="N167" s="16"/>
    </row>
    <row r="168" spans="14:14" x14ac:dyDescent="0.25">
      <c r="N168" s="16"/>
    </row>
    <row r="169" spans="14:14" x14ac:dyDescent="0.25">
      <c r="N169" s="16"/>
    </row>
    <row r="170" spans="14:14" x14ac:dyDescent="0.25">
      <c r="N170" s="16"/>
    </row>
    <row r="171" spans="14:14" x14ac:dyDescent="0.25">
      <c r="N171" s="16"/>
    </row>
    <row r="172" spans="14:14" x14ac:dyDescent="0.25">
      <c r="N172" s="16"/>
    </row>
    <row r="173" spans="14:14" x14ac:dyDescent="0.25">
      <c r="N173" s="16"/>
    </row>
    <row r="174" spans="14:14" x14ac:dyDescent="0.25">
      <c r="N174" s="16"/>
    </row>
    <row r="175" spans="14:14" x14ac:dyDescent="0.25">
      <c r="N175" s="16"/>
    </row>
    <row r="176" spans="14:14" x14ac:dyDescent="0.25">
      <c r="N176" s="16"/>
    </row>
    <row r="177" spans="14:14" x14ac:dyDescent="0.25">
      <c r="N177" s="16"/>
    </row>
    <row r="178" spans="14:14" x14ac:dyDescent="0.25">
      <c r="N178" s="16"/>
    </row>
    <row r="179" spans="14:14" x14ac:dyDescent="0.25">
      <c r="N179" s="16"/>
    </row>
    <row r="180" spans="14:14" x14ac:dyDescent="0.25">
      <c r="N180" s="16"/>
    </row>
    <row r="181" spans="14:14" x14ac:dyDescent="0.25">
      <c r="N181" s="16"/>
    </row>
    <row r="182" spans="14:14" x14ac:dyDescent="0.25">
      <c r="N182" s="16"/>
    </row>
    <row r="183" spans="14:14" x14ac:dyDescent="0.25">
      <c r="N183" s="16"/>
    </row>
    <row r="184" spans="14:14" x14ac:dyDescent="0.25">
      <c r="N184" s="16"/>
    </row>
    <row r="185" spans="14:14" x14ac:dyDescent="0.25">
      <c r="N185" s="16"/>
    </row>
    <row r="186" spans="14:14" x14ac:dyDescent="0.25">
      <c r="N186" s="16"/>
    </row>
    <row r="187" spans="14:14" x14ac:dyDescent="0.25">
      <c r="N187" s="16"/>
    </row>
    <row r="188" spans="14:14" x14ac:dyDescent="0.25">
      <c r="N188" s="16"/>
    </row>
    <row r="189" spans="14:14" x14ac:dyDescent="0.25">
      <c r="N189" s="16"/>
    </row>
    <row r="190" spans="14:14" x14ac:dyDescent="0.25">
      <c r="N190" s="16"/>
    </row>
    <row r="191" spans="14:14" x14ac:dyDescent="0.25">
      <c r="N191" s="16"/>
    </row>
    <row r="192" spans="14:14" x14ac:dyDescent="0.25">
      <c r="N192" s="16"/>
    </row>
    <row r="193" spans="14:14" x14ac:dyDescent="0.25">
      <c r="N193" s="16"/>
    </row>
    <row r="194" spans="14:14" x14ac:dyDescent="0.25">
      <c r="N194" s="16"/>
    </row>
    <row r="195" spans="14:14" x14ac:dyDescent="0.25">
      <c r="N195" s="16"/>
    </row>
    <row r="196" spans="14:14" x14ac:dyDescent="0.25">
      <c r="N196" s="16"/>
    </row>
    <row r="197" spans="14:14" x14ac:dyDescent="0.25">
      <c r="N197" s="16"/>
    </row>
    <row r="198" spans="14:14" x14ac:dyDescent="0.25">
      <c r="N198" s="16"/>
    </row>
    <row r="199" spans="14:14" x14ac:dyDescent="0.25">
      <c r="N199" s="16"/>
    </row>
    <row r="200" spans="14:14" x14ac:dyDescent="0.25">
      <c r="N200" s="16"/>
    </row>
    <row r="201" spans="14:14" x14ac:dyDescent="0.25">
      <c r="N201" s="16"/>
    </row>
    <row r="202" spans="14:14" x14ac:dyDescent="0.25">
      <c r="N202" s="16"/>
    </row>
    <row r="203" spans="14:14" x14ac:dyDescent="0.25">
      <c r="N203" s="16"/>
    </row>
    <row r="204" spans="14:14" x14ac:dyDescent="0.25">
      <c r="N204" s="16"/>
    </row>
    <row r="205" spans="14:14" x14ac:dyDescent="0.25">
      <c r="N205" s="16"/>
    </row>
    <row r="206" spans="14:14" x14ac:dyDescent="0.25">
      <c r="N206" s="16"/>
    </row>
    <row r="207" spans="14:14" x14ac:dyDescent="0.25">
      <c r="N207" s="16"/>
    </row>
    <row r="208" spans="14:14" x14ac:dyDescent="0.25">
      <c r="N208" s="16"/>
    </row>
    <row r="209" spans="14:14" x14ac:dyDescent="0.25">
      <c r="N209" s="16"/>
    </row>
    <row r="210" spans="14:14" x14ac:dyDescent="0.25">
      <c r="N210" s="16"/>
    </row>
    <row r="211" spans="14:14" x14ac:dyDescent="0.25">
      <c r="N211" s="16"/>
    </row>
    <row r="212" spans="14:14" x14ac:dyDescent="0.25">
      <c r="N212" s="16"/>
    </row>
    <row r="213" spans="14:14" x14ac:dyDescent="0.25">
      <c r="N213" s="16"/>
    </row>
    <row r="214" spans="14:14" x14ac:dyDescent="0.25">
      <c r="N214" s="16"/>
    </row>
    <row r="215" spans="14:14" x14ac:dyDescent="0.25">
      <c r="N215" s="16"/>
    </row>
    <row r="216" spans="14:14" x14ac:dyDescent="0.25">
      <c r="N216" s="16"/>
    </row>
    <row r="217" spans="14:14" x14ac:dyDescent="0.25">
      <c r="N217" s="16"/>
    </row>
    <row r="218" spans="14:14" x14ac:dyDescent="0.25">
      <c r="N218" s="16"/>
    </row>
    <row r="219" spans="14:14" x14ac:dyDescent="0.25">
      <c r="N219" s="16"/>
    </row>
    <row r="220" spans="14:14" x14ac:dyDescent="0.25">
      <c r="N220" s="16"/>
    </row>
    <row r="221" spans="14:14" x14ac:dyDescent="0.25">
      <c r="N221" s="16"/>
    </row>
    <row r="222" spans="14:14" x14ac:dyDescent="0.25">
      <c r="N222" s="16"/>
    </row>
    <row r="223" spans="14:14" x14ac:dyDescent="0.25">
      <c r="N223" s="16"/>
    </row>
    <row r="224" spans="14:14" x14ac:dyDescent="0.25">
      <c r="N224" s="16"/>
    </row>
    <row r="225" spans="14:14" x14ac:dyDescent="0.25">
      <c r="N225" s="16"/>
    </row>
    <row r="226" spans="14:14" x14ac:dyDescent="0.25">
      <c r="N226" s="16"/>
    </row>
    <row r="227" spans="14:14" x14ac:dyDescent="0.25">
      <c r="N227" s="16"/>
    </row>
    <row r="228" spans="14:14" x14ac:dyDescent="0.25">
      <c r="N228" s="16"/>
    </row>
    <row r="229" spans="14:14" x14ac:dyDescent="0.25">
      <c r="N229" s="16"/>
    </row>
    <row r="230" spans="14:14" x14ac:dyDescent="0.25">
      <c r="N230" s="16"/>
    </row>
    <row r="231" spans="14:14" x14ac:dyDescent="0.25">
      <c r="N231" s="16"/>
    </row>
    <row r="232" spans="14:14" x14ac:dyDescent="0.25">
      <c r="N232" s="16"/>
    </row>
    <row r="233" spans="14:14" x14ac:dyDescent="0.25">
      <c r="N233" s="16"/>
    </row>
    <row r="234" spans="14:14" x14ac:dyDescent="0.25">
      <c r="N234" s="16"/>
    </row>
    <row r="235" spans="14:14" x14ac:dyDescent="0.25">
      <c r="N235" s="16"/>
    </row>
    <row r="236" spans="14:14" x14ac:dyDescent="0.25">
      <c r="N236" s="16"/>
    </row>
    <row r="237" spans="14:14" x14ac:dyDescent="0.25">
      <c r="N237" s="16"/>
    </row>
    <row r="238" spans="14:14" x14ac:dyDescent="0.25">
      <c r="N238" s="16"/>
    </row>
    <row r="239" spans="14:14" x14ac:dyDescent="0.25">
      <c r="N239" s="16"/>
    </row>
    <row r="240" spans="14:14" x14ac:dyDescent="0.25">
      <c r="N240" s="16"/>
    </row>
    <row r="241" spans="14:14" x14ac:dyDescent="0.25">
      <c r="N241" s="16"/>
    </row>
    <row r="242" spans="14:14" x14ac:dyDescent="0.25">
      <c r="N242" s="16"/>
    </row>
    <row r="243" spans="14:14" x14ac:dyDescent="0.25">
      <c r="N243" s="16"/>
    </row>
    <row r="244" spans="14:14" x14ac:dyDescent="0.25">
      <c r="N244" s="16"/>
    </row>
    <row r="245" spans="14:14" x14ac:dyDescent="0.25">
      <c r="N245" s="16"/>
    </row>
    <row r="246" spans="14:14" x14ac:dyDescent="0.25">
      <c r="N246" s="16"/>
    </row>
    <row r="247" spans="14:14" x14ac:dyDescent="0.25">
      <c r="N247" s="16"/>
    </row>
    <row r="248" spans="14:14" x14ac:dyDescent="0.25">
      <c r="N248" s="16"/>
    </row>
    <row r="249" spans="14:14" x14ac:dyDescent="0.25">
      <c r="N249" s="16"/>
    </row>
    <row r="250" spans="14:14" x14ac:dyDescent="0.25">
      <c r="N250" s="16"/>
    </row>
    <row r="251" spans="14:14" x14ac:dyDescent="0.25">
      <c r="N251" s="16"/>
    </row>
    <row r="252" spans="14:14" x14ac:dyDescent="0.25">
      <c r="N252" s="16"/>
    </row>
    <row r="253" spans="14:14" x14ac:dyDescent="0.25">
      <c r="N253" s="16"/>
    </row>
    <row r="254" spans="14:14" x14ac:dyDescent="0.25">
      <c r="N254" s="16"/>
    </row>
    <row r="255" spans="14:14" x14ac:dyDescent="0.25">
      <c r="N255" s="16"/>
    </row>
    <row r="256" spans="14:14" x14ac:dyDescent="0.25">
      <c r="N256" s="16"/>
    </row>
    <row r="257" spans="14:14" x14ac:dyDescent="0.25">
      <c r="N257" s="16"/>
    </row>
    <row r="258" spans="14:14" x14ac:dyDescent="0.25">
      <c r="N258" s="16"/>
    </row>
    <row r="259" spans="14:14" x14ac:dyDescent="0.25">
      <c r="N259" s="16"/>
    </row>
    <row r="260" spans="14:14" x14ac:dyDescent="0.25">
      <c r="N260" s="16"/>
    </row>
    <row r="261" spans="14:14" x14ac:dyDescent="0.25">
      <c r="N261" s="16"/>
    </row>
    <row r="262" spans="14:14" x14ac:dyDescent="0.25">
      <c r="N262" s="16"/>
    </row>
    <row r="263" spans="14:14" x14ac:dyDescent="0.25">
      <c r="N263" s="16"/>
    </row>
    <row r="264" spans="14:14" x14ac:dyDescent="0.25">
      <c r="N264" s="16"/>
    </row>
    <row r="265" spans="14:14" x14ac:dyDescent="0.25">
      <c r="N265" s="16"/>
    </row>
    <row r="266" spans="14:14" x14ac:dyDescent="0.25">
      <c r="N266" s="16"/>
    </row>
    <row r="267" spans="14:14" x14ac:dyDescent="0.25">
      <c r="N267" s="16"/>
    </row>
    <row r="268" spans="14:14" x14ac:dyDescent="0.25">
      <c r="N268" s="16"/>
    </row>
    <row r="269" spans="14:14" x14ac:dyDescent="0.25">
      <c r="N269" s="16"/>
    </row>
    <row r="270" spans="14:14" x14ac:dyDescent="0.25">
      <c r="N270" s="16"/>
    </row>
    <row r="271" spans="14:14" x14ac:dyDescent="0.25">
      <c r="N271" s="16"/>
    </row>
    <row r="272" spans="14:14" x14ac:dyDescent="0.25">
      <c r="N272" s="16"/>
    </row>
    <row r="273" spans="14:14" x14ac:dyDescent="0.25">
      <c r="N273" s="16"/>
    </row>
    <row r="274" spans="14:14" x14ac:dyDescent="0.25">
      <c r="N274" s="16"/>
    </row>
    <row r="275" spans="14:14" x14ac:dyDescent="0.25">
      <c r="N275" s="16"/>
    </row>
    <row r="276" spans="14:14" x14ac:dyDescent="0.25">
      <c r="N276" s="16"/>
    </row>
    <row r="277" spans="14:14" x14ac:dyDescent="0.25">
      <c r="N277" s="16"/>
    </row>
    <row r="278" spans="14:14" x14ac:dyDescent="0.25">
      <c r="N278" s="16"/>
    </row>
    <row r="279" spans="14:14" x14ac:dyDescent="0.25">
      <c r="N279" s="16"/>
    </row>
    <row r="280" spans="14:14" x14ac:dyDescent="0.25">
      <c r="N280" s="16"/>
    </row>
    <row r="281" spans="14:14" x14ac:dyDescent="0.25">
      <c r="N281" s="16"/>
    </row>
    <row r="282" spans="14:14" x14ac:dyDescent="0.25">
      <c r="N282" s="16"/>
    </row>
    <row r="283" spans="14:14" x14ac:dyDescent="0.25">
      <c r="N283" s="16"/>
    </row>
    <row r="284" spans="14:14" x14ac:dyDescent="0.25">
      <c r="N284" s="16"/>
    </row>
    <row r="285" spans="14:14" x14ac:dyDescent="0.25">
      <c r="N285" s="16"/>
    </row>
    <row r="286" spans="14:14" x14ac:dyDescent="0.25">
      <c r="N286" s="16"/>
    </row>
    <row r="287" spans="14:14" x14ac:dyDescent="0.25">
      <c r="N287" s="16"/>
    </row>
    <row r="288" spans="14:14" x14ac:dyDescent="0.25">
      <c r="N288" s="16"/>
    </row>
    <row r="289" spans="14:14" x14ac:dyDescent="0.25">
      <c r="N289" s="16"/>
    </row>
    <row r="290" spans="14:14" x14ac:dyDescent="0.25">
      <c r="N290" s="16"/>
    </row>
    <row r="291" spans="14:14" x14ac:dyDescent="0.25">
      <c r="N291" s="16"/>
    </row>
    <row r="292" spans="14:14" x14ac:dyDescent="0.25">
      <c r="N292" s="16"/>
    </row>
    <row r="293" spans="14:14" x14ac:dyDescent="0.25">
      <c r="N293" s="16"/>
    </row>
    <row r="294" spans="14:14" x14ac:dyDescent="0.25">
      <c r="N294" s="16"/>
    </row>
    <row r="295" spans="14:14" x14ac:dyDescent="0.25">
      <c r="N295" s="16"/>
    </row>
    <row r="296" spans="14:14" x14ac:dyDescent="0.25">
      <c r="N296" s="16"/>
    </row>
    <row r="297" spans="14:14" x14ac:dyDescent="0.25">
      <c r="N297" s="16"/>
    </row>
    <row r="298" spans="14:14" x14ac:dyDescent="0.25">
      <c r="N298" s="16"/>
    </row>
    <row r="299" spans="14:14" x14ac:dyDescent="0.25">
      <c r="N299" s="16"/>
    </row>
    <row r="300" spans="14:14" x14ac:dyDescent="0.25">
      <c r="N300" s="16"/>
    </row>
    <row r="301" spans="14:14" x14ac:dyDescent="0.25">
      <c r="N301" s="16"/>
    </row>
    <row r="302" spans="14:14" x14ac:dyDescent="0.25">
      <c r="N302" s="16"/>
    </row>
    <row r="303" spans="14:14" x14ac:dyDescent="0.25">
      <c r="N303" s="16"/>
    </row>
    <row r="304" spans="14:14" x14ac:dyDescent="0.25">
      <c r="N304" s="16"/>
    </row>
    <row r="305" spans="14:14" x14ac:dyDescent="0.25">
      <c r="N305" s="16"/>
    </row>
    <row r="306" spans="14:14" x14ac:dyDescent="0.25">
      <c r="N306" s="16"/>
    </row>
    <row r="307" spans="14:14" x14ac:dyDescent="0.25">
      <c r="N307" s="16"/>
    </row>
    <row r="308" spans="14:14" x14ac:dyDescent="0.25">
      <c r="N308" s="16"/>
    </row>
    <row r="309" spans="14:14" x14ac:dyDescent="0.25">
      <c r="N309" s="16"/>
    </row>
    <row r="310" spans="14:14" x14ac:dyDescent="0.25">
      <c r="N310" s="16"/>
    </row>
    <row r="311" spans="14:14" x14ac:dyDescent="0.25">
      <c r="N311" s="16"/>
    </row>
    <row r="312" spans="14:14" x14ac:dyDescent="0.25">
      <c r="N312" s="16"/>
    </row>
    <row r="313" spans="14:14" x14ac:dyDescent="0.25">
      <c r="N313" s="16"/>
    </row>
    <row r="314" spans="14:14" x14ac:dyDescent="0.25">
      <c r="N314" s="16"/>
    </row>
    <row r="315" spans="14:14" x14ac:dyDescent="0.25">
      <c r="N315" s="16"/>
    </row>
    <row r="316" spans="14:14" x14ac:dyDescent="0.25">
      <c r="N316" s="16"/>
    </row>
    <row r="317" spans="14:14" x14ac:dyDescent="0.25">
      <c r="N317" s="16"/>
    </row>
    <row r="318" spans="14:14" x14ac:dyDescent="0.25">
      <c r="N318" s="16"/>
    </row>
    <row r="319" spans="14:14" x14ac:dyDescent="0.25">
      <c r="N319" s="16"/>
    </row>
    <row r="320" spans="14:14" x14ac:dyDescent="0.25">
      <c r="N320" s="16"/>
    </row>
    <row r="321" spans="14:14" x14ac:dyDescent="0.25">
      <c r="N321" s="16"/>
    </row>
    <row r="322" spans="14:14" x14ac:dyDescent="0.25">
      <c r="N322" s="16"/>
    </row>
    <row r="323" spans="14:14" x14ac:dyDescent="0.25">
      <c r="N323" s="16"/>
    </row>
    <row r="324" spans="14:14" x14ac:dyDescent="0.25">
      <c r="N324" s="16"/>
    </row>
    <row r="325" spans="14:14" x14ac:dyDescent="0.25">
      <c r="N325" s="16"/>
    </row>
    <row r="326" spans="14:14" x14ac:dyDescent="0.25">
      <c r="N326" s="16"/>
    </row>
    <row r="327" spans="14:14" x14ac:dyDescent="0.25">
      <c r="N327" s="16"/>
    </row>
    <row r="328" spans="14:14" x14ac:dyDescent="0.25">
      <c r="N328" s="16"/>
    </row>
    <row r="329" spans="14:14" x14ac:dyDescent="0.25">
      <c r="N329" s="16"/>
    </row>
    <row r="330" spans="14:14" x14ac:dyDescent="0.25">
      <c r="N330" s="16"/>
    </row>
    <row r="331" spans="14:14" x14ac:dyDescent="0.25">
      <c r="N331" s="16"/>
    </row>
    <row r="332" spans="14:14" x14ac:dyDescent="0.25">
      <c r="N332" s="16"/>
    </row>
    <row r="333" spans="14:14" x14ac:dyDescent="0.25">
      <c r="N333" s="16"/>
    </row>
    <row r="334" spans="14:14" x14ac:dyDescent="0.25">
      <c r="N334" s="16"/>
    </row>
    <row r="335" spans="14:14" x14ac:dyDescent="0.25">
      <c r="N335" s="16"/>
    </row>
    <row r="336" spans="14:14" x14ac:dyDescent="0.25">
      <c r="N336" s="16"/>
    </row>
    <row r="337" spans="14:14" x14ac:dyDescent="0.25">
      <c r="N337" s="16"/>
    </row>
    <row r="338" spans="14:14" x14ac:dyDescent="0.25">
      <c r="N338" s="16"/>
    </row>
    <row r="339" spans="14:14" x14ac:dyDescent="0.25">
      <c r="N339" s="16"/>
    </row>
    <row r="340" spans="14:14" x14ac:dyDescent="0.25">
      <c r="N340" s="16"/>
    </row>
    <row r="341" spans="14:14" x14ac:dyDescent="0.25">
      <c r="N341" s="16"/>
    </row>
    <row r="342" spans="14:14" x14ac:dyDescent="0.25">
      <c r="N342" s="16"/>
    </row>
    <row r="343" spans="14:14" x14ac:dyDescent="0.25">
      <c r="N343" s="16"/>
    </row>
    <row r="344" spans="14:14" x14ac:dyDescent="0.25">
      <c r="N344" s="16"/>
    </row>
    <row r="345" spans="14:14" x14ac:dyDescent="0.25">
      <c r="N345" s="16"/>
    </row>
    <row r="346" spans="14:14" x14ac:dyDescent="0.25">
      <c r="N346" s="16"/>
    </row>
    <row r="347" spans="14:14" x14ac:dyDescent="0.25">
      <c r="N347" s="16"/>
    </row>
    <row r="348" spans="14:14" x14ac:dyDescent="0.25">
      <c r="N348" s="16"/>
    </row>
    <row r="349" spans="14:14" x14ac:dyDescent="0.25">
      <c r="N349" s="16"/>
    </row>
    <row r="350" spans="14:14" x14ac:dyDescent="0.25">
      <c r="N350" s="16"/>
    </row>
    <row r="351" spans="14:14" x14ac:dyDescent="0.25">
      <c r="N351" s="16"/>
    </row>
    <row r="352" spans="14:14" x14ac:dyDescent="0.25">
      <c r="N352" s="16"/>
    </row>
    <row r="353" spans="14:14" x14ac:dyDescent="0.25">
      <c r="N353" s="16"/>
    </row>
    <row r="354" spans="14:14" x14ac:dyDescent="0.25">
      <c r="N354" s="16"/>
    </row>
    <row r="355" spans="14:14" x14ac:dyDescent="0.25">
      <c r="N355" s="16"/>
    </row>
    <row r="356" spans="14:14" x14ac:dyDescent="0.25">
      <c r="N356" s="16"/>
    </row>
    <row r="357" spans="14:14" x14ac:dyDescent="0.25">
      <c r="N357" s="16"/>
    </row>
    <row r="358" spans="14:14" x14ac:dyDescent="0.25">
      <c r="N358" s="16"/>
    </row>
    <row r="359" spans="14:14" x14ac:dyDescent="0.25">
      <c r="N359" s="16"/>
    </row>
    <row r="360" spans="14:14" x14ac:dyDescent="0.25">
      <c r="N360" s="16"/>
    </row>
    <row r="361" spans="14:14" x14ac:dyDescent="0.25">
      <c r="N361" s="16"/>
    </row>
    <row r="362" spans="14:14" x14ac:dyDescent="0.25">
      <c r="N362" s="16"/>
    </row>
    <row r="363" spans="14:14" x14ac:dyDescent="0.25">
      <c r="N363" s="16"/>
    </row>
    <row r="364" spans="14:14" x14ac:dyDescent="0.25">
      <c r="N364" s="16"/>
    </row>
    <row r="365" spans="14:14" x14ac:dyDescent="0.25">
      <c r="N365" s="16"/>
    </row>
    <row r="366" spans="14:14" x14ac:dyDescent="0.25">
      <c r="N366" s="16"/>
    </row>
    <row r="367" spans="14:14" x14ac:dyDescent="0.25">
      <c r="N367" s="16"/>
    </row>
    <row r="368" spans="14:14" x14ac:dyDescent="0.25">
      <c r="N368" s="16"/>
    </row>
    <row r="369" spans="14:14" x14ac:dyDescent="0.25">
      <c r="N369" s="16"/>
    </row>
    <row r="370" spans="14:14" x14ac:dyDescent="0.25">
      <c r="N370" s="16"/>
    </row>
    <row r="371" spans="14:14" x14ac:dyDescent="0.25">
      <c r="N371" s="16"/>
    </row>
    <row r="372" spans="14:14" x14ac:dyDescent="0.25">
      <c r="N372" s="16"/>
    </row>
    <row r="373" spans="14:14" x14ac:dyDescent="0.25">
      <c r="N373" s="16"/>
    </row>
    <row r="374" spans="14:14" x14ac:dyDescent="0.25">
      <c r="N374" s="16"/>
    </row>
    <row r="375" spans="14:14" x14ac:dyDescent="0.25">
      <c r="N375" s="16"/>
    </row>
    <row r="376" spans="14:14" x14ac:dyDescent="0.25">
      <c r="N376" s="16"/>
    </row>
    <row r="377" spans="14:14" x14ac:dyDescent="0.25">
      <c r="N377" s="16"/>
    </row>
    <row r="378" spans="14:14" x14ac:dyDescent="0.25">
      <c r="N378" s="16"/>
    </row>
    <row r="379" spans="14:14" x14ac:dyDescent="0.25">
      <c r="N379" s="16"/>
    </row>
    <row r="380" spans="14:14" x14ac:dyDescent="0.25">
      <c r="N380" s="16"/>
    </row>
    <row r="381" spans="14:14" x14ac:dyDescent="0.25">
      <c r="N381" s="16"/>
    </row>
    <row r="382" spans="14:14" x14ac:dyDescent="0.25">
      <c r="N382" s="16"/>
    </row>
    <row r="383" spans="14:14" x14ac:dyDescent="0.25">
      <c r="N383" s="16"/>
    </row>
    <row r="384" spans="14:14" x14ac:dyDescent="0.25">
      <c r="N384" s="16"/>
    </row>
    <row r="385" spans="14:14" x14ac:dyDescent="0.25">
      <c r="N385" s="16"/>
    </row>
    <row r="386" spans="14:14" x14ac:dyDescent="0.25">
      <c r="N386" s="16"/>
    </row>
    <row r="387" spans="14:14" x14ac:dyDescent="0.25">
      <c r="N387" s="16"/>
    </row>
    <row r="388" spans="14:14" x14ac:dyDescent="0.25">
      <c r="N388" s="16"/>
    </row>
    <row r="389" spans="14:14" x14ac:dyDescent="0.25">
      <c r="N389" s="16"/>
    </row>
    <row r="390" spans="14:14" x14ac:dyDescent="0.25">
      <c r="N390" s="16"/>
    </row>
    <row r="391" spans="14:14" x14ac:dyDescent="0.25">
      <c r="N391" s="16"/>
    </row>
    <row r="392" spans="14:14" x14ac:dyDescent="0.25">
      <c r="N392" s="16"/>
    </row>
    <row r="393" spans="14:14" x14ac:dyDescent="0.25">
      <c r="N393" s="16"/>
    </row>
    <row r="394" spans="14:14" x14ac:dyDescent="0.25">
      <c r="N394" s="16"/>
    </row>
    <row r="395" spans="14:14" x14ac:dyDescent="0.25">
      <c r="N395" s="16"/>
    </row>
    <row r="396" spans="14:14" x14ac:dyDescent="0.25">
      <c r="N396" s="16"/>
    </row>
    <row r="397" spans="14:14" x14ac:dyDescent="0.25">
      <c r="N397" s="16"/>
    </row>
    <row r="398" spans="14:14" x14ac:dyDescent="0.25">
      <c r="N398" s="16"/>
    </row>
    <row r="399" spans="14:14" x14ac:dyDescent="0.25">
      <c r="N399" s="16"/>
    </row>
    <row r="400" spans="14:14" x14ac:dyDescent="0.25">
      <c r="N400" s="16"/>
    </row>
    <row r="401" spans="14:14" x14ac:dyDescent="0.25">
      <c r="N401" s="16"/>
    </row>
    <row r="402" spans="14:14" x14ac:dyDescent="0.25">
      <c r="N402" s="16"/>
    </row>
    <row r="403" spans="14:14" x14ac:dyDescent="0.25">
      <c r="N403" s="16"/>
    </row>
    <row r="404" spans="14:14" x14ac:dyDescent="0.25">
      <c r="N404" s="16"/>
    </row>
    <row r="405" spans="14:14" x14ac:dyDescent="0.25">
      <c r="N405" s="16"/>
    </row>
    <row r="406" spans="14:14" x14ac:dyDescent="0.25">
      <c r="N406" s="16"/>
    </row>
    <row r="407" spans="14:14" x14ac:dyDescent="0.25">
      <c r="N407" s="16"/>
    </row>
    <row r="408" spans="14:14" x14ac:dyDescent="0.25">
      <c r="N408" s="16"/>
    </row>
    <row r="409" spans="14:14" x14ac:dyDescent="0.25">
      <c r="N409" s="16"/>
    </row>
    <row r="410" spans="14:14" x14ac:dyDescent="0.25">
      <c r="N410" s="16"/>
    </row>
    <row r="411" spans="14:14" x14ac:dyDescent="0.25">
      <c r="N411" s="16"/>
    </row>
    <row r="412" spans="14:14" x14ac:dyDescent="0.25">
      <c r="N412" s="16"/>
    </row>
    <row r="413" spans="14:14" x14ac:dyDescent="0.25">
      <c r="N413" s="16"/>
    </row>
    <row r="414" spans="14:14" x14ac:dyDescent="0.25">
      <c r="N414" s="16"/>
    </row>
    <row r="415" spans="14:14" x14ac:dyDescent="0.25">
      <c r="N415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A44"/>
  <sheetViews>
    <sheetView zoomScaleNormal="100" zoomScaleSheetLayoutView="110" workbookViewId="0">
      <pane ySplit="1" topLeftCell="A11" activePane="bottomLeft" state="frozen"/>
      <selection pane="bottomLeft" activeCell="V12" sqref="V12"/>
    </sheetView>
  </sheetViews>
  <sheetFormatPr defaultColWidth="23" defaultRowHeight="15.6" x14ac:dyDescent="0.3"/>
  <cols>
    <col min="1" max="1" width="20.6640625" style="21" bestFit="1" customWidth="1"/>
    <col min="2" max="2" width="14.88671875" style="38" bestFit="1" customWidth="1"/>
    <col min="3" max="3" width="15.33203125" style="38" bestFit="1" customWidth="1"/>
    <col min="4" max="4" width="11.5546875" style="38" bestFit="1" customWidth="1"/>
    <col min="5" max="5" width="12.88671875" style="20" bestFit="1" customWidth="1"/>
    <col min="6" max="6" width="11.5546875" style="20" bestFit="1" customWidth="1"/>
    <col min="7" max="7" width="14.33203125" style="20" bestFit="1" customWidth="1"/>
    <col min="8" max="8" width="16.5546875" style="20" bestFit="1" customWidth="1"/>
    <col min="9" max="9" width="11.88671875" style="20" customWidth="1"/>
    <col min="10" max="10" width="11.5546875" style="20" customWidth="1"/>
    <col min="11" max="11" width="10.33203125" style="20" bestFit="1" customWidth="1"/>
    <col min="12" max="12" width="11.5546875" style="20" bestFit="1" customWidth="1"/>
    <col min="13" max="13" width="10.33203125" style="20" bestFit="1" customWidth="1"/>
    <col min="14" max="17" width="11.5546875" style="20" bestFit="1" customWidth="1"/>
    <col min="18" max="18" width="12.88671875" style="20" bestFit="1" customWidth="1"/>
    <col min="19" max="19" width="9" style="20" bestFit="1" customWidth="1"/>
    <col min="20" max="20" width="4.6640625" style="20" bestFit="1" customWidth="1"/>
    <col min="21" max="21" width="10.33203125" style="20" bestFit="1" customWidth="1"/>
    <col min="22" max="22" width="11.5546875" style="20" bestFit="1" customWidth="1"/>
    <col min="23" max="23" width="10.33203125" style="20" bestFit="1" customWidth="1"/>
    <col min="24" max="24" width="10.6640625" style="20" bestFit="1" customWidth="1"/>
    <col min="25" max="25" width="11.88671875" style="140" customWidth="1"/>
    <col min="26" max="26" width="27.109375" style="22" bestFit="1" customWidth="1"/>
    <col min="27" max="27" width="26.88671875" style="22" bestFit="1" customWidth="1"/>
    <col min="28" max="16384" width="23" style="20"/>
  </cols>
  <sheetData>
    <row r="1" spans="1:27" ht="16.2" thickBot="1" x14ac:dyDescent="0.35">
      <c r="A1" s="6" t="s">
        <v>0</v>
      </c>
      <c r="B1" s="36" t="s">
        <v>54</v>
      </c>
      <c r="C1" s="39" t="s">
        <v>63</v>
      </c>
      <c r="D1" s="126" t="s">
        <v>16</v>
      </c>
      <c r="E1" s="3" t="s">
        <v>30</v>
      </c>
      <c r="F1" s="126" t="s">
        <v>25</v>
      </c>
      <c r="G1" s="3" t="s">
        <v>31</v>
      </c>
      <c r="H1" s="126" t="s">
        <v>25</v>
      </c>
      <c r="I1" s="3" t="s">
        <v>23</v>
      </c>
      <c r="J1" s="3" t="s">
        <v>32</v>
      </c>
      <c r="K1" s="126" t="s">
        <v>25</v>
      </c>
      <c r="L1" s="3" t="s">
        <v>33</v>
      </c>
      <c r="M1" s="126" t="s">
        <v>25</v>
      </c>
      <c r="N1" s="3" t="s">
        <v>34</v>
      </c>
      <c r="O1" s="126" t="s">
        <v>25</v>
      </c>
      <c r="P1" s="3" t="s">
        <v>35</v>
      </c>
      <c r="Q1" s="126" t="s">
        <v>25</v>
      </c>
      <c r="R1" s="3" t="s">
        <v>36</v>
      </c>
      <c r="S1" s="126" t="s">
        <v>25</v>
      </c>
      <c r="T1" s="3" t="s">
        <v>37</v>
      </c>
      <c r="U1" s="126" t="s">
        <v>25</v>
      </c>
      <c r="V1" s="3" t="s">
        <v>38</v>
      </c>
      <c r="W1" s="126" t="s">
        <v>25</v>
      </c>
      <c r="X1" s="3" t="s">
        <v>23</v>
      </c>
      <c r="Y1" s="123" t="s">
        <v>39</v>
      </c>
      <c r="Z1" s="3" t="s">
        <v>40</v>
      </c>
      <c r="AA1" s="3" t="s">
        <v>41</v>
      </c>
    </row>
    <row r="2" spans="1:27" ht="16.2" thickBot="1" x14ac:dyDescent="0.35">
      <c r="A2" s="8">
        <v>44773</v>
      </c>
      <c r="B2" s="36">
        <v>170</v>
      </c>
      <c r="C2" s="122">
        <v>19927</v>
      </c>
      <c r="D2" s="36"/>
      <c r="E2" s="123">
        <v>32445770</v>
      </c>
      <c r="F2" s="36"/>
      <c r="G2" s="124">
        <v>2929341</v>
      </c>
      <c r="H2" s="36"/>
      <c r="I2" s="125">
        <f t="shared" ref="I2" si="0">F2+H2</f>
        <v>0</v>
      </c>
      <c r="J2" s="123">
        <v>245034</v>
      </c>
      <c r="K2" s="112"/>
      <c r="L2" s="123">
        <v>497687</v>
      </c>
      <c r="M2" s="36"/>
      <c r="N2" s="123">
        <v>7113857</v>
      </c>
      <c r="O2" s="36"/>
      <c r="P2" s="123">
        <v>7467951</v>
      </c>
      <c r="Q2" s="36"/>
      <c r="R2" s="123">
        <v>21870756</v>
      </c>
      <c r="S2" s="36"/>
      <c r="T2" s="123">
        <v>0</v>
      </c>
      <c r="U2" s="126"/>
      <c r="V2" s="123">
        <v>9866667</v>
      </c>
      <c r="W2" s="36"/>
      <c r="X2" s="18">
        <f t="shared" ref="X2" si="1">K2+M2+O2+Q2+S2+U2+W2</f>
        <v>0</v>
      </c>
      <c r="Y2" s="142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2" thickBot="1" x14ac:dyDescent="0.35">
      <c r="A3" s="8">
        <v>44774</v>
      </c>
      <c r="B3" s="36"/>
      <c r="C3" s="122">
        <v>19933</v>
      </c>
      <c r="D3" s="36">
        <f>IF((C3-C2)&lt;0,"0",(C3-C2))*160</f>
        <v>960</v>
      </c>
      <c r="E3" s="123">
        <v>32473240</v>
      </c>
      <c r="F3" s="36">
        <f>IF((E3-E2)&lt;0,"0",(E3-E2))</f>
        <v>27470</v>
      </c>
      <c r="G3" s="124">
        <v>2989242</v>
      </c>
      <c r="H3" s="36">
        <f>IF((G3-G2)&lt;0,"0",(G3-G2))</f>
        <v>59901</v>
      </c>
      <c r="I3" s="18">
        <f>F3+H3</f>
        <v>87371</v>
      </c>
      <c r="J3" s="123">
        <v>252021</v>
      </c>
      <c r="K3" s="36">
        <f>(IF((J3-J2)&lt;L90,"0",(J3-J2)))*2</f>
        <v>13974</v>
      </c>
      <c r="L3" s="123">
        <v>505000</v>
      </c>
      <c r="M3" s="36">
        <f>IF((L3-L2)&lt;0,"0",(L3-L2))</f>
        <v>7313</v>
      </c>
      <c r="N3" s="123">
        <v>7123859</v>
      </c>
      <c r="O3" s="36">
        <f>(IF((N3-N2)&lt;P90,"0",(N3-N2)))*2</f>
        <v>20004</v>
      </c>
      <c r="P3" s="123">
        <v>7483440</v>
      </c>
      <c r="Q3" s="36">
        <f>IF((P3-P2)&lt;0,"0",(P3-P2))</f>
        <v>15489</v>
      </c>
      <c r="R3" s="123">
        <v>21882242</v>
      </c>
      <c r="S3" s="36">
        <f>IF((R3-R2)&lt;0,"0",(R3-R2))</f>
        <v>11486</v>
      </c>
      <c r="T3" s="123">
        <v>0</v>
      </c>
      <c r="U3" s="126"/>
      <c r="V3" s="123">
        <v>9879425</v>
      </c>
      <c r="W3" s="36">
        <f>IF((V3-V2)&lt;0,"0",(V3-V2))</f>
        <v>12758</v>
      </c>
      <c r="X3" s="18">
        <f>K3+M3+O3+Q3+S3+U3+W3</f>
        <v>81024</v>
      </c>
      <c r="Y3" s="142">
        <f>I3-X3</f>
        <v>6347</v>
      </c>
      <c r="Z3" s="3">
        <f>(0.93352*(W3+S3)+0.5568*(Q3+O3))*0.26</f>
        <v>11022.6379328</v>
      </c>
      <c r="AA3" s="3">
        <f>SUM(Z1:Z3)</f>
        <v>11022.6379328</v>
      </c>
    </row>
    <row r="4" spans="1:27" ht="16.2" thickBot="1" x14ac:dyDescent="0.35">
      <c r="A4" s="8">
        <v>44775</v>
      </c>
      <c r="B4" s="36">
        <v>195</v>
      </c>
      <c r="C4" s="122">
        <v>19937</v>
      </c>
      <c r="D4" s="36">
        <f t="shared" ref="D4:D29" si="4">IF((C4-C3)&lt;0,"0",(C4-C3))*160</f>
        <v>640</v>
      </c>
      <c r="E4" s="123">
        <v>32493929</v>
      </c>
      <c r="F4" s="36">
        <f t="shared" ref="F4:F29" si="5">IF((E4-E3)&lt;0,"0",(E4-E3))</f>
        <v>20689</v>
      </c>
      <c r="G4" s="124">
        <v>3036299</v>
      </c>
      <c r="H4" s="36">
        <f t="shared" ref="H4:H33" si="6">IF((G4-G3)&lt;0,"0",(G4-G3))</f>
        <v>47057</v>
      </c>
      <c r="I4" s="125">
        <f t="shared" ref="I4:I30" si="7">F4+H4</f>
        <v>67746</v>
      </c>
      <c r="J4" s="123">
        <v>256996</v>
      </c>
      <c r="K4" s="36">
        <f>(IF((J4-J3)&lt;L92,"0",(J4-J3)))*2</f>
        <v>9950</v>
      </c>
      <c r="L4" s="123">
        <v>510657</v>
      </c>
      <c r="M4" s="36">
        <f t="shared" ref="M4:M29" si="8">IF((L4-L3)&lt;0,"0",(L4-L3))</f>
        <v>5657</v>
      </c>
      <c r="N4" s="123">
        <v>7131275</v>
      </c>
      <c r="O4" s="36">
        <f>(IF((N4-N3)&lt;P92,"0",(N4-N3)))*2</f>
        <v>14832</v>
      </c>
      <c r="P4" s="123">
        <v>7495300</v>
      </c>
      <c r="Q4" s="36">
        <f t="shared" ref="Q4:Q29" si="9">IF((P4-P3)&lt;0,"0",(P4-P3))</f>
        <v>11860</v>
      </c>
      <c r="R4" s="123">
        <v>21891060</v>
      </c>
      <c r="S4" s="36">
        <f t="shared" ref="S4:S29" si="10">IF((R4-R3)&lt;0,"0",(R4-R3))</f>
        <v>8818</v>
      </c>
      <c r="T4" s="123">
        <v>0</v>
      </c>
      <c r="U4" s="126"/>
      <c r="V4" s="123">
        <v>9889610</v>
      </c>
      <c r="W4" s="36">
        <f t="shared" ref="W4:W29" si="11">IF((V4-V3)&lt;0,"0",(V4-V3))</f>
        <v>10185</v>
      </c>
      <c r="X4" s="18">
        <f t="shared" ref="X4:X30" si="12">K4+M4+O4+Q4+S4+U4+W4</f>
        <v>61302</v>
      </c>
      <c r="Y4" s="142">
        <f t="shared" ref="Y4:Y30" si="13">I4-X4</f>
        <v>6444</v>
      </c>
      <c r="Z4" s="3">
        <f t="shared" ref="Z4:Z30" si="14">(0.93352*(W4+S4)+0.5568*(Q4+O4))*0.26</f>
        <v>8476.4644016000002</v>
      </c>
      <c r="AA4" s="3">
        <f>SUM(Z1:Z4)</f>
        <v>19499.102334399999</v>
      </c>
    </row>
    <row r="5" spans="1:27" ht="16.2" thickBot="1" x14ac:dyDescent="0.35">
      <c r="A5" s="8">
        <v>44776</v>
      </c>
      <c r="B5" s="36">
        <v>180</v>
      </c>
      <c r="C5" s="122">
        <v>19941</v>
      </c>
      <c r="D5" s="36">
        <f t="shared" si="4"/>
        <v>640</v>
      </c>
      <c r="E5" s="123">
        <v>32518366</v>
      </c>
      <c r="F5" s="36">
        <f t="shared" si="5"/>
        <v>24437</v>
      </c>
      <c r="G5" s="124">
        <v>3092596</v>
      </c>
      <c r="H5" s="36">
        <f t="shared" si="6"/>
        <v>56297</v>
      </c>
      <c r="I5" s="125">
        <f t="shared" si="7"/>
        <v>80734</v>
      </c>
      <c r="J5" s="123">
        <v>262785</v>
      </c>
      <c r="K5" s="36">
        <f t="shared" ref="K5:K33" si="15">(IF((J5-J4)&lt;0,"0",(J5-J4)))*2</f>
        <v>11578</v>
      </c>
      <c r="L5" s="123">
        <v>517507</v>
      </c>
      <c r="M5" s="36">
        <f t="shared" si="8"/>
        <v>6850</v>
      </c>
      <c r="N5" s="123">
        <v>7139966</v>
      </c>
      <c r="O5" s="36">
        <f t="shared" ref="O5:O29" si="16">(IF((N5-N4)&lt;0,"0",(N5-N4)))*2</f>
        <v>17382</v>
      </c>
      <c r="P5" s="123">
        <v>7509276</v>
      </c>
      <c r="Q5" s="36">
        <f t="shared" si="9"/>
        <v>13976</v>
      </c>
      <c r="R5" s="123">
        <v>21901711</v>
      </c>
      <c r="S5" s="36">
        <f t="shared" si="10"/>
        <v>10651</v>
      </c>
      <c r="T5" s="123">
        <v>0</v>
      </c>
      <c r="U5" s="126"/>
      <c r="V5" s="123">
        <v>9901936</v>
      </c>
      <c r="W5" s="36">
        <f t="shared" si="11"/>
        <v>12326</v>
      </c>
      <c r="X5" s="18">
        <f t="shared" si="12"/>
        <v>72763</v>
      </c>
      <c r="Y5" s="142">
        <f t="shared" si="13"/>
        <v>7971</v>
      </c>
      <c r="Z5" s="3">
        <f t="shared" si="14"/>
        <v>10116.502094399999</v>
      </c>
      <c r="AA5" s="3">
        <f>SUM(Z1:Z5)</f>
        <v>29615.604428799998</v>
      </c>
    </row>
    <row r="6" spans="1:27" ht="16.2" thickBot="1" x14ac:dyDescent="0.35">
      <c r="A6" s="8">
        <v>44777</v>
      </c>
      <c r="B6" s="36">
        <v>201</v>
      </c>
      <c r="C6" s="122">
        <v>19945</v>
      </c>
      <c r="D6" s="36">
        <f t="shared" si="4"/>
        <v>640</v>
      </c>
      <c r="E6" s="123">
        <v>32547393</v>
      </c>
      <c r="F6" s="36">
        <f t="shared" si="5"/>
        <v>29027</v>
      </c>
      <c r="G6" s="124">
        <v>3158751</v>
      </c>
      <c r="H6" s="36">
        <f t="shared" si="6"/>
        <v>66155</v>
      </c>
      <c r="I6" s="125">
        <f t="shared" si="7"/>
        <v>95182</v>
      </c>
      <c r="J6" s="123">
        <v>269486</v>
      </c>
      <c r="K6" s="36">
        <f t="shared" si="15"/>
        <v>13402</v>
      </c>
      <c r="L6" s="123">
        <v>525583</v>
      </c>
      <c r="M6" s="36">
        <f t="shared" si="8"/>
        <v>8076</v>
      </c>
      <c r="N6" s="123">
        <v>7150327</v>
      </c>
      <c r="O6" s="36">
        <f t="shared" si="16"/>
        <v>20722</v>
      </c>
      <c r="P6" s="123">
        <v>7525549</v>
      </c>
      <c r="Q6" s="36">
        <f t="shared" si="9"/>
        <v>16273</v>
      </c>
      <c r="R6" s="123">
        <v>21914586</v>
      </c>
      <c r="S6" s="36">
        <f t="shared" si="10"/>
        <v>12875</v>
      </c>
      <c r="T6" s="123">
        <v>0</v>
      </c>
      <c r="U6" s="126"/>
      <c r="V6" s="123">
        <v>9916381</v>
      </c>
      <c r="W6" s="36">
        <f t="shared" si="11"/>
        <v>14445</v>
      </c>
      <c r="X6" s="18">
        <f t="shared" si="12"/>
        <v>85793</v>
      </c>
      <c r="Y6" s="142">
        <f t="shared" si="13"/>
        <v>9389</v>
      </c>
      <c r="Z6" s="3">
        <f t="shared" si="14"/>
        <v>11986.671424</v>
      </c>
      <c r="AA6" s="3">
        <f>SUM(Z1:Z6)</f>
        <v>41602.275852799998</v>
      </c>
    </row>
    <row r="7" spans="1:27" ht="16.2" thickBot="1" x14ac:dyDescent="0.35">
      <c r="A7" s="8">
        <v>44778</v>
      </c>
      <c r="B7" s="36">
        <v>198</v>
      </c>
      <c r="C7" s="122">
        <v>19949</v>
      </c>
      <c r="D7" s="36">
        <f t="shared" si="4"/>
        <v>640</v>
      </c>
      <c r="E7" s="123">
        <v>32573083</v>
      </c>
      <c r="F7" s="36">
        <f t="shared" si="5"/>
        <v>25690</v>
      </c>
      <c r="G7" s="124">
        <v>3217926</v>
      </c>
      <c r="H7" s="36">
        <f t="shared" si="6"/>
        <v>59175</v>
      </c>
      <c r="I7" s="125">
        <f t="shared" si="7"/>
        <v>84865</v>
      </c>
      <c r="J7" s="123">
        <v>274900</v>
      </c>
      <c r="K7" s="36">
        <f t="shared" si="15"/>
        <v>10828</v>
      </c>
      <c r="L7" s="123">
        <v>532349</v>
      </c>
      <c r="M7" s="36">
        <f t="shared" si="8"/>
        <v>6766</v>
      </c>
      <c r="N7" s="123">
        <v>7156566</v>
      </c>
      <c r="O7" s="36">
        <f t="shared" si="16"/>
        <v>12478</v>
      </c>
      <c r="P7" s="123">
        <v>7540180</v>
      </c>
      <c r="Q7" s="36">
        <f t="shared" si="9"/>
        <v>14631</v>
      </c>
      <c r="R7" s="123">
        <v>21926383</v>
      </c>
      <c r="S7" s="36">
        <f t="shared" si="10"/>
        <v>11797</v>
      </c>
      <c r="T7" s="123">
        <v>0</v>
      </c>
      <c r="U7" s="126"/>
      <c r="V7" s="123">
        <v>9929420</v>
      </c>
      <c r="W7" s="36">
        <f t="shared" si="11"/>
        <v>13039</v>
      </c>
      <c r="X7" s="18">
        <f t="shared" si="12"/>
        <v>69539</v>
      </c>
      <c r="Y7" s="142">
        <f t="shared" si="13"/>
        <v>15326</v>
      </c>
      <c r="Z7" s="3">
        <f t="shared" si="14"/>
        <v>9952.5904192000016</v>
      </c>
      <c r="AA7" s="3">
        <f>SUM(Z1:Z7)</f>
        <v>51554.866271999999</v>
      </c>
    </row>
    <row r="8" spans="1:27" ht="16.2" thickBot="1" x14ac:dyDescent="0.35">
      <c r="A8" s="8">
        <v>44779</v>
      </c>
      <c r="B8" s="36">
        <v>195</v>
      </c>
      <c r="C8" s="122">
        <v>19954</v>
      </c>
      <c r="D8" s="36">
        <f t="shared" si="4"/>
        <v>800</v>
      </c>
      <c r="E8" s="123">
        <v>32591255</v>
      </c>
      <c r="F8" s="36">
        <f t="shared" si="5"/>
        <v>18172</v>
      </c>
      <c r="G8" s="124">
        <v>3259359</v>
      </c>
      <c r="H8" s="36">
        <f t="shared" si="6"/>
        <v>41433</v>
      </c>
      <c r="I8" s="125">
        <f t="shared" si="7"/>
        <v>59605</v>
      </c>
      <c r="J8" s="123">
        <v>278791</v>
      </c>
      <c r="K8" s="36">
        <f t="shared" si="15"/>
        <v>7782</v>
      </c>
      <c r="L8" s="123">
        <v>537252</v>
      </c>
      <c r="M8" s="36">
        <f t="shared" si="8"/>
        <v>4903</v>
      </c>
      <c r="N8" s="123">
        <v>7166222</v>
      </c>
      <c r="O8" s="36">
        <f t="shared" si="16"/>
        <v>19312</v>
      </c>
      <c r="P8" s="123">
        <v>7550526</v>
      </c>
      <c r="Q8" s="36">
        <f t="shared" si="9"/>
        <v>10346</v>
      </c>
      <c r="R8" s="123">
        <v>21934364</v>
      </c>
      <c r="S8" s="36">
        <f t="shared" si="10"/>
        <v>7981</v>
      </c>
      <c r="T8" s="123">
        <v>0</v>
      </c>
      <c r="U8" s="126"/>
      <c r="V8" s="123">
        <v>9938584</v>
      </c>
      <c r="W8" s="36">
        <f t="shared" si="11"/>
        <v>9164</v>
      </c>
      <c r="X8" s="18">
        <f t="shared" si="12"/>
        <v>59488</v>
      </c>
      <c r="Y8" s="142">
        <f t="shared" si="13"/>
        <v>117</v>
      </c>
      <c r="Z8" s="3">
        <f t="shared" si="14"/>
        <v>8454.8814480000001</v>
      </c>
      <c r="AA8" s="3">
        <f>SUM(Z1:Z8)</f>
        <v>60009.747719999999</v>
      </c>
    </row>
    <row r="9" spans="1:27" ht="16.2" thickBot="1" x14ac:dyDescent="0.35">
      <c r="A9" s="8">
        <v>44780</v>
      </c>
      <c r="B9" s="36">
        <v>185</v>
      </c>
      <c r="C9" s="122">
        <v>19958</v>
      </c>
      <c r="D9" s="36">
        <f t="shared" si="4"/>
        <v>640</v>
      </c>
      <c r="E9" s="123">
        <v>32617775</v>
      </c>
      <c r="F9" s="36">
        <f t="shared" si="5"/>
        <v>26520</v>
      </c>
      <c r="G9" s="124">
        <v>3319471</v>
      </c>
      <c r="H9" s="36">
        <f t="shared" si="6"/>
        <v>60112</v>
      </c>
      <c r="I9" s="125">
        <f t="shared" si="7"/>
        <v>86632</v>
      </c>
      <c r="J9" s="123">
        <v>284702</v>
      </c>
      <c r="K9" s="36">
        <f t="shared" si="15"/>
        <v>11822</v>
      </c>
      <c r="L9" s="123">
        <v>544460</v>
      </c>
      <c r="M9" s="36">
        <f t="shared" si="8"/>
        <v>7208</v>
      </c>
      <c r="N9" s="123">
        <v>7175764</v>
      </c>
      <c r="O9" s="36">
        <f t="shared" si="16"/>
        <v>19084</v>
      </c>
      <c r="P9" s="123">
        <v>7565534</v>
      </c>
      <c r="Q9" s="36">
        <f t="shared" si="9"/>
        <v>15008</v>
      </c>
      <c r="R9" s="123">
        <v>21945860</v>
      </c>
      <c r="S9" s="36">
        <f t="shared" si="10"/>
        <v>11496</v>
      </c>
      <c r="T9" s="123">
        <v>0</v>
      </c>
      <c r="U9" s="126"/>
      <c r="V9" s="123">
        <v>9951809</v>
      </c>
      <c r="W9" s="36">
        <f t="shared" si="11"/>
        <v>13225</v>
      </c>
      <c r="X9" s="18">
        <f t="shared" si="12"/>
        <v>77843</v>
      </c>
      <c r="Y9" s="142">
        <f t="shared" si="13"/>
        <v>8789</v>
      </c>
      <c r="Z9" s="3">
        <f t="shared" si="14"/>
        <v>10935.593115199999</v>
      </c>
      <c r="AA9" s="3">
        <f>SUM(Z1:Z9)</f>
        <v>70945.340835199997</v>
      </c>
    </row>
    <row r="10" spans="1:27" ht="16.2" thickBot="1" x14ac:dyDescent="0.35">
      <c r="A10" s="8">
        <v>44781</v>
      </c>
      <c r="B10" s="36">
        <v>245</v>
      </c>
      <c r="C10" s="122">
        <v>19963</v>
      </c>
      <c r="D10" s="36">
        <f>IF((C10-C9)&lt;0,"0",(C10-C9))*160</f>
        <v>800</v>
      </c>
      <c r="E10" s="123">
        <v>32644982</v>
      </c>
      <c r="F10" s="36">
        <f t="shared" si="5"/>
        <v>27207</v>
      </c>
      <c r="G10" s="124">
        <v>3382350</v>
      </c>
      <c r="H10" s="36">
        <f t="shared" si="6"/>
        <v>62879</v>
      </c>
      <c r="I10" s="125">
        <f t="shared" si="7"/>
        <v>90086</v>
      </c>
      <c r="J10" s="123">
        <v>291069</v>
      </c>
      <c r="K10" s="36">
        <f t="shared" si="15"/>
        <v>12734</v>
      </c>
      <c r="L10" s="123">
        <v>551790</v>
      </c>
      <c r="M10" s="36">
        <f t="shared" si="8"/>
        <v>7330</v>
      </c>
      <c r="N10" s="123">
        <v>7185599</v>
      </c>
      <c r="O10" s="36">
        <f t="shared" si="16"/>
        <v>19670</v>
      </c>
      <c r="P10" s="123">
        <v>7581065</v>
      </c>
      <c r="Q10" s="36">
        <f t="shared" si="9"/>
        <v>15531</v>
      </c>
      <c r="R10" s="123">
        <v>21957925</v>
      </c>
      <c r="S10" s="36">
        <f t="shared" si="10"/>
        <v>12065</v>
      </c>
      <c r="T10" s="123">
        <v>0</v>
      </c>
      <c r="U10" s="126"/>
      <c r="V10" s="123">
        <v>9965588</v>
      </c>
      <c r="W10" s="36">
        <f t="shared" si="11"/>
        <v>13779</v>
      </c>
      <c r="X10" s="18">
        <f t="shared" si="12"/>
        <v>81109</v>
      </c>
      <c r="Y10" s="142">
        <f t="shared" si="13"/>
        <v>8977</v>
      </c>
      <c r="Z10" s="3">
        <f t="shared" si="14"/>
        <v>11368.7099968</v>
      </c>
      <c r="AA10" s="3">
        <f>SUM(Z1:Z10)</f>
        <v>82314.050831999994</v>
      </c>
    </row>
    <row r="11" spans="1:27" ht="15.75" customHeight="1" thickBot="1" x14ac:dyDescent="0.35">
      <c r="A11" s="8">
        <v>44782</v>
      </c>
      <c r="B11" s="36">
        <v>203</v>
      </c>
      <c r="C11" s="122">
        <v>19967</v>
      </c>
      <c r="D11" s="36">
        <f>IF((C11-C10)&lt;0,"0",(C11-C10))*160</f>
        <v>640</v>
      </c>
      <c r="E11" s="123">
        <v>32666930</v>
      </c>
      <c r="F11" s="36">
        <f t="shared" si="5"/>
        <v>21948</v>
      </c>
      <c r="G11" s="124">
        <v>3431124</v>
      </c>
      <c r="H11" s="36">
        <f t="shared" si="6"/>
        <v>48774</v>
      </c>
      <c r="I11" s="125">
        <f t="shared" si="7"/>
        <v>70722</v>
      </c>
      <c r="J11" s="123">
        <v>296210</v>
      </c>
      <c r="K11" s="36">
        <f t="shared" si="15"/>
        <v>10282</v>
      </c>
      <c r="L11" s="123">
        <v>557662</v>
      </c>
      <c r="M11" s="36">
        <f t="shared" si="8"/>
        <v>5872</v>
      </c>
      <c r="N11" s="123">
        <v>7193534</v>
      </c>
      <c r="O11" s="36">
        <f t="shared" si="16"/>
        <v>15870</v>
      </c>
      <c r="P11" s="123">
        <v>7593564</v>
      </c>
      <c r="Q11" s="36">
        <f t="shared" si="9"/>
        <v>12499</v>
      </c>
      <c r="R11" s="123">
        <v>21967431</v>
      </c>
      <c r="S11" s="36">
        <f t="shared" si="10"/>
        <v>9506</v>
      </c>
      <c r="T11" s="123">
        <v>0</v>
      </c>
      <c r="U11" s="126"/>
      <c r="V11" s="123">
        <v>9975887</v>
      </c>
      <c r="W11" s="36">
        <f t="shared" si="11"/>
        <v>10299</v>
      </c>
      <c r="X11" s="18">
        <f t="shared" si="12"/>
        <v>64328</v>
      </c>
      <c r="Y11" s="142">
        <f t="shared" si="13"/>
        <v>6394</v>
      </c>
      <c r="Z11" s="3">
        <f t="shared" si="14"/>
        <v>8913.8979280000003</v>
      </c>
      <c r="AA11" s="3">
        <f>SUM(Z1:Z11)</f>
        <v>91227.948759999999</v>
      </c>
    </row>
    <row r="12" spans="1:27" ht="16.2" thickBot="1" x14ac:dyDescent="0.35">
      <c r="A12" s="8">
        <v>44783</v>
      </c>
      <c r="B12" s="36">
        <v>234</v>
      </c>
      <c r="C12" s="122">
        <v>19972</v>
      </c>
      <c r="D12" s="36">
        <f>IF((C12-C11)&lt;0,"0",(C12-C11))*160</f>
        <v>800</v>
      </c>
      <c r="E12" s="123">
        <v>32688526</v>
      </c>
      <c r="F12" s="36">
        <f t="shared" si="5"/>
        <v>21596</v>
      </c>
      <c r="G12" s="124">
        <v>3479153</v>
      </c>
      <c r="H12" s="36">
        <f t="shared" si="6"/>
        <v>48029</v>
      </c>
      <c r="I12" s="125">
        <f t="shared" si="7"/>
        <v>69625</v>
      </c>
      <c r="J12" s="123">
        <v>301254</v>
      </c>
      <c r="K12" s="36">
        <f t="shared" si="15"/>
        <v>10088</v>
      </c>
      <c r="L12" s="123">
        <v>563233</v>
      </c>
      <c r="M12" s="36">
        <f t="shared" si="8"/>
        <v>5571</v>
      </c>
      <c r="N12" s="123">
        <v>7201458</v>
      </c>
      <c r="O12" s="36">
        <f t="shared" si="16"/>
        <v>15848</v>
      </c>
      <c r="P12" s="123">
        <v>7605914</v>
      </c>
      <c r="Q12" s="36">
        <f t="shared" si="9"/>
        <v>12350</v>
      </c>
      <c r="R12" s="123">
        <v>21976700</v>
      </c>
      <c r="S12" s="36">
        <f t="shared" si="10"/>
        <v>9269</v>
      </c>
      <c r="T12" s="123">
        <v>0</v>
      </c>
      <c r="U12" s="126"/>
      <c r="V12" s="123">
        <v>9986072</v>
      </c>
      <c r="W12" s="36">
        <f t="shared" si="11"/>
        <v>10185</v>
      </c>
      <c r="X12" s="18">
        <f t="shared" si="12"/>
        <v>63311</v>
      </c>
      <c r="Y12" s="142">
        <f t="shared" si="13"/>
        <v>6314</v>
      </c>
      <c r="Z12" s="3">
        <f t="shared" si="14"/>
        <v>8803.9495648000011</v>
      </c>
      <c r="AA12" s="3">
        <f>SUM(Z1:Z12)</f>
        <v>100031.8983248</v>
      </c>
    </row>
    <row r="13" spans="1:27" ht="16.2" thickBot="1" x14ac:dyDescent="0.35">
      <c r="A13" s="8">
        <v>44784</v>
      </c>
      <c r="B13" s="36">
        <v>222</v>
      </c>
      <c r="C13" s="122">
        <v>19975</v>
      </c>
      <c r="D13" s="36">
        <f t="shared" ref="D13" si="17">IF((C13-C12)&lt;0,"0",(C13-C12))*160</f>
        <v>480</v>
      </c>
      <c r="E13" s="123">
        <v>32720933</v>
      </c>
      <c r="F13" s="36">
        <f t="shared" ref="F13" si="18">IF((E13-E12)&lt;0,"0",(E13-E12))</f>
        <v>32407</v>
      </c>
      <c r="G13" s="124">
        <v>3553013</v>
      </c>
      <c r="H13" s="36">
        <f t="shared" si="6"/>
        <v>73860</v>
      </c>
      <c r="I13" s="125">
        <f t="shared" ref="I13" si="19">F13+H13</f>
        <v>106267</v>
      </c>
      <c r="J13" s="123">
        <v>308732</v>
      </c>
      <c r="K13" s="36">
        <f t="shared" ref="K13" si="20">(IF((J13-J12)&lt;0,"0",(J13-J12)))*2</f>
        <v>14956</v>
      </c>
      <c r="L13" s="123">
        <v>571420</v>
      </c>
      <c r="M13" s="36">
        <f t="shared" ref="M13" si="21">IF((L13-L12)&lt;0,"0",(L13-L12))</f>
        <v>8187</v>
      </c>
      <c r="N13" s="123">
        <v>7213439</v>
      </c>
      <c r="O13" s="36">
        <f t="shared" ref="O13" si="22">(IF((N13-N12)&lt;0,"0",(N13-N12)))*2</f>
        <v>23962</v>
      </c>
      <c r="P13" s="123">
        <v>7624888</v>
      </c>
      <c r="Q13" s="36">
        <f t="shared" ref="Q13" si="23">IF((P13-P12)&lt;0,"0",(P13-P12))</f>
        <v>18974</v>
      </c>
      <c r="R13" s="123">
        <v>21991456</v>
      </c>
      <c r="S13" s="36">
        <f t="shared" ref="S13" si="24">IF((R13-R12)&lt;0,"0",(R13-R12))</f>
        <v>14756</v>
      </c>
      <c r="T13" s="123">
        <v>0</v>
      </c>
      <c r="U13" s="126"/>
      <c r="V13" s="123">
        <v>1633</v>
      </c>
      <c r="W13" s="36">
        <f>(V13-V12)+9999999</f>
        <v>15560</v>
      </c>
      <c r="X13" s="18">
        <f t="shared" ref="X13" si="25">K13+M13+O13+Q13+S13+U13+W13</f>
        <v>96395</v>
      </c>
      <c r="Y13" s="142">
        <f t="shared" si="13"/>
        <v>9872</v>
      </c>
      <c r="Z13" s="3">
        <f t="shared" ref="Z13" si="26">(0.93352*(W13+S13)+0.5568*(Q13+O13))*0.26</f>
        <v>13573.912851200001</v>
      </c>
      <c r="AA13" s="3">
        <f>SUM(Z1:Z13)</f>
        <v>113605.811176</v>
      </c>
    </row>
    <row r="14" spans="1:27" ht="16.2" thickBot="1" x14ac:dyDescent="0.35">
      <c r="A14" s="8">
        <v>44785</v>
      </c>
      <c r="B14" s="36">
        <v>245</v>
      </c>
      <c r="C14" s="122">
        <v>19979</v>
      </c>
      <c r="D14" s="36">
        <f t="shared" si="4"/>
        <v>640</v>
      </c>
      <c r="E14" s="123">
        <v>32742078</v>
      </c>
      <c r="F14" s="36">
        <f t="shared" si="5"/>
        <v>21145</v>
      </c>
      <c r="G14" s="124">
        <v>3601925</v>
      </c>
      <c r="H14" s="36">
        <f t="shared" si="6"/>
        <v>48912</v>
      </c>
      <c r="I14" s="125">
        <f t="shared" si="7"/>
        <v>70057</v>
      </c>
      <c r="J14" s="123">
        <v>313421</v>
      </c>
      <c r="K14" s="36">
        <f t="shared" si="15"/>
        <v>9378</v>
      </c>
      <c r="L14" s="123">
        <v>576870</v>
      </c>
      <c r="M14" s="36">
        <f t="shared" si="8"/>
        <v>5450</v>
      </c>
      <c r="N14" s="123">
        <v>7221182</v>
      </c>
      <c r="O14" s="36">
        <f t="shared" si="16"/>
        <v>15486</v>
      </c>
      <c r="P14" s="123">
        <v>7637187</v>
      </c>
      <c r="Q14" s="36">
        <f t="shared" si="9"/>
        <v>12299</v>
      </c>
      <c r="R14" s="123">
        <v>22001403</v>
      </c>
      <c r="S14" s="36">
        <f>IF((R14-R13)&lt;0,"0",(R14-R13))</f>
        <v>9947</v>
      </c>
      <c r="T14" s="123">
        <v>0</v>
      </c>
      <c r="U14" s="126"/>
      <c r="V14" s="123">
        <v>12142</v>
      </c>
      <c r="W14" s="36">
        <f t="shared" si="11"/>
        <v>10509</v>
      </c>
      <c r="X14" s="18">
        <f t="shared" si="12"/>
        <v>63069</v>
      </c>
      <c r="Y14" s="142">
        <f t="shared" si="13"/>
        <v>6988</v>
      </c>
      <c r="Z14" s="3">
        <f t="shared" si="14"/>
        <v>8987.3610112000006</v>
      </c>
      <c r="AA14" s="3">
        <f>SUM(Z1:Z14)</f>
        <v>122593.17218720001</v>
      </c>
    </row>
    <row r="15" spans="1:27" ht="16.2" thickBot="1" x14ac:dyDescent="0.35">
      <c r="A15" s="8">
        <v>44786</v>
      </c>
      <c r="B15" s="36">
        <v>218</v>
      </c>
      <c r="C15" s="122">
        <v>19983</v>
      </c>
      <c r="D15" s="36">
        <f t="shared" si="4"/>
        <v>640</v>
      </c>
      <c r="E15" s="123">
        <v>32765318</v>
      </c>
      <c r="F15" s="36">
        <f t="shared" si="5"/>
        <v>23240</v>
      </c>
      <c r="G15" s="124">
        <v>3656613</v>
      </c>
      <c r="H15" s="36">
        <f t="shared" si="6"/>
        <v>54688</v>
      </c>
      <c r="I15" s="125">
        <f t="shared" si="7"/>
        <v>77928</v>
      </c>
      <c r="J15" s="123">
        <v>318801</v>
      </c>
      <c r="K15" s="36">
        <f t="shared" si="15"/>
        <v>10760</v>
      </c>
      <c r="L15" s="123">
        <v>582814</v>
      </c>
      <c r="M15" s="36">
        <f t="shared" si="8"/>
        <v>5944</v>
      </c>
      <c r="N15" s="123">
        <v>7229734</v>
      </c>
      <c r="O15" s="36">
        <f t="shared" si="16"/>
        <v>17104</v>
      </c>
      <c r="P15" s="123">
        <v>7650749</v>
      </c>
      <c r="Q15" s="36">
        <f t="shared" si="9"/>
        <v>13562</v>
      </c>
      <c r="R15" s="123">
        <v>22014617</v>
      </c>
      <c r="S15" s="36">
        <f>IF((R15-R14)&lt;0,"0",(R15-R14))</f>
        <v>13214</v>
      </c>
      <c r="T15" s="123">
        <v>0</v>
      </c>
      <c r="U15" s="126"/>
      <c r="V15" s="123">
        <v>23826</v>
      </c>
      <c r="W15" s="36">
        <f t="shared" si="11"/>
        <v>11684</v>
      </c>
      <c r="X15" s="18">
        <f t="shared" si="12"/>
        <v>72268</v>
      </c>
      <c r="Y15" s="142">
        <f t="shared" si="13"/>
        <v>5660</v>
      </c>
      <c r="Z15" s="3">
        <f t="shared" si="14"/>
        <v>10482.5785376</v>
      </c>
      <c r="AA15" s="3">
        <f>SUM(Z1:Z15)</f>
        <v>133075.75072480002</v>
      </c>
    </row>
    <row r="16" spans="1:27" ht="16.2" thickBot="1" x14ac:dyDescent="0.35">
      <c r="A16" s="8">
        <v>44787</v>
      </c>
      <c r="B16" s="36">
        <v>224</v>
      </c>
      <c r="C16" s="122">
        <v>19987</v>
      </c>
      <c r="D16" s="36">
        <f t="shared" si="4"/>
        <v>640</v>
      </c>
      <c r="E16" s="123">
        <v>32788519</v>
      </c>
      <c r="F16" s="36">
        <f t="shared" si="5"/>
        <v>23201</v>
      </c>
      <c r="G16" s="124">
        <v>3709452</v>
      </c>
      <c r="H16" s="36">
        <f t="shared" si="6"/>
        <v>52839</v>
      </c>
      <c r="I16" s="125">
        <f t="shared" si="7"/>
        <v>76040</v>
      </c>
      <c r="J16" s="123">
        <v>324286</v>
      </c>
      <c r="K16" s="36">
        <f t="shared" si="15"/>
        <v>10970</v>
      </c>
      <c r="L16" s="123">
        <v>588852</v>
      </c>
      <c r="M16" s="36">
        <f t="shared" si="8"/>
        <v>6038</v>
      </c>
      <c r="N16" s="123">
        <v>7238217</v>
      </c>
      <c r="O16" s="36">
        <f t="shared" si="16"/>
        <v>16966</v>
      </c>
      <c r="P16" s="123">
        <v>7664316</v>
      </c>
      <c r="Q16" s="36">
        <f t="shared" si="9"/>
        <v>13567</v>
      </c>
      <c r="R16" s="123">
        <v>22022034</v>
      </c>
      <c r="S16" s="36">
        <f t="shared" si="10"/>
        <v>7417</v>
      </c>
      <c r="T16" s="123">
        <v>0</v>
      </c>
      <c r="U16" s="126"/>
      <c r="V16" s="123">
        <v>34920</v>
      </c>
      <c r="W16" s="36">
        <f t="shared" si="11"/>
        <v>11094</v>
      </c>
      <c r="X16" s="18">
        <f t="shared" si="12"/>
        <v>66052</v>
      </c>
      <c r="Y16" s="142">
        <f t="shared" si="13"/>
        <v>9988</v>
      </c>
      <c r="Z16" s="3">
        <f t="shared" si="14"/>
        <v>8913.1024111999996</v>
      </c>
      <c r="AA16" s="3">
        <f>SUM(Z1:Z16)</f>
        <v>141988.85313600002</v>
      </c>
    </row>
    <row r="17" spans="1:27" s="113" customFormat="1" ht="16.2" thickBot="1" x14ac:dyDescent="0.35">
      <c r="A17" s="8">
        <v>44788</v>
      </c>
      <c r="B17" s="36">
        <v>223</v>
      </c>
      <c r="C17" s="122">
        <v>19992</v>
      </c>
      <c r="D17" s="36">
        <f t="shared" si="4"/>
        <v>800</v>
      </c>
      <c r="E17" s="123">
        <v>32818535</v>
      </c>
      <c r="F17" s="36">
        <f t="shared" si="5"/>
        <v>30016</v>
      </c>
      <c r="G17" s="124">
        <v>3775700</v>
      </c>
      <c r="H17" s="36">
        <f t="shared" si="6"/>
        <v>66248</v>
      </c>
      <c r="I17" s="127">
        <f t="shared" si="7"/>
        <v>96264</v>
      </c>
      <c r="J17" s="123">
        <v>331269</v>
      </c>
      <c r="K17" s="112">
        <f t="shared" si="15"/>
        <v>13966</v>
      </c>
      <c r="L17" s="123">
        <v>597119</v>
      </c>
      <c r="M17" s="112">
        <f t="shared" si="8"/>
        <v>8267</v>
      </c>
      <c r="N17" s="123">
        <v>7248972</v>
      </c>
      <c r="O17" s="112">
        <f t="shared" si="16"/>
        <v>21510</v>
      </c>
      <c r="P17" s="123">
        <v>7681491</v>
      </c>
      <c r="Q17" s="112">
        <f t="shared" si="9"/>
        <v>17175</v>
      </c>
      <c r="R17" s="123">
        <v>22035856</v>
      </c>
      <c r="S17" s="112">
        <f t="shared" si="10"/>
        <v>13822</v>
      </c>
      <c r="T17" s="128">
        <v>0</v>
      </c>
      <c r="U17" s="126"/>
      <c r="V17" s="123">
        <v>48859</v>
      </c>
      <c r="W17" s="112">
        <f t="shared" si="11"/>
        <v>13939</v>
      </c>
      <c r="X17" s="18">
        <f t="shared" si="12"/>
        <v>88679</v>
      </c>
      <c r="Y17" s="128">
        <f t="shared" si="13"/>
        <v>7585</v>
      </c>
      <c r="Z17" s="129">
        <f t="shared" si="14"/>
        <v>12338.3667472</v>
      </c>
      <c r="AA17" s="3">
        <f>SUM(Z1:Z17)</f>
        <v>154327.21988320001</v>
      </c>
    </row>
    <row r="18" spans="1:27" s="113" customFormat="1" ht="16.2" thickBot="1" x14ac:dyDescent="0.35">
      <c r="A18" s="8">
        <v>44789</v>
      </c>
      <c r="B18" s="36">
        <v>107</v>
      </c>
      <c r="C18" s="122">
        <v>19997</v>
      </c>
      <c r="D18" s="36">
        <f t="shared" si="4"/>
        <v>800</v>
      </c>
      <c r="E18" s="123">
        <v>32838116</v>
      </c>
      <c r="F18" s="36">
        <f t="shared" si="5"/>
        <v>19581</v>
      </c>
      <c r="G18" s="124">
        <v>3821509</v>
      </c>
      <c r="H18" s="36">
        <f t="shared" si="6"/>
        <v>45809</v>
      </c>
      <c r="I18" s="127">
        <f t="shared" si="7"/>
        <v>65390</v>
      </c>
      <c r="J18" s="123">
        <v>336244</v>
      </c>
      <c r="K18" s="112">
        <f t="shared" si="15"/>
        <v>9950</v>
      </c>
      <c r="L18" s="123">
        <v>602920</v>
      </c>
      <c r="M18" s="112">
        <f t="shared" si="8"/>
        <v>5801</v>
      </c>
      <c r="N18" s="123">
        <v>7255764</v>
      </c>
      <c r="O18" s="112">
        <f t="shared" si="16"/>
        <v>13584</v>
      </c>
      <c r="P18" s="123">
        <v>7693545</v>
      </c>
      <c r="Q18" s="112">
        <f t="shared" si="9"/>
        <v>12054</v>
      </c>
      <c r="R18" s="123">
        <v>22044846</v>
      </c>
      <c r="S18" s="112">
        <f t="shared" si="10"/>
        <v>8990</v>
      </c>
      <c r="T18" s="128">
        <v>0</v>
      </c>
      <c r="U18" s="126"/>
      <c r="V18" s="123">
        <v>58258</v>
      </c>
      <c r="W18" s="112">
        <f t="shared" si="11"/>
        <v>9399</v>
      </c>
      <c r="X18" s="18">
        <f t="shared" si="12"/>
        <v>59778</v>
      </c>
      <c r="Y18" s="128">
        <f t="shared" si="13"/>
        <v>5612</v>
      </c>
      <c r="Z18" s="129">
        <f t="shared" si="14"/>
        <v>8174.8517967999996</v>
      </c>
      <c r="AA18" s="3">
        <f>SUM(Z1:Z18)</f>
        <v>162502.07168000002</v>
      </c>
    </row>
    <row r="19" spans="1:27" s="113" customFormat="1" ht="16.2" thickBot="1" x14ac:dyDescent="0.35">
      <c r="A19" s="8">
        <v>44790</v>
      </c>
      <c r="B19" s="36">
        <v>150</v>
      </c>
      <c r="C19" s="122">
        <v>20001</v>
      </c>
      <c r="D19" s="36">
        <f t="shared" si="4"/>
        <v>640</v>
      </c>
      <c r="E19" s="123">
        <v>32866411</v>
      </c>
      <c r="F19" s="36">
        <f t="shared" si="5"/>
        <v>28295</v>
      </c>
      <c r="G19" s="124">
        <v>3884530</v>
      </c>
      <c r="H19" s="36">
        <f t="shared" si="6"/>
        <v>63021</v>
      </c>
      <c r="I19" s="127">
        <f t="shared" si="7"/>
        <v>91316</v>
      </c>
      <c r="J19" s="123">
        <v>342982</v>
      </c>
      <c r="K19" s="112">
        <f t="shared" si="15"/>
        <v>13476</v>
      </c>
      <c r="L19" s="123">
        <v>610869</v>
      </c>
      <c r="M19" s="112">
        <f t="shared" si="8"/>
        <v>7949</v>
      </c>
      <c r="N19" s="123">
        <v>7265827</v>
      </c>
      <c r="O19" s="112">
        <f t="shared" si="16"/>
        <v>20126</v>
      </c>
      <c r="P19" s="123">
        <v>7709448</v>
      </c>
      <c r="Q19" s="112">
        <f t="shared" si="9"/>
        <v>15903</v>
      </c>
      <c r="R19" s="123">
        <v>22057106</v>
      </c>
      <c r="S19" s="112">
        <f t="shared" si="10"/>
        <v>12260</v>
      </c>
      <c r="T19" s="128">
        <v>0</v>
      </c>
      <c r="U19" s="126"/>
      <c r="V19" s="123">
        <v>71657</v>
      </c>
      <c r="W19" s="112">
        <f t="shared" si="11"/>
        <v>13399</v>
      </c>
      <c r="X19" s="18">
        <f t="shared" si="12"/>
        <v>83113</v>
      </c>
      <c r="Y19" s="128">
        <f t="shared" si="13"/>
        <v>8203</v>
      </c>
      <c r="Z19" s="129">
        <f t="shared" si="14"/>
        <v>11443.675588800001</v>
      </c>
      <c r="AA19" s="3">
        <f>SUM(Z1:Z19)</f>
        <v>173945.74726880001</v>
      </c>
    </row>
    <row r="20" spans="1:27" s="113" customFormat="1" ht="16.2" thickBot="1" x14ac:dyDescent="0.35">
      <c r="A20" s="8">
        <v>44791</v>
      </c>
      <c r="B20" s="36">
        <v>155</v>
      </c>
      <c r="C20" s="122">
        <v>20006</v>
      </c>
      <c r="D20" s="36">
        <f t="shared" si="4"/>
        <v>800</v>
      </c>
      <c r="E20" s="123">
        <v>32887125</v>
      </c>
      <c r="F20" s="36">
        <f t="shared" si="5"/>
        <v>20714</v>
      </c>
      <c r="G20" s="124">
        <v>3931174</v>
      </c>
      <c r="H20" s="36">
        <f t="shared" si="6"/>
        <v>46644</v>
      </c>
      <c r="I20" s="127">
        <f t="shared" si="7"/>
        <v>67358</v>
      </c>
      <c r="J20" s="123">
        <v>347842</v>
      </c>
      <c r="K20" s="112">
        <f t="shared" si="15"/>
        <v>9720</v>
      </c>
      <c r="L20" s="123">
        <v>616589</v>
      </c>
      <c r="M20" s="112">
        <f t="shared" si="8"/>
        <v>5720</v>
      </c>
      <c r="N20" s="123">
        <v>7273222</v>
      </c>
      <c r="O20" s="112">
        <f t="shared" si="16"/>
        <v>14790</v>
      </c>
      <c r="P20" s="123">
        <v>7721269</v>
      </c>
      <c r="Q20" s="112">
        <f t="shared" si="9"/>
        <v>11821</v>
      </c>
      <c r="R20" s="123">
        <v>22066176</v>
      </c>
      <c r="S20" s="112">
        <f t="shared" si="10"/>
        <v>9070</v>
      </c>
      <c r="T20" s="128">
        <v>0</v>
      </c>
      <c r="U20" s="126"/>
      <c r="V20" s="123">
        <v>81601</v>
      </c>
      <c r="W20" s="112">
        <f t="shared" si="11"/>
        <v>9944</v>
      </c>
      <c r="X20" s="18">
        <f t="shared" si="12"/>
        <v>61065</v>
      </c>
      <c r="Y20" s="128">
        <f t="shared" si="13"/>
        <v>6293</v>
      </c>
      <c r="Z20" s="129">
        <f t="shared" si="14"/>
        <v>8467.4080608000004</v>
      </c>
      <c r="AA20" s="3">
        <f>SUM(Z1:Z20)</f>
        <v>182413.15532960001</v>
      </c>
    </row>
    <row r="21" spans="1:27" s="113" customFormat="1" ht="16.2" thickBot="1" x14ac:dyDescent="0.35">
      <c r="A21" s="8">
        <v>44792</v>
      </c>
      <c r="B21" s="36">
        <v>160</v>
      </c>
      <c r="C21" s="122">
        <v>20010</v>
      </c>
      <c r="D21" s="36">
        <f t="shared" si="4"/>
        <v>640</v>
      </c>
      <c r="E21" s="123">
        <v>32913428</v>
      </c>
      <c r="F21" s="36">
        <f t="shared" si="5"/>
        <v>26303</v>
      </c>
      <c r="G21" s="124">
        <v>3990782</v>
      </c>
      <c r="H21" s="36">
        <f t="shared" si="6"/>
        <v>59608</v>
      </c>
      <c r="I21" s="127">
        <f t="shared" si="7"/>
        <v>85911</v>
      </c>
      <c r="J21" s="123">
        <v>353432</v>
      </c>
      <c r="K21" s="112">
        <f t="shared" si="15"/>
        <v>11180</v>
      </c>
      <c r="L21" s="123">
        <v>623693</v>
      </c>
      <c r="M21" s="112">
        <f t="shared" si="8"/>
        <v>7104</v>
      </c>
      <c r="N21" s="123">
        <v>7282686</v>
      </c>
      <c r="O21" s="112">
        <f t="shared" si="16"/>
        <v>18928</v>
      </c>
      <c r="P21" s="123">
        <v>7736828</v>
      </c>
      <c r="Q21" s="112">
        <f t="shared" si="9"/>
        <v>15559</v>
      </c>
      <c r="R21" s="123">
        <v>22077909</v>
      </c>
      <c r="S21" s="112">
        <f t="shared" si="10"/>
        <v>11733</v>
      </c>
      <c r="T21" s="128">
        <v>0</v>
      </c>
      <c r="U21" s="126"/>
      <c r="V21" s="123">
        <v>94274</v>
      </c>
      <c r="W21" s="112">
        <f t="shared" si="11"/>
        <v>12673</v>
      </c>
      <c r="X21" s="18">
        <f t="shared" si="12"/>
        <v>77177</v>
      </c>
      <c r="Y21" s="128">
        <f t="shared" si="13"/>
        <v>8734</v>
      </c>
      <c r="Z21" s="129">
        <f t="shared" si="14"/>
        <v>10916.321187200001</v>
      </c>
      <c r="AA21" s="3">
        <f>SUM(Z1:Z21)</f>
        <v>193329.4765168</v>
      </c>
    </row>
    <row r="22" spans="1:27" ht="16.2" thickBot="1" x14ac:dyDescent="0.35">
      <c r="A22" s="8">
        <v>44793</v>
      </c>
      <c r="B22" s="36">
        <v>152</v>
      </c>
      <c r="C22" s="122">
        <v>20014</v>
      </c>
      <c r="D22" s="36">
        <f t="shared" si="4"/>
        <v>640</v>
      </c>
      <c r="E22" s="123">
        <v>32936446</v>
      </c>
      <c r="F22" s="36">
        <f t="shared" si="5"/>
        <v>23018</v>
      </c>
      <c r="G22" s="124">
        <v>4043774</v>
      </c>
      <c r="H22" s="36">
        <f t="shared" si="6"/>
        <v>52992</v>
      </c>
      <c r="I22" s="125">
        <f t="shared" si="7"/>
        <v>76010</v>
      </c>
      <c r="J22" s="123">
        <v>358666</v>
      </c>
      <c r="K22" s="112">
        <f t="shared" si="15"/>
        <v>10468</v>
      </c>
      <c r="L22" s="123">
        <v>629646</v>
      </c>
      <c r="M22" s="36">
        <f t="shared" si="8"/>
        <v>5953</v>
      </c>
      <c r="N22" s="123">
        <v>7291145</v>
      </c>
      <c r="O22" s="36">
        <f t="shared" si="16"/>
        <v>16918</v>
      </c>
      <c r="P22" s="123">
        <v>7751259</v>
      </c>
      <c r="Q22" s="36">
        <f t="shared" si="9"/>
        <v>14431</v>
      </c>
      <c r="R22" s="123">
        <v>22088241</v>
      </c>
      <c r="S22" s="36">
        <f t="shared" si="10"/>
        <v>10332</v>
      </c>
      <c r="T22" s="123">
        <v>0</v>
      </c>
      <c r="U22" s="126"/>
      <c r="V22" s="123">
        <v>105274</v>
      </c>
      <c r="W22" s="36">
        <f t="shared" si="11"/>
        <v>11000</v>
      </c>
      <c r="X22" s="18">
        <f t="shared" si="12"/>
        <v>69102</v>
      </c>
      <c r="Y22" s="142">
        <f t="shared" si="13"/>
        <v>6908</v>
      </c>
      <c r="Z22" s="3">
        <f t="shared" si="14"/>
        <v>9715.9326784000004</v>
      </c>
      <c r="AA22" s="3">
        <f>SUM(Z1:Z22)</f>
        <v>203045.40919520002</v>
      </c>
    </row>
    <row r="23" spans="1:27" ht="16.2" thickBot="1" x14ac:dyDescent="0.35">
      <c r="A23" s="8">
        <v>44794</v>
      </c>
      <c r="B23" s="36">
        <v>226</v>
      </c>
      <c r="C23" s="122">
        <v>20017</v>
      </c>
      <c r="D23" s="36">
        <f t="shared" si="4"/>
        <v>480</v>
      </c>
      <c r="E23" s="123">
        <v>32963402</v>
      </c>
      <c r="F23" s="36">
        <f t="shared" si="5"/>
        <v>26956</v>
      </c>
      <c r="G23" s="124">
        <v>4108267</v>
      </c>
      <c r="H23" s="36">
        <f t="shared" si="6"/>
        <v>64493</v>
      </c>
      <c r="I23" s="125">
        <f t="shared" si="7"/>
        <v>91449</v>
      </c>
      <c r="J23" s="123">
        <v>365412</v>
      </c>
      <c r="K23" s="112">
        <f t="shared" si="15"/>
        <v>13492</v>
      </c>
      <c r="L23" s="123">
        <v>636935</v>
      </c>
      <c r="M23" s="36">
        <f t="shared" si="8"/>
        <v>7289</v>
      </c>
      <c r="N23" s="123">
        <v>7300860</v>
      </c>
      <c r="O23" s="36">
        <f t="shared" si="16"/>
        <v>19430</v>
      </c>
      <c r="P23" s="123">
        <v>7767862</v>
      </c>
      <c r="Q23" s="36">
        <f t="shared" si="9"/>
        <v>16603</v>
      </c>
      <c r="R23" s="123">
        <v>22100950</v>
      </c>
      <c r="S23" s="36">
        <f t="shared" si="10"/>
        <v>12709</v>
      </c>
      <c r="T23" s="123">
        <v>0</v>
      </c>
      <c r="U23" s="126"/>
      <c r="V23" s="123">
        <v>118844</v>
      </c>
      <c r="W23" s="36">
        <f t="shared" si="11"/>
        <v>13570</v>
      </c>
      <c r="X23" s="18">
        <f t="shared" si="12"/>
        <v>83093</v>
      </c>
      <c r="Y23" s="142">
        <f t="shared" si="13"/>
        <v>8356</v>
      </c>
      <c r="Z23" s="3">
        <f t="shared" si="14"/>
        <v>11594.738084799999</v>
      </c>
      <c r="AA23" s="3">
        <f>SUM(Z1:Z23)</f>
        <v>214640.14728</v>
      </c>
    </row>
    <row r="24" spans="1:27" ht="16.2" thickBot="1" x14ac:dyDescent="0.35">
      <c r="A24" s="8">
        <v>44795</v>
      </c>
      <c r="B24" s="36">
        <v>225</v>
      </c>
      <c r="C24" s="122">
        <v>20022</v>
      </c>
      <c r="D24" s="36">
        <f t="shared" si="4"/>
        <v>800</v>
      </c>
      <c r="E24" s="123">
        <v>32986397</v>
      </c>
      <c r="F24" s="36">
        <f t="shared" si="5"/>
        <v>22995</v>
      </c>
      <c r="G24" s="124">
        <v>4161602</v>
      </c>
      <c r="H24" s="36">
        <f t="shared" si="6"/>
        <v>53335</v>
      </c>
      <c r="I24" s="125">
        <f t="shared" si="7"/>
        <v>76330</v>
      </c>
      <c r="J24" s="123">
        <v>371170</v>
      </c>
      <c r="K24" s="112">
        <f t="shared" si="15"/>
        <v>11516</v>
      </c>
      <c r="L24" s="123">
        <v>643236</v>
      </c>
      <c r="M24" s="36">
        <f t="shared" si="8"/>
        <v>6301</v>
      </c>
      <c r="N24" s="123">
        <v>7309121</v>
      </c>
      <c r="O24" s="36">
        <f t="shared" si="16"/>
        <v>16522</v>
      </c>
      <c r="P24" s="123">
        <v>7781917</v>
      </c>
      <c r="Q24" s="36">
        <f t="shared" si="9"/>
        <v>14055</v>
      </c>
      <c r="R24" s="123">
        <v>22111199</v>
      </c>
      <c r="S24" s="36">
        <f t="shared" si="10"/>
        <v>10249</v>
      </c>
      <c r="T24" s="123">
        <v>0</v>
      </c>
      <c r="U24" s="126"/>
      <c r="V24" s="123">
        <v>129902</v>
      </c>
      <c r="W24" s="36">
        <f t="shared" si="11"/>
        <v>11058</v>
      </c>
      <c r="X24" s="18">
        <f t="shared" si="12"/>
        <v>69701</v>
      </c>
      <c r="Y24" s="142">
        <f t="shared" si="13"/>
        <v>6629</v>
      </c>
      <c r="Z24" s="3">
        <f t="shared" si="14"/>
        <v>9598.1039024000002</v>
      </c>
      <c r="AA24" s="3">
        <f>SUM(Z1:Z24)</f>
        <v>224238.25118240001</v>
      </c>
    </row>
    <row r="25" spans="1:27" ht="16.2" thickBot="1" x14ac:dyDescent="0.35">
      <c r="A25" s="8">
        <v>44796</v>
      </c>
      <c r="B25" s="36">
        <v>175</v>
      </c>
      <c r="C25" s="122">
        <v>20026</v>
      </c>
      <c r="D25" s="36">
        <f t="shared" si="4"/>
        <v>640</v>
      </c>
      <c r="E25" s="123">
        <v>33005699</v>
      </c>
      <c r="F25" s="36">
        <f t="shared" si="5"/>
        <v>19302</v>
      </c>
      <c r="G25" s="124">
        <v>4206838</v>
      </c>
      <c r="H25" s="36">
        <f t="shared" si="6"/>
        <v>45236</v>
      </c>
      <c r="I25" s="125">
        <f t="shared" si="7"/>
        <v>64538</v>
      </c>
      <c r="J25" s="123">
        <v>376000</v>
      </c>
      <c r="K25" s="112">
        <f t="shared" si="15"/>
        <v>9660</v>
      </c>
      <c r="L25" s="123">
        <v>648654</v>
      </c>
      <c r="M25" s="36">
        <f t="shared" si="8"/>
        <v>5418</v>
      </c>
      <c r="N25" s="123">
        <v>7315969</v>
      </c>
      <c r="O25" s="36">
        <f t="shared" si="16"/>
        <v>13696</v>
      </c>
      <c r="P25" s="123">
        <v>7793658</v>
      </c>
      <c r="Q25" s="36">
        <f t="shared" si="9"/>
        <v>11741</v>
      </c>
      <c r="R25" s="123">
        <v>22119960</v>
      </c>
      <c r="S25" s="36">
        <f t="shared" si="10"/>
        <v>8761</v>
      </c>
      <c r="T25" s="123">
        <v>0</v>
      </c>
      <c r="U25" s="126"/>
      <c r="V25" s="123">
        <v>139313</v>
      </c>
      <c r="W25" s="36">
        <f t="shared" si="11"/>
        <v>9411</v>
      </c>
      <c r="X25" s="18">
        <f t="shared" si="12"/>
        <v>58687</v>
      </c>
      <c r="Y25" s="142">
        <f t="shared" si="13"/>
        <v>5851</v>
      </c>
      <c r="Z25" s="3">
        <f t="shared" si="14"/>
        <v>8093.0842303999998</v>
      </c>
      <c r="AA25" s="3">
        <f>SUM(Z1:Z25)</f>
        <v>232331.33541280002</v>
      </c>
    </row>
    <row r="26" spans="1:27" ht="16.2" thickBot="1" x14ac:dyDescent="0.35">
      <c r="A26" s="8">
        <v>44797</v>
      </c>
      <c r="B26" s="36">
        <v>177</v>
      </c>
      <c r="C26" s="122">
        <v>20031</v>
      </c>
      <c r="D26" s="36">
        <f t="shared" si="4"/>
        <v>800</v>
      </c>
      <c r="E26" s="123">
        <v>33030316</v>
      </c>
      <c r="F26" s="36">
        <f t="shared" si="5"/>
        <v>24617</v>
      </c>
      <c r="G26" s="124">
        <v>4267232</v>
      </c>
      <c r="H26" s="36">
        <f t="shared" si="6"/>
        <v>60394</v>
      </c>
      <c r="I26" s="125">
        <f t="shared" si="7"/>
        <v>85011</v>
      </c>
      <c r="J26" s="123">
        <v>382034</v>
      </c>
      <c r="K26" s="112">
        <f t="shared" si="15"/>
        <v>12068</v>
      </c>
      <c r="L26" s="123">
        <v>655736</v>
      </c>
      <c r="M26" s="36">
        <f t="shared" si="8"/>
        <v>7082</v>
      </c>
      <c r="N26" s="123">
        <v>7324632</v>
      </c>
      <c r="O26" s="36">
        <f t="shared" si="16"/>
        <v>17326</v>
      </c>
      <c r="P26" s="123">
        <v>7808300</v>
      </c>
      <c r="Q26" s="36">
        <f t="shared" si="9"/>
        <v>14642</v>
      </c>
      <c r="R26" s="123">
        <v>22132016</v>
      </c>
      <c r="S26" s="36">
        <f t="shared" si="10"/>
        <v>12056</v>
      </c>
      <c r="T26" s="123">
        <v>0</v>
      </c>
      <c r="U26" s="126"/>
      <c r="V26" s="123">
        <v>152215</v>
      </c>
      <c r="W26" s="36">
        <f t="shared" si="11"/>
        <v>12902</v>
      </c>
      <c r="X26" s="18">
        <f t="shared" si="12"/>
        <v>76076</v>
      </c>
      <c r="Y26" s="142">
        <f t="shared" si="13"/>
        <v>8935</v>
      </c>
      <c r="Z26" s="3">
        <f t="shared" si="14"/>
        <v>10685.629385600001</v>
      </c>
      <c r="AA26" s="3">
        <f>SUM(Z1:Z26)</f>
        <v>243016.96479840003</v>
      </c>
    </row>
    <row r="27" spans="1:27" ht="16.2" thickBot="1" x14ac:dyDescent="0.35">
      <c r="A27" s="8">
        <v>44798</v>
      </c>
      <c r="B27" s="36">
        <v>180</v>
      </c>
      <c r="C27" s="122">
        <v>20035</v>
      </c>
      <c r="D27" s="36">
        <f t="shared" si="4"/>
        <v>640</v>
      </c>
      <c r="E27" s="123">
        <v>33053879</v>
      </c>
      <c r="F27" s="36">
        <f t="shared" si="5"/>
        <v>23563</v>
      </c>
      <c r="G27" s="124">
        <v>4322179</v>
      </c>
      <c r="H27" s="36">
        <f t="shared" si="6"/>
        <v>54947</v>
      </c>
      <c r="I27" s="125">
        <f t="shared" si="7"/>
        <v>78510</v>
      </c>
      <c r="J27" s="123">
        <v>387556</v>
      </c>
      <c r="K27" s="112">
        <f t="shared" si="15"/>
        <v>11044</v>
      </c>
      <c r="L27" s="123">
        <v>662015</v>
      </c>
      <c r="M27" s="36">
        <f t="shared" si="8"/>
        <v>6279</v>
      </c>
      <c r="N27" s="123">
        <v>7333176</v>
      </c>
      <c r="O27" s="36">
        <f t="shared" si="16"/>
        <v>17088</v>
      </c>
      <c r="P27" s="123">
        <v>7822686</v>
      </c>
      <c r="Q27" s="36">
        <f t="shared" si="9"/>
        <v>14386</v>
      </c>
      <c r="R27" s="123">
        <v>22142728</v>
      </c>
      <c r="S27" s="36">
        <f t="shared" si="10"/>
        <v>10712</v>
      </c>
      <c r="T27" s="123">
        <v>0</v>
      </c>
      <c r="U27" s="126"/>
      <c r="V27" s="123">
        <v>163596</v>
      </c>
      <c r="W27" s="36">
        <f t="shared" si="11"/>
        <v>11381</v>
      </c>
      <c r="X27" s="18">
        <f t="shared" si="12"/>
        <v>70890</v>
      </c>
      <c r="Y27" s="142">
        <f t="shared" si="13"/>
        <v>7620</v>
      </c>
      <c r="Z27" s="3">
        <f t="shared" si="14"/>
        <v>9918.7349455999993</v>
      </c>
      <c r="AA27" s="3">
        <f>SUM(Z1:Z27)</f>
        <v>252935.69974400004</v>
      </c>
    </row>
    <row r="28" spans="1:27" ht="16.2" thickBot="1" x14ac:dyDescent="0.35">
      <c r="A28" s="8">
        <v>44799</v>
      </c>
      <c r="B28" s="36">
        <v>188</v>
      </c>
      <c r="C28" s="122">
        <v>20039</v>
      </c>
      <c r="D28" s="36">
        <f t="shared" si="4"/>
        <v>640</v>
      </c>
      <c r="E28" s="123">
        <v>33081304</v>
      </c>
      <c r="F28" s="36">
        <f t="shared" si="5"/>
        <v>27425</v>
      </c>
      <c r="G28" s="124">
        <v>4387716</v>
      </c>
      <c r="H28" s="36">
        <f t="shared" si="6"/>
        <v>65537</v>
      </c>
      <c r="I28" s="125">
        <f t="shared" si="7"/>
        <v>92962</v>
      </c>
      <c r="J28" s="123">
        <v>393698</v>
      </c>
      <c r="K28" s="112">
        <f t="shared" si="15"/>
        <v>12284</v>
      </c>
      <c r="L28" s="123">
        <v>669224</v>
      </c>
      <c r="M28" s="36">
        <f t="shared" si="8"/>
        <v>7209</v>
      </c>
      <c r="N28" s="123">
        <v>7343017</v>
      </c>
      <c r="O28" s="36">
        <f t="shared" si="16"/>
        <v>19682</v>
      </c>
      <c r="P28" s="123">
        <v>7839091</v>
      </c>
      <c r="Q28" s="36">
        <f t="shared" si="9"/>
        <v>16405</v>
      </c>
      <c r="R28" s="123">
        <v>22156359</v>
      </c>
      <c r="S28" s="36">
        <f t="shared" si="10"/>
        <v>13631</v>
      </c>
      <c r="T28" s="123">
        <v>0</v>
      </c>
      <c r="U28" s="126"/>
      <c r="V28" s="123">
        <v>177349</v>
      </c>
      <c r="W28" s="36">
        <f t="shared" si="11"/>
        <v>13753</v>
      </c>
      <c r="X28" s="18">
        <f t="shared" si="12"/>
        <v>82964</v>
      </c>
      <c r="Y28" s="142">
        <f t="shared" si="13"/>
        <v>9998</v>
      </c>
      <c r="Z28" s="3">
        <f t="shared" si="14"/>
        <v>11870.755852799999</v>
      </c>
      <c r="AA28" s="3">
        <f>SUM(Z1:Z28)</f>
        <v>264806.45559680002</v>
      </c>
    </row>
    <row r="29" spans="1:27" ht="16.2" thickBot="1" x14ac:dyDescent="0.35">
      <c r="A29" s="8">
        <v>44800</v>
      </c>
      <c r="B29" s="36">
        <v>154</v>
      </c>
      <c r="C29" s="122">
        <v>20043</v>
      </c>
      <c r="D29" s="36">
        <f t="shared" si="4"/>
        <v>640</v>
      </c>
      <c r="E29" s="123">
        <v>33101199</v>
      </c>
      <c r="F29" s="36">
        <f t="shared" si="5"/>
        <v>19895</v>
      </c>
      <c r="G29" s="124">
        <v>4436944</v>
      </c>
      <c r="H29" s="36">
        <f t="shared" si="6"/>
        <v>49228</v>
      </c>
      <c r="I29" s="125">
        <f t="shared" si="7"/>
        <v>69123</v>
      </c>
      <c r="J29" s="123">
        <v>398672</v>
      </c>
      <c r="K29" s="112">
        <f t="shared" si="15"/>
        <v>9948</v>
      </c>
      <c r="L29" s="123">
        <v>674448</v>
      </c>
      <c r="M29" s="36">
        <f t="shared" si="8"/>
        <v>5224</v>
      </c>
      <c r="N29" s="123">
        <v>7350367</v>
      </c>
      <c r="O29" s="36">
        <f t="shared" si="16"/>
        <v>14700</v>
      </c>
      <c r="P29" s="123">
        <v>7851312</v>
      </c>
      <c r="Q29" s="36">
        <f t="shared" si="9"/>
        <v>12221</v>
      </c>
      <c r="R29" s="123">
        <v>22166366</v>
      </c>
      <c r="S29" s="36">
        <f t="shared" si="10"/>
        <v>10007</v>
      </c>
      <c r="T29" s="123">
        <v>0</v>
      </c>
      <c r="U29" s="126"/>
      <c r="V29" s="123">
        <v>187662</v>
      </c>
      <c r="W29" s="36">
        <f t="shared" si="11"/>
        <v>10313</v>
      </c>
      <c r="X29" s="18">
        <f t="shared" si="12"/>
        <v>62413</v>
      </c>
      <c r="Y29" s="142">
        <f t="shared" si="13"/>
        <v>6710</v>
      </c>
      <c r="Z29" s="3">
        <f t="shared" si="14"/>
        <v>8829.2721919999985</v>
      </c>
      <c r="AA29" s="3">
        <f>SUM(Z1:Z29)</f>
        <v>273635.72778880002</v>
      </c>
    </row>
    <row r="30" spans="1:27" ht="16.2" thickBot="1" x14ac:dyDescent="0.35">
      <c r="A30" s="8">
        <v>44801</v>
      </c>
      <c r="B30" s="36">
        <v>212</v>
      </c>
      <c r="C30" s="122">
        <v>20046</v>
      </c>
      <c r="D30" s="36">
        <f>IF((C30-C29)&lt;0,"0",(C30-C29))*160</f>
        <v>480</v>
      </c>
      <c r="E30" s="123">
        <v>33126213</v>
      </c>
      <c r="F30" s="36">
        <f>IF((E30-E29)&lt;0,"0",(E30-E29))</f>
        <v>25014</v>
      </c>
      <c r="G30" s="124">
        <v>4495654</v>
      </c>
      <c r="H30" s="36">
        <f t="shared" si="6"/>
        <v>58710</v>
      </c>
      <c r="I30" s="125">
        <f t="shared" si="7"/>
        <v>83724</v>
      </c>
      <c r="J30" s="123">
        <v>404974</v>
      </c>
      <c r="K30" s="112">
        <f t="shared" si="15"/>
        <v>12604</v>
      </c>
      <c r="L30" s="123">
        <v>681257</v>
      </c>
      <c r="M30" s="36">
        <f>IF((L30-L29)&lt;0,"0",(L30-L29))</f>
        <v>6809</v>
      </c>
      <c r="N30" s="123">
        <v>7359409</v>
      </c>
      <c r="O30" s="36">
        <f>(IF((N30-N29)&lt;0,"0",(N30-N29)))*2</f>
        <v>18084</v>
      </c>
      <c r="P30" s="123">
        <v>7866590</v>
      </c>
      <c r="Q30" s="36">
        <f>IF((P30-P29)&lt;0,"0",(P30-P29))</f>
        <v>15278</v>
      </c>
      <c r="R30" s="123">
        <v>22178152</v>
      </c>
      <c r="S30" s="36">
        <f>IF((R30-R29)&lt;0,"0",(R30-R29))</f>
        <v>11786</v>
      </c>
      <c r="T30" s="123">
        <v>0</v>
      </c>
      <c r="U30" s="126"/>
      <c r="V30" s="123">
        <v>199945</v>
      </c>
      <c r="W30" s="36">
        <f>IF((V30-V29)&lt;0,"0",(V30-V29))</f>
        <v>12283</v>
      </c>
      <c r="X30" s="18">
        <f t="shared" si="12"/>
        <v>76844</v>
      </c>
      <c r="Y30" s="142">
        <f t="shared" si="13"/>
        <v>6880</v>
      </c>
      <c r="Z30" s="3">
        <f t="shared" si="14"/>
        <v>10671.662164799998</v>
      </c>
      <c r="AA30" s="3">
        <f>SUM(Z1:Z30)</f>
        <v>284307.38995360001</v>
      </c>
    </row>
    <row r="31" spans="1:27" ht="16.2" thickBot="1" x14ac:dyDescent="0.35">
      <c r="A31" s="8">
        <v>44802</v>
      </c>
      <c r="B31" s="36">
        <v>197</v>
      </c>
      <c r="C31" s="122">
        <v>20051</v>
      </c>
      <c r="D31" s="36">
        <f t="shared" ref="D31:D33" si="27">IF((C31-C30)&lt;0,"0",(C31-C30))*160</f>
        <v>800</v>
      </c>
      <c r="E31" s="123">
        <v>33153571</v>
      </c>
      <c r="F31" s="36">
        <f t="shared" ref="F31:F33" si="28">IF((E31-E30)&lt;0,"0",(E31-E30))</f>
        <v>27358</v>
      </c>
      <c r="G31" s="124">
        <v>4559754</v>
      </c>
      <c r="H31" s="36">
        <f t="shared" si="6"/>
        <v>64100</v>
      </c>
      <c r="I31" s="125">
        <f t="shared" ref="I31:I33" si="29">F31+H31</f>
        <v>91458</v>
      </c>
      <c r="J31" s="123">
        <v>411566</v>
      </c>
      <c r="K31" s="112">
        <f t="shared" si="15"/>
        <v>13184</v>
      </c>
      <c r="L31" s="123">
        <v>688886</v>
      </c>
      <c r="M31" s="36">
        <f t="shared" ref="M31:M33" si="30">IF((L31-L30)&lt;0,"0",(L31-L30))</f>
        <v>7629</v>
      </c>
      <c r="N31" s="123">
        <v>7369172</v>
      </c>
      <c r="O31" s="36">
        <f t="shared" ref="O31:O33" si="31">(IF((N31-N30)&lt;0,"0",(N31-N30)))*2</f>
        <v>19526</v>
      </c>
      <c r="P31" s="123">
        <v>7882473</v>
      </c>
      <c r="Q31" s="36">
        <f t="shared" ref="Q31:Q33" si="32">IF((P31-P30)&lt;0,"0",(P31-P30))</f>
        <v>15883</v>
      </c>
      <c r="R31" s="123">
        <v>22190931</v>
      </c>
      <c r="S31" s="36">
        <f t="shared" ref="S31:S33" si="33">IF((R31-R30)&lt;0,"0",(R31-R30))</f>
        <v>12779</v>
      </c>
      <c r="T31" s="123">
        <v>0</v>
      </c>
      <c r="U31" s="126"/>
      <c r="V31" s="123">
        <v>213045</v>
      </c>
      <c r="W31" s="36">
        <f t="shared" ref="W31:W33" si="34">IF((V31-V30)&lt;0,"0",(V31-V30))</f>
        <v>13100</v>
      </c>
      <c r="X31" s="18">
        <f t="shared" ref="X31:X33" si="35">K31+M31+O31+Q31+S31+U31+W31</f>
        <v>82101</v>
      </c>
      <c r="Y31" s="142">
        <f t="shared" ref="Y31:Y33" si="36">I31-X31</f>
        <v>9357</v>
      </c>
      <c r="Z31" s="3">
        <f t="shared" ref="Z31:Z33" si="37">(0.93352*(W31+S31)+0.5568*(Q31+O31))*0.26</f>
        <v>11407.316772800001</v>
      </c>
      <c r="AA31" s="3">
        <f>SUM(Z1:Z31)</f>
        <v>295714.70672640001</v>
      </c>
    </row>
    <row r="32" spans="1:27" ht="16.2" thickBot="1" x14ac:dyDescent="0.35">
      <c r="A32" s="8">
        <v>44803</v>
      </c>
      <c r="B32" s="36">
        <v>155</v>
      </c>
      <c r="C32" s="122">
        <v>20056</v>
      </c>
      <c r="D32" s="36">
        <f t="shared" si="27"/>
        <v>800</v>
      </c>
      <c r="E32" s="123">
        <v>33172712</v>
      </c>
      <c r="F32" s="36">
        <f t="shared" si="28"/>
        <v>19141</v>
      </c>
      <c r="G32" s="124">
        <v>4604460</v>
      </c>
      <c r="H32" s="36">
        <f t="shared" si="6"/>
        <v>44706</v>
      </c>
      <c r="I32" s="125">
        <f t="shared" si="29"/>
        <v>63847</v>
      </c>
      <c r="J32" s="123">
        <v>416185</v>
      </c>
      <c r="K32" s="112">
        <f t="shared" si="15"/>
        <v>9238</v>
      </c>
      <c r="L32" s="123">
        <v>694124</v>
      </c>
      <c r="M32" s="36">
        <f t="shared" si="30"/>
        <v>5238</v>
      </c>
      <c r="N32" s="123">
        <v>7376027</v>
      </c>
      <c r="O32" s="36">
        <f t="shared" si="31"/>
        <v>13710</v>
      </c>
      <c r="P32" s="123">
        <v>7893717</v>
      </c>
      <c r="Q32" s="36">
        <f t="shared" si="32"/>
        <v>11244</v>
      </c>
      <c r="R32" s="123">
        <v>22200187</v>
      </c>
      <c r="S32" s="36">
        <f t="shared" si="33"/>
        <v>9256</v>
      </c>
      <c r="T32" s="123">
        <v>0</v>
      </c>
      <c r="U32" s="126"/>
      <c r="V32" s="123">
        <v>222228</v>
      </c>
      <c r="W32" s="36">
        <f t="shared" si="34"/>
        <v>9183</v>
      </c>
      <c r="X32" s="18">
        <f t="shared" si="35"/>
        <v>57869</v>
      </c>
      <c r="Y32" s="142">
        <f t="shared" si="36"/>
        <v>5978</v>
      </c>
      <c r="Z32" s="3">
        <f t="shared" si="37"/>
        <v>8087.9662448000008</v>
      </c>
      <c r="AA32" s="3">
        <f>SUM(Z1:Z32)</f>
        <v>303802.67297120002</v>
      </c>
    </row>
    <row r="33" spans="1:27" ht="16.2" thickBot="1" x14ac:dyDescent="0.35">
      <c r="A33" s="8">
        <v>44804</v>
      </c>
      <c r="B33" s="36">
        <v>230</v>
      </c>
      <c r="C33" s="122">
        <v>20060</v>
      </c>
      <c r="D33" s="36">
        <f t="shared" si="27"/>
        <v>640</v>
      </c>
      <c r="E33" s="123">
        <v>33201142</v>
      </c>
      <c r="F33" s="36">
        <f t="shared" si="28"/>
        <v>28430</v>
      </c>
      <c r="G33" s="124">
        <v>4671912</v>
      </c>
      <c r="H33" s="36">
        <f t="shared" si="6"/>
        <v>67452</v>
      </c>
      <c r="I33" s="125">
        <f t="shared" si="29"/>
        <v>95882</v>
      </c>
      <c r="J33" s="123">
        <v>422838</v>
      </c>
      <c r="K33" s="112">
        <f t="shared" si="15"/>
        <v>13306</v>
      </c>
      <c r="L33" s="123">
        <v>701909</v>
      </c>
      <c r="M33" s="36">
        <f t="shared" si="30"/>
        <v>7785</v>
      </c>
      <c r="N33" s="123">
        <v>7386230</v>
      </c>
      <c r="O33" s="36">
        <f t="shared" si="31"/>
        <v>20406</v>
      </c>
      <c r="P33" s="123">
        <v>7910768</v>
      </c>
      <c r="Q33" s="36">
        <f t="shared" si="32"/>
        <v>17051</v>
      </c>
      <c r="R33" s="123">
        <v>22213458</v>
      </c>
      <c r="S33" s="36">
        <f t="shared" si="33"/>
        <v>13271</v>
      </c>
      <c r="T33" s="123">
        <v>0</v>
      </c>
      <c r="U33" s="53"/>
      <c r="V33" s="123">
        <v>236531</v>
      </c>
      <c r="W33" s="36">
        <f t="shared" si="34"/>
        <v>14303</v>
      </c>
      <c r="X33" s="18">
        <f t="shared" si="35"/>
        <v>86122</v>
      </c>
      <c r="Y33" s="142">
        <f t="shared" si="36"/>
        <v>9760</v>
      </c>
      <c r="Z33" s="3">
        <f t="shared" si="37"/>
        <v>12115.203900800001</v>
      </c>
      <c r="AA33" s="3">
        <f>SUM(Z2:Z33)</f>
        <v>315917.87687200005</v>
      </c>
    </row>
    <row r="34" spans="1:27" ht="16.2" thickBot="1" x14ac:dyDescent="0.35">
      <c r="A34" s="119" t="s">
        <v>23</v>
      </c>
      <c r="B34" s="119">
        <f>SUM(B3:B33)</f>
        <v>5811</v>
      </c>
      <c r="C34" s="119">
        <v>0</v>
      </c>
      <c r="D34" s="119">
        <f>SUM(D3:D33)</f>
        <v>21280</v>
      </c>
      <c r="E34" s="53">
        <v>0</v>
      </c>
      <c r="F34" s="119">
        <f>SUM(F3:F33)</f>
        <v>755372</v>
      </c>
      <c r="G34" s="53">
        <v>0</v>
      </c>
      <c r="H34" s="119">
        <f>SUM(H3:H33)</f>
        <v>1742571</v>
      </c>
      <c r="I34" s="53">
        <v>92693</v>
      </c>
      <c r="J34" s="53">
        <v>0</v>
      </c>
      <c r="K34" s="119">
        <f>SUM(K3:K33)</f>
        <v>355608</v>
      </c>
      <c r="L34" s="53">
        <v>0</v>
      </c>
      <c r="M34" s="119">
        <f>SUM(M3:M33)</f>
        <v>204222</v>
      </c>
      <c r="N34" s="53">
        <v>0</v>
      </c>
      <c r="O34" s="119">
        <f>SUM(O3:O33)</f>
        <v>544746</v>
      </c>
      <c r="P34" s="53">
        <v>0</v>
      </c>
      <c r="Q34" s="119">
        <f>SUM(Q3:Q33)</f>
        <v>442817</v>
      </c>
      <c r="R34" s="53">
        <v>0</v>
      </c>
      <c r="S34" s="119">
        <f>SUM(S3:S33)</f>
        <v>342702</v>
      </c>
      <c r="T34" s="53">
        <f>SUM(T4:T33)</f>
        <v>0</v>
      </c>
      <c r="U34" s="53">
        <f>SUM(U4:U33)</f>
        <v>0</v>
      </c>
      <c r="V34" s="53">
        <v>0</v>
      </c>
      <c r="W34" s="119">
        <f>SUM(W3:W33)</f>
        <v>369863</v>
      </c>
      <c r="X34" s="119">
        <f>SUM(X3:X33)</f>
        <v>2259958</v>
      </c>
      <c r="Y34" s="119">
        <f>SUM(Y2:Y33)</f>
        <v>237985</v>
      </c>
      <c r="Z34" s="119">
        <f>SUM(Z2:Z33)</f>
        <v>315917.87687200005</v>
      </c>
      <c r="AA34" s="119">
        <f>SUM(AA3:AA33)</f>
        <v>5043997.3687168006</v>
      </c>
    </row>
    <row r="35" spans="1:27" x14ac:dyDescent="0.3">
      <c r="H35" s="140"/>
    </row>
    <row r="36" spans="1:27" x14ac:dyDescent="0.3">
      <c r="D36" s="138"/>
      <c r="H36" s="140"/>
    </row>
    <row r="37" spans="1:27" x14ac:dyDescent="0.3">
      <c r="E37" s="140"/>
      <c r="F37" s="140"/>
    </row>
    <row r="39" spans="1:27" x14ac:dyDescent="0.3">
      <c r="E39" s="140"/>
      <c r="H39" s="140"/>
      <c r="L39" s="140"/>
    </row>
    <row r="42" spans="1:27" x14ac:dyDescent="0.3">
      <c r="J42" s="140"/>
    </row>
    <row r="44" spans="1:27" ht="15" x14ac:dyDescent="0.25">
      <c r="A44" s="20"/>
      <c r="B44" s="37"/>
      <c r="C44" s="37"/>
      <c r="D44" s="37"/>
      <c r="Z44" s="20"/>
      <c r="AA44" s="20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4"/>
  <sheetViews>
    <sheetView zoomScale="110" zoomScaleNormal="110" workbookViewId="0">
      <pane ySplit="1" topLeftCell="A2" activePane="bottomLeft" state="frozen"/>
      <selection pane="bottomLeft" activeCell="A33" sqref="A33:XFD33"/>
    </sheetView>
  </sheetViews>
  <sheetFormatPr defaultRowHeight="13.2" x14ac:dyDescent="0.25"/>
  <cols>
    <col min="1" max="1" width="20.88671875" style="15" bestFit="1" customWidth="1"/>
    <col min="2" max="2" width="20.6640625" bestFit="1" customWidth="1"/>
    <col min="3" max="3" width="14.109375" customWidth="1"/>
    <col min="4" max="4" width="16.5546875" bestFit="1" customWidth="1"/>
    <col min="5" max="5" width="19.88671875" bestFit="1" customWidth="1"/>
    <col min="6" max="6" width="15.5546875" bestFit="1" customWidth="1"/>
    <col min="7" max="7" width="13.6640625" bestFit="1" customWidth="1"/>
    <col min="8" max="8" width="12.88671875" bestFit="1" customWidth="1"/>
    <col min="9" max="9" width="15" style="33" bestFit="1" customWidth="1"/>
    <col min="10" max="10" width="17.5546875" bestFit="1" customWidth="1"/>
    <col min="11" max="11" width="16.109375" bestFit="1" customWidth="1"/>
    <col min="13" max="13" width="10" bestFit="1" customWidth="1"/>
    <col min="25" max="25" width="18.33203125" bestFit="1" customWidth="1"/>
  </cols>
  <sheetData>
    <row r="1" spans="1:14" ht="16.2" thickBot="1" x14ac:dyDescent="0.35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0" t="s">
        <v>25</v>
      </c>
      <c r="J1" s="3" t="s">
        <v>23</v>
      </c>
      <c r="K1" s="3" t="s">
        <v>29</v>
      </c>
    </row>
    <row r="2" spans="1:14" ht="16.2" thickBot="1" x14ac:dyDescent="0.35">
      <c r="A2" s="8">
        <v>44773</v>
      </c>
      <c r="B2" s="3">
        <v>456526</v>
      </c>
      <c r="C2" s="36"/>
      <c r="D2" s="3">
        <v>11606</v>
      </c>
      <c r="E2" s="36"/>
      <c r="F2" s="3">
        <v>10527500</v>
      </c>
      <c r="G2" s="36"/>
      <c r="H2" s="3">
        <v>804064</v>
      </c>
      <c r="I2" s="41"/>
      <c r="J2" s="18">
        <f t="shared" ref="J2" si="0">C2+E2+G2+I2</f>
        <v>0</v>
      </c>
      <c r="K2" s="19">
        <f t="shared" ref="K2" si="1">J2*5.86</f>
        <v>0</v>
      </c>
    </row>
    <row r="3" spans="1:14" ht="16.2" thickBot="1" x14ac:dyDescent="0.35">
      <c r="A3" s="8">
        <v>44774</v>
      </c>
      <c r="B3" s="3">
        <v>456649</v>
      </c>
      <c r="C3" s="36">
        <f t="shared" ref="C3:E18" si="2">(IF((B3-B2)&lt;0,"0",(B3-B2)))*10</f>
        <v>1230</v>
      </c>
      <c r="D3" s="3">
        <v>11654</v>
      </c>
      <c r="E3" s="36">
        <f t="shared" si="2"/>
        <v>480</v>
      </c>
      <c r="F3" s="3">
        <v>10551200</v>
      </c>
      <c r="G3" s="36">
        <f>(IF((F3-F2)&lt;0,"0",(F3-F2)))*0.027</f>
        <v>639.9</v>
      </c>
      <c r="H3" s="3">
        <v>804192</v>
      </c>
      <c r="I3" s="41">
        <f>(IF((H3-H2)&lt;0,"0",(H3-H2)))*0.027</f>
        <v>3.456</v>
      </c>
      <c r="J3" s="18">
        <f>C3+E3+G3+I3</f>
        <v>2353.3560000000002</v>
      </c>
      <c r="K3" s="19">
        <f>J3*5.86</f>
        <v>13790.666160000002</v>
      </c>
    </row>
    <row r="4" spans="1:14" ht="16.2" thickBot="1" x14ac:dyDescent="0.35">
      <c r="A4" s="8">
        <v>44775</v>
      </c>
      <c r="B4" s="3">
        <v>456748</v>
      </c>
      <c r="C4" s="36">
        <f t="shared" si="2"/>
        <v>990</v>
      </c>
      <c r="D4" s="3">
        <v>11686</v>
      </c>
      <c r="E4" s="36">
        <f t="shared" si="2"/>
        <v>320</v>
      </c>
      <c r="F4" s="3">
        <v>10573000</v>
      </c>
      <c r="G4" s="36">
        <f>(IF((F4-F3)&lt;0,"0",(F4-F3)))*0.027</f>
        <v>588.6</v>
      </c>
      <c r="H4" s="3">
        <v>804308</v>
      </c>
      <c r="I4" s="41">
        <f>(IF((H4-H3)&lt;0,"0",(H4-H3)))*0.027</f>
        <v>3.1320000000000001</v>
      </c>
      <c r="J4" s="18">
        <f t="shared" ref="J4:J33" si="3">C4+E4+G4+I4</f>
        <v>1901.732</v>
      </c>
      <c r="K4" s="19">
        <f t="shared" ref="K4:K33" si="4">J4*5.86</f>
        <v>11144.149520000001</v>
      </c>
    </row>
    <row r="5" spans="1:14" ht="16.2" thickBot="1" x14ac:dyDescent="0.35">
      <c r="A5" s="8">
        <v>44776</v>
      </c>
      <c r="B5" s="3">
        <v>456869</v>
      </c>
      <c r="C5" s="36">
        <f t="shared" si="2"/>
        <v>1210</v>
      </c>
      <c r="D5" s="3">
        <v>11730</v>
      </c>
      <c r="E5" s="36">
        <f t="shared" si="2"/>
        <v>440</v>
      </c>
      <c r="F5" s="3">
        <v>10597800</v>
      </c>
      <c r="G5" s="36">
        <f t="shared" ref="G5:G33" si="5">(IF((F5-F4)&lt;0,"0",(F5-F4)))*0.027</f>
        <v>669.6</v>
      </c>
      <c r="H5" s="3">
        <v>804451</v>
      </c>
      <c r="I5" s="41">
        <f t="shared" ref="I5:I33" si="6">(IF((H5-H4)&lt;0,"0",(H5-H4)))*0.027</f>
        <v>3.8609999999999998</v>
      </c>
      <c r="J5" s="18">
        <f t="shared" si="3"/>
        <v>2323.4609999999998</v>
      </c>
      <c r="K5" s="19">
        <f t="shared" si="4"/>
        <v>13615.481459999999</v>
      </c>
    </row>
    <row r="6" spans="1:14" ht="16.2" thickBot="1" x14ac:dyDescent="0.35">
      <c r="A6" s="8">
        <v>44777</v>
      </c>
      <c r="B6" s="3">
        <v>457057</v>
      </c>
      <c r="C6" s="36">
        <f t="shared" si="2"/>
        <v>1880</v>
      </c>
      <c r="D6" s="3">
        <v>11775</v>
      </c>
      <c r="E6" s="36">
        <f t="shared" si="2"/>
        <v>450</v>
      </c>
      <c r="F6" s="3">
        <v>10619300</v>
      </c>
      <c r="G6" s="36">
        <f t="shared" si="5"/>
        <v>580.5</v>
      </c>
      <c r="H6" s="3">
        <v>804585</v>
      </c>
      <c r="I6" s="41">
        <f t="shared" si="6"/>
        <v>3.6179999999999999</v>
      </c>
      <c r="J6" s="18">
        <f t="shared" si="3"/>
        <v>2914.1179999999999</v>
      </c>
      <c r="K6" s="19">
        <f t="shared" si="4"/>
        <v>17076.731480000002</v>
      </c>
    </row>
    <row r="7" spans="1:14" ht="16.2" thickBot="1" x14ac:dyDescent="0.35">
      <c r="A7" s="8">
        <v>44778</v>
      </c>
      <c r="B7" s="3">
        <v>457139</v>
      </c>
      <c r="C7" s="36">
        <f t="shared" si="2"/>
        <v>820</v>
      </c>
      <c r="D7" s="3">
        <v>11811</v>
      </c>
      <c r="E7" s="36">
        <f t="shared" si="2"/>
        <v>360</v>
      </c>
      <c r="F7" s="3">
        <v>10636700</v>
      </c>
      <c r="G7" s="36">
        <f t="shared" si="5"/>
        <v>469.8</v>
      </c>
      <c r="H7" s="3">
        <v>804687</v>
      </c>
      <c r="I7" s="41">
        <f t="shared" si="6"/>
        <v>2.754</v>
      </c>
      <c r="J7" s="18">
        <f t="shared" si="3"/>
        <v>1652.5539999999999</v>
      </c>
      <c r="K7" s="19">
        <f t="shared" si="4"/>
        <v>9683.9664400000001</v>
      </c>
      <c r="L7" t="s">
        <v>12</v>
      </c>
      <c r="N7" t="s">
        <v>12</v>
      </c>
    </row>
    <row r="8" spans="1:14" ht="16.2" thickBot="1" x14ac:dyDescent="0.35">
      <c r="A8" s="8">
        <v>44779</v>
      </c>
      <c r="B8" s="3">
        <v>457148</v>
      </c>
      <c r="C8" s="36">
        <f t="shared" si="2"/>
        <v>90</v>
      </c>
      <c r="D8" s="3">
        <v>11852</v>
      </c>
      <c r="E8" s="36">
        <f t="shared" si="2"/>
        <v>410</v>
      </c>
      <c r="F8" s="3">
        <v>10657700</v>
      </c>
      <c r="G8" s="36">
        <f t="shared" si="5"/>
        <v>567</v>
      </c>
      <c r="H8" s="3">
        <v>804801</v>
      </c>
      <c r="I8" s="41">
        <f t="shared" si="6"/>
        <v>3.0779999999999998</v>
      </c>
      <c r="J8" s="18">
        <f t="shared" si="3"/>
        <v>1070.078</v>
      </c>
      <c r="K8" s="19">
        <f t="shared" si="4"/>
        <v>6270.65708</v>
      </c>
    </row>
    <row r="9" spans="1:14" ht="16.2" thickBot="1" x14ac:dyDescent="0.35">
      <c r="A9" s="8">
        <v>44780</v>
      </c>
      <c r="B9" s="3">
        <v>457231</v>
      </c>
      <c r="C9" s="36">
        <f t="shared" ref="C9:C33" si="7">(IF((B9-B8)&lt;0,"0",(B9-B8)))*10</f>
        <v>830</v>
      </c>
      <c r="D9" s="3">
        <v>11896</v>
      </c>
      <c r="E9" s="36">
        <f t="shared" si="2"/>
        <v>440</v>
      </c>
      <c r="F9" s="3">
        <v>10680100</v>
      </c>
      <c r="G9" s="36">
        <f t="shared" si="5"/>
        <v>604.79999999999995</v>
      </c>
      <c r="H9" s="3">
        <v>804941</v>
      </c>
      <c r="I9" s="41">
        <f t="shared" si="6"/>
        <v>3.78</v>
      </c>
      <c r="J9" s="18">
        <f t="shared" si="3"/>
        <v>1878.58</v>
      </c>
      <c r="K9" s="19">
        <f t="shared" si="4"/>
        <v>11008.478800000001</v>
      </c>
    </row>
    <row r="10" spans="1:14" ht="16.2" thickBot="1" x14ac:dyDescent="0.35">
      <c r="A10" s="8">
        <v>44781</v>
      </c>
      <c r="B10" s="3">
        <v>457334</v>
      </c>
      <c r="C10" s="36">
        <f>(IF((B10-B9)&lt;0,"0",(B10-B9)))*10</f>
        <v>1030</v>
      </c>
      <c r="D10" s="3">
        <v>11937</v>
      </c>
      <c r="E10" s="36">
        <f t="shared" si="2"/>
        <v>410</v>
      </c>
      <c r="F10" s="3">
        <v>10699800</v>
      </c>
      <c r="G10" s="36">
        <f t="shared" si="5"/>
        <v>531.9</v>
      </c>
      <c r="H10" s="3">
        <v>805059</v>
      </c>
      <c r="I10" s="41">
        <f t="shared" si="6"/>
        <v>3.1859999999999999</v>
      </c>
      <c r="J10" s="18">
        <f t="shared" si="3"/>
        <v>1975.086</v>
      </c>
      <c r="K10" s="19">
        <f t="shared" si="4"/>
        <v>11574.00396</v>
      </c>
    </row>
    <row r="11" spans="1:14" ht="16.2" thickBot="1" x14ac:dyDescent="0.35">
      <c r="A11" s="8">
        <v>44782</v>
      </c>
      <c r="B11" s="3">
        <v>457434</v>
      </c>
      <c r="C11" s="36">
        <f t="shared" si="7"/>
        <v>1000</v>
      </c>
      <c r="D11" s="3">
        <v>11982</v>
      </c>
      <c r="E11" s="36">
        <f t="shared" si="2"/>
        <v>450</v>
      </c>
      <c r="F11" s="3">
        <v>10721700</v>
      </c>
      <c r="G11" s="36">
        <f t="shared" si="5"/>
        <v>591.29999999999995</v>
      </c>
      <c r="H11" s="3">
        <v>805188</v>
      </c>
      <c r="I11" s="41">
        <f t="shared" si="6"/>
        <v>3.4830000000000001</v>
      </c>
      <c r="J11" s="18">
        <f t="shared" si="3"/>
        <v>2044.7829999999999</v>
      </c>
      <c r="K11" s="19">
        <f t="shared" si="4"/>
        <v>11982.428379999999</v>
      </c>
      <c r="N11" t="s">
        <v>12</v>
      </c>
    </row>
    <row r="12" spans="1:14" ht="16.2" thickBot="1" x14ac:dyDescent="0.35">
      <c r="A12" s="8">
        <v>44783</v>
      </c>
      <c r="B12" s="3">
        <v>457532</v>
      </c>
      <c r="C12" s="36">
        <f t="shared" si="7"/>
        <v>980</v>
      </c>
      <c r="D12" s="3">
        <v>12023</v>
      </c>
      <c r="E12" s="36">
        <f t="shared" si="2"/>
        <v>410</v>
      </c>
      <c r="F12" s="3">
        <v>10742800</v>
      </c>
      <c r="G12" s="36">
        <f t="shared" si="5"/>
        <v>569.70000000000005</v>
      </c>
      <c r="H12" s="3">
        <v>805324</v>
      </c>
      <c r="I12" s="41">
        <f t="shared" si="6"/>
        <v>3.6720000000000002</v>
      </c>
      <c r="J12" s="18">
        <f t="shared" si="3"/>
        <v>1963.3720000000001</v>
      </c>
      <c r="K12" s="19">
        <f t="shared" si="4"/>
        <v>11505.359920000001</v>
      </c>
    </row>
    <row r="13" spans="1:14" ht="16.2" thickBot="1" x14ac:dyDescent="0.35">
      <c r="A13" s="8">
        <v>44784</v>
      </c>
      <c r="B13" s="3">
        <v>457652</v>
      </c>
      <c r="C13" s="36">
        <f t="shared" si="7"/>
        <v>1200</v>
      </c>
      <c r="D13" s="3">
        <v>12071</v>
      </c>
      <c r="E13" s="36">
        <f t="shared" si="2"/>
        <v>480</v>
      </c>
      <c r="F13" s="3">
        <v>10765100</v>
      </c>
      <c r="G13" s="36">
        <f t="shared" si="5"/>
        <v>602.1</v>
      </c>
      <c r="H13" s="3">
        <v>805452</v>
      </c>
      <c r="I13" s="41">
        <f t="shared" si="6"/>
        <v>3.456</v>
      </c>
      <c r="J13" s="18">
        <f t="shared" si="3"/>
        <v>2285.556</v>
      </c>
      <c r="K13" s="19">
        <f t="shared" si="4"/>
        <v>13393.358160000002</v>
      </c>
    </row>
    <row r="14" spans="1:14" ht="16.2" thickBot="1" x14ac:dyDescent="0.35">
      <c r="A14" s="8">
        <v>44785</v>
      </c>
      <c r="B14" s="3">
        <v>457762</v>
      </c>
      <c r="C14" s="36">
        <f t="shared" si="7"/>
        <v>1100</v>
      </c>
      <c r="D14" s="3">
        <v>12114</v>
      </c>
      <c r="E14" s="36">
        <f t="shared" si="2"/>
        <v>430</v>
      </c>
      <c r="F14" s="3">
        <v>10786200</v>
      </c>
      <c r="G14" s="36">
        <f t="shared" si="5"/>
        <v>569.70000000000005</v>
      </c>
      <c r="H14" s="3">
        <v>805580</v>
      </c>
      <c r="I14" s="41">
        <f t="shared" si="6"/>
        <v>3.456</v>
      </c>
      <c r="J14" s="18">
        <f t="shared" si="3"/>
        <v>2103.1559999999999</v>
      </c>
      <c r="K14" s="19">
        <f t="shared" si="4"/>
        <v>12324.49416</v>
      </c>
    </row>
    <row r="15" spans="1:14" ht="16.2" thickBot="1" x14ac:dyDescent="0.35">
      <c r="A15" s="8">
        <v>44786</v>
      </c>
      <c r="B15" s="3">
        <v>457868</v>
      </c>
      <c r="C15" s="36">
        <f t="shared" si="7"/>
        <v>1060</v>
      </c>
      <c r="D15" s="3">
        <v>12158</v>
      </c>
      <c r="E15" s="36">
        <f t="shared" si="2"/>
        <v>440</v>
      </c>
      <c r="F15" s="3">
        <v>10808000</v>
      </c>
      <c r="G15" s="36">
        <f t="shared" si="5"/>
        <v>588.6</v>
      </c>
      <c r="H15" s="3">
        <v>805685</v>
      </c>
      <c r="I15" s="41">
        <f t="shared" si="6"/>
        <v>2.835</v>
      </c>
      <c r="J15" s="18">
        <f t="shared" si="3"/>
        <v>2091.4349999999999</v>
      </c>
      <c r="K15" s="19">
        <f t="shared" si="4"/>
        <v>12255.8091</v>
      </c>
    </row>
    <row r="16" spans="1:14" ht="16.2" thickBot="1" x14ac:dyDescent="0.35">
      <c r="A16" s="8">
        <v>44787</v>
      </c>
      <c r="B16" s="3">
        <v>457973</v>
      </c>
      <c r="C16" s="36">
        <f t="shared" si="7"/>
        <v>1050</v>
      </c>
      <c r="D16" s="3">
        <v>12202</v>
      </c>
      <c r="E16" s="36">
        <f t="shared" si="2"/>
        <v>440</v>
      </c>
      <c r="F16" s="3">
        <v>10829200</v>
      </c>
      <c r="G16" s="36">
        <f t="shared" si="5"/>
        <v>572.4</v>
      </c>
      <c r="H16" s="3">
        <v>805818</v>
      </c>
      <c r="I16" s="41">
        <f t="shared" si="6"/>
        <v>3.5909999999999997</v>
      </c>
      <c r="J16" s="18">
        <f t="shared" si="3"/>
        <v>2065.991</v>
      </c>
      <c r="K16" s="19">
        <f t="shared" si="4"/>
        <v>12106.707260000001</v>
      </c>
    </row>
    <row r="17" spans="1:25" ht="16.2" thickBot="1" x14ac:dyDescent="0.35">
      <c r="A17" s="8">
        <v>44788</v>
      </c>
      <c r="B17" s="3">
        <v>458045</v>
      </c>
      <c r="C17" s="36">
        <f t="shared" si="7"/>
        <v>720</v>
      </c>
      <c r="D17" s="3">
        <v>12244</v>
      </c>
      <c r="E17" s="36">
        <f t="shared" si="2"/>
        <v>420</v>
      </c>
      <c r="F17" s="3">
        <v>10850200</v>
      </c>
      <c r="G17" s="36">
        <f t="shared" si="5"/>
        <v>567</v>
      </c>
      <c r="H17" s="3">
        <v>805945</v>
      </c>
      <c r="I17" s="41">
        <f t="shared" si="6"/>
        <v>3.4289999999999998</v>
      </c>
      <c r="J17" s="18">
        <f t="shared" si="3"/>
        <v>1710.4290000000001</v>
      </c>
      <c r="K17" s="19">
        <f t="shared" si="4"/>
        <v>10023.113940000001</v>
      </c>
      <c r="P17" t="s">
        <v>12</v>
      </c>
      <c r="R17" t="s">
        <v>12</v>
      </c>
    </row>
    <row r="18" spans="1:25" ht="16.2" thickBot="1" x14ac:dyDescent="0.35">
      <c r="A18" s="8">
        <v>44789</v>
      </c>
      <c r="B18" s="3">
        <v>458155</v>
      </c>
      <c r="C18" s="36">
        <f t="shared" si="7"/>
        <v>1100</v>
      </c>
      <c r="D18" s="3">
        <v>12287</v>
      </c>
      <c r="E18" s="36">
        <f t="shared" si="2"/>
        <v>430</v>
      </c>
      <c r="F18" s="3">
        <v>10873600</v>
      </c>
      <c r="G18" s="36">
        <f t="shared" si="5"/>
        <v>631.79999999999995</v>
      </c>
      <c r="H18" s="3">
        <v>806077</v>
      </c>
      <c r="I18" s="41">
        <f t="shared" si="6"/>
        <v>3.5640000000000001</v>
      </c>
      <c r="J18" s="18">
        <f t="shared" si="3"/>
        <v>2165.364</v>
      </c>
      <c r="K18" s="19">
        <f t="shared" si="4"/>
        <v>12689.03304</v>
      </c>
      <c r="Q18" t="s">
        <v>43</v>
      </c>
    </row>
    <row r="19" spans="1:25" ht="16.2" thickBot="1" x14ac:dyDescent="0.35">
      <c r="A19" s="8">
        <v>44790</v>
      </c>
      <c r="B19" s="3">
        <v>458274</v>
      </c>
      <c r="C19" s="36">
        <f t="shared" si="7"/>
        <v>1190</v>
      </c>
      <c r="D19" s="3">
        <v>12339</v>
      </c>
      <c r="E19" s="36">
        <f t="shared" ref="E19:E33" si="8">(IF((D19-D18)&lt;0,"0",(D19-D18)))*10</f>
        <v>520</v>
      </c>
      <c r="F19" s="3">
        <v>10895300</v>
      </c>
      <c r="G19" s="36">
        <f t="shared" si="5"/>
        <v>585.9</v>
      </c>
      <c r="H19" s="3">
        <v>806235</v>
      </c>
      <c r="I19" s="41">
        <f t="shared" si="6"/>
        <v>4.266</v>
      </c>
      <c r="J19" s="18">
        <f t="shared" si="3"/>
        <v>2300.1660000000002</v>
      </c>
      <c r="K19" s="19">
        <f t="shared" si="4"/>
        <v>13478.972760000002</v>
      </c>
      <c r="Q19" t="s">
        <v>12</v>
      </c>
    </row>
    <row r="20" spans="1:25" ht="16.2" thickBot="1" x14ac:dyDescent="0.35">
      <c r="A20" s="8">
        <v>44791</v>
      </c>
      <c r="B20" s="3">
        <v>458383</v>
      </c>
      <c r="C20" s="36">
        <f t="shared" si="7"/>
        <v>1090</v>
      </c>
      <c r="D20" s="3">
        <v>12371</v>
      </c>
      <c r="E20" s="36">
        <f t="shared" si="8"/>
        <v>320</v>
      </c>
      <c r="F20" s="3">
        <v>10917000</v>
      </c>
      <c r="G20" s="36">
        <f t="shared" si="5"/>
        <v>585.9</v>
      </c>
      <c r="H20" s="3">
        <v>806380</v>
      </c>
      <c r="I20" s="41">
        <f t="shared" si="6"/>
        <v>3.915</v>
      </c>
      <c r="J20" s="18">
        <f t="shared" si="3"/>
        <v>1999.8150000000001</v>
      </c>
      <c r="K20" s="19">
        <f t="shared" si="4"/>
        <v>11718.915900000002</v>
      </c>
    </row>
    <row r="21" spans="1:25" ht="16.2" thickBot="1" x14ac:dyDescent="0.35">
      <c r="A21" s="8">
        <v>44792</v>
      </c>
      <c r="B21" s="3">
        <v>458500</v>
      </c>
      <c r="C21" s="36">
        <f t="shared" si="7"/>
        <v>1170</v>
      </c>
      <c r="D21" s="3">
        <v>12428</v>
      </c>
      <c r="E21" s="36">
        <f t="shared" si="8"/>
        <v>570</v>
      </c>
      <c r="F21" s="3">
        <v>10939600</v>
      </c>
      <c r="G21" s="36">
        <f t="shared" si="5"/>
        <v>610.20000000000005</v>
      </c>
      <c r="H21" s="3">
        <v>806487</v>
      </c>
      <c r="I21" s="41">
        <f t="shared" si="6"/>
        <v>2.8889999999999998</v>
      </c>
      <c r="J21" s="18">
        <f t="shared" si="3"/>
        <v>2353.0889999999999</v>
      </c>
      <c r="K21" s="19">
        <f t="shared" si="4"/>
        <v>13789.10154</v>
      </c>
    </row>
    <row r="22" spans="1:25" ht="16.2" thickBot="1" x14ac:dyDescent="0.35">
      <c r="A22" s="8">
        <v>44793</v>
      </c>
      <c r="B22" s="3">
        <v>458628</v>
      </c>
      <c r="C22" s="36">
        <f t="shared" si="7"/>
        <v>1280</v>
      </c>
      <c r="D22" s="3">
        <v>12492</v>
      </c>
      <c r="E22" s="36">
        <f t="shared" si="8"/>
        <v>640</v>
      </c>
      <c r="F22" s="3">
        <v>10963800</v>
      </c>
      <c r="G22" s="36">
        <f t="shared" si="5"/>
        <v>653.4</v>
      </c>
      <c r="H22" s="3">
        <v>806618</v>
      </c>
      <c r="I22" s="41">
        <f t="shared" si="6"/>
        <v>3.5369999999999999</v>
      </c>
      <c r="J22" s="18">
        <f t="shared" si="3"/>
        <v>2576.9369999999999</v>
      </c>
      <c r="K22" s="19">
        <f t="shared" si="4"/>
        <v>15100.85082</v>
      </c>
      <c r="P22" t="s">
        <v>12</v>
      </c>
      <c r="S22" s="24" t="s">
        <v>12</v>
      </c>
    </row>
    <row r="23" spans="1:25" ht="16.2" thickBot="1" x14ac:dyDescent="0.35">
      <c r="A23" s="8">
        <v>44794</v>
      </c>
      <c r="B23" s="3">
        <v>458749</v>
      </c>
      <c r="C23" s="36">
        <f t="shared" si="7"/>
        <v>1210</v>
      </c>
      <c r="D23" s="3">
        <v>12545</v>
      </c>
      <c r="E23" s="36">
        <f t="shared" si="8"/>
        <v>530</v>
      </c>
      <c r="F23" s="3">
        <v>10986200</v>
      </c>
      <c r="G23" s="36">
        <f t="shared" si="5"/>
        <v>604.79999999999995</v>
      </c>
      <c r="H23" s="3">
        <v>806755</v>
      </c>
      <c r="I23" s="41">
        <f t="shared" si="6"/>
        <v>3.6989999999999998</v>
      </c>
      <c r="J23" s="18">
        <f t="shared" si="3"/>
        <v>2348.4990000000003</v>
      </c>
      <c r="K23" s="19">
        <f t="shared" si="4"/>
        <v>13762.204140000002</v>
      </c>
      <c r="Q23" t="s">
        <v>12</v>
      </c>
    </row>
    <row r="24" spans="1:25" ht="16.2" thickBot="1" x14ac:dyDescent="0.35">
      <c r="A24" s="8">
        <v>44795</v>
      </c>
      <c r="B24" s="3">
        <v>458851</v>
      </c>
      <c r="C24" s="36">
        <f t="shared" si="7"/>
        <v>1020</v>
      </c>
      <c r="D24" s="3">
        <v>12585</v>
      </c>
      <c r="E24" s="36">
        <f t="shared" si="8"/>
        <v>400</v>
      </c>
      <c r="F24" s="3">
        <v>11010000</v>
      </c>
      <c r="G24" s="36">
        <f t="shared" si="5"/>
        <v>642.6</v>
      </c>
      <c r="H24" s="3">
        <v>806898</v>
      </c>
      <c r="I24" s="41">
        <f t="shared" si="6"/>
        <v>3.8609999999999998</v>
      </c>
      <c r="J24" s="18">
        <f t="shared" si="3"/>
        <v>2066.4609999999998</v>
      </c>
      <c r="K24" s="19">
        <f t="shared" si="4"/>
        <v>12109.461459999999</v>
      </c>
      <c r="N24" s="143"/>
    </row>
    <row r="25" spans="1:25" ht="17.25" customHeight="1" thickBot="1" x14ac:dyDescent="0.45">
      <c r="A25" s="8">
        <v>44796</v>
      </c>
      <c r="B25" s="3">
        <v>458981</v>
      </c>
      <c r="C25" s="36">
        <f t="shared" si="7"/>
        <v>1300</v>
      </c>
      <c r="D25" s="3">
        <v>12634</v>
      </c>
      <c r="E25" s="36">
        <f t="shared" si="8"/>
        <v>490</v>
      </c>
      <c r="F25" s="3">
        <v>11034800</v>
      </c>
      <c r="G25" s="36">
        <f t="shared" si="5"/>
        <v>669.6</v>
      </c>
      <c r="H25" s="3">
        <v>807056</v>
      </c>
      <c r="I25" s="41">
        <f t="shared" si="6"/>
        <v>4.266</v>
      </c>
      <c r="J25" s="18">
        <f t="shared" si="3"/>
        <v>2463.866</v>
      </c>
      <c r="K25" s="19">
        <f t="shared" si="4"/>
        <v>14438.25476</v>
      </c>
      <c r="Y25" s="52"/>
    </row>
    <row r="26" spans="1:25" ht="16.2" thickBot="1" x14ac:dyDescent="0.35">
      <c r="A26" s="8">
        <v>44797</v>
      </c>
      <c r="B26" s="3">
        <v>459082</v>
      </c>
      <c r="C26" s="36">
        <f t="shared" si="7"/>
        <v>1010</v>
      </c>
      <c r="D26" s="3">
        <v>12676</v>
      </c>
      <c r="E26" s="36">
        <f t="shared" si="8"/>
        <v>420</v>
      </c>
      <c r="F26" s="3">
        <v>11059200</v>
      </c>
      <c r="G26" s="36">
        <f t="shared" si="5"/>
        <v>658.8</v>
      </c>
      <c r="H26" s="3">
        <v>807180</v>
      </c>
      <c r="I26" s="41">
        <f t="shared" si="6"/>
        <v>3.3479999999999999</v>
      </c>
      <c r="J26" s="18">
        <f t="shared" si="3"/>
        <v>2092.1480000000001</v>
      </c>
      <c r="K26" s="19">
        <f t="shared" si="4"/>
        <v>12259.987280000001</v>
      </c>
      <c r="L26" t="s">
        <v>12</v>
      </c>
    </row>
    <row r="27" spans="1:25" ht="16.2" thickBot="1" x14ac:dyDescent="0.35">
      <c r="A27" s="8">
        <v>44798</v>
      </c>
      <c r="B27" s="3">
        <v>459188</v>
      </c>
      <c r="C27" s="36">
        <f t="shared" si="7"/>
        <v>1060</v>
      </c>
      <c r="D27" s="3">
        <v>12720</v>
      </c>
      <c r="E27" s="36">
        <f t="shared" si="8"/>
        <v>440</v>
      </c>
      <c r="F27" s="3">
        <v>11083400</v>
      </c>
      <c r="G27" s="36">
        <f t="shared" si="5"/>
        <v>653.4</v>
      </c>
      <c r="H27" s="3">
        <v>807311</v>
      </c>
      <c r="I27" s="41">
        <f t="shared" si="6"/>
        <v>3.5369999999999999</v>
      </c>
      <c r="J27" s="18">
        <f t="shared" si="3"/>
        <v>2156.9369999999999</v>
      </c>
      <c r="K27" s="19">
        <f t="shared" si="4"/>
        <v>12639.650820000001</v>
      </c>
      <c r="N27" s="32"/>
      <c r="O27" t="s">
        <v>12</v>
      </c>
    </row>
    <row r="28" spans="1:25" ht="16.2" thickBot="1" x14ac:dyDescent="0.35">
      <c r="A28" s="8">
        <v>44799</v>
      </c>
      <c r="B28" s="3">
        <v>459282</v>
      </c>
      <c r="C28" s="36">
        <f t="shared" si="7"/>
        <v>940</v>
      </c>
      <c r="D28" s="3">
        <v>12761</v>
      </c>
      <c r="E28" s="36">
        <f t="shared" si="8"/>
        <v>410</v>
      </c>
      <c r="F28" s="3">
        <v>11105800</v>
      </c>
      <c r="G28" s="36">
        <f t="shared" si="5"/>
        <v>604.79999999999995</v>
      </c>
      <c r="H28" s="3">
        <v>807446</v>
      </c>
      <c r="I28" s="41">
        <f t="shared" si="6"/>
        <v>3.645</v>
      </c>
      <c r="J28" s="18">
        <f t="shared" si="3"/>
        <v>1958.4449999999999</v>
      </c>
      <c r="K28" s="19">
        <f t="shared" si="4"/>
        <v>11476.4877</v>
      </c>
    </row>
    <row r="29" spans="1:25" ht="16.2" thickBot="1" x14ac:dyDescent="0.35">
      <c r="A29" s="8">
        <v>44800</v>
      </c>
      <c r="B29" s="3">
        <v>459388</v>
      </c>
      <c r="C29" s="36">
        <f t="shared" si="7"/>
        <v>1060</v>
      </c>
      <c r="D29" s="3">
        <v>12804</v>
      </c>
      <c r="E29" s="36">
        <f t="shared" si="8"/>
        <v>430</v>
      </c>
      <c r="F29" s="3">
        <v>11131400</v>
      </c>
      <c r="G29" s="36">
        <f t="shared" si="5"/>
        <v>691.2</v>
      </c>
      <c r="H29" s="3">
        <v>807606</v>
      </c>
      <c r="I29" s="41">
        <f t="shared" si="6"/>
        <v>4.32</v>
      </c>
      <c r="J29" s="18">
        <f t="shared" si="3"/>
        <v>2185.52</v>
      </c>
      <c r="K29" s="19">
        <f t="shared" si="4"/>
        <v>12807.147200000001</v>
      </c>
    </row>
    <row r="30" spans="1:25" ht="16.2" thickBot="1" x14ac:dyDescent="0.35">
      <c r="A30" s="8">
        <v>44801</v>
      </c>
      <c r="B30" s="3">
        <v>459488</v>
      </c>
      <c r="C30" s="36">
        <f t="shared" si="7"/>
        <v>1000</v>
      </c>
      <c r="D30" s="3">
        <v>12845</v>
      </c>
      <c r="E30" s="36">
        <f t="shared" si="8"/>
        <v>410</v>
      </c>
      <c r="F30" s="3">
        <v>11155000</v>
      </c>
      <c r="G30" s="36">
        <f t="shared" si="5"/>
        <v>637.20000000000005</v>
      </c>
      <c r="H30" s="3">
        <v>807768</v>
      </c>
      <c r="I30" s="41">
        <f t="shared" si="6"/>
        <v>4.3739999999999997</v>
      </c>
      <c r="J30" s="18">
        <f t="shared" si="3"/>
        <v>2051.5740000000001</v>
      </c>
      <c r="K30" s="19">
        <f t="shared" si="4"/>
        <v>12022.22364</v>
      </c>
    </row>
    <row r="31" spans="1:25" ht="16.2" thickBot="1" x14ac:dyDescent="0.35">
      <c r="A31" s="8">
        <v>44802</v>
      </c>
      <c r="B31" s="3">
        <v>459586</v>
      </c>
      <c r="C31" s="36">
        <f t="shared" si="7"/>
        <v>980</v>
      </c>
      <c r="D31" s="3">
        <v>12888</v>
      </c>
      <c r="E31" s="36">
        <f t="shared" si="8"/>
        <v>430</v>
      </c>
      <c r="F31" s="3">
        <v>11177200</v>
      </c>
      <c r="G31" s="36">
        <f t="shared" si="5"/>
        <v>599.4</v>
      </c>
      <c r="H31" s="3">
        <v>807924</v>
      </c>
      <c r="I31" s="41">
        <f t="shared" si="6"/>
        <v>4.2119999999999997</v>
      </c>
      <c r="J31" s="18">
        <f t="shared" si="3"/>
        <v>2013.6120000000001</v>
      </c>
      <c r="K31" s="19">
        <f t="shared" si="4"/>
        <v>11799.766320000001</v>
      </c>
    </row>
    <row r="32" spans="1:25" ht="16.2" thickBot="1" x14ac:dyDescent="0.35">
      <c r="A32" s="8">
        <v>44803</v>
      </c>
      <c r="B32" s="3">
        <v>459685</v>
      </c>
      <c r="C32" s="36">
        <f t="shared" si="7"/>
        <v>990</v>
      </c>
      <c r="D32" s="3">
        <v>12935</v>
      </c>
      <c r="E32" s="36">
        <f t="shared" si="8"/>
        <v>470</v>
      </c>
      <c r="F32" s="3">
        <v>11201100</v>
      </c>
      <c r="G32" s="36">
        <f t="shared" si="5"/>
        <v>645.29999999999995</v>
      </c>
      <c r="H32" s="3">
        <v>808100</v>
      </c>
      <c r="I32" s="41">
        <f t="shared" si="6"/>
        <v>4.7519999999999998</v>
      </c>
      <c r="J32" s="18">
        <f t="shared" si="3"/>
        <v>2110.0520000000001</v>
      </c>
      <c r="K32" s="19">
        <f t="shared" si="4"/>
        <v>12364.904720000002</v>
      </c>
    </row>
    <row r="33" spans="1:11" ht="16.2" thickBot="1" x14ac:dyDescent="0.35">
      <c r="A33" s="8">
        <v>44804</v>
      </c>
      <c r="B33" s="3">
        <v>459795</v>
      </c>
      <c r="C33" s="36">
        <f t="shared" si="7"/>
        <v>1100</v>
      </c>
      <c r="D33" s="3">
        <v>12991</v>
      </c>
      <c r="E33" s="36">
        <f t="shared" si="8"/>
        <v>560</v>
      </c>
      <c r="F33" s="3">
        <v>11222500</v>
      </c>
      <c r="G33" s="36">
        <f t="shared" si="5"/>
        <v>577.79999999999995</v>
      </c>
      <c r="H33" s="3">
        <v>808267</v>
      </c>
      <c r="I33" s="41">
        <f t="shared" si="6"/>
        <v>4.5090000000000003</v>
      </c>
      <c r="J33" s="18">
        <f t="shared" si="3"/>
        <v>2242.3090000000002</v>
      </c>
      <c r="K33" s="19">
        <f t="shared" si="4"/>
        <v>13139.930740000002</v>
      </c>
    </row>
    <row r="34" spans="1:11" ht="16.2" thickBot="1" x14ac:dyDescent="0.35">
      <c r="A34" s="53" t="s">
        <v>23</v>
      </c>
      <c r="B34" s="53"/>
      <c r="C34" s="53">
        <f>SUM(C3:C33)</f>
        <v>32690</v>
      </c>
      <c r="D34" s="53"/>
      <c r="E34" s="53">
        <f>SUM(E3:E33)</f>
        <v>13850</v>
      </c>
      <c r="F34" s="53"/>
      <c r="G34" s="53">
        <f>SUM(G3:G33)</f>
        <v>18764.999999999996</v>
      </c>
      <c r="H34" s="53"/>
      <c r="I34" s="53">
        <f>SUM(I3:I33)</f>
        <v>113.48100000000001</v>
      </c>
      <c r="J34" s="53">
        <v>0</v>
      </c>
      <c r="K34" s="53">
        <f>SUM(K4:K33)</f>
        <v>369561.63249999995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4"/>
  <sheetViews>
    <sheetView zoomScale="80" zoomScaleNormal="55" zoomScaleSheetLayoutView="80" workbookViewId="0">
      <pane ySplit="1" topLeftCell="A5" activePane="bottomLeft" state="frozen"/>
      <selection pane="bottomLeft" activeCell="A33" sqref="A33:XFD33"/>
    </sheetView>
  </sheetViews>
  <sheetFormatPr defaultRowHeight="22.8" x14ac:dyDescent="0.4"/>
  <cols>
    <col min="1" max="1" width="37.109375" style="15" customWidth="1"/>
    <col min="2" max="2" width="37.109375" customWidth="1"/>
    <col min="3" max="3" width="37.109375" style="43" customWidth="1"/>
    <col min="4" max="4" width="8.5546875" bestFit="1" customWidth="1"/>
    <col min="5" max="5" width="9.33203125" customWidth="1"/>
    <col min="6" max="6" width="11" customWidth="1"/>
    <col min="7" max="7" width="9.6640625" customWidth="1"/>
    <col min="9" max="9" width="19.109375" customWidth="1"/>
  </cols>
  <sheetData>
    <row r="1" spans="1:9" ht="23.4" thickBot="1" x14ac:dyDescent="0.45">
      <c r="A1" s="23" t="s">
        <v>0</v>
      </c>
      <c r="B1" s="23" t="s">
        <v>42</v>
      </c>
      <c r="C1" s="23" t="s">
        <v>25</v>
      </c>
    </row>
    <row r="2" spans="1:9" ht="23.4" thickBot="1" x14ac:dyDescent="0.45">
      <c r="A2" s="8">
        <v>44773</v>
      </c>
      <c r="B2" s="115">
        <v>18421000</v>
      </c>
      <c r="C2" s="42"/>
    </row>
    <row r="3" spans="1:9" ht="23.4" thickBot="1" x14ac:dyDescent="0.45">
      <c r="A3" s="8">
        <v>44774</v>
      </c>
      <c r="B3" s="115">
        <v>18423084</v>
      </c>
      <c r="C3" s="42">
        <f>IF((B3-B2)&lt;0,"0",(B3-B2))</f>
        <v>2084</v>
      </c>
    </row>
    <row r="4" spans="1:9" ht="23.4" thickBot="1" x14ac:dyDescent="0.45">
      <c r="A4" s="8">
        <v>44775</v>
      </c>
      <c r="B4" s="115">
        <v>18425241</v>
      </c>
      <c r="C4" s="42">
        <f t="shared" ref="C4:C33" si="0">IF((B4-B3)&lt;0,"0",(B4-B3))</f>
        <v>2157</v>
      </c>
    </row>
    <row r="5" spans="1:9" ht="23.4" thickBot="1" x14ac:dyDescent="0.45">
      <c r="A5" s="8">
        <v>44776</v>
      </c>
      <c r="B5" s="115">
        <v>18427294</v>
      </c>
      <c r="C5" s="42">
        <f t="shared" si="0"/>
        <v>2053</v>
      </c>
    </row>
    <row r="6" spans="1:9" ht="23.4" thickBot="1" x14ac:dyDescent="0.45">
      <c r="A6" s="8">
        <v>44777</v>
      </c>
      <c r="B6" s="115">
        <v>18429781</v>
      </c>
      <c r="C6" s="42">
        <f t="shared" si="0"/>
        <v>2487</v>
      </c>
    </row>
    <row r="7" spans="1:9" ht="23.4" thickBot="1" x14ac:dyDescent="0.45">
      <c r="A7" s="8">
        <v>44778</v>
      </c>
      <c r="B7" s="115">
        <v>18431120</v>
      </c>
      <c r="C7" s="42">
        <f t="shared" si="0"/>
        <v>1339</v>
      </c>
    </row>
    <row r="8" spans="1:9" ht="23.4" thickBot="1" x14ac:dyDescent="0.45">
      <c r="A8" s="8">
        <v>44779</v>
      </c>
      <c r="B8" s="115">
        <v>18432560</v>
      </c>
      <c r="C8" s="42">
        <f t="shared" si="0"/>
        <v>1440</v>
      </c>
    </row>
    <row r="9" spans="1:9" ht="23.4" thickBot="1" x14ac:dyDescent="0.45">
      <c r="A9" s="8">
        <v>44780</v>
      </c>
      <c r="B9" s="115">
        <v>18433926</v>
      </c>
      <c r="C9" s="42">
        <f t="shared" si="0"/>
        <v>1366</v>
      </c>
    </row>
    <row r="10" spans="1:9" ht="23.4" thickBot="1" x14ac:dyDescent="0.45">
      <c r="A10" s="8">
        <v>44781</v>
      </c>
      <c r="B10" s="115">
        <v>18435989</v>
      </c>
      <c r="C10" s="42">
        <f t="shared" si="0"/>
        <v>2063</v>
      </c>
    </row>
    <row r="11" spans="1:9" ht="23.4" thickBot="1" x14ac:dyDescent="0.45">
      <c r="A11" s="8">
        <v>44782</v>
      </c>
      <c r="B11" s="115">
        <v>18437958</v>
      </c>
      <c r="C11" s="42">
        <f t="shared" si="0"/>
        <v>1969</v>
      </c>
    </row>
    <row r="12" spans="1:9" ht="23.4" thickBot="1" x14ac:dyDescent="0.45">
      <c r="A12" s="8">
        <v>44783</v>
      </c>
      <c r="B12" s="115">
        <v>18439784</v>
      </c>
      <c r="C12" s="42">
        <f t="shared" si="0"/>
        <v>1826</v>
      </c>
    </row>
    <row r="13" spans="1:9" ht="23.4" thickBot="1" x14ac:dyDescent="0.45">
      <c r="A13" s="8">
        <v>44784</v>
      </c>
      <c r="B13" s="115">
        <v>18441650</v>
      </c>
      <c r="C13" s="42">
        <f t="shared" si="0"/>
        <v>1866</v>
      </c>
    </row>
    <row r="14" spans="1:9" ht="23.4" thickBot="1" x14ac:dyDescent="0.45">
      <c r="A14" s="8">
        <v>44785</v>
      </c>
      <c r="B14" s="115">
        <v>18443302</v>
      </c>
      <c r="C14" s="42">
        <f t="shared" si="0"/>
        <v>1652</v>
      </c>
    </row>
    <row r="15" spans="1:9" ht="23.4" thickBot="1" x14ac:dyDescent="0.45">
      <c r="A15" s="8">
        <v>44786</v>
      </c>
      <c r="B15" s="115">
        <v>18445743</v>
      </c>
      <c r="C15" s="42">
        <f t="shared" si="0"/>
        <v>2441</v>
      </c>
      <c r="I15" t="s">
        <v>12</v>
      </c>
    </row>
    <row r="16" spans="1:9" ht="26.25" customHeight="1" thickBot="1" x14ac:dyDescent="0.45">
      <c r="A16" s="8">
        <v>44787</v>
      </c>
      <c r="B16" s="115">
        <v>18447610</v>
      </c>
      <c r="C16" s="42">
        <f t="shared" si="0"/>
        <v>1867</v>
      </c>
      <c r="F16" s="130"/>
    </row>
    <row r="17" spans="1:9" ht="25.5" customHeight="1" thickBot="1" x14ac:dyDescent="0.45">
      <c r="A17" s="8">
        <v>44788</v>
      </c>
      <c r="B17" s="115">
        <v>18449571</v>
      </c>
      <c r="C17" s="42">
        <f t="shared" si="0"/>
        <v>1961</v>
      </c>
    </row>
    <row r="18" spans="1:9" ht="23.4" thickBot="1" x14ac:dyDescent="0.45">
      <c r="A18" s="8">
        <v>44789</v>
      </c>
      <c r="B18" s="115">
        <v>18451373</v>
      </c>
      <c r="C18" s="42">
        <f t="shared" si="0"/>
        <v>1802</v>
      </c>
      <c r="I18" s="32"/>
    </row>
    <row r="19" spans="1:9" ht="23.4" thickBot="1" x14ac:dyDescent="0.45">
      <c r="A19" s="8">
        <v>44790</v>
      </c>
      <c r="B19" s="115">
        <v>18453158</v>
      </c>
      <c r="C19" s="42">
        <f t="shared" si="0"/>
        <v>1785</v>
      </c>
    </row>
    <row r="20" spans="1:9" ht="23.4" thickBot="1" x14ac:dyDescent="0.45">
      <c r="A20" s="8">
        <v>44791</v>
      </c>
      <c r="B20" s="115">
        <v>18455000</v>
      </c>
      <c r="C20" s="42">
        <f t="shared" si="0"/>
        <v>1842</v>
      </c>
    </row>
    <row r="21" spans="1:9" ht="23.4" thickBot="1" x14ac:dyDescent="0.45">
      <c r="A21" s="8">
        <v>44792</v>
      </c>
      <c r="B21" s="115">
        <v>18456584</v>
      </c>
      <c r="C21" s="42">
        <f t="shared" si="0"/>
        <v>1584</v>
      </c>
    </row>
    <row r="22" spans="1:9" ht="23.4" thickBot="1" x14ac:dyDescent="0.45">
      <c r="A22" s="8">
        <v>44793</v>
      </c>
      <c r="B22" s="115">
        <v>18458791</v>
      </c>
      <c r="C22" s="42">
        <f t="shared" si="0"/>
        <v>2207</v>
      </c>
    </row>
    <row r="23" spans="1:9" ht="23.4" thickBot="1" x14ac:dyDescent="0.45">
      <c r="A23" s="8">
        <v>44794</v>
      </c>
      <c r="B23" s="115">
        <v>18460757</v>
      </c>
      <c r="C23" s="42">
        <f t="shared" si="0"/>
        <v>1966</v>
      </c>
      <c r="F23" t="s">
        <v>12</v>
      </c>
    </row>
    <row r="24" spans="1:9" ht="23.4" thickBot="1" x14ac:dyDescent="0.45">
      <c r="A24" s="8">
        <v>44795</v>
      </c>
      <c r="B24" s="115">
        <v>18463801</v>
      </c>
      <c r="C24" s="42">
        <f t="shared" si="0"/>
        <v>3044</v>
      </c>
      <c r="E24" t="s">
        <v>12</v>
      </c>
    </row>
    <row r="25" spans="1:9" ht="23.4" thickBot="1" x14ac:dyDescent="0.45">
      <c r="A25" s="8">
        <v>44796</v>
      </c>
      <c r="B25" s="115">
        <v>18465369</v>
      </c>
      <c r="C25" s="42">
        <f t="shared" si="0"/>
        <v>1568</v>
      </c>
    </row>
    <row r="26" spans="1:9" ht="23.4" thickBot="1" x14ac:dyDescent="0.45">
      <c r="A26" s="8">
        <v>44797</v>
      </c>
      <c r="B26" s="115">
        <v>18466984</v>
      </c>
      <c r="C26" s="42">
        <f t="shared" si="0"/>
        <v>1615</v>
      </c>
    </row>
    <row r="27" spans="1:9" ht="23.4" thickBot="1" x14ac:dyDescent="0.45">
      <c r="A27" s="8">
        <v>44798</v>
      </c>
      <c r="B27" s="115">
        <v>18469762</v>
      </c>
      <c r="C27" s="42">
        <f t="shared" si="0"/>
        <v>2778</v>
      </c>
    </row>
    <row r="28" spans="1:9" ht="23.4" thickBot="1" x14ac:dyDescent="0.45">
      <c r="A28" s="8">
        <v>44799</v>
      </c>
      <c r="B28" s="115">
        <v>18471759</v>
      </c>
      <c r="C28" s="42">
        <f t="shared" si="0"/>
        <v>1997</v>
      </c>
      <c r="I28" t="s">
        <v>12</v>
      </c>
    </row>
    <row r="29" spans="1:9" ht="23.4" thickBot="1" x14ac:dyDescent="0.45">
      <c r="A29" s="8">
        <v>44800</v>
      </c>
      <c r="B29" s="115">
        <v>18473648</v>
      </c>
      <c r="C29" s="42">
        <f t="shared" si="0"/>
        <v>1889</v>
      </c>
    </row>
    <row r="30" spans="1:9" ht="23.4" thickBot="1" x14ac:dyDescent="0.45">
      <c r="A30" s="8">
        <v>44801</v>
      </c>
      <c r="B30" s="115">
        <v>18474357</v>
      </c>
      <c r="C30" s="42">
        <f t="shared" si="0"/>
        <v>709</v>
      </c>
    </row>
    <row r="31" spans="1:9" ht="23.4" thickBot="1" x14ac:dyDescent="0.45">
      <c r="A31" s="8">
        <v>44802</v>
      </c>
      <c r="B31" s="115">
        <v>18476287</v>
      </c>
      <c r="C31" s="42">
        <f t="shared" si="0"/>
        <v>1930</v>
      </c>
    </row>
    <row r="32" spans="1:9" ht="23.4" thickBot="1" x14ac:dyDescent="0.45">
      <c r="A32" s="8">
        <v>44803</v>
      </c>
      <c r="B32" s="115">
        <v>18478103</v>
      </c>
      <c r="C32" s="42">
        <f t="shared" si="0"/>
        <v>1816</v>
      </c>
    </row>
    <row r="33" spans="1:3" ht="23.4" thickBot="1" x14ac:dyDescent="0.45">
      <c r="A33" s="8">
        <v>44804</v>
      </c>
      <c r="B33" s="115">
        <v>18479856</v>
      </c>
      <c r="C33" s="42">
        <f t="shared" si="0"/>
        <v>1753</v>
      </c>
    </row>
    <row r="34" spans="1:3" ht="23.4" thickBot="1" x14ac:dyDescent="0.45">
      <c r="A34" s="117" t="s">
        <v>138</v>
      </c>
      <c r="B34" s="117"/>
      <c r="C34" s="117">
        <f>SUM(C4:C33)</f>
        <v>56772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36"/>
  <sheetViews>
    <sheetView zoomScale="90" zoomScaleNormal="90" workbookViewId="0">
      <pane ySplit="1" topLeftCell="A2" activePane="bottomLeft" state="frozen"/>
      <selection pane="bottomLeft" activeCell="A33" sqref="A33:XFD33"/>
    </sheetView>
  </sheetViews>
  <sheetFormatPr defaultRowHeight="13.2" x14ac:dyDescent="0.25"/>
  <cols>
    <col min="1" max="1" width="20.88671875" bestFit="1" customWidth="1"/>
    <col min="2" max="2" width="12.88671875" style="136" bestFit="1" customWidth="1"/>
    <col min="3" max="3" width="14.88671875" style="33" customWidth="1"/>
    <col min="4" max="4" width="10.6640625" customWidth="1"/>
    <col min="5" max="5" width="11.33203125" customWidth="1"/>
    <col min="6" max="6" width="14.5546875" style="33" customWidth="1"/>
    <col min="7" max="7" width="10.6640625" customWidth="1"/>
    <col min="8" max="8" width="13.5546875" customWidth="1"/>
    <col min="9" max="9" width="12.88671875" style="33" bestFit="1" customWidth="1"/>
    <col min="10" max="10" width="10.6640625" customWidth="1"/>
    <col min="11" max="11" width="13.44140625" customWidth="1"/>
    <col min="12" max="12" width="12.44140625" style="33" customWidth="1"/>
    <col min="13" max="13" width="10.6640625" customWidth="1"/>
    <col min="14" max="14" width="11.33203125" bestFit="1" customWidth="1"/>
    <col min="15" max="15" width="12.44140625" style="33" customWidth="1"/>
    <col min="16" max="16" width="10.6640625" customWidth="1"/>
    <col min="17" max="17" width="11.6640625" customWidth="1"/>
    <col min="18" max="18" width="11.33203125" style="33" customWidth="1"/>
    <col min="19" max="19" width="10.6640625" customWidth="1"/>
    <col min="20" max="20" width="14.6640625" customWidth="1"/>
    <col min="21" max="21" width="18" customWidth="1"/>
    <col min="22" max="22" width="3" customWidth="1"/>
    <col min="23" max="23" width="11" style="130" bestFit="1" customWidth="1"/>
    <col min="24" max="24" width="15" customWidth="1"/>
    <col min="25" max="25" width="9" customWidth="1"/>
    <col min="26" max="26" width="11.88671875" customWidth="1"/>
    <col min="28" max="28" width="10.5546875" customWidth="1"/>
    <col min="29" max="29" width="7.109375" customWidth="1"/>
    <col min="31" max="31" width="10.5546875" customWidth="1"/>
  </cols>
  <sheetData>
    <row r="1" spans="1:33" ht="16.2" thickBot="1" x14ac:dyDescent="0.35">
      <c r="A1" s="2" t="s">
        <v>0</v>
      </c>
      <c r="B1" s="133" t="s">
        <v>1</v>
      </c>
      <c r="C1" s="40" t="s">
        <v>2</v>
      </c>
      <c r="D1" s="25" t="s">
        <v>3</v>
      </c>
      <c r="E1" s="3" t="s">
        <v>4</v>
      </c>
      <c r="F1" s="40" t="s">
        <v>2</v>
      </c>
      <c r="G1" s="25" t="s">
        <v>3</v>
      </c>
      <c r="H1" s="3" t="s">
        <v>5</v>
      </c>
      <c r="I1" s="40" t="s">
        <v>6</v>
      </c>
      <c r="J1" s="25" t="s">
        <v>3</v>
      </c>
      <c r="K1" s="3" t="s">
        <v>7</v>
      </c>
      <c r="L1" s="40" t="s">
        <v>6</v>
      </c>
      <c r="M1" s="25" t="s">
        <v>3</v>
      </c>
      <c r="N1" s="4" t="s">
        <v>8</v>
      </c>
      <c r="O1" s="40" t="s">
        <v>6</v>
      </c>
      <c r="P1" s="25" t="s">
        <v>3</v>
      </c>
      <c r="Q1" s="4" t="s">
        <v>9</v>
      </c>
      <c r="R1" s="40" t="s">
        <v>6</v>
      </c>
      <c r="S1" s="25" t="s">
        <v>3</v>
      </c>
      <c r="T1" s="5" t="s">
        <v>10</v>
      </c>
      <c r="U1" s="27" t="s">
        <v>11</v>
      </c>
      <c r="W1" s="158" t="s">
        <v>140</v>
      </c>
      <c r="X1" s="159"/>
      <c r="Y1" s="159"/>
      <c r="Z1" s="159"/>
      <c r="AA1" s="160"/>
      <c r="AB1" s="161" t="s">
        <v>142</v>
      </c>
      <c r="AC1" s="159"/>
      <c r="AD1" s="161" t="s">
        <v>143</v>
      </c>
      <c r="AE1" s="159"/>
      <c r="AF1" s="158" t="s">
        <v>144</v>
      </c>
      <c r="AG1" s="159"/>
    </row>
    <row r="2" spans="1:33" ht="16.2" thickBot="1" x14ac:dyDescent="0.3">
      <c r="A2" s="8">
        <v>44773</v>
      </c>
      <c r="B2" s="134">
        <v>24297.014999999999</v>
      </c>
      <c r="C2" s="41"/>
      <c r="D2" s="26">
        <f t="shared" ref="D2" si="0">C2*1.9*1000</f>
        <v>0</v>
      </c>
      <c r="E2" s="1">
        <v>4401.5460000000003</v>
      </c>
      <c r="F2" s="41"/>
      <c r="G2" s="26">
        <f t="shared" ref="G2" si="1">F2*1.9*1000</f>
        <v>0</v>
      </c>
      <c r="H2" s="1">
        <v>5734</v>
      </c>
      <c r="I2" s="41"/>
      <c r="J2" s="26">
        <f t="shared" ref="J2" si="2">I2*1.9*1000</f>
        <v>0</v>
      </c>
      <c r="K2" s="1">
        <v>14118.72</v>
      </c>
      <c r="L2" s="41"/>
      <c r="M2" s="26">
        <f t="shared" ref="M2" si="3">L2*1.9*1000</f>
        <v>0</v>
      </c>
      <c r="N2" s="1">
        <v>3656.79</v>
      </c>
      <c r="O2" s="41"/>
      <c r="P2" s="26">
        <f t="shared" ref="P2" si="4">O2*1.9*1000</f>
        <v>0</v>
      </c>
      <c r="Q2" s="1">
        <v>5472.25</v>
      </c>
      <c r="R2" s="41"/>
      <c r="S2" s="26">
        <f t="shared" ref="S2" si="5">R2*1.9*1000</f>
        <v>0</v>
      </c>
      <c r="T2" s="7">
        <f t="shared" ref="T2" si="6">C2+F2+I2+L2+O2+R2</f>
        <v>0</v>
      </c>
      <c r="U2" s="28">
        <f t="shared" ref="U2" si="7">T2*1.9*1000</f>
        <v>0</v>
      </c>
      <c r="W2" s="131">
        <v>44773</v>
      </c>
      <c r="X2" s="132">
        <v>193600</v>
      </c>
      <c r="Y2" s="137"/>
      <c r="Z2" s="132">
        <v>9656</v>
      </c>
      <c r="AA2" s="137"/>
      <c r="AB2" s="132">
        <v>31</v>
      </c>
      <c r="AC2" s="137"/>
      <c r="AD2" s="132">
        <v>650</v>
      </c>
      <c r="AE2" s="137"/>
      <c r="AF2" s="132">
        <v>8426</v>
      </c>
      <c r="AG2" s="137"/>
    </row>
    <row r="3" spans="1:33" ht="16.2" thickBot="1" x14ac:dyDescent="0.3">
      <c r="A3" s="8">
        <v>44774</v>
      </c>
      <c r="B3" s="134">
        <v>24312.776999999998</v>
      </c>
      <c r="C3" s="41">
        <f t="shared" ref="C3" si="8">IF((B3-B2)&lt;0,"0",(B3-B2))</f>
        <v>15.761999999998807</v>
      </c>
      <c r="D3" s="26">
        <f t="shared" ref="D3" si="9">C3*1.9*1000</f>
        <v>29947.799999997729</v>
      </c>
      <c r="E3" s="1">
        <v>4405.2920000000004</v>
      </c>
      <c r="F3" s="41">
        <f t="shared" ref="F3" si="10">IF((E3-E2)&lt;0,"0",(E3-E2))</f>
        <v>3.7460000000000946</v>
      </c>
      <c r="G3" s="26">
        <f t="shared" ref="G3" si="11">F3*1.9*1000</f>
        <v>7117.4000000001797</v>
      </c>
      <c r="H3" s="1">
        <v>5742</v>
      </c>
      <c r="I3" s="41">
        <f t="shared" ref="I3" si="12">IF((H3-H2)&lt;0,"0",(H3-H2))</f>
        <v>8</v>
      </c>
      <c r="J3" s="26">
        <f t="shared" ref="J3" si="13">I3*1.9*1000</f>
        <v>15200</v>
      </c>
      <c r="K3" s="1">
        <v>14121.5</v>
      </c>
      <c r="L3" s="41">
        <f t="shared" ref="L3" si="14">IF((K3-K2)&lt;0,"0",(K3-K2))</f>
        <v>2.7800000000006548</v>
      </c>
      <c r="M3" s="26">
        <f t="shared" ref="M3" si="15">L3*1.9*1000</f>
        <v>5282.0000000012442</v>
      </c>
      <c r="N3" s="1">
        <v>3658.7339999999999</v>
      </c>
      <c r="O3" s="41">
        <f t="shared" ref="O3" si="16">IF((N3-N2)&lt;0,"0",(N3-N2))</f>
        <v>1.94399999999996</v>
      </c>
      <c r="P3" s="26">
        <f t="shared" ref="P3" si="17">O3*1.9*1000</f>
        <v>3693.5999999999235</v>
      </c>
      <c r="Q3" s="1">
        <v>5471.07</v>
      </c>
      <c r="R3" s="41" t="str">
        <f t="shared" ref="R3" si="18">IF((Q3-Q2)&lt;0,"0",(Q3-Q2))</f>
        <v>0</v>
      </c>
      <c r="S3" s="26">
        <f t="shared" ref="S3" si="19">R3*1.9*1000</f>
        <v>0</v>
      </c>
      <c r="T3" s="7">
        <f>C3+F3+I3+L3+O3+R3</f>
        <v>32.231999999999516</v>
      </c>
      <c r="U3" s="28">
        <f t="shared" ref="U3" si="20">T3*1.9*1000</f>
        <v>61240.799999999079</v>
      </c>
      <c r="W3" s="131">
        <v>44774</v>
      </c>
      <c r="X3" s="132">
        <v>193953</v>
      </c>
      <c r="Y3" s="137">
        <f t="shared" ref="Y3:AG31" si="21">IF((X3-X2)&lt;0,"0",(X3-X2))</f>
        <v>353</v>
      </c>
      <c r="Z3" s="132">
        <v>9664</v>
      </c>
      <c r="AA3" s="137">
        <f t="shared" si="21"/>
        <v>8</v>
      </c>
      <c r="AB3" s="132">
        <v>31</v>
      </c>
      <c r="AC3" s="137">
        <f t="shared" si="21"/>
        <v>0</v>
      </c>
      <c r="AD3" s="132">
        <v>650</v>
      </c>
      <c r="AE3" s="137">
        <f t="shared" si="21"/>
        <v>0</v>
      </c>
      <c r="AF3" s="132">
        <v>8439</v>
      </c>
      <c r="AG3" s="137">
        <f t="shared" si="21"/>
        <v>13</v>
      </c>
    </row>
    <row r="4" spans="1:33" ht="16.2" thickBot="1" x14ac:dyDescent="0.3">
      <c r="A4" s="8">
        <v>44775</v>
      </c>
      <c r="B4" s="134">
        <v>24326</v>
      </c>
      <c r="C4" s="41">
        <f t="shared" ref="C4:C33" si="22">IF((B4-B3)&lt;0,"0",(B4-B3))</f>
        <v>13.223000000001775</v>
      </c>
      <c r="D4" s="26">
        <f t="shared" ref="D4:D33" si="23">C4*1.9*1000</f>
        <v>25123.700000003369</v>
      </c>
      <c r="E4" s="1">
        <v>4408</v>
      </c>
      <c r="F4" s="41">
        <f t="shared" ref="F4:F33" si="24">IF((E4-E3)&lt;0,"0",(E4-E3))</f>
        <v>2.7079999999996289</v>
      </c>
      <c r="G4" s="26">
        <f t="shared" ref="G4:G33" si="25">F4*1.9*1000</f>
        <v>5145.199999999295</v>
      </c>
      <c r="H4" s="1">
        <v>5749</v>
      </c>
      <c r="I4" s="41">
        <f t="shared" ref="I4:I33" si="26">IF((H4-H3)&lt;0,"0",(H4-H3))</f>
        <v>7</v>
      </c>
      <c r="J4" s="26">
        <f t="shared" ref="J4:J33" si="27">I4*1.9*1000</f>
        <v>13299.999999999998</v>
      </c>
      <c r="K4" s="1">
        <v>14123.7</v>
      </c>
      <c r="L4" s="41">
        <f t="shared" ref="L4:L33" si="28">IF((K4-K3)&lt;0,"0",(K4-K3))</f>
        <v>2.2000000000007276</v>
      </c>
      <c r="M4" s="26">
        <f t="shared" ref="M4:M33" si="29">L4*1.9*1000</f>
        <v>4180.0000000013824</v>
      </c>
      <c r="N4" s="1">
        <v>3660.7</v>
      </c>
      <c r="O4" s="41">
        <f t="shared" ref="O4:O33" si="30">IF((N4-N3)&lt;0,"0",(N4-N3))</f>
        <v>1.9659999999998945</v>
      </c>
      <c r="P4" s="26">
        <f t="shared" ref="P4:P33" si="31">O4*1.9*1000</f>
        <v>3735.3999999997995</v>
      </c>
      <c r="Q4" s="1">
        <v>5472.9</v>
      </c>
      <c r="R4" s="41">
        <f t="shared" ref="R4:R33" si="32">IF((Q4-Q3)&lt;0,"0",(Q4-Q3))</f>
        <v>1.8299999999999272</v>
      </c>
      <c r="S4" s="26">
        <f t="shared" ref="S4:S33" si="33">R4*1.9*1000</f>
        <v>3476.9999999998618</v>
      </c>
      <c r="T4" s="7">
        <f>C4+F4+I4+L4+O4+R4</f>
        <v>28.927000000001954</v>
      </c>
      <c r="U4" s="28">
        <f t="shared" ref="U4:U33" si="34">T4*1.9*1000</f>
        <v>54961.300000003714</v>
      </c>
      <c r="W4" s="131">
        <v>44775</v>
      </c>
      <c r="X4" s="132">
        <v>194278</v>
      </c>
      <c r="Y4" s="137">
        <f t="shared" si="21"/>
        <v>325</v>
      </c>
      <c r="Z4" s="132">
        <v>9677</v>
      </c>
      <c r="AA4" s="137">
        <f t="shared" si="21"/>
        <v>13</v>
      </c>
      <c r="AB4" s="132">
        <v>31</v>
      </c>
      <c r="AC4" s="137">
        <f t="shared" si="21"/>
        <v>0</v>
      </c>
      <c r="AD4" s="132">
        <v>650</v>
      </c>
      <c r="AE4" s="137">
        <f t="shared" si="21"/>
        <v>0</v>
      </c>
      <c r="AF4" s="132">
        <v>8456</v>
      </c>
      <c r="AG4" s="137">
        <f t="shared" si="21"/>
        <v>17</v>
      </c>
    </row>
    <row r="5" spans="1:33" ht="16.2" thickBot="1" x14ac:dyDescent="0.3">
      <c r="A5" s="8">
        <v>44776</v>
      </c>
      <c r="B5" s="134">
        <v>24340.973000000002</v>
      </c>
      <c r="C5" s="41">
        <f t="shared" si="22"/>
        <v>14.973000000001775</v>
      </c>
      <c r="D5" s="26">
        <f t="shared" si="23"/>
        <v>28448.700000003369</v>
      </c>
      <c r="E5" s="1">
        <v>4411.9250000000002</v>
      </c>
      <c r="F5" s="41">
        <f t="shared" si="24"/>
        <v>3.9250000000001819</v>
      </c>
      <c r="G5" s="26">
        <f t="shared" si="25"/>
        <v>7457.5000000003447</v>
      </c>
      <c r="H5" s="1">
        <v>5758</v>
      </c>
      <c r="I5" s="41">
        <f t="shared" si="26"/>
        <v>9</v>
      </c>
      <c r="J5" s="26">
        <f t="shared" si="27"/>
        <v>17099.999999999996</v>
      </c>
      <c r="K5" s="1">
        <v>14126.37</v>
      </c>
      <c r="L5" s="41">
        <f t="shared" si="28"/>
        <v>2.6700000000000728</v>
      </c>
      <c r="M5" s="26">
        <f t="shared" si="29"/>
        <v>5073.0000000001382</v>
      </c>
      <c r="N5" s="1">
        <v>3662.7420000000002</v>
      </c>
      <c r="O5" s="41">
        <f t="shared" si="30"/>
        <v>2.0420000000003711</v>
      </c>
      <c r="P5" s="26">
        <f t="shared" si="31"/>
        <v>3879.8000000007046</v>
      </c>
      <c r="Q5" s="1">
        <v>5474.1</v>
      </c>
      <c r="R5" s="41">
        <f t="shared" si="32"/>
        <v>1.2000000000007276</v>
      </c>
      <c r="S5" s="26">
        <f t="shared" si="33"/>
        <v>2280.0000000013824</v>
      </c>
      <c r="T5" s="7">
        <f>C5+F5+I5+L5+O5+R5</f>
        <v>33.810000000003129</v>
      </c>
      <c r="U5" s="28">
        <f t="shared" si="34"/>
        <v>64239.000000005944</v>
      </c>
      <c r="W5" s="131">
        <v>44776</v>
      </c>
      <c r="X5" s="132">
        <v>194727</v>
      </c>
      <c r="Y5" s="137">
        <f t="shared" si="21"/>
        <v>449</v>
      </c>
      <c r="Z5" s="132">
        <v>9689</v>
      </c>
      <c r="AA5" s="137">
        <f t="shared" si="21"/>
        <v>12</v>
      </c>
      <c r="AB5" s="132">
        <v>31</v>
      </c>
      <c r="AC5" s="137">
        <f t="shared" si="21"/>
        <v>0</v>
      </c>
      <c r="AD5" s="132">
        <v>650</v>
      </c>
      <c r="AE5" s="137">
        <f t="shared" si="21"/>
        <v>0</v>
      </c>
      <c r="AF5" s="132">
        <v>8468</v>
      </c>
      <c r="AG5" s="137">
        <f t="shared" si="21"/>
        <v>12</v>
      </c>
    </row>
    <row r="6" spans="1:33" ht="16.2" thickBot="1" x14ac:dyDescent="0.3">
      <c r="A6" s="8">
        <v>44777</v>
      </c>
      <c r="B6" s="134">
        <v>24356.899000000001</v>
      </c>
      <c r="C6" s="41">
        <f t="shared" si="22"/>
        <v>15.925999999999476</v>
      </c>
      <c r="D6" s="26">
        <f t="shared" si="23"/>
        <v>30259.399999999005</v>
      </c>
      <c r="E6" s="1">
        <v>4416.0360000000001</v>
      </c>
      <c r="F6" s="41">
        <f t="shared" si="24"/>
        <v>4.1109999999998763</v>
      </c>
      <c r="G6" s="26">
        <f t="shared" si="25"/>
        <v>7810.899999999765</v>
      </c>
      <c r="H6" s="1">
        <v>5768</v>
      </c>
      <c r="I6" s="41">
        <f t="shared" si="26"/>
        <v>10</v>
      </c>
      <c r="J6" s="26">
        <f t="shared" si="27"/>
        <v>19000</v>
      </c>
      <c r="K6" s="1">
        <v>14129</v>
      </c>
      <c r="L6" s="41">
        <f t="shared" si="28"/>
        <v>2.6299999999991996</v>
      </c>
      <c r="M6" s="26">
        <f t="shared" si="29"/>
        <v>4996.9999999984793</v>
      </c>
      <c r="N6" s="1">
        <v>3664.7330000000002</v>
      </c>
      <c r="O6" s="41">
        <f t="shared" si="30"/>
        <v>1.9909999999999854</v>
      </c>
      <c r="P6" s="26">
        <f t="shared" si="31"/>
        <v>3782.8999999999724</v>
      </c>
      <c r="Q6" s="1">
        <v>5477.84</v>
      </c>
      <c r="R6" s="41">
        <f t="shared" si="32"/>
        <v>3.7399999999997817</v>
      </c>
      <c r="S6" s="26">
        <f t="shared" si="33"/>
        <v>7105.9999999995853</v>
      </c>
      <c r="T6" s="7">
        <f t="shared" ref="T6:T33" si="35">C6+F6+I6+L6+O6+R6</f>
        <v>38.397999999998319</v>
      </c>
      <c r="U6" s="28">
        <f t="shared" si="34"/>
        <v>72956.199999996796</v>
      </c>
      <c r="W6" s="131">
        <v>44777</v>
      </c>
      <c r="X6" s="132">
        <v>194973</v>
      </c>
      <c r="Y6" s="137">
        <f t="shared" si="21"/>
        <v>246</v>
      </c>
      <c r="Z6" s="132">
        <v>9695</v>
      </c>
      <c r="AA6" s="137">
        <f t="shared" si="21"/>
        <v>6</v>
      </c>
      <c r="AB6" s="132">
        <v>31</v>
      </c>
      <c r="AC6" s="137">
        <f t="shared" si="21"/>
        <v>0</v>
      </c>
      <c r="AD6" s="132">
        <v>650</v>
      </c>
      <c r="AE6" s="137">
        <f t="shared" si="21"/>
        <v>0</v>
      </c>
      <c r="AF6" s="132">
        <v>8468</v>
      </c>
      <c r="AG6" s="137">
        <f t="shared" si="21"/>
        <v>0</v>
      </c>
    </row>
    <row r="7" spans="1:33" ht="16.2" thickBot="1" x14ac:dyDescent="0.3">
      <c r="A7" s="8">
        <v>44778</v>
      </c>
      <c r="B7" s="134">
        <v>24372.007000000001</v>
      </c>
      <c r="C7" s="41">
        <f t="shared" si="22"/>
        <v>15.108000000000175</v>
      </c>
      <c r="D7" s="26">
        <f t="shared" si="23"/>
        <v>28705.200000000332</v>
      </c>
      <c r="E7" s="1">
        <v>4417.9570000000003</v>
      </c>
      <c r="F7" s="41">
        <f t="shared" si="24"/>
        <v>1.9210000000002765</v>
      </c>
      <c r="G7" s="26">
        <f t="shared" si="25"/>
        <v>3649.9000000005249</v>
      </c>
      <c r="H7" s="1">
        <v>5775</v>
      </c>
      <c r="I7" s="41">
        <f t="shared" si="26"/>
        <v>7</v>
      </c>
      <c r="J7" s="26">
        <f t="shared" si="27"/>
        <v>13299.999999999998</v>
      </c>
      <c r="K7" s="1">
        <v>14132.19</v>
      </c>
      <c r="L7" s="41">
        <f t="shared" si="28"/>
        <v>3.1900000000005093</v>
      </c>
      <c r="M7" s="26">
        <f t="shared" si="29"/>
        <v>6061.0000000009668</v>
      </c>
      <c r="N7" s="1">
        <v>3666.748</v>
      </c>
      <c r="O7" s="41">
        <f t="shared" si="30"/>
        <v>2.0149999999998727</v>
      </c>
      <c r="P7" s="26">
        <f t="shared" si="31"/>
        <v>3828.4999999997581</v>
      </c>
      <c r="Q7" s="1">
        <v>5480.05</v>
      </c>
      <c r="R7" s="41">
        <f t="shared" si="32"/>
        <v>2.2100000000000364</v>
      </c>
      <c r="S7" s="26">
        <f t="shared" si="33"/>
        <v>4199.0000000000691</v>
      </c>
      <c r="T7" s="7">
        <f t="shared" si="35"/>
        <v>31.444000000000869</v>
      </c>
      <c r="U7" s="28">
        <f t="shared" si="34"/>
        <v>59743.60000000165</v>
      </c>
      <c r="W7" s="131">
        <v>44778</v>
      </c>
      <c r="X7" s="132">
        <v>195273</v>
      </c>
      <c r="Y7" s="137">
        <f t="shared" si="21"/>
        <v>300</v>
      </c>
      <c r="Z7" s="132">
        <v>9699</v>
      </c>
      <c r="AA7" s="137">
        <f t="shared" si="21"/>
        <v>4</v>
      </c>
      <c r="AB7" s="132">
        <v>31</v>
      </c>
      <c r="AC7" s="137">
        <f t="shared" si="21"/>
        <v>0</v>
      </c>
      <c r="AD7" s="132">
        <v>650</v>
      </c>
      <c r="AE7" s="137">
        <f t="shared" si="21"/>
        <v>0</v>
      </c>
      <c r="AF7" s="132">
        <v>8498</v>
      </c>
      <c r="AG7" s="137">
        <f t="shared" si="21"/>
        <v>30</v>
      </c>
    </row>
    <row r="8" spans="1:33" ht="16.2" thickBot="1" x14ac:dyDescent="0.3">
      <c r="A8" s="8">
        <v>44779</v>
      </c>
      <c r="B8" s="134">
        <v>24384.828000000001</v>
      </c>
      <c r="C8" s="41">
        <f t="shared" si="22"/>
        <v>12.820999999999913</v>
      </c>
      <c r="D8" s="26">
        <f t="shared" si="23"/>
        <v>24359.899999999834</v>
      </c>
      <c r="E8" s="1">
        <v>4420.1850000000004</v>
      </c>
      <c r="F8" s="41">
        <f t="shared" si="24"/>
        <v>2.2280000000000655</v>
      </c>
      <c r="G8" s="26">
        <f t="shared" si="25"/>
        <v>4233.2000000001244</v>
      </c>
      <c r="H8" s="1">
        <v>5783</v>
      </c>
      <c r="I8" s="41">
        <f t="shared" si="26"/>
        <v>8</v>
      </c>
      <c r="J8" s="26">
        <f t="shared" si="27"/>
        <v>15200</v>
      </c>
      <c r="K8" s="1">
        <v>14134.97</v>
      </c>
      <c r="L8" s="41">
        <f t="shared" si="28"/>
        <v>2.7799999999988358</v>
      </c>
      <c r="M8" s="26">
        <f t="shared" si="29"/>
        <v>5281.9999999977872</v>
      </c>
      <c r="N8" s="1">
        <v>3668.6990000000001</v>
      </c>
      <c r="O8" s="41">
        <f t="shared" si="30"/>
        <v>1.9510000000000218</v>
      </c>
      <c r="P8" s="26">
        <f t="shared" si="31"/>
        <v>3706.9000000000415</v>
      </c>
      <c r="Q8" s="1">
        <v>5482.42</v>
      </c>
      <c r="R8" s="41">
        <f t="shared" si="32"/>
        <v>2.3699999999998909</v>
      </c>
      <c r="S8" s="26">
        <f t="shared" si="33"/>
        <v>4502.9999999997926</v>
      </c>
      <c r="T8" s="7">
        <f t="shared" si="35"/>
        <v>30.149999999998727</v>
      </c>
      <c r="U8" s="28">
        <f t="shared" si="34"/>
        <v>57284.999999997584</v>
      </c>
      <c r="W8" s="131">
        <v>44779</v>
      </c>
      <c r="X8" s="132">
        <v>195567</v>
      </c>
      <c r="Y8" s="137">
        <f t="shared" si="21"/>
        <v>294</v>
      </c>
      <c r="Z8" s="132">
        <v>9704</v>
      </c>
      <c r="AA8" s="137">
        <f t="shared" si="21"/>
        <v>5</v>
      </c>
      <c r="AB8" s="132">
        <v>31</v>
      </c>
      <c r="AC8" s="137">
        <f t="shared" si="21"/>
        <v>0</v>
      </c>
      <c r="AD8" s="132">
        <v>650</v>
      </c>
      <c r="AE8" s="137">
        <f t="shared" si="21"/>
        <v>0</v>
      </c>
      <c r="AF8" s="132">
        <v>8498</v>
      </c>
      <c r="AG8" s="137">
        <f t="shared" si="21"/>
        <v>0</v>
      </c>
    </row>
    <row r="9" spans="1:33" ht="16.2" thickBot="1" x14ac:dyDescent="0.3">
      <c r="A9" s="8">
        <v>44780</v>
      </c>
      <c r="B9" s="134">
        <v>24403.161</v>
      </c>
      <c r="C9" s="41">
        <f t="shared" si="22"/>
        <v>18.332999999998719</v>
      </c>
      <c r="D9" s="26">
        <f t="shared" si="23"/>
        <v>34832.699999997567</v>
      </c>
      <c r="E9" s="1">
        <v>4423.8999999999996</v>
      </c>
      <c r="F9" s="41">
        <f t="shared" si="24"/>
        <v>3.714999999999236</v>
      </c>
      <c r="G9" s="26">
        <f t="shared" si="25"/>
        <v>7058.4999999985484</v>
      </c>
      <c r="H9" s="1">
        <v>5793</v>
      </c>
      <c r="I9" s="41">
        <f t="shared" si="26"/>
        <v>10</v>
      </c>
      <c r="J9" s="26">
        <f t="shared" si="27"/>
        <v>19000</v>
      </c>
      <c r="K9" s="1">
        <v>14138.7</v>
      </c>
      <c r="L9" s="41">
        <f t="shared" si="28"/>
        <v>3.7300000000013824</v>
      </c>
      <c r="M9" s="26">
        <f t="shared" si="29"/>
        <v>7087.0000000026257</v>
      </c>
      <c r="N9" s="1">
        <v>3671.4</v>
      </c>
      <c r="O9" s="41">
        <f t="shared" si="30"/>
        <v>2.7010000000000218</v>
      </c>
      <c r="P9" s="26">
        <f t="shared" si="31"/>
        <v>5131.9000000000415</v>
      </c>
      <c r="Q9" s="1">
        <v>5484.7</v>
      </c>
      <c r="R9" s="41">
        <f t="shared" si="32"/>
        <v>2.2799999999997453</v>
      </c>
      <c r="S9" s="26">
        <f t="shared" si="33"/>
        <v>4331.9999999995161</v>
      </c>
      <c r="T9" s="7">
        <f t="shared" si="35"/>
        <v>40.758999999999105</v>
      </c>
      <c r="U9" s="28">
        <f t="shared" si="34"/>
        <v>77442.099999998289</v>
      </c>
      <c r="W9" s="131">
        <v>44780</v>
      </c>
      <c r="X9" s="132">
        <v>195993</v>
      </c>
      <c r="Y9" s="137">
        <f t="shared" si="21"/>
        <v>426</v>
      </c>
      <c r="Z9" s="132">
        <v>9710</v>
      </c>
      <c r="AA9" s="137">
        <f t="shared" si="21"/>
        <v>6</v>
      </c>
      <c r="AB9" s="132">
        <v>31</v>
      </c>
      <c r="AC9" s="137">
        <f t="shared" si="21"/>
        <v>0</v>
      </c>
      <c r="AD9" s="132">
        <v>650</v>
      </c>
      <c r="AE9" s="137">
        <f t="shared" si="21"/>
        <v>0</v>
      </c>
      <c r="AF9" s="132">
        <v>8529</v>
      </c>
      <c r="AG9" s="137">
        <f t="shared" si="21"/>
        <v>31</v>
      </c>
    </row>
    <row r="10" spans="1:33" ht="16.2" thickBot="1" x14ac:dyDescent="0.3">
      <c r="A10" s="8">
        <v>44781</v>
      </c>
      <c r="B10" s="134">
        <v>24415.654999999999</v>
      </c>
      <c r="C10" s="41">
        <f t="shared" si="22"/>
        <v>12.493999999998778</v>
      </c>
      <c r="D10" s="26">
        <f t="shared" si="23"/>
        <v>23738.599999997674</v>
      </c>
      <c r="E10" s="1">
        <v>4426.0159999999996</v>
      </c>
      <c r="F10" s="41">
        <f t="shared" si="24"/>
        <v>2.1159999999999854</v>
      </c>
      <c r="G10" s="26">
        <f t="shared" si="25"/>
        <v>4020.3999999999719</v>
      </c>
      <c r="H10" s="1">
        <v>5800</v>
      </c>
      <c r="I10" s="41">
        <f t="shared" si="26"/>
        <v>7</v>
      </c>
      <c r="J10" s="26">
        <f t="shared" si="27"/>
        <v>13299.999999999998</v>
      </c>
      <c r="K10" s="1">
        <v>14140.18</v>
      </c>
      <c r="L10" s="41">
        <f t="shared" si="28"/>
        <v>1.4799999999995634</v>
      </c>
      <c r="M10" s="26">
        <f t="shared" si="29"/>
        <v>2811.9999999991701</v>
      </c>
      <c r="N10" s="1">
        <v>3672.989</v>
      </c>
      <c r="O10" s="41">
        <f>IF((N10-N9)&lt;0,"0",(N10-N9))</f>
        <v>1.5889999999999418</v>
      </c>
      <c r="P10" s="26">
        <f t="shared" si="31"/>
        <v>3019.0999999998894</v>
      </c>
      <c r="Q10" s="1">
        <v>5485.24</v>
      </c>
      <c r="R10" s="41">
        <f t="shared" si="32"/>
        <v>0.53999999999996362</v>
      </c>
      <c r="S10" s="26">
        <f t="shared" si="33"/>
        <v>1025.9999999999307</v>
      </c>
      <c r="T10" s="7">
        <f t="shared" si="35"/>
        <v>25.218999999998232</v>
      </c>
      <c r="U10" s="28">
        <f t="shared" si="34"/>
        <v>47916.099999996637</v>
      </c>
      <c r="W10" s="131">
        <v>44781</v>
      </c>
      <c r="X10" s="132">
        <v>196229</v>
      </c>
      <c r="Y10" s="137">
        <f t="shared" si="21"/>
        <v>236</v>
      </c>
      <c r="Z10" s="132">
        <v>9715</v>
      </c>
      <c r="AA10" s="137">
        <f t="shared" si="21"/>
        <v>5</v>
      </c>
      <c r="AB10" s="132">
        <v>31</v>
      </c>
      <c r="AC10" s="137">
        <f t="shared" si="21"/>
        <v>0</v>
      </c>
      <c r="AD10" s="132">
        <v>650</v>
      </c>
      <c r="AE10" s="137">
        <f t="shared" si="21"/>
        <v>0</v>
      </c>
      <c r="AF10" s="132">
        <v>8541</v>
      </c>
      <c r="AG10" s="137">
        <f t="shared" si="21"/>
        <v>12</v>
      </c>
    </row>
    <row r="11" spans="1:33" ht="16.2" thickBot="1" x14ac:dyDescent="0.3">
      <c r="A11" s="8">
        <v>44782</v>
      </c>
      <c r="B11" s="134">
        <v>24425.674999999999</v>
      </c>
      <c r="C11" s="41">
        <f t="shared" si="22"/>
        <v>10.020000000000437</v>
      </c>
      <c r="D11" s="26">
        <f t="shared" si="23"/>
        <v>19038.000000000829</v>
      </c>
      <c r="E11" s="1">
        <v>4429.3159999999998</v>
      </c>
      <c r="F11" s="41">
        <f t="shared" si="24"/>
        <v>3.3000000000001819</v>
      </c>
      <c r="G11" s="26">
        <f t="shared" si="25"/>
        <v>6270.0000000003447</v>
      </c>
      <c r="H11" s="1">
        <v>5807</v>
      </c>
      <c r="I11" s="41">
        <f t="shared" si="26"/>
        <v>7</v>
      </c>
      <c r="J11" s="26">
        <f t="shared" si="27"/>
        <v>13299.999999999998</v>
      </c>
      <c r="K11" s="1">
        <v>14142.08</v>
      </c>
      <c r="L11" s="41">
        <f t="shared" si="28"/>
        <v>1.8999999999996362</v>
      </c>
      <c r="M11" s="26">
        <f t="shared" si="29"/>
        <v>3609.9999999993083</v>
      </c>
      <c r="N11" s="1">
        <v>3674.2890000000002</v>
      </c>
      <c r="O11" s="41">
        <f t="shared" si="30"/>
        <v>1.3000000000001819</v>
      </c>
      <c r="P11" s="26">
        <f t="shared" si="31"/>
        <v>2470.0000000003456</v>
      </c>
      <c r="Q11" s="1">
        <v>5486.24</v>
      </c>
      <c r="R11" s="41">
        <f t="shared" si="32"/>
        <v>1</v>
      </c>
      <c r="S11" s="26">
        <f t="shared" si="33"/>
        <v>1900</v>
      </c>
      <c r="T11" s="7">
        <f t="shared" si="35"/>
        <v>24.520000000000437</v>
      </c>
      <c r="U11" s="28">
        <f t="shared" si="34"/>
        <v>46588.000000000822</v>
      </c>
      <c r="W11" s="131">
        <v>44782</v>
      </c>
      <c r="X11" s="132">
        <v>196529</v>
      </c>
      <c r="Y11" s="137">
        <f t="shared" si="21"/>
        <v>300</v>
      </c>
      <c r="Z11" s="132">
        <v>9720</v>
      </c>
      <c r="AA11" s="137">
        <f t="shared" si="21"/>
        <v>5</v>
      </c>
      <c r="AB11" s="132">
        <v>31</v>
      </c>
      <c r="AC11" s="137">
        <f t="shared" si="21"/>
        <v>0</v>
      </c>
      <c r="AD11" s="132">
        <v>650</v>
      </c>
      <c r="AE11" s="137">
        <f t="shared" si="21"/>
        <v>0</v>
      </c>
      <c r="AF11" s="132">
        <v>8551</v>
      </c>
      <c r="AG11" s="137">
        <f t="shared" si="21"/>
        <v>10</v>
      </c>
    </row>
    <row r="12" spans="1:33" ht="16.2" thickBot="1" x14ac:dyDescent="0.3">
      <c r="A12" s="8">
        <v>44783</v>
      </c>
      <c r="B12" s="134">
        <v>24440.524000000001</v>
      </c>
      <c r="C12" s="41">
        <f t="shared" si="22"/>
        <v>14.849000000001979</v>
      </c>
      <c r="D12" s="26">
        <f t="shared" si="23"/>
        <v>28213.10000000376</v>
      </c>
      <c r="E12" s="1">
        <v>4433.0829999999996</v>
      </c>
      <c r="F12" s="41">
        <f t="shared" si="24"/>
        <v>3.7669999999998254</v>
      </c>
      <c r="G12" s="26">
        <f t="shared" si="25"/>
        <v>7157.2999999996682</v>
      </c>
      <c r="H12" s="1">
        <v>5816</v>
      </c>
      <c r="I12" s="41">
        <f t="shared" si="26"/>
        <v>9</v>
      </c>
      <c r="J12" s="26">
        <f t="shared" si="27"/>
        <v>17099.999999999996</v>
      </c>
      <c r="K12" s="1">
        <v>14144.82</v>
      </c>
      <c r="L12" s="41">
        <f t="shared" si="28"/>
        <v>2.7399999999997817</v>
      </c>
      <c r="M12" s="26">
        <f t="shared" si="29"/>
        <v>5205.9999999995844</v>
      </c>
      <c r="N12" s="1">
        <v>3675.9490000000001</v>
      </c>
      <c r="O12" s="41">
        <f t="shared" si="30"/>
        <v>1.6599999999998545</v>
      </c>
      <c r="P12" s="26">
        <f t="shared" si="31"/>
        <v>3153.9999999997231</v>
      </c>
      <c r="Q12" s="1">
        <v>5487.29</v>
      </c>
      <c r="R12" s="41">
        <f t="shared" si="32"/>
        <v>1.0500000000001819</v>
      </c>
      <c r="S12" s="26">
        <f t="shared" si="33"/>
        <v>1995.0000000003456</v>
      </c>
      <c r="T12" s="7">
        <f t="shared" si="35"/>
        <v>33.066000000001623</v>
      </c>
      <c r="U12" s="28">
        <f t="shared" si="34"/>
        <v>62825.400000003079</v>
      </c>
      <c r="W12" s="131">
        <v>44783</v>
      </c>
      <c r="X12" s="132">
        <v>196857</v>
      </c>
      <c r="Y12" s="137">
        <f t="shared" si="21"/>
        <v>328</v>
      </c>
      <c r="Z12" s="132">
        <v>9725</v>
      </c>
      <c r="AA12" s="137">
        <f t="shared" si="21"/>
        <v>5</v>
      </c>
      <c r="AB12" s="132">
        <v>31</v>
      </c>
      <c r="AC12" s="137">
        <f t="shared" si="21"/>
        <v>0</v>
      </c>
      <c r="AD12" s="132">
        <v>650</v>
      </c>
      <c r="AE12" s="137">
        <f t="shared" si="21"/>
        <v>0</v>
      </c>
      <c r="AF12" s="132">
        <v>8565</v>
      </c>
      <c r="AG12" s="137">
        <f t="shared" si="21"/>
        <v>14</v>
      </c>
    </row>
    <row r="13" spans="1:33" ht="16.2" thickBot="1" x14ac:dyDescent="0.3">
      <c r="A13" s="8">
        <v>44784</v>
      </c>
      <c r="B13" s="134">
        <v>24455.978999999999</v>
      </c>
      <c r="C13" s="41">
        <f t="shared" si="22"/>
        <v>15.454999999998108</v>
      </c>
      <c r="D13" s="26">
        <f t="shared" si="23"/>
        <v>29364.499999996406</v>
      </c>
      <c r="E13" s="1">
        <v>4436.5429999999997</v>
      </c>
      <c r="F13" s="41">
        <f t="shared" si="24"/>
        <v>3.4600000000000364</v>
      </c>
      <c r="G13" s="26">
        <f t="shared" si="25"/>
        <v>6574.0000000000691</v>
      </c>
      <c r="H13" s="1">
        <v>5824</v>
      </c>
      <c r="I13" s="41">
        <f t="shared" si="26"/>
        <v>8</v>
      </c>
      <c r="J13" s="26">
        <f t="shared" si="27"/>
        <v>15200</v>
      </c>
      <c r="K13" s="1">
        <v>14147.37</v>
      </c>
      <c r="L13" s="41">
        <f t="shared" si="28"/>
        <v>2.5500000000010914</v>
      </c>
      <c r="M13" s="26">
        <f t="shared" si="29"/>
        <v>4845.0000000020736</v>
      </c>
      <c r="N13" s="1">
        <v>3678.011</v>
      </c>
      <c r="O13" s="41">
        <f t="shared" si="30"/>
        <v>2.0619999999998981</v>
      </c>
      <c r="P13" s="26">
        <f t="shared" si="31"/>
        <v>3917.799999999806</v>
      </c>
      <c r="Q13" s="1">
        <v>5488.41</v>
      </c>
      <c r="R13" s="41">
        <f t="shared" si="32"/>
        <v>1.1199999999998909</v>
      </c>
      <c r="S13" s="26">
        <f t="shared" si="33"/>
        <v>2127.9999999997926</v>
      </c>
      <c r="T13" s="7">
        <f t="shared" si="35"/>
        <v>32.646999999999025</v>
      </c>
      <c r="U13" s="28">
        <f t="shared" si="34"/>
        <v>62029.299999998148</v>
      </c>
      <c r="W13" s="131">
        <v>44784</v>
      </c>
      <c r="X13" s="132">
        <v>197206</v>
      </c>
      <c r="Y13" s="137">
        <f t="shared" si="21"/>
        <v>349</v>
      </c>
      <c r="Z13" s="132">
        <v>9730</v>
      </c>
      <c r="AA13" s="137">
        <f t="shared" si="21"/>
        <v>5</v>
      </c>
      <c r="AB13" s="132">
        <v>31</v>
      </c>
      <c r="AC13" s="137">
        <f t="shared" si="21"/>
        <v>0</v>
      </c>
      <c r="AD13" s="132">
        <v>650</v>
      </c>
      <c r="AE13" s="137">
        <f t="shared" si="21"/>
        <v>0</v>
      </c>
      <c r="AF13" s="132">
        <v>8574</v>
      </c>
      <c r="AG13" s="137">
        <f t="shared" si="21"/>
        <v>9</v>
      </c>
    </row>
    <row r="14" spans="1:33" ht="16.2" thickBot="1" x14ac:dyDescent="0.3">
      <c r="A14" s="8">
        <v>44785</v>
      </c>
      <c r="B14" s="134">
        <v>24470</v>
      </c>
      <c r="C14" s="41">
        <f t="shared" si="22"/>
        <v>14.02100000000064</v>
      </c>
      <c r="D14" s="26">
        <f t="shared" si="23"/>
        <v>26639.900000001217</v>
      </c>
      <c r="E14" s="1">
        <v>4438.2740000000003</v>
      </c>
      <c r="F14" s="41">
        <f t="shared" si="24"/>
        <v>1.7310000000006767</v>
      </c>
      <c r="G14" s="26">
        <f t="shared" si="25"/>
        <v>3288.9000000012857</v>
      </c>
      <c r="H14" s="1">
        <v>5831</v>
      </c>
      <c r="I14" s="41">
        <f t="shared" si="26"/>
        <v>7</v>
      </c>
      <c r="J14" s="26">
        <f t="shared" si="27"/>
        <v>13299.999999999998</v>
      </c>
      <c r="K14" s="1">
        <v>14149.95</v>
      </c>
      <c r="L14" s="41">
        <f t="shared" si="28"/>
        <v>2.5799999999999272</v>
      </c>
      <c r="M14" s="26">
        <f t="shared" si="29"/>
        <v>4901.9999999998618</v>
      </c>
      <c r="N14" s="1">
        <v>3679.81</v>
      </c>
      <c r="O14" s="41">
        <f>IF((N14-N13)&lt;0,"0",(N14-N13))</f>
        <v>1.7989999999999782</v>
      </c>
      <c r="P14" s="26">
        <f t="shared" si="31"/>
        <v>3418.0999999999581</v>
      </c>
      <c r="Q14" s="1">
        <v>5489.34</v>
      </c>
      <c r="R14" s="41">
        <f t="shared" si="32"/>
        <v>0.93000000000029104</v>
      </c>
      <c r="S14" s="26">
        <f t="shared" si="33"/>
        <v>1767.0000000005527</v>
      </c>
      <c r="T14" s="7">
        <f t="shared" si="35"/>
        <v>28.061000000001513</v>
      </c>
      <c r="U14" s="28">
        <f t="shared" si="34"/>
        <v>53315.900000002868</v>
      </c>
      <c r="W14" s="131">
        <v>44785</v>
      </c>
      <c r="X14" s="132">
        <v>197488</v>
      </c>
      <c r="Y14" s="137">
        <f t="shared" si="21"/>
        <v>282</v>
      </c>
      <c r="Z14" s="132">
        <v>9734</v>
      </c>
      <c r="AA14" s="137">
        <f t="shared" si="21"/>
        <v>4</v>
      </c>
      <c r="AB14" s="132">
        <v>31.5</v>
      </c>
      <c r="AC14" s="137">
        <f t="shared" si="21"/>
        <v>0.5</v>
      </c>
      <c r="AD14" s="132">
        <v>650</v>
      </c>
      <c r="AE14" s="137">
        <f t="shared" si="21"/>
        <v>0</v>
      </c>
      <c r="AF14" s="132">
        <v>8584</v>
      </c>
      <c r="AG14" s="137">
        <f t="shared" si="21"/>
        <v>10</v>
      </c>
    </row>
    <row r="15" spans="1:33" ht="16.2" thickBot="1" x14ac:dyDescent="0.3">
      <c r="A15" s="8">
        <v>44786</v>
      </c>
      <c r="B15" s="134">
        <v>24488.18</v>
      </c>
      <c r="C15" s="41">
        <f t="shared" ref="C15" si="36">IF((B15-B14)&lt;0,"0",(B15-B14))</f>
        <v>18.180000000000291</v>
      </c>
      <c r="D15" s="26">
        <f t="shared" ref="D15" si="37">C15*1.9*1000</f>
        <v>34542.000000000546</v>
      </c>
      <c r="E15" s="1">
        <v>4440.7</v>
      </c>
      <c r="F15" s="41">
        <f t="shared" ref="F15" si="38">IF((E15-E14)&lt;0,"0",(E15-E14))</f>
        <v>2.4259999999994761</v>
      </c>
      <c r="G15" s="26">
        <f t="shared" ref="G15" si="39">F15*1.9*1000</f>
        <v>4609.3999999990046</v>
      </c>
      <c r="H15" s="1">
        <v>5840</v>
      </c>
      <c r="I15" s="41">
        <f t="shared" ref="I15" si="40">IF((H15-H14)&lt;0,"0",(H15-H14))</f>
        <v>9</v>
      </c>
      <c r="J15" s="26">
        <f t="shared" ref="J15" si="41">I15*1.9*1000</f>
        <v>17099.999999999996</v>
      </c>
      <c r="K15" s="1">
        <v>14153.28</v>
      </c>
      <c r="L15" s="41">
        <f t="shared" ref="L15" si="42">IF((K15-K14)&lt;0,"0",(K15-K14))</f>
        <v>3.3299999999999272</v>
      </c>
      <c r="M15" s="26">
        <f t="shared" ref="M15" si="43">L15*1.9*1000</f>
        <v>6326.9999999998618</v>
      </c>
      <c r="N15" s="1">
        <v>3682.89</v>
      </c>
      <c r="O15" s="41">
        <f>IF((N15-N14)&lt;0,"0",(N15-N14))</f>
        <v>3.0799999999999272</v>
      </c>
      <c r="P15" s="26">
        <f t="shared" ref="P15" si="44">O15*1.9*1000</f>
        <v>5851.9999999998618</v>
      </c>
      <c r="Q15" s="1">
        <v>5490.52</v>
      </c>
      <c r="R15" s="41">
        <f t="shared" ref="R15" si="45">IF((Q15-Q14)&lt;0,"0",(Q15-Q14))</f>
        <v>1.180000000000291</v>
      </c>
      <c r="S15" s="26">
        <f t="shared" ref="S15" si="46">R15*1.9*1000</f>
        <v>2242.000000000553</v>
      </c>
      <c r="T15" s="7">
        <f t="shared" ref="T15" si="47">C15+F15+I15+L15+O15+R15</f>
        <v>37.195999999999913</v>
      </c>
      <c r="U15" s="28">
        <f t="shared" ref="U15" si="48">T15*1.9*1000</f>
        <v>70672.39999999982</v>
      </c>
      <c r="W15" s="131">
        <v>44786</v>
      </c>
      <c r="X15" s="132">
        <v>197802</v>
      </c>
      <c r="Y15" s="137">
        <f t="shared" si="21"/>
        <v>314</v>
      </c>
      <c r="Z15" s="132">
        <v>9740</v>
      </c>
      <c r="AA15" s="137">
        <f t="shared" si="21"/>
        <v>6</v>
      </c>
      <c r="AB15" s="132">
        <v>31.5</v>
      </c>
      <c r="AC15" s="137">
        <f t="shared" si="21"/>
        <v>0</v>
      </c>
      <c r="AD15" s="132">
        <v>650</v>
      </c>
      <c r="AE15" s="137">
        <f t="shared" si="21"/>
        <v>0</v>
      </c>
      <c r="AF15" s="132">
        <v>8583</v>
      </c>
      <c r="AG15" s="137" t="str">
        <f t="shared" si="21"/>
        <v>0</v>
      </c>
    </row>
    <row r="16" spans="1:33" ht="16.2" thickBot="1" x14ac:dyDescent="0.3">
      <c r="A16" s="8">
        <v>44787</v>
      </c>
      <c r="B16" s="134">
        <v>24499</v>
      </c>
      <c r="C16" s="41">
        <f t="shared" si="22"/>
        <v>10.819999999999709</v>
      </c>
      <c r="D16" s="26">
        <f t="shared" si="23"/>
        <v>20557.999999999447</v>
      </c>
      <c r="E16" s="1">
        <v>4443</v>
      </c>
      <c r="F16" s="41">
        <f t="shared" si="24"/>
        <v>2.3000000000001819</v>
      </c>
      <c r="G16" s="26">
        <f t="shared" si="25"/>
        <v>4370.0000000003456</v>
      </c>
      <c r="H16" s="1">
        <v>5847</v>
      </c>
      <c r="I16" s="41">
        <f t="shared" si="26"/>
        <v>7</v>
      </c>
      <c r="J16" s="26">
        <f t="shared" si="27"/>
        <v>13299.999999999998</v>
      </c>
      <c r="K16" s="1">
        <v>14155.5</v>
      </c>
      <c r="L16" s="41">
        <f t="shared" si="28"/>
        <v>2.2199999999993452</v>
      </c>
      <c r="M16" s="26">
        <f t="shared" si="29"/>
        <v>4217.9999999987558</v>
      </c>
      <c r="N16" s="1">
        <v>3684</v>
      </c>
      <c r="O16" s="41">
        <f t="shared" si="30"/>
        <v>1.1100000000001273</v>
      </c>
      <c r="P16" s="26">
        <f t="shared" si="31"/>
        <v>2109.0000000002419</v>
      </c>
      <c r="Q16" s="1">
        <v>5492.3</v>
      </c>
      <c r="R16" s="41">
        <f t="shared" si="32"/>
        <v>1.7799999999997453</v>
      </c>
      <c r="S16" s="26">
        <f t="shared" si="33"/>
        <v>3381.9999999995161</v>
      </c>
      <c r="T16" s="7">
        <f t="shared" si="35"/>
        <v>25.229999999999109</v>
      </c>
      <c r="U16" s="28">
        <f t="shared" si="34"/>
        <v>47936.999999998305</v>
      </c>
      <c r="W16" s="131">
        <v>44787</v>
      </c>
      <c r="X16" s="132">
        <v>198113</v>
      </c>
      <c r="Y16" s="137">
        <f t="shared" si="21"/>
        <v>311</v>
      </c>
      <c r="Z16" s="132">
        <v>9746</v>
      </c>
      <c r="AA16" s="137">
        <f t="shared" si="21"/>
        <v>6</v>
      </c>
      <c r="AB16" s="132">
        <v>31.5</v>
      </c>
      <c r="AC16" s="137">
        <f t="shared" si="21"/>
        <v>0</v>
      </c>
      <c r="AD16" s="132">
        <v>650</v>
      </c>
      <c r="AE16" s="137">
        <f t="shared" si="21"/>
        <v>0</v>
      </c>
      <c r="AF16" s="132">
        <v>8607</v>
      </c>
      <c r="AG16" s="137">
        <f t="shared" si="21"/>
        <v>24</v>
      </c>
    </row>
    <row r="17" spans="1:33" ht="16.2" thickBot="1" x14ac:dyDescent="0.3">
      <c r="A17" s="8">
        <v>44788</v>
      </c>
      <c r="B17" s="134">
        <v>24512</v>
      </c>
      <c r="C17" s="41">
        <f t="shared" si="22"/>
        <v>13</v>
      </c>
      <c r="D17" s="26">
        <f t="shared" si="23"/>
        <v>24700</v>
      </c>
      <c r="E17" s="1">
        <v>4446.8</v>
      </c>
      <c r="F17" s="41">
        <f t="shared" si="24"/>
        <v>3.8000000000001819</v>
      </c>
      <c r="G17" s="26">
        <f t="shared" si="25"/>
        <v>7220.0000000003456</v>
      </c>
      <c r="H17" s="1">
        <v>5855</v>
      </c>
      <c r="I17" s="41">
        <f t="shared" si="26"/>
        <v>8</v>
      </c>
      <c r="J17" s="26">
        <f t="shared" si="27"/>
        <v>15200</v>
      </c>
      <c r="K17" s="1">
        <v>14157.84</v>
      </c>
      <c r="L17" s="41">
        <f t="shared" si="28"/>
        <v>2.3400000000001455</v>
      </c>
      <c r="M17" s="26">
        <f t="shared" si="29"/>
        <v>4446.0000000002756</v>
      </c>
      <c r="N17" s="1">
        <v>3686.511</v>
      </c>
      <c r="O17" s="41">
        <f t="shared" si="30"/>
        <v>2.5109999999999673</v>
      </c>
      <c r="P17" s="26">
        <f t="shared" si="31"/>
        <v>4770.8999999999378</v>
      </c>
      <c r="Q17" s="1">
        <v>5492.45</v>
      </c>
      <c r="R17" s="41">
        <f t="shared" si="32"/>
        <v>0.1499999999996362</v>
      </c>
      <c r="S17" s="26">
        <f t="shared" si="33"/>
        <v>284.99999999930873</v>
      </c>
      <c r="T17" s="7">
        <f t="shared" si="35"/>
        <v>29.800999999999931</v>
      </c>
      <c r="U17" s="28">
        <f t="shared" si="34"/>
        <v>56621.89999999987</v>
      </c>
      <c r="W17" s="131">
        <v>44788</v>
      </c>
      <c r="X17" s="132">
        <v>198494</v>
      </c>
      <c r="Y17" s="137">
        <f t="shared" si="21"/>
        <v>381</v>
      </c>
      <c r="Z17" s="132">
        <v>9764</v>
      </c>
      <c r="AA17" s="137">
        <f t="shared" si="21"/>
        <v>18</v>
      </c>
      <c r="AB17" s="132">
        <v>31.5</v>
      </c>
      <c r="AC17" s="137">
        <f t="shared" si="21"/>
        <v>0</v>
      </c>
      <c r="AD17" s="132">
        <v>650</v>
      </c>
      <c r="AE17" s="137">
        <f t="shared" si="21"/>
        <v>0</v>
      </c>
      <c r="AF17" s="132">
        <v>8621</v>
      </c>
      <c r="AG17" s="137">
        <f t="shared" si="21"/>
        <v>14</v>
      </c>
    </row>
    <row r="18" spans="1:33" ht="16.2" thickBot="1" x14ac:dyDescent="0.3">
      <c r="A18" s="8">
        <v>44789</v>
      </c>
      <c r="B18" s="134">
        <v>24523.9</v>
      </c>
      <c r="C18" s="41">
        <f t="shared" si="22"/>
        <v>11.900000000001455</v>
      </c>
      <c r="D18" s="26">
        <f t="shared" si="23"/>
        <v>22610.000000002765</v>
      </c>
      <c r="E18" s="1">
        <v>4449.4939999999997</v>
      </c>
      <c r="F18" s="41">
        <f t="shared" si="24"/>
        <v>2.6939999999995052</v>
      </c>
      <c r="G18" s="26">
        <f t="shared" si="25"/>
        <v>5118.5999999990599</v>
      </c>
      <c r="H18" s="1">
        <v>5863</v>
      </c>
      <c r="I18" s="41">
        <f t="shared" si="26"/>
        <v>8</v>
      </c>
      <c r="J18" s="26">
        <f t="shared" si="27"/>
        <v>15200</v>
      </c>
      <c r="K18" s="1">
        <v>14159.8</v>
      </c>
      <c r="L18" s="41">
        <f t="shared" si="28"/>
        <v>1.9599999999991269</v>
      </c>
      <c r="M18" s="26">
        <f t="shared" si="29"/>
        <v>3723.9999999983411</v>
      </c>
      <c r="N18" s="1">
        <v>3688.335</v>
      </c>
      <c r="O18" s="41">
        <f t="shared" si="30"/>
        <v>1.8240000000000691</v>
      </c>
      <c r="P18" s="26">
        <f t="shared" si="31"/>
        <v>3465.6000000001313</v>
      </c>
      <c r="Q18" s="1">
        <v>5493.4</v>
      </c>
      <c r="R18" s="41">
        <f t="shared" si="32"/>
        <v>0.9499999999998181</v>
      </c>
      <c r="S18" s="26">
        <f t="shared" si="33"/>
        <v>1804.9999999996542</v>
      </c>
      <c r="T18" s="7">
        <f t="shared" si="35"/>
        <v>27.327999999999975</v>
      </c>
      <c r="U18" s="28">
        <f t="shared" si="34"/>
        <v>51923.199999999953</v>
      </c>
      <c r="W18" s="131">
        <v>44789</v>
      </c>
      <c r="X18" s="132">
        <v>198842</v>
      </c>
      <c r="Y18" s="137">
        <f t="shared" si="21"/>
        <v>348</v>
      </c>
      <c r="Z18" s="132">
        <v>9769</v>
      </c>
      <c r="AA18" s="137">
        <f t="shared" si="21"/>
        <v>5</v>
      </c>
      <c r="AB18" s="132">
        <v>31.5</v>
      </c>
      <c r="AC18" s="137">
        <f t="shared" si="21"/>
        <v>0</v>
      </c>
      <c r="AD18" s="132">
        <v>650</v>
      </c>
      <c r="AE18" s="137">
        <f t="shared" si="21"/>
        <v>0</v>
      </c>
      <c r="AF18" s="132">
        <v>8634</v>
      </c>
      <c r="AG18" s="137">
        <f t="shared" si="21"/>
        <v>13</v>
      </c>
    </row>
    <row r="19" spans="1:33" ht="16.2" thickBot="1" x14ac:dyDescent="0.3">
      <c r="A19" s="8">
        <v>44790</v>
      </c>
      <c r="B19" s="134">
        <v>24538</v>
      </c>
      <c r="C19" s="41">
        <f t="shared" si="22"/>
        <v>14.099999999998545</v>
      </c>
      <c r="D19" s="26">
        <f t="shared" si="23"/>
        <v>26789.999999997235</v>
      </c>
      <c r="E19" s="1">
        <v>4453.5069999999996</v>
      </c>
      <c r="F19" s="41">
        <f t="shared" si="24"/>
        <v>4.01299999999992</v>
      </c>
      <c r="G19" s="26">
        <f t="shared" si="25"/>
        <v>7624.6999999998479</v>
      </c>
      <c r="H19" s="1">
        <v>5872</v>
      </c>
      <c r="I19" s="41">
        <f t="shared" si="26"/>
        <v>9</v>
      </c>
      <c r="J19" s="26">
        <f t="shared" si="27"/>
        <v>17099.999999999996</v>
      </c>
      <c r="K19" s="1">
        <v>14162</v>
      </c>
      <c r="L19" s="41">
        <f t="shared" si="28"/>
        <v>2.2000000000007276</v>
      </c>
      <c r="M19" s="26">
        <f t="shared" si="29"/>
        <v>4180.0000000013824</v>
      </c>
      <c r="N19" s="1">
        <v>3690.6</v>
      </c>
      <c r="O19" s="41">
        <f t="shared" si="30"/>
        <v>2.2649999999998727</v>
      </c>
      <c r="P19" s="26">
        <f t="shared" si="31"/>
        <v>4303.4999999997581</v>
      </c>
      <c r="Q19" s="1">
        <v>5494.2</v>
      </c>
      <c r="R19" s="41">
        <f t="shared" si="32"/>
        <v>0.8000000000001819</v>
      </c>
      <c r="S19" s="26">
        <f t="shared" si="33"/>
        <v>1520.0000000003456</v>
      </c>
      <c r="T19" s="7">
        <f t="shared" si="35"/>
        <v>32.377999999999247</v>
      </c>
      <c r="U19" s="28">
        <f t="shared" si="34"/>
        <v>61518.199999998564</v>
      </c>
      <c r="W19" s="131">
        <v>44790</v>
      </c>
      <c r="X19" s="132">
        <v>199148</v>
      </c>
      <c r="Y19" s="137">
        <f t="shared" si="21"/>
        <v>306</v>
      </c>
      <c r="Z19" s="132">
        <v>9773</v>
      </c>
      <c r="AA19" s="137">
        <f t="shared" si="21"/>
        <v>4</v>
      </c>
      <c r="AB19" s="132">
        <v>31.5</v>
      </c>
      <c r="AC19" s="137">
        <f t="shared" si="21"/>
        <v>0</v>
      </c>
      <c r="AD19" s="132">
        <v>650</v>
      </c>
      <c r="AE19" s="137">
        <f t="shared" si="21"/>
        <v>0</v>
      </c>
      <c r="AF19" s="132">
        <v>8651</v>
      </c>
      <c r="AG19" s="137">
        <f t="shared" si="21"/>
        <v>17</v>
      </c>
    </row>
    <row r="20" spans="1:33" ht="16.2" thickBot="1" x14ac:dyDescent="0.3">
      <c r="A20" s="8">
        <v>44791</v>
      </c>
      <c r="B20" s="134">
        <v>24551.754000000001</v>
      </c>
      <c r="C20" s="41">
        <f t="shared" si="22"/>
        <v>13.754000000000815</v>
      </c>
      <c r="D20" s="26">
        <f t="shared" si="23"/>
        <v>26132.600000001545</v>
      </c>
      <c r="E20" s="1">
        <v>4456.7449999999999</v>
      </c>
      <c r="F20" s="41">
        <f t="shared" si="24"/>
        <v>3.2380000000002838</v>
      </c>
      <c r="G20" s="26">
        <f t="shared" si="25"/>
        <v>6152.2000000005391</v>
      </c>
      <c r="H20" s="1">
        <v>5880</v>
      </c>
      <c r="I20" s="41">
        <f t="shared" si="26"/>
        <v>8</v>
      </c>
      <c r="J20" s="26">
        <f t="shared" si="27"/>
        <v>15200</v>
      </c>
      <c r="K20" s="1">
        <v>14165.39</v>
      </c>
      <c r="L20" s="41">
        <f t="shared" si="28"/>
        <v>3.3899999999994179</v>
      </c>
      <c r="M20" s="26">
        <f t="shared" si="29"/>
        <v>6440.9999999988941</v>
      </c>
      <c r="N20" s="1">
        <v>3692.7280000000001</v>
      </c>
      <c r="O20" s="41">
        <f t="shared" si="30"/>
        <v>2.1280000000001564</v>
      </c>
      <c r="P20" s="26">
        <f t="shared" si="31"/>
        <v>4043.2000000002972</v>
      </c>
      <c r="Q20" s="1">
        <v>5495.19</v>
      </c>
      <c r="R20" s="41">
        <f t="shared" si="32"/>
        <v>0.98999999999978172</v>
      </c>
      <c r="S20" s="26">
        <f t="shared" si="33"/>
        <v>1880.9999999995853</v>
      </c>
      <c r="T20" s="7">
        <f t="shared" si="35"/>
        <v>31.500000000000455</v>
      </c>
      <c r="U20" s="28">
        <f t="shared" si="34"/>
        <v>59850.000000000859</v>
      </c>
      <c r="W20" s="131">
        <v>44791</v>
      </c>
      <c r="X20" s="132">
        <v>199449</v>
      </c>
      <c r="Y20" s="137">
        <f t="shared" si="21"/>
        <v>301</v>
      </c>
      <c r="Z20" s="132">
        <v>9778</v>
      </c>
      <c r="AA20" s="137">
        <f t="shared" si="21"/>
        <v>5</v>
      </c>
      <c r="AB20" s="132">
        <v>31.5</v>
      </c>
      <c r="AC20" s="137">
        <f t="shared" si="21"/>
        <v>0</v>
      </c>
      <c r="AD20" s="132">
        <v>650</v>
      </c>
      <c r="AE20" s="137">
        <f t="shared" si="21"/>
        <v>0</v>
      </c>
      <c r="AF20" s="132">
        <v>8660</v>
      </c>
      <c r="AG20" s="137">
        <f t="shared" si="21"/>
        <v>9</v>
      </c>
    </row>
    <row r="21" spans="1:33" ht="16.2" thickBot="1" x14ac:dyDescent="0.3">
      <c r="A21" s="8">
        <v>44792</v>
      </c>
      <c r="B21" s="134">
        <v>24563.723000000002</v>
      </c>
      <c r="C21" s="41">
        <f t="shared" si="22"/>
        <v>11.96900000000096</v>
      </c>
      <c r="D21" s="26">
        <f t="shared" si="23"/>
        <v>22741.100000001825</v>
      </c>
      <c r="E21" s="1">
        <v>4457.96</v>
      </c>
      <c r="F21" s="41">
        <f t="shared" si="24"/>
        <v>1.2150000000001455</v>
      </c>
      <c r="G21" s="26">
        <f t="shared" si="25"/>
        <v>2308.500000000276</v>
      </c>
      <c r="H21" s="1">
        <v>5887</v>
      </c>
      <c r="I21" s="41">
        <f t="shared" si="26"/>
        <v>7</v>
      </c>
      <c r="J21" s="26">
        <f t="shared" si="27"/>
        <v>13299.999999999998</v>
      </c>
      <c r="K21" s="1">
        <v>14167.66</v>
      </c>
      <c r="L21" s="41">
        <f t="shared" si="28"/>
        <v>2.2700000000004366</v>
      </c>
      <c r="M21" s="26">
        <f t="shared" si="29"/>
        <v>4313.0000000008295</v>
      </c>
      <c r="N21" s="1">
        <v>3694.694</v>
      </c>
      <c r="O21" s="41">
        <f t="shared" si="30"/>
        <v>1.9659999999998945</v>
      </c>
      <c r="P21" s="26">
        <f t="shared" si="31"/>
        <v>3735.3999999997995</v>
      </c>
      <c r="Q21" s="1">
        <v>5496.03</v>
      </c>
      <c r="R21" s="41">
        <f t="shared" si="32"/>
        <v>0.84000000000014552</v>
      </c>
      <c r="S21" s="26">
        <f t="shared" si="33"/>
        <v>1596.0000000002763</v>
      </c>
      <c r="T21" s="7">
        <f t="shared" si="35"/>
        <v>25.260000000001583</v>
      </c>
      <c r="U21" s="28">
        <f t="shared" si="34"/>
        <v>47994.000000003005</v>
      </c>
      <c r="W21" s="131">
        <v>44792</v>
      </c>
      <c r="X21" s="132">
        <v>199755</v>
      </c>
      <c r="Y21" s="137">
        <f t="shared" si="21"/>
        <v>306</v>
      </c>
      <c r="Z21" s="132">
        <v>9784</v>
      </c>
      <c r="AA21" s="137">
        <f t="shared" si="21"/>
        <v>6</v>
      </c>
      <c r="AB21" s="132">
        <v>31.6</v>
      </c>
      <c r="AC21" s="137">
        <f t="shared" si="21"/>
        <v>0.10000000000000142</v>
      </c>
      <c r="AD21" s="132">
        <v>650</v>
      </c>
      <c r="AE21" s="137">
        <f t="shared" si="21"/>
        <v>0</v>
      </c>
      <c r="AF21" s="132">
        <v>8677</v>
      </c>
      <c r="AG21" s="137">
        <f t="shared" si="21"/>
        <v>17</v>
      </c>
    </row>
    <row r="22" spans="1:33" ht="16.2" thickBot="1" x14ac:dyDescent="0.3">
      <c r="A22" s="8">
        <v>44793</v>
      </c>
      <c r="B22" s="134">
        <v>24579.258999999998</v>
      </c>
      <c r="C22" s="41">
        <f t="shared" si="22"/>
        <v>15.53599999999642</v>
      </c>
      <c r="D22" s="26">
        <f t="shared" si="23"/>
        <v>29518.399999993195</v>
      </c>
      <c r="E22" s="1">
        <v>4460.3630000000003</v>
      </c>
      <c r="F22" s="41">
        <f t="shared" si="24"/>
        <v>2.4030000000002474</v>
      </c>
      <c r="G22" s="26">
        <f t="shared" si="25"/>
        <v>4565.7000000004691</v>
      </c>
      <c r="H22" s="1">
        <v>5896</v>
      </c>
      <c r="I22" s="41">
        <f t="shared" si="26"/>
        <v>9</v>
      </c>
      <c r="J22" s="26">
        <f t="shared" si="27"/>
        <v>17099.999999999996</v>
      </c>
      <c r="K22" s="1">
        <v>14170.68</v>
      </c>
      <c r="L22" s="41">
        <f t="shared" si="28"/>
        <v>3.0200000000004366</v>
      </c>
      <c r="M22" s="26">
        <f t="shared" si="29"/>
        <v>5738.0000000008295</v>
      </c>
      <c r="N22" s="1">
        <v>3697.4879999999998</v>
      </c>
      <c r="O22" s="41">
        <f t="shared" si="30"/>
        <v>2.793999999999869</v>
      </c>
      <c r="P22" s="26">
        <f t="shared" si="31"/>
        <v>5308.5999999997503</v>
      </c>
      <c r="Q22" s="1">
        <v>5497.32</v>
      </c>
      <c r="R22" s="41">
        <f t="shared" si="32"/>
        <v>1.2899999999999636</v>
      </c>
      <c r="S22" s="26">
        <f t="shared" si="33"/>
        <v>2450.9999999999309</v>
      </c>
      <c r="T22" s="7">
        <f t="shared" si="35"/>
        <v>34.042999999996937</v>
      </c>
      <c r="U22" s="28">
        <f t="shared" si="34"/>
        <v>64681.699999994176</v>
      </c>
      <c r="W22" s="131">
        <v>44793</v>
      </c>
      <c r="X22" s="132">
        <v>200120</v>
      </c>
      <c r="Y22" s="137">
        <f t="shared" si="21"/>
        <v>365</v>
      </c>
      <c r="Z22" s="132">
        <v>9788</v>
      </c>
      <c r="AA22" s="137">
        <f t="shared" si="21"/>
        <v>4</v>
      </c>
      <c r="AB22" s="132">
        <v>31.6</v>
      </c>
      <c r="AC22" s="137">
        <f t="shared" si="21"/>
        <v>0</v>
      </c>
      <c r="AD22" s="132">
        <v>650</v>
      </c>
      <c r="AE22" s="137">
        <f t="shared" si="21"/>
        <v>0</v>
      </c>
      <c r="AF22" s="132">
        <v>8688</v>
      </c>
      <c r="AG22" s="137">
        <f t="shared" si="21"/>
        <v>11</v>
      </c>
    </row>
    <row r="23" spans="1:33" ht="16.2" thickBot="1" x14ac:dyDescent="0.3">
      <c r="A23" s="8">
        <v>44794</v>
      </c>
      <c r="B23" s="134">
        <v>24591.9</v>
      </c>
      <c r="C23" s="41">
        <f t="shared" si="22"/>
        <v>12.64100000000326</v>
      </c>
      <c r="D23" s="26">
        <f t="shared" si="23"/>
        <v>24017.900000006193</v>
      </c>
      <c r="E23" s="1">
        <v>4462.835</v>
      </c>
      <c r="F23" s="41">
        <f t="shared" si="24"/>
        <v>2.4719999999997526</v>
      </c>
      <c r="G23" s="26">
        <f t="shared" si="25"/>
        <v>4696.79999999953</v>
      </c>
      <c r="H23" s="1">
        <v>5903</v>
      </c>
      <c r="I23" s="41">
        <f t="shared" si="26"/>
        <v>7</v>
      </c>
      <c r="J23" s="26">
        <f t="shared" si="27"/>
        <v>13299.999999999998</v>
      </c>
      <c r="K23" s="1">
        <v>14172.5</v>
      </c>
      <c r="L23" s="41">
        <f t="shared" si="28"/>
        <v>1.819999999999709</v>
      </c>
      <c r="M23" s="26">
        <f t="shared" si="29"/>
        <v>3457.999999999447</v>
      </c>
      <c r="N23" s="1">
        <v>3699.3739999999998</v>
      </c>
      <c r="O23" s="41">
        <f t="shared" si="30"/>
        <v>1.8859999999999673</v>
      </c>
      <c r="P23" s="26">
        <f t="shared" si="31"/>
        <v>3583.3999999999373</v>
      </c>
      <c r="Q23" s="1">
        <v>5498.9</v>
      </c>
      <c r="R23" s="41">
        <f t="shared" si="32"/>
        <v>1.5799999999999272</v>
      </c>
      <c r="S23" s="26">
        <f t="shared" si="33"/>
        <v>3001.9999999998618</v>
      </c>
      <c r="T23" s="7">
        <f t="shared" si="35"/>
        <v>27.399000000002616</v>
      </c>
      <c r="U23" s="28">
        <f t="shared" si="34"/>
        <v>52058.100000004968</v>
      </c>
      <c r="W23" s="131">
        <v>44794</v>
      </c>
      <c r="X23" s="132">
        <v>200448</v>
      </c>
      <c r="Y23" s="137">
        <f t="shared" si="21"/>
        <v>328</v>
      </c>
      <c r="Z23" s="132">
        <v>9795</v>
      </c>
      <c r="AA23" s="137">
        <f t="shared" si="21"/>
        <v>7</v>
      </c>
      <c r="AB23" s="132">
        <v>31.6</v>
      </c>
      <c r="AC23" s="137">
        <f t="shared" si="21"/>
        <v>0</v>
      </c>
      <c r="AD23" s="132">
        <v>650</v>
      </c>
      <c r="AE23" s="137">
        <f t="shared" si="21"/>
        <v>0</v>
      </c>
      <c r="AF23" s="132">
        <v>8699</v>
      </c>
      <c r="AG23" s="137">
        <f t="shared" si="21"/>
        <v>11</v>
      </c>
    </row>
    <row r="24" spans="1:33" ht="16.2" thickBot="1" x14ac:dyDescent="0.3">
      <c r="A24" s="8">
        <v>44795</v>
      </c>
      <c r="B24" s="134">
        <v>24606</v>
      </c>
      <c r="C24" s="41">
        <f t="shared" si="22"/>
        <v>14.099999999998545</v>
      </c>
      <c r="D24" s="26">
        <f t="shared" si="23"/>
        <v>26789.999999997235</v>
      </c>
      <c r="E24" s="1">
        <v>4466.3900000000003</v>
      </c>
      <c r="F24" s="41">
        <f t="shared" si="24"/>
        <v>3.555000000000291</v>
      </c>
      <c r="G24" s="26">
        <f t="shared" si="25"/>
        <v>6754.500000000553</v>
      </c>
      <c r="H24" s="1">
        <v>5911</v>
      </c>
      <c r="I24" s="41">
        <f t="shared" si="26"/>
        <v>8</v>
      </c>
      <c r="J24" s="26">
        <f t="shared" si="27"/>
        <v>15200</v>
      </c>
      <c r="K24" s="1">
        <v>14175.04</v>
      </c>
      <c r="L24" s="41">
        <f t="shared" si="28"/>
        <v>2.5400000000008731</v>
      </c>
      <c r="M24" s="26">
        <f t="shared" si="29"/>
        <v>4826.0000000016589</v>
      </c>
      <c r="N24" s="1">
        <v>3701.6</v>
      </c>
      <c r="O24" s="41">
        <f t="shared" si="30"/>
        <v>2.2260000000001128</v>
      </c>
      <c r="P24" s="26">
        <f t="shared" si="31"/>
        <v>4229.4000000002143</v>
      </c>
      <c r="Q24" s="1">
        <v>5499.32</v>
      </c>
      <c r="R24" s="41">
        <f t="shared" si="32"/>
        <v>0.42000000000007276</v>
      </c>
      <c r="S24" s="26">
        <f t="shared" si="33"/>
        <v>798.00000000013813</v>
      </c>
      <c r="T24" s="7">
        <f t="shared" si="35"/>
        <v>30.840999999999894</v>
      </c>
      <c r="U24" s="28">
        <f t="shared" si="34"/>
        <v>58597.899999999798</v>
      </c>
      <c r="W24" s="131">
        <v>44795</v>
      </c>
      <c r="X24" s="132">
        <v>200793</v>
      </c>
      <c r="Y24" s="137">
        <f t="shared" si="21"/>
        <v>345</v>
      </c>
      <c r="Z24" s="132">
        <v>9805</v>
      </c>
      <c r="AA24" s="137">
        <f t="shared" si="21"/>
        <v>10</v>
      </c>
      <c r="AB24" s="132">
        <v>31.6</v>
      </c>
      <c r="AC24" s="137">
        <f t="shared" si="21"/>
        <v>0</v>
      </c>
      <c r="AD24" s="132">
        <v>650</v>
      </c>
      <c r="AE24" s="137">
        <f t="shared" si="21"/>
        <v>0</v>
      </c>
      <c r="AF24" s="132">
        <v>8708</v>
      </c>
      <c r="AG24" s="137">
        <f t="shared" si="21"/>
        <v>9</v>
      </c>
    </row>
    <row r="25" spans="1:33" ht="16.2" thickBot="1" x14ac:dyDescent="0.3">
      <c r="A25" s="8">
        <v>44796</v>
      </c>
      <c r="B25" s="134">
        <v>24621.35</v>
      </c>
      <c r="C25" s="41">
        <f t="shared" si="22"/>
        <v>15.349999999998545</v>
      </c>
      <c r="D25" s="26">
        <f t="shared" si="23"/>
        <v>29164.999999997235</v>
      </c>
      <c r="E25" s="1">
        <v>4470.0559999999996</v>
      </c>
      <c r="F25" s="41">
        <f t="shared" si="24"/>
        <v>3.6659999999992579</v>
      </c>
      <c r="G25" s="26">
        <f t="shared" si="25"/>
        <v>6965.399999998589</v>
      </c>
      <c r="H25" s="1">
        <v>5920</v>
      </c>
      <c r="I25" s="41">
        <f t="shared" si="26"/>
        <v>9</v>
      </c>
      <c r="J25" s="26">
        <f t="shared" si="27"/>
        <v>17099.999999999996</v>
      </c>
      <c r="K25" s="1">
        <v>14177.82</v>
      </c>
      <c r="L25" s="41">
        <f t="shared" si="28"/>
        <v>2.7799999999988358</v>
      </c>
      <c r="M25" s="26">
        <f t="shared" si="29"/>
        <v>5281.9999999977872</v>
      </c>
      <c r="N25" s="1">
        <v>3703.6990000000001</v>
      </c>
      <c r="O25" s="41">
        <f t="shared" si="30"/>
        <v>2.0990000000001601</v>
      </c>
      <c r="P25" s="26">
        <f t="shared" si="31"/>
        <v>3988.1000000003041</v>
      </c>
      <c r="Q25" s="1">
        <v>5500.48</v>
      </c>
      <c r="R25" s="41">
        <f t="shared" si="32"/>
        <v>1.1599999999998545</v>
      </c>
      <c r="S25" s="26">
        <f t="shared" si="33"/>
        <v>2203.9999999997235</v>
      </c>
      <c r="T25" s="7">
        <f t="shared" si="35"/>
        <v>34.054999999996653</v>
      </c>
      <c r="U25" s="28">
        <f t="shared" si="34"/>
        <v>64704.499999993641</v>
      </c>
      <c r="W25" s="131">
        <v>44796</v>
      </c>
      <c r="X25" s="132">
        <v>201178</v>
      </c>
      <c r="Y25" s="137">
        <f t="shared" si="21"/>
        <v>385</v>
      </c>
      <c r="Z25" s="132">
        <v>9812</v>
      </c>
      <c r="AA25" s="137">
        <f t="shared" si="21"/>
        <v>7</v>
      </c>
      <c r="AB25" s="132">
        <v>32</v>
      </c>
      <c r="AC25" s="137">
        <f t="shared" si="21"/>
        <v>0.39999999999999858</v>
      </c>
      <c r="AD25" s="132">
        <v>650</v>
      </c>
      <c r="AE25" s="137">
        <f t="shared" si="21"/>
        <v>0</v>
      </c>
      <c r="AF25" s="132">
        <v>8720</v>
      </c>
      <c r="AG25" s="137">
        <f t="shared" si="21"/>
        <v>12</v>
      </c>
    </row>
    <row r="26" spans="1:33" ht="16.2" thickBot="1" x14ac:dyDescent="0.3">
      <c r="A26" s="8">
        <v>44797</v>
      </c>
      <c r="B26" s="134">
        <v>24635.041000000001</v>
      </c>
      <c r="C26" s="41">
        <f t="shared" si="22"/>
        <v>13.691000000002532</v>
      </c>
      <c r="D26" s="26">
        <f t="shared" si="23"/>
        <v>26012.900000004807</v>
      </c>
      <c r="E26" s="1">
        <v>4473.3729999999996</v>
      </c>
      <c r="F26" s="41">
        <f t="shared" si="24"/>
        <v>3.3170000000000073</v>
      </c>
      <c r="G26" s="26">
        <f t="shared" si="25"/>
        <v>6302.3000000000129</v>
      </c>
      <c r="H26" s="1">
        <v>5928</v>
      </c>
      <c r="I26" s="41">
        <f t="shared" si="26"/>
        <v>8</v>
      </c>
      <c r="J26" s="26">
        <f t="shared" si="27"/>
        <v>15200</v>
      </c>
      <c r="K26" s="1">
        <v>14180.22</v>
      </c>
      <c r="L26" s="41">
        <f>IF((K26-K25)&lt;0,"0",(K26-K25))</f>
        <v>2.3999999999996362</v>
      </c>
      <c r="M26" s="26">
        <f t="shared" si="29"/>
        <v>4559.9999999993088</v>
      </c>
      <c r="N26" s="1">
        <v>3705.9659999999999</v>
      </c>
      <c r="O26" s="41">
        <f t="shared" si="30"/>
        <v>2.2669999999998254</v>
      </c>
      <c r="P26" s="26">
        <f t="shared" si="31"/>
        <v>4307.2999999996682</v>
      </c>
      <c r="Q26" s="1">
        <v>5501.68</v>
      </c>
      <c r="R26" s="41">
        <f t="shared" si="32"/>
        <v>1.2000000000007276</v>
      </c>
      <c r="S26" s="26">
        <f t="shared" si="33"/>
        <v>2280.0000000013824</v>
      </c>
      <c r="T26" s="7">
        <f t="shared" si="35"/>
        <v>30.875000000002728</v>
      </c>
      <c r="U26" s="28">
        <f t="shared" si="34"/>
        <v>58662.50000000518</v>
      </c>
      <c r="V26" t="s">
        <v>12</v>
      </c>
      <c r="W26" s="131">
        <v>44797</v>
      </c>
      <c r="X26" s="132">
        <v>201561</v>
      </c>
      <c r="Y26" s="137">
        <f t="shared" si="21"/>
        <v>383</v>
      </c>
      <c r="Z26" s="132">
        <v>9836</v>
      </c>
      <c r="AA26" s="137">
        <f t="shared" si="21"/>
        <v>24</v>
      </c>
      <c r="AB26" s="132">
        <v>32.5</v>
      </c>
      <c r="AC26" s="137">
        <f t="shared" si="21"/>
        <v>0.5</v>
      </c>
      <c r="AD26" s="132">
        <v>650</v>
      </c>
      <c r="AE26" s="137">
        <f t="shared" si="21"/>
        <v>0</v>
      </c>
      <c r="AF26" s="132">
        <v>8734</v>
      </c>
      <c r="AG26" s="137">
        <f t="shared" si="21"/>
        <v>14</v>
      </c>
    </row>
    <row r="27" spans="1:33" ht="16.2" thickBot="1" x14ac:dyDescent="0.3">
      <c r="A27" s="8">
        <v>44798</v>
      </c>
      <c r="B27" s="134">
        <v>24648.366999999998</v>
      </c>
      <c r="C27" s="41">
        <f t="shared" si="22"/>
        <v>13.325999999997293</v>
      </c>
      <c r="D27" s="26">
        <f t="shared" si="23"/>
        <v>25319.399999994857</v>
      </c>
      <c r="E27" s="1">
        <v>4476.375</v>
      </c>
      <c r="F27" s="41">
        <f t="shared" si="24"/>
        <v>3.0020000000004075</v>
      </c>
      <c r="G27" s="26">
        <f t="shared" si="25"/>
        <v>5703.8000000007742</v>
      </c>
      <c r="H27" s="1">
        <v>5935</v>
      </c>
      <c r="I27" s="41">
        <f t="shared" si="26"/>
        <v>7</v>
      </c>
      <c r="J27" s="26">
        <f t="shared" si="27"/>
        <v>13299.999999999998</v>
      </c>
      <c r="K27" s="1">
        <v>14182.39</v>
      </c>
      <c r="L27" s="41">
        <f t="shared" si="28"/>
        <v>2.1700000000000728</v>
      </c>
      <c r="M27" s="26">
        <f t="shared" si="29"/>
        <v>4123.0000000001382</v>
      </c>
      <c r="N27" s="1">
        <v>3708.04</v>
      </c>
      <c r="O27" s="41">
        <f t="shared" si="30"/>
        <v>2.0740000000000691</v>
      </c>
      <c r="P27" s="26">
        <f t="shared" si="31"/>
        <v>3940.6000000001313</v>
      </c>
      <c r="Q27" s="1">
        <v>5502.67</v>
      </c>
      <c r="R27" s="41">
        <f t="shared" si="32"/>
        <v>0.98999999999978172</v>
      </c>
      <c r="S27" s="26">
        <f t="shared" si="33"/>
        <v>1880.9999999995853</v>
      </c>
      <c r="T27" s="7">
        <f t="shared" si="35"/>
        <v>28.561999999997624</v>
      </c>
      <c r="U27" s="28">
        <f t="shared" si="34"/>
        <v>54267.799999995485</v>
      </c>
      <c r="V27" t="s">
        <v>12</v>
      </c>
      <c r="W27" s="131">
        <v>44798</v>
      </c>
      <c r="X27" s="132">
        <v>201887</v>
      </c>
      <c r="Y27" s="137">
        <f t="shared" si="21"/>
        <v>326</v>
      </c>
      <c r="Z27" s="132">
        <v>9842</v>
      </c>
      <c r="AA27" s="137">
        <f t="shared" si="21"/>
        <v>6</v>
      </c>
      <c r="AB27" s="132">
        <v>32.5</v>
      </c>
      <c r="AC27" s="137">
        <f t="shared" si="21"/>
        <v>0</v>
      </c>
      <c r="AD27" s="132">
        <v>650</v>
      </c>
      <c r="AE27" s="137">
        <f t="shared" si="21"/>
        <v>0</v>
      </c>
      <c r="AF27" s="132">
        <v>8746</v>
      </c>
      <c r="AG27" s="137">
        <f t="shared" si="21"/>
        <v>12</v>
      </c>
    </row>
    <row r="28" spans="1:33" ht="16.2" thickBot="1" x14ac:dyDescent="0.3">
      <c r="A28" s="8">
        <v>44799</v>
      </c>
      <c r="B28" s="134">
        <v>24668.87</v>
      </c>
      <c r="C28" s="41">
        <f t="shared" si="22"/>
        <v>20.503000000000611</v>
      </c>
      <c r="D28" s="26">
        <f t="shared" si="23"/>
        <v>38955.700000001161</v>
      </c>
      <c r="E28" s="1">
        <v>4479.18</v>
      </c>
      <c r="F28" s="41">
        <f t="shared" si="24"/>
        <v>2.805000000000291</v>
      </c>
      <c r="G28" s="26">
        <f t="shared" si="25"/>
        <v>5329.500000000553</v>
      </c>
      <c r="H28" s="1">
        <v>5947</v>
      </c>
      <c r="I28" s="41">
        <f t="shared" si="26"/>
        <v>12</v>
      </c>
      <c r="J28" s="26">
        <f t="shared" si="27"/>
        <v>22799.999999999996</v>
      </c>
      <c r="K28" s="1">
        <v>14186.6</v>
      </c>
      <c r="L28" s="41">
        <f t="shared" si="28"/>
        <v>4.2100000000009459</v>
      </c>
      <c r="M28" s="26">
        <f t="shared" si="29"/>
        <v>7999.0000000017963</v>
      </c>
      <c r="N28" s="1">
        <v>3711.7</v>
      </c>
      <c r="O28" s="41">
        <f t="shared" si="30"/>
        <v>3.6599999999998545</v>
      </c>
      <c r="P28" s="26">
        <f t="shared" si="31"/>
        <v>6953.9999999997235</v>
      </c>
      <c r="Q28" s="1">
        <v>5503.81</v>
      </c>
      <c r="R28" s="41">
        <f t="shared" si="32"/>
        <v>1.1400000000003274</v>
      </c>
      <c r="S28" s="26">
        <f t="shared" si="33"/>
        <v>2166.0000000006221</v>
      </c>
      <c r="T28" s="7">
        <f t="shared" si="35"/>
        <v>44.31800000000203</v>
      </c>
      <c r="U28" s="28">
        <f t="shared" si="34"/>
        <v>84204.200000003853</v>
      </c>
      <c r="W28" s="131">
        <v>44799</v>
      </c>
      <c r="X28" s="132">
        <v>202342</v>
      </c>
      <c r="Y28" s="137">
        <f t="shared" si="21"/>
        <v>455</v>
      </c>
      <c r="Z28" s="132">
        <v>9849</v>
      </c>
      <c r="AA28" s="137">
        <f t="shared" si="21"/>
        <v>7</v>
      </c>
      <c r="AB28" s="132">
        <v>33</v>
      </c>
      <c r="AC28" s="137">
        <f t="shared" si="21"/>
        <v>0.5</v>
      </c>
      <c r="AD28" s="132">
        <v>650</v>
      </c>
      <c r="AE28" s="137">
        <f t="shared" si="21"/>
        <v>0</v>
      </c>
      <c r="AF28" s="132">
        <v>8761</v>
      </c>
      <c r="AG28" s="137">
        <f t="shared" si="21"/>
        <v>15</v>
      </c>
    </row>
    <row r="29" spans="1:33" ht="16.2" thickBot="1" x14ac:dyDescent="0.3">
      <c r="A29" s="8">
        <v>44800</v>
      </c>
      <c r="B29" s="134">
        <v>24679.966</v>
      </c>
      <c r="C29" s="41">
        <f t="shared" si="22"/>
        <v>11.096000000001368</v>
      </c>
      <c r="D29" s="26">
        <f t="shared" si="23"/>
        <v>21082.400000002595</v>
      </c>
      <c r="E29" s="1">
        <v>4481.0320000000002</v>
      </c>
      <c r="F29" s="41">
        <f t="shared" si="24"/>
        <v>1.8519999999998618</v>
      </c>
      <c r="G29" s="26">
        <f t="shared" si="25"/>
        <v>3518.7999999997373</v>
      </c>
      <c r="H29" s="1">
        <v>5953</v>
      </c>
      <c r="I29" s="41">
        <f t="shared" si="26"/>
        <v>6</v>
      </c>
      <c r="J29" s="26">
        <f t="shared" si="27"/>
        <v>11399.999999999998</v>
      </c>
      <c r="K29" s="1">
        <v>14188.03</v>
      </c>
      <c r="L29" s="41">
        <f t="shared" si="28"/>
        <v>1.430000000000291</v>
      </c>
      <c r="M29" s="26">
        <f t="shared" si="29"/>
        <v>2717.000000000553</v>
      </c>
      <c r="N29" s="1">
        <v>3713.14</v>
      </c>
      <c r="O29" s="41">
        <f t="shared" si="30"/>
        <v>1.4400000000000546</v>
      </c>
      <c r="P29" s="26">
        <f t="shared" si="31"/>
        <v>2736.0000000001037</v>
      </c>
      <c r="Q29" s="1">
        <v>5504.84</v>
      </c>
      <c r="R29" s="41">
        <f t="shared" si="32"/>
        <v>1.0299999999997453</v>
      </c>
      <c r="S29" s="26">
        <f t="shared" si="33"/>
        <v>1956.9999999995159</v>
      </c>
      <c r="T29" s="7">
        <f t="shared" si="35"/>
        <v>22.848000000001321</v>
      </c>
      <c r="U29" s="28">
        <f t="shared" si="34"/>
        <v>43411.200000002507</v>
      </c>
      <c r="W29" s="131">
        <v>44800</v>
      </c>
      <c r="X29" s="132">
        <v>202534</v>
      </c>
      <c r="Y29" s="137">
        <f t="shared" si="21"/>
        <v>192</v>
      </c>
      <c r="Z29" s="132">
        <v>9853</v>
      </c>
      <c r="AA29" s="137">
        <f t="shared" si="21"/>
        <v>4</v>
      </c>
      <c r="AB29" s="132">
        <v>33</v>
      </c>
      <c r="AC29" s="137">
        <f t="shared" si="21"/>
        <v>0</v>
      </c>
      <c r="AD29" s="132">
        <v>650</v>
      </c>
      <c r="AE29" s="137">
        <f t="shared" si="21"/>
        <v>0</v>
      </c>
      <c r="AF29" s="132">
        <v>8770</v>
      </c>
      <c r="AG29" s="137">
        <f t="shared" si="21"/>
        <v>9</v>
      </c>
    </row>
    <row r="30" spans="1:33" ht="16.2" thickBot="1" x14ac:dyDescent="0.3">
      <c r="A30" s="8">
        <v>44801</v>
      </c>
      <c r="B30" s="134">
        <v>24696.552</v>
      </c>
      <c r="C30" s="41">
        <f t="shared" si="22"/>
        <v>16.585999999999331</v>
      </c>
      <c r="D30" s="26">
        <f t="shared" si="23"/>
        <v>31513.399999998725</v>
      </c>
      <c r="E30" s="1">
        <v>4485.16</v>
      </c>
      <c r="F30" s="41">
        <f t="shared" si="24"/>
        <v>4.1279999999997017</v>
      </c>
      <c r="G30" s="26">
        <f t="shared" si="25"/>
        <v>7843.1999999994332</v>
      </c>
      <c r="H30" s="1">
        <v>5964</v>
      </c>
      <c r="I30" s="41">
        <f t="shared" si="26"/>
        <v>11</v>
      </c>
      <c r="J30" s="26">
        <f t="shared" si="27"/>
        <v>20900</v>
      </c>
      <c r="K30" s="1">
        <v>14191.41</v>
      </c>
      <c r="L30" s="41">
        <f t="shared" si="28"/>
        <v>3.3799999999991996</v>
      </c>
      <c r="M30" s="26">
        <f t="shared" si="29"/>
        <v>6421.9999999984793</v>
      </c>
      <c r="N30" s="1">
        <v>3715.82</v>
      </c>
      <c r="O30" s="41">
        <f t="shared" si="30"/>
        <v>2.680000000000291</v>
      </c>
      <c r="P30" s="26">
        <f t="shared" si="31"/>
        <v>5092.000000000553</v>
      </c>
      <c r="Q30" s="1">
        <v>5506.5050000000001</v>
      </c>
      <c r="R30" s="41">
        <f t="shared" si="32"/>
        <v>1.6649999999999636</v>
      </c>
      <c r="S30" s="26">
        <f t="shared" si="33"/>
        <v>3163.4999999999309</v>
      </c>
      <c r="T30" s="7">
        <f t="shared" si="35"/>
        <v>39.438999999998487</v>
      </c>
      <c r="U30" s="28">
        <f t="shared" si="34"/>
        <v>74934.09999999711</v>
      </c>
      <c r="W30" s="131">
        <v>44801</v>
      </c>
      <c r="X30" s="132">
        <v>202773</v>
      </c>
      <c r="Y30" s="137">
        <f t="shared" si="21"/>
        <v>239</v>
      </c>
      <c r="Z30" s="132">
        <v>9860</v>
      </c>
      <c r="AA30" s="137">
        <f t="shared" si="21"/>
        <v>7</v>
      </c>
      <c r="AB30" s="132">
        <v>33</v>
      </c>
      <c r="AC30" s="137">
        <f t="shared" si="21"/>
        <v>0</v>
      </c>
      <c r="AD30" s="132">
        <v>650</v>
      </c>
      <c r="AE30" s="137">
        <f t="shared" si="21"/>
        <v>0</v>
      </c>
      <c r="AF30" s="132">
        <v>8787</v>
      </c>
      <c r="AG30" s="137">
        <f t="shared" si="21"/>
        <v>17</v>
      </c>
    </row>
    <row r="31" spans="1:33" ht="16.2" thickBot="1" x14ac:dyDescent="0.3">
      <c r="A31" s="8">
        <v>44802</v>
      </c>
      <c r="B31" s="134">
        <v>24708.080000000002</v>
      </c>
      <c r="C31" s="41">
        <f t="shared" si="22"/>
        <v>11.528000000002066</v>
      </c>
      <c r="D31" s="26">
        <f t="shared" si="23"/>
        <v>21903.200000003922</v>
      </c>
      <c r="E31" s="1">
        <v>4487.6660000000002</v>
      </c>
      <c r="F31" s="41">
        <f t="shared" si="24"/>
        <v>2.5060000000003129</v>
      </c>
      <c r="G31" s="26">
        <f t="shared" si="25"/>
        <v>4761.4000000005944</v>
      </c>
      <c r="H31" s="1">
        <v>5972</v>
      </c>
      <c r="I31" s="41">
        <f t="shared" si="26"/>
        <v>8</v>
      </c>
      <c r="J31" s="26">
        <f t="shared" si="27"/>
        <v>15200</v>
      </c>
      <c r="K31" s="1">
        <v>14193.05</v>
      </c>
      <c r="L31" s="41">
        <f t="shared" si="28"/>
        <v>1.6399999999994179</v>
      </c>
      <c r="M31" s="26">
        <f t="shared" si="29"/>
        <v>3115.9999999988941</v>
      </c>
      <c r="N31" s="1">
        <v>3717</v>
      </c>
      <c r="O31" s="41">
        <f t="shared" si="30"/>
        <v>1.1799999999998363</v>
      </c>
      <c r="P31" s="26">
        <f t="shared" si="31"/>
        <v>2241.9999999996885</v>
      </c>
      <c r="Q31" s="1">
        <v>5506.86</v>
      </c>
      <c r="R31" s="41">
        <f t="shared" si="32"/>
        <v>0.35499999999956344</v>
      </c>
      <c r="S31" s="26">
        <f t="shared" si="33"/>
        <v>674.49999999917054</v>
      </c>
      <c r="T31" s="7">
        <f t="shared" si="35"/>
        <v>25.209000000001197</v>
      </c>
      <c r="U31" s="28">
        <f t="shared" si="34"/>
        <v>47897.100000002269</v>
      </c>
      <c r="W31" s="131">
        <v>44802</v>
      </c>
      <c r="X31" s="132">
        <v>203303</v>
      </c>
      <c r="Y31" s="137">
        <f t="shared" si="21"/>
        <v>530</v>
      </c>
      <c r="Z31" s="132">
        <v>9866</v>
      </c>
      <c r="AA31" s="137">
        <f t="shared" si="21"/>
        <v>6</v>
      </c>
      <c r="AB31" s="132">
        <v>33</v>
      </c>
      <c r="AC31" s="137">
        <f t="shared" si="21"/>
        <v>0</v>
      </c>
      <c r="AD31" s="132">
        <v>650</v>
      </c>
      <c r="AE31" s="137">
        <f t="shared" si="21"/>
        <v>0</v>
      </c>
      <c r="AF31" s="132">
        <v>8801</v>
      </c>
      <c r="AG31" s="137">
        <f t="shared" si="21"/>
        <v>14</v>
      </c>
    </row>
    <row r="32" spans="1:33" ht="16.2" thickBot="1" x14ac:dyDescent="0.3">
      <c r="A32" s="8">
        <v>44803</v>
      </c>
      <c r="B32" s="134">
        <v>24725.333999999999</v>
      </c>
      <c r="C32" s="41">
        <f t="shared" si="22"/>
        <v>17.253999999997177</v>
      </c>
      <c r="D32" s="26">
        <f t="shared" si="23"/>
        <v>32782.599999994636</v>
      </c>
      <c r="E32" s="1">
        <v>4492.1189999999997</v>
      </c>
      <c r="F32" s="41">
        <f t="shared" si="24"/>
        <v>4.4529999999995198</v>
      </c>
      <c r="G32" s="26">
        <f t="shared" si="25"/>
        <v>8460.6999999990876</v>
      </c>
      <c r="H32" s="1">
        <v>5983</v>
      </c>
      <c r="I32" s="41">
        <f t="shared" si="26"/>
        <v>11</v>
      </c>
      <c r="J32" s="26">
        <f t="shared" si="27"/>
        <v>20900</v>
      </c>
      <c r="K32" s="1">
        <v>14196.245000000001</v>
      </c>
      <c r="L32" s="41">
        <f t="shared" si="28"/>
        <v>3.195000000001528</v>
      </c>
      <c r="M32" s="26">
        <f t="shared" si="29"/>
        <v>6070.5000000029022</v>
      </c>
      <c r="N32" s="1">
        <v>3720.239</v>
      </c>
      <c r="O32" s="41">
        <f t="shared" si="30"/>
        <v>3.2390000000000327</v>
      </c>
      <c r="P32" s="26">
        <f t="shared" si="31"/>
        <v>6154.1000000000622</v>
      </c>
      <c r="Q32" s="1">
        <v>5507.18</v>
      </c>
      <c r="R32" s="41">
        <f t="shared" si="32"/>
        <v>0.32000000000061846</v>
      </c>
      <c r="S32" s="26">
        <f t="shared" si="33"/>
        <v>608.00000000117507</v>
      </c>
      <c r="T32" s="7">
        <f t="shared" si="35"/>
        <v>39.460999999998876</v>
      </c>
      <c r="U32" s="28">
        <f t="shared" si="34"/>
        <v>74975.89999999787</v>
      </c>
      <c r="W32" s="131">
        <v>44803</v>
      </c>
      <c r="X32" s="132">
        <v>203635</v>
      </c>
      <c r="Y32" s="137">
        <f t="shared" ref="Y32:Y33" si="49">IF((X32-X31)&lt;0,"0",(X32-X31))</f>
        <v>332</v>
      </c>
      <c r="Z32" s="132">
        <v>9870</v>
      </c>
      <c r="AA32" s="137">
        <f t="shared" ref="AA32:AA33" si="50">IF((Z32-Z31)&lt;0,"0",(Z32-Z31))</f>
        <v>4</v>
      </c>
      <c r="AB32" s="132">
        <v>33</v>
      </c>
      <c r="AC32" s="137">
        <f t="shared" ref="AC32:AC33" si="51">IF((AB32-AB31)&lt;0,"0",(AB32-AB31))</f>
        <v>0</v>
      </c>
      <c r="AD32" s="132">
        <v>652</v>
      </c>
      <c r="AE32" s="137">
        <f t="shared" ref="AE32:AE33" si="52">IF((AD32-AD31)&lt;0,"0",(AD32-AD31))</f>
        <v>2</v>
      </c>
      <c r="AF32" s="132">
        <v>8832</v>
      </c>
      <c r="AG32" s="137">
        <f t="shared" ref="AG32:AG33" si="53">IF((AF32-AF31)&lt;0,"0",(AF32-AF31))</f>
        <v>31</v>
      </c>
    </row>
    <row r="33" spans="1:33" s="20" customFormat="1" ht="16.2" thickBot="1" x14ac:dyDescent="0.3">
      <c r="A33" s="8">
        <v>44804</v>
      </c>
      <c r="B33" s="134">
        <v>24738.928</v>
      </c>
      <c r="C33" s="41">
        <f t="shared" si="22"/>
        <v>13.59400000000096</v>
      </c>
      <c r="D33" s="26">
        <f t="shared" si="23"/>
        <v>25828.600000001825</v>
      </c>
      <c r="E33" s="1">
        <v>4495.0450000000001</v>
      </c>
      <c r="F33" s="41">
        <f t="shared" si="24"/>
        <v>2.9260000000003856</v>
      </c>
      <c r="G33" s="26">
        <f t="shared" si="25"/>
        <v>5559.4000000007327</v>
      </c>
      <c r="H33" s="1">
        <v>5991</v>
      </c>
      <c r="I33" s="41">
        <f t="shared" si="26"/>
        <v>8</v>
      </c>
      <c r="J33" s="26">
        <f t="shared" si="27"/>
        <v>15200</v>
      </c>
      <c r="K33" s="1">
        <v>14198.43</v>
      </c>
      <c r="L33" s="41">
        <f t="shared" si="28"/>
        <v>2.1849999999994907</v>
      </c>
      <c r="M33" s="26">
        <f t="shared" si="29"/>
        <v>4151.4999999990323</v>
      </c>
      <c r="N33" s="1">
        <v>3722.1390000000001</v>
      </c>
      <c r="O33" s="41">
        <f t="shared" si="30"/>
        <v>1.9000000000000909</v>
      </c>
      <c r="P33" s="26">
        <f t="shared" si="31"/>
        <v>3610.0000000001728</v>
      </c>
      <c r="Q33" s="1">
        <v>5508.88</v>
      </c>
      <c r="R33" s="41">
        <f t="shared" si="32"/>
        <v>1.6999999999998181</v>
      </c>
      <c r="S33" s="26">
        <f t="shared" si="33"/>
        <v>3229.9999999996539</v>
      </c>
      <c r="T33" s="7">
        <f t="shared" si="35"/>
        <v>30.305000000000746</v>
      </c>
      <c r="U33" s="28">
        <f t="shared" si="34"/>
        <v>57579.500000001419</v>
      </c>
      <c r="V33"/>
      <c r="W33" s="131">
        <v>44804</v>
      </c>
      <c r="X33" s="132">
        <v>203898</v>
      </c>
      <c r="Y33" s="137">
        <f t="shared" si="49"/>
        <v>263</v>
      </c>
      <c r="Z33" s="132">
        <v>9873</v>
      </c>
      <c r="AA33" s="137">
        <f t="shared" si="50"/>
        <v>3</v>
      </c>
      <c r="AB33" s="132">
        <v>33.6</v>
      </c>
      <c r="AC33" s="137">
        <f t="shared" si="51"/>
        <v>0.60000000000000142</v>
      </c>
      <c r="AD33" s="132">
        <v>655</v>
      </c>
      <c r="AE33" s="137">
        <f t="shared" si="52"/>
        <v>3</v>
      </c>
      <c r="AF33" s="132">
        <v>8847</v>
      </c>
      <c r="AG33" s="137">
        <f t="shared" si="53"/>
        <v>15</v>
      </c>
    </row>
    <row r="34" spans="1:33" s="20" customFormat="1" ht="15.6" thickBot="1" x14ac:dyDescent="0.3">
      <c r="A34" s="135" t="s">
        <v>23</v>
      </c>
      <c r="B34" s="135"/>
      <c r="C34" s="119">
        <f>SUM(C3:C33)</f>
        <v>441.91300000000047</v>
      </c>
      <c r="D34" s="119">
        <f>SUM(D4:D33)</f>
        <v>809686.90000000305</v>
      </c>
      <c r="E34" s="119"/>
      <c r="F34" s="119">
        <f>SUM(F3:F33)</f>
        <v>93.498999999999796</v>
      </c>
      <c r="G34" s="119">
        <f>SUM(G4:G33)</f>
        <v>170530.69999999943</v>
      </c>
      <c r="H34" s="119"/>
      <c r="I34" s="119">
        <f>SUM(I3:I33)</f>
        <v>257</v>
      </c>
      <c r="J34" s="119">
        <f>SUM(J4:J33)</f>
        <v>473100</v>
      </c>
      <c r="K34" s="119"/>
      <c r="L34" s="119">
        <f>SUM(L3:L33)</f>
        <v>79.710000000000946</v>
      </c>
      <c r="M34" s="119">
        <f>SUM(M4:M33)</f>
        <v>146167.00000000055</v>
      </c>
      <c r="N34" s="119"/>
      <c r="O34" s="119">
        <f>SUM(O3:O33)</f>
        <v>65.34900000000016</v>
      </c>
      <c r="P34" s="119">
        <f>SUM(P4:P33)</f>
        <v>120469.50000000038</v>
      </c>
      <c r="Q34" s="119"/>
      <c r="R34" s="119">
        <v>2.21</v>
      </c>
      <c r="S34" s="119">
        <f>SUM(S4:S33)</f>
        <v>71839.000000000757</v>
      </c>
      <c r="T34" s="119">
        <v>22.454999999999998</v>
      </c>
      <c r="U34" s="119">
        <f>SUM(U4:U33)</f>
        <v>1791793.1000000038</v>
      </c>
      <c r="V34"/>
      <c r="W34" s="119" t="s">
        <v>141</v>
      </c>
      <c r="X34" s="119"/>
      <c r="Y34" s="119">
        <f>SUM(Y3:Y33)</f>
        <v>10298</v>
      </c>
      <c r="Z34" s="119"/>
      <c r="AA34" s="119">
        <f>SUM(AA3:AA33)</f>
        <v>217</v>
      </c>
      <c r="AB34" s="119"/>
      <c r="AC34" s="119">
        <f>SUM(AC3:AC33)</f>
        <v>2.6000000000000014</v>
      </c>
      <c r="AD34" s="119"/>
      <c r="AE34" s="119">
        <f>SUM(AE3:AE33)</f>
        <v>5</v>
      </c>
      <c r="AF34" s="119">
        <v>0</v>
      </c>
      <c r="AG34" s="119">
        <f>SUM(AG3:AG33)</f>
        <v>422</v>
      </c>
    </row>
    <row r="36" spans="1:33" x14ac:dyDescent="0.25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94"/>
  <sheetViews>
    <sheetView zoomScale="84" zoomScaleNormal="84" workbookViewId="0">
      <pane ySplit="1" topLeftCell="A65" activePane="bottomLeft" state="frozen"/>
      <selection pane="bottomLeft" activeCell="N86" sqref="N86"/>
    </sheetView>
  </sheetViews>
  <sheetFormatPr defaultRowHeight="13.2" x14ac:dyDescent="0.25"/>
  <cols>
    <col min="3" max="4" width="10.33203125" bestFit="1" customWidth="1"/>
    <col min="5" max="5" width="12" bestFit="1" customWidth="1"/>
    <col min="6" max="6" width="12.6640625" customWidth="1"/>
    <col min="7" max="7" width="16.5546875" bestFit="1" customWidth="1"/>
    <col min="8" max="8" width="10.33203125" customWidth="1"/>
    <col min="9" max="10" width="10.33203125" bestFit="1" customWidth="1"/>
    <col min="12" max="13" width="13.109375" bestFit="1" customWidth="1"/>
    <col min="14" max="14" width="16.5546875" bestFit="1" customWidth="1"/>
    <col min="15" max="15" width="20.33203125" customWidth="1"/>
    <col min="21" max="21" width="18" customWidth="1"/>
    <col min="22" max="22" width="18.6640625" customWidth="1"/>
  </cols>
  <sheetData>
    <row r="1" spans="1:21" ht="57.6" x14ac:dyDescent="0.25">
      <c r="A1" s="144"/>
      <c r="B1" s="54" t="s">
        <v>77</v>
      </c>
      <c r="C1" s="55" t="s">
        <v>78</v>
      </c>
      <c r="D1" s="55" t="s">
        <v>145</v>
      </c>
      <c r="E1" s="55" t="s">
        <v>146</v>
      </c>
      <c r="F1" s="55" t="s">
        <v>91</v>
      </c>
      <c r="G1" s="56" t="s">
        <v>79</v>
      </c>
      <c r="I1" s="54" t="s">
        <v>77</v>
      </c>
      <c r="J1" s="55" t="s">
        <v>78</v>
      </c>
      <c r="K1" s="55" t="s">
        <v>147</v>
      </c>
      <c r="L1" s="55" t="s">
        <v>148</v>
      </c>
      <c r="M1" s="55" t="s">
        <v>91</v>
      </c>
      <c r="N1" s="56" t="s">
        <v>79</v>
      </c>
      <c r="P1" s="54" t="s">
        <v>77</v>
      </c>
      <c r="Q1" s="55" t="s">
        <v>78</v>
      </c>
      <c r="R1" s="55" t="s">
        <v>149</v>
      </c>
      <c r="S1" s="55" t="s">
        <v>150</v>
      </c>
      <c r="T1" s="55" t="s">
        <v>91</v>
      </c>
      <c r="U1" s="56" t="s">
        <v>79</v>
      </c>
    </row>
    <row r="2" spans="1:21" ht="14.4" x14ac:dyDescent="0.25">
      <c r="A2" s="144"/>
      <c r="B2" s="167">
        <v>6</v>
      </c>
      <c r="C2" s="57" t="s">
        <v>80</v>
      </c>
      <c r="D2" s="58">
        <v>287938</v>
      </c>
      <c r="E2" s="58">
        <v>288742</v>
      </c>
      <c r="F2" s="59">
        <f t="shared" ref="F2:F3" si="0">IF((E2-D2)&lt;0,"0",(E2-D2))</f>
        <v>804</v>
      </c>
      <c r="G2" s="60"/>
      <c r="I2" s="167">
        <v>6</v>
      </c>
      <c r="J2" s="57" t="s">
        <v>80</v>
      </c>
      <c r="K2" s="58">
        <v>288742</v>
      </c>
      <c r="L2" s="58">
        <v>289312</v>
      </c>
      <c r="M2" s="59">
        <f t="shared" ref="M2:M4" si="1">IF((L2-K2)&lt;0,"0",(L2-K2))</f>
        <v>570</v>
      </c>
      <c r="N2" s="60"/>
      <c r="P2" s="167">
        <v>6</v>
      </c>
      <c r="Q2" s="57" t="s">
        <v>80</v>
      </c>
      <c r="R2" s="58">
        <v>289312</v>
      </c>
      <c r="S2" s="58">
        <v>289776</v>
      </c>
      <c r="T2" s="59">
        <f t="shared" ref="T2:T4" si="2">IF((S2-R2)&lt;0,"0",(S2-R2))</f>
        <v>464</v>
      </c>
      <c r="U2" s="60"/>
    </row>
    <row r="3" spans="1:21" ht="14.4" x14ac:dyDescent="0.25">
      <c r="A3" s="144"/>
      <c r="B3" s="168"/>
      <c r="C3" s="57" t="s">
        <v>81</v>
      </c>
      <c r="D3" s="58">
        <v>250637</v>
      </c>
      <c r="E3" s="58">
        <v>250971</v>
      </c>
      <c r="F3" s="59">
        <f t="shared" si="0"/>
        <v>334</v>
      </c>
      <c r="G3" s="60"/>
      <c r="I3" s="168"/>
      <c r="J3" s="57" t="s">
        <v>81</v>
      </c>
      <c r="K3" s="58">
        <v>250971</v>
      </c>
      <c r="L3" s="58">
        <v>251243</v>
      </c>
      <c r="M3" s="59">
        <f t="shared" si="1"/>
        <v>272</v>
      </c>
      <c r="N3" s="60"/>
      <c r="P3" s="168"/>
      <c r="Q3" s="57" t="s">
        <v>81</v>
      </c>
      <c r="R3" s="58">
        <v>251243</v>
      </c>
      <c r="S3" s="58">
        <v>251578</v>
      </c>
      <c r="T3" s="59">
        <f t="shared" si="2"/>
        <v>335</v>
      </c>
      <c r="U3" s="60"/>
    </row>
    <row r="4" spans="1:21" ht="14.4" x14ac:dyDescent="0.25">
      <c r="A4" s="144"/>
      <c r="B4" s="169"/>
      <c r="C4" s="57" t="s">
        <v>82</v>
      </c>
      <c r="D4" s="58">
        <v>196128</v>
      </c>
      <c r="E4" s="58">
        <v>169541</v>
      </c>
      <c r="F4" s="59">
        <v>413</v>
      </c>
      <c r="G4" s="60"/>
      <c r="I4" s="169"/>
      <c r="J4" s="57" t="s">
        <v>82</v>
      </c>
      <c r="K4" s="58">
        <v>196541</v>
      </c>
      <c r="L4" s="58">
        <v>196864</v>
      </c>
      <c r="M4" s="59">
        <f t="shared" si="1"/>
        <v>323</v>
      </c>
      <c r="N4" s="60"/>
      <c r="P4" s="169"/>
      <c r="Q4" s="57" t="s">
        <v>82</v>
      </c>
      <c r="R4" s="58">
        <v>196864</v>
      </c>
      <c r="S4" s="58">
        <v>197120</v>
      </c>
      <c r="T4" s="59">
        <f t="shared" si="2"/>
        <v>256</v>
      </c>
      <c r="U4" s="60"/>
    </row>
    <row r="5" spans="1:21" ht="14.4" x14ac:dyDescent="0.25">
      <c r="A5" s="144"/>
      <c r="B5" s="167">
        <v>7</v>
      </c>
      <c r="C5" s="57" t="s">
        <v>80</v>
      </c>
      <c r="D5" s="58">
        <v>253773</v>
      </c>
      <c r="E5" s="58">
        <v>255027</v>
      </c>
      <c r="F5" s="59">
        <f>IF((E5-D5)&lt;0,"0",(E5-D5))</f>
        <v>1254</v>
      </c>
      <c r="G5" s="60"/>
      <c r="I5" s="167">
        <v>7</v>
      </c>
      <c r="J5" s="57" t="s">
        <v>80</v>
      </c>
      <c r="K5" s="58">
        <v>255027</v>
      </c>
      <c r="L5" s="58">
        <v>256336</v>
      </c>
      <c r="M5" s="59">
        <f>IF((L5-K5)&lt;0,"0",(L5-K5))</f>
        <v>1309</v>
      </c>
      <c r="N5" s="60"/>
      <c r="P5" s="167">
        <v>7</v>
      </c>
      <c r="Q5" s="57" t="s">
        <v>80</v>
      </c>
      <c r="R5" s="58">
        <v>256336</v>
      </c>
      <c r="S5" s="58">
        <v>257058</v>
      </c>
      <c r="T5" s="59">
        <f>IF((S5-R5)&lt;0,"0",(S5-R5))</f>
        <v>722</v>
      </c>
      <c r="U5" s="60"/>
    </row>
    <row r="6" spans="1:21" ht="14.4" x14ac:dyDescent="0.25">
      <c r="A6" s="144"/>
      <c r="B6" s="168"/>
      <c r="C6" s="57" t="s">
        <v>81</v>
      </c>
      <c r="D6" s="58">
        <v>156465</v>
      </c>
      <c r="E6" s="58">
        <v>156602</v>
      </c>
      <c r="F6" s="59">
        <f t="shared" ref="F6:F43" si="3">IF((E6-D6)&lt;0,"0",(E6-D6))</f>
        <v>137</v>
      </c>
      <c r="G6" s="60"/>
      <c r="I6" s="168"/>
      <c r="J6" s="57" t="s">
        <v>81</v>
      </c>
      <c r="K6" s="58">
        <v>156602</v>
      </c>
      <c r="L6" s="58">
        <v>157464</v>
      </c>
      <c r="M6" s="59">
        <f t="shared" ref="M6:M43" si="4">IF((L6-K6)&lt;0,"0",(L6-K6))</f>
        <v>862</v>
      </c>
      <c r="N6" s="60"/>
      <c r="P6" s="168"/>
      <c r="Q6" s="57" t="s">
        <v>81</v>
      </c>
      <c r="R6" s="58">
        <v>157464</v>
      </c>
      <c r="S6" s="58">
        <v>158012</v>
      </c>
      <c r="T6" s="59">
        <f t="shared" ref="T6:T63" si="5">IF((S6-R6)&lt;0,"0",(S6-R6))</f>
        <v>548</v>
      </c>
      <c r="U6" s="60"/>
    </row>
    <row r="7" spans="1:21" ht="14.4" x14ac:dyDescent="0.25">
      <c r="A7" s="144"/>
      <c r="B7" s="169"/>
      <c r="C7" s="57" t="s">
        <v>82</v>
      </c>
      <c r="D7" s="58">
        <v>130529</v>
      </c>
      <c r="E7" s="58">
        <v>130857</v>
      </c>
      <c r="F7" s="59">
        <f t="shared" si="3"/>
        <v>328</v>
      </c>
      <c r="G7" s="60"/>
      <c r="I7" s="169"/>
      <c r="J7" s="57" t="s">
        <v>82</v>
      </c>
      <c r="K7" s="58">
        <v>130857</v>
      </c>
      <c r="L7" s="58">
        <v>131769</v>
      </c>
      <c r="M7" s="59">
        <f t="shared" si="4"/>
        <v>912</v>
      </c>
      <c r="N7" s="60"/>
      <c r="P7" s="169"/>
      <c r="Q7" s="57" t="s">
        <v>82</v>
      </c>
      <c r="R7" s="58">
        <v>131769</v>
      </c>
      <c r="S7" s="58">
        <v>132401</v>
      </c>
      <c r="T7" s="59">
        <f t="shared" si="5"/>
        <v>632</v>
      </c>
      <c r="U7" s="60"/>
    </row>
    <row r="8" spans="1:21" ht="14.4" x14ac:dyDescent="0.25">
      <c r="A8" s="144"/>
      <c r="B8" s="167">
        <v>8</v>
      </c>
      <c r="C8" s="57" t="s">
        <v>80</v>
      </c>
      <c r="D8" s="58">
        <v>78348</v>
      </c>
      <c r="E8" s="58">
        <v>78755</v>
      </c>
      <c r="F8" s="59">
        <f t="shared" si="3"/>
        <v>407</v>
      </c>
      <c r="G8" s="60"/>
      <c r="I8" s="167">
        <v>8</v>
      </c>
      <c r="J8" s="57" t="s">
        <v>80</v>
      </c>
      <c r="K8" s="58">
        <v>78755</v>
      </c>
      <c r="L8" s="58">
        <v>80321</v>
      </c>
      <c r="M8" s="59">
        <f t="shared" si="4"/>
        <v>1566</v>
      </c>
      <c r="N8" s="60"/>
      <c r="P8" s="167">
        <v>8</v>
      </c>
      <c r="Q8" s="57" t="s">
        <v>80</v>
      </c>
      <c r="R8" s="58">
        <v>80321</v>
      </c>
      <c r="S8" s="58">
        <v>81272</v>
      </c>
      <c r="T8" s="59">
        <f t="shared" si="5"/>
        <v>951</v>
      </c>
      <c r="U8" s="60"/>
    </row>
    <row r="9" spans="1:21" ht="14.4" x14ac:dyDescent="0.25">
      <c r="A9" s="144"/>
      <c r="B9" s="168"/>
      <c r="C9" s="57" t="s">
        <v>81</v>
      </c>
      <c r="D9" s="58">
        <v>158</v>
      </c>
      <c r="E9" s="58">
        <v>158</v>
      </c>
      <c r="F9" s="59">
        <f t="shared" si="3"/>
        <v>0</v>
      </c>
      <c r="G9" s="61" t="s">
        <v>12</v>
      </c>
      <c r="I9" s="168"/>
      <c r="J9" s="57" t="s">
        <v>81</v>
      </c>
      <c r="K9" s="58">
        <v>158</v>
      </c>
      <c r="L9" s="58">
        <v>158</v>
      </c>
      <c r="M9" s="59">
        <f t="shared" si="4"/>
        <v>0</v>
      </c>
      <c r="N9" s="61" t="s">
        <v>12</v>
      </c>
      <c r="P9" s="168"/>
      <c r="Q9" s="57" t="s">
        <v>81</v>
      </c>
      <c r="R9" s="58">
        <v>158</v>
      </c>
      <c r="S9" s="58">
        <v>158</v>
      </c>
      <c r="T9" s="59">
        <f t="shared" si="5"/>
        <v>0</v>
      </c>
      <c r="U9" s="61" t="s">
        <v>12</v>
      </c>
    </row>
    <row r="10" spans="1:21" ht="14.4" x14ac:dyDescent="0.25">
      <c r="A10" s="144"/>
      <c r="B10" s="169"/>
      <c r="C10" s="57" t="s">
        <v>82</v>
      </c>
      <c r="D10" s="58">
        <v>104361</v>
      </c>
      <c r="E10" s="58">
        <v>105117</v>
      </c>
      <c r="F10" s="59">
        <f t="shared" si="3"/>
        <v>756</v>
      </c>
      <c r="G10" s="60"/>
      <c r="I10" s="169"/>
      <c r="J10" s="57" t="s">
        <v>82</v>
      </c>
      <c r="K10" s="58">
        <v>105117</v>
      </c>
      <c r="L10" s="58">
        <v>105926</v>
      </c>
      <c r="M10" s="59">
        <f t="shared" si="4"/>
        <v>809</v>
      </c>
      <c r="N10" s="60"/>
      <c r="P10" s="169"/>
      <c r="Q10" s="57" t="s">
        <v>82</v>
      </c>
      <c r="R10" s="58">
        <v>105926</v>
      </c>
      <c r="S10" s="58">
        <v>106513</v>
      </c>
      <c r="T10" s="59">
        <f t="shared" si="5"/>
        <v>587</v>
      </c>
      <c r="U10" s="60"/>
    </row>
    <row r="11" spans="1:21" ht="14.4" x14ac:dyDescent="0.25">
      <c r="A11" s="144"/>
      <c r="B11" s="167">
        <v>9</v>
      </c>
      <c r="C11" s="57" t="s">
        <v>80</v>
      </c>
      <c r="D11" s="58">
        <v>35075</v>
      </c>
      <c r="E11" s="58">
        <v>35141</v>
      </c>
      <c r="F11" s="59">
        <f t="shared" si="3"/>
        <v>66</v>
      </c>
      <c r="G11" s="60"/>
      <c r="I11" s="167">
        <v>9</v>
      </c>
      <c r="J11" s="57" t="s">
        <v>80</v>
      </c>
      <c r="K11" s="58">
        <v>35141</v>
      </c>
      <c r="L11" s="58">
        <v>35175</v>
      </c>
      <c r="M11" s="59">
        <f t="shared" si="4"/>
        <v>34</v>
      </c>
      <c r="N11" s="60"/>
      <c r="P11" s="167">
        <v>9</v>
      </c>
      <c r="Q11" s="57" t="s">
        <v>80</v>
      </c>
      <c r="R11" s="58">
        <v>35175</v>
      </c>
      <c r="S11" s="58">
        <v>35206</v>
      </c>
      <c r="T11" s="59">
        <f t="shared" si="5"/>
        <v>31</v>
      </c>
      <c r="U11" s="60"/>
    </row>
    <row r="12" spans="1:21" ht="14.4" x14ac:dyDescent="0.25">
      <c r="A12" s="144"/>
      <c r="B12" s="168"/>
      <c r="C12" s="57" t="s">
        <v>81</v>
      </c>
      <c r="D12" s="58">
        <v>0</v>
      </c>
      <c r="E12" s="58">
        <v>0</v>
      </c>
      <c r="F12" s="59">
        <f t="shared" si="3"/>
        <v>0</v>
      </c>
      <c r="G12" s="61" t="s">
        <v>12</v>
      </c>
      <c r="I12" s="168"/>
      <c r="J12" s="57" t="s">
        <v>81</v>
      </c>
      <c r="K12" s="58">
        <v>0</v>
      </c>
      <c r="L12" s="58">
        <v>0</v>
      </c>
      <c r="M12" s="59">
        <f t="shared" si="4"/>
        <v>0</v>
      </c>
      <c r="N12" s="61" t="s">
        <v>12</v>
      </c>
      <c r="P12" s="168"/>
      <c r="Q12" s="57" t="s">
        <v>81</v>
      </c>
      <c r="R12" s="58">
        <v>0</v>
      </c>
      <c r="S12" s="58">
        <v>0</v>
      </c>
      <c r="T12" s="59">
        <f t="shared" si="5"/>
        <v>0</v>
      </c>
      <c r="U12" s="61" t="s">
        <v>12</v>
      </c>
    </row>
    <row r="13" spans="1:21" ht="14.4" x14ac:dyDescent="0.25">
      <c r="A13" s="144"/>
      <c r="B13" s="169"/>
      <c r="C13" s="57" t="s">
        <v>82</v>
      </c>
      <c r="D13" s="58">
        <v>29487</v>
      </c>
      <c r="E13" s="58">
        <v>29599</v>
      </c>
      <c r="F13" s="59">
        <f t="shared" si="3"/>
        <v>112</v>
      </c>
      <c r="G13" s="60"/>
      <c r="H13" s="145"/>
      <c r="I13" s="169"/>
      <c r="J13" s="57" t="s">
        <v>82</v>
      </c>
      <c r="K13" s="58">
        <v>29599</v>
      </c>
      <c r="L13" s="58">
        <v>29718</v>
      </c>
      <c r="M13" s="59">
        <f t="shared" si="4"/>
        <v>119</v>
      </c>
      <c r="N13" s="60"/>
      <c r="P13" s="169"/>
      <c r="Q13" s="57" t="s">
        <v>82</v>
      </c>
      <c r="R13" s="58">
        <v>29718</v>
      </c>
      <c r="S13" s="58">
        <v>29802</v>
      </c>
      <c r="T13" s="59">
        <f t="shared" si="5"/>
        <v>84</v>
      </c>
      <c r="U13" s="60"/>
    </row>
    <row r="14" spans="1:21" ht="14.4" x14ac:dyDescent="0.25">
      <c r="A14" s="144"/>
      <c r="B14" s="167">
        <v>10</v>
      </c>
      <c r="C14" s="57" t="s">
        <v>80</v>
      </c>
      <c r="D14" s="58">
        <v>217872</v>
      </c>
      <c r="E14" s="58">
        <v>219754</v>
      </c>
      <c r="F14" s="59">
        <f t="shared" si="3"/>
        <v>1882</v>
      </c>
      <c r="G14" s="60"/>
      <c r="H14" s="144"/>
      <c r="I14" s="167">
        <v>10</v>
      </c>
      <c r="J14" s="57" t="s">
        <v>80</v>
      </c>
      <c r="K14" s="58">
        <v>219754</v>
      </c>
      <c r="L14" s="58">
        <v>221706</v>
      </c>
      <c r="M14" s="59">
        <f t="shared" si="4"/>
        <v>1952</v>
      </c>
      <c r="N14" s="60"/>
      <c r="P14" s="167">
        <v>10</v>
      </c>
      <c r="Q14" s="57" t="s">
        <v>80</v>
      </c>
      <c r="R14" s="58">
        <v>221706</v>
      </c>
      <c r="S14" s="58">
        <v>223186</v>
      </c>
      <c r="T14" s="59">
        <f t="shared" si="5"/>
        <v>1480</v>
      </c>
      <c r="U14" s="60"/>
    </row>
    <row r="15" spans="1:21" ht="14.4" x14ac:dyDescent="0.25">
      <c r="A15" s="144"/>
      <c r="B15" s="168"/>
      <c r="C15" s="57" t="s">
        <v>81</v>
      </c>
      <c r="D15" s="58">
        <v>8006</v>
      </c>
      <c r="E15" s="58">
        <v>8006</v>
      </c>
      <c r="F15" s="59">
        <f t="shared" si="3"/>
        <v>0</v>
      </c>
      <c r="G15" s="60"/>
      <c r="H15" s="144"/>
      <c r="I15" s="168"/>
      <c r="J15" s="57" t="s">
        <v>81</v>
      </c>
      <c r="K15" s="58">
        <v>8006</v>
      </c>
      <c r="L15" s="58">
        <v>8006</v>
      </c>
      <c r="M15" s="59">
        <f t="shared" si="4"/>
        <v>0</v>
      </c>
      <c r="N15" s="60"/>
      <c r="P15" s="168"/>
      <c r="Q15" s="57" t="s">
        <v>81</v>
      </c>
      <c r="R15" s="58">
        <v>8006</v>
      </c>
      <c r="S15" s="58">
        <v>8011</v>
      </c>
      <c r="T15" s="59">
        <f t="shared" si="5"/>
        <v>5</v>
      </c>
      <c r="U15" s="60"/>
    </row>
    <row r="16" spans="1:21" ht="14.4" x14ac:dyDescent="0.25">
      <c r="A16" s="144"/>
      <c r="B16" s="169"/>
      <c r="C16" s="57" t="s">
        <v>82</v>
      </c>
      <c r="D16" s="58">
        <v>198936</v>
      </c>
      <c r="E16" s="58">
        <v>199984</v>
      </c>
      <c r="F16" s="59">
        <f t="shared" si="3"/>
        <v>1048</v>
      </c>
      <c r="G16" s="60"/>
      <c r="H16" s="144"/>
      <c r="I16" s="169"/>
      <c r="J16" s="57" t="s">
        <v>82</v>
      </c>
      <c r="K16" s="58">
        <v>199984</v>
      </c>
      <c r="L16" s="58">
        <v>200541</v>
      </c>
      <c r="M16" s="59">
        <f t="shared" si="4"/>
        <v>557</v>
      </c>
      <c r="N16" s="60"/>
      <c r="P16" s="169"/>
      <c r="Q16" s="57" t="s">
        <v>82</v>
      </c>
      <c r="R16" s="58">
        <v>200541</v>
      </c>
      <c r="S16" s="58">
        <v>201131</v>
      </c>
      <c r="T16" s="59">
        <f t="shared" si="5"/>
        <v>590</v>
      </c>
      <c r="U16" s="60"/>
    </row>
    <row r="17" spans="1:21" ht="14.4" x14ac:dyDescent="0.25">
      <c r="A17" s="144"/>
      <c r="B17" s="167">
        <v>11</v>
      </c>
      <c r="C17" s="57" t="s">
        <v>80</v>
      </c>
      <c r="D17" s="58">
        <v>68064</v>
      </c>
      <c r="E17" s="58">
        <v>68249</v>
      </c>
      <c r="F17" s="59">
        <f t="shared" si="3"/>
        <v>185</v>
      </c>
      <c r="G17" s="60"/>
      <c r="H17" s="144"/>
      <c r="I17" s="167">
        <v>11</v>
      </c>
      <c r="J17" s="57" t="s">
        <v>80</v>
      </c>
      <c r="K17" s="58">
        <v>68249</v>
      </c>
      <c r="L17" s="58">
        <v>68535</v>
      </c>
      <c r="M17" s="59">
        <f t="shared" si="4"/>
        <v>286</v>
      </c>
      <c r="N17" s="60"/>
      <c r="P17" s="167">
        <v>11</v>
      </c>
      <c r="Q17" s="57" t="s">
        <v>80</v>
      </c>
      <c r="R17" s="58">
        <v>68535</v>
      </c>
      <c r="S17" s="58">
        <v>68732</v>
      </c>
      <c r="T17" s="59">
        <f t="shared" si="5"/>
        <v>197</v>
      </c>
      <c r="U17" s="60"/>
    </row>
    <row r="18" spans="1:21" ht="14.4" x14ac:dyDescent="0.25">
      <c r="A18" s="144"/>
      <c r="B18" s="168"/>
      <c r="C18" s="57" t="s">
        <v>81</v>
      </c>
      <c r="D18" s="58">
        <v>225269</v>
      </c>
      <c r="E18" s="58">
        <v>226416</v>
      </c>
      <c r="F18" s="59">
        <f t="shared" si="3"/>
        <v>1147</v>
      </c>
      <c r="G18" s="60"/>
      <c r="H18" s="144"/>
      <c r="I18" s="168"/>
      <c r="J18" s="57" t="s">
        <v>81</v>
      </c>
      <c r="K18" s="58">
        <v>226416</v>
      </c>
      <c r="L18" s="58">
        <v>227507</v>
      </c>
      <c r="M18" s="59">
        <f t="shared" si="4"/>
        <v>1091</v>
      </c>
      <c r="N18" s="60"/>
      <c r="P18" s="168"/>
      <c r="Q18" s="57" t="s">
        <v>81</v>
      </c>
      <c r="R18" s="58">
        <v>227507</v>
      </c>
      <c r="S18" s="58">
        <v>228067</v>
      </c>
      <c r="T18" s="59">
        <f t="shared" si="5"/>
        <v>560</v>
      </c>
      <c r="U18" s="60"/>
    </row>
    <row r="19" spans="1:21" ht="14.4" x14ac:dyDescent="0.25">
      <c r="A19" s="144"/>
      <c r="B19" s="169"/>
      <c r="C19" s="57" t="s">
        <v>82</v>
      </c>
      <c r="D19" s="58">
        <v>31314</v>
      </c>
      <c r="E19" s="58">
        <v>31368</v>
      </c>
      <c r="F19" s="59">
        <f t="shared" si="3"/>
        <v>54</v>
      </c>
      <c r="G19" s="60"/>
      <c r="H19" s="144"/>
      <c r="I19" s="169"/>
      <c r="J19" s="57" t="s">
        <v>82</v>
      </c>
      <c r="K19" s="58">
        <v>31368</v>
      </c>
      <c r="L19" s="58">
        <v>31435</v>
      </c>
      <c r="M19" s="59">
        <f t="shared" si="4"/>
        <v>67</v>
      </c>
      <c r="N19" s="60"/>
      <c r="P19" s="169"/>
      <c r="Q19" s="57" t="s">
        <v>82</v>
      </c>
      <c r="R19" s="58">
        <v>31435</v>
      </c>
      <c r="S19" s="58">
        <v>31466</v>
      </c>
      <c r="T19" s="59">
        <f t="shared" si="5"/>
        <v>31</v>
      </c>
      <c r="U19" s="60"/>
    </row>
    <row r="20" spans="1:21" ht="14.4" x14ac:dyDescent="0.25">
      <c r="A20" s="144"/>
      <c r="B20" s="167">
        <v>12</v>
      </c>
      <c r="C20" s="57" t="s">
        <v>80</v>
      </c>
      <c r="D20" s="58">
        <v>147148</v>
      </c>
      <c r="E20" s="58">
        <v>147275</v>
      </c>
      <c r="F20" s="59">
        <f t="shared" si="3"/>
        <v>127</v>
      </c>
      <c r="G20" s="60"/>
      <c r="H20" s="144"/>
      <c r="I20" s="167">
        <v>12</v>
      </c>
      <c r="J20" s="57" t="s">
        <v>80</v>
      </c>
      <c r="K20" s="58">
        <v>147275</v>
      </c>
      <c r="L20" s="58">
        <v>147413</v>
      </c>
      <c r="M20" s="59">
        <f t="shared" si="4"/>
        <v>138</v>
      </c>
      <c r="N20" s="60"/>
      <c r="P20" s="167">
        <v>12</v>
      </c>
      <c r="Q20" s="57" t="s">
        <v>80</v>
      </c>
      <c r="R20" s="58">
        <v>147413</v>
      </c>
      <c r="S20" s="58">
        <v>147570</v>
      </c>
      <c r="T20" s="59">
        <f t="shared" si="5"/>
        <v>157</v>
      </c>
      <c r="U20" s="60"/>
    </row>
    <row r="21" spans="1:21" ht="14.4" x14ac:dyDescent="0.25">
      <c r="A21" s="144"/>
      <c r="B21" s="168"/>
      <c r="C21" s="57" t="s">
        <v>81</v>
      </c>
      <c r="D21" s="58">
        <v>23301</v>
      </c>
      <c r="E21" s="58">
        <v>23351</v>
      </c>
      <c r="F21" s="59">
        <f t="shared" si="3"/>
        <v>50</v>
      </c>
      <c r="G21" s="60"/>
      <c r="H21" s="146" t="s">
        <v>12</v>
      </c>
      <c r="I21" s="168"/>
      <c r="J21" s="57" t="s">
        <v>81</v>
      </c>
      <c r="K21" s="58">
        <v>23351</v>
      </c>
      <c r="L21" s="58">
        <v>23406</v>
      </c>
      <c r="M21" s="59">
        <f t="shared" si="4"/>
        <v>55</v>
      </c>
      <c r="N21" s="60"/>
      <c r="P21" s="168"/>
      <c r="Q21" s="57" t="s">
        <v>81</v>
      </c>
      <c r="R21" s="58">
        <v>23406</v>
      </c>
      <c r="S21" s="58">
        <v>23440</v>
      </c>
      <c r="T21" s="59">
        <f t="shared" si="5"/>
        <v>34</v>
      </c>
      <c r="U21" s="60"/>
    </row>
    <row r="22" spans="1:21" ht="14.4" x14ac:dyDescent="0.25">
      <c r="A22" s="144"/>
      <c r="B22" s="169"/>
      <c r="C22" s="57" t="s">
        <v>82</v>
      </c>
      <c r="D22" s="58">
        <v>256806</v>
      </c>
      <c r="E22" s="58">
        <v>257916</v>
      </c>
      <c r="F22" s="59">
        <f t="shared" si="3"/>
        <v>1110</v>
      </c>
      <c r="G22" s="60"/>
      <c r="H22" s="144"/>
      <c r="I22" s="169"/>
      <c r="J22" s="57" t="s">
        <v>82</v>
      </c>
      <c r="K22" s="58">
        <v>257916</v>
      </c>
      <c r="L22" s="58">
        <v>258383</v>
      </c>
      <c r="M22" s="59">
        <f t="shared" si="4"/>
        <v>467</v>
      </c>
      <c r="N22" s="60"/>
      <c r="P22" s="169"/>
      <c r="Q22" s="57" t="s">
        <v>82</v>
      </c>
      <c r="R22" s="58">
        <v>258383</v>
      </c>
      <c r="S22" s="58">
        <v>258660</v>
      </c>
      <c r="T22" s="59">
        <f t="shared" si="5"/>
        <v>277</v>
      </c>
      <c r="U22" s="60"/>
    </row>
    <row r="23" spans="1:21" ht="14.4" x14ac:dyDescent="0.25">
      <c r="A23" s="144"/>
      <c r="B23" s="167">
        <v>14</v>
      </c>
      <c r="C23" s="57" t="s">
        <v>80</v>
      </c>
      <c r="D23" s="58">
        <v>119046</v>
      </c>
      <c r="E23" s="58">
        <v>119408</v>
      </c>
      <c r="F23" s="59">
        <f t="shared" si="3"/>
        <v>362</v>
      </c>
      <c r="G23" s="60"/>
      <c r="H23" s="144"/>
      <c r="I23" s="167">
        <v>14</v>
      </c>
      <c r="J23" s="57" t="s">
        <v>80</v>
      </c>
      <c r="K23" s="58">
        <v>119408</v>
      </c>
      <c r="L23" s="58">
        <v>119720</v>
      </c>
      <c r="M23" s="59">
        <f t="shared" si="4"/>
        <v>312</v>
      </c>
      <c r="N23" s="60"/>
      <c r="P23" s="167">
        <v>14</v>
      </c>
      <c r="Q23" s="57" t="s">
        <v>80</v>
      </c>
      <c r="R23" s="58">
        <v>119720</v>
      </c>
      <c r="S23" s="58">
        <v>120021</v>
      </c>
      <c r="T23" s="59">
        <f t="shared" si="5"/>
        <v>301</v>
      </c>
      <c r="U23" s="60"/>
    </row>
    <row r="24" spans="1:21" ht="14.4" x14ac:dyDescent="0.25">
      <c r="A24" s="144"/>
      <c r="B24" s="168"/>
      <c r="C24" s="57" t="s">
        <v>81</v>
      </c>
      <c r="D24" s="58">
        <v>35994</v>
      </c>
      <c r="E24" s="58">
        <v>36899</v>
      </c>
      <c r="F24" s="59">
        <f t="shared" si="3"/>
        <v>905</v>
      </c>
      <c r="G24" s="60"/>
      <c r="H24" s="144"/>
      <c r="I24" s="168"/>
      <c r="J24" s="57" t="s">
        <v>81</v>
      </c>
      <c r="K24" s="58">
        <v>36899</v>
      </c>
      <c r="L24" s="58">
        <v>37456</v>
      </c>
      <c r="M24" s="59">
        <f t="shared" si="4"/>
        <v>557</v>
      </c>
      <c r="N24" s="60"/>
      <c r="P24" s="168"/>
      <c r="Q24" s="57" t="s">
        <v>81</v>
      </c>
      <c r="R24" s="58">
        <v>37456</v>
      </c>
      <c r="S24" s="58">
        <v>37881</v>
      </c>
      <c r="T24" s="59">
        <f t="shared" si="5"/>
        <v>425</v>
      </c>
      <c r="U24" s="60"/>
    </row>
    <row r="25" spans="1:21" ht="14.4" x14ac:dyDescent="0.25">
      <c r="A25" s="144"/>
      <c r="B25" s="169"/>
      <c r="C25" s="57" t="s">
        <v>82</v>
      </c>
      <c r="D25" s="58">
        <v>1968</v>
      </c>
      <c r="E25" s="58">
        <v>1984</v>
      </c>
      <c r="F25" s="59">
        <f t="shared" si="3"/>
        <v>16</v>
      </c>
      <c r="G25" s="60"/>
      <c r="H25" s="144"/>
      <c r="I25" s="169"/>
      <c r="J25" s="57" t="s">
        <v>82</v>
      </c>
      <c r="K25" s="58">
        <v>1984</v>
      </c>
      <c r="L25" s="58">
        <v>1991</v>
      </c>
      <c r="M25" s="59">
        <f t="shared" si="4"/>
        <v>7</v>
      </c>
      <c r="N25" s="60"/>
      <c r="P25" s="169"/>
      <c r="Q25" s="57" t="s">
        <v>82</v>
      </c>
      <c r="R25" s="58">
        <v>1991</v>
      </c>
      <c r="S25" s="58">
        <v>2001</v>
      </c>
      <c r="T25" s="59">
        <f t="shared" si="5"/>
        <v>10</v>
      </c>
      <c r="U25" s="60"/>
    </row>
    <row r="26" spans="1:21" ht="14.4" x14ac:dyDescent="0.25">
      <c r="A26" s="144"/>
      <c r="B26" s="167">
        <v>15</v>
      </c>
      <c r="C26" s="57" t="s">
        <v>80</v>
      </c>
      <c r="D26" s="58">
        <v>39357</v>
      </c>
      <c r="E26" s="58">
        <v>39357</v>
      </c>
      <c r="F26" s="59">
        <f t="shared" si="3"/>
        <v>0</v>
      </c>
      <c r="G26" s="60"/>
      <c r="H26" s="146" t="s">
        <v>12</v>
      </c>
      <c r="I26" s="167">
        <v>15</v>
      </c>
      <c r="J26" s="57" t="s">
        <v>80</v>
      </c>
      <c r="K26" s="58">
        <v>39357</v>
      </c>
      <c r="L26" s="58">
        <v>39357</v>
      </c>
      <c r="M26" s="59">
        <f t="shared" si="4"/>
        <v>0</v>
      </c>
      <c r="N26" s="60"/>
      <c r="P26" s="167">
        <v>15</v>
      </c>
      <c r="Q26" s="57" t="s">
        <v>80</v>
      </c>
      <c r="R26" s="58">
        <v>39357</v>
      </c>
      <c r="S26" s="58">
        <v>39357</v>
      </c>
      <c r="T26" s="59">
        <f t="shared" si="5"/>
        <v>0</v>
      </c>
      <c r="U26" s="60"/>
    </row>
    <row r="27" spans="1:21" ht="14.4" x14ac:dyDescent="0.25">
      <c r="A27" s="144"/>
      <c r="B27" s="168"/>
      <c r="C27" s="57" t="s">
        <v>81</v>
      </c>
      <c r="D27" s="58">
        <v>85079</v>
      </c>
      <c r="E27" s="58">
        <v>85452</v>
      </c>
      <c r="F27" s="59">
        <f t="shared" si="3"/>
        <v>373</v>
      </c>
      <c r="G27" s="60"/>
      <c r="H27" s="146" t="s">
        <v>12</v>
      </c>
      <c r="I27" s="168"/>
      <c r="J27" s="57" t="s">
        <v>81</v>
      </c>
      <c r="K27" s="58">
        <v>85452</v>
      </c>
      <c r="L27" s="58">
        <v>85836</v>
      </c>
      <c r="M27" s="59">
        <f t="shared" si="4"/>
        <v>384</v>
      </c>
      <c r="N27" s="60"/>
      <c r="P27" s="168"/>
      <c r="Q27" s="57" t="s">
        <v>81</v>
      </c>
      <c r="R27" s="58">
        <v>85836</v>
      </c>
      <c r="S27" s="58">
        <v>86104</v>
      </c>
      <c r="T27" s="59">
        <f t="shared" si="5"/>
        <v>268</v>
      </c>
      <c r="U27" s="60"/>
    </row>
    <row r="28" spans="1:21" ht="14.4" x14ac:dyDescent="0.25">
      <c r="A28" s="144"/>
      <c r="B28" s="169"/>
      <c r="C28" s="57" t="s">
        <v>82</v>
      </c>
      <c r="D28" s="58">
        <v>164130</v>
      </c>
      <c r="E28" s="58">
        <v>165029</v>
      </c>
      <c r="F28" s="59">
        <f t="shared" si="3"/>
        <v>899</v>
      </c>
      <c r="G28" s="60"/>
      <c r="H28" s="144"/>
      <c r="I28" s="169"/>
      <c r="J28" s="57" t="s">
        <v>82</v>
      </c>
      <c r="K28" s="58">
        <v>165029</v>
      </c>
      <c r="L28" s="58">
        <v>166031</v>
      </c>
      <c r="M28" s="59">
        <f t="shared" si="4"/>
        <v>1002</v>
      </c>
      <c r="N28" s="60"/>
      <c r="P28" s="169"/>
      <c r="Q28" s="57" t="s">
        <v>82</v>
      </c>
      <c r="R28" s="58">
        <v>166031</v>
      </c>
      <c r="S28" s="58">
        <v>166733</v>
      </c>
      <c r="T28" s="59">
        <f t="shared" si="5"/>
        <v>702</v>
      </c>
      <c r="U28" s="60"/>
    </row>
    <row r="29" spans="1:21" ht="14.4" x14ac:dyDescent="0.25">
      <c r="A29" s="144"/>
      <c r="B29" s="167">
        <v>16</v>
      </c>
      <c r="C29" s="57" t="s">
        <v>80</v>
      </c>
      <c r="D29" s="58">
        <v>97793</v>
      </c>
      <c r="E29" s="58">
        <v>97792</v>
      </c>
      <c r="F29" s="59" t="str">
        <f t="shared" si="3"/>
        <v>0</v>
      </c>
      <c r="G29" s="61" t="s">
        <v>12</v>
      </c>
      <c r="H29" s="144"/>
      <c r="I29" s="167">
        <v>16</v>
      </c>
      <c r="J29" s="57" t="s">
        <v>80</v>
      </c>
      <c r="K29" s="58">
        <v>97792</v>
      </c>
      <c r="L29" s="58">
        <v>97793</v>
      </c>
      <c r="M29" s="59">
        <f t="shared" si="4"/>
        <v>1</v>
      </c>
      <c r="N29" s="61" t="s">
        <v>12</v>
      </c>
      <c r="P29" s="167">
        <v>16</v>
      </c>
      <c r="Q29" s="57" t="s">
        <v>80</v>
      </c>
      <c r="R29" s="58">
        <v>97793</v>
      </c>
      <c r="S29" s="58">
        <v>97792</v>
      </c>
      <c r="T29" s="59" t="str">
        <f t="shared" si="5"/>
        <v>0</v>
      </c>
      <c r="U29" s="61" t="s">
        <v>12</v>
      </c>
    </row>
    <row r="30" spans="1:21" ht="14.4" x14ac:dyDescent="0.25">
      <c r="A30" s="144"/>
      <c r="B30" s="168"/>
      <c r="C30" s="57" t="s">
        <v>81</v>
      </c>
      <c r="D30" s="58">
        <v>64290</v>
      </c>
      <c r="E30" s="58">
        <v>64550</v>
      </c>
      <c r="F30" s="59">
        <f t="shared" si="3"/>
        <v>260</v>
      </c>
      <c r="G30" s="60"/>
      <c r="H30" s="144"/>
      <c r="I30" s="168"/>
      <c r="J30" s="57" t="s">
        <v>81</v>
      </c>
      <c r="K30" s="58">
        <v>64550</v>
      </c>
      <c r="L30" s="58">
        <v>64740</v>
      </c>
      <c r="M30" s="59">
        <f t="shared" si="4"/>
        <v>190</v>
      </c>
      <c r="N30" s="60"/>
      <c r="P30" s="168"/>
      <c r="Q30" s="57" t="s">
        <v>81</v>
      </c>
      <c r="R30" s="58">
        <v>64740</v>
      </c>
      <c r="S30" s="58">
        <v>65075</v>
      </c>
      <c r="T30" s="59">
        <f t="shared" si="5"/>
        <v>335</v>
      </c>
      <c r="U30" s="60"/>
    </row>
    <row r="31" spans="1:21" ht="14.4" x14ac:dyDescent="0.25">
      <c r="A31" s="144"/>
      <c r="B31" s="169"/>
      <c r="C31" s="57" t="s">
        <v>82</v>
      </c>
      <c r="D31" s="58">
        <v>69310</v>
      </c>
      <c r="E31" s="58">
        <v>69432</v>
      </c>
      <c r="F31" s="59">
        <f t="shared" si="3"/>
        <v>122</v>
      </c>
      <c r="G31" s="62"/>
      <c r="H31" s="144"/>
      <c r="I31" s="169"/>
      <c r="J31" s="57" t="s">
        <v>82</v>
      </c>
      <c r="K31" s="58">
        <v>69432</v>
      </c>
      <c r="L31" s="58">
        <v>69433</v>
      </c>
      <c r="M31" s="59">
        <f t="shared" si="4"/>
        <v>1</v>
      </c>
      <c r="N31" s="62"/>
      <c r="P31" s="169"/>
      <c r="Q31" s="57" t="s">
        <v>82</v>
      </c>
      <c r="R31" s="58">
        <v>69433</v>
      </c>
      <c r="S31" s="58">
        <v>69432</v>
      </c>
      <c r="T31" s="59" t="str">
        <f t="shared" si="5"/>
        <v>0</v>
      </c>
      <c r="U31" s="62"/>
    </row>
    <row r="32" spans="1:21" ht="14.4" x14ac:dyDescent="0.25">
      <c r="A32" s="144"/>
      <c r="B32" s="167">
        <v>17</v>
      </c>
      <c r="C32" s="57" t="s">
        <v>80</v>
      </c>
      <c r="D32" s="58">
        <v>36565</v>
      </c>
      <c r="E32" s="58">
        <v>36877</v>
      </c>
      <c r="F32" s="59">
        <f t="shared" si="3"/>
        <v>312</v>
      </c>
      <c r="G32" s="60"/>
      <c r="H32" s="144"/>
      <c r="I32" s="167">
        <v>17</v>
      </c>
      <c r="J32" s="57" t="s">
        <v>80</v>
      </c>
      <c r="K32" s="58">
        <v>36877</v>
      </c>
      <c r="L32" s="58">
        <v>37039</v>
      </c>
      <c r="M32" s="59">
        <f t="shared" si="4"/>
        <v>162</v>
      </c>
      <c r="N32" s="60"/>
      <c r="P32" s="167">
        <v>17</v>
      </c>
      <c r="Q32" s="57" t="s">
        <v>80</v>
      </c>
      <c r="R32" s="58">
        <v>37039</v>
      </c>
      <c r="S32" s="58">
        <v>37164</v>
      </c>
      <c r="T32" s="59">
        <f t="shared" si="5"/>
        <v>125</v>
      </c>
      <c r="U32" s="60"/>
    </row>
    <row r="33" spans="1:21" ht="14.4" x14ac:dyDescent="0.25">
      <c r="A33" s="144"/>
      <c r="B33" s="168"/>
      <c r="C33" s="57" t="s">
        <v>81</v>
      </c>
      <c r="D33" s="58">
        <v>64124</v>
      </c>
      <c r="E33" s="58">
        <v>64124</v>
      </c>
      <c r="F33" s="59">
        <f t="shared" si="3"/>
        <v>0</v>
      </c>
      <c r="G33" s="60"/>
      <c r="H33" s="144"/>
      <c r="I33" s="168"/>
      <c r="J33" s="57" t="s">
        <v>81</v>
      </c>
      <c r="K33" s="58">
        <v>64124</v>
      </c>
      <c r="L33" s="58">
        <v>64124</v>
      </c>
      <c r="M33" s="59">
        <f t="shared" si="4"/>
        <v>0</v>
      </c>
      <c r="N33" s="60"/>
      <c r="P33" s="168"/>
      <c r="Q33" s="57" t="s">
        <v>81</v>
      </c>
      <c r="R33" s="58">
        <v>64124</v>
      </c>
      <c r="S33" s="58">
        <v>64125</v>
      </c>
      <c r="T33" s="59">
        <f t="shared" si="5"/>
        <v>1</v>
      </c>
      <c r="U33" s="60"/>
    </row>
    <row r="34" spans="1:21" ht="14.4" x14ac:dyDescent="0.25">
      <c r="A34" s="144"/>
      <c r="B34" s="169"/>
      <c r="C34" s="57" t="s">
        <v>82</v>
      </c>
      <c r="D34" s="58">
        <v>12130</v>
      </c>
      <c r="E34" s="58">
        <v>12228</v>
      </c>
      <c r="F34" s="59">
        <f t="shared" si="3"/>
        <v>98</v>
      </c>
      <c r="G34" s="62"/>
      <c r="H34" s="144"/>
      <c r="I34" s="169"/>
      <c r="J34" s="57" t="s">
        <v>82</v>
      </c>
      <c r="K34" s="58">
        <v>12228</v>
      </c>
      <c r="L34" s="58">
        <v>12314</v>
      </c>
      <c r="M34" s="59">
        <f t="shared" si="4"/>
        <v>86</v>
      </c>
      <c r="N34" s="62"/>
      <c r="P34" s="169"/>
      <c r="Q34" s="57" t="s">
        <v>82</v>
      </c>
      <c r="R34" s="58">
        <v>12314</v>
      </c>
      <c r="S34" s="58">
        <v>12449</v>
      </c>
      <c r="T34" s="59">
        <f t="shared" si="5"/>
        <v>135</v>
      </c>
      <c r="U34" s="62"/>
    </row>
    <row r="35" spans="1:21" ht="14.4" x14ac:dyDescent="0.25">
      <c r="A35" s="144"/>
      <c r="B35" s="167">
        <v>18</v>
      </c>
      <c r="C35" s="57" t="s">
        <v>80</v>
      </c>
      <c r="D35" s="58">
        <v>253723</v>
      </c>
      <c r="E35" s="58">
        <v>255204</v>
      </c>
      <c r="F35" s="59">
        <f t="shared" si="3"/>
        <v>1481</v>
      </c>
      <c r="G35" s="62"/>
      <c r="H35" s="144"/>
      <c r="I35" s="167">
        <v>18</v>
      </c>
      <c r="J35" s="57" t="s">
        <v>80</v>
      </c>
      <c r="K35" s="58">
        <v>255204</v>
      </c>
      <c r="L35" s="58">
        <v>257184</v>
      </c>
      <c r="M35" s="59">
        <f t="shared" si="4"/>
        <v>1980</v>
      </c>
      <c r="N35" s="62"/>
      <c r="O35" s="130"/>
      <c r="P35" s="167">
        <v>18</v>
      </c>
      <c r="Q35" s="57" t="s">
        <v>80</v>
      </c>
      <c r="R35" s="58">
        <v>257184</v>
      </c>
      <c r="S35" s="58">
        <v>258487</v>
      </c>
      <c r="T35" s="59">
        <f t="shared" si="5"/>
        <v>1303</v>
      </c>
      <c r="U35" s="62"/>
    </row>
    <row r="36" spans="1:21" ht="14.4" x14ac:dyDescent="0.25">
      <c r="A36" s="144"/>
      <c r="B36" s="168"/>
      <c r="C36" s="57" t="s">
        <v>81</v>
      </c>
      <c r="D36" s="58">
        <v>19334</v>
      </c>
      <c r="E36" s="58">
        <v>19865</v>
      </c>
      <c r="F36" s="59">
        <f t="shared" si="3"/>
        <v>531</v>
      </c>
      <c r="G36" s="60"/>
      <c r="H36" s="144"/>
      <c r="I36" s="168"/>
      <c r="J36" s="57" t="s">
        <v>81</v>
      </c>
      <c r="K36" s="58">
        <v>19865</v>
      </c>
      <c r="L36" s="58">
        <v>20089</v>
      </c>
      <c r="M36" s="59">
        <f t="shared" si="4"/>
        <v>224</v>
      </c>
      <c r="N36" s="60"/>
      <c r="O36" s="139"/>
      <c r="P36" s="168"/>
      <c r="Q36" s="57" t="s">
        <v>81</v>
      </c>
      <c r="R36" s="58">
        <v>20089</v>
      </c>
      <c r="S36" s="58">
        <v>20089</v>
      </c>
      <c r="T36" s="59">
        <f t="shared" si="5"/>
        <v>0</v>
      </c>
      <c r="U36" s="60"/>
    </row>
    <row r="37" spans="1:21" ht="14.4" x14ac:dyDescent="0.25">
      <c r="A37" s="144"/>
      <c r="B37" s="169"/>
      <c r="C37" s="57" t="s">
        <v>82</v>
      </c>
      <c r="D37" s="58">
        <v>93299</v>
      </c>
      <c r="E37" s="58">
        <v>95011</v>
      </c>
      <c r="F37" s="59">
        <f t="shared" si="3"/>
        <v>1712</v>
      </c>
      <c r="G37" s="60"/>
      <c r="H37" s="144"/>
      <c r="I37" s="169"/>
      <c r="J37" s="57" t="s">
        <v>82</v>
      </c>
      <c r="K37" s="58">
        <v>95011</v>
      </c>
      <c r="L37" s="58">
        <v>96328</v>
      </c>
      <c r="M37" s="59">
        <f t="shared" si="4"/>
        <v>1317</v>
      </c>
      <c r="N37" s="60"/>
      <c r="P37" s="169"/>
      <c r="Q37" s="57" t="s">
        <v>82</v>
      </c>
      <c r="R37" s="58">
        <v>96328</v>
      </c>
      <c r="S37" s="58">
        <v>97626</v>
      </c>
      <c r="T37" s="59">
        <f t="shared" si="5"/>
        <v>1298</v>
      </c>
      <c r="U37" s="60"/>
    </row>
    <row r="38" spans="1:21" ht="14.4" x14ac:dyDescent="0.25">
      <c r="A38" s="144"/>
      <c r="B38" s="167">
        <v>19</v>
      </c>
      <c r="C38" s="57" t="s">
        <v>80</v>
      </c>
      <c r="D38" s="58">
        <v>23840</v>
      </c>
      <c r="E38" s="58">
        <v>24416</v>
      </c>
      <c r="F38" s="59">
        <f t="shared" si="3"/>
        <v>576</v>
      </c>
      <c r="G38" s="60"/>
      <c r="H38" s="144"/>
      <c r="I38" s="167">
        <v>19</v>
      </c>
      <c r="J38" s="57" t="s">
        <v>80</v>
      </c>
      <c r="K38" s="58">
        <v>24416</v>
      </c>
      <c r="L38" s="58">
        <v>24874</v>
      </c>
      <c r="M38" s="59">
        <f t="shared" si="4"/>
        <v>458</v>
      </c>
      <c r="N38" s="60"/>
      <c r="P38" s="167">
        <v>19</v>
      </c>
      <c r="Q38" s="57" t="s">
        <v>80</v>
      </c>
      <c r="R38" s="58">
        <v>24874</v>
      </c>
      <c r="S38" s="58">
        <v>25260</v>
      </c>
      <c r="T38" s="59">
        <f t="shared" si="5"/>
        <v>386</v>
      </c>
      <c r="U38" s="60"/>
    </row>
    <row r="39" spans="1:21" ht="14.4" x14ac:dyDescent="0.25">
      <c r="A39" s="144"/>
      <c r="B39" s="168"/>
      <c r="C39" s="57" t="s">
        <v>81</v>
      </c>
      <c r="D39" s="58">
        <v>84843</v>
      </c>
      <c r="E39" s="58">
        <v>85048</v>
      </c>
      <c r="F39" s="59">
        <f t="shared" si="3"/>
        <v>205</v>
      </c>
      <c r="G39" s="62"/>
      <c r="H39" s="144"/>
      <c r="I39" s="168"/>
      <c r="J39" s="57" t="s">
        <v>81</v>
      </c>
      <c r="K39" s="58">
        <v>85048</v>
      </c>
      <c r="L39" s="58">
        <v>85379</v>
      </c>
      <c r="M39" s="59">
        <f t="shared" si="4"/>
        <v>331</v>
      </c>
      <c r="N39" s="62"/>
      <c r="P39" s="168"/>
      <c r="Q39" s="57" t="s">
        <v>81</v>
      </c>
      <c r="R39" s="58">
        <v>85379</v>
      </c>
      <c r="S39" s="58">
        <v>85529</v>
      </c>
      <c r="T39" s="59">
        <f t="shared" si="5"/>
        <v>150</v>
      </c>
      <c r="U39" s="62"/>
    </row>
    <row r="40" spans="1:21" ht="14.4" x14ac:dyDescent="0.25">
      <c r="A40" s="144"/>
      <c r="B40" s="169"/>
      <c r="C40" s="57" t="s">
        <v>82</v>
      </c>
      <c r="D40" s="58">
        <v>53053</v>
      </c>
      <c r="E40" s="58">
        <v>53052</v>
      </c>
      <c r="F40" s="59" t="str">
        <f t="shared" si="3"/>
        <v>0</v>
      </c>
      <c r="G40" s="60"/>
      <c r="H40" s="144"/>
      <c r="I40" s="169"/>
      <c r="J40" s="57" t="s">
        <v>82</v>
      </c>
      <c r="K40" s="58">
        <v>53053</v>
      </c>
      <c r="L40" s="58">
        <v>53053</v>
      </c>
      <c r="M40" s="59">
        <f t="shared" si="4"/>
        <v>0</v>
      </c>
      <c r="N40" s="60"/>
      <c r="P40" s="169"/>
      <c r="Q40" s="57" t="s">
        <v>82</v>
      </c>
      <c r="R40" s="58">
        <v>53053</v>
      </c>
      <c r="S40" s="58">
        <v>53053</v>
      </c>
      <c r="T40" s="59">
        <f t="shared" si="5"/>
        <v>0</v>
      </c>
      <c r="U40" s="60"/>
    </row>
    <row r="41" spans="1:21" ht="14.4" x14ac:dyDescent="0.25">
      <c r="A41" s="144"/>
      <c r="B41" s="167">
        <v>20</v>
      </c>
      <c r="C41" s="57" t="s">
        <v>80</v>
      </c>
      <c r="D41" s="58">
        <v>121869</v>
      </c>
      <c r="E41" s="58">
        <v>122106</v>
      </c>
      <c r="F41" s="59">
        <f t="shared" si="3"/>
        <v>237</v>
      </c>
      <c r="G41" s="60"/>
      <c r="H41" s="144"/>
      <c r="I41" s="167">
        <v>20</v>
      </c>
      <c r="J41" s="57" t="s">
        <v>80</v>
      </c>
      <c r="K41" s="58">
        <v>122106</v>
      </c>
      <c r="L41" s="58">
        <v>122354</v>
      </c>
      <c r="M41" s="59">
        <f t="shared" si="4"/>
        <v>248</v>
      </c>
      <c r="N41" s="60"/>
      <c r="P41" s="167">
        <v>20</v>
      </c>
      <c r="Q41" s="57" t="s">
        <v>80</v>
      </c>
      <c r="R41" s="58">
        <v>122354</v>
      </c>
      <c r="S41" s="58">
        <v>122525</v>
      </c>
      <c r="T41" s="59">
        <f t="shared" si="5"/>
        <v>171</v>
      </c>
      <c r="U41" s="60"/>
    </row>
    <row r="42" spans="1:21" ht="14.4" x14ac:dyDescent="0.25">
      <c r="A42" s="144"/>
      <c r="B42" s="168"/>
      <c r="C42" s="57" t="s">
        <v>81</v>
      </c>
      <c r="D42" s="58">
        <v>71994</v>
      </c>
      <c r="E42" s="58">
        <v>72822</v>
      </c>
      <c r="F42" s="59">
        <f t="shared" si="3"/>
        <v>828</v>
      </c>
      <c r="G42" s="60"/>
      <c r="I42" s="168"/>
      <c r="J42" s="57" t="s">
        <v>81</v>
      </c>
      <c r="K42" s="58">
        <v>72822</v>
      </c>
      <c r="L42" s="58">
        <v>74576</v>
      </c>
      <c r="M42" s="59">
        <f t="shared" si="4"/>
        <v>1754</v>
      </c>
      <c r="N42" s="60"/>
      <c r="P42" s="168"/>
      <c r="Q42" s="57" t="s">
        <v>81</v>
      </c>
      <c r="R42" s="58">
        <v>74576</v>
      </c>
      <c r="S42" s="58">
        <v>75660</v>
      </c>
      <c r="T42" s="59">
        <f t="shared" si="5"/>
        <v>1084</v>
      </c>
      <c r="U42" s="60"/>
    </row>
    <row r="43" spans="1:21" ht="14.4" x14ac:dyDescent="0.25">
      <c r="A43" s="144"/>
      <c r="B43" s="169"/>
      <c r="C43" s="57" t="s">
        <v>82</v>
      </c>
      <c r="D43" s="58">
        <v>3456</v>
      </c>
      <c r="E43" s="58">
        <v>3469</v>
      </c>
      <c r="F43" s="59">
        <f t="shared" si="3"/>
        <v>13</v>
      </c>
      <c r="G43" s="60"/>
      <c r="I43" s="169"/>
      <c r="J43" s="57" t="s">
        <v>82</v>
      </c>
      <c r="K43" s="58">
        <v>3469</v>
      </c>
      <c r="L43" s="58">
        <v>3482</v>
      </c>
      <c r="M43" s="59">
        <f t="shared" si="4"/>
        <v>13</v>
      </c>
      <c r="N43" s="60"/>
      <c r="P43" s="169"/>
      <c r="Q43" s="57" t="s">
        <v>82</v>
      </c>
      <c r="R43" s="58">
        <v>3482</v>
      </c>
      <c r="S43" s="58">
        <v>3523</v>
      </c>
      <c r="T43" s="59">
        <f t="shared" si="5"/>
        <v>41</v>
      </c>
      <c r="U43" s="60"/>
    </row>
    <row r="44" spans="1:21" ht="14.4" x14ac:dyDescent="0.25">
      <c r="A44" s="144"/>
      <c r="B44" s="63"/>
      <c r="C44" s="64"/>
      <c r="D44" s="64"/>
      <c r="E44" s="64"/>
      <c r="F44" s="64"/>
      <c r="G44" s="66"/>
      <c r="I44" s="63"/>
      <c r="J44" s="64"/>
      <c r="K44" s="64"/>
      <c r="L44" s="64"/>
      <c r="M44" s="64"/>
      <c r="N44" s="66"/>
      <c r="P44" s="63"/>
      <c r="Q44" s="64"/>
      <c r="R44" s="64"/>
      <c r="S44" s="64"/>
      <c r="T44" s="64"/>
      <c r="U44" s="66"/>
    </row>
    <row r="45" spans="1:21" ht="14.4" x14ac:dyDescent="0.25">
      <c r="A45" s="144"/>
      <c r="B45" s="167">
        <v>21</v>
      </c>
      <c r="C45" s="57" t="s">
        <v>83</v>
      </c>
      <c r="D45" s="58">
        <v>3794</v>
      </c>
      <c r="E45" s="58">
        <v>3820</v>
      </c>
      <c r="F45" s="59">
        <f t="shared" ref="F45:F63" si="6">IF((E45-D45)&lt;0,"0",(E45-D45))</f>
        <v>26</v>
      </c>
      <c r="G45" s="61" t="s">
        <v>12</v>
      </c>
      <c r="I45" s="167">
        <v>21</v>
      </c>
      <c r="J45" s="57" t="s">
        <v>83</v>
      </c>
      <c r="K45" s="58">
        <v>3820</v>
      </c>
      <c r="L45" s="58">
        <v>3848</v>
      </c>
      <c r="M45" s="59">
        <f t="shared" ref="M45:M63" si="7">IF((L45-K45)&lt;0,"0",(L45-K45))</f>
        <v>28</v>
      </c>
      <c r="N45" s="61" t="s">
        <v>12</v>
      </c>
      <c r="P45" s="167">
        <v>21</v>
      </c>
      <c r="Q45" s="57" t="s">
        <v>83</v>
      </c>
      <c r="R45" s="58">
        <v>3848</v>
      </c>
      <c r="S45" s="58">
        <v>3911</v>
      </c>
      <c r="T45" s="59">
        <f t="shared" si="5"/>
        <v>63</v>
      </c>
      <c r="U45" s="61" t="s">
        <v>12</v>
      </c>
    </row>
    <row r="46" spans="1:21" ht="14.4" x14ac:dyDescent="0.25">
      <c r="A46" s="144"/>
      <c r="B46" s="168"/>
      <c r="C46" s="57" t="s">
        <v>82</v>
      </c>
      <c r="D46" s="58">
        <v>45855</v>
      </c>
      <c r="E46" s="58">
        <v>45860</v>
      </c>
      <c r="F46" s="59">
        <f t="shared" si="6"/>
        <v>5</v>
      </c>
      <c r="G46" s="60"/>
      <c r="I46" s="168"/>
      <c r="J46" s="57" t="s">
        <v>82</v>
      </c>
      <c r="K46" s="58">
        <v>45860</v>
      </c>
      <c r="L46" s="58">
        <v>45860</v>
      </c>
      <c r="M46" s="59">
        <f t="shared" si="7"/>
        <v>0</v>
      </c>
      <c r="N46" s="60"/>
      <c r="P46" s="168"/>
      <c r="Q46" s="57" t="s">
        <v>82</v>
      </c>
      <c r="R46" s="58">
        <v>45860</v>
      </c>
      <c r="S46" s="58">
        <v>45863</v>
      </c>
      <c r="T46" s="59">
        <f t="shared" si="5"/>
        <v>3</v>
      </c>
      <c r="U46" s="60"/>
    </row>
    <row r="47" spans="1:21" ht="14.4" x14ac:dyDescent="0.25">
      <c r="A47" s="144"/>
      <c r="B47" s="167">
        <v>22</v>
      </c>
      <c r="C47" s="57" t="s">
        <v>83</v>
      </c>
      <c r="D47" s="58">
        <v>13770</v>
      </c>
      <c r="E47" s="58">
        <v>13771</v>
      </c>
      <c r="F47" s="59">
        <f t="shared" si="6"/>
        <v>1</v>
      </c>
      <c r="G47" s="60"/>
      <c r="H47" t="s">
        <v>12</v>
      </c>
      <c r="I47" s="167">
        <v>22</v>
      </c>
      <c r="J47" s="57" t="s">
        <v>83</v>
      </c>
      <c r="K47" s="58">
        <v>13771</v>
      </c>
      <c r="L47" s="58">
        <v>13771</v>
      </c>
      <c r="M47" s="59">
        <f t="shared" si="7"/>
        <v>0</v>
      </c>
      <c r="N47" s="60"/>
      <c r="P47" s="167">
        <v>22</v>
      </c>
      <c r="Q47" s="57" t="s">
        <v>83</v>
      </c>
      <c r="R47" s="58">
        <v>13771</v>
      </c>
      <c r="S47" s="58">
        <v>13771</v>
      </c>
      <c r="T47" s="59">
        <f t="shared" si="5"/>
        <v>0</v>
      </c>
      <c r="U47" s="60"/>
    </row>
    <row r="48" spans="1:21" ht="14.4" x14ac:dyDescent="0.25">
      <c r="A48" s="144"/>
      <c r="B48" s="168"/>
      <c r="C48" s="57" t="s">
        <v>82</v>
      </c>
      <c r="D48" s="58">
        <v>21207</v>
      </c>
      <c r="E48" s="58">
        <v>21341</v>
      </c>
      <c r="F48" s="59">
        <f t="shared" si="6"/>
        <v>134</v>
      </c>
      <c r="G48" s="60"/>
      <c r="I48" s="168"/>
      <c r="J48" s="57" t="s">
        <v>82</v>
      </c>
      <c r="K48" s="58">
        <v>21341</v>
      </c>
      <c r="L48" s="58">
        <v>21494</v>
      </c>
      <c r="M48" s="59">
        <f t="shared" si="7"/>
        <v>153</v>
      </c>
      <c r="N48" s="60"/>
      <c r="P48" s="168"/>
      <c r="Q48" s="57" t="s">
        <v>82</v>
      </c>
      <c r="R48" s="58">
        <v>21494</v>
      </c>
      <c r="S48" s="58">
        <v>21596</v>
      </c>
      <c r="T48" s="59">
        <f t="shared" si="5"/>
        <v>102</v>
      </c>
      <c r="U48" s="60"/>
    </row>
    <row r="49" spans="1:21" ht="14.4" x14ac:dyDescent="0.25">
      <c r="A49" s="144"/>
      <c r="B49" s="167">
        <v>23</v>
      </c>
      <c r="C49" s="57" t="s">
        <v>83</v>
      </c>
      <c r="D49" s="58"/>
      <c r="E49" s="58"/>
      <c r="F49" s="59">
        <f t="shared" si="6"/>
        <v>0</v>
      </c>
      <c r="G49" s="60"/>
      <c r="I49" s="167">
        <v>23</v>
      </c>
      <c r="J49" s="57" t="s">
        <v>83</v>
      </c>
      <c r="K49" s="58"/>
      <c r="L49" s="58"/>
      <c r="M49" s="59">
        <f t="shared" si="7"/>
        <v>0</v>
      </c>
      <c r="N49" s="60"/>
      <c r="P49" s="167">
        <v>23</v>
      </c>
      <c r="Q49" s="57" t="s">
        <v>83</v>
      </c>
      <c r="R49" s="58"/>
      <c r="S49" s="58"/>
      <c r="T49" s="59">
        <f t="shared" si="5"/>
        <v>0</v>
      </c>
      <c r="U49" s="60"/>
    </row>
    <row r="50" spans="1:21" ht="14.4" x14ac:dyDescent="0.25">
      <c r="A50" s="144"/>
      <c r="B50" s="168"/>
      <c r="C50" s="57" t="s">
        <v>82</v>
      </c>
      <c r="D50" s="58"/>
      <c r="E50" s="58"/>
      <c r="F50" s="59">
        <f t="shared" si="6"/>
        <v>0</v>
      </c>
      <c r="G50" s="60"/>
      <c r="I50" s="168"/>
      <c r="J50" s="57" t="s">
        <v>82</v>
      </c>
      <c r="K50" s="58"/>
      <c r="L50" s="58"/>
      <c r="M50" s="59">
        <f t="shared" si="7"/>
        <v>0</v>
      </c>
      <c r="N50" s="60"/>
      <c r="P50" s="168"/>
      <c r="Q50" s="57" t="s">
        <v>82</v>
      </c>
      <c r="R50" s="58"/>
      <c r="S50" s="58"/>
      <c r="T50" s="59">
        <f t="shared" si="5"/>
        <v>0</v>
      </c>
      <c r="U50" s="60"/>
    </row>
    <row r="51" spans="1:21" ht="14.4" x14ac:dyDescent="0.25">
      <c r="A51" s="144"/>
      <c r="B51" s="67"/>
      <c r="C51" s="64"/>
      <c r="D51" s="65"/>
      <c r="E51" s="65"/>
      <c r="F51" s="64">
        <f t="shared" si="6"/>
        <v>0</v>
      </c>
      <c r="G51" s="66"/>
      <c r="I51" s="67"/>
      <c r="J51" s="64"/>
      <c r="K51" s="65"/>
      <c r="L51" s="65"/>
      <c r="M51" s="64">
        <f t="shared" si="7"/>
        <v>0</v>
      </c>
      <c r="N51" s="66"/>
      <c r="P51" s="67"/>
      <c r="Q51" s="64"/>
      <c r="R51" s="65"/>
      <c r="S51" s="65"/>
      <c r="T51" s="64">
        <f t="shared" si="5"/>
        <v>0</v>
      </c>
      <c r="U51" s="66"/>
    </row>
    <row r="52" spans="1:21" ht="14.4" x14ac:dyDescent="0.25">
      <c r="A52" s="144"/>
      <c r="B52" s="167">
        <v>24</v>
      </c>
      <c r="C52" s="57" t="s">
        <v>84</v>
      </c>
      <c r="D52" s="58">
        <v>254504</v>
      </c>
      <c r="E52" s="58">
        <v>255854</v>
      </c>
      <c r="F52" s="59">
        <f t="shared" si="6"/>
        <v>1350</v>
      </c>
      <c r="G52" s="60"/>
      <c r="I52" s="167">
        <v>24</v>
      </c>
      <c r="J52" s="57" t="s">
        <v>84</v>
      </c>
      <c r="K52" s="58">
        <v>255854</v>
      </c>
      <c r="L52" s="58">
        <v>256606</v>
      </c>
      <c r="M52" s="59">
        <f t="shared" si="7"/>
        <v>752</v>
      </c>
      <c r="N52" s="60"/>
      <c r="P52" s="167">
        <v>24</v>
      </c>
      <c r="Q52" s="57" t="s">
        <v>84</v>
      </c>
      <c r="R52" s="58">
        <v>256606</v>
      </c>
      <c r="S52" s="58">
        <v>257417</v>
      </c>
      <c r="T52" s="59">
        <f t="shared" si="5"/>
        <v>811</v>
      </c>
      <c r="U52" s="60"/>
    </row>
    <row r="53" spans="1:21" ht="14.4" x14ac:dyDescent="0.25">
      <c r="A53" s="144"/>
      <c r="B53" s="168"/>
      <c r="C53" s="57" t="s">
        <v>85</v>
      </c>
      <c r="D53" s="58">
        <v>540901</v>
      </c>
      <c r="E53" s="58">
        <v>541352</v>
      </c>
      <c r="F53" s="59">
        <f t="shared" si="6"/>
        <v>451</v>
      </c>
      <c r="G53" s="62"/>
      <c r="I53" s="168"/>
      <c r="J53" s="57" t="s">
        <v>85</v>
      </c>
      <c r="K53" s="58">
        <v>541352</v>
      </c>
      <c r="L53" s="58">
        <v>541849</v>
      </c>
      <c r="M53" s="59">
        <f t="shared" si="7"/>
        <v>497</v>
      </c>
      <c r="N53" s="62"/>
      <c r="P53" s="168"/>
      <c r="Q53" s="57" t="s">
        <v>85</v>
      </c>
      <c r="R53" s="58">
        <v>541849</v>
      </c>
      <c r="S53" s="58">
        <v>542198</v>
      </c>
      <c r="T53" s="59">
        <f t="shared" si="5"/>
        <v>349</v>
      </c>
      <c r="U53" s="62"/>
    </row>
    <row r="54" spans="1:21" ht="14.4" x14ac:dyDescent="0.25">
      <c r="A54" s="144"/>
      <c r="B54" s="169"/>
      <c r="C54" s="57" t="s">
        <v>84</v>
      </c>
      <c r="D54" s="58">
        <v>34567</v>
      </c>
      <c r="E54" s="58">
        <v>34557</v>
      </c>
      <c r="F54" s="59" t="str">
        <f t="shared" si="6"/>
        <v>0</v>
      </c>
      <c r="G54" s="68" t="s">
        <v>12</v>
      </c>
      <c r="I54" s="169"/>
      <c r="J54" s="57" t="s">
        <v>84</v>
      </c>
      <c r="K54" s="58">
        <v>34557</v>
      </c>
      <c r="L54" s="58">
        <v>34567</v>
      </c>
      <c r="M54" s="59">
        <f t="shared" si="7"/>
        <v>10</v>
      </c>
      <c r="N54" s="68" t="s">
        <v>12</v>
      </c>
      <c r="P54" s="169"/>
      <c r="Q54" s="57" t="s">
        <v>84</v>
      </c>
      <c r="R54" s="58">
        <v>34567</v>
      </c>
      <c r="S54" s="58">
        <v>34567</v>
      </c>
      <c r="T54" s="59">
        <f t="shared" si="5"/>
        <v>0</v>
      </c>
      <c r="U54" s="68" t="s">
        <v>12</v>
      </c>
    </row>
    <row r="55" spans="1:21" ht="14.4" x14ac:dyDescent="0.25">
      <c r="A55" s="144"/>
      <c r="B55" s="167">
        <v>25</v>
      </c>
      <c r="C55" s="57" t="s">
        <v>84</v>
      </c>
      <c r="D55" s="58">
        <v>330</v>
      </c>
      <c r="E55" s="58">
        <v>330</v>
      </c>
      <c r="F55" s="59">
        <f t="shared" si="6"/>
        <v>0</v>
      </c>
      <c r="G55" s="60"/>
      <c r="I55" s="167">
        <v>25</v>
      </c>
      <c r="J55" s="57" t="s">
        <v>84</v>
      </c>
      <c r="K55" s="58">
        <v>330</v>
      </c>
      <c r="L55" s="58">
        <v>330</v>
      </c>
      <c r="M55" s="59">
        <f t="shared" si="7"/>
        <v>0</v>
      </c>
      <c r="N55" s="60"/>
      <c r="P55" s="167">
        <v>25</v>
      </c>
      <c r="Q55" s="57" t="s">
        <v>84</v>
      </c>
      <c r="R55" s="58">
        <v>330</v>
      </c>
      <c r="S55" s="58">
        <v>330</v>
      </c>
      <c r="T55" s="59">
        <f t="shared" si="5"/>
        <v>0</v>
      </c>
      <c r="U55" s="60"/>
    </row>
    <row r="56" spans="1:21" ht="14.4" x14ac:dyDescent="0.25">
      <c r="A56" s="144"/>
      <c r="B56" s="169"/>
      <c r="C56" s="57" t="s">
        <v>85</v>
      </c>
      <c r="D56" s="58">
        <v>3</v>
      </c>
      <c r="E56" s="58">
        <v>3</v>
      </c>
      <c r="F56" s="59">
        <f t="shared" si="6"/>
        <v>0</v>
      </c>
      <c r="G56" s="60"/>
      <c r="I56" s="169"/>
      <c r="J56" s="57" t="s">
        <v>85</v>
      </c>
      <c r="K56" s="58">
        <v>3</v>
      </c>
      <c r="L56" s="58">
        <v>3</v>
      </c>
      <c r="M56" s="59">
        <f t="shared" si="7"/>
        <v>0</v>
      </c>
      <c r="N56" s="60"/>
      <c r="P56" s="169"/>
      <c r="Q56" s="57" t="s">
        <v>85</v>
      </c>
      <c r="R56" s="58">
        <v>3</v>
      </c>
      <c r="S56" s="58">
        <v>3</v>
      </c>
      <c r="T56" s="59">
        <f t="shared" si="5"/>
        <v>0</v>
      </c>
      <c r="U56" s="60"/>
    </row>
    <row r="57" spans="1:21" ht="14.4" x14ac:dyDescent="0.25">
      <c r="A57" s="144"/>
      <c r="B57" s="167">
        <v>26</v>
      </c>
      <c r="C57" s="57" t="s">
        <v>84</v>
      </c>
      <c r="D57" s="58">
        <v>740310</v>
      </c>
      <c r="E57" s="58">
        <v>743691</v>
      </c>
      <c r="F57" s="59">
        <f t="shared" si="6"/>
        <v>3381</v>
      </c>
      <c r="G57" s="60"/>
      <c r="I57" s="167">
        <v>26</v>
      </c>
      <c r="J57" s="57" t="s">
        <v>84</v>
      </c>
      <c r="K57" s="58">
        <v>743691</v>
      </c>
      <c r="L57" s="58">
        <v>746414</v>
      </c>
      <c r="M57" s="59">
        <f t="shared" si="7"/>
        <v>2723</v>
      </c>
      <c r="N57" s="60"/>
      <c r="P57" s="167">
        <v>26</v>
      </c>
      <c r="Q57" s="57" t="s">
        <v>84</v>
      </c>
      <c r="R57" s="58">
        <v>746414</v>
      </c>
      <c r="S57" s="58">
        <v>748380</v>
      </c>
      <c r="T57" s="59">
        <f t="shared" si="5"/>
        <v>1966</v>
      </c>
      <c r="U57" s="60"/>
    </row>
    <row r="58" spans="1:21" ht="14.4" x14ac:dyDescent="0.25">
      <c r="A58" s="144"/>
      <c r="B58" s="169"/>
      <c r="C58" s="57" t="s">
        <v>85</v>
      </c>
      <c r="D58" s="58">
        <v>816379</v>
      </c>
      <c r="E58" s="58">
        <v>820373</v>
      </c>
      <c r="F58" s="59">
        <f t="shared" si="6"/>
        <v>3994</v>
      </c>
      <c r="G58" s="62"/>
      <c r="H58" s="144"/>
      <c r="I58" s="169"/>
      <c r="J58" s="57" t="s">
        <v>85</v>
      </c>
      <c r="K58" s="58">
        <v>820373</v>
      </c>
      <c r="L58" s="58">
        <v>823930</v>
      </c>
      <c r="M58" s="59">
        <f t="shared" si="7"/>
        <v>3557</v>
      </c>
      <c r="N58" s="62"/>
      <c r="P58" s="169"/>
      <c r="Q58" s="57" t="s">
        <v>85</v>
      </c>
      <c r="R58" s="58">
        <v>823930</v>
      </c>
      <c r="S58" s="58">
        <v>826607</v>
      </c>
      <c r="T58" s="59">
        <f t="shared" si="5"/>
        <v>2677</v>
      </c>
      <c r="U58" s="62"/>
    </row>
    <row r="59" spans="1:21" ht="14.4" x14ac:dyDescent="0.25">
      <c r="A59" s="144"/>
      <c r="B59" s="167">
        <v>27</v>
      </c>
      <c r="C59" s="57" t="s">
        <v>84</v>
      </c>
      <c r="D59" s="58">
        <v>251124</v>
      </c>
      <c r="E59" s="58">
        <v>252317</v>
      </c>
      <c r="F59" s="59">
        <f t="shared" si="6"/>
        <v>1193</v>
      </c>
      <c r="G59" s="60"/>
      <c r="H59" s="144"/>
      <c r="I59" s="167">
        <v>27</v>
      </c>
      <c r="J59" s="57" t="s">
        <v>84</v>
      </c>
      <c r="K59" s="58">
        <v>252317</v>
      </c>
      <c r="L59" s="58">
        <v>253313</v>
      </c>
      <c r="M59" s="59">
        <f t="shared" si="7"/>
        <v>996</v>
      </c>
      <c r="N59" s="60"/>
      <c r="P59" s="167">
        <v>27</v>
      </c>
      <c r="Q59" s="57" t="s">
        <v>84</v>
      </c>
      <c r="R59" s="58">
        <v>253313</v>
      </c>
      <c r="S59" s="58">
        <v>254074</v>
      </c>
      <c r="T59" s="59">
        <f t="shared" si="5"/>
        <v>761</v>
      </c>
      <c r="U59" s="60"/>
    </row>
    <row r="60" spans="1:21" ht="14.4" x14ac:dyDescent="0.25">
      <c r="A60" s="144"/>
      <c r="B60" s="169"/>
      <c r="C60" s="57" t="s">
        <v>85</v>
      </c>
      <c r="D60" s="58">
        <v>106703</v>
      </c>
      <c r="E60" s="58">
        <v>107034</v>
      </c>
      <c r="F60" s="59">
        <f t="shared" si="6"/>
        <v>331</v>
      </c>
      <c r="G60" s="60"/>
      <c r="H60" s="144"/>
      <c r="I60" s="169"/>
      <c r="J60" s="57" t="s">
        <v>85</v>
      </c>
      <c r="K60" s="58">
        <v>107034</v>
      </c>
      <c r="L60" s="58">
        <v>107404</v>
      </c>
      <c r="M60" s="59">
        <f t="shared" si="7"/>
        <v>370</v>
      </c>
      <c r="N60" s="60"/>
      <c r="P60" s="169"/>
      <c r="Q60" s="57" t="s">
        <v>85</v>
      </c>
      <c r="R60" s="58">
        <v>107404</v>
      </c>
      <c r="S60" s="58">
        <v>108101</v>
      </c>
      <c r="T60" s="59">
        <f t="shared" si="5"/>
        <v>697</v>
      </c>
      <c r="U60" s="60"/>
    </row>
    <row r="61" spans="1:21" ht="14.4" x14ac:dyDescent="0.25">
      <c r="A61" s="144"/>
      <c r="B61" s="63"/>
      <c r="C61" s="64"/>
      <c r="D61" s="64"/>
      <c r="E61" s="64"/>
      <c r="F61" s="64">
        <f t="shared" si="6"/>
        <v>0</v>
      </c>
      <c r="G61" s="66"/>
      <c r="H61" s="144"/>
      <c r="I61" s="63"/>
      <c r="J61" s="64"/>
      <c r="K61" s="64"/>
      <c r="L61" s="64"/>
      <c r="M61" s="64">
        <f t="shared" si="7"/>
        <v>0</v>
      </c>
      <c r="N61" s="66"/>
      <c r="P61" s="63"/>
      <c r="Q61" s="64"/>
      <c r="R61" s="64"/>
      <c r="S61" s="64"/>
      <c r="T61" s="64">
        <f t="shared" si="5"/>
        <v>0</v>
      </c>
      <c r="U61" s="66"/>
    </row>
    <row r="62" spans="1:21" ht="14.4" x14ac:dyDescent="0.25">
      <c r="A62" s="144"/>
      <c r="B62" s="167">
        <v>28</v>
      </c>
      <c r="C62" s="162" t="s">
        <v>86</v>
      </c>
      <c r="D62" s="58"/>
      <c r="E62" s="58"/>
      <c r="F62" s="59">
        <f t="shared" si="6"/>
        <v>0</v>
      </c>
      <c r="G62" s="164" t="s">
        <v>87</v>
      </c>
      <c r="H62" s="144"/>
      <c r="I62" s="167">
        <v>28</v>
      </c>
      <c r="J62" s="162" t="s">
        <v>86</v>
      </c>
      <c r="K62" s="58"/>
      <c r="L62" s="58"/>
      <c r="M62" s="59">
        <f t="shared" si="7"/>
        <v>0</v>
      </c>
      <c r="N62" s="164" t="s">
        <v>87</v>
      </c>
      <c r="P62" s="167">
        <v>28</v>
      </c>
      <c r="Q62" s="162" t="s">
        <v>86</v>
      </c>
      <c r="R62" s="58"/>
      <c r="S62" s="58"/>
      <c r="T62" s="59">
        <f t="shared" si="5"/>
        <v>0</v>
      </c>
      <c r="U62" s="164" t="s">
        <v>87</v>
      </c>
    </row>
    <row r="63" spans="1:21" ht="14.4" x14ac:dyDescent="0.25">
      <c r="A63" s="144"/>
      <c r="B63" s="169"/>
      <c r="C63" s="163"/>
      <c r="D63" s="58"/>
      <c r="E63" s="58"/>
      <c r="F63" s="59">
        <f t="shared" si="6"/>
        <v>0</v>
      </c>
      <c r="G63" s="165"/>
      <c r="H63" s="144"/>
      <c r="I63" s="169"/>
      <c r="J63" s="163"/>
      <c r="K63" s="58"/>
      <c r="L63" s="58"/>
      <c r="M63" s="59">
        <f t="shared" si="7"/>
        <v>0</v>
      </c>
      <c r="N63" s="165"/>
      <c r="P63" s="169"/>
      <c r="Q63" s="163"/>
      <c r="R63" s="58"/>
      <c r="S63" s="58"/>
      <c r="T63" s="59">
        <f t="shared" si="5"/>
        <v>0</v>
      </c>
      <c r="U63" s="165"/>
    </row>
    <row r="64" spans="1:21" ht="13.8" x14ac:dyDescent="0.25">
      <c r="A64" s="144"/>
      <c r="B64" s="166" t="s">
        <v>88</v>
      </c>
      <c r="C64" s="166"/>
      <c r="D64" s="166"/>
      <c r="E64" s="166"/>
      <c r="F64" s="69">
        <f>SUM(F2:F63)</f>
        <v>30010</v>
      </c>
      <c r="G64" s="70"/>
      <c r="H64" s="144"/>
      <c r="I64" s="166" t="s">
        <v>88</v>
      </c>
      <c r="J64" s="166"/>
      <c r="K64" s="166"/>
      <c r="L64" s="166"/>
      <c r="M64" s="69">
        <f>SUM(M2:M63)</f>
        <v>29502</v>
      </c>
      <c r="N64" s="70"/>
      <c r="P64" s="166" t="s">
        <v>88</v>
      </c>
      <c r="Q64" s="166"/>
      <c r="R64" s="166"/>
      <c r="S64" s="166"/>
      <c r="T64" s="69">
        <f>SUM(T2:T63)</f>
        <v>22105</v>
      </c>
      <c r="U64" s="70"/>
    </row>
    <row r="68" spans="1:14" ht="13.8" thickBot="1" x14ac:dyDescent="0.3">
      <c r="A68" s="147"/>
      <c r="B68" s="147"/>
      <c r="C68" s="148" t="s">
        <v>12</v>
      </c>
      <c r="D68" s="147"/>
      <c r="E68" s="147"/>
      <c r="F68" s="147"/>
      <c r="G68" s="147"/>
    </row>
    <row r="69" spans="1:14" ht="13.8" thickBot="1" x14ac:dyDescent="0.3">
      <c r="A69" s="170">
        <v>44743</v>
      </c>
      <c r="B69" s="171"/>
      <c r="C69" s="171"/>
      <c r="D69" s="172"/>
      <c r="E69" s="149"/>
      <c r="F69" s="170">
        <v>44774</v>
      </c>
      <c r="G69" s="171"/>
      <c r="H69" s="171"/>
      <c r="I69" s="172"/>
      <c r="J69" s="149"/>
      <c r="K69" s="173" t="s">
        <v>25</v>
      </c>
      <c r="L69" s="174"/>
      <c r="M69" s="174"/>
      <c r="N69" s="175"/>
    </row>
    <row r="70" spans="1:14" ht="13.8" thickBot="1" x14ac:dyDescent="0.3">
      <c r="A70" s="121" t="s">
        <v>139</v>
      </c>
      <c r="B70" s="121">
        <v>30</v>
      </c>
      <c r="C70" s="121" t="s">
        <v>89</v>
      </c>
      <c r="D70" s="121" t="s">
        <v>90</v>
      </c>
      <c r="E70" s="147"/>
      <c r="F70" s="121" t="s">
        <v>139</v>
      </c>
      <c r="G70" s="121">
        <v>30</v>
      </c>
      <c r="H70" s="121" t="s">
        <v>89</v>
      </c>
      <c r="I70" s="121" t="s">
        <v>90</v>
      </c>
      <c r="J70" s="147"/>
      <c r="K70" s="150" t="s">
        <v>77</v>
      </c>
      <c r="L70" s="150">
        <v>30</v>
      </c>
      <c r="M70" s="150" t="s">
        <v>89</v>
      </c>
      <c r="N70" s="150" t="s">
        <v>90</v>
      </c>
    </row>
    <row r="71" spans="1:14" ht="14.4" thickBot="1" x14ac:dyDescent="0.3">
      <c r="A71" s="71">
        <v>6</v>
      </c>
      <c r="B71" s="72">
        <v>99883</v>
      </c>
      <c r="C71" s="73">
        <v>60994</v>
      </c>
      <c r="D71" s="74">
        <v>78942</v>
      </c>
      <c r="E71" s="147"/>
      <c r="F71" s="71">
        <v>6</v>
      </c>
      <c r="G71" s="72">
        <v>100280</v>
      </c>
      <c r="H71" s="73">
        <v>61362</v>
      </c>
      <c r="I71" s="74">
        <v>78970</v>
      </c>
      <c r="J71" s="147"/>
      <c r="K71" s="150">
        <v>6</v>
      </c>
      <c r="L71" s="151">
        <f>G71-B71</f>
        <v>397</v>
      </c>
      <c r="M71" s="151">
        <f>H71-C71</f>
        <v>368</v>
      </c>
      <c r="N71" s="151">
        <f>I71-D71</f>
        <v>28</v>
      </c>
    </row>
    <row r="72" spans="1:14" ht="14.4" thickBot="1" x14ac:dyDescent="0.3">
      <c r="A72" s="71">
        <v>7</v>
      </c>
      <c r="B72" s="72">
        <v>102548</v>
      </c>
      <c r="C72" s="73">
        <v>106467</v>
      </c>
      <c r="D72" s="74">
        <v>68233</v>
      </c>
      <c r="E72" s="147"/>
      <c r="F72" s="71">
        <v>7</v>
      </c>
      <c r="G72" s="72">
        <v>102687</v>
      </c>
      <c r="H72" s="73">
        <v>106619</v>
      </c>
      <c r="I72" s="74">
        <v>68308</v>
      </c>
      <c r="J72" s="147"/>
      <c r="K72" s="150">
        <v>7</v>
      </c>
      <c r="L72" s="151">
        <f t="shared" ref="L72:N92" si="8">G72-B72</f>
        <v>139</v>
      </c>
      <c r="M72" s="151">
        <f t="shared" si="8"/>
        <v>152</v>
      </c>
      <c r="N72" s="151">
        <f t="shared" si="8"/>
        <v>75</v>
      </c>
    </row>
    <row r="73" spans="1:14" ht="14.4" thickBot="1" x14ac:dyDescent="0.3">
      <c r="A73" s="71">
        <v>8</v>
      </c>
      <c r="B73" s="72">
        <v>122999</v>
      </c>
      <c r="C73" s="73">
        <v>270860</v>
      </c>
      <c r="D73" s="74">
        <v>114125</v>
      </c>
      <c r="E73" s="147"/>
      <c r="F73" s="71">
        <v>8</v>
      </c>
      <c r="G73" s="72">
        <v>123456</v>
      </c>
      <c r="H73" s="73">
        <v>272139</v>
      </c>
      <c r="I73" s="74">
        <v>114347</v>
      </c>
      <c r="J73" s="147"/>
      <c r="K73" s="150">
        <v>8</v>
      </c>
      <c r="L73" s="151">
        <f t="shared" si="8"/>
        <v>457</v>
      </c>
      <c r="M73" s="151">
        <f t="shared" si="8"/>
        <v>1279</v>
      </c>
      <c r="N73" s="151">
        <f t="shared" si="8"/>
        <v>222</v>
      </c>
    </row>
    <row r="74" spans="1:14" ht="14.4" thickBot="1" x14ac:dyDescent="0.3">
      <c r="A74" s="71">
        <v>9</v>
      </c>
      <c r="B74" s="72">
        <v>69792</v>
      </c>
      <c r="C74" s="73">
        <v>157459</v>
      </c>
      <c r="D74" s="74">
        <v>168287</v>
      </c>
      <c r="E74" s="147"/>
      <c r="F74" s="71">
        <v>9</v>
      </c>
      <c r="G74" s="72">
        <v>69861</v>
      </c>
      <c r="H74" s="73">
        <v>157615</v>
      </c>
      <c r="I74" s="74">
        <v>169360</v>
      </c>
      <c r="J74" s="147"/>
      <c r="K74" s="150">
        <v>9</v>
      </c>
      <c r="L74" s="151">
        <f t="shared" si="8"/>
        <v>69</v>
      </c>
      <c r="M74" s="151">
        <f t="shared" si="8"/>
        <v>156</v>
      </c>
      <c r="N74" s="151">
        <f t="shared" si="8"/>
        <v>1073</v>
      </c>
    </row>
    <row r="75" spans="1:14" ht="14.4" thickBot="1" x14ac:dyDescent="0.3">
      <c r="A75" s="71">
        <v>10</v>
      </c>
      <c r="B75" s="72">
        <v>78103</v>
      </c>
      <c r="C75" s="73">
        <v>128489</v>
      </c>
      <c r="D75" s="74">
        <v>159121</v>
      </c>
      <c r="E75" s="147"/>
      <c r="F75" s="71">
        <v>10</v>
      </c>
      <c r="G75" s="72">
        <v>78103</v>
      </c>
      <c r="H75" s="73">
        <v>129344</v>
      </c>
      <c r="I75" s="74">
        <v>160742</v>
      </c>
      <c r="J75" s="147"/>
      <c r="K75" s="150">
        <v>10</v>
      </c>
      <c r="L75" s="151">
        <f t="shared" si="8"/>
        <v>0</v>
      </c>
      <c r="M75" s="151">
        <f t="shared" si="8"/>
        <v>855</v>
      </c>
      <c r="N75" s="151">
        <f t="shared" si="8"/>
        <v>1621</v>
      </c>
    </row>
    <row r="76" spans="1:14" ht="14.4" thickBot="1" x14ac:dyDescent="0.3">
      <c r="A76" s="71">
        <v>11</v>
      </c>
      <c r="B76" s="72">
        <v>163743</v>
      </c>
      <c r="C76" s="73">
        <v>190828</v>
      </c>
      <c r="D76" s="74">
        <v>215091</v>
      </c>
      <c r="E76" s="147"/>
      <c r="F76" s="71">
        <v>11</v>
      </c>
      <c r="G76" s="72">
        <v>164711</v>
      </c>
      <c r="H76" s="73">
        <v>191132</v>
      </c>
      <c r="I76" s="74">
        <v>215179</v>
      </c>
      <c r="J76" s="147"/>
      <c r="K76" s="150">
        <v>11</v>
      </c>
      <c r="L76" s="151">
        <f>G76-B76</f>
        <v>968</v>
      </c>
      <c r="M76" s="151">
        <f t="shared" si="8"/>
        <v>304</v>
      </c>
      <c r="N76" s="151">
        <f t="shared" si="8"/>
        <v>88</v>
      </c>
    </row>
    <row r="77" spans="1:14" ht="14.4" thickBot="1" x14ac:dyDescent="0.3">
      <c r="A77" s="71">
        <v>12</v>
      </c>
      <c r="B77" s="72">
        <v>158150</v>
      </c>
      <c r="C77" s="73">
        <v>101293</v>
      </c>
      <c r="D77" s="74">
        <v>102186</v>
      </c>
      <c r="E77" s="147"/>
      <c r="F77" s="71">
        <v>12</v>
      </c>
      <c r="G77" s="72">
        <v>158348</v>
      </c>
      <c r="H77" s="73">
        <v>101911</v>
      </c>
      <c r="I77" s="74">
        <v>102737</v>
      </c>
      <c r="J77" s="147"/>
      <c r="K77" s="150">
        <v>12</v>
      </c>
      <c r="L77" s="151">
        <f t="shared" si="8"/>
        <v>198</v>
      </c>
      <c r="M77" s="151">
        <f>H77-C77</f>
        <v>618</v>
      </c>
      <c r="N77" s="151">
        <f t="shared" si="8"/>
        <v>551</v>
      </c>
    </row>
    <row r="78" spans="1:14" ht="14.4" thickBot="1" x14ac:dyDescent="0.3">
      <c r="A78" s="71">
        <v>14</v>
      </c>
      <c r="B78" s="72">
        <v>124003</v>
      </c>
      <c r="C78" s="73">
        <v>49838</v>
      </c>
      <c r="D78" s="74">
        <v>52206</v>
      </c>
      <c r="E78" s="147"/>
      <c r="F78" s="71">
        <v>14</v>
      </c>
      <c r="G78" s="72">
        <v>124280</v>
      </c>
      <c r="H78" s="73">
        <v>49876</v>
      </c>
      <c r="I78" s="74">
        <v>52303</v>
      </c>
      <c r="J78" s="147"/>
      <c r="K78" s="150">
        <v>14</v>
      </c>
      <c r="L78" s="151">
        <f t="shared" si="8"/>
        <v>277</v>
      </c>
      <c r="M78" s="151">
        <f t="shared" si="8"/>
        <v>38</v>
      </c>
      <c r="N78" s="151">
        <f t="shared" si="8"/>
        <v>97</v>
      </c>
    </row>
    <row r="79" spans="1:14" ht="14.4" thickBot="1" x14ac:dyDescent="0.3">
      <c r="A79" s="71">
        <v>15</v>
      </c>
      <c r="B79" s="72">
        <v>178020</v>
      </c>
      <c r="C79" s="73">
        <v>157903</v>
      </c>
      <c r="D79" s="74">
        <v>166133</v>
      </c>
      <c r="E79" s="147"/>
      <c r="F79" s="71">
        <v>15</v>
      </c>
      <c r="G79" s="72">
        <v>178966</v>
      </c>
      <c r="H79" s="73">
        <v>159122</v>
      </c>
      <c r="I79" s="74">
        <v>166419</v>
      </c>
      <c r="J79" s="147"/>
      <c r="K79" s="150">
        <v>15</v>
      </c>
      <c r="L79" s="151">
        <f t="shared" si="8"/>
        <v>946</v>
      </c>
      <c r="M79" s="151">
        <f t="shared" si="8"/>
        <v>1219</v>
      </c>
      <c r="N79" s="151">
        <f t="shared" si="8"/>
        <v>286</v>
      </c>
    </row>
    <row r="80" spans="1:14" ht="14.4" thickBot="1" x14ac:dyDescent="0.3">
      <c r="A80" s="71">
        <v>16</v>
      </c>
      <c r="B80" s="72">
        <v>131579</v>
      </c>
      <c r="C80" s="73">
        <v>159522</v>
      </c>
      <c r="D80" s="74">
        <v>221347</v>
      </c>
      <c r="E80" s="147"/>
      <c r="F80" s="71">
        <v>16</v>
      </c>
      <c r="G80" s="72">
        <v>131922</v>
      </c>
      <c r="H80" s="73">
        <v>159821</v>
      </c>
      <c r="I80" s="74">
        <v>221459</v>
      </c>
      <c r="J80" s="147"/>
      <c r="K80" s="150">
        <v>16</v>
      </c>
      <c r="L80" s="151">
        <f t="shared" si="8"/>
        <v>343</v>
      </c>
      <c r="M80" s="151">
        <f t="shared" si="8"/>
        <v>299</v>
      </c>
      <c r="N80" s="151">
        <f t="shared" si="8"/>
        <v>112</v>
      </c>
    </row>
    <row r="81" spans="1:14" ht="14.4" thickBot="1" x14ac:dyDescent="0.3">
      <c r="A81" s="71">
        <v>17</v>
      </c>
      <c r="B81" s="72">
        <v>38476</v>
      </c>
      <c r="C81" s="73">
        <v>89267</v>
      </c>
      <c r="D81" s="74">
        <v>204293</v>
      </c>
      <c r="E81" s="147"/>
      <c r="F81" s="71">
        <v>17</v>
      </c>
      <c r="G81" s="72">
        <v>38476</v>
      </c>
      <c r="H81" s="73">
        <v>89273</v>
      </c>
      <c r="I81" s="74">
        <v>204397</v>
      </c>
      <c r="J81" s="147"/>
      <c r="K81" s="150">
        <v>17</v>
      </c>
      <c r="L81" s="151">
        <f t="shared" si="8"/>
        <v>0</v>
      </c>
      <c r="M81" s="151">
        <f t="shared" si="8"/>
        <v>6</v>
      </c>
      <c r="N81" s="151">
        <f t="shared" si="8"/>
        <v>104</v>
      </c>
    </row>
    <row r="82" spans="1:14" ht="14.4" thickBot="1" x14ac:dyDescent="0.3">
      <c r="A82" s="71">
        <v>18</v>
      </c>
      <c r="B82" s="72">
        <v>143081</v>
      </c>
      <c r="C82" s="73">
        <v>75846</v>
      </c>
      <c r="D82" s="74">
        <v>167496</v>
      </c>
      <c r="E82" s="147"/>
      <c r="F82" s="71">
        <v>18</v>
      </c>
      <c r="G82" s="72">
        <v>143344</v>
      </c>
      <c r="H82" s="73">
        <v>75883</v>
      </c>
      <c r="I82" s="74">
        <v>167774</v>
      </c>
      <c r="J82" s="147"/>
      <c r="K82" s="150">
        <v>18</v>
      </c>
      <c r="L82" s="151">
        <f t="shared" si="8"/>
        <v>263</v>
      </c>
      <c r="M82" s="151">
        <f t="shared" si="8"/>
        <v>37</v>
      </c>
      <c r="N82" s="151">
        <f t="shared" si="8"/>
        <v>278</v>
      </c>
    </row>
    <row r="83" spans="1:14" ht="14.4" thickBot="1" x14ac:dyDescent="0.3">
      <c r="A83" s="71">
        <v>19</v>
      </c>
      <c r="B83" s="72">
        <v>78749</v>
      </c>
      <c r="C83" s="73">
        <v>177503</v>
      </c>
      <c r="D83" s="74">
        <v>131708</v>
      </c>
      <c r="E83" s="147"/>
      <c r="F83" s="71">
        <v>19</v>
      </c>
      <c r="G83" s="72">
        <v>78841</v>
      </c>
      <c r="H83" s="73">
        <v>178038</v>
      </c>
      <c r="I83" s="74">
        <v>131808</v>
      </c>
      <c r="J83" s="147"/>
      <c r="K83" s="150">
        <v>19</v>
      </c>
      <c r="L83" s="151">
        <f t="shared" si="8"/>
        <v>92</v>
      </c>
      <c r="M83" s="151">
        <f t="shared" si="8"/>
        <v>535</v>
      </c>
      <c r="N83" s="151">
        <f t="shared" si="8"/>
        <v>100</v>
      </c>
    </row>
    <row r="84" spans="1:14" ht="14.4" thickBot="1" x14ac:dyDescent="0.3">
      <c r="A84" s="71">
        <v>20</v>
      </c>
      <c r="B84" s="72">
        <v>148619</v>
      </c>
      <c r="C84" s="73">
        <v>181868</v>
      </c>
      <c r="D84" s="74">
        <v>92163</v>
      </c>
      <c r="E84" s="147"/>
      <c r="F84" s="71">
        <v>20</v>
      </c>
      <c r="G84" s="72">
        <v>148883</v>
      </c>
      <c r="H84" s="73">
        <v>182822</v>
      </c>
      <c r="I84" s="74">
        <v>92755</v>
      </c>
      <c r="J84" s="147"/>
      <c r="K84" s="150">
        <v>20</v>
      </c>
      <c r="L84" s="151">
        <f>G84-B84</f>
        <v>264</v>
      </c>
      <c r="M84" s="151">
        <f t="shared" si="8"/>
        <v>954</v>
      </c>
      <c r="N84" s="151">
        <f t="shared" si="8"/>
        <v>592</v>
      </c>
    </row>
    <row r="85" spans="1:14" ht="14.4" thickBot="1" x14ac:dyDescent="0.3">
      <c r="A85" s="71">
        <v>21</v>
      </c>
      <c r="B85" s="72">
        <v>194638</v>
      </c>
      <c r="C85" s="73">
        <v>93899</v>
      </c>
      <c r="D85" s="74">
        <v>119387</v>
      </c>
      <c r="E85" s="147"/>
      <c r="F85" s="71">
        <v>21</v>
      </c>
      <c r="G85" s="72">
        <v>194807</v>
      </c>
      <c r="H85" s="73">
        <v>94177</v>
      </c>
      <c r="I85" s="74">
        <v>119789</v>
      </c>
      <c r="J85" s="147"/>
      <c r="K85" s="150">
        <v>21</v>
      </c>
      <c r="L85" s="151">
        <f t="shared" si="8"/>
        <v>169</v>
      </c>
      <c r="M85" s="151">
        <f t="shared" si="8"/>
        <v>278</v>
      </c>
      <c r="N85" s="151">
        <f t="shared" si="8"/>
        <v>402</v>
      </c>
    </row>
    <row r="86" spans="1:14" ht="14.4" thickBot="1" x14ac:dyDescent="0.3">
      <c r="A86" s="71">
        <v>22</v>
      </c>
      <c r="B86" s="72">
        <v>145304</v>
      </c>
      <c r="C86" s="73">
        <v>104137</v>
      </c>
      <c r="D86" s="74">
        <v>123160</v>
      </c>
      <c r="E86" s="147"/>
      <c r="F86" s="71">
        <v>22</v>
      </c>
      <c r="G86" s="72">
        <v>146077</v>
      </c>
      <c r="H86" s="73">
        <v>105238</v>
      </c>
      <c r="I86" s="74">
        <v>123175</v>
      </c>
      <c r="J86" s="147"/>
      <c r="K86" s="150">
        <v>22</v>
      </c>
      <c r="L86" s="151">
        <f t="shared" si="8"/>
        <v>773</v>
      </c>
      <c r="M86" s="151">
        <f t="shared" si="8"/>
        <v>1101</v>
      </c>
      <c r="N86" s="151">
        <f>I86-D86</f>
        <v>15</v>
      </c>
    </row>
    <row r="87" spans="1:14" ht="14.4" thickBot="1" x14ac:dyDescent="0.3">
      <c r="A87" s="71">
        <v>23</v>
      </c>
      <c r="B87" s="72">
        <v>131794</v>
      </c>
      <c r="C87" s="73">
        <v>160333</v>
      </c>
      <c r="D87" s="74">
        <v>302264</v>
      </c>
      <c r="E87" s="147"/>
      <c r="F87" s="71">
        <v>23</v>
      </c>
      <c r="G87" s="72">
        <v>131862</v>
      </c>
      <c r="H87" s="73">
        <v>160454</v>
      </c>
      <c r="I87" s="74">
        <v>303181</v>
      </c>
      <c r="J87" s="147"/>
      <c r="K87" s="150">
        <v>23</v>
      </c>
      <c r="L87" s="151">
        <f t="shared" si="8"/>
        <v>68</v>
      </c>
      <c r="M87" s="151">
        <f t="shared" si="8"/>
        <v>121</v>
      </c>
      <c r="N87" s="151">
        <f t="shared" si="8"/>
        <v>917</v>
      </c>
    </row>
    <row r="88" spans="1:14" ht="14.4" thickBot="1" x14ac:dyDescent="0.3">
      <c r="A88" s="71">
        <v>24</v>
      </c>
      <c r="B88" s="72">
        <v>81668</v>
      </c>
      <c r="C88" s="73">
        <v>156513</v>
      </c>
      <c r="D88" s="74">
        <v>102846</v>
      </c>
      <c r="E88" s="147"/>
      <c r="F88" s="71">
        <v>24</v>
      </c>
      <c r="G88" s="72">
        <v>81751</v>
      </c>
      <c r="H88" s="73">
        <v>156834</v>
      </c>
      <c r="I88" s="74">
        <v>102884</v>
      </c>
      <c r="J88" s="147"/>
      <c r="K88" s="150">
        <v>24</v>
      </c>
      <c r="L88" s="151">
        <f t="shared" si="8"/>
        <v>83</v>
      </c>
      <c r="M88" s="151">
        <f t="shared" si="8"/>
        <v>321</v>
      </c>
      <c r="N88" s="151">
        <f>I88-D88</f>
        <v>38</v>
      </c>
    </row>
    <row r="89" spans="1:14" ht="14.4" thickBot="1" x14ac:dyDescent="0.3">
      <c r="A89" s="71">
        <v>25</v>
      </c>
      <c r="B89" s="72">
        <v>128446</v>
      </c>
      <c r="C89" s="73">
        <v>182364</v>
      </c>
      <c r="D89" s="74">
        <v>172502</v>
      </c>
      <c r="E89" s="147"/>
      <c r="F89" s="71">
        <v>25</v>
      </c>
      <c r="G89" s="72">
        <v>129000</v>
      </c>
      <c r="H89" s="73">
        <v>182497</v>
      </c>
      <c r="I89" s="74">
        <v>173077</v>
      </c>
      <c r="J89" s="147"/>
      <c r="K89" s="150">
        <v>25</v>
      </c>
      <c r="L89" s="151">
        <f>G89-B89</f>
        <v>554</v>
      </c>
      <c r="M89" s="151">
        <f t="shared" si="8"/>
        <v>133</v>
      </c>
      <c r="N89" s="151">
        <f>I89-D89</f>
        <v>575</v>
      </c>
    </row>
    <row r="90" spans="1:14" ht="14.4" thickBot="1" x14ac:dyDescent="0.3">
      <c r="A90" s="71">
        <v>26</v>
      </c>
      <c r="B90" s="72">
        <v>125826</v>
      </c>
      <c r="C90" s="73">
        <v>59823</v>
      </c>
      <c r="D90" s="74">
        <v>61999</v>
      </c>
      <c r="E90" s="147"/>
      <c r="F90" s="71">
        <v>26</v>
      </c>
      <c r="G90" s="72">
        <v>126914</v>
      </c>
      <c r="H90" s="73">
        <v>60478</v>
      </c>
      <c r="I90" s="74">
        <v>62876</v>
      </c>
      <c r="J90" s="147"/>
      <c r="K90" s="150">
        <v>26</v>
      </c>
      <c r="L90" s="151">
        <f t="shared" si="8"/>
        <v>1088</v>
      </c>
      <c r="M90" s="151">
        <f t="shared" si="8"/>
        <v>655</v>
      </c>
      <c r="N90" s="151">
        <f t="shared" si="8"/>
        <v>877</v>
      </c>
    </row>
    <row r="91" spans="1:14" ht="14.4" thickBot="1" x14ac:dyDescent="0.3">
      <c r="A91" s="71">
        <v>27</v>
      </c>
      <c r="B91" s="72">
        <v>104590</v>
      </c>
      <c r="C91" s="73">
        <v>115294</v>
      </c>
      <c r="D91" s="74">
        <v>128477</v>
      </c>
      <c r="E91" s="147"/>
      <c r="F91" s="71">
        <v>27</v>
      </c>
      <c r="G91" s="72">
        <v>104742</v>
      </c>
      <c r="H91" s="73">
        <v>115664</v>
      </c>
      <c r="I91" s="74">
        <v>128672</v>
      </c>
      <c r="J91" s="147"/>
      <c r="K91" s="150">
        <v>27</v>
      </c>
      <c r="L91" s="151">
        <f t="shared" si="8"/>
        <v>152</v>
      </c>
      <c r="M91" s="151">
        <f t="shared" si="8"/>
        <v>370</v>
      </c>
      <c r="N91" s="151">
        <f>I91-D91</f>
        <v>195</v>
      </c>
    </row>
    <row r="92" spans="1:14" ht="14.4" thickBot="1" x14ac:dyDescent="0.3">
      <c r="A92" s="71">
        <v>28</v>
      </c>
      <c r="B92" s="72">
        <v>204409</v>
      </c>
      <c r="C92" s="73">
        <v>103540</v>
      </c>
      <c r="D92" s="74">
        <v>115215</v>
      </c>
      <c r="E92" s="147"/>
      <c r="F92" s="71">
        <v>28</v>
      </c>
      <c r="G92" s="72">
        <v>204538</v>
      </c>
      <c r="H92" s="73">
        <v>103660</v>
      </c>
      <c r="I92" s="74">
        <v>115873</v>
      </c>
      <c r="J92" s="147"/>
      <c r="K92" s="150">
        <v>28</v>
      </c>
      <c r="L92" s="151">
        <f t="shared" si="8"/>
        <v>129</v>
      </c>
      <c r="M92" s="151">
        <f t="shared" si="8"/>
        <v>120</v>
      </c>
      <c r="N92" s="151">
        <f t="shared" si="8"/>
        <v>658</v>
      </c>
    </row>
    <row r="93" spans="1:14" ht="14.4" thickBot="1" x14ac:dyDescent="0.3">
      <c r="A93" s="71">
        <v>29</v>
      </c>
      <c r="B93" s="72"/>
      <c r="C93" s="73"/>
      <c r="D93" s="74"/>
      <c r="E93" s="147"/>
      <c r="F93" s="71">
        <v>29</v>
      </c>
      <c r="G93" s="72"/>
      <c r="H93" s="73">
        <v>0</v>
      </c>
      <c r="I93" s="74"/>
      <c r="J93" s="147"/>
      <c r="K93" s="150">
        <v>29</v>
      </c>
      <c r="L93" s="151">
        <f>G93-B93</f>
        <v>0</v>
      </c>
      <c r="M93" s="151">
        <v>0</v>
      </c>
      <c r="N93" s="151"/>
    </row>
    <row r="94" spans="1:14" ht="14.4" thickBot="1" x14ac:dyDescent="0.3">
      <c r="A94" s="71">
        <v>30</v>
      </c>
      <c r="B94" s="72"/>
      <c r="C94" s="73"/>
      <c r="D94" s="74"/>
      <c r="E94" s="147"/>
      <c r="F94" s="71">
        <v>30</v>
      </c>
      <c r="G94" s="72"/>
      <c r="H94" s="73">
        <v>0</v>
      </c>
      <c r="I94" s="74"/>
      <c r="J94" s="147"/>
      <c r="K94" s="150">
        <v>30</v>
      </c>
      <c r="L94" s="151">
        <f>G94-B94</f>
        <v>0</v>
      </c>
      <c r="M94" s="151">
        <v>0</v>
      </c>
      <c r="N94" s="147"/>
    </row>
  </sheetData>
  <mergeCells count="78"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  <mergeCell ref="B55:B56"/>
    <mergeCell ref="I55:I56"/>
    <mergeCell ref="P55:P56"/>
    <mergeCell ref="B57:B58"/>
    <mergeCell ref="I57:I58"/>
    <mergeCell ref="P57:P58"/>
    <mergeCell ref="B49:B50"/>
    <mergeCell ref="I49:I50"/>
    <mergeCell ref="P49:P50"/>
    <mergeCell ref="B52:B54"/>
    <mergeCell ref="I52:I54"/>
    <mergeCell ref="P52:P54"/>
    <mergeCell ref="B45:B46"/>
    <mergeCell ref="I45:I46"/>
    <mergeCell ref="P45:P46"/>
    <mergeCell ref="B47:B48"/>
    <mergeCell ref="I47:I48"/>
    <mergeCell ref="P47:P48"/>
    <mergeCell ref="B38:B40"/>
    <mergeCell ref="I38:I40"/>
    <mergeCell ref="P38:P40"/>
    <mergeCell ref="B41:B43"/>
    <mergeCell ref="I41:I43"/>
    <mergeCell ref="P41:P43"/>
    <mergeCell ref="B32:B34"/>
    <mergeCell ref="I32:I34"/>
    <mergeCell ref="P32:P34"/>
    <mergeCell ref="B35:B37"/>
    <mergeCell ref="I35:I37"/>
    <mergeCell ref="P35:P37"/>
    <mergeCell ref="B26:B28"/>
    <mergeCell ref="I26:I28"/>
    <mergeCell ref="P26:P28"/>
    <mergeCell ref="B29:B31"/>
    <mergeCell ref="I29:I31"/>
    <mergeCell ref="P29:P31"/>
    <mergeCell ref="B20:B22"/>
    <mergeCell ref="I20:I22"/>
    <mergeCell ref="P20:P22"/>
    <mergeCell ref="B23:B25"/>
    <mergeCell ref="I23:I25"/>
    <mergeCell ref="P23:P25"/>
    <mergeCell ref="I14:I16"/>
    <mergeCell ref="P14:P16"/>
    <mergeCell ref="B17:B19"/>
    <mergeCell ref="I17:I19"/>
    <mergeCell ref="P17:P19"/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6"/>
  <sheetViews>
    <sheetView zoomScale="112" zoomScaleNormal="112" workbookViewId="0">
      <selection activeCell="F36" sqref="F36"/>
    </sheetView>
  </sheetViews>
  <sheetFormatPr defaultRowHeight="13.2" x14ac:dyDescent="0.25"/>
  <cols>
    <col min="2" max="2" width="14.6640625" bestFit="1" customWidth="1"/>
    <col min="3" max="4" width="14.5546875" bestFit="1" customWidth="1"/>
    <col min="6" max="6" width="40.88671875" customWidth="1"/>
    <col min="7" max="7" width="14.33203125" bestFit="1" customWidth="1"/>
    <col min="8" max="8" width="13.6640625" bestFit="1" customWidth="1"/>
    <col min="9" max="9" width="9.5546875" bestFit="1" customWidth="1"/>
    <col min="10" max="10" width="14.5546875" customWidth="1"/>
    <col min="11" max="11" width="15.109375" customWidth="1"/>
    <col min="12" max="12" width="10.109375" bestFit="1" customWidth="1"/>
  </cols>
  <sheetData>
    <row r="1" spans="1:13" ht="23.4" thickBot="1" x14ac:dyDescent="0.3">
      <c r="A1" s="176" t="s">
        <v>151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</row>
    <row r="2" spans="1:13" ht="13.8" thickBot="1" x14ac:dyDescent="0.3">
      <c r="A2" s="78"/>
      <c r="B2" s="79" t="s">
        <v>92</v>
      </c>
      <c r="C2" s="80">
        <f>K8+K9+K14</f>
        <v>1033489</v>
      </c>
      <c r="D2" s="80">
        <f>C2*1.27</f>
        <v>1312531.03</v>
      </c>
      <c r="E2" s="81"/>
      <c r="F2" s="78"/>
      <c r="G2" s="78"/>
      <c r="H2" s="82" t="s">
        <v>93</v>
      </c>
      <c r="I2" s="83"/>
      <c r="J2" s="83"/>
      <c r="K2" s="83"/>
    </row>
    <row r="3" spans="1:13" ht="13.8" thickBot="1" x14ac:dyDescent="0.3">
      <c r="A3" s="78"/>
      <c r="B3" s="78"/>
      <c r="C3" s="78"/>
      <c r="D3" s="78"/>
      <c r="E3" s="78"/>
      <c r="F3" s="78"/>
      <c r="G3" s="78"/>
      <c r="H3" s="84" t="s">
        <v>94</v>
      </c>
      <c r="I3" s="116">
        <f>ELECT.!E2</f>
        <v>32445770</v>
      </c>
      <c r="J3" s="116">
        <f>ELECT.!E33</f>
        <v>33201142</v>
      </c>
      <c r="K3" s="141">
        <f>J3-I3</f>
        <v>755372</v>
      </c>
    </row>
    <row r="4" spans="1:13" ht="13.8" thickBot="1" x14ac:dyDescent="0.3">
      <c r="A4" s="78"/>
      <c r="B4" s="86" t="s">
        <v>95</v>
      </c>
      <c r="C4" s="87" t="s">
        <v>96</v>
      </c>
      <c r="D4" s="87" t="s">
        <v>97</v>
      </c>
      <c r="E4" s="87"/>
      <c r="F4" s="78"/>
      <c r="G4" s="78"/>
      <c r="H4" s="84" t="s">
        <v>98</v>
      </c>
      <c r="I4" s="85">
        <f>ELECT.!G2</f>
        <v>2929341</v>
      </c>
      <c r="J4" s="116">
        <f>ELECT.!G33</f>
        <v>4671912</v>
      </c>
      <c r="K4" s="141">
        <f>J4-I4</f>
        <v>1742571</v>
      </c>
    </row>
    <row r="5" spans="1:13" ht="13.8" thickBot="1" x14ac:dyDescent="0.3">
      <c r="A5" s="78"/>
      <c r="B5" s="84" t="s">
        <v>27</v>
      </c>
      <c r="C5" s="88">
        <f>(K10+K12)*0.842284+K26</f>
        <v>932991.78555200004</v>
      </c>
      <c r="D5" s="88">
        <f t="shared" ref="D5:D11" si="0">C5*1.27</f>
        <v>1184899.5676510402</v>
      </c>
      <c r="E5" s="89"/>
      <c r="F5" s="78"/>
      <c r="G5" s="78"/>
      <c r="H5" s="84" t="s">
        <v>23</v>
      </c>
      <c r="I5" s="90"/>
      <c r="J5" s="90"/>
      <c r="K5" s="109">
        <f>K3+K4</f>
        <v>2497943</v>
      </c>
    </row>
    <row r="6" spans="1:13" ht="13.8" thickBot="1" x14ac:dyDescent="0.3">
      <c r="A6" s="78"/>
      <c r="B6" s="84" t="s">
        <v>99</v>
      </c>
      <c r="C6" s="88">
        <f>(K10+K12+K26)*0.1488</f>
        <v>164231.75039999999</v>
      </c>
      <c r="D6" s="88">
        <f t="shared" si="0"/>
        <v>208574.32300799998</v>
      </c>
      <c r="E6" s="89"/>
      <c r="F6" s="78"/>
      <c r="G6" s="78"/>
      <c r="H6" s="84" t="s">
        <v>100</v>
      </c>
      <c r="I6" s="120">
        <f>ELECT.!J2</f>
        <v>245034</v>
      </c>
      <c r="J6" s="116">
        <f>ELECT.!J33</f>
        <v>422838</v>
      </c>
      <c r="K6" s="141">
        <f>J6-I6</f>
        <v>177804</v>
      </c>
      <c r="M6" s="32"/>
    </row>
    <row r="7" spans="1:13" ht="13.8" thickBot="1" x14ac:dyDescent="0.3">
      <c r="A7" s="78"/>
      <c r="B7" s="84" t="s">
        <v>101</v>
      </c>
      <c r="C7" s="88">
        <f>(K6+K7)-(C8+C9+C10+C11+K26)</f>
        <v>298070</v>
      </c>
      <c r="D7" s="88">
        <f t="shared" si="0"/>
        <v>378548.9</v>
      </c>
      <c r="E7" s="89"/>
      <c r="F7" s="78"/>
      <c r="G7" s="78"/>
      <c r="H7" s="84" t="s">
        <v>102</v>
      </c>
      <c r="I7" s="120">
        <f>ELECT.!L2</f>
        <v>497687</v>
      </c>
      <c r="J7" s="116">
        <f>ELECT.!L33</f>
        <v>701909</v>
      </c>
      <c r="K7" s="141">
        <f>J7-I7</f>
        <v>204222</v>
      </c>
    </row>
    <row r="8" spans="1:13" ht="13.8" thickBot="1" x14ac:dyDescent="0.3">
      <c r="A8" s="78"/>
      <c r="B8" s="84" t="s">
        <v>103</v>
      </c>
      <c r="C8" s="88">
        <f>K21+K22+K23+K24</f>
        <v>34674</v>
      </c>
      <c r="D8" s="88">
        <f t="shared" si="0"/>
        <v>44035.98</v>
      </c>
      <c r="E8" s="89"/>
      <c r="F8" s="78"/>
      <c r="G8" s="78"/>
      <c r="H8" s="84" t="s">
        <v>104</v>
      </c>
      <c r="I8" s="120">
        <f>ELECT.!N2</f>
        <v>7113857</v>
      </c>
      <c r="J8" s="116">
        <f>ELECT.!N33</f>
        <v>7386230</v>
      </c>
      <c r="K8" s="75">
        <f>(J8-I8)*2</f>
        <v>544746</v>
      </c>
    </row>
    <row r="9" spans="1:13" ht="13.8" thickBot="1" x14ac:dyDescent="0.3">
      <c r="A9" s="78"/>
      <c r="B9" s="84" t="s">
        <v>137</v>
      </c>
      <c r="C9" s="88">
        <f>K25+K16+K17</f>
        <v>7712</v>
      </c>
      <c r="D9" s="88">
        <f t="shared" si="0"/>
        <v>9794.24</v>
      </c>
      <c r="E9" s="89"/>
      <c r="F9" s="78"/>
      <c r="G9" s="78"/>
      <c r="H9" s="84" t="s">
        <v>105</v>
      </c>
      <c r="I9" s="120">
        <f>ELECT.!P2</f>
        <v>7467951</v>
      </c>
      <c r="J9" s="116">
        <f>ELECT.!P33</f>
        <v>7910768</v>
      </c>
      <c r="K9" s="75">
        <f>J9-I9</f>
        <v>442817</v>
      </c>
    </row>
    <row r="10" spans="1:13" ht="13.8" thickBot="1" x14ac:dyDescent="0.3">
      <c r="A10" s="78"/>
      <c r="B10" s="84" t="s">
        <v>106</v>
      </c>
      <c r="C10" s="88">
        <f>K18</f>
        <v>15200</v>
      </c>
      <c r="D10" s="88">
        <f t="shared" si="0"/>
        <v>19304</v>
      </c>
      <c r="E10" s="89"/>
      <c r="F10" s="78"/>
      <c r="G10" s="78"/>
      <c r="H10" s="84" t="s">
        <v>107</v>
      </c>
      <c r="I10" s="120">
        <f>ELECT.!R2</f>
        <v>21870756</v>
      </c>
      <c r="J10" s="116">
        <f>ELECT.!R33</f>
        <v>22213458</v>
      </c>
      <c r="K10" s="75">
        <f>J10-I10</f>
        <v>342702</v>
      </c>
    </row>
    <row r="11" spans="1:13" ht="13.8" thickBot="1" x14ac:dyDescent="0.3">
      <c r="A11" s="78"/>
      <c r="B11" s="84" t="s">
        <v>108</v>
      </c>
      <c r="C11" s="88">
        <f>K19+K20</f>
        <v>5090</v>
      </c>
      <c r="D11" s="88">
        <f t="shared" si="0"/>
        <v>6464.3</v>
      </c>
      <c r="E11" s="89"/>
      <c r="F11" s="78"/>
      <c r="G11" s="78"/>
      <c r="H11" s="84" t="s">
        <v>109</v>
      </c>
      <c r="I11" s="91">
        <v>0</v>
      </c>
      <c r="J11" s="116">
        <f>ELECT.!G40</f>
        <v>0</v>
      </c>
      <c r="K11" s="75">
        <f>J11-I11</f>
        <v>0</v>
      </c>
    </row>
    <row r="12" spans="1:13" ht="13.8" thickBot="1" x14ac:dyDescent="0.3">
      <c r="A12" s="78"/>
      <c r="B12" s="78"/>
      <c r="C12" s="92"/>
      <c r="D12" s="92"/>
      <c r="E12" s="92"/>
      <c r="F12" s="78"/>
      <c r="G12" s="78"/>
      <c r="H12" s="84" t="s">
        <v>110</v>
      </c>
      <c r="I12" s="120">
        <f>ELECT.!V2</f>
        <v>9866667</v>
      </c>
      <c r="J12" s="116">
        <f>ELECT.!V33+9999999</f>
        <v>10236530</v>
      </c>
      <c r="K12" s="75">
        <f>(J12-I12)*2</f>
        <v>739726</v>
      </c>
    </row>
    <row r="13" spans="1:13" ht="13.8" thickBot="1" x14ac:dyDescent="0.3">
      <c r="A13" s="78"/>
      <c r="B13" s="82" t="s">
        <v>111</v>
      </c>
      <c r="C13" s="89" t="s">
        <v>112</v>
      </c>
      <c r="D13" s="89" t="s">
        <v>97</v>
      </c>
      <c r="E13" s="89"/>
      <c r="F13" s="78"/>
      <c r="G13" s="78"/>
      <c r="H13" s="84" t="s">
        <v>113</v>
      </c>
      <c r="I13" s="93"/>
      <c r="J13" s="94"/>
      <c r="K13" s="95">
        <f>SUM(K6:K12)</f>
        <v>2452017</v>
      </c>
    </row>
    <row r="14" spans="1:13" ht="13.8" thickBot="1" x14ac:dyDescent="0.3">
      <c r="A14" s="78"/>
      <c r="B14" s="84" t="s">
        <v>42</v>
      </c>
      <c r="C14" s="88">
        <f>K29</f>
        <v>32690</v>
      </c>
      <c r="D14" s="96">
        <f t="shared" ref="D14:D22" si="1">C14*10.03</f>
        <v>327880.69999999995</v>
      </c>
      <c r="E14" s="97"/>
      <c r="F14" s="78"/>
      <c r="G14" s="78"/>
      <c r="H14" s="84" t="s">
        <v>114</v>
      </c>
      <c r="I14" s="93"/>
      <c r="J14" s="94"/>
      <c r="K14" s="76">
        <f>K5-K13</f>
        <v>45926</v>
      </c>
    </row>
    <row r="15" spans="1:13" ht="13.8" thickBot="1" x14ac:dyDescent="0.3">
      <c r="A15" s="78"/>
      <c r="B15" s="84" t="s">
        <v>115</v>
      </c>
      <c r="C15" s="98">
        <f>K30</f>
        <v>113.48099999999999</v>
      </c>
      <c r="D15" s="96">
        <f t="shared" si="1"/>
        <v>1138.2144299999998</v>
      </c>
      <c r="E15" s="97"/>
      <c r="F15" s="78"/>
      <c r="G15" s="78"/>
      <c r="H15" s="78"/>
      <c r="I15" s="78"/>
      <c r="J15" s="78"/>
      <c r="K15" s="78"/>
    </row>
    <row r="16" spans="1:13" ht="13.8" thickBot="1" x14ac:dyDescent="0.3">
      <c r="A16" s="78"/>
      <c r="B16" s="84" t="s">
        <v>99</v>
      </c>
      <c r="C16" s="98">
        <f>(C14-C15-C17-C18-C19-C20-C21)*0.1318</f>
        <v>3526.5092042000001</v>
      </c>
      <c r="D16" s="96">
        <f t="shared" si="1"/>
        <v>35370.887318125999</v>
      </c>
      <c r="E16" s="97"/>
      <c r="F16" s="78"/>
      <c r="G16" s="78"/>
      <c r="H16" s="99" t="s">
        <v>136</v>
      </c>
      <c r="I16" s="100">
        <f>'Mall, Citadel, Rotana'!T2</f>
        <v>4029</v>
      </c>
      <c r="J16" s="100">
        <f>'Mall, Citadel, Rotana'!T33</f>
        <v>4046</v>
      </c>
      <c r="K16" s="77">
        <f>(J16-I16)*160</f>
        <v>2720</v>
      </c>
    </row>
    <row r="17" spans="1:11" ht="13.8" thickBot="1" x14ac:dyDescent="0.3">
      <c r="A17" s="78"/>
      <c r="B17" s="84" t="s">
        <v>103</v>
      </c>
      <c r="C17" s="98">
        <v>1420</v>
      </c>
      <c r="D17" s="96">
        <f t="shared" si="1"/>
        <v>14242.599999999999</v>
      </c>
      <c r="E17" s="97"/>
      <c r="F17" s="78"/>
      <c r="G17" s="78"/>
      <c r="H17" s="99" t="s">
        <v>19</v>
      </c>
      <c r="I17" s="100">
        <f>'Mall, Citadel, Rotana'!J2</f>
        <v>325715</v>
      </c>
      <c r="J17" s="100">
        <f>'Mall, Citadel, Rotana'!J33</f>
        <v>330607</v>
      </c>
      <c r="K17" s="77">
        <f>(J17-I17)</f>
        <v>4892</v>
      </c>
    </row>
    <row r="18" spans="1:11" ht="13.8" thickBot="1" x14ac:dyDescent="0.3">
      <c r="A18" s="78"/>
      <c r="B18" s="84" t="s">
        <v>108</v>
      </c>
      <c r="C18" s="98">
        <v>200</v>
      </c>
      <c r="D18" s="96">
        <f t="shared" si="1"/>
        <v>2005.9999999999998</v>
      </c>
      <c r="E18" s="97"/>
      <c r="F18" s="78"/>
      <c r="G18" s="78"/>
      <c r="H18" s="99" t="s">
        <v>20</v>
      </c>
      <c r="I18" s="100">
        <f>'Mall, Citadel, Rotana'!L2</f>
        <v>26354</v>
      </c>
      <c r="J18" s="100">
        <f>'Mall, Citadel, Rotana'!L33</f>
        <v>26449</v>
      </c>
      <c r="K18" s="77">
        <f>(J18-I18)*160</f>
        <v>15200</v>
      </c>
    </row>
    <row r="19" spans="1:11" ht="15.6" thickBot="1" x14ac:dyDescent="0.3">
      <c r="A19" s="78"/>
      <c r="B19" s="84" t="s">
        <v>137</v>
      </c>
      <c r="C19" s="98">
        <v>600</v>
      </c>
      <c r="D19" s="96">
        <f t="shared" si="1"/>
        <v>6018</v>
      </c>
      <c r="E19" s="177" t="s">
        <v>116</v>
      </c>
      <c r="F19" s="178"/>
      <c r="G19" s="78"/>
      <c r="H19" s="99" t="s">
        <v>117</v>
      </c>
      <c r="I19" s="100">
        <f>'Mall, Citadel, Rotana'!P2</f>
        <v>162611</v>
      </c>
      <c r="J19" s="100">
        <f>'Mall, Citadel, Rotana'!P33</f>
        <v>167701</v>
      </c>
      <c r="K19" s="77">
        <f>J19-I19</f>
        <v>5090</v>
      </c>
    </row>
    <row r="20" spans="1:11" ht="13.8" thickBot="1" x14ac:dyDescent="0.3">
      <c r="A20" s="78"/>
      <c r="B20" s="84" t="s">
        <v>106</v>
      </c>
      <c r="C20" s="98">
        <v>600</v>
      </c>
      <c r="D20" s="96">
        <f t="shared" si="1"/>
        <v>6018</v>
      </c>
      <c r="E20" s="97"/>
      <c r="F20" s="78"/>
      <c r="G20" s="78"/>
      <c r="H20" s="99" t="s">
        <v>118</v>
      </c>
      <c r="I20" s="100">
        <f>'Mall, Citadel, Rotana'!R2</f>
        <v>55047</v>
      </c>
      <c r="J20" s="100">
        <f>'Mall, Citadel, Rotana'!R33</f>
        <v>55047</v>
      </c>
      <c r="K20" s="77">
        <f>J20-I20</f>
        <v>0</v>
      </c>
    </row>
    <row r="21" spans="1:11" ht="13.8" thickBot="1" x14ac:dyDescent="0.3">
      <c r="A21" s="78"/>
      <c r="B21" s="84" t="s">
        <v>92</v>
      </c>
      <c r="C21" s="98">
        <v>3000</v>
      </c>
      <c r="D21" s="96">
        <f t="shared" si="1"/>
        <v>30089.999999999996</v>
      </c>
      <c r="E21" s="97"/>
      <c r="F21" s="78"/>
      <c r="G21" s="78"/>
      <c r="H21" s="99" t="s">
        <v>13</v>
      </c>
      <c r="I21" s="100">
        <f>'Mall, Citadel, Rotana'!B2</f>
        <v>47370</v>
      </c>
      <c r="J21" s="100">
        <f>'Mall, Citadel, Rotana'!B33</f>
        <v>47509</v>
      </c>
      <c r="K21" s="77">
        <f>(J21-I21)*120</f>
        <v>16680</v>
      </c>
    </row>
    <row r="22" spans="1:11" ht="13.8" thickBot="1" x14ac:dyDescent="0.3">
      <c r="A22" s="78"/>
      <c r="B22" s="84" t="s">
        <v>119</v>
      </c>
      <c r="C22" s="96">
        <f>C14-(C15+C16+C17+C18+C19+C20+C21)</f>
        <v>23230.009795800001</v>
      </c>
      <c r="D22" s="96">
        <f t="shared" si="1"/>
        <v>232996.998251874</v>
      </c>
      <c r="E22" s="97"/>
      <c r="F22" s="78"/>
      <c r="G22" s="78"/>
      <c r="H22" s="99" t="s">
        <v>15</v>
      </c>
      <c r="I22" s="100">
        <f>'Mall, Citadel, Rotana'!D2</f>
        <v>40832</v>
      </c>
      <c r="J22" s="100">
        <f>'Mall, Citadel, Rotana'!D33</f>
        <v>40924</v>
      </c>
      <c r="K22" s="77">
        <f>(J22-I22)*160</f>
        <v>14720</v>
      </c>
    </row>
    <row r="23" spans="1:11" x14ac:dyDescent="0.25">
      <c r="A23" s="78"/>
      <c r="B23" s="78"/>
      <c r="C23" s="92"/>
      <c r="D23" s="101"/>
      <c r="E23" s="97"/>
      <c r="F23" s="78"/>
      <c r="G23" s="78"/>
      <c r="H23" s="99" t="s">
        <v>17</v>
      </c>
      <c r="I23" s="100">
        <f>'Mall, Citadel, Rotana'!F2</f>
        <v>21902</v>
      </c>
      <c r="J23" s="100">
        <f>'Mall, Citadel, Rotana'!F33</f>
        <v>22019</v>
      </c>
      <c r="K23" s="77">
        <f>(J23-I23)*20</f>
        <v>2340</v>
      </c>
    </row>
    <row r="24" spans="1:11" x14ac:dyDescent="0.25">
      <c r="A24" s="78"/>
      <c r="B24" s="82" t="s">
        <v>120</v>
      </c>
      <c r="C24" s="92"/>
      <c r="D24" s="92"/>
      <c r="E24" s="92"/>
      <c r="F24" s="78"/>
      <c r="G24" s="78"/>
      <c r="H24" s="99" t="s">
        <v>18</v>
      </c>
      <c r="I24" s="100">
        <f>'Mall, Citadel, Rotana'!H2</f>
        <v>257036</v>
      </c>
      <c r="J24" s="100">
        <f>'Mall, Citadel, Rotana'!H33</f>
        <v>257970</v>
      </c>
      <c r="K24" s="77">
        <f>J24-I24</f>
        <v>934</v>
      </c>
    </row>
    <row r="25" spans="1:11" ht="13.8" thickBot="1" x14ac:dyDescent="0.3">
      <c r="A25" s="78"/>
      <c r="B25" s="78"/>
      <c r="C25" s="89" t="s">
        <v>112</v>
      </c>
      <c r="D25" s="89" t="s">
        <v>121</v>
      </c>
      <c r="E25" s="89"/>
      <c r="F25" s="78"/>
      <c r="G25" s="78"/>
      <c r="H25" s="99" t="s">
        <v>122</v>
      </c>
      <c r="I25" s="100">
        <f>'Mall, Citadel, Rotana'!N2</f>
        <v>226230</v>
      </c>
      <c r="J25" s="100">
        <f>'Mall, Citadel, Rotana'!N33</f>
        <v>226330</v>
      </c>
      <c r="K25" s="77">
        <f>J25-I25</f>
        <v>100</v>
      </c>
    </row>
    <row r="26" spans="1:11" ht="13.8" thickBot="1" x14ac:dyDescent="0.3">
      <c r="A26" s="78"/>
      <c r="B26" s="84" t="s">
        <v>42</v>
      </c>
      <c r="C26" s="102">
        <f>K35</f>
        <v>58856</v>
      </c>
      <c r="D26" s="88">
        <f>C26*3.65</f>
        <v>214824.4</v>
      </c>
      <c r="E26" s="89"/>
      <c r="F26" s="78"/>
      <c r="G26" s="78"/>
      <c r="H26" s="99" t="s">
        <v>123</v>
      </c>
      <c r="I26" s="108">
        <f>ELECT.!C2</f>
        <v>19927</v>
      </c>
      <c r="J26" s="108">
        <f>ELECT.!C33</f>
        <v>20060</v>
      </c>
      <c r="K26" s="77">
        <f>(J26-I26)*160</f>
        <v>21280</v>
      </c>
    </row>
    <row r="27" spans="1:11" ht="13.8" thickBot="1" x14ac:dyDescent="0.3">
      <c r="A27" s="78"/>
      <c r="B27" s="79" t="s">
        <v>124</v>
      </c>
      <c r="C27" s="102">
        <f>C26</f>
        <v>58856</v>
      </c>
      <c r="D27" s="88">
        <f>C27*3.65</f>
        <v>214824.4</v>
      </c>
      <c r="E27" s="89"/>
      <c r="F27" s="78"/>
      <c r="G27" s="78"/>
      <c r="H27" s="82"/>
      <c r="I27" s="103"/>
      <c r="J27" s="78"/>
      <c r="K27" s="78"/>
    </row>
    <row r="28" spans="1:11" x14ac:dyDescent="0.25">
      <c r="A28" s="78"/>
      <c r="B28" s="78"/>
      <c r="C28" s="78"/>
      <c r="D28" s="78"/>
      <c r="E28" s="78"/>
      <c r="F28" s="78"/>
      <c r="G28" s="78"/>
      <c r="H28" s="82" t="s">
        <v>111</v>
      </c>
      <c r="I28" s="103"/>
      <c r="J28" s="78"/>
      <c r="K28" s="78"/>
    </row>
    <row r="29" spans="1:11" x14ac:dyDescent="0.25">
      <c r="A29" s="78"/>
      <c r="B29" s="78"/>
      <c r="C29" s="78"/>
      <c r="D29" s="78"/>
      <c r="E29" s="78"/>
      <c r="F29" s="78"/>
      <c r="G29" s="78" t="s">
        <v>12</v>
      </c>
      <c r="H29" s="99" t="s">
        <v>24</v>
      </c>
      <c r="I29" s="100">
        <f>Water!B2</f>
        <v>456526</v>
      </c>
      <c r="J29" s="100">
        <f>Water!B33</f>
        <v>459795</v>
      </c>
      <c r="K29" s="77">
        <f>(J29-I29)*10</f>
        <v>32690</v>
      </c>
    </row>
    <row r="30" spans="1:11" x14ac:dyDescent="0.25">
      <c r="A30" s="78"/>
      <c r="B30" s="78"/>
      <c r="C30" s="78"/>
      <c r="D30" s="78"/>
      <c r="E30" s="78"/>
      <c r="F30" s="78"/>
      <c r="G30" s="78"/>
      <c r="H30" s="99" t="s">
        <v>125</v>
      </c>
      <c r="I30" s="100">
        <f>Water!H2</f>
        <v>804064</v>
      </c>
      <c r="J30" s="100">
        <f>Water!H33</f>
        <v>808267</v>
      </c>
      <c r="K30" s="77">
        <f>(J30-I30)*0.027</f>
        <v>113.48099999999999</v>
      </c>
    </row>
    <row r="31" spans="1:11" x14ac:dyDescent="0.25">
      <c r="A31" s="78"/>
      <c r="B31" s="78"/>
      <c r="C31" s="78"/>
      <c r="D31" s="78"/>
      <c r="E31" s="78"/>
      <c r="F31" s="78"/>
      <c r="G31" s="78"/>
      <c r="H31" s="99" t="s">
        <v>126</v>
      </c>
      <c r="I31" s="100">
        <f>Water!D2</f>
        <v>11606</v>
      </c>
      <c r="J31" s="100">
        <f>Water!D33</f>
        <v>12991</v>
      </c>
      <c r="K31" s="77">
        <f>(J31-I31)*0.027</f>
        <v>37.395000000000003</v>
      </c>
    </row>
    <row r="32" spans="1:11" x14ac:dyDescent="0.25">
      <c r="A32" s="152"/>
      <c r="B32" s="152" t="s">
        <v>152</v>
      </c>
      <c r="C32" s="152"/>
      <c r="D32" s="157">
        <v>1693845</v>
      </c>
      <c r="E32" s="78"/>
      <c r="F32" s="78"/>
      <c r="G32" s="78"/>
      <c r="H32" s="99" t="s">
        <v>127</v>
      </c>
      <c r="I32" s="100">
        <f>Water!F2</f>
        <v>10527500</v>
      </c>
      <c r="J32" s="100">
        <f>Water!F33</f>
        <v>11222500</v>
      </c>
      <c r="K32" s="77">
        <f>(J32-I32)*0.027</f>
        <v>18765</v>
      </c>
    </row>
    <row r="33" spans="1:11" x14ac:dyDescent="0.25">
      <c r="A33" s="154"/>
      <c r="B33" s="154"/>
      <c r="C33" s="154"/>
      <c r="D33" s="155"/>
      <c r="E33" s="24"/>
      <c r="F33" s="24"/>
      <c r="G33" s="24"/>
      <c r="H33" s="24"/>
      <c r="I33" s="24"/>
      <c r="J33" s="24"/>
      <c r="K33" s="24"/>
    </row>
    <row r="34" spans="1:11" x14ac:dyDescent="0.25">
      <c r="A34" s="154"/>
      <c r="B34" s="154" t="s">
        <v>153</v>
      </c>
      <c r="C34" s="154"/>
      <c r="D34" s="157">
        <v>23230</v>
      </c>
      <c r="E34" s="24"/>
      <c r="F34" s="24"/>
      <c r="G34" s="24"/>
      <c r="H34" s="24" t="s">
        <v>120</v>
      </c>
      <c r="I34" s="24"/>
      <c r="J34" s="24"/>
      <c r="K34" s="24"/>
    </row>
    <row r="35" spans="1:11" x14ac:dyDescent="0.25">
      <c r="A35" s="154"/>
      <c r="B35" s="154"/>
      <c r="C35" s="154"/>
      <c r="D35" s="153"/>
      <c r="E35" s="24"/>
      <c r="F35" s="24"/>
      <c r="G35" s="104"/>
      <c r="H35" s="105" t="s">
        <v>42</v>
      </c>
      <c r="I35" s="106">
        <f>Gas!B2</f>
        <v>18421000</v>
      </c>
      <c r="J35" s="118">
        <f>Gas!B33</f>
        <v>18479856</v>
      </c>
      <c r="K35" s="107">
        <f>J35-I35</f>
        <v>58856</v>
      </c>
    </row>
    <row r="36" spans="1:11" x14ac:dyDescent="0.25">
      <c r="A36" s="156"/>
      <c r="B36" s="156" t="s">
        <v>154</v>
      </c>
      <c r="C36" s="156"/>
      <c r="D36" s="157">
        <v>58856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Joe Khoury</cp:lastModifiedBy>
  <cp:lastPrinted>2022-04-01T09:07:25Z</cp:lastPrinted>
  <dcterms:created xsi:type="dcterms:W3CDTF">2017-07-31T14:40:49Z</dcterms:created>
  <dcterms:modified xsi:type="dcterms:W3CDTF">2022-09-05T07:08:04Z</dcterms:modified>
</cp:coreProperties>
</file>