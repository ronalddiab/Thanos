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116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3" i="3" l="1"/>
  <c r="E22" i="3"/>
  <c r="F24" i="3" l="1"/>
  <c r="E23" i="3"/>
  <c r="E24" i="3" l="1"/>
  <c r="F25" i="3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BJ24" i="3" s="1"/>
  <c r="EW32" i="4"/>
  <c r="EV32" i="4"/>
  <c r="EU32" i="4"/>
  <c r="ET32" i="4"/>
  <c r="ER32" i="4"/>
  <c r="EQ32" i="4"/>
  <c r="EP32" i="4"/>
  <c r="EO32" i="4"/>
  <c r="EN32" i="4"/>
  <c r="EM32" i="4"/>
  <c r="EL32" i="4"/>
  <c r="EK32" i="4"/>
  <c r="BD24" i="3" s="1"/>
  <c r="EJ32" i="4"/>
  <c r="EI32" i="4"/>
  <c r="EH32" i="4"/>
  <c r="EG32" i="4"/>
  <c r="EE32" i="4"/>
  <c r="ED32" i="4"/>
  <c r="AZ24" i="3" s="1"/>
  <c r="EC32" i="4"/>
  <c r="EB32" i="4"/>
  <c r="EA32" i="4"/>
  <c r="DZ32" i="4"/>
  <c r="DY32" i="4"/>
  <c r="DX32" i="4"/>
  <c r="AW24" i="3" s="1"/>
  <c r="DW32" i="4"/>
  <c r="DV32" i="4"/>
  <c r="DU32" i="4"/>
  <c r="DT32" i="4"/>
  <c r="DR32" i="4"/>
  <c r="DQ32" i="4"/>
  <c r="AT24" i="3" s="1"/>
  <c r="DP32" i="4"/>
  <c r="DO32" i="4"/>
  <c r="DN32" i="4"/>
  <c r="DM32" i="4"/>
  <c r="DL32" i="4"/>
  <c r="DK32" i="4"/>
  <c r="AP24" i="3" s="1"/>
  <c r="DJ32" i="4"/>
  <c r="DI32" i="4"/>
  <c r="DH32" i="4"/>
  <c r="DG32" i="4"/>
  <c r="DF32" i="4"/>
  <c r="DE32" i="4"/>
  <c r="AO24" i="3" s="1"/>
  <c r="DD32" i="4"/>
  <c r="DC32" i="4"/>
  <c r="DB32" i="4"/>
  <c r="DA32" i="4"/>
  <c r="CZ32" i="4"/>
  <c r="CY32" i="4"/>
  <c r="AJ24" i="3" s="1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K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5" i="1"/>
  <c r="G27" i="1"/>
  <c r="G26" i="1"/>
  <c r="E31" i="1"/>
  <c r="G28" i="1"/>
  <c r="E26" i="1"/>
  <c r="E27" i="1"/>
  <c r="E28" i="1"/>
  <c r="G25" i="1"/>
  <c r="E25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4" i="1"/>
  <c r="K21" i="1"/>
  <c r="K29" i="1"/>
  <c r="K28" i="1"/>
  <c r="K27" i="1"/>
  <c r="K25" i="1"/>
  <c r="K26" i="1"/>
  <c r="AK24" i="3" l="1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24" i="1" l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C48" i="4" s="1"/>
  <c r="CB27" i="4"/>
  <c r="BZ27" i="4"/>
  <c r="BT27" i="4"/>
  <c r="S27" i="4"/>
  <c r="P27" i="4"/>
  <c r="N27" i="4"/>
  <c r="L27" i="4"/>
  <c r="K48" i="4" s="1"/>
  <c r="K49" i="4" s="1"/>
  <c r="J27" i="4"/>
  <c r="BL19" i="3" s="1"/>
  <c r="K19" i="1" s="1"/>
  <c r="G27" i="4"/>
  <c r="D27" i="4"/>
  <c r="EL26" i="4"/>
  <c r="EL25" i="4"/>
  <c r="BY48" i="4" l="1"/>
  <c r="CT48" i="4"/>
  <c r="CT49" i="4" s="1"/>
  <c r="CE48" i="4"/>
  <c r="F48" i="4"/>
  <c r="F49" i="4" s="1"/>
  <c r="CI48" i="4"/>
  <c r="CS27" i="4"/>
  <c r="CR27" i="4"/>
  <c r="CS28" i="4"/>
  <c r="CR28" i="4"/>
  <c r="CO27" i="4"/>
  <c r="CP27" i="4"/>
  <c r="CO28" i="4"/>
  <c r="CP28" i="4"/>
  <c r="CM27" i="4"/>
  <c r="CL27" i="4"/>
  <c r="CM28" i="4"/>
  <c r="CL28" i="4"/>
  <c r="CG48" i="4"/>
  <c r="CA4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I48" i="4"/>
  <c r="I49" i="4" s="1"/>
  <c r="C48" i="4"/>
  <c r="C49" i="4" s="1"/>
  <c r="AS47" i="4" l="1"/>
  <c r="U48" i="4"/>
  <c r="CK48" i="4"/>
  <c r="X48" i="4"/>
  <c r="AP48" i="4"/>
  <c r="CK47" i="4"/>
  <c r="CK49" i="4" s="1"/>
  <c r="U47" i="4"/>
  <c r="AA48" i="4"/>
  <c r="AD48" i="4"/>
  <c r="AS48" i="4"/>
  <c r="CQ48" i="4"/>
  <c r="CQ47" i="4"/>
  <c r="CN47" i="4"/>
  <c r="CN48" i="4"/>
  <c r="X47" i="4"/>
  <c r="AJ48" i="4"/>
  <c r="AP47" i="4"/>
  <c r="AV48" i="4"/>
  <c r="AV47" i="4"/>
  <c r="AM47" i="4"/>
  <c r="AM48" i="4"/>
  <c r="AJ47" i="4"/>
  <c r="AG47" i="4"/>
  <c r="AG48" i="4"/>
  <c r="AD47" i="4"/>
  <c r="AA47" i="4"/>
  <c r="AA49" i="4" s="1"/>
  <c r="AJ49" i="4" l="1"/>
  <c r="U49" i="4"/>
  <c r="X49" i="4"/>
  <c r="AS49" i="4"/>
  <c r="AV49" i="4"/>
  <c r="AP49" i="4"/>
  <c r="AD49" i="4"/>
  <c r="CQ49" i="4"/>
  <c r="CN49" i="4"/>
  <c r="AM49" i="4"/>
  <c r="AM50" i="4"/>
  <c r="AG49" i="4"/>
  <c r="AA50" i="4"/>
  <c r="AV50" i="4" l="1"/>
  <c r="BT31" i="4" l="1"/>
  <c r="S31" i="4"/>
  <c r="P31" i="4"/>
  <c r="BT30" i="4"/>
  <c r="BS48" i="4" s="1"/>
  <c r="S30" i="4"/>
  <c r="P30" i="4"/>
  <c r="O48" i="4" s="1"/>
  <c r="O49" i="4" s="1"/>
  <c r="R48" i="4" l="1"/>
  <c r="R49" i="4" s="1"/>
  <c r="BH30" i="4"/>
  <c r="BG30" i="4"/>
  <c r="BH31" i="4"/>
  <c r="BG31" i="4"/>
  <c r="BD30" i="4"/>
  <c r="BE30" i="4"/>
  <c r="BD31" i="4"/>
  <c r="BE31" i="4"/>
  <c r="BA30" i="4"/>
  <c r="AZ48" i="4" s="1"/>
  <c r="BB30" i="4"/>
  <c r="BB31" i="4"/>
  <c r="BA31" i="4"/>
  <c r="BF48" i="4" l="1"/>
  <c r="BF49" i="4" s="1"/>
  <c r="BC48" i="4"/>
  <c r="BC49" i="4" s="1"/>
  <c r="AZ49" i="4"/>
  <c r="BC51" i="4" l="1"/>
  <c r="ER31" i="4"/>
  <c r="EP31" i="4"/>
  <c r="EN31" i="4"/>
  <c r="EL31" i="4"/>
  <c r="EJ31" i="4"/>
  <c r="EH31" i="4"/>
  <c r="ER30" i="4"/>
  <c r="EP30" i="4"/>
  <c r="EN30" i="4"/>
  <c r="EL30" i="4"/>
  <c r="EJ30" i="4"/>
  <c r="EH3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<sst xmlns="http://schemas.openxmlformats.org/spreadsheetml/2006/main" count="413" uniqueCount="204">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</sst>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F33">
            <v>-219996</v>
          </cell>
          <cell r="G33">
            <v>795</v>
          </cell>
          <cell r="I33">
            <v>-247676</v>
          </cell>
          <cell r="J33">
            <v>522</v>
          </cell>
          <cell r="L33">
            <v>-9274</v>
          </cell>
          <cell r="O33">
            <v>-923947</v>
          </cell>
          <cell r="R33">
            <v>-245240</v>
          </cell>
          <cell r="V33">
            <v>-117552</v>
          </cell>
          <cell r="W33">
            <v>94.129999999997381</v>
          </cell>
          <cell r="Y33">
            <v>-6456</v>
          </cell>
          <cell r="AF33">
            <v>-8188419.1199999992</v>
          </cell>
          <cell r="AI33">
            <v>-15542556.959999999</v>
          </cell>
          <cell r="AL33">
            <v>-15828007.439999999</v>
          </cell>
          <cell r="AO33">
            <v>-18903847.199999999</v>
          </cell>
          <cell r="AR33">
            <v>-19224814.560000002</v>
          </cell>
          <cell r="AU33">
            <v>-17650379.039999999</v>
          </cell>
          <cell r="AX33">
            <v>-14851415.039999999</v>
          </cell>
          <cell r="BA33">
            <v>-14377613.039999999</v>
          </cell>
          <cell r="BD33">
            <v>-11226647.040000001</v>
          </cell>
          <cell r="BG33">
            <v>-17787136.080000002</v>
          </cell>
          <cell r="BN33">
            <v>-78188000</v>
          </cell>
          <cell r="BQ33">
            <v>-80883300</v>
          </cell>
          <cell r="BT33">
            <v>-75090700</v>
          </cell>
          <cell r="BW33">
            <v>-10328660</v>
          </cell>
          <cell r="BZ33">
            <v>0.71</v>
          </cell>
          <cell r="CC33">
            <v>-64615</v>
          </cell>
          <cell r="CE33">
            <v>-55702</v>
          </cell>
          <cell r="CG33">
            <v>-18842</v>
          </cell>
          <cell r="CI33">
            <v>-25752</v>
          </cell>
          <cell r="CK33">
            <v>-28701</v>
          </cell>
          <cell r="CM33">
            <v>-62967</v>
          </cell>
          <cell r="CO33">
            <v>-269112</v>
          </cell>
          <cell r="CR33">
            <v>-216604</v>
          </cell>
          <cell r="CU33">
            <v>-358832</v>
          </cell>
          <cell r="CX33">
            <v>-697285</v>
          </cell>
          <cell r="DA33">
            <v>-8975</v>
          </cell>
          <cell r="DC33">
            <v>-6093</v>
          </cell>
          <cell r="DE33">
            <v>-32357</v>
          </cell>
          <cell r="DG33">
            <v>-32564</v>
          </cell>
          <cell r="DI33">
            <v>-21992</v>
          </cell>
          <cell r="DK33">
            <v>-24129</v>
          </cell>
          <cell r="DM33">
            <v>-7236</v>
          </cell>
          <cell r="DO33">
            <v>-9884</v>
          </cell>
          <cell r="DQ33">
            <v>-3319</v>
          </cell>
          <cell r="DS33">
            <v>-6553</v>
          </cell>
          <cell r="DU33">
            <v>-30371</v>
          </cell>
          <cell r="DX33">
            <v>-6492</v>
          </cell>
          <cell r="DZ33">
            <v>-11403</v>
          </cell>
          <cell r="EB33">
            <v>-4895</v>
          </cell>
          <cell r="ED33">
            <v>-5474</v>
          </cell>
          <cell r="EF33">
            <v>-1135110</v>
          </cell>
          <cell r="EJ33">
            <v>-233730.9</v>
          </cell>
          <cell r="EM33">
            <v>-12190900</v>
          </cell>
          <cell r="EO33">
            <v>-937310</v>
          </cell>
          <cell r="EQ33">
            <v>-7248400</v>
          </cell>
          <cell r="ES33">
            <v>-2502400</v>
          </cell>
          <cell r="EU33">
            <v>-1287230</v>
          </cell>
          <cell r="EW33">
            <v>-16664900</v>
          </cell>
          <cell r="EZ33">
            <v>-42341</v>
          </cell>
          <cell r="FB33">
            <v>-36960</v>
          </cell>
          <cell r="FD33">
            <v>-7661</v>
          </cell>
          <cell r="FF33">
            <v>-59470</v>
          </cell>
          <cell r="FH33">
            <v>-50002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388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8" sqref="E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F25" s="79">
        <f>279+109</f>
        <v>388</v>
      </c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5" t="s">
        <v>103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16.5" customHeight="1" x14ac:dyDescent="0.25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5"/>
      <c r="CD2" s="495"/>
      <c r="CE2" s="495"/>
      <c r="CF2" s="495"/>
      <c r="CG2" s="495"/>
      <c r="CH2" s="495"/>
      <c r="CI2" s="495"/>
      <c r="CJ2" s="495"/>
      <c r="CK2" s="495"/>
      <c r="CL2" s="495"/>
      <c r="CM2" s="495"/>
      <c r="CN2" s="495"/>
      <c r="CO2" s="495"/>
      <c r="CP2" s="495"/>
      <c r="CQ2" s="495"/>
      <c r="CR2" s="495"/>
      <c r="CS2" s="495"/>
      <c r="CT2" s="495"/>
      <c r="CU2" s="495"/>
      <c r="CV2" s="495"/>
      <c r="CW2" s="495"/>
      <c r="CX2" s="495"/>
      <c r="CY2" s="495"/>
      <c r="CZ2" s="495"/>
      <c r="DA2" s="495"/>
      <c r="DB2" s="495"/>
      <c r="DC2" s="495"/>
      <c r="DD2" s="495"/>
      <c r="DE2" s="495"/>
      <c r="DF2" s="495"/>
      <c r="DG2" s="495"/>
      <c r="DH2" s="495"/>
      <c r="DI2" s="495"/>
      <c r="DJ2" s="495"/>
      <c r="DK2" s="495"/>
      <c r="DL2" s="495"/>
      <c r="DM2" s="495"/>
      <c r="DN2" s="495"/>
      <c r="DO2" s="495"/>
      <c r="DP2" s="495"/>
      <c r="DQ2" s="495"/>
      <c r="DR2" s="495"/>
      <c r="DS2" s="495"/>
      <c r="DT2" s="495"/>
      <c r="DU2" s="495"/>
      <c r="DV2" s="495"/>
      <c r="DW2" s="495"/>
      <c r="DX2" s="495"/>
      <c r="DY2" s="495"/>
      <c r="DZ2" s="495"/>
      <c r="EA2" s="495"/>
      <c r="EB2" s="495"/>
      <c r="EC2" s="495"/>
      <c r="ED2" s="495"/>
      <c r="EE2" s="495"/>
      <c r="EF2" s="495"/>
      <c r="EG2" s="495"/>
      <c r="EH2" s="495"/>
      <c r="EI2" s="495"/>
      <c r="EJ2" s="495"/>
      <c r="EK2" s="495"/>
      <c r="EL2" s="495"/>
      <c r="EM2" s="495"/>
      <c r="EN2" s="495"/>
      <c r="EO2" s="495"/>
      <c r="EP2" s="495"/>
      <c r="EQ2" s="495"/>
      <c r="ER2" s="495"/>
      <c r="ES2" s="495"/>
      <c r="ET2" s="495"/>
      <c r="EU2" s="495"/>
      <c r="EV2" s="495"/>
      <c r="EW2" s="495"/>
      <c r="EX2" s="495"/>
      <c r="EY2" s="495"/>
      <c r="EZ2" s="495"/>
      <c r="FA2" s="495"/>
      <c r="FB2" s="495"/>
      <c r="FC2" s="495"/>
    </row>
    <row r="3" spans="1:159" ht="45" customHeight="1" x14ac:dyDescent="0.25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  <c r="BC3" s="495"/>
      <c r="BD3" s="495"/>
      <c r="BE3" s="495"/>
      <c r="BF3" s="495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5"/>
      <c r="DE3" s="495"/>
      <c r="DF3" s="495"/>
      <c r="DG3" s="495"/>
      <c r="DH3" s="495"/>
      <c r="DI3" s="495"/>
      <c r="DJ3" s="495"/>
      <c r="DK3" s="495"/>
      <c r="DL3" s="495"/>
      <c r="DM3" s="495"/>
      <c r="DN3" s="495"/>
      <c r="DO3" s="495"/>
      <c r="DP3" s="495"/>
      <c r="DQ3" s="495"/>
      <c r="DR3" s="495"/>
      <c r="DS3" s="495"/>
      <c r="DT3" s="495"/>
      <c r="DU3" s="495"/>
      <c r="DV3" s="495"/>
      <c r="DW3" s="495"/>
      <c r="DX3" s="495"/>
      <c r="DY3" s="495"/>
      <c r="DZ3" s="495"/>
      <c r="EA3" s="495"/>
      <c r="EB3" s="495"/>
      <c r="EC3" s="495"/>
      <c r="ED3" s="495"/>
      <c r="EE3" s="495"/>
      <c r="EF3" s="495"/>
      <c r="EG3" s="495"/>
      <c r="EH3" s="495"/>
      <c r="EI3" s="495"/>
      <c r="EJ3" s="495"/>
      <c r="EK3" s="495"/>
      <c r="EL3" s="495"/>
      <c r="EM3" s="495"/>
      <c r="EN3" s="495"/>
      <c r="EO3" s="495"/>
      <c r="EP3" s="495"/>
      <c r="EQ3" s="495"/>
      <c r="ER3" s="495"/>
      <c r="ES3" s="495"/>
      <c r="ET3" s="495"/>
      <c r="EU3" s="495"/>
      <c r="EV3" s="495"/>
      <c r="EW3" s="495"/>
      <c r="EX3" s="495"/>
      <c r="EY3" s="495"/>
      <c r="EZ3" s="495"/>
      <c r="FA3" s="495"/>
      <c r="FB3" s="495"/>
      <c r="FC3" s="495"/>
    </row>
    <row r="4" spans="1:159" ht="16.5" customHeight="1" x14ac:dyDescent="0.25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495"/>
      <c r="BG4" s="495"/>
      <c r="BH4" s="495"/>
      <c r="BI4" s="495"/>
      <c r="BJ4" s="495"/>
      <c r="BK4" s="495"/>
      <c r="BL4" s="495"/>
      <c r="BM4" s="495"/>
      <c r="BN4" s="495"/>
      <c r="BO4" s="495"/>
      <c r="BP4" s="495"/>
      <c r="BQ4" s="495"/>
      <c r="BR4" s="495"/>
      <c r="BS4" s="495"/>
      <c r="BT4" s="495"/>
      <c r="BU4" s="495"/>
      <c r="BV4" s="495"/>
      <c r="BW4" s="495"/>
      <c r="BX4" s="495"/>
      <c r="BY4" s="495"/>
      <c r="BZ4" s="495"/>
      <c r="CA4" s="495"/>
      <c r="CB4" s="495"/>
      <c r="CC4" s="495"/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495"/>
      <c r="CR4" s="495"/>
      <c r="CS4" s="495"/>
      <c r="CT4" s="495"/>
      <c r="CU4" s="495"/>
      <c r="CV4" s="495"/>
      <c r="CW4" s="495"/>
      <c r="CX4" s="495"/>
      <c r="CY4" s="495"/>
      <c r="CZ4" s="495"/>
      <c r="DA4" s="495"/>
      <c r="DB4" s="495"/>
      <c r="DC4" s="495"/>
      <c r="DD4" s="495"/>
      <c r="DE4" s="495"/>
      <c r="DF4" s="495"/>
      <c r="DG4" s="495"/>
      <c r="DH4" s="495"/>
      <c r="DI4" s="495"/>
      <c r="DJ4" s="495"/>
      <c r="DK4" s="495"/>
      <c r="DL4" s="495"/>
      <c r="DM4" s="495"/>
      <c r="DN4" s="495"/>
      <c r="DO4" s="495"/>
      <c r="DP4" s="495"/>
      <c r="DQ4" s="495"/>
      <c r="DR4" s="495"/>
      <c r="DS4" s="495"/>
      <c r="DT4" s="495"/>
      <c r="DU4" s="495"/>
      <c r="DV4" s="495"/>
      <c r="DW4" s="495"/>
      <c r="DX4" s="495"/>
      <c r="DY4" s="495"/>
      <c r="DZ4" s="495"/>
      <c r="EA4" s="495"/>
      <c r="EB4" s="495"/>
      <c r="EC4" s="495"/>
      <c r="ED4" s="495"/>
      <c r="EE4" s="495"/>
      <c r="EF4" s="495"/>
      <c r="EG4" s="495"/>
      <c r="EH4" s="495"/>
      <c r="EI4" s="495"/>
      <c r="EJ4" s="495"/>
      <c r="EK4" s="495"/>
      <c r="EL4" s="495"/>
      <c r="EM4" s="495"/>
      <c r="EN4" s="495"/>
      <c r="EO4" s="495"/>
      <c r="EP4" s="495"/>
      <c r="EQ4" s="495"/>
      <c r="ER4" s="495"/>
      <c r="ES4" s="495"/>
      <c r="ET4" s="495"/>
      <c r="EU4" s="495"/>
      <c r="EV4" s="495"/>
      <c r="EW4" s="495"/>
      <c r="EX4" s="495"/>
      <c r="EY4" s="495"/>
      <c r="EZ4" s="495"/>
      <c r="FA4" s="495"/>
      <c r="FB4" s="495"/>
      <c r="FC4" s="495"/>
    </row>
    <row r="5" spans="1:159" ht="10.5" customHeight="1" thickBot="1" x14ac:dyDescent="0.3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5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5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5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5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5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5"/>
      <c r="ET5" s="496"/>
      <c r="EU5" s="496"/>
      <c r="EV5" s="496"/>
      <c r="EW5" s="496"/>
      <c r="EX5" s="496"/>
      <c r="EY5" s="496"/>
      <c r="EZ5" s="496"/>
      <c r="FA5" s="496"/>
      <c r="FB5" s="496"/>
      <c r="FC5" s="496"/>
    </row>
    <row r="6" spans="1:159" ht="24.75" customHeight="1" thickBot="1" x14ac:dyDescent="0.3">
      <c r="A6" s="497" t="s">
        <v>186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T6" s="521"/>
      <c r="U6" s="500" t="s">
        <v>187</v>
      </c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2"/>
      <c r="AY6" s="428"/>
      <c r="AZ6" s="500" t="s">
        <v>188</v>
      </c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2"/>
      <c r="BU6" s="394"/>
      <c r="BV6" s="503" t="s">
        <v>189</v>
      </c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5"/>
      <c r="CV6" s="454"/>
      <c r="CW6" s="513" t="s">
        <v>178</v>
      </c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4"/>
      <c r="DS6" s="439"/>
      <c r="DT6" s="404" t="s">
        <v>190</v>
      </c>
      <c r="DU6" s="405"/>
      <c r="DV6" s="405"/>
      <c r="DW6" s="405"/>
      <c r="DX6" s="405"/>
      <c r="DY6" s="405"/>
      <c r="DZ6" s="405"/>
      <c r="EA6" s="405"/>
      <c r="EB6" s="405"/>
      <c r="EC6" s="405"/>
      <c r="ED6" s="405"/>
      <c r="EE6" s="406"/>
      <c r="EF6" s="378"/>
      <c r="EG6" s="404" t="s">
        <v>191</v>
      </c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6"/>
      <c r="ES6" s="427"/>
      <c r="ET6" s="424" t="s">
        <v>192</v>
      </c>
      <c r="EU6" s="425"/>
      <c r="EV6" s="425"/>
      <c r="EW6" s="425"/>
      <c r="EX6" s="425"/>
      <c r="EY6" s="425"/>
      <c r="EZ6" s="425"/>
      <c r="FA6" s="425"/>
      <c r="FB6" s="425"/>
      <c r="FC6" s="426"/>
    </row>
    <row r="7" spans="1:159" ht="45" customHeight="1" thickBot="1" x14ac:dyDescent="0.3">
      <c r="A7" s="506" t="s">
        <v>18</v>
      </c>
      <c r="B7" s="508" t="s">
        <v>104</v>
      </c>
      <c r="C7" s="467" t="s">
        <v>105</v>
      </c>
      <c r="D7" s="465"/>
      <c r="E7" s="468"/>
      <c r="F7" s="510" t="s">
        <v>0</v>
      </c>
      <c r="G7" s="511"/>
      <c r="H7" s="512"/>
      <c r="I7" s="515" t="s">
        <v>1</v>
      </c>
      <c r="J7" s="515"/>
      <c r="K7" s="516" t="s">
        <v>106</v>
      </c>
      <c r="L7" s="517"/>
      <c r="M7" s="518" t="s">
        <v>107</v>
      </c>
      <c r="N7" s="512"/>
      <c r="O7" s="518" t="s">
        <v>2</v>
      </c>
      <c r="P7" s="511"/>
      <c r="Q7" s="512"/>
      <c r="R7" s="516" t="s">
        <v>108</v>
      </c>
      <c r="S7" s="519"/>
      <c r="T7" s="521"/>
      <c r="U7" s="520" t="s">
        <v>3</v>
      </c>
      <c r="V7" s="480"/>
      <c r="W7" s="481"/>
      <c r="X7" s="479" t="s">
        <v>4</v>
      </c>
      <c r="Y7" s="480"/>
      <c r="Z7" s="481"/>
      <c r="AA7" s="479" t="s">
        <v>5</v>
      </c>
      <c r="AB7" s="480"/>
      <c r="AC7" s="481"/>
      <c r="AD7" s="479" t="s">
        <v>6</v>
      </c>
      <c r="AE7" s="480"/>
      <c r="AF7" s="481"/>
      <c r="AG7" s="479" t="s">
        <v>7</v>
      </c>
      <c r="AH7" s="480"/>
      <c r="AI7" s="481"/>
      <c r="AJ7" s="476" t="s">
        <v>109</v>
      </c>
      <c r="AK7" s="477"/>
      <c r="AL7" s="478"/>
      <c r="AM7" s="476" t="s">
        <v>110</v>
      </c>
      <c r="AN7" s="477"/>
      <c r="AO7" s="478"/>
      <c r="AP7" s="479" t="s">
        <v>8</v>
      </c>
      <c r="AQ7" s="480"/>
      <c r="AR7" s="481"/>
      <c r="AS7" s="476" t="s">
        <v>111</v>
      </c>
      <c r="AT7" s="477"/>
      <c r="AU7" s="478"/>
      <c r="AV7" s="482" t="s">
        <v>9</v>
      </c>
      <c r="AW7" s="483"/>
      <c r="AX7" s="484"/>
      <c r="AY7" s="42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471" t="s">
        <v>112</v>
      </c>
      <c r="BJ7" s="471"/>
      <c r="BK7" s="471" t="s">
        <v>113</v>
      </c>
      <c r="BL7" s="471"/>
      <c r="BM7" s="471" t="s">
        <v>114</v>
      </c>
      <c r="BN7" s="471"/>
      <c r="BO7" s="471" t="s">
        <v>115</v>
      </c>
      <c r="BP7" s="471"/>
      <c r="BQ7" s="472" t="s">
        <v>116</v>
      </c>
      <c r="BR7" s="473"/>
      <c r="BS7" s="474" t="s">
        <v>117</v>
      </c>
      <c r="BT7" s="475"/>
      <c r="BU7" s="395"/>
      <c r="BV7" s="397" t="s">
        <v>13</v>
      </c>
      <c r="BW7" s="398"/>
      <c r="BX7" s="399"/>
      <c r="BY7" s="400" t="s">
        <v>118</v>
      </c>
      <c r="BZ7" s="400"/>
      <c r="CA7" s="401" t="s">
        <v>119</v>
      </c>
      <c r="CB7" s="402"/>
      <c r="CC7" s="401" t="s">
        <v>120</v>
      </c>
      <c r="CD7" s="402"/>
      <c r="CE7" s="401" t="s">
        <v>121</v>
      </c>
      <c r="CF7" s="402"/>
      <c r="CG7" s="401" t="s">
        <v>122</v>
      </c>
      <c r="CH7" s="402"/>
      <c r="CI7" s="401" t="s">
        <v>123</v>
      </c>
      <c r="CJ7" s="402"/>
      <c r="CK7" s="451" t="s">
        <v>14</v>
      </c>
      <c r="CL7" s="398"/>
      <c r="CM7" s="399"/>
      <c r="CN7" s="451" t="s">
        <v>15</v>
      </c>
      <c r="CO7" s="398"/>
      <c r="CP7" s="399"/>
      <c r="CQ7" s="451" t="s">
        <v>16</v>
      </c>
      <c r="CR7" s="398"/>
      <c r="CS7" s="399"/>
      <c r="CT7" s="452" t="s">
        <v>17</v>
      </c>
      <c r="CU7" s="453"/>
      <c r="CV7" s="455"/>
      <c r="CW7" s="422" t="s">
        <v>179</v>
      </c>
      <c r="CX7" s="423"/>
      <c r="CY7" s="423"/>
      <c r="CZ7" s="423"/>
      <c r="DA7" s="464" t="s">
        <v>174</v>
      </c>
      <c r="DB7" s="465"/>
      <c r="DC7" s="465"/>
      <c r="DD7" s="466"/>
      <c r="DE7" s="464" t="s">
        <v>80</v>
      </c>
      <c r="DF7" s="465"/>
      <c r="DG7" s="465"/>
      <c r="DH7" s="465"/>
      <c r="DI7" s="422" t="s">
        <v>81</v>
      </c>
      <c r="DJ7" s="464"/>
      <c r="DK7" s="464"/>
      <c r="DL7" s="430"/>
      <c r="DM7" s="467" t="s">
        <v>82</v>
      </c>
      <c r="DN7" s="465"/>
      <c r="DO7" s="465"/>
      <c r="DP7" s="468"/>
      <c r="DQ7" s="467" t="s">
        <v>83</v>
      </c>
      <c r="DR7" s="468"/>
      <c r="DS7" s="440"/>
      <c r="DT7" s="437" t="s">
        <v>84</v>
      </c>
      <c r="DU7" s="438"/>
      <c r="DV7" s="445" t="s">
        <v>182</v>
      </c>
      <c r="DW7" s="438"/>
      <c r="DX7" s="403" t="s">
        <v>85</v>
      </c>
      <c r="DY7" s="445"/>
      <c r="DZ7" s="445" t="s">
        <v>86</v>
      </c>
      <c r="EA7" s="438"/>
      <c r="EB7" s="445" t="s">
        <v>87</v>
      </c>
      <c r="EC7" s="438"/>
      <c r="ED7" s="445" t="s">
        <v>88</v>
      </c>
      <c r="EE7" s="446"/>
      <c r="EF7" s="379"/>
      <c r="EG7" s="420" t="s">
        <v>89</v>
      </c>
      <c r="EH7" s="403"/>
      <c r="EI7" s="403" t="s">
        <v>90</v>
      </c>
      <c r="EJ7" s="403"/>
      <c r="EK7" s="403" t="s">
        <v>91</v>
      </c>
      <c r="EL7" s="403"/>
      <c r="EM7" s="403" t="s">
        <v>92</v>
      </c>
      <c r="EN7" s="403"/>
      <c r="EO7" s="403" t="s">
        <v>93</v>
      </c>
      <c r="EP7" s="403"/>
      <c r="EQ7" s="403" t="s">
        <v>181</v>
      </c>
      <c r="ER7" s="421"/>
      <c r="ES7" s="427"/>
      <c r="ET7" s="422" t="s">
        <v>94</v>
      </c>
      <c r="EU7" s="423"/>
      <c r="EV7" s="423" t="s">
        <v>95</v>
      </c>
      <c r="EW7" s="423"/>
      <c r="EX7" s="423" t="s">
        <v>96</v>
      </c>
      <c r="EY7" s="423"/>
      <c r="EZ7" s="423" t="s">
        <v>180</v>
      </c>
      <c r="FA7" s="423"/>
      <c r="FB7" s="423" t="s">
        <v>97</v>
      </c>
      <c r="FC7" s="430"/>
    </row>
    <row r="8" spans="1:159" s="4" customFormat="1" ht="44.25" customHeight="1" thickBot="1" x14ac:dyDescent="0.3">
      <c r="A8" s="507"/>
      <c r="B8" s="50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1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8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5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5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0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9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2">
        <f>C10-C9</f>
        <v>732</v>
      </c>
      <c r="E9" s="414">
        <f>'[1]December - 2022'!G9</f>
        <v>576</v>
      </c>
      <c r="F9" s="168">
        <f>'[1]December - 2022'!H9</f>
        <v>237720</v>
      </c>
      <c r="G9" s="370">
        <f>F10-F9</f>
        <v>427</v>
      </c>
      <c r="H9" s="414">
        <f>'[1]December - 2022'!J9</f>
        <v>407</v>
      </c>
      <c r="I9" s="264">
        <f>'[1]December - 2022'!K9</f>
        <v>5844</v>
      </c>
      <c r="J9" s="370">
        <f>I10-I9</f>
        <v>164</v>
      </c>
      <c r="K9" s="264">
        <f>'[1]December - 2022'!N9</f>
        <v>918944</v>
      </c>
      <c r="L9" s="369">
        <f>K10-K9</f>
        <v>277</v>
      </c>
      <c r="M9" s="264">
        <f>'[1]December - 2022'!Q9</f>
        <v>243148</v>
      </c>
      <c r="N9" s="369">
        <f>M10-M9</f>
        <v>112</v>
      </c>
      <c r="O9" s="264">
        <f>'[1]December - 2022'!U9</f>
        <v>115205</v>
      </c>
      <c r="P9" s="370">
        <f>O10-O9</f>
        <v>131</v>
      </c>
      <c r="Q9" s="414">
        <f>'[1]December - 2022'!W9</f>
        <v>105.08999999999651</v>
      </c>
      <c r="R9" s="264">
        <f>'[1]December - 2022'!X9</f>
        <v>6237</v>
      </c>
      <c r="S9" s="416">
        <f>R10-R9</f>
        <v>18</v>
      </c>
      <c r="T9" s="522"/>
      <c r="U9" s="269">
        <f>'[1]December - 2022'!AE9</f>
        <v>8125472.8800000008</v>
      </c>
      <c r="V9" s="418">
        <f>U10-U9</f>
        <v>2630.8799999989569</v>
      </c>
      <c r="W9" s="410">
        <f>'[1]December - 2022'!AF9</f>
        <v>2630.8799999989569</v>
      </c>
      <c r="X9" s="255">
        <f>'[1]December - 2022'!AH9</f>
        <v>15438880.799999999</v>
      </c>
      <c r="Y9" s="370">
        <f>X10-X9</f>
        <v>4579.6800000015646</v>
      </c>
      <c r="Z9" s="410">
        <f>'[1]December - 2022'!AI9</f>
        <v>4579.6800000015646</v>
      </c>
      <c r="AA9" s="255">
        <f>'[1]December - 2022'!AK9</f>
        <v>15753173.52</v>
      </c>
      <c r="AB9" s="370">
        <f>AA10-AA9</f>
        <v>0</v>
      </c>
      <c r="AC9" s="410">
        <f>'[1]December - 2022'!AL9</f>
        <v>0</v>
      </c>
      <c r="AD9" s="255">
        <f>'[1]December - 2022'!AN9</f>
        <v>18820730.879999999</v>
      </c>
      <c r="AE9" s="370">
        <f>AD10-AD9</f>
        <v>48.719999998807907</v>
      </c>
      <c r="AF9" s="410">
        <f>'[1]December - 2022'!AO9</f>
        <v>48.719999998807907</v>
      </c>
      <c r="AG9" s="255">
        <f>'[1]December - 2022'!AQ9</f>
        <v>19140870</v>
      </c>
      <c r="AH9" s="370">
        <f>AG10-AG9</f>
        <v>12959.519999999553</v>
      </c>
      <c r="AI9" s="410">
        <f>'[1]December - 2022'!AR9</f>
        <v>12959.519999999553</v>
      </c>
      <c r="AJ9" s="255">
        <f>'[1]December - 2022'!AT9</f>
        <v>17520394.080000002</v>
      </c>
      <c r="AK9" s="370">
        <f>AJ10-AJ9</f>
        <v>5943.8399999961257</v>
      </c>
      <c r="AL9" s="410">
        <f>'[1]December - 2022'!AU9</f>
        <v>5943.8399999961257</v>
      </c>
      <c r="AM9" s="255">
        <f>'[1]December - 2022'!AW9</f>
        <v>14752513.439999999</v>
      </c>
      <c r="AN9" s="370">
        <f>AM10-AM9</f>
        <v>4384.8000000007451</v>
      </c>
      <c r="AO9" s="410">
        <f>'[1]December - 2022'!AX9</f>
        <v>4384.8000000007451</v>
      </c>
      <c r="AP9" s="255">
        <f>'[1]December - 2022'!AZ9</f>
        <v>14272426.559999999</v>
      </c>
      <c r="AQ9" s="370">
        <f>AP10-AP9</f>
        <v>4872</v>
      </c>
      <c r="AR9" s="410">
        <f>'[1]December - 2022'!BA9</f>
        <v>4872</v>
      </c>
      <c r="AS9" s="255">
        <f>'[1]December - 2022'!BC9</f>
        <v>11154687.6</v>
      </c>
      <c r="AT9" s="370">
        <f>AS10-AS9</f>
        <v>3118.0800000000745</v>
      </c>
      <c r="AU9" s="410">
        <f>'[1]December - 2022'!BD9</f>
        <v>3118.0800000000745</v>
      </c>
      <c r="AV9" s="255">
        <f>'[1]December - 2022'!BF9</f>
        <v>17655543.359999999</v>
      </c>
      <c r="AW9" s="370">
        <f>AV10-AV9</f>
        <v>5554.0799999982119</v>
      </c>
      <c r="AX9" s="491">
        <f>'[1]December - 2022'!BG9</f>
        <v>5554.0799999982119</v>
      </c>
      <c r="AY9" s="488"/>
      <c r="AZ9" s="272">
        <f>'[1]December - 2022'!BM9</f>
        <v>77840000</v>
      </c>
      <c r="BA9" s="493">
        <f>AZ10-AZ9</f>
        <v>0</v>
      </c>
      <c r="BB9" s="489">
        <f>'[1]December - 2022'!BN9</f>
        <v>0</v>
      </c>
      <c r="BC9" s="272">
        <f>'[1]December - 2022'!BP9</f>
        <v>80452400</v>
      </c>
      <c r="BD9" s="493">
        <f>BC10-BC9</f>
        <v>0</v>
      </c>
      <c r="BE9" s="489">
        <f>'[1]December - 2022'!BQ9</f>
        <v>0</v>
      </c>
      <c r="BF9" s="272">
        <f>'[1]December - 2022'!BS9</f>
        <v>74637500</v>
      </c>
      <c r="BG9" s="493">
        <f>BF10-BF9</f>
        <v>65200</v>
      </c>
      <c r="BH9" s="489">
        <f>'[1]December - 2022'!BT9</f>
        <v>65200</v>
      </c>
      <c r="BI9" s="26"/>
      <c r="BJ9" s="36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7">
        <f>BS10-BS9</f>
        <v>7460</v>
      </c>
      <c r="BU9" s="395"/>
      <c r="BV9" s="88">
        <f>'[1]December - 2022'!BY9</f>
        <v>0.74</v>
      </c>
      <c r="BW9" s="389">
        <f>BV10-BV9</f>
        <v>-5.9999999999999942E-2</v>
      </c>
      <c r="BX9" s="391">
        <f>'[1]December - 2022'!$BZ$9:$BZ$10</f>
        <v>5.9999999999999942E-2</v>
      </c>
      <c r="BY9" s="89">
        <f>'[1]December - 2022'!CB9</f>
        <v>64169</v>
      </c>
      <c r="BZ9" s="393">
        <f>BY10-BY9</f>
        <v>21</v>
      </c>
      <c r="CA9" s="89">
        <f>'[1]December - 2022'!CD9</f>
        <v>55264</v>
      </c>
      <c r="CB9" s="393">
        <f>CA10-CA9</f>
        <v>20</v>
      </c>
      <c r="CC9" s="89">
        <f>'[1]December - 2022'!CF9</f>
        <v>18695</v>
      </c>
      <c r="CD9" s="393">
        <f>CC10-CC9</f>
        <v>7</v>
      </c>
      <c r="CE9" s="89">
        <f>'[1]December - 2022'!CH9</f>
        <v>25508</v>
      </c>
      <c r="CF9" s="393">
        <f>CE10-CE9</f>
        <v>10</v>
      </c>
      <c r="CG9" s="89">
        <f>'[1]December - 2022'!CJ9</f>
        <v>28364</v>
      </c>
      <c r="CH9" s="393">
        <f>CG10-CG9</f>
        <v>18</v>
      </c>
      <c r="CI9" s="89">
        <f>'[1]December - 2022'!CL9</f>
        <v>62228</v>
      </c>
      <c r="CJ9" s="393">
        <f>CI10-CI9</f>
        <v>34</v>
      </c>
      <c r="CK9" s="89">
        <f>'[1]December - 2022'!CN9</f>
        <v>267458</v>
      </c>
      <c r="CL9" s="393">
        <f>CK10-CK9</f>
        <v>73</v>
      </c>
      <c r="CM9" s="407">
        <f>'[1]December - 2022'!CO9</f>
        <v>73</v>
      </c>
      <c r="CN9" s="89">
        <f>'[1]December - 2022'!CQ9</f>
        <v>214182</v>
      </c>
      <c r="CO9" s="393">
        <f>CN10-CN9</f>
        <v>102</v>
      </c>
      <c r="CP9" s="407">
        <f>'[1]December - 2022'!CR9</f>
        <v>102</v>
      </c>
      <c r="CQ9" s="89">
        <f>'[1]December - 2022'!CT9</f>
        <v>353835</v>
      </c>
      <c r="CR9" s="393">
        <f>CQ10-CQ9</f>
        <v>166</v>
      </c>
      <c r="CS9" s="407">
        <f>'[1]December - 2022'!CU9</f>
        <v>166</v>
      </c>
      <c r="CT9" s="89">
        <f>'[1]December - 2022'!CW9</f>
        <v>693437</v>
      </c>
      <c r="CU9" s="469">
        <f>CT10-CT9</f>
        <v>168</v>
      </c>
      <c r="CV9" s="455"/>
      <c r="CW9" s="297">
        <f>'[1]December - 2022'!CZ9</f>
        <v>8807</v>
      </c>
      <c r="CX9" s="381">
        <f>CW10-CW9</f>
        <v>8</v>
      </c>
      <c r="CY9" s="298">
        <f>'[1]December - 2022'!DB9</f>
        <v>5981</v>
      </c>
      <c r="CZ9" s="381">
        <f>CY10-CY9</f>
        <v>5</v>
      </c>
      <c r="DA9" s="298">
        <f>'[1]December - 2022'!DD9</f>
        <v>32007</v>
      </c>
      <c r="DB9" s="381">
        <f>DA10-DA9</f>
        <v>16</v>
      </c>
      <c r="DC9" s="298">
        <f>'[1]December - 2022'!DF9</f>
        <v>32272</v>
      </c>
      <c r="DD9" s="381">
        <f>DC10-DC9</f>
        <v>15</v>
      </c>
      <c r="DE9" s="298">
        <f>'[1]December - 2022'!DH9</f>
        <v>21764</v>
      </c>
      <c r="DF9" s="381">
        <f>DE10-DE9</f>
        <v>10</v>
      </c>
      <c r="DG9" s="298">
        <f>'[1]December - 2022'!DJ9</f>
        <v>23989</v>
      </c>
      <c r="DH9" s="381">
        <f>DG10-DG9</f>
        <v>6</v>
      </c>
      <c r="DI9" s="298">
        <f>'[1]December - 2022'!DL9</f>
        <v>7013</v>
      </c>
      <c r="DJ9" s="381">
        <f>DI10-DI9</f>
        <v>9</v>
      </c>
      <c r="DK9" s="298">
        <f>'[1]December - 2022'!DN9</f>
        <v>9688</v>
      </c>
      <c r="DL9" s="381">
        <f>DK10-DK9</f>
        <v>8</v>
      </c>
      <c r="DM9" s="298">
        <f>'[1]December - 2022'!DP9</f>
        <v>3228</v>
      </c>
      <c r="DN9" s="381">
        <f>DM10-DM9</f>
        <v>4</v>
      </c>
      <c r="DO9" s="298">
        <f>'[1]December - 2022'!DR9</f>
        <v>6366</v>
      </c>
      <c r="DP9" s="381">
        <f>DO10-DO9</f>
        <v>9</v>
      </c>
      <c r="DQ9" s="298">
        <f>'[1]December - 2022'!DT9</f>
        <v>30245</v>
      </c>
      <c r="DR9" s="383">
        <f>DQ10-DQ9</f>
        <v>10</v>
      </c>
      <c r="DS9" s="440"/>
      <c r="DT9" s="210">
        <f>'[1]December - 2022'!DW9</f>
        <v>6235.5</v>
      </c>
      <c r="DU9" s="385">
        <f>DT10-DT9</f>
        <v>12</v>
      </c>
      <c r="DV9" s="91">
        <f>'[1]December - 2022'!DY9</f>
        <v>11223.7</v>
      </c>
      <c r="DW9" s="447">
        <f>DV10-DV9</f>
        <v>9.0999999999985448</v>
      </c>
      <c r="DX9" s="91">
        <f>'[1]December - 2022'!EA9</f>
        <v>4746.3</v>
      </c>
      <c r="DY9" s="385">
        <f>DX10-DX9</f>
        <v>6.8000000000001819</v>
      </c>
      <c r="DZ9" s="91">
        <f>'[1]December - 2022'!EC9</f>
        <v>5319.5</v>
      </c>
      <c r="EA9" s="385">
        <f>DZ10-DZ9</f>
        <v>6.8000000000001819</v>
      </c>
      <c r="EB9" s="91">
        <f>'[1]December - 2022'!EE9</f>
        <v>1122112</v>
      </c>
      <c r="EC9" s="385">
        <f>EB10-EB9</f>
        <v>608</v>
      </c>
      <c r="ED9" s="91">
        <f>'[1]December - 2022'!EI9</f>
        <v>230550</v>
      </c>
      <c r="EE9" s="449">
        <f>ED10-ED9</f>
        <v>154.89999999999418</v>
      </c>
      <c r="EF9" s="379"/>
      <c r="EG9" s="235">
        <f>'[1]December - 2022'!EL9</f>
        <v>12107000</v>
      </c>
      <c r="EH9" s="371">
        <f>EG10-EG9</f>
        <v>4400</v>
      </c>
      <c r="EI9" s="90">
        <f>'[1]December - 2022'!EN9</f>
        <v>931450</v>
      </c>
      <c r="EJ9" s="371">
        <f>EI10-EI9</f>
        <v>340</v>
      </c>
      <c r="EK9" s="90">
        <f>'[1]December - 2022'!EP9</f>
        <v>7205200</v>
      </c>
      <c r="EL9" s="371">
        <f>EK10-EK9</f>
        <v>2000</v>
      </c>
      <c r="EM9" s="90">
        <f>'[1]December - 2022'!ER9</f>
        <v>2494100</v>
      </c>
      <c r="EN9" s="371">
        <f>EM10-EM9</f>
        <v>400</v>
      </c>
      <c r="EO9" s="90">
        <f>'[1]December - 2022'!ET9</f>
        <v>1271830</v>
      </c>
      <c r="EP9" s="371">
        <f>EO10-EO9</f>
        <v>700</v>
      </c>
      <c r="EQ9" s="90">
        <f>'[1]December - 2022'!EV9</f>
        <v>16592300</v>
      </c>
      <c r="ER9" s="435">
        <f>EQ10-EQ9</f>
        <v>5600</v>
      </c>
      <c r="ES9" s="427"/>
      <c r="ET9" s="281">
        <f>'[1]December - 2022'!EY9</f>
        <v>41974</v>
      </c>
      <c r="EU9" s="382">
        <f>ET10-ET9</f>
        <v>16</v>
      </c>
      <c r="EV9" s="282">
        <f>'[1]December - 2022'!FA9</f>
        <v>36697</v>
      </c>
      <c r="EW9" s="382">
        <f>EV10-EV9</f>
        <v>13</v>
      </c>
      <c r="EX9" s="282">
        <f>'[1]December - 2022'!FC9</f>
        <v>7448</v>
      </c>
      <c r="EY9" s="382">
        <v>0</v>
      </c>
      <c r="EZ9" s="282">
        <f>'[1]December - 2022'!FE9</f>
        <v>59149</v>
      </c>
      <c r="FA9" s="382">
        <f>EZ10-EZ9</f>
        <v>15</v>
      </c>
      <c r="FB9" s="282">
        <f>'[1]December - 2022'!FG9</f>
        <v>49260</v>
      </c>
      <c r="FC9" s="384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3"/>
      <c r="E10" s="415"/>
      <c r="F10" s="168">
        <f>'[1]December - 2022'!H10</f>
        <v>238147</v>
      </c>
      <c r="G10" s="409"/>
      <c r="H10" s="415"/>
      <c r="I10" s="168">
        <f>'[1]December - 2022'!K10</f>
        <v>6008</v>
      </c>
      <c r="J10" s="409"/>
      <c r="K10" s="168">
        <f>'[1]December - 2022'!N10</f>
        <v>919221</v>
      </c>
      <c r="L10" s="370"/>
      <c r="M10" s="168">
        <f>'[1]December - 2022'!Q10</f>
        <v>243260</v>
      </c>
      <c r="N10" s="370"/>
      <c r="O10" s="168">
        <f>'[1]December - 2022'!U10</f>
        <v>115336</v>
      </c>
      <c r="P10" s="409"/>
      <c r="Q10" s="415"/>
      <c r="R10" s="168">
        <f>'[1]December - 2022'!X10</f>
        <v>6255</v>
      </c>
      <c r="S10" s="417"/>
      <c r="T10" s="522"/>
      <c r="U10" s="269">
        <f>'[1]December - 2022'!AE10</f>
        <v>8128103.7599999998</v>
      </c>
      <c r="V10" s="419"/>
      <c r="W10" s="411"/>
      <c r="X10" s="287">
        <f>'[1]December - 2022'!AH10</f>
        <v>15443460.48</v>
      </c>
      <c r="Y10" s="409"/>
      <c r="Z10" s="411"/>
      <c r="AA10" s="287">
        <f>'[1]December - 2022'!AK10</f>
        <v>15753173.52</v>
      </c>
      <c r="AB10" s="409"/>
      <c r="AC10" s="411"/>
      <c r="AD10" s="287">
        <f>'[1]December - 2022'!AN10</f>
        <v>18820779.599999998</v>
      </c>
      <c r="AE10" s="409"/>
      <c r="AF10" s="411"/>
      <c r="AG10" s="287">
        <f>'[1]December - 2022'!AQ10</f>
        <v>19153829.52</v>
      </c>
      <c r="AH10" s="409"/>
      <c r="AI10" s="411"/>
      <c r="AJ10" s="287">
        <f>'[1]December - 2022'!AT10</f>
        <v>17526337.919999998</v>
      </c>
      <c r="AK10" s="409"/>
      <c r="AL10" s="411"/>
      <c r="AM10" s="287">
        <f>'[1]December - 2022'!AW10</f>
        <v>14756898.24</v>
      </c>
      <c r="AN10" s="409"/>
      <c r="AO10" s="411"/>
      <c r="AP10" s="287">
        <f>'[1]December - 2022'!AZ10</f>
        <v>14277298.559999999</v>
      </c>
      <c r="AQ10" s="409"/>
      <c r="AR10" s="411"/>
      <c r="AS10" s="287">
        <f>'[1]December - 2022'!BC10</f>
        <v>11157805.68</v>
      </c>
      <c r="AT10" s="409"/>
      <c r="AU10" s="411"/>
      <c r="AV10" s="287">
        <f>'[1]December - 2022'!BF10</f>
        <v>17661097.439999998</v>
      </c>
      <c r="AW10" s="409"/>
      <c r="AX10" s="492"/>
      <c r="AY10" s="488"/>
      <c r="AZ10" s="272">
        <f>'[1]December - 2022'!BM10</f>
        <v>77840000</v>
      </c>
      <c r="BA10" s="494"/>
      <c r="BB10" s="490"/>
      <c r="BC10" s="272">
        <f>'[1]December - 2022'!BP10</f>
        <v>80452400</v>
      </c>
      <c r="BD10" s="494"/>
      <c r="BE10" s="490"/>
      <c r="BF10" s="272">
        <f>'[1]December - 2022'!BS10</f>
        <v>74702700</v>
      </c>
      <c r="BG10" s="494"/>
      <c r="BH10" s="490"/>
      <c r="BI10" s="25"/>
      <c r="BJ10" s="37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8"/>
      <c r="BU10" s="395"/>
      <c r="BV10" s="88">
        <f>'[1]December - 2022'!BY10</f>
        <v>0.68</v>
      </c>
      <c r="BW10" s="390"/>
      <c r="BX10" s="392"/>
      <c r="BY10" s="89">
        <f>'[1]December - 2022'!CB10</f>
        <v>64190</v>
      </c>
      <c r="BZ10" s="387"/>
      <c r="CA10" s="89">
        <f>'[1]December - 2022'!CD10</f>
        <v>55284</v>
      </c>
      <c r="CB10" s="387"/>
      <c r="CC10" s="89">
        <f>'[1]December - 2022'!CF10</f>
        <v>18702</v>
      </c>
      <c r="CD10" s="387"/>
      <c r="CE10" s="89">
        <f>'[1]December - 2022'!CH10</f>
        <v>25518</v>
      </c>
      <c r="CF10" s="387"/>
      <c r="CG10" s="89">
        <f>'[1]December - 2022'!CJ10</f>
        <v>28382</v>
      </c>
      <c r="CH10" s="387"/>
      <c r="CI10" s="89">
        <f>'[1]December - 2022'!CL10</f>
        <v>62262</v>
      </c>
      <c r="CJ10" s="387"/>
      <c r="CK10" s="89">
        <f>'[1]December - 2022'!CN10</f>
        <v>267531</v>
      </c>
      <c r="CL10" s="387"/>
      <c r="CM10" s="408"/>
      <c r="CN10" s="89">
        <f>'[1]December - 2022'!CQ10</f>
        <v>214284</v>
      </c>
      <c r="CO10" s="387"/>
      <c r="CP10" s="408"/>
      <c r="CQ10" s="89">
        <f>'[1]December - 2022'!CT10</f>
        <v>354001</v>
      </c>
      <c r="CR10" s="387"/>
      <c r="CS10" s="408"/>
      <c r="CT10" s="89">
        <f>'[1]December - 2022'!CW10</f>
        <v>693605</v>
      </c>
      <c r="CU10" s="470"/>
      <c r="CV10" s="455"/>
      <c r="CW10" s="256">
        <f>'[1]December - 2022'!CZ10</f>
        <v>8815</v>
      </c>
      <c r="CX10" s="382"/>
      <c r="CY10" s="257">
        <f>'[1]December - 2022'!DB10</f>
        <v>5986</v>
      </c>
      <c r="CZ10" s="382"/>
      <c r="DA10" s="257">
        <f>'[1]December - 2022'!DD10</f>
        <v>32023</v>
      </c>
      <c r="DB10" s="382"/>
      <c r="DC10" s="257">
        <f>'[1]December - 2022'!DF10</f>
        <v>32287</v>
      </c>
      <c r="DD10" s="382"/>
      <c r="DE10" s="257">
        <f>'[1]December - 2022'!DH10</f>
        <v>21774</v>
      </c>
      <c r="DF10" s="382"/>
      <c r="DG10" s="257">
        <f>'[1]December - 2022'!DJ10</f>
        <v>23995</v>
      </c>
      <c r="DH10" s="382"/>
      <c r="DI10" s="257">
        <f>'[1]December - 2022'!DL10</f>
        <v>7022</v>
      </c>
      <c r="DJ10" s="382"/>
      <c r="DK10" s="257">
        <f>'[1]December - 2022'!DN10</f>
        <v>9696</v>
      </c>
      <c r="DL10" s="382"/>
      <c r="DM10" s="257">
        <f>'[1]December - 2022'!DP10</f>
        <v>3232</v>
      </c>
      <c r="DN10" s="382"/>
      <c r="DO10" s="257">
        <f>'[1]December - 2022'!DR10</f>
        <v>6375</v>
      </c>
      <c r="DP10" s="382"/>
      <c r="DQ10" s="298">
        <f>'[1]December - 2022'!DT10</f>
        <v>30255</v>
      </c>
      <c r="DR10" s="384"/>
      <c r="DS10" s="440"/>
      <c r="DT10" s="210">
        <f>'[1]December - 2022'!DW10</f>
        <v>6247.5</v>
      </c>
      <c r="DU10" s="386"/>
      <c r="DV10" s="91">
        <f>'[1]December - 2022'!DY10</f>
        <v>11232.8</v>
      </c>
      <c r="DW10" s="448"/>
      <c r="DX10" s="91">
        <f>'[1]December - 2022'!EA10</f>
        <v>4753.1000000000004</v>
      </c>
      <c r="DY10" s="386"/>
      <c r="DZ10" s="91">
        <f>'[1]December - 2022'!EC10</f>
        <v>5326.3</v>
      </c>
      <c r="EA10" s="386"/>
      <c r="EB10" s="91">
        <f>'[1]December - 2022'!EE10</f>
        <v>1122720</v>
      </c>
      <c r="EC10" s="386"/>
      <c r="ED10" s="91">
        <f>'[1]December - 2022'!EI10</f>
        <v>230704.9</v>
      </c>
      <c r="EE10" s="450"/>
      <c r="EF10" s="379"/>
      <c r="EG10" s="235">
        <f>'[1]December - 2022'!EL10</f>
        <v>12111400</v>
      </c>
      <c r="EH10" s="372"/>
      <c r="EI10" s="90">
        <f>'[1]December - 2022'!EN10</f>
        <v>931790</v>
      </c>
      <c r="EJ10" s="372"/>
      <c r="EK10" s="90">
        <f>'[1]December - 2022'!EP10</f>
        <v>7207200</v>
      </c>
      <c r="EL10" s="372"/>
      <c r="EM10" s="90">
        <f>'[1]December - 2022'!ER10</f>
        <v>2494500</v>
      </c>
      <c r="EN10" s="372"/>
      <c r="EO10" s="90">
        <f>'[1]December - 2022'!ET10</f>
        <v>1272530</v>
      </c>
      <c r="EP10" s="372"/>
      <c r="EQ10" s="90">
        <f>'[1]December - 2022'!EV10</f>
        <v>16597900</v>
      </c>
      <c r="ER10" s="436"/>
      <c r="ES10" s="427"/>
      <c r="ET10" s="281">
        <f>'[1]December - 2022'!EY10</f>
        <v>41990</v>
      </c>
      <c r="EU10" s="431"/>
      <c r="EV10" s="282">
        <f>'[1]December - 2022'!FA10</f>
        <v>36710</v>
      </c>
      <c r="EW10" s="431"/>
      <c r="EX10" s="282">
        <f>'[1]December - 2022'!FC10</f>
        <v>7456</v>
      </c>
      <c r="EY10" s="431"/>
      <c r="EZ10" s="282">
        <f>'[1]December - 2022'!FE10</f>
        <v>59164</v>
      </c>
      <c r="FA10" s="431"/>
      <c r="FB10" s="282">
        <f>'[1]December - 2022'!FG10</f>
        <v>49296</v>
      </c>
      <c r="FC10" s="43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2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8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5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5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40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9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2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8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5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5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40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9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2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8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5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5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40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9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2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8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5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5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40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9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522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88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395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455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440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379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42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522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88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395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455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440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379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42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522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88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395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455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440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379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42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522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88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395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455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440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379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42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522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88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395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455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440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379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42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522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88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395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455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440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379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42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522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88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395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455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440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379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42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522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88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395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455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440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379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42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522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88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395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455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440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379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42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522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88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395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455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440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379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42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522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88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395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455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440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379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42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522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88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395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455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440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379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42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522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88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395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455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440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379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42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522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88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395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455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440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379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42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522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88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395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455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440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379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42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522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88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395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455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440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379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42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522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88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395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455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440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379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42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522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88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395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455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440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379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42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-219996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-247676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-9274</v>
      </c>
      <c r="K33" s="168">
        <f>'[1]December - 2022'!N33</f>
        <v>0</v>
      </c>
      <c r="L33" s="170">
        <f>'[1]December - 2022'!O33</f>
        <v>-923947</v>
      </c>
      <c r="M33" s="168">
        <f>'[1]December - 2022'!Q33</f>
        <v>0</v>
      </c>
      <c r="N33" s="170">
        <f>'[1]December - 2022'!R33</f>
        <v>-245240</v>
      </c>
      <c r="O33" s="168">
        <f>'[1]December - 2022'!U33</f>
        <v>0</v>
      </c>
      <c r="P33" s="170">
        <f>'[1]December - 2022'!V33</f>
        <v>-117552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-6456</v>
      </c>
      <c r="T33" s="522"/>
      <c r="U33" s="169">
        <f>'[1]December - 2022'!AE33</f>
        <v>0</v>
      </c>
      <c r="V33" s="288">
        <f>'[1]December - 2022'!AF33</f>
        <v>-8188419.1199999992</v>
      </c>
      <c r="W33" s="92">
        <f>'[1]December - 2022'!AF33</f>
        <v>-8188419.1199999992</v>
      </c>
      <c r="X33" s="287">
        <f>'[1]December - 2022'!AH33</f>
        <v>0</v>
      </c>
      <c r="Y33" s="288">
        <f>'[1]December - 2022'!AI33</f>
        <v>-15542556.959999999</v>
      </c>
      <c r="Z33" s="92">
        <f>'[1]December - 2022'!AI33</f>
        <v>-15542556.959999999</v>
      </c>
      <c r="AA33" s="287">
        <f>'[1]December - 2022'!AK33</f>
        <v>0</v>
      </c>
      <c r="AB33" s="288">
        <f>'[1]December - 2022'!AL33</f>
        <v>-15828007.439999999</v>
      </c>
      <c r="AC33" s="92">
        <f>'[1]December - 2022'!AL33</f>
        <v>-15828007.439999999</v>
      </c>
      <c r="AD33" s="287">
        <f>'[1]December - 2022'!AN33</f>
        <v>0</v>
      </c>
      <c r="AE33" s="288">
        <f>'[1]December - 2022'!AO33</f>
        <v>-18903847.199999999</v>
      </c>
      <c r="AF33" s="92">
        <f>'[1]December - 2022'!AO33</f>
        <v>-18903847.199999999</v>
      </c>
      <c r="AG33" s="287">
        <f>'[1]December - 2022'!AQ33</f>
        <v>0</v>
      </c>
      <c r="AH33" s="288">
        <f>'[1]December - 2022'!AR33</f>
        <v>-19224814.560000002</v>
      </c>
      <c r="AI33" s="92">
        <f>'[1]December - 2022'!AR33</f>
        <v>-19224814.560000002</v>
      </c>
      <c r="AJ33" s="287">
        <f>'[1]December - 2022'!AT33</f>
        <v>0</v>
      </c>
      <c r="AK33" s="288">
        <f>'[1]December - 2022'!AU33</f>
        <v>-17650379.039999999</v>
      </c>
      <c r="AL33" s="92">
        <f>'[1]December - 2022'!AU33</f>
        <v>-17650379.039999999</v>
      </c>
      <c r="AM33" s="287">
        <f>'[1]December - 2022'!AW33</f>
        <v>0</v>
      </c>
      <c r="AN33" s="288">
        <f>'[1]December - 2022'!AX33</f>
        <v>-14851415.039999999</v>
      </c>
      <c r="AO33" s="92">
        <f>'[1]December - 2022'!AX33</f>
        <v>-14851415.039999999</v>
      </c>
      <c r="AP33" s="287">
        <f>'[1]December - 2022'!AZ33</f>
        <v>0</v>
      </c>
      <c r="AQ33" s="288">
        <f>'[1]December - 2022'!BA33</f>
        <v>-14377613.039999999</v>
      </c>
      <c r="AR33" s="92">
        <f>'[1]December - 2022'!BA33</f>
        <v>-14377613.039999999</v>
      </c>
      <c r="AS33" s="287">
        <f>'[1]December - 2022'!BC33</f>
        <v>0</v>
      </c>
      <c r="AT33" s="288">
        <f>'[1]December - 2022'!BD33</f>
        <v>-11226647.040000001</v>
      </c>
      <c r="AU33" s="92">
        <f>'[1]December - 2022'!BD33</f>
        <v>-11226647.040000001</v>
      </c>
      <c r="AV33" s="287">
        <f>'[1]December - 2022'!BF33</f>
        <v>0</v>
      </c>
      <c r="AW33" s="252">
        <f>'[1]December - 2022'!BG33</f>
        <v>-17787136.080000002</v>
      </c>
      <c r="AX33" s="253">
        <f>'[1]December - 2022'!BG33</f>
        <v>-17787136.080000002</v>
      </c>
      <c r="AY33" s="488"/>
      <c r="AZ33" s="272">
        <f>'[1]December - 2022'!BM33</f>
        <v>0</v>
      </c>
      <c r="BA33" s="179">
        <f>'[1]December - 2022'!BN33</f>
        <v>-78188000</v>
      </c>
      <c r="BB33" s="93">
        <f>'[1]December - 2022'!BN33</f>
        <v>-78188000</v>
      </c>
      <c r="BC33" s="272">
        <f>'[1]December - 2022'!BP33</f>
        <v>0</v>
      </c>
      <c r="BD33" s="245">
        <f>'[1]December - 2022'!BQ33</f>
        <v>-80883300</v>
      </c>
      <c r="BE33" s="93">
        <f>'[1]December - 2022'!BQ33</f>
        <v>-80883300</v>
      </c>
      <c r="BF33" s="272">
        <f>'[1]December - 2022'!BS33</f>
        <v>0</v>
      </c>
      <c r="BG33" s="245">
        <f>'[1]December - 2022'!BT33</f>
        <v>-75090700</v>
      </c>
      <c r="BH33" s="93">
        <f>'[1]December - 2022'!BT33</f>
        <v>-75090700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-10328660</v>
      </c>
      <c r="BU33" s="395"/>
      <c r="BV33" s="88">
        <f>'[1]December - 2022'!BY33</f>
        <v>0</v>
      </c>
      <c r="BW33" s="241">
        <f>'[1]December - 2022'!BZ33</f>
        <v>0.71</v>
      </c>
      <c r="BX33" s="88">
        <f>'[1]December - 2022'!BZ33</f>
        <v>0.71</v>
      </c>
      <c r="BY33" s="89">
        <f>'[1]December - 2022'!CB33</f>
        <v>0</v>
      </c>
      <c r="BZ33" s="191">
        <f>'[1]December - 2022'!CC33</f>
        <v>-64615</v>
      </c>
      <c r="CA33" s="89">
        <f>'[1]December - 2022'!CD33</f>
        <v>0</v>
      </c>
      <c r="CB33" s="191">
        <f>'[1]December - 2022'!CE33</f>
        <v>-55702</v>
      </c>
      <c r="CC33" s="89">
        <f>'[1]December - 2022'!CF33</f>
        <v>0</v>
      </c>
      <c r="CD33" s="191">
        <f>'[1]December - 2022'!CG33</f>
        <v>-18842</v>
      </c>
      <c r="CE33" s="89">
        <f>'[1]December - 2022'!CH33</f>
        <v>0</v>
      </c>
      <c r="CF33" s="191">
        <f>'[1]December - 2022'!CI33</f>
        <v>-25752</v>
      </c>
      <c r="CG33" s="89">
        <f>'[1]December - 2022'!CJ33</f>
        <v>0</v>
      </c>
      <c r="CH33" s="191">
        <f>'[1]December - 2022'!CK33</f>
        <v>-28701</v>
      </c>
      <c r="CI33" s="89">
        <f>'[1]December - 2022'!CL33</f>
        <v>0</v>
      </c>
      <c r="CJ33" s="191">
        <f>'[1]December - 2022'!CM33</f>
        <v>-62967</v>
      </c>
      <c r="CK33" s="89">
        <f>'[1]December - 2022'!CN33</f>
        <v>0</v>
      </c>
      <c r="CL33" s="246">
        <f>'[1]December - 2022'!CO33</f>
        <v>-269112</v>
      </c>
      <c r="CM33" s="89">
        <f>'[1]December - 2022'!CO33</f>
        <v>-269112</v>
      </c>
      <c r="CN33" s="89">
        <f>'[1]December - 2022'!CQ33</f>
        <v>0</v>
      </c>
      <c r="CO33" s="246">
        <f>'[1]December - 2022'!CR33</f>
        <v>-216604</v>
      </c>
      <c r="CP33" s="89">
        <f>'[1]December - 2022'!CR33</f>
        <v>-216604</v>
      </c>
      <c r="CQ33" s="89">
        <f>'[1]December - 2022'!CT33</f>
        <v>0</v>
      </c>
      <c r="CR33" s="246">
        <f>'[1]December - 2022'!CU33</f>
        <v>-358832</v>
      </c>
      <c r="CS33" s="89">
        <f>'[1]December - 2022'!CU33</f>
        <v>-358832</v>
      </c>
      <c r="CT33" s="89">
        <f>'[1]December - 2022'!CW33</f>
        <v>0</v>
      </c>
      <c r="CU33" s="191">
        <f>'[1]December - 2022'!CX33</f>
        <v>-697285</v>
      </c>
      <c r="CV33" s="455"/>
      <c r="CW33" s="256">
        <f>'[1]December - 2022'!CZ33</f>
        <v>0</v>
      </c>
      <c r="CX33" s="198">
        <f>'[1]December - 2022'!DA33</f>
        <v>-8975</v>
      </c>
      <c r="CY33" s="257">
        <f>'[1]December - 2022'!DB33</f>
        <v>0</v>
      </c>
      <c r="CZ33" s="198">
        <f>'[1]December - 2022'!DC33</f>
        <v>-6093</v>
      </c>
      <c r="DA33" s="257">
        <f>'[1]December - 2022'!DD33</f>
        <v>0</v>
      </c>
      <c r="DB33" s="198">
        <f>'[1]December - 2022'!DE33</f>
        <v>-32357</v>
      </c>
      <c r="DC33" s="257">
        <f>'[1]December - 2022'!DF33</f>
        <v>0</v>
      </c>
      <c r="DD33" s="198">
        <f>'[1]December - 2022'!DG33</f>
        <v>-32564</v>
      </c>
      <c r="DE33" s="257">
        <f>'[1]December - 2022'!DH33</f>
        <v>0</v>
      </c>
      <c r="DF33" s="198">
        <f>'[1]December - 2022'!DI33</f>
        <v>-21992</v>
      </c>
      <c r="DG33" s="257">
        <f>'[1]December - 2022'!DJ33</f>
        <v>0</v>
      </c>
      <c r="DH33" s="198">
        <f>'[1]December - 2022'!DK33</f>
        <v>-24129</v>
      </c>
      <c r="DI33" s="257">
        <f>'[1]December - 2022'!DL33</f>
        <v>0</v>
      </c>
      <c r="DJ33" s="198">
        <f>'[1]December - 2022'!DM33</f>
        <v>-7236</v>
      </c>
      <c r="DK33" s="257">
        <f>'[1]December - 2022'!DN33</f>
        <v>0</v>
      </c>
      <c r="DL33" s="198">
        <f>'[1]December - 2022'!DO33</f>
        <v>-9884</v>
      </c>
      <c r="DM33" s="257">
        <f>'[1]December - 2022'!DP33</f>
        <v>0</v>
      </c>
      <c r="DN33" s="198">
        <f>'[1]December - 2022'!DQ33</f>
        <v>-3319</v>
      </c>
      <c r="DO33" s="257">
        <f>'[1]December - 2022'!DR33</f>
        <v>0</v>
      </c>
      <c r="DP33" s="198">
        <f>'[1]December - 2022'!DS33</f>
        <v>-6553</v>
      </c>
      <c r="DQ33" s="257">
        <f>'[1]December - 2022'!DT33</f>
        <v>0</v>
      </c>
      <c r="DR33" s="206">
        <f>'[1]December - 2022'!DU33</f>
        <v>-30371</v>
      </c>
      <c r="DS33" s="440"/>
      <c r="DT33" s="210">
        <f>'[1]December - 2022'!DW33</f>
        <v>0</v>
      </c>
      <c r="DU33" s="221">
        <f>'[1]December - 2022'!DX33</f>
        <v>-6492</v>
      </c>
      <c r="DV33" s="91">
        <f>'[1]December - 2022'!DY33</f>
        <v>0</v>
      </c>
      <c r="DW33" s="215">
        <f>'[1]December - 2022'!DZ33</f>
        <v>-11403</v>
      </c>
      <c r="DX33" s="91">
        <f>'[1]December - 2022'!EA33</f>
        <v>0</v>
      </c>
      <c r="DY33" s="215">
        <f>'[1]December - 2022'!EB33</f>
        <v>-4895</v>
      </c>
      <c r="DZ33" s="91">
        <f>'[1]December - 2022'!EC33</f>
        <v>0</v>
      </c>
      <c r="EA33" s="215">
        <f>'[1]December - 2022'!ED33</f>
        <v>-5474</v>
      </c>
      <c r="EB33" s="91">
        <f>'[1]December - 2022'!EE33</f>
        <v>0</v>
      </c>
      <c r="EC33" s="215">
        <f>'[1]December - 2022'!EF33</f>
        <v>-1135110</v>
      </c>
      <c r="ED33" s="91">
        <f>'[1]December - 2022'!EI33</f>
        <v>0</v>
      </c>
      <c r="EE33" s="229">
        <f>'[1]December - 2022'!EJ33</f>
        <v>-233730.9</v>
      </c>
      <c r="EF33" s="379"/>
      <c r="EG33" s="235">
        <f>'[1]December - 2022'!EL33</f>
        <v>0</v>
      </c>
      <c r="EH33" s="230">
        <f>'[1]December - 2022'!EM33</f>
        <v>-12190900</v>
      </c>
      <c r="EI33" s="90">
        <f>'[1]December - 2022'!EN33</f>
        <v>0</v>
      </c>
      <c r="EJ33" s="230">
        <f>'[1]December - 2022'!EO33</f>
        <v>-937310</v>
      </c>
      <c r="EK33" s="90">
        <f>'[1]December - 2022'!EP33</f>
        <v>0</v>
      </c>
      <c r="EL33" s="230">
        <f>'[1]December - 2022'!EQ33</f>
        <v>-7248400</v>
      </c>
      <c r="EM33" s="90">
        <f>'[1]December - 2022'!ER33</f>
        <v>0</v>
      </c>
      <c r="EN33" s="230">
        <f>'[1]December - 2022'!ES33</f>
        <v>-2502400</v>
      </c>
      <c r="EO33" s="90">
        <f>'[1]December - 2022'!ET33</f>
        <v>0</v>
      </c>
      <c r="EP33" s="230">
        <f>'[1]December - 2022'!EU33</f>
        <v>-1287230</v>
      </c>
      <c r="EQ33" s="90">
        <f>'[1]December - 2022'!EV33</f>
        <v>0</v>
      </c>
      <c r="ER33" s="230">
        <f>'[1]December - 2022'!EW33</f>
        <v>-16664900</v>
      </c>
      <c r="ES33" s="427"/>
      <c r="ET33" s="281">
        <f>'[1]December - 2022'!EY33</f>
        <v>0</v>
      </c>
      <c r="EU33" s="275">
        <f>'[1]December - 2022'!EZ33</f>
        <v>-42341</v>
      </c>
      <c r="EV33" s="282">
        <f>'[1]December - 2022'!FA33</f>
        <v>0</v>
      </c>
      <c r="EW33" s="275">
        <f>'[1]December - 2022'!FB33</f>
        <v>-36960</v>
      </c>
      <c r="EX33" s="282">
        <f>'[1]December - 2022'!FC33</f>
        <v>0</v>
      </c>
      <c r="EY33" s="275">
        <f>'[1]December - 2022'!FD33</f>
        <v>-7661</v>
      </c>
      <c r="EZ33" s="282">
        <f>'[1]December - 2022'!FE33</f>
        <v>0</v>
      </c>
      <c r="FA33" s="275">
        <f>'[1]December - 2022'!FF33</f>
        <v>-59470</v>
      </c>
      <c r="FB33" s="282">
        <f>'[1]December - 2022'!FG33</f>
        <v>0</v>
      </c>
      <c r="FC33" s="276">
        <f>'[1]December - 2022'!FH33</f>
        <v>-50002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522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88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395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455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440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379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427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522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88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395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455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440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379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427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522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88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395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455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440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379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427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522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88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395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455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440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379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427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522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88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395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455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440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379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427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522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88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396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455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440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379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427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5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40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9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9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3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5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44"/>
      <c r="AK41" s="544"/>
      <c r="AL41" s="544"/>
      <c r="AM41" s="544"/>
      <c r="AN41" s="544"/>
      <c r="AO41" s="544"/>
      <c r="AP41" s="544"/>
      <c r="AQ41" s="544"/>
      <c r="AR41" s="544"/>
      <c r="AS41" s="544"/>
      <c r="AT41" s="544"/>
      <c r="AU41" s="544"/>
      <c r="AV41" s="544"/>
      <c r="AW41" s="544"/>
      <c r="AX41" s="544"/>
      <c r="AY41" s="546"/>
      <c r="AZ41" s="544"/>
      <c r="BA41" s="544"/>
      <c r="BB41" s="544"/>
      <c r="BC41" s="544"/>
      <c r="BD41" s="544"/>
      <c r="BE41" s="544"/>
      <c r="BF41" s="544"/>
      <c r="BG41" s="544"/>
      <c r="BH41" s="544"/>
      <c r="BI41" s="544"/>
      <c r="BJ41" s="544"/>
      <c r="BK41" s="544"/>
      <c r="BL41" s="544"/>
      <c r="BM41" s="544"/>
      <c r="BN41" s="544"/>
      <c r="BO41" s="544"/>
      <c r="BP41" s="544"/>
      <c r="BQ41" s="544"/>
      <c r="BR41" s="544"/>
      <c r="BS41" s="544"/>
      <c r="BT41" s="544"/>
      <c r="BU41" s="547"/>
      <c r="BV41" s="544"/>
      <c r="BW41" s="544"/>
      <c r="BX41" s="544"/>
      <c r="BY41" s="544"/>
      <c r="BZ41" s="544"/>
      <c r="CA41" s="544"/>
      <c r="CB41" s="544"/>
      <c r="CC41" s="544"/>
      <c r="CD41" s="544"/>
      <c r="CE41" s="544"/>
      <c r="CF41" s="544"/>
      <c r="CG41" s="544"/>
      <c r="CH41" s="544"/>
      <c r="CI41" s="544"/>
      <c r="CJ41" s="544"/>
      <c r="CK41" s="544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455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8"/>
      <c r="DS41" s="441"/>
      <c r="DT41" s="442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4"/>
      <c r="EF41" s="380"/>
      <c r="EG41" s="433"/>
      <c r="EH41" s="433"/>
      <c r="EI41" s="433"/>
      <c r="EJ41" s="433"/>
      <c r="EK41" s="433"/>
      <c r="EL41" s="433"/>
      <c r="EM41" s="433"/>
      <c r="EN41" s="433"/>
      <c r="EO41" s="433"/>
      <c r="EP41" s="433"/>
      <c r="EQ41" s="433"/>
      <c r="ER41" s="433"/>
      <c r="ES41" s="429"/>
      <c r="ET41" s="434"/>
      <c r="EU41" s="434"/>
      <c r="EV41" s="434"/>
      <c r="EW41" s="434"/>
      <c r="EX41" s="434"/>
      <c r="EY41" s="434"/>
      <c r="EZ41" s="434"/>
      <c r="FA41" s="434"/>
      <c r="FB41" s="434"/>
      <c r="FC41" s="434"/>
      <c r="FD41" s="28"/>
    </row>
    <row r="42" spans="1:160" ht="28.5" customHeight="1" thickBot="1" x14ac:dyDescent="0.35">
      <c r="A42" s="523" t="s">
        <v>193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5"/>
      <c r="T42" s="526"/>
      <c r="U42" s="529" t="s">
        <v>194</v>
      </c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30"/>
      <c r="AZ42" s="531" t="s">
        <v>128</v>
      </c>
      <c r="BA42" s="532"/>
      <c r="BB42" s="532"/>
      <c r="BC42" s="532"/>
      <c r="BD42" s="532"/>
      <c r="BE42" s="532"/>
      <c r="BF42" s="532"/>
      <c r="BG42" s="532"/>
      <c r="BH42" s="533"/>
      <c r="BI42" s="534"/>
      <c r="BJ42" s="535"/>
      <c r="BK42" s="535"/>
      <c r="BL42" s="535"/>
      <c r="BM42" s="535"/>
      <c r="BN42" s="535"/>
      <c r="BO42" s="535"/>
      <c r="BP42" s="535"/>
      <c r="BQ42" s="535"/>
      <c r="BR42" s="536"/>
      <c r="BS42" s="537" t="s">
        <v>129</v>
      </c>
      <c r="BT42" s="538"/>
      <c r="BU42" s="30"/>
      <c r="BV42" s="373" t="s">
        <v>195</v>
      </c>
      <c r="BW42" s="374"/>
      <c r="BX42" s="374"/>
      <c r="BY42" s="374"/>
      <c r="BZ42" s="374"/>
      <c r="CA42" s="374"/>
      <c r="CB42" s="374"/>
      <c r="CC42" s="374"/>
      <c r="CD42" s="374"/>
      <c r="CE42" s="374"/>
      <c r="CF42" s="374"/>
      <c r="CG42" s="374"/>
      <c r="CH42" s="374"/>
      <c r="CI42" s="374"/>
      <c r="CJ42" s="374"/>
      <c r="CK42" s="374"/>
      <c r="CL42" s="374"/>
      <c r="CM42" s="374"/>
      <c r="CN42" s="374"/>
      <c r="CO42" s="374"/>
      <c r="CP42" s="374"/>
      <c r="CQ42" s="374"/>
      <c r="CR42" s="374"/>
      <c r="CS42" s="374"/>
      <c r="CT42" s="374"/>
      <c r="CU42" s="375"/>
      <c r="CV42" s="455"/>
      <c r="CW42" s="539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1"/>
      <c r="DS42" s="441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0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2" t="s">
        <v>31</v>
      </c>
      <c r="B43" s="542"/>
      <c r="C43" s="561" t="s">
        <v>32</v>
      </c>
      <c r="D43" s="561"/>
      <c r="E43" s="562"/>
      <c r="F43" s="560" t="s">
        <v>33</v>
      </c>
      <c r="G43" s="561"/>
      <c r="H43" s="562"/>
      <c r="I43" s="563" t="s">
        <v>34</v>
      </c>
      <c r="J43" s="563"/>
      <c r="K43" s="563" t="s">
        <v>35</v>
      </c>
      <c r="L43" s="563"/>
      <c r="M43" s="563"/>
      <c r="N43" s="563"/>
      <c r="O43" s="560" t="s">
        <v>130</v>
      </c>
      <c r="P43" s="561"/>
      <c r="Q43" s="561"/>
      <c r="R43" s="561"/>
      <c r="S43" s="561"/>
      <c r="T43" s="527"/>
      <c r="U43" s="560" t="s">
        <v>36</v>
      </c>
      <c r="V43" s="561"/>
      <c r="W43" s="562"/>
      <c r="X43" s="560" t="s">
        <v>37</v>
      </c>
      <c r="Y43" s="561"/>
      <c r="Z43" s="562"/>
      <c r="AA43" s="560" t="s">
        <v>38</v>
      </c>
      <c r="AB43" s="561"/>
      <c r="AC43" s="562"/>
      <c r="AD43" s="560" t="s">
        <v>39</v>
      </c>
      <c r="AE43" s="561"/>
      <c r="AF43" s="562"/>
      <c r="AG43" s="560" t="s">
        <v>40</v>
      </c>
      <c r="AH43" s="561"/>
      <c r="AI43" s="562"/>
      <c r="AJ43" s="560" t="s">
        <v>41</v>
      </c>
      <c r="AK43" s="561"/>
      <c r="AL43" s="562"/>
      <c r="AM43" s="560" t="s">
        <v>42</v>
      </c>
      <c r="AN43" s="561"/>
      <c r="AO43" s="562"/>
      <c r="AP43" s="560" t="s">
        <v>43</v>
      </c>
      <c r="AQ43" s="561"/>
      <c r="AR43" s="562"/>
      <c r="AS43" s="560" t="s">
        <v>44</v>
      </c>
      <c r="AT43" s="561"/>
      <c r="AU43" s="562"/>
      <c r="AV43" s="560" t="s">
        <v>45</v>
      </c>
      <c r="AW43" s="561"/>
      <c r="AX43" s="561"/>
      <c r="AY43" s="586"/>
      <c r="AZ43" s="376" t="s">
        <v>131</v>
      </c>
      <c r="BA43" s="377"/>
      <c r="BB43" s="377"/>
      <c r="BC43" s="377" t="s">
        <v>132</v>
      </c>
      <c r="BD43" s="377"/>
      <c r="BE43" s="377"/>
      <c r="BF43" s="377" t="s">
        <v>133</v>
      </c>
      <c r="BG43" s="377"/>
      <c r="BH43" s="377"/>
      <c r="BI43" s="565"/>
      <c r="BJ43" s="566"/>
      <c r="BK43" s="565"/>
      <c r="BL43" s="566"/>
      <c r="BM43" s="565"/>
      <c r="BN43" s="566"/>
      <c r="BO43" s="565"/>
      <c r="BP43" s="566"/>
      <c r="BQ43" s="565"/>
      <c r="BR43" s="566"/>
      <c r="BS43" s="565" t="s">
        <v>134</v>
      </c>
      <c r="BT43" s="566"/>
      <c r="BU43" s="567"/>
      <c r="BV43" s="568" t="s">
        <v>13</v>
      </c>
      <c r="BW43" s="569"/>
      <c r="BX43" s="95"/>
      <c r="BY43" s="570" t="s">
        <v>118</v>
      </c>
      <c r="BZ43" s="570"/>
      <c r="CA43" s="459" t="s">
        <v>119</v>
      </c>
      <c r="CB43" s="460"/>
      <c r="CC43" s="459" t="s">
        <v>120</v>
      </c>
      <c r="CD43" s="460"/>
      <c r="CE43" s="459" t="s">
        <v>121</v>
      </c>
      <c r="CF43" s="460"/>
      <c r="CG43" s="459" t="s">
        <v>122</v>
      </c>
      <c r="CH43" s="460"/>
      <c r="CI43" s="459" t="s">
        <v>123</v>
      </c>
      <c r="CJ43" s="460"/>
      <c r="CK43" s="461" t="s">
        <v>14</v>
      </c>
      <c r="CL43" s="462"/>
      <c r="CM43" s="463"/>
      <c r="CN43" s="573" t="s">
        <v>15</v>
      </c>
      <c r="CO43" s="574"/>
      <c r="CP43" s="575"/>
      <c r="CQ43" s="461" t="s">
        <v>135</v>
      </c>
      <c r="CR43" s="462"/>
      <c r="CS43" s="463"/>
      <c r="CT43" s="581" t="s">
        <v>136</v>
      </c>
      <c r="CU43" s="582"/>
      <c r="CV43" s="45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1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0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8" t="s">
        <v>196</v>
      </c>
      <c r="B44" s="548"/>
      <c r="C44" s="549">
        <f>SUM(E9:E24)</f>
        <v>10438</v>
      </c>
      <c r="D44" s="550"/>
      <c r="E44" s="551"/>
      <c r="F44" s="552">
        <f>SUM(H9:H24)</f>
        <v>6583</v>
      </c>
      <c r="G44" s="553"/>
      <c r="H44" s="554"/>
      <c r="I44" s="552"/>
      <c r="J44" s="554"/>
      <c r="K44" s="555"/>
      <c r="L44" s="556"/>
      <c r="M44" s="557"/>
      <c r="N44" s="557"/>
      <c r="O44" s="552">
        <f>SUM(Q9:Q24)</f>
        <v>1333.0399999999936</v>
      </c>
      <c r="P44" s="553"/>
      <c r="Q44" s="554"/>
      <c r="R44" s="558"/>
      <c r="S44" s="559"/>
      <c r="T44" s="527"/>
      <c r="U44" s="364">
        <f>SUM(W9:W24)</f>
        <v>35078.399999999441</v>
      </c>
      <c r="V44" s="365"/>
      <c r="W44" s="366"/>
      <c r="X44" s="364">
        <f>SUM(Z9:Z24)</f>
        <v>67818.240000000224</v>
      </c>
      <c r="Y44" s="365"/>
      <c r="Z44" s="366"/>
      <c r="AA44" s="364">
        <f>SUM(AC9:AC24)</f>
        <v>61143.599999999627</v>
      </c>
      <c r="AB44" s="365"/>
      <c r="AC44" s="366"/>
      <c r="AD44" s="364">
        <f>SUM(AF9:AF24)</f>
        <v>82044.480000000447</v>
      </c>
      <c r="AE44" s="365"/>
      <c r="AF44" s="366"/>
      <c r="AG44" s="364">
        <f>SUM(AI9:AI24)</f>
        <v>29426.879999998957</v>
      </c>
      <c r="AH44" s="365"/>
      <c r="AI44" s="366"/>
      <c r="AJ44" s="364">
        <f>SUM(AL9:AL24)</f>
        <v>85308.719999998808</v>
      </c>
      <c r="AK44" s="365"/>
      <c r="AL44" s="366"/>
      <c r="AM44" s="364">
        <f>SUM(AO9:AO24)</f>
        <v>64115.519999999553</v>
      </c>
      <c r="AN44" s="365"/>
      <c r="AO44" s="366"/>
      <c r="AP44" s="364">
        <f>SUM(AR9:AR24)</f>
        <v>67915.680000001565</v>
      </c>
      <c r="AQ44" s="365"/>
      <c r="AR44" s="366"/>
      <c r="AS44" s="364">
        <f>SUM(AU9:AU24)</f>
        <v>47063.519999999553</v>
      </c>
      <c r="AT44" s="365"/>
      <c r="AU44" s="366"/>
      <c r="AV44" s="364">
        <f>SUM(AX9:AX24)</f>
        <v>86088.239999998361</v>
      </c>
      <c r="AW44" s="365"/>
      <c r="AX44" s="365"/>
      <c r="AY44" s="586"/>
      <c r="AZ44" s="365">
        <f>SUM(BB9:BB24)</f>
        <v>292100</v>
      </c>
      <c r="BA44" s="365"/>
      <c r="BB44" s="365"/>
      <c r="BC44" s="364">
        <f>SUM(BE9:BE24)</f>
        <v>430900</v>
      </c>
      <c r="BD44" s="365"/>
      <c r="BE44" s="365"/>
      <c r="BF44" s="359">
        <f>SUM(BH9:BH24)</f>
        <v>133400</v>
      </c>
      <c r="BG44" s="359"/>
      <c r="BH44" s="35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7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9">
        <f>SUM(CM9:CM24)</f>
        <v>1071</v>
      </c>
      <c r="CL44" s="359"/>
      <c r="CM44" s="359"/>
      <c r="CN44" s="359">
        <f>SUM(CP9:CP24)</f>
        <v>1550</v>
      </c>
      <c r="CO44" s="359"/>
      <c r="CP44" s="359"/>
      <c r="CQ44" s="359">
        <f>SUM(CS9:CS24)</f>
        <v>3066</v>
      </c>
      <c r="CR44" s="359"/>
      <c r="CS44" s="359"/>
      <c r="CT44" s="100"/>
      <c r="CU44" s="196"/>
      <c r="CV44" s="45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1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0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0" t="s">
        <v>197</v>
      </c>
      <c r="B45" s="360"/>
      <c r="C45" s="361">
        <f>SUM(D9:D24)</f>
        <v>10259</v>
      </c>
      <c r="D45" s="361"/>
      <c r="E45" s="362"/>
      <c r="F45" s="361">
        <f>SUM(G9:G24)</f>
        <v>6238</v>
      </c>
      <c r="G45" s="361"/>
      <c r="H45" s="362"/>
      <c r="I45" s="363"/>
      <c r="J45" s="363"/>
      <c r="K45" s="363"/>
      <c r="L45" s="363"/>
      <c r="M45" s="363"/>
      <c r="N45" s="363"/>
      <c r="O45" s="361">
        <f>SUM(P9:P24)</f>
        <v>1617</v>
      </c>
      <c r="P45" s="361"/>
      <c r="Q45" s="362"/>
      <c r="R45" s="367"/>
      <c r="S45" s="368"/>
      <c r="T45" s="528"/>
      <c r="U45" s="352">
        <f>SUM(V9:V24)</f>
        <v>35078.399999999441</v>
      </c>
      <c r="V45" s="352"/>
      <c r="W45" s="353"/>
      <c r="X45" s="352">
        <f>SUM(Y9:Y24)</f>
        <v>67818.240000000224</v>
      </c>
      <c r="Y45" s="352"/>
      <c r="Z45" s="353"/>
      <c r="AA45" s="352">
        <f>SUM(AB9:AB24)</f>
        <v>61143.599999999627</v>
      </c>
      <c r="AB45" s="352"/>
      <c r="AC45" s="353"/>
      <c r="AD45" s="352">
        <f>SUM(AE9:AE24)</f>
        <v>82044.480000000447</v>
      </c>
      <c r="AE45" s="352"/>
      <c r="AF45" s="353"/>
      <c r="AG45" s="352">
        <f>SUM(AH9:AH24)</f>
        <v>29426.879999998957</v>
      </c>
      <c r="AH45" s="352"/>
      <c r="AI45" s="353"/>
      <c r="AJ45" s="352">
        <f>SUM(AK9:AK24)</f>
        <v>85308.719999998808</v>
      </c>
      <c r="AK45" s="352"/>
      <c r="AL45" s="353"/>
      <c r="AM45" s="352">
        <f>SUM(AN9:AN24)</f>
        <v>64115.519999999553</v>
      </c>
      <c r="AN45" s="352"/>
      <c r="AO45" s="353"/>
      <c r="AP45" s="352">
        <f>SUM(AQ9:AQ24)</f>
        <v>67915.680000001565</v>
      </c>
      <c r="AQ45" s="352"/>
      <c r="AR45" s="353"/>
      <c r="AS45" s="352">
        <f>SUM(AT9:AT24)</f>
        <v>47063.519999999553</v>
      </c>
      <c r="AT45" s="352"/>
      <c r="AU45" s="353"/>
      <c r="AV45" s="352">
        <f>SUM(AW9:AW24)</f>
        <v>86088.239999998361</v>
      </c>
      <c r="AW45" s="352"/>
      <c r="AX45" s="352"/>
      <c r="AY45" s="586"/>
      <c r="AZ45" s="353">
        <f>SUM(BA9:BA24)</f>
        <v>292100</v>
      </c>
      <c r="BA45" s="359"/>
      <c r="BB45" s="359"/>
      <c r="BC45" s="359">
        <f>SUM(BD9:BD24)</f>
        <v>430900</v>
      </c>
      <c r="BD45" s="359"/>
      <c r="BE45" s="359"/>
      <c r="BF45" s="359">
        <f>SUM(BG9:BG24)</f>
        <v>133400</v>
      </c>
      <c r="BG45" s="359"/>
      <c r="BH45" s="35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7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9">
        <f>SUM(CL9:CL24)</f>
        <v>1071</v>
      </c>
      <c r="CL45" s="359"/>
      <c r="CM45" s="359"/>
      <c r="CN45" s="359">
        <f>SUM(CO9:CO24)</f>
        <v>1550</v>
      </c>
      <c r="CO45" s="359"/>
      <c r="CP45" s="359"/>
      <c r="CQ45" s="359">
        <f>SUM(CR9:CR24)</f>
        <v>3066</v>
      </c>
      <c r="CR45" s="359"/>
      <c r="CS45" s="359"/>
      <c r="CT45" s="105"/>
      <c r="CU45" s="197"/>
      <c r="CV45" s="45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1"/>
      <c r="DT45" s="583" t="s">
        <v>102</v>
      </c>
      <c r="DU45" s="584"/>
      <c r="DV45" s="584"/>
      <c r="DW45" s="584"/>
      <c r="DX45" s="584"/>
      <c r="DY45" s="584"/>
      <c r="DZ45" s="584"/>
      <c r="EA45" s="584"/>
      <c r="EB45" s="584"/>
      <c r="EC45" s="584"/>
      <c r="ED45" s="584"/>
      <c r="EE45" s="584"/>
      <c r="EF45" s="584"/>
      <c r="EG45" s="584"/>
      <c r="EH45" s="584"/>
      <c r="EI45" s="584"/>
      <c r="EJ45" s="585"/>
      <c r="EK45" s="564"/>
      <c r="EL45" s="564"/>
      <c r="EM45" s="564"/>
      <c r="EN45" s="564"/>
      <c r="EO45" s="564"/>
      <c r="EP45" s="564"/>
      <c r="EQ45" s="564"/>
      <c r="ER45" s="564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6"/>
      <c r="AZ46" s="357">
        <f>AZ44-AZ45</f>
        <v>0</v>
      </c>
      <c r="BA46" s="358"/>
      <c r="BB46" s="358"/>
      <c r="BC46" s="357">
        <f>BC45-BC44</f>
        <v>0</v>
      </c>
      <c r="BD46" s="358"/>
      <c r="BE46" s="358"/>
      <c r="BF46" s="357">
        <f>BF45-BF44</f>
        <v>0</v>
      </c>
      <c r="BG46" s="358"/>
      <c r="BH46" s="35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7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571"/>
      <c r="CG46" s="571"/>
      <c r="CH46" s="571"/>
      <c r="CI46" s="571"/>
      <c r="CJ46" s="571"/>
      <c r="CK46" s="571"/>
      <c r="CL46" s="571"/>
      <c r="CM46" s="571"/>
      <c r="CN46" s="571"/>
      <c r="CO46" s="571"/>
      <c r="CP46" s="571"/>
      <c r="CQ46" s="571"/>
      <c r="CR46" s="571"/>
      <c r="CS46" s="571"/>
      <c r="CT46" s="571"/>
      <c r="CU46" s="572"/>
      <c r="CV46" s="455"/>
    </row>
    <row r="47" spans="1:160" ht="33.75" customHeight="1" x14ac:dyDescent="0.25">
      <c r="A47" s="576" t="s">
        <v>198</v>
      </c>
      <c r="B47" s="576"/>
      <c r="C47" s="577">
        <f>SUM(E9:E39)</f>
        <v>21843</v>
      </c>
      <c r="D47" s="578"/>
      <c r="E47" s="579"/>
      <c r="F47" s="577">
        <f>SUM(H9:H39)</f>
        <v>13803</v>
      </c>
      <c r="G47" s="578"/>
      <c r="H47" s="579"/>
      <c r="I47" s="580">
        <v>7048.9</v>
      </c>
      <c r="J47" s="580"/>
      <c r="K47" s="580">
        <v>7702.2000000000116</v>
      </c>
      <c r="L47" s="580"/>
      <c r="M47" s="580"/>
      <c r="N47" s="580"/>
      <c r="O47" s="580">
        <f>SUM(Q9:Q39)</f>
        <v>2668.2599999999948</v>
      </c>
      <c r="P47" s="580"/>
      <c r="Q47" s="580"/>
      <c r="R47" s="577">
        <v>476</v>
      </c>
      <c r="S47" s="578"/>
      <c r="T47" s="587"/>
      <c r="U47" s="351">
        <f>SUM(W9:W39)</f>
        <v>-8125472.8800000008</v>
      </c>
      <c r="V47" s="352"/>
      <c r="W47" s="353"/>
      <c r="X47" s="351">
        <f>SUM(Z9:Z39)</f>
        <v>-15438880.799999999</v>
      </c>
      <c r="Y47" s="352"/>
      <c r="Z47" s="353"/>
      <c r="AA47" s="351">
        <f>SUM(AC9:AC39)</f>
        <v>-15753173.52</v>
      </c>
      <c r="AB47" s="352"/>
      <c r="AC47" s="353"/>
      <c r="AD47" s="351">
        <f>SUM(AF9:AF39)</f>
        <v>-18820730.879999999</v>
      </c>
      <c r="AE47" s="352"/>
      <c r="AF47" s="353"/>
      <c r="AG47" s="351">
        <f>SUM(AI9:AI39)</f>
        <v>-19140870</v>
      </c>
      <c r="AH47" s="352"/>
      <c r="AI47" s="353"/>
      <c r="AJ47" s="351">
        <f>SUM(AL9:AL39)</f>
        <v>-17520394.080000002</v>
      </c>
      <c r="AK47" s="352"/>
      <c r="AL47" s="353"/>
      <c r="AM47" s="351">
        <f>SUM(AO9:AO39)</f>
        <v>-14752513.439999999</v>
      </c>
      <c r="AN47" s="352"/>
      <c r="AO47" s="353"/>
      <c r="AP47" s="351">
        <f>SUM(AR9:AR39)</f>
        <v>-14272426.559999999</v>
      </c>
      <c r="AQ47" s="352"/>
      <c r="AR47" s="353"/>
      <c r="AS47" s="351">
        <f>SUM(AU9:AU39)</f>
        <v>-11154687.6</v>
      </c>
      <c r="AT47" s="352"/>
      <c r="AU47" s="353"/>
      <c r="AV47" s="351">
        <f>SUM(AX9:AX39)</f>
        <v>-17655543.359999999</v>
      </c>
      <c r="AW47" s="352"/>
      <c r="AX47" s="352"/>
      <c r="AY47" s="586"/>
      <c r="AZ47" s="337">
        <v>347300</v>
      </c>
      <c r="BA47" s="337"/>
      <c r="BB47" s="338"/>
      <c r="BC47" s="345">
        <v>361100</v>
      </c>
      <c r="BD47" s="337"/>
      <c r="BE47" s="338"/>
      <c r="BF47" s="345">
        <v>558842</v>
      </c>
      <c r="BG47" s="337"/>
      <c r="BH47" s="33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6">
        <v>131110</v>
      </c>
      <c r="BT47" s="347"/>
      <c r="BU47" s="567"/>
      <c r="BV47" s="348"/>
      <c r="BW47" s="348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51">
        <f>SUM(CM9:CM39)</f>
        <v>-267458</v>
      </c>
      <c r="CL47" s="352"/>
      <c r="CM47" s="353"/>
      <c r="CN47" s="351">
        <f>SUM(CP9:CP39)</f>
        <v>-214182</v>
      </c>
      <c r="CO47" s="352"/>
      <c r="CP47" s="353"/>
      <c r="CQ47" s="351">
        <f>SUM(CS9:CS39)</f>
        <v>-353835</v>
      </c>
      <c r="CR47" s="352"/>
      <c r="CS47" s="353"/>
      <c r="CT47" s="339">
        <v>3894</v>
      </c>
      <c r="CU47" s="340"/>
      <c r="CV47" s="455"/>
      <c r="DJ47" s="4">
        <v>487.2</v>
      </c>
    </row>
    <row r="48" spans="1:160" ht="30" customHeight="1" x14ac:dyDescent="0.25">
      <c r="A48" s="592" t="s">
        <v>199</v>
      </c>
      <c r="B48" s="592"/>
      <c r="C48" s="577">
        <f>SUM(D10:D39)</f>
        <v>-205274</v>
      </c>
      <c r="D48" s="578"/>
      <c r="E48" s="579"/>
      <c r="F48" s="577">
        <f>SUM(G9:G39)</f>
        <v>-237720</v>
      </c>
      <c r="G48" s="578"/>
      <c r="H48" s="579"/>
      <c r="I48" s="577">
        <f>SUM(J10:J39)</f>
        <v>-6008</v>
      </c>
      <c r="J48" s="579"/>
      <c r="K48" s="577">
        <f>SUM(L9:L39)</f>
        <v>-918944</v>
      </c>
      <c r="L48" s="579"/>
      <c r="M48" s="577"/>
      <c r="N48" s="579"/>
      <c r="O48" s="577">
        <f>SUM(P9:P39)</f>
        <v>-115205</v>
      </c>
      <c r="P48" s="578"/>
      <c r="Q48" s="579"/>
      <c r="R48" s="577">
        <f>SUM(S9:S39)</f>
        <v>-6237</v>
      </c>
      <c r="S48" s="578"/>
      <c r="T48" s="587"/>
      <c r="U48" s="588">
        <f>SUM(V9:V39)</f>
        <v>-8125472.8800000008</v>
      </c>
      <c r="V48" s="589"/>
      <c r="W48" s="590"/>
      <c r="X48" s="588">
        <f>SUM(Y9:Y39)</f>
        <v>-15438880.799999999</v>
      </c>
      <c r="Y48" s="589"/>
      <c r="Z48" s="590"/>
      <c r="AA48" s="341">
        <f>SUM(AB9:AB39)</f>
        <v>-15753173.52</v>
      </c>
      <c r="AB48" s="342"/>
      <c r="AC48" s="343"/>
      <c r="AD48" s="341">
        <f>SUM(AE9:AE39)</f>
        <v>-18820730.879999999</v>
      </c>
      <c r="AE48" s="342"/>
      <c r="AF48" s="343"/>
      <c r="AG48" s="341">
        <f>SUM(AH9:AH39)</f>
        <v>-19140870</v>
      </c>
      <c r="AH48" s="342"/>
      <c r="AI48" s="343"/>
      <c r="AJ48" s="341">
        <f>SUM(AK9:AK39)</f>
        <v>-17520394.080000002</v>
      </c>
      <c r="AK48" s="342"/>
      <c r="AL48" s="343"/>
      <c r="AM48" s="341">
        <f>SUM(AN9:AN39)</f>
        <v>-14752513.439999999</v>
      </c>
      <c r="AN48" s="342"/>
      <c r="AO48" s="343"/>
      <c r="AP48" s="341">
        <f>SUM(AQ9:AQ39)</f>
        <v>-14272426.559999999</v>
      </c>
      <c r="AQ48" s="342"/>
      <c r="AR48" s="343"/>
      <c r="AS48" s="341">
        <f>SUM(AT9:AT39)</f>
        <v>-11154687.6</v>
      </c>
      <c r="AT48" s="342"/>
      <c r="AU48" s="343"/>
      <c r="AV48" s="341">
        <f>SUM(AW9:AW39)</f>
        <v>-17655543.359999999</v>
      </c>
      <c r="AW48" s="342"/>
      <c r="AX48" s="342"/>
      <c r="AY48" s="586"/>
      <c r="AZ48" s="337">
        <f>SUM(BA9:BA40)</f>
        <v>-77840000</v>
      </c>
      <c r="BA48" s="337"/>
      <c r="BB48" s="338"/>
      <c r="BC48" s="337">
        <f t="shared" ref="BC48" si="0">SUM(BD9:BD40)</f>
        <v>-80452400</v>
      </c>
      <c r="BD48" s="337"/>
      <c r="BE48" s="338"/>
      <c r="BF48" s="337">
        <f t="shared" ref="BF48" si="1">SUM(BG9:BG40)</f>
        <v>-74637500</v>
      </c>
      <c r="BG48" s="337"/>
      <c r="BH48" s="33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4">
        <f>SUM(BT9:BT39)</f>
        <v>-10171610</v>
      </c>
      <c r="BT48" s="344"/>
      <c r="BU48" s="567"/>
      <c r="BV48" s="354"/>
      <c r="BW48" s="355"/>
      <c r="BX48" s="117"/>
      <c r="BY48" s="349">
        <f>SUM(BZ9:BZ39)</f>
        <v>-64169</v>
      </c>
      <c r="BZ48" s="350"/>
      <c r="CA48" s="349">
        <f>SUM(CB9:CB39)</f>
        <v>-55264</v>
      </c>
      <c r="CB48" s="350"/>
      <c r="CC48" s="349">
        <f>SUM(CD9:CD39)</f>
        <v>-18695</v>
      </c>
      <c r="CD48" s="350"/>
      <c r="CE48" s="349">
        <f>SUM(CF9:CF39)</f>
        <v>-25508</v>
      </c>
      <c r="CF48" s="350"/>
      <c r="CG48" s="349">
        <f>SUM(CH9:CH39)</f>
        <v>-28364</v>
      </c>
      <c r="CH48" s="350"/>
      <c r="CI48" s="349">
        <f>SUM(CJ9:CJ39)</f>
        <v>-62228</v>
      </c>
      <c r="CJ48" s="350"/>
      <c r="CK48" s="349">
        <f>SUM(CL9:CL39)</f>
        <v>-267458</v>
      </c>
      <c r="CL48" s="356"/>
      <c r="CM48" s="350"/>
      <c r="CN48" s="349">
        <f>SUM(CO9:CO39)</f>
        <v>-214182</v>
      </c>
      <c r="CO48" s="356"/>
      <c r="CP48" s="350"/>
      <c r="CQ48" s="349">
        <f>SUM(CR9:CR39)</f>
        <v>-353835</v>
      </c>
      <c r="CR48" s="356"/>
      <c r="CS48" s="350"/>
      <c r="CT48" s="349">
        <f>SUM(CU9:CU39)</f>
        <v>-693437</v>
      </c>
      <c r="CU48" s="356"/>
      <c r="CV48" s="455"/>
    </row>
    <row r="49" spans="1:159" ht="30" customHeight="1" x14ac:dyDescent="0.25">
      <c r="A49" s="303" t="s">
        <v>46</v>
      </c>
      <c r="B49" s="303"/>
      <c r="C49" s="304">
        <f>C47-C48</f>
        <v>227117</v>
      </c>
      <c r="D49" s="305"/>
      <c r="E49" s="306"/>
      <c r="F49" s="304">
        <f>F47-F48</f>
        <v>251523</v>
      </c>
      <c r="G49" s="305"/>
      <c r="H49" s="306"/>
      <c r="I49" s="304">
        <f>I47-I48</f>
        <v>13056.9</v>
      </c>
      <c r="J49" s="306"/>
      <c r="K49" s="304">
        <f>K47-K48</f>
        <v>926646.2</v>
      </c>
      <c r="L49" s="306"/>
      <c r="M49" s="304"/>
      <c r="N49" s="306"/>
      <c r="O49" s="591">
        <f>O47-O48</f>
        <v>117873.26</v>
      </c>
      <c r="P49" s="591"/>
      <c r="Q49" s="591"/>
      <c r="R49" s="304">
        <f>R47-R48</f>
        <v>6713</v>
      </c>
      <c r="S49" s="305"/>
      <c r="T49" s="587"/>
      <c r="U49" s="301">
        <f>U48-U47</f>
        <v>0</v>
      </c>
      <c r="V49" s="302"/>
      <c r="W49" s="593"/>
      <c r="X49" s="301">
        <f>X47-X48</f>
        <v>0</v>
      </c>
      <c r="Y49" s="302"/>
      <c r="Z49" s="593"/>
      <c r="AA49" s="301">
        <f>AA47-AA48</f>
        <v>0</v>
      </c>
      <c r="AB49" s="302"/>
      <c r="AC49" s="593"/>
      <c r="AD49" s="301">
        <f>AD47-AD48</f>
        <v>0</v>
      </c>
      <c r="AE49" s="302"/>
      <c r="AF49" s="593"/>
      <c r="AG49" s="301">
        <f>AG47-AG48</f>
        <v>0</v>
      </c>
      <c r="AH49" s="302"/>
      <c r="AI49" s="593"/>
      <c r="AJ49" s="301">
        <f>AJ47-AJ48</f>
        <v>0</v>
      </c>
      <c r="AK49" s="302"/>
      <c r="AL49" s="593"/>
      <c r="AM49" s="301">
        <f>AM47-AM48</f>
        <v>0</v>
      </c>
      <c r="AN49" s="302"/>
      <c r="AO49" s="593"/>
      <c r="AP49" s="301">
        <f>AP47-AP48</f>
        <v>0</v>
      </c>
      <c r="AQ49" s="302"/>
      <c r="AR49" s="593"/>
      <c r="AS49" s="301">
        <f>AS47-AS48</f>
        <v>0</v>
      </c>
      <c r="AT49" s="302"/>
      <c r="AU49" s="593"/>
      <c r="AV49" s="301">
        <f>AV47-AV48</f>
        <v>0</v>
      </c>
      <c r="AW49" s="302"/>
      <c r="AX49" s="302"/>
      <c r="AY49" s="586"/>
      <c r="AZ49" s="337">
        <f>AZ48-AZ47</f>
        <v>-78187300</v>
      </c>
      <c r="BA49" s="337"/>
      <c r="BB49" s="338"/>
      <c r="BC49" s="337">
        <f t="shared" ref="BC49" si="2">BC48-BC47</f>
        <v>-80813500</v>
      </c>
      <c r="BD49" s="337"/>
      <c r="BE49" s="338"/>
      <c r="BF49" s="337">
        <f t="shared" ref="BF49" si="3">BF48-BF47</f>
        <v>-75196342</v>
      </c>
      <c r="BG49" s="337"/>
      <c r="BH49" s="33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5"/>
      <c r="BT49" s="338"/>
      <c r="BU49" s="567"/>
      <c r="BV49" s="329"/>
      <c r="BW49" s="33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8">
        <f>CK47-CK48</f>
        <v>0</v>
      </c>
      <c r="CL49" s="594"/>
      <c r="CM49" s="595"/>
      <c r="CN49" s="308">
        <f>CN47-CN48</f>
        <v>0</v>
      </c>
      <c r="CO49" s="594"/>
      <c r="CP49" s="595"/>
      <c r="CQ49" s="308">
        <f>CQ47-CQ48</f>
        <v>0</v>
      </c>
      <c r="CR49" s="594"/>
      <c r="CS49" s="595"/>
      <c r="CT49" s="307">
        <f>CT47-CT48</f>
        <v>697331</v>
      </c>
      <c r="CU49" s="308"/>
      <c r="CV49" s="455"/>
    </row>
    <row r="50" spans="1:159" ht="31.5" customHeight="1" thickBot="1" x14ac:dyDescent="0.3">
      <c r="A50" s="309" t="s">
        <v>137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 t="s">
        <v>200</v>
      </c>
      <c r="V50" s="311"/>
      <c r="W50" s="311"/>
      <c r="X50" s="311"/>
      <c r="Y50" s="311"/>
      <c r="Z50" s="312"/>
      <c r="AA50" s="313">
        <f>SUM(U47,X47,AA47,AD47,AG47,AJ47,AM47,AP47,AS47,AV47)</f>
        <v>-152634693.12</v>
      </c>
      <c r="AB50" s="314"/>
      <c r="AC50" s="314"/>
      <c r="AD50" s="314"/>
      <c r="AE50" s="314"/>
      <c r="AF50" s="315"/>
      <c r="AG50" s="316" t="s">
        <v>201</v>
      </c>
      <c r="AH50" s="317"/>
      <c r="AI50" s="317"/>
      <c r="AJ50" s="317"/>
      <c r="AK50" s="317"/>
      <c r="AL50" s="318"/>
      <c r="AM50" s="319">
        <f>SUM(U48,X48,AA48,AD48,AG48,AJ48,AM48,AP48,AS48,AV48)</f>
        <v>-152634693.12</v>
      </c>
      <c r="AN50" s="320"/>
      <c r="AO50" s="320"/>
      <c r="AP50" s="320"/>
      <c r="AQ50" s="320"/>
      <c r="AR50" s="321"/>
      <c r="AS50" s="322" t="s">
        <v>138</v>
      </c>
      <c r="AT50" s="323"/>
      <c r="AU50" s="324"/>
      <c r="AV50" s="322">
        <f>AA50-AM50</f>
        <v>0</v>
      </c>
      <c r="AW50" s="323"/>
      <c r="AX50" s="323"/>
      <c r="AY50" s="586"/>
      <c r="AZ50" s="325">
        <v>42751</v>
      </c>
      <c r="BA50" s="326"/>
      <c r="BB50" s="327"/>
      <c r="BC50" s="325">
        <v>43116</v>
      </c>
      <c r="BD50" s="326"/>
      <c r="BE50" s="327"/>
      <c r="BF50" s="330" t="s">
        <v>46</v>
      </c>
      <c r="BG50" s="331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3"/>
      <c r="BT50" s="334"/>
      <c r="BU50" s="567"/>
      <c r="BV50" s="329"/>
      <c r="BW50" s="33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9"/>
      <c r="CL50" s="336"/>
      <c r="CM50" s="335"/>
      <c r="CN50" s="329"/>
      <c r="CO50" s="336"/>
      <c r="CP50" s="335"/>
      <c r="CQ50" s="329"/>
      <c r="CR50" s="336"/>
      <c r="CS50" s="335"/>
      <c r="CT50" s="328"/>
      <c r="CU50" s="329"/>
      <c r="CV50" s="456"/>
    </row>
    <row r="51" spans="1:159" ht="27.75" customHeight="1" x14ac:dyDescent="0.3">
      <c r="A51" s="596"/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34"/>
      <c r="U51" s="597" t="s">
        <v>202</v>
      </c>
      <c r="V51" s="598"/>
      <c r="W51" s="598"/>
      <c r="X51" s="598"/>
      <c r="Y51" s="598"/>
      <c r="Z51" s="599"/>
      <c r="AA51" s="313">
        <f>SUM(U44:AX44)</f>
        <v>626003.27999999654</v>
      </c>
      <c r="AB51" s="314"/>
      <c r="AC51" s="314"/>
      <c r="AD51" s="314"/>
      <c r="AE51" s="314"/>
      <c r="AF51" s="315"/>
      <c r="AG51" s="600" t="s">
        <v>203</v>
      </c>
      <c r="AH51" s="601"/>
      <c r="AI51" s="601"/>
      <c r="AJ51" s="601"/>
      <c r="AK51" s="601"/>
      <c r="AL51" s="602"/>
      <c r="AM51" s="603">
        <f>SUM(U45:AX45)</f>
        <v>626003.27999999654</v>
      </c>
      <c r="AN51" s="603"/>
      <c r="AO51" s="603"/>
      <c r="AP51" s="603"/>
      <c r="AQ51" s="603"/>
      <c r="AR51" s="603"/>
      <c r="AS51" s="322" t="s">
        <v>138</v>
      </c>
      <c r="AT51" s="323"/>
      <c r="AU51" s="324"/>
      <c r="AV51" s="322">
        <f>AA51-AM51</f>
        <v>0</v>
      </c>
      <c r="AW51" s="323"/>
      <c r="AX51" s="324"/>
      <c r="AY51" s="586"/>
      <c r="AZ51" s="330">
        <f>SUM(AZ47,BC47,BF47)</f>
        <v>1267242</v>
      </c>
      <c r="BA51" s="331"/>
      <c r="BB51" s="332"/>
      <c r="BC51" s="330">
        <f>SUM(AZ48:BG48)</f>
        <v>-232929900</v>
      </c>
      <c r="BD51" s="331"/>
      <c r="BE51" s="332"/>
      <c r="BF51" s="330">
        <v>643100</v>
      </c>
      <c r="BG51" s="331"/>
      <c r="BH51" s="33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3"/>
      <c r="BT51" s="334"/>
      <c r="BU51" s="567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6"/>
      <c r="B52" s="606"/>
      <c r="C52" s="606"/>
      <c r="D52" s="607"/>
      <c r="E52" s="607"/>
      <c r="F52" s="607"/>
      <c r="G52" s="608"/>
      <c r="H52" s="608"/>
      <c r="I52" s="608"/>
      <c r="J52" s="608"/>
      <c r="K52" s="123"/>
      <c r="L52" s="607"/>
      <c r="M52" s="607"/>
      <c r="N52" s="607"/>
      <c r="O52" s="607"/>
      <c r="P52" s="36"/>
      <c r="Q52" s="36"/>
      <c r="R52" s="124"/>
      <c r="S52" s="37"/>
      <c r="T52" s="38"/>
      <c r="U52" s="609"/>
      <c r="V52" s="609"/>
      <c r="W52" s="39"/>
      <c r="X52" s="610"/>
      <c r="Y52" s="610"/>
      <c r="Z52" s="7"/>
      <c r="AA52" s="125"/>
      <c r="AY52" s="586"/>
    </row>
    <row r="53" spans="1:159" ht="25.5" customHeight="1" x14ac:dyDescent="0.25">
      <c r="A53" s="611">
        <v>487.2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1"/>
      <c r="AK53" s="611"/>
      <c r="AL53" s="611"/>
      <c r="AM53" s="611"/>
      <c r="AN53" s="611"/>
      <c r="AO53" s="611"/>
      <c r="AP53" s="611"/>
      <c r="AQ53" s="611"/>
      <c r="AR53" s="611"/>
      <c r="AS53" s="611"/>
      <c r="AT53" s="611"/>
      <c r="AU53" s="611"/>
      <c r="AV53" s="611"/>
      <c r="AW53" s="611"/>
      <c r="AX53" s="611"/>
      <c r="AY53" s="611"/>
      <c r="AZ53" s="611"/>
      <c r="BA53" s="611"/>
      <c r="BB53" s="611"/>
      <c r="BC53" s="611"/>
      <c r="BD53" s="611"/>
      <c r="BE53" s="611"/>
      <c r="BF53" s="611"/>
      <c r="BG53" s="611"/>
      <c r="BH53" s="611"/>
      <c r="BI53" s="611"/>
      <c r="BJ53" s="611"/>
      <c r="BK53" s="611"/>
      <c r="BL53" s="611"/>
      <c r="BM53" s="611"/>
      <c r="BN53" s="611"/>
      <c r="BO53" s="611"/>
      <c r="BP53" s="611"/>
      <c r="BQ53" s="611"/>
      <c r="BR53" s="611"/>
      <c r="BS53" s="611"/>
      <c r="BT53" s="611"/>
      <c r="BU53" s="611"/>
      <c r="BV53" s="611"/>
      <c r="BW53" s="611"/>
      <c r="BX53" s="611"/>
      <c r="BY53" s="611"/>
      <c r="BZ53" s="611"/>
      <c r="CA53" s="611"/>
      <c r="CB53" s="611"/>
      <c r="CC53" s="611"/>
      <c r="CD53" s="611"/>
      <c r="CE53" s="611"/>
      <c r="CF53" s="611"/>
      <c r="CG53" s="611"/>
      <c r="CH53" s="611"/>
      <c r="CI53" s="611"/>
      <c r="CJ53" s="611"/>
      <c r="CK53" s="611"/>
      <c r="CL53" s="611"/>
      <c r="CM53" s="611"/>
      <c r="CN53" s="611"/>
      <c r="CO53" s="611"/>
      <c r="CP53" s="611"/>
      <c r="CQ53" s="611"/>
      <c r="CR53" s="611"/>
      <c r="CS53" s="611"/>
      <c r="CT53" s="611"/>
      <c r="CU53" s="611"/>
    </row>
    <row r="54" spans="1:159" s="1" customFormat="1" ht="12.75" customHeight="1" x14ac:dyDescent="0.4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40"/>
      <c r="R54" s="40"/>
      <c r="S54" s="167"/>
      <c r="T54" s="38"/>
      <c r="U54" s="617"/>
      <c r="V54" s="617"/>
      <c r="W54" s="617"/>
      <c r="X54" s="617"/>
      <c r="Y54" s="617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8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6"/>
      <c r="AL55" s="615"/>
      <c r="AM55" s="615"/>
      <c r="AN55" s="615"/>
      <c r="AO55" s="615"/>
      <c r="AP55" s="615"/>
      <c r="AQ55" s="615"/>
      <c r="AR55" s="615"/>
      <c r="AS55" s="615"/>
      <c r="AT55" s="615"/>
      <c r="AU55" s="615"/>
      <c r="AV55" s="615"/>
      <c r="AW55" s="615"/>
      <c r="AX55" s="615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2"/>
      <c r="B56" s="612"/>
      <c r="C56" s="612"/>
      <c r="D56" s="612"/>
      <c r="E56" s="612"/>
      <c r="F56" s="612"/>
      <c r="G56" s="612"/>
      <c r="H56" s="612"/>
      <c r="I56" s="612"/>
      <c r="J56" s="625"/>
      <c r="K56" s="625"/>
      <c r="L56" s="625"/>
      <c r="M56" s="625"/>
      <c r="N56" s="612"/>
      <c r="O56" s="612"/>
      <c r="P56" s="612"/>
      <c r="Q56" s="612"/>
      <c r="R56" s="612"/>
      <c r="S56" s="612"/>
      <c r="T56" s="612"/>
      <c r="U56" s="612"/>
      <c r="V56" s="613">
        <v>487.2</v>
      </c>
      <c r="W56" s="613"/>
      <c r="X56" s="618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4"/>
      <c r="AK56" s="616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5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8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6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5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2"/>
      <c r="D58" s="156"/>
      <c r="E58" s="619"/>
      <c r="F58" s="45"/>
      <c r="G58" s="619"/>
      <c r="H58" s="127"/>
      <c r="I58" s="622"/>
      <c r="J58" s="160"/>
      <c r="K58" s="622"/>
      <c r="L58" s="163"/>
      <c r="M58" s="622"/>
      <c r="N58" s="160"/>
      <c r="O58" s="622"/>
      <c r="P58" s="160"/>
      <c r="Q58" s="619"/>
      <c r="R58" s="128"/>
      <c r="S58" s="141"/>
      <c r="T58" s="47"/>
      <c r="U58" s="128"/>
      <c r="V58" s="48"/>
      <c r="W58" s="619"/>
      <c r="X58" s="618"/>
      <c r="Y58" s="61"/>
      <c r="Z58" s="619"/>
      <c r="AA58" s="49"/>
      <c r="AB58" s="621"/>
      <c r="AC58" s="45"/>
      <c r="AD58" s="622"/>
      <c r="AE58" s="141"/>
      <c r="AF58" s="619"/>
      <c r="AG58" s="45"/>
      <c r="AH58" s="619"/>
      <c r="AI58" s="45"/>
      <c r="AJ58" s="622"/>
      <c r="AK58" s="616"/>
      <c r="AL58" s="51"/>
      <c r="AM58" s="622"/>
      <c r="AN58" s="171"/>
      <c r="AO58" s="619"/>
      <c r="AP58" s="52"/>
      <c r="AQ58" s="619"/>
      <c r="AR58" s="49"/>
      <c r="AS58" s="622"/>
      <c r="AT58" s="61"/>
      <c r="AU58" s="619"/>
      <c r="AV58" s="53"/>
      <c r="AW58" s="620"/>
      <c r="AX58" s="615"/>
      <c r="AY58" s="54"/>
      <c r="AZ58" s="622"/>
      <c r="BA58" s="178"/>
      <c r="BB58" s="619"/>
      <c r="BC58" s="55"/>
      <c r="BD58" s="624"/>
      <c r="BE58" s="55"/>
      <c r="BF58" s="622"/>
      <c r="BG58" s="178"/>
      <c r="BH58" s="619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2"/>
      <c r="D59" s="157"/>
      <c r="E59" s="619"/>
      <c r="F59" s="57"/>
      <c r="G59" s="619"/>
      <c r="H59" s="129"/>
      <c r="I59" s="622"/>
      <c r="J59" s="144"/>
      <c r="K59" s="622"/>
      <c r="L59" s="144"/>
      <c r="M59" s="622"/>
      <c r="N59" s="165"/>
      <c r="O59" s="622"/>
      <c r="P59" s="160"/>
      <c r="Q59" s="619"/>
      <c r="R59" s="128"/>
      <c r="S59" s="141"/>
      <c r="T59" s="47"/>
      <c r="U59" s="128"/>
      <c r="V59" s="48"/>
      <c r="W59" s="619"/>
      <c r="X59" s="618"/>
      <c r="Y59" s="144"/>
      <c r="Z59" s="619"/>
      <c r="AA59" s="49"/>
      <c r="AB59" s="621"/>
      <c r="AC59" s="57"/>
      <c r="AD59" s="622"/>
      <c r="AE59" s="141"/>
      <c r="AF59" s="619"/>
      <c r="AG59" s="57"/>
      <c r="AH59" s="619"/>
      <c r="AI59" s="57"/>
      <c r="AJ59" s="622"/>
      <c r="AK59" s="616"/>
      <c r="AL59" s="51"/>
      <c r="AM59" s="622"/>
      <c r="AN59" s="172"/>
      <c r="AO59" s="619"/>
      <c r="AP59" s="52"/>
      <c r="AQ59" s="619"/>
      <c r="AR59" s="58"/>
      <c r="AS59" s="622"/>
      <c r="AT59" s="172"/>
      <c r="AU59" s="619"/>
      <c r="AV59" s="59"/>
      <c r="AW59" s="621"/>
      <c r="AX59" s="615"/>
      <c r="AY59" s="60"/>
      <c r="AZ59" s="622"/>
      <c r="BA59" s="178"/>
      <c r="BB59" s="619"/>
      <c r="BC59" s="55"/>
      <c r="BD59" s="624"/>
      <c r="BE59" s="55"/>
      <c r="BF59" s="622"/>
      <c r="BG59" s="178"/>
      <c r="BH59" s="619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8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6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5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8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6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5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8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6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5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8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6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5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8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6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5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8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6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5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8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6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5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8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6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5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8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6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5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8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6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5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8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6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5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8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6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5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8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6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5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8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6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5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8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6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5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8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6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5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8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6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5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8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6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5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8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6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5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8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6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5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8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6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5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8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6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5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8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6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5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8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6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5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8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6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5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8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6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5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8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6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5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8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6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5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8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6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5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8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6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5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8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6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5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8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6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5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8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6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5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8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6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5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8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5"/>
      <c r="AQ94" s="605"/>
      <c r="AR94" s="605"/>
      <c r="AS94" s="605"/>
      <c r="AT94" s="605"/>
      <c r="AU94" s="605"/>
      <c r="AV94" s="605"/>
      <c r="AW94" s="6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2022-12-24T12:56:43Z</dcterms:modified>
</cp:coreProperties>
</file>