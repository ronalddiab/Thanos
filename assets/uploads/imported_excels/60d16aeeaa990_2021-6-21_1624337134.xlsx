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6 - 2021" sheetId="5" r:id="rId3"/>
  </sheets>
  <definedNames>
    <definedName name="_xlnm.Print_Area" localSheetId="2">'6 - 2021'!$A$1:$J$35</definedName>
  </definedNames>
  <calcPr calcId="162913"/>
</workbook>
</file>

<file path=xl/calcChain.xml><?xml version="1.0" encoding="utf-8"?>
<calcChain xmlns="http://schemas.openxmlformats.org/spreadsheetml/2006/main">
  <c r="L23" i="3" l="1"/>
  <c r="K23" i="3"/>
  <c r="I23" i="3"/>
  <c r="G23" i="3"/>
  <c r="E23" i="3"/>
  <c r="J23" i="2"/>
  <c r="I23" i="2"/>
  <c r="H23" i="2"/>
  <c r="F23" i="2"/>
  <c r="E23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A27" i="5"/>
  <c r="L19" i="3" l="1"/>
  <c r="K19" i="3"/>
  <c r="I19" i="3"/>
  <c r="G19" i="3"/>
  <c r="E19" i="3"/>
  <c r="J20" i="2"/>
  <c r="I20" i="2"/>
  <c r="H20" i="2"/>
  <c r="F20" i="2"/>
  <c r="E20" i="2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L12" i="3"/>
  <c r="K12" i="3"/>
  <c r="I12" i="3"/>
  <c r="G12" i="3"/>
  <c r="E12" i="3"/>
  <c r="J13" i="2"/>
  <c r="I13" i="2"/>
  <c r="H13" i="2"/>
  <c r="F13" i="2"/>
  <c r="E13" i="2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J8" i="2" l="1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L5" i="3"/>
  <c r="K5" i="3"/>
  <c r="I5" i="3"/>
  <c r="G5" i="3"/>
  <c r="E5" i="3"/>
  <c r="J6" i="2"/>
  <c r="I6" i="2"/>
  <c r="H6" i="2"/>
  <c r="F6" i="2"/>
  <c r="E6" i="2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L31" i="3" l="1"/>
  <c r="L30" i="3"/>
  <c r="L29" i="3"/>
  <c r="L28" i="3"/>
  <c r="L27" i="3"/>
  <c r="L26" i="3"/>
  <c r="L25" i="3"/>
  <c r="L20" i="3"/>
  <c r="L2" i="3"/>
  <c r="K31" i="3"/>
  <c r="K30" i="3"/>
  <c r="K29" i="3"/>
  <c r="K28" i="3"/>
  <c r="K27" i="3"/>
  <c r="K26" i="3"/>
  <c r="K25" i="3"/>
  <c r="K20" i="3"/>
  <c r="K2" i="3"/>
  <c r="I31" i="3"/>
  <c r="I30" i="3"/>
  <c r="I29" i="3"/>
  <c r="I28" i="3"/>
  <c r="I27" i="3"/>
  <c r="I26" i="3"/>
  <c r="I25" i="3"/>
  <c r="I20" i="3"/>
  <c r="I2" i="3"/>
  <c r="E31" i="3"/>
  <c r="E30" i="3"/>
  <c r="E29" i="3"/>
  <c r="E28" i="3"/>
  <c r="E27" i="3"/>
  <c r="E26" i="3"/>
  <c r="E25" i="3"/>
  <c r="E20" i="3"/>
  <c r="G31" i="3" l="1"/>
  <c r="G30" i="3"/>
  <c r="G29" i="3"/>
  <c r="G28" i="3"/>
  <c r="G27" i="3"/>
  <c r="G26" i="3"/>
  <c r="G25" i="3"/>
  <c r="G20" i="3"/>
  <c r="G2" i="3"/>
  <c r="E2" i="3"/>
  <c r="E2" i="2"/>
  <c r="J31" i="2" l="1"/>
  <c r="J30" i="2"/>
  <c r="J29" i="2"/>
  <c r="J28" i="2"/>
  <c r="J27" i="2"/>
  <c r="J26" i="2"/>
  <c r="J25" i="2"/>
  <c r="J2" i="2"/>
  <c r="I31" i="2"/>
  <c r="I30" i="2"/>
  <c r="I29" i="2"/>
  <c r="I28" i="2"/>
  <c r="I27" i="2"/>
  <c r="I26" i="2"/>
  <c r="I25" i="2"/>
  <c r="I2" i="2"/>
  <c r="H31" i="2"/>
  <c r="H30" i="2"/>
  <c r="H29" i="2"/>
  <c r="H28" i="2"/>
  <c r="H27" i="2"/>
  <c r="H26" i="2"/>
  <c r="H25" i="2"/>
  <c r="H2" i="2"/>
  <c r="F31" i="2"/>
  <c r="F30" i="2"/>
  <c r="F29" i="2"/>
  <c r="F28" i="2"/>
  <c r="F27" i="2"/>
  <c r="F26" i="2"/>
  <c r="F25" i="2"/>
  <c r="F2" i="2"/>
  <c r="E31" i="2"/>
  <c r="E30" i="2"/>
  <c r="E29" i="2"/>
  <c r="E28" i="2"/>
  <c r="E27" i="2"/>
  <c r="E26" i="2"/>
  <c r="E25" i="2"/>
  <c r="H40" i="5" l="1"/>
  <c r="K39" i="5"/>
  <c r="J39" i="5"/>
  <c r="I39" i="5"/>
  <c r="I40" i="5" s="1"/>
  <c r="H39" i="5"/>
  <c r="G39" i="5"/>
  <c r="F39" i="5"/>
  <c r="E39" i="5"/>
  <c r="D39" i="5"/>
  <c r="C39" i="5"/>
  <c r="B39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<sst xmlns="http://schemas.openxmlformats.org/spreadsheetml/2006/main" count="106" uniqueCount="39">
  <si>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</si>
  <si>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</si>
  <si>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</si>
  <si>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</si>
  <si>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</si>
  <si>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</si>
  <si>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</si>
  <si>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</si>
  <si>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</si>
  <si>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</si>
  <si>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</si>
  <si>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</si>
  <si>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</si>
  <si>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</si>
  <si>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</si>
  <si>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</si>
  <si>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</si>
  <si>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</si>
  <si>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</si>
  <si>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</si>
  <si>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</si>
  <si>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</si>
  <si>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</si>
  <si>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</si>
  <si>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</si>
  <si>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</si>
  <si>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</si>
  <si>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</si>
  <si>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</si>
  <si>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</si>
  <si>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</si>
  <si>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</si>
  <si>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</si>
  <si>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</si>
  <si>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</si>
  <si>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</si>
  <si>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</si>
  <si>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JUNE' 2021</t>
  </si>
  <si>
    <t>2500 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</si>
</sst>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8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9" fontId="4" fillId="0" borderId="1" xfId="0" applyNumberFormat="1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wrapText="1"/>
    </xf>
    <xf numFmtId="1" fontId="8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wrapText="1"/>
    </xf>
    <xf numFmtId="1" fontId="3" fillId="0" borderId="0" xfId="0" applyNumberFormat="1" applyFont="1"/>
    <xf numFmtId="0" fontId="0" fillId="0" borderId="0" xfId="0" applyBorder="1" applyAlignment="1">
      <alignment horizontal="center"/>
    </xf>
    <xf numFmtId="1" fontId="6" fillId="0" borderId="0" xfId="0" applyNumberFormat="1" applyFont="1" applyBorder="1" applyAlignment="1">
      <alignment horizontal="center" vertical="center"/>
    </xf>
    <xf numFmtId="1" fontId="0" fillId="0" borderId="0" xfId="0" applyNumberFormat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0" fontId="0" fillId="0" borderId="0" xfId="0" applyFill="1"/>
    <xf numFmtId="165" fontId="0" fillId="0" borderId="0" xfId="1" applyNumberFormat="1" applyFont="1"/>
    <xf numFmtId="10" fontId="0" fillId="0" borderId="0" xfId="1" applyNumberFormat="1" applyFont="1"/>
    <xf numFmtId="0" fontId="4" fillId="0" borderId="7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" fontId="4" fillId="0" borderId="5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43" fontId="4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4" fillId="0" borderId="1" xfId="2" applyFont="1" applyBorder="1" applyAlignment="1">
      <alignment horizontal="center"/>
    </xf>
    <xf numFmtId="43" fontId="6" fillId="0" borderId="1" xfId="2" applyFont="1" applyFill="1" applyBorder="1" applyAlignment="1">
      <alignment horizontal="center" vertical="center"/>
    </xf>
    <xf numFmtId="43" fontId="5" fillId="0" borderId="1" xfId="2" applyFont="1" applyBorder="1" applyAlignment="1" applyProtection="1">
      <alignment horizontal="center"/>
      <protection locked="0"/>
    </xf>
    <xf numFmtId="43" fontId="5" fillId="0" borderId="1" xfId="2" applyFont="1" applyBorder="1" applyAlignment="1" applyProtection="1">
      <alignment horizontal="center" vertical="center"/>
      <protection locked="0"/>
    </xf>
    <xf numFmtId="43" fontId="4" fillId="0" borderId="1" xfId="2" applyFont="1" applyBorder="1" applyAlignment="1">
      <alignment horizontal="center" vertical="center"/>
    </xf>
    <xf numFmtId="43" fontId="4" fillId="2" borderId="1" xfId="2" applyFont="1" applyFill="1" applyBorder="1" applyAlignment="1">
      <alignment horizontal="center" vertical="center"/>
    </xf>
    <xf numFmtId="43" fontId="4" fillId="0" borderId="1" xfId="2" applyFont="1" applyBorder="1" applyAlignment="1">
      <alignment horizontal="center" vertical="top"/>
    </xf>
    <xf numFmtId="43" fontId="4" fillId="0" borderId="0" xfId="2" applyFont="1" applyAlignment="1">
      <alignment horizontal="center"/>
    </xf>
    <xf numFmtId="43" fontId="5" fillId="2" borderId="1" xfId="2" applyFont="1" applyFill="1" applyBorder="1" applyAlignment="1" applyProtection="1">
      <alignment horizontal="center" vertical="center"/>
      <protection locked="0"/>
    </xf>
    <xf numFmtId="43" fontId="5" fillId="0" borderId="11" xfId="2" applyFont="1" applyFill="1" applyBorder="1" applyAlignment="1">
      <alignment horizontal="center" vertical="center"/>
    </xf>
    <xf numFmtId="43" fontId="6" fillId="0" borderId="1" xfId="2" applyFont="1" applyBorder="1" applyAlignment="1">
      <alignment horizontal="center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"/>
  <sheetViews>
    <sheetView tabSelected="1" workbookViewId="0">
      <selection activeCell="S25" sqref="S25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38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42" t="s">
        <v>19</v>
      </c>
      <c r="L1" s="4" t="s">
        <v>19</v>
      </c>
      <c r="M1" s="7" t="s">
        <v>20</v>
      </c>
      <c r="N1" s="39" t="s">
        <v>21</v>
      </c>
      <c r="O1" s="4"/>
    </row>
    <row r="2" spans="1:21" x14ac:dyDescent="0.25">
      <c r="A2" t="s">
        <v>27</v>
      </c>
      <c r="B2">
        <v>1</v>
      </c>
      <c r="C2" s="19">
        <v>6</v>
      </c>
      <c r="D2">
        <v>2021</v>
      </c>
      <c r="E2" s="21">
        <f>'6 - 2021'!B8-'6 - 2021'!B7+'6 - 2021'!C8-'6 - 2021'!C7</f>
        <v>10003</v>
      </c>
      <c r="F2" s="19">
        <v>0.11799999999999999</v>
      </c>
      <c r="G2" s="21">
        <f>'6 - 2021'!D8-'6 - 2021'!D7+'6 - 2021'!E8-'6 - 2021'!E7</f>
        <v>25.420000000000073</v>
      </c>
      <c r="H2" s="19">
        <v>0.99</v>
      </c>
      <c r="I2" s="21">
        <f>'6 - 2021'!J8-'6 - 2021'!J7</f>
        <v>34243</v>
      </c>
      <c r="J2" s="19">
        <v>8.1000000000000003E-2</v>
      </c>
      <c r="K2" s="43">
        <f>'6 - 2021'!H8-'6 - 2021'!H7</f>
        <v>0</v>
      </c>
      <c r="L2" s="21">
        <f>'6 - 2021'!I8-'6 - 2021'!I7</f>
        <v>119</v>
      </c>
      <c r="M2" s="20">
        <v>4.393629424766913</v>
      </c>
      <c r="N2" s="21">
        <v>94</v>
      </c>
    </row>
    <row r="3" spans="1:21" x14ac:dyDescent="0.25">
      <c r="A3" t="s">
        <v>27</v>
      </c>
      <c r="B3">
        <f>B2+1</f>
        <v>2</v>
      </c>
      <c r="C3" s="19">
        <v>6</v>
      </c>
      <c r="D3" s="19">
        <v>2021</v>
      </c>
      <c r="E3" s="21">
        <f>'6 - 2021'!B9-'6 - 2021'!B8+'6 - 2021'!C9-'6 - 2021'!C8</f>
        <v>9560</v>
      </c>
      <c r="F3" s="19">
        <v>0.11799999999999999</v>
      </c>
      <c r="G3" s="21">
        <f>'6 - 2021'!D9-'6 - 2021'!D8+'6 - 2021'!E9-'6 - 2021'!E8</f>
        <v>24.460000000000036</v>
      </c>
      <c r="H3" s="19">
        <v>0.99</v>
      </c>
      <c r="I3" s="21">
        <f>'6 - 2021'!J9-'6 - 2021'!J8</f>
        <v>34310</v>
      </c>
      <c r="J3" s="19">
        <v>8.1000000000000003E-2</v>
      </c>
      <c r="K3" s="43">
        <f>'6 - 2021'!H9-'6 - 2021'!H8</f>
        <v>0</v>
      </c>
      <c r="L3" s="21">
        <f>'6 - 2021'!I9-'6 - 2021'!I8</f>
        <v>112</v>
      </c>
      <c r="M3" s="20">
        <v>4.393629424766913</v>
      </c>
      <c r="N3" s="36">
        <v>90</v>
      </c>
    </row>
    <row r="4" spans="1:21" x14ac:dyDescent="0.25">
      <c r="A4" t="s">
        <v>27</v>
      </c>
      <c r="B4">
        <f t="shared" ref="B4:B31" si="0">B3+1</f>
        <v>3</v>
      </c>
      <c r="C4" s="19">
        <v>6</v>
      </c>
      <c r="D4" s="19">
        <v>2021</v>
      </c>
      <c r="E4" s="21">
        <f>'6 - 2021'!B10-'6 - 2021'!B9+'6 - 2021'!C10-'6 - 2021'!C9</f>
        <v>9650</v>
      </c>
      <c r="F4" s="19">
        <v>0.11799999999999999</v>
      </c>
      <c r="G4" s="21">
        <f>'6 - 2021'!D10-'6 - 2021'!D9+'6 - 2021'!E10-'6 - 2021'!E9</f>
        <v>22.299999999999955</v>
      </c>
      <c r="H4" s="19">
        <v>0.99</v>
      </c>
      <c r="I4" s="21">
        <f>'6 - 2021'!J10-'6 - 2021'!J9</f>
        <v>38930</v>
      </c>
      <c r="J4" s="19">
        <v>8.1000000000000003E-2</v>
      </c>
      <c r="K4" s="43">
        <f>'6 - 2021'!H10-'6 - 2021'!H9</f>
        <v>0</v>
      </c>
      <c r="L4" s="21">
        <f>'6 - 2021'!I10-'6 - 2021'!I9</f>
        <v>108</v>
      </c>
      <c r="M4" s="20">
        <v>4.393629424766913</v>
      </c>
      <c r="N4" s="36">
        <v>94</v>
      </c>
    </row>
    <row r="5" spans="1:21" x14ac:dyDescent="0.25">
      <c r="A5" t="s">
        <v>27</v>
      </c>
      <c r="B5">
        <f t="shared" si="0"/>
        <v>4</v>
      </c>
      <c r="C5" s="19">
        <v>6</v>
      </c>
      <c r="D5" s="19">
        <v>2021</v>
      </c>
      <c r="E5" s="21">
        <f>'6 - 2021'!B11-'6 - 2021'!B10+'6 - 2021'!C11-'6 - 2021'!C10</f>
        <v>10695</v>
      </c>
      <c r="F5" s="19">
        <v>0.11799999999999999</v>
      </c>
      <c r="G5" s="21">
        <f>'6 - 2021'!D11-'6 - 2021'!D10+'6 - 2021'!E11-'6 - 2021'!E10</f>
        <v>28.990000000000009</v>
      </c>
      <c r="H5" s="19">
        <v>0.99</v>
      </c>
      <c r="I5" s="21">
        <f>'6 - 2021'!J11-'6 - 2021'!J10</f>
        <v>41096</v>
      </c>
      <c r="J5" s="19">
        <v>8.1000000000000003E-2</v>
      </c>
      <c r="K5" s="43">
        <f>'6 - 2021'!H11-'6 - 2021'!H10</f>
        <v>0</v>
      </c>
      <c r="L5" s="21">
        <f>'6 - 2021'!I11-'6 - 2021'!I10</f>
        <v>111</v>
      </c>
      <c r="M5" s="20">
        <v>4.393629424766913</v>
      </c>
      <c r="N5" s="36">
        <v>81</v>
      </c>
      <c r="R5" s="19"/>
    </row>
    <row r="6" spans="1:21" x14ac:dyDescent="0.25">
      <c r="A6" t="s">
        <v>27</v>
      </c>
      <c r="B6">
        <f t="shared" si="0"/>
        <v>5</v>
      </c>
      <c r="C6" s="19">
        <v>6</v>
      </c>
      <c r="D6" s="19">
        <v>2021</v>
      </c>
      <c r="E6" s="21">
        <f>'6 - 2021'!B12-'6 - 2021'!B11+'6 - 2021'!C12-'6 - 2021'!C11</f>
        <v>9150</v>
      </c>
      <c r="F6" s="19">
        <v>0.11799999999999999</v>
      </c>
      <c r="G6" s="21">
        <f>'6 - 2021'!D12-'6 - 2021'!D11+'6 - 2021'!E12-'6 - 2021'!E11</f>
        <v>29.620000000000118</v>
      </c>
      <c r="H6" s="19">
        <v>0.99</v>
      </c>
      <c r="I6" s="21">
        <f>'6 - 2021'!J12-'6 - 2021'!J11</f>
        <v>36810</v>
      </c>
      <c r="J6" s="19">
        <v>8.1000000000000003E-2</v>
      </c>
      <c r="K6" s="43">
        <f>'6 - 2021'!H12-'6 - 2021'!H11</f>
        <v>0</v>
      </c>
      <c r="L6" s="21">
        <f>'6 - 2021'!I12-'6 - 2021'!I11</f>
        <v>125</v>
      </c>
      <c r="M6" s="20">
        <v>4.393629424766913</v>
      </c>
      <c r="N6" s="36">
        <v>73</v>
      </c>
    </row>
    <row r="7" spans="1:21" x14ac:dyDescent="0.25">
      <c r="A7" t="s">
        <v>27</v>
      </c>
      <c r="B7">
        <f t="shared" si="0"/>
        <v>6</v>
      </c>
      <c r="C7" s="19">
        <v>6</v>
      </c>
      <c r="D7" s="19">
        <v>2021</v>
      </c>
      <c r="E7" s="21">
        <f>'6 - 2021'!B13-'6 - 2021'!B12+'6 - 2021'!C13-'6 - 2021'!C12</f>
        <v>9497</v>
      </c>
      <c r="F7" s="19">
        <v>0.11799999999999999</v>
      </c>
      <c r="G7" s="21">
        <f>'6 - 2021'!D13-'6 - 2021'!D12+'6 - 2021'!E13-'6 - 2021'!E12</f>
        <v>27.579999999999927</v>
      </c>
      <c r="H7" s="19">
        <v>0.99</v>
      </c>
      <c r="I7" s="21">
        <f>'6 - 2021'!J13-'6 - 2021'!J12</f>
        <v>40735</v>
      </c>
      <c r="J7" s="19">
        <v>8.1000000000000003E-2</v>
      </c>
      <c r="K7" s="43">
        <f>'6 - 2021'!H13-'6 - 2021'!H12</f>
        <v>0</v>
      </c>
      <c r="L7" s="21">
        <f>'6 - 2021'!I13-'6 - 2021'!I12</f>
        <v>98</v>
      </c>
      <c r="M7" s="20">
        <v>4.393629424766913</v>
      </c>
      <c r="N7" s="36">
        <v>65</v>
      </c>
    </row>
    <row r="8" spans="1:21" x14ac:dyDescent="0.25">
      <c r="A8" t="s">
        <v>27</v>
      </c>
      <c r="B8">
        <f t="shared" si="0"/>
        <v>7</v>
      </c>
      <c r="C8" s="19">
        <v>6</v>
      </c>
      <c r="D8" s="19">
        <v>2021</v>
      </c>
      <c r="E8" s="21">
        <f>'6 - 2021'!B14-'6 - 2021'!B13+'6 - 2021'!C14-'6 - 2021'!C13</f>
        <v>10073</v>
      </c>
      <c r="F8" s="19">
        <v>0.11799999999999999</v>
      </c>
      <c r="G8" s="21">
        <f>'6 - 2021'!D14-'6 - 2021'!D13+'6 - 2021'!E14-'6 - 2021'!E13</f>
        <v>31.910000000000082</v>
      </c>
      <c r="H8" s="19">
        <v>0.99</v>
      </c>
      <c r="I8" s="21">
        <f>'6 - 2021'!J14-'6 - 2021'!J13</f>
        <v>40520</v>
      </c>
      <c r="J8" s="19">
        <v>8.1000000000000003E-2</v>
      </c>
      <c r="K8" s="43">
        <f>'6 - 2021'!H14-'6 - 2021'!H13</f>
        <v>0</v>
      </c>
      <c r="L8" s="21">
        <f>'6 - 2021'!I14-'6 - 2021'!I13</f>
        <v>117</v>
      </c>
      <c r="M8" s="20">
        <v>4.393629424766913</v>
      </c>
      <c r="N8" s="38">
        <v>75</v>
      </c>
      <c r="O8" s="21"/>
    </row>
    <row r="9" spans="1:21" x14ac:dyDescent="0.25">
      <c r="A9" t="s">
        <v>27</v>
      </c>
      <c r="B9">
        <f t="shared" si="0"/>
        <v>8</v>
      </c>
      <c r="C9" s="19">
        <v>6</v>
      </c>
      <c r="D9" s="19">
        <v>2021</v>
      </c>
      <c r="E9" s="21">
        <f>'6 - 2021'!B15-'6 - 2021'!B14+'6 - 2021'!C15-'6 - 2021'!C14</f>
        <v>9624</v>
      </c>
      <c r="F9" s="19">
        <v>0.11799999999999999</v>
      </c>
      <c r="G9" s="21">
        <f>'6 - 2021'!D15-'6 - 2021'!D14+'6 - 2021'!E15-'6 - 2021'!E14</f>
        <v>28.430000000000064</v>
      </c>
      <c r="H9" s="19">
        <v>0.99</v>
      </c>
      <c r="I9" s="21">
        <f>'6 - 2021'!J15-'6 - 2021'!J14</f>
        <v>40255</v>
      </c>
      <c r="J9" s="19">
        <v>8.1000000000000003E-2</v>
      </c>
      <c r="K9" s="43">
        <f>'6 - 2021'!H15-'6 - 2021'!H14</f>
        <v>0</v>
      </c>
      <c r="L9" s="21">
        <f>'6 - 2021'!I15-'6 - 2021'!I14</f>
        <v>101</v>
      </c>
      <c r="M9" s="20">
        <v>4.393629424766913</v>
      </c>
      <c r="N9" s="36">
        <v>73</v>
      </c>
    </row>
    <row r="10" spans="1:21" x14ac:dyDescent="0.25">
      <c r="A10" t="s">
        <v>27</v>
      </c>
      <c r="B10">
        <f t="shared" si="0"/>
        <v>9</v>
      </c>
      <c r="C10" s="19">
        <v>6</v>
      </c>
      <c r="D10" s="19">
        <v>2021</v>
      </c>
      <c r="E10" s="21">
        <f>'6 - 2021'!B16-'6 - 2021'!B15+'6 - 2021'!C16-'6 - 2021'!C15</f>
        <v>10873</v>
      </c>
      <c r="F10" s="19">
        <v>0.11799999999999999</v>
      </c>
      <c r="G10" s="21">
        <f>'6 - 2021'!D16-'6 - 2021'!D15+'6 - 2021'!E16-'6 - 2021'!E15</f>
        <v>28.220000000000027</v>
      </c>
      <c r="H10" s="19">
        <v>0.99</v>
      </c>
      <c r="I10" s="21">
        <f>'6 - 2021'!J16-'6 - 2021'!J15</f>
        <v>46276</v>
      </c>
      <c r="J10" s="19">
        <v>8.1000000000000003E-2</v>
      </c>
      <c r="K10" s="43">
        <f>'6 - 2021'!H16-'6 - 2021'!H15</f>
        <v>0</v>
      </c>
      <c r="L10" s="21">
        <f>'6 - 2021'!I16-'6 - 2021'!I15</f>
        <v>120</v>
      </c>
      <c r="M10" s="20">
        <v>4.393629424766913</v>
      </c>
      <c r="N10" s="36">
        <v>85</v>
      </c>
    </row>
    <row r="11" spans="1:21" x14ac:dyDescent="0.25">
      <c r="A11" t="s">
        <v>27</v>
      </c>
      <c r="B11">
        <f t="shared" si="0"/>
        <v>10</v>
      </c>
      <c r="C11" s="19">
        <v>6</v>
      </c>
      <c r="D11" s="19">
        <v>2021</v>
      </c>
      <c r="E11" s="21">
        <f>'6 - 2021'!B17-'6 - 2021'!B16+'6 - 2021'!C17-'6 - 2021'!C16</f>
        <v>8603</v>
      </c>
      <c r="F11" s="19">
        <v>0.11799999999999999</v>
      </c>
      <c r="G11" s="21">
        <f>'6 - 2021'!D17-'6 - 2021'!D16+'6 - 2021'!E17-'6 - 2021'!E16</f>
        <v>25.620000000000118</v>
      </c>
      <c r="H11" s="19">
        <v>0.99</v>
      </c>
      <c r="I11" s="21">
        <f>'6 - 2021'!J17-'6 - 2021'!J16</f>
        <v>34119</v>
      </c>
      <c r="J11" s="19">
        <v>8.1000000000000003E-2</v>
      </c>
      <c r="K11" s="43">
        <f>'6 - 2021'!H17-'6 - 2021'!H16</f>
        <v>0</v>
      </c>
      <c r="L11" s="21">
        <f>'6 - 2021'!I17-'6 - 2021'!I16</f>
        <v>93</v>
      </c>
      <c r="M11" s="20">
        <v>4.393629424766913</v>
      </c>
      <c r="N11" s="36">
        <v>80</v>
      </c>
    </row>
    <row r="12" spans="1:21" x14ac:dyDescent="0.25">
      <c r="A12" t="s">
        <v>27</v>
      </c>
      <c r="B12">
        <f t="shared" si="0"/>
        <v>11</v>
      </c>
      <c r="C12" s="19">
        <v>6</v>
      </c>
      <c r="D12" s="19">
        <v>2021</v>
      </c>
      <c r="E12" s="21">
        <f>'6 - 2021'!B18-'6 - 2021'!B17+'6 - 2021'!C18-'6 - 2021'!C17</f>
        <v>9586</v>
      </c>
      <c r="F12" s="19">
        <v>0.11799999999999999</v>
      </c>
      <c r="G12" s="21">
        <f>'6 - 2021'!D18-'6 - 2021'!D17+'6 - 2021'!E18-'6 - 2021'!E17</f>
        <v>24.720000000000027</v>
      </c>
      <c r="H12" s="19">
        <v>0.99</v>
      </c>
      <c r="I12" s="21">
        <f>'6 - 2021'!J18-'6 - 2021'!J17</f>
        <v>38243</v>
      </c>
      <c r="J12" s="19">
        <v>8.1000000000000003E-2</v>
      </c>
      <c r="K12" s="43">
        <f>'6 - 2021'!H18-'6 - 2021'!H17</f>
        <v>0</v>
      </c>
      <c r="L12" s="21">
        <f>'6 - 2021'!I18-'6 - 2021'!I17</f>
        <v>98</v>
      </c>
      <c r="M12" s="20">
        <v>4.393629424766913</v>
      </c>
      <c r="N12" s="21">
        <v>70</v>
      </c>
    </row>
    <row r="13" spans="1:21" x14ac:dyDescent="0.25">
      <c r="A13" t="s">
        <v>27</v>
      </c>
      <c r="B13">
        <f t="shared" si="0"/>
        <v>12</v>
      </c>
      <c r="C13" s="19">
        <v>6</v>
      </c>
      <c r="D13" s="19">
        <v>2021</v>
      </c>
      <c r="E13" s="21">
        <f>'6 - 2021'!B19-'6 - 2021'!B18+'6 - 2021'!C19-'6 - 2021'!C18</f>
        <v>9730</v>
      </c>
      <c r="F13" s="19">
        <v>0.11799999999999999</v>
      </c>
      <c r="G13" s="21">
        <f>'6 - 2021'!D19-'6 - 2021'!D18+'6 - 2021'!E19-'6 - 2021'!E18</f>
        <v>26.670000000000073</v>
      </c>
      <c r="H13" s="19">
        <v>0.99</v>
      </c>
      <c r="I13" s="21">
        <f>'6 - 2021'!J19-'6 - 2021'!J18</f>
        <v>37492</v>
      </c>
      <c r="J13" s="19">
        <v>8.1000000000000003E-2</v>
      </c>
      <c r="K13" s="43">
        <f>'6 - 2021'!H19-'6 - 2021'!H18</f>
        <v>0</v>
      </c>
      <c r="L13" s="21">
        <f>'6 - 2021'!I19-'6 - 2021'!I18</f>
        <v>102</v>
      </c>
      <c r="M13" s="20">
        <v>4.393629424766913</v>
      </c>
      <c r="N13" s="21">
        <v>76</v>
      </c>
    </row>
    <row r="14" spans="1:21" x14ac:dyDescent="0.25">
      <c r="A14" t="s">
        <v>27</v>
      </c>
      <c r="B14">
        <f t="shared" si="0"/>
        <v>13</v>
      </c>
      <c r="C14" s="19">
        <v>6</v>
      </c>
      <c r="D14" s="19">
        <v>2021</v>
      </c>
      <c r="E14" s="21">
        <f>'6 - 2021'!B20-'6 - 2021'!B19+'6 - 2021'!C20-'6 - 2021'!C19</f>
        <v>9282</v>
      </c>
      <c r="F14" s="19">
        <v>0.11799999999999999</v>
      </c>
      <c r="G14" s="21">
        <f>'6 - 2021'!D20-'6 - 2021'!D19+'6 - 2021'!E20-'6 - 2021'!E19</f>
        <v>22.879999999999882</v>
      </c>
      <c r="H14" s="19">
        <v>0.99</v>
      </c>
      <c r="I14" s="21">
        <f>'6 - 2021'!J20-'6 - 2021'!J19</f>
        <v>38188</v>
      </c>
      <c r="J14" s="19">
        <v>8.1000000000000003E-2</v>
      </c>
      <c r="K14" s="43">
        <f>'6 - 2021'!H20-'6 - 2021'!H19</f>
        <v>0</v>
      </c>
      <c r="L14" s="21">
        <f>'6 - 2021'!I20-'6 - 2021'!I19</f>
        <v>100</v>
      </c>
      <c r="M14" s="20">
        <v>4.393629424766913</v>
      </c>
      <c r="N14" s="21">
        <v>50</v>
      </c>
      <c r="O14" s="21"/>
    </row>
    <row r="15" spans="1:21" x14ac:dyDescent="0.25">
      <c r="A15" t="s">
        <v>27</v>
      </c>
      <c r="B15">
        <f t="shared" si="0"/>
        <v>14</v>
      </c>
      <c r="C15" s="19">
        <v>6</v>
      </c>
      <c r="D15" s="19">
        <v>2021</v>
      </c>
      <c r="E15" s="21">
        <f>'6 - 2021'!B21-'6 - 2021'!B20+'6 - 2021'!C21-'6 - 2021'!C20</f>
        <v>9771</v>
      </c>
      <c r="F15" s="19">
        <v>0.11799999999999999</v>
      </c>
      <c r="G15" s="21">
        <f>'6 - 2021'!D21-'6 - 2021'!D20+'6 - 2021'!E21-'6 - 2021'!E20</f>
        <v>27.950000000000273</v>
      </c>
      <c r="H15" s="19">
        <v>0.99</v>
      </c>
      <c r="I15" s="21">
        <f>'6 - 2021'!J21-'6 - 2021'!J20</f>
        <v>38640</v>
      </c>
      <c r="J15" s="19">
        <v>8.1000000000000003E-2</v>
      </c>
      <c r="K15" s="43">
        <f>'6 - 2021'!H21-'6 - 2021'!H20</f>
        <v>0</v>
      </c>
      <c r="L15" s="21">
        <f>'6 - 2021'!I21-'6 - 2021'!I20</f>
        <v>94</v>
      </c>
      <c r="M15" s="20">
        <v>4.393629424766913</v>
      </c>
      <c r="N15" s="21">
        <v>37</v>
      </c>
    </row>
    <row r="16" spans="1:21" x14ac:dyDescent="0.25">
      <c r="A16" t="s">
        <v>27</v>
      </c>
      <c r="B16">
        <f t="shared" si="0"/>
        <v>15</v>
      </c>
      <c r="C16" s="19">
        <v>6</v>
      </c>
      <c r="D16" s="19">
        <v>2021</v>
      </c>
      <c r="E16" s="21">
        <f>'6 - 2021'!B22-'6 - 2021'!B21+'6 - 2021'!C22-'6 - 2021'!C21</f>
        <v>9362</v>
      </c>
      <c r="F16" s="19">
        <v>0.11799999999999999</v>
      </c>
      <c r="G16" s="21">
        <f>'6 - 2021'!D22-'6 - 2021'!D21+'6 - 2021'!E22-'6 - 2021'!E21</f>
        <v>25.069999999999936</v>
      </c>
      <c r="H16" s="19">
        <v>0.99</v>
      </c>
      <c r="I16" s="21">
        <f>'6 - 2021'!J22-'6 - 2021'!J21</f>
        <v>35376</v>
      </c>
      <c r="J16" s="19">
        <v>8.1000000000000003E-2</v>
      </c>
      <c r="K16" s="43">
        <f>'6 - 2021'!H22-'6 - 2021'!H21</f>
        <v>0</v>
      </c>
      <c r="L16" s="21">
        <f>'6 - 2021'!I22-'6 - 2021'!I21</f>
        <v>96</v>
      </c>
      <c r="M16" s="20">
        <v>4.393629424766913</v>
      </c>
      <c r="N16" s="21">
        <v>40</v>
      </c>
      <c r="U16" s="19"/>
    </row>
    <row r="17" spans="1:16" x14ac:dyDescent="0.25">
      <c r="A17" t="s">
        <v>27</v>
      </c>
      <c r="B17">
        <f t="shared" si="0"/>
        <v>16</v>
      </c>
      <c r="C17" s="19">
        <v>6</v>
      </c>
      <c r="D17" s="19">
        <v>2021</v>
      </c>
      <c r="E17" s="21">
        <f>'6 - 2021'!B23-'6 - 2021'!B22+'6 - 2021'!C23-'6 - 2021'!C22</f>
        <v>9634</v>
      </c>
      <c r="F17" s="19">
        <v>0.11799999999999999</v>
      </c>
      <c r="G17" s="21">
        <f>'6 - 2021'!D23-'6 - 2021'!D22+'6 - 2021'!E23-'6 - 2021'!E22</f>
        <v>22.029999999999973</v>
      </c>
      <c r="H17" s="19">
        <v>0.99</v>
      </c>
      <c r="I17" s="21">
        <f>'6 - 2021'!J23-'6 - 2021'!J22</f>
        <v>34396</v>
      </c>
      <c r="J17" s="19">
        <v>8.1000000000000003E-2</v>
      </c>
      <c r="K17" s="43">
        <f>'6 - 2021'!H23-'6 - 2021'!H22</f>
        <v>0</v>
      </c>
      <c r="L17" s="21">
        <f>'6 - 2021'!I23-'6 - 2021'!I22</f>
        <v>94</v>
      </c>
      <c r="M17" s="20">
        <v>4.393629424766913</v>
      </c>
      <c r="N17" s="21">
        <v>64</v>
      </c>
      <c r="O17" s="19"/>
    </row>
    <row r="18" spans="1:16" x14ac:dyDescent="0.25">
      <c r="A18" t="s">
        <v>27</v>
      </c>
      <c r="B18">
        <f t="shared" si="0"/>
        <v>17</v>
      </c>
      <c r="C18" s="19">
        <v>6</v>
      </c>
      <c r="D18" s="19">
        <v>2021</v>
      </c>
      <c r="E18" s="21">
        <f>'6 - 2021'!B24-'6 - 2021'!B23+'6 - 2021'!C24-'6 - 2021'!C23</f>
        <v>9425</v>
      </c>
      <c r="F18" s="19">
        <v>0.11799999999999999</v>
      </c>
      <c r="G18" s="21">
        <f>'6 - 2021'!D24-'6 - 2021'!D23+'6 - 2021'!E24-'6 - 2021'!E23</f>
        <v>23.560000000000173</v>
      </c>
      <c r="H18" s="19">
        <v>0.99</v>
      </c>
      <c r="I18" s="21">
        <f>'6 - 2021'!J24-'6 - 2021'!J23</f>
        <v>31011</v>
      </c>
      <c r="J18" s="19">
        <v>8.1000000000000003E-2</v>
      </c>
      <c r="K18" s="43">
        <f>'6 - 2021'!H24-'6 - 2021'!H23</f>
        <v>0</v>
      </c>
      <c r="L18" s="21">
        <f>'6 - 2021'!I24-'6 - 2021'!I23</f>
        <v>105</v>
      </c>
      <c r="M18" s="20">
        <v>4.393629424766913</v>
      </c>
      <c r="N18" s="21">
        <v>74</v>
      </c>
    </row>
    <row r="19" spans="1:16" x14ac:dyDescent="0.25">
      <c r="A19" t="s">
        <v>27</v>
      </c>
      <c r="B19">
        <f>B18+1</f>
        <v>18</v>
      </c>
      <c r="C19" s="19">
        <v>6</v>
      </c>
      <c r="D19" s="19">
        <v>2021</v>
      </c>
      <c r="E19" s="21">
        <f>'6 - 2021'!B25-'6 - 2021'!B24+'6 - 2021'!C25-'6 - 2021'!C24</f>
        <v>9909</v>
      </c>
      <c r="F19" s="19">
        <v>0.11799999999999999</v>
      </c>
      <c r="G19" s="21">
        <f>'6 - 2021'!D25-'6 - 2021'!D24+'6 - 2021'!E25-'6 - 2021'!E24</f>
        <v>26.420000000000073</v>
      </c>
      <c r="H19" s="19">
        <v>0.99</v>
      </c>
      <c r="I19" s="21">
        <f>'6 - 2021'!J25-'6 - 2021'!J24</f>
        <v>38345</v>
      </c>
      <c r="J19" s="19">
        <v>8.1000000000000003E-2</v>
      </c>
      <c r="K19" s="43">
        <f>'6 - 2021'!H25-'6 - 2021'!H24</f>
        <v>0</v>
      </c>
      <c r="L19" s="21">
        <f>'6 - 2021'!I25-'6 - 2021'!I24</f>
        <v>111</v>
      </c>
      <c r="M19" s="20">
        <v>4.393629424766913</v>
      </c>
      <c r="N19" s="37">
        <v>90</v>
      </c>
    </row>
    <row r="20" spans="1:16" x14ac:dyDescent="0.25">
      <c r="A20" t="s">
        <v>27</v>
      </c>
      <c r="B20">
        <f t="shared" si="0"/>
        <v>19</v>
      </c>
      <c r="C20" s="19">
        <v>6</v>
      </c>
      <c r="D20" s="19">
        <v>2021</v>
      </c>
      <c r="E20" s="21">
        <f>'6 - 2021'!B26-'6 - 2021'!B25+'6 - 2021'!C26-'6 - 2021'!C25</f>
        <v>9878</v>
      </c>
      <c r="F20" s="19">
        <v>0.11799999999999999</v>
      </c>
      <c r="G20" s="21">
        <f>'6 - 2021'!D26-'6 - 2021'!D25+'6 - 2021'!E26-'6 - 2021'!E25</f>
        <v>27</v>
      </c>
      <c r="H20" s="19">
        <v>0.99</v>
      </c>
      <c r="I20" s="21">
        <f>'6 - 2021'!J26-'6 - 2021'!J25</f>
        <v>39772</v>
      </c>
      <c r="J20" s="19">
        <v>8.1000000000000003E-2</v>
      </c>
      <c r="K20" s="43">
        <f>'6 - 2021'!H26-'6 - 2021'!H25</f>
        <v>0</v>
      </c>
      <c r="L20" s="21">
        <f>'6 - 2021'!I26-'6 - 2021'!I25</f>
        <v>101</v>
      </c>
      <c r="M20" s="20">
        <v>4.393629424766913</v>
      </c>
      <c r="N20" s="37">
        <v>88</v>
      </c>
    </row>
    <row r="21" spans="1:16" x14ac:dyDescent="0.25">
      <c r="A21" t="s">
        <v>27</v>
      </c>
      <c r="B21">
        <f t="shared" si="0"/>
        <v>20</v>
      </c>
      <c r="C21" s="19">
        <v>6</v>
      </c>
      <c r="D21" s="19">
        <v>2021</v>
      </c>
      <c r="E21" s="21">
        <f>'6 - 2021'!B27-'6 - 2021'!B26+'6 - 2021'!C27-'6 - 2021'!C26</f>
        <v>9641</v>
      </c>
      <c r="F21" s="19">
        <v>0.11799999999999999</v>
      </c>
      <c r="G21" s="21">
        <f>'6 - 2021'!D27-'6 - 2021'!D26+'6 - 2021'!E27-'6 - 2021'!E26</f>
        <v>23.160000000000082</v>
      </c>
      <c r="H21" s="19">
        <v>0.99</v>
      </c>
      <c r="I21" s="21">
        <f>'6 - 2021'!J27-'6 - 2021'!J26</f>
        <v>45060</v>
      </c>
      <c r="J21" s="19">
        <v>8.1000000000000003E-2</v>
      </c>
      <c r="K21" s="43">
        <f>'6 - 2021'!H27-'6 - 2021'!H26</f>
        <v>0</v>
      </c>
      <c r="L21" s="21">
        <f>'6 - 2021'!I27-'6 - 2021'!I26</f>
        <v>119</v>
      </c>
      <c r="M21" s="20">
        <v>4.393629424766913</v>
      </c>
      <c r="N21" s="37">
        <v>78</v>
      </c>
    </row>
    <row r="22" spans="1:16" x14ac:dyDescent="0.25">
      <c r="A22" t="s">
        <v>27</v>
      </c>
      <c r="B22">
        <f t="shared" si="0"/>
        <v>21</v>
      </c>
      <c r="C22" s="19">
        <v>6</v>
      </c>
      <c r="D22" s="19">
        <v>2021</v>
      </c>
      <c r="E22" s="21">
        <f>'6 - 2021'!B28-'6 - 2021'!B27+'6 - 2021'!C28-'6 - 2021'!C27</f>
        <v>10120</v>
      </c>
      <c r="F22" s="19">
        <v>0.11799999999999999</v>
      </c>
      <c r="G22" s="21">
        <f>'6 - 2021'!D28-'6 - 2021'!D27+'6 - 2021'!E28-'6 - 2021'!E27</f>
        <v>24.230000000000018</v>
      </c>
      <c r="H22" s="19">
        <v>0.99</v>
      </c>
      <c r="I22" s="21">
        <f>'6 - 2021'!J28-'6 - 2021'!J27</f>
        <v>41832</v>
      </c>
      <c r="J22" s="19">
        <v>8.1000000000000003E-2</v>
      </c>
      <c r="K22" s="43">
        <f>'6 - 2021'!H28-'6 - 2021'!H27</f>
        <v>0</v>
      </c>
      <c r="L22" s="21">
        <f>'6 - 2021'!I28-'6 - 2021'!I27</f>
        <v>100</v>
      </c>
      <c r="M22" s="20">
        <v>4.393629424766913</v>
      </c>
      <c r="N22" s="37">
        <v>88</v>
      </c>
    </row>
    <row r="23" spans="1:16" x14ac:dyDescent="0.25">
      <c r="A23" t="s">
        <v>27</v>
      </c>
      <c r="B23">
        <f t="shared" si="0"/>
        <v>22</v>
      </c>
      <c r="C23" s="19">
        <v>6</v>
      </c>
      <c r="D23" s="19">
        <v>2021</v>
      </c>
      <c r="E23" s="21">
        <f>'6 - 2021'!B29-'6 - 2021'!B28+'6 - 2021'!C29-'6 - 2021'!C28</f>
        <v>9656</v>
      </c>
      <c r="F23" s="19">
        <v>0.11799999999999999</v>
      </c>
      <c r="G23" s="21">
        <f>'6 - 2021'!D29-'6 - 2021'!D28+'6 - 2021'!E29-'6 - 2021'!E28</f>
        <v>20.800000000000182</v>
      </c>
      <c r="H23" s="19">
        <v>0.99</v>
      </c>
      <c r="I23" s="21">
        <f>'6 - 2021'!J29-'6 - 2021'!J28</f>
        <v>37024</v>
      </c>
      <c r="J23" s="19">
        <v>8.1000000000000003E-2</v>
      </c>
      <c r="K23" s="43">
        <f>'6 - 2021'!H29-'6 - 2021'!H28</f>
        <v>0</v>
      </c>
      <c r="L23" s="21">
        <f>'6 - 2021'!I29-'6 - 2021'!I28</f>
        <v>101</v>
      </c>
      <c r="M23" s="20">
        <v>4.393629424766913</v>
      </c>
      <c r="N23" s="37">
        <v>76</v>
      </c>
    </row>
    <row r="24" spans="1:16" x14ac:dyDescent="0.25">
      <c r="A24" t="s">
        <v>27</v>
      </c>
      <c r="B24">
        <f t="shared" si="0"/>
        <v>23</v>
      </c>
      <c r="C24" s="19">
        <v>6</v>
      </c>
      <c r="D24" s="19">
        <v>2021</v>
      </c>
      <c r="E24" s="21">
        <v>0</v>
      </c>
      <c r="F24" s="19">
        <v>0.11799999999999999</v>
      </c>
      <c r="G24" s="21">
        <v>0</v>
      </c>
      <c r="H24" s="19">
        <v>0.99</v>
      </c>
      <c r="I24" s="21">
        <v>0</v>
      </c>
      <c r="J24" s="19">
        <v>8.1000000000000003E-2</v>
      </c>
      <c r="K24" s="43">
        <v>0</v>
      </c>
      <c r="L24" s="21">
        <v>0</v>
      </c>
      <c r="M24" s="20">
        <v>4.393629424766913</v>
      </c>
      <c r="N24" s="37"/>
    </row>
    <row r="25" spans="1:16" x14ac:dyDescent="0.25">
      <c r="A25" t="s">
        <v>27</v>
      </c>
      <c r="B25">
        <f t="shared" si="0"/>
        <v>24</v>
      </c>
      <c r="C25" s="19">
        <v>6</v>
      </c>
      <c r="D25" s="19">
        <v>2021</v>
      </c>
      <c r="E25" s="21">
        <f>'6 - 2021'!B31-'6 - 2021'!B30+'6 - 2021'!C31-'6 - 2021'!C30</f>
        <v>0</v>
      </c>
      <c r="F25" s="19">
        <v>0.11799999999999999</v>
      </c>
      <c r="G25" s="21">
        <f>'6 - 2021'!D31-'6 - 2021'!D30+'6 - 2021'!E31-'6 - 2021'!E30</f>
        <v>0</v>
      </c>
      <c r="H25" s="19">
        <v>0.99</v>
      </c>
      <c r="I25" s="21">
        <f>'6 - 2021'!J31-'6 - 2021'!J30</f>
        <v>0</v>
      </c>
      <c r="J25" s="19">
        <v>8.1000000000000003E-2</v>
      </c>
      <c r="K25" s="43">
        <f>'6 - 2021'!H31-'6 - 2021'!H30</f>
        <v>0</v>
      </c>
      <c r="L25" s="21">
        <f>'6 - 2021'!I31-'6 - 2021'!I30</f>
        <v>0</v>
      </c>
      <c r="M25" s="20">
        <v>4.393629424766913</v>
      </c>
      <c r="N25" s="37"/>
      <c r="P25" s="14"/>
    </row>
    <row r="26" spans="1:16" x14ac:dyDescent="0.25">
      <c r="A26" t="s">
        <v>27</v>
      </c>
      <c r="B26">
        <f>B25+1</f>
        <v>25</v>
      </c>
      <c r="C26" s="19">
        <v>6</v>
      </c>
      <c r="D26" s="19">
        <v>2021</v>
      </c>
      <c r="E26" s="21">
        <f>'6 - 2021'!B32-'6 - 2021'!B31+'6 - 2021'!C32-'6 - 2021'!C31</f>
        <v>0</v>
      </c>
      <c r="F26" s="19">
        <v>0.11799999999999999</v>
      </c>
      <c r="G26" s="21">
        <f>'6 - 2021'!D32-'6 - 2021'!D31+'6 - 2021'!E32-'6 - 2021'!E31</f>
        <v>0</v>
      </c>
      <c r="H26" s="19">
        <v>0.99</v>
      </c>
      <c r="I26" s="21">
        <f>'6 - 2021'!J32-'6 - 2021'!J31</f>
        <v>0</v>
      </c>
      <c r="J26" s="19">
        <v>8.1000000000000003E-2</v>
      </c>
      <c r="K26" s="43">
        <f>'6 - 2021'!H32-'6 - 2021'!H31</f>
        <v>0</v>
      </c>
      <c r="L26" s="21">
        <f>'6 - 2021'!I32-'6 - 2021'!I31</f>
        <v>0</v>
      </c>
      <c r="M26" s="20">
        <v>4.393629424766913</v>
      </c>
      <c r="N26" s="37"/>
    </row>
    <row r="27" spans="1:16" x14ac:dyDescent="0.25">
      <c r="A27" t="s">
        <v>27</v>
      </c>
      <c r="B27">
        <f t="shared" si="0"/>
        <v>26</v>
      </c>
      <c r="C27" s="19">
        <v>6</v>
      </c>
      <c r="D27" s="19">
        <v>2021</v>
      </c>
      <c r="E27" s="21">
        <f>'6 - 2021'!B33-'6 - 2021'!B32+'6 - 2021'!C33-'6 - 2021'!C32</f>
        <v>0</v>
      </c>
      <c r="F27" s="19">
        <v>0.11799999999999999</v>
      </c>
      <c r="G27" s="21">
        <f>'6 - 2021'!D33-'6 - 2021'!D32+'6 - 2021'!E33-'6 - 2021'!E32</f>
        <v>0</v>
      </c>
      <c r="H27" s="19">
        <v>0.99</v>
      </c>
      <c r="I27" s="21">
        <f>'6 - 2021'!J33-'6 - 2021'!J32</f>
        <v>0</v>
      </c>
      <c r="J27" s="19">
        <v>8.1000000000000003E-2</v>
      </c>
      <c r="K27" s="43">
        <f>'6 - 2021'!H33-'6 - 2021'!H32</f>
        <v>0</v>
      </c>
      <c r="L27" s="21">
        <f>'6 - 2021'!I33-'6 - 2021'!I32</f>
        <v>0</v>
      </c>
      <c r="M27" s="20">
        <v>4.393629424766913</v>
      </c>
      <c r="N27" s="37"/>
    </row>
    <row r="28" spans="1:16" x14ac:dyDescent="0.25">
      <c r="A28" t="s">
        <v>27</v>
      </c>
      <c r="B28">
        <f t="shared" si="0"/>
        <v>27</v>
      </c>
      <c r="C28" s="19">
        <v>6</v>
      </c>
      <c r="D28" s="19">
        <v>2021</v>
      </c>
      <c r="E28" s="21">
        <f>'6 - 2021'!B34-'6 - 2021'!B33+'6 - 2021'!C34-'6 - 2021'!C33</f>
        <v>0</v>
      </c>
      <c r="F28" s="19">
        <v>0.11799999999999999</v>
      </c>
      <c r="G28" s="21">
        <f>'6 - 2021'!D34-'6 - 2021'!D33+'6 - 2021'!E34-'6 - 2021'!E33</f>
        <v>0</v>
      </c>
      <c r="H28" s="19">
        <v>0.99</v>
      </c>
      <c r="I28" s="21">
        <f>'6 - 2021'!J34-'6 - 2021'!J33</f>
        <v>0</v>
      </c>
      <c r="J28" s="19">
        <v>8.1000000000000003E-2</v>
      </c>
      <c r="K28" s="43">
        <f>'6 - 2021'!H34-'6 - 2021'!H33</f>
        <v>0</v>
      </c>
      <c r="L28" s="21">
        <f>'6 - 2021'!I34-'6 - 2021'!I33</f>
        <v>0</v>
      </c>
      <c r="M28" s="20">
        <v>4.393629424766913</v>
      </c>
      <c r="N28" s="37"/>
    </row>
    <row r="29" spans="1:16" x14ac:dyDescent="0.25">
      <c r="A29" t="s">
        <v>27</v>
      </c>
      <c r="B29">
        <f t="shared" si="0"/>
        <v>28</v>
      </c>
      <c r="C29" s="19">
        <v>6</v>
      </c>
      <c r="D29" s="19">
        <v>2021</v>
      </c>
      <c r="E29" s="21">
        <f>'6 - 2021'!B35-'6 - 2021'!B34+'6 - 2021'!C35-'6 - 2021'!C34</f>
        <v>0</v>
      </c>
      <c r="F29" s="19">
        <v>0.11799999999999999</v>
      </c>
      <c r="G29" s="21">
        <f>'6 - 2021'!D35-'6 - 2021'!D34+'6 - 2021'!E35-'6 - 2021'!E34</f>
        <v>0</v>
      </c>
      <c r="H29" s="19">
        <v>0.99</v>
      </c>
      <c r="I29" s="21">
        <f>'6 - 2021'!J35-'6 - 2021'!J34</f>
        <v>0</v>
      </c>
      <c r="J29" s="19">
        <v>8.1000000000000003E-2</v>
      </c>
      <c r="K29" s="43">
        <f>'6 - 2021'!H35-'6 - 2021'!H34</f>
        <v>0</v>
      </c>
      <c r="L29" s="21">
        <f>'6 - 2021'!I35-'6 - 2021'!I34</f>
        <v>0</v>
      </c>
      <c r="M29" s="20">
        <v>4.393629424766913</v>
      </c>
      <c r="N29" s="37"/>
    </row>
    <row r="30" spans="1:16" x14ac:dyDescent="0.25">
      <c r="A30" s="19" t="s">
        <v>27</v>
      </c>
      <c r="B30" s="19">
        <f t="shared" si="0"/>
        <v>29</v>
      </c>
      <c r="C30" s="19">
        <v>6</v>
      </c>
      <c r="D30" s="19">
        <v>2021</v>
      </c>
      <c r="E30" s="21">
        <f>'6 - 2021'!B36-'6 - 2021'!B35+'6 - 2021'!C36-'6 - 2021'!C35</f>
        <v>0</v>
      </c>
      <c r="F30" s="19">
        <v>0.11799999999999999</v>
      </c>
      <c r="G30" s="21">
        <f>'6 - 2021'!D36-'6 - 2021'!D35+'6 - 2021'!E36-'6 - 2021'!E35</f>
        <v>0</v>
      </c>
      <c r="H30" s="19">
        <v>0.99</v>
      </c>
      <c r="I30" s="21">
        <f>'6 - 2021'!J36-'6 - 2021'!J35</f>
        <v>0</v>
      </c>
      <c r="J30" s="19">
        <v>8.1000000000000003E-2</v>
      </c>
      <c r="K30" s="43">
        <f>'6 - 2021'!H36-'6 - 2021'!H35</f>
        <v>0</v>
      </c>
      <c r="L30" s="21">
        <f>'6 - 2021'!I36-'6 - 2021'!I35</f>
        <v>0</v>
      </c>
      <c r="M30" s="20">
        <v>4.393629424766913</v>
      </c>
      <c r="N30" s="37"/>
    </row>
    <row r="31" spans="1:16" x14ac:dyDescent="0.25">
      <c r="A31" s="19" t="s">
        <v>27</v>
      </c>
      <c r="B31" s="19">
        <f t="shared" si="0"/>
        <v>30</v>
      </c>
      <c r="C31" s="19">
        <v>6</v>
      </c>
      <c r="D31" s="19">
        <v>2021</v>
      </c>
      <c r="E31" s="21">
        <f>'6 - 2021'!B37-'6 - 2021'!B36+'6 - 2021'!C37-'6 - 2021'!C36</f>
        <v>0</v>
      </c>
      <c r="F31" s="19">
        <v>0.11799999999999999</v>
      </c>
      <c r="G31" s="21">
        <f>'6 - 2021'!D37-'6 - 2021'!D36+'6 - 2021'!E37-'6 - 2021'!E36</f>
        <v>0</v>
      </c>
      <c r="H31" s="19">
        <v>0.99</v>
      </c>
      <c r="I31" s="21">
        <f>'6 - 2021'!J37-'6 - 2021'!J36</f>
        <v>0</v>
      </c>
      <c r="J31" s="19">
        <v>8.1000000000000003E-2</v>
      </c>
      <c r="K31" s="43">
        <f>'6 - 2021'!H37-'6 - 2021'!H36</f>
        <v>0</v>
      </c>
      <c r="L31" s="21">
        <f>'6 - 2021'!I37-'6 - 2021'!I36</f>
        <v>0</v>
      </c>
      <c r="M31" s="20">
        <v>4.393629424766913</v>
      </c>
    </row>
    <row r="32" spans="1:16" x14ac:dyDescent="0.25">
      <c r="I32" s="21"/>
      <c r="K32" s="43"/>
      <c r="L32" s="2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workbookViewId="0">
      <selection activeCell="R21" sqref="R21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 s="19">
        <v>6</v>
      </c>
      <c r="D2">
        <v>2021</v>
      </c>
      <c r="E2" s="21">
        <f>'6 - 2021'!B8-'6 - 2021'!B7</f>
        <v>3671</v>
      </c>
      <c r="F2" s="21">
        <f>'6 - 2021'!C8-'6 - 2021'!C7</f>
        <v>6332</v>
      </c>
      <c r="G2" s="19">
        <v>0.11799999999999999</v>
      </c>
      <c r="H2" s="21">
        <f>'6 - 2021'!E8-'6 - 2021'!E7</f>
        <v>25.420000000000073</v>
      </c>
      <c r="I2" s="21">
        <f>'6 - 2021'!F8-'6 - 2021'!F7</f>
        <v>5.2799999999997453</v>
      </c>
      <c r="J2" s="21">
        <f>'6 - 2021'!G8-'6 - 2021'!G7</f>
        <v>26.690000000002328</v>
      </c>
      <c r="K2" s="19">
        <v>0.74</v>
      </c>
      <c r="L2" s="21">
        <v>94</v>
      </c>
      <c r="M2" s="12"/>
    </row>
    <row r="3" spans="1:13" x14ac:dyDescent="0.25">
      <c r="A3" t="s">
        <v>27</v>
      </c>
      <c r="B3">
        <f>B2+1</f>
        <v>2</v>
      </c>
      <c r="C3" s="19">
        <v>6</v>
      </c>
      <c r="D3" s="19">
        <v>2021</v>
      </c>
      <c r="E3" s="21">
        <f>'6 - 2021'!B9-'6 - 2021'!B8</f>
        <v>3481</v>
      </c>
      <c r="F3" s="21">
        <f>'6 - 2021'!C9-'6 - 2021'!C8</f>
        <v>6079</v>
      </c>
      <c r="G3" s="19">
        <v>0.11799999999999999</v>
      </c>
      <c r="H3" s="21">
        <f>'6 - 2021'!E9-'6 - 2021'!E8</f>
        <v>24.460000000000036</v>
      </c>
      <c r="I3" s="21">
        <f>'6 - 2021'!F9-'6 - 2021'!F8</f>
        <v>4.2699999999999818</v>
      </c>
      <c r="J3" s="21">
        <f>'6 - 2021'!G9-'6 - 2021'!G8</f>
        <v>31.819999999999709</v>
      </c>
      <c r="K3" s="19">
        <v>0.74</v>
      </c>
      <c r="L3" s="36">
        <v>90</v>
      </c>
      <c r="M3" s="12"/>
    </row>
    <row r="4" spans="1:13" x14ac:dyDescent="0.25">
      <c r="A4" t="s">
        <v>27</v>
      </c>
      <c r="B4">
        <f t="shared" ref="B4:B31" si="0">B3+1</f>
        <v>3</v>
      </c>
      <c r="C4" s="19">
        <v>6</v>
      </c>
      <c r="D4" s="19">
        <v>2021</v>
      </c>
      <c r="E4" s="21">
        <f>'6 - 2021'!B10-'6 - 2021'!B9</f>
        <v>3511</v>
      </c>
      <c r="F4" s="21">
        <f>'6 - 2021'!C10-'6 - 2021'!C9</f>
        <v>6139</v>
      </c>
      <c r="G4" s="19">
        <v>0.11799999999999999</v>
      </c>
      <c r="H4" s="21">
        <f>'6 - 2021'!E10-'6 - 2021'!E9</f>
        <v>22.299999999999955</v>
      </c>
      <c r="I4" s="21">
        <f>'6 - 2021'!F10-'6 - 2021'!F9</f>
        <v>4.6300000000001091</v>
      </c>
      <c r="J4" s="21">
        <f>'6 - 2021'!G10-'6 - 2021'!G9</f>
        <v>31.469999999997526</v>
      </c>
      <c r="K4" s="19">
        <v>0.74</v>
      </c>
      <c r="L4" s="36">
        <v>94</v>
      </c>
      <c r="M4" s="12"/>
    </row>
    <row r="5" spans="1:13" x14ac:dyDescent="0.25">
      <c r="A5" t="s">
        <v>27</v>
      </c>
      <c r="B5">
        <f t="shared" si="0"/>
        <v>4</v>
      </c>
      <c r="C5" s="19">
        <v>6</v>
      </c>
      <c r="D5" s="19">
        <v>2021</v>
      </c>
      <c r="E5" s="21">
        <f>'6 - 2021'!B11-'6 - 2021'!B10</f>
        <v>3741</v>
      </c>
      <c r="F5" s="21">
        <f>'6 - 2021'!C11-'6 - 2021'!C10</f>
        <v>6954</v>
      </c>
      <c r="G5" s="19">
        <v>0.11799999999999999</v>
      </c>
      <c r="H5" s="21">
        <f>'6 - 2021'!E11-'6 - 2021'!E10</f>
        <v>28.990000000000009</v>
      </c>
      <c r="I5" s="21">
        <f>'6 - 2021'!F11-'6 - 2021'!F10</f>
        <v>7.1500000000000909</v>
      </c>
      <c r="J5" s="21">
        <f>'6 - 2021'!G11-'6 - 2021'!G10</f>
        <v>34.970000000001164</v>
      </c>
      <c r="K5" s="19">
        <v>0.74</v>
      </c>
      <c r="L5" s="36">
        <v>81</v>
      </c>
      <c r="M5" s="12"/>
    </row>
    <row r="6" spans="1:13" x14ac:dyDescent="0.25">
      <c r="A6" t="s">
        <v>27</v>
      </c>
      <c r="B6">
        <f t="shared" si="0"/>
        <v>5</v>
      </c>
      <c r="C6" s="19">
        <v>6</v>
      </c>
      <c r="D6" s="19">
        <v>2021</v>
      </c>
      <c r="E6" s="21">
        <f>'6 - 2021'!B12-'6 - 2021'!B11</f>
        <v>3330</v>
      </c>
      <c r="F6" s="21">
        <f>'6 - 2021'!C12-'6 - 2021'!C11</f>
        <v>5820</v>
      </c>
      <c r="G6" s="19">
        <v>0.11799999999999999</v>
      </c>
      <c r="H6" s="21">
        <f>'6 - 2021'!E12-'6 - 2021'!E11</f>
        <v>29.620000000000118</v>
      </c>
      <c r="I6" s="21">
        <f>'6 - 2021'!F12-'6 - 2021'!F11</f>
        <v>5.7199999999997999</v>
      </c>
      <c r="J6" s="21">
        <f>'6 - 2021'!G12-'6 - 2021'!G11</f>
        <v>28.670000000001892</v>
      </c>
      <c r="K6" s="19">
        <v>0.74</v>
      </c>
      <c r="L6" s="36">
        <v>73</v>
      </c>
      <c r="M6" s="13"/>
    </row>
    <row r="7" spans="1:13" x14ac:dyDescent="0.25">
      <c r="A7" t="s">
        <v>27</v>
      </c>
      <c r="B7">
        <f t="shared" si="0"/>
        <v>6</v>
      </c>
      <c r="C7" s="19">
        <v>6</v>
      </c>
      <c r="D7" s="19">
        <v>2021</v>
      </c>
      <c r="E7" s="21">
        <f>'6 - 2021'!B13-'6 - 2021'!B12</f>
        <v>3377</v>
      </c>
      <c r="F7" s="21">
        <f>'6 - 2021'!C13-'6 - 2021'!C12</f>
        <v>6120</v>
      </c>
      <c r="G7" s="19">
        <v>0.11799999999999999</v>
      </c>
      <c r="H7" s="21">
        <f>'6 - 2021'!E13-'6 - 2021'!E12</f>
        <v>27.299999999999955</v>
      </c>
      <c r="I7" s="21">
        <f>'6 - 2021'!F13-'6 - 2021'!F12</f>
        <v>6.180000000000291</v>
      </c>
      <c r="J7" s="21">
        <f>'6 - 2021'!G13-'6 - 2021'!G12</f>
        <v>31.529999999998836</v>
      </c>
      <c r="K7" s="19">
        <v>0.74</v>
      </c>
      <c r="L7" s="36">
        <v>65</v>
      </c>
      <c r="M7" s="13"/>
    </row>
    <row r="8" spans="1:13" x14ac:dyDescent="0.25">
      <c r="A8" t="s">
        <v>27</v>
      </c>
      <c r="B8">
        <f t="shared" si="0"/>
        <v>7</v>
      </c>
      <c r="C8" s="19">
        <v>6</v>
      </c>
      <c r="D8" s="19">
        <v>2021</v>
      </c>
      <c r="E8" s="21">
        <f>'6 - 2021'!B14-'6 - 2021'!B13</f>
        <v>3620</v>
      </c>
      <c r="F8" s="21">
        <f>'6 - 2021'!C14-'6 - 2021'!C13</f>
        <v>6453</v>
      </c>
      <c r="G8" s="19">
        <v>0.11799999999999999</v>
      </c>
      <c r="H8" s="21">
        <f>'6 - 2021'!E14-'6 - 2021'!E13</f>
        <v>31.990000000000009</v>
      </c>
      <c r="I8" s="21">
        <f>'6 - 2021'!F14-'6 - 2021'!F13</f>
        <v>7.3399999999996908</v>
      </c>
      <c r="J8" s="21">
        <f>'6 - 2021'!G14-'6 - 2021'!G13</f>
        <v>38.709999999999127</v>
      </c>
      <c r="K8" s="19">
        <v>0.74</v>
      </c>
      <c r="L8" s="36">
        <v>75</v>
      </c>
      <c r="M8" s="13"/>
    </row>
    <row r="9" spans="1:13" x14ac:dyDescent="0.25">
      <c r="A9" t="s">
        <v>27</v>
      </c>
      <c r="B9">
        <f t="shared" si="0"/>
        <v>8</v>
      </c>
      <c r="C9" s="19">
        <v>6</v>
      </c>
      <c r="D9" s="19">
        <v>2021</v>
      </c>
      <c r="E9" s="21">
        <f>'6 - 2021'!B15-'6 - 2021'!B14</f>
        <v>3491</v>
      </c>
      <c r="F9" s="21">
        <f>'6 - 2021'!C15-'6 - 2021'!C14</f>
        <v>6133</v>
      </c>
      <c r="G9" s="19">
        <v>0.11799999999999999</v>
      </c>
      <c r="H9" s="21">
        <f>'6 - 2021'!E15-'6 - 2021'!E14</f>
        <v>28.470000000000027</v>
      </c>
      <c r="I9" s="21">
        <f>'6 - 2021'!F15-'6 - 2021'!F14</f>
        <v>5.830000000000382</v>
      </c>
      <c r="J9" s="21">
        <f>'6 - 2021'!G15-'6 - 2021'!G14</f>
        <v>29.700000000000728</v>
      </c>
      <c r="K9" s="19">
        <v>0.74</v>
      </c>
      <c r="L9" s="36">
        <v>73</v>
      </c>
      <c r="M9" s="13"/>
    </row>
    <row r="10" spans="1:13" x14ac:dyDescent="0.25">
      <c r="A10" t="s">
        <v>27</v>
      </c>
      <c r="B10">
        <f t="shared" si="0"/>
        <v>9</v>
      </c>
      <c r="C10" s="19">
        <v>6</v>
      </c>
      <c r="D10" s="19">
        <v>2021</v>
      </c>
      <c r="E10" s="21">
        <f>'6 - 2021'!B16-'6 - 2021'!B15</f>
        <v>3985</v>
      </c>
      <c r="F10" s="21">
        <f>'6 - 2021'!C16-'6 - 2021'!C15</f>
        <v>6888</v>
      </c>
      <c r="G10" s="19">
        <v>0.11799999999999999</v>
      </c>
      <c r="H10" s="21">
        <f>'6 - 2021'!E16-'6 - 2021'!E15</f>
        <v>28.279999999999973</v>
      </c>
      <c r="I10" s="21">
        <f>'6 - 2021'!F16-'6 - 2021'!F15</f>
        <v>4.9699999999997999</v>
      </c>
      <c r="J10" s="21">
        <f>'6 - 2021'!G16-'6 - 2021'!G15</f>
        <v>33.180000000000291</v>
      </c>
      <c r="K10" s="19">
        <v>0.74</v>
      </c>
      <c r="L10" s="36">
        <v>85</v>
      </c>
      <c r="M10" s="13"/>
    </row>
    <row r="11" spans="1:13" x14ac:dyDescent="0.25">
      <c r="A11" t="s">
        <v>27</v>
      </c>
      <c r="B11">
        <f t="shared" si="0"/>
        <v>10</v>
      </c>
      <c r="C11" s="19">
        <v>6</v>
      </c>
      <c r="D11" s="19">
        <v>2021</v>
      </c>
      <c r="E11" s="21">
        <f>'6 - 2021'!B17-'6 - 2021'!B16</f>
        <v>3185</v>
      </c>
      <c r="F11" s="21">
        <f>'6 - 2021'!C17-'6 - 2021'!C16</f>
        <v>5418</v>
      </c>
      <c r="G11" s="19">
        <v>0.11799999999999999</v>
      </c>
      <c r="H11" s="21">
        <f>'6 - 2021'!E17-'6 - 2021'!E16</f>
        <v>24.970000000000027</v>
      </c>
      <c r="I11" s="21">
        <f>'6 - 2021'!F17-'6 - 2021'!F16</f>
        <v>5.3099999999999454</v>
      </c>
      <c r="J11" s="21">
        <f>'6 - 2021'!G17-'6 - 2021'!G16</f>
        <v>26.799999999999272</v>
      </c>
      <c r="K11" s="19">
        <v>0.74</v>
      </c>
      <c r="L11" s="36">
        <v>80</v>
      </c>
      <c r="M11" s="13"/>
    </row>
    <row r="12" spans="1:13" x14ac:dyDescent="0.25">
      <c r="A12" t="s">
        <v>27</v>
      </c>
      <c r="B12">
        <f t="shared" si="0"/>
        <v>11</v>
      </c>
      <c r="C12" s="19">
        <v>6</v>
      </c>
      <c r="D12" s="19">
        <v>2021</v>
      </c>
      <c r="E12" s="21">
        <f>'6 - 2021'!B18-'6 - 2021'!B17</f>
        <v>3587</v>
      </c>
      <c r="F12" s="21">
        <f>'6 - 2021'!C18-'6 - 2021'!C17</f>
        <v>5999</v>
      </c>
      <c r="G12" s="19">
        <v>0.11799999999999999</v>
      </c>
      <c r="H12" s="21">
        <f>'6 - 2021'!E18-'6 - 2021'!E17</f>
        <v>24.789999999999964</v>
      </c>
      <c r="I12" s="21">
        <f>'6 - 2021'!F18-'6 - 2021'!F17</f>
        <v>6.9500000000002728</v>
      </c>
      <c r="J12" s="21">
        <f>'6 - 2021'!G18-'6 - 2021'!G17</f>
        <v>29.200000000000728</v>
      </c>
      <c r="K12" s="19">
        <v>0.74</v>
      </c>
      <c r="L12" s="21">
        <v>70</v>
      </c>
      <c r="M12" s="13"/>
    </row>
    <row r="13" spans="1:13" x14ac:dyDescent="0.25">
      <c r="A13" t="s">
        <v>27</v>
      </c>
      <c r="B13">
        <f t="shared" si="0"/>
        <v>12</v>
      </c>
      <c r="C13" s="19">
        <v>6</v>
      </c>
      <c r="D13" s="19">
        <v>2021</v>
      </c>
      <c r="E13" s="21">
        <f>'6 - 2021'!B19-'6 - 2021'!B18</f>
        <v>3683</v>
      </c>
      <c r="F13" s="21">
        <f>'6 - 2021'!C19-'6 - 2021'!C18</f>
        <v>6047</v>
      </c>
      <c r="G13" s="19">
        <v>0.11799999999999999</v>
      </c>
      <c r="H13" s="21">
        <f>'6 - 2021'!E19-'6 - 2021'!E18</f>
        <v>26.75</v>
      </c>
      <c r="I13" s="21">
        <f>'6 - 2021'!F19-'6 - 2021'!F18</f>
        <v>5.2199999999997999</v>
      </c>
      <c r="J13" s="21">
        <f>'6 - 2021'!G19-'6 - 2021'!G18</f>
        <v>29.489999999997963</v>
      </c>
      <c r="K13" s="19">
        <v>0.74</v>
      </c>
      <c r="L13" s="21">
        <v>76</v>
      </c>
      <c r="M13" s="13"/>
    </row>
    <row r="14" spans="1:13" x14ac:dyDescent="0.25">
      <c r="A14" t="s">
        <v>27</v>
      </c>
      <c r="B14">
        <f t="shared" si="0"/>
        <v>13</v>
      </c>
      <c r="C14" s="19">
        <v>6</v>
      </c>
      <c r="D14" s="19">
        <v>2021</v>
      </c>
      <c r="E14" s="21">
        <f>'6 - 2021'!B20-'6 - 2021'!B19</f>
        <v>3529</v>
      </c>
      <c r="F14" s="21">
        <f>'6 - 2021'!C20-'6 - 2021'!C19</f>
        <v>5753</v>
      </c>
      <c r="G14" s="19">
        <v>0.11799999999999999</v>
      </c>
      <c r="H14" s="21">
        <f>'6 - 2021'!E20-'6 - 2021'!E19</f>
        <v>22.939999999999827</v>
      </c>
      <c r="I14" s="21">
        <f>'6 - 2021'!F20-'6 - 2021'!F19</f>
        <v>5.2699999999999818</v>
      </c>
      <c r="J14" s="21">
        <f>'6 - 2021'!G20-'6 - 2021'!G19</f>
        <v>28.190000000002328</v>
      </c>
      <c r="K14" s="19">
        <v>0.74</v>
      </c>
      <c r="L14" s="21">
        <v>50</v>
      </c>
      <c r="M14" s="13"/>
    </row>
    <row r="15" spans="1:13" x14ac:dyDescent="0.25">
      <c r="A15" t="s">
        <v>27</v>
      </c>
      <c r="B15">
        <f t="shared" si="0"/>
        <v>14</v>
      </c>
      <c r="C15" s="19">
        <v>6</v>
      </c>
      <c r="D15" s="19">
        <v>2021</v>
      </c>
      <c r="E15" s="21">
        <f>'6 - 2021'!B21-'6 - 2021'!B20</f>
        <v>3779</v>
      </c>
      <c r="F15" s="21">
        <f>'6 - 2021'!C21-'6 - 2021'!C20</f>
        <v>5992</v>
      </c>
      <c r="G15" s="19">
        <v>0.11799999999999999</v>
      </c>
      <c r="H15" s="21">
        <f>'6 - 2021'!E21-'6 - 2021'!E20</f>
        <v>28.010000000000218</v>
      </c>
      <c r="I15" s="21">
        <f>'6 - 2021'!F21-'6 - 2021'!F20</f>
        <v>5.2300000000000182</v>
      </c>
      <c r="J15" s="21">
        <f>'6 - 2021'!G21-'6 - 2021'!G20</f>
        <v>27.930000000000291</v>
      </c>
      <c r="K15" s="19">
        <v>0.74</v>
      </c>
      <c r="L15" s="21">
        <v>37</v>
      </c>
      <c r="M15" s="13"/>
    </row>
    <row r="16" spans="1:13" x14ac:dyDescent="0.25">
      <c r="A16" t="s">
        <v>27</v>
      </c>
      <c r="B16">
        <f t="shared" si="0"/>
        <v>15</v>
      </c>
      <c r="C16" s="19">
        <v>6</v>
      </c>
      <c r="D16" s="19">
        <v>2021</v>
      </c>
      <c r="E16" s="21">
        <f>'6 - 2021'!B22-'6 - 2021'!B21</f>
        <v>3555</v>
      </c>
      <c r="F16" s="21">
        <f>'6 - 2021'!C22-'6 - 2021'!C21</f>
        <v>5807</v>
      </c>
      <c r="G16" s="19">
        <v>0.11799999999999999</v>
      </c>
      <c r="H16" s="21">
        <f>'6 - 2021'!E22-'6 - 2021'!E21</f>
        <v>25.139999999999873</v>
      </c>
      <c r="I16" s="21">
        <f>'6 - 2021'!F22-'6 - 2021'!F21</f>
        <v>4.8299999999999272</v>
      </c>
      <c r="J16" s="21">
        <f>'6 - 2021'!G22-'6 - 2021'!G21</f>
        <v>26.059999999997672</v>
      </c>
      <c r="K16" s="19">
        <v>0.74</v>
      </c>
      <c r="L16" s="21">
        <v>40</v>
      </c>
      <c r="M16" s="13"/>
    </row>
    <row r="17" spans="1:13" x14ac:dyDescent="0.25">
      <c r="A17" t="s">
        <v>27</v>
      </c>
      <c r="B17">
        <f t="shared" si="0"/>
        <v>16</v>
      </c>
      <c r="C17" s="19">
        <v>6</v>
      </c>
      <c r="D17" s="19">
        <v>2021</v>
      </c>
      <c r="E17" s="21">
        <f>'6 - 2021'!B23-'6 - 2021'!B22</f>
        <v>3658</v>
      </c>
      <c r="F17" s="21">
        <f>'6 - 2021'!C23-'6 - 2021'!C22</f>
        <v>5976</v>
      </c>
      <c r="G17" s="19">
        <v>0.11799999999999999</v>
      </c>
      <c r="H17" s="21">
        <f>'6 - 2021'!E23-'6 - 2021'!E22</f>
        <v>22.089999999999918</v>
      </c>
      <c r="I17" s="21">
        <f>'6 - 2021'!F23-'6 - 2021'!F22</f>
        <v>6.6100000000001273</v>
      </c>
      <c r="J17" s="21">
        <f>'6 - 2021'!G23-'6 - 2021'!G22</f>
        <v>27.720000000001164</v>
      </c>
      <c r="K17" s="19">
        <v>0.74</v>
      </c>
      <c r="L17" s="21">
        <v>64</v>
      </c>
      <c r="M17" s="13"/>
    </row>
    <row r="18" spans="1:13" x14ac:dyDescent="0.25">
      <c r="A18" t="s">
        <v>27</v>
      </c>
      <c r="B18">
        <f t="shared" si="0"/>
        <v>17</v>
      </c>
      <c r="C18" s="19">
        <v>6</v>
      </c>
      <c r="D18" s="19">
        <v>2021</v>
      </c>
      <c r="E18" s="21">
        <f>'6 - 2021'!B24-'6 - 2021'!B23</f>
        <v>3604</v>
      </c>
      <c r="F18" s="21">
        <f>'6 - 2021'!C24-'6 - 2021'!C23</f>
        <v>5821</v>
      </c>
      <c r="G18" s="19">
        <v>0.11799999999999999</v>
      </c>
      <c r="H18" s="21">
        <f>'6 - 2021'!E24-'6 - 2021'!E23</f>
        <v>23.620000000000118</v>
      </c>
      <c r="I18" s="21">
        <f>'6 - 2021'!F24-'6 - 2021'!F23</f>
        <v>6.2399999999997817</v>
      </c>
      <c r="J18" s="21">
        <f>'6 - 2021'!G24-'6 - 2021'!G23</f>
        <v>28.430000000000291</v>
      </c>
      <c r="K18" s="19">
        <v>0.74</v>
      </c>
      <c r="L18" s="21">
        <v>74</v>
      </c>
      <c r="M18" s="13"/>
    </row>
    <row r="19" spans="1:13" x14ac:dyDescent="0.25">
      <c r="A19" t="s">
        <v>27</v>
      </c>
      <c r="B19">
        <f>B18+1</f>
        <v>18</v>
      </c>
      <c r="C19" s="19">
        <v>6</v>
      </c>
      <c r="D19" s="19">
        <v>2021</v>
      </c>
      <c r="E19" s="21">
        <f>'6 - 2021'!B25-'6 - 2021'!B24</f>
        <v>3682</v>
      </c>
      <c r="F19" s="21">
        <f>'6 - 2021'!C25-'6 - 2021'!C24</f>
        <v>6227</v>
      </c>
      <c r="G19" s="19">
        <v>0.11799999999999999</v>
      </c>
      <c r="H19" s="21">
        <f>'6 - 2021'!E25-'6 - 2021'!E24</f>
        <v>26.5</v>
      </c>
      <c r="I19" s="21">
        <f>'6 - 2021'!F25-'6 - 2021'!F24</f>
        <v>5.5</v>
      </c>
      <c r="J19" s="21">
        <f>'6 - 2021'!G25-'6 - 2021'!G24</f>
        <v>28.680000000000291</v>
      </c>
      <c r="K19" s="19">
        <v>0.74</v>
      </c>
      <c r="L19" s="21">
        <v>90</v>
      </c>
      <c r="M19" s="13"/>
    </row>
    <row r="20" spans="1:13" x14ac:dyDescent="0.25">
      <c r="A20" t="s">
        <v>27</v>
      </c>
      <c r="B20">
        <f t="shared" si="0"/>
        <v>19</v>
      </c>
      <c r="C20" s="19">
        <v>6</v>
      </c>
      <c r="D20" s="19">
        <v>2021</v>
      </c>
      <c r="E20" s="21">
        <f>'6 - 2021'!B26-'6 - 2021'!B25</f>
        <v>3728</v>
      </c>
      <c r="F20" s="21">
        <f>'6 - 2021'!C26-'6 - 2021'!C25</f>
        <v>6150</v>
      </c>
      <c r="G20" s="19">
        <v>0.11799999999999999</v>
      </c>
      <c r="H20" s="21">
        <f>'6 - 2021'!E26-'6 - 2021'!E25</f>
        <v>26.3599999999999</v>
      </c>
      <c r="I20" s="21">
        <f>'6 - 2021'!F26-'6 - 2021'!F25</f>
        <v>4.4600000000000364</v>
      </c>
      <c r="J20" s="21">
        <f>'6 - 2021'!G26-'6 - 2021'!G25</f>
        <v>26.25</v>
      </c>
      <c r="K20" s="19">
        <v>0.74</v>
      </c>
      <c r="L20" s="6">
        <v>88</v>
      </c>
      <c r="M20" s="13"/>
    </row>
    <row r="21" spans="1:13" x14ac:dyDescent="0.25">
      <c r="A21" t="s">
        <v>27</v>
      </c>
      <c r="B21">
        <f t="shared" si="0"/>
        <v>20</v>
      </c>
      <c r="C21" s="19">
        <v>6</v>
      </c>
      <c r="D21" s="19">
        <v>2021</v>
      </c>
      <c r="E21" s="21">
        <f>'6 - 2021'!B27-'6 - 2021'!B26</f>
        <v>3490</v>
      </c>
      <c r="F21" s="21">
        <f>'6 - 2021'!C27-'6 - 2021'!C26</f>
        <v>6151</v>
      </c>
      <c r="G21" s="19">
        <v>0.11799999999999999</v>
      </c>
      <c r="H21" s="21">
        <f>'6 - 2021'!E27-'6 - 2021'!E26</f>
        <v>23.220000000000027</v>
      </c>
      <c r="I21" s="21">
        <f>'6 - 2021'!F27-'6 - 2021'!F26</f>
        <v>4.7300000000000182</v>
      </c>
      <c r="J21" s="21">
        <f>'6 - 2021'!G27-'6 - 2021'!G26</f>
        <v>29.419999999998254</v>
      </c>
      <c r="K21" s="19">
        <v>0.74</v>
      </c>
      <c r="L21" s="6">
        <v>78</v>
      </c>
      <c r="M21" s="13"/>
    </row>
    <row r="22" spans="1:13" x14ac:dyDescent="0.25">
      <c r="A22" t="s">
        <v>27</v>
      </c>
      <c r="B22">
        <f t="shared" si="0"/>
        <v>21</v>
      </c>
      <c r="C22" s="19">
        <v>6</v>
      </c>
      <c r="D22" s="19">
        <v>2021</v>
      </c>
      <c r="E22" s="21">
        <f>'6 - 2021'!B28-'6 - 2021'!B27</f>
        <v>3786</v>
      </c>
      <c r="F22" s="21">
        <f>'6 - 2021'!C28-'6 - 2021'!C27</f>
        <v>6334</v>
      </c>
      <c r="G22" s="19">
        <v>0.11799999999999999</v>
      </c>
      <c r="H22" s="21">
        <f>'6 - 2021'!E28-'6 - 2021'!E27</f>
        <v>24.289999999999964</v>
      </c>
      <c r="I22" s="21">
        <f>'6 - 2021'!F28-'6 - 2021'!F27</f>
        <v>5.3400000000001455</v>
      </c>
      <c r="J22" s="21">
        <f>'6 - 2021'!G28-'6 - 2021'!G27</f>
        <v>33.200000000000728</v>
      </c>
      <c r="K22" s="19">
        <v>0.74</v>
      </c>
      <c r="L22" s="21">
        <v>88</v>
      </c>
      <c r="M22" s="13"/>
    </row>
    <row r="23" spans="1:13" x14ac:dyDescent="0.25">
      <c r="A23" t="s">
        <v>27</v>
      </c>
      <c r="B23">
        <f t="shared" si="0"/>
        <v>22</v>
      </c>
      <c r="C23" s="19">
        <v>6</v>
      </c>
      <c r="D23" s="19">
        <v>2021</v>
      </c>
      <c r="E23" s="21">
        <f>'6 - 2021'!B29-'6 - 2021'!B28</f>
        <v>3609</v>
      </c>
      <c r="F23" s="21">
        <f>'6 - 2021'!C29-'6 - 2021'!C28</f>
        <v>6047</v>
      </c>
      <c r="G23" s="19">
        <v>0.11799999999999999</v>
      </c>
      <c r="H23" s="21">
        <f>'6 - 2021'!E29-'6 - 2021'!E28</f>
        <v>20.870000000000118</v>
      </c>
      <c r="I23" s="21">
        <f>'6 - 2021'!F29-'6 - 2021'!F28</f>
        <v>6.9299999999998363</v>
      </c>
      <c r="J23" s="21">
        <f>'6 - 2021'!G29-'6 - 2021'!G28</f>
        <v>27.520000000000437</v>
      </c>
      <c r="K23" s="19">
        <v>0.74</v>
      </c>
      <c r="L23" s="21">
        <v>76</v>
      </c>
      <c r="M23" s="13"/>
    </row>
    <row r="24" spans="1:13" x14ac:dyDescent="0.25">
      <c r="A24" t="s">
        <v>27</v>
      </c>
      <c r="B24">
        <f t="shared" si="0"/>
        <v>23</v>
      </c>
      <c r="C24" s="19">
        <v>6</v>
      </c>
      <c r="D24" s="19">
        <v>2021</v>
      </c>
      <c r="E24" s="21">
        <v>0</v>
      </c>
      <c r="F24" s="21">
        <v>0</v>
      </c>
      <c r="G24" s="19">
        <v>0.11799999999999999</v>
      </c>
      <c r="H24" s="21">
        <v>0</v>
      </c>
      <c r="I24" s="21">
        <v>0</v>
      </c>
      <c r="J24" s="21">
        <v>0</v>
      </c>
      <c r="K24" s="19">
        <v>0.74</v>
      </c>
      <c r="L24" s="21"/>
      <c r="M24" s="13"/>
    </row>
    <row r="25" spans="1:13" x14ac:dyDescent="0.25">
      <c r="A25" t="s">
        <v>27</v>
      </c>
      <c r="B25">
        <f t="shared" si="0"/>
        <v>24</v>
      </c>
      <c r="C25" s="19">
        <v>6</v>
      </c>
      <c r="D25" s="19">
        <v>2021</v>
      </c>
      <c r="E25" s="21">
        <f>'6 - 2021'!B31-'6 - 2021'!B30</f>
        <v>0</v>
      </c>
      <c r="F25" s="21">
        <f>'6 - 2021'!C31-'6 - 2021'!C30</f>
        <v>0</v>
      </c>
      <c r="G25" s="19">
        <v>0.11799999999999999</v>
      </c>
      <c r="H25" s="21">
        <f>'6 - 2021'!E31-'6 - 2021'!E30</f>
        <v>0</v>
      </c>
      <c r="I25" s="21">
        <f>'6 - 2021'!F31-'6 - 2021'!F30</f>
        <v>0</v>
      </c>
      <c r="J25" s="21">
        <f>'6 - 2021'!G31-'6 - 2021'!G30</f>
        <v>0</v>
      </c>
      <c r="K25" s="19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19">
        <v>6</v>
      </c>
      <c r="D26" s="19">
        <v>2021</v>
      </c>
      <c r="E26" s="21">
        <f>'6 - 2021'!B32-'6 - 2021'!B31</f>
        <v>0</v>
      </c>
      <c r="F26" s="21">
        <f>'6 - 2021'!C32-'6 - 2021'!C31</f>
        <v>0</v>
      </c>
      <c r="G26" s="19">
        <v>0.11799999999999999</v>
      </c>
      <c r="H26" s="21">
        <f>'6 - 2021'!E32-'6 - 2021'!E31</f>
        <v>0</v>
      </c>
      <c r="I26" s="21">
        <f>'6 - 2021'!F32-'6 - 2021'!F31</f>
        <v>0</v>
      </c>
      <c r="J26" s="21">
        <f>'6 - 2021'!G32-'6 - 2021'!G31</f>
        <v>0</v>
      </c>
      <c r="K26" s="19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19">
        <v>6</v>
      </c>
      <c r="D27" s="19">
        <v>2021</v>
      </c>
      <c r="E27" s="21">
        <f>'6 - 2021'!B33-'6 - 2021'!B32</f>
        <v>0</v>
      </c>
      <c r="F27" s="21">
        <f>'6 - 2021'!C33-'6 - 2021'!C32</f>
        <v>0</v>
      </c>
      <c r="G27" s="19">
        <v>0.11799999999999999</v>
      </c>
      <c r="H27" s="21">
        <f>'6 - 2021'!E33-'6 - 2021'!E32</f>
        <v>0</v>
      </c>
      <c r="I27" s="21">
        <f>'6 - 2021'!F33-'6 - 2021'!F32</f>
        <v>0</v>
      </c>
      <c r="J27" s="21">
        <f>'6 - 2021'!G33-'6 - 2021'!G32</f>
        <v>0</v>
      </c>
      <c r="K27" s="19">
        <v>0.74</v>
      </c>
      <c r="L27" s="21"/>
      <c r="M27" s="13"/>
    </row>
    <row r="28" spans="1:13" x14ac:dyDescent="0.25">
      <c r="A28" t="s">
        <v>27</v>
      </c>
      <c r="B28">
        <f t="shared" si="0"/>
        <v>27</v>
      </c>
      <c r="C28" s="19">
        <v>6</v>
      </c>
      <c r="D28" s="19">
        <v>2021</v>
      </c>
      <c r="E28" s="21">
        <f>'6 - 2021'!B34-'6 - 2021'!B33</f>
        <v>0</v>
      </c>
      <c r="F28" s="21">
        <f>'6 - 2021'!C34-'6 - 2021'!C33</f>
        <v>0</v>
      </c>
      <c r="G28" s="19">
        <v>0.11799999999999999</v>
      </c>
      <c r="H28" s="21">
        <f>'6 - 2021'!E34-'6 - 2021'!E33</f>
        <v>0</v>
      </c>
      <c r="I28" s="21">
        <f>'6 - 2021'!F34-'6 - 2021'!F33</f>
        <v>0</v>
      </c>
      <c r="J28" s="21">
        <f>'6 - 2021'!G34-'6 - 2021'!G33</f>
        <v>0</v>
      </c>
      <c r="K28" s="19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19">
        <v>6</v>
      </c>
      <c r="D29" s="19">
        <v>2021</v>
      </c>
      <c r="E29" s="21">
        <f>'6 - 2021'!B35-'6 - 2021'!B34</f>
        <v>0</v>
      </c>
      <c r="F29" s="21">
        <f>'6 - 2021'!C35-'6 - 2021'!C34</f>
        <v>0</v>
      </c>
      <c r="G29" s="19">
        <v>0.11799999999999999</v>
      </c>
      <c r="H29" s="21">
        <f>'6 - 2021'!E35-'6 - 2021'!E34</f>
        <v>0</v>
      </c>
      <c r="I29" s="21">
        <f>'6 - 2021'!F35-'6 - 2021'!F34</f>
        <v>0</v>
      </c>
      <c r="J29" s="21">
        <f>'6 - 2021'!G35-'6 - 2021'!G34</f>
        <v>0</v>
      </c>
      <c r="K29" s="19">
        <v>0.74</v>
      </c>
      <c r="L29" s="6"/>
      <c r="M29" s="13"/>
    </row>
    <row r="30" spans="1:13" x14ac:dyDescent="0.25">
      <c r="A30" s="19" t="s">
        <v>27</v>
      </c>
      <c r="B30" s="19">
        <f t="shared" si="0"/>
        <v>29</v>
      </c>
      <c r="C30" s="19">
        <v>6</v>
      </c>
      <c r="D30" s="19">
        <v>2021</v>
      </c>
      <c r="E30" s="21">
        <f>'6 - 2021'!B36-'6 - 2021'!B35</f>
        <v>0</v>
      </c>
      <c r="F30" s="21">
        <f>'6 - 2021'!C36-'6 - 2021'!C35</f>
        <v>0</v>
      </c>
      <c r="G30" s="19">
        <v>0.11799999999999999</v>
      </c>
      <c r="H30" s="21">
        <f>'6 - 2021'!E36-'6 - 2021'!E35</f>
        <v>0</v>
      </c>
      <c r="I30" s="21">
        <f>'6 - 2021'!F36-'6 - 2021'!F35</f>
        <v>0</v>
      </c>
      <c r="J30" s="21">
        <f>'6 - 2021'!G36-'6 - 2021'!G35</f>
        <v>0</v>
      </c>
      <c r="K30" s="19">
        <v>0.74</v>
      </c>
      <c r="L30" s="21"/>
    </row>
    <row r="31" spans="1:13" x14ac:dyDescent="0.25">
      <c r="A31" s="19" t="s">
        <v>27</v>
      </c>
      <c r="B31" s="19">
        <f t="shared" si="0"/>
        <v>30</v>
      </c>
      <c r="C31" s="19">
        <v>6</v>
      </c>
      <c r="D31" s="19">
        <v>2021</v>
      </c>
      <c r="E31" s="21">
        <f>'6 - 2021'!B37-'6 - 2021'!B36</f>
        <v>0</v>
      </c>
      <c r="F31" s="21">
        <f>'6 - 2021'!C37-'6 - 2021'!C36</f>
        <v>0</v>
      </c>
      <c r="G31" s="19">
        <v>0.11799999999999999</v>
      </c>
      <c r="H31" s="21">
        <f>'6 - 2021'!E37-'6 - 2021'!E36</f>
        <v>0</v>
      </c>
      <c r="I31" s="21">
        <f>'6 - 2021'!F37-'6 - 2021'!F36</f>
        <v>0</v>
      </c>
      <c r="J31" s="21">
        <f>'6 - 2021'!G37-'6 - 2021'!G36</f>
        <v>0</v>
      </c>
      <c r="K31" s="19">
        <v>0.74</v>
      </c>
      <c r="L31" s="2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"/>
  <sheetViews>
    <sheetView topLeftCell="A4" zoomScaleNormal="100" workbookViewId="0">
      <selection activeCell="B30" sqref="B30"/>
    </sheetView>
  </sheetViews>
  <sheetFormatPr defaultRowHeight="15" x14ac:dyDescent="0.25"/>
  <cols>
    <col min="1" max="1" width="13.5703125" style="19" customWidth="1"/>
    <col min="2" max="2" width="11.5703125" style="19" customWidth="1"/>
    <col min="3" max="3" width="12" style="19" customWidth="1"/>
    <col min="4" max="4" width="9.85546875" style="19" customWidth="1"/>
    <col min="5" max="5" width="11.42578125" style="19" customWidth="1"/>
    <col min="6" max="6" width="11.7109375" style="19" customWidth="1"/>
    <col min="7" max="7" width="11.28515625" style="19" customWidth="1"/>
    <col min="8" max="9" width="13.5703125" style="19" customWidth="1"/>
    <col min="10" max="10" width="14.28515625" style="19" customWidth="1"/>
    <col min="11" max="11" width="16.42578125" style="19" customWidth="1"/>
    <col min="12" max="12" width="39" style="19" customWidth="1"/>
    <col min="13" max="13" width="14.140625" style="19" customWidth="1"/>
    <col min="14" max="16384" width="9.140625" style="19"/>
  </cols>
  <sheetData>
    <row r="1" spans="1:17" x14ac:dyDescent="0.25">
      <c r="H1" s="20"/>
      <c r="I1" s="20"/>
    </row>
    <row r="3" spans="1:17" ht="18.75" x14ac:dyDescent="0.3">
      <c r="A3" s="70" t="s">
        <v>30</v>
      </c>
      <c r="B3" s="70"/>
      <c r="C3" s="70"/>
      <c r="D3" s="70"/>
      <c r="E3" s="70"/>
      <c r="F3" s="70"/>
      <c r="G3" s="70"/>
      <c r="H3" s="70"/>
      <c r="I3" s="70"/>
      <c r="J3" s="70"/>
    </row>
    <row r="4" spans="1:17" ht="16.5" thickBot="1" x14ac:dyDescent="0.3">
      <c r="A4" s="71" t="s">
        <v>37</v>
      </c>
      <c r="B4" s="71"/>
      <c r="C4" s="71"/>
      <c r="D4" s="71"/>
      <c r="E4" s="71"/>
      <c r="F4" s="71"/>
      <c r="G4" s="71"/>
      <c r="H4" s="71"/>
      <c r="I4" s="71"/>
      <c r="J4" s="71"/>
    </row>
    <row r="5" spans="1:17" ht="16.5" thickBot="1" x14ac:dyDescent="0.3">
      <c r="A5" s="2"/>
      <c r="B5" s="72" t="s">
        <v>36</v>
      </c>
      <c r="C5" s="73"/>
      <c r="D5" s="72" t="s">
        <v>0</v>
      </c>
      <c r="E5" s="74"/>
      <c r="F5" s="74"/>
      <c r="G5" s="75"/>
      <c r="H5" s="76" t="s">
        <v>1</v>
      </c>
      <c r="I5" s="77"/>
      <c r="J5" s="23" t="s">
        <v>2</v>
      </c>
      <c r="K5" s="3"/>
    </row>
    <row r="6" spans="1:17" ht="50.25" customHeight="1" x14ac:dyDescent="0.25">
      <c r="A6" s="29" t="s">
        <v>3</v>
      </c>
      <c r="B6" s="30" t="s">
        <v>33</v>
      </c>
      <c r="C6" s="31" t="s">
        <v>34</v>
      </c>
      <c r="D6" s="31" t="s">
        <v>4</v>
      </c>
      <c r="E6" s="31" t="s">
        <v>5</v>
      </c>
      <c r="F6" s="31" t="s">
        <v>6</v>
      </c>
      <c r="G6" s="32" t="s">
        <v>7</v>
      </c>
      <c r="H6" s="31" t="s">
        <v>28</v>
      </c>
      <c r="I6" s="31" t="s">
        <v>29</v>
      </c>
      <c r="J6" s="31" t="s">
        <v>8</v>
      </c>
      <c r="K6" s="24" t="s">
        <v>31</v>
      </c>
      <c r="L6" s="25" t="s">
        <v>32</v>
      </c>
    </row>
    <row r="7" spans="1:17" s="14" customFormat="1" ht="12.95" customHeight="1" x14ac:dyDescent="0.25">
      <c r="A7" s="33">
        <v>44347</v>
      </c>
      <c r="B7" s="62">
        <v>718466</v>
      </c>
      <c r="C7" s="63">
        <v>801538</v>
      </c>
      <c r="D7" s="15"/>
      <c r="E7" s="59">
        <v>1361.84</v>
      </c>
      <c r="F7" s="55">
        <v>3567.88</v>
      </c>
      <c r="G7" s="55">
        <v>29965.37</v>
      </c>
      <c r="H7" s="62">
        <v>14528</v>
      </c>
      <c r="I7" s="62">
        <v>120475</v>
      </c>
      <c r="J7" s="62">
        <v>46501991</v>
      </c>
      <c r="K7" s="40"/>
      <c r="L7" s="41"/>
      <c r="M7" s="34"/>
    </row>
    <row r="8" spans="1:17" s="14" customFormat="1" ht="12.95" customHeight="1" x14ac:dyDescent="0.25">
      <c r="A8" s="33">
        <f>A7+1</f>
        <v>44348</v>
      </c>
      <c r="B8" s="58">
        <v>722137</v>
      </c>
      <c r="C8" s="58">
        <v>807870</v>
      </c>
      <c r="D8" s="15"/>
      <c r="E8" s="59">
        <v>1387.26</v>
      </c>
      <c r="F8" s="56">
        <v>3573.16</v>
      </c>
      <c r="G8" s="58">
        <v>29992.06</v>
      </c>
      <c r="H8" s="58">
        <v>14528</v>
      </c>
      <c r="I8" s="58">
        <v>120594</v>
      </c>
      <c r="J8" s="58">
        <v>46536234</v>
      </c>
      <c r="K8" s="28"/>
      <c r="L8" s="51"/>
      <c r="M8" s="34"/>
    </row>
    <row r="9" spans="1:17" s="14" customFormat="1" ht="12.95" customHeight="1" x14ac:dyDescent="0.25">
      <c r="A9" s="33">
        <f t="shared" ref="A9:A37" si="0">A8+1</f>
        <v>44349</v>
      </c>
      <c r="B9" s="58">
        <v>725618</v>
      </c>
      <c r="C9" s="55">
        <v>813949</v>
      </c>
      <c r="D9" s="15"/>
      <c r="E9" s="59">
        <v>1411.72</v>
      </c>
      <c r="F9" s="56">
        <v>3577.43</v>
      </c>
      <c r="G9" s="56">
        <v>30023.88</v>
      </c>
      <c r="H9" s="58">
        <v>14528</v>
      </c>
      <c r="I9" s="62">
        <v>120706</v>
      </c>
      <c r="J9" s="62">
        <v>46570544</v>
      </c>
      <c r="K9" s="16"/>
      <c r="L9" s="52"/>
      <c r="M9" s="34"/>
    </row>
    <row r="10" spans="1:17" s="14" customFormat="1" ht="12.95" customHeight="1" x14ac:dyDescent="0.25">
      <c r="A10" s="33">
        <f t="shared" si="0"/>
        <v>44350</v>
      </c>
      <c r="B10" s="62">
        <v>729129</v>
      </c>
      <c r="C10" s="62">
        <v>820088</v>
      </c>
      <c r="D10" s="15"/>
      <c r="E10" s="59">
        <v>1434.02</v>
      </c>
      <c r="F10" s="56">
        <v>3582.06</v>
      </c>
      <c r="G10" s="56">
        <v>30055.35</v>
      </c>
      <c r="H10" s="58">
        <v>14528</v>
      </c>
      <c r="I10" s="62">
        <v>120814</v>
      </c>
      <c r="J10" s="67">
        <v>46609474</v>
      </c>
      <c r="K10" s="16"/>
      <c r="L10" s="52"/>
      <c r="M10" s="34"/>
    </row>
    <row r="11" spans="1:17" s="14" customFormat="1" ht="12.95" customHeight="1" x14ac:dyDescent="0.25">
      <c r="A11" s="33">
        <f t="shared" si="0"/>
        <v>44351</v>
      </c>
      <c r="B11" s="62">
        <v>732870</v>
      </c>
      <c r="C11" s="62">
        <v>827042</v>
      </c>
      <c r="D11" s="15"/>
      <c r="E11" s="59">
        <v>1463.01</v>
      </c>
      <c r="F11" s="56">
        <v>3589.21</v>
      </c>
      <c r="G11" s="56">
        <v>30090.32</v>
      </c>
      <c r="H11" s="58">
        <v>14528</v>
      </c>
      <c r="I11" s="62">
        <v>120925</v>
      </c>
      <c r="J11" s="62">
        <v>46650570</v>
      </c>
      <c r="K11" s="16"/>
      <c r="L11" s="52"/>
      <c r="M11" s="34"/>
    </row>
    <row r="12" spans="1:17" s="14" customFormat="1" ht="12.95" customHeight="1" x14ac:dyDescent="0.25">
      <c r="A12" s="33">
        <f t="shared" si="0"/>
        <v>44352</v>
      </c>
      <c r="B12" s="58">
        <v>736200</v>
      </c>
      <c r="C12" s="58">
        <v>832862</v>
      </c>
      <c r="D12" s="15"/>
      <c r="E12" s="68">
        <v>1492.63</v>
      </c>
      <c r="F12" s="58">
        <v>3594.93</v>
      </c>
      <c r="G12" s="58">
        <v>30118.99</v>
      </c>
      <c r="H12" s="58">
        <v>14528</v>
      </c>
      <c r="I12" s="58">
        <v>121050</v>
      </c>
      <c r="J12" s="58">
        <v>46687380</v>
      </c>
      <c r="K12" s="16"/>
      <c r="L12" s="52"/>
      <c r="M12" s="34"/>
      <c r="N12" s="34"/>
    </row>
    <row r="13" spans="1:17" s="14" customFormat="1" ht="12.95" customHeight="1" x14ac:dyDescent="0.25">
      <c r="A13" s="33">
        <f t="shared" si="0"/>
        <v>44353</v>
      </c>
      <c r="B13" s="64">
        <v>739577</v>
      </c>
      <c r="C13" s="55">
        <v>838982</v>
      </c>
      <c r="D13" s="15">
        <v>0.28000000000000003</v>
      </c>
      <c r="E13" s="59">
        <v>1519.93</v>
      </c>
      <c r="F13" s="56">
        <v>3601.11</v>
      </c>
      <c r="G13" s="56">
        <v>30150.52</v>
      </c>
      <c r="H13" s="62">
        <v>14528</v>
      </c>
      <c r="I13" s="55">
        <v>121148</v>
      </c>
      <c r="J13" s="55">
        <v>46728115</v>
      </c>
      <c r="K13" s="16" t="s">
        <v>38</v>
      </c>
      <c r="L13" s="52"/>
      <c r="M13" s="34"/>
      <c r="N13" s="44"/>
      <c r="O13" s="44"/>
      <c r="P13" s="44"/>
      <c r="Q13" s="44"/>
    </row>
    <row r="14" spans="1:17" s="14" customFormat="1" ht="12.95" customHeight="1" x14ac:dyDescent="0.25">
      <c r="A14" s="33">
        <f t="shared" si="0"/>
        <v>44354</v>
      </c>
      <c r="B14" s="62">
        <v>743197</v>
      </c>
      <c r="C14" s="62">
        <v>845435</v>
      </c>
      <c r="D14" s="15">
        <v>0.2</v>
      </c>
      <c r="E14" s="59">
        <v>1551.92</v>
      </c>
      <c r="F14" s="56">
        <v>3608.45</v>
      </c>
      <c r="G14" s="55">
        <v>30189.23</v>
      </c>
      <c r="H14" s="62">
        <v>14528</v>
      </c>
      <c r="I14" s="62">
        <v>121265</v>
      </c>
      <c r="J14" s="62">
        <v>46768635</v>
      </c>
      <c r="K14" s="16"/>
      <c r="L14" s="52"/>
      <c r="M14" s="34"/>
      <c r="N14" s="44"/>
      <c r="O14" s="44"/>
      <c r="P14" s="44"/>
      <c r="Q14" s="44"/>
    </row>
    <row r="15" spans="1:17" s="14" customFormat="1" ht="12.95" customHeight="1" x14ac:dyDescent="0.25">
      <c r="A15" s="33">
        <f t="shared" si="0"/>
        <v>44355</v>
      </c>
      <c r="B15" s="62">
        <v>746688</v>
      </c>
      <c r="C15" s="62">
        <v>851568</v>
      </c>
      <c r="D15" s="15">
        <v>0.16</v>
      </c>
      <c r="E15" s="59">
        <v>1580.39</v>
      </c>
      <c r="F15" s="56">
        <v>3614.28</v>
      </c>
      <c r="G15" s="55">
        <v>30218.93</v>
      </c>
      <c r="H15" s="62">
        <v>14528</v>
      </c>
      <c r="I15" s="62">
        <v>121366</v>
      </c>
      <c r="J15" s="62">
        <v>46808890</v>
      </c>
      <c r="K15" s="16"/>
      <c r="L15" s="52"/>
      <c r="M15" s="34"/>
      <c r="N15" s="44"/>
      <c r="O15" s="44"/>
      <c r="P15" s="44"/>
      <c r="Q15" s="44"/>
    </row>
    <row r="16" spans="1:17" s="14" customFormat="1" ht="12.95" customHeight="1" x14ac:dyDescent="0.25">
      <c r="A16" s="33">
        <f t="shared" si="0"/>
        <v>44356</v>
      </c>
      <c r="B16" s="65">
        <v>750673</v>
      </c>
      <c r="C16" s="62">
        <v>858456</v>
      </c>
      <c r="D16" s="15">
        <v>0.1</v>
      </c>
      <c r="E16" s="59">
        <v>1608.67</v>
      </c>
      <c r="F16" s="56">
        <v>3619.25</v>
      </c>
      <c r="G16" s="55">
        <v>30252.11</v>
      </c>
      <c r="H16" s="62">
        <v>14528</v>
      </c>
      <c r="I16" s="62">
        <v>121486</v>
      </c>
      <c r="J16" s="62">
        <v>46855166</v>
      </c>
      <c r="K16" s="16"/>
      <c r="L16" s="52"/>
      <c r="M16" s="34"/>
      <c r="N16" s="44"/>
      <c r="O16" s="44"/>
      <c r="P16" s="44"/>
      <c r="Q16" s="44"/>
    </row>
    <row r="17" spans="1:19" s="14" customFormat="1" ht="12.95" customHeight="1" x14ac:dyDescent="0.25">
      <c r="A17" s="33">
        <f t="shared" si="0"/>
        <v>44357</v>
      </c>
      <c r="B17" s="55">
        <v>753858</v>
      </c>
      <c r="C17" s="55">
        <v>863874</v>
      </c>
      <c r="D17" s="22">
        <v>0.75</v>
      </c>
      <c r="E17" s="59">
        <v>1633.64</v>
      </c>
      <c r="F17" s="56">
        <v>3624.56</v>
      </c>
      <c r="G17" s="55">
        <v>30278.91</v>
      </c>
      <c r="H17" s="62">
        <v>14528</v>
      </c>
      <c r="I17" s="55">
        <v>121579</v>
      </c>
      <c r="J17" s="55">
        <v>46889285</v>
      </c>
      <c r="K17" s="16"/>
      <c r="L17" s="52"/>
      <c r="M17" s="34"/>
      <c r="N17" s="44"/>
      <c r="O17" s="44"/>
      <c r="P17" s="44"/>
      <c r="Q17" s="44"/>
    </row>
    <row r="18" spans="1:19" s="14" customFormat="1" ht="12.95" customHeight="1" x14ac:dyDescent="0.25">
      <c r="A18" s="33">
        <f t="shared" si="0"/>
        <v>44358</v>
      </c>
      <c r="B18" s="62">
        <v>757445</v>
      </c>
      <c r="C18" s="62">
        <v>869873</v>
      </c>
      <c r="D18" s="15">
        <v>0.68</v>
      </c>
      <c r="E18" s="59">
        <v>1658.43</v>
      </c>
      <c r="F18" s="56">
        <v>3631.51</v>
      </c>
      <c r="G18" s="55">
        <v>30308.11</v>
      </c>
      <c r="H18" s="62">
        <v>14528</v>
      </c>
      <c r="I18" s="62">
        <v>121677</v>
      </c>
      <c r="J18" s="62">
        <v>46927528</v>
      </c>
      <c r="K18" s="16"/>
      <c r="L18" s="52"/>
      <c r="M18" s="34"/>
      <c r="N18" s="44"/>
      <c r="O18" s="45"/>
      <c r="P18" s="44"/>
      <c r="Q18" s="44"/>
    </row>
    <row r="19" spans="1:19" s="14" customFormat="1" ht="12.95" customHeight="1" x14ac:dyDescent="0.25">
      <c r="A19" s="33">
        <f t="shared" si="0"/>
        <v>44359</v>
      </c>
      <c r="B19" s="61">
        <v>761128</v>
      </c>
      <c r="C19" s="61">
        <v>875920</v>
      </c>
      <c r="D19" s="15">
        <v>0.6</v>
      </c>
      <c r="E19" s="59">
        <v>1685.18</v>
      </c>
      <c r="F19" s="56">
        <v>3636.73</v>
      </c>
      <c r="G19" s="57">
        <v>30337.599999999999</v>
      </c>
      <c r="H19" s="62">
        <v>14528</v>
      </c>
      <c r="I19" s="61">
        <v>121779</v>
      </c>
      <c r="J19" s="61">
        <v>46965020</v>
      </c>
      <c r="K19" s="16"/>
      <c r="L19" s="52"/>
      <c r="M19" s="34"/>
      <c r="N19" s="44"/>
      <c r="O19" s="45"/>
      <c r="P19" s="44"/>
      <c r="Q19" s="44"/>
    </row>
    <row r="20" spans="1:19" s="14" customFormat="1" ht="12.95" customHeight="1" x14ac:dyDescent="0.25">
      <c r="A20" s="33">
        <f t="shared" si="0"/>
        <v>44360</v>
      </c>
      <c r="B20" s="61">
        <v>764657</v>
      </c>
      <c r="C20" s="61">
        <v>881673</v>
      </c>
      <c r="D20" s="15">
        <v>0.54</v>
      </c>
      <c r="E20" s="59">
        <v>1708.12</v>
      </c>
      <c r="F20" s="56">
        <v>3642</v>
      </c>
      <c r="G20" s="57">
        <v>30365.79</v>
      </c>
      <c r="H20" s="62">
        <v>14528</v>
      </c>
      <c r="I20" s="61">
        <v>121879</v>
      </c>
      <c r="J20" s="61">
        <v>47003208</v>
      </c>
      <c r="K20" s="16"/>
      <c r="L20" s="52"/>
      <c r="M20" s="34"/>
      <c r="N20" s="46"/>
      <c r="O20" s="44"/>
      <c r="P20" s="44"/>
      <c r="Q20" s="44"/>
    </row>
    <row r="21" spans="1:19" s="14" customFormat="1" ht="12.95" customHeight="1" x14ac:dyDescent="0.25">
      <c r="A21" s="33">
        <f t="shared" si="0"/>
        <v>44361</v>
      </c>
      <c r="B21" s="61">
        <v>768436</v>
      </c>
      <c r="C21" s="61">
        <v>887665</v>
      </c>
      <c r="D21" s="15">
        <v>0.48</v>
      </c>
      <c r="E21" s="69">
        <v>1736.13</v>
      </c>
      <c r="F21" s="56">
        <v>3647.23</v>
      </c>
      <c r="G21" s="57">
        <v>30393.72</v>
      </c>
      <c r="H21" s="62">
        <v>14528</v>
      </c>
      <c r="I21" s="61">
        <v>121973</v>
      </c>
      <c r="J21" s="61">
        <v>47041848</v>
      </c>
      <c r="K21" s="16"/>
      <c r="L21" s="52"/>
      <c r="M21" s="34"/>
      <c r="N21" s="46"/>
      <c r="O21" s="46"/>
      <c r="P21" s="47"/>
      <c r="Q21" s="47"/>
      <c r="S21" s="34"/>
    </row>
    <row r="22" spans="1:19" s="14" customFormat="1" ht="12.95" customHeight="1" x14ac:dyDescent="0.25">
      <c r="A22" s="33">
        <f t="shared" si="0"/>
        <v>44362</v>
      </c>
      <c r="B22" s="58">
        <v>771991</v>
      </c>
      <c r="C22" s="65">
        <v>893472</v>
      </c>
      <c r="D22" s="15">
        <v>0.41</v>
      </c>
      <c r="E22" s="59">
        <v>1761.27</v>
      </c>
      <c r="F22" s="56">
        <v>3652.06</v>
      </c>
      <c r="G22" s="57">
        <v>30419.78</v>
      </c>
      <c r="H22" s="62">
        <v>14528</v>
      </c>
      <c r="I22" s="57">
        <v>122069</v>
      </c>
      <c r="J22" s="61">
        <v>47077224</v>
      </c>
      <c r="K22" s="16"/>
      <c r="L22" s="52"/>
      <c r="M22" s="34"/>
      <c r="N22" s="46"/>
      <c r="O22" s="46"/>
      <c r="P22" s="44"/>
      <c r="Q22" s="44"/>
    </row>
    <row r="23" spans="1:19" s="14" customFormat="1" ht="12.95" customHeight="1" x14ac:dyDescent="0.25">
      <c r="A23" s="33">
        <f t="shared" si="0"/>
        <v>44363</v>
      </c>
      <c r="B23" s="61">
        <v>775649</v>
      </c>
      <c r="C23" s="61">
        <v>899448</v>
      </c>
      <c r="D23" s="15">
        <v>0.35</v>
      </c>
      <c r="E23" s="69">
        <v>1783.36</v>
      </c>
      <c r="F23" s="56">
        <v>3658.67</v>
      </c>
      <c r="G23" s="57">
        <v>30447.5</v>
      </c>
      <c r="H23" s="62">
        <v>14528</v>
      </c>
      <c r="I23" s="61">
        <v>122163</v>
      </c>
      <c r="J23" s="61">
        <v>47111620</v>
      </c>
      <c r="K23" s="16"/>
      <c r="L23" s="52"/>
      <c r="M23" s="34"/>
      <c r="N23" s="46"/>
      <c r="O23" s="44"/>
      <c r="P23" s="44"/>
      <c r="Q23" s="44"/>
    </row>
    <row r="24" spans="1:19" s="14" customFormat="1" ht="12.95" customHeight="1" x14ac:dyDescent="0.25">
      <c r="A24" s="33">
        <f t="shared" si="0"/>
        <v>44364</v>
      </c>
      <c r="B24" s="61">
        <v>779253</v>
      </c>
      <c r="C24" s="61">
        <v>905269</v>
      </c>
      <c r="D24" s="15">
        <v>0.28999999999999998</v>
      </c>
      <c r="E24" s="59">
        <v>1806.98</v>
      </c>
      <c r="F24" s="56">
        <v>3664.91</v>
      </c>
      <c r="G24" s="57">
        <v>30475.93</v>
      </c>
      <c r="H24" s="62">
        <v>14528</v>
      </c>
      <c r="I24" s="61">
        <v>122268</v>
      </c>
      <c r="J24" s="61">
        <v>47142631</v>
      </c>
      <c r="K24" s="16"/>
      <c r="L24" s="26"/>
      <c r="M24" s="34"/>
      <c r="N24" s="46"/>
      <c r="O24" s="46"/>
      <c r="P24" s="44"/>
      <c r="Q24" s="44"/>
    </row>
    <row r="25" spans="1:19" s="14" customFormat="1" ht="12.95" customHeight="1" x14ac:dyDescent="0.25">
      <c r="A25" s="33">
        <f t="shared" si="0"/>
        <v>44365</v>
      </c>
      <c r="B25" s="57">
        <v>782935</v>
      </c>
      <c r="C25" s="57">
        <v>911496</v>
      </c>
      <c r="D25" s="22">
        <v>0.21</v>
      </c>
      <c r="E25" s="59">
        <v>1833.48</v>
      </c>
      <c r="F25" s="56">
        <v>3670.41</v>
      </c>
      <c r="G25" s="57">
        <v>30504.61</v>
      </c>
      <c r="H25" s="62">
        <v>14528</v>
      </c>
      <c r="I25" s="61">
        <v>122379</v>
      </c>
      <c r="J25" s="61">
        <v>47180976</v>
      </c>
      <c r="K25" s="17"/>
      <c r="L25" s="26"/>
      <c r="M25" s="34"/>
      <c r="N25" s="46"/>
      <c r="O25" s="46"/>
      <c r="P25" s="44"/>
      <c r="Q25" s="44"/>
    </row>
    <row r="26" spans="1:19" s="14" customFormat="1" ht="12.95" customHeight="1" x14ac:dyDescent="0.25">
      <c r="A26" s="33">
        <f t="shared" si="0"/>
        <v>44366</v>
      </c>
      <c r="B26" s="57">
        <v>786663</v>
      </c>
      <c r="C26" s="57">
        <v>917646</v>
      </c>
      <c r="D26" s="22">
        <v>0.85</v>
      </c>
      <c r="E26" s="59">
        <v>1859.84</v>
      </c>
      <c r="F26" s="56">
        <v>3674.87</v>
      </c>
      <c r="G26" s="57">
        <v>30530.86</v>
      </c>
      <c r="H26" s="62">
        <v>14528</v>
      </c>
      <c r="I26" s="61">
        <v>122480</v>
      </c>
      <c r="J26" s="61">
        <v>47220748</v>
      </c>
      <c r="K26" s="16"/>
      <c r="L26" s="26"/>
      <c r="M26" s="34"/>
      <c r="N26" s="46"/>
      <c r="O26" s="46"/>
      <c r="P26" s="44"/>
      <c r="Q26" s="44"/>
    </row>
    <row r="27" spans="1:19" s="14" customFormat="1" ht="12.95" customHeight="1" x14ac:dyDescent="0.25">
      <c r="A27" s="33">
        <f t="shared" si="0"/>
        <v>44367</v>
      </c>
      <c r="B27" s="61">
        <v>790153</v>
      </c>
      <c r="C27" s="61">
        <v>923797</v>
      </c>
      <c r="D27" s="15">
        <v>0.79</v>
      </c>
      <c r="E27" s="69">
        <v>1883.06</v>
      </c>
      <c r="F27" s="56">
        <v>3679.6</v>
      </c>
      <c r="G27" s="57">
        <v>30560.28</v>
      </c>
      <c r="H27" s="62">
        <v>14528</v>
      </c>
      <c r="I27" s="61">
        <v>122599</v>
      </c>
      <c r="J27" s="61">
        <v>47265808</v>
      </c>
      <c r="K27" s="16"/>
      <c r="L27" s="52"/>
      <c r="M27" s="34"/>
    </row>
    <row r="28" spans="1:19" s="14" customFormat="1" ht="12.95" customHeight="1" x14ac:dyDescent="0.25">
      <c r="A28" s="33">
        <f t="shared" si="0"/>
        <v>44368</v>
      </c>
      <c r="B28" s="60">
        <v>793939</v>
      </c>
      <c r="C28" s="61">
        <v>930131</v>
      </c>
      <c r="D28" s="15">
        <v>0.73</v>
      </c>
      <c r="E28" s="69">
        <v>1907.35</v>
      </c>
      <c r="F28" s="56">
        <v>3684.94</v>
      </c>
      <c r="G28" s="57">
        <v>30593.48</v>
      </c>
      <c r="H28" s="62">
        <v>14528</v>
      </c>
      <c r="I28" s="61">
        <v>122699</v>
      </c>
      <c r="J28" s="61">
        <v>47307640</v>
      </c>
      <c r="K28" s="16"/>
      <c r="L28" s="52"/>
      <c r="M28" s="34"/>
    </row>
    <row r="29" spans="1:19" s="14" customFormat="1" ht="12.95" customHeight="1" x14ac:dyDescent="0.25">
      <c r="A29" s="33">
        <f t="shared" si="0"/>
        <v>44369</v>
      </c>
      <c r="B29" s="61">
        <v>797548</v>
      </c>
      <c r="C29" s="61">
        <v>936178</v>
      </c>
      <c r="D29" s="15">
        <v>0.66</v>
      </c>
      <c r="E29" s="69">
        <v>1928.22</v>
      </c>
      <c r="F29" s="56">
        <v>3691.87</v>
      </c>
      <c r="G29" s="57">
        <v>30621</v>
      </c>
      <c r="H29" s="62">
        <v>14528</v>
      </c>
      <c r="I29" s="61">
        <v>122800</v>
      </c>
      <c r="J29" s="61">
        <v>47344664</v>
      </c>
      <c r="K29" s="16"/>
      <c r="L29" s="52"/>
      <c r="M29" s="34"/>
      <c r="N29" s="34"/>
    </row>
    <row r="30" spans="1:19" s="14" customFormat="1" ht="12.95" customHeight="1" x14ac:dyDescent="0.25">
      <c r="A30" s="33">
        <f t="shared" si="0"/>
        <v>44370</v>
      </c>
      <c r="B30" s="61"/>
      <c r="C30" s="61"/>
      <c r="D30" s="15"/>
      <c r="E30" s="69"/>
      <c r="F30" s="56"/>
      <c r="G30" s="57"/>
      <c r="H30" s="62"/>
      <c r="I30" s="61"/>
      <c r="J30" s="61"/>
      <c r="K30" s="16"/>
      <c r="L30" s="52"/>
      <c r="M30" s="34"/>
    </row>
    <row r="31" spans="1:19" s="14" customFormat="1" ht="12.95" customHeight="1" x14ac:dyDescent="0.25">
      <c r="A31" s="33">
        <f t="shared" si="0"/>
        <v>44371</v>
      </c>
      <c r="B31" s="61"/>
      <c r="C31" s="61"/>
      <c r="D31" s="15"/>
      <c r="E31" s="69"/>
      <c r="F31" s="56"/>
      <c r="G31" s="57"/>
      <c r="H31" s="62"/>
      <c r="I31" s="61"/>
      <c r="J31" s="61"/>
      <c r="K31" s="16"/>
      <c r="L31" s="53"/>
      <c r="M31" s="34"/>
      <c r="N31" s="34"/>
      <c r="O31" s="34"/>
    </row>
    <row r="32" spans="1:19" s="14" customFormat="1" ht="12.95" customHeight="1" x14ac:dyDescent="0.25">
      <c r="A32" s="33">
        <f t="shared" si="0"/>
        <v>44372</v>
      </c>
      <c r="B32" s="61"/>
      <c r="C32" s="61"/>
      <c r="D32" s="15"/>
      <c r="E32" s="59"/>
      <c r="F32" s="56"/>
      <c r="G32" s="57"/>
      <c r="H32" s="62"/>
      <c r="I32" s="61"/>
      <c r="J32" s="61"/>
      <c r="K32" s="16"/>
      <c r="L32" s="53"/>
      <c r="M32" s="34"/>
      <c r="N32" s="34"/>
      <c r="O32" s="34"/>
    </row>
    <row r="33" spans="1:16" s="14" customFormat="1" ht="12.95" customHeight="1" x14ac:dyDescent="0.25">
      <c r="A33" s="33">
        <f t="shared" si="0"/>
        <v>44373</v>
      </c>
      <c r="B33" s="61"/>
      <c r="C33" s="61"/>
      <c r="D33" s="15"/>
      <c r="E33" s="59"/>
      <c r="F33" s="56"/>
      <c r="G33" s="57"/>
      <c r="H33" s="62"/>
      <c r="I33" s="61"/>
      <c r="J33" s="61"/>
      <c r="K33" s="16"/>
      <c r="L33" s="52"/>
      <c r="N33" s="34"/>
      <c r="O33" s="34"/>
    </row>
    <row r="34" spans="1:16" s="14" customFormat="1" ht="12.95" customHeight="1" x14ac:dyDescent="0.25">
      <c r="A34" s="33">
        <f t="shared" si="0"/>
        <v>44374</v>
      </c>
      <c r="B34" s="57"/>
      <c r="C34" s="66"/>
      <c r="D34" s="22"/>
      <c r="E34" s="69"/>
      <c r="F34" s="56"/>
      <c r="G34" s="57"/>
      <c r="H34" s="62"/>
      <c r="I34" s="57"/>
      <c r="J34" s="57"/>
      <c r="K34" s="16"/>
      <c r="L34" s="52"/>
      <c r="N34" s="34"/>
      <c r="P34" s="34"/>
    </row>
    <row r="35" spans="1:16" s="14" customFormat="1" ht="12.95" customHeight="1" x14ac:dyDescent="0.25">
      <c r="A35" s="33">
        <f>A34+1</f>
        <v>44375</v>
      </c>
      <c r="B35" s="62"/>
      <c r="C35" s="63"/>
      <c r="D35" s="15"/>
      <c r="E35" s="59"/>
      <c r="F35" s="55"/>
      <c r="G35" s="55"/>
      <c r="H35" s="62"/>
      <c r="I35" s="62"/>
      <c r="J35" s="62"/>
      <c r="K35" s="16"/>
      <c r="L35" s="52"/>
      <c r="M35" s="34"/>
      <c r="N35" s="34"/>
      <c r="O35" s="34"/>
    </row>
    <row r="36" spans="1:16" x14ac:dyDescent="0.25">
      <c r="A36" s="54">
        <f t="shared" si="0"/>
        <v>44376</v>
      </c>
      <c r="B36" s="62"/>
      <c r="C36" s="63"/>
      <c r="D36" s="15"/>
      <c r="E36" s="59"/>
      <c r="F36" s="55"/>
      <c r="G36" s="55"/>
      <c r="H36" s="62"/>
      <c r="I36" s="62"/>
      <c r="J36" s="62"/>
      <c r="K36" s="16"/>
      <c r="L36" s="16"/>
    </row>
    <row r="37" spans="1:16" x14ac:dyDescent="0.25">
      <c r="A37" s="54">
        <f t="shared" si="0"/>
        <v>44377</v>
      </c>
      <c r="B37" s="62"/>
      <c r="C37" s="63"/>
      <c r="D37" s="15"/>
      <c r="E37" s="59"/>
      <c r="F37" s="55"/>
      <c r="G37" s="55"/>
      <c r="H37" s="62"/>
      <c r="I37" s="62"/>
      <c r="J37" s="62"/>
      <c r="K37" s="16"/>
      <c r="L37" s="16"/>
    </row>
    <row r="38" spans="1:16" ht="15" customHeight="1" x14ac:dyDescent="0.25">
      <c r="A38" s="54">
        <f>A37+1</f>
        <v>44378</v>
      </c>
      <c r="B38" s="62"/>
      <c r="C38" s="63"/>
      <c r="D38" s="15"/>
      <c r="E38" s="59"/>
      <c r="F38" s="55"/>
      <c r="G38" s="55"/>
      <c r="H38" s="62"/>
      <c r="I38" s="62"/>
      <c r="J38" s="62"/>
      <c r="K38" s="16"/>
      <c r="L38" s="16"/>
    </row>
    <row r="39" spans="1:16" s="48" customFormat="1" ht="15" customHeight="1" x14ac:dyDescent="0.25">
      <c r="A39" s="35" t="s">
        <v>35</v>
      </c>
      <c r="B39" s="27">
        <f t="shared" ref="B39:J39" si="1">B35-B7</f>
        <v>-718466</v>
      </c>
      <c r="C39" s="27">
        <f t="shared" si="1"/>
        <v>-801538</v>
      </c>
      <c r="D39" s="27">
        <f t="shared" si="1"/>
        <v>0</v>
      </c>
      <c r="E39" s="27">
        <f t="shared" si="1"/>
        <v>-1361.84</v>
      </c>
      <c r="F39" s="27">
        <f t="shared" si="1"/>
        <v>-3567.88</v>
      </c>
      <c r="G39" s="27">
        <f t="shared" si="1"/>
        <v>-29965.37</v>
      </c>
      <c r="H39" s="27">
        <f t="shared" si="1"/>
        <v>-14528</v>
      </c>
      <c r="I39" s="27">
        <f t="shared" si="1"/>
        <v>-120475</v>
      </c>
      <c r="J39" s="27">
        <f t="shared" si="1"/>
        <v>-46501991</v>
      </c>
      <c r="K39" s="27">
        <f>SUM(K7:K35)</f>
        <v>0</v>
      </c>
      <c r="L39" s="19"/>
    </row>
    <row r="40" spans="1:16" ht="15" customHeight="1" x14ac:dyDescent="0.25">
      <c r="C40" s="27"/>
      <c r="E40" s="21"/>
      <c r="F40" s="21"/>
      <c r="G40" s="21"/>
      <c r="H40" s="18">
        <f>H39*219.969</f>
        <v>-3195709.6319999998</v>
      </c>
      <c r="I40" s="27">
        <f>I39*219.969</f>
        <v>-26500765.274999999</v>
      </c>
      <c r="J40" s="21"/>
    </row>
    <row r="41" spans="1:16" x14ac:dyDescent="0.25">
      <c r="C41" s="21"/>
    </row>
    <row r="42" spans="1:16" x14ac:dyDescent="0.25">
      <c r="J42" s="49"/>
    </row>
    <row r="43" spans="1:16" x14ac:dyDescent="0.25">
      <c r="C43" s="50"/>
      <c r="I43" s="49"/>
    </row>
    <row r="50" spans="9:9" x14ac:dyDescent="0.25">
      <c r="I50" s="21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6 - 2021</vt:lpstr>
      <vt:lpstr>'6 - 2021'!Print_Area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2021-06-22T04:44:49Z</dcterms:modified>
</cp:coreProperties>
</file>