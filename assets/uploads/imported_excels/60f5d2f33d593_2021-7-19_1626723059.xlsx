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R19" i="7"/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<sst xmlns="http://schemas.openxmlformats.org/spreadsheetml/2006/main" count="313" uniqueCount="148">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</sst>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8689.9999999999309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87</v>
      </c>
      <c r="J17" s="11">
        <f t="shared" si="3"/>
        <v>10.487297712684205</v>
      </c>
      <c r="K17" s="13">
        <f>'FS Desroches Daily'!CN19</f>
        <v>15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8810.0000000002656</v>
      </c>
      <c r="F18" s="11">
        <f t="shared" si="1"/>
        <v>0.58765030286592534</v>
      </c>
      <c r="G18" s="12">
        <f>(Submetering!AX18+Submetering!AY18+Submetering!AZ18+Submetering!BA18+Submetering!BB18)</f>
        <v>29.303999999999998</v>
      </c>
      <c r="H18" s="11">
        <f t="shared" si="2"/>
        <v>0.99</v>
      </c>
      <c r="I18" s="12">
        <f>'FS Desroches Daily'!CM20</f>
        <v>58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8859.9999999998545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15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 t="e">
        <f>Submetering!E20+Submetering!F20+Submetering!G20+Submetering!H20+Submetering!J20-Submetering!AV20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 t="e">
        <f>'FS Desroches Daily'!CM22</f>
        <v>#VALUE!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3.6629999999999998</v>
      </c>
      <c r="BB16" s="31">
        <f>IF(LPG!Q23-LPG!Q22&lt;0,"0",(LPG!Q23-LPG!Q22)*1.8315)</f>
        <v>5.4944999999999995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2099.9999999999909</v>
      </c>
      <c r="F17" s="32">
        <f>'FS Desroches Daily'!F19</f>
        <v>2499.9999999999468</v>
      </c>
      <c r="G17" s="31">
        <f>'FS Desroches Daily'!H19</f>
        <v>2499.9999999999468</v>
      </c>
      <c r="H17" s="32">
        <f>'FS Desroches Daily'!J19</f>
        <v>1300.0000000000789</v>
      </c>
      <c r="I17" s="31">
        <f>'FS Desroches Daily'!L19</f>
        <v>2000.0000000002237</v>
      </c>
      <c r="J17" s="32">
        <f>'FS Desroches Daily'!N19</f>
        <v>999.99999999988984</v>
      </c>
      <c r="K17" s="13">
        <f>'FS Desroches Daily'!P19</f>
        <v>0</v>
      </c>
      <c r="L17" s="31">
        <f>'FS Desroches Daily'!R19</f>
        <v>2</v>
      </c>
      <c r="M17" s="31">
        <f>'FS Desroches Daily'!T19</f>
        <v>800</v>
      </c>
      <c r="N17" s="31">
        <f>'FS Desroches Daily'!V19</f>
        <v>276.20000000001164</v>
      </c>
      <c r="O17" s="31">
        <f>'FS Desroches Daily'!X19</f>
        <v>229.99999999996135</v>
      </c>
      <c r="P17" s="31">
        <f>'FS Desroches Daily'!Z19</f>
        <v>2299.9999999999686</v>
      </c>
      <c r="Q17" s="31">
        <f>'FS Desroches Daily'!AB19</f>
        <v>300.00000000001137</v>
      </c>
      <c r="R17" s="31">
        <f>'FS Desroches Daily'!AD19</f>
        <v>250</v>
      </c>
      <c r="S17" s="31">
        <f>'FS Desroches Daily'!AF19</f>
        <v>350.00000000002274</v>
      </c>
      <c r="T17" s="31">
        <f>'FS Desroches Daily'!AH19</f>
        <v>37</v>
      </c>
      <c r="U17" s="35">
        <f>'FS Desroches Daily'!AJ19</f>
        <v>680.00000000006366</v>
      </c>
      <c r="V17" s="35">
        <f>'FS Desroches Daily'!AL19</f>
        <v>150.00000000000568</v>
      </c>
      <c r="W17" s="35">
        <f>'FS Desroches Daily'!AN19</f>
        <v>159.99999999999659</v>
      </c>
      <c r="X17" s="35">
        <f>'FS Desroches Daily'!AP19</f>
        <v>99.999999999994316</v>
      </c>
      <c r="Y17" s="35">
        <f>'FS Desroches Daily'!AR19</f>
        <v>99.999999999994316</v>
      </c>
      <c r="Z17" s="35">
        <f>'FS Desroches Daily'!AU20</f>
        <v>286.88</v>
      </c>
      <c r="AA17" s="35">
        <f>'FS Desroches Daily'!AU20</f>
        <v>286.88</v>
      </c>
      <c r="AB17" s="35" t="str">
        <f>'FS Desroches Daily'!AV19</f>
        <v/>
      </c>
      <c r="AC17" s="35">
        <f>'FS Desroches Daily'!AZ19</f>
        <v>29.999999999972715</v>
      </c>
      <c r="AD17" s="35">
        <f>'FS Desroches Daily'!BB19</f>
        <v>20.000000000038654</v>
      </c>
      <c r="AE17" s="35">
        <f>'FS Desroches Daily'!BD19</f>
        <v>140.00000000001478</v>
      </c>
      <c r="AF17" s="31">
        <f>'FS Desroches Daily'!BF19</f>
        <v>23</v>
      </c>
      <c r="AG17" s="32">
        <f>'FS Desroches Daily'!BH19</f>
        <v>49.999999999982947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36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46</v>
      </c>
      <c r="AQ17" s="31">
        <f>'FS Desroches Daily'!CB19</f>
        <v>31.900000000001455</v>
      </c>
      <c r="AR17" s="31">
        <f>'FS Desroches Daily'!CD19</f>
        <v>8.7000000000007276</v>
      </c>
      <c r="AS17" s="31">
        <f>'FS Desroches Daily'!CF19</f>
        <v>8.3000000000001819</v>
      </c>
      <c r="AT17" s="31">
        <f>'FS Desroches Daily'!CH19</f>
        <v>35.19999999999709</v>
      </c>
      <c r="AU17" s="31">
        <f>'FS Desroches Daily'!CJ19</f>
        <v>278</v>
      </c>
      <c r="AV17" s="31">
        <f>'FS Desroches Daily'!CL19</f>
        <v>709.99999999992269</v>
      </c>
      <c r="AW17" s="31">
        <f>'FS Desroches Daily'!CM19</f>
        <v>87</v>
      </c>
      <c r="AX17" s="31">
        <f>IF(LPG!F24-LPG!F23&lt;0,"0",(LPG!F24-LPG!F23)*1.8315)</f>
        <v>10.988999999999999</v>
      </c>
      <c r="AY17" s="31">
        <f>IF(LPG!H24-LPG!H23&lt;0,"0",(LPG!H24-LPG!H23)*1.8315)</f>
        <v>5.4944999999999995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9.1574999999999989</v>
      </c>
      <c r="BC17" s="13">
        <f>'FS Desroches Daily'!CN19</f>
        <v>15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1900.0000000000127</v>
      </c>
      <c r="F18" s="32">
        <f>'FS Desroches Daily'!F20</f>
        <v>2600.0000000001578</v>
      </c>
      <c r="G18" s="31">
        <f>'FS Desroches Daily'!H20</f>
        <v>2699.9999999999245</v>
      </c>
      <c r="H18" s="32">
        <f>'FS Desroches Daily'!J20</f>
        <v>1200.0000000000898</v>
      </c>
      <c r="I18" s="31">
        <f>'FS Desroches Daily'!L20</f>
        <v>1999.9999999997797</v>
      </c>
      <c r="J18" s="32">
        <f>'FS Desroches Daily'!N20</f>
        <v>1000.0000000001119</v>
      </c>
      <c r="K18" s="13">
        <f>'FS Desroches Daily'!P20</f>
        <v>6</v>
      </c>
      <c r="L18" s="31">
        <f>'FS Desroches Daily'!R20</f>
        <v>2</v>
      </c>
      <c r="M18" s="31">
        <f>'FS Desroches Daily'!T20</f>
        <v>1000</v>
      </c>
      <c r="N18" s="31">
        <f>'FS Desroches Daily'!V20</f>
        <v>341.20000000001164</v>
      </c>
      <c r="O18" s="31">
        <f>'FS Desroches Daily'!X20</f>
        <v>240.00000000000909</v>
      </c>
      <c r="P18" s="31">
        <f>'FS Desroches Daily'!Z20</f>
        <v>2300.0000000004129</v>
      </c>
      <c r="Q18" s="31">
        <f>'FS Desroches Daily'!AB20</f>
        <v>279.99999999997272</v>
      </c>
      <c r="R18" s="31">
        <f>'FS Desroches Daily'!AD20</f>
        <v>269.99999999998181</v>
      </c>
      <c r="S18" s="31">
        <f>'FS Desroches Daily'!AF20</f>
        <v>299.99999999995453</v>
      </c>
      <c r="T18" s="31">
        <f>'FS Desroches Daily'!AH20</f>
        <v>38</v>
      </c>
      <c r="U18" s="35">
        <f>'FS Desroches Daily'!AJ20</f>
        <v>699.99999999993179</v>
      </c>
      <c r="V18" s="35">
        <f>'FS Desroches Daily'!AL20</f>
        <v>140.00000000001478</v>
      </c>
      <c r="W18" s="35">
        <f>'FS Desroches Daily'!AN20</f>
        <v>139.99999999998636</v>
      </c>
      <c r="X18" s="35">
        <f>'FS Desroches Daily'!AP20</f>
        <v>130.00000000002387</v>
      </c>
      <c r="Y18" s="35">
        <f>'FS Desroches Daily'!AR20</f>
        <v>79.999999999984084</v>
      </c>
      <c r="Z18" s="35">
        <f>'FS Desroches Daily'!AT20</f>
        <v>200.00000000004547</v>
      </c>
      <c r="AA18" s="35">
        <f>'FS Desroches Daily'!AT20</f>
        <v>200.00000000004547</v>
      </c>
      <c r="AB18" s="35">
        <f>'FS Desroches Daily'!AV20</f>
        <v>250</v>
      </c>
      <c r="AC18" s="35">
        <f>'FS Desroches Daily'!AZ20</f>
        <v>30.000000000029559</v>
      </c>
      <c r="AD18" s="35">
        <f>'FS Desroches Daily'!BB20</f>
        <v>19.99999999998181</v>
      </c>
      <c r="AE18" s="35">
        <f>'FS Desroches Daily'!BD20</f>
        <v>129.99999999999545</v>
      </c>
      <c r="AF18" s="31">
        <f>'FS Desroches Daily'!BF20</f>
        <v>35</v>
      </c>
      <c r="AG18" s="32">
        <f>'FS Desroches Daily'!BH20</f>
        <v>30.000000000001137</v>
      </c>
      <c r="AH18" s="32">
        <f>'FS Desroches Daily'!BJ20</f>
        <v>19.99999999998181</v>
      </c>
      <c r="AI18" s="32">
        <f>'FS Desroches Daily'!BL20</f>
        <v>19.99999999998181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33</v>
      </c>
      <c r="AM18" s="32">
        <f>'FS Desroches Daily'!BT20</f>
        <v>30.000000000001137</v>
      </c>
      <c r="AN18" s="32">
        <f>'FS Desroches Daily'!BV20</f>
        <v>34</v>
      </c>
      <c r="AO18" s="32">
        <f>'FS Desroches Daily'!BX20</f>
        <v>20.000000000010232</v>
      </c>
      <c r="AP18" s="32">
        <f>'FS Desroches Daily'!BZ20</f>
        <v>41</v>
      </c>
      <c r="AQ18" s="31">
        <f>'FS Desroches Daily'!CB20</f>
        <v>27.799999999999272</v>
      </c>
      <c r="AR18" s="31">
        <f>'FS Desroches Daily'!CD20</f>
        <v>7.8999999999996362</v>
      </c>
      <c r="AS18" s="31">
        <f>'FS Desroches Daily'!CF20</f>
        <v>5.3999999999996362</v>
      </c>
      <c r="AT18" s="31">
        <f>'FS Desroches Daily'!CH20</f>
        <v>29.5</v>
      </c>
      <c r="AU18" s="31">
        <f>'FS Desroches Daily'!CJ20</f>
        <v>276</v>
      </c>
      <c r="AV18" s="31">
        <f>'FS Desroches Daily'!CL20</f>
        <v>590.00000000003183</v>
      </c>
      <c r="AW18" s="31">
        <f>'FS Desroches Daily'!CM20</f>
        <v>58</v>
      </c>
      <c r="AX18" s="31">
        <f>IF(LPG!F25-LPG!F24&lt;0,"0",(LPG!F25-LPG!F24)*1.8315)</f>
        <v>9.1574999999999989</v>
      </c>
      <c r="AY18" s="31">
        <f>IF(LPG!H25-LPG!H24&lt;0,"0",(LPG!H25-LPG!H24)*1.8315)</f>
        <v>7.3259999999999996</v>
      </c>
      <c r="AZ18" s="31">
        <f>IF(LPG!J25-LPG!J24&lt;0,"0",(LPG!J25-LPG!J24)*1.8315)</f>
        <v>1.8314999999999999</v>
      </c>
      <c r="BA18" s="31">
        <f>IF(LPG!M25-LPG!M24&lt;0,"0",(LPG!M25-LPG!M24)*1.8315)</f>
        <v>3.6629999999999998</v>
      </c>
      <c r="BB18" s="31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2600.0000000001578</v>
      </c>
      <c r="H19" s="32">
        <f>'FS Desroches Daily'!J21</f>
        <v>1299.9999999998568</v>
      </c>
      <c r="I19" s="31">
        <f>'FS Desroches Daily'!L21</f>
        <v>2000.0000000002237</v>
      </c>
      <c r="J19" s="32">
        <f>'FS Desroches Daily'!N21</f>
        <v>999.99999999988984</v>
      </c>
      <c r="K19" s="13">
        <f>'FS Desroches Daily'!P21</f>
        <v>6</v>
      </c>
      <c r="L19" s="31">
        <f>'FS Desroches Daily'!R21</f>
        <v>2</v>
      </c>
      <c r="M19" s="31" t="str">
        <f>'FS Desroches Daily'!T21</f>
        <v/>
      </c>
      <c r="N19" s="31">
        <f>'FS Desroches Daily'!V21</f>
        <v>283.89999999996508</v>
      </c>
      <c r="O19" s="31">
        <f>'FS Desroches Daily'!X21</f>
        <v>230.00000000001819</v>
      </c>
      <c r="P19" s="31">
        <f>'FS Desroches Daily'!Z21</f>
        <v>2399.9999999997358</v>
      </c>
      <c r="Q19" s="31">
        <f>'FS Desroches Daily'!AB21</f>
        <v>350.00000000002274</v>
      </c>
      <c r="R19" s="31">
        <f>'FS Desroches Daily'!AD21</f>
        <v>240.00000000000909</v>
      </c>
      <c r="S19" s="31">
        <f>'FS Desroches Daily'!AF21</f>
        <v>6250</v>
      </c>
      <c r="T19" s="31">
        <f>'FS Desroches Daily'!AH21</f>
        <v>35</v>
      </c>
      <c r="U19" s="35">
        <f>'FS Desroches Daily'!AJ21</f>
        <v>860.00000000001364</v>
      </c>
      <c r="V19" s="35">
        <f>'FS Desroches Daily'!AL21</f>
        <v>89.999999999974989</v>
      </c>
      <c r="W19" s="35">
        <f>'FS Desroches Daily'!AN21</f>
        <v>159.99999999999659</v>
      </c>
      <c r="X19" s="35">
        <f>'FS Desroches Daily'!AP21</f>
        <v>99.999999999994316</v>
      </c>
      <c r="Y19" s="35">
        <f>'FS Desroches Daily'!AR21</f>
        <v>80.000000000012506</v>
      </c>
      <c r="Z19" s="35">
        <f>'FS Desroches Daily'!AT21</f>
        <v>129.99999999999545</v>
      </c>
      <c r="AA19" s="35">
        <f>'FS Desroches Daily'!AT21</f>
        <v>129.99999999999545</v>
      </c>
      <c r="AB19" s="35">
        <f>'FS Desroches Daily'!AV21</f>
        <v>69.999999999993179</v>
      </c>
      <c r="AC19" s="35">
        <f>'FS Desroches Daily'!AZ21</f>
        <v>39.99999999996362</v>
      </c>
      <c r="AD19" s="35">
        <f>'FS Desroches Daily'!BB21</f>
        <v>19.99999999998181</v>
      </c>
      <c r="AE19" s="35">
        <f>'FS Desroches Daily'!BD21</f>
        <v>129.99999999999545</v>
      </c>
      <c r="AF19" s="31">
        <f>'FS Desroches Daily'!BF21</f>
        <v>19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30.000000000029559</v>
      </c>
      <c r="AL19" s="32">
        <f>'FS Desroches Daily'!BR21</f>
        <v>31</v>
      </c>
      <c r="AM19" s="32">
        <f>'FS Desroches Daily'!BT21</f>
        <v>19.99999999998181</v>
      </c>
      <c r="AN19" s="32">
        <f>'FS Desroches Daily'!BV21</f>
        <v>43</v>
      </c>
      <c r="AO19" s="32">
        <f>'FS Desroches Daily'!BX21</f>
        <v>30.000000000001137</v>
      </c>
      <c r="AP19" s="32">
        <f>'FS Desroches Daily'!BZ21</f>
        <v>48</v>
      </c>
      <c r="AQ19" s="31">
        <f>'FS Desroches Daily'!CB21</f>
        <v>42.299999999999272</v>
      </c>
      <c r="AR19" s="31">
        <f>'FS Desroches Daily'!CD21</f>
        <v>10.100000000000364</v>
      </c>
      <c r="AS19" s="31">
        <f>'FS Desroches Daily'!CF21</f>
        <v>11.400000000000546</v>
      </c>
      <c r="AT19" s="31">
        <f>'FS Desroches Daily'!CH21</f>
        <v>21.100000000005821</v>
      </c>
      <c r="AU19" s="31">
        <f>'FS Desroches Daily'!CJ21</f>
        <v>261</v>
      </c>
      <c r="AV19" s="31">
        <f>'FS Desroches Daily'!CL21</f>
        <v>639.99999999998636</v>
      </c>
      <c r="AW19" s="31">
        <f>'FS Desroches Daily'!CM21</f>
        <v>69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15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35299.999999999884</v>
      </c>
      <c r="F33" s="17">
        <f t="shared" ref="F33:BC33" si="1">SUM(F2:F32)</f>
        <v>45799.999999999847</v>
      </c>
      <c r="G33" s="17">
        <f t="shared" si="1"/>
        <v>43700.000000000298</v>
      </c>
      <c r="H33" s="17">
        <f t="shared" si="1"/>
        <v>22000.000000000022</v>
      </c>
      <c r="I33" s="17">
        <f t="shared" si="1"/>
        <v>33500.000000000095</v>
      </c>
      <c r="J33" s="17">
        <f t="shared" si="1"/>
        <v>16799.999999999924</v>
      </c>
      <c r="K33" s="17">
        <f t="shared" si="1"/>
        <v>79</v>
      </c>
      <c r="L33" s="17">
        <f t="shared" si="1"/>
        <v>36</v>
      </c>
      <c r="M33" s="17">
        <f t="shared" si="1"/>
        <v>12964.599999999977</v>
      </c>
      <c r="N33" s="17">
        <f t="shared" si="1"/>
        <v>5217.2000000000116</v>
      </c>
      <c r="O33" s="17">
        <f t="shared" si="1"/>
        <v>4450.0000000000455</v>
      </c>
      <c r="P33" s="17">
        <f t="shared" si="1"/>
        <v>40799.999999999956</v>
      </c>
      <c r="Q33" s="17">
        <f t="shared" si="1"/>
        <v>4790.0000000000209</v>
      </c>
      <c r="R33" s="17">
        <f t="shared" si="1"/>
        <v>4389.9999999999864</v>
      </c>
      <c r="S33" s="17">
        <f t="shared" si="1"/>
        <v>11559.999999999945</v>
      </c>
      <c r="T33" s="17">
        <f t="shared" si="1"/>
        <v>598</v>
      </c>
      <c r="U33" s="35">
        <f t="shared" si="1"/>
        <v>12389.999999999985</v>
      </c>
      <c r="V33" s="35">
        <f t="shared" si="1"/>
        <v>2909.9999999999959</v>
      </c>
      <c r="W33" s="35">
        <f t="shared" si="1"/>
        <v>2519.9999999999818</v>
      </c>
      <c r="X33" s="35">
        <f t="shared" si="1"/>
        <v>1890.0000000000148</v>
      </c>
      <c r="Y33" s="35">
        <f t="shared" si="1"/>
        <v>2740.0000000000091</v>
      </c>
      <c r="Z33" s="35">
        <f t="shared" si="1"/>
        <v>3276.880000000066</v>
      </c>
      <c r="AA33" s="35">
        <f t="shared" si="1"/>
        <v>3276.880000000066</v>
      </c>
      <c r="AB33" s="35">
        <f t="shared" si="1"/>
        <v>1370.0000000000045</v>
      </c>
      <c r="AC33" s="35">
        <f t="shared" si="1"/>
        <v>789.99999999996362</v>
      </c>
      <c r="AD33" s="35">
        <f t="shared" si="1"/>
        <v>420.00000000001592</v>
      </c>
      <c r="AE33" s="35">
        <f t="shared" si="1"/>
        <v>1669.9999999999875</v>
      </c>
      <c r="AF33" s="17">
        <f t="shared" si="1"/>
        <v>516</v>
      </c>
      <c r="AG33" s="32">
        <f t="shared" si="1"/>
        <v>689.99999999999773</v>
      </c>
      <c r="AH33" s="32">
        <f t="shared" si="1"/>
        <v>480.00000000001819</v>
      </c>
      <c r="AI33" s="32">
        <f t="shared" si="1"/>
        <v>500</v>
      </c>
      <c r="AJ33" s="32">
        <f t="shared" si="1"/>
        <v>659.99999999999659</v>
      </c>
      <c r="AK33" s="32">
        <f t="shared" si="1"/>
        <v>620.00000000000455</v>
      </c>
      <c r="AL33" s="32">
        <f t="shared" si="1"/>
        <v>496</v>
      </c>
      <c r="AM33" s="32">
        <f t="shared" si="1"/>
        <v>509.99999999999091</v>
      </c>
      <c r="AN33" s="32">
        <f t="shared" si="1"/>
        <v>701</v>
      </c>
      <c r="AO33" s="32">
        <f t="shared" si="1"/>
        <v>420.00000000001592</v>
      </c>
      <c r="AP33" s="32">
        <f t="shared" si="1"/>
        <v>778</v>
      </c>
      <c r="AQ33" s="17">
        <f t="shared" si="1"/>
        <v>626.09999999999854</v>
      </c>
      <c r="AR33" s="17">
        <f t="shared" si="1"/>
        <v>161.5</v>
      </c>
      <c r="AS33" s="17">
        <f t="shared" si="1"/>
        <v>96.600000000000364</v>
      </c>
      <c r="AT33" s="17">
        <f t="shared" si="1"/>
        <v>587.90000000000146</v>
      </c>
      <c r="AU33" s="17">
        <f t="shared" si="1"/>
        <v>4855</v>
      </c>
      <c r="AV33" s="17">
        <f t="shared" si="1"/>
        <v>10809.999999999945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124.542</v>
      </c>
      <c r="BC33" s="17">
        <f t="shared" si="1"/>
        <v>176</v>
      </c>
    </row>
    <row r="35" spans="5:55" x14ac:dyDescent="0.25">
      <c r="E35" s="38">
        <f>E33/E37</f>
        <v>0.22812754462381504</v>
      </c>
      <c r="G35" s="29">
        <f>G33-M36</f>
        <v>25518.20000000031</v>
      </c>
      <c r="AE35" s="35">
        <f>SUM(U33:AE33)</f>
        <v>33253.760000000089</v>
      </c>
      <c r="AG35" s="32">
        <f>SUM(AG33:AP33)</f>
        <v>5855.0000000000236</v>
      </c>
    </row>
    <row r="36" spans="5:55" x14ac:dyDescent="0.25">
      <c r="G36" s="29">
        <f>G35-633*14</f>
        <v>16656.20000000031</v>
      </c>
      <c r="M36" s="29">
        <f>M33+N33</f>
        <v>18181.799999999988</v>
      </c>
    </row>
    <row r="37" spans="5:55" x14ac:dyDescent="0.25">
      <c r="E37" s="17">
        <f>E33+F33+G33+H33+J33-633*14</f>
        <v>154737.99999999997</v>
      </c>
      <c r="G37" s="37">
        <f>M36/E37</f>
        <v>0.11750054931561732</v>
      </c>
      <c r="M37" s="35">
        <f>AE35</f>
        <v>33253.760000000089</v>
      </c>
    </row>
    <row r="38" spans="5:55" x14ac:dyDescent="0.25">
      <c r="L38" s="27">
        <f>M38/E37</f>
        <v>3.7838152231514072E-2</v>
      </c>
      <c r="M38" s="29">
        <f>AG35</f>
        <v>5855.0000000000236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X1" zoomScale="80" zoomScaleNormal="80" workbookViewId="0">
      <pane ySplit="1" topLeftCell="A2" activePane="bottomLeft" state="frozen"/>
      <selection pane="bottomLeft" activeCell="BE22" sqref="BE2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>IF((AU18-AU17&lt;0), "",(AU18-AU17)*1000)</f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>
        <v>2.3285</v>
      </c>
      <c r="D19" s="64">
        <f t="shared" si="0"/>
        <v>2099.9999999999909</v>
      </c>
      <c r="E19" s="58">
        <v>3.3113999999999999</v>
      </c>
      <c r="F19" s="64">
        <f t="shared" si="1"/>
        <v>2499.9999999999468</v>
      </c>
      <c r="G19" s="58">
        <v>3.3662000000000001</v>
      </c>
      <c r="H19" s="64">
        <f t="shared" si="2"/>
        <v>2499.9999999999468</v>
      </c>
      <c r="I19" s="58">
        <v>1.6612</v>
      </c>
      <c r="J19" s="64">
        <f t="shared" si="3"/>
        <v>1300.0000000000789</v>
      </c>
      <c r="K19" s="58">
        <v>2.6812</v>
      </c>
      <c r="L19" s="64">
        <f t="shared" si="4"/>
        <v>2000.0000000002237</v>
      </c>
      <c r="M19" s="58">
        <v>1.4759</v>
      </c>
      <c r="N19" s="64">
        <f t="shared" si="5"/>
        <v>999.99999999988984</v>
      </c>
      <c r="O19" s="58">
        <v>14482</v>
      </c>
      <c r="P19" s="67">
        <f t="shared" si="44"/>
        <v>0</v>
      </c>
      <c r="Q19" s="58">
        <v>1066</v>
      </c>
      <c r="R19" s="67">
        <f t="shared" si="6"/>
        <v>2</v>
      </c>
      <c r="S19" s="58">
        <v>1007200</v>
      </c>
      <c r="T19" s="67">
        <f t="shared" si="7"/>
        <v>800</v>
      </c>
      <c r="U19" s="58">
        <v>423026.2</v>
      </c>
      <c r="V19" s="67">
        <f t="shared" si="8"/>
        <v>276.20000000001164</v>
      </c>
      <c r="W19" s="58">
        <v>402.95</v>
      </c>
      <c r="X19" s="65">
        <f t="shared" si="9"/>
        <v>229.99999999996135</v>
      </c>
      <c r="Y19" s="58">
        <v>2.8948999999999998</v>
      </c>
      <c r="Z19" s="65">
        <f t="shared" si="10"/>
        <v>2299.9999999999686</v>
      </c>
      <c r="AA19" s="58">
        <v>401.17</v>
      </c>
      <c r="AB19" s="65">
        <f t="shared" si="11"/>
        <v>300.00000000001137</v>
      </c>
      <c r="AC19" s="58">
        <v>375.23</v>
      </c>
      <c r="AD19" s="65">
        <f t="shared" si="12"/>
        <v>250</v>
      </c>
      <c r="AE19" s="58">
        <v>572.48</v>
      </c>
      <c r="AF19" s="65">
        <f t="shared" si="13"/>
        <v>350.00000000002274</v>
      </c>
      <c r="AG19" s="58">
        <v>5106</v>
      </c>
      <c r="AH19" s="67">
        <f t="shared" si="14"/>
        <v>37</v>
      </c>
      <c r="AI19" s="58">
        <v>626.69000000000005</v>
      </c>
      <c r="AJ19" s="65">
        <f t="shared" si="15"/>
        <v>680.00000000006366</v>
      </c>
      <c r="AK19" s="58">
        <v>207.91</v>
      </c>
      <c r="AL19" s="65">
        <f t="shared" si="15"/>
        <v>150.00000000000568</v>
      </c>
      <c r="AM19" s="58">
        <v>197.74</v>
      </c>
      <c r="AN19" s="65">
        <f t="shared" si="15"/>
        <v>159.99999999999659</v>
      </c>
      <c r="AO19" s="58">
        <v>191.39</v>
      </c>
      <c r="AP19" s="65">
        <f t="shared" si="15"/>
        <v>99.999999999994316</v>
      </c>
      <c r="AQ19" s="58">
        <v>250.09</v>
      </c>
      <c r="AR19" s="65">
        <f t="shared" si="16"/>
        <v>99.999999999994316</v>
      </c>
      <c r="AS19" s="58">
        <v>376.02</v>
      </c>
      <c r="AT19" s="65">
        <f t="shared" si="17"/>
        <v>209.99999999997954</v>
      </c>
      <c r="AU19" s="58">
        <v>286.63</v>
      </c>
      <c r="AV19" s="65" t="str">
        <f>IF((AU19-AU18&lt;0), "",(AU19-AU18)*1000)</f>
        <v/>
      </c>
      <c r="AW19" s="58">
        <v>321.33</v>
      </c>
      <c r="AX19" s="65">
        <f t="shared" si="19"/>
        <v>129.99999999999545</v>
      </c>
      <c r="AY19" s="58">
        <v>362.38</v>
      </c>
      <c r="AZ19" s="65">
        <f t="shared" si="20"/>
        <v>29.999999999972715</v>
      </c>
      <c r="BA19" s="58">
        <v>381.66</v>
      </c>
      <c r="BB19" s="65">
        <f t="shared" si="21"/>
        <v>20.000000000038654</v>
      </c>
      <c r="BC19" s="58">
        <v>243.34</v>
      </c>
      <c r="BD19" s="65">
        <f t="shared" si="22"/>
        <v>140.00000000001478</v>
      </c>
      <c r="BE19" s="59">
        <v>40922</v>
      </c>
      <c r="BF19" s="67">
        <f t="shared" si="39"/>
        <v>23</v>
      </c>
      <c r="BG19" s="60">
        <v>234.91</v>
      </c>
      <c r="BH19" s="65">
        <f t="shared" si="23"/>
        <v>49.999999999982947</v>
      </c>
      <c r="BI19" s="60">
        <v>293.68</v>
      </c>
      <c r="BJ19" s="65">
        <f t="shared" si="40"/>
        <v>30.000000000029559</v>
      </c>
      <c r="BK19" s="60">
        <v>237.49</v>
      </c>
      <c r="BL19" s="65">
        <f t="shared" si="24"/>
        <v>30.000000000001137</v>
      </c>
      <c r="BM19" s="60">
        <v>224.53</v>
      </c>
      <c r="BN19" s="65">
        <f t="shared" si="25"/>
        <v>39.999999999992042</v>
      </c>
      <c r="BO19" s="60">
        <v>288.32</v>
      </c>
      <c r="BP19" s="65">
        <f t="shared" si="26"/>
        <v>29.999999999972715</v>
      </c>
      <c r="BQ19" s="60">
        <v>45776</v>
      </c>
      <c r="BR19" s="65">
        <f t="shared" si="27"/>
        <v>36</v>
      </c>
      <c r="BS19" s="60">
        <v>201.3</v>
      </c>
      <c r="BT19" s="65">
        <f t="shared" si="42"/>
        <v>30.000000000001137</v>
      </c>
      <c r="BU19" s="60">
        <v>41422</v>
      </c>
      <c r="BV19" s="65">
        <f t="shared" si="29"/>
        <v>35</v>
      </c>
      <c r="BW19" s="60">
        <v>232.38</v>
      </c>
      <c r="BX19" s="65">
        <f t="shared" si="30"/>
        <v>19.99999999998181</v>
      </c>
      <c r="BY19" s="60">
        <v>61166</v>
      </c>
      <c r="BZ19" s="67">
        <f t="shared" si="31"/>
        <v>46</v>
      </c>
      <c r="CA19" s="60">
        <v>32596.400000000001</v>
      </c>
      <c r="CB19" s="67">
        <f t="shared" si="32"/>
        <v>31.900000000001455</v>
      </c>
      <c r="CC19" s="60">
        <v>12333.7</v>
      </c>
      <c r="CD19" s="67">
        <f t="shared" si="33"/>
        <v>8.7000000000007276</v>
      </c>
      <c r="CE19" s="60">
        <v>6503.8</v>
      </c>
      <c r="CF19" s="67">
        <f t="shared" si="34"/>
        <v>8.3000000000001819</v>
      </c>
      <c r="CG19" s="60">
        <v>60189.7</v>
      </c>
      <c r="CH19" s="67">
        <f t="shared" si="35"/>
        <v>35.19999999999709</v>
      </c>
      <c r="CI19" s="60">
        <v>953902</v>
      </c>
      <c r="CJ19" s="67">
        <f t="shared" si="36"/>
        <v>278</v>
      </c>
      <c r="CK19" s="60">
        <v>775.54</v>
      </c>
      <c r="CL19" s="64">
        <f t="shared" si="37"/>
        <v>709.99999999992269</v>
      </c>
      <c r="CM19" s="65">
        <f t="shared" si="41"/>
        <v>87</v>
      </c>
      <c r="CN19" s="62">
        <v>15</v>
      </c>
      <c r="CO19" s="62">
        <v>58</v>
      </c>
      <c r="CP19" s="68">
        <v>10496</v>
      </c>
      <c r="CQ19" s="67">
        <f t="shared" si="38"/>
        <v>46</v>
      </c>
      <c r="CR19" s="68">
        <v>14601</v>
      </c>
      <c r="CS19" s="67">
        <f t="shared" si="38"/>
        <v>41</v>
      </c>
      <c r="CT19" s="75">
        <v>6677</v>
      </c>
      <c r="CU19" s="67">
        <f t="shared" si="38"/>
        <v>11</v>
      </c>
      <c r="CV19" s="68">
        <v>15794</v>
      </c>
      <c r="CW19" s="67">
        <f t="shared" si="38"/>
        <v>18</v>
      </c>
    </row>
    <row r="20" spans="1:101" ht="25.5" customHeight="1" thickBot="1" x14ac:dyDescent="0.45">
      <c r="A20" s="63">
        <v>44394</v>
      </c>
      <c r="B20" s="44"/>
      <c r="C20" s="58">
        <v>2.3304</v>
      </c>
      <c r="D20" s="64">
        <f t="shared" si="0"/>
        <v>1900.0000000000127</v>
      </c>
      <c r="E20" s="58">
        <v>3.3140000000000001</v>
      </c>
      <c r="F20" s="64">
        <f t="shared" si="1"/>
        <v>2600.0000000001578</v>
      </c>
      <c r="G20" s="58">
        <v>3.3689</v>
      </c>
      <c r="H20" s="64">
        <f t="shared" si="2"/>
        <v>2699.9999999999245</v>
      </c>
      <c r="I20" s="58">
        <v>1.6624000000000001</v>
      </c>
      <c r="J20" s="64">
        <f t="shared" si="3"/>
        <v>1200.0000000000898</v>
      </c>
      <c r="K20" s="58">
        <v>2.6831999999999998</v>
      </c>
      <c r="L20" s="64">
        <f t="shared" si="4"/>
        <v>1999.9999999997797</v>
      </c>
      <c r="M20" s="58">
        <v>1.4769000000000001</v>
      </c>
      <c r="N20" s="64">
        <f t="shared" si="5"/>
        <v>1000.0000000001119</v>
      </c>
      <c r="O20" s="58">
        <v>14488</v>
      </c>
      <c r="P20" s="67">
        <f t="shared" si="44"/>
        <v>6</v>
      </c>
      <c r="Q20" s="58">
        <v>1068</v>
      </c>
      <c r="R20" s="67">
        <f t="shared" si="6"/>
        <v>2</v>
      </c>
      <c r="S20" s="58">
        <v>1008200</v>
      </c>
      <c r="T20" s="67">
        <f t="shared" si="7"/>
        <v>1000</v>
      </c>
      <c r="U20" s="58">
        <v>423367.4</v>
      </c>
      <c r="V20" s="67">
        <f t="shared" si="8"/>
        <v>341.20000000001164</v>
      </c>
      <c r="W20" s="58">
        <v>403.19</v>
      </c>
      <c r="X20" s="65">
        <f t="shared" si="9"/>
        <v>240.00000000000909</v>
      </c>
      <c r="Y20" s="58">
        <v>2.8972000000000002</v>
      </c>
      <c r="Z20" s="65">
        <f t="shared" si="10"/>
        <v>2300.0000000004129</v>
      </c>
      <c r="AA20" s="58">
        <v>401.45</v>
      </c>
      <c r="AB20" s="65">
        <f t="shared" si="11"/>
        <v>279.99999999997272</v>
      </c>
      <c r="AC20" s="58">
        <v>375.5</v>
      </c>
      <c r="AD20" s="65">
        <f t="shared" si="12"/>
        <v>269.99999999998181</v>
      </c>
      <c r="AE20" s="58">
        <v>572.78</v>
      </c>
      <c r="AF20" s="65">
        <f t="shared" si="13"/>
        <v>299.99999999995453</v>
      </c>
      <c r="AG20" s="58">
        <v>5144</v>
      </c>
      <c r="AH20" s="67">
        <f t="shared" si="14"/>
        <v>38</v>
      </c>
      <c r="AI20" s="58">
        <v>627.39</v>
      </c>
      <c r="AJ20" s="65">
        <f t="shared" si="15"/>
        <v>699.99999999993179</v>
      </c>
      <c r="AK20" s="58">
        <v>208.05</v>
      </c>
      <c r="AL20" s="65">
        <f t="shared" si="15"/>
        <v>140.00000000001478</v>
      </c>
      <c r="AM20" s="58">
        <v>197.88</v>
      </c>
      <c r="AN20" s="65">
        <f t="shared" si="15"/>
        <v>139.99999999998636</v>
      </c>
      <c r="AO20" s="58">
        <v>191.52</v>
      </c>
      <c r="AP20" s="65">
        <f t="shared" si="15"/>
        <v>130.00000000002387</v>
      </c>
      <c r="AQ20" s="58">
        <v>250.17</v>
      </c>
      <c r="AR20" s="65">
        <f t="shared" si="16"/>
        <v>79.999999999984084</v>
      </c>
      <c r="AS20" s="58">
        <v>376.22</v>
      </c>
      <c r="AT20" s="65">
        <f t="shared" si="17"/>
        <v>200.00000000004547</v>
      </c>
      <c r="AU20" s="58">
        <v>286.88</v>
      </c>
      <c r="AV20" s="65">
        <f>IF((AU20-AU19&lt;0), "",(AU20-AU19)*1000)</f>
        <v>250</v>
      </c>
      <c r="AW20" s="58">
        <v>321.47000000000003</v>
      </c>
      <c r="AX20" s="65">
        <f t="shared" si="19"/>
        <v>140.0000000000432</v>
      </c>
      <c r="AY20" s="58">
        <v>362.41</v>
      </c>
      <c r="AZ20" s="65">
        <f t="shared" si="20"/>
        <v>30.000000000029559</v>
      </c>
      <c r="BA20" s="58">
        <v>381.68</v>
      </c>
      <c r="BB20" s="65">
        <f t="shared" si="21"/>
        <v>19.99999999998181</v>
      </c>
      <c r="BC20" s="58">
        <v>243.47</v>
      </c>
      <c r="BD20" s="65">
        <f t="shared" si="22"/>
        <v>129.99999999999545</v>
      </c>
      <c r="BE20" s="59">
        <v>40957</v>
      </c>
      <c r="BF20" s="67">
        <f t="shared" si="39"/>
        <v>35</v>
      </c>
      <c r="BG20" s="60">
        <v>234.94</v>
      </c>
      <c r="BH20" s="65">
        <f t="shared" si="23"/>
        <v>30.000000000001137</v>
      </c>
      <c r="BI20" s="60">
        <v>293.7</v>
      </c>
      <c r="BJ20" s="65">
        <f t="shared" si="40"/>
        <v>19.99999999998181</v>
      </c>
      <c r="BK20" s="60">
        <v>237.51</v>
      </c>
      <c r="BL20" s="65">
        <f t="shared" si="24"/>
        <v>19.99999999998181</v>
      </c>
      <c r="BM20" s="60">
        <v>224.56</v>
      </c>
      <c r="BN20" s="65">
        <f t="shared" si="25"/>
        <v>30.000000000001137</v>
      </c>
      <c r="BO20" s="60">
        <v>288.33999999999997</v>
      </c>
      <c r="BP20" s="65">
        <f t="shared" si="26"/>
        <v>19.99999999998181</v>
      </c>
      <c r="BQ20" s="60">
        <v>45809</v>
      </c>
      <c r="BR20" s="65">
        <f t="shared" si="27"/>
        <v>33</v>
      </c>
      <c r="BS20" s="60">
        <v>201.33</v>
      </c>
      <c r="BT20" s="65">
        <f t="shared" si="42"/>
        <v>30.000000000001137</v>
      </c>
      <c r="BU20" s="60">
        <v>41456</v>
      </c>
      <c r="BV20" s="65">
        <f t="shared" si="29"/>
        <v>34</v>
      </c>
      <c r="BW20" s="60">
        <v>232.4</v>
      </c>
      <c r="BX20" s="65">
        <f t="shared" si="30"/>
        <v>20.000000000010232</v>
      </c>
      <c r="BY20" s="60">
        <v>61207</v>
      </c>
      <c r="BZ20" s="67">
        <f t="shared" si="31"/>
        <v>41</v>
      </c>
      <c r="CA20" s="60">
        <v>32624.2</v>
      </c>
      <c r="CB20" s="67">
        <f t="shared" si="32"/>
        <v>27.799999999999272</v>
      </c>
      <c r="CC20" s="60">
        <v>12341.6</v>
      </c>
      <c r="CD20" s="67">
        <f t="shared" si="33"/>
        <v>7.8999999999996362</v>
      </c>
      <c r="CE20" s="60">
        <v>6509.2</v>
      </c>
      <c r="CF20" s="67">
        <f t="shared" si="34"/>
        <v>5.3999999999996362</v>
      </c>
      <c r="CG20" s="60">
        <v>60219.199999999997</v>
      </c>
      <c r="CH20" s="67">
        <f t="shared" si="35"/>
        <v>29.5</v>
      </c>
      <c r="CI20" s="60">
        <v>954178</v>
      </c>
      <c r="CJ20" s="67">
        <f t="shared" si="36"/>
        <v>276</v>
      </c>
      <c r="CK20" s="60">
        <v>776.13</v>
      </c>
      <c r="CL20" s="64">
        <f t="shared" si="37"/>
        <v>590.00000000003183</v>
      </c>
      <c r="CM20" s="65">
        <f t="shared" si="41"/>
        <v>58</v>
      </c>
      <c r="CN20" s="62">
        <v>13</v>
      </c>
      <c r="CO20" s="62">
        <v>45</v>
      </c>
      <c r="CP20" s="68">
        <v>10544</v>
      </c>
      <c r="CQ20" s="67">
        <f t="shared" si="38"/>
        <v>48</v>
      </c>
      <c r="CR20" s="68">
        <v>14611</v>
      </c>
      <c r="CS20" s="67">
        <f t="shared" si="38"/>
        <v>10</v>
      </c>
      <c r="CT20" s="75">
        <v>6691</v>
      </c>
      <c r="CU20" s="67">
        <f t="shared" si="38"/>
        <v>14</v>
      </c>
      <c r="CV20" s="68">
        <v>15812</v>
      </c>
      <c r="CW20" s="67">
        <f t="shared" si="38"/>
        <v>18</v>
      </c>
    </row>
    <row r="21" spans="1:101" ht="25.5" customHeight="1" thickBot="1" x14ac:dyDescent="0.45">
      <c r="A21" s="63">
        <v>44395</v>
      </c>
      <c r="B21" s="44"/>
      <c r="C21" s="58">
        <v>2.3325</v>
      </c>
      <c r="D21" s="64">
        <f t="shared" si="0"/>
        <v>2099.9999999999909</v>
      </c>
      <c r="E21" s="58">
        <v>3.3165</v>
      </c>
      <c r="F21" s="64">
        <f t="shared" si="1"/>
        <v>2499.9999999999468</v>
      </c>
      <c r="G21" s="58">
        <v>3.3715000000000002</v>
      </c>
      <c r="H21" s="64">
        <f t="shared" si="2"/>
        <v>2600.0000000001578</v>
      </c>
      <c r="I21" s="58">
        <v>1.6637</v>
      </c>
      <c r="J21" s="64">
        <f t="shared" si="3"/>
        <v>1299.9999999998568</v>
      </c>
      <c r="K21" s="58">
        <v>2.6852</v>
      </c>
      <c r="L21" s="64">
        <f t="shared" si="4"/>
        <v>2000.0000000002237</v>
      </c>
      <c r="M21" s="58">
        <v>1.4779</v>
      </c>
      <c r="N21" s="64">
        <f t="shared" si="5"/>
        <v>999.99999999988984</v>
      </c>
      <c r="O21" s="58">
        <v>14494</v>
      </c>
      <c r="P21" s="67">
        <f t="shared" si="44"/>
        <v>6</v>
      </c>
      <c r="Q21" s="58">
        <v>1070</v>
      </c>
      <c r="R21" s="67">
        <f t="shared" si="6"/>
        <v>2</v>
      </c>
      <c r="S21" s="58">
        <v>1009.1</v>
      </c>
      <c r="T21" s="67" t="str">
        <f t="shared" si="7"/>
        <v/>
      </c>
      <c r="U21" s="58">
        <v>423651.3</v>
      </c>
      <c r="V21" s="67">
        <f t="shared" si="8"/>
        <v>283.89999999996508</v>
      </c>
      <c r="W21" s="58">
        <v>403.42</v>
      </c>
      <c r="X21" s="65">
        <f t="shared" si="9"/>
        <v>230.00000000001819</v>
      </c>
      <c r="Y21" s="58">
        <v>2.8996</v>
      </c>
      <c r="Z21" s="65">
        <f t="shared" si="10"/>
        <v>2399.9999999997358</v>
      </c>
      <c r="AA21" s="58">
        <v>401.8</v>
      </c>
      <c r="AB21" s="65">
        <f t="shared" si="11"/>
        <v>350.00000000002274</v>
      </c>
      <c r="AC21" s="58">
        <v>375.74</v>
      </c>
      <c r="AD21" s="65">
        <f t="shared" si="12"/>
        <v>240.00000000000909</v>
      </c>
      <c r="AE21" s="58">
        <v>579.03</v>
      </c>
      <c r="AF21" s="65">
        <f t="shared" si="13"/>
        <v>6250</v>
      </c>
      <c r="AG21" s="58">
        <v>5179</v>
      </c>
      <c r="AH21" s="67">
        <f t="shared" si="14"/>
        <v>35</v>
      </c>
      <c r="AI21" s="58">
        <v>628.25</v>
      </c>
      <c r="AJ21" s="65">
        <f t="shared" si="15"/>
        <v>860.00000000001364</v>
      </c>
      <c r="AK21" s="58">
        <v>208.14</v>
      </c>
      <c r="AL21" s="65">
        <f t="shared" si="15"/>
        <v>89.999999999974989</v>
      </c>
      <c r="AM21" s="58">
        <v>198.04</v>
      </c>
      <c r="AN21" s="65">
        <f t="shared" si="15"/>
        <v>159.99999999999659</v>
      </c>
      <c r="AO21" s="58">
        <v>191.62</v>
      </c>
      <c r="AP21" s="65">
        <f t="shared" si="15"/>
        <v>99.999999999994316</v>
      </c>
      <c r="AQ21" s="58">
        <v>250.25</v>
      </c>
      <c r="AR21" s="65">
        <f t="shared" si="16"/>
        <v>80.000000000012506</v>
      </c>
      <c r="AS21" s="58">
        <v>376.35</v>
      </c>
      <c r="AT21" s="65">
        <f t="shared" si="17"/>
        <v>129.99999999999545</v>
      </c>
      <c r="AU21" s="58">
        <v>286.95</v>
      </c>
      <c r="AV21" s="65">
        <f t="shared" si="18"/>
        <v>69.999999999993179</v>
      </c>
      <c r="AW21" s="58">
        <v>321.61</v>
      </c>
      <c r="AX21" s="65">
        <f t="shared" si="19"/>
        <v>139.99999999998636</v>
      </c>
      <c r="AY21" s="58">
        <v>362.45</v>
      </c>
      <c r="AZ21" s="65">
        <f t="shared" si="20"/>
        <v>39.99999999996362</v>
      </c>
      <c r="BA21" s="58">
        <v>381.7</v>
      </c>
      <c r="BB21" s="65">
        <f t="shared" si="21"/>
        <v>19.99999999998181</v>
      </c>
      <c r="BC21" s="58">
        <v>243.6</v>
      </c>
      <c r="BD21" s="65">
        <f t="shared" si="22"/>
        <v>129.99999999999545</v>
      </c>
      <c r="BE21" s="59">
        <v>40976</v>
      </c>
      <c r="BF21" s="67">
        <f t="shared" si="39"/>
        <v>19</v>
      </c>
      <c r="BG21" s="60">
        <v>234.97</v>
      </c>
      <c r="BH21" s="65">
        <f t="shared" si="23"/>
        <v>30.000000000001137</v>
      </c>
      <c r="BI21" s="60">
        <v>293.73</v>
      </c>
      <c r="BJ21" s="65">
        <f t="shared" si="40"/>
        <v>30.000000000029559</v>
      </c>
      <c r="BK21" s="60">
        <v>237.54</v>
      </c>
      <c r="BL21" s="65">
        <f t="shared" si="24"/>
        <v>30.000000000001137</v>
      </c>
      <c r="BM21" s="60">
        <v>224.6</v>
      </c>
      <c r="BN21" s="65">
        <f t="shared" si="25"/>
        <v>39.999999999992042</v>
      </c>
      <c r="BO21" s="60">
        <v>288.37</v>
      </c>
      <c r="BP21" s="65">
        <f t="shared" si="26"/>
        <v>30.000000000029559</v>
      </c>
      <c r="BQ21" s="60">
        <v>45840</v>
      </c>
      <c r="BR21" s="65">
        <f t="shared" si="27"/>
        <v>31</v>
      </c>
      <c r="BS21" s="60">
        <v>201.35</v>
      </c>
      <c r="BT21" s="65">
        <f t="shared" si="42"/>
        <v>19.99999999998181</v>
      </c>
      <c r="BU21" s="60">
        <v>41499</v>
      </c>
      <c r="BV21" s="65">
        <f t="shared" si="29"/>
        <v>43</v>
      </c>
      <c r="BW21" s="60">
        <v>232.43</v>
      </c>
      <c r="BX21" s="65">
        <f t="shared" si="30"/>
        <v>30.000000000001137</v>
      </c>
      <c r="BY21" s="60">
        <v>61255</v>
      </c>
      <c r="BZ21" s="67">
        <f t="shared" si="31"/>
        <v>48</v>
      </c>
      <c r="CA21" s="60">
        <v>32666.5</v>
      </c>
      <c r="CB21" s="67">
        <f t="shared" si="32"/>
        <v>42.299999999999272</v>
      </c>
      <c r="CC21" s="60">
        <v>12351.7</v>
      </c>
      <c r="CD21" s="67">
        <f t="shared" si="33"/>
        <v>10.100000000000364</v>
      </c>
      <c r="CE21" s="60">
        <v>6520.6</v>
      </c>
      <c r="CF21" s="67">
        <f t="shared" si="34"/>
        <v>11.400000000000546</v>
      </c>
      <c r="CG21" s="60">
        <v>60240.3</v>
      </c>
      <c r="CH21" s="67">
        <f t="shared" si="35"/>
        <v>21.100000000005821</v>
      </c>
      <c r="CI21" s="60">
        <v>954439</v>
      </c>
      <c r="CJ21" s="67">
        <f t="shared" si="36"/>
        <v>261</v>
      </c>
      <c r="CK21" s="60">
        <v>776.77</v>
      </c>
      <c r="CL21" s="64">
        <f t="shared" si="37"/>
        <v>639.99999999998636</v>
      </c>
      <c r="CM21" s="65">
        <f t="shared" si="41"/>
        <v>69</v>
      </c>
      <c r="CN21" s="62">
        <v>15</v>
      </c>
      <c r="CO21" s="62">
        <v>51</v>
      </c>
      <c r="CP21" s="68">
        <v>10592</v>
      </c>
      <c r="CQ21" s="67">
        <f t="shared" si="38"/>
        <v>48</v>
      </c>
      <c r="CR21" s="68">
        <v>14632</v>
      </c>
      <c r="CS21" s="67">
        <f t="shared" si="38"/>
        <v>21</v>
      </c>
      <c r="CT21" s="75">
        <v>6704</v>
      </c>
      <c r="CU21" s="67">
        <f t="shared" si="38"/>
        <v>13</v>
      </c>
      <c r="CV21" s="68">
        <v>15874</v>
      </c>
      <c r="CW21" s="67">
        <f t="shared" si="38"/>
        <v>62</v>
      </c>
    </row>
    <row r="22" spans="1:101" ht="25.5" customHeight="1" thickBot="1" x14ac:dyDescent="0.45">
      <c r="A22" s="63">
        <v>44396</v>
      </c>
      <c r="B22" s="44"/>
      <c r="C22" s="58"/>
      <c r="D22" s="64" t="str">
        <f t="shared" si="0"/>
        <v>0</v>
      </c>
      <c r="E22" s="58"/>
      <c r="F22" s="64" t="str">
        <f t="shared" si="1"/>
        <v>0</v>
      </c>
      <c r="G22" s="58"/>
      <c r="H22" s="64" t="str">
        <f t="shared" si="2"/>
        <v>0</v>
      </c>
      <c r="I22" s="58"/>
      <c r="J22" s="64" t="str">
        <f t="shared" si="3"/>
        <v>0</v>
      </c>
      <c r="K22" s="58"/>
      <c r="L22" s="64" t="str">
        <f t="shared" si="4"/>
        <v>0</v>
      </c>
      <c r="M22" s="58"/>
      <c r="N22" s="64" t="str">
        <f t="shared" si="5"/>
        <v/>
      </c>
      <c r="O22" s="58"/>
      <c r="P22" s="67" t="str">
        <f t="shared" si="44"/>
        <v/>
      </c>
      <c r="Q22" s="58"/>
      <c r="R22" s="67" t="str">
        <f t="shared" si="6"/>
        <v/>
      </c>
      <c r="S22" s="58"/>
      <c r="T22" s="67" t="str">
        <f t="shared" si="7"/>
        <v/>
      </c>
      <c r="U22" s="58"/>
      <c r="V22" s="67" t="str">
        <f t="shared" si="8"/>
        <v/>
      </c>
      <c r="W22" s="58"/>
      <c r="X22" s="65" t="str">
        <f t="shared" si="9"/>
        <v/>
      </c>
      <c r="Y22" s="58"/>
      <c r="Z22" s="65" t="str">
        <f t="shared" si="10"/>
        <v/>
      </c>
      <c r="AA22" s="58"/>
      <c r="AB22" s="65" t="str">
        <f t="shared" si="11"/>
        <v/>
      </c>
      <c r="AC22" s="58"/>
      <c r="AD22" s="65" t="str">
        <f t="shared" si="12"/>
        <v/>
      </c>
      <c r="AE22" s="58"/>
      <c r="AF22" s="65" t="str">
        <f t="shared" si="13"/>
        <v/>
      </c>
      <c r="AG22" s="58"/>
      <c r="AH22" s="67" t="str">
        <f t="shared" si="14"/>
        <v/>
      </c>
      <c r="AI22" s="58"/>
      <c r="AJ22" s="65" t="str">
        <f t="shared" si="15"/>
        <v/>
      </c>
      <c r="AK22" s="58"/>
      <c r="AL22" s="65" t="str">
        <f t="shared" si="15"/>
        <v/>
      </c>
      <c r="AM22" s="58"/>
      <c r="AN22" s="65" t="str">
        <f t="shared" si="15"/>
        <v/>
      </c>
      <c r="AO22" s="58"/>
      <c r="AP22" s="65" t="str">
        <f t="shared" si="15"/>
        <v/>
      </c>
      <c r="AQ22" s="58"/>
      <c r="AR22" s="65" t="str">
        <f t="shared" si="16"/>
        <v/>
      </c>
      <c r="AS22" s="58"/>
      <c r="AT22" s="65" t="str">
        <f t="shared" si="17"/>
        <v/>
      </c>
      <c r="AU22" s="58"/>
      <c r="AV22" s="65" t="str">
        <f t="shared" si="18"/>
        <v/>
      </c>
      <c r="AW22" s="58"/>
      <c r="AX22" s="65" t="str">
        <f t="shared" si="19"/>
        <v/>
      </c>
      <c r="AY22" s="58"/>
      <c r="AZ22" s="65" t="str">
        <f t="shared" si="20"/>
        <v/>
      </c>
      <c r="BA22" s="58"/>
      <c r="BB22" s="65" t="str">
        <f t="shared" si="21"/>
        <v/>
      </c>
      <c r="BC22" s="58"/>
      <c r="BD22" s="65" t="str">
        <f t="shared" si="22"/>
        <v/>
      </c>
      <c r="BE22" s="59"/>
      <c r="BF22" s="67" t="str">
        <f t="shared" si="39"/>
        <v/>
      </c>
      <c r="BG22" s="60"/>
      <c r="BH22" s="65" t="str">
        <f t="shared" si="23"/>
        <v/>
      </c>
      <c r="BI22" s="60"/>
      <c r="BJ22" s="65" t="str">
        <f t="shared" si="40"/>
        <v/>
      </c>
      <c r="BK22" s="60"/>
      <c r="BL22" s="65" t="str">
        <f t="shared" si="24"/>
        <v/>
      </c>
      <c r="BM22" s="60"/>
      <c r="BN22" s="65" t="str">
        <f t="shared" si="25"/>
        <v/>
      </c>
      <c r="BO22" s="60"/>
      <c r="BP22" s="65" t="str">
        <f t="shared" si="26"/>
        <v/>
      </c>
      <c r="BQ22" s="60"/>
      <c r="BR22" s="65" t="str">
        <f t="shared" si="27"/>
        <v/>
      </c>
      <c r="BS22" s="60"/>
      <c r="BT22" s="65" t="str">
        <f t="shared" si="42"/>
        <v/>
      </c>
      <c r="BU22" s="60"/>
      <c r="BV22" s="65" t="str">
        <f t="shared" si="29"/>
        <v/>
      </c>
      <c r="BW22" s="60"/>
      <c r="BX22" s="65" t="str">
        <f t="shared" si="30"/>
        <v/>
      </c>
      <c r="BY22" s="60"/>
      <c r="BZ22" s="67" t="str">
        <f t="shared" si="31"/>
        <v/>
      </c>
      <c r="CA22" s="60"/>
      <c r="CB22" s="67" t="str">
        <f t="shared" si="32"/>
        <v/>
      </c>
      <c r="CC22" s="60"/>
      <c r="CD22" s="67" t="str">
        <f t="shared" si="33"/>
        <v/>
      </c>
      <c r="CE22" s="60"/>
      <c r="CF22" s="67" t="str">
        <f t="shared" si="34"/>
        <v/>
      </c>
      <c r="CG22" s="60"/>
      <c r="CH22" s="67" t="str">
        <f t="shared" si="35"/>
        <v/>
      </c>
      <c r="CI22" s="60"/>
      <c r="CJ22" s="67" t="str">
        <f t="shared" si="36"/>
        <v/>
      </c>
      <c r="CK22" s="60"/>
      <c r="CL22" s="64" t="str">
        <f t="shared" si="37"/>
        <v/>
      </c>
      <c r="CM22" s="65" t="e">
        <f t="shared" si="41"/>
        <v>#VALUE!</v>
      </c>
      <c r="CN22" s="62">
        <v>0</v>
      </c>
      <c r="CO22" s="62">
        <v>0</v>
      </c>
      <c r="CP22" s="68"/>
      <c r="CQ22" s="67" t="str">
        <f t="shared" si="38"/>
        <v/>
      </c>
      <c r="CR22" s="68"/>
      <c r="CS22" s="67" t="str">
        <f t="shared" si="38"/>
        <v/>
      </c>
      <c r="CT22" s="75"/>
      <c r="CU22" s="67" t="str">
        <f t="shared" si="38"/>
        <v/>
      </c>
      <c r="CV22" s="68"/>
      <c r="CW22" s="67" t="str">
        <f t="shared" si="38"/>
        <v/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C25" sqref="C25: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8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8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8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15</v>
      </c>
      <c r="D23" s="40">
        <v>58</v>
      </c>
      <c r="E23" s="41">
        <v>65</v>
      </c>
      <c r="F23" s="41">
        <v>5452</v>
      </c>
      <c r="G23" s="41">
        <v>0</v>
      </c>
      <c r="H23" s="41">
        <v>1582</v>
      </c>
      <c r="I23" s="41">
        <v>8</v>
      </c>
      <c r="J23" s="41">
        <v>373</v>
      </c>
      <c r="K23" s="42">
        <v>85</v>
      </c>
      <c r="L23" s="42">
        <v>60</v>
      </c>
      <c r="M23" s="42">
        <v>1363</v>
      </c>
      <c r="N23" s="39">
        <v>85</v>
      </c>
      <c r="O23" s="39">
        <v>0</v>
      </c>
      <c r="P23" s="39">
        <v>85</v>
      </c>
      <c r="Q23" s="39">
        <v>3942</v>
      </c>
      <c r="R23" s="78">
        <v>70</v>
      </c>
      <c r="S23" s="78">
        <v>198</v>
      </c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13</v>
      </c>
      <c r="D24" s="40">
        <v>45</v>
      </c>
      <c r="E24" s="41">
        <v>50</v>
      </c>
      <c r="F24" s="41">
        <v>5458</v>
      </c>
      <c r="G24" s="41">
        <v>0</v>
      </c>
      <c r="H24" s="41">
        <v>1585</v>
      </c>
      <c r="I24" s="41">
        <v>8</v>
      </c>
      <c r="J24" s="41">
        <v>374</v>
      </c>
      <c r="K24" s="42">
        <v>85</v>
      </c>
      <c r="L24" s="42">
        <v>60</v>
      </c>
      <c r="M24" s="42">
        <v>1364</v>
      </c>
      <c r="N24" s="39">
        <v>85</v>
      </c>
      <c r="O24" s="39">
        <v>0</v>
      </c>
      <c r="P24" s="39">
        <v>80</v>
      </c>
      <c r="Q24" s="39">
        <v>3947</v>
      </c>
      <c r="R24" s="78">
        <v>70</v>
      </c>
      <c r="S24" s="78">
        <v>198</v>
      </c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15</v>
      </c>
      <c r="D25" s="40">
        <v>51</v>
      </c>
      <c r="E25" s="41">
        <v>50</v>
      </c>
      <c r="F25" s="41">
        <v>5463</v>
      </c>
      <c r="G25" s="41">
        <v>0</v>
      </c>
      <c r="H25" s="41">
        <v>1589</v>
      </c>
      <c r="I25" s="41">
        <v>7</v>
      </c>
      <c r="J25" s="41">
        <v>375</v>
      </c>
      <c r="K25" s="42">
        <v>85</v>
      </c>
      <c r="L25" s="42">
        <v>60</v>
      </c>
      <c r="M25" s="42">
        <v>1366</v>
      </c>
      <c r="N25" s="39">
        <v>85</v>
      </c>
      <c r="O25" s="39">
        <v>0</v>
      </c>
      <c r="P25" s="39">
        <v>78</v>
      </c>
      <c r="Q25" s="39">
        <v>3951</v>
      </c>
      <c r="R25" s="78">
        <v>70</v>
      </c>
      <c r="S25" s="78">
        <v>198</v>
      </c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-198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2021-07-19T18:49:56Z</dcterms:modified>
</cp:coreProperties>
</file>