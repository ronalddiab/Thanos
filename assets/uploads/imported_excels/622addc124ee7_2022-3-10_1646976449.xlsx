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488" documentId="13_ncr:1_{76C55D63-F869-4AF5-AAA3-3D809A91432B}" xr6:coauthVersionLast="47" xr6:coauthVersionMax="47" xr10:uidLastSave="{975540D0-8AC0-4BB5-A730-7BC44CBDF80F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27" l="1"/>
  <c r="J13" i="27"/>
  <c r="J12" i="27"/>
  <c r="J11" i="27"/>
  <c r="J10" i="27"/>
  <c r="J9" i="27"/>
  <c r="J8" i="27"/>
  <c r="J7" i="27"/>
  <c r="J6" i="27"/>
  <c r="J5" i="27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<sst xmlns="http://schemas.openxmlformats.org/spreadsheetml/2006/main" count="72" uniqueCount="33">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</sst>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C31" sqref="C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18027.500000002874</v>
      </c>
      <c r="F2" s="14">
        <v>0.08</v>
      </c>
      <c r="G2" s="11">
        <f>IF('Water, Gas, Diesel'!K6&lt;0,0,'Water, Gas, Diesel'!K6)</f>
        <v>0</v>
      </c>
      <c r="H2" s="93">
        <v>0.58489999999999998</v>
      </c>
      <c r="I2" s="11">
        <f>IF('Water, Gas, Diesel'!C6&lt;0,0,'Water, Gas, Diesel'!C6)</f>
        <v>3271</v>
      </c>
      <c r="J2" s="93">
        <v>0.21186441</v>
      </c>
      <c r="K2" s="11">
        <f>IF('Water, Gas, Diesel'!F6&lt;0,0,'Water, Gas, Diesel'!F6)</f>
        <v>209</v>
      </c>
      <c r="L2" s="93">
        <v>1.6949000000000001</v>
      </c>
      <c r="M2" s="11">
        <f>Electricity!H8</f>
        <v>66</v>
      </c>
      <c r="O2" s="132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18242.499999996653</v>
      </c>
      <c r="F3" s="14">
        <v>0.08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2966</v>
      </c>
      <c r="J3" s="93">
        <v>0.21186441</v>
      </c>
      <c r="K3" s="11">
        <f>IF('Water, Gas, Diesel'!F7&lt;0,0,'Water, Gas, Diesel'!F7)</f>
        <v>158</v>
      </c>
      <c r="L3" s="93">
        <v>1.6949000000000001</v>
      </c>
      <c r="M3" s="11">
        <f>Electricity!H9</f>
        <v>72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18572.500000004766</v>
      </c>
      <c r="F4" s="14">
        <v>0.08</v>
      </c>
      <c r="G4" s="11">
        <f>IF('Water, Gas, Diesel'!K8&lt;0,0,'Water, Gas, Diesel'!K8)</f>
        <v>0</v>
      </c>
      <c r="H4" s="93">
        <v>0.58489999999999998</v>
      </c>
      <c r="I4" s="11">
        <f>IF('Water, Gas, Diesel'!C8&lt;0,0,'Water, Gas, Diesel'!C8)</f>
        <v>3433</v>
      </c>
      <c r="J4" s="93">
        <v>0.21186441</v>
      </c>
      <c r="K4" s="11">
        <f>IF('Water, Gas, Diesel'!F8&lt;0,0,'Water, Gas, Diesel'!F8)</f>
        <v>153</v>
      </c>
      <c r="L4" s="93">
        <v>1.6949000000000001</v>
      </c>
      <c r="M4" s="11">
        <f>Electricity!H10</f>
        <v>87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18252.49999999869</v>
      </c>
      <c r="F5" s="14">
        <v>0.08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3149</v>
      </c>
      <c r="J5" s="93">
        <v>0.21186441</v>
      </c>
      <c r="K5" s="11">
        <f>IF('Water, Gas, Diesel'!F9&lt;0,0,'Water, Gas, Diesel'!F9)</f>
        <v>181</v>
      </c>
      <c r="L5" s="93">
        <v>1.6949000000000001</v>
      </c>
      <c r="M5" s="11">
        <f>Electricity!H11</f>
        <v>109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18220.000000001164</v>
      </c>
      <c r="F6" s="14">
        <v>0.08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3218</v>
      </c>
      <c r="J6" s="93">
        <v>0.21186441</v>
      </c>
      <c r="K6" s="11">
        <f>IF('Water, Gas, Diesel'!F10&lt;0,0,'Water, Gas, Diesel'!F10)</f>
        <v>188</v>
      </c>
      <c r="L6" s="93">
        <v>1.6949000000000001</v>
      </c>
      <c r="M6" s="11">
        <f>Electricity!H12</f>
        <v>83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16627.4999999996</v>
      </c>
      <c r="F7" s="14">
        <v>0.08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3210</v>
      </c>
      <c r="J7" s="93">
        <v>0.21186441</v>
      </c>
      <c r="K7" s="11">
        <f>IF('Water, Gas, Diesel'!F11&lt;0,0,'Water, Gas, Diesel'!F11)</f>
        <v>154</v>
      </c>
      <c r="L7" s="93">
        <v>1.6949000000000001</v>
      </c>
      <c r="M7" s="11">
        <f>Electricity!H13</f>
        <v>63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18384.999999998399</v>
      </c>
      <c r="F8" s="14">
        <v>0.08</v>
      </c>
      <c r="G8" s="11">
        <f>IF('Water, Gas, Diesel'!K12&lt;0,0,'Water, Gas, Diesel'!K12)</f>
        <v>0</v>
      </c>
      <c r="H8" s="93">
        <v>0.58489999999999998</v>
      </c>
      <c r="I8" s="11">
        <f>IF('Water, Gas, Diesel'!C12&lt;0,0,'Water, Gas, Diesel'!C12)</f>
        <v>2915</v>
      </c>
      <c r="J8" s="93">
        <v>0.21186441</v>
      </c>
      <c r="K8" s="11">
        <f>IF('Water, Gas, Diesel'!F12&lt;0,0,'Water, Gas, Diesel'!F12)</f>
        <v>174</v>
      </c>
      <c r="L8" s="93">
        <v>1.6949000000000001</v>
      </c>
      <c r="M8" s="11">
        <f>Electricity!H14</f>
        <v>50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19942.499999997381</v>
      </c>
      <c r="F9" s="14">
        <v>0.08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3778</v>
      </c>
      <c r="J9" s="93">
        <v>0.21186441</v>
      </c>
      <c r="K9" s="11">
        <f>IF('Water, Gas, Diesel'!F13&lt;0,0,'Water, Gas, Diesel'!F13)</f>
        <v>179</v>
      </c>
      <c r="L9" s="93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16847.500000003492</v>
      </c>
      <c r="F10" s="14">
        <v>0.08</v>
      </c>
      <c r="G10" s="11">
        <f>IF('Water, Gas, Diesel'!K14&lt;0,0,'Water, Gas, Diesel'!K14)</f>
        <v>12320</v>
      </c>
      <c r="H10" s="93">
        <v>0.58489999999999998</v>
      </c>
      <c r="I10" s="11">
        <f>IF('Water, Gas, Diesel'!C14&lt;0,0,'Water, Gas, Diesel'!C14)</f>
        <v>3134</v>
      </c>
      <c r="J10" s="93">
        <v>0.21186441</v>
      </c>
      <c r="K10" s="11">
        <f>IF('Water, Gas, Diesel'!F14&lt;0,0,'Water, Gas, Diesel'!F14)</f>
        <v>0</v>
      </c>
      <c r="L10" s="93">
        <v>1.6949000000000001</v>
      </c>
      <c r="M10" s="11">
        <f>Electricity!H16</f>
        <v>62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0</v>
      </c>
      <c r="F11" s="14">
        <v>0.08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0</v>
      </c>
      <c r="J11" s="93">
        <v>0.21186441</v>
      </c>
      <c r="K11" s="11">
        <f>IF('Water, Gas, Diesel'!F15&lt;0,0,'Water, Gas, Diesel'!F15)</f>
        <v>0</v>
      </c>
      <c r="L11" s="9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0</v>
      </c>
      <c r="F12" s="14">
        <v>0.08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0</v>
      </c>
      <c r="J12" s="93">
        <v>0.21186441</v>
      </c>
      <c r="K12" s="11">
        <f>IF('Water, Gas, Diesel'!F16&lt;0,0,'Water, Gas, Diesel'!F16)</f>
        <v>0</v>
      </c>
      <c r="L12" s="9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0</v>
      </c>
      <c r="F13" s="14">
        <v>0.08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0</v>
      </c>
      <c r="J13" s="93">
        <v>0.21186441</v>
      </c>
      <c r="K13" s="11">
        <f>IF('Water, Gas, Diesel'!F17&lt;0,0,'Water, Gas, Diesel'!F17)</f>
        <v>0</v>
      </c>
      <c r="L13" s="9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0</v>
      </c>
      <c r="F14" s="14">
        <v>0.08</v>
      </c>
      <c r="G14" s="11">
        <f>IF('Water, Gas, Diesel'!K18&lt;0,0,'Water, Gas, Diesel'!K18)</f>
        <v>0</v>
      </c>
      <c r="H14" s="93">
        <v>0.58489999999999998</v>
      </c>
      <c r="I14" s="11">
        <f>IF('Water, Gas, Diesel'!C18&lt;0,0,'Water, Gas, Diesel'!C18)</f>
        <v>0</v>
      </c>
      <c r="J14" s="93">
        <v>0.21186441</v>
      </c>
      <c r="K14" s="11">
        <f>IF('Water, Gas, Diesel'!F18&lt;0,0,'Water, Gas, Diesel'!F18)</f>
        <v>0</v>
      </c>
      <c r="L14" s="9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0</v>
      </c>
      <c r="F15" s="14">
        <v>0.08</v>
      </c>
      <c r="G15" s="11">
        <f>IF('Water, Gas, Diesel'!K19&lt;0,0,'Water, Gas, Diesel'!K19)</f>
        <v>0</v>
      </c>
      <c r="H15" s="93">
        <v>0.58489999999999998</v>
      </c>
      <c r="I15" s="11">
        <f>IF('Water, Gas, Diesel'!C19&lt;0,0,'Water, Gas, Diesel'!C19)</f>
        <v>0</v>
      </c>
      <c r="J15" s="93">
        <v>0.21186441</v>
      </c>
      <c r="K15" s="11">
        <f>IF('Water, Gas, Diesel'!F19&lt;0,0,'Water, Gas, Diesel'!F19)</f>
        <v>0</v>
      </c>
      <c r="L15" s="9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0</v>
      </c>
      <c r="F16" s="14">
        <v>0.08</v>
      </c>
      <c r="G16" s="11">
        <f>IF('Water, Gas, Diesel'!K20&lt;0,0,'Water, Gas, Diesel'!K20)</f>
        <v>0</v>
      </c>
      <c r="H16" s="93">
        <v>0.58489999999999998</v>
      </c>
      <c r="I16" s="11">
        <f>IF('Water, Gas, Diesel'!C20&lt;0,0,'Water, Gas, Diesel'!C20)</f>
        <v>0</v>
      </c>
      <c r="J16" s="93">
        <v>0.21186441</v>
      </c>
      <c r="K16" s="11">
        <f>IF('Water, Gas, Diesel'!F20&lt;0,0,'Water, Gas, Diesel'!F20)</f>
        <v>0</v>
      </c>
      <c r="L16" s="9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0</v>
      </c>
      <c r="H17" s="93">
        <v>0.58489999999999998</v>
      </c>
      <c r="I17" s="11">
        <f>IF('Water, Gas, Diesel'!C21&lt;0,0,'Water, Gas, Diesel'!C21)</f>
        <v>0</v>
      </c>
      <c r="J17" s="93">
        <v>0.21186441</v>
      </c>
      <c r="K17" s="11">
        <f>IF('Water, Gas, Diesel'!F21&lt;0,0,'Water, Gas, Diesel'!F21)</f>
        <v>0</v>
      </c>
      <c r="L17" s="9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93">
        <v>0.58489999999999998</v>
      </c>
      <c r="I18" s="11">
        <f>IF('Water, Gas, Diesel'!C22&lt;0,0,'Water, Gas, Diesel'!C22)</f>
        <v>0</v>
      </c>
      <c r="J18" s="93">
        <v>0.21186441</v>
      </c>
      <c r="K18" s="11">
        <f>IF('Water, Gas, Diesel'!F22&lt;0,0,'Water, Gas, Diesel'!F22)</f>
        <v>0</v>
      </c>
      <c r="L18" s="9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0</v>
      </c>
      <c r="J19" s="93">
        <v>0.21186441</v>
      </c>
      <c r="K19" s="11">
        <f>IF('Water, Gas, Diesel'!F23&lt;0,0,'Water, Gas, Diesel'!F23)</f>
        <v>0</v>
      </c>
      <c r="L19" s="9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0</v>
      </c>
      <c r="J20" s="93">
        <v>0.21186441</v>
      </c>
      <c r="K20" s="11">
        <f>IF('Water, Gas, Diesel'!F24&lt;0,0,'Water, Gas, Diesel'!F24)</f>
        <v>0</v>
      </c>
      <c r="L20" s="9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0</v>
      </c>
      <c r="J21" s="93">
        <v>0.21186441</v>
      </c>
      <c r="K21" s="11">
        <f>IF('Water, Gas, Diesel'!F25&lt;0,0,'Water, Gas, Diesel'!F25)</f>
        <v>0</v>
      </c>
      <c r="L21" s="9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0</v>
      </c>
      <c r="J22" s="93">
        <v>0.21186441</v>
      </c>
      <c r="K22" s="11">
        <f>IF('Water, Gas, Diesel'!F26&lt;0,0,'Water, Gas, Diesel'!F26)</f>
        <v>0</v>
      </c>
      <c r="L22" s="9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0</v>
      </c>
      <c r="J23" s="93">
        <v>0.21186441</v>
      </c>
      <c r="K23" s="11">
        <f>IF('Water, Gas, Diesel'!F27&lt;0,0,'Water, Gas, Diesel'!F27)</f>
        <v>0</v>
      </c>
      <c r="L23" s="9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0</v>
      </c>
      <c r="F30" s="14">
        <v>0.08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0</v>
      </c>
      <c r="F31" s="14">
        <v>0.08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0.08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0" activePane="bottomLeft" state="frozen"/>
      <selection pane="bottomLeft" activeCell="M16" sqref="M16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9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 ht="15.75" thickBot="1">
      <c r="A5" s="150"/>
      <c r="B5" s="17" t="s">
        <v>22</v>
      </c>
      <c r="C5" s="72" t="s">
        <v>23</v>
      </c>
      <c r="D5" s="73" t="s">
        <v>22</v>
      </c>
      <c r="E5" s="72" t="s">
        <v>23</v>
      </c>
      <c r="F5" s="155"/>
      <c r="G5" s="157"/>
      <c r="H5" s="147"/>
    </row>
    <row r="6" spans="1:8" ht="15.75" hidden="1">
      <c r="A6" s="120"/>
      <c r="B6" s="24"/>
      <c r="C6" s="74"/>
      <c r="D6" s="75"/>
      <c r="E6" s="74"/>
      <c r="F6" s="27"/>
      <c r="G6" s="76"/>
      <c r="H6" s="121"/>
    </row>
    <row r="7" spans="1:8" ht="27.75" customHeight="1">
      <c r="A7" s="122">
        <v>28</v>
      </c>
      <c r="B7" s="78">
        <v>14929.638000000001</v>
      </c>
      <c r="C7" s="79">
        <f t="shared" ref="C7:C24" si="0">(B8-B7)*2500</f>
        <v>9357.4999999964348</v>
      </c>
      <c r="D7" s="78">
        <v>15267.948</v>
      </c>
      <c r="E7" s="79">
        <f t="shared" ref="E7:E24" si="1">(D8-D7)*2500</f>
        <v>11417.499999997744</v>
      </c>
      <c r="F7" s="118">
        <f t="shared" ref="F7:F38" si="2">C7+E7</f>
        <v>20774.999999994179</v>
      </c>
      <c r="G7" s="77">
        <f>F7*0.0932</f>
        <v>1936.2299999994575</v>
      </c>
      <c r="H7" s="142">
        <v>57</v>
      </c>
    </row>
    <row r="8" spans="1:8" ht="30.95" customHeight="1">
      <c r="A8" s="123">
        <v>1</v>
      </c>
      <c r="B8" s="117">
        <v>14933.380999999999</v>
      </c>
      <c r="C8" s="80">
        <f t="shared" si="0"/>
        <v>8132.500000001528</v>
      </c>
      <c r="D8" s="81">
        <v>15272.514999999999</v>
      </c>
      <c r="E8" s="80">
        <f t="shared" si="1"/>
        <v>9895.0000000013461</v>
      </c>
      <c r="F8" s="51">
        <f t="shared" si="2"/>
        <v>18027.500000002874</v>
      </c>
      <c r="G8" s="77">
        <f t="shared" ref="G8:G39" si="3">F8*0.0932</f>
        <v>1680.1630000002679</v>
      </c>
      <c r="H8" s="124">
        <v>66</v>
      </c>
    </row>
    <row r="9" spans="1:8" ht="30.95" customHeight="1">
      <c r="A9" s="125">
        <v>2</v>
      </c>
      <c r="B9" s="82">
        <v>14936.634</v>
      </c>
      <c r="C9" s="39">
        <f t="shared" si="0"/>
        <v>8204.9999999981083</v>
      </c>
      <c r="D9" s="81">
        <v>15276.473</v>
      </c>
      <c r="E9" s="39">
        <f t="shared" si="1"/>
        <v>10037.499999998545</v>
      </c>
      <c r="F9" s="47">
        <f t="shared" si="2"/>
        <v>18242.499999996653</v>
      </c>
      <c r="G9" s="77">
        <f t="shared" si="3"/>
        <v>1700.2009999996881</v>
      </c>
      <c r="H9" s="126">
        <v>72</v>
      </c>
    </row>
    <row r="10" spans="1:8" ht="30.95" customHeight="1">
      <c r="A10" s="123">
        <v>3</v>
      </c>
      <c r="B10" s="83">
        <v>14939.915999999999</v>
      </c>
      <c r="C10" s="80">
        <f t="shared" si="0"/>
        <v>8487.5000000010914</v>
      </c>
      <c r="D10" s="84">
        <v>15280.487999999999</v>
      </c>
      <c r="E10" s="80">
        <f t="shared" si="1"/>
        <v>10085.000000003674</v>
      </c>
      <c r="F10" s="51">
        <f t="shared" si="2"/>
        <v>18572.500000004766</v>
      </c>
      <c r="G10" s="77">
        <f t="shared" si="3"/>
        <v>1730.9570000004442</v>
      </c>
      <c r="H10" s="126">
        <v>87</v>
      </c>
    </row>
    <row r="11" spans="1:8" ht="30.95" customHeight="1">
      <c r="A11" s="125">
        <v>4</v>
      </c>
      <c r="B11" s="85">
        <v>14943.311</v>
      </c>
      <c r="C11" s="39">
        <f t="shared" si="0"/>
        <v>8052.4999999988722</v>
      </c>
      <c r="D11" s="86">
        <v>15284.522000000001</v>
      </c>
      <c r="E11" s="39">
        <f t="shared" si="1"/>
        <v>10199.999999999818</v>
      </c>
      <c r="F11" s="47">
        <f t="shared" si="2"/>
        <v>18252.49999999869</v>
      </c>
      <c r="G11" s="77">
        <f t="shared" si="3"/>
        <v>1701.1329999998779</v>
      </c>
      <c r="H11" s="126">
        <v>109</v>
      </c>
    </row>
    <row r="12" spans="1:8" ht="30.95" customHeight="1">
      <c r="A12" s="123">
        <v>5</v>
      </c>
      <c r="B12" s="87">
        <v>14946.531999999999</v>
      </c>
      <c r="C12" s="80">
        <f t="shared" si="0"/>
        <v>8155.0000000015643</v>
      </c>
      <c r="D12" s="84">
        <v>15288.602000000001</v>
      </c>
      <c r="E12" s="80">
        <f t="shared" si="1"/>
        <v>10064.9999999996</v>
      </c>
      <c r="F12" s="51">
        <f t="shared" si="2"/>
        <v>18220.000000001164</v>
      </c>
      <c r="G12" s="77">
        <f t="shared" si="3"/>
        <v>1698.1040000001085</v>
      </c>
      <c r="H12" s="126">
        <v>83</v>
      </c>
    </row>
    <row r="13" spans="1:8" ht="30.95" customHeight="1">
      <c r="A13" s="125">
        <v>6</v>
      </c>
      <c r="B13" s="85">
        <v>14949.794</v>
      </c>
      <c r="C13" s="39">
        <f t="shared" si="0"/>
        <v>7282.5000000011642</v>
      </c>
      <c r="D13" s="86">
        <v>15292.628000000001</v>
      </c>
      <c r="E13" s="39">
        <f t="shared" si="1"/>
        <v>9344.9999999984357</v>
      </c>
      <c r="F13" s="47">
        <f t="shared" si="2"/>
        <v>16627.4999999996</v>
      </c>
      <c r="G13" s="77">
        <f t="shared" si="3"/>
        <v>1549.6829999999627</v>
      </c>
      <c r="H13" s="126">
        <v>63</v>
      </c>
    </row>
    <row r="14" spans="1:8" ht="30.95" customHeight="1">
      <c r="A14" s="123">
        <v>7</v>
      </c>
      <c r="B14" s="87">
        <v>14952.707</v>
      </c>
      <c r="C14" s="80">
        <f t="shared" si="0"/>
        <v>8379.9999999973807</v>
      </c>
      <c r="D14" s="127">
        <v>15296.366</v>
      </c>
      <c r="E14" s="80">
        <f t="shared" si="1"/>
        <v>10005.000000001019</v>
      </c>
      <c r="F14" s="51">
        <f t="shared" si="2"/>
        <v>18384.999999998399</v>
      </c>
      <c r="G14" s="77">
        <f t="shared" si="3"/>
        <v>1713.4819999998508</v>
      </c>
      <c r="H14" s="126">
        <v>50</v>
      </c>
    </row>
    <row r="15" spans="1:8" ht="30.95" customHeight="1">
      <c r="A15" s="125">
        <v>8</v>
      </c>
      <c r="B15" s="85">
        <v>14956.058999999999</v>
      </c>
      <c r="C15" s="39">
        <f t="shared" si="0"/>
        <v>8704.9999999999272</v>
      </c>
      <c r="D15" s="88">
        <v>15300.368</v>
      </c>
      <c r="E15" s="39">
        <f t="shared" si="1"/>
        <v>11237.499999997453</v>
      </c>
      <c r="F15" s="47">
        <f t="shared" si="2"/>
        <v>19942.499999997381</v>
      </c>
      <c r="G15" s="77">
        <f t="shared" si="3"/>
        <v>1858.6409999997559</v>
      </c>
      <c r="H15" s="126">
        <v>77</v>
      </c>
    </row>
    <row r="16" spans="1:8" ht="30.95" customHeight="1">
      <c r="A16" s="123">
        <v>9</v>
      </c>
      <c r="B16" s="89">
        <v>14959.540999999999</v>
      </c>
      <c r="C16" s="80">
        <f t="shared" si="0"/>
        <v>7695.0000000033469</v>
      </c>
      <c r="D16" s="90">
        <v>15304.862999999999</v>
      </c>
      <c r="E16" s="80">
        <f t="shared" si="1"/>
        <v>9152.5000000001455</v>
      </c>
      <c r="F16" s="51">
        <f t="shared" si="2"/>
        <v>16847.500000003492</v>
      </c>
      <c r="G16" s="77">
        <f t="shared" si="3"/>
        <v>1570.1870000003255</v>
      </c>
      <c r="H16" s="126">
        <v>62</v>
      </c>
    </row>
    <row r="17" spans="1:8" ht="30.95" customHeight="1">
      <c r="A17" s="125">
        <v>10</v>
      </c>
      <c r="B17" s="45">
        <v>14962.619000000001</v>
      </c>
      <c r="C17" s="39">
        <f t="shared" si="0"/>
        <v>-37406547.5</v>
      </c>
      <c r="D17" s="127">
        <v>15308.523999999999</v>
      </c>
      <c r="E17" s="39">
        <f t="shared" si="1"/>
        <v>-38271310</v>
      </c>
      <c r="F17" s="47">
        <f t="shared" si="2"/>
        <v>-75677857.5</v>
      </c>
      <c r="G17" s="77">
        <f t="shared" si="3"/>
        <v>-7053176.3190000001</v>
      </c>
      <c r="H17" s="126"/>
    </row>
    <row r="18" spans="1:8" ht="30.95" customHeight="1">
      <c r="A18" s="123">
        <v>11</v>
      </c>
      <c r="B18" s="85"/>
      <c r="C18" s="80">
        <f t="shared" si="0"/>
        <v>0</v>
      </c>
      <c r="D18" s="88"/>
      <c r="E18" s="80">
        <f t="shared" si="1"/>
        <v>0</v>
      </c>
      <c r="F18" s="51">
        <f t="shared" si="2"/>
        <v>0</v>
      </c>
      <c r="G18" s="77">
        <f t="shared" si="3"/>
        <v>0</v>
      </c>
      <c r="H18" s="126"/>
    </row>
    <row r="19" spans="1:8" ht="30.95" customHeight="1">
      <c r="A19" s="125">
        <v>12</v>
      </c>
      <c r="B19" s="87"/>
      <c r="C19" s="39">
        <f t="shared" si="0"/>
        <v>0</v>
      </c>
      <c r="D19" s="127"/>
      <c r="E19" s="39">
        <f t="shared" si="1"/>
        <v>0</v>
      </c>
      <c r="F19" s="47">
        <f t="shared" si="2"/>
        <v>0</v>
      </c>
      <c r="G19" s="77">
        <f t="shared" si="3"/>
        <v>0</v>
      </c>
      <c r="H19" s="126"/>
    </row>
    <row r="20" spans="1:8" ht="30.95" customHeight="1">
      <c r="A20" s="123">
        <v>13</v>
      </c>
      <c r="B20" s="85"/>
      <c r="C20" s="80">
        <f t="shared" si="0"/>
        <v>0</v>
      </c>
      <c r="D20" s="91"/>
      <c r="E20" s="80">
        <f t="shared" si="1"/>
        <v>0</v>
      </c>
      <c r="F20" s="51">
        <f t="shared" si="2"/>
        <v>0</v>
      </c>
      <c r="G20" s="77">
        <f t="shared" si="3"/>
        <v>0</v>
      </c>
      <c r="H20" s="126"/>
    </row>
    <row r="21" spans="1:8" ht="30.95" customHeight="1">
      <c r="A21" s="125">
        <v>14</v>
      </c>
      <c r="B21" s="85"/>
      <c r="C21" s="39">
        <f t="shared" si="0"/>
        <v>0</v>
      </c>
      <c r="D21" s="88"/>
      <c r="E21" s="39">
        <f t="shared" si="1"/>
        <v>0</v>
      </c>
      <c r="F21" s="47">
        <f t="shared" si="2"/>
        <v>0</v>
      </c>
      <c r="G21" s="77">
        <f t="shared" si="3"/>
        <v>0</v>
      </c>
      <c r="H21" s="126"/>
    </row>
    <row r="22" spans="1:8" ht="30.95" customHeight="1">
      <c r="A22" s="123">
        <v>15</v>
      </c>
      <c r="B22" s="85"/>
      <c r="C22" s="80">
        <f t="shared" si="0"/>
        <v>0</v>
      </c>
      <c r="D22" s="67"/>
      <c r="E22" s="80">
        <f t="shared" si="1"/>
        <v>0</v>
      </c>
      <c r="F22" s="51">
        <f t="shared" si="2"/>
        <v>0</v>
      </c>
      <c r="G22" s="77">
        <f t="shared" si="3"/>
        <v>0</v>
      </c>
      <c r="H22" s="126"/>
    </row>
    <row r="23" spans="1:8" ht="30.95" customHeight="1">
      <c r="A23" s="125">
        <v>16</v>
      </c>
      <c r="B23" s="94"/>
      <c r="C23" s="39">
        <f t="shared" si="0"/>
        <v>0</v>
      </c>
      <c r="D23" s="95"/>
      <c r="E23" s="39">
        <f t="shared" si="1"/>
        <v>0</v>
      </c>
      <c r="F23" s="47">
        <f t="shared" si="2"/>
        <v>0</v>
      </c>
      <c r="G23" s="77">
        <f t="shared" si="3"/>
        <v>0</v>
      </c>
      <c r="H23" s="126"/>
    </row>
    <row r="24" spans="1:8" ht="30.95" customHeight="1">
      <c r="A24" s="123">
        <v>17</v>
      </c>
      <c r="B24" s="96"/>
      <c r="C24" s="80">
        <f t="shared" si="0"/>
        <v>0</v>
      </c>
      <c r="D24" s="127"/>
      <c r="E24" s="80">
        <f t="shared" si="1"/>
        <v>0</v>
      </c>
      <c r="F24" s="51">
        <f t="shared" si="2"/>
        <v>0</v>
      </c>
      <c r="G24" s="77">
        <f t="shared" si="3"/>
        <v>0</v>
      </c>
      <c r="H24" s="126"/>
    </row>
    <row r="25" spans="1:8" ht="30.95" customHeight="1">
      <c r="A25" s="125">
        <v>18</v>
      </c>
      <c r="B25" s="85"/>
      <c r="C25" s="39">
        <f>(B26-B25)*2500</f>
        <v>0</v>
      </c>
      <c r="D25" s="88"/>
      <c r="E25" s="39">
        <f>(D26-D25)*2500</f>
        <v>0</v>
      </c>
      <c r="F25" s="47">
        <f t="shared" si="2"/>
        <v>0</v>
      </c>
      <c r="G25" s="77">
        <f t="shared" si="3"/>
        <v>0</v>
      </c>
      <c r="H25" s="126"/>
    </row>
    <row r="26" spans="1:8" ht="30.95" customHeight="1">
      <c r="A26" s="123">
        <v>19</v>
      </c>
      <c r="B26" s="87"/>
      <c r="C26" s="80">
        <f t="shared" ref="C26:C38" si="4">(B27-B26)*2500</f>
        <v>0</v>
      </c>
      <c r="D26" s="127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26"/>
    </row>
    <row r="27" spans="1:8" ht="30.95" customHeight="1">
      <c r="A27" s="125">
        <v>20</v>
      </c>
      <c r="B27" s="85"/>
      <c r="C27" s="39">
        <f t="shared" si="4"/>
        <v>0</v>
      </c>
      <c r="D27" s="91"/>
      <c r="E27" s="39">
        <f t="shared" si="5"/>
        <v>0</v>
      </c>
      <c r="F27" s="51">
        <f t="shared" si="2"/>
        <v>0</v>
      </c>
      <c r="G27" s="77">
        <f t="shared" si="3"/>
        <v>0</v>
      </c>
      <c r="H27" s="126"/>
    </row>
    <row r="28" spans="1:8" ht="30.95" customHeight="1">
      <c r="A28" s="123">
        <v>21</v>
      </c>
      <c r="B28" s="87"/>
      <c r="C28" s="80">
        <f t="shared" si="4"/>
        <v>0</v>
      </c>
      <c r="D28" s="127"/>
      <c r="E28" s="80">
        <f t="shared" si="5"/>
        <v>0</v>
      </c>
      <c r="F28" s="47">
        <f t="shared" si="2"/>
        <v>0</v>
      </c>
      <c r="G28" s="77">
        <f t="shared" si="3"/>
        <v>0</v>
      </c>
      <c r="H28" s="126"/>
    </row>
    <row r="29" spans="1:8" ht="30.95" customHeight="1">
      <c r="A29" s="125">
        <v>22</v>
      </c>
      <c r="B29" s="85"/>
      <c r="C29" s="39">
        <f t="shared" si="4"/>
        <v>0</v>
      </c>
      <c r="D29" s="88"/>
      <c r="E29" s="39">
        <f t="shared" si="5"/>
        <v>0</v>
      </c>
      <c r="F29" s="51">
        <f t="shared" si="2"/>
        <v>0</v>
      </c>
      <c r="G29" s="77">
        <f t="shared" si="3"/>
        <v>0</v>
      </c>
      <c r="H29" s="126"/>
    </row>
    <row r="30" spans="1:8" ht="30.95" customHeight="1">
      <c r="A30" s="123">
        <v>23</v>
      </c>
      <c r="B30" s="87"/>
      <c r="C30" s="80">
        <f t="shared" si="4"/>
        <v>0</v>
      </c>
      <c r="D30" s="127"/>
      <c r="E30" s="80">
        <f t="shared" si="5"/>
        <v>0</v>
      </c>
      <c r="F30" s="47">
        <f t="shared" si="2"/>
        <v>0</v>
      </c>
      <c r="G30" s="77">
        <f t="shared" si="3"/>
        <v>0</v>
      </c>
      <c r="H30" s="126"/>
    </row>
    <row r="31" spans="1:8" ht="30.95" customHeight="1">
      <c r="A31" s="125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6"/>
    </row>
    <row r="32" spans="1:8" ht="30.95" customHeight="1">
      <c r="A32" s="123">
        <v>25</v>
      </c>
      <c r="B32" s="87"/>
      <c r="C32" s="80">
        <f t="shared" si="4"/>
        <v>0</v>
      </c>
      <c r="D32" s="127"/>
      <c r="E32" s="80">
        <f t="shared" si="5"/>
        <v>0</v>
      </c>
      <c r="F32" s="47">
        <f t="shared" si="2"/>
        <v>0</v>
      </c>
      <c r="G32" s="77">
        <f t="shared" si="3"/>
        <v>0</v>
      </c>
      <c r="H32" s="126"/>
    </row>
    <row r="33" spans="1:8" ht="30.95" customHeight="1">
      <c r="A33" s="125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6"/>
    </row>
    <row r="34" spans="1:8" ht="30.95" customHeight="1">
      <c r="A34" s="123">
        <v>27</v>
      </c>
      <c r="B34" s="87"/>
      <c r="C34" s="80">
        <f t="shared" si="4"/>
        <v>0</v>
      </c>
      <c r="D34" s="127"/>
      <c r="E34" s="39">
        <f t="shared" si="5"/>
        <v>0</v>
      </c>
      <c r="F34" s="47">
        <f t="shared" si="2"/>
        <v>0</v>
      </c>
      <c r="G34" s="77">
        <f t="shared" si="3"/>
        <v>0</v>
      </c>
      <c r="H34" s="126"/>
    </row>
    <row r="35" spans="1:8" ht="30.95" customHeight="1">
      <c r="A35" s="125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6"/>
    </row>
    <row r="36" spans="1:8" ht="30.95" customHeight="1">
      <c r="A36" s="123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4"/>
    </row>
    <row r="37" spans="1:8" ht="30.95" customHeight="1">
      <c r="A37" s="128">
        <v>30</v>
      </c>
      <c r="B37" s="104"/>
      <c r="C37" s="105">
        <f t="shared" si="4"/>
        <v>0</v>
      </c>
      <c r="D37" s="106"/>
      <c r="E37" s="105">
        <f t="shared" si="5"/>
        <v>0</v>
      </c>
      <c r="F37" s="107">
        <f t="shared" si="2"/>
        <v>0</v>
      </c>
      <c r="G37" s="77">
        <f t="shared" si="3"/>
        <v>0</v>
      </c>
      <c r="H37" s="129"/>
    </row>
    <row r="38" spans="1:8" ht="30.95" customHeight="1">
      <c r="A38" s="123">
        <v>31</v>
      </c>
      <c r="B38" s="40"/>
      <c r="C38" s="80">
        <f t="shared" si="4"/>
        <v>0</v>
      </c>
      <c r="D38" s="127"/>
      <c r="E38" s="80">
        <f t="shared" si="5"/>
        <v>0</v>
      </c>
      <c r="F38" s="51">
        <f t="shared" si="2"/>
        <v>0</v>
      </c>
      <c r="G38" s="140">
        <f t="shared" si="3"/>
        <v>0</v>
      </c>
      <c r="H38" s="141"/>
    </row>
    <row r="39" spans="1:8" ht="30.95" customHeight="1">
      <c r="A39" s="133">
        <v>1</v>
      </c>
      <c r="B39" s="134"/>
      <c r="C39" s="135">
        <f t="shared" ref="C39" si="6">(B40-B39)*2500</f>
        <v>0</v>
      </c>
      <c r="D39" s="136"/>
      <c r="E39" s="135">
        <f t="shared" ref="E39" si="7">(D40-D39)*2500</f>
        <v>0</v>
      </c>
      <c r="F39" s="137">
        <f t="shared" ref="F39" si="8">C39+E39</f>
        <v>0</v>
      </c>
      <c r="G39" s="138">
        <f t="shared" si="3"/>
        <v>0</v>
      </c>
      <c r="H39" s="139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13" activePane="bottomLeft" state="frozen"/>
      <selection pane="bottomLeft" activeCell="B16" sqref="B16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103" t="s">
        <v>15</v>
      </c>
      <c r="B3" s="17" t="s">
        <v>22</v>
      </c>
      <c r="C3" s="18" t="s">
        <v>27</v>
      </c>
      <c r="D3" s="19" t="s">
        <v>28</v>
      </c>
      <c r="E3" s="100" t="s">
        <v>22</v>
      </c>
      <c r="F3" s="20" t="s">
        <v>23</v>
      </c>
      <c r="G3" s="21" t="s">
        <v>29</v>
      </c>
      <c r="H3" s="21" t="s">
        <v>30</v>
      </c>
      <c r="I3" s="9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101">
        <v>28</v>
      </c>
      <c r="B5" s="101">
        <v>6586723</v>
      </c>
      <c r="C5" s="130">
        <f>B6-B5</f>
        <v>3011</v>
      </c>
      <c r="D5" s="34">
        <f>C5*0.21186441</f>
        <v>637.92373851000002</v>
      </c>
      <c r="E5" s="35">
        <v>514362</v>
      </c>
      <c r="F5" s="131">
        <f>E6-E5</f>
        <v>143</v>
      </c>
      <c r="G5" s="36">
        <f>F5*0.84746</f>
        <v>121.18678</v>
      </c>
      <c r="H5" s="36">
        <f>F5*0.84746</f>
        <v>121.18678</v>
      </c>
      <c r="I5" s="102">
        <f>G5+H5</f>
        <v>242.37356</v>
      </c>
      <c r="J5" s="37">
        <f>5860+6460</f>
        <v>12320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1">
        <v>6589734</v>
      </c>
      <c r="C6" s="53">
        <f t="shared" ref="C6:C15" si="0">B7-B6</f>
        <v>3271</v>
      </c>
      <c r="D6" s="41">
        <f>C6*0.21186441</f>
        <v>693.00848511000004</v>
      </c>
      <c r="E6" s="42">
        <v>514505</v>
      </c>
      <c r="F6" s="54">
        <f t="shared" ref="F6:F15" si="1">E7-E6</f>
        <v>209</v>
      </c>
      <c r="G6" s="43">
        <f>F6*0.84746</f>
        <v>177.11913999999999</v>
      </c>
      <c r="H6" s="43">
        <f>F6*0.84746</f>
        <v>177.11913999999999</v>
      </c>
      <c r="I6" s="44">
        <f t="shared" ref="I6:I36" si="2">G6+H6</f>
        <v>354.23827999999997</v>
      </c>
      <c r="J6" s="37">
        <f>5860+6460</f>
        <v>12320</v>
      </c>
      <c r="K6" s="38">
        <f t="shared" ref="K6:K35" si="3">J6-J7</f>
        <v>0</v>
      </c>
      <c r="L6" s="39">
        <f t="shared" ref="L6:L36" si="4">K6*0.59</f>
        <v>0</v>
      </c>
    </row>
    <row r="7" spans="1:12" ht="32.450000000000003" customHeight="1">
      <c r="A7" s="45">
        <v>2</v>
      </c>
      <c r="B7" s="45">
        <v>6593005</v>
      </c>
      <c r="C7" s="55">
        <f t="shared" si="0"/>
        <v>2966</v>
      </c>
      <c r="D7" s="46">
        <f>C7*0.21186441</f>
        <v>628.38984005999998</v>
      </c>
      <c r="E7" s="47">
        <v>514714</v>
      </c>
      <c r="F7" s="56">
        <f t="shared" si="1"/>
        <v>158</v>
      </c>
      <c r="G7" s="48">
        <f t="shared" ref="G7:G36" si="5">F7*0.84746</f>
        <v>133.89867999999998</v>
      </c>
      <c r="H7" s="48">
        <f t="shared" ref="H7:H36" si="6">F7*0.84746</f>
        <v>133.89867999999998</v>
      </c>
      <c r="I7" s="49">
        <f t="shared" si="2"/>
        <v>267.79735999999997</v>
      </c>
      <c r="J7" s="37">
        <f>5860+6460</f>
        <v>12320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6595971</v>
      </c>
      <c r="C8" s="53">
        <f t="shared" si="0"/>
        <v>3433</v>
      </c>
      <c r="D8" s="46">
        <f t="shared" ref="D8:D36" si="7">C8*0.21186441</f>
        <v>727.33051953000006</v>
      </c>
      <c r="E8" s="47">
        <v>514872</v>
      </c>
      <c r="F8" s="54">
        <f t="shared" si="1"/>
        <v>153</v>
      </c>
      <c r="G8" s="43">
        <f t="shared" si="5"/>
        <v>129.66138000000001</v>
      </c>
      <c r="H8" s="43">
        <f t="shared" si="6"/>
        <v>129.66138000000001</v>
      </c>
      <c r="I8" s="49">
        <f t="shared" si="2"/>
        <v>259.32276000000002</v>
      </c>
      <c r="J8" s="37">
        <f>5860+6460</f>
        <v>12320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6599404</v>
      </c>
      <c r="C9" s="55">
        <f t="shared" si="0"/>
        <v>3149</v>
      </c>
      <c r="D9" s="46">
        <f t="shared" si="7"/>
        <v>667.16102709000006</v>
      </c>
      <c r="E9" s="47">
        <v>515025</v>
      </c>
      <c r="F9" s="56">
        <f t="shared" si="1"/>
        <v>181</v>
      </c>
      <c r="G9" s="48">
        <f t="shared" si="5"/>
        <v>153.39026000000001</v>
      </c>
      <c r="H9" s="48">
        <f t="shared" si="6"/>
        <v>153.39026000000001</v>
      </c>
      <c r="I9" s="49">
        <f t="shared" si="2"/>
        <v>306.78052000000002</v>
      </c>
      <c r="J9" s="37">
        <f>5860+6460</f>
        <v>12320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6602553</v>
      </c>
      <c r="C10" s="53">
        <f t="shared" si="0"/>
        <v>3218</v>
      </c>
      <c r="D10" s="46">
        <f t="shared" si="7"/>
        <v>681.77967137999997</v>
      </c>
      <c r="E10" s="47">
        <v>515206</v>
      </c>
      <c r="F10" s="54">
        <f t="shared" si="1"/>
        <v>188</v>
      </c>
      <c r="G10" s="43">
        <f t="shared" si="5"/>
        <v>159.32247999999998</v>
      </c>
      <c r="H10" s="43">
        <f t="shared" si="6"/>
        <v>159.32247999999998</v>
      </c>
      <c r="I10" s="49">
        <f t="shared" si="2"/>
        <v>318.64495999999997</v>
      </c>
      <c r="J10" s="37">
        <f>5860+6460</f>
        <v>12320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6605771</v>
      </c>
      <c r="C11" s="55">
        <f t="shared" si="0"/>
        <v>3210</v>
      </c>
      <c r="D11" s="46">
        <f t="shared" si="7"/>
        <v>680.08475610000005</v>
      </c>
      <c r="E11" s="47">
        <v>515394</v>
      </c>
      <c r="F11" s="56">
        <f t="shared" si="1"/>
        <v>154</v>
      </c>
      <c r="G11" s="48">
        <f t="shared" si="5"/>
        <v>130.50883999999999</v>
      </c>
      <c r="H11" s="48">
        <f t="shared" si="6"/>
        <v>130.50883999999999</v>
      </c>
      <c r="I11" s="49">
        <f t="shared" si="2"/>
        <v>261.01767999999998</v>
      </c>
      <c r="J11" s="37">
        <f>5860+6460</f>
        <v>12320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6608981</v>
      </c>
      <c r="C12" s="53">
        <f t="shared" si="0"/>
        <v>2915</v>
      </c>
      <c r="D12" s="46">
        <f t="shared" si="7"/>
        <v>617.58475514999998</v>
      </c>
      <c r="E12" s="47">
        <v>515548</v>
      </c>
      <c r="F12" s="54">
        <f t="shared" si="1"/>
        <v>174</v>
      </c>
      <c r="G12" s="43">
        <f t="shared" si="5"/>
        <v>147.45804000000001</v>
      </c>
      <c r="H12" s="43">
        <f t="shared" si="6"/>
        <v>147.45804000000001</v>
      </c>
      <c r="I12" s="49">
        <f t="shared" si="2"/>
        <v>294.91608000000002</v>
      </c>
      <c r="J12" s="37">
        <f>5860+6460</f>
        <v>12320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6611896</v>
      </c>
      <c r="C13" s="55">
        <f t="shared" si="0"/>
        <v>3778</v>
      </c>
      <c r="D13" s="46">
        <f t="shared" si="7"/>
        <v>800.42374098000005</v>
      </c>
      <c r="E13" s="47">
        <v>515722</v>
      </c>
      <c r="F13" s="56">
        <f t="shared" si="1"/>
        <v>179</v>
      </c>
      <c r="G13" s="48">
        <f t="shared" si="5"/>
        <v>151.69533999999999</v>
      </c>
      <c r="H13" s="48">
        <f t="shared" si="6"/>
        <v>151.69533999999999</v>
      </c>
      <c r="I13" s="49">
        <f t="shared" si="2"/>
        <v>303.39067999999997</v>
      </c>
      <c r="J13" s="37">
        <f>5860+6460</f>
        <v>12320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6615674</v>
      </c>
      <c r="C14" s="53">
        <f t="shared" si="0"/>
        <v>3134</v>
      </c>
      <c r="D14" s="46">
        <f t="shared" si="7"/>
        <v>663.98306093999997</v>
      </c>
      <c r="E14" s="47">
        <v>515901</v>
      </c>
      <c r="F14" s="54">
        <f t="shared" si="1"/>
        <v>-515901</v>
      </c>
      <c r="G14" s="48">
        <f t="shared" si="5"/>
        <v>-437205.46146000002</v>
      </c>
      <c r="H14" s="43">
        <f t="shared" si="6"/>
        <v>-437205.46146000002</v>
      </c>
      <c r="I14" s="49">
        <f t="shared" si="2"/>
        <v>-874410.92292000004</v>
      </c>
      <c r="J14" s="37">
        <f>5860+6460</f>
        <v>12320</v>
      </c>
      <c r="K14" s="38">
        <f>J14-J15</f>
        <v>12320</v>
      </c>
      <c r="L14" s="39">
        <f t="shared" si="4"/>
        <v>7268.7999999999993</v>
      </c>
    </row>
    <row r="15" spans="1:12" ht="32.450000000000003" customHeight="1">
      <c r="A15" s="45">
        <v>10</v>
      </c>
      <c r="B15" s="45">
        <v>6618808</v>
      </c>
      <c r="C15" s="55">
        <f t="shared" si="0"/>
        <v>-6618808</v>
      </c>
      <c r="D15" s="46">
        <f t="shared" si="7"/>
        <v>-1402289.8518232801</v>
      </c>
      <c r="E15" s="47"/>
      <c r="F15" s="56">
        <f t="shared" si="1"/>
        <v>0</v>
      </c>
      <c r="G15" s="48">
        <f t="shared" si="5"/>
        <v>0</v>
      </c>
      <c r="H15" s="48">
        <f t="shared" si="6"/>
        <v>0</v>
      </c>
      <c r="I15" s="49">
        <f t="shared" si="2"/>
        <v>0</v>
      </c>
      <c r="J15" s="37"/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5"/>
        <v>0</v>
      </c>
      <c r="H16" s="43">
        <f t="shared" si="6"/>
        <v>0</v>
      </c>
      <c r="I16" s="49">
        <f t="shared" si="2"/>
        <v>0</v>
      </c>
      <c r="J16" s="37"/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5"/>
        <v>0</v>
      </c>
      <c r="H17" s="48">
        <f t="shared" si="6"/>
        <v>0</v>
      </c>
      <c r="I17" s="49">
        <f t="shared" si="2"/>
        <v>0</v>
      </c>
      <c r="J17" s="37"/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5"/>
        <v>0</v>
      </c>
      <c r="H18" s="43">
        <f t="shared" si="6"/>
        <v>0</v>
      </c>
      <c r="I18" s="49">
        <f t="shared" si="2"/>
        <v>0</v>
      </c>
      <c r="J18" s="37"/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5"/>
        <v>0</v>
      </c>
      <c r="H19" s="48">
        <f t="shared" si="6"/>
        <v>0</v>
      </c>
      <c r="I19" s="49">
        <f t="shared" si="2"/>
        <v>0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5"/>
        <v>0</v>
      </c>
      <c r="H20" s="43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96"/>
      <c r="C21" s="55">
        <f t="shared" si="8"/>
        <v>0</v>
      </c>
      <c r="D21" s="46">
        <f t="shared" si="7"/>
        <v>0</v>
      </c>
      <c r="E21" s="97"/>
      <c r="F21" s="56">
        <f t="shared" si="9"/>
        <v>0</v>
      </c>
      <c r="G21" s="48">
        <f t="shared" si="5"/>
        <v>0</v>
      </c>
      <c r="H21" s="48">
        <f t="shared" si="6"/>
        <v>0</v>
      </c>
      <c r="I21" s="49">
        <f t="shared" si="2"/>
        <v>0</v>
      </c>
      <c r="J21" s="98"/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8">
        <v>31</v>
      </c>
      <c r="B36" s="108"/>
      <c r="C36" s="109">
        <f t="shared" ref="C36" si="10">B37-B36</f>
        <v>0</v>
      </c>
      <c r="D36" s="110">
        <f t="shared" si="7"/>
        <v>0</v>
      </c>
      <c r="E36" s="111"/>
      <c r="F36" s="109">
        <f t="shared" ref="F36" si="11">E37-E36</f>
        <v>0</v>
      </c>
      <c r="G36" s="112">
        <f t="shared" ref="G36" si="12">F36*0.84746</f>
        <v>0</v>
      </c>
      <c r="H36" s="112">
        <f t="shared" ref="H36" si="13">F36*0.84746</f>
        <v>0</v>
      </c>
      <c r="I36" s="113">
        <f t="shared" ref="I36" si="14">G36+H36</f>
        <v>0</v>
      </c>
      <c r="J36" s="114"/>
      <c r="K36" s="115">
        <f t="shared" ref="K36" si="15">J36-J37</f>
        <v>0</v>
      </c>
      <c r="L36" s="116">
        <f t="shared" ref="L36" si="16">K36*0.59</f>
        <v>0</v>
      </c>
    </row>
    <row r="37" spans="1:12" ht="32.450000000000003" customHeight="1">
      <c r="A37" s="108">
        <v>1</v>
      </c>
      <c r="B37" s="108"/>
      <c r="C37" s="109">
        <f t="shared" ref="C37" si="17">B38-B37</f>
        <v>0</v>
      </c>
      <c r="D37" s="110">
        <f t="shared" ref="D37" si="18">C37*0.21186441</f>
        <v>0</v>
      </c>
      <c r="E37" s="111"/>
      <c r="F37" s="109">
        <f t="shared" ref="F37" si="19">E38-E37</f>
        <v>0</v>
      </c>
      <c r="G37" s="112">
        <f t="shared" ref="G37" si="20">F37*0.84746</f>
        <v>0</v>
      </c>
      <c r="H37" s="112">
        <f t="shared" ref="H37" si="21">F37*0.84746</f>
        <v>0</v>
      </c>
      <c r="I37" s="113">
        <f t="shared" ref="I37" si="22">G37+H37</f>
        <v>0</v>
      </c>
      <c r="J37" s="114"/>
      <c r="K37" s="115">
        <f t="shared" ref="K37" si="23">J37-J38</f>
        <v>0</v>
      </c>
      <c r="L37" s="116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2022-03-11T05:24:44Z</dcterms:modified>
  <cp:category/>
  <cp:contentStatus/>
</cp:coreProperties>
</file>