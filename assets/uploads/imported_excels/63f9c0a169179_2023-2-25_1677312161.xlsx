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1\"/>
    </mc:Choice>
  </mc:AlternateContent>
  <bookViews>
    <workbookView xWindow="0" yWindow="0" windowWidth="28800" windowHeight="12300" activeTab="2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F11" i="2" l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5" i="1"/>
  <c r="E9" i="1"/>
  <c r="E13" i="1"/>
  <c r="E28" i="1"/>
  <c r="E4" i="1"/>
  <c r="E12" i="1"/>
  <c r="E16" i="1"/>
  <c r="E17" i="1"/>
  <c r="E20" i="1"/>
  <c r="E24" i="1"/>
  <c r="E25" i="1"/>
  <c r="E29" i="1"/>
  <c r="E8" i="1"/>
  <c r="E21" i="1"/>
</calcChain>
</file>

<file path=xl/sharedStrings.xml><?xml version="1.0" encoding="utf-8"?>
<sst xmlns="http://schemas.openxmlformats.org/spreadsheetml/2006/main" count="107" uniqueCount="34">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</sst>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R20" sqref="R20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7" t="s">
        <v>13</v>
      </c>
      <c r="B1" s="27" t="s">
        <v>33</v>
      </c>
      <c r="C1" s="27" t="s">
        <v>14</v>
      </c>
      <c r="D1" s="27" t="s">
        <v>15</v>
      </c>
      <c r="E1" s="28" t="s">
        <v>25</v>
      </c>
      <c r="F1" s="28" t="s">
        <v>26</v>
      </c>
      <c r="G1" s="28" t="s">
        <v>27</v>
      </c>
      <c r="H1" s="29" t="s">
        <v>28</v>
      </c>
      <c r="I1" s="28" t="s">
        <v>29</v>
      </c>
      <c r="J1" s="28" t="s">
        <v>30</v>
      </c>
      <c r="K1" s="28" t="s">
        <v>31</v>
      </c>
      <c r="L1" s="28" t="s">
        <v>32</v>
      </c>
    </row>
    <row r="2" spans="1:12" x14ac:dyDescent="0.25">
      <c r="A2" t="s">
        <v>24</v>
      </c>
      <c r="B2">
        <v>1</v>
      </c>
      <c r="C2" s="22">
        <v>2</v>
      </c>
      <c r="D2" s="22">
        <v>2021</v>
      </c>
      <c r="E2" s="23">
        <f>Submetering!E2+Submetering!F2+Submetering!G2+Submetering!H2</f>
        <v>19929</v>
      </c>
      <c r="F2" s="30">
        <v>0.36499999999999999</v>
      </c>
      <c r="G2" s="23">
        <f>Submetering!I2+Submetering!J2+Submetering!K2</f>
        <v>18</v>
      </c>
      <c r="H2" s="25">
        <f>(1/22.25)*30.3</f>
        <v>1.3617977528089888</v>
      </c>
      <c r="I2" s="24">
        <f>Submetering!L2</f>
        <v>6</v>
      </c>
      <c r="J2" s="24">
        <v>2.2799999999999998</v>
      </c>
      <c r="K2" s="31">
        <v>29</v>
      </c>
      <c r="L2" s="31">
        <v>51</v>
      </c>
    </row>
    <row r="3" spans="1:12" x14ac:dyDescent="0.25">
      <c r="A3" t="s">
        <v>24</v>
      </c>
      <c r="B3">
        <v>2</v>
      </c>
      <c r="C3" s="22">
        <v>2</v>
      </c>
      <c r="D3" s="22">
        <v>2021</v>
      </c>
      <c r="E3" s="23">
        <f>Submetering!E3+Submetering!F3+Submetering!G3+Submetering!H3</f>
        <v>20628</v>
      </c>
      <c r="F3" s="30">
        <v>0.36499999999999999</v>
      </c>
      <c r="G3" s="23">
        <f>Submetering!I3+Submetering!J3+Submetering!K3</f>
        <v>7</v>
      </c>
      <c r="H3" s="25">
        <f t="shared" ref="H3:H29" si="0">(1/22.25)*30.3</f>
        <v>1.3617977528089888</v>
      </c>
      <c r="I3" s="24">
        <f>Submetering!L3</f>
        <v>156</v>
      </c>
      <c r="J3" s="24">
        <v>2.2799999999999998</v>
      </c>
      <c r="K3" s="31">
        <v>28</v>
      </c>
      <c r="L3" s="31">
        <v>51</v>
      </c>
    </row>
    <row r="4" spans="1:12" x14ac:dyDescent="0.25">
      <c r="A4" t="s">
        <v>24</v>
      </c>
      <c r="B4">
        <v>3</v>
      </c>
      <c r="C4" s="22">
        <v>2</v>
      </c>
      <c r="D4" s="22">
        <v>2021</v>
      </c>
      <c r="E4" s="23">
        <f>Submetering!E4+Submetering!F4+Submetering!G4+Submetering!H4</f>
        <v>20672</v>
      </c>
      <c r="F4" s="30">
        <v>0.36499999999999999</v>
      </c>
      <c r="G4" s="23">
        <f>Submetering!I4+Submetering!J4+Submetering!K4</f>
        <v>5</v>
      </c>
      <c r="H4" s="25">
        <f t="shared" si="0"/>
        <v>1.3617977528089888</v>
      </c>
      <c r="I4" s="24">
        <f>Submetering!L4</f>
        <v>123</v>
      </c>
      <c r="J4" s="24">
        <v>2.2799999999999998</v>
      </c>
      <c r="K4" s="31">
        <v>28</v>
      </c>
      <c r="L4" s="31">
        <v>51</v>
      </c>
    </row>
    <row r="5" spans="1:12" x14ac:dyDescent="0.25">
      <c r="A5" t="s">
        <v>24</v>
      </c>
      <c r="B5">
        <v>4</v>
      </c>
      <c r="C5" s="22">
        <v>2</v>
      </c>
      <c r="D5" s="22">
        <v>2021</v>
      </c>
      <c r="E5" s="23">
        <f>Submetering!E5+Submetering!F5+Submetering!G5+Submetering!H5</f>
        <v>20494</v>
      </c>
      <c r="F5" s="30">
        <v>0.36499999999999999</v>
      </c>
      <c r="G5" s="23">
        <f>Submetering!I5+Submetering!J5+Submetering!K5</f>
        <v>19</v>
      </c>
      <c r="H5" s="25">
        <f t="shared" si="0"/>
        <v>1.3617977528089888</v>
      </c>
      <c r="I5" s="24">
        <f>Submetering!L5</f>
        <v>203</v>
      </c>
      <c r="J5" s="24">
        <v>2.2799999999999998</v>
      </c>
      <c r="K5" s="31">
        <v>29</v>
      </c>
      <c r="L5" s="31">
        <v>52</v>
      </c>
    </row>
    <row r="6" spans="1:12" x14ac:dyDescent="0.25">
      <c r="A6" t="s">
        <v>24</v>
      </c>
      <c r="B6">
        <v>5</v>
      </c>
      <c r="C6" s="22">
        <v>2</v>
      </c>
      <c r="D6" s="22">
        <v>2021</v>
      </c>
      <c r="E6" s="23">
        <f>Submetering!E6+Submetering!F6+Submetering!G6+Submetering!H6</f>
        <v>20766</v>
      </c>
      <c r="F6" s="30">
        <v>0.36499999999999999</v>
      </c>
      <c r="G6" s="23">
        <f>Submetering!I6+Submetering!J6+Submetering!K6</f>
        <v>7</v>
      </c>
      <c r="H6" s="25">
        <f t="shared" si="0"/>
        <v>1.3617977528089888</v>
      </c>
      <c r="I6" s="24">
        <f>Submetering!L6</f>
        <v>53</v>
      </c>
      <c r="J6" s="24">
        <v>2.2799999999999998</v>
      </c>
      <c r="K6" s="31">
        <v>30</v>
      </c>
      <c r="L6" s="31">
        <v>54</v>
      </c>
    </row>
    <row r="7" spans="1:12" x14ac:dyDescent="0.25">
      <c r="A7" t="s">
        <v>24</v>
      </c>
      <c r="B7">
        <v>6</v>
      </c>
      <c r="C7" s="22">
        <v>2</v>
      </c>
      <c r="D7" s="22">
        <v>2021</v>
      </c>
      <c r="E7" s="23">
        <f>Submetering!E7+Submetering!F7+Submetering!G7+Submetering!H7</f>
        <v>21628</v>
      </c>
      <c r="F7" s="30">
        <v>0.36499999999999999</v>
      </c>
      <c r="G7" s="23">
        <f>Submetering!I7+Submetering!J7+Submetering!K7</f>
        <v>9</v>
      </c>
      <c r="H7" s="25">
        <f t="shared" si="0"/>
        <v>1.3617977528089888</v>
      </c>
      <c r="I7" s="24">
        <f>Submetering!L7</f>
        <v>139</v>
      </c>
      <c r="J7" s="24">
        <v>2.2799999999999998</v>
      </c>
      <c r="K7" s="31">
        <v>33</v>
      </c>
      <c r="L7" s="31">
        <v>61</v>
      </c>
    </row>
    <row r="8" spans="1:12" x14ac:dyDescent="0.25">
      <c r="A8" t="s">
        <v>24</v>
      </c>
      <c r="B8">
        <v>7</v>
      </c>
      <c r="C8" s="22">
        <v>2</v>
      </c>
      <c r="D8" s="22">
        <v>2021</v>
      </c>
      <c r="E8" s="23">
        <f>Submetering!E8+Submetering!F8+Submetering!G8+Submetering!H8</f>
        <v>21303</v>
      </c>
      <c r="F8" s="30">
        <v>0.36499999999999999</v>
      </c>
      <c r="G8" s="23">
        <f>Submetering!I8+Submetering!J8+Submetering!K8</f>
        <v>31</v>
      </c>
      <c r="H8" s="25">
        <f t="shared" si="0"/>
        <v>1.3617977528089888</v>
      </c>
      <c r="I8" s="24">
        <f>Submetering!L8</f>
        <v>164</v>
      </c>
      <c r="J8" s="24">
        <v>2.2799999999999998</v>
      </c>
      <c r="K8" s="31">
        <v>27</v>
      </c>
      <c r="L8" s="31">
        <v>47</v>
      </c>
    </row>
    <row r="9" spans="1:12" x14ac:dyDescent="0.25">
      <c r="A9" t="s">
        <v>24</v>
      </c>
      <c r="B9">
        <v>8</v>
      </c>
      <c r="C9" s="22">
        <v>2</v>
      </c>
      <c r="D9" s="22">
        <v>2021</v>
      </c>
      <c r="E9" s="23">
        <f>Submetering!E9+Submetering!F9+Submetering!G9+Submetering!H9</f>
        <v>21875</v>
      </c>
      <c r="F9" s="30">
        <v>0.36499999999999999</v>
      </c>
      <c r="G9" s="23">
        <f>Submetering!I9+Submetering!J9+Submetering!K9</f>
        <v>20</v>
      </c>
      <c r="H9" s="25">
        <f t="shared" si="0"/>
        <v>1.3617977528089888</v>
      </c>
      <c r="I9" s="24">
        <f>Submetering!L9</f>
        <v>61</v>
      </c>
      <c r="J9" s="24">
        <v>2.2799999999999998</v>
      </c>
      <c r="K9" s="31">
        <v>30</v>
      </c>
      <c r="L9" s="31">
        <v>54</v>
      </c>
    </row>
    <row r="10" spans="1:12" x14ac:dyDescent="0.25">
      <c r="A10" t="s">
        <v>24</v>
      </c>
      <c r="B10">
        <v>9</v>
      </c>
      <c r="C10" s="22">
        <v>2</v>
      </c>
      <c r="D10" s="22">
        <v>2021</v>
      </c>
      <c r="E10" s="23">
        <f>Submetering!E10+Submetering!F10+Submetering!G10+Submetering!H10</f>
        <v>22908</v>
      </c>
      <c r="F10" s="30">
        <v>0.36499999999999999</v>
      </c>
      <c r="G10" s="23">
        <f>Submetering!I10+Submetering!J10+Submetering!K10</f>
        <v>44</v>
      </c>
      <c r="H10" s="25">
        <f t="shared" si="0"/>
        <v>1.3617977528089888</v>
      </c>
      <c r="I10" s="24">
        <f>Submetering!L10</f>
        <v>169</v>
      </c>
      <c r="J10" s="24">
        <v>2.2799999999999998</v>
      </c>
      <c r="K10" s="31">
        <v>31</v>
      </c>
      <c r="L10" s="31">
        <v>58</v>
      </c>
    </row>
    <row r="11" spans="1:12" x14ac:dyDescent="0.25">
      <c r="A11" t="s">
        <v>24</v>
      </c>
      <c r="B11">
        <v>10</v>
      </c>
      <c r="C11" s="22">
        <v>2</v>
      </c>
      <c r="D11" s="22">
        <v>2021</v>
      </c>
      <c r="E11" s="23">
        <f>Submetering!E11+Submetering!F11+Submetering!G11+Submetering!H11</f>
        <v>24439</v>
      </c>
      <c r="F11" s="30">
        <v>0.36499999999999999</v>
      </c>
      <c r="G11" s="23">
        <f>Submetering!I11+Submetering!J11+Submetering!K11</f>
        <v>98</v>
      </c>
      <c r="H11" s="25">
        <f t="shared" si="0"/>
        <v>1.3617977528089888</v>
      </c>
      <c r="I11" s="24">
        <f>Submetering!L11</f>
        <v>66</v>
      </c>
      <c r="J11" s="24">
        <v>2.2799999999999998</v>
      </c>
      <c r="K11" s="31">
        <v>31</v>
      </c>
      <c r="L11" s="31">
        <v>59</v>
      </c>
    </row>
    <row r="12" spans="1:12" x14ac:dyDescent="0.25">
      <c r="A12" t="s">
        <v>24</v>
      </c>
      <c r="B12">
        <v>11</v>
      </c>
      <c r="C12" s="22">
        <v>2</v>
      </c>
      <c r="D12" s="22">
        <v>2021</v>
      </c>
      <c r="E12" s="23">
        <f>Submetering!E12+Submetering!F12+Submetering!G12+Submetering!H12</f>
        <v>25085</v>
      </c>
      <c r="F12" s="30">
        <v>0.36499999999999999</v>
      </c>
      <c r="G12" s="23">
        <f>Submetering!I12+Submetering!J12+Submetering!K12</f>
        <v>129</v>
      </c>
      <c r="H12" s="25">
        <f t="shared" si="0"/>
        <v>1.3617977528089888</v>
      </c>
      <c r="I12" s="24">
        <f>Submetering!L12</f>
        <v>215</v>
      </c>
      <c r="J12" s="24">
        <v>2.2799999999999998</v>
      </c>
      <c r="K12" s="31">
        <v>38</v>
      </c>
      <c r="L12" s="31">
        <v>74</v>
      </c>
    </row>
    <row r="13" spans="1:12" x14ac:dyDescent="0.25">
      <c r="A13" t="s">
        <v>24</v>
      </c>
      <c r="B13">
        <v>12</v>
      </c>
      <c r="C13" s="22">
        <v>2</v>
      </c>
      <c r="D13" s="22">
        <v>2021</v>
      </c>
      <c r="E13" s="23">
        <f>Submetering!E13+Submetering!F13+Submetering!G13+Submetering!H13</f>
        <v>25697</v>
      </c>
      <c r="F13" s="30">
        <v>0.36499999999999999</v>
      </c>
      <c r="G13" s="23">
        <f>Submetering!I13+Submetering!J13+Submetering!K13</f>
        <v>128</v>
      </c>
      <c r="H13" s="25">
        <f t="shared" si="0"/>
        <v>1.3617977528089888</v>
      </c>
      <c r="I13" s="24">
        <f>Submetering!L13</f>
        <v>169</v>
      </c>
      <c r="J13" s="24">
        <v>2.2799999999999998</v>
      </c>
      <c r="K13" s="31">
        <v>48</v>
      </c>
      <c r="L13" s="31">
        <v>100</v>
      </c>
    </row>
    <row r="14" spans="1:12" x14ac:dyDescent="0.25">
      <c r="A14" t="s">
        <v>24</v>
      </c>
      <c r="B14">
        <v>13</v>
      </c>
      <c r="C14" s="22">
        <v>2</v>
      </c>
      <c r="D14" s="22">
        <v>2021</v>
      </c>
      <c r="E14" s="23">
        <f>Submetering!E14+Submetering!F14+Submetering!G14+Submetering!H14</f>
        <v>25916</v>
      </c>
      <c r="F14" s="30">
        <v>0.36499999999999999</v>
      </c>
      <c r="G14" s="23">
        <f>Submetering!I14+Submetering!J14+Submetering!K14</f>
        <v>112</v>
      </c>
      <c r="H14" s="25">
        <f t="shared" si="0"/>
        <v>1.3617977528089888</v>
      </c>
      <c r="I14" s="24">
        <f>Submetering!L14</f>
        <v>213</v>
      </c>
      <c r="J14" s="24">
        <v>2.2799999999999998</v>
      </c>
      <c r="K14" s="31">
        <v>57</v>
      </c>
      <c r="L14" s="31">
        <v>112</v>
      </c>
    </row>
    <row r="15" spans="1:12" x14ac:dyDescent="0.25">
      <c r="A15" t="s">
        <v>24</v>
      </c>
      <c r="B15">
        <v>14</v>
      </c>
      <c r="C15" s="22">
        <v>2</v>
      </c>
      <c r="D15" s="22">
        <v>2021</v>
      </c>
      <c r="E15" s="23">
        <f>Submetering!E15+Submetering!F15+Submetering!G15+Submetering!H15</f>
        <v>26192</v>
      </c>
      <c r="F15" s="30">
        <v>0.36499999999999999</v>
      </c>
      <c r="G15" s="23">
        <f>Submetering!I15+Submetering!J15+Submetering!K15</f>
        <v>113</v>
      </c>
      <c r="H15" s="25">
        <f t="shared" si="0"/>
        <v>1.3617977528089888</v>
      </c>
      <c r="I15" s="24">
        <f>Submetering!L15</f>
        <v>72</v>
      </c>
      <c r="J15" s="24">
        <v>2.2799999999999998</v>
      </c>
      <c r="K15" s="31">
        <v>49</v>
      </c>
      <c r="L15" s="31">
        <v>94</v>
      </c>
    </row>
    <row r="16" spans="1:12" x14ac:dyDescent="0.25">
      <c r="A16" t="s">
        <v>24</v>
      </c>
      <c r="B16">
        <v>15</v>
      </c>
      <c r="C16" s="22">
        <v>2</v>
      </c>
      <c r="D16" s="22">
        <v>2021</v>
      </c>
      <c r="E16" s="23">
        <f>Submetering!E16+Submetering!F16+Submetering!G16+Submetering!H16</f>
        <v>25946</v>
      </c>
      <c r="F16" s="30">
        <v>0.36499999999999999</v>
      </c>
      <c r="G16" s="23">
        <f>Submetering!I16+Submetering!J16+Submetering!K16</f>
        <v>98</v>
      </c>
      <c r="H16" s="25">
        <f t="shared" si="0"/>
        <v>1.3617977528089888</v>
      </c>
      <c r="I16" s="24">
        <f>Submetering!L16</f>
        <v>212</v>
      </c>
      <c r="J16" s="24">
        <v>2.2799999999999998</v>
      </c>
      <c r="K16" s="31">
        <v>32</v>
      </c>
      <c r="L16" s="31">
        <v>62</v>
      </c>
    </row>
    <row r="17" spans="1:12" x14ac:dyDescent="0.25">
      <c r="A17" t="s">
        <v>24</v>
      </c>
      <c r="B17">
        <v>16</v>
      </c>
      <c r="C17" s="22">
        <v>2</v>
      </c>
      <c r="D17" s="22">
        <v>2021</v>
      </c>
      <c r="E17" s="23">
        <f>Submetering!E17+Submetering!F17+Submetering!G17+Submetering!H17</f>
        <v>26149</v>
      </c>
      <c r="F17" s="30">
        <v>0.36499999999999999</v>
      </c>
      <c r="G17" s="23">
        <f>Submetering!I17+Submetering!J17+Submetering!K17</f>
        <v>140</v>
      </c>
      <c r="H17" s="25">
        <f t="shared" si="0"/>
        <v>1.3617977528089888</v>
      </c>
      <c r="I17" s="24">
        <f>Submetering!L17</f>
        <v>122</v>
      </c>
      <c r="J17" s="24">
        <v>2.2799999999999998</v>
      </c>
      <c r="K17" s="31">
        <v>33</v>
      </c>
      <c r="L17" s="31">
        <v>64</v>
      </c>
    </row>
    <row r="18" spans="1:12" x14ac:dyDescent="0.25">
      <c r="A18" t="s">
        <v>24</v>
      </c>
      <c r="B18">
        <v>17</v>
      </c>
      <c r="C18" s="22">
        <v>2</v>
      </c>
      <c r="D18" s="22">
        <v>2021</v>
      </c>
      <c r="E18" s="23">
        <f>Submetering!E18+Submetering!F18+Submetering!G18+Submetering!H18</f>
        <v>26181</v>
      </c>
      <c r="F18" s="30">
        <v>0.36499999999999999</v>
      </c>
      <c r="G18" s="23">
        <f>Submetering!I18+Submetering!J18+Submetering!K18</f>
        <v>216</v>
      </c>
      <c r="H18" s="25">
        <f t="shared" si="0"/>
        <v>1.3617977528089888</v>
      </c>
      <c r="I18" s="24">
        <f>Submetering!L18</f>
        <v>168</v>
      </c>
      <c r="J18" s="24">
        <v>2.2799999999999998</v>
      </c>
      <c r="K18" s="31">
        <v>28</v>
      </c>
      <c r="L18" s="31">
        <v>53</v>
      </c>
    </row>
    <row r="19" spans="1:12" x14ac:dyDescent="0.25">
      <c r="A19" t="s">
        <v>24</v>
      </c>
      <c r="B19">
        <v>18</v>
      </c>
      <c r="C19" s="22">
        <v>2</v>
      </c>
      <c r="D19" s="22">
        <v>2021</v>
      </c>
      <c r="E19" s="23">
        <f>Submetering!E19+Submetering!F19+Submetering!G19+Submetering!H19</f>
        <v>25324</v>
      </c>
      <c r="F19" s="30">
        <v>0.36499999999999999</v>
      </c>
      <c r="G19" s="23">
        <f>Submetering!I19+Submetering!J19+Submetering!K19</f>
        <v>187</v>
      </c>
      <c r="H19" s="25">
        <f t="shared" si="0"/>
        <v>1.3617977528089888</v>
      </c>
      <c r="I19" s="24">
        <f>Submetering!L19</f>
        <v>165</v>
      </c>
      <c r="J19" s="24">
        <v>2.2799999999999998</v>
      </c>
      <c r="K19" s="31">
        <v>37</v>
      </c>
      <c r="L19" s="31">
        <v>68</v>
      </c>
    </row>
    <row r="20" spans="1:12" x14ac:dyDescent="0.25">
      <c r="A20" t="s">
        <v>24</v>
      </c>
      <c r="B20">
        <v>19</v>
      </c>
      <c r="C20" s="22">
        <v>2</v>
      </c>
      <c r="D20" s="22">
        <v>2021</v>
      </c>
      <c r="E20" s="23">
        <f>Submetering!E20+Submetering!F20+Submetering!G20+Submetering!H20</f>
        <v>25047</v>
      </c>
      <c r="F20" s="30">
        <v>0.36499999999999999</v>
      </c>
      <c r="G20" s="23">
        <f>Submetering!I20+Submetering!J20+Submetering!K20</f>
        <v>269</v>
      </c>
      <c r="H20" s="25">
        <f t="shared" si="0"/>
        <v>1.3617977528089888</v>
      </c>
      <c r="I20" s="24">
        <f>Submetering!L20</f>
        <v>211</v>
      </c>
      <c r="J20" s="24">
        <v>2.2799999999999998</v>
      </c>
      <c r="K20" s="31">
        <v>56</v>
      </c>
      <c r="L20" s="31">
        <v>107</v>
      </c>
    </row>
    <row r="21" spans="1:12" x14ac:dyDescent="0.25">
      <c r="A21" t="s">
        <v>24</v>
      </c>
      <c r="B21">
        <v>20</v>
      </c>
      <c r="C21" s="22">
        <v>2</v>
      </c>
      <c r="D21" s="22">
        <v>2021</v>
      </c>
      <c r="E21" s="23">
        <f>Submetering!E21+Submetering!F21+Submetering!G21+Submetering!H21</f>
        <v>24898</v>
      </c>
      <c r="F21" s="30">
        <v>0.36499999999999999</v>
      </c>
      <c r="G21" s="23">
        <f>Submetering!I21+Submetering!J21+Submetering!K21</f>
        <v>261</v>
      </c>
      <c r="H21" s="25">
        <f t="shared" si="0"/>
        <v>1.3617977528089888</v>
      </c>
      <c r="I21" s="24">
        <f>Submetering!L21</f>
        <v>131</v>
      </c>
      <c r="J21" s="24">
        <v>2.2799999999999998</v>
      </c>
      <c r="K21" s="31">
        <v>57</v>
      </c>
      <c r="L21" s="31">
        <v>118</v>
      </c>
    </row>
    <row r="22" spans="1:12" x14ac:dyDescent="0.25">
      <c r="A22" t="s">
        <v>24</v>
      </c>
      <c r="B22">
        <v>21</v>
      </c>
      <c r="C22" s="22">
        <v>2</v>
      </c>
      <c r="D22" s="22">
        <v>2021</v>
      </c>
      <c r="E22" s="23">
        <f>Submetering!E22+Submetering!F22+Submetering!G22+Submetering!H22</f>
        <v>25979</v>
      </c>
      <c r="F22" s="30">
        <v>0.36499999999999999</v>
      </c>
      <c r="G22" s="23">
        <f>Submetering!I22+Submetering!J22+Submetering!K22</f>
        <v>201</v>
      </c>
      <c r="H22" s="25">
        <f t="shared" si="0"/>
        <v>1.3617977528089888</v>
      </c>
      <c r="I22" s="24">
        <f>Submetering!L22</f>
        <v>161</v>
      </c>
      <c r="J22" s="24">
        <v>2.2799999999999998</v>
      </c>
      <c r="K22" s="31">
        <v>32</v>
      </c>
      <c r="L22" s="31">
        <v>60</v>
      </c>
    </row>
    <row r="23" spans="1:12" x14ac:dyDescent="0.25">
      <c r="A23" t="s">
        <v>24</v>
      </c>
      <c r="B23">
        <v>22</v>
      </c>
      <c r="C23" s="22">
        <v>2</v>
      </c>
      <c r="D23" s="22">
        <v>2021</v>
      </c>
      <c r="E23" s="23">
        <f>Submetering!E23+Submetering!F23+Submetering!G23+Submetering!H23</f>
        <v>25897</v>
      </c>
      <c r="F23" s="30">
        <v>0.36499999999999999</v>
      </c>
      <c r="G23" s="23">
        <f>Submetering!I23+Submetering!J23+Submetering!K23</f>
        <v>198</v>
      </c>
      <c r="H23" s="25">
        <f t="shared" si="0"/>
        <v>1.3617977528089888</v>
      </c>
      <c r="I23" s="24">
        <f>Submetering!L23</f>
        <v>255</v>
      </c>
      <c r="J23" s="24">
        <v>2.2799999999999998</v>
      </c>
      <c r="K23" s="31">
        <v>27</v>
      </c>
      <c r="L23" s="31">
        <v>50</v>
      </c>
    </row>
    <row r="24" spans="1:12" x14ac:dyDescent="0.25">
      <c r="A24" t="s">
        <v>24</v>
      </c>
      <c r="B24">
        <v>23</v>
      </c>
      <c r="C24" s="22">
        <v>2</v>
      </c>
      <c r="D24" s="22">
        <v>2021</v>
      </c>
      <c r="E24" s="23">
        <f>Submetering!E24+Submetering!F24+Submetering!G24+Submetering!H24</f>
        <v>28132</v>
      </c>
      <c r="F24" s="30">
        <v>0.36499999999999999</v>
      </c>
      <c r="G24" s="23">
        <f>Submetering!I24+Submetering!J24+Submetering!K24</f>
        <v>200</v>
      </c>
      <c r="H24" s="25">
        <f t="shared" si="0"/>
        <v>1.3617977528089888</v>
      </c>
      <c r="I24" s="24">
        <f>Submetering!L24</f>
        <v>129</v>
      </c>
      <c r="J24" s="24">
        <v>2.2799999999999998</v>
      </c>
      <c r="K24" s="31">
        <v>31</v>
      </c>
      <c r="L24" s="31">
        <v>55</v>
      </c>
    </row>
    <row r="25" spans="1:12" x14ac:dyDescent="0.25">
      <c r="A25" t="s">
        <v>24</v>
      </c>
      <c r="B25">
        <v>24</v>
      </c>
      <c r="C25" s="22">
        <v>2</v>
      </c>
      <c r="D25" s="22">
        <v>2021</v>
      </c>
      <c r="E25" s="23">
        <f>Submetering!E25+Submetering!F25+Submetering!G25+Submetering!H25</f>
        <v>27161</v>
      </c>
      <c r="F25" s="30">
        <v>0.36499999999999999</v>
      </c>
      <c r="G25" s="23">
        <f>Submetering!I25+Submetering!J25+Submetering!K25</f>
        <v>252</v>
      </c>
      <c r="H25" s="25">
        <f t="shared" si="0"/>
        <v>1.3617977528089888</v>
      </c>
      <c r="I25" s="24">
        <f>Submetering!L25</f>
        <v>198</v>
      </c>
      <c r="J25" s="24">
        <v>2.2799999999999998</v>
      </c>
      <c r="K25" s="31">
        <v>30</v>
      </c>
      <c r="L25" s="31">
        <v>56</v>
      </c>
    </row>
    <row r="26" spans="1:12" x14ac:dyDescent="0.25">
      <c r="A26" t="s">
        <v>24</v>
      </c>
      <c r="B26">
        <v>25</v>
      </c>
      <c r="C26" s="22">
        <v>2</v>
      </c>
      <c r="D26" s="22">
        <v>2021</v>
      </c>
      <c r="E26" s="23">
        <f>Submetering!E26+Submetering!F26+Submetering!G26+Submetering!H26</f>
        <v>26914</v>
      </c>
      <c r="F26" s="30">
        <v>0.36499999999999999</v>
      </c>
      <c r="G26" s="23">
        <f>Submetering!I26+Submetering!J26+Submetering!K26</f>
        <v>205</v>
      </c>
      <c r="H26" s="25">
        <f t="shared" si="0"/>
        <v>1.3617977528089888</v>
      </c>
      <c r="I26" s="24">
        <f>Submetering!L26</f>
        <v>68</v>
      </c>
      <c r="J26" s="24">
        <v>2.2799999999999998</v>
      </c>
      <c r="K26" s="31">
        <v>33</v>
      </c>
      <c r="L26" s="31">
        <v>62</v>
      </c>
    </row>
    <row r="27" spans="1:12" x14ac:dyDescent="0.25">
      <c r="A27" t="s">
        <v>24</v>
      </c>
      <c r="B27">
        <v>26</v>
      </c>
      <c r="C27" s="22">
        <v>2</v>
      </c>
      <c r="D27" s="22">
        <v>2021</v>
      </c>
      <c r="E27" s="23">
        <f>Submetering!E27+Submetering!F27+Submetering!G27+Submetering!H27</f>
        <v>26825</v>
      </c>
      <c r="F27" s="30">
        <v>0.36499999999999999</v>
      </c>
      <c r="G27" s="23">
        <f>Submetering!I27+Submetering!J27+Submetering!K27</f>
        <v>233</v>
      </c>
      <c r="H27" s="25">
        <f t="shared" si="0"/>
        <v>1.3617977528089888</v>
      </c>
      <c r="I27" s="24">
        <f>Submetering!L27</f>
        <v>232</v>
      </c>
      <c r="J27" s="24">
        <v>2.2799999999999998</v>
      </c>
      <c r="K27" s="31">
        <v>44</v>
      </c>
      <c r="L27" s="31">
        <v>87</v>
      </c>
    </row>
    <row r="28" spans="1:12" x14ac:dyDescent="0.25">
      <c r="A28" t="s">
        <v>24</v>
      </c>
      <c r="B28">
        <v>27</v>
      </c>
      <c r="C28" s="22">
        <v>2</v>
      </c>
      <c r="D28" s="22">
        <v>2021</v>
      </c>
      <c r="E28" s="23">
        <f>Submetering!E28+Submetering!F28+Submetering!G28+Submetering!H28</f>
        <v>27545</v>
      </c>
      <c r="F28" s="30">
        <v>0.36499999999999999</v>
      </c>
      <c r="G28" s="23">
        <f>Submetering!I28+Submetering!J28+Submetering!K28</f>
        <v>304</v>
      </c>
      <c r="H28" s="25">
        <f t="shared" si="0"/>
        <v>1.3617977528089888</v>
      </c>
      <c r="I28" s="24">
        <f>Submetering!L28</f>
        <v>100</v>
      </c>
      <c r="J28" s="24">
        <v>2.2799999999999998</v>
      </c>
      <c r="K28" s="31">
        <v>60</v>
      </c>
      <c r="L28" s="31">
        <v>126</v>
      </c>
    </row>
    <row r="29" spans="1:12" x14ac:dyDescent="0.25">
      <c r="A29" t="s">
        <v>24</v>
      </c>
      <c r="B29">
        <v>28</v>
      </c>
      <c r="C29" s="22">
        <v>2</v>
      </c>
      <c r="D29" s="22">
        <v>2021</v>
      </c>
      <c r="E29" s="23">
        <f>Submetering!E29+Submetering!F29+Submetering!G29+Submetering!H29</f>
        <v>33382</v>
      </c>
      <c r="F29" s="30">
        <v>0.36499999999999999</v>
      </c>
      <c r="G29" s="23">
        <f>Submetering!I29+Submetering!J29+Submetering!K29</f>
        <v>226</v>
      </c>
      <c r="H29" s="25">
        <f t="shared" si="0"/>
        <v>1.3617977528089888</v>
      </c>
      <c r="I29" s="24">
        <f>Submetering!L29</f>
        <v>287</v>
      </c>
      <c r="J29" s="24">
        <v>2.2799999999999998</v>
      </c>
      <c r="K29" s="31">
        <v>32</v>
      </c>
      <c r="L29" s="31">
        <v>56</v>
      </c>
    </row>
    <row r="30" spans="1:12" x14ac:dyDescent="0.25">
      <c r="C30" s="22"/>
      <c r="D30" s="22"/>
      <c r="E30" s="23"/>
      <c r="F30" s="30"/>
      <c r="G30" s="23"/>
      <c r="H30" s="25"/>
      <c r="I30" s="24"/>
      <c r="J30" s="24"/>
      <c r="K30" s="31"/>
      <c r="L30" s="31"/>
    </row>
    <row r="31" spans="1:12" x14ac:dyDescent="0.25">
      <c r="C31" s="22"/>
      <c r="D31" s="22"/>
      <c r="E31" s="23"/>
      <c r="F31" s="30"/>
      <c r="G31" s="23"/>
      <c r="H31" s="25"/>
      <c r="I31" s="24"/>
      <c r="J31" s="24"/>
      <c r="K31" s="31"/>
      <c r="L31" s="31"/>
    </row>
    <row r="32" spans="1:12" x14ac:dyDescent="0.25">
      <c r="C32" s="22"/>
      <c r="D32" s="22"/>
      <c r="E32" s="23"/>
      <c r="F32" s="30"/>
      <c r="G32" s="23"/>
      <c r="H32" s="25"/>
      <c r="I32" s="24"/>
      <c r="J32" s="24"/>
      <c r="K32" s="31"/>
      <c r="L32" s="31"/>
    </row>
    <row r="33" spans="3:11" x14ac:dyDescent="0.25">
      <c r="C33" s="22"/>
      <c r="D33" s="22"/>
      <c r="E33" s="23"/>
      <c r="F33" s="25"/>
      <c r="G33" s="23"/>
      <c r="H33" s="25"/>
      <c r="I33" s="23"/>
      <c r="J33" s="23"/>
      <c r="K33" s="24"/>
    </row>
    <row r="34" spans="3:11" x14ac:dyDescent="0.25">
      <c r="C34" s="22"/>
      <c r="D34" s="22"/>
      <c r="E34" s="23"/>
      <c r="F34" s="23"/>
      <c r="G34" s="23"/>
      <c r="H34" s="30"/>
      <c r="I34" s="23"/>
      <c r="J34" s="23"/>
      <c r="K34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B2" sqref="B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19" t="s">
        <v>13</v>
      </c>
      <c r="B1" s="19" t="s">
        <v>33</v>
      </c>
      <c r="C1" s="19" t="s">
        <v>14</v>
      </c>
      <c r="D1" s="19" t="s">
        <v>15</v>
      </c>
      <c r="E1" s="20" t="s">
        <v>16</v>
      </c>
      <c r="F1" s="20" t="s">
        <v>17</v>
      </c>
      <c r="G1" s="20" t="s">
        <v>18</v>
      </c>
      <c r="H1" s="21" t="s">
        <v>19</v>
      </c>
      <c r="I1" s="20" t="s">
        <v>20</v>
      </c>
      <c r="J1" s="20" t="s">
        <v>21</v>
      </c>
      <c r="K1" s="20" t="s">
        <v>22</v>
      </c>
      <c r="L1" s="20" t="s">
        <v>23</v>
      </c>
      <c r="M1" s="28" t="s">
        <v>31</v>
      </c>
    </row>
    <row r="2" spans="1:13" ht="13.5" customHeight="1" x14ac:dyDescent="0.25">
      <c r="A2" t="s">
        <v>24</v>
      </c>
      <c r="B2">
        <v>1</v>
      </c>
      <c r="C2" s="22">
        <v>2</v>
      </c>
      <c r="D2" s="22">
        <v>2021</v>
      </c>
      <c r="E2" s="23">
        <f>'Daily Meter Reading'!C3</f>
        <v>8596</v>
      </c>
      <c r="F2" s="24">
        <f>'Daily Meter Reading'!E3</f>
        <v>3923</v>
      </c>
      <c r="G2" s="23">
        <f>'Daily Meter Reading'!G3</f>
        <v>1921</v>
      </c>
      <c r="H2" s="25">
        <f>'Daily Meter Reading'!I3</f>
        <v>5489</v>
      </c>
      <c r="I2" s="24">
        <f>'Daily Meter Reading'!K3</f>
        <v>18</v>
      </c>
      <c r="J2" s="24">
        <f>'Daily Meter Reading'!M3</f>
        <v>0</v>
      </c>
      <c r="K2" s="24">
        <f>'Daily Meter Reading'!O3</f>
        <v>0</v>
      </c>
      <c r="L2" s="24">
        <f>'Daily Meter Reading'!Q3</f>
        <v>6</v>
      </c>
      <c r="M2" s="31">
        <v>29</v>
      </c>
    </row>
    <row r="3" spans="1:13" ht="13.5" customHeight="1" x14ac:dyDescent="0.25">
      <c r="A3" t="s">
        <v>24</v>
      </c>
      <c r="B3">
        <v>2</v>
      </c>
      <c r="C3" s="22">
        <v>2</v>
      </c>
      <c r="D3" s="22">
        <v>2021</v>
      </c>
      <c r="E3" s="23">
        <f>'Daily Meter Reading'!C4</f>
        <v>8837</v>
      </c>
      <c r="F3" s="24">
        <f>'Daily Meter Reading'!E4</f>
        <v>4096</v>
      </c>
      <c r="G3" s="23">
        <f>'Daily Meter Reading'!G4</f>
        <v>1917</v>
      </c>
      <c r="H3" s="25">
        <f>'Daily Meter Reading'!I4</f>
        <v>5778</v>
      </c>
      <c r="I3" s="24">
        <f>'Daily Meter Reading'!K4</f>
        <v>7</v>
      </c>
      <c r="J3" s="24">
        <f>'Daily Meter Reading'!M4</f>
        <v>0</v>
      </c>
      <c r="K3" s="24">
        <f>'Daily Meter Reading'!O4</f>
        <v>0</v>
      </c>
      <c r="L3" s="24">
        <f>'Daily Meter Reading'!Q4</f>
        <v>156</v>
      </c>
      <c r="M3" s="31">
        <v>28</v>
      </c>
    </row>
    <row r="4" spans="1:13" ht="13.5" customHeight="1" x14ac:dyDescent="0.25">
      <c r="A4" t="s">
        <v>24</v>
      </c>
      <c r="B4">
        <v>3</v>
      </c>
      <c r="C4" s="22">
        <v>2</v>
      </c>
      <c r="D4" s="22">
        <v>2021</v>
      </c>
      <c r="E4" s="23">
        <f>'Daily Meter Reading'!C5</f>
        <v>8810</v>
      </c>
      <c r="F4" s="24">
        <f>'Daily Meter Reading'!E5</f>
        <v>4159</v>
      </c>
      <c r="G4" s="23">
        <f>'Daily Meter Reading'!G5</f>
        <v>1934</v>
      </c>
      <c r="H4" s="25">
        <f>'Daily Meter Reading'!I5</f>
        <v>5769</v>
      </c>
      <c r="I4" s="24">
        <f>'Daily Meter Reading'!K5</f>
        <v>5</v>
      </c>
      <c r="J4" s="24">
        <f>'Daily Meter Reading'!M5</f>
        <v>0</v>
      </c>
      <c r="K4" s="24">
        <f>'Daily Meter Reading'!O5</f>
        <v>0</v>
      </c>
      <c r="L4" s="24">
        <f>'Daily Meter Reading'!Q5</f>
        <v>123</v>
      </c>
      <c r="M4" s="31">
        <v>28</v>
      </c>
    </row>
    <row r="5" spans="1:13" ht="12.75" customHeight="1" x14ac:dyDescent="0.25">
      <c r="A5" t="s">
        <v>24</v>
      </c>
      <c r="B5">
        <v>4</v>
      </c>
      <c r="C5" s="22">
        <v>2</v>
      </c>
      <c r="D5" s="22">
        <v>2021</v>
      </c>
      <c r="E5" s="23">
        <f>'Daily Meter Reading'!C6</f>
        <v>8793</v>
      </c>
      <c r="F5" s="24">
        <f>'Daily Meter Reading'!E6</f>
        <v>4522</v>
      </c>
      <c r="G5" s="23">
        <f>'Daily Meter Reading'!G6</f>
        <v>1893</v>
      </c>
      <c r="H5" s="25">
        <f>'Daily Meter Reading'!I6</f>
        <v>5286</v>
      </c>
      <c r="I5" s="24">
        <f>'Daily Meter Reading'!K6</f>
        <v>19</v>
      </c>
      <c r="J5" s="24">
        <f>'Daily Meter Reading'!M6</f>
        <v>0</v>
      </c>
      <c r="K5" s="24">
        <f>'Daily Meter Reading'!O6</f>
        <v>0</v>
      </c>
      <c r="L5" s="24">
        <f>'Daily Meter Reading'!Q6</f>
        <v>203</v>
      </c>
      <c r="M5" s="31">
        <v>29</v>
      </c>
    </row>
    <row r="6" spans="1:13" x14ac:dyDescent="0.25">
      <c r="A6" t="s">
        <v>24</v>
      </c>
      <c r="B6">
        <v>5</v>
      </c>
      <c r="C6" s="22">
        <v>2</v>
      </c>
      <c r="D6" s="22">
        <v>2021</v>
      </c>
      <c r="E6" s="23">
        <f>'Daily Meter Reading'!C7</f>
        <v>8754</v>
      </c>
      <c r="F6" s="24">
        <f>'Daily Meter Reading'!E7</f>
        <v>4670</v>
      </c>
      <c r="G6" s="23">
        <f>'Daily Meter Reading'!G7</f>
        <v>1892</v>
      </c>
      <c r="H6" s="25">
        <f>'Daily Meter Reading'!I7</f>
        <v>5450</v>
      </c>
      <c r="I6" s="24">
        <f>'Daily Meter Reading'!K7</f>
        <v>6</v>
      </c>
      <c r="J6" s="24">
        <f>'Daily Meter Reading'!M7</f>
        <v>0</v>
      </c>
      <c r="K6" s="24">
        <f>'Daily Meter Reading'!O7</f>
        <v>1</v>
      </c>
      <c r="L6" s="24">
        <f>'Daily Meter Reading'!Q7</f>
        <v>53</v>
      </c>
      <c r="M6" s="31">
        <v>30</v>
      </c>
    </row>
    <row r="7" spans="1:13" x14ac:dyDescent="0.25">
      <c r="A7" t="s">
        <v>24</v>
      </c>
      <c r="B7">
        <v>6</v>
      </c>
      <c r="C7" s="22">
        <v>2</v>
      </c>
      <c r="D7" s="22">
        <v>2021</v>
      </c>
      <c r="E7" s="23">
        <f>'Daily Meter Reading'!C8</f>
        <v>9171</v>
      </c>
      <c r="F7" s="24">
        <f>'Daily Meter Reading'!E8</f>
        <v>4418</v>
      </c>
      <c r="G7" s="23">
        <f>'Daily Meter Reading'!G8</f>
        <v>1946</v>
      </c>
      <c r="H7" s="25">
        <f>'Daily Meter Reading'!I8</f>
        <v>6093</v>
      </c>
      <c r="I7" s="24">
        <f>'Daily Meter Reading'!K8</f>
        <v>9</v>
      </c>
      <c r="J7" s="24">
        <f>'Daily Meter Reading'!M8</f>
        <v>0</v>
      </c>
      <c r="K7" s="24">
        <f>'Daily Meter Reading'!O8</f>
        <v>0</v>
      </c>
      <c r="L7" s="24">
        <f>'Daily Meter Reading'!Q8</f>
        <v>139</v>
      </c>
      <c r="M7" s="31">
        <v>33</v>
      </c>
    </row>
    <row r="8" spans="1:13" x14ac:dyDescent="0.25">
      <c r="A8" t="s">
        <v>24</v>
      </c>
      <c r="B8">
        <v>7</v>
      </c>
      <c r="C8" s="22">
        <v>2</v>
      </c>
      <c r="D8" s="22">
        <v>2021</v>
      </c>
      <c r="E8" s="23">
        <f>'Daily Meter Reading'!C9</f>
        <v>9195</v>
      </c>
      <c r="F8" s="24">
        <f>'Daily Meter Reading'!E9</f>
        <v>4344</v>
      </c>
      <c r="G8" s="23">
        <f>'Daily Meter Reading'!G9</f>
        <v>1399</v>
      </c>
      <c r="H8" s="25">
        <f>'Daily Meter Reading'!I9</f>
        <v>6365</v>
      </c>
      <c r="I8" s="24">
        <f>'Daily Meter Reading'!K9</f>
        <v>30</v>
      </c>
      <c r="J8" s="24">
        <f>'Daily Meter Reading'!M9</f>
        <v>0</v>
      </c>
      <c r="K8" s="24">
        <f>'Daily Meter Reading'!O9</f>
        <v>1</v>
      </c>
      <c r="L8" s="24">
        <f>'Daily Meter Reading'!Q9</f>
        <v>164</v>
      </c>
      <c r="M8" s="31">
        <v>27</v>
      </c>
    </row>
    <row r="9" spans="1:13" x14ac:dyDescent="0.25">
      <c r="A9" t="s">
        <v>24</v>
      </c>
      <c r="B9">
        <v>8</v>
      </c>
      <c r="C9" s="22">
        <v>2</v>
      </c>
      <c r="D9" s="22">
        <v>2021</v>
      </c>
      <c r="E9" s="23">
        <f>'Daily Meter Reading'!C10</f>
        <v>9489</v>
      </c>
      <c r="F9" s="24">
        <f>'Daily Meter Reading'!E10</f>
        <v>4572</v>
      </c>
      <c r="G9" s="23">
        <f>'Daily Meter Reading'!G10</f>
        <v>0</v>
      </c>
      <c r="H9" s="25">
        <f>'Daily Meter Reading'!I10</f>
        <v>7814</v>
      </c>
      <c r="I9" s="24">
        <f>'Daily Meter Reading'!K10</f>
        <v>20</v>
      </c>
      <c r="J9" s="24">
        <f>'Daily Meter Reading'!M10</f>
        <v>0</v>
      </c>
      <c r="K9" s="24">
        <f>'Daily Meter Reading'!O10</f>
        <v>0</v>
      </c>
      <c r="L9" s="24">
        <f>'Daily Meter Reading'!Q10</f>
        <v>61</v>
      </c>
      <c r="M9" s="31">
        <v>30</v>
      </c>
    </row>
    <row r="10" spans="1:13" x14ac:dyDescent="0.25">
      <c r="A10" t="s">
        <v>24</v>
      </c>
      <c r="B10">
        <v>9</v>
      </c>
      <c r="C10" s="22">
        <v>2</v>
      </c>
      <c r="D10" s="22">
        <v>2021</v>
      </c>
      <c r="E10" s="23">
        <f>'Daily Meter Reading'!C11</f>
        <v>9766</v>
      </c>
      <c r="F10" s="24">
        <f>'Daily Meter Reading'!E11</f>
        <v>4891</v>
      </c>
      <c r="G10" s="23">
        <f>'Daily Meter Reading'!G11</f>
        <v>0</v>
      </c>
      <c r="H10" s="25">
        <f>'Daily Meter Reading'!I11</f>
        <v>8251</v>
      </c>
      <c r="I10" s="24">
        <f>'Daily Meter Reading'!K11</f>
        <v>38</v>
      </c>
      <c r="J10" s="24">
        <f>'Daily Meter Reading'!M11</f>
        <v>0</v>
      </c>
      <c r="K10" s="24">
        <f>'Daily Meter Reading'!O11</f>
        <v>6</v>
      </c>
      <c r="L10" s="24">
        <f>'Daily Meter Reading'!Q11</f>
        <v>169</v>
      </c>
      <c r="M10" s="31">
        <v>31</v>
      </c>
    </row>
    <row r="11" spans="1:13" x14ac:dyDescent="0.25">
      <c r="A11" t="s">
        <v>24</v>
      </c>
      <c r="B11">
        <v>10</v>
      </c>
      <c r="C11" s="22">
        <v>2</v>
      </c>
      <c r="D11" s="22">
        <v>2021</v>
      </c>
      <c r="E11" s="23">
        <f>'Daily Meter Reading'!C12</f>
        <v>10216</v>
      </c>
      <c r="F11" s="24">
        <f>'Daily Meter Reading'!E12</f>
        <v>5416</v>
      </c>
      <c r="G11" s="23">
        <f>'Daily Meter Reading'!G12</f>
        <v>0</v>
      </c>
      <c r="H11" s="25">
        <f>'Daily Meter Reading'!I12</f>
        <v>8807</v>
      </c>
      <c r="I11" s="24">
        <f>'Daily Meter Reading'!K12</f>
        <v>98</v>
      </c>
      <c r="J11" s="24">
        <f>'Daily Meter Reading'!M12</f>
        <v>0</v>
      </c>
      <c r="K11" s="24">
        <f>'Daily Meter Reading'!O12</f>
        <v>0</v>
      </c>
      <c r="L11" s="24">
        <f>'Daily Meter Reading'!Q12</f>
        <v>66</v>
      </c>
      <c r="M11" s="31">
        <v>31</v>
      </c>
    </row>
    <row r="12" spans="1:13" x14ac:dyDescent="0.25">
      <c r="A12" t="s">
        <v>24</v>
      </c>
      <c r="B12">
        <v>11</v>
      </c>
      <c r="C12" s="22">
        <v>2</v>
      </c>
      <c r="D12" s="22">
        <v>2021</v>
      </c>
      <c r="E12" s="23">
        <f>'Daily Meter Reading'!C13</f>
        <v>10654</v>
      </c>
      <c r="F12" s="24">
        <f>'Daily Meter Reading'!E13</f>
        <v>5848</v>
      </c>
      <c r="G12" s="23">
        <f>'Daily Meter Reading'!G13</f>
        <v>0</v>
      </c>
      <c r="H12" s="25">
        <f>'Daily Meter Reading'!I13</f>
        <v>8583</v>
      </c>
      <c r="I12" s="24">
        <f>'Daily Meter Reading'!K13</f>
        <v>122</v>
      </c>
      <c r="J12" s="24">
        <f>'Daily Meter Reading'!M13</f>
        <v>0</v>
      </c>
      <c r="K12" s="24">
        <f>'Daily Meter Reading'!O13</f>
        <v>7</v>
      </c>
      <c r="L12" s="24">
        <f>'Daily Meter Reading'!Q13</f>
        <v>215</v>
      </c>
      <c r="M12" s="31">
        <v>38</v>
      </c>
    </row>
    <row r="13" spans="1:13" x14ac:dyDescent="0.25">
      <c r="A13" t="s">
        <v>24</v>
      </c>
      <c r="B13">
        <v>12</v>
      </c>
      <c r="C13" s="22">
        <v>2</v>
      </c>
      <c r="D13" s="22">
        <v>2021</v>
      </c>
      <c r="E13" s="23">
        <f>'Daily Meter Reading'!C14</f>
        <v>10359</v>
      </c>
      <c r="F13" s="24">
        <f>'Daily Meter Reading'!E14</f>
        <v>6133</v>
      </c>
      <c r="G13" s="23">
        <f>'Daily Meter Reading'!G14</f>
        <v>464</v>
      </c>
      <c r="H13" s="25">
        <f>'Daily Meter Reading'!I14</f>
        <v>8741</v>
      </c>
      <c r="I13" s="24">
        <f>'Daily Meter Reading'!K14</f>
        <v>126</v>
      </c>
      <c r="J13" s="24">
        <f>'Daily Meter Reading'!M14</f>
        <v>0</v>
      </c>
      <c r="K13" s="24">
        <f>'Daily Meter Reading'!O14</f>
        <v>2</v>
      </c>
      <c r="L13" s="24">
        <f>'Daily Meter Reading'!Q14</f>
        <v>169</v>
      </c>
      <c r="M13" s="31">
        <v>48</v>
      </c>
    </row>
    <row r="14" spans="1:13" x14ac:dyDescent="0.25">
      <c r="A14" t="s">
        <v>24</v>
      </c>
      <c r="B14">
        <v>13</v>
      </c>
      <c r="C14" s="22">
        <v>2</v>
      </c>
      <c r="D14" s="22">
        <v>2021</v>
      </c>
      <c r="E14" s="23">
        <f>'Daily Meter Reading'!C15</f>
        <v>10728</v>
      </c>
      <c r="F14" s="24">
        <f>'Daily Meter Reading'!E15</f>
        <v>5627</v>
      </c>
      <c r="G14" s="23">
        <f>'Daily Meter Reading'!G15</f>
        <v>697</v>
      </c>
      <c r="H14" s="25">
        <f>'Daily Meter Reading'!I15</f>
        <v>8864</v>
      </c>
      <c r="I14" s="24">
        <f>'Daily Meter Reading'!K15</f>
        <v>102</v>
      </c>
      <c r="J14" s="24">
        <f>'Daily Meter Reading'!M15</f>
        <v>0</v>
      </c>
      <c r="K14" s="24">
        <f>'Daily Meter Reading'!O15</f>
        <v>10</v>
      </c>
      <c r="L14" s="24">
        <f>'Daily Meter Reading'!Q15</f>
        <v>213</v>
      </c>
      <c r="M14" s="31">
        <v>57</v>
      </c>
    </row>
    <row r="15" spans="1:13" x14ac:dyDescent="0.25">
      <c r="A15" t="s">
        <v>24</v>
      </c>
      <c r="B15">
        <v>14</v>
      </c>
      <c r="C15" s="22">
        <v>2</v>
      </c>
      <c r="D15" s="22">
        <v>2021</v>
      </c>
      <c r="E15" s="23">
        <f>'Daily Meter Reading'!C16</f>
        <v>10759</v>
      </c>
      <c r="F15" s="24">
        <f>'Daily Meter Reading'!E16</f>
        <v>5642</v>
      </c>
      <c r="G15" s="23">
        <f>'Daily Meter Reading'!G16</f>
        <v>931</v>
      </c>
      <c r="H15" s="25">
        <f>'Daily Meter Reading'!I16</f>
        <v>8860</v>
      </c>
      <c r="I15" s="24">
        <f>'Daily Meter Reading'!K16</f>
        <v>107</v>
      </c>
      <c r="J15" s="24">
        <f>'Daily Meter Reading'!M16</f>
        <v>0</v>
      </c>
      <c r="K15" s="24">
        <f>'Daily Meter Reading'!O16</f>
        <v>6</v>
      </c>
      <c r="L15" s="24">
        <f>'Daily Meter Reading'!Q16</f>
        <v>72</v>
      </c>
      <c r="M15" s="31">
        <v>49</v>
      </c>
    </row>
    <row r="16" spans="1:13" x14ac:dyDescent="0.25">
      <c r="A16" t="s">
        <v>24</v>
      </c>
      <c r="B16">
        <v>15</v>
      </c>
      <c r="C16" s="22">
        <v>2</v>
      </c>
      <c r="D16" s="22">
        <v>2021</v>
      </c>
      <c r="E16" s="23">
        <f>'Daily Meter Reading'!C17</f>
        <v>10754</v>
      </c>
      <c r="F16" s="24">
        <f>'Daily Meter Reading'!E17</f>
        <v>5732</v>
      </c>
      <c r="G16" s="23">
        <f>'Daily Meter Reading'!G17</f>
        <v>680</v>
      </c>
      <c r="H16" s="25">
        <f>'Daily Meter Reading'!I17</f>
        <v>8780</v>
      </c>
      <c r="I16" s="24">
        <f>'Daily Meter Reading'!K17</f>
        <v>98</v>
      </c>
      <c r="J16" s="24">
        <f>'Daily Meter Reading'!M17</f>
        <v>0</v>
      </c>
      <c r="K16" s="24">
        <f>'Daily Meter Reading'!O17</f>
        <v>0</v>
      </c>
      <c r="L16" s="24">
        <f>'Daily Meter Reading'!Q17</f>
        <v>212</v>
      </c>
      <c r="M16" s="31">
        <v>32</v>
      </c>
    </row>
    <row r="17" spans="1:13" x14ac:dyDescent="0.25">
      <c r="A17" t="s">
        <v>24</v>
      </c>
      <c r="B17">
        <v>16</v>
      </c>
      <c r="C17" s="22">
        <v>2</v>
      </c>
      <c r="D17" s="22">
        <v>2021</v>
      </c>
      <c r="E17" s="23">
        <f>'Daily Meter Reading'!C18</f>
        <v>10261</v>
      </c>
      <c r="F17" s="24">
        <f>'Daily Meter Reading'!E18</f>
        <v>5820</v>
      </c>
      <c r="G17" s="23">
        <f>'Daily Meter Reading'!G18</f>
        <v>1477</v>
      </c>
      <c r="H17" s="25">
        <f>'Daily Meter Reading'!I18</f>
        <v>8591</v>
      </c>
      <c r="I17" s="24">
        <f>'Daily Meter Reading'!K18</f>
        <v>90</v>
      </c>
      <c r="J17" s="24">
        <f>'Daily Meter Reading'!M18</f>
        <v>0</v>
      </c>
      <c r="K17" s="24">
        <f>'Daily Meter Reading'!O18</f>
        <v>50</v>
      </c>
      <c r="L17" s="24">
        <f>'Daily Meter Reading'!Q18</f>
        <v>122</v>
      </c>
      <c r="M17" s="31">
        <v>33</v>
      </c>
    </row>
    <row r="18" spans="1:13" x14ac:dyDescent="0.25">
      <c r="A18" t="s">
        <v>24</v>
      </c>
      <c r="B18">
        <v>17</v>
      </c>
      <c r="C18" s="22">
        <v>2</v>
      </c>
      <c r="D18" s="22">
        <v>2021</v>
      </c>
      <c r="E18" s="23">
        <f>'Daily Meter Reading'!C19</f>
        <v>10276</v>
      </c>
      <c r="F18" s="24">
        <f>'Daily Meter Reading'!E19</f>
        <v>6165</v>
      </c>
      <c r="G18" s="23">
        <f>'Daily Meter Reading'!G19</f>
        <v>1244</v>
      </c>
      <c r="H18" s="25">
        <f>'Daily Meter Reading'!I19</f>
        <v>8496</v>
      </c>
      <c r="I18" s="24">
        <f>'Daily Meter Reading'!K19</f>
        <v>62</v>
      </c>
      <c r="J18" s="24">
        <f>'Daily Meter Reading'!M19</f>
        <v>0</v>
      </c>
      <c r="K18" s="24">
        <f>'Daily Meter Reading'!O19</f>
        <v>154</v>
      </c>
      <c r="L18" s="24">
        <f>'Daily Meter Reading'!Q19</f>
        <v>168</v>
      </c>
      <c r="M18" s="31">
        <v>28</v>
      </c>
    </row>
    <row r="19" spans="1:13" x14ac:dyDescent="0.25">
      <c r="A19" t="s">
        <v>24</v>
      </c>
      <c r="B19">
        <v>18</v>
      </c>
      <c r="C19" s="22">
        <v>2</v>
      </c>
      <c r="D19" s="22">
        <v>2021</v>
      </c>
      <c r="E19" s="23">
        <f>'Daily Meter Reading'!C20</f>
        <v>10447</v>
      </c>
      <c r="F19" s="24">
        <f>'Daily Meter Reading'!E20</f>
        <v>6501</v>
      </c>
      <c r="G19" s="23">
        <f>'Daily Meter Reading'!G20</f>
        <v>186</v>
      </c>
      <c r="H19" s="25">
        <f>'Daily Meter Reading'!I20</f>
        <v>8190</v>
      </c>
      <c r="I19" s="24">
        <f>'Daily Meter Reading'!K20</f>
        <v>54</v>
      </c>
      <c r="J19" s="24">
        <f>'Daily Meter Reading'!M20</f>
        <v>0</v>
      </c>
      <c r="K19" s="24">
        <f>'Daily Meter Reading'!O20</f>
        <v>133</v>
      </c>
      <c r="L19" s="24">
        <f>'Daily Meter Reading'!Q20</f>
        <v>165</v>
      </c>
      <c r="M19" s="31">
        <v>37</v>
      </c>
    </row>
    <row r="20" spans="1:13" x14ac:dyDescent="0.25">
      <c r="A20" t="s">
        <v>24</v>
      </c>
      <c r="B20">
        <v>19</v>
      </c>
      <c r="C20" s="22">
        <v>2</v>
      </c>
      <c r="D20" s="22">
        <v>2021</v>
      </c>
      <c r="E20" s="23">
        <f>'Daily Meter Reading'!C21</f>
        <v>10394</v>
      </c>
      <c r="F20" s="24">
        <f>'Daily Meter Reading'!E21</f>
        <v>6413</v>
      </c>
      <c r="G20" s="23">
        <f>'Daily Meter Reading'!G21</f>
        <v>103</v>
      </c>
      <c r="H20" s="25">
        <f>'Daily Meter Reading'!I21</f>
        <v>8137</v>
      </c>
      <c r="I20" s="24">
        <f>'Daily Meter Reading'!K21</f>
        <v>114</v>
      </c>
      <c r="J20" s="24">
        <f>'Daily Meter Reading'!M21</f>
        <v>0</v>
      </c>
      <c r="K20" s="24">
        <f>'Daily Meter Reading'!O21</f>
        <v>155</v>
      </c>
      <c r="L20" s="24">
        <f>'Daily Meter Reading'!Q21</f>
        <v>211</v>
      </c>
      <c r="M20" s="31">
        <v>56</v>
      </c>
    </row>
    <row r="21" spans="1:13" x14ac:dyDescent="0.25">
      <c r="A21" t="s">
        <v>24</v>
      </c>
      <c r="B21">
        <v>20</v>
      </c>
      <c r="C21" s="22">
        <v>2</v>
      </c>
      <c r="D21" s="22">
        <v>2021</v>
      </c>
      <c r="E21" s="23">
        <f>'Daily Meter Reading'!C22</f>
        <v>10303</v>
      </c>
      <c r="F21" s="24">
        <f>'Daily Meter Reading'!E22</f>
        <v>6207</v>
      </c>
      <c r="G21" s="23">
        <f>'Daily Meter Reading'!G22</f>
        <v>102</v>
      </c>
      <c r="H21" s="25">
        <f>'Daily Meter Reading'!I22</f>
        <v>8286</v>
      </c>
      <c r="I21" s="24">
        <f>'Daily Meter Reading'!K22</f>
        <v>130</v>
      </c>
      <c r="J21" s="24">
        <f>'Daily Meter Reading'!M22</f>
        <v>0</v>
      </c>
      <c r="K21" s="24">
        <f>'Daily Meter Reading'!O22</f>
        <v>131</v>
      </c>
      <c r="L21" s="24">
        <f>'Daily Meter Reading'!Q22</f>
        <v>131</v>
      </c>
      <c r="M21" s="31">
        <v>57</v>
      </c>
    </row>
    <row r="22" spans="1:13" x14ac:dyDescent="0.25">
      <c r="A22" t="s">
        <v>24</v>
      </c>
      <c r="B22">
        <v>21</v>
      </c>
      <c r="C22" s="22">
        <v>2</v>
      </c>
      <c r="D22" s="22">
        <v>2021</v>
      </c>
      <c r="E22" s="23">
        <f>'Daily Meter Reading'!C23</f>
        <v>10567</v>
      </c>
      <c r="F22" s="24">
        <f>'Daily Meter Reading'!E23</f>
        <v>6474</v>
      </c>
      <c r="G22" s="23">
        <f>'Daily Meter Reading'!G23</f>
        <v>985</v>
      </c>
      <c r="H22" s="25">
        <f>'Daily Meter Reading'!I23</f>
        <v>7953</v>
      </c>
      <c r="I22" s="24">
        <f>'Daily Meter Reading'!K23</f>
        <v>102</v>
      </c>
      <c r="J22" s="24">
        <f>'Daily Meter Reading'!M23</f>
        <v>0</v>
      </c>
      <c r="K22" s="24">
        <f>'Daily Meter Reading'!O23</f>
        <v>99</v>
      </c>
      <c r="L22" s="24">
        <f>'Daily Meter Reading'!Q23</f>
        <v>161</v>
      </c>
      <c r="M22" s="31">
        <v>32</v>
      </c>
    </row>
    <row r="23" spans="1:13" x14ac:dyDescent="0.25">
      <c r="A23" t="s">
        <v>24</v>
      </c>
      <c r="B23">
        <v>22</v>
      </c>
      <c r="C23" s="22">
        <v>2</v>
      </c>
      <c r="D23" s="22">
        <v>2021</v>
      </c>
      <c r="E23" s="23">
        <f>'Daily Meter Reading'!C24</f>
        <v>9934</v>
      </c>
      <c r="F23" s="24">
        <f>'Daily Meter Reading'!E24</f>
        <v>6121</v>
      </c>
      <c r="G23" s="23">
        <f>'Daily Meter Reading'!G24</f>
        <v>2744</v>
      </c>
      <c r="H23" s="25">
        <f>'Daily Meter Reading'!I24</f>
        <v>7098</v>
      </c>
      <c r="I23" s="24">
        <f>'Daily Meter Reading'!K24</f>
        <v>75</v>
      </c>
      <c r="J23" s="24">
        <f>'Daily Meter Reading'!M24</f>
        <v>0</v>
      </c>
      <c r="K23" s="24">
        <f>'Daily Meter Reading'!O24</f>
        <v>123</v>
      </c>
      <c r="L23" s="24">
        <f>'Daily Meter Reading'!Q24</f>
        <v>255</v>
      </c>
      <c r="M23" s="31">
        <v>27</v>
      </c>
    </row>
    <row r="24" spans="1:13" x14ac:dyDescent="0.25">
      <c r="A24" t="s">
        <v>24</v>
      </c>
      <c r="B24">
        <v>23</v>
      </c>
      <c r="C24" s="22">
        <v>2</v>
      </c>
      <c r="D24" s="22">
        <v>2021</v>
      </c>
      <c r="E24" s="23">
        <f>'Daily Meter Reading'!C25</f>
        <v>10435</v>
      </c>
      <c r="F24" s="24">
        <f>'Daily Meter Reading'!E25</f>
        <v>6625</v>
      </c>
      <c r="G24" s="23">
        <f>'Daily Meter Reading'!G25</f>
        <v>3241</v>
      </c>
      <c r="H24" s="25">
        <f>'Daily Meter Reading'!I25</f>
        <v>7831</v>
      </c>
      <c r="I24" s="24">
        <f>'Daily Meter Reading'!K25</f>
        <v>84</v>
      </c>
      <c r="J24" s="24">
        <f>'Daily Meter Reading'!M25</f>
        <v>0</v>
      </c>
      <c r="K24" s="24">
        <f>'Daily Meter Reading'!O25</f>
        <v>116</v>
      </c>
      <c r="L24" s="24">
        <f>'Daily Meter Reading'!Q25</f>
        <v>129</v>
      </c>
      <c r="M24" s="31">
        <v>31</v>
      </c>
    </row>
    <row r="25" spans="1:13" x14ac:dyDescent="0.25">
      <c r="A25" t="s">
        <v>24</v>
      </c>
      <c r="B25">
        <v>24</v>
      </c>
      <c r="C25" s="22">
        <v>2</v>
      </c>
      <c r="D25" s="22">
        <v>2021</v>
      </c>
      <c r="E25" s="23">
        <f>'Daily Meter Reading'!C26</f>
        <v>10105</v>
      </c>
      <c r="F25" s="24">
        <f>'Daily Meter Reading'!E26</f>
        <v>6475</v>
      </c>
      <c r="G25" s="23">
        <f>'Daily Meter Reading'!G26</f>
        <v>3193</v>
      </c>
      <c r="H25" s="25">
        <f>'Daily Meter Reading'!I26</f>
        <v>7388</v>
      </c>
      <c r="I25" s="24">
        <f>'Daily Meter Reading'!K26</f>
        <v>103</v>
      </c>
      <c r="J25" s="24">
        <f>'Daily Meter Reading'!M26</f>
        <v>0</v>
      </c>
      <c r="K25" s="24">
        <f>'Daily Meter Reading'!O26</f>
        <v>149</v>
      </c>
      <c r="L25" s="24">
        <f>'Daily Meter Reading'!Q26</f>
        <v>198</v>
      </c>
      <c r="M25" s="31">
        <v>30</v>
      </c>
    </row>
    <row r="26" spans="1:13" x14ac:dyDescent="0.25">
      <c r="A26" t="s">
        <v>24</v>
      </c>
      <c r="B26">
        <v>25</v>
      </c>
      <c r="C26" s="22">
        <v>2</v>
      </c>
      <c r="D26" s="22">
        <v>2021</v>
      </c>
      <c r="E26" s="23">
        <f>'Daily Meter Reading'!C27</f>
        <v>10304</v>
      </c>
      <c r="F26" s="24">
        <f>'Daily Meter Reading'!E27</f>
        <v>6470</v>
      </c>
      <c r="G26" s="23">
        <f>'Daily Meter Reading'!G27</f>
        <v>2920</v>
      </c>
      <c r="H26" s="25">
        <f>'Daily Meter Reading'!I27</f>
        <v>7220</v>
      </c>
      <c r="I26" s="24">
        <f>'Daily Meter Reading'!K27</f>
        <v>85</v>
      </c>
      <c r="J26" s="24">
        <f>'Daily Meter Reading'!M27</f>
        <v>0</v>
      </c>
      <c r="K26" s="24">
        <f>'Daily Meter Reading'!O27</f>
        <v>120</v>
      </c>
      <c r="L26" s="24">
        <f>'Daily Meter Reading'!Q27</f>
        <v>68</v>
      </c>
      <c r="M26" s="31">
        <v>33</v>
      </c>
    </row>
    <row r="27" spans="1:13" x14ac:dyDescent="0.25">
      <c r="A27" t="s">
        <v>24</v>
      </c>
      <c r="B27">
        <v>26</v>
      </c>
      <c r="C27" s="22">
        <v>2</v>
      </c>
      <c r="D27" s="22">
        <v>2021</v>
      </c>
      <c r="E27" s="23">
        <f>'Daily Meter Reading'!C28</f>
        <v>10429</v>
      </c>
      <c r="F27" s="24">
        <f>'Daily Meter Reading'!E28</f>
        <v>6471</v>
      </c>
      <c r="G27" s="23">
        <f>'Daily Meter Reading'!G28</f>
        <v>2618</v>
      </c>
      <c r="H27" s="25">
        <f>'Daily Meter Reading'!I28</f>
        <v>7307</v>
      </c>
      <c r="I27" s="24">
        <f>'Daily Meter Reading'!K28</f>
        <v>88</v>
      </c>
      <c r="J27" s="24">
        <f>'Daily Meter Reading'!M28</f>
        <v>0</v>
      </c>
      <c r="K27" s="24">
        <f>'Daily Meter Reading'!O28</f>
        <v>145</v>
      </c>
      <c r="L27" s="24">
        <f>'Daily Meter Reading'!Q28</f>
        <v>232</v>
      </c>
      <c r="M27" s="31">
        <v>44</v>
      </c>
    </row>
    <row r="28" spans="1:13" x14ac:dyDescent="0.25">
      <c r="A28" t="s">
        <v>24</v>
      </c>
      <c r="B28">
        <v>27</v>
      </c>
      <c r="C28" s="22">
        <v>2</v>
      </c>
      <c r="D28" s="22">
        <v>2021</v>
      </c>
      <c r="E28" s="23">
        <f>'Daily Meter Reading'!C29</f>
        <v>10538</v>
      </c>
      <c r="F28" s="24">
        <f>'Daily Meter Reading'!E29</f>
        <v>6559</v>
      </c>
      <c r="G28" s="23">
        <f>'Daily Meter Reading'!G29</f>
        <v>2882</v>
      </c>
      <c r="H28" s="25">
        <f>'Daily Meter Reading'!I29</f>
        <v>7566</v>
      </c>
      <c r="I28" s="24">
        <f>'Daily Meter Reading'!K29</f>
        <v>124</v>
      </c>
      <c r="J28" s="24">
        <f>'Daily Meter Reading'!M29</f>
        <v>0</v>
      </c>
      <c r="K28" s="24">
        <f>'Daily Meter Reading'!O29</f>
        <v>180</v>
      </c>
      <c r="L28" s="24">
        <f>'Daily Meter Reading'!Q29</f>
        <v>100</v>
      </c>
      <c r="M28" s="31">
        <v>60</v>
      </c>
    </row>
    <row r="29" spans="1:13" x14ac:dyDescent="0.25">
      <c r="A29" t="s">
        <v>24</v>
      </c>
      <c r="B29">
        <v>28</v>
      </c>
      <c r="C29" s="22">
        <v>2</v>
      </c>
      <c r="D29" s="22">
        <v>2021</v>
      </c>
      <c r="E29" s="23">
        <f>'Daily Meter Reading'!C30</f>
        <v>10460</v>
      </c>
      <c r="F29" s="24">
        <f>'Daily Meter Reading'!E30</f>
        <v>9069</v>
      </c>
      <c r="G29" s="23">
        <f>'Daily Meter Reading'!G30</f>
        <v>3954</v>
      </c>
      <c r="H29" s="25">
        <f>'Daily Meter Reading'!I30</f>
        <v>9899</v>
      </c>
      <c r="I29" s="24">
        <f>'Daily Meter Reading'!K30</f>
        <v>126</v>
      </c>
      <c r="J29" s="24">
        <f>'Daily Meter Reading'!M30</f>
        <v>0</v>
      </c>
      <c r="K29" s="24">
        <f>'Daily Meter Reading'!O30</f>
        <v>100</v>
      </c>
      <c r="L29" s="24">
        <f>'Daily Meter Reading'!Q30</f>
        <v>287</v>
      </c>
      <c r="M29" s="31">
        <v>32</v>
      </c>
    </row>
    <row r="30" spans="1:13" x14ac:dyDescent="0.25">
      <c r="C30" s="22"/>
      <c r="D30" s="22"/>
      <c r="E30" s="23"/>
      <c r="F30" s="24"/>
      <c r="G30" s="23"/>
      <c r="H30" s="25"/>
      <c r="I30" s="24"/>
      <c r="J30" s="24"/>
      <c r="K30" s="24"/>
      <c r="L30" s="24"/>
      <c r="M30" s="31"/>
    </row>
    <row r="31" spans="1:13" x14ac:dyDescent="0.25">
      <c r="C31" s="22"/>
      <c r="D31" s="22"/>
      <c r="E31" s="23"/>
      <c r="F31" s="24"/>
      <c r="G31" s="23"/>
      <c r="H31" s="25"/>
      <c r="I31" s="24"/>
      <c r="J31" s="24"/>
      <c r="K31" s="24"/>
      <c r="L31" s="24"/>
      <c r="M31" s="31"/>
    </row>
    <row r="32" spans="1:13" x14ac:dyDescent="0.25">
      <c r="C32" s="22"/>
      <c r="D32" s="22"/>
      <c r="E32" s="23"/>
      <c r="F32" s="24"/>
      <c r="G32" s="23"/>
      <c r="H32" s="25"/>
      <c r="I32" s="24"/>
      <c r="J32" s="24"/>
      <c r="K32" s="24"/>
      <c r="L32" s="24"/>
      <c r="M32" s="31"/>
    </row>
    <row r="33" spans="5:13" x14ac:dyDescent="0.25">
      <c r="E33" s="22"/>
      <c r="G33" s="23"/>
      <c r="H33" s="26"/>
      <c r="M33" s="24"/>
    </row>
    <row r="34" spans="5:13" x14ac:dyDescent="0.25">
      <c r="M34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4" t="s">
        <v>0</v>
      </c>
      <c r="C1" s="35"/>
      <c r="D1" s="36" t="s">
        <v>1</v>
      </c>
      <c r="E1" s="37"/>
      <c r="F1" s="36" t="s">
        <v>2</v>
      </c>
      <c r="G1" s="37"/>
      <c r="H1" s="34" t="s">
        <v>3</v>
      </c>
      <c r="I1" s="35"/>
      <c r="J1" s="32" t="s">
        <v>4</v>
      </c>
      <c r="K1" s="33"/>
      <c r="L1" s="32" t="s">
        <v>5</v>
      </c>
      <c r="M1" s="33"/>
      <c r="N1" s="32" t="s">
        <v>6</v>
      </c>
      <c r="O1" s="33"/>
      <c r="P1" s="34" t="s">
        <v>7</v>
      </c>
      <c r="Q1" s="35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2">
        <v>3463353</v>
      </c>
      <c r="C3" s="10">
        <f t="shared" ref="C3:C29" si="0">B4-B3</f>
        <v>8596</v>
      </c>
      <c r="D3" s="12">
        <v>2153848</v>
      </c>
      <c r="E3" s="10">
        <f t="shared" ref="E3:E29" si="1">D4-D3</f>
        <v>3923</v>
      </c>
      <c r="F3" s="12">
        <v>905921</v>
      </c>
      <c r="G3" s="10">
        <f t="shared" ref="G3:G29" si="2">F4-F3</f>
        <v>1921</v>
      </c>
      <c r="H3" s="12">
        <v>2617608</v>
      </c>
      <c r="I3" s="10">
        <f t="shared" ref="I3:I29" si="3">H4-H3</f>
        <v>5489</v>
      </c>
      <c r="J3" s="12">
        <v>86275</v>
      </c>
      <c r="K3" s="11">
        <f>J4-J3</f>
        <v>18</v>
      </c>
      <c r="L3" s="12">
        <v>13068</v>
      </c>
      <c r="M3" s="11">
        <f>L4-L3</f>
        <v>0</v>
      </c>
      <c r="N3" s="12">
        <v>127065</v>
      </c>
      <c r="O3" s="11">
        <f>N4-N3</f>
        <v>0</v>
      </c>
      <c r="P3" s="12">
        <v>287810</v>
      </c>
      <c r="Q3" s="13">
        <f>P4-P3</f>
        <v>6</v>
      </c>
    </row>
    <row r="4" spans="1:17" ht="18" x14ac:dyDescent="0.25">
      <c r="A4" s="9">
        <v>2</v>
      </c>
      <c r="B4" s="12">
        <v>3471949</v>
      </c>
      <c r="C4" s="10">
        <f t="shared" si="0"/>
        <v>8837</v>
      </c>
      <c r="D4" s="12">
        <v>2157771</v>
      </c>
      <c r="E4" s="10">
        <f t="shared" si="1"/>
        <v>4096</v>
      </c>
      <c r="F4" s="12">
        <v>907842</v>
      </c>
      <c r="G4" s="10">
        <f t="shared" si="2"/>
        <v>1917</v>
      </c>
      <c r="H4" s="12">
        <v>2623097</v>
      </c>
      <c r="I4" s="10">
        <f t="shared" si="3"/>
        <v>5778</v>
      </c>
      <c r="J4" s="12">
        <v>86293</v>
      </c>
      <c r="K4" s="11">
        <f>J5-J4</f>
        <v>7</v>
      </c>
      <c r="L4" s="12">
        <v>13068</v>
      </c>
      <c r="M4" s="11">
        <f t="shared" ref="M4:M29" si="4">L5-L4</f>
        <v>0</v>
      </c>
      <c r="N4" s="12">
        <v>127065</v>
      </c>
      <c r="O4" s="11">
        <f t="shared" ref="O4:O29" si="5">N5-N4</f>
        <v>0</v>
      </c>
      <c r="P4" s="12">
        <v>287816</v>
      </c>
      <c r="Q4" s="13">
        <f t="shared" ref="Q4:Q29" si="6">P5-P4</f>
        <v>156</v>
      </c>
    </row>
    <row r="5" spans="1:17" ht="18" x14ac:dyDescent="0.25">
      <c r="A5" s="9">
        <v>3</v>
      </c>
      <c r="B5" s="12">
        <v>3480786</v>
      </c>
      <c r="C5" s="10">
        <f t="shared" si="0"/>
        <v>8810</v>
      </c>
      <c r="D5" s="12">
        <v>2161867</v>
      </c>
      <c r="E5" s="10">
        <f t="shared" si="1"/>
        <v>4159</v>
      </c>
      <c r="F5" s="12">
        <v>909759</v>
      </c>
      <c r="G5" s="10">
        <f t="shared" si="2"/>
        <v>1934</v>
      </c>
      <c r="H5" s="12">
        <v>2628875</v>
      </c>
      <c r="I5" s="10">
        <f t="shared" si="3"/>
        <v>5769</v>
      </c>
      <c r="J5" s="12">
        <v>86300</v>
      </c>
      <c r="K5" s="11">
        <f>J6-J5</f>
        <v>5</v>
      </c>
      <c r="L5" s="12">
        <v>13068</v>
      </c>
      <c r="M5" s="11">
        <f t="shared" si="4"/>
        <v>0</v>
      </c>
      <c r="N5" s="12">
        <v>127065</v>
      </c>
      <c r="O5" s="11">
        <f t="shared" si="5"/>
        <v>0</v>
      </c>
      <c r="P5" s="12">
        <v>287972</v>
      </c>
      <c r="Q5" s="13">
        <f t="shared" si="6"/>
        <v>123</v>
      </c>
    </row>
    <row r="6" spans="1:17" ht="18" x14ac:dyDescent="0.25">
      <c r="A6" s="9">
        <v>4</v>
      </c>
      <c r="B6" s="12">
        <v>3489596</v>
      </c>
      <c r="C6" s="10">
        <f t="shared" si="0"/>
        <v>8793</v>
      </c>
      <c r="D6" s="12">
        <v>2166026</v>
      </c>
      <c r="E6" s="10">
        <f t="shared" si="1"/>
        <v>4522</v>
      </c>
      <c r="F6" s="12">
        <v>911693</v>
      </c>
      <c r="G6" s="10">
        <f t="shared" si="2"/>
        <v>1893</v>
      </c>
      <c r="H6" s="12">
        <v>2634644</v>
      </c>
      <c r="I6" s="10">
        <f t="shared" si="3"/>
        <v>5286</v>
      </c>
      <c r="J6" s="12">
        <v>86305</v>
      </c>
      <c r="K6" s="11">
        <f>J7-J6</f>
        <v>19</v>
      </c>
      <c r="L6" s="12">
        <v>13068</v>
      </c>
      <c r="M6" s="11">
        <f t="shared" si="4"/>
        <v>0</v>
      </c>
      <c r="N6" s="12">
        <v>127065</v>
      </c>
      <c r="O6" s="11">
        <f t="shared" si="5"/>
        <v>0</v>
      </c>
      <c r="P6" s="12">
        <v>288095</v>
      </c>
      <c r="Q6" s="13">
        <f t="shared" si="6"/>
        <v>203</v>
      </c>
    </row>
    <row r="7" spans="1:17" ht="18" x14ac:dyDescent="0.25">
      <c r="A7" s="14">
        <v>5</v>
      </c>
      <c r="B7" s="12">
        <v>3498389</v>
      </c>
      <c r="C7" s="10">
        <f t="shared" si="0"/>
        <v>8754</v>
      </c>
      <c r="D7" s="12">
        <v>2170548</v>
      </c>
      <c r="E7" s="10">
        <f t="shared" si="1"/>
        <v>4670</v>
      </c>
      <c r="F7" s="12">
        <v>913586</v>
      </c>
      <c r="G7" s="10">
        <f t="shared" si="2"/>
        <v>1892</v>
      </c>
      <c r="H7" s="12">
        <v>2639930</v>
      </c>
      <c r="I7" s="10">
        <f t="shared" si="3"/>
        <v>5450</v>
      </c>
      <c r="J7" s="12">
        <v>86324</v>
      </c>
      <c r="K7" s="11">
        <f t="shared" ref="K7:K20" si="7">SUM(J8-J7)</f>
        <v>6</v>
      </c>
      <c r="L7" s="12">
        <v>13068</v>
      </c>
      <c r="M7" s="11">
        <f t="shared" si="4"/>
        <v>0</v>
      </c>
      <c r="N7" s="12">
        <v>127065</v>
      </c>
      <c r="O7" s="11">
        <f t="shared" si="5"/>
        <v>1</v>
      </c>
      <c r="P7" s="12">
        <v>288298</v>
      </c>
      <c r="Q7" s="13">
        <f t="shared" si="6"/>
        <v>53</v>
      </c>
    </row>
    <row r="8" spans="1:17" ht="18" x14ac:dyDescent="0.25">
      <c r="A8" s="14">
        <v>6</v>
      </c>
      <c r="B8" s="12">
        <v>3507143</v>
      </c>
      <c r="C8" s="10">
        <f t="shared" si="0"/>
        <v>9171</v>
      </c>
      <c r="D8" s="12">
        <v>2175218</v>
      </c>
      <c r="E8" s="10">
        <f t="shared" si="1"/>
        <v>4418</v>
      </c>
      <c r="F8" s="12">
        <v>915478</v>
      </c>
      <c r="G8" s="10">
        <f t="shared" si="2"/>
        <v>1946</v>
      </c>
      <c r="H8" s="12">
        <v>2645380</v>
      </c>
      <c r="I8" s="10">
        <f t="shared" si="3"/>
        <v>6093</v>
      </c>
      <c r="J8" s="12">
        <v>86330</v>
      </c>
      <c r="K8" s="11">
        <f t="shared" si="7"/>
        <v>9</v>
      </c>
      <c r="L8" s="12">
        <v>13068</v>
      </c>
      <c r="M8" s="11">
        <f t="shared" si="4"/>
        <v>0</v>
      </c>
      <c r="N8" s="12">
        <v>127066</v>
      </c>
      <c r="O8" s="11">
        <f t="shared" si="5"/>
        <v>0</v>
      </c>
      <c r="P8" s="12">
        <v>288351</v>
      </c>
      <c r="Q8" s="13">
        <f t="shared" si="6"/>
        <v>139</v>
      </c>
    </row>
    <row r="9" spans="1:17" ht="18" x14ac:dyDescent="0.25">
      <c r="A9" s="14">
        <v>7</v>
      </c>
      <c r="B9" s="12">
        <v>3516314</v>
      </c>
      <c r="C9" s="10">
        <f t="shared" si="0"/>
        <v>9195</v>
      </c>
      <c r="D9" s="12">
        <v>2179636</v>
      </c>
      <c r="E9" s="10">
        <f t="shared" si="1"/>
        <v>4344</v>
      </c>
      <c r="F9" s="12">
        <v>917424</v>
      </c>
      <c r="G9" s="10">
        <f t="shared" si="2"/>
        <v>1399</v>
      </c>
      <c r="H9" s="12">
        <v>2651473</v>
      </c>
      <c r="I9" s="10">
        <f t="shared" si="3"/>
        <v>6365</v>
      </c>
      <c r="J9" s="12">
        <v>86339</v>
      </c>
      <c r="K9" s="11">
        <f t="shared" si="7"/>
        <v>30</v>
      </c>
      <c r="L9" s="12">
        <v>13068</v>
      </c>
      <c r="M9" s="11">
        <f t="shared" si="4"/>
        <v>0</v>
      </c>
      <c r="N9" s="12">
        <v>127066</v>
      </c>
      <c r="O9" s="11">
        <f t="shared" si="5"/>
        <v>1</v>
      </c>
      <c r="P9" s="12">
        <v>288490</v>
      </c>
      <c r="Q9" s="13">
        <f t="shared" si="6"/>
        <v>164</v>
      </c>
    </row>
    <row r="10" spans="1:17" ht="18" x14ac:dyDescent="0.25">
      <c r="A10" s="14">
        <v>8</v>
      </c>
      <c r="B10" s="12">
        <v>3525509</v>
      </c>
      <c r="C10" s="10">
        <f t="shared" si="0"/>
        <v>9489</v>
      </c>
      <c r="D10" s="12">
        <v>2183980</v>
      </c>
      <c r="E10" s="10">
        <f t="shared" si="1"/>
        <v>4572</v>
      </c>
      <c r="F10" s="12">
        <v>918823</v>
      </c>
      <c r="G10" s="10">
        <f t="shared" si="2"/>
        <v>0</v>
      </c>
      <c r="H10" s="12">
        <v>2657838</v>
      </c>
      <c r="I10" s="10">
        <f t="shared" si="3"/>
        <v>7814</v>
      </c>
      <c r="J10" s="12">
        <v>86369</v>
      </c>
      <c r="K10" s="11">
        <f t="shared" si="7"/>
        <v>20</v>
      </c>
      <c r="L10" s="12">
        <v>13068</v>
      </c>
      <c r="M10" s="11">
        <f t="shared" si="4"/>
        <v>0</v>
      </c>
      <c r="N10" s="12">
        <v>127067</v>
      </c>
      <c r="O10" s="11">
        <f t="shared" si="5"/>
        <v>0</v>
      </c>
      <c r="P10" s="12">
        <v>288654</v>
      </c>
      <c r="Q10" s="13">
        <f t="shared" si="6"/>
        <v>61</v>
      </c>
    </row>
    <row r="11" spans="1:17" ht="18" x14ac:dyDescent="0.25">
      <c r="A11" s="14">
        <v>9</v>
      </c>
      <c r="B11" s="12">
        <v>3534998</v>
      </c>
      <c r="C11" s="10">
        <f t="shared" si="0"/>
        <v>9766</v>
      </c>
      <c r="D11" s="12">
        <v>2188552</v>
      </c>
      <c r="E11" s="10">
        <f t="shared" si="1"/>
        <v>4891</v>
      </c>
      <c r="F11" s="12">
        <v>918823</v>
      </c>
      <c r="G11" s="10">
        <f t="shared" si="2"/>
        <v>0</v>
      </c>
      <c r="H11" s="12">
        <v>2665652</v>
      </c>
      <c r="I11" s="10">
        <f t="shared" si="3"/>
        <v>8251</v>
      </c>
      <c r="J11" s="12">
        <v>86389</v>
      </c>
      <c r="K11" s="11">
        <f t="shared" si="7"/>
        <v>38</v>
      </c>
      <c r="L11" s="12">
        <v>13068</v>
      </c>
      <c r="M11" s="11">
        <f t="shared" si="4"/>
        <v>0</v>
      </c>
      <c r="N11" s="12">
        <v>127067</v>
      </c>
      <c r="O11" s="11">
        <f t="shared" si="5"/>
        <v>6</v>
      </c>
      <c r="P11" s="12">
        <v>288715</v>
      </c>
      <c r="Q11" s="13">
        <f t="shared" si="6"/>
        <v>169</v>
      </c>
    </row>
    <row r="12" spans="1:17" ht="18" x14ac:dyDescent="0.25">
      <c r="A12" s="15">
        <v>10</v>
      </c>
      <c r="B12" s="12">
        <v>3544764</v>
      </c>
      <c r="C12" s="10">
        <f t="shared" si="0"/>
        <v>10216</v>
      </c>
      <c r="D12" s="12">
        <v>2193443</v>
      </c>
      <c r="E12" s="10">
        <f t="shared" si="1"/>
        <v>5416</v>
      </c>
      <c r="F12" s="12">
        <v>918823</v>
      </c>
      <c r="G12" s="10">
        <f t="shared" si="2"/>
        <v>0</v>
      </c>
      <c r="H12" s="12">
        <v>2673903</v>
      </c>
      <c r="I12" s="10">
        <f t="shared" si="3"/>
        <v>8807</v>
      </c>
      <c r="J12" s="12">
        <v>86427</v>
      </c>
      <c r="K12" s="11">
        <f t="shared" si="7"/>
        <v>98</v>
      </c>
      <c r="L12" s="12">
        <v>13068</v>
      </c>
      <c r="M12" s="11">
        <f t="shared" si="4"/>
        <v>0</v>
      </c>
      <c r="N12" s="12">
        <v>127073</v>
      </c>
      <c r="O12" s="11">
        <f t="shared" si="5"/>
        <v>0</v>
      </c>
      <c r="P12" s="12">
        <v>288884</v>
      </c>
      <c r="Q12" s="13">
        <f t="shared" si="6"/>
        <v>66</v>
      </c>
    </row>
    <row r="13" spans="1:17" ht="18" x14ac:dyDescent="0.25">
      <c r="A13" s="15">
        <v>11</v>
      </c>
      <c r="B13" s="12">
        <v>3554980</v>
      </c>
      <c r="C13" s="10">
        <f t="shared" si="0"/>
        <v>10654</v>
      </c>
      <c r="D13" s="12">
        <v>2198859</v>
      </c>
      <c r="E13" s="10">
        <f t="shared" si="1"/>
        <v>5848</v>
      </c>
      <c r="F13" s="12">
        <v>918823</v>
      </c>
      <c r="G13" s="10">
        <f t="shared" si="2"/>
        <v>0</v>
      </c>
      <c r="H13" s="12">
        <v>2682710</v>
      </c>
      <c r="I13" s="10">
        <f t="shared" si="3"/>
        <v>8583</v>
      </c>
      <c r="J13" s="12">
        <v>86525</v>
      </c>
      <c r="K13" s="11">
        <f t="shared" si="7"/>
        <v>122</v>
      </c>
      <c r="L13" s="12">
        <v>13068</v>
      </c>
      <c r="M13" s="11">
        <f t="shared" si="4"/>
        <v>0</v>
      </c>
      <c r="N13" s="12">
        <v>127073</v>
      </c>
      <c r="O13" s="11">
        <f t="shared" si="5"/>
        <v>7</v>
      </c>
      <c r="P13" s="12">
        <v>288950</v>
      </c>
      <c r="Q13" s="13">
        <f t="shared" si="6"/>
        <v>215</v>
      </c>
    </row>
    <row r="14" spans="1:17" ht="18" x14ac:dyDescent="0.25">
      <c r="A14" s="15">
        <v>12</v>
      </c>
      <c r="B14" s="12">
        <v>3565634</v>
      </c>
      <c r="C14" s="10">
        <f t="shared" si="0"/>
        <v>10359</v>
      </c>
      <c r="D14" s="12">
        <v>2204707</v>
      </c>
      <c r="E14" s="10">
        <f t="shared" si="1"/>
        <v>6133</v>
      </c>
      <c r="F14" s="12">
        <v>918823</v>
      </c>
      <c r="G14" s="10">
        <f t="shared" si="2"/>
        <v>464</v>
      </c>
      <c r="H14" s="12">
        <v>2691293</v>
      </c>
      <c r="I14" s="10">
        <f t="shared" si="3"/>
        <v>8741</v>
      </c>
      <c r="J14" s="12">
        <v>86647</v>
      </c>
      <c r="K14" s="11">
        <f t="shared" si="7"/>
        <v>126</v>
      </c>
      <c r="L14" s="12">
        <v>13068</v>
      </c>
      <c r="M14" s="11">
        <f t="shared" si="4"/>
        <v>0</v>
      </c>
      <c r="N14" s="12">
        <v>127080</v>
      </c>
      <c r="O14" s="11">
        <f t="shared" si="5"/>
        <v>2</v>
      </c>
      <c r="P14" s="12">
        <v>289165</v>
      </c>
      <c r="Q14" s="13">
        <f t="shared" si="6"/>
        <v>169</v>
      </c>
    </row>
    <row r="15" spans="1:17" ht="18" x14ac:dyDescent="0.25">
      <c r="A15" s="9">
        <v>13</v>
      </c>
      <c r="B15" s="12">
        <v>3575993</v>
      </c>
      <c r="C15" s="10">
        <f t="shared" si="0"/>
        <v>10728</v>
      </c>
      <c r="D15" s="12">
        <v>2210840</v>
      </c>
      <c r="E15" s="10">
        <f t="shared" si="1"/>
        <v>5627</v>
      </c>
      <c r="F15" s="12">
        <v>919287</v>
      </c>
      <c r="G15" s="10">
        <f t="shared" si="2"/>
        <v>697</v>
      </c>
      <c r="H15" s="12">
        <v>2700034</v>
      </c>
      <c r="I15" s="10">
        <f t="shared" si="3"/>
        <v>8864</v>
      </c>
      <c r="J15" s="12">
        <v>86773</v>
      </c>
      <c r="K15" s="11">
        <f t="shared" si="7"/>
        <v>102</v>
      </c>
      <c r="L15" s="12">
        <v>13068</v>
      </c>
      <c r="M15" s="11">
        <f t="shared" si="4"/>
        <v>0</v>
      </c>
      <c r="N15" s="12">
        <v>127082</v>
      </c>
      <c r="O15" s="11">
        <f t="shared" si="5"/>
        <v>10</v>
      </c>
      <c r="P15" s="12">
        <v>289334</v>
      </c>
      <c r="Q15" s="13">
        <f t="shared" si="6"/>
        <v>213</v>
      </c>
    </row>
    <row r="16" spans="1:17" ht="18" x14ac:dyDescent="0.25">
      <c r="A16" s="9">
        <v>14</v>
      </c>
      <c r="B16" s="12">
        <v>3586721</v>
      </c>
      <c r="C16" s="10">
        <f t="shared" si="0"/>
        <v>10759</v>
      </c>
      <c r="D16" s="12">
        <v>2216467</v>
      </c>
      <c r="E16" s="10">
        <f t="shared" si="1"/>
        <v>5642</v>
      </c>
      <c r="F16" s="12">
        <v>919984</v>
      </c>
      <c r="G16" s="10">
        <f t="shared" si="2"/>
        <v>931</v>
      </c>
      <c r="H16" s="12">
        <v>2708898</v>
      </c>
      <c r="I16" s="10">
        <f t="shared" si="3"/>
        <v>8860</v>
      </c>
      <c r="J16" s="12">
        <v>86875</v>
      </c>
      <c r="K16" s="11">
        <f t="shared" si="7"/>
        <v>107</v>
      </c>
      <c r="L16" s="12">
        <v>13068</v>
      </c>
      <c r="M16" s="11">
        <f t="shared" si="4"/>
        <v>0</v>
      </c>
      <c r="N16" s="12">
        <v>127092</v>
      </c>
      <c r="O16" s="11">
        <f t="shared" si="5"/>
        <v>6</v>
      </c>
      <c r="P16" s="12">
        <v>289547</v>
      </c>
      <c r="Q16" s="13">
        <f t="shared" si="6"/>
        <v>72</v>
      </c>
    </row>
    <row r="17" spans="1:17" ht="18" x14ac:dyDescent="0.25">
      <c r="A17" s="9">
        <v>15</v>
      </c>
      <c r="B17" s="12">
        <v>3597480</v>
      </c>
      <c r="C17" s="10">
        <f t="shared" si="0"/>
        <v>10754</v>
      </c>
      <c r="D17" s="12">
        <v>2222109</v>
      </c>
      <c r="E17" s="10">
        <f t="shared" si="1"/>
        <v>5732</v>
      </c>
      <c r="F17" s="12">
        <v>920915</v>
      </c>
      <c r="G17" s="10">
        <f t="shared" si="2"/>
        <v>680</v>
      </c>
      <c r="H17" s="12">
        <v>2717758</v>
      </c>
      <c r="I17" s="10">
        <f t="shared" si="3"/>
        <v>8780</v>
      </c>
      <c r="J17" s="12">
        <v>86982</v>
      </c>
      <c r="K17" s="11">
        <f t="shared" si="7"/>
        <v>98</v>
      </c>
      <c r="L17" s="12">
        <v>13068</v>
      </c>
      <c r="M17" s="11">
        <f t="shared" si="4"/>
        <v>0</v>
      </c>
      <c r="N17" s="12">
        <v>127098</v>
      </c>
      <c r="O17" s="11">
        <f t="shared" si="5"/>
        <v>0</v>
      </c>
      <c r="P17" s="12">
        <v>289619</v>
      </c>
      <c r="Q17" s="13">
        <f t="shared" si="6"/>
        <v>212</v>
      </c>
    </row>
    <row r="18" spans="1:17" ht="18" x14ac:dyDescent="0.25">
      <c r="A18" s="9">
        <v>16</v>
      </c>
      <c r="B18" s="12">
        <v>3608234</v>
      </c>
      <c r="C18" s="10">
        <f t="shared" si="0"/>
        <v>10261</v>
      </c>
      <c r="D18" s="12">
        <v>2227841</v>
      </c>
      <c r="E18" s="10">
        <f t="shared" si="1"/>
        <v>5820</v>
      </c>
      <c r="F18" s="12">
        <v>921595</v>
      </c>
      <c r="G18" s="10">
        <f t="shared" si="2"/>
        <v>1477</v>
      </c>
      <c r="H18" s="12">
        <v>2726538</v>
      </c>
      <c r="I18" s="10">
        <f t="shared" si="3"/>
        <v>8591</v>
      </c>
      <c r="J18" s="12">
        <v>87080</v>
      </c>
      <c r="K18" s="11">
        <f t="shared" si="7"/>
        <v>90</v>
      </c>
      <c r="L18" s="12">
        <v>13068</v>
      </c>
      <c r="M18" s="11">
        <f t="shared" si="4"/>
        <v>0</v>
      </c>
      <c r="N18" s="12">
        <v>127098</v>
      </c>
      <c r="O18" s="11">
        <f t="shared" si="5"/>
        <v>50</v>
      </c>
      <c r="P18" s="12">
        <v>289831</v>
      </c>
      <c r="Q18" s="13">
        <f t="shared" si="6"/>
        <v>122</v>
      </c>
    </row>
    <row r="19" spans="1:17" ht="18" x14ac:dyDescent="0.25">
      <c r="A19" s="9">
        <v>17</v>
      </c>
      <c r="B19" s="12">
        <v>3618495</v>
      </c>
      <c r="C19" s="10">
        <f t="shared" si="0"/>
        <v>10276</v>
      </c>
      <c r="D19" s="12">
        <v>2233661</v>
      </c>
      <c r="E19" s="10">
        <f t="shared" si="1"/>
        <v>6165</v>
      </c>
      <c r="F19" s="12">
        <v>923072</v>
      </c>
      <c r="G19" s="10">
        <f t="shared" si="2"/>
        <v>1244</v>
      </c>
      <c r="H19" s="12">
        <v>2735129</v>
      </c>
      <c r="I19" s="10">
        <f t="shared" si="3"/>
        <v>8496</v>
      </c>
      <c r="J19" s="12">
        <v>87170</v>
      </c>
      <c r="K19" s="11">
        <f t="shared" si="7"/>
        <v>62</v>
      </c>
      <c r="L19" s="12">
        <v>13068</v>
      </c>
      <c r="M19" s="11">
        <f t="shared" si="4"/>
        <v>0</v>
      </c>
      <c r="N19" s="12">
        <v>127148</v>
      </c>
      <c r="O19" s="11">
        <f t="shared" si="5"/>
        <v>154</v>
      </c>
      <c r="P19" s="12">
        <v>289953</v>
      </c>
      <c r="Q19" s="13">
        <f t="shared" si="6"/>
        <v>168</v>
      </c>
    </row>
    <row r="20" spans="1:17" ht="18" x14ac:dyDescent="0.25">
      <c r="A20" s="9">
        <v>18</v>
      </c>
      <c r="B20" s="12">
        <v>3628771</v>
      </c>
      <c r="C20" s="10">
        <f t="shared" si="0"/>
        <v>10447</v>
      </c>
      <c r="D20" s="12">
        <v>2239826</v>
      </c>
      <c r="E20" s="10">
        <f t="shared" si="1"/>
        <v>6501</v>
      </c>
      <c r="F20" s="12">
        <v>924316</v>
      </c>
      <c r="G20" s="10">
        <f t="shared" si="2"/>
        <v>186</v>
      </c>
      <c r="H20" s="12">
        <v>2743625</v>
      </c>
      <c r="I20" s="10">
        <f t="shared" si="3"/>
        <v>8190</v>
      </c>
      <c r="J20" s="12">
        <v>87232</v>
      </c>
      <c r="K20" s="11">
        <f t="shared" si="7"/>
        <v>54</v>
      </c>
      <c r="L20" s="12">
        <v>13068</v>
      </c>
      <c r="M20" s="11">
        <f t="shared" si="4"/>
        <v>0</v>
      </c>
      <c r="N20" s="12">
        <v>127302</v>
      </c>
      <c r="O20" s="11">
        <f t="shared" si="5"/>
        <v>133</v>
      </c>
      <c r="P20" s="12">
        <v>290121</v>
      </c>
      <c r="Q20" s="13">
        <f t="shared" si="6"/>
        <v>165</v>
      </c>
    </row>
    <row r="21" spans="1:17" ht="18" x14ac:dyDescent="0.25">
      <c r="A21" s="9">
        <v>19</v>
      </c>
      <c r="B21" s="12">
        <v>3639218</v>
      </c>
      <c r="C21" s="10">
        <f t="shared" si="0"/>
        <v>10394</v>
      </c>
      <c r="D21" s="12">
        <v>2246327</v>
      </c>
      <c r="E21" s="10">
        <f t="shared" si="1"/>
        <v>6413</v>
      </c>
      <c r="F21" s="12">
        <v>924502</v>
      </c>
      <c r="G21" s="10">
        <f t="shared" si="2"/>
        <v>103</v>
      </c>
      <c r="H21" s="12">
        <v>2751815</v>
      </c>
      <c r="I21" s="10">
        <f t="shared" si="3"/>
        <v>8137</v>
      </c>
      <c r="J21" s="12">
        <v>87286</v>
      </c>
      <c r="K21" s="11">
        <f t="shared" ref="K21:K29" si="8">SUM(J22-J21)</f>
        <v>114</v>
      </c>
      <c r="L21" s="12">
        <v>13068</v>
      </c>
      <c r="M21" s="11">
        <f t="shared" si="4"/>
        <v>0</v>
      </c>
      <c r="N21" s="12">
        <v>127435</v>
      </c>
      <c r="O21" s="11">
        <f t="shared" si="5"/>
        <v>155</v>
      </c>
      <c r="P21" s="12">
        <v>290286</v>
      </c>
      <c r="Q21" s="13">
        <f t="shared" si="6"/>
        <v>211</v>
      </c>
    </row>
    <row r="22" spans="1:17" ht="18" x14ac:dyDescent="0.25">
      <c r="A22" s="9">
        <v>20</v>
      </c>
      <c r="B22" s="12">
        <v>3649612</v>
      </c>
      <c r="C22" s="10">
        <f t="shared" si="0"/>
        <v>10303</v>
      </c>
      <c r="D22" s="12">
        <v>2252740</v>
      </c>
      <c r="E22" s="10">
        <f t="shared" si="1"/>
        <v>6207</v>
      </c>
      <c r="F22" s="12">
        <v>924605</v>
      </c>
      <c r="G22" s="10">
        <f t="shared" si="2"/>
        <v>102</v>
      </c>
      <c r="H22" s="12">
        <v>2759952</v>
      </c>
      <c r="I22" s="10">
        <f t="shared" si="3"/>
        <v>8286</v>
      </c>
      <c r="J22" s="12">
        <v>87400</v>
      </c>
      <c r="K22" s="11">
        <f t="shared" si="8"/>
        <v>130</v>
      </c>
      <c r="L22" s="12">
        <v>13068</v>
      </c>
      <c r="M22" s="11">
        <f t="shared" si="4"/>
        <v>0</v>
      </c>
      <c r="N22" s="12">
        <v>127590</v>
      </c>
      <c r="O22" s="11">
        <f t="shared" si="5"/>
        <v>131</v>
      </c>
      <c r="P22" s="12">
        <v>290497</v>
      </c>
      <c r="Q22" s="16">
        <f t="shared" si="6"/>
        <v>131</v>
      </c>
    </row>
    <row r="23" spans="1:17" ht="18" x14ac:dyDescent="0.25">
      <c r="A23" s="9">
        <v>21</v>
      </c>
      <c r="B23" s="12">
        <v>3659915</v>
      </c>
      <c r="C23" s="10">
        <f t="shared" si="0"/>
        <v>10567</v>
      </c>
      <c r="D23" s="12">
        <v>2258947</v>
      </c>
      <c r="E23" s="10">
        <f t="shared" si="1"/>
        <v>6474</v>
      </c>
      <c r="F23" s="12">
        <v>924707</v>
      </c>
      <c r="G23" s="10">
        <f t="shared" si="2"/>
        <v>985</v>
      </c>
      <c r="H23" s="12">
        <v>2768238</v>
      </c>
      <c r="I23" s="10">
        <f t="shared" si="3"/>
        <v>7953</v>
      </c>
      <c r="J23" s="12">
        <v>87530</v>
      </c>
      <c r="K23" s="11">
        <f t="shared" si="8"/>
        <v>102</v>
      </c>
      <c r="L23" s="12">
        <v>13068</v>
      </c>
      <c r="M23" s="11">
        <f t="shared" si="4"/>
        <v>0</v>
      </c>
      <c r="N23" s="12">
        <v>127721</v>
      </c>
      <c r="O23" s="11">
        <f t="shared" si="5"/>
        <v>99</v>
      </c>
      <c r="P23" s="12">
        <v>290628</v>
      </c>
      <c r="Q23" s="13">
        <f t="shared" si="6"/>
        <v>161</v>
      </c>
    </row>
    <row r="24" spans="1:17" ht="18" x14ac:dyDescent="0.25">
      <c r="A24" s="9">
        <v>22</v>
      </c>
      <c r="B24" s="12">
        <v>3670482</v>
      </c>
      <c r="C24" s="10">
        <f t="shared" si="0"/>
        <v>9934</v>
      </c>
      <c r="D24" s="12">
        <v>2265421</v>
      </c>
      <c r="E24" s="10">
        <f t="shared" si="1"/>
        <v>6121</v>
      </c>
      <c r="F24" s="12">
        <v>925692</v>
      </c>
      <c r="G24" s="10">
        <f t="shared" si="2"/>
        <v>2744</v>
      </c>
      <c r="H24" s="12">
        <v>2776191</v>
      </c>
      <c r="I24" s="10">
        <f t="shared" si="3"/>
        <v>7098</v>
      </c>
      <c r="J24" s="12">
        <v>87632</v>
      </c>
      <c r="K24" s="11">
        <f t="shared" si="8"/>
        <v>75</v>
      </c>
      <c r="L24" s="12">
        <v>13068</v>
      </c>
      <c r="M24" s="11">
        <f t="shared" si="4"/>
        <v>0</v>
      </c>
      <c r="N24" s="12">
        <v>127820</v>
      </c>
      <c r="O24" s="11">
        <f>N25-N24</f>
        <v>123</v>
      </c>
      <c r="P24" s="12">
        <v>290789</v>
      </c>
      <c r="Q24" s="17">
        <f t="shared" si="6"/>
        <v>255</v>
      </c>
    </row>
    <row r="25" spans="1:17" ht="18" x14ac:dyDescent="0.25">
      <c r="A25" s="9">
        <v>23</v>
      </c>
      <c r="B25" s="12">
        <v>3680416</v>
      </c>
      <c r="C25" s="10">
        <f t="shared" si="0"/>
        <v>10435</v>
      </c>
      <c r="D25" s="12">
        <v>2271542</v>
      </c>
      <c r="E25" s="10">
        <f t="shared" si="1"/>
        <v>6625</v>
      </c>
      <c r="F25" s="12">
        <v>928436</v>
      </c>
      <c r="G25" s="10">
        <f t="shared" si="2"/>
        <v>3241</v>
      </c>
      <c r="H25" s="12">
        <v>2783289</v>
      </c>
      <c r="I25" s="10">
        <f t="shared" si="3"/>
        <v>7831</v>
      </c>
      <c r="J25" s="12">
        <v>87707</v>
      </c>
      <c r="K25" s="11">
        <f t="shared" si="8"/>
        <v>84</v>
      </c>
      <c r="L25" s="12">
        <v>13068</v>
      </c>
      <c r="M25" s="11">
        <f t="shared" si="4"/>
        <v>0</v>
      </c>
      <c r="N25" s="12">
        <v>127943</v>
      </c>
      <c r="O25" s="11">
        <f t="shared" si="5"/>
        <v>116</v>
      </c>
      <c r="P25" s="12">
        <v>291044</v>
      </c>
      <c r="Q25" s="13">
        <f t="shared" si="6"/>
        <v>129</v>
      </c>
    </row>
    <row r="26" spans="1:17" ht="18" x14ac:dyDescent="0.25">
      <c r="A26" s="9">
        <v>24</v>
      </c>
      <c r="B26" s="12">
        <v>3690851</v>
      </c>
      <c r="C26" s="10">
        <f t="shared" si="0"/>
        <v>10105</v>
      </c>
      <c r="D26" s="12">
        <v>2278167</v>
      </c>
      <c r="E26" s="10">
        <f t="shared" si="1"/>
        <v>6475</v>
      </c>
      <c r="F26" s="12">
        <v>931677</v>
      </c>
      <c r="G26" s="10">
        <f t="shared" si="2"/>
        <v>3193</v>
      </c>
      <c r="H26" s="12">
        <v>2791120</v>
      </c>
      <c r="I26" s="10">
        <f t="shared" si="3"/>
        <v>7388</v>
      </c>
      <c r="J26" s="12">
        <v>87791</v>
      </c>
      <c r="K26" s="11">
        <f t="shared" si="8"/>
        <v>103</v>
      </c>
      <c r="L26" s="12">
        <v>13068</v>
      </c>
      <c r="M26" s="11">
        <f t="shared" si="4"/>
        <v>0</v>
      </c>
      <c r="N26" s="12">
        <v>128059</v>
      </c>
      <c r="O26" s="11">
        <f t="shared" si="5"/>
        <v>149</v>
      </c>
      <c r="P26" s="12">
        <v>291173</v>
      </c>
      <c r="Q26" s="13">
        <f t="shared" si="6"/>
        <v>198</v>
      </c>
    </row>
    <row r="27" spans="1:17" ht="18" x14ac:dyDescent="0.25">
      <c r="A27" s="9">
        <v>25</v>
      </c>
      <c r="B27" s="12">
        <v>3700956</v>
      </c>
      <c r="C27" s="10">
        <f t="shared" si="0"/>
        <v>10304</v>
      </c>
      <c r="D27" s="12">
        <v>2284642</v>
      </c>
      <c r="E27" s="10">
        <f t="shared" si="1"/>
        <v>6470</v>
      </c>
      <c r="F27" s="12">
        <v>934870</v>
      </c>
      <c r="G27" s="10">
        <f t="shared" si="2"/>
        <v>2920</v>
      </c>
      <c r="H27" s="12">
        <v>2798508</v>
      </c>
      <c r="I27" s="10">
        <f t="shared" si="3"/>
        <v>7220</v>
      </c>
      <c r="J27" s="12">
        <v>87894</v>
      </c>
      <c r="K27" s="11">
        <f t="shared" si="8"/>
        <v>85</v>
      </c>
      <c r="L27" s="12">
        <v>13068</v>
      </c>
      <c r="M27" s="11">
        <f t="shared" si="4"/>
        <v>0</v>
      </c>
      <c r="N27" s="12">
        <v>128208</v>
      </c>
      <c r="O27" s="11">
        <f t="shared" si="5"/>
        <v>120</v>
      </c>
      <c r="P27" s="12">
        <v>291371</v>
      </c>
      <c r="Q27" s="13">
        <f t="shared" si="6"/>
        <v>68</v>
      </c>
    </row>
    <row r="28" spans="1:17" ht="18" x14ac:dyDescent="0.25">
      <c r="A28" s="9">
        <v>26</v>
      </c>
      <c r="B28" s="12">
        <v>3711260</v>
      </c>
      <c r="C28" s="10">
        <f t="shared" si="0"/>
        <v>10429</v>
      </c>
      <c r="D28" s="12">
        <v>2291112</v>
      </c>
      <c r="E28" s="10">
        <f t="shared" si="1"/>
        <v>6471</v>
      </c>
      <c r="F28" s="12">
        <v>937790</v>
      </c>
      <c r="G28" s="10">
        <f t="shared" si="2"/>
        <v>2618</v>
      </c>
      <c r="H28" s="12">
        <v>2805728</v>
      </c>
      <c r="I28" s="10">
        <f t="shared" si="3"/>
        <v>7307</v>
      </c>
      <c r="J28" s="12">
        <v>87979</v>
      </c>
      <c r="K28" s="11">
        <f t="shared" si="8"/>
        <v>88</v>
      </c>
      <c r="L28" s="12">
        <v>13068</v>
      </c>
      <c r="M28" s="11">
        <f t="shared" si="4"/>
        <v>0</v>
      </c>
      <c r="N28" s="12">
        <v>128328</v>
      </c>
      <c r="O28" s="11">
        <f t="shared" si="5"/>
        <v>145</v>
      </c>
      <c r="P28" s="12">
        <v>291439</v>
      </c>
      <c r="Q28" s="13">
        <f t="shared" si="6"/>
        <v>232</v>
      </c>
    </row>
    <row r="29" spans="1:17" ht="18" x14ac:dyDescent="0.25">
      <c r="A29" s="9">
        <v>27</v>
      </c>
      <c r="B29" s="12">
        <v>3721689</v>
      </c>
      <c r="C29" s="10">
        <f t="shared" si="0"/>
        <v>10538</v>
      </c>
      <c r="D29" s="12">
        <v>2297583</v>
      </c>
      <c r="E29" s="10">
        <f t="shared" si="1"/>
        <v>6559</v>
      </c>
      <c r="F29" s="12">
        <v>940408</v>
      </c>
      <c r="G29" s="10">
        <f t="shared" si="2"/>
        <v>2882</v>
      </c>
      <c r="H29" s="12">
        <v>2813035</v>
      </c>
      <c r="I29" s="10">
        <f t="shared" si="3"/>
        <v>7566</v>
      </c>
      <c r="J29" s="12">
        <v>88067</v>
      </c>
      <c r="K29" s="11">
        <f t="shared" si="8"/>
        <v>124</v>
      </c>
      <c r="L29" s="12">
        <v>13068</v>
      </c>
      <c r="M29" s="11">
        <f t="shared" si="4"/>
        <v>0</v>
      </c>
      <c r="N29" s="12">
        <v>128473</v>
      </c>
      <c r="O29" s="11">
        <f t="shared" si="5"/>
        <v>180</v>
      </c>
      <c r="P29" s="12">
        <v>291671</v>
      </c>
      <c r="Q29" s="13">
        <f t="shared" si="6"/>
        <v>100</v>
      </c>
    </row>
    <row r="30" spans="1:17" ht="18" x14ac:dyDescent="0.25">
      <c r="A30" s="9">
        <v>28</v>
      </c>
      <c r="B30" s="12">
        <v>3732227</v>
      </c>
      <c r="C30" s="10">
        <f>B31-B30</f>
        <v>10460</v>
      </c>
      <c r="D30" s="12">
        <v>2304142</v>
      </c>
      <c r="E30" s="10">
        <f>D31-D30</f>
        <v>9069</v>
      </c>
      <c r="F30" s="12">
        <v>943290</v>
      </c>
      <c r="G30" s="10">
        <f>F31-F30</f>
        <v>3954</v>
      </c>
      <c r="H30" s="12">
        <v>2820601</v>
      </c>
      <c r="I30" s="10">
        <f>H31-H30</f>
        <v>9899</v>
      </c>
      <c r="J30" s="12">
        <v>88191</v>
      </c>
      <c r="K30" s="11">
        <f>SUM(J31-J30)</f>
        <v>126</v>
      </c>
      <c r="L30" s="12">
        <v>13068</v>
      </c>
      <c r="M30" s="11">
        <f>L31-L30</f>
        <v>0</v>
      </c>
      <c r="N30" s="12">
        <v>128653</v>
      </c>
      <c r="O30" s="11">
        <f>N31-N30</f>
        <v>100</v>
      </c>
      <c r="P30" s="12">
        <v>291771</v>
      </c>
      <c r="Q30" s="13">
        <f>P31-P30</f>
        <v>287</v>
      </c>
    </row>
    <row r="31" spans="1:17" ht="18" x14ac:dyDescent="0.25">
      <c r="A31" s="9">
        <v>1</v>
      </c>
      <c r="B31" s="12">
        <v>3742687</v>
      </c>
      <c r="C31" s="10"/>
      <c r="D31" s="12">
        <v>2313211</v>
      </c>
      <c r="E31" s="10"/>
      <c r="F31" s="12">
        <v>947244</v>
      </c>
      <c r="G31" s="10"/>
      <c r="H31" s="12">
        <v>2830500</v>
      </c>
      <c r="I31" s="10"/>
      <c r="J31" s="12">
        <v>88317</v>
      </c>
      <c r="K31" s="11"/>
      <c r="L31" s="12">
        <v>13068</v>
      </c>
      <c r="M31" s="11"/>
      <c r="N31" s="12">
        <v>128753</v>
      </c>
      <c r="O31" s="11"/>
      <c r="P31" s="12">
        <v>292058</v>
      </c>
      <c r="Q31" s="13"/>
    </row>
    <row r="32" spans="1:17" ht="18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2023-02-25T02:00:44Z</dcterms:modified>
</cp:coreProperties>
</file>