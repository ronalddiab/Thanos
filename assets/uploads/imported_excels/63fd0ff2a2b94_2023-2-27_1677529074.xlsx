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19 Anouar\"/>
    </mc:Choice>
  </mc:AlternateContent>
  <xr:revisionPtr revIDLastSave="0" documentId="13_ncr:1_{3D5B1438-AEF3-4252-844C-02717CC7B372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énergie'!$A$1:$Y$54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2" l="1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L28" i="22"/>
  <c r="K29" i="22"/>
  <c r="L29" i="22"/>
  <c r="K30" i="22"/>
  <c r="L30" i="22"/>
  <c r="K31" i="22"/>
  <c r="L31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" i="21"/>
  <c r="F3" i="21"/>
  <c r="G3" i="21"/>
  <c r="H3" i="21"/>
  <c r="I3" i="21"/>
  <c r="E4" i="21"/>
  <c r="F4" i="21"/>
  <c r="G4" i="21"/>
  <c r="H4" i="21"/>
  <c r="I4" i="21"/>
  <c r="E5" i="21"/>
  <c r="F5" i="21"/>
  <c r="G5" i="21"/>
  <c r="H5" i="21"/>
  <c r="I5" i="21"/>
  <c r="E6" i="21"/>
  <c r="F6" i="21"/>
  <c r="G6" i="21"/>
  <c r="H6" i="21"/>
  <c r="I6" i="21"/>
  <c r="E7" i="21"/>
  <c r="F7" i="21"/>
  <c r="G7" i="21"/>
  <c r="H7" i="21"/>
  <c r="I7" i="21"/>
  <c r="E8" i="21"/>
  <c r="F8" i="21"/>
  <c r="G8" i="21"/>
  <c r="H8" i="21"/>
  <c r="I8" i="21"/>
  <c r="E9" i="21"/>
  <c r="F9" i="21"/>
  <c r="G9" i="21"/>
  <c r="H9" i="21"/>
  <c r="I9" i="21"/>
  <c r="E10" i="21"/>
  <c r="F10" i="21"/>
  <c r="G10" i="21"/>
  <c r="H10" i="21"/>
  <c r="I10" i="21"/>
  <c r="E11" i="21"/>
  <c r="F11" i="21"/>
  <c r="G11" i="21"/>
  <c r="H11" i="21"/>
  <c r="I11" i="21"/>
  <c r="E12" i="21"/>
  <c r="F12" i="21"/>
  <c r="G12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V11" i="2"/>
  <c r="V12" i="2"/>
  <c r="V13" i="2"/>
  <c r="V14" i="2"/>
  <c r="V15" i="2"/>
  <c r="V16" i="2"/>
  <c r="X16" i="2" s="1"/>
  <c r="V17" i="2"/>
  <c r="V18" i="2"/>
  <c r="V19" i="2"/>
  <c r="V20" i="2"/>
  <c r="V21" i="2"/>
  <c r="V22" i="2"/>
  <c r="V23" i="2"/>
  <c r="V24" i="2"/>
  <c r="X24" i="2" s="1"/>
  <c r="V25" i="2"/>
  <c r="V26" i="2"/>
  <c r="V27" i="2"/>
  <c r="V28" i="2"/>
  <c r="V29" i="2"/>
  <c r="V30" i="2"/>
  <c r="V31" i="2"/>
  <c r="V32" i="2"/>
  <c r="X32" i="2" s="1"/>
  <c r="V33" i="2"/>
  <c r="V34" i="2"/>
  <c r="V35" i="2"/>
  <c r="V36" i="2"/>
  <c r="V37" i="2"/>
  <c r="V38" i="2"/>
  <c r="V39" i="2"/>
  <c r="F11" i="2"/>
  <c r="F12" i="2"/>
  <c r="F13" i="2"/>
  <c r="F14" i="2"/>
  <c r="F15" i="2"/>
  <c r="F16" i="2"/>
  <c r="H16" i="2" s="1"/>
  <c r="F17" i="2"/>
  <c r="F18" i="2"/>
  <c r="F19" i="2"/>
  <c r="F20" i="2"/>
  <c r="F21" i="2"/>
  <c r="F22" i="2"/>
  <c r="F23" i="2"/>
  <c r="F24" i="2"/>
  <c r="H24" i="2" s="1"/>
  <c r="F25" i="2"/>
  <c r="F26" i="2"/>
  <c r="F27" i="2"/>
  <c r="F28" i="2"/>
  <c r="F29" i="2"/>
  <c r="F30" i="2"/>
  <c r="F31" i="2"/>
  <c r="F32" i="2"/>
  <c r="H32" i="2" s="1"/>
  <c r="F33" i="2"/>
  <c r="F34" i="2"/>
  <c r="F35" i="2"/>
  <c r="F36" i="2"/>
  <c r="F37" i="2"/>
  <c r="F38" i="2"/>
  <c r="F39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Q20" i="2" s="1"/>
  <c r="L21" i="2"/>
  <c r="M21" i="2"/>
  <c r="N21" i="2"/>
  <c r="L22" i="2"/>
  <c r="M22" i="2"/>
  <c r="N22" i="2"/>
  <c r="L23" i="2"/>
  <c r="M23" i="2"/>
  <c r="Q23" i="2" s="1"/>
  <c r="N23" i="2"/>
  <c r="L24" i="2"/>
  <c r="M24" i="2"/>
  <c r="N24" i="2"/>
  <c r="L25" i="2"/>
  <c r="M25" i="2"/>
  <c r="N25" i="2"/>
  <c r="L26" i="2"/>
  <c r="Q26" i="2" s="1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Q34" i="2" s="1"/>
  <c r="M34" i="2"/>
  <c r="N34" i="2"/>
  <c r="L35" i="2"/>
  <c r="M35" i="2"/>
  <c r="N35" i="2"/>
  <c r="L36" i="2"/>
  <c r="M36" i="2"/>
  <c r="N36" i="2"/>
  <c r="Q36" i="2" s="1"/>
  <c r="L37" i="2"/>
  <c r="M37" i="2"/>
  <c r="N37" i="2"/>
  <c r="L38" i="2"/>
  <c r="M38" i="2"/>
  <c r="N38" i="2"/>
  <c r="L39" i="2"/>
  <c r="M39" i="2"/>
  <c r="Q39" i="2" s="1"/>
  <c r="N39" i="2"/>
  <c r="L49" i="2"/>
  <c r="N49" i="2" s="1"/>
  <c r="L48" i="2"/>
  <c r="N48" i="2" s="1"/>
  <c r="L47" i="2"/>
  <c r="N47" i="2" s="1"/>
  <c r="L46" i="2"/>
  <c r="N46" i="2" s="1"/>
  <c r="O5" i="4"/>
  <c r="O6" i="4"/>
  <c r="O7" i="4"/>
  <c r="O8" i="4"/>
  <c r="O9" i="4"/>
  <c r="O10" i="4"/>
  <c r="O11" i="4"/>
  <c r="O12" i="4"/>
  <c r="P12" i="4" s="1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P28" i="4" s="1"/>
  <c r="O29" i="4"/>
  <c r="O30" i="4"/>
  <c r="O31" i="4"/>
  <c r="O32" i="4"/>
  <c r="O33" i="4"/>
  <c r="H10" i="2"/>
  <c r="H11" i="2"/>
  <c r="H12" i="2"/>
  <c r="H13" i="2"/>
  <c r="H14" i="2"/>
  <c r="H15" i="2"/>
  <c r="H17" i="2"/>
  <c r="H18" i="2"/>
  <c r="H19" i="2"/>
  <c r="H20" i="2"/>
  <c r="H21" i="2"/>
  <c r="H22" i="2"/>
  <c r="H23" i="2"/>
  <c r="H25" i="2"/>
  <c r="H26" i="2"/>
  <c r="H27" i="2"/>
  <c r="H28" i="2"/>
  <c r="H29" i="2"/>
  <c r="H30" i="2"/>
  <c r="H31" i="2"/>
  <c r="H33" i="2"/>
  <c r="H34" i="2"/>
  <c r="H35" i="2"/>
  <c r="H36" i="2"/>
  <c r="H37" i="2"/>
  <c r="H38" i="2"/>
  <c r="H39" i="2"/>
  <c r="F10" i="2"/>
  <c r="X22" i="2"/>
  <c r="V10" i="2"/>
  <c r="N10" i="2"/>
  <c r="M10" i="2"/>
  <c r="L10" i="2"/>
  <c r="X13" i="2"/>
  <c r="X14" i="2"/>
  <c r="X15" i="2"/>
  <c r="X21" i="2"/>
  <c r="X23" i="2"/>
  <c r="X29" i="2"/>
  <c r="X30" i="2"/>
  <c r="X31" i="2"/>
  <c r="X37" i="2"/>
  <c r="X38" i="2"/>
  <c r="X39" i="2"/>
  <c r="X10" i="2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O37" i="2" s="1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Q32" i="2" s="1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O29" i="2" s="1"/>
  <c r="E28" i="6"/>
  <c r="C28" i="6"/>
  <c r="K27" i="6"/>
  <c r="I27" i="6"/>
  <c r="G27" i="6"/>
  <c r="E27" i="6"/>
  <c r="C27" i="6"/>
  <c r="K26" i="6"/>
  <c r="Q27" i="2" s="1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E23" i="6"/>
  <c r="K23" i="6"/>
  <c r="I23" i="6"/>
  <c r="G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O21" i="2" s="1"/>
  <c r="E20" i="6"/>
  <c r="C20" i="6"/>
  <c r="D29" i="19"/>
  <c r="K19" i="6"/>
  <c r="I19" i="6"/>
  <c r="G19" i="6"/>
  <c r="E19" i="6"/>
  <c r="C19" i="6"/>
  <c r="D29" i="10"/>
  <c r="I18" i="6"/>
  <c r="K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E14" i="6"/>
  <c r="E15" i="6"/>
  <c r="C11" i="6"/>
  <c r="C12" i="6"/>
  <c r="C13" i="6"/>
  <c r="C14" i="6"/>
  <c r="C15" i="6"/>
  <c r="C10" i="6"/>
  <c r="K13" i="6"/>
  <c r="K14" i="6"/>
  <c r="K15" i="6"/>
  <c r="I13" i="6"/>
  <c r="I14" i="6"/>
  <c r="I15" i="6"/>
  <c r="G13" i="6"/>
  <c r="G14" i="6"/>
  <c r="G15" i="6"/>
  <c r="E13" i="6"/>
  <c r="K12" i="6"/>
  <c r="I12" i="6"/>
  <c r="G12" i="6"/>
  <c r="E12" i="6"/>
  <c r="M7" i="4"/>
  <c r="J7" i="4"/>
  <c r="K7" i="4"/>
  <c r="M6" i="4"/>
  <c r="J6" i="4"/>
  <c r="K6" i="4"/>
  <c r="M5" i="4"/>
  <c r="J5" i="4"/>
  <c r="K5" i="4"/>
  <c r="M4" i="4"/>
  <c r="J4" i="4"/>
  <c r="K4" i="4"/>
  <c r="K11" i="6"/>
  <c r="I11" i="6"/>
  <c r="G11" i="6"/>
  <c r="E11" i="6"/>
  <c r="K10" i="6"/>
  <c r="I10" i="6"/>
  <c r="G10" i="6"/>
  <c r="E10" i="6"/>
  <c r="L2" i="22"/>
  <c r="K2" i="22"/>
  <c r="I2" i="22"/>
  <c r="G2" i="22"/>
  <c r="M2" i="22" s="1"/>
  <c r="I2" i="21"/>
  <c r="H2" i="21"/>
  <c r="D40" i="2"/>
  <c r="E40" i="2"/>
  <c r="F2" i="21"/>
  <c r="G2" i="21"/>
  <c r="E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J20" i="4"/>
  <c r="K20" i="4"/>
  <c r="AC30" i="4"/>
  <c r="G8" i="11"/>
  <c r="B13" i="11"/>
  <c r="F13" i="11"/>
  <c r="E29" i="10"/>
  <c r="F29" i="10"/>
  <c r="H29" i="10"/>
  <c r="I29" i="10"/>
  <c r="G8" i="18"/>
  <c r="B13" i="18"/>
  <c r="F13" i="18"/>
  <c r="E18" i="19"/>
  <c r="F18" i="19"/>
  <c r="F18" i="20"/>
  <c r="F17" i="20"/>
  <c r="F16" i="20"/>
  <c r="G8" i="20"/>
  <c r="B13" i="20"/>
  <c r="F13" i="20"/>
  <c r="Q14" i="2"/>
  <c r="Q17" i="2"/>
  <c r="Q31" i="2"/>
  <c r="Q35" i="2"/>
  <c r="Q10" i="2"/>
  <c r="E17" i="19"/>
  <c r="D25" i="19"/>
  <c r="F25" i="19"/>
  <c r="H31" i="19"/>
  <c r="I31" i="19"/>
  <c r="H30" i="19"/>
  <c r="I30" i="19"/>
  <c r="F29" i="19"/>
  <c r="H29" i="19"/>
  <c r="I29" i="19"/>
  <c r="F28" i="19"/>
  <c r="E19" i="19"/>
  <c r="D27" i="19"/>
  <c r="F27" i="19"/>
  <c r="H27" i="19"/>
  <c r="I27" i="19"/>
  <c r="AC33" i="4"/>
  <c r="E33" i="4"/>
  <c r="AC16" i="4"/>
  <c r="AC17" i="4"/>
  <c r="AC10" i="4"/>
  <c r="I10" i="4" s="1"/>
  <c r="C10" i="4"/>
  <c r="AC11" i="4"/>
  <c r="AC13" i="4"/>
  <c r="I13" i="4" s="1"/>
  <c r="G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C21" i="4"/>
  <c r="AC22" i="4"/>
  <c r="G22" i="4"/>
  <c r="AC23" i="4"/>
  <c r="E23" i="4" s="1"/>
  <c r="I23" i="4"/>
  <c r="AC24" i="4"/>
  <c r="C24" i="4"/>
  <c r="AC25" i="4"/>
  <c r="E25" i="4"/>
  <c r="AC12" i="4"/>
  <c r="C12" i="4"/>
  <c r="O10" i="2"/>
  <c r="F20" i="18"/>
  <c r="F21" i="18"/>
  <c r="F22" i="18"/>
  <c r="B23" i="18"/>
  <c r="F23" i="18"/>
  <c r="F24" i="18"/>
  <c r="F28" i="18"/>
  <c r="F16" i="11"/>
  <c r="F17" i="11"/>
  <c r="F18" i="11"/>
  <c r="E17" i="10"/>
  <c r="I17" i="10"/>
  <c r="E18" i="10"/>
  <c r="D26" i="10"/>
  <c r="F26" i="10"/>
  <c r="H26" i="10"/>
  <c r="I26" i="10"/>
  <c r="E19" i="10"/>
  <c r="I19" i="10"/>
  <c r="F28" i="10"/>
  <c r="H28" i="10"/>
  <c r="I28" i="10"/>
  <c r="H30" i="10"/>
  <c r="I30" i="10"/>
  <c r="H31" i="10"/>
  <c r="I31" i="10"/>
  <c r="AC4" i="4"/>
  <c r="C4" i="4"/>
  <c r="AD4" i="4"/>
  <c r="AE4" i="4"/>
  <c r="AC5" i="4"/>
  <c r="AD5" i="4"/>
  <c r="AE5" i="4"/>
  <c r="AC6" i="4"/>
  <c r="AD6" i="4"/>
  <c r="AE6" i="4"/>
  <c r="AC7" i="4"/>
  <c r="E7" i="4" s="1"/>
  <c r="G7" i="4"/>
  <c r="AD7" i="4"/>
  <c r="AE7" i="4"/>
  <c r="J8" i="4"/>
  <c r="K8" i="4"/>
  <c r="M8" i="4"/>
  <c r="AC8" i="4"/>
  <c r="G8" i="4"/>
  <c r="AD8" i="4"/>
  <c r="AE8" i="4"/>
  <c r="J9" i="4"/>
  <c r="K9" i="4"/>
  <c r="M9" i="4"/>
  <c r="AC9" i="4"/>
  <c r="G9" i="4"/>
  <c r="I9" i="4"/>
  <c r="AD9" i="4"/>
  <c r="AE9" i="4"/>
  <c r="J10" i="4"/>
  <c r="K10" i="4"/>
  <c r="M10" i="4"/>
  <c r="AD10" i="4"/>
  <c r="AE10" i="4"/>
  <c r="J11" i="4"/>
  <c r="K11" i="4"/>
  <c r="M11" i="4"/>
  <c r="AD11" i="4"/>
  <c r="AE11" i="4"/>
  <c r="J12" i="4"/>
  <c r="K12" i="4"/>
  <c r="M12" i="4"/>
  <c r="AD12" i="4"/>
  <c r="AE12" i="4"/>
  <c r="J13" i="4"/>
  <c r="K13" i="4"/>
  <c r="M13" i="4"/>
  <c r="AD13" i="4"/>
  <c r="AE13" i="4"/>
  <c r="J14" i="4"/>
  <c r="K14" i="4"/>
  <c r="L13" i="4"/>
  <c r="N13" i="4"/>
  <c r="M14" i="4"/>
  <c r="AC14" i="4"/>
  <c r="I14" i="4"/>
  <c r="J15" i="4"/>
  <c r="K15" i="4"/>
  <c r="L14" i="4"/>
  <c r="N14" i="4"/>
  <c r="M15" i="4"/>
  <c r="AC15" i="4"/>
  <c r="G15" i="4"/>
  <c r="J16" i="4"/>
  <c r="K16" i="4"/>
  <c r="L15" i="4"/>
  <c r="N15" i="4"/>
  <c r="P15" i="4"/>
  <c r="M16" i="4"/>
  <c r="J17" i="4"/>
  <c r="K17" i="4"/>
  <c r="L16" i="4"/>
  <c r="N16" i="4"/>
  <c r="M17" i="4"/>
  <c r="J18" i="4"/>
  <c r="K18" i="4"/>
  <c r="L17" i="4"/>
  <c r="N17" i="4"/>
  <c r="M18" i="4"/>
  <c r="AC18" i="4"/>
  <c r="J19" i="4"/>
  <c r="K19" i="4"/>
  <c r="L18" i="4"/>
  <c r="N18" i="4"/>
  <c r="P18" i="4"/>
  <c r="M19" i="4"/>
  <c r="AC19" i="4"/>
  <c r="M20" i="4"/>
  <c r="AC20" i="4"/>
  <c r="I20" i="4" s="1"/>
  <c r="E20" i="4"/>
  <c r="G20" i="4"/>
  <c r="J21" i="4"/>
  <c r="K21" i="4"/>
  <c r="L20" i="4"/>
  <c r="N20" i="4"/>
  <c r="M21" i="4"/>
  <c r="J22" i="4"/>
  <c r="K22" i="4"/>
  <c r="L21" i="4"/>
  <c r="N21" i="4"/>
  <c r="M22" i="4"/>
  <c r="J23" i="4"/>
  <c r="K23" i="4"/>
  <c r="M23" i="4"/>
  <c r="J24" i="4"/>
  <c r="K24" i="4"/>
  <c r="L23" i="4"/>
  <c r="N23" i="4"/>
  <c r="M24" i="4"/>
  <c r="J25" i="4"/>
  <c r="K25" i="4"/>
  <c r="L24" i="4"/>
  <c r="N24" i="4"/>
  <c r="M25" i="4"/>
  <c r="AD25" i="4"/>
  <c r="J26" i="4"/>
  <c r="K26" i="4"/>
  <c r="L25" i="4"/>
  <c r="N25" i="4"/>
  <c r="P25" i="4"/>
  <c r="M26" i="4"/>
  <c r="AC26" i="4"/>
  <c r="E26" i="4" s="1"/>
  <c r="AD26" i="4"/>
  <c r="J27" i="4"/>
  <c r="K27" i="4"/>
  <c r="L26" i="4"/>
  <c r="N26" i="4"/>
  <c r="P26" i="4"/>
  <c r="M27" i="4"/>
  <c r="AC27" i="4"/>
  <c r="G27" i="4" s="1"/>
  <c r="C27" i="4"/>
  <c r="AD27" i="4"/>
  <c r="J28" i="4"/>
  <c r="K28" i="4"/>
  <c r="L27" i="4"/>
  <c r="N27" i="4"/>
  <c r="M28" i="4"/>
  <c r="AC28" i="4"/>
  <c r="AD28" i="4"/>
  <c r="J29" i="4"/>
  <c r="K29" i="4"/>
  <c r="L28" i="4"/>
  <c r="N28" i="4"/>
  <c r="M29" i="4"/>
  <c r="AC29" i="4"/>
  <c r="G29" i="4" s="1"/>
  <c r="E29" i="4"/>
  <c r="AD29" i="4"/>
  <c r="J30" i="4"/>
  <c r="K30" i="4"/>
  <c r="L29" i="4"/>
  <c r="N29" i="4"/>
  <c r="M30" i="4"/>
  <c r="AD30" i="4"/>
  <c r="AE30" i="4"/>
  <c r="J31" i="4"/>
  <c r="K31" i="4"/>
  <c r="L30" i="4"/>
  <c r="N30" i="4"/>
  <c r="M31" i="4"/>
  <c r="AC31" i="4"/>
  <c r="I31" i="4" s="1"/>
  <c r="C31" i="4"/>
  <c r="AD31" i="4"/>
  <c r="AE31" i="4"/>
  <c r="J32" i="4"/>
  <c r="K32" i="4"/>
  <c r="L31" i="4"/>
  <c r="N31" i="4"/>
  <c r="M32" i="4"/>
  <c r="AC32" i="4"/>
  <c r="AD32" i="4"/>
  <c r="AE32" i="4"/>
  <c r="J33" i="4"/>
  <c r="K33" i="4"/>
  <c r="L32" i="4"/>
  <c r="N32" i="4"/>
  <c r="P32" i="4"/>
  <c r="M33" i="4"/>
  <c r="AD33" i="4"/>
  <c r="AE33" i="4"/>
  <c r="J34" i="4"/>
  <c r="K34" i="4"/>
  <c r="L33" i="4"/>
  <c r="N33" i="4"/>
  <c r="P33" i="4"/>
  <c r="M34" i="4"/>
  <c r="AC34" i="4"/>
  <c r="C34" i="4" s="1"/>
  <c r="I34" i="4"/>
  <c r="AD34" i="4"/>
  <c r="AE34" i="4"/>
  <c r="J35" i="4"/>
  <c r="K35" i="4"/>
  <c r="M35" i="4"/>
  <c r="AC35" i="4"/>
  <c r="G35" i="4"/>
  <c r="AD35" i="4"/>
  <c r="AE35" i="4"/>
  <c r="J36" i="4"/>
  <c r="K36" i="4"/>
  <c r="L35" i="4"/>
  <c r="N35" i="4"/>
  <c r="O35" i="4"/>
  <c r="P35" i="4" s="1"/>
  <c r="M36" i="4"/>
  <c r="AC36" i="4"/>
  <c r="AD36" i="4"/>
  <c r="AE36" i="4"/>
  <c r="J37" i="4"/>
  <c r="K37" i="4"/>
  <c r="M37" i="4"/>
  <c r="AC37" i="4"/>
  <c r="AD37" i="4"/>
  <c r="AE37" i="4"/>
  <c r="J38" i="4"/>
  <c r="K38" i="4"/>
  <c r="L37" i="4"/>
  <c r="M38" i="4"/>
  <c r="AC38" i="4"/>
  <c r="I38" i="4"/>
  <c r="AD38" i="4"/>
  <c r="AE38" i="4"/>
  <c r="J39" i="4"/>
  <c r="K39" i="4"/>
  <c r="M39" i="4"/>
  <c r="AC39" i="4"/>
  <c r="C39" i="4"/>
  <c r="AD39" i="4"/>
  <c r="AE39" i="4"/>
  <c r="J40" i="4"/>
  <c r="K40" i="4"/>
  <c r="M40" i="4"/>
  <c r="AC40" i="4"/>
  <c r="AD40" i="4"/>
  <c r="AE40" i="4"/>
  <c r="J41" i="4"/>
  <c r="K41" i="4"/>
  <c r="M41" i="4"/>
  <c r="AC41" i="4"/>
  <c r="G41" i="4"/>
  <c r="E41" i="4"/>
  <c r="AD41" i="4"/>
  <c r="AE41" i="4"/>
  <c r="J42" i="4"/>
  <c r="K42" i="4"/>
  <c r="M42" i="4"/>
  <c r="AC42" i="4"/>
  <c r="C42" i="4"/>
  <c r="AD42" i="4"/>
  <c r="AE42" i="4"/>
  <c r="Q43" i="4"/>
  <c r="T43" i="4"/>
  <c r="W43" i="4"/>
  <c r="Z43" i="4"/>
  <c r="S40" i="2"/>
  <c r="U40" i="2"/>
  <c r="I41" i="4"/>
  <c r="I42" i="4"/>
  <c r="G38" i="4"/>
  <c r="L42" i="4"/>
  <c r="N42" i="4"/>
  <c r="O42" i="4"/>
  <c r="P42" i="4"/>
  <c r="G39" i="4"/>
  <c r="C38" i="4"/>
  <c r="L41" i="4"/>
  <c r="N41" i="4"/>
  <c r="O41" i="4"/>
  <c r="P41" i="4"/>
  <c r="C41" i="4"/>
  <c r="N37" i="4"/>
  <c r="O37" i="4"/>
  <c r="P37" i="4" s="1"/>
  <c r="E38" i="4"/>
  <c r="E42" i="4"/>
  <c r="G42" i="4"/>
  <c r="L38" i="4"/>
  <c r="N38" i="4"/>
  <c r="O38" i="4"/>
  <c r="P38" i="4" s="1"/>
  <c r="D27" i="10"/>
  <c r="F27" i="10"/>
  <c r="H27" i="10"/>
  <c r="I27" i="10"/>
  <c r="F19" i="10"/>
  <c r="G28" i="4"/>
  <c r="C20" i="4"/>
  <c r="H28" i="19"/>
  <c r="I28" i="19"/>
  <c r="G21" i="4"/>
  <c r="F17" i="10"/>
  <c r="G33" i="4"/>
  <c r="I33" i="4"/>
  <c r="C33" i="4"/>
  <c r="I18" i="19"/>
  <c r="E21" i="4"/>
  <c r="I21" i="4"/>
  <c r="L34" i="4"/>
  <c r="N34" i="4"/>
  <c r="O34" i="4"/>
  <c r="P34" i="4" s="1"/>
  <c r="L4" i="4"/>
  <c r="N4" i="4"/>
  <c r="O4" i="4"/>
  <c r="P4" i="4" s="1"/>
  <c r="J2" i="21"/>
  <c r="C37" i="4"/>
  <c r="E37" i="4"/>
  <c r="I37" i="4"/>
  <c r="G37" i="4"/>
  <c r="C32" i="4"/>
  <c r="G32" i="4"/>
  <c r="I32" i="4"/>
  <c r="E32" i="4"/>
  <c r="G40" i="4"/>
  <c r="C40" i="4"/>
  <c r="E40" i="4"/>
  <c r="I40" i="4"/>
  <c r="L40" i="4"/>
  <c r="N40" i="4"/>
  <c r="O40" i="4"/>
  <c r="P40" i="4"/>
  <c r="C36" i="4"/>
  <c r="E36" i="4"/>
  <c r="L36" i="4"/>
  <c r="N36" i="4"/>
  <c r="O36" i="4"/>
  <c r="P36" i="4" s="1"/>
  <c r="G36" i="4"/>
  <c r="I36" i="4"/>
  <c r="C14" i="4"/>
  <c r="G14" i="4"/>
  <c r="E14" i="4"/>
  <c r="E5" i="4"/>
  <c r="G5" i="4"/>
  <c r="C5" i="4"/>
  <c r="L5" i="4"/>
  <c r="N5" i="4"/>
  <c r="I5" i="4"/>
  <c r="E30" i="4"/>
  <c r="G30" i="4"/>
  <c r="I30" i="4"/>
  <c r="C30" i="4"/>
  <c r="C28" i="4"/>
  <c r="E28" i="4"/>
  <c r="I28" i="4"/>
  <c r="I26" i="4"/>
  <c r="C26" i="4"/>
  <c r="G26" i="4"/>
  <c r="G24" i="4"/>
  <c r="E24" i="4"/>
  <c r="I24" i="4"/>
  <c r="I11" i="4"/>
  <c r="G11" i="4"/>
  <c r="E11" i="4"/>
  <c r="C11" i="4"/>
  <c r="L11" i="4"/>
  <c r="N11" i="4"/>
  <c r="P11" i="4"/>
  <c r="G16" i="4"/>
  <c r="E16" i="4"/>
  <c r="C16" i="4"/>
  <c r="I16" i="4"/>
  <c r="L39" i="4"/>
  <c r="N39" i="4"/>
  <c r="O39" i="4"/>
  <c r="P39" i="4" s="1"/>
  <c r="E34" i="4"/>
  <c r="C29" i="4"/>
  <c r="C22" i="4"/>
  <c r="G23" i="4"/>
  <c r="E39" i="4"/>
  <c r="I7" i="4"/>
  <c r="G12" i="4"/>
  <c r="L12" i="4"/>
  <c r="N12" i="4"/>
  <c r="E2" i="22"/>
  <c r="I29" i="4"/>
  <c r="I22" i="4"/>
  <c r="I15" i="4"/>
  <c r="E31" i="4"/>
  <c r="G34" i="4"/>
  <c r="E22" i="4"/>
  <c r="E12" i="4"/>
  <c r="E4" i="4"/>
  <c r="I39" i="4"/>
  <c r="E8" i="4"/>
  <c r="C8" i="4"/>
  <c r="I8" i="4"/>
  <c r="E13" i="4"/>
  <c r="C13" i="4"/>
  <c r="E17" i="4"/>
  <c r="C17" i="4"/>
  <c r="I17" i="4"/>
  <c r="I12" i="4"/>
  <c r="C23" i="4"/>
  <c r="C15" i="4"/>
  <c r="C9" i="4"/>
  <c r="G17" i="4"/>
  <c r="G4" i="4"/>
  <c r="C7" i="4"/>
  <c r="E15" i="4"/>
  <c r="E9" i="4"/>
  <c r="I4" i="4"/>
  <c r="I27" i="4"/>
  <c r="E27" i="4"/>
  <c r="G6" i="4"/>
  <c r="P5" i="4"/>
  <c r="AC43" i="4"/>
  <c r="E10" i="4"/>
  <c r="G10" i="4"/>
  <c r="L10" i="4"/>
  <c r="N10" i="4"/>
  <c r="P10" i="4"/>
  <c r="L8" i="4"/>
  <c r="N8" i="4"/>
  <c r="P8" i="4"/>
  <c r="L9" i="4"/>
  <c r="N9" i="4"/>
  <c r="P9" i="4"/>
  <c r="L6" i="4"/>
  <c r="N6" i="4"/>
  <c r="P6" i="4"/>
  <c r="L7" i="4"/>
  <c r="N7" i="4"/>
  <c r="P7" i="4"/>
  <c r="D26" i="19"/>
  <c r="F26" i="19"/>
  <c r="H26" i="19"/>
  <c r="I26" i="19"/>
  <c r="P13" i="4"/>
  <c r="P14" i="4"/>
  <c r="P16" i="4"/>
  <c r="P17" i="4"/>
  <c r="B20" i="20"/>
  <c r="F20" i="20"/>
  <c r="I19" i="19"/>
  <c r="E20" i="19"/>
  <c r="F17" i="19"/>
  <c r="F21" i="20"/>
  <c r="F22" i="20"/>
  <c r="F24" i="20"/>
  <c r="F25" i="20"/>
  <c r="H25" i="19"/>
  <c r="I25" i="19"/>
  <c r="I32" i="19"/>
  <c r="F32" i="19"/>
  <c r="I17" i="19"/>
  <c r="F19" i="19"/>
  <c r="P21" i="4"/>
  <c r="L22" i="4"/>
  <c r="N22" i="4"/>
  <c r="P22" i="4"/>
  <c r="Q44" i="4"/>
  <c r="AC44" i="4"/>
  <c r="K48" i="4"/>
  <c r="L48" i="4"/>
  <c r="M48" i="4" s="1"/>
  <c r="P23" i="4"/>
  <c r="P24" i="4"/>
  <c r="P27" i="4"/>
  <c r="P29" i="4"/>
  <c r="I18" i="10"/>
  <c r="F18" i="10"/>
  <c r="E20" i="10"/>
  <c r="D25" i="10"/>
  <c r="F25" i="10"/>
  <c r="P30" i="4"/>
  <c r="B19" i="11"/>
  <c r="F19" i="11"/>
  <c r="F20" i="11"/>
  <c r="P31" i="4"/>
  <c r="F21" i="11"/>
  <c r="F23" i="11"/>
  <c r="F24" i="11"/>
  <c r="F32" i="10"/>
  <c r="H25" i="10"/>
  <c r="I25" i="10"/>
  <c r="I32" i="10"/>
  <c r="M22" i="22" l="1"/>
  <c r="J15" i="21"/>
  <c r="M31" i="22"/>
  <c r="O20" i="2"/>
  <c r="M12" i="22"/>
  <c r="L40" i="2"/>
  <c r="I43" i="2" s="1"/>
  <c r="L43" i="2" s="1"/>
  <c r="O12" i="2"/>
  <c r="H40" i="2"/>
  <c r="Q19" i="2"/>
  <c r="Q33" i="2"/>
  <c r="Q28" i="2"/>
  <c r="M7" i="22"/>
  <c r="Q18" i="2"/>
  <c r="Q16" i="2"/>
  <c r="Q22" i="2"/>
  <c r="Q30" i="2"/>
  <c r="Q13" i="2"/>
  <c r="O13" i="2"/>
  <c r="O36" i="2"/>
  <c r="Q25" i="2"/>
  <c r="Q12" i="2"/>
  <c r="Q38" i="2"/>
  <c r="O28" i="2"/>
  <c r="M16" i="22"/>
  <c r="J16" i="21"/>
  <c r="J3" i="21"/>
  <c r="M3" i="22"/>
  <c r="J8" i="21"/>
  <c r="J14" i="21"/>
  <c r="J27" i="21"/>
  <c r="M27" i="22"/>
  <c r="J6" i="21"/>
  <c r="M6" i="22"/>
  <c r="J26" i="21"/>
  <c r="M5" i="22"/>
  <c r="J9" i="21"/>
  <c r="J12" i="21"/>
  <c r="M15" i="22"/>
  <c r="M23" i="22"/>
  <c r="J23" i="21"/>
  <c r="J31" i="21"/>
  <c r="J30" i="21"/>
  <c r="M30" i="22"/>
  <c r="M20" i="22"/>
  <c r="J20" i="21"/>
  <c r="M28" i="22"/>
  <c r="J28" i="21"/>
  <c r="J11" i="21"/>
  <c r="J17" i="21"/>
  <c r="J25" i="21"/>
  <c r="O35" i="2"/>
  <c r="O27" i="2"/>
  <c r="O19" i="2"/>
  <c r="O11" i="2"/>
  <c r="N40" i="2"/>
  <c r="I45" i="2" s="1"/>
  <c r="L45" i="2" s="1"/>
  <c r="Q24" i="2"/>
  <c r="Q15" i="2"/>
  <c r="O34" i="2"/>
  <c r="O26" i="2"/>
  <c r="O18" i="2"/>
  <c r="O33" i="2"/>
  <c r="O25" i="2"/>
  <c r="O17" i="2"/>
  <c r="M11" i="22"/>
  <c r="Q21" i="2"/>
  <c r="Q37" i="2"/>
  <c r="O32" i="2"/>
  <c r="O24" i="2"/>
  <c r="O16" i="2"/>
  <c r="J19" i="21"/>
  <c r="M40" i="2"/>
  <c r="I44" i="2" s="1"/>
  <c r="L44" i="2" s="1"/>
  <c r="O39" i="2"/>
  <c r="O31" i="2"/>
  <c r="O23" i="2"/>
  <c r="O15" i="2"/>
  <c r="J5" i="21"/>
  <c r="Q29" i="2"/>
  <c r="Q11" i="2"/>
  <c r="F40" i="2"/>
  <c r="I52" i="2" s="1"/>
  <c r="L52" i="2" s="1"/>
  <c r="N52" i="2" s="1"/>
  <c r="O38" i="2"/>
  <c r="O30" i="2"/>
  <c r="O22" i="2"/>
  <c r="O14" i="2"/>
  <c r="X26" i="2"/>
  <c r="X33" i="2"/>
  <c r="X25" i="2"/>
  <c r="X17" i="2"/>
  <c r="V40" i="2"/>
  <c r="I53" i="2" s="1"/>
  <c r="L53" i="2" s="1"/>
  <c r="N53" i="2" s="1"/>
  <c r="P20" i="4"/>
  <c r="X36" i="2"/>
  <c r="X28" i="2"/>
  <c r="X20" i="2"/>
  <c r="X12" i="2"/>
  <c r="X35" i="2"/>
  <c r="X27" i="2"/>
  <c r="X19" i="2"/>
  <c r="X11" i="2"/>
  <c r="I35" i="4"/>
  <c r="E35" i="4"/>
  <c r="C35" i="4"/>
  <c r="G19" i="4"/>
  <c r="E19" i="4"/>
  <c r="C19" i="4"/>
  <c r="I19" i="4"/>
  <c r="L19" i="4"/>
  <c r="N19" i="4" s="1"/>
  <c r="G18" i="4"/>
  <c r="E18" i="4"/>
  <c r="C18" i="4"/>
  <c r="I18" i="4"/>
  <c r="I6" i="4"/>
  <c r="E6" i="4"/>
  <c r="C6" i="4"/>
  <c r="F25" i="18"/>
  <c r="F29" i="18" s="1"/>
  <c r="C25" i="4"/>
  <c r="G25" i="4"/>
  <c r="I25" i="4"/>
  <c r="J22" i="21"/>
  <c r="M8" i="22"/>
  <c r="J7" i="21"/>
  <c r="M24" i="22" l="1"/>
  <c r="M4" i="22"/>
  <c r="M17" i="22"/>
  <c r="M25" i="22"/>
  <c r="J10" i="21"/>
  <c r="J4" i="21"/>
  <c r="J18" i="21"/>
  <c r="N43" i="2"/>
  <c r="N50" i="2" s="1"/>
  <c r="N51" i="2" s="1"/>
  <c r="O40" i="2"/>
  <c r="J29" i="21"/>
  <c r="M29" i="22"/>
  <c r="M13" i="22"/>
  <c r="J13" i="21"/>
  <c r="M18" i="22"/>
  <c r="M9" i="22"/>
  <c r="Q40" i="2"/>
  <c r="M14" i="22"/>
  <c r="M21" i="22"/>
  <c r="J21" i="21"/>
  <c r="J24" i="21"/>
  <c r="M19" i="22"/>
  <c r="X18" i="2"/>
  <c r="X40" i="2" s="1"/>
  <c r="M26" i="22"/>
  <c r="X34" i="2"/>
  <c r="P19" i="4"/>
  <c r="N43" i="4"/>
  <c r="M10" i="22" l="1"/>
  <c r="K47" i="4"/>
  <c r="O43" i="4"/>
  <c r="P43" i="4" l="1"/>
  <c r="M47" i="4" s="1"/>
  <c r="L47" i="4"/>
</calcChain>
</file>

<file path=xl/sharedStrings.xml><?xml version="1.0" encoding="utf-8"?>
<sst xmlns="http://schemas.openxmlformats.org/spreadsheetml/2006/main" count="471" uniqueCount="186">
  <si>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</si>
  <si>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</si>
  <si>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</si>
  <si>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</si>
  <si>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</si>
  <si>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</si>
  <si>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</si>
  <si>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</si>
  <si>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</si>
  <si>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</si>
  <si>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</si>
  <si>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</si>
  <si>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</si>
  <si>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</si>
  <si>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</si>
  <si>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</si>
  <si>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</si>
  <si>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</si>
  <si>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</si>
  <si>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</si>
  <si>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</si>
  <si>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</si>
  <si>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</si>
  <si>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</si>
  <si>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</si>
  <si>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</si>
  <si>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</si>
  <si>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</si>
  <si>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</si>
  <si>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</si>
  <si>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</si>
  <si>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</si>
  <si>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</si>
  <si>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</si>
  <si>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</si>
  <si>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</si>
  <si>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</si>
  <si>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</si>
  <si>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</si>
  <si>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</si>
  <si>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</si>
  <si>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June 2019</t>
  </si>
  <si>
    <t>Département Engineering 2019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</si>
  <si>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</si>
  <si>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</si>
  <si>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</si>
  <si>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</si>
  <si>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</si>
  <si>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</si>
  <si>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</si>
  <si>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</si>
  <si>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</si>
  <si>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</si>
  <si>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</si>
  <si>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</si>
  <si>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</si>
  <si>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</si>
  <si>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June 2019</t>
  </si>
  <si>
    <t>a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</si>
  <si>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</si>
  <si>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</si>
  <si>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</si>
  <si>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</si>
  <si>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</si>
  <si>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</si>
  <si>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</si>
  <si>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</si>
  <si>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</si>
  <si>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</si>
  <si>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</si>
  <si>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</si>
  <si>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</si>
  <si>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</si>
  <si>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</si>
  <si>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</si>
  <si>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</si>
  <si>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</si>
  <si>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</si>
  <si>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</si>
  <si>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</si>
  <si>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</si>
  <si>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</si>
  <si>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</si>
  <si>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</si>
  <si>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</si>
  <si>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</si>
  <si>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</si>
  <si>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</si>
  <si>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2019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</si>
  <si>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</si>
  <si>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</si>
  <si>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</si>
  <si>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</si>
  <si>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</si>
  <si>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</si>
  <si>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</si>
  <si>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</si>
  <si>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</si>
  <si>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</si>
  <si>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</si>
  <si>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</si>
  <si>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</si>
  <si>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</si>
  <si>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</si>
  <si>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</si>
  <si>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</si>
  <si>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</si>
  <si>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</si>
  <si>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</si>
  <si>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</si>
  <si>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</si>
  <si>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</si>
  <si>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</si>
  <si>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</si>
  <si>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</si>
  <si>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</si>
  <si>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</si>
  <si>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</si>
  <si>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</si>
  <si>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</si>
  <si>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</si>
  <si>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</si>
  <si>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</si>
  <si>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</si>
  <si>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</si>
  <si>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</si>
  <si>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</si>
  <si>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</si>
  <si>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</si>
  <si>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</si>
  <si>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</si>
  <si>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</si>
  <si>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June 2019</t>
  </si>
  <si>
    <t>Estimation de la consommation d'Eau Sanitaire June 2019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</si>
  <si>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</si>
  <si>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</si>
  <si>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</si>
  <si>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</si>
  <si>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</si>
  <si>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</si>
  <si>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</si>
  <si>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</si>
  <si>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</si>
  <si>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</si>
  <si>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</si>
  <si>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</si>
  <si>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</si>
  <si>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</si>
  <si>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</si>
  <si>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</si>
  <si>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</si>
  <si>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</si>
  <si>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</si>
  <si>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</si>
  <si>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</si>
  <si>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June 2019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</si>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</sst>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i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3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6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9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9" xfId="0" applyBorder="1"/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29" fillId="17" borderId="23" xfId="0" applyFont="1" applyFill="1" applyBorder="1"/>
    <xf numFmtId="0" fontId="29" fillId="17" borderId="24" xfId="0" applyFont="1" applyFill="1" applyBorder="1"/>
    <xf numFmtId="0" fontId="0" fillId="0" borderId="25" xfId="0" applyBorder="1"/>
    <xf numFmtId="0" fontId="28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6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0" fillId="0" borderId="22" xfId="0" applyFont="1" applyBorder="1"/>
    <xf numFmtId="0" fontId="30" fillId="0" borderId="27" xfId="0" applyFont="1" applyBorder="1" applyAlignment="1">
      <alignment horizontal="right" vertical="center"/>
    </xf>
    <xf numFmtId="0" fontId="31" fillId="18" borderId="22" xfId="0" applyFont="1" applyFill="1" applyBorder="1" applyAlignment="1">
      <alignment horizontal="right"/>
    </xf>
    <xf numFmtId="0" fontId="30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2" fillId="18" borderId="7" xfId="0" applyFont="1" applyFill="1" applyBorder="1" applyAlignment="1">
      <alignment horizontal="center" vertical="center"/>
    </xf>
    <xf numFmtId="0" fontId="33" fillId="0" borderId="19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2" fillId="18" borderId="9" xfId="0" applyFont="1" applyFill="1" applyBorder="1" applyAlignment="1">
      <alignment horizontal="center" vertical="center"/>
    </xf>
    <xf numFmtId="0" fontId="33" fillId="0" borderId="25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164" fontId="6" fillId="19" borderId="5" xfId="1" applyNumberFormat="1" applyFont="1" applyFill="1" applyBorder="1" applyAlignment="1" applyProtection="1">
      <alignment horizontal="center" vertical="center"/>
      <protection hidden="1"/>
    </xf>
    <xf numFmtId="164" fontId="6" fillId="19" borderId="7" xfId="1" applyNumberFormat="1" applyFont="1" applyFill="1" applyBorder="1" applyAlignment="1" applyProtection="1">
      <alignment horizontal="center" vertical="center"/>
      <protection hidden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6" fillId="17" borderId="10" xfId="0" applyNumberFormat="1" applyFont="1" applyFill="1" applyBorder="1"/>
    <xf numFmtId="0" fontId="26" fillId="20" borderId="10" xfId="0" applyFont="1" applyFill="1" applyBorder="1"/>
    <xf numFmtId="0" fontId="26" fillId="0" borderId="10" xfId="0" applyFont="1" applyBorder="1"/>
    <xf numFmtId="0" fontId="26" fillId="0" borderId="0" xfId="0" applyFont="1"/>
    <xf numFmtId="0" fontId="26" fillId="0" borderId="24" xfId="0" applyFont="1" applyBorder="1"/>
    <xf numFmtId="0" fontId="27" fillId="0" borderId="10" xfId="0" applyFont="1" applyBorder="1"/>
    <xf numFmtId="0" fontId="28" fillId="0" borderId="10" xfId="0" applyFont="1" applyBorder="1"/>
    <xf numFmtId="0" fontId="28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6" fillId="0" borderId="19" xfId="0" applyNumberFormat="1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4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6" fillId="0" borderId="32" xfId="0" applyFont="1" applyBorder="1" applyAlignment="1">
      <alignment wrapText="1"/>
    </xf>
    <xf numFmtId="0" fontId="26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6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5" fillId="0" borderId="32" xfId="0" applyFont="1" applyBorder="1" applyAlignment="1">
      <alignment horizontal="center"/>
    </xf>
    <xf numFmtId="1" fontId="35" fillId="0" borderId="3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26" fillId="0" borderId="32" xfId="0" applyFont="1" applyBorder="1" applyAlignment="1">
      <alignment horizontal="center" wrapText="1"/>
    </xf>
    <xf numFmtId="0" fontId="37" fillId="15" borderId="2" xfId="0" applyFont="1" applyFill="1" applyBorder="1" applyAlignment="1">
      <alignment horizontal="center" vertical="center"/>
    </xf>
    <xf numFmtId="0" fontId="3" fillId="0" borderId="0" xfId="0" applyFont="1"/>
    <xf numFmtId="1" fontId="26" fillId="0" borderId="32" xfId="0" applyNumberFormat="1" applyFont="1" applyBorder="1" applyAlignment="1">
      <alignment horizontal="center" wrapText="1"/>
    </xf>
    <xf numFmtId="2" fontId="38" fillId="6" borderId="3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4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9" xfId="0" applyNumberFormat="1" applyFont="1" applyFill="1" applyBorder="1" applyAlignment="1">
      <alignment horizontal="center" vertical="center" wrapText="1"/>
    </xf>
    <xf numFmtId="2" fontId="11" fillId="6" borderId="4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9" xfId="0" applyNumberFormat="1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 wrapText="1"/>
    </xf>
    <xf numFmtId="2" fontId="25" fillId="7" borderId="34" xfId="0" applyNumberFormat="1" applyFont="1" applyFill="1" applyBorder="1" applyAlignment="1">
      <alignment horizontal="center" vertical="center" wrapText="1"/>
    </xf>
    <xf numFmtId="2" fontId="25" fillId="7" borderId="40" xfId="0" applyNumberFormat="1" applyFont="1" applyFill="1" applyBorder="1" applyAlignment="1">
      <alignment horizontal="center" vertical="center" wrapText="1"/>
    </xf>
    <xf numFmtId="2" fontId="25" fillId="7" borderId="5" xfId="0" applyNumberFormat="1" applyFont="1" applyFill="1" applyBorder="1" applyAlignment="1">
      <alignment horizontal="center" vertical="center" wrapText="1"/>
    </xf>
    <xf numFmtId="2" fontId="25" fillId="7" borderId="15" xfId="0" applyNumberFormat="1" applyFont="1" applyFill="1" applyBorder="1" applyAlignment="1">
      <alignment horizontal="center" vertical="center" wrapText="1"/>
    </xf>
    <xf numFmtId="2" fontId="25" fillId="7" borderId="0" xfId="0" applyNumberFormat="1" applyFont="1" applyFill="1" applyAlignment="1">
      <alignment horizontal="center" vertical="center" wrapText="1"/>
    </xf>
    <xf numFmtId="2" fontId="25" fillId="7" borderId="41" xfId="0" applyNumberFormat="1" applyFont="1" applyFill="1" applyBorder="1" applyAlignment="1">
      <alignment horizontal="center" vertical="center" wrapText="1"/>
    </xf>
    <xf numFmtId="2" fontId="25" fillId="7" borderId="31" xfId="0" applyNumberFormat="1" applyFont="1" applyFill="1" applyBorder="1" applyAlignment="1">
      <alignment horizontal="center" vertical="center" wrapText="1"/>
    </xf>
    <xf numFmtId="2" fontId="25" fillId="7" borderId="32" xfId="0" applyNumberFormat="1" applyFont="1" applyFill="1" applyBorder="1" applyAlignment="1">
      <alignment horizontal="center" vertical="center" wrapText="1"/>
    </xf>
    <xf numFmtId="2" fontId="25" fillId="7" borderId="8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1" fillId="6" borderId="39" xfId="0" applyNumberFormat="1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4" xfId="0" applyNumberFormat="1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10" fillId="26" borderId="30" xfId="0" applyFont="1" applyFill="1" applyBorder="1" applyAlignment="1">
      <alignment horizontal="center" vertical="center"/>
    </xf>
    <xf numFmtId="0" fontId="10" fillId="26" borderId="3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9" fillId="15" borderId="7" xfId="0" applyFont="1" applyFill="1" applyBorder="1" applyAlignment="1">
      <alignment horizontal="center" vertical="center" wrapText="1"/>
    </xf>
    <xf numFmtId="0" fontId="39" fillId="15" borderId="9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9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12" borderId="52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33" fillId="0" borderId="26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5" fillId="0" borderId="10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3" xfId="0" applyBorder="1" applyAlignment="1">
      <alignment horizontal="left" vertical="top"/>
    </xf>
    <xf numFmtId="0" fontId="30" fillId="0" borderId="27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0" fillId="0" borderId="53" xfId="0" applyFont="1" applyBorder="1" applyAlignment="1">
      <alignment horizontal="left" vertical="top"/>
    </xf>
    <xf numFmtId="0" fontId="30" fillId="0" borderId="46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4" xfId="0" applyBorder="1" applyAlignment="1">
      <alignment horizontal="center"/>
    </xf>
    <xf numFmtId="0" fontId="28" fillId="0" borderId="55" xfId="0" applyFont="1" applyBorder="1" applyAlignment="1">
      <alignment horizontal="left" vertical="center"/>
    </xf>
    <xf numFmtId="0" fontId="28" fillId="0" borderId="56" xfId="0" applyFont="1" applyBorder="1" applyAlignment="1">
      <alignment horizontal="left" vertical="center"/>
    </xf>
    <xf numFmtId="0" fontId="28" fillId="0" borderId="57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/>
    </xf>
    <xf numFmtId="0" fontId="28" fillId="0" borderId="1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3" xfId="0" applyBorder="1" applyAlignment="1">
      <alignment horizontal="center"/>
    </xf>
    <xf numFmtId="0" fontId="40" fillId="17" borderId="28" xfId="0" applyFont="1" applyFill="1" applyBorder="1" applyAlignment="1">
      <alignment horizontal="left"/>
    </xf>
    <xf numFmtId="0" fontId="40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8" fillId="0" borderId="18" xfId="0" applyFont="1" applyBorder="1" applyAlignment="1">
      <alignment horizontal="center" wrapText="1"/>
    </xf>
    <xf numFmtId="0" fontId="28" fillId="0" borderId="4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6" xfId="0" applyNumberFormat="1" applyFont="1" applyBorder="1" applyAlignment="1">
      <alignment horizontal="center" vertical="center" readingOrder="2"/>
    </xf>
    <xf numFmtId="14" fontId="0" fillId="0" borderId="48" xfId="0" applyNumberFormat="1" applyBorder="1" applyAlignment="1">
      <alignment horizontal="center" vertical="center" readingOrder="2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left"/>
    </xf>
    <xf numFmtId="0" fontId="28" fillId="0" borderId="47" xfId="0" applyFont="1" applyBorder="1" applyAlignment="1">
      <alignment horizontal="left"/>
    </xf>
    <xf numFmtId="0" fontId="28" fillId="0" borderId="48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6" fillId="27" borderId="26" xfId="0" applyFont="1" applyFill="1" applyBorder="1" applyAlignment="1">
      <alignment horizontal="left"/>
    </xf>
    <xf numFmtId="0" fontId="26" fillId="27" borderId="19" xfId="0" applyFont="1" applyFill="1" applyBorder="1" applyAlignment="1">
      <alignment horizontal="left"/>
    </xf>
    <xf numFmtId="0" fontId="26" fillId="27" borderId="29" xfId="0" applyFont="1" applyFill="1" applyBorder="1" applyAlignment="1">
      <alignment horizontal="left"/>
    </xf>
    <xf numFmtId="0" fontId="26" fillId="27" borderId="28" xfId="0" applyFont="1" applyFill="1" applyBorder="1" applyAlignment="1">
      <alignment horizontal="left"/>
    </xf>
    <xf numFmtId="0" fontId="26" fillId="27" borderId="25" xfId="0" applyFont="1" applyFill="1" applyBorder="1" applyAlignment="1">
      <alignment horizontal="left"/>
    </xf>
    <xf numFmtId="0" fontId="26" fillId="27" borderId="24" xfId="0" applyFont="1" applyFill="1" applyBorder="1" applyAlignment="1">
      <alignment horizontal="left"/>
    </xf>
    <xf numFmtId="0" fontId="45" fillId="27" borderId="10" xfId="0" applyFont="1" applyFill="1" applyBorder="1" applyAlignment="1">
      <alignment horizontal="center"/>
    </xf>
    <xf numFmtId="0" fontId="46" fillId="18" borderId="46" xfId="0" applyFont="1" applyFill="1" applyBorder="1" applyAlignment="1">
      <alignment horizontal="left"/>
    </xf>
    <xf numFmtId="0" fontId="46" fillId="18" borderId="47" xfId="0" applyFont="1" applyFill="1" applyBorder="1" applyAlignment="1">
      <alignment horizontal="left"/>
    </xf>
    <xf numFmtId="0" fontId="46" fillId="18" borderId="48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8" fillId="0" borderId="46" xfId="0" applyFont="1" applyBorder="1" applyAlignment="1"/>
    <xf numFmtId="0" fontId="28" fillId="0" borderId="47" xfId="0" applyFont="1" applyBorder="1" applyAlignment="1"/>
    <xf numFmtId="0" fontId="28" fillId="0" borderId="48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7" xfId="0" applyFont="1" applyBorder="1" applyAlignment="1">
      <alignment horizontal="left"/>
    </xf>
    <xf numFmtId="2" fontId="26" fillId="0" borderId="10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46" xfId="0" applyFont="1" applyBorder="1" applyAlignment="1">
      <alignment horizontal="right" vertical="center"/>
    </xf>
    <xf numFmtId="0" fontId="26" fillId="0" borderId="48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6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2" fontId="47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9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0" fillId="18" borderId="48" xfId="0" applyFill="1" applyBorder="1" applyAlignment="1">
      <alignment horizontal="center"/>
    </xf>
    <xf numFmtId="0" fontId="24" fillId="19" borderId="39" xfId="0" applyFont="1" applyFill="1" applyBorder="1" applyAlignment="1">
      <alignment horizontal="center"/>
    </xf>
    <xf numFmtId="0" fontId="24" fillId="19" borderId="4" xfId="0" applyFont="1" applyFill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39" fillId="7" borderId="30" xfId="0" applyNumberFormat="1" applyFont="1" applyFill="1" applyBorder="1" applyAlignment="1">
      <alignment horizontal="center" vertical="center" wrapText="1"/>
    </xf>
    <xf numFmtId="2" fontId="39" fillId="7" borderId="4" xfId="0" applyNumberFormat="1" applyFont="1" applyFill="1" applyBorder="1" applyAlignment="1">
      <alignment horizontal="center" vertical="center" wrapText="1"/>
    </xf>
    <xf numFmtId="2" fontId="25" fillId="7" borderId="30" xfId="0" applyNumberFormat="1" applyFont="1" applyFill="1" applyBorder="1" applyAlignment="1">
      <alignment horizontal="center" vertical="center" wrapText="1"/>
    </xf>
    <xf numFmtId="0" fontId="39" fillId="7" borderId="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2" fontId="1" fillId="7" borderId="5" xfId="0" applyNumberFormat="1" applyFont="1" applyFill="1" applyBorder="1" applyAlignment="1">
      <alignment horizontal="center" vertical="center" wrapText="1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9" xfId="0" applyNumberFormat="1" applyFont="1" applyFill="1" applyBorder="1" applyAlignment="1">
      <alignment horizontal="center" vertical="center" wrapText="1"/>
    </xf>
    <xf numFmtId="2" fontId="11" fillId="7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43617</c:v>
                </c:pt>
                <c:pt idx="1">
                  <c:v>43618</c:v>
                </c:pt>
                <c:pt idx="2">
                  <c:v>43619</c:v>
                </c:pt>
                <c:pt idx="3">
                  <c:v>43620</c:v>
                </c:pt>
                <c:pt idx="4">
                  <c:v>43621</c:v>
                </c:pt>
                <c:pt idx="5">
                  <c:v>43622</c:v>
                </c:pt>
                <c:pt idx="6">
                  <c:v>43623</c:v>
                </c:pt>
                <c:pt idx="7">
                  <c:v>43624</c:v>
                </c:pt>
                <c:pt idx="8">
                  <c:v>43625</c:v>
                </c:pt>
                <c:pt idx="9">
                  <c:v>43626</c:v>
                </c:pt>
                <c:pt idx="10">
                  <c:v>43627</c:v>
                </c:pt>
                <c:pt idx="11">
                  <c:v>43628</c:v>
                </c:pt>
                <c:pt idx="12">
                  <c:v>43629</c:v>
                </c:pt>
                <c:pt idx="13">
                  <c:v>43630</c:v>
                </c:pt>
                <c:pt idx="14">
                  <c:v>43631</c:v>
                </c:pt>
                <c:pt idx="15">
                  <c:v>43632</c:v>
                </c:pt>
                <c:pt idx="16">
                  <c:v>43633</c:v>
                </c:pt>
                <c:pt idx="17">
                  <c:v>43634</c:v>
                </c:pt>
                <c:pt idx="18">
                  <c:v>43635</c:v>
                </c:pt>
                <c:pt idx="19">
                  <c:v>43636</c:v>
                </c:pt>
                <c:pt idx="20">
                  <c:v>43637</c:v>
                </c:pt>
                <c:pt idx="21">
                  <c:v>43638</c:v>
                </c:pt>
                <c:pt idx="22">
                  <c:v>43639</c:v>
                </c:pt>
                <c:pt idx="23">
                  <c:v>43640</c:v>
                </c:pt>
                <c:pt idx="24">
                  <c:v>43641</c:v>
                </c:pt>
                <c:pt idx="25">
                  <c:v>43642</c:v>
                </c:pt>
                <c:pt idx="26">
                  <c:v>43643</c:v>
                </c:pt>
                <c:pt idx="27">
                  <c:v>43644</c:v>
                </c:pt>
                <c:pt idx="28">
                  <c:v>43645</c:v>
                </c:pt>
                <c:pt idx="29">
                  <c:v>43646</c:v>
                </c:pt>
                <c:pt idx="30">
                  <c:v>43647</c:v>
                </c:pt>
                <c:pt idx="31">
                  <c:v>43648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143.59999999999854</c:v>
                </c:pt>
                <c:pt idx="1">
                  <c:v>142</c:v>
                </c:pt>
                <c:pt idx="2">
                  <c:v>114</c:v>
                </c:pt>
                <c:pt idx="3">
                  <c:v>117.40000000000146</c:v>
                </c:pt>
                <c:pt idx="4">
                  <c:v>160.09999999999854</c:v>
                </c:pt>
                <c:pt idx="5">
                  <c:v>66.600000000002183</c:v>
                </c:pt>
                <c:pt idx="6">
                  <c:v>127.5</c:v>
                </c:pt>
                <c:pt idx="7">
                  <c:v>164.20000000000073</c:v>
                </c:pt>
                <c:pt idx="8">
                  <c:v>148.79999999999927</c:v>
                </c:pt>
                <c:pt idx="9">
                  <c:v>143.5</c:v>
                </c:pt>
                <c:pt idx="10">
                  <c:v>162.89999999999782</c:v>
                </c:pt>
                <c:pt idx="11">
                  <c:v>175.30000000000291</c:v>
                </c:pt>
                <c:pt idx="12">
                  <c:v>184.19999999999709</c:v>
                </c:pt>
                <c:pt idx="13">
                  <c:v>232.20000000000073</c:v>
                </c:pt>
                <c:pt idx="14">
                  <c:v>198.10000000000218</c:v>
                </c:pt>
                <c:pt idx="15">
                  <c:v>144.19999999999709</c:v>
                </c:pt>
                <c:pt idx="16">
                  <c:v>171.30000000000291</c:v>
                </c:pt>
                <c:pt idx="17">
                  <c:v>206.09999999999854</c:v>
                </c:pt>
                <c:pt idx="18">
                  <c:v>229</c:v>
                </c:pt>
                <c:pt idx="19">
                  <c:v>157.40000000000146</c:v>
                </c:pt>
                <c:pt idx="20">
                  <c:v>204.79999999999927</c:v>
                </c:pt>
                <c:pt idx="21">
                  <c:v>201.29999999999927</c:v>
                </c:pt>
                <c:pt idx="22">
                  <c:v>195.40000000000146</c:v>
                </c:pt>
                <c:pt idx="23">
                  <c:v>188.29999999999563</c:v>
                </c:pt>
                <c:pt idx="24">
                  <c:v>236.90000000000146</c:v>
                </c:pt>
                <c:pt idx="25">
                  <c:v>172.5</c:v>
                </c:pt>
                <c:pt idx="26">
                  <c:v>174.5</c:v>
                </c:pt>
                <c:pt idx="27">
                  <c:v>187.30000000000291</c:v>
                </c:pt>
                <c:pt idx="28">
                  <c:v>186.09999999999854</c:v>
                </c:pt>
                <c:pt idx="29">
                  <c:v>157.5</c:v>
                </c:pt>
                <c:pt idx="30">
                  <c:v>319.80000000000291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7-4483-9C4E-BF391E047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1264880"/>
        <c:axId val="1"/>
      </c:barChart>
      <c:dateAx>
        <c:axId val="18112648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2648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marker>
            <c:symbol val="diamond"/>
            <c:size val="9"/>
          </c:marker>
          <c:cat>
            <c:numRef>
              <c:f>'Suivi EAU-ELEC'!$A$9:$A$40</c:f>
              <c:numCache>
                <c:formatCode>m/d/yyyy</c:formatCode>
                <c:ptCount val="32"/>
                <c:pt idx="0">
                  <c:v>43617</c:v>
                </c:pt>
                <c:pt idx="1">
                  <c:v>43618</c:v>
                </c:pt>
                <c:pt idx="2">
                  <c:v>43619</c:v>
                </c:pt>
                <c:pt idx="3">
                  <c:v>43620</c:v>
                </c:pt>
                <c:pt idx="4">
                  <c:v>43621</c:v>
                </c:pt>
                <c:pt idx="5">
                  <c:v>43622</c:v>
                </c:pt>
                <c:pt idx="6">
                  <c:v>43623</c:v>
                </c:pt>
                <c:pt idx="7">
                  <c:v>43624</c:v>
                </c:pt>
                <c:pt idx="8">
                  <c:v>43625</c:v>
                </c:pt>
                <c:pt idx="9">
                  <c:v>43626</c:v>
                </c:pt>
                <c:pt idx="10">
                  <c:v>43627</c:v>
                </c:pt>
                <c:pt idx="11">
                  <c:v>43628</c:v>
                </c:pt>
                <c:pt idx="12">
                  <c:v>43629</c:v>
                </c:pt>
                <c:pt idx="13">
                  <c:v>43630</c:v>
                </c:pt>
                <c:pt idx="14">
                  <c:v>43631</c:v>
                </c:pt>
                <c:pt idx="15">
                  <c:v>43632</c:v>
                </c:pt>
                <c:pt idx="16">
                  <c:v>43633</c:v>
                </c:pt>
                <c:pt idx="17">
                  <c:v>43634</c:v>
                </c:pt>
                <c:pt idx="18">
                  <c:v>43635</c:v>
                </c:pt>
                <c:pt idx="19">
                  <c:v>43636</c:v>
                </c:pt>
                <c:pt idx="20">
                  <c:v>43637</c:v>
                </c:pt>
                <c:pt idx="21">
                  <c:v>43638</c:v>
                </c:pt>
                <c:pt idx="22">
                  <c:v>43639</c:v>
                </c:pt>
                <c:pt idx="23">
                  <c:v>43640</c:v>
                </c:pt>
                <c:pt idx="24">
                  <c:v>43641</c:v>
                </c:pt>
                <c:pt idx="25">
                  <c:v>43642</c:v>
                </c:pt>
                <c:pt idx="26">
                  <c:v>43643</c:v>
                </c:pt>
                <c:pt idx="27">
                  <c:v>43644</c:v>
                </c:pt>
                <c:pt idx="28">
                  <c:v>43645</c:v>
                </c:pt>
                <c:pt idx="29">
                  <c:v>43646</c:v>
                </c:pt>
                <c:pt idx="30">
                  <c:v>43647</c:v>
                </c:pt>
                <c:pt idx="31">
                  <c:v>43648</c:v>
                </c:pt>
              </c:numCache>
            </c:numRef>
          </c:cat>
          <c:val>
            <c:numRef>
              <c:f>'Suivi EAU-ELEC'!$G$9:$G$40</c:f>
              <c:numCache>
                <c:formatCode>General</c:formatCode>
                <c:ptCount val="32"/>
                <c:pt idx="0">
                  <c:v>3411</c:v>
                </c:pt>
                <c:pt idx="1">
                  <c:v>3841</c:v>
                </c:pt>
                <c:pt idx="2">
                  <c:v>3722</c:v>
                </c:pt>
                <c:pt idx="3">
                  <c:v>3743</c:v>
                </c:pt>
                <c:pt idx="4">
                  <c:v>3723</c:v>
                </c:pt>
                <c:pt idx="5">
                  <c:v>3838</c:v>
                </c:pt>
                <c:pt idx="6">
                  <c:v>4114</c:v>
                </c:pt>
                <c:pt idx="7">
                  <c:v>4522</c:v>
                </c:pt>
                <c:pt idx="8">
                  <c:v>3535</c:v>
                </c:pt>
                <c:pt idx="9">
                  <c:v>4299</c:v>
                </c:pt>
                <c:pt idx="10">
                  <c:v>4658</c:v>
                </c:pt>
                <c:pt idx="11">
                  <c:v>4373</c:v>
                </c:pt>
                <c:pt idx="12">
                  <c:v>4380</c:v>
                </c:pt>
                <c:pt idx="13">
                  <c:v>5440</c:v>
                </c:pt>
                <c:pt idx="14">
                  <c:v>5001</c:v>
                </c:pt>
                <c:pt idx="15">
                  <c:v>4826</c:v>
                </c:pt>
                <c:pt idx="16">
                  <c:v>3392</c:v>
                </c:pt>
                <c:pt idx="17">
                  <c:v>5311</c:v>
                </c:pt>
                <c:pt idx="18">
                  <c:v>4378</c:v>
                </c:pt>
                <c:pt idx="19">
                  <c:v>4032</c:v>
                </c:pt>
                <c:pt idx="20">
                  <c:v>4343</c:v>
                </c:pt>
                <c:pt idx="21">
                  <c:v>4500</c:v>
                </c:pt>
                <c:pt idx="22">
                  <c:v>5040</c:v>
                </c:pt>
                <c:pt idx="23">
                  <c:v>4097</c:v>
                </c:pt>
                <c:pt idx="24">
                  <c:v>5180</c:v>
                </c:pt>
                <c:pt idx="25">
                  <c:v>5503</c:v>
                </c:pt>
                <c:pt idx="26">
                  <c:v>5197</c:v>
                </c:pt>
                <c:pt idx="27">
                  <c:v>4841</c:v>
                </c:pt>
                <c:pt idx="28">
                  <c:v>5323</c:v>
                </c:pt>
                <c:pt idx="29">
                  <c:v>5172</c:v>
                </c:pt>
                <c:pt idx="30">
                  <c:v>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B-4C19-86ED-DFF5C02F1C14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marker>
            <c:symbol val="square"/>
            <c:size val="9"/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43617</c:v>
                </c:pt>
                <c:pt idx="1">
                  <c:v>43618</c:v>
                </c:pt>
                <c:pt idx="2">
                  <c:v>43619</c:v>
                </c:pt>
                <c:pt idx="3">
                  <c:v>43620</c:v>
                </c:pt>
                <c:pt idx="4">
                  <c:v>43621</c:v>
                </c:pt>
                <c:pt idx="5">
                  <c:v>43622</c:v>
                </c:pt>
                <c:pt idx="6">
                  <c:v>43623</c:v>
                </c:pt>
                <c:pt idx="7">
                  <c:v>43624</c:v>
                </c:pt>
                <c:pt idx="8">
                  <c:v>43625</c:v>
                </c:pt>
                <c:pt idx="9">
                  <c:v>43626</c:v>
                </c:pt>
                <c:pt idx="10">
                  <c:v>43627</c:v>
                </c:pt>
                <c:pt idx="11">
                  <c:v>43628</c:v>
                </c:pt>
                <c:pt idx="12">
                  <c:v>43629</c:v>
                </c:pt>
                <c:pt idx="13">
                  <c:v>43630</c:v>
                </c:pt>
                <c:pt idx="14">
                  <c:v>43631</c:v>
                </c:pt>
                <c:pt idx="15">
                  <c:v>43632</c:v>
                </c:pt>
                <c:pt idx="16">
                  <c:v>43633</c:v>
                </c:pt>
                <c:pt idx="17">
                  <c:v>43634</c:v>
                </c:pt>
                <c:pt idx="18">
                  <c:v>43635</c:v>
                </c:pt>
                <c:pt idx="19">
                  <c:v>43636</c:v>
                </c:pt>
                <c:pt idx="20">
                  <c:v>43637</c:v>
                </c:pt>
                <c:pt idx="21">
                  <c:v>43638</c:v>
                </c:pt>
                <c:pt idx="22">
                  <c:v>43639</c:v>
                </c:pt>
                <c:pt idx="23">
                  <c:v>43640</c:v>
                </c:pt>
                <c:pt idx="24">
                  <c:v>43641</c:v>
                </c:pt>
                <c:pt idx="25">
                  <c:v>43642</c:v>
                </c:pt>
                <c:pt idx="26">
                  <c:v>43643</c:v>
                </c:pt>
                <c:pt idx="27">
                  <c:v>43644</c:v>
                </c:pt>
                <c:pt idx="28">
                  <c:v>43645</c:v>
                </c:pt>
                <c:pt idx="29">
                  <c:v>43646</c:v>
                </c:pt>
                <c:pt idx="30">
                  <c:v>43647</c:v>
                </c:pt>
                <c:pt idx="31">
                  <c:v>43648</c:v>
                </c:pt>
              </c:numCache>
            </c:numRef>
          </c:cat>
          <c:val>
            <c:numRef>
              <c:f>'Suivi EAU-ELEC'!$I$9:$I$40</c:f>
              <c:numCache>
                <c:formatCode>General</c:formatCode>
                <c:ptCount val="32"/>
                <c:pt idx="0">
                  <c:v>8488</c:v>
                </c:pt>
                <c:pt idx="1">
                  <c:v>8566</c:v>
                </c:pt>
                <c:pt idx="2">
                  <c:v>8372</c:v>
                </c:pt>
                <c:pt idx="3">
                  <c:v>8560</c:v>
                </c:pt>
                <c:pt idx="4">
                  <c:v>8480</c:v>
                </c:pt>
                <c:pt idx="5">
                  <c:v>7962</c:v>
                </c:pt>
                <c:pt idx="6">
                  <c:v>7950</c:v>
                </c:pt>
                <c:pt idx="7">
                  <c:v>8282</c:v>
                </c:pt>
                <c:pt idx="8">
                  <c:v>8163</c:v>
                </c:pt>
                <c:pt idx="9">
                  <c:v>8050</c:v>
                </c:pt>
                <c:pt idx="10">
                  <c:v>9525</c:v>
                </c:pt>
                <c:pt idx="11">
                  <c:v>9191</c:v>
                </c:pt>
                <c:pt idx="12">
                  <c:v>10217</c:v>
                </c:pt>
                <c:pt idx="13">
                  <c:v>10433</c:v>
                </c:pt>
                <c:pt idx="14">
                  <c:v>9082</c:v>
                </c:pt>
                <c:pt idx="15">
                  <c:v>8666</c:v>
                </c:pt>
                <c:pt idx="16">
                  <c:v>8235</c:v>
                </c:pt>
                <c:pt idx="17">
                  <c:v>9343</c:v>
                </c:pt>
                <c:pt idx="18">
                  <c:v>9835</c:v>
                </c:pt>
                <c:pt idx="19">
                  <c:v>10137</c:v>
                </c:pt>
                <c:pt idx="20">
                  <c:v>10557</c:v>
                </c:pt>
                <c:pt idx="21">
                  <c:v>10825</c:v>
                </c:pt>
                <c:pt idx="22">
                  <c:v>9483</c:v>
                </c:pt>
                <c:pt idx="23">
                  <c:v>8957</c:v>
                </c:pt>
                <c:pt idx="24">
                  <c:v>9538</c:v>
                </c:pt>
                <c:pt idx="25">
                  <c:v>10870</c:v>
                </c:pt>
                <c:pt idx="26">
                  <c:v>11038</c:v>
                </c:pt>
                <c:pt idx="27">
                  <c:v>11207</c:v>
                </c:pt>
                <c:pt idx="28">
                  <c:v>10089</c:v>
                </c:pt>
                <c:pt idx="29">
                  <c:v>10251</c:v>
                </c:pt>
                <c:pt idx="30">
                  <c:v>9058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B-4C19-86ED-DFF5C02F1C14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marker>
            <c:symbol val="triangle"/>
            <c:size val="9"/>
          </c:marker>
          <c:cat>
            <c:numRef>
              <c:f>'Suivi EAU-ELEC'!$A$9:$A$40</c:f>
              <c:numCache>
                <c:formatCode>m/d/yyyy</c:formatCode>
                <c:ptCount val="32"/>
                <c:pt idx="0">
                  <c:v>43617</c:v>
                </c:pt>
                <c:pt idx="1">
                  <c:v>43618</c:v>
                </c:pt>
                <c:pt idx="2">
                  <c:v>43619</c:v>
                </c:pt>
                <c:pt idx="3">
                  <c:v>43620</c:v>
                </c:pt>
                <c:pt idx="4">
                  <c:v>43621</c:v>
                </c:pt>
                <c:pt idx="5">
                  <c:v>43622</c:v>
                </c:pt>
                <c:pt idx="6">
                  <c:v>43623</c:v>
                </c:pt>
                <c:pt idx="7">
                  <c:v>43624</c:v>
                </c:pt>
                <c:pt idx="8">
                  <c:v>43625</c:v>
                </c:pt>
                <c:pt idx="9">
                  <c:v>43626</c:v>
                </c:pt>
                <c:pt idx="10">
                  <c:v>43627</c:v>
                </c:pt>
                <c:pt idx="11">
                  <c:v>43628</c:v>
                </c:pt>
                <c:pt idx="12">
                  <c:v>43629</c:v>
                </c:pt>
                <c:pt idx="13">
                  <c:v>43630</c:v>
                </c:pt>
                <c:pt idx="14">
                  <c:v>43631</c:v>
                </c:pt>
                <c:pt idx="15">
                  <c:v>43632</c:v>
                </c:pt>
                <c:pt idx="16">
                  <c:v>43633</c:v>
                </c:pt>
                <c:pt idx="17">
                  <c:v>43634</c:v>
                </c:pt>
                <c:pt idx="18">
                  <c:v>43635</c:v>
                </c:pt>
                <c:pt idx="19">
                  <c:v>43636</c:v>
                </c:pt>
                <c:pt idx="20">
                  <c:v>43637</c:v>
                </c:pt>
                <c:pt idx="21">
                  <c:v>43638</c:v>
                </c:pt>
                <c:pt idx="22">
                  <c:v>43639</c:v>
                </c:pt>
                <c:pt idx="23">
                  <c:v>43640</c:v>
                </c:pt>
                <c:pt idx="24">
                  <c:v>43641</c:v>
                </c:pt>
                <c:pt idx="25">
                  <c:v>43642</c:v>
                </c:pt>
                <c:pt idx="26">
                  <c:v>43643</c:v>
                </c:pt>
                <c:pt idx="27">
                  <c:v>43644</c:v>
                </c:pt>
                <c:pt idx="28">
                  <c:v>43645</c:v>
                </c:pt>
                <c:pt idx="29">
                  <c:v>43646</c:v>
                </c:pt>
                <c:pt idx="30">
                  <c:v>43647</c:v>
                </c:pt>
                <c:pt idx="31">
                  <c:v>43648</c:v>
                </c:pt>
              </c:numCache>
            </c:numRef>
          </c:cat>
          <c:val>
            <c:numRef>
              <c:f>'Suivi EAU-ELEC'!$K$9:$K$40</c:f>
              <c:numCache>
                <c:formatCode>General</c:formatCode>
                <c:ptCount val="32"/>
                <c:pt idx="0">
                  <c:v>4351</c:v>
                </c:pt>
                <c:pt idx="1">
                  <c:v>3745</c:v>
                </c:pt>
                <c:pt idx="2">
                  <c:v>3970</c:v>
                </c:pt>
                <c:pt idx="3">
                  <c:v>3703</c:v>
                </c:pt>
                <c:pt idx="4">
                  <c:v>3666</c:v>
                </c:pt>
                <c:pt idx="5">
                  <c:v>3360</c:v>
                </c:pt>
                <c:pt idx="6">
                  <c:v>3581</c:v>
                </c:pt>
                <c:pt idx="7">
                  <c:v>3445</c:v>
                </c:pt>
                <c:pt idx="8">
                  <c:v>3736</c:v>
                </c:pt>
                <c:pt idx="9">
                  <c:v>3394</c:v>
                </c:pt>
                <c:pt idx="10">
                  <c:v>3372</c:v>
                </c:pt>
                <c:pt idx="11">
                  <c:v>3351</c:v>
                </c:pt>
                <c:pt idx="12">
                  <c:v>3866</c:v>
                </c:pt>
                <c:pt idx="13">
                  <c:v>3507</c:v>
                </c:pt>
                <c:pt idx="14">
                  <c:v>3572</c:v>
                </c:pt>
                <c:pt idx="15">
                  <c:v>3372</c:v>
                </c:pt>
                <c:pt idx="16">
                  <c:v>3217</c:v>
                </c:pt>
                <c:pt idx="17">
                  <c:v>3765</c:v>
                </c:pt>
                <c:pt idx="18">
                  <c:v>3783</c:v>
                </c:pt>
                <c:pt idx="19">
                  <c:v>4127</c:v>
                </c:pt>
                <c:pt idx="20">
                  <c:v>3793</c:v>
                </c:pt>
                <c:pt idx="21">
                  <c:v>3702</c:v>
                </c:pt>
                <c:pt idx="22">
                  <c:v>4167</c:v>
                </c:pt>
                <c:pt idx="23">
                  <c:v>3536</c:v>
                </c:pt>
                <c:pt idx="24">
                  <c:v>4194</c:v>
                </c:pt>
                <c:pt idx="25">
                  <c:v>4161</c:v>
                </c:pt>
                <c:pt idx="26">
                  <c:v>4054</c:v>
                </c:pt>
                <c:pt idx="27">
                  <c:v>3947</c:v>
                </c:pt>
                <c:pt idx="28">
                  <c:v>3776</c:v>
                </c:pt>
                <c:pt idx="29">
                  <c:v>4703</c:v>
                </c:pt>
                <c:pt idx="30">
                  <c:v>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B-4C19-86ED-DFF5C02F1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265344"/>
        <c:axId val="1"/>
      </c:lineChart>
      <c:dateAx>
        <c:axId val="181126534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26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5115681233933158E-2"/>
          <c:y val="0.81944692019880483"/>
          <c:w val="0.80848383026671788"/>
          <c:h val="0.1071433517618808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43617</c:v>
                </c:pt>
                <c:pt idx="1">
                  <c:v>43618</c:v>
                </c:pt>
                <c:pt idx="2">
                  <c:v>43619</c:v>
                </c:pt>
                <c:pt idx="3">
                  <c:v>43620</c:v>
                </c:pt>
                <c:pt idx="4">
                  <c:v>43621</c:v>
                </c:pt>
                <c:pt idx="5">
                  <c:v>43622</c:v>
                </c:pt>
                <c:pt idx="6">
                  <c:v>43623</c:v>
                </c:pt>
                <c:pt idx="7">
                  <c:v>43624</c:v>
                </c:pt>
                <c:pt idx="8">
                  <c:v>43625</c:v>
                </c:pt>
                <c:pt idx="9">
                  <c:v>43626</c:v>
                </c:pt>
                <c:pt idx="10">
                  <c:v>43627</c:v>
                </c:pt>
                <c:pt idx="11">
                  <c:v>43628</c:v>
                </c:pt>
                <c:pt idx="12">
                  <c:v>43629</c:v>
                </c:pt>
                <c:pt idx="13">
                  <c:v>43630</c:v>
                </c:pt>
                <c:pt idx="14">
                  <c:v>43631</c:v>
                </c:pt>
                <c:pt idx="15">
                  <c:v>43632</c:v>
                </c:pt>
                <c:pt idx="16">
                  <c:v>43633</c:v>
                </c:pt>
                <c:pt idx="17">
                  <c:v>43634</c:v>
                </c:pt>
                <c:pt idx="18">
                  <c:v>43635</c:v>
                </c:pt>
                <c:pt idx="19">
                  <c:v>43636</c:v>
                </c:pt>
                <c:pt idx="20">
                  <c:v>43637</c:v>
                </c:pt>
                <c:pt idx="21">
                  <c:v>43638</c:v>
                </c:pt>
                <c:pt idx="22">
                  <c:v>43639</c:v>
                </c:pt>
                <c:pt idx="23">
                  <c:v>43640</c:v>
                </c:pt>
                <c:pt idx="24">
                  <c:v>43641</c:v>
                </c:pt>
                <c:pt idx="25">
                  <c:v>43642</c:v>
                </c:pt>
                <c:pt idx="26">
                  <c:v>43643</c:v>
                </c:pt>
                <c:pt idx="27">
                  <c:v>43644</c:v>
                </c:pt>
                <c:pt idx="28">
                  <c:v>43645</c:v>
                </c:pt>
                <c:pt idx="29">
                  <c:v>43646</c:v>
                </c:pt>
                <c:pt idx="30">
                  <c:v>43647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255.99368000000001</c:v>
                </c:pt>
                <c:pt idx="1">
                  <c:v>415.98973000000001</c:v>
                </c:pt>
                <c:pt idx="2">
                  <c:v>319.99209999999999</c:v>
                </c:pt>
                <c:pt idx="3">
                  <c:v>319.99209999999999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383.99052</c:v>
                </c:pt>
                <c:pt idx="7">
                  <c:v>287.99288999999999</c:v>
                </c:pt>
                <c:pt idx="8">
                  <c:v>447.98894000000001</c:v>
                </c:pt>
                <c:pt idx="9">
                  <c:v>351.99131</c:v>
                </c:pt>
                <c:pt idx="10">
                  <c:v>319.99209999999999</c:v>
                </c:pt>
                <c:pt idx="11">
                  <c:v>479.98815000000002</c:v>
                </c:pt>
                <c:pt idx="12">
                  <c:v>511.98736000000002</c:v>
                </c:pt>
                <c:pt idx="13">
                  <c:v>383.99052</c:v>
                </c:pt>
                <c:pt idx="14">
                  <c:v>543.98657000000003</c:v>
                </c:pt>
                <c:pt idx="15">
                  <c:v>415.98973000000001</c:v>
                </c:pt>
                <c:pt idx="16">
                  <c:v>351.99131</c:v>
                </c:pt>
                <c:pt idx="17">
                  <c:v>479.98815000000002</c:v>
                </c:pt>
                <c:pt idx="18">
                  <c:v>191.99526</c:v>
                </c:pt>
                <c:pt idx="19">
                  <c:v>319.99209999999999</c:v>
                </c:pt>
                <c:pt idx="20">
                  <c:v>543.98657000000003</c:v>
                </c:pt>
                <c:pt idx="21">
                  <c:v>383.99052</c:v>
                </c:pt>
                <c:pt idx="22">
                  <c:v>383.99052</c:v>
                </c:pt>
                <c:pt idx="23">
                  <c:v>287.99288999999999</c:v>
                </c:pt>
                <c:pt idx="24">
                  <c:v>703.98262</c:v>
                </c:pt>
                <c:pt idx="25">
                  <c:v>255.99368000000001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479.98815000000002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C-468D-BD59-2F911C1C9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1260240"/>
        <c:axId val="1"/>
      </c:barChart>
      <c:dateAx>
        <c:axId val="18112602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25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26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551883479353814"/>
          <c:y val="0.94988078297441736"/>
          <c:w val="8.9628681177977287E-3"/>
          <c:h val="2.386642633526225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9-46EB-91A1-D6D2917E2417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9-46EB-91A1-D6D2917E2417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9-46EB-91A1-D6D2917E2417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99-46EB-91A1-D6D2917E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106336"/>
        <c:axId val="1"/>
      </c:lineChart>
      <c:catAx>
        <c:axId val="169610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1063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056576732431871"/>
          <c:y val="0.94892727118787568"/>
          <c:w val="0.64781957182654271"/>
          <c:h val="0.973120819574972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électr'!$C$16:$N$16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F-45F8-B7C2-34C7FAC60743}"/>
            </c:ext>
          </c:extLst>
        </c:ser>
        <c:ser>
          <c:idx val="1"/>
          <c:order val="1"/>
          <c:tx>
            <c:strRef>
              <c:f>'cons annuel électr'!$B$17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électr'!$C$17:$N$17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CF-45F8-B7C2-34C7FAC60743}"/>
            </c:ext>
          </c:extLst>
        </c:ser>
        <c:ser>
          <c:idx val="2"/>
          <c:order val="2"/>
          <c:tx>
            <c:strRef>
              <c:f>'cons annuel électr'!$B$18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CF-45F8-B7C2-34C7FAC60743}"/>
            </c:ext>
          </c:extLst>
        </c:ser>
        <c:ser>
          <c:idx val="3"/>
          <c:order val="3"/>
          <c:tx>
            <c:strRef>
              <c:f>'cons annuel électr'!$B$19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CF-45F8-B7C2-34C7FAC6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104944"/>
        <c:axId val="1"/>
      </c:lineChart>
      <c:catAx>
        <c:axId val="169610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1049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913161921110569"/>
          <c:y val="0.95122207285064975"/>
          <c:w val="0.64771031583137417"/>
          <c:h val="0.9756123167530887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E-4533-AC38-5F6165FCA1AB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E-4533-AC38-5F6165FCA1AB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E-4533-AC38-5F6165FCA1AB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AE-4533-AC38-5F6165FCA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751424"/>
        <c:axId val="1"/>
      </c:lineChart>
      <c:catAx>
        <c:axId val="180875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751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67279488960938694"/>
          <c:h val="0.975126728561914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'!$C$16:$N$16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5-4DD5-B24C-E0DB0DF50655}"/>
            </c:ext>
          </c:extLst>
        </c:ser>
        <c:ser>
          <c:idx val="1"/>
          <c:order val="1"/>
          <c:tx>
            <c:strRef>
              <c:f>'cons annuel EAU  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'!$C$17:$N$17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5-4DD5-B24C-E0DB0DF50655}"/>
            </c:ext>
          </c:extLst>
        </c:ser>
        <c:ser>
          <c:idx val="2"/>
          <c:order val="2"/>
          <c:tx>
            <c:strRef>
              <c:f>'cons annuel EAU  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5-4DD5-B24C-E0DB0DF50655}"/>
            </c:ext>
          </c:extLst>
        </c:ser>
        <c:ser>
          <c:idx val="3"/>
          <c:order val="3"/>
          <c:tx>
            <c:strRef>
              <c:f>'cons annuel EAU  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85-4DD5-B24C-E0DB0DF50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105408"/>
        <c:axId val="1"/>
      </c:lineChart>
      <c:catAx>
        <c:axId val="169610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1054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66726372083632657"/>
          <c:h val="0.975429975429975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A-4E9B-B3E1-42BAE9799D4D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A-4E9B-B3E1-42BAE9799D4D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7A-4E9B-B3E1-42BAE9799D4D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7A-4E9B-B3E1-42BAE9799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262560"/>
        <c:axId val="1"/>
      </c:lineChart>
      <c:catAx>
        <c:axId val="181126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262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6710534209539597"/>
          <c:h val="0.978419532090862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GAZ'!$C$16:$N$16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B-4AD2-A5AF-96E97D24EFE1}"/>
            </c:ext>
          </c:extLst>
        </c:ser>
        <c:ser>
          <c:idx val="1"/>
          <c:order val="1"/>
          <c:tx>
            <c:strRef>
              <c:f>'livraison annuel GAZ'!$B$17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GAZ'!$C$17:$N$17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B-4AD2-A5AF-96E97D24EFE1}"/>
            </c:ext>
          </c:extLst>
        </c:ser>
        <c:ser>
          <c:idx val="2"/>
          <c:order val="2"/>
          <c:tx>
            <c:strRef>
              <c:f>'livraison annuel GAZ'!$B$18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B-4AD2-A5AF-96E97D24EFE1}"/>
            </c:ext>
          </c:extLst>
        </c:ser>
        <c:ser>
          <c:idx val="3"/>
          <c:order val="3"/>
          <c:tx>
            <c:strRef>
              <c:f>'livraison annuel GAZ'!$B$19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7B-4AD2-A5AF-96E97D24E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260704"/>
        <c:axId val="1"/>
      </c:lineChart>
      <c:catAx>
        <c:axId val="181126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2607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290576009079943"/>
          <c:y val="0.9572456530819633"/>
          <c:w val="0.65371674824430726"/>
          <c:h val="0.9786233252909893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981075</xdr:colOff>
      <xdr:row>1</xdr:row>
      <xdr:rowOff>800100</xdr:rowOff>
    </xdr:from>
    <xdr:to>
      <xdr:col>16</xdr:col>
      <xdr:colOff>647700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49042BB8-A57A-23E9-DDDE-10A76172A75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361950</xdr:colOff>
      <xdr:row>1</xdr:row>
      <xdr:rowOff>85725</xdr:rowOff>
    </xdr:from>
    <xdr:to>
      <xdr:col>12</xdr:col>
      <xdr:colOff>1666875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C691B97-9FC3-A06B-7DA8-0DBC35844E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0453924" name="Picture 1">
          <a:extLst>
            <a:ext uri="{FF2B5EF4-FFF2-40B4-BE49-F238E27FC236}">
              <a16:creationId xmlns:a16="http://schemas.microsoft.com/office/drawing/2014/main" id="{99E67180-9113-45C6-8D73-C753684B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0455128" name="Graphique 3">
          <a:extLst>
            <a:ext uri="{FF2B5EF4-FFF2-40B4-BE49-F238E27FC236}">
              <a16:creationId xmlns:a16="http://schemas.microsoft.com/office/drawing/2014/main" id="{73694CA4-0B2C-D5CC-0ED4-3F624A5FB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0455129" name="Graphique 4">
          <a:extLst>
            <a:ext uri="{FF2B5EF4-FFF2-40B4-BE49-F238E27FC236}">
              <a16:creationId xmlns:a16="http://schemas.microsoft.com/office/drawing/2014/main" id="{DCA1752B-673E-033E-42A3-E28936A274B1}"/>
            </a:ext>
            <a:ext uri="{147F2762-F138-4A5C-976F-8EAC2B608ADB}">
              <a16:predDERef xmlns:a16="http://schemas.microsoft.com/office/drawing/2014/main" pred="{73694CA4-0B2C-D5CC-0ED4-3F624A5FB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57150</xdr:rowOff>
    </xdr:from>
    <xdr:to>
      <xdr:col>25</xdr:col>
      <xdr:colOff>657225</xdr:colOff>
      <xdr:row>46</xdr:row>
      <xdr:rowOff>142875</xdr:rowOff>
    </xdr:to>
    <xdr:graphicFrame macro="">
      <xdr:nvGraphicFramePr>
        <xdr:cNvPr id="20455130" name="Graphique 5">
          <a:extLst>
            <a:ext uri="{FF2B5EF4-FFF2-40B4-BE49-F238E27FC236}">
              <a16:creationId xmlns:a16="http://schemas.microsoft.com/office/drawing/2014/main" id="{AF74E101-5E34-B111-20E7-C9BACCCCF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0455131" name="Picture 1">
          <a:extLst>
            <a:ext uri="{FF2B5EF4-FFF2-40B4-BE49-F238E27FC236}">
              <a16:creationId xmlns:a16="http://schemas.microsoft.com/office/drawing/2014/main" id="{B85E5335-B0DF-E424-30B3-4D13F9068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8860" name="Picture 1">
          <a:extLst>
            <a:ext uri="{FF2B5EF4-FFF2-40B4-BE49-F238E27FC236}">
              <a16:creationId xmlns:a16="http://schemas.microsoft.com/office/drawing/2014/main" id="{B8F06D90-EA1D-CFD5-12B8-75C3D86BD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8861" name="Picture 1">
          <a:extLst>
            <a:ext uri="{FF2B5EF4-FFF2-40B4-BE49-F238E27FC236}">
              <a16:creationId xmlns:a16="http://schemas.microsoft.com/office/drawing/2014/main" id="{78E3D954-76D2-EB43-1693-2C9DA401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167" name="Picture 1">
          <a:extLst>
            <a:ext uri="{FF2B5EF4-FFF2-40B4-BE49-F238E27FC236}">
              <a16:creationId xmlns:a16="http://schemas.microsoft.com/office/drawing/2014/main" id="{F3452F0F-39D5-8DDF-F410-7A6CA129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168" name="Picture 1">
          <a:extLst>
            <a:ext uri="{FF2B5EF4-FFF2-40B4-BE49-F238E27FC236}">
              <a16:creationId xmlns:a16="http://schemas.microsoft.com/office/drawing/2014/main" id="{4F025986-3A2D-C655-6861-072CF5548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48" name="Picture 1">
          <a:extLst>
            <a:ext uri="{FF2B5EF4-FFF2-40B4-BE49-F238E27FC236}">
              <a16:creationId xmlns:a16="http://schemas.microsoft.com/office/drawing/2014/main" id="{78815C8B-2516-119C-E6C9-CD1D14F8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49" name="Picture 1">
          <a:extLst>
            <a:ext uri="{FF2B5EF4-FFF2-40B4-BE49-F238E27FC236}">
              <a16:creationId xmlns:a16="http://schemas.microsoft.com/office/drawing/2014/main" id="{2BF836E9-BC5E-59C9-1C28-4ACB0ADBD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0" name="Picture 1">
          <a:extLst>
            <a:ext uri="{FF2B5EF4-FFF2-40B4-BE49-F238E27FC236}">
              <a16:creationId xmlns:a16="http://schemas.microsoft.com/office/drawing/2014/main" id="{A4A3D6E8-D9D7-C555-4AFF-39B5E9FC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1" name="Picture 1">
          <a:extLst>
            <a:ext uri="{FF2B5EF4-FFF2-40B4-BE49-F238E27FC236}">
              <a16:creationId xmlns:a16="http://schemas.microsoft.com/office/drawing/2014/main" id="{E7537942-DBA4-90C3-06B3-79B46A9DC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2" name="Picture 1">
          <a:extLst>
            <a:ext uri="{FF2B5EF4-FFF2-40B4-BE49-F238E27FC236}">
              <a16:creationId xmlns:a16="http://schemas.microsoft.com/office/drawing/2014/main" id="{07FC5152-BA4B-58F2-DC2C-7B4AD5E68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3" name="Picture 1">
          <a:extLst>
            <a:ext uri="{FF2B5EF4-FFF2-40B4-BE49-F238E27FC236}">
              <a16:creationId xmlns:a16="http://schemas.microsoft.com/office/drawing/2014/main" id="{8A137E4F-A2E4-4F7D-4C43-69B9AD248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4" name="Picture 1">
          <a:extLst>
            <a:ext uri="{FF2B5EF4-FFF2-40B4-BE49-F238E27FC236}">
              <a16:creationId xmlns:a16="http://schemas.microsoft.com/office/drawing/2014/main" id="{7834FB3D-45C6-EA96-F4D5-9E95CE135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5" name="Picture 1">
          <a:extLst>
            <a:ext uri="{FF2B5EF4-FFF2-40B4-BE49-F238E27FC236}">
              <a16:creationId xmlns:a16="http://schemas.microsoft.com/office/drawing/2014/main" id="{281607D1-6BE9-0F20-70F4-0448849B0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6" name="Picture 1">
          <a:extLst>
            <a:ext uri="{FF2B5EF4-FFF2-40B4-BE49-F238E27FC236}">
              <a16:creationId xmlns:a16="http://schemas.microsoft.com/office/drawing/2014/main" id="{3F6C254F-6F41-CD08-29B5-96476B871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7" name="Picture 1">
          <a:extLst>
            <a:ext uri="{FF2B5EF4-FFF2-40B4-BE49-F238E27FC236}">
              <a16:creationId xmlns:a16="http://schemas.microsoft.com/office/drawing/2014/main" id="{8F0DDE0A-D7E6-3CEB-2A0C-A12A02D9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8" name="Picture 1">
          <a:extLst>
            <a:ext uri="{FF2B5EF4-FFF2-40B4-BE49-F238E27FC236}">
              <a16:creationId xmlns:a16="http://schemas.microsoft.com/office/drawing/2014/main" id="{4193B403-BF87-1312-FD17-3636447EC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59" name="Picture 1">
          <a:extLst>
            <a:ext uri="{FF2B5EF4-FFF2-40B4-BE49-F238E27FC236}">
              <a16:creationId xmlns:a16="http://schemas.microsoft.com/office/drawing/2014/main" id="{D503B8B7-00C8-B5C2-0014-7BA6232F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60" name="Picture 1">
          <a:extLst>
            <a:ext uri="{FF2B5EF4-FFF2-40B4-BE49-F238E27FC236}">
              <a16:creationId xmlns:a16="http://schemas.microsoft.com/office/drawing/2014/main" id="{BE540352-366D-266F-75C3-185B8E11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61" name="Picture 1">
          <a:extLst>
            <a:ext uri="{FF2B5EF4-FFF2-40B4-BE49-F238E27FC236}">
              <a16:creationId xmlns:a16="http://schemas.microsoft.com/office/drawing/2014/main" id="{2F0EA3BB-C67A-FF63-7372-550F6F3A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62" name="Picture 1">
          <a:extLst>
            <a:ext uri="{FF2B5EF4-FFF2-40B4-BE49-F238E27FC236}">
              <a16:creationId xmlns:a16="http://schemas.microsoft.com/office/drawing/2014/main" id="{41AFB4D5-A7B3-3E4A-EF35-D39B9B808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649263" name="Picture 1">
          <a:extLst>
            <a:ext uri="{FF2B5EF4-FFF2-40B4-BE49-F238E27FC236}">
              <a16:creationId xmlns:a16="http://schemas.microsoft.com/office/drawing/2014/main" id="{52FC3457-E564-9849-498F-D3E831422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2" name="Picture 1">
          <a:extLst>
            <a:ext uri="{FF2B5EF4-FFF2-40B4-BE49-F238E27FC236}">
              <a16:creationId xmlns:a16="http://schemas.microsoft.com/office/drawing/2014/main" id="{BD407973-4989-3225-6EBC-008FDFB24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3" name="Picture 1">
          <a:extLst>
            <a:ext uri="{FF2B5EF4-FFF2-40B4-BE49-F238E27FC236}">
              <a16:creationId xmlns:a16="http://schemas.microsoft.com/office/drawing/2014/main" id="{D996439F-705C-6985-4CB1-30544513A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4" name="Picture 1">
          <a:extLst>
            <a:ext uri="{FF2B5EF4-FFF2-40B4-BE49-F238E27FC236}">
              <a16:creationId xmlns:a16="http://schemas.microsoft.com/office/drawing/2014/main" id="{7E1ABA2C-F3F4-4A50-1A4C-4E118549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5" name="Picture 1">
          <a:extLst>
            <a:ext uri="{FF2B5EF4-FFF2-40B4-BE49-F238E27FC236}">
              <a16:creationId xmlns:a16="http://schemas.microsoft.com/office/drawing/2014/main" id="{55C8C849-FCA7-5AE9-5DAB-43B237B8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6" name="Picture 1">
          <a:extLst>
            <a:ext uri="{FF2B5EF4-FFF2-40B4-BE49-F238E27FC236}">
              <a16:creationId xmlns:a16="http://schemas.microsoft.com/office/drawing/2014/main" id="{D97F4EF8-F718-D076-DF21-C6A5E0D83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7" name="Picture 1">
          <a:extLst>
            <a:ext uri="{FF2B5EF4-FFF2-40B4-BE49-F238E27FC236}">
              <a16:creationId xmlns:a16="http://schemas.microsoft.com/office/drawing/2014/main" id="{F4A85096-D259-DDCB-9A23-0BE4D684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8" name="Picture 1">
          <a:extLst>
            <a:ext uri="{FF2B5EF4-FFF2-40B4-BE49-F238E27FC236}">
              <a16:creationId xmlns:a16="http://schemas.microsoft.com/office/drawing/2014/main" id="{53D823E1-05A3-C9AB-AE1A-0538AB8FF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79" name="Picture 1">
          <a:extLst>
            <a:ext uri="{FF2B5EF4-FFF2-40B4-BE49-F238E27FC236}">
              <a16:creationId xmlns:a16="http://schemas.microsoft.com/office/drawing/2014/main" id="{CDCF5233-2BD4-F79A-6056-DEE73C8A5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0" name="Picture 1">
          <a:extLst>
            <a:ext uri="{FF2B5EF4-FFF2-40B4-BE49-F238E27FC236}">
              <a16:creationId xmlns:a16="http://schemas.microsoft.com/office/drawing/2014/main" id="{EAD5ACBC-B38F-B142-1364-C0DCE04CB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1" name="Picture 1">
          <a:extLst>
            <a:ext uri="{FF2B5EF4-FFF2-40B4-BE49-F238E27FC236}">
              <a16:creationId xmlns:a16="http://schemas.microsoft.com/office/drawing/2014/main" id="{CA6208D9-246E-BB26-E041-FAED282F2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2" name="Picture 1">
          <a:extLst>
            <a:ext uri="{FF2B5EF4-FFF2-40B4-BE49-F238E27FC236}">
              <a16:creationId xmlns:a16="http://schemas.microsoft.com/office/drawing/2014/main" id="{05DA7C00-FAEE-7120-3574-4B1AA6F66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3" name="Picture 1">
          <a:extLst>
            <a:ext uri="{FF2B5EF4-FFF2-40B4-BE49-F238E27FC236}">
              <a16:creationId xmlns:a16="http://schemas.microsoft.com/office/drawing/2014/main" id="{86562C95-EB52-5427-AEAC-A730E215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4" name="Picture 1">
          <a:extLst>
            <a:ext uri="{FF2B5EF4-FFF2-40B4-BE49-F238E27FC236}">
              <a16:creationId xmlns:a16="http://schemas.microsoft.com/office/drawing/2014/main" id="{579B192B-4BBC-9474-06BA-BBC9D2FCF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5" name="Picture 1">
          <a:extLst>
            <a:ext uri="{FF2B5EF4-FFF2-40B4-BE49-F238E27FC236}">
              <a16:creationId xmlns:a16="http://schemas.microsoft.com/office/drawing/2014/main" id="{6B49366C-BBA2-B729-6F55-620E2C25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6" name="Picture 1">
          <a:extLst>
            <a:ext uri="{FF2B5EF4-FFF2-40B4-BE49-F238E27FC236}">
              <a16:creationId xmlns:a16="http://schemas.microsoft.com/office/drawing/2014/main" id="{770BED8B-3731-5A0A-54C2-2482B7E3B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650287" name="Picture 1">
          <a:extLst>
            <a:ext uri="{FF2B5EF4-FFF2-40B4-BE49-F238E27FC236}">
              <a16:creationId xmlns:a16="http://schemas.microsoft.com/office/drawing/2014/main" id="{AF8E187D-F1C9-F0B2-0B8B-1575F6931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0462296" name="Picture 1">
          <a:extLst>
            <a:ext uri="{FF2B5EF4-FFF2-40B4-BE49-F238E27FC236}">
              <a16:creationId xmlns:a16="http://schemas.microsoft.com/office/drawing/2014/main" id="{7BCD17D6-24A4-DC08-CB61-7E18C2605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0462297" name="Picture 1">
          <a:extLst>
            <a:ext uri="{FF2B5EF4-FFF2-40B4-BE49-F238E27FC236}">
              <a16:creationId xmlns:a16="http://schemas.microsoft.com/office/drawing/2014/main" id="{3813A885-24D4-AC69-261B-78828AA0E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0462298" name="Picture 1">
          <a:extLst>
            <a:ext uri="{FF2B5EF4-FFF2-40B4-BE49-F238E27FC236}">
              <a16:creationId xmlns:a16="http://schemas.microsoft.com/office/drawing/2014/main" id="{E8410D52-B430-8A52-9F68-0912ABD4F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0462299" name="Picture 1">
          <a:extLst>
            <a:ext uri="{FF2B5EF4-FFF2-40B4-BE49-F238E27FC236}">
              <a16:creationId xmlns:a16="http://schemas.microsoft.com/office/drawing/2014/main" id="{8EF1F6E6-3392-008C-FEAF-AD074D50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21</xdr:row>
      <xdr:rowOff>28575</xdr:rowOff>
    </xdr:from>
    <xdr:to>
      <xdr:col>13</xdr:col>
      <xdr:colOff>447675</xdr:colOff>
      <xdr:row>42</xdr:row>
      <xdr:rowOff>85725</xdr:rowOff>
    </xdr:to>
    <xdr:graphicFrame macro="">
      <xdr:nvGraphicFramePr>
        <xdr:cNvPr id="20462956" name="Chart 1">
          <a:extLst>
            <a:ext uri="{FF2B5EF4-FFF2-40B4-BE49-F238E27FC236}">
              <a16:creationId xmlns:a16="http://schemas.microsoft.com/office/drawing/2014/main" id="{A677EF4B-018F-9106-1909-B8CC4AB04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21</xdr:row>
      <xdr:rowOff>47625</xdr:rowOff>
    </xdr:from>
    <xdr:to>
      <xdr:col>6</xdr:col>
      <xdr:colOff>638175</xdr:colOff>
      <xdr:row>42</xdr:row>
      <xdr:rowOff>76200</xdr:rowOff>
    </xdr:to>
    <xdr:graphicFrame macro="">
      <xdr:nvGraphicFramePr>
        <xdr:cNvPr id="20462957" name="Chart 2">
          <a:extLst>
            <a:ext uri="{FF2B5EF4-FFF2-40B4-BE49-F238E27FC236}">
              <a16:creationId xmlns:a16="http://schemas.microsoft.com/office/drawing/2014/main" id="{6D6C6EB0-470A-3004-4159-1DC637949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22</xdr:row>
      <xdr:rowOff>28575</xdr:rowOff>
    </xdr:from>
    <xdr:to>
      <xdr:col>13</xdr:col>
      <xdr:colOff>981075</xdr:colOff>
      <xdr:row>45</xdr:row>
      <xdr:rowOff>47625</xdr:rowOff>
    </xdr:to>
    <xdr:graphicFrame macro="">
      <xdr:nvGraphicFramePr>
        <xdr:cNvPr id="20466028" name="Chart 1">
          <a:extLst>
            <a:ext uri="{FF2B5EF4-FFF2-40B4-BE49-F238E27FC236}">
              <a16:creationId xmlns:a16="http://schemas.microsoft.com/office/drawing/2014/main" id="{D579AE7F-BDE6-9E0A-6FCB-2ABE740F6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22</xdr:row>
      <xdr:rowOff>9525</xdr:rowOff>
    </xdr:from>
    <xdr:to>
      <xdr:col>6</xdr:col>
      <xdr:colOff>238125</xdr:colOff>
      <xdr:row>45</xdr:row>
      <xdr:rowOff>76200</xdr:rowOff>
    </xdr:to>
    <xdr:graphicFrame macro="">
      <xdr:nvGraphicFramePr>
        <xdr:cNvPr id="20466029" name="Chart 2">
          <a:extLst>
            <a:ext uri="{FF2B5EF4-FFF2-40B4-BE49-F238E27FC236}">
              <a16:creationId xmlns:a16="http://schemas.microsoft.com/office/drawing/2014/main" id="{F9E8E3F9-A2C2-B50A-D698-29989C1E0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22</xdr:row>
      <xdr:rowOff>28575</xdr:rowOff>
    </xdr:from>
    <xdr:to>
      <xdr:col>13</xdr:col>
      <xdr:colOff>1114425</xdr:colOff>
      <xdr:row>46</xdr:row>
      <xdr:rowOff>28575</xdr:rowOff>
    </xdr:to>
    <xdr:graphicFrame macro="">
      <xdr:nvGraphicFramePr>
        <xdr:cNvPr id="20469100" name="Chart 1">
          <a:extLst>
            <a:ext uri="{FF2B5EF4-FFF2-40B4-BE49-F238E27FC236}">
              <a16:creationId xmlns:a16="http://schemas.microsoft.com/office/drawing/2014/main" id="{1BA2B85A-4D01-0D67-6571-04029AA62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22</xdr:row>
      <xdr:rowOff>9525</xdr:rowOff>
    </xdr:from>
    <xdr:to>
      <xdr:col>7</xdr:col>
      <xdr:colOff>66675</xdr:colOff>
      <xdr:row>46</xdr:row>
      <xdr:rowOff>47625</xdr:rowOff>
    </xdr:to>
    <xdr:graphicFrame macro="">
      <xdr:nvGraphicFramePr>
        <xdr:cNvPr id="20469101" name="Chart 2">
          <a:extLst>
            <a:ext uri="{FF2B5EF4-FFF2-40B4-BE49-F238E27FC236}">
              <a16:creationId xmlns:a16="http://schemas.microsoft.com/office/drawing/2014/main" id="{8D67021F-4E0A-9FC6-362F-25D8A2959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6" sqref="H26"/>
    </sheetView>
  </sheetViews>
  <sheetFormatPr baseColWidth="10" defaultColWidth="11.5703125" defaultRowHeight="12.75" x14ac:dyDescent="0.2"/>
  <cols>
    <col min="1" max="1" width="12.42578125" style="50" customWidth="1"/>
    <col min="2" max="3" width="11.5703125" style="148"/>
    <col min="4" max="4" width="13.42578125" style="149" customWidth="1"/>
    <col min="5" max="5" width="12.5703125" style="145" customWidth="1"/>
    <col min="6" max="6" width="12.5703125" style="50" customWidth="1"/>
    <col min="7" max="10" width="11.5703125" style="50"/>
    <col min="11" max="12" width="11.5703125" style="145"/>
    <col min="13" max="13" width="0" hidden="1" customWidth="1"/>
  </cols>
  <sheetData>
    <row r="1" spans="1:13" s="106" customFormat="1" ht="60.75" thickBot="1" x14ac:dyDescent="0.3">
      <c r="A1" s="143" t="s">
        <v>0</v>
      </c>
      <c r="B1" s="146" t="s">
        <v>1</v>
      </c>
      <c r="C1" s="146" t="s">
        <v>2</v>
      </c>
      <c r="D1" s="147" t="s">
        <v>3</v>
      </c>
      <c r="E1" s="153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3" t="s">
        <v>10</v>
      </c>
      <c r="L1" s="153" t="s">
        <v>11</v>
      </c>
      <c r="M1" s="140" t="s">
        <v>12</v>
      </c>
    </row>
    <row r="2" spans="1:13" x14ac:dyDescent="0.2">
      <c r="A2" s="144" t="s">
        <v>13</v>
      </c>
      <c r="B2" s="148">
        <v>1</v>
      </c>
      <c r="C2" s="148">
        <v>6</v>
      </c>
      <c r="D2" s="149">
        <v>2019</v>
      </c>
      <c r="E2" s="145">
        <f>submetering!E2+submetering!F2+submetering!G2</f>
        <v>16250</v>
      </c>
      <c r="F2" s="142">
        <v>1.1000000000000001</v>
      </c>
      <c r="G2" s="142">
        <f>'Consommation mensuel énergie'!V10</f>
        <v>255.99368000000001</v>
      </c>
      <c r="H2" s="142">
        <v>8</v>
      </c>
      <c r="I2" s="142">
        <f>'Consommation mensuel énergie'!F10</f>
        <v>143.59999999999854</v>
      </c>
      <c r="J2" s="142">
        <v>11.4</v>
      </c>
      <c r="K2" s="145">
        <f>'Consommation mensuel énergie'!D10</f>
        <v>85</v>
      </c>
      <c r="L2" s="145">
        <f>'Consommation mensuel énergie'!E10</f>
        <v>150</v>
      </c>
      <c r="M2" s="141" t="e">
        <f>E2*F2+G2*H2+#REF!*#REF!+I2*J2</f>
        <v>#REF!</v>
      </c>
    </row>
    <row r="3" spans="1:13" x14ac:dyDescent="0.2">
      <c r="A3" s="144" t="s">
        <v>13</v>
      </c>
      <c r="B3" s="148">
        <f>B2+1</f>
        <v>2</v>
      </c>
      <c r="C3" s="148">
        <v>6</v>
      </c>
      <c r="D3" s="149">
        <v>2019</v>
      </c>
      <c r="E3" s="145">
        <f>submetering!E3+submetering!F3+submetering!G3</f>
        <v>16152</v>
      </c>
      <c r="F3" s="142">
        <v>1.1000000000000001</v>
      </c>
      <c r="G3" s="142">
        <f>'Consommation mensuel énergie'!V11</f>
        <v>415.98973000000001</v>
      </c>
      <c r="H3" s="142">
        <v>8</v>
      </c>
      <c r="I3" s="142">
        <f>'Consommation mensuel énergie'!F11</f>
        <v>142</v>
      </c>
      <c r="J3" s="142">
        <v>11.4</v>
      </c>
      <c r="K3" s="145">
        <f>'Consommation mensuel énergie'!D11</f>
        <v>55</v>
      </c>
      <c r="L3" s="145">
        <f>'Consommation mensuel énergie'!E11</f>
        <v>93</v>
      </c>
      <c r="M3" s="141" t="e">
        <f>E3*F3+G3*H3+#REF!*#REF!+I3*J3</f>
        <v>#REF!</v>
      </c>
    </row>
    <row r="4" spans="1:13" x14ac:dyDescent="0.2">
      <c r="A4" s="144" t="s">
        <v>13</v>
      </c>
      <c r="B4" s="148">
        <f t="shared" ref="B4:B31" si="0">B3+1</f>
        <v>3</v>
      </c>
      <c r="C4" s="148">
        <v>6</v>
      </c>
      <c r="D4" s="149">
        <v>2019</v>
      </c>
      <c r="E4" s="145">
        <f>submetering!E4+submetering!F4+submetering!G4</f>
        <v>16064</v>
      </c>
      <c r="F4" s="142">
        <v>1.1000000000000001</v>
      </c>
      <c r="G4" s="142">
        <f>'Consommation mensuel énergie'!V12</f>
        <v>319.99209999999999</v>
      </c>
      <c r="H4" s="142">
        <v>8</v>
      </c>
      <c r="I4" s="142">
        <f>'Consommation mensuel énergie'!F12</f>
        <v>114</v>
      </c>
      <c r="J4" s="142">
        <v>11.4</v>
      </c>
      <c r="K4" s="145">
        <f>'Consommation mensuel énergie'!D12</f>
        <v>81</v>
      </c>
      <c r="L4" s="145">
        <f>'Consommation mensuel énergie'!E12</f>
        <v>127</v>
      </c>
      <c r="M4" s="141" t="e">
        <f>E4*F4+G4*H4+#REF!*#REF!+I4*J4</f>
        <v>#REF!</v>
      </c>
    </row>
    <row r="5" spans="1:13" x14ac:dyDescent="0.2">
      <c r="A5" s="144" t="s">
        <v>13</v>
      </c>
      <c r="B5" s="148">
        <f t="shared" si="0"/>
        <v>4</v>
      </c>
      <c r="C5" s="148">
        <v>6</v>
      </c>
      <c r="D5" s="149">
        <v>2019</v>
      </c>
      <c r="E5" s="145">
        <f>submetering!E5+submetering!F5+submetering!G5</f>
        <v>16006</v>
      </c>
      <c r="F5" s="142">
        <v>1.1000000000000001</v>
      </c>
      <c r="G5" s="142">
        <f>'Consommation mensuel énergie'!V13</f>
        <v>319.99209999999999</v>
      </c>
      <c r="H5" s="142">
        <v>8</v>
      </c>
      <c r="I5" s="142">
        <f>'Consommation mensuel énergie'!F13</f>
        <v>117.40000000000146</v>
      </c>
      <c r="J5" s="142">
        <v>11.4</v>
      </c>
      <c r="K5" s="145">
        <f>'Consommation mensuel énergie'!D13</f>
        <v>89</v>
      </c>
      <c r="L5" s="145">
        <f>'Consommation mensuel énergie'!E13</f>
        <v>139</v>
      </c>
      <c r="M5" s="141" t="e">
        <f>E5*F5+G5*H5+#REF!*#REF!+I5*J5</f>
        <v>#REF!</v>
      </c>
    </row>
    <row r="6" spans="1:13" x14ac:dyDescent="0.2">
      <c r="A6" s="144" t="s">
        <v>13</v>
      </c>
      <c r="B6" s="148">
        <f t="shared" si="0"/>
        <v>5</v>
      </c>
      <c r="C6" s="148">
        <v>6</v>
      </c>
      <c r="D6" s="149">
        <v>2019</v>
      </c>
      <c r="E6" s="145">
        <f>submetering!E6+submetering!F6+submetering!G6</f>
        <v>15869</v>
      </c>
      <c r="F6" s="142">
        <v>1.1000000000000001</v>
      </c>
      <c r="G6" s="142">
        <f>'Consommation mensuel énergie'!V14</f>
        <v>255.99368000000001</v>
      </c>
      <c r="H6" s="142">
        <v>8</v>
      </c>
      <c r="I6" s="142">
        <f>'Consommation mensuel énergie'!F14</f>
        <v>160.09999999999854</v>
      </c>
      <c r="J6" s="142">
        <v>11.4</v>
      </c>
      <c r="K6" s="145">
        <f>'Consommation mensuel énergie'!D14</f>
        <v>76</v>
      </c>
      <c r="L6" s="145">
        <f>'Consommation mensuel énergie'!E14</f>
        <v>135</v>
      </c>
      <c r="M6" s="141" t="e">
        <f>E6*F6+G6*H6+#REF!*#REF!+I6*J6</f>
        <v>#REF!</v>
      </c>
    </row>
    <row r="7" spans="1:13" x14ac:dyDescent="0.2">
      <c r="A7" s="144" t="s">
        <v>13</v>
      </c>
      <c r="B7" s="148">
        <f t="shared" si="0"/>
        <v>6</v>
      </c>
      <c r="C7" s="148">
        <v>6</v>
      </c>
      <c r="D7" s="149">
        <v>2019</v>
      </c>
      <c r="E7" s="145">
        <f>submetering!E7+submetering!F7+submetering!G7</f>
        <v>15160</v>
      </c>
      <c r="F7" s="142">
        <v>1.1000000000000001</v>
      </c>
      <c r="G7" s="142">
        <f>'Consommation mensuel énergie'!V15</f>
        <v>287.99288999999999</v>
      </c>
      <c r="H7" s="142">
        <v>8</v>
      </c>
      <c r="I7" s="142">
        <f>'Consommation mensuel énergie'!F15</f>
        <v>66.600000000002183</v>
      </c>
      <c r="J7" s="142">
        <v>11.4</v>
      </c>
      <c r="K7" s="145">
        <f>'Consommation mensuel énergie'!D15</f>
        <v>97</v>
      </c>
      <c r="L7" s="145">
        <f>'Consommation mensuel énergie'!E15</f>
        <v>162</v>
      </c>
      <c r="M7" s="141" t="e">
        <f>E7*F7+G7*H7+#REF!*#REF!+I7*J7</f>
        <v>#REF!</v>
      </c>
    </row>
    <row r="8" spans="1:13" x14ac:dyDescent="0.2">
      <c r="A8" s="144" t="s">
        <v>13</v>
      </c>
      <c r="B8" s="148">
        <f t="shared" si="0"/>
        <v>7</v>
      </c>
      <c r="C8" s="148">
        <v>6</v>
      </c>
      <c r="D8" s="149">
        <v>2019</v>
      </c>
      <c r="E8" s="145">
        <f>submetering!E8+submetering!F8+submetering!G8</f>
        <v>15645</v>
      </c>
      <c r="F8" s="142">
        <v>1.1000000000000001</v>
      </c>
      <c r="G8" s="142">
        <f>'Consommation mensuel énergie'!V16</f>
        <v>383.99052</v>
      </c>
      <c r="H8" s="142">
        <v>8</v>
      </c>
      <c r="I8" s="142">
        <f>'Consommation mensuel énergie'!F16</f>
        <v>127.5</v>
      </c>
      <c r="J8" s="142">
        <v>11.4</v>
      </c>
      <c r="K8" s="145">
        <f>'Consommation mensuel énergie'!D16</f>
        <v>145</v>
      </c>
      <c r="L8" s="145">
        <f>'Consommation mensuel énergie'!E16</f>
        <v>257</v>
      </c>
      <c r="M8" s="141" t="e">
        <f>E8*F8+G8*H8+#REF!*#REF!+I8*J8</f>
        <v>#REF!</v>
      </c>
    </row>
    <row r="9" spans="1:13" x14ac:dyDescent="0.2">
      <c r="A9" s="144" t="s">
        <v>13</v>
      </c>
      <c r="B9" s="148">
        <f t="shared" si="0"/>
        <v>8</v>
      </c>
      <c r="C9" s="148">
        <v>6</v>
      </c>
      <c r="D9" s="149">
        <v>2019</v>
      </c>
      <c r="E9" s="145">
        <f>submetering!E9+submetering!F9+submetering!G9</f>
        <v>16249</v>
      </c>
      <c r="F9" s="142">
        <v>1.1000000000000001</v>
      </c>
      <c r="G9" s="142">
        <f>'Consommation mensuel énergie'!V17</f>
        <v>287.99288999999999</v>
      </c>
      <c r="H9" s="142">
        <v>8</v>
      </c>
      <c r="I9" s="142">
        <f>'Consommation mensuel énergie'!F17</f>
        <v>164.20000000000073</v>
      </c>
      <c r="J9" s="142">
        <v>11.4</v>
      </c>
      <c r="K9" s="145">
        <f>'Consommation mensuel énergie'!D17</f>
        <v>155</v>
      </c>
      <c r="L9" s="145">
        <f>'Consommation mensuel énergie'!E17</f>
        <v>260</v>
      </c>
      <c r="M9" s="141" t="e">
        <f>E9*F9+G9*H9+#REF!*#REF!+I9*J9</f>
        <v>#REF!</v>
      </c>
    </row>
    <row r="10" spans="1:13" x14ac:dyDescent="0.2">
      <c r="A10" s="144" t="s">
        <v>13</v>
      </c>
      <c r="B10" s="148">
        <f t="shared" si="0"/>
        <v>9</v>
      </c>
      <c r="C10" s="148">
        <v>6</v>
      </c>
      <c r="D10" s="149">
        <v>2019</v>
      </c>
      <c r="E10" s="145">
        <f>submetering!E10+submetering!F10+submetering!G10</f>
        <v>15434</v>
      </c>
      <c r="F10" s="142">
        <v>1.1000000000000001</v>
      </c>
      <c r="G10" s="142">
        <f>'Consommation mensuel énergie'!V18</f>
        <v>447.98894000000001</v>
      </c>
      <c r="H10" s="142">
        <v>8</v>
      </c>
      <c r="I10" s="142">
        <f>'Consommation mensuel énergie'!F18</f>
        <v>148.79999999999927</v>
      </c>
      <c r="J10" s="142">
        <v>11.4</v>
      </c>
      <c r="K10" s="145">
        <f>'Consommation mensuel énergie'!D18</f>
        <v>164</v>
      </c>
      <c r="L10" s="145">
        <f>'Consommation mensuel énergie'!E18</f>
        <v>251</v>
      </c>
      <c r="M10" s="141" t="e">
        <f>E10*F10+G10*H10+#REF!*#REF!+I10*J10</f>
        <v>#REF!</v>
      </c>
    </row>
    <row r="11" spans="1:13" x14ac:dyDescent="0.2">
      <c r="A11" s="144" t="s">
        <v>13</v>
      </c>
      <c r="B11" s="148">
        <f t="shared" si="0"/>
        <v>10</v>
      </c>
      <c r="C11" s="148">
        <v>6</v>
      </c>
      <c r="D11" s="149">
        <v>2019</v>
      </c>
      <c r="E11" s="145">
        <f>submetering!E11+submetering!F11+submetering!G11</f>
        <v>15743</v>
      </c>
      <c r="F11" s="142">
        <v>1.1000000000000001</v>
      </c>
      <c r="G11" s="142">
        <f>'Consommation mensuel énergie'!V19</f>
        <v>351.99131</v>
      </c>
      <c r="H11" s="142">
        <v>8</v>
      </c>
      <c r="I11" s="142">
        <f>'Consommation mensuel énergie'!F19</f>
        <v>143.5</v>
      </c>
      <c r="J11" s="142">
        <v>11.4</v>
      </c>
      <c r="K11" s="145">
        <f>'Consommation mensuel énergie'!D19</f>
        <v>135</v>
      </c>
      <c r="L11" s="145">
        <f>'Consommation mensuel énergie'!E19</f>
        <v>188</v>
      </c>
      <c r="M11" s="141" t="e">
        <f>E11*F11+G11*H11+#REF!*#REF!+I11*J11</f>
        <v>#REF!</v>
      </c>
    </row>
    <row r="12" spans="1:13" x14ac:dyDescent="0.2">
      <c r="A12" s="144" t="s">
        <v>13</v>
      </c>
      <c r="B12" s="148">
        <f t="shared" si="0"/>
        <v>11</v>
      </c>
      <c r="C12" s="148">
        <v>6</v>
      </c>
      <c r="D12" s="149">
        <v>2019</v>
      </c>
      <c r="E12" s="145">
        <f>submetering!E12+submetering!F12+submetering!G12</f>
        <v>17555</v>
      </c>
      <c r="F12" s="142">
        <v>1.1000000000000001</v>
      </c>
      <c r="G12" s="142">
        <f>'Consommation mensuel énergie'!V20</f>
        <v>319.99209999999999</v>
      </c>
      <c r="H12" s="142">
        <v>8</v>
      </c>
      <c r="I12" s="142">
        <f>'Consommation mensuel énergie'!F20</f>
        <v>162.89999999999782</v>
      </c>
      <c r="J12" s="142">
        <v>11.4</v>
      </c>
      <c r="K12" s="145">
        <f>'Consommation mensuel énergie'!D20</f>
        <v>156</v>
      </c>
      <c r="L12" s="145">
        <f>'Consommation mensuel énergie'!E20</f>
        <v>192</v>
      </c>
      <c r="M12" s="141" t="e">
        <f>E12*F12+G12*H12+#REF!*#REF!+I12*J12</f>
        <v>#REF!</v>
      </c>
    </row>
    <row r="13" spans="1:13" x14ac:dyDescent="0.2">
      <c r="A13" s="144" t="s">
        <v>13</v>
      </c>
      <c r="B13" s="148">
        <f t="shared" si="0"/>
        <v>12</v>
      </c>
      <c r="C13" s="148">
        <v>6</v>
      </c>
      <c r="D13" s="149">
        <v>2019</v>
      </c>
      <c r="E13" s="145">
        <f>submetering!E13+submetering!F13+submetering!G13</f>
        <v>16915</v>
      </c>
      <c r="F13" s="142">
        <v>1.1000000000000001</v>
      </c>
      <c r="G13" s="142">
        <f>'Consommation mensuel énergie'!V21</f>
        <v>479.98815000000002</v>
      </c>
      <c r="H13" s="142">
        <v>8</v>
      </c>
      <c r="I13" s="142">
        <f>'Consommation mensuel énergie'!F21</f>
        <v>175.30000000000291</v>
      </c>
      <c r="J13" s="142">
        <v>11.4</v>
      </c>
      <c r="K13" s="145">
        <f>'Consommation mensuel énergie'!D21</f>
        <v>181</v>
      </c>
      <c r="L13" s="145">
        <f>'Consommation mensuel énergie'!E21</f>
        <v>239</v>
      </c>
      <c r="M13" s="141" t="e">
        <f>E13*F13+G13*H13+#REF!*#REF!+I13*J13</f>
        <v>#REF!</v>
      </c>
    </row>
    <row r="14" spans="1:13" x14ac:dyDescent="0.2">
      <c r="A14" s="144" t="s">
        <v>13</v>
      </c>
      <c r="B14" s="148">
        <f t="shared" si="0"/>
        <v>13</v>
      </c>
      <c r="C14" s="148">
        <v>6</v>
      </c>
      <c r="D14" s="149">
        <v>2019</v>
      </c>
      <c r="E14" s="145">
        <f>submetering!E14+submetering!F14+submetering!G14</f>
        <v>18463</v>
      </c>
      <c r="F14" s="142">
        <v>1.1000000000000001</v>
      </c>
      <c r="G14" s="142">
        <f>'Consommation mensuel énergie'!V22</f>
        <v>511.98736000000002</v>
      </c>
      <c r="H14" s="142">
        <v>8</v>
      </c>
      <c r="I14" s="142">
        <f>'Consommation mensuel énergie'!F22</f>
        <v>184.19999999999709</v>
      </c>
      <c r="J14" s="142">
        <v>11.4</v>
      </c>
      <c r="K14" s="145">
        <f>'Consommation mensuel énergie'!D22</f>
        <v>161</v>
      </c>
      <c r="L14" s="145">
        <f>'Consommation mensuel énergie'!E22</f>
        <v>223</v>
      </c>
      <c r="M14" s="141" t="e">
        <f>E14*F14+G14*H14+#REF!*#REF!+I14*J14</f>
        <v>#REF!</v>
      </c>
    </row>
    <row r="15" spans="1:13" x14ac:dyDescent="0.2">
      <c r="A15" s="144" t="s">
        <v>13</v>
      </c>
      <c r="B15" s="148">
        <f t="shared" si="0"/>
        <v>14</v>
      </c>
      <c r="C15" s="148">
        <v>6</v>
      </c>
      <c r="D15" s="149">
        <v>2019</v>
      </c>
      <c r="E15" s="145">
        <f>submetering!E15+submetering!F15+submetering!G15</f>
        <v>19380</v>
      </c>
      <c r="F15" s="142">
        <v>1.1000000000000001</v>
      </c>
      <c r="G15" s="142">
        <f>'Consommation mensuel énergie'!V23</f>
        <v>383.99052</v>
      </c>
      <c r="H15" s="142">
        <v>8</v>
      </c>
      <c r="I15" s="142">
        <f>'Consommation mensuel énergie'!F23</f>
        <v>232.20000000000073</v>
      </c>
      <c r="J15" s="142">
        <v>11.4</v>
      </c>
      <c r="K15" s="145">
        <f>'Consommation mensuel énergie'!D23</f>
        <v>180</v>
      </c>
      <c r="L15" s="145">
        <f>'Consommation mensuel énergie'!E23</f>
        <v>268</v>
      </c>
      <c r="M15" s="141" t="e">
        <f>E15*F15+G15*H15+#REF!*#REF!+I15*J15</f>
        <v>#REF!</v>
      </c>
    </row>
    <row r="16" spans="1:13" x14ac:dyDescent="0.2">
      <c r="A16" s="144" t="s">
        <v>13</v>
      </c>
      <c r="B16" s="148">
        <f t="shared" si="0"/>
        <v>15</v>
      </c>
      <c r="C16" s="148">
        <v>6</v>
      </c>
      <c r="D16" s="149">
        <v>2019</v>
      </c>
      <c r="E16" s="145">
        <f>submetering!E16+submetering!F16+submetering!G16</f>
        <v>17655</v>
      </c>
      <c r="F16" s="142">
        <v>1.1000000000000001</v>
      </c>
      <c r="G16" s="142">
        <f>'Consommation mensuel énergie'!V24</f>
        <v>543.98657000000003</v>
      </c>
      <c r="H16" s="142">
        <v>8</v>
      </c>
      <c r="I16" s="142">
        <f>'Consommation mensuel énergie'!F24</f>
        <v>198.10000000000218</v>
      </c>
      <c r="J16" s="142">
        <v>11.4</v>
      </c>
      <c r="K16" s="145">
        <f>'Consommation mensuel énergie'!D24</f>
        <v>161</v>
      </c>
      <c r="L16" s="145">
        <f>'Consommation mensuel énergie'!E24</f>
        <v>259</v>
      </c>
      <c r="M16" s="141" t="e">
        <f>E16*F16+G16*H16+#REF!*#REF!+I16*J16</f>
        <v>#REF!</v>
      </c>
    </row>
    <row r="17" spans="1:13" x14ac:dyDescent="0.2">
      <c r="A17" s="144" t="s">
        <v>13</v>
      </c>
      <c r="B17" s="148">
        <f t="shared" si="0"/>
        <v>16</v>
      </c>
      <c r="C17" s="148">
        <v>6</v>
      </c>
      <c r="D17" s="149">
        <v>2019</v>
      </c>
      <c r="E17" s="145">
        <f>submetering!E17+submetering!F17+submetering!G17</f>
        <v>16864</v>
      </c>
      <c r="F17" s="142">
        <v>1.1000000000000001</v>
      </c>
      <c r="G17" s="142">
        <f>'Consommation mensuel énergie'!V25</f>
        <v>415.98973000000001</v>
      </c>
      <c r="H17" s="142">
        <v>8</v>
      </c>
      <c r="I17" s="142">
        <f>'Consommation mensuel énergie'!F25</f>
        <v>144.19999999999709</v>
      </c>
      <c r="J17" s="142">
        <v>11.4</v>
      </c>
      <c r="K17" s="145">
        <f>'Consommation mensuel énergie'!D25</f>
        <v>137</v>
      </c>
      <c r="L17" s="145">
        <f>'Consommation mensuel énergie'!E25</f>
        <v>197</v>
      </c>
      <c r="M17" s="141" t="e">
        <f>E17*F17+G17*H17+#REF!*#REF!+I17*J17</f>
        <v>#REF!</v>
      </c>
    </row>
    <row r="18" spans="1:13" x14ac:dyDescent="0.2">
      <c r="A18" s="144" t="s">
        <v>13</v>
      </c>
      <c r="B18" s="148">
        <f t="shared" si="0"/>
        <v>17</v>
      </c>
      <c r="C18" s="148">
        <v>6</v>
      </c>
      <c r="D18" s="149">
        <v>2019</v>
      </c>
      <c r="E18" s="145">
        <f>submetering!E18+submetering!F18+submetering!G18</f>
        <v>14844</v>
      </c>
      <c r="F18" s="142">
        <v>1.1000000000000001</v>
      </c>
      <c r="G18" s="142">
        <f>'Consommation mensuel énergie'!V26</f>
        <v>351.99131</v>
      </c>
      <c r="H18" s="142">
        <v>8</v>
      </c>
      <c r="I18" s="142">
        <f>'Consommation mensuel énergie'!F26</f>
        <v>171.30000000000291</v>
      </c>
      <c r="J18" s="142">
        <v>11.4</v>
      </c>
      <c r="K18" s="145">
        <f>'Consommation mensuel énergie'!D26</f>
        <v>184</v>
      </c>
      <c r="L18" s="145">
        <f>'Consommation mensuel énergie'!E26</f>
        <v>246</v>
      </c>
      <c r="M18" s="141" t="e">
        <f>E18*F18+G18*H18+#REF!*#REF!+I18*J18</f>
        <v>#REF!</v>
      </c>
    </row>
    <row r="19" spans="1:13" x14ac:dyDescent="0.2">
      <c r="A19" s="144" t="s">
        <v>13</v>
      </c>
      <c r="B19" s="148">
        <f t="shared" si="0"/>
        <v>18</v>
      </c>
      <c r="C19" s="148">
        <v>6</v>
      </c>
      <c r="D19" s="149">
        <v>2019</v>
      </c>
      <c r="E19" s="145">
        <f>submetering!E19+submetering!F19+submetering!G19</f>
        <v>18419</v>
      </c>
      <c r="F19" s="142">
        <v>1.1000000000000001</v>
      </c>
      <c r="G19" s="142">
        <f>'Consommation mensuel énergie'!V27</f>
        <v>479.98815000000002</v>
      </c>
      <c r="H19" s="142">
        <v>8</v>
      </c>
      <c r="I19" s="142">
        <f>'Consommation mensuel énergie'!F27</f>
        <v>206.09999999999854</v>
      </c>
      <c r="J19" s="142">
        <v>11.4</v>
      </c>
      <c r="K19" s="145">
        <f>'Consommation mensuel énergie'!D27</f>
        <v>177</v>
      </c>
      <c r="L19" s="145">
        <f>'Consommation mensuel énergie'!E27</f>
        <v>226</v>
      </c>
      <c r="M19" s="141" t="e">
        <f>E19*F19+G19*H19+#REF!*#REF!+I19*J19</f>
        <v>#REF!</v>
      </c>
    </row>
    <row r="20" spans="1:13" x14ac:dyDescent="0.2">
      <c r="A20" s="144" t="s">
        <v>13</v>
      </c>
      <c r="B20" s="148">
        <f t="shared" si="0"/>
        <v>19</v>
      </c>
      <c r="C20" s="148">
        <v>6</v>
      </c>
      <c r="D20" s="149">
        <v>2019</v>
      </c>
      <c r="E20" s="145">
        <f>submetering!E20+submetering!F20+submetering!G20</f>
        <v>17996</v>
      </c>
      <c r="F20" s="142">
        <v>1.1000000000000001</v>
      </c>
      <c r="G20" s="142">
        <f>'Consommation mensuel énergie'!V28</f>
        <v>191.99526</v>
      </c>
      <c r="H20" s="142">
        <v>8</v>
      </c>
      <c r="I20" s="142">
        <f>'Consommation mensuel énergie'!F28</f>
        <v>229</v>
      </c>
      <c r="J20" s="142">
        <v>11.4</v>
      </c>
      <c r="K20" s="145">
        <f>'Consommation mensuel énergie'!D28</f>
        <v>181</v>
      </c>
      <c r="L20" s="145">
        <f>'Consommation mensuel énergie'!E28</f>
        <v>227</v>
      </c>
      <c r="M20" s="141" t="e">
        <f>E20*F20+G20*H20+#REF!*#REF!+I20*J20</f>
        <v>#REF!</v>
      </c>
    </row>
    <row r="21" spans="1:13" x14ac:dyDescent="0.2">
      <c r="A21" s="144" t="s">
        <v>13</v>
      </c>
      <c r="B21" s="148">
        <f t="shared" si="0"/>
        <v>20</v>
      </c>
      <c r="C21" s="148">
        <v>6</v>
      </c>
      <c r="D21" s="149">
        <v>2019</v>
      </c>
      <c r="E21" s="145">
        <f>submetering!E21+submetering!F21+submetering!G21</f>
        <v>18296</v>
      </c>
      <c r="F21" s="142">
        <v>1.1000000000000001</v>
      </c>
      <c r="G21" s="142">
        <f>'Consommation mensuel énergie'!V29</f>
        <v>319.99209999999999</v>
      </c>
      <c r="H21" s="142">
        <v>8</v>
      </c>
      <c r="I21" s="142">
        <f>'Consommation mensuel énergie'!F29</f>
        <v>157.40000000000146</v>
      </c>
      <c r="J21" s="142">
        <v>11.4</v>
      </c>
      <c r="K21" s="145">
        <f>'Consommation mensuel énergie'!D29</f>
        <v>184</v>
      </c>
      <c r="L21" s="145">
        <f>'Consommation mensuel énergie'!E29</f>
        <v>249</v>
      </c>
      <c r="M21" s="141" t="e">
        <f>E21*F21+G21*H21+#REF!*#REF!+I21*J21</f>
        <v>#REF!</v>
      </c>
    </row>
    <row r="22" spans="1:13" x14ac:dyDescent="0.2">
      <c r="A22" s="144" t="s">
        <v>13</v>
      </c>
      <c r="B22" s="148">
        <f t="shared" si="0"/>
        <v>21</v>
      </c>
      <c r="C22" s="148">
        <v>6</v>
      </c>
      <c r="D22" s="149">
        <v>2019</v>
      </c>
      <c r="E22" s="145">
        <f>submetering!E22+submetering!F22+submetering!G22</f>
        <v>18693</v>
      </c>
      <c r="F22" s="142">
        <v>1.1000000000000001</v>
      </c>
      <c r="G22" s="142">
        <f>'Consommation mensuel énergie'!V30</f>
        <v>543.98657000000003</v>
      </c>
      <c r="H22" s="142">
        <v>8</v>
      </c>
      <c r="I22" s="142">
        <f>'Consommation mensuel énergie'!F30</f>
        <v>204.79999999999927</v>
      </c>
      <c r="J22" s="142">
        <v>11.4</v>
      </c>
      <c r="K22" s="145">
        <f>'Consommation mensuel énergie'!D30</f>
        <v>174</v>
      </c>
      <c r="L22" s="145">
        <f>'Consommation mensuel énergie'!E30</f>
        <v>264</v>
      </c>
      <c r="M22" s="141" t="e">
        <f>E22*F22+G22*H22+#REF!*#REF!+I22*J22</f>
        <v>#REF!</v>
      </c>
    </row>
    <row r="23" spans="1:13" x14ac:dyDescent="0.2">
      <c r="A23" s="144" t="s">
        <v>13</v>
      </c>
      <c r="B23" s="148">
        <f t="shared" si="0"/>
        <v>22</v>
      </c>
      <c r="C23" s="148">
        <v>6</v>
      </c>
      <c r="D23" s="149">
        <v>2019</v>
      </c>
      <c r="E23" s="145">
        <f>submetering!E23+submetering!F23+submetering!G23</f>
        <v>19027</v>
      </c>
      <c r="F23" s="142">
        <v>1.1000000000000001</v>
      </c>
      <c r="G23" s="142">
        <f>'Consommation mensuel énergie'!V31</f>
        <v>383.99052</v>
      </c>
      <c r="H23" s="142">
        <v>8</v>
      </c>
      <c r="I23" s="142">
        <f>'Consommation mensuel énergie'!F31</f>
        <v>201.29999999999927</v>
      </c>
      <c r="J23" s="142">
        <v>11.4</v>
      </c>
      <c r="K23" s="145">
        <f>'Consommation mensuel énergie'!D31</f>
        <v>154</v>
      </c>
      <c r="L23" s="145">
        <f>'Consommation mensuel énergie'!E31</f>
        <v>242</v>
      </c>
      <c r="M23" s="141" t="e">
        <f>E23*F23+G23*H23+#REF!*#REF!+I23*J23</f>
        <v>#REF!</v>
      </c>
    </row>
    <row r="24" spans="1:13" x14ac:dyDescent="0.2">
      <c r="A24" s="144" t="s">
        <v>13</v>
      </c>
      <c r="B24" s="148">
        <f t="shared" si="0"/>
        <v>23</v>
      </c>
      <c r="C24" s="148">
        <v>6</v>
      </c>
      <c r="D24" s="149">
        <v>2019</v>
      </c>
      <c r="E24" s="145">
        <f>submetering!E24+submetering!F24+submetering!G24</f>
        <v>18690</v>
      </c>
      <c r="F24" s="142">
        <v>1.1000000000000001</v>
      </c>
      <c r="G24" s="142">
        <f>'Consommation mensuel énergie'!V32</f>
        <v>383.99052</v>
      </c>
      <c r="H24" s="142">
        <v>8</v>
      </c>
      <c r="I24" s="142">
        <f>'Consommation mensuel énergie'!F32</f>
        <v>195.40000000000146</v>
      </c>
      <c r="J24" s="142">
        <v>11.4</v>
      </c>
      <c r="K24" s="145">
        <f>'Consommation mensuel énergie'!D32</f>
        <v>140</v>
      </c>
      <c r="L24" s="145">
        <f>'Consommation mensuel énergie'!E32</f>
        <v>197</v>
      </c>
      <c r="M24" s="141" t="e">
        <f>E24*F24+G24*H24+#REF!*#REF!+I24*J24</f>
        <v>#REF!</v>
      </c>
    </row>
    <row r="25" spans="1:13" x14ac:dyDescent="0.2">
      <c r="A25" s="144" t="s">
        <v>13</v>
      </c>
      <c r="B25" s="148">
        <f t="shared" si="0"/>
        <v>24</v>
      </c>
      <c r="C25" s="148">
        <v>6</v>
      </c>
      <c r="D25" s="149">
        <v>2019</v>
      </c>
      <c r="E25" s="145">
        <f>submetering!E25+submetering!F25+submetering!G25</f>
        <v>16590</v>
      </c>
      <c r="F25" s="142">
        <v>1.1000000000000001</v>
      </c>
      <c r="G25" s="142">
        <f>'Consommation mensuel énergie'!V33</f>
        <v>287.99288999999999</v>
      </c>
      <c r="H25" s="142">
        <v>8</v>
      </c>
      <c r="I25" s="142">
        <f>'Consommation mensuel énergie'!F33</f>
        <v>188.29999999999563</v>
      </c>
      <c r="J25" s="142">
        <v>11.4</v>
      </c>
      <c r="K25" s="145">
        <f>'Consommation mensuel énergie'!D33</f>
        <v>185</v>
      </c>
      <c r="L25" s="145">
        <f>'Consommation mensuel énergie'!E33</f>
        <v>245</v>
      </c>
      <c r="M25" s="141" t="e">
        <f>E25*F25+G25*H25+#REF!*#REF!+I25*J25</f>
        <v>#REF!</v>
      </c>
    </row>
    <row r="26" spans="1:13" x14ac:dyDescent="0.2">
      <c r="A26" s="144" t="s">
        <v>13</v>
      </c>
      <c r="B26" s="148">
        <f>B25+1</f>
        <v>25</v>
      </c>
      <c r="C26" s="148">
        <v>6</v>
      </c>
      <c r="D26" s="149">
        <v>2019</v>
      </c>
      <c r="E26" s="145">
        <f>submetering!E26+submetering!F26+submetering!G26</f>
        <v>18912</v>
      </c>
      <c r="F26" s="142">
        <v>1.1000000000000001</v>
      </c>
      <c r="G26" s="142">
        <f>'Consommation mensuel énergie'!V34</f>
        <v>703.98262</v>
      </c>
      <c r="H26" s="142">
        <v>8</v>
      </c>
      <c r="I26" s="142">
        <f>'Consommation mensuel énergie'!F34</f>
        <v>236.90000000000146</v>
      </c>
      <c r="J26" s="142">
        <v>11.4</v>
      </c>
      <c r="K26" s="145">
        <f>'Consommation mensuel énergie'!D34</f>
        <v>182</v>
      </c>
      <c r="L26" s="145">
        <f>'Consommation mensuel énergie'!E34</f>
        <v>246</v>
      </c>
      <c r="M26" s="141" t="e">
        <f>E26*F26+G26*H26+#REF!*#REF!+I26*J26</f>
        <v>#REF!</v>
      </c>
    </row>
    <row r="27" spans="1:13" x14ac:dyDescent="0.2">
      <c r="A27" s="144" t="s">
        <v>13</v>
      </c>
      <c r="B27" s="148">
        <f t="shared" si="0"/>
        <v>26</v>
      </c>
      <c r="C27" s="148">
        <v>6</v>
      </c>
      <c r="D27" s="149">
        <v>2019</v>
      </c>
      <c r="E27" s="145">
        <f>submetering!E27+submetering!F27+submetering!G27</f>
        <v>20534</v>
      </c>
      <c r="F27" s="142">
        <v>1.1000000000000001</v>
      </c>
      <c r="G27" s="142">
        <f>'Consommation mensuel énergie'!V35</f>
        <v>255.99368000000001</v>
      </c>
      <c r="H27" s="142">
        <v>8</v>
      </c>
      <c r="I27" s="142">
        <f>'Consommation mensuel énergie'!F35</f>
        <v>172.5</v>
      </c>
      <c r="J27" s="142">
        <v>11.4</v>
      </c>
      <c r="K27" s="145">
        <f>'Consommation mensuel énergie'!D35</f>
        <v>180</v>
      </c>
      <c r="L27" s="145">
        <f>'Consommation mensuel énergie'!E35</f>
        <v>241</v>
      </c>
      <c r="M27" s="141" t="e">
        <f>E27*F27+G27*H27+#REF!*#REF!+I27*J27</f>
        <v>#REF!</v>
      </c>
    </row>
    <row r="28" spans="1:13" x14ac:dyDescent="0.2">
      <c r="A28" s="144" t="s">
        <v>13</v>
      </c>
      <c r="B28" s="148">
        <f t="shared" si="0"/>
        <v>27</v>
      </c>
      <c r="C28" s="148">
        <v>6</v>
      </c>
      <c r="D28" s="149">
        <v>2019</v>
      </c>
      <c r="E28" s="145">
        <f>submetering!E28+submetering!F28+submetering!G28</f>
        <v>20289</v>
      </c>
      <c r="F28" s="142">
        <v>1.1000000000000001</v>
      </c>
      <c r="G28" s="142">
        <f>'Consommation mensuel énergie'!V36</f>
        <v>479.98815000000002</v>
      </c>
      <c r="H28" s="142">
        <v>8</v>
      </c>
      <c r="I28" s="142">
        <f>'Consommation mensuel énergie'!F36</f>
        <v>174.5</v>
      </c>
      <c r="J28" s="142">
        <v>11.4</v>
      </c>
      <c r="K28" s="145">
        <f>'Consommation mensuel énergie'!D36</f>
        <v>175</v>
      </c>
      <c r="L28" s="145">
        <f>'Consommation mensuel énergie'!E36</f>
        <v>240</v>
      </c>
      <c r="M28" s="141" t="e">
        <f>E28*F28+G28*H28+#REF!*#REF!+I28*J28</f>
        <v>#REF!</v>
      </c>
    </row>
    <row r="29" spans="1:13" x14ac:dyDescent="0.2">
      <c r="A29" s="144" t="s">
        <v>13</v>
      </c>
      <c r="B29" s="148">
        <f t="shared" si="0"/>
        <v>28</v>
      </c>
      <c r="C29" s="148">
        <v>6</v>
      </c>
      <c r="D29" s="149">
        <v>2019</v>
      </c>
      <c r="E29" s="145">
        <f>submetering!E29+submetering!F29+submetering!G29</f>
        <v>19995</v>
      </c>
      <c r="F29" s="142">
        <v>1.1000000000000001</v>
      </c>
      <c r="G29" s="142">
        <f>'Consommation mensuel énergie'!V37</f>
        <v>479.98815000000002</v>
      </c>
      <c r="H29" s="142">
        <v>8</v>
      </c>
      <c r="I29" s="142">
        <f>'Consommation mensuel énergie'!F37</f>
        <v>187.30000000000291</v>
      </c>
      <c r="J29" s="142">
        <v>11.4</v>
      </c>
      <c r="K29" s="145">
        <f>'Consommation mensuel énergie'!D37</f>
        <v>133</v>
      </c>
      <c r="L29" s="145">
        <f>'Consommation mensuel énergie'!E37</f>
        <v>227</v>
      </c>
      <c r="M29" s="141" t="e">
        <f>E29*F29+G29*H29+#REF!*#REF!+I29*J29</f>
        <v>#REF!</v>
      </c>
    </row>
    <row r="30" spans="1:13" x14ac:dyDescent="0.2">
      <c r="A30" s="144" t="s">
        <v>13</v>
      </c>
      <c r="B30" s="148">
        <f t="shared" si="0"/>
        <v>29</v>
      </c>
      <c r="C30" s="148">
        <v>6</v>
      </c>
      <c r="D30" s="149">
        <v>2019</v>
      </c>
      <c r="E30" s="145">
        <f>submetering!E30+submetering!F30+submetering!G30</f>
        <v>19188</v>
      </c>
      <c r="F30" s="142">
        <v>1.1000000000000001</v>
      </c>
      <c r="G30" s="142">
        <f>'Consommation mensuel énergie'!V38</f>
        <v>351.99131</v>
      </c>
      <c r="H30" s="142">
        <v>8</v>
      </c>
      <c r="I30" s="142">
        <f>'Consommation mensuel énergie'!F38</f>
        <v>186.09999999999854</v>
      </c>
      <c r="J30" s="142">
        <v>11.4</v>
      </c>
      <c r="K30" s="145">
        <f>'Consommation mensuel énergie'!D38</f>
        <v>159</v>
      </c>
      <c r="L30" s="145">
        <f>'Consommation mensuel énergie'!E38</f>
        <v>269</v>
      </c>
      <c r="M30" s="141" t="e">
        <f>E30*F30+G30*H30+#REF!*#REF!+I30*J30</f>
        <v>#REF!</v>
      </c>
    </row>
    <row r="31" spans="1:13" x14ac:dyDescent="0.2">
      <c r="A31" s="144" t="s">
        <v>13</v>
      </c>
      <c r="B31" s="148">
        <f t="shared" si="0"/>
        <v>30</v>
      </c>
      <c r="C31" s="148">
        <v>6</v>
      </c>
      <c r="D31" s="149">
        <v>2019</v>
      </c>
      <c r="E31" s="145">
        <f>submetering!E31+submetering!F31+submetering!G31</f>
        <v>20126</v>
      </c>
      <c r="F31" s="142">
        <v>1.1000000000000001</v>
      </c>
      <c r="G31" s="142">
        <f>'Consommation mensuel énergie'!V39</f>
        <v>479.98815000000002</v>
      </c>
      <c r="H31" s="142">
        <v>8</v>
      </c>
      <c r="I31" s="142">
        <f>'Consommation mensuel énergie'!F39</f>
        <v>157.5</v>
      </c>
      <c r="J31" s="142">
        <v>11.4</v>
      </c>
      <c r="K31" s="145">
        <f>'Consommation mensuel énergie'!D39</f>
        <v>150</v>
      </c>
      <c r="L31" s="145">
        <f>'Consommation mensuel énergie'!E39</f>
        <v>242</v>
      </c>
      <c r="M31" s="141" t="e">
        <f>E31*F31+G31*H31+#REF!*#REF!+I31*J31</f>
        <v>#REF!</v>
      </c>
    </row>
    <row r="32" spans="1:13" x14ac:dyDescent="0.2">
      <c r="F32" s="142"/>
      <c r="G32" s="142"/>
      <c r="H32" s="142"/>
      <c r="I32" s="142"/>
      <c r="J32" s="142"/>
    </row>
    <row r="33" spans="6:10" x14ac:dyDescent="0.2">
      <c r="F33" s="142"/>
      <c r="G33" s="142"/>
      <c r="H33" s="142"/>
      <c r="I33" s="142"/>
      <c r="J33" s="142"/>
    </row>
    <row r="34" spans="6:10" x14ac:dyDescent="0.2">
      <c r="F34" s="142"/>
      <c r="G34" s="142"/>
      <c r="H34" s="142"/>
      <c r="I34" s="142"/>
      <c r="J34" s="142"/>
    </row>
    <row r="35" spans="6:10" x14ac:dyDescent="0.2">
      <c r="F35" s="142"/>
      <c r="G35" s="142"/>
      <c r="H35" s="142"/>
      <c r="I35" s="142"/>
      <c r="J35" s="142"/>
    </row>
    <row r="36" spans="6:10" x14ac:dyDescent="0.2">
      <c r="F36" s="142"/>
      <c r="G36" s="142"/>
      <c r="H36" s="142"/>
      <c r="I36" s="142"/>
      <c r="J36" s="142"/>
    </row>
    <row r="37" spans="6:10" x14ac:dyDescent="0.2">
      <c r="F37" s="142"/>
      <c r="G37" s="142"/>
      <c r="H37" s="142"/>
      <c r="I37" s="142"/>
      <c r="J37" s="142"/>
    </row>
    <row r="38" spans="6:10" x14ac:dyDescent="0.2">
      <c r="F38" s="142"/>
      <c r="G38" s="142"/>
      <c r="H38" s="142"/>
      <c r="I38" s="142"/>
      <c r="J38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N30" sqref="N30"/>
    </sheetView>
  </sheetViews>
  <sheetFormatPr baseColWidth="10" defaultColWidth="11.5703125" defaultRowHeight="12.75" x14ac:dyDescent="0.2"/>
  <cols>
    <col min="1" max="1" width="12.42578125" style="50" customWidth="1"/>
    <col min="2" max="3" width="11.5703125" style="148"/>
    <col min="4" max="4" width="13.42578125" style="149" customWidth="1"/>
    <col min="5" max="6" width="12.5703125" style="50" customWidth="1"/>
    <col min="7" max="7" width="11.5703125" style="50"/>
    <col min="10" max="10" width="0" hidden="1" customWidth="1"/>
  </cols>
  <sheetData>
    <row r="1" spans="1:10" s="106" customFormat="1" ht="30.75" thickBot="1" x14ac:dyDescent="0.3">
      <c r="A1" s="143" t="s">
        <v>0</v>
      </c>
      <c r="B1" s="146" t="s">
        <v>1</v>
      </c>
      <c r="C1" s="146" t="s">
        <v>2</v>
      </c>
      <c r="D1" s="147" t="s">
        <v>3</v>
      </c>
      <c r="E1" s="150" t="s">
        <v>14</v>
      </c>
      <c r="F1" s="150" t="s">
        <v>15</v>
      </c>
      <c r="G1" s="150" t="s">
        <v>16</v>
      </c>
      <c r="H1" s="139" t="s">
        <v>10</v>
      </c>
      <c r="I1" s="139" t="s">
        <v>11</v>
      </c>
      <c r="J1" s="140" t="s">
        <v>12</v>
      </c>
    </row>
    <row r="2" spans="1:10" x14ac:dyDescent="0.2">
      <c r="A2" s="144" t="s">
        <v>13</v>
      </c>
      <c r="B2" s="148">
        <v>1</v>
      </c>
      <c r="C2" s="148">
        <v>6</v>
      </c>
      <c r="D2" s="149">
        <v>2019</v>
      </c>
      <c r="E2" s="145">
        <f>'Consommation mensuel énergie'!L10</f>
        <v>3411</v>
      </c>
      <c r="F2" s="145">
        <f>'Consommation mensuel énergie'!M10</f>
        <v>8488</v>
      </c>
      <c r="G2" s="145">
        <f>'Consommation mensuel énergie'!N10</f>
        <v>4351</v>
      </c>
      <c r="H2" s="145">
        <f>'Consommation mensuel énergie'!D10</f>
        <v>85</v>
      </c>
      <c r="I2" s="145">
        <f>'Consommation mensuel énergie'!E10</f>
        <v>150</v>
      </c>
      <c r="J2" s="141" t="e">
        <f>E2*F2+G2*#REF!+#REF!*#REF!+#REF!*#REF!</f>
        <v>#REF!</v>
      </c>
    </row>
    <row r="3" spans="1:10" x14ac:dyDescent="0.2">
      <c r="A3" s="144" t="s">
        <v>13</v>
      </c>
      <c r="B3" s="148">
        <f>B2+1</f>
        <v>2</v>
      </c>
      <c r="C3" s="148">
        <v>6</v>
      </c>
      <c r="D3" s="149">
        <v>2019</v>
      </c>
      <c r="E3" s="145">
        <f>'Consommation mensuel énergie'!L11</f>
        <v>3841</v>
      </c>
      <c r="F3" s="145">
        <f>'Consommation mensuel énergie'!M11</f>
        <v>8566</v>
      </c>
      <c r="G3" s="145">
        <f>'Consommation mensuel énergie'!N11</f>
        <v>3745</v>
      </c>
      <c r="H3" s="145">
        <f>'Consommation mensuel énergie'!D11</f>
        <v>55</v>
      </c>
      <c r="I3" s="145">
        <f>'Consommation mensuel énergie'!E11</f>
        <v>93</v>
      </c>
      <c r="J3" s="141" t="e">
        <f>E3*F3+G3*#REF!+#REF!*#REF!+#REF!*#REF!</f>
        <v>#REF!</v>
      </c>
    </row>
    <row r="4" spans="1:10" x14ac:dyDescent="0.2">
      <c r="A4" s="144" t="s">
        <v>13</v>
      </c>
      <c r="B4" s="148">
        <f t="shared" ref="B4:B30" si="0">B3+1</f>
        <v>3</v>
      </c>
      <c r="C4" s="148">
        <v>6</v>
      </c>
      <c r="D4" s="149">
        <v>2019</v>
      </c>
      <c r="E4" s="145">
        <f>'Consommation mensuel énergie'!L12</f>
        <v>3722</v>
      </c>
      <c r="F4" s="145">
        <f>'Consommation mensuel énergie'!M12</f>
        <v>8372</v>
      </c>
      <c r="G4" s="145">
        <f>'Consommation mensuel énergie'!N12</f>
        <v>3970</v>
      </c>
      <c r="H4" s="145">
        <f>'Consommation mensuel énergie'!D12</f>
        <v>81</v>
      </c>
      <c r="I4" s="145">
        <f>'Consommation mensuel énergie'!E12</f>
        <v>127</v>
      </c>
      <c r="J4" s="141" t="e">
        <f>E4*F4+G4*#REF!+#REF!*#REF!+#REF!*#REF!</f>
        <v>#REF!</v>
      </c>
    </row>
    <row r="5" spans="1:10" x14ac:dyDescent="0.2">
      <c r="A5" s="144" t="s">
        <v>13</v>
      </c>
      <c r="B5" s="148">
        <f t="shared" si="0"/>
        <v>4</v>
      </c>
      <c r="C5" s="148">
        <v>6</v>
      </c>
      <c r="D5" s="149">
        <v>2019</v>
      </c>
      <c r="E5" s="145">
        <f>'Consommation mensuel énergie'!L13</f>
        <v>3743</v>
      </c>
      <c r="F5" s="145">
        <f>'Consommation mensuel énergie'!M13</f>
        <v>8560</v>
      </c>
      <c r="G5" s="145">
        <f>'Consommation mensuel énergie'!N13</f>
        <v>3703</v>
      </c>
      <c r="H5" s="145">
        <f>'Consommation mensuel énergie'!D13</f>
        <v>89</v>
      </c>
      <c r="I5" s="145">
        <f>'Consommation mensuel énergie'!E13</f>
        <v>139</v>
      </c>
      <c r="J5" s="141" t="e">
        <f>E5*F5+G5*#REF!+#REF!*#REF!+#REF!*#REF!</f>
        <v>#REF!</v>
      </c>
    </row>
    <row r="6" spans="1:10" x14ac:dyDescent="0.2">
      <c r="A6" s="144" t="s">
        <v>13</v>
      </c>
      <c r="B6" s="148">
        <f t="shared" si="0"/>
        <v>5</v>
      </c>
      <c r="C6" s="148">
        <v>6</v>
      </c>
      <c r="D6" s="149">
        <v>2019</v>
      </c>
      <c r="E6" s="145">
        <f>'Consommation mensuel énergie'!L14</f>
        <v>3723</v>
      </c>
      <c r="F6" s="145">
        <f>'Consommation mensuel énergie'!M14</f>
        <v>8480</v>
      </c>
      <c r="G6" s="145">
        <f>'Consommation mensuel énergie'!N14</f>
        <v>3666</v>
      </c>
      <c r="H6" s="145">
        <f>'Consommation mensuel énergie'!D14</f>
        <v>76</v>
      </c>
      <c r="I6" s="145">
        <f>'Consommation mensuel énergie'!E14</f>
        <v>135</v>
      </c>
      <c r="J6" s="141" t="e">
        <f>E6*F6+G6*#REF!+#REF!*#REF!+#REF!*#REF!</f>
        <v>#REF!</v>
      </c>
    </row>
    <row r="7" spans="1:10" x14ac:dyDescent="0.2">
      <c r="A7" s="144" t="s">
        <v>13</v>
      </c>
      <c r="B7" s="148">
        <f t="shared" si="0"/>
        <v>6</v>
      </c>
      <c r="C7" s="148">
        <v>6</v>
      </c>
      <c r="D7" s="149">
        <v>2019</v>
      </c>
      <c r="E7" s="145">
        <f>'Consommation mensuel énergie'!L15</f>
        <v>3838</v>
      </c>
      <c r="F7" s="145">
        <f>'Consommation mensuel énergie'!M15</f>
        <v>7962</v>
      </c>
      <c r="G7" s="145">
        <f>'Consommation mensuel énergie'!N15</f>
        <v>3360</v>
      </c>
      <c r="H7" s="145">
        <f>'Consommation mensuel énergie'!D15</f>
        <v>97</v>
      </c>
      <c r="I7" s="145">
        <f>'Consommation mensuel énergie'!E15</f>
        <v>162</v>
      </c>
      <c r="J7" s="141" t="e">
        <f>E7*F7+G7*#REF!+#REF!*#REF!+#REF!*#REF!</f>
        <v>#REF!</v>
      </c>
    </row>
    <row r="8" spans="1:10" x14ac:dyDescent="0.2">
      <c r="A8" s="144" t="s">
        <v>13</v>
      </c>
      <c r="B8" s="148">
        <f t="shared" si="0"/>
        <v>7</v>
      </c>
      <c r="C8" s="148">
        <v>6</v>
      </c>
      <c r="D8" s="149">
        <v>2019</v>
      </c>
      <c r="E8" s="145">
        <f>'Consommation mensuel énergie'!L16</f>
        <v>4114</v>
      </c>
      <c r="F8" s="145">
        <f>'Consommation mensuel énergie'!M16</f>
        <v>7950</v>
      </c>
      <c r="G8" s="145">
        <f>'Consommation mensuel énergie'!N16</f>
        <v>3581</v>
      </c>
      <c r="H8" s="145">
        <f>'Consommation mensuel énergie'!D16</f>
        <v>145</v>
      </c>
      <c r="I8" s="145">
        <f>'Consommation mensuel énergie'!E16</f>
        <v>257</v>
      </c>
      <c r="J8" s="141" t="e">
        <f>E8*F8+G8*#REF!+#REF!*#REF!+#REF!*#REF!</f>
        <v>#REF!</v>
      </c>
    </row>
    <row r="9" spans="1:10" x14ac:dyDescent="0.2">
      <c r="A9" s="144" t="s">
        <v>13</v>
      </c>
      <c r="B9" s="148">
        <f t="shared" si="0"/>
        <v>8</v>
      </c>
      <c r="C9" s="148">
        <v>6</v>
      </c>
      <c r="D9" s="149">
        <v>2019</v>
      </c>
      <c r="E9" s="145">
        <f>'Consommation mensuel énergie'!L17</f>
        <v>4522</v>
      </c>
      <c r="F9" s="145">
        <f>'Consommation mensuel énergie'!M17</f>
        <v>8282</v>
      </c>
      <c r="G9" s="145">
        <f>'Consommation mensuel énergie'!N17</f>
        <v>3445</v>
      </c>
      <c r="H9" s="145">
        <f>'Consommation mensuel énergie'!D17</f>
        <v>155</v>
      </c>
      <c r="I9" s="145">
        <f>'Consommation mensuel énergie'!E17</f>
        <v>260</v>
      </c>
      <c r="J9" s="141" t="e">
        <f>E9*F9+G9*#REF!+#REF!*#REF!+#REF!*#REF!</f>
        <v>#REF!</v>
      </c>
    </row>
    <row r="10" spans="1:10" x14ac:dyDescent="0.2">
      <c r="A10" s="144" t="s">
        <v>13</v>
      </c>
      <c r="B10" s="148">
        <f t="shared" si="0"/>
        <v>9</v>
      </c>
      <c r="C10" s="148">
        <v>6</v>
      </c>
      <c r="D10" s="149">
        <v>2019</v>
      </c>
      <c r="E10" s="145">
        <f>'Consommation mensuel énergie'!L18</f>
        <v>3535</v>
      </c>
      <c r="F10" s="145">
        <f>'Consommation mensuel énergie'!M18</f>
        <v>8163</v>
      </c>
      <c r="G10" s="145">
        <f>'Consommation mensuel énergie'!N18</f>
        <v>3736</v>
      </c>
      <c r="H10" s="145">
        <f>'Consommation mensuel énergie'!D18</f>
        <v>164</v>
      </c>
      <c r="I10" s="145">
        <f>'Consommation mensuel énergie'!E18</f>
        <v>251</v>
      </c>
      <c r="J10" s="141" t="e">
        <f>E10*F10+G10*#REF!+#REF!*#REF!+#REF!*#REF!</f>
        <v>#REF!</v>
      </c>
    </row>
    <row r="11" spans="1:10" x14ac:dyDescent="0.2">
      <c r="A11" s="144" t="s">
        <v>13</v>
      </c>
      <c r="B11" s="148">
        <f t="shared" si="0"/>
        <v>10</v>
      </c>
      <c r="C11" s="148">
        <v>6</v>
      </c>
      <c r="D11" s="149">
        <v>2019</v>
      </c>
      <c r="E11" s="145">
        <f>'Consommation mensuel énergie'!L19</f>
        <v>4299</v>
      </c>
      <c r="F11" s="145">
        <f>'Consommation mensuel énergie'!M19</f>
        <v>8050</v>
      </c>
      <c r="G11" s="145">
        <f>'Consommation mensuel énergie'!N19</f>
        <v>3394</v>
      </c>
      <c r="H11" s="145">
        <f>'Consommation mensuel énergie'!D19</f>
        <v>135</v>
      </c>
      <c r="I11" s="145">
        <f>'Consommation mensuel énergie'!E19</f>
        <v>188</v>
      </c>
      <c r="J11" s="141" t="e">
        <f>E11*F11+G11*#REF!+#REF!*#REF!+#REF!*#REF!</f>
        <v>#REF!</v>
      </c>
    </row>
    <row r="12" spans="1:10" x14ac:dyDescent="0.2">
      <c r="A12" s="144" t="s">
        <v>13</v>
      </c>
      <c r="B12" s="148">
        <f t="shared" si="0"/>
        <v>11</v>
      </c>
      <c r="C12" s="148">
        <v>6</v>
      </c>
      <c r="D12" s="149">
        <v>2019</v>
      </c>
      <c r="E12" s="145">
        <f>'Consommation mensuel énergie'!L20</f>
        <v>4658</v>
      </c>
      <c r="F12" s="145">
        <f>'Consommation mensuel énergie'!M20</f>
        <v>9525</v>
      </c>
      <c r="G12" s="145">
        <f>'Consommation mensuel énergie'!N20</f>
        <v>3372</v>
      </c>
      <c r="H12" s="145">
        <f>'Consommation mensuel énergie'!D20</f>
        <v>156</v>
      </c>
      <c r="I12" s="145">
        <f>'Consommation mensuel énergie'!E20</f>
        <v>192</v>
      </c>
      <c r="J12" s="141" t="e">
        <f>E12*F12+G12*#REF!+#REF!*#REF!+#REF!*#REF!</f>
        <v>#REF!</v>
      </c>
    </row>
    <row r="13" spans="1:10" x14ac:dyDescent="0.2">
      <c r="A13" s="144" t="s">
        <v>13</v>
      </c>
      <c r="B13" s="148">
        <f t="shared" si="0"/>
        <v>12</v>
      </c>
      <c r="C13" s="148">
        <v>6</v>
      </c>
      <c r="D13" s="149">
        <v>2019</v>
      </c>
      <c r="E13" s="145">
        <f>'Consommation mensuel énergie'!L21</f>
        <v>4373</v>
      </c>
      <c r="F13" s="145">
        <f>'Consommation mensuel énergie'!M21</f>
        <v>9191</v>
      </c>
      <c r="G13" s="145">
        <f>'Consommation mensuel énergie'!N21</f>
        <v>3351</v>
      </c>
      <c r="H13" s="145">
        <f>'Consommation mensuel énergie'!D21</f>
        <v>181</v>
      </c>
      <c r="I13" s="145">
        <f>'Consommation mensuel énergie'!E21</f>
        <v>239</v>
      </c>
      <c r="J13" s="141" t="e">
        <f>E13*F13+G13*#REF!+#REF!*#REF!+#REF!*#REF!</f>
        <v>#REF!</v>
      </c>
    </row>
    <row r="14" spans="1:10" x14ac:dyDescent="0.2">
      <c r="A14" s="144" t="s">
        <v>13</v>
      </c>
      <c r="B14" s="148">
        <f t="shared" si="0"/>
        <v>13</v>
      </c>
      <c r="C14" s="148">
        <v>6</v>
      </c>
      <c r="D14" s="149">
        <v>2019</v>
      </c>
      <c r="E14" s="145">
        <f>'Consommation mensuel énergie'!L22</f>
        <v>4380</v>
      </c>
      <c r="F14" s="145">
        <f>'Consommation mensuel énergie'!M22</f>
        <v>10217</v>
      </c>
      <c r="G14" s="145">
        <f>'Consommation mensuel énergie'!N22</f>
        <v>3866</v>
      </c>
      <c r="H14" s="145">
        <f>'Consommation mensuel énergie'!D22</f>
        <v>161</v>
      </c>
      <c r="I14" s="145">
        <f>'Consommation mensuel énergie'!E22</f>
        <v>223</v>
      </c>
      <c r="J14" s="141" t="e">
        <f>E14*F14+G14*#REF!+#REF!*#REF!+#REF!*#REF!</f>
        <v>#REF!</v>
      </c>
    </row>
    <row r="15" spans="1:10" x14ac:dyDescent="0.2">
      <c r="A15" s="144" t="s">
        <v>13</v>
      </c>
      <c r="B15" s="148">
        <f t="shared" si="0"/>
        <v>14</v>
      </c>
      <c r="C15" s="148">
        <v>6</v>
      </c>
      <c r="D15" s="149">
        <v>2019</v>
      </c>
      <c r="E15" s="145">
        <f>'Consommation mensuel énergie'!L23</f>
        <v>5440</v>
      </c>
      <c r="F15" s="145">
        <f>'Consommation mensuel énergie'!M23</f>
        <v>10433</v>
      </c>
      <c r="G15" s="145">
        <f>'Consommation mensuel énergie'!N23</f>
        <v>3507</v>
      </c>
      <c r="H15" s="145">
        <f>'Consommation mensuel énergie'!D23</f>
        <v>180</v>
      </c>
      <c r="I15" s="145">
        <f>'Consommation mensuel énergie'!E23</f>
        <v>268</v>
      </c>
      <c r="J15" s="141" t="e">
        <f>E15*F15+G15*#REF!+#REF!*#REF!+#REF!*#REF!</f>
        <v>#REF!</v>
      </c>
    </row>
    <row r="16" spans="1:10" x14ac:dyDescent="0.2">
      <c r="A16" s="144" t="s">
        <v>13</v>
      </c>
      <c r="B16" s="148">
        <f t="shared" si="0"/>
        <v>15</v>
      </c>
      <c r="C16" s="148">
        <v>6</v>
      </c>
      <c r="D16" s="149">
        <v>2019</v>
      </c>
      <c r="E16" s="145">
        <f>'Consommation mensuel énergie'!L24</f>
        <v>5001</v>
      </c>
      <c r="F16" s="145">
        <f>'Consommation mensuel énergie'!M24</f>
        <v>9082</v>
      </c>
      <c r="G16" s="145">
        <f>'Consommation mensuel énergie'!N24</f>
        <v>3572</v>
      </c>
      <c r="H16" s="145">
        <f>'Consommation mensuel énergie'!D24</f>
        <v>161</v>
      </c>
      <c r="I16" s="145">
        <f>'Consommation mensuel énergie'!E24</f>
        <v>259</v>
      </c>
      <c r="J16" s="141" t="e">
        <f>E16*F16+G16*#REF!+#REF!*#REF!+#REF!*#REF!</f>
        <v>#REF!</v>
      </c>
    </row>
    <row r="17" spans="1:10" x14ac:dyDescent="0.2">
      <c r="A17" s="144" t="s">
        <v>13</v>
      </c>
      <c r="B17" s="148">
        <f t="shared" si="0"/>
        <v>16</v>
      </c>
      <c r="C17" s="148">
        <v>6</v>
      </c>
      <c r="D17" s="149">
        <v>2019</v>
      </c>
      <c r="E17" s="145">
        <f>'Consommation mensuel énergie'!L25</f>
        <v>4826</v>
      </c>
      <c r="F17" s="145">
        <f>'Consommation mensuel énergie'!M25</f>
        <v>8666</v>
      </c>
      <c r="G17" s="145">
        <f>'Consommation mensuel énergie'!N25</f>
        <v>3372</v>
      </c>
      <c r="H17" s="145">
        <f>'Consommation mensuel énergie'!D25</f>
        <v>137</v>
      </c>
      <c r="I17" s="145">
        <f>'Consommation mensuel énergie'!E25</f>
        <v>197</v>
      </c>
      <c r="J17" s="141" t="e">
        <f>E17*F17+G17*#REF!+#REF!*#REF!+#REF!*#REF!</f>
        <v>#REF!</v>
      </c>
    </row>
    <row r="18" spans="1:10" x14ac:dyDescent="0.2">
      <c r="A18" s="144" t="s">
        <v>13</v>
      </c>
      <c r="B18" s="148">
        <f t="shared" si="0"/>
        <v>17</v>
      </c>
      <c r="C18" s="148">
        <v>6</v>
      </c>
      <c r="D18" s="149">
        <v>2019</v>
      </c>
      <c r="E18" s="145">
        <f>'Consommation mensuel énergie'!L26</f>
        <v>3392</v>
      </c>
      <c r="F18" s="145">
        <f>'Consommation mensuel énergie'!M26</f>
        <v>8235</v>
      </c>
      <c r="G18" s="145">
        <f>'Consommation mensuel énergie'!N26</f>
        <v>3217</v>
      </c>
      <c r="H18" s="145">
        <f>'Consommation mensuel énergie'!D26</f>
        <v>184</v>
      </c>
      <c r="I18" s="145">
        <f>'Consommation mensuel énergie'!E26</f>
        <v>246</v>
      </c>
      <c r="J18" s="141" t="e">
        <f>E18*F18+G18*#REF!+#REF!*#REF!+#REF!*#REF!</f>
        <v>#REF!</v>
      </c>
    </row>
    <row r="19" spans="1:10" x14ac:dyDescent="0.2">
      <c r="A19" s="144" t="s">
        <v>13</v>
      </c>
      <c r="B19" s="148">
        <f t="shared" si="0"/>
        <v>18</v>
      </c>
      <c r="C19" s="148">
        <v>6</v>
      </c>
      <c r="D19" s="149">
        <v>2019</v>
      </c>
      <c r="E19" s="145">
        <f>'Consommation mensuel énergie'!L27</f>
        <v>5311</v>
      </c>
      <c r="F19" s="145">
        <f>'Consommation mensuel énergie'!M27</f>
        <v>9343</v>
      </c>
      <c r="G19" s="145">
        <f>'Consommation mensuel énergie'!N27</f>
        <v>3765</v>
      </c>
      <c r="H19" s="145">
        <f>'Consommation mensuel énergie'!D27</f>
        <v>177</v>
      </c>
      <c r="I19" s="145">
        <f>'Consommation mensuel énergie'!E27</f>
        <v>226</v>
      </c>
      <c r="J19" s="141" t="e">
        <f>E19*F19+G19*#REF!+#REF!*#REF!+#REF!*#REF!</f>
        <v>#REF!</v>
      </c>
    </row>
    <row r="20" spans="1:10" x14ac:dyDescent="0.2">
      <c r="A20" s="144" t="s">
        <v>13</v>
      </c>
      <c r="B20" s="148">
        <f t="shared" si="0"/>
        <v>19</v>
      </c>
      <c r="C20" s="148">
        <v>6</v>
      </c>
      <c r="D20" s="149">
        <v>2019</v>
      </c>
      <c r="E20" s="145">
        <f>'Consommation mensuel énergie'!L28</f>
        <v>4378</v>
      </c>
      <c r="F20" s="145">
        <f>'Consommation mensuel énergie'!M28</f>
        <v>9835</v>
      </c>
      <c r="G20" s="145">
        <f>'Consommation mensuel énergie'!N28</f>
        <v>3783</v>
      </c>
      <c r="H20" s="145">
        <f>'Consommation mensuel énergie'!D28</f>
        <v>181</v>
      </c>
      <c r="I20" s="145">
        <f>'Consommation mensuel énergie'!E28</f>
        <v>227</v>
      </c>
      <c r="J20" s="141" t="e">
        <f>E20*F20+G20*#REF!+#REF!*#REF!+#REF!*#REF!</f>
        <v>#REF!</v>
      </c>
    </row>
    <row r="21" spans="1:10" x14ac:dyDescent="0.2">
      <c r="A21" s="144" t="s">
        <v>13</v>
      </c>
      <c r="B21" s="148">
        <f t="shared" si="0"/>
        <v>20</v>
      </c>
      <c r="C21" s="148">
        <v>6</v>
      </c>
      <c r="D21" s="149">
        <v>2019</v>
      </c>
      <c r="E21" s="145">
        <f>'Consommation mensuel énergie'!L29</f>
        <v>4032</v>
      </c>
      <c r="F21" s="145">
        <f>'Consommation mensuel énergie'!M29</f>
        <v>10137</v>
      </c>
      <c r="G21" s="145">
        <f>'Consommation mensuel énergie'!N29</f>
        <v>4127</v>
      </c>
      <c r="H21" s="145">
        <f>'Consommation mensuel énergie'!D29</f>
        <v>184</v>
      </c>
      <c r="I21" s="145">
        <f>'Consommation mensuel énergie'!E29</f>
        <v>249</v>
      </c>
      <c r="J21" s="141" t="e">
        <f>E21*F21+G21*#REF!+#REF!*#REF!+#REF!*#REF!</f>
        <v>#REF!</v>
      </c>
    </row>
    <row r="22" spans="1:10" x14ac:dyDescent="0.2">
      <c r="A22" s="144" t="s">
        <v>13</v>
      </c>
      <c r="B22" s="148">
        <f t="shared" si="0"/>
        <v>21</v>
      </c>
      <c r="C22" s="148">
        <v>6</v>
      </c>
      <c r="D22" s="149">
        <v>2019</v>
      </c>
      <c r="E22" s="145">
        <f>'Consommation mensuel énergie'!L30</f>
        <v>4343</v>
      </c>
      <c r="F22" s="145">
        <f>'Consommation mensuel énergie'!M30</f>
        <v>10557</v>
      </c>
      <c r="G22" s="145">
        <f>'Consommation mensuel énergie'!N30</f>
        <v>3793</v>
      </c>
      <c r="H22" s="145">
        <f>'Consommation mensuel énergie'!D30</f>
        <v>174</v>
      </c>
      <c r="I22" s="145">
        <f>'Consommation mensuel énergie'!E30</f>
        <v>264</v>
      </c>
      <c r="J22" s="141" t="e">
        <f>E22*F22+G22*#REF!+#REF!*#REF!+#REF!*#REF!</f>
        <v>#REF!</v>
      </c>
    </row>
    <row r="23" spans="1:10" x14ac:dyDescent="0.2">
      <c r="A23" s="144" t="s">
        <v>13</v>
      </c>
      <c r="B23" s="148">
        <f t="shared" si="0"/>
        <v>22</v>
      </c>
      <c r="C23" s="148">
        <v>6</v>
      </c>
      <c r="D23" s="149">
        <v>2019</v>
      </c>
      <c r="E23" s="145">
        <f>'Consommation mensuel énergie'!L31</f>
        <v>4500</v>
      </c>
      <c r="F23" s="145">
        <f>'Consommation mensuel énergie'!M31</f>
        <v>10825</v>
      </c>
      <c r="G23" s="145">
        <f>'Consommation mensuel énergie'!N31</f>
        <v>3702</v>
      </c>
      <c r="H23" s="145">
        <f>'Consommation mensuel énergie'!D31</f>
        <v>154</v>
      </c>
      <c r="I23" s="145">
        <f>'Consommation mensuel énergie'!E31</f>
        <v>242</v>
      </c>
      <c r="J23" s="141" t="e">
        <f>E23*F23+G23*#REF!+#REF!*#REF!+#REF!*#REF!</f>
        <v>#REF!</v>
      </c>
    </row>
    <row r="24" spans="1:10" x14ac:dyDescent="0.2">
      <c r="A24" s="144" t="s">
        <v>13</v>
      </c>
      <c r="B24" s="148">
        <f t="shared" si="0"/>
        <v>23</v>
      </c>
      <c r="C24" s="148">
        <v>6</v>
      </c>
      <c r="D24" s="149">
        <v>2019</v>
      </c>
      <c r="E24" s="145">
        <f>'Consommation mensuel énergie'!L32</f>
        <v>5040</v>
      </c>
      <c r="F24" s="145">
        <f>'Consommation mensuel énergie'!M32</f>
        <v>9483</v>
      </c>
      <c r="G24" s="145">
        <f>'Consommation mensuel énergie'!N32</f>
        <v>4167</v>
      </c>
      <c r="H24" s="145">
        <f>'Consommation mensuel énergie'!D32</f>
        <v>140</v>
      </c>
      <c r="I24" s="145">
        <f>'Consommation mensuel énergie'!E32</f>
        <v>197</v>
      </c>
      <c r="J24" s="141" t="e">
        <f>E24*F24+G24*#REF!+#REF!*#REF!+#REF!*#REF!</f>
        <v>#REF!</v>
      </c>
    </row>
    <row r="25" spans="1:10" x14ac:dyDescent="0.2">
      <c r="A25" s="144" t="s">
        <v>13</v>
      </c>
      <c r="B25" s="148">
        <f t="shared" si="0"/>
        <v>24</v>
      </c>
      <c r="C25" s="148">
        <v>6</v>
      </c>
      <c r="D25" s="149">
        <v>2019</v>
      </c>
      <c r="E25" s="145">
        <f>'Consommation mensuel énergie'!L33</f>
        <v>4097</v>
      </c>
      <c r="F25" s="145">
        <f>'Consommation mensuel énergie'!M33</f>
        <v>8957</v>
      </c>
      <c r="G25" s="145">
        <f>'Consommation mensuel énergie'!N33</f>
        <v>3536</v>
      </c>
      <c r="H25" s="145">
        <f>'Consommation mensuel énergie'!D33</f>
        <v>185</v>
      </c>
      <c r="I25" s="145">
        <f>'Consommation mensuel énergie'!E33</f>
        <v>245</v>
      </c>
      <c r="J25" s="141" t="e">
        <f>E25*F25+G25*#REF!+#REF!*#REF!+#REF!*#REF!</f>
        <v>#REF!</v>
      </c>
    </row>
    <row r="26" spans="1:10" x14ac:dyDescent="0.2">
      <c r="A26" s="144" t="s">
        <v>13</v>
      </c>
      <c r="B26" s="148">
        <f>B25+1</f>
        <v>25</v>
      </c>
      <c r="C26" s="148">
        <v>6</v>
      </c>
      <c r="D26" s="149">
        <v>2019</v>
      </c>
      <c r="E26" s="145">
        <f>'Consommation mensuel énergie'!L34</f>
        <v>5180</v>
      </c>
      <c r="F26" s="145">
        <f>'Consommation mensuel énergie'!M34</f>
        <v>9538</v>
      </c>
      <c r="G26" s="145">
        <f>'Consommation mensuel énergie'!N34</f>
        <v>4194</v>
      </c>
      <c r="H26" s="145">
        <f>'Consommation mensuel énergie'!D34</f>
        <v>182</v>
      </c>
      <c r="I26" s="145">
        <f>'Consommation mensuel énergie'!E34</f>
        <v>246</v>
      </c>
      <c r="J26" s="141" t="e">
        <f>E26*F26+G26*#REF!+#REF!*#REF!+#REF!*#REF!</f>
        <v>#REF!</v>
      </c>
    </row>
    <row r="27" spans="1:10" x14ac:dyDescent="0.2">
      <c r="A27" s="144" t="s">
        <v>13</v>
      </c>
      <c r="B27" s="148">
        <f t="shared" si="0"/>
        <v>26</v>
      </c>
      <c r="C27" s="148">
        <v>6</v>
      </c>
      <c r="D27" s="149">
        <v>2019</v>
      </c>
      <c r="E27" s="145">
        <f>'Consommation mensuel énergie'!L35</f>
        <v>5503</v>
      </c>
      <c r="F27" s="145">
        <f>'Consommation mensuel énergie'!M35</f>
        <v>10870</v>
      </c>
      <c r="G27" s="145">
        <f>'Consommation mensuel énergie'!N35</f>
        <v>4161</v>
      </c>
      <c r="H27" s="145">
        <f>'Consommation mensuel énergie'!D35</f>
        <v>180</v>
      </c>
      <c r="I27" s="145">
        <f>'Consommation mensuel énergie'!E35</f>
        <v>241</v>
      </c>
      <c r="J27" s="141" t="e">
        <f>E27*F27+G27*#REF!+#REF!*#REF!+#REF!*#REF!</f>
        <v>#REF!</v>
      </c>
    </row>
    <row r="28" spans="1:10" x14ac:dyDescent="0.2">
      <c r="A28" s="144" t="s">
        <v>13</v>
      </c>
      <c r="B28" s="148">
        <f t="shared" si="0"/>
        <v>27</v>
      </c>
      <c r="C28" s="148">
        <v>6</v>
      </c>
      <c r="D28" s="149">
        <v>2019</v>
      </c>
      <c r="E28" s="145">
        <f>'Consommation mensuel énergie'!L36</f>
        <v>5197</v>
      </c>
      <c r="F28" s="145">
        <f>'Consommation mensuel énergie'!M36</f>
        <v>11038</v>
      </c>
      <c r="G28" s="145">
        <f>'Consommation mensuel énergie'!N36</f>
        <v>4054</v>
      </c>
      <c r="H28" s="145">
        <f>'Consommation mensuel énergie'!D36</f>
        <v>175</v>
      </c>
      <c r="I28" s="145">
        <f>'Consommation mensuel énergie'!E36</f>
        <v>240</v>
      </c>
      <c r="J28" s="141" t="e">
        <f>E28*F28+G28*#REF!+#REF!*#REF!+#REF!*#REF!</f>
        <v>#REF!</v>
      </c>
    </row>
    <row r="29" spans="1:10" x14ac:dyDescent="0.2">
      <c r="A29" s="144" t="s">
        <v>13</v>
      </c>
      <c r="B29" s="148">
        <f t="shared" si="0"/>
        <v>28</v>
      </c>
      <c r="C29" s="148">
        <v>6</v>
      </c>
      <c r="D29" s="149">
        <v>2019</v>
      </c>
      <c r="E29" s="145">
        <f>'Consommation mensuel énergie'!L37</f>
        <v>4841</v>
      </c>
      <c r="F29" s="145">
        <f>'Consommation mensuel énergie'!M37</f>
        <v>11207</v>
      </c>
      <c r="G29" s="145">
        <f>'Consommation mensuel énergie'!N37</f>
        <v>3947</v>
      </c>
      <c r="H29" s="145">
        <f>'Consommation mensuel énergie'!D37</f>
        <v>133</v>
      </c>
      <c r="I29" s="145">
        <f>'Consommation mensuel énergie'!E37</f>
        <v>227</v>
      </c>
      <c r="J29" s="141" t="e">
        <f>E29*F29+G29*#REF!+#REF!*#REF!+#REF!*#REF!</f>
        <v>#REF!</v>
      </c>
    </row>
    <row r="30" spans="1:10" x14ac:dyDescent="0.2">
      <c r="A30" s="144" t="s">
        <v>13</v>
      </c>
      <c r="B30" s="148">
        <f t="shared" si="0"/>
        <v>29</v>
      </c>
      <c r="C30" s="148">
        <v>6</v>
      </c>
      <c r="D30" s="149">
        <v>2019</v>
      </c>
      <c r="E30" s="145">
        <f>'Consommation mensuel énergie'!L38</f>
        <v>5323</v>
      </c>
      <c r="F30" s="145">
        <f>'Consommation mensuel énergie'!M38</f>
        <v>10089</v>
      </c>
      <c r="G30" s="145">
        <f>'Consommation mensuel énergie'!N38</f>
        <v>3776</v>
      </c>
      <c r="H30" s="145">
        <f>'Consommation mensuel énergie'!D38</f>
        <v>159</v>
      </c>
      <c r="I30" s="145">
        <f>'Consommation mensuel énergie'!E38</f>
        <v>269</v>
      </c>
      <c r="J30" s="141" t="e">
        <f>E30*F30+G30*#REF!+#REF!*#REF!+#REF!*#REF!</f>
        <v>#REF!</v>
      </c>
    </row>
    <row r="31" spans="1:10" x14ac:dyDescent="0.2">
      <c r="A31" s="144" t="s">
        <v>13</v>
      </c>
      <c r="B31" s="148">
        <f>B30+1</f>
        <v>30</v>
      </c>
      <c r="C31" s="148">
        <v>6</v>
      </c>
      <c r="D31" s="149">
        <v>2019</v>
      </c>
      <c r="E31" s="145">
        <f>'Consommation mensuel énergie'!L39</f>
        <v>5172</v>
      </c>
      <c r="F31" s="145">
        <f>'Consommation mensuel énergie'!M39</f>
        <v>10251</v>
      </c>
      <c r="G31" s="145">
        <f>'Consommation mensuel énergie'!N39</f>
        <v>4703</v>
      </c>
      <c r="H31" s="145">
        <f>'Consommation mensuel énergie'!D39</f>
        <v>150</v>
      </c>
      <c r="I31" s="145">
        <f>'Consommation mensuel énergie'!E39</f>
        <v>242</v>
      </c>
      <c r="J31" s="141" t="e">
        <f>E31*F31+G31*#REF!+#REF!*#REF!+#REF!*#REF!</f>
        <v>#REF!</v>
      </c>
    </row>
    <row r="32" spans="1:10" x14ac:dyDescent="0.2">
      <c r="E32" s="142"/>
      <c r="F32" s="142"/>
      <c r="G32" s="142"/>
      <c r="H32" s="141"/>
      <c r="I32" s="141"/>
    </row>
    <row r="33" spans="5:9" x14ac:dyDescent="0.2">
      <c r="E33" s="142"/>
      <c r="F33" s="142"/>
      <c r="G33" s="142"/>
      <c r="H33" s="141"/>
      <c r="I33" s="141"/>
    </row>
    <row r="34" spans="5:9" x14ac:dyDescent="0.2">
      <c r="E34" s="142"/>
      <c r="F34" s="142"/>
      <c r="G34" s="142"/>
      <c r="H34" s="141"/>
      <c r="I34" s="141"/>
    </row>
    <row r="35" spans="5:9" x14ac:dyDescent="0.2">
      <c r="E35" s="142"/>
      <c r="F35" s="142"/>
      <c r="G35" s="142"/>
      <c r="H35" s="141"/>
      <c r="I35" s="141"/>
    </row>
    <row r="36" spans="5:9" x14ac:dyDescent="0.2">
      <c r="E36" s="142"/>
      <c r="F36" s="142"/>
      <c r="G36" s="142"/>
      <c r="H36" s="141"/>
      <c r="I36" s="141"/>
    </row>
    <row r="37" spans="5:9" x14ac:dyDescent="0.2">
      <c r="E37" s="142"/>
      <c r="F37" s="142"/>
      <c r="G37" s="142"/>
      <c r="H37" s="141"/>
      <c r="I37" s="141"/>
    </row>
    <row r="38" spans="5:9" x14ac:dyDescent="0.2">
      <c r="E38" s="142"/>
      <c r="F38" s="142"/>
      <c r="G38" s="142"/>
      <c r="H38" s="141"/>
      <c r="I38" s="14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9"/>
  <sheetViews>
    <sheetView showGridLines="0" tabSelected="1" view="pageBreakPreview" zoomScale="60" zoomScaleNormal="8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A46" sqref="A46:XFD5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06"/>
      <c r="B2" s="207"/>
      <c r="C2" s="207"/>
      <c r="D2" s="207"/>
      <c r="E2" s="207"/>
      <c r="F2" s="207"/>
      <c r="G2" s="207"/>
      <c r="H2" s="208"/>
      <c r="I2" s="217" t="s">
        <v>17</v>
      </c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</row>
    <row r="3" spans="1:24" ht="15" hidden="1" customHeight="1" thickBot="1" x14ac:dyDescent="0.25"/>
    <row r="4" spans="1:24" ht="39" hidden="1" customHeight="1" thickBot="1" x14ac:dyDescent="0.25">
      <c r="A4" s="209"/>
      <c r="B4" s="209"/>
      <c r="C4" s="209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09"/>
      <c r="B5" s="209"/>
      <c r="C5" s="209"/>
      <c r="D5" s="5"/>
      <c r="E5" s="5"/>
      <c r="F5" s="5"/>
      <c r="G5" s="5"/>
      <c r="H5" s="5"/>
      <c r="I5" s="5"/>
      <c r="J5" s="5"/>
      <c r="K5" s="5"/>
      <c r="L5" s="5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</row>
    <row r="6" spans="1:24" s="5" customFormat="1" ht="44.25" hidden="1" customHeight="1" thickBot="1" x14ac:dyDescent="0.25">
      <c r="A6" s="3"/>
      <c r="B6" s="3"/>
      <c r="C6" s="3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</row>
    <row r="7" spans="1:24" s="5" customFormat="1" ht="18.75" hidden="1" customHeight="1" thickBot="1" x14ac:dyDescent="0.25">
      <c r="F7" s="210"/>
      <c r="G7" s="210"/>
      <c r="H7" s="210"/>
      <c r="I7" s="210"/>
      <c r="J7" s="210"/>
      <c r="K7" s="210"/>
      <c r="L7" s="210"/>
      <c r="M7" s="210"/>
      <c r="N7" s="222"/>
      <c r="O7" s="222"/>
      <c r="P7" s="210"/>
      <c r="Q7" s="210"/>
      <c r="R7" s="210"/>
      <c r="S7" s="210"/>
      <c r="T7" s="210"/>
      <c r="U7" s="210"/>
      <c r="V7" s="210"/>
      <c r="W7" s="210"/>
      <c r="X7" s="210"/>
    </row>
    <row r="8" spans="1:24" ht="18.75" customHeight="1" thickBot="1" x14ac:dyDescent="0.25">
      <c r="A8" s="210"/>
      <c r="B8" s="219" t="s">
        <v>19</v>
      </c>
      <c r="C8" s="4"/>
      <c r="D8" s="220" t="s">
        <v>20</v>
      </c>
      <c r="E8" s="220" t="s">
        <v>21</v>
      </c>
      <c r="F8" s="229" t="s">
        <v>22</v>
      </c>
      <c r="G8" s="2"/>
      <c r="H8" s="211" t="s">
        <v>23</v>
      </c>
      <c r="I8" s="212"/>
      <c r="J8" s="213"/>
      <c r="K8" s="231" t="s">
        <v>24</v>
      </c>
      <c r="L8" s="225" t="s">
        <v>25</v>
      </c>
      <c r="M8" s="225"/>
      <c r="N8" s="225"/>
      <c r="O8" s="225" t="s">
        <v>26</v>
      </c>
      <c r="P8" s="2"/>
      <c r="Q8" s="223" t="s">
        <v>23</v>
      </c>
      <c r="R8" s="2"/>
      <c r="S8" s="223" t="s">
        <v>27</v>
      </c>
      <c r="T8" s="2"/>
      <c r="U8" s="223" t="s">
        <v>28</v>
      </c>
      <c r="V8" s="227" t="s">
        <v>29</v>
      </c>
      <c r="W8" s="2"/>
      <c r="X8" s="223" t="s">
        <v>23</v>
      </c>
    </row>
    <row r="9" spans="1:24" ht="59.25" customHeight="1" thickBot="1" x14ac:dyDescent="0.25">
      <c r="A9" s="210"/>
      <c r="B9" s="219"/>
      <c r="C9" s="4"/>
      <c r="D9" s="221"/>
      <c r="E9" s="221"/>
      <c r="F9" s="230"/>
      <c r="G9" s="2"/>
      <c r="H9" s="214"/>
      <c r="I9" s="215"/>
      <c r="J9" s="216"/>
      <c r="K9" s="232"/>
      <c r="L9" s="95" t="s">
        <v>30</v>
      </c>
      <c r="M9" s="95" t="s">
        <v>31</v>
      </c>
      <c r="N9" s="95" t="s">
        <v>32</v>
      </c>
      <c r="O9" s="226"/>
      <c r="P9" s="2"/>
      <c r="Q9" s="224"/>
      <c r="R9" s="2"/>
      <c r="S9" s="224"/>
      <c r="T9" s="2"/>
      <c r="U9" s="224"/>
      <c r="V9" s="228"/>
      <c r="W9" s="2"/>
      <c r="X9" s="224"/>
    </row>
    <row r="10" spans="1:24" ht="32.25" customHeight="1" x14ac:dyDescent="0.2">
      <c r="A10" s="2"/>
      <c r="B10" s="6">
        <v>43617</v>
      </c>
      <c r="C10" s="7"/>
      <c r="D10" s="151">
        <v>85</v>
      </c>
      <c r="E10" s="151">
        <v>150</v>
      </c>
      <c r="F10" s="13">
        <f>'Suivi EAU-ELEC'!E9</f>
        <v>143.59999999999854</v>
      </c>
      <c r="G10" s="11"/>
      <c r="H10" s="197">
        <f>F10*11.4</f>
        <v>1637.0399999999834</v>
      </c>
      <c r="I10" s="198"/>
      <c r="J10" s="198"/>
      <c r="K10" s="63">
        <v>42278</v>
      </c>
      <c r="L10" s="96">
        <f>'Suivi EAU-ELEC'!G9</f>
        <v>3411</v>
      </c>
      <c r="M10" s="97">
        <f>'Suivi EAU-ELEC'!I9</f>
        <v>8488</v>
      </c>
      <c r="N10" s="97">
        <f>'Suivi EAU-ELEC'!K9</f>
        <v>4351</v>
      </c>
      <c r="O10" s="97">
        <f>L10+M10+N10</f>
        <v>16250</v>
      </c>
      <c r="P10" s="11"/>
      <c r="Q10" s="37">
        <f>L10*0.6985+M10*0.9514+N10*1.3304</f>
        <v>16246.637100000002</v>
      </c>
      <c r="R10" s="11"/>
      <c r="S10" s="31"/>
      <c r="T10" s="11"/>
      <c r="U10" s="31"/>
      <c r="V10" s="154">
        <f>'Suvi Gaz'!O4</f>
        <v>255.99368000000001</v>
      </c>
      <c r="W10" s="11"/>
      <c r="X10" s="37">
        <f>V10*8</f>
        <v>2047.9494400000001</v>
      </c>
    </row>
    <row r="11" spans="1:24" ht="32.25" customHeight="1" x14ac:dyDescent="0.2">
      <c r="A11" s="2"/>
      <c r="B11" s="6">
        <v>43618</v>
      </c>
      <c r="C11" s="7"/>
      <c r="D11" s="151">
        <v>55</v>
      </c>
      <c r="E11" s="151">
        <v>93</v>
      </c>
      <c r="F11" s="13">
        <f>'Suivi EAU-ELEC'!E10</f>
        <v>142</v>
      </c>
      <c r="G11" s="11"/>
      <c r="H11" s="197">
        <f t="shared" ref="H11:H39" si="0">F11*11.4</f>
        <v>1618.8</v>
      </c>
      <c r="I11" s="198"/>
      <c r="J11" s="198"/>
      <c r="K11" s="63">
        <v>42279</v>
      </c>
      <c r="L11" s="96">
        <f>'Suivi EAU-ELEC'!G10</f>
        <v>3841</v>
      </c>
      <c r="M11" s="97">
        <f>'Suivi EAU-ELEC'!I10</f>
        <v>8566</v>
      </c>
      <c r="N11" s="97">
        <f>'Suivi EAU-ELEC'!K10</f>
        <v>3745</v>
      </c>
      <c r="O11" s="97">
        <f t="shared" ref="O11:O39" si="1">L11+M11+N11</f>
        <v>16152</v>
      </c>
      <c r="P11" s="11"/>
      <c r="Q11" s="37">
        <f t="shared" ref="Q11:Q39" si="2">L11*0.6985+M11*0.9514+N11*1.3304</f>
        <v>15814.9789</v>
      </c>
      <c r="R11" s="11"/>
      <c r="S11" s="31"/>
      <c r="T11" s="11"/>
      <c r="U11" s="31"/>
      <c r="V11" s="154">
        <f>'Suvi Gaz'!O5</f>
        <v>415.98973000000001</v>
      </c>
      <c r="W11" s="11"/>
      <c r="X11" s="37">
        <f t="shared" ref="X11:X39" si="3">V11*8</f>
        <v>3327.9178400000001</v>
      </c>
    </row>
    <row r="12" spans="1:24" ht="32.25" customHeight="1" x14ac:dyDescent="0.2">
      <c r="A12" s="2"/>
      <c r="B12" s="6">
        <v>43619</v>
      </c>
      <c r="C12" s="7"/>
      <c r="D12" s="151">
        <v>81</v>
      </c>
      <c r="E12" s="151">
        <v>127</v>
      </c>
      <c r="F12" s="13">
        <f>'Suivi EAU-ELEC'!E11</f>
        <v>114</v>
      </c>
      <c r="G12" s="11"/>
      <c r="H12" s="197">
        <f t="shared" si="0"/>
        <v>1299.6000000000001</v>
      </c>
      <c r="I12" s="198"/>
      <c r="J12" s="198"/>
      <c r="K12" s="63">
        <v>42280</v>
      </c>
      <c r="L12" s="96">
        <f>'Suivi EAU-ELEC'!G11</f>
        <v>3722</v>
      </c>
      <c r="M12" s="97">
        <f>'Suivi EAU-ELEC'!I11</f>
        <v>8372</v>
      </c>
      <c r="N12" s="97">
        <f>'Suivi EAU-ELEC'!K11</f>
        <v>3970</v>
      </c>
      <c r="O12" s="97">
        <f t="shared" si="1"/>
        <v>16064</v>
      </c>
      <c r="P12" s="11"/>
      <c r="Q12" s="37">
        <f t="shared" si="2"/>
        <v>15846.6258</v>
      </c>
      <c r="R12" s="11"/>
      <c r="S12" s="31"/>
      <c r="T12" s="11"/>
      <c r="U12" s="31"/>
      <c r="V12" s="154">
        <f>'Suvi Gaz'!O6</f>
        <v>319.99209999999999</v>
      </c>
      <c r="W12" s="11"/>
      <c r="X12" s="37">
        <f t="shared" si="3"/>
        <v>2559.9367999999999</v>
      </c>
    </row>
    <row r="13" spans="1:24" ht="32.25" customHeight="1" x14ac:dyDescent="0.2">
      <c r="A13" s="2"/>
      <c r="B13" s="6">
        <v>43620</v>
      </c>
      <c r="C13" s="7"/>
      <c r="D13" s="151">
        <v>89</v>
      </c>
      <c r="E13" s="151">
        <v>139</v>
      </c>
      <c r="F13" s="13">
        <f>'Suivi EAU-ELEC'!E12</f>
        <v>117.40000000000146</v>
      </c>
      <c r="G13" s="11"/>
      <c r="H13" s="197">
        <f t="shared" si="0"/>
        <v>1338.3600000000167</v>
      </c>
      <c r="I13" s="198"/>
      <c r="J13" s="198"/>
      <c r="K13" s="63">
        <v>42281</v>
      </c>
      <c r="L13" s="96">
        <f>'Suivi EAU-ELEC'!G12</f>
        <v>3743</v>
      </c>
      <c r="M13" s="97">
        <f>'Suivi EAU-ELEC'!I12</f>
        <v>8560</v>
      </c>
      <c r="N13" s="97">
        <f>'Suivi EAU-ELEC'!K12</f>
        <v>3703</v>
      </c>
      <c r="O13" s="97">
        <f t="shared" si="1"/>
        <v>16006</v>
      </c>
      <c r="P13" s="11"/>
      <c r="Q13" s="37">
        <f t="shared" si="2"/>
        <v>15684.940700000001</v>
      </c>
      <c r="R13" s="11"/>
      <c r="S13" s="31"/>
      <c r="T13" s="11"/>
      <c r="U13" s="31"/>
      <c r="V13" s="154">
        <f>'Suvi Gaz'!O7</f>
        <v>319.99209999999999</v>
      </c>
      <c r="W13" s="11"/>
      <c r="X13" s="37">
        <f t="shared" si="3"/>
        <v>2559.9367999999999</v>
      </c>
    </row>
    <row r="14" spans="1:24" ht="32.25" customHeight="1" x14ac:dyDescent="0.2">
      <c r="A14" s="2"/>
      <c r="B14" s="6">
        <v>43621</v>
      </c>
      <c r="C14" s="7"/>
      <c r="D14" s="151">
        <v>76</v>
      </c>
      <c r="E14" s="151">
        <v>135</v>
      </c>
      <c r="F14" s="13">
        <f>'Suivi EAU-ELEC'!E13</f>
        <v>160.09999999999854</v>
      </c>
      <c r="G14" s="12"/>
      <c r="H14" s="197">
        <f t="shared" si="0"/>
        <v>1825.1399999999835</v>
      </c>
      <c r="I14" s="198"/>
      <c r="J14" s="198"/>
      <c r="K14" s="63">
        <v>42282</v>
      </c>
      <c r="L14" s="96">
        <f>'Suivi EAU-ELEC'!G13</f>
        <v>3723</v>
      </c>
      <c r="M14" s="97">
        <f>'Suivi EAU-ELEC'!I13</f>
        <v>8480</v>
      </c>
      <c r="N14" s="97">
        <f>'Suivi EAU-ELEC'!K13</f>
        <v>3666</v>
      </c>
      <c r="O14" s="97">
        <f t="shared" si="1"/>
        <v>15869</v>
      </c>
      <c r="P14" s="12"/>
      <c r="Q14" s="37">
        <f t="shared" si="2"/>
        <v>15545.633900000001</v>
      </c>
      <c r="R14" s="12"/>
      <c r="S14" s="31"/>
      <c r="T14" s="12"/>
      <c r="U14" s="31"/>
      <c r="V14" s="154">
        <f>'Suvi Gaz'!O8</f>
        <v>255.99368000000001</v>
      </c>
      <c r="W14" s="11"/>
      <c r="X14" s="37">
        <f t="shared" si="3"/>
        <v>2047.9494400000001</v>
      </c>
    </row>
    <row r="15" spans="1:24" ht="32.25" customHeight="1" x14ac:dyDescent="0.2">
      <c r="A15" s="5"/>
      <c r="B15" s="6">
        <v>43622</v>
      </c>
      <c r="C15" s="7"/>
      <c r="D15" s="151">
        <v>97</v>
      </c>
      <c r="E15" s="151">
        <v>162</v>
      </c>
      <c r="F15" s="13">
        <f>'Suivi EAU-ELEC'!E14</f>
        <v>66.600000000002183</v>
      </c>
      <c r="G15" s="11"/>
      <c r="H15" s="197">
        <f t="shared" si="0"/>
        <v>759.24000000002491</v>
      </c>
      <c r="I15" s="198"/>
      <c r="J15" s="198"/>
      <c r="K15" s="63">
        <v>42283</v>
      </c>
      <c r="L15" s="96">
        <f>'Suivi EAU-ELEC'!G14</f>
        <v>3838</v>
      </c>
      <c r="M15" s="97">
        <f>'Suivi EAU-ELEC'!I14</f>
        <v>7962</v>
      </c>
      <c r="N15" s="97">
        <f>'Suivi EAU-ELEC'!K14</f>
        <v>3360</v>
      </c>
      <c r="O15" s="97">
        <f t="shared" si="1"/>
        <v>15160</v>
      </c>
      <c r="P15" s="12"/>
      <c r="Q15" s="37">
        <f t="shared" si="2"/>
        <v>14726.033800000001</v>
      </c>
      <c r="R15" s="12"/>
      <c r="S15" s="31"/>
      <c r="T15" s="12"/>
      <c r="U15" s="31"/>
      <c r="V15" s="154">
        <f>'Suvi Gaz'!O9</f>
        <v>287.99288999999999</v>
      </c>
      <c r="W15" s="11"/>
      <c r="X15" s="37">
        <f t="shared" si="3"/>
        <v>2303.9431199999999</v>
      </c>
    </row>
    <row r="16" spans="1:24" ht="32.25" customHeight="1" x14ac:dyDescent="0.2">
      <c r="A16" s="5"/>
      <c r="B16" s="6">
        <v>43623</v>
      </c>
      <c r="C16" s="7"/>
      <c r="D16" s="151">
        <v>145</v>
      </c>
      <c r="E16" s="151">
        <v>257</v>
      </c>
      <c r="F16" s="13">
        <f>'Suivi EAU-ELEC'!E15</f>
        <v>127.5</v>
      </c>
      <c r="G16" s="11"/>
      <c r="H16" s="197">
        <f t="shared" si="0"/>
        <v>1453.5</v>
      </c>
      <c r="I16" s="198"/>
      <c r="J16" s="198"/>
      <c r="K16" s="63">
        <v>42284</v>
      </c>
      <c r="L16" s="96">
        <f>'Suivi EAU-ELEC'!G15</f>
        <v>4114</v>
      </c>
      <c r="M16" s="97">
        <f>'Suivi EAU-ELEC'!I15</f>
        <v>7950</v>
      </c>
      <c r="N16" s="97">
        <f>'Suivi EAU-ELEC'!K15</f>
        <v>3581</v>
      </c>
      <c r="O16" s="97">
        <f t="shared" si="1"/>
        <v>15645</v>
      </c>
      <c r="P16" s="11"/>
      <c r="Q16" s="37">
        <f t="shared" si="2"/>
        <v>15201.421399999999</v>
      </c>
      <c r="R16" s="11"/>
      <c r="S16" s="31"/>
      <c r="T16" s="11"/>
      <c r="U16" s="31"/>
      <c r="V16" s="154">
        <f>'Suvi Gaz'!O10</f>
        <v>383.99052</v>
      </c>
      <c r="W16" s="11"/>
      <c r="X16" s="37">
        <f t="shared" si="3"/>
        <v>3071.92416</v>
      </c>
    </row>
    <row r="17" spans="1:24" s="5" customFormat="1" ht="32.25" customHeight="1" x14ac:dyDescent="0.2">
      <c r="A17" s="2"/>
      <c r="B17" s="6">
        <v>43624</v>
      </c>
      <c r="C17" s="7"/>
      <c r="D17" s="151">
        <v>155</v>
      </c>
      <c r="E17" s="151">
        <v>260</v>
      </c>
      <c r="F17" s="13">
        <f>'Suivi EAU-ELEC'!E16</f>
        <v>164.20000000000073</v>
      </c>
      <c r="G17" s="11"/>
      <c r="H17" s="197">
        <f t="shared" si="0"/>
        <v>1871.8800000000083</v>
      </c>
      <c r="I17" s="198"/>
      <c r="J17" s="198"/>
      <c r="K17" s="63">
        <v>42285</v>
      </c>
      <c r="L17" s="96">
        <f>'Suivi EAU-ELEC'!G16</f>
        <v>4522</v>
      </c>
      <c r="M17" s="97">
        <f>'Suivi EAU-ELEC'!I16</f>
        <v>8282</v>
      </c>
      <c r="N17" s="97">
        <f>'Suivi EAU-ELEC'!K16</f>
        <v>3445</v>
      </c>
      <c r="O17" s="97">
        <f t="shared" si="1"/>
        <v>16249</v>
      </c>
      <c r="P17" s="12"/>
      <c r="Q17" s="37">
        <f t="shared" si="2"/>
        <v>15621.339800000002</v>
      </c>
      <c r="R17" s="12"/>
      <c r="S17" s="31"/>
      <c r="T17" s="12"/>
      <c r="U17" s="31"/>
      <c r="V17" s="154">
        <f>'Suvi Gaz'!O11</f>
        <v>287.99288999999999</v>
      </c>
      <c r="W17" s="11"/>
      <c r="X17" s="37">
        <f t="shared" si="3"/>
        <v>2303.9431199999999</v>
      </c>
    </row>
    <row r="18" spans="1:24" ht="32.25" customHeight="1" x14ac:dyDescent="0.2">
      <c r="A18" s="2"/>
      <c r="B18" s="6">
        <v>43625</v>
      </c>
      <c r="C18" s="7"/>
      <c r="D18" s="151">
        <v>164</v>
      </c>
      <c r="E18" s="151">
        <v>251</v>
      </c>
      <c r="F18" s="13">
        <f>'Suivi EAU-ELEC'!E17</f>
        <v>148.79999999999927</v>
      </c>
      <c r="G18" s="11"/>
      <c r="H18" s="197">
        <f t="shared" si="0"/>
        <v>1696.3199999999918</v>
      </c>
      <c r="I18" s="198"/>
      <c r="J18" s="198"/>
      <c r="K18" s="63">
        <v>42286</v>
      </c>
      <c r="L18" s="96">
        <f>'Suivi EAU-ELEC'!G17</f>
        <v>3535</v>
      </c>
      <c r="M18" s="97">
        <f>'Suivi EAU-ELEC'!I17</f>
        <v>8163</v>
      </c>
      <c r="N18" s="97">
        <f>'Suivi EAU-ELEC'!K17</f>
        <v>3736</v>
      </c>
      <c r="O18" s="97">
        <f t="shared" si="1"/>
        <v>15434</v>
      </c>
      <c r="P18" s="12"/>
      <c r="Q18" s="37">
        <f t="shared" si="2"/>
        <v>15205.8501</v>
      </c>
      <c r="R18" s="12"/>
      <c r="S18" s="31"/>
      <c r="T18" s="12"/>
      <c r="U18" s="31"/>
      <c r="V18" s="154">
        <f>'Suvi Gaz'!O12</f>
        <v>447.98894000000001</v>
      </c>
      <c r="W18" s="11"/>
      <c r="X18" s="37">
        <f t="shared" si="3"/>
        <v>3583.9115200000001</v>
      </c>
    </row>
    <row r="19" spans="1:24" ht="32.25" customHeight="1" x14ac:dyDescent="0.2">
      <c r="A19" s="2"/>
      <c r="B19" s="6">
        <v>43626</v>
      </c>
      <c r="C19" s="7"/>
      <c r="D19" s="151">
        <v>135</v>
      </c>
      <c r="E19" s="151">
        <v>188</v>
      </c>
      <c r="F19" s="13">
        <f>'Suivi EAU-ELEC'!E18</f>
        <v>143.5</v>
      </c>
      <c r="G19" s="12"/>
      <c r="H19" s="197">
        <f t="shared" si="0"/>
        <v>1635.9</v>
      </c>
      <c r="I19" s="198"/>
      <c r="J19" s="198"/>
      <c r="K19" s="63">
        <v>42287</v>
      </c>
      <c r="L19" s="96">
        <f>'Suivi EAU-ELEC'!G18</f>
        <v>4299</v>
      </c>
      <c r="M19" s="97">
        <f>'Suivi EAU-ELEC'!I18</f>
        <v>8050</v>
      </c>
      <c r="N19" s="97">
        <f>'Suivi EAU-ELEC'!K18</f>
        <v>3394</v>
      </c>
      <c r="O19" s="97">
        <f t="shared" si="1"/>
        <v>15743</v>
      </c>
      <c r="P19" s="12"/>
      <c r="Q19" s="37">
        <f t="shared" si="2"/>
        <v>15176.999100000001</v>
      </c>
      <c r="R19" s="12"/>
      <c r="S19" s="31"/>
      <c r="T19" s="12"/>
      <c r="U19" s="31"/>
      <c r="V19" s="154">
        <f>'Suvi Gaz'!O13</f>
        <v>351.99131</v>
      </c>
      <c r="W19" s="11"/>
      <c r="X19" s="37">
        <f t="shared" si="3"/>
        <v>2815.93048</v>
      </c>
    </row>
    <row r="20" spans="1:24" ht="32.25" customHeight="1" x14ac:dyDescent="0.2">
      <c r="A20" s="2"/>
      <c r="B20" s="6">
        <v>43627</v>
      </c>
      <c r="C20" s="7"/>
      <c r="D20" s="151">
        <v>156</v>
      </c>
      <c r="E20" s="151">
        <v>192</v>
      </c>
      <c r="F20" s="13">
        <f>'Suivi EAU-ELEC'!E19</f>
        <v>162.89999999999782</v>
      </c>
      <c r="G20" s="12"/>
      <c r="H20" s="197">
        <f t="shared" si="0"/>
        <v>1857.0599999999752</v>
      </c>
      <c r="I20" s="198"/>
      <c r="J20" s="198"/>
      <c r="K20" s="63">
        <v>42288</v>
      </c>
      <c r="L20" s="96">
        <f>'Suivi EAU-ELEC'!G19</f>
        <v>4658</v>
      </c>
      <c r="M20" s="97">
        <f>'Suivi EAU-ELEC'!I19</f>
        <v>9525</v>
      </c>
      <c r="N20" s="97">
        <f>'Suivi EAU-ELEC'!K19</f>
        <v>3372</v>
      </c>
      <c r="O20" s="97">
        <f t="shared" si="1"/>
        <v>17555</v>
      </c>
      <c r="P20" s="12"/>
      <c r="Q20" s="37">
        <f t="shared" si="2"/>
        <v>16801.806799999998</v>
      </c>
      <c r="R20" s="12"/>
      <c r="S20" s="31"/>
      <c r="T20" s="12"/>
      <c r="U20" s="31"/>
      <c r="V20" s="154">
        <f>'Suvi Gaz'!O14</f>
        <v>319.99209999999999</v>
      </c>
      <c r="W20" s="11"/>
      <c r="X20" s="37">
        <f t="shared" si="3"/>
        <v>2559.9367999999999</v>
      </c>
    </row>
    <row r="21" spans="1:24" ht="32.25" customHeight="1" x14ac:dyDescent="0.2">
      <c r="A21" s="2"/>
      <c r="B21" s="6">
        <v>43628</v>
      </c>
      <c r="C21" s="7"/>
      <c r="D21" s="151">
        <v>181</v>
      </c>
      <c r="E21" s="151">
        <v>239</v>
      </c>
      <c r="F21" s="13">
        <f>'Suivi EAU-ELEC'!E20</f>
        <v>175.30000000000291</v>
      </c>
      <c r="G21" s="12"/>
      <c r="H21" s="197">
        <f t="shared" si="0"/>
        <v>1998.4200000000333</v>
      </c>
      <c r="I21" s="198"/>
      <c r="J21" s="198"/>
      <c r="K21" s="63">
        <v>42289</v>
      </c>
      <c r="L21" s="96">
        <f>'Suivi EAU-ELEC'!G20</f>
        <v>4373</v>
      </c>
      <c r="M21" s="97">
        <f>'Suivi EAU-ELEC'!I20</f>
        <v>9191</v>
      </c>
      <c r="N21" s="97">
        <f>'Suivi EAU-ELEC'!K20</f>
        <v>3351</v>
      </c>
      <c r="O21" s="97">
        <f t="shared" si="1"/>
        <v>16915</v>
      </c>
      <c r="P21" s="12"/>
      <c r="Q21" s="37">
        <f t="shared" si="2"/>
        <v>16257.028299999998</v>
      </c>
      <c r="R21" s="12"/>
      <c r="S21" s="31"/>
      <c r="T21" s="12"/>
      <c r="U21" s="31"/>
      <c r="V21" s="154">
        <f>'Suvi Gaz'!O15</f>
        <v>479.98815000000002</v>
      </c>
      <c r="W21" s="11"/>
      <c r="X21" s="37">
        <f t="shared" si="3"/>
        <v>3839.9052000000001</v>
      </c>
    </row>
    <row r="22" spans="1:24" ht="32.25" customHeight="1" x14ac:dyDescent="0.2">
      <c r="A22" s="2"/>
      <c r="B22" s="6">
        <v>43629</v>
      </c>
      <c r="C22" s="7"/>
      <c r="D22" s="151">
        <v>161</v>
      </c>
      <c r="E22" s="151">
        <v>223</v>
      </c>
      <c r="F22" s="13">
        <f>'Suivi EAU-ELEC'!E21</f>
        <v>184.19999999999709</v>
      </c>
      <c r="G22" s="12"/>
      <c r="H22" s="197">
        <f t="shared" si="0"/>
        <v>2099.8799999999669</v>
      </c>
      <c r="I22" s="198"/>
      <c r="J22" s="198"/>
      <c r="K22" s="63">
        <v>42290</v>
      </c>
      <c r="L22" s="96">
        <f>'Suivi EAU-ELEC'!G21</f>
        <v>4380</v>
      </c>
      <c r="M22" s="97">
        <f>'Suivi EAU-ELEC'!I21</f>
        <v>10217</v>
      </c>
      <c r="N22" s="97">
        <f>'Suivi EAU-ELEC'!K21</f>
        <v>3866</v>
      </c>
      <c r="O22" s="97">
        <f t="shared" si="1"/>
        <v>18463</v>
      </c>
      <c r="P22" s="12"/>
      <c r="Q22" s="37">
        <f t="shared" si="2"/>
        <v>17923.210200000001</v>
      </c>
      <c r="R22" s="12"/>
      <c r="S22" s="31"/>
      <c r="T22" s="12"/>
      <c r="U22" s="31"/>
      <c r="V22" s="154">
        <f>'Suvi Gaz'!O16</f>
        <v>511.98736000000002</v>
      </c>
      <c r="W22" s="11"/>
      <c r="X22" s="37">
        <f t="shared" si="3"/>
        <v>4095.8988800000002</v>
      </c>
    </row>
    <row r="23" spans="1:24" ht="32.25" customHeight="1" x14ac:dyDescent="0.2">
      <c r="A23" s="2"/>
      <c r="B23" s="6">
        <v>43630</v>
      </c>
      <c r="C23" s="7"/>
      <c r="D23" s="151">
        <v>180</v>
      </c>
      <c r="E23" s="151">
        <v>268</v>
      </c>
      <c r="F23" s="13">
        <f>'Suivi EAU-ELEC'!E22</f>
        <v>232.20000000000073</v>
      </c>
      <c r="G23" s="14"/>
      <c r="H23" s="197">
        <f t="shared" si="0"/>
        <v>2647.0800000000086</v>
      </c>
      <c r="I23" s="198"/>
      <c r="J23" s="198"/>
      <c r="K23" s="63">
        <v>42291</v>
      </c>
      <c r="L23" s="96">
        <f>'Suivi EAU-ELEC'!G22</f>
        <v>5440</v>
      </c>
      <c r="M23" s="97">
        <f>'Suivi EAU-ELEC'!I22</f>
        <v>10433</v>
      </c>
      <c r="N23" s="97">
        <f>'Suivi EAU-ELEC'!K22</f>
        <v>3507</v>
      </c>
      <c r="O23" s="97">
        <f t="shared" si="1"/>
        <v>19380</v>
      </c>
      <c r="P23" s="12"/>
      <c r="Q23" s="37">
        <f t="shared" si="2"/>
        <v>18391.509000000002</v>
      </c>
      <c r="R23" s="12"/>
      <c r="S23" s="31"/>
      <c r="T23" s="14"/>
      <c r="U23" s="31"/>
      <c r="V23" s="154">
        <f>'Suvi Gaz'!O17</f>
        <v>383.99052</v>
      </c>
      <c r="W23" s="11"/>
      <c r="X23" s="37">
        <f t="shared" si="3"/>
        <v>3071.92416</v>
      </c>
    </row>
    <row r="24" spans="1:24" ht="32.25" customHeight="1" x14ac:dyDescent="0.2">
      <c r="A24" s="2"/>
      <c r="B24" s="6">
        <v>43631</v>
      </c>
      <c r="C24" s="7"/>
      <c r="D24" s="151">
        <v>161</v>
      </c>
      <c r="E24" s="151">
        <v>259</v>
      </c>
      <c r="F24" s="13">
        <f>'Suivi EAU-ELEC'!E23</f>
        <v>198.10000000000218</v>
      </c>
      <c r="G24" s="14"/>
      <c r="H24" s="197">
        <f t="shared" si="0"/>
        <v>2258.3400000000252</v>
      </c>
      <c r="I24" s="198"/>
      <c r="J24" s="198"/>
      <c r="K24" s="63">
        <v>42292</v>
      </c>
      <c r="L24" s="96">
        <f>'Suivi EAU-ELEC'!G23</f>
        <v>5001</v>
      </c>
      <c r="M24" s="97">
        <f>'Suivi EAU-ELEC'!I23</f>
        <v>9082</v>
      </c>
      <c r="N24" s="97">
        <f>'Suivi EAU-ELEC'!K23</f>
        <v>3572</v>
      </c>
      <c r="O24" s="97">
        <f t="shared" si="1"/>
        <v>17655</v>
      </c>
      <c r="P24" s="12"/>
      <c r="Q24" s="37">
        <f t="shared" si="2"/>
        <v>16886.002099999998</v>
      </c>
      <c r="R24" s="12"/>
      <c r="S24" s="31"/>
      <c r="T24" s="14"/>
      <c r="U24" s="31"/>
      <c r="V24" s="154">
        <f>'Suvi Gaz'!O18</f>
        <v>543.98657000000003</v>
      </c>
      <c r="W24" s="11"/>
      <c r="X24" s="37">
        <f t="shared" si="3"/>
        <v>4351.8925600000002</v>
      </c>
    </row>
    <row r="25" spans="1:24" ht="32.25" customHeight="1" x14ac:dyDescent="0.2">
      <c r="A25" s="2"/>
      <c r="B25" s="6">
        <v>43632</v>
      </c>
      <c r="C25" s="7"/>
      <c r="D25" s="151">
        <v>137</v>
      </c>
      <c r="E25" s="151">
        <v>197</v>
      </c>
      <c r="F25" s="13">
        <f>'Suivi EAU-ELEC'!E24</f>
        <v>144.19999999999709</v>
      </c>
      <c r="G25" s="14"/>
      <c r="H25" s="197">
        <f t="shared" si="0"/>
        <v>1643.8799999999669</v>
      </c>
      <c r="I25" s="198"/>
      <c r="J25" s="198"/>
      <c r="K25" s="63">
        <v>42293</v>
      </c>
      <c r="L25" s="96">
        <f>'Suivi EAU-ELEC'!G24</f>
        <v>4826</v>
      </c>
      <c r="M25" s="97">
        <f>'Suivi EAU-ELEC'!I24</f>
        <v>8666</v>
      </c>
      <c r="N25" s="97">
        <f>'Suivi EAU-ELEC'!K24</f>
        <v>3372</v>
      </c>
      <c r="O25" s="97">
        <f t="shared" si="1"/>
        <v>16864</v>
      </c>
      <c r="P25" s="12"/>
      <c r="Q25" s="37">
        <f t="shared" si="2"/>
        <v>16101.902199999999</v>
      </c>
      <c r="R25" s="12"/>
      <c r="S25" s="31"/>
      <c r="T25" s="14"/>
      <c r="U25" s="31"/>
      <c r="V25" s="154">
        <f>'Suvi Gaz'!O19</f>
        <v>415.98973000000001</v>
      </c>
      <c r="W25" s="11"/>
      <c r="X25" s="37">
        <f t="shared" si="3"/>
        <v>3327.9178400000001</v>
      </c>
    </row>
    <row r="26" spans="1:24" ht="32.25" customHeight="1" x14ac:dyDescent="0.2">
      <c r="A26" s="2"/>
      <c r="B26" s="6">
        <v>43633</v>
      </c>
      <c r="C26" s="7"/>
      <c r="D26" s="151">
        <v>184</v>
      </c>
      <c r="E26" s="151">
        <v>246</v>
      </c>
      <c r="F26" s="13">
        <f>'Suivi EAU-ELEC'!E25</f>
        <v>171.30000000000291</v>
      </c>
      <c r="G26" s="14"/>
      <c r="H26" s="197">
        <f t="shared" si="0"/>
        <v>1952.8200000000331</v>
      </c>
      <c r="I26" s="198"/>
      <c r="J26" s="198"/>
      <c r="K26" s="63">
        <v>42294</v>
      </c>
      <c r="L26" s="96">
        <f>'Suivi EAU-ELEC'!G25</f>
        <v>3392</v>
      </c>
      <c r="M26" s="97">
        <f>'Suivi EAU-ELEC'!I25</f>
        <v>8235</v>
      </c>
      <c r="N26" s="97">
        <f>'Suivi EAU-ELEC'!K25</f>
        <v>3217</v>
      </c>
      <c r="O26" s="97">
        <f t="shared" si="1"/>
        <v>14844</v>
      </c>
      <c r="P26" s="14"/>
      <c r="Q26" s="37">
        <f t="shared" si="2"/>
        <v>14483.987800000001</v>
      </c>
      <c r="R26" s="14"/>
      <c r="S26" s="31"/>
      <c r="T26" s="14"/>
      <c r="U26" s="31"/>
      <c r="V26" s="154">
        <f>'Suvi Gaz'!O20</f>
        <v>351.99131</v>
      </c>
      <c r="W26" s="11"/>
      <c r="X26" s="37">
        <f t="shared" si="3"/>
        <v>2815.93048</v>
      </c>
    </row>
    <row r="27" spans="1:24" ht="32.25" customHeight="1" x14ac:dyDescent="0.2">
      <c r="A27" s="2"/>
      <c r="B27" s="6">
        <v>43634</v>
      </c>
      <c r="C27" s="7"/>
      <c r="D27" s="151">
        <v>177</v>
      </c>
      <c r="E27" s="151">
        <v>226</v>
      </c>
      <c r="F27" s="13">
        <f>'Suivi EAU-ELEC'!E26</f>
        <v>206.09999999999854</v>
      </c>
      <c r="G27" s="14"/>
      <c r="H27" s="197">
        <f t="shared" si="0"/>
        <v>2349.5399999999836</v>
      </c>
      <c r="I27" s="198"/>
      <c r="J27" s="198"/>
      <c r="K27" s="63">
        <v>42295</v>
      </c>
      <c r="L27" s="96">
        <f>'Suivi EAU-ELEC'!G26</f>
        <v>5311</v>
      </c>
      <c r="M27" s="97">
        <f>'Suivi EAU-ELEC'!I26</f>
        <v>9343</v>
      </c>
      <c r="N27" s="97">
        <f>'Suivi EAU-ELEC'!K26</f>
        <v>3765</v>
      </c>
      <c r="O27" s="97">
        <f t="shared" si="1"/>
        <v>18419</v>
      </c>
      <c r="P27" s="14"/>
      <c r="Q27" s="37">
        <f t="shared" si="2"/>
        <v>17607.619700000003</v>
      </c>
      <c r="R27" s="14"/>
      <c r="S27" s="31"/>
      <c r="T27" s="14"/>
      <c r="U27" s="31"/>
      <c r="V27" s="154">
        <f>'Suvi Gaz'!O21</f>
        <v>479.98815000000002</v>
      </c>
      <c r="W27" s="11"/>
      <c r="X27" s="37">
        <f t="shared" si="3"/>
        <v>3839.9052000000001</v>
      </c>
    </row>
    <row r="28" spans="1:24" ht="32.25" customHeight="1" x14ac:dyDescent="0.2">
      <c r="A28" s="2"/>
      <c r="B28" s="6">
        <v>43635</v>
      </c>
      <c r="C28" s="7"/>
      <c r="D28" s="151">
        <v>181</v>
      </c>
      <c r="E28" s="151">
        <v>227</v>
      </c>
      <c r="F28" s="13">
        <f>'Suivi EAU-ELEC'!E27</f>
        <v>229</v>
      </c>
      <c r="G28" s="11"/>
      <c r="H28" s="197">
        <f t="shared" si="0"/>
        <v>2610.6</v>
      </c>
      <c r="I28" s="198"/>
      <c r="J28" s="198"/>
      <c r="K28" s="63">
        <v>42296</v>
      </c>
      <c r="L28" s="96">
        <f>'Suivi EAU-ELEC'!G27</f>
        <v>4378</v>
      </c>
      <c r="M28" s="97">
        <f>'Suivi EAU-ELEC'!I27</f>
        <v>9835</v>
      </c>
      <c r="N28" s="97">
        <f>'Suivi EAU-ELEC'!K27</f>
        <v>3783</v>
      </c>
      <c r="O28" s="97">
        <f t="shared" si="1"/>
        <v>17996</v>
      </c>
      <c r="P28" s="11"/>
      <c r="Q28" s="37">
        <f t="shared" si="2"/>
        <v>17447.9552</v>
      </c>
      <c r="R28" s="11"/>
      <c r="S28" s="31"/>
      <c r="T28" s="11"/>
      <c r="U28" s="31"/>
      <c r="V28" s="154">
        <f>'Suvi Gaz'!O22</f>
        <v>191.99526</v>
      </c>
      <c r="W28" s="11"/>
      <c r="X28" s="37">
        <f t="shared" si="3"/>
        <v>1535.96208</v>
      </c>
    </row>
    <row r="29" spans="1:24" ht="32.25" customHeight="1" x14ac:dyDescent="0.2">
      <c r="A29" s="2"/>
      <c r="B29" s="6">
        <v>43636</v>
      </c>
      <c r="C29" s="7"/>
      <c r="D29" s="151">
        <v>184</v>
      </c>
      <c r="E29" s="151">
        <v>249</v>
      </c>
      <c r="F29" s="13">
        <f>'Suivi EAU-ELEC'!E28</f>
        <v>157.40000000000146</v>
      </c>
      <c r="G29" s="11"/>
      <c r="H29" s="197">
        <f t="shared" si="0"/>
        <v>1794.3600000000167</v>
      </c>
      <c r="I29" s="198"/>
      <c r="J29" s="198"/>
      <c r="K29" s="63">
        <v>42297</v>
      </c>
      <c r="L29" s="96">
        <f>'Suivi EAU-ELEC'!G28</f>
        <v>4032</v>
      </c>
      <c r="M29" s="97">
        <f>'Suivi EAU-ELEC'!I28</f>
        <v>10137</v>
      </c>
      <c r="N29" s="97">
        <f>'Suivi EAU-ELEC'!K28</f>
        <v>4127</v>
      </c>
      <c r="O29" s="97">
        <f t="shared" si="1"/>
        <v>18296</v>
      </c>
      <c r="P29" s="11"/>
      <c r="Q29" s="37">
        <f t="shared" si="2"/>
        <v>17951.2546</v>
      </c>
      <c r="R29" s="11"/>
      <c r="S29" s="31"/>
      <c r="T29" s="11"/>
      <c r="U29" s="31"/>
      <c r="V29" s="154">
        <f>'Suvi Gaz'!O23</f>
        <v>319.99209999999999</v>
      </c>
      <c r="W29" s="11"/>
      <c r="X29" s="37">
        <f t="shared" si="3"/>
        <v>2559.9367999999999</v>
      </c>
    </row>
    <row r="30" spans="1:24" ht="32.25" customHeight="1" x14ac:dyDescent="0.2">
      <c r="A30" s="2"/>
      <c r="B30" s="6">
        <v>43637</v>
      </c>
      <c r="C30" s="7"/>
      <c r="D30" s="151">
        <v>174</v>
      </c>
      <c r="E30" s="151">
        <v>264</v>
      </c>
      <c r="F30" s="13">
        <f>'Suivi EAU-ELEC'!E29</f>
        <v>204.79999999999927</v>
      </c>
      <c r="G30" s="11"/>
      <c r="H30" s="197">
        <f t="shared" si="0"/>
        <v>2334.7199999999916</v>
      </c>
      <c r="I30" s="198"/>
      <c r="J30" s="198"/>
      <c r="K30" s="63">
        <v>42298</v>
      </c>
      <c r="L30" s="96">
        <f>'Suivi EAU-ELEC'!G29</f>
        <v>4343</v>
      </c>
      <c r="M30" s="97">
        <f>'Suivi EAU-ELEC'!I29</f>
        <v>10557</v>
      </c>
      <c r="N30" s="97">
        <f>'Suivi EAU-ELEC'!K29</f>
        <v>3793</v>
      </c>
      <c r="O30" s="97">
        <f t="shared" si="1"/>
        <v>18693</v>
      </c>
      <c r="P30" s="11"/>
      <c r="Q30" s="37">
        <f t="shared" si="2"/>
        <v>18123.7225</v>
      </c>
      <c r="R30" s="11"/>
      <c r="S30" s="31"/>
      <c r="T30" s="11"/>
      <c r="U30" s="31"/>
      <c r="V30" s="154">
        <f>'Suvi Gaz'!O24</f>
        <v>543.98657000000003</v>
      </c>
      <c r="W30" s="11"/>
      <c r="X30" s="37">
        <f t="shared" si="3"/>
        <v>4351.8925600000002</v>
      </c>
    </row>
    <row r="31" spans="1:24" ht="27.75" customHeight="1" x14ac:dyDescent="0.2">
      <c r="A31" s="2"/>
      <c r="B31" s="6">
        <v>43638</v>
      </c>
      <c r="C31" s="7"/>
      <c r="D31" s="151">
        <v>154</v>
      </c>
      <c r="E31" s="151">
        <v>242</v>
      </c>
      <c r="F31" s="13">
        <f>'Suivi EAU-ELEC'!E30</f>
        <v>201.29999999999927</v>
      </c>
      <c r="G31" s="11"/>
      <c r="H31" s="197">
        <f t="shared" si="0"/>
        <v>2294.819999999992</v>
      </c>
      <c r="I31" s="198"/>
      <c r="J31" s="198"/>
      <c r="K31" s="63">
        <v>42299</v>
      </c>
      <c r="L31" s="96">
        <f>'Suivi EAU-ELEC'!G30</f>
        <v>4500</v>
      </c>
      <c r="M31" s="97">
        <f>'Suivi EAU-ELEC'!I30</f>
        <v>10825</v>
      </c>
      <c r="N31" s="97">
        <f>'Suivi EAU-ELEC'!K30</f>
        <v>3702</v>
      </c>
      <c r="O31" s="97">
        <f t="shared" si="1"/>
        <v>19027</v>
      </c>
      <c r="P31" s="11"/>
      <c r="Q31" s="37">
        <f>L31*0.6985+M31*0.9514+N31*1.3304</f>
        <v>18367.2958</v>
      </c>
      <c r="R31" s="11"/>
      <c r="S31" s="31"/>
      <c r="T31" s="11"/>
      <c r="U31" s="31"/>
      <c r="V31" s="154">
        <f>'Suvi Gaz'!O25</f>
        <v>383.99052</v>
      </c>
      <c r="W31" s="11"/>
      <c r="X31" s="37">
        <f t="shared" si="3"/>
        <v>3071.92416</v>
      </c>
    </row>
    <row r="32" spans="1:24" ht="37.5" customHeight="1" x14ac:dyDescent="0.2">
      <c r="A32" s="2"/>
      <c r="B32" s="6">
        <v>43639</v>
      </c>
      <c r="C32" s="7"/>
      <c r="D32" s="151">
        <v>140</v>
      </c>
      <c r="E32" s="151">
        <v>197</v>
      </c>
      <c r="F32" s="13">
        <f>'Suivi EAU-ELEC'!E31</f>
        <v>195.40000000000146</v>
      </c>
      <c r="G32" s="11"/>
      <c r="H32" s="197">
        <f t="shared" si="0"/>
        <v>2227.5600000000168</v>
      </c>
      <c r="I32" s="198"/>
      <c r="J32" s="198"/>
      <c r="K32" s="63">
        <v>42300</v>
      </c>
      <c r="L32" s="96">
        <f>'Suivi EAU-ELEC'!G31</f>
        <v>5040</v>
      </c>
      <c r="M32" s="97">
        <f>'Suivi EAU-ELEC'!I31</f>
        <v>9483</v>
      </c>
      <c r="N32" s="97">
        <f>'Suivi EAU-ELEC'!K31</f>
        <v>4167</v>
      </c>
      <c r="O32" s="97">
        <f t="shared" si="1"/>
        <v>18690</v>
      </c>
      <c r="P32" s="11"/>
      <c r="Q32" s="37">
        <f t="shared" si="2"/>
        <v>18086.343000000001</v>
      </c>
      <c r="R32" s="11"/>
      <c r="S32" s="31"/>
      <c r="T32" s="11"/>
      <c r="U32" s="31"/>
      <c r="V32" s="154">
        <f>'Suvi Gaz'!O26</f>
        <v>383.99052</v>
      </c>
      <c r="W32" s="11"/>
      <c r="X32" s="37">
        <f t="shared" si="3"/>
        <v>3071.92416</v>
      </c>
    </row>
    <row r="33" spans="1:24" ht="37.5" customHeight="1" x14ac:dyDescent="0.2">
      <c r="A33" s="2"/>
      <c r="B33" s="6">
        <v>43640</v>
      </c>
      <c r="C33" s="7"/>
      <c r="D33" s="151">
        <v>185</v>
      </c>
      <c r="E33" s="151">
        <v>245</v>
      </c>
      <c r="F33" s="13">
        <f>'Suivi EAU-ELEC'!E32</f>
        <v>188.29999999999563</v>
      </c>
      <c r="G33" s="11"/>
      <c r="H33" s="197">
        <f t="shared" si="0"/>
        <v>2146.6199999999503</v>
      </c>
      <c r="I33" s="198"/>
      <c r="J33" s="198"/>
      <c r="K33" s="63">
        <v>42301</v>
      </c>
      <c r="L33" s="96">
        <f>'Suivi EAU-ELEC'!G32</f>
        <v>4097</v>
      </c>
      <c r="M33" s="97">
        <f>'Suivi EAU-ELEC'!I32</f>
        <v>8957</v>
      </c>
      <c r="N33" s="97">
        <f>'Suivi EAU-ELEC'!K32</f>
        <v>3536</v>
      </c>
      <c r="O33" s="97">
        <f t="shared" si="1"/>
        <v>16590</v>
      </c>
      <c r="P33" s="11"/>
      <c r="Q33" s="37">
        <f t="shared" si="2"/>
        <v>16087.738699999998</v>
      </c>
      <c r="R33" s="11"/>
      <c r="S33" s="31"/>
      <c r="T33" s="11"/>
      <c r="U33" s="31"/>
      <c r="V33" s="154">
        <f>'Suvi Gaz'!O27</f>
        <v>287.99288999999999</v>
      </c>
      <c r="W33" s="11"/>
      <c r="X33" s="37">
        <f t="shared" si="3"/>
        <v>2303.9431199999999</v>
      </c>
    </row>
    <row r="34" spans="1:24" ht="37.5" customHeight="1" x14ac:dyDescent="0.2">
      <c r="A34" s="2"/>
      <c r="B34" s="6">
        <v>43641</v>
      </c>
      <c r="C34" s="7"/>
      <c r="D34" s="151">
        <v>182</v>
      </c>
      <c r="E34" s="151">
        <v>246</v>
      </c>
      <c r="F34" s="13">
        <f>'Suivi EAU-ELEC'!E33</f>
        <v>236.90000000000146</v>
      </c>
      <c r="G34" s="11"/>
      <c r="H34" s="197">
        <f t="shared" si="0"/>
        <v>2700.6600000000167</v>
      </c>
      <c r="I34" s="198"/>
      <c r="J34" s="198"/>
      <c r="K34" s="63">
        <v>42302</v>
      </c>
      <c r="L34" s="96">
        <f>'Suivi EAU-ELEC'!G33</f>
        <v>5180</v>
      </c>
      <c r="M34" s="97">
        <f>'Suivi EAU-ELEC'!I33</f>
        <v>9538</v>
      </c>
      <c r="N34" s="97">
        <f>'Suivi EAU-ELEC'!K33</f>
        <v>4194</v>
      </c>
      <c r="O34" s="97">
        <f t="shared" si="1"/>
        <v>18912</v>
      </c>
      <c r="P34" s="11"/>
      <c r="Q34" s="37">
        <f t="shared" si="2"/>
        <v>18272.380799999999</v>
      </c>
      <c r="R34" s="11"/>
      <c r="S34" s="31"/>
      <c r="T34" s="11"/>
      <c r="U34" s="31"/>
      <c r="V34" s="154">
        <f>'Suvi Gaz'!O28</f>
        <v>703.98262</v>
      </c>
      <c r="W34" s="11"/>
      <c r="X34" s="37">
        <f t="shared" si="3"/>
        <v>5631.86096</v>
      </c>
    </row>
    <row r="35" spans="1:24" ht="33.75" customHeight="1" x14ac:dyDescent="0.2">
      <c r="A35" s="2"/>
      <c r="B35" s="6">
        <v>43642</v>
      </c>
      <c r="C35" s="7"/>
      <c r="D35" s="151">
        <v>180</v>
      </c>
      <c r="E35" s="151">
        <v>241</v>
      </c>
      <c r="F35" s="13">
        <f>'Suivi EAU-ELEC'!E34</f>
        <v>172.5</v>
      </c>
      <c r="G35" s="11"/>
      <c r="H35" s="197">
        <f t="shared" si="0"/>
        <v>1966.5</v>
      </c>
      <c r="I35" s="198"/>
      <c r="J35" s="198"/>
      <c r="K35" s="63">
        <v>42303</v>
      </c>
      <c r="L35" s="96">
        <f>'Suivi EAU-ELEC'!G34</f>
        <v>5503</v>
      </c>
      <c r="M35" s="97">
        <f>'Suivi EAU-ELEC'!I34</f>
        <v>10870</v>
      </c>
      <c r="N35" s="97">
        <f>'Suivi EAU-ELEC'!K34</f>
        <v>4161</v>
      </c>
      <c r="O35" s="97">
        <f t="shared" si="1"/>
        <v>20534</v>
      </c>
      <c r="P35" s="11"/>
      <c r="Q35" s="37">
        <f t="shared" si="2"/>
        <v>19721.357899999999</v>
      </c>
      <c r="R35" s="11"/>
      <c r="S35" s="31"/>
      <c r="T35" s="11"/>
      <c r="U35" s="31"/>
      <c r="V35" s="154">
        <f>'Suvi Gaz'!O29</f>
        <v>255.99368000000001</v>
      </c>
      <c r="W35" s="11"/>
      <c r="X35" s="37">
        <f t="shared" si="3"/>
        <v>2047.9494400000001</v>
      </c>
    </row>
    <row r="36" spans="1:24" ht="33.75" customHeight="1" x14ac:dyDescent="0.2">
      <c r="A36" s="2"/>
      <c r="B36" s="6">
        <v>43643</v>
      </c>
      <c r="C36" s="7"/>
      <c r="D36" s="151">
        <v>175</v>
      </c>
      <c r="E36" s="151">
        <v>240</v>
      </c>
      <c r="F36" s="13">
        <f>'Suivi EAU-ELEC'!E35</f>
        <v>174.5</v>
      </c>
      <c r="G36" s="11"/>
      <c r="H36" s="197">
        <f t="shared" si="0"/>
        <v>1989.3</v>
      </c>
      <c r="I36" s="198"/>
      <c r="J36" s="198"/>
      <c r="K36" s="63">
        <v>42304</v>
      </c>
      <c r="L36" s="96">
        <f>'Suivi EAU-ELEC'!G35</f>
        <v>5197</v>
      </c>
      <c r="M36" s="97">
        <f>'Suivi EAU-ELEC'!I35</f>
        <v>11038</v>
      </c>
      <c r="N36" s="97">
        <f>'Suivi EAU-ELEC'!K35</f>
        <v>4054</v>
      </c>
      <c r="O36" s="97">
        <f t="shared" si="1"/>
        <v>20289</v>
      </c>
      <c r="P36" s="11"/>
      <c r="Q36" s="37">
        <f t="shared" si="2"/>
        <v>19525.099300000002</v>
      </c>
      <c r="R36" s="11"/>
      <c r="S36" s="31"/>
      <c r="T36" s="11"/>
      <c r="U36" s="31"/>
      <c r="V36" s="154">
        <f>'Suvi Gaz'!O30</f>
        <v>479.98815000000002</v>
      </c>
      <c r="W36" s="11"/>
      <c r="X36" s="37">
        <f t="shared" si="3"/>
        <v>3839.9052000000001</v>
      </c>
    </row>
    <row r="37" spans="1:24" ht="33.75" customHeight="1" x14ac:dyDescent="0.2">
      <c r="A37" s="2"/>
      <c r="B37" s="6">
        <v>43644</v>
      </c>
      <c r="C37" s="7"/>
      <c r="D37" s="151">
        <v>133</v>
      </c>
      <c r="E37" s="151">
        <v>227</v>
      </c>
      <c r="F37" s="13">
        <f>'Suivi EAU-ELEC'!E36</f>
        <v>187.30000000000291</v>
      </c>
      <c r="G37" s="11"/>
      <c r="H37" s="197">
        <f t="shared" si="0"/>
        <v>2135.2200000000335</v>
      </c>
      <c r="I37" s="198"/>
      <c r="J37" s="198"/>
      <c r="K37" s="63">
        <v>42305</v>
      </c>
      <c r="L37" s="96">
        <f>'Suivi EAU-ELEC'!G36</f>
        <v>4841</v>
      </c>
      <c r="M37" s="97">
        <f>'Suivi EAU-ELEC'!I36</f>
        <v>11207</v>
      </c>
      <c r="N37" s="97">
        <f>'Suivi EAU-ELEC'!K36</f>
        <v>3947</v>
      </c>
      <c r="O37" s="97">
        <f t="shared" si="1"/>
        <v>19995</v>
      </c>
      <c r="P37" s="11"/>
      <c r="Q37" s="37">
        <f t="shared" si="2"/>
        <v>19294.867099999999</v>
      </c>
      <c r="R37" s="11"/>
      <c r="S37" s="31"/>
      <c r="T37" s="11"/>
      <c r="U37" s="31"/>
      <c r="V37" s="154">
        <f>'Suvi Gaz'!O31</f>
        <v>479.98815000000002</v>
      </c>
      <c r="W37" s="11"/>
      <c r="X37" s="37">
        <f t="shared" si="3"/>
        <v>3839.9052000000001</v>
      </c>
    </row>
    <row r="38" spans="1:24" ht="33.75" customHeight="1" x14ac:dyDescent="0.2">
      <c r="A38" s="2"/>
      <c r="B38" s="6">
        <v>43645</v>
      </c>
      <c r="C38" s="7"/>
      <c r="D38" s="151">
        <v>159</v>
      </c>
      <c r="E38" s="151">
        <v>269</v>
      </c>
      <c r="F38" s="13">
        <f>'Suivi EAU-ELEC'!E37</f>
        <v>186.09999999999854</v>
      </c>
      <c r="G38" s="11"/>
      <c r="H38" s="197">
        <f t="shared" si="0"/>
        <v>2121.5399999999836</v>
      </c>
      <c r="I38" s="198"/>
      <c r="J38" s="198"/>
      <c r="K38" s="63"/>
      <c r="L38" s="96">
        <f>'Suivi EAU-ELEC'!G37</f>
        <v>5323</v>
      </c>
      <c r="M38" s="97">
        <f>'Suivi EAU-ELEC'!I37</f>
        <v>10089</v>
      </c>
      <c r="N38" s="97">
        <f>'Suivi EAU-ELEC'!K37</f>
        <v>3776</v>
      </c>
      <c r="O38" s="97">
        <f t="shared" si="1"/>
        <v>19188</v>
      </c>
      <c r="P38" s="11"/>
      <c r="Q38" s="37">
        <f t="shared" si="2"/>
        <v>18340.380499999999</v>
      </c>
      <c r="R38" s="11"/>
      <c r="S38" s="31"/>
      <c r="T38" s="11"/>
      <c r="U38" s="31"/>
      <c r="V38" s="154">
        <f>'Suvi Gaz'!O32</f>
        <v>351.99131</v>
      </c>
      <c r="W38" s="11"/>
      <c r="X38" s="37">
        <f t="shared" si="3"/>
        <v>2815.93048</v>
      </c>
    </row>
    <row r="39" spans="1:24" ht="33.75" customHeight="1" x14ac:dyDescent="0.2">
      <c r="A39" s="2"/>
      <c r="B39" s="6">
        <v>43646</v>
      </c>
      <c r="C39" s="7"/>
      <c r="D39" s="151">
        <v>150</v>
      </c>
      <c r="E39" s="151">
        <v>242</v>
      </c>
      <c r="F39" s="13">
        <f>'Suivi EAU-ELEC'!E38</f>
        <v>157.5</v>
      </c>
      <c r="G39" s="11"/>
      <c r="H39" s="197">
        <f t="shared" si="0"/>
        <v>1795.5</v>
      </c>
      <c r="I39" s="198"/>
      <c r="J39" s="198"/>
      <c r="K39" s="63"/>
      <c r="L39" s="96">
        <f>'Suivi EAU-ELEC'!G38</f>
        <v>5172</v>
      </c>
      <c r="M39" s="97">
        <f>'Suivi EAU-ELEC'!I38</f>
        <v>10251</v>
      </c>
      <c r="N39" s="97">
        <f>'Suivi EAU-ELEC'!K38</f>
        <v>4703</v>
      </c>
      <c r="O39" s="97">
        <f t="shared" si="1"/>
        <v>20126</v>
      </c>
      <c r="P39" s="11"/>
      <c r="Q39" s="37">
        <f t="shared" si="2"/>
        <v>19622.314600000002</v>
      </c>
      <c r="R39" s="11"/>
      <c r="S39" s="31"/>
      <c r="T39" s="11"/>
      <c r="U39" s="31"/>
      <c r="V39" s="154">
        <f>'Suvi Gaz'!O33</f>
        <v>479.98815000000002</v>
      </c>
      <c r="W39" s="11"/>
      <c r="X39" s="37">
        <f t="shared" si="3"/>
        <v>3839.9052000000001</v>
      </c>
    </row>
    <row r="40" spans="1:24" ht="42.75" customHeight="1" x14ac:dyDescent="0.2">
      <c r="A40" s="2"/>
      <c r="B40" s="10"/>
      <c r="C40" s="10"/>
      <c r="D40" s="8">
        <f>SUM(D10:D39)</f>
        <v>4416</v>
      </c>
      <c r="E40" s="8">
        <f>SUM(E10:E39)</f>
        <v>6501</v>
      </c>
      <c r="F40" s="8">
        <f>SUM(F10:F39)</f>
        <v>5093</v>
      </c>
      <c r="G40" s="1"/>
      <c r="H40" s="236">
        <f>SUM(H10:H39)</f>
        <v>58060.200000000019</v>
      </c>
      <c r="I40" s="237"/>
      <c r="J40" s="238"/>
      <c r="K40" s="1"/>
      <c r="L40" s="56">
        <f>SUM(L10:L39)</f>
        <v>133735</v>
      </c>
      <c r="M40" s="56">
        <f>SUM(M10:M39)</f>
        <v>280352</v>
      </c>
      <c r="N40" s="57">
        <f>SUM(N10:N39)</f>
        <v>112916</v>
      </c>
      <c r="O40" s="58">
        <f>SUM(O10:O39)</f>
        <v>527003</v>
      </c>
      <c r="P40" s="34"/>
      <c r="Q40" s="35">
        <f>SUM(Q10:Q39)</f>
        <v>510364.23669999995</v>
      </c>
      <c r="R40" s="34"/>
      <c r="S40" s="33">
        <f>SUM(S10:S39)</f>
        <v>0</v>
      </c>
      <c r="T40" s="34"/>
      <c r="U40" s="33">
        <f>SUM(U10:U39)</f>
        <v>0</v>
      </c>
      <c r="V40" s="35">
        <f>SUM(V10:V39)</f>
        <v>11679.711649999997</v>
      </c>
      <c r="W40" s="34"/>
      <c r="X40" s="35">
        <f>SUM(X10:X39)</f>
        <v>93437.69319999998</v>
      </c>
    </row>
    <row r="41" spans="1:24" s="5" customFormat="1" ht="12.75" customHeight="1" thickBot="1" x14ac:dyDescent="0.25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166" t="s">
        <v>33</v>
      </c>
      <c r="B42" s="167"/>
      <c r="C42" s="167"/>
      <c r="D42" s="167"/>
      <c r="E42" s="167"/>
      <c r="F42" s="168"/>
      <c r="G42" s="29"/>
      <c r="H42" s="30" t="s">
        <v>34</v>
      </c>
      <c r="I42" s="239" t="s">
        <v>35</v>
      </c>
      <c r="J42" s="240"/>
      <c r="K42" s="241"/>
      <c r="L42" s="204" t="s">
        <v>36</v>
      </c>
      <c r="M42" s="205"/>
      <c r="N42" s="166" t="s">
        <v>37</v>
      </c>
      <c r="O42" s="167"/>
      <c r="P42" s="167"/>
      <c r="Q42" s="167"/>
      <c r="R42" s="167"/>
      <c r="S42" s="167"/>
      <c r="T42" s="167"/>
      <c r="U42" s="167"/>
      <c r="V42" s="167"/>
      <c r="W42" s="167"/>
      <c r="X42" s="168"/>
    </row>
    <row r="43" spans="1:24" s="20" customFormat="1" ht="29.25" customHeight="1" thickBot="1" x14ac:dyDescent="0.25">
      <c r="A43" s="189" t="s">
        <v>38</v>
      </c>
      <c r="B43" s="190"/>
      <c r="C43" s="191"/>
      <c r="D43" s="17" t="s">
        <v>30</v>
      </c>
      <c r="E43" s="17" t="s">
        <v>30</v>
      </c>
      <c r="F43" s="17" t="s">
        <v>30</v>
      </c>
      <c r="G43" s="18"/>
      <c r="H43" s="19">
        <v>0.69850000000000001</v>
      </c>
      <c r="I43" s="201">
        <f>L40</f>
        <v>133735</v>
      </c>
      <c r="J43" s="202"/>
      <c r="K43" s="203"/>
      <c r="L43" s="195">
        <f>I43*H43</f>
        <v>93413.897500000006</v>
      </c>
      <c r="M43" s="196"/>
      <c r="N43" s="176">
        <f>L43+L44+L45</f>
        <v>510364.23670000007</v>
      </c>
      <c r="O43" s="177"/>
      <c r="P43" s="177"/>
      <c r="Q43" s="177"/>
      <c r="R43" s="177"/>
      <c r="S43" s="177"/>
      <c r="T43" s="177"/>
      <c r="U43" s="177"/>
      <c r="V43" s="177"/>
      <c r="W43" s="177"/>
      <c r="X43" s="178"/>
    </row>
    <row r="44" spans="1:24" s="20" customFormat="1" ht="29.25" customHeight="1" thickBot="1" x14ac:dyDescent="0.25">
      <c r="A44" s="192"/>
      <c r="B44" s="193"/>
      <c r="C44" s="194"/>
      <c r="D44" s="16" t="s">
        <v>31</v>
      </c>
      <c r="E44" s="16" t="s">
        <v>31</v>
      </c>
      <c r="F44" s="16" t="s">
        <v>31</v>
      </c>
      <c r="G44" s="18"/>
      <c r="H44" s="21">
        <v>0.95140000000000002</v>
      </c>
      <c r="I44" s="201">
        <f>M40</f>
        <v>280352</v>
      </c>
      <c r="J44" s="202"/>
      <c r="K44" s="203"/>
      <c r="L44" s="195">
        <f>I44*H44</f>
        <v>266726.89280000003</v>
      </c>
      <c r="M44" s="196"/>
      <c r="N44" s="179"/>
      <c r="O44" s="180"/>
      <c r="P44" s="180"/>
      <c r="Q44" s="180"/>
      <c r="R44" s="180"/>
      <c r="S44" s="180"/>
      <c r="T44" s="180"/>
      <c r="U44" s="180"/>
      <c r="V44" s="180"/>
      <c r="W44" s="180"/>
      <c r="X44" s="181"/>
    </row>
    <row r="45" spans="1:24" s="20" customFormat="1" ht="24.75" customHeight="1" thickBot="1" x14ac:dyDescent="0.25">
      <c r="A45" s="192"/>
      <c r="B45" s="193"/>
      <c r="C45" s="194"/>
      <c r="D45" s="22" t="s">
        <v>32</v>
      </c>
      <c r="E45" s="22" t="s">
        <v>32</v>
      </c>
      <c r="F45" s="22" t="s">
        <v>32</v>
      </c>
      <c r="G45" s="23"/>
      <c r="H45" s="23">
        <v>1.3304</v>
      </c>
      <c r="I45" s="233">
        <f>N40</f>
        <v>112916</v>
      </c>
      <c r="J45" s="234"/>
      <c r="K45" s="235"/>
      <c r="L45" s="195">
        <f>I45*H45</f>
        <v>150223.44640000002</v>
      </c>
      <c r="M45" s="196"/>
      <c r="N45" s="182"/>
      <c r="O45" s="183"/>
      <c r="P45" s="183"/>
      <c r="Q45" s="183"/>
      <c r="R45" s="183"/>
      <c r="S45" s="183"/>
      <c r="T45" s="183"/>
      <c r="U45" s="183"/>
      <c r="V45" s="183"/>
      <c r="W45" s="183"/>
      <c r="X45" s="184"/>
    </row>
    <row r="46" spans="1:24" s="20" customFormat="1" ht="39.950000000000003" customHeight="1" thickBot="1" x14ac:dyDescent="0.25">
      <c r="A46" s="158"/>
      <c r="B46" s="159"/>
      <c r="C46" s="159"/>
      <c r="D46" s="201" t="s">
        <v>127</v>
      </c>
      <c r="E46" s="425"/>
      <c r="F46" s="426"/>
      <c r="G46" s="158"/>
      <c r="H46" s="21">
        <v>1000</v>
      </c>
      <c r="I46" s="155">
        <v>43.88167</v>
      </c>
      <c r="J46" s="156">
        <v>43.88167</v>
      </c>
      <c r="K46" s="157"/>
      <c r="L46" s="427">
        <f>I46*H46</f>
        <v>43881.67</v>
      </c>
      <c r="M46" s="428"/>
      <c r="N46" s="429">
        <f>L46</f>
        <v>43881.67</v>
      </c>
      <c r="O46" s="425"/>
      <c r="P46" s="425"/>
      <c r="Q46" s="425"/>
      <c r="R46" s="425"/>
      <c r="S46" s="425"/>
      <c r="T46" s="425"/>
      <c r="U46" s="425"/>
      <c r="V46" s="425"/>
      <c r="W46" s="425"/>
      <c r="X46" s="426"/>
    </row>
    <row r="47" spans="1:24" s="20" customFormat="1" ht="39.950000000000003" customHeight="1" thickBot="1" x14ac:dyDescent="0.25">
      <c r="A47" s="158"/>
      <c r="B47" s="159"/>
      <c r="C47" s="159"/>
      <c r="D47" s="201" t="s">
        <v>128</v>
      </c>
      <c r="E47" s="425"/>
      <c r="F47" s="426"/>
      <c r="G47" s="18"/>
      <c r="H47" s="430">
        <v>359</v>
      </c>
      <c r="I47" s="155">
        <v>65.822505000000007</v>
      </c>
      <c r="J47" s="156">
        <v>65.822505000000007</v>
      </c>
      <c r="K47" s="157"/>
      <c r="L47" s="195">
        <f>I47*H47</f>
        <v>23630.279295000004</v>
      </c>
      <c r="M47" s="196"/>
      <c r="N47" s="429">
        <f>L47</f>
        <v>23630.279295000004</v>
      </c>
      <c r="O47" s="425"/>
      <c r="P47" s="425"/>
      <c r="Q47" s="425"/>
      <c r="R47" s="425"/>
      <c r="S47" s="425"/>
      <c r="T47" s="425"/>
      <c r="U47" s="425"/>
      <c r="V47" s="425"/>
      <c r="W47" s="425"/>
      <c r="X47" s="426"/>
    </row>
    <row r="48" spans="1:24" s="20" customFormat="1" ht="39.950000000000003" customHeight="1" thickBot="1" x14ac:dyDescent="0.25">
      <c r="A48" s="158"/>
      <c r="B48" s="159"/>
      <c r="C48" s="159"/>
      <c r="D48" s="201" t="s">
        <v>129</v>
      </c>
      <c r="E48" s="425"/>
      <c r="F48" s="426"/>
      <c r="G48" s="18"/>
      <c r="H48" s="21"/>
      <c r="I48" s="155">
        <v>841</v>
      </c>
      <c r="J48" s="156">
        <v>841</v>
      </c>
      <c r="K48" s="157"/>
      <c r="L48" s="195">
        <f>J48</f>
        <v>841</v>
      </c>
      <c r="M48" s="196"/>
      <c r="N48" s="429">
        <f>L48</f>
        <v>841</v>
      </c>
      <c r="O48" s="425"/>
      <c r="P48" s="425"/>
      <c r="Q48" s="425"/>
      <c r="R48" s="425"/>
      <c r="S48" s="425"/>
      <c r="T48" s="425"/>
      <c r="U48" s="425"/>
      <c r="V48" s="425"/>
      <c r="W48" s="425"/>
      <c r="X48" s="426"/>
    </row>
    <row r="49" spans="1:24" s="20" customFormat="1" ht="39.950000000000003" customHeight="1" thickBot="1" x14ac:dyDescent="0.25">
      <c r="A49" s="158"/>
      <c r="B49" s="159"/>
      <c r="C49" s="159"/>
      <c r="D49" s="189" t="s">
        <v>130</v>
      </c>
      <c r="E49" s="431"/>
      <c r="F49" s="432"/>
      <c r="G49" s="18"/>
      <c r="H49" s="23"/>
      <c r="I49" s="158">
        <v>1492</v>
      </c>
      <c r="J49" s="159">
        <v>1492</v>
      </c>
      <c r="K49" s="160"/>
      <c r="L49" s="433">
        <f>J49</f>
        <v>1492</v>
      </c>
      <c r="M49" s="434"/>
      <c r="N49" s="429">
        <f>L49</f>
        <v>1492</v>
      </c>
      <c r="O49" s="425"/>
      <c r="P49" s="425"/>
      <c r="Q49" s="425"/>
      <c r="R49" s="425"/>
      <c r="S49" s="425"/>
      <c r="T49" s="425"/>
      <c r="U49" s="425"/>
      <c r="V49" s="425"/>
      <c r="W49" s="425"/>
      <c r="X49" s="426"/>
    </row>
    <row r="50" spans="1:24" s="20" customFormat="1" ht="39.950000000000003" customHeight="1" thickBot="1" x14ac:dyDescent="0.25">
      <c r="A50" s="158"/>
      <c r="B50" s="159"/>
      <c r="C50" s="159"/>
      <c r="D50" s="201" t="s">
        <v>184</v>
      </c>
      <c r="E50" s="425"/>
      <c r="F50" s="425"/>
      <c r="G50" s="425"/>
      <c r="H50" s="425"/>
      <c r="I50" s="425"/>
      <c r="J50" s="425"/>
      <c r="K50" s="425"/>
      <c r="L50" s="425"/>
      <c r="M50" s="426"/>
      <c r="N50" s="429">
        <f>N43+N46+N47+N48+N49</f>
        <v>580209.18599500007</v>
      </c>
      <c r="O50" s="425"/>
      <c r="P50" s="425"/>
      <c r="Q50" s="425"/>
      <c r="R50" s="425"/>
      <c r="S50" s="425"/>
      <c r="T50" s="425"/>
      <c r="U50" s="425"/>
      <c r="V50" s="425"/>
      <c r="W50" s="425"/>
      <c r="X50" s="426"/>
    </row>
    <row r="51" spans="1:24" s="20" customFormat="1" ht="43.5" customHeight="1" thickBot="1" x14ac:dyDescent="0.25">
      <c r="A51" s="158"/>
      <c r="B51" s="159"/>
      <c r="C51" s="159"/>
      <c r="D51" s="201" t="s">
        <v>185</v>
      </c>
      <c r="E51" s="425"/>
      <c r="F51" s="425"/>
      <c r="G51" s="425"/>
      <c r="H51" s="425"/>
      <c r="I51" s="425"/>
      <c r="J51" s="425"/>
      <c r="K51" s="425"/>
      <c r="L51" s="425"/>
      <c r="M51" s="426"/>
      <c r="N51" s="435">
        <f>N50/O40</f>
        <v>1.1009599300098862</v>
      </c>
      <c r="O51" s="436"/>
      <c r="P51" s="436"/>
      <c r="Q51" s="436"/>
      <c r="R51" s="436"/>
      <c r="S51" s="436"/>
      <c r="T51" s="436"/>
      <c r="U51" s="436"/>
      <c r="V51" s="436"/>
      <c r="W51" s="436"/>
      <c r="X51" s="437"/>
    </row>
    <row r="52" spans="1:24" s="26" customFormat="1" ht="32.25" customHeight="1" thickBot="1" x14ac:dyDescent="0.25">
      <c r="A52" s="163" t="s">
        <v>39</v>
      </c>
      <c r="B52" s="164"/>
      <c r="C52" s="164"/>
      <c r="D52" s="164"/>
      <c r="E52" s="164"/>
      <c r="F52" s="165"/>
      <c r="G52" s="24"/>
      <c r="H52" s="25">
        <v>11.4</v>
      </c>
      <c r="I52" s="163">
        <f>F40</f>
        <v>5093</v>
      </c>
      <c r="J52" s="164"/>
      <c r="K52" s="165"/>
      <c r="L52" s="199">
        <f>I52*H52</f>
        <v>58060.200000000004</v>
      </c>
      <c r="M52" s="200"/>
      <c r="N52" s="173">
        <f>L52</f>
        <v>58060.200000000004</v>
      </c>
      <c r="O52" s="174"/>
      <c r="P52" s="174"/>
      <c r="Q52" s="174"/>
      <c r="R52" s="174"/>
      <c r="S52" s="174"/>
      <c r="T52" s="174"/>
      <c r="U52" s="174"/>
      <c r="V52" s="174"/>
      <c r="W52" s="174"/>
      <c r="X52" s="175"/>
    </row>
    <row r="53" spans="1:24" s="26" customFormat="1" ht="36.75" customHeight="1" thickBot="1" x14ac:dyDescent="0.25">
      <c r="A53" s="185" t="s">
        <v>40</v>
      </c>
      <c r="B53" s="186"/>
      <c r="C53" s="186"/>
      <c r="D53" s="186"/>
      <c r="E53" s="186"/>
      <c r="F53" s="187"/>
      <c r="G53" s="27"/>
      <c r="H53" s="28">
        <v>8</v>
      </c>
      <c r="I53" s="161">
        <f>V40</f>
        <v>11679.711649999997</v>
      </c>
      <c r="J53" s="188"/>
      <c r="K53" s="162"/>
      <c r="L53" s="161">
        <f>I53*H53</f>
        <v>93437.69319999998</v>
      </c>
      <c r="M53" s="162"/>
      <c r="N53" s="170">
        <f>L53</f>
        <v>93437.69319999998</v>
      </c>
      <c r="O53" s="171"/>
      <c r="P53" s="171"/>
      <c r="Q53" s="171"/>
      <c r="R53" s="171"/>
      <c r="S53" s="171"/>
      <c r="T53" s="171"/>
      <c r="U53" s="171"/>
      <c r="V53" s="171"/>
      <c r="W53" s="171"/>
      <c r="X53" s="172"/>
    </row>
    <row r="54" spans="1:24" ht="27" customHeight="1" x14ac:dyDescent="0.2">
      <c r="A54" s="2"/>
      <c r="B54" s="2"/>
      <c r="C54" s="2"/>
      <c r="D54" s="2"/>
      <c r="E54" s="2"/>
      <c r="F54" s="2"/>
      <c r="G54" s="36"/>
      <c r="H54" s="3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6"/>
      <c r="U54" s="36"/>
      <c r="V54" s="36"/>
      <c r="W54" s="36"/>
      <c r="X54" s="36"/>
    </row>
    <row r="55" spans="1:24" ht="18.75" customHeight="1" x14ac:dyDescent="0.2"/>
    <row r="59" spans="1:24" ht="39" customHeight="1" x14ac:dyDescent="0.2"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</row>
  </sheetData>
  <mergeCells count="87">
    <mergeCell ref="D50:M50"/>
    <mergeCell ref="N50:X50"/>
    <mergeCell ref="D51:M51"/>
    <mergeCell ref="N51:X51"/>
    <mergeCell ref="D48:F48"/>
    <mergeCell ref="L48:M48"/>
    <mergeCell ref="N48:X48"/>
    <mergeCell ref="D49:F49"/>
    <mergeCell ref="L49:M49"/>
    <mergeCell ref="N49:X49"/>
    <mergeCell ref="D46:F46"/>
    <mergeCell ref="L46:M46"/>
    <mergeCell ref="N46:X46"/>
    <mergeCell ref="D47:F47"/>
    <mergeCell ref="L47:M47"/>
    <mergeCell ref="N47:X47"/>
    <mergeCell ref="I45:K45"/>
    <mergeCell ref="H39:J39"/>
    <mergeCell ref="D8:D9"/>
    <mergeCell ref="H40:J40"/>
    <mergeCell ref="H30:J30"/>
    <mergeCell ref="H38:J38"/>
    <mergeCell ref="H36:J36"/>
    <mergeCell ref="H33:J33"/>
    <mergeCell ref="H31:J31"/>
    <mergeCell ref="H13:J13"/>
    <mergeCell ref="H21:J21"/>
    <mergeCell ref="I42:K42"/>
    <mergeCell ref="H19:J19"/>
    <mergeCell ref="H29:J29"/>
    <mergeCell ref="K8:K9"/>
    <mergeCell ref="H22:J22"/>
    <mergeCell ref="H10:J10"/>
    <mergeCell ref="H12:J12"/>
    <mergeCell ref="H14:J14"/>
    <mergeCell ref="H18:J18"/>
    <mergeCell ref="H17:J17"/>
    <mergeCell ref="H11:J11"/>
    <mergeCell ref="F8:F9"/>
    <mergeCell ref="H37:J37"/>
    <mergeCell ref="H15:J15"/>
    <mergeCell ref="H23:J23"/>
    <mergeCell ref="H16:J16"/>
    <mergeCell ref="H26:J26"/>
    <mergeCell ref="H28:J28"/>
    <mergeCell ref="H32:J32"/>
    <mergeCell ref="A2:H2"/>
    <mergeCell ref="A4:C5"/>
    <mergeCell ref="F7:L7"/>
    <mergeCell ref="H8:J9"/>
    <mergeCell ref="I2:X2"/>
    <mergeCell ref="A8:A9"/>
    <mergeCell ref="B8:B9"/>
    <mergeCell ref="E8:E9"/>
    <mergeCell ref="M5:X7"/>
    <mergeCell ref="U8:U9"/>
    <mergeCell ref="Q8:Q9"/>
    <mergeCell ref="O8:O9"/>
    <mergeCell ref="X8:X9"/>
    <mergeCell ref="V8:V9"/>
    <mergeCell ref="S8:S9"/>
    <mergeCell ref="L8:N8"/>
    <mergeCell ref="L44:M44"/>
    <mergeCell ref="H34:J34"/>
    <mergeCell ref="I43:K43"/>
    <mergeCell ref="L42:M42"/>
    <mergeCell ref="I44:K44"/>
    <mergeCell ref="H25:J25"/>
    <mergeCell ref="H20:J20"/>
    <mergeCell ref="H24:J24"/>
    <mergeCell ref="H35:J35"/>
    <mergeCell ref="H27:J27"/>
    <mergeCell ref="L53:M53"/>
    <mergeCell ref="A52:F52"/>
    <mergeCell ref="A42:F42"/>
    <mergeCell ref="B59:X59"/>
    <mergeCell ref="N53:X53"/>
    <mergeCell ref="N52:X52"/>
    <mergeCell ref="N43:X45"/>
    <mergeCell ref="N42:X42"/>
    <mergeCell ref="A53:F53"/>
    <mergeCell ref="I53:K53"/>
    <mergeCell ref="A43:C45"/>
    <mergeCell ref="L43:M43"/>
    <mergeCell ref="L45:M45"/>
    <mergeCell ref="I52:K52"/>
    <mergeCell ref="L52:M52"/>
  </mergeCells>
  <phoneticPr fontId="13" type="noConversion"/>
  <pageMargins left="0.85307086614173233" right="0.19685039370078741" top="1.3779527559055118" bottom="0.23622047244094491" header="0.51181102362204722" footer="0.19685039370078741"/>
  <pageSetup scale="3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zoomScale="70" zoomScaleNormal="7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F10" sqref="F10"/>
    </sheetView>
  </sheetViews>
  <sheetFormatPr baseColWidth="10" defaultColWidth="11.42578125" defaultRowHeight="18" x14ac:dyDescent="0.25"/>
  <cols>
    <col min="1" max="1" width="18.5703125" style="50" customWidth="1"/>
    <col min="2" max="3" width="19.140625" style="50" customWidth="1"/>
    <col min="4" max="4" width="16.7109375" customWidth="1"/>
    <col min="5" max="5" width="19.5703125" style="152" customWidth="1"/>
    <col min="6" max="11" width="16.7109375" customWidth="1"/>
    <col min="12" max="12" width="24.28515625" customWidth="1"/>
  </cols>
  <sheetData>
    <row r="1" spans="1:12" ht="12.75" customHeight="1" x14ac:dyDescent="0.2">
      <c r="A1" s="261"/>
      <c r="B1" s="262"/>
      <c r="C1" s="262"/>
      <c r="D1" s="263"/>
      <c r="E1" s="244" t="s">
        <v>41</v>
      </c>
      <c r="F1" s="245"/>
      <c r="G1" s="245"/>
      <c r="H1" s="245"/>
      <c r="I1" s="246"/>
      <c r="J1" s="253" t="s">
        <v>42</v>
      </c>
      <c r="K1" s="254"/>
      <c r="L1" s="52"/>
    </row>
    <row r="2" spans="1:12" ht="16.5" customHeight="1" x14ac:dyDescent="0.2">
      <c r="A2" s="264"/>
      <c r="B2" s="265"/>
      <c r="C2" s="265"/>
      <c r="D2" s="266"/>
      <c r="E2" s="247"/>
      <c r="F2" s="248"/>
      <c r="G2" s="248"/>
      <c r="H2" s="248"/>
      <c r="I2" s="249"/>
      <c r="J2" s="255"/>
      <c r="K2" s="256"/>
      <c r="L2" s="52"/>
    </row>
    <row r="3" spans="1:12" ht="48" customHeight="1" thickBot="1" x14ac:dyDescent="0.25">
      <c r="A3" s="267"/>
      <c r="B3" s="268"/>
      <c r="C3" s="268"/>
      <c r="D3" s="269"/>
      <c r="E3" s="250"/>
      <c r="F3" s="251"/>
      <c r="G3" s="251"/>
      <c r="H3" s="251"/>
      <c r="I3" s="252"/>
      <c r="J3" s="257"/>
      <c r="K3" s="258"/>
      <c r="L3" s="52"/>
    </row>
    <row r="6" spans="1:12" ht="10.5" customHeight="1" thickBot="1" x14ac:dyDescent="0.3"/>
    <row r="7" spans="1:12" ht="16.5" customHeight="1" thickTop="1" thickBot="1" x14ac:dyDescent="0.25">
      <c r="A7" s="242" t="s">
        <v>43</v>
      </c>
      <c r="B7" s="270" t="s">
        <v>44</v>
      </c>
      <c r="C7" s="271"/>
      <c r="D7" s="259" t="s">
        <v>45</v>
      </c>
      <c r="E7" s="259"/>
      <c r="F7" s="260" t="s">
        <v>46</v>
      </c>
      <c r="G7" s="260"/>
      <c r="H7" s="260"/>
      <c r="I7" s="260"/>
      <c r="J7" s="260"/>
      <c r="K7" s="260"/>
    </row>
    <row r="8" spans="1:12" s="32" customFormat="1" ht="28.5" customHeight="1" thickTop="1" thickBot="1" x14ac:dyDescent="0.25">
      <c r="A8" s="243"/>
      <c r="B8" s="122" t="s">
        <v>47</v>
      </c>
      <c r="C8" s="122" t="s">
        <v>48</v>
      </c>
      <c r="D8" s="59" t="s">
        <v>47</v>
      </c>
      <c r="E8" s="59" t="s">
        <v>49</v>
      </c>
      <c r="F8" s="61" t="s">
        <v>50</v>
      </c>
      <c r="G8" s="61" t="s">
        <v>51</v>
      </c>
      <c r="H8" s="61" t="s">
        <v>52</v>
      </c>
      <c r="I8" s="61" t="s">
        <v>53</v>
      </c>
      <c r="J8" s="61" t="s">
        <v>54</v>
      </c>
      <c r="K8" s="61" t="s">
        <v>55</v>
      </c>
    </row>
    <row r="9" spans="1:12" ht="21" thickTop="1" thickBot="1" x14ac:dyDescent="0.35">
      <c r="A9" s="62">
        <v>43617</v>
      </c>
      <c r="B9" s="124">
        <v>2375</v>
      </c>
      <c r="C9" s="123">
        <v>0</v>
      </c>
      <c r="D9" s="60">
        <v>29182.6</v>
      </c>
      <c r="E9" s="53">
        <v>143.59999999999854</v>
      </c>
      <c r="F9" s="54">
        <v>8249949</v>
      </c>
      <c r="G9" s="53">
        <v>3411</v>
      </c>
      <c r="H9" s="54">
        <v>13766333</v>
      </c>
      <c r="I9" s="53">
        <v>8488</v>
      </c>
      <c r="J9" s="54">
        <v>6160440</v>
      </c>
      <c r="K9" s="53">
        <v>4351</v>
      </c>
    </row>
    <row r="10" spans="1:12" ht="21" thickTop="1" thickBot="1" x14ac:dyDescent="0.35">
      <c r="A10" s="62">
        <v>43618</v>
      </c>
      <c r="B10" s="124">
        <v>2375</v>
      </c>
      <c r="C10" s="123">
        <f t="shared" ref="C10:C18" si="0">B10-B9</f>
        <v>0</v>
      </c>
      <c r="D10" s="60">
        <v>29324.6</v>
      </c>
      <c r="E10" s="53">
        <f t="shared" ref="E10:E18" si="1">D10-D9</f>
        <v>142</v>
      </c>
      <c r="F10" s="54">
        <v>8253790</v>
      </c>
      <c r="G10" s="53">
        <f t="shared" ref="G10:G18" si="2">F10-F9</f>
        <v>3841</v>
      </c>
      <c r="H10" s="54">
        <v>13774899</v>
      </c>
      <c r="I10" s="53">
        <f t="shared" ref="I10:I18" si="3">H10-H9</f>
        <v>8566</v>
      </c>
      <c r="J10" s="54">
        <v>6164185</v>
      </c>
      <c r="K10" s="53">
        <f t="shared" ref="K10:K18" si="4">J10-J9</f>
        <v>3745</v>
      </c>
    </row>
    <row r="11" spans="1:12" ht="21" thickTop="1" thickBot="1" x14ac:dyDescent="0.35">
      <c r="A11" s="62">
        <v>43619</v>
      </c>
      <c r="B11" s="124">
        <v>2375</v>
      </c>
      <c r="C11" s="123">
        <f t="shared" si="0"/>
        <v>0</v>
      </c>
      <c r="D11" s="60">
        <v>29438.6</v>
      </c>
      <c r="E11" s="53">
        <f t="shared" si="1"/>
        <v>114</v>
      </c>
      <c r="F11" s="54">
        <v>8257512</v>
      </c>
      <c r="G11" s="53">
        <f t="shared" si="2"/>
        <v>3722</v>
      </c>
      <c r="H11" s="54">
        <v>13783271</v>
      </c>
      <c r="I11" s="53">
        <f t="shared" si="3"/>
        <v>8372</v>
      </c>
      <c r="J11" s="54">
        <v>6168155</v>
      </c>
      <c r="K11" s="53">
        <f t="shared" si="4"/>
        <v>3970</v>
      </c>
    </row>
    <row r="12" spans="1:12" ht="21" thickTop="1" thickBot="1" x14ac:dyDescent="0.35">
      <c r="A12" s="62">
        <v>43620</v>
      </c>
      <c r="B12" s="124">
        <v>2375</v>
      </c>
      <c r="C12" s="123">
        <f t="shared" si="0"/>
        <v>0</v>
      </c>
      <c r="D12" s="60">
        <v>29556</v>
      </c>
      <c r="E12" s="53">
        <f t="shared" si="1"/>
        <v>117.40000000000146</v>
      </c>
      <c r="F12" s="54">
        <v>8261255</v>
      </c>
      <c r="G12" s="53">
        <f t="shared" si="2"/>
        <v>3743</v>
      </c>
      <c r="H12" s="54">
        <v>13791831</v>
      </c>
      <c r="I12" s="53">
        <f t="shared" si="3"/>
        <v>8560</v>
      </c>
      <c r="J12" s="54">
        <v>6171858</v>
      </c>
      <c r="K12" s="53">
        <f t="shared" si="4"/>
        <v>3703</v>
      </c>
    </row>
    <row r="13" spans="1:12" ht="21" thickTop="1" thickBot="1" x14ac:dyDescent="0.35">
      <c r="A13" s="62">
        <v>43621</v>
      </c>
      <c r="B13" s="124">
        <v>2375</v>
      </c>
      <c r="C13" s="123">
        <f t="shared" si="0"/>
        <v>0</v>
      </c>
      <c r="D13" s="60">
        <v>29716.1</v>
      </c>
      <c r="E13" s="53">
        <f t="shared" si="1"/>
        <v>160.09999999999854</v>
      </c>
      <c r="F13" s="54">
        <v>8264978</v>
      </c>
      <c r="G13" s="53">
        <f t="shared" si="2"/>
        <v>3723</v>
      </c>
      <c r="H13" s="54">
        <v>13800311</v>
      </c>
      <c r="I13" s="53">
        <f t="shared" si="3"/>
        <v>8480</v>
      </c>
      <c r="J13" s="54">
        <v>6175524</v>
      </c>
      <c r="K13" s="53">
        <f t="shared" si="4"/>
        <v>3666</v>
      </c>
    </row>
    <row r="14" spans="1:12" ht="21" thickTop="1" thickBot="1" x14ac:dyDescent="0.35">
      <c r="A14" s="62">
        <v>43622</v>
      </c>
      <c r="B14" s="124">
        <v>2375</v>
      </c>
      <c r="C14" s="123">
        <f t="shared" si="0"/>
        <v>0</v>
      </c>
      <c r="D14" s="60">
        <v>29782.7</v>
      </c>
      <c r="E14" s="53">
        <f t="shared" si="1"/>
        <v>66.600000000002183</v>
      </c>
      <c r="F14" s="54">
        <v>8268816</v>
      </c>
      <c r="G14" s="53">
        <f t="shared" si="2"/>
        <v>3838</v>
      </c>
      <c r="H14" s="54">
        <v>13808273</v>
      </c>
      <c r="I14" s="53">
        <f t="shared" si="3"/>
        <v>7962</v>
      </c>
      <c r="J14" s="54">
        <v>6178884</v>
      </c>
      <c r="K14" s="53">
        <f t="shared" si="4"/>
        <v>3360</v>
      </c>
    </row>
    <row r="15" spans="1:12" ht="21" thickTop="1" thickBot="1" x14ac:dyDescent="0.35">
      <c r="A15" s="62">
        <v>43623</v>
      </c>
      <c r="B15" s="124">
        <v>2375</v>
      </c>
      <c r="C15" s="123">
        <f t="shared" si="0"/>
        <v>0</v>
      </c>
      <c r="D15" s="60">
        <v>29910.2</v>
      </c>
      <c r="E15" s="53">
        <f t="shared" si="1"/>
        <v>127.5</v>
      </c>
      <c r="F15" s="54">
        <v>8272930</v>
      </c>
      <c r="G15" s="53">
        <f t="shared" si="2"/>
        <v>4114</v>
      </c>
      <c r="H15" s="54">
        <v>13816223</v>
      </c>
      <c r="I15" s="53">
        <f t="shared" si="3"/>
        <v>7950</v>
      </c>
      <c r="J15" s="54">
        <v>6182465</v>
      </c>
      <c r="K15" s="53">
        <f t="shared" si="4"/>
        <v>3581</v>
      </c>
    </row>
    <row r="16" spans="1:12" ht="21" thickTop="1" thickBot="1" x14ac:dyDescent="0.35">
      <c r="A16" s="62">
        <v>43624</v>
      </c>
      <c r="B16" s="124">
        <v>2375</v>
      </c>
      <c r="C16" s="123">
        <f t="shared" si="0"/>
        <v>0</v>
      </c>
      <c r="D16" s="60">
        <v>30074.400000000001</v>
      </c>
      <c r="E16" s="53">
        <f t="shared" si="1"/>
        <v>164.20000000000073</v>
      </c>
      <c r="F16" s="54">
        <v>8277452</v>
      </c>
      <c r="G16" s="53">
        <f t="shared" si="2"/>
        <v>4522</v>
      </c>
      <c r="H16" s="54">
        <v>13824505</v>
      </c>
      <c r="I16" s="53">
        <f t="shared" si="3"/>
        <v>8282</v>
      </c>
      <c r="J16" s="54">
        <v>6185910</v>
      </c>
      <c r="K16" s="53">
        <f t="shared" si="4"/>
        <v>3445</v>
      </c>
    </row>
    <row r="17" spans="1:29" ht="21" thickTop="1" thickBot="1" x14ac:dyDescent="0.35">
      <c r="A17" s="62">
        <v>43625</v>
      </c>
      <c r="B17" s="124">
        <v>2375</v>
      </c>
      <c r="C17" s="123">
        <f t="shared" si="0"/>
        <v>0</v>
      </c>
      <c r="D17" s="60">
        <v>30223.200000000001</v>
      </c>
      <c r="E17" s="53">
        <f t="shared" si="1"/>
        <v>148.79999999999927</v>
      </c>
      <c r="F17" s="54">
        <v>8280987</v>
      </c>
      <c r="G17" s="53">
        <f t="shared" si="2"/>
        <v>3535</v>
      </c>
      <c r="H17" s="54">
        <v>13832668</v>
      </c>
      <c r="I17" s="53">
        <f t="shared" si="3"/>
        <v>8163</v>
      </c>
      <c r="J17" s="54">
        <v>6189646</v>
      </c>
      <c r="K17" s="53">
        <f t="shared" si="4"/>
        <v>3736</v>
      </c>
    </row>
    <row r="18" spans="1:29" ht="21" thickTop="1" thickBot="1" x14ac:dyDescent="0.35">
      <c r="A18" s="62">
        <v>43626</v>
      </c>
      <c r="B18" s="124">
        <v>2375</v>
      </c>
      <c r="C18" s="123">
        <f t="shared" si="0"/>
        <v>0</v>
      </c>
      <c r="D18" s="60">
        <v>30366.7</v>
      </c>
      <c r="E18" s="53">
        <f t="shared" si="1"/>
        <v>143.5</v>
      </c>
      <c r="F18" s="54">
        <v>8285286</v>
      </c>
      <c r="G18" s="53">
        <f t="shared" si="2"/>
        <v>4299</v>
      </c>
      <c r="H18" s="54">
        <v>13840718</v>
      </c>
      <c r="I18" s="53">
        <f t="shared" si="3"/>
        <v>8050</v>
      </c>
      <c r="J18" s="54">
        <v>6193040</v>
      </c>
      <c r="K18" s="53">
        <f t="shared" si="4"/>
        <v>3394</v>
      </c>
    </row>
    <row r="19" spans="1:29" ht="21" thickTop="1" thickBot="1" x14ac:dyDescent="0.35">
      <c r="A19" s="62">
        <v>43627</v>
      </c>
      <c r="B19" s="124">
        <v>2375</v>
      </c>
      <c r="C19" s="123">
        <f t="shared" ref="C19:C24" si="5">B19-B18</f>
        <v>0</v>
      </c>
      <c r="D19" s="60">
        <v>30529.599999999999</v>
      </c>
      <c r="E19" s="53">
        <f t="shared" ref="E19:E24" si="6">D19-D18</f>
        <v>162.89999999999782</v>
      </c>
      <c r="F19" s="54">
        <v>8289944</v>
      </c>
      <c r="G19" s="53">
        <f t="shared" ref="G19:G24" si="7">F19-F18</f>
        <v>4658</v>
      </c>
      <c r="H19" s="54">
        <v>13850243</v>
      </c>
      <c r="I19" s="53">
        <f t="shared" ref="I19:I24" si="8">H19-H18</f>
        <v>9525</v>
      </c>
      <c r="J19" s="54">
        <v>6196412</v>
      </c>
      <c r="K19" s="53">
        <f t="shared" ref="K19:K24" si="9">J19-J18</f>
        <v>3372</v>
      </c>
    </row>
    <row r="20" spans="1:29" ht="27" thickTop="1" thickBot="1" x14ac:dyDescent="0.4">
      <c r="A20" s="62">
        <v>43628</v>
      </c>
      <c r="B20" s="124">
        <v>2375</v>
      </c>
      <c r="C20" s="123">
        <f t="shared" si="5"/>
        <v>0</v>
      </c>
      <c r="D20" s="60">
        <v>30704.9</v>
      </c>
      <c r="E20" s="53">
        <f t="shared" si="6"/>
        <v>175.30000000000291</v>
      </c>
      <c r="F20" s="54">
        <v>8294317</v>
      </c>
      <c r="G20" s="53">
        <f t="shared" si="7"/>
        <v>4373</v>
      </c>
      <c r="H20" s="54">
        <v>13859434</v>
      </c>
      <c r="I20" s="53">
        <f t="shared" si="8"/>
        <v>9191</v>
      </c>
      <c r="J20" s="54">
        <v>6199763</v>
      </c>
      <c r="K20" s="53">
        <f t="shared" si="9"/>
        <v>3351</v>
      </c>
      <c r="L20" s="125" t="s">
        <v>18</v>
      </c>
      <c r="AC20" t="s">
        <v>56</v>
      </c>
    </row>
    <row r="21" spans="1:29" ht="21" thickTop="1" thickBot="1" x14ac:dyDescent="0.35">
      <c r="A21" s="62">
        <v>43629</v>
      </c>
      <c r="B21" s="124">
        <v>2375</v>
      </c>
      <c r="C21" s="123">
        <f t="shared" si="5"/>
        <v>0</v>
      </c>
      <c r="D21" s="60">
        <v>30889.1</v>
      </c>
      <c r="E21" s="53">
        <f t="shared" si="6"/>
        <v>184.19999999999709</v>
      </c>
      <c r="F21" s="54">
        <v>8298697</v>
      </c>
      <c r="G21" s="53">
        <f t="shared" si="7"/>
        <v>4380</v>
      </c>
      <c r="H21" s="54">
        <v>13869651</v>
      </c>
      <c r="I21" s="53">
        <f t="shared" si="8"/>
        <v>10217</v>
      </c>
      <c r="J21" s="54">
        <v>6203629</v>
      </c>
      <c r="K21" s="53">
        <f t="shared" si="9"/>
        <v>3866</v>
      </c>
    </row>
    <row r="22" spans="1:29" ht="21" thickTop="1" thickBot="1" x14ac:dyDescent="0.35">
      <c r="A22" s="62">
        <v>43630</v>
      </c>
      <c r="B22" s="124">
        <v>2375</v>
      </c>
      <c r="C22" s="123">
        <f t="shared" si="5"/>
        <v>0</v>
      </c>
      <c r="D22" s="60">
        <v>31121.3</v>
      </c>
      <c r="E22" s="53">
        <f t="shared" si="6"/>
        <v>232.20000000000073</v>
      </c>
      <c r="F22" s="54">
        <v>8304137</v>
      </c>
      <c r="G22" s="53">
        <f t="shared" si="7"/>
        <v>5440</v>
      </c>
      <c r="H22" s="54">
        <v>13880084</v>
      </c>
      <c r="I22" s="53">
        <f t="shared" si="8"/>
        <v>10433</v>
      </c>
      <c r="J22" s="54">
        <v>6207136</v>
      </c>
      <c r="K22" s="53">
        <f t="shared" si="9"/>
        <v>3507</v>
      </c>
    </row>
    <row r="23" spans="1:29" ht="21" thickTop="1" thickBot="1" x14ac:dyDescent="0.35">
      <c r="A23" s="62">
        <v>43631</v>
      </c>
      <c r="B23" s="124">
        <v>2375</v>
      </c>
      <c r="C23" s="123">
        <f t="shared" si="5"/>
        <v>0</v>
      </c>
      <c r="D23" s="60">
        <v>31319.4</v>
      </c>
      <c r="E23" s="53">
        <f t="shared" si="6"/>
        <v>198.10000000000218</v>
      </c>
      <c r="F23" s="54">
        <v>8309138</v>
      </c>
      <c r="G23" s="53">
        <f t="shared" si="7"/>
        <v>5001</v>
      </c>
      <c r="H23" s="54">
        <v>13889166</v>
      </c>
      <c r="I23" s="53">
        <f t="shared" si="8"/>
        <v>9082</v>
      </c>
      <c r="J23" s="54">
        <v>6210708</v>
      </c>
      <c r="K23" s="53">
        <f t="shared" si="9"/>
        <v>3572</v>
      </c>
    </row>
    <row r="24" spans="1:29" ht="21" thickTop="1" thickBot="1" x14ac:dyDescent="0.35">
      <c r="A24" s="62">
        <v>43632</v>
      </c>
      <c r="B24" s="124">
        <v>2375</v>
      </c>
      <c r="C24" s="123">
        <f t="shared" si="5"/>
        <v>0</v>
      </c>
      <c r="D24" s="60">
        <v>31463.599999999999</v>
      </c>
      <c r="E24" s="53">
        <f t="shared" si="6"/>
        <v>144.19999999999709</v>
      </c>
      <c r="F24" s="54">
        <v>8313964</v>
      </c>
      <c r="G24" s="53">
        <f t="shared" si="7"/>
        <v>4826</v>
      </c>
      <c r="H24" s="54">
        <v>13897832</v>
      </c>
      <c r="I24" s="53">
        <f t="shared" si="8"/>
        <v>8666</v>
      </c>
      <c r="J24" s="54">
        <v>6214080</v>
      </c>
      <c r="K24" s="53">
        <f t="shared" si="9"/>
        <v>3372</v>
      </c>
    </row>
    <row r="25" spans="1:29" ht="21" thickTop="1" thickBot="1" x14ac:dyDescent="0.35">
      <c r="A25" s="62">
        <v>43633</v>
      </c>
      <c r="B25" s="124">
        <v>2375</v>
      </c>
      <c r="C25" s="123">
        <f t="shared" ref="C25:C32" si="10">B25-B24</f>
        <v>0</v>
      </c>
      <c r="D25" s="60">
        <v>31634.9</v>
      </c>
      <c r="E25" s="53">
        <f t="shared" ref="E25:E32" si="11">D25-D24</f>
        <v>171.30000000000291</v>
      </c>
      <c r="F25" s="54">
        <v>8317356</v>
      </c>
      <c r="G25" s="53">
        <f t="shared" ref="G25:G32" si="12">F25-F24</f>
        <v>3392</v>
      </c>
      <c r="H25" s="54">
        <v>13906067</v>
      </c>
      <c r="I25" s="53">
        <f t="shared" ref="I25:I32" si="13">H25-H24</f>
        <v>8235</v>
      </c>
      <c r="J25" s="54">
        <v>6217297</v>
      </c>
      <c r="K25" s="53">
        <f t="shared" ref="K25:K32" si="14">J25-J24</f>
        <v>3217</v>
      </c>
    </row>
    <row r="26" spans="1:29" ht="21" thickTop="1" thickBot="1" x14ac:dyDescent="0.35">
      <c r="A26" s="62">
        <v>43634</v>
      </c>
      <c r="B26" s="124">
        <v>2375</v>
      </c>
      <c r="C26" s="123">
        <f t="shared" si="10"/>
        <v>0</v>
      </c>
      <c r="D26" s="60">
        <v>31841</v>
      </c>
      <c r="E26" s="53">
        <f t="shared" si="11"/>
        <v>206.09999999999854</v>
      </c>
      <c r="F26" s="54">
        <v>8322667</v>
      </c>
      <c r="G26" s="53">
        <f t="shared" si="12"/>
        <v>5311</v>
      </c>
      <c r="H26" s="54">
        <v>13915410</v>
      </c>
      <c r="I26" s="53">
        <f t="shared" si="13"/>
        <v>9343</v>
      </c>
      <c r="J26" s="54">
        <v>6221062</v>
      </c>
      <c r="K26" s="53">
        <f t="shared" si="14"/>
        <v>3765</v>
      </c>
    </row>
    <row r="27" spans="1:29" ht="21" thickTop="1" thickBot="1" x14ac:dyDescent="0.35">
      <c r="A27" s="62">
        <v>43635</v>
      </c>
      <c r="B27" s="124">
        <v>2375</v>
      </c>
      <c r="C27" s="123">
        <f t="shared" si="10"/>
        <v>0</v>
      </c>
      <c r="D27" s="60">
        <v>32070</v>
      </c>
      <c r="E27" s="53">
        <f t="shared" si="11"/>
        <v>229</v>
      </c>
      <c r="F27" s="54">
        <v>8327045</v>
      </c>
      <c r="G27" s="53">
        <f t="shared" si="12"/>
        <v>4378</v>
      </c>
      <c r="H27" s="54">
        <v>13925245</v>
      </c>
      <c r="I27" s="53">
        <f t="shared" si="13"/>
        <v>9835</v>
      </c>
      <c r="J27" s="54">
        <v>6224845</v>
      </c>
      <c r="K27" s="53">
        <f t="shared" si="14"/>
        <v>3783</v>
      </c>
    </row>
    <row r="28" spans="1:29" ht="21" thickTop="1" thickBot="1" x14ac:dyDescent="0.35">
      <c r="A28" s="62">
        <v>43636</v>
      </c>
      <c r="B28" s="124">
        <v>2375</v>
      </c>
      <c r="C28" s="123">
        <f t="shared" si="10"/>
        <v>0</v>
      </c>
      <c r="D28" s="60">
        <v>32227.4</v>
      </c>
      <c r="E28" s="53">
        <f t="shared" si="11"/>
        <v>157.40000000000146</v>
      </c>
      <c r="F28" s="54">
        <v>8331077</v>
      </c>
      <c r="G28" s="53">
        <f t="shared" si="12"/>
        <v>4032</v>
      </c>
      <c r="H28" s="54">
        <v>13935382</v>
      </c>
      <c r="I28" s="53">
        <f t="shared" si="13"/>
        <v>10137</v>
      </c>
      <c r="J28" s="54">
        <v>6228972</v>
      </c>
      <c r="K28" s="53">
        <f t="shared" si="14"/>
        <v>4127</v>
      </c>
    </row>
    <row r="29" spans="1:29" ht="21" thickTop="1" thickBot="1" x14ac:dyDescent="0.35">
      <c r="A29" s="62">
        <v>43637</v>
      </c>
      <c r="B29" s="124">
        <v>2375</v>
      </c>
      <c r="C29" s="123">
        <f t="shared" si="10"/>
        <v>0</v>
      </c>
      <c r="D29" s="60">
        <v>32432.2</v>
      </c>
      <c r="E29" s="53">
        <f t="shared" si="11"/>
        <v>204.79999999999927</v>
      </c>
      <c r="F29" s="54">
        <v>8335420</v>
      </c>
      <c r="G29" s="53">
        <f t="shared" si="12"/>
        <v>4343</v>
      </c>
      <c r="H29" s="54">
        <v>13945939</v>
      </c>
      <c r="I29" s="53">
        <f t="shared" si="13"/>
        <v>10557</v>
      </c>
      <c r="J29" s="54">
        <v>6232765</v>
      </c>
      <c r="K29" s="53">
        <f t="shared" si="14"/>
        <v>3793</v>
      </c>
    </row>
    <row r="30" spans="1:29" ht="21" thickTop="1" thickBot="1" x14ac:dyDescent="0.35">
      <c r="A30" s="62">
        <v>43638</v>
      </c>
      <c r="B30" s="124">
        <v>2375</v>
      </c>
      <c r="C30" s="123">
        <f t="shared" si="10"/>
        <v>0</v>
      </c>
      <c r="D30" s="60">
        <v>32633.5</v>
      </c>
      <c r="E30" s="53">
        <f t="shared" si="11"/>
        <v>201.29999999999927</v>
      </c>
      <c r="F30" s="54">
        <v>8339920</v>
      </c>
      <c r="G30" s="53">
        <f t="shared" si="12"/>
        <v>4500</v>
      </c>
      <c r="H30" s="54">
        <v>13956764</v>
      </c>
      <c r="I30" s="53">
        <f t="shared" si="13"/>
        <v>10825</v>
      </c>
      <c r="J30" s="54">
        <v>6236467</v>
      </c>
      <c r="K30" s="53">
        <f t="shared" si="14"/>
        <v>3702</v>
      </c>
    </row>
    <row r="31" spans="1:29" ht="21" thickTop="1" thickBot="1" x14ac:dyDescent="0.35">
      <c r="A31" s="62">
        <v>43639</v>
      </c>
      <c r="B31" s="124">
        <v>2375</v>
      </c>
      <c r="C31" s="123">
        <f t="shared" si="10"/>
        <v>0</v>
      </c>
      <c r="D31" s="60">
        <v>32828.9</v>
      </c>
      <c r="E31" s="53">
        <f t="shared" si="11"/>
        <v>195.40000000000146</v>
      </c>
      <c r="F31" s="54">
        <v>8344960</v>
      </c>
      <c r="G31" s="53">
        <f t="shared" si="12"/>
        <v>5040</v>
      </c>
      <c r="H31" s="54">
        <v>13966247</v>
      </c>
      <c r="I31" s="53">
        <f t="shared" si="13"/>
        <v>9483</v>
      </c>
      <c r="J31" s="54">
        <v>6240634</v>
      </c>
      <c r="K31" s="53">
        <f t="shared" si="14"/>
        <v>4167</v>
      </c>
    </row>
    <row r="32" spans="1:29" ht="21" thickTop="1" thickBot="1" x14ac:dyDescent="0.35">
      <c r="A32" s="62">
        <v>43640</v>
      </c>
      <c r="B32" s="124">
        <v>2375</v>
      </c>
      <c r="C32" s="123">
        <f t="shared" si="10"/>
        <v>0</v>
      </c>
      <c r="D32" s="60">
        <v>33017.199999999997</v>
      </c>
      <c r="E32" s="53">
        <f t="shared" si="11"/>
        <v>188.29999999999563</v>
      </c>
      <c r="F32" s="54">
        <v>8349057</v>
      </c>
      <c r="G32" s="53">
        <f t="shared" si="12"/>
        <v>4097</v>
      </c>
      <c r="H32" s="54">
        <v>13975204</v>
      </c>
      <c r="I32" s="53">
        <f t="shared" si="13"/>
        <v>8957</v>
      </c>
      <c r="J32" s="54">
        <v>6244170</v>
      </c>
      <c r="K32" s="53">
        <f t="shared" si="14"/>
        <v>3536</v>
      </c>
    </row>
    <row r="33" spans="1:11" ht="21" thickTop="1" thickBot="1" x14ac:dyDescent="0.35">
      <c r="A33" s="62">
        <v>43641</v>
      </c>
      <c r="B33" s="124">
        <v>2375</v>
      </c>
      <c r="C33" s="123">
        <f t="shared" ref="C33:C39" si="15">B33-B32</f>
        <v>0</v>
      </c>
      <c r="D33" s="60">
        <v>33254.1</v>
      </c>
      <c r="E33" s="53">
        <f t="shared" ref="E33:E39" si="16">D33-D32</f>
        <v>236.90000000000146</v>
      </c>
      <c r="F33" s="54">
        <v>8354237</v>
      </c>
      <c r="G33" s="53">
        <f t="shared" ref="G33:G39" si="17">F33-F32</f>
        <v>5180</v>
      </c>
      <c r="H33" s="54">
        <v>13984742</v>
      </c>
      <c r="I33" s="53">
        <f t="shared" ref="I33:I39" si="18">H33-H32</f>
        <v>9538</v>
      </c>
      <c r="J33" s="54">
        <v>6248364</v>
      </c>
      <c r="K33" s="53">
        <f t="shared" ref="K33:K39" si="19">J33-J32</f>
        <v>4194</v>
      </c>
    </row>
    <row r="34" spans="1:11" ht="21" thickTop="1" thickBot="1" x14ac:dyDescent="0.35">
      <c r="A34" s="62">
        <v>43642</v>
      </c>
      <c r="B34" s="124">
        <v>2375</v>
      </c>
      <c r="C34" s="123">
        <f t="shared" si="15"/>
        <v>0</v>
      </c>
      <c r="D34" s="60">
        <v>33426.6</v>
      </c>
      <c r="E34" s="53">
        <f t="shared" si="16"/>
        <v>172.5</v>
      </c>
      <c r="F34" s="54">
        <v>8359740</v>
      </c>
      <c r="G34" s="53">
        <f t="shared" si="17"/>
        <v>5503</v>
      </c>
      <c r="H34" s="54">
        <v>13995612</v>
      </c>
      <c r="I34" s="53">
        <f t="shared" si="18"/>
        <v>10870</v>
      </c>
      <c r="J34" s="54">
        <v>6252525</v>
      </c>
      <c r="K34" s="53">
        <f t="shared" si="19"/>
        <v>4161</v>
      </c>
    </row>
    <row r="35" spans="1:11" ht="21" thickTop="1" thickBot="1" x14ac:dyDescent="0.35">
      <c r="A35" s="62">
        <v>43643</v>
      </c>
      <c r="B35" s="124">
        <v>2375</v>
      </c>
      <c r="C35" s="123">
        <f t="shared" si="15"/>
        <v>0</v>
      </c>
      <c r="D35" s="60">
        <v>33601.1</v>
      </c>
      <c r="E35" s="53">
        <f t="shared" si="16"/>
        <v>174.5</v>
      </c>
      <c r="F35" s="54">
        <v>8364937</v>
      </c>
      <c r="G35" s="53">
        <f t="shared" si="17"/>
        <v>5197</v>
      </c>
      <c r="H35" s="54">
        <v>14006650</v>
      </c>
      <c r="I35" s="53">
        <f t="shared" si="18"/>
        <v>11038</v>
      </c>
      <c r="J35" s="54">
        <v>6256579</v>
      </c>
      <c r="K35" s="53">
        <f t="shared" si="19"/>
        <v>4054</v>
      </c>
    </row>
    <row r="36" spans="1:11" ht="21" thickTop="1" thickBot="1" x14ac:dyDescent="0.35">
      <c r="A36" s="62">
        <v>43644</v>
      </c>
      <c r="B36" s="124">
        <v>2375</v>
      </c>
      <c r="C36" s="123">
        <f t="shared" si="15"/>
        <v>0</v>
      </c>
      <c r="D36" s="60">
        <v>33788.400000000001</v>
      </c>
      <c r="E36" s="53">
        <f t="shared" si="16"/>
        <v>187.30000000000291</v>
      </c>
      <c r="F36" s="54">
        <v>8369778</v>
      </c>
      <c r="G36" s="53">
        <f t="shared" si="17"/>
        <v>4841</v>
      </c>
      <c r="H36" s="54">
        <v>14017857</v>
      </c>
      <c r="I36" s="53">
        <f t="shared" si="18"/>
        <v>11207</v>
      </c>
      <c r="J36" s="54">
        <v>6260526</v>
      </c>
      <c r="K36" s="53">
        <f t="shared" si="19"/>
        <v>3947</v>
      </c>
    </row>
    <row r="37" spans="1:11" ht="21" thickTop="1" thickBot="1" x14ac:dyDescent="0.35">
      <c r="A37" s="62">
        <v>43645</v>
      </c>
      <c r="B37" s="124">
        <v>2375</v>
      </c>
      <c r="C37" s="123">
        <f t="shared" si="15"/>
        <v>0</v>
      </c>
      <c r="D37" s="60">
        <v>33974.5</v>
      </c>
      <c r="E37" s="53">
        <f t="shared" si="16"/>
        <v>186.09999999999854</v>
      </c>
      <c r="F37" s="54">
        <v>8375101</v>
      </c>
      <c r="G37" s="53">
        <f t="shared" si="17"/>
        <v>5323</v>
      </c>
      <c r="H37" s="54">
        <v>14027946</v>
      </c>
      <c r="I37" s="53">
        <f t="shared" si="18"/>
        <v>10089</v>
      </c>
      <c r="J37" s="54">
        <v>6264302</v>
      </c>
      <c r="K37" s="53">
        <f t="shared" si="19"/>
        <v>3776</v>
      </c>
    </row>
    <row r="38" spans="1:11" ht="21" thickTop="1" thickBot="1" x14ac:dyDescent="0.35">
      <c r="A38" s="62">
        <v>43646</v>
      </c>
      <c r="B38" s="124">
        <v>2375</v>
      </c>
      <c r="C38" s="123">
        <f t="shared" si="15"/>
        <v>0</v>
      </c>
      <c r="D38" s="60">
        <v>34132</v>
      </c>
      <c r="E38" s="53">
        <f t="shared" si="16"/>
        <v>157.5</v>
      </c>
      <c r="F38" s="54">
        <v>8380273</v>
      </c>
      <c r="G38" s="53">
        <f t="shared" si="17"/>
        <v>5172</v>
      </c>
      <c r="H38" s="54">
        <v>14038197</v>
      </c>
      <c r="I38" s="53">
        <f t="shared" si="18"/>
        <v>10251</v>
      </c>
      <c r="J38" s="54">
        <v>6269005</v>
      </c>
      <c r="K38" s="53">
        <f t="shared" si="19"/>
        <v>4703</v>
      </c>
    </row>
    <row r="39" spans="1:11" ht="21" thickTop="1" thickBot="1" x14ac:dyDescent="0.35">
      <c r="A39" s="62">
        <v>43647</v>
      </c>
      <c r="B39" s="124">
        <v>2375</v>
      </c>
      <c r="C39" s="123">
        <f t="shared" si="15"/>
        <v>0</v>
      </c>
      <c r="D39" s="60">
        <v>34451.800000000003</v>
      </c>
      <c r="E39" s="53">
        <f t="shared" si="16"/>
        <v>319.80000000000291</v>
      </c>
      <c r="F39" s="54">
        <v>8385026</v>
      </c>
      <c r="G39" s="53">
        <f t="shared" si="17"/>
        <v>4753</v>
      </c>
      <c r="H39" s="54">
        <v>14047255</v>
      </c>
      <c r="I39" s="53">
        <f t="shared" si="18"/>
        <v>9058</v>
      </c>
      <c r="J39" s="54">
        <v>6272389</v>
      </c>
      <c r="K39" s="53">
        <f t="shared" si="19"/>
        <v>3384</v>
      </c>
    </row>
    <row r="40" spans="1:11" ht="21" thickTop="1" thickBot="1" x14ac:dyDescent="0.35">
      <c r="A40" s="62">
        <v>43648</v>
      </c>
      <c r="B40" s="124"/>
      <c r="C40" s="123"/>
      <c r="D40" s="60"/>
      <c r="E40" s="53"/>
      <c r="F40" s="54"/>
      <c r="G40" s="53"/>
      <c r="H40" s="54"/>
      <c r="I40" s="53"/>
      <c r="J40" s="54"/>
      <c r="K40" s="53"/>
    </row>
    <row r="41" spans="1:11" ht="24" customHeight="1" thickTop="1" x14ac:dyDescent="0.3">
      <c r="A41" s="55"/>
      <c r="B41" s="55"/>
      <c r="C41" s="55"/>
    </row>
    <row r="42" spans="1:11" x14ac:dyDescent="0.25">
      <c r="A42" s="51"/>
      <c r="B42" s="51"/>
      <c r="C42" s="51"/>
    </row>
    <row r="43" spans="1:11" x14ac:dyDescent="0.25">
      <c r="A43" s="51"/>
      <c r="B43" s="51"/>
      <c r="C43" s="5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29">
    <cfRule type="cellIs" dxfId="2" priority="36" stopIfTrue="1" operator="lessThanOrEqual">
      <formula>0</formula>
    </cfRule>
  </conditionalFormatting>
  <conditionalFormatting sqref="E19:E40">
    <cfRule type="cellIs" dxfId="1" priority="21" stopIfTrue="1" operator="lessThanOrEqual">
      <formula>0</formula>
    </cfRule>
  </conditionalFormatting>
  <conditionalFormatting sqref="E9:E18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view="pageBreakPreview" zoomScale="60" zoomScaleNormal="6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O4" sqref="O4"/>
    </sheetView>
  </sheetViews>
  <sheetFormatPr baseColWidth="10" defaultColWidth="11.42578125" defaultRowHeight="15" x14ac:dyDescent="0.3"/>
  <cols>
    <col min="1" max="1" width="18.7109375" style="38" customWidth="1"/>
    <col min="2" max="3" width="9.5703125" style="39" customWidth="1"/>
    <col min="4" max="4" width="9.85546875" style="39" customWidth="1"/>
    <col min="5" max="5" width="8.85546875" style="39" customWidth="1"/>
    <col min="6" max="6" width="11.42578125" style="39" customWidth="1"/>
    <col min="7" max="7" width="8.85546875" style="39" customWidth="1"/>
    <col min="8" max="8" width="9.85546875" style="39" customWidth="1"/>
    <col min="9" max="9" width="12.140625" style="39" customWidth="1"/>
    <col min="10" max="10" width="16.140625" style="39" customWidth="1"/>
    <col min="11" max="11" width="17.28515625" style="39" customWidth="1"/>
    <col min="12" max="12" width="14.28515625" style="39" customWidth="1"/>
    <col min="13" max="13" width="16.28515625" style="39" customWidth="1"/>
    <col min="14" max="14" width="14.140625" style="39" customWidth="1"/>
    <col min="15" max="15" width="14.42578125" style="39" customWidth="1"/>
    <col min="16" max="16" width="15.85546875" style="39" customWidth="1"/>
    <col min="17" max="17" width="11.85546875" style="39" customWidth="1"/>
    <col min="18" max="18" width="8.42578125" style="39" customWidth="1"/>
    <col min="19" max="19" width="9.85546875" style="39" customWidth="1"/>
    <col min="20" max="20" width="11.28515625" style="39" customWidth="1"/>
    <col min="21" max="21" width="8.42578125" style="39" customWidth="1"/>
    <col min="22" max="22" width="9.85546875" style="39" customWidth="1"/>
    <col min="23" max="23" width="11.28515625" style="39" customWidth="1"/>
    <col min="24" max="24" width="8.42578125" style="39" customWidth="1"/>
    <col min="25" max="25" width="9.85546875" style="39" customWidth="1"/>
    <col min="26" max="26" width="11.28515625" style="39" customWidth="1"/>
    <col min="27" max="27" width="8.42578125" style="39" customWidth="1"/>
    <col min="28" max="28" width="9.85546875" style="39" customWidth="1"/>
    <col min="29" max="29" width="15.28515625" style="40" customWidth="1"/>
    <col min="30" max="30" width="20.140625" style="39" customWidth="1"/>
    <col min="31" max="31" width="24.5703125" style="39" customWidth="1"/>
    <col min="32" max="16384" width="11.42578125" style="39"/>
  </cols>
  <sheetData>
    <row r="1" spans="1:31" ht="62.25" customHeight="1" thickBot="1" x14ac:dyDescent="0.35">
      <c r="F1" s="281" t="s">
        <v>57</v>
      </c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39" t="s">
        <v>58</v>
      </c>
    </row>
    <row r="2" spans="1:31" ht="41.25" customHeight="1" thickBot="1" x14ac:dyDescent="0.4">
      <c r="Q2" s="286">
        <v>803</v>
      </c>
      <c r="R2" s="287"/>
      <c r="S2" s="288"/>
      <c r="T2" s="289">
        <v>519</v>
      </c>
      <c r="U2" s="287"/>
      <c r="V2" s="288"/>
      <c r="W2" s="289">
        <v>800</v>
      </c>
      <c r="X2" s="287"/>
      <c r="Y2" s="288"/>
      <c r="Z2" s="289">
        <v>802</v>
      </c>
      <c r="AA2" s="287"/>
      <c r="AB2" s="290"/>
      <c r="AC2" s="39"/>
    </row>
    <row r="3" spans="1:31" s="138" customFormat="1" ht="50.25" customHeight="1" x14ac:dyDescent="0.3">
      <c r="A3" s="127"/>
      <c r="B3" s="128" t="s">
        <v>59</v>
      </c>
      <c r="C3" s="129" t="s">
        <v>60</v>
      </c>
      <c r="D3" s="128" t="s">
        <v>61</v>
      </c>
      <c r="E3" s="129" t="s">
        <v>62</v>
      </c>
      <c r="F3" s="128" t="s">
        <v>63</v>
      </c>
      <c r="G3" s="129" t="s">
        <v>64</v>
      </c>
      <c r="H3" s="128" t="s">
        <v>65</v>
      </c>
      <c r="I3" s="129" t="s">
        <v>66</v>
      </c>
      <c r="J3" s="130" t="s">
        <v>67</v>
      </c>
      <c r="K3" s="130" t="s">
        <v>68</v>
      </c>
      <c r="L3" s="130" t="s">
        <v>69</v>
      </c>
      <c r="M3" s="130" t="s">
        <v>70</v>
      </c>
      <c r="N3" s="130" t="s">
        <v>71</v>
      </c>
      <c r="O3" s="131" t="s">
        <v>72</v>
      </c>
      <c r="P3" s="131" t="s">
        <v>73</v>
      </c>
      <c r="Q3" s="132" t="s">
        <v>74</v>
      </c>
      <c r="R3" s="132" t="s">
        <v>75</v>
      </c>
      <c r="S3" s="132" t="s">
        <v>76</v>
      </c>
      <c r="T3" s="133" t="s">
        <v>77</v>
      </c>
      <c r="U3" s="134" t="s">
        <v>75</v>
      </c>
      <c r="V3" s="133" t="s">
        <v>76</v>
      </c>
      <c r="W3" s="133" t="s">
        <v>78</v>
      </c>
      <c r="X3" s="133" t="s">
        <v>75</v>
      </c>
      <c r="Y3" s="133" t="s">
        <v>76</v>
      </c>
      <c r="Z3" s="133" t="s">
        <v>79</v>
      </c>
      <c r="AA3" s="133" t="s">
        <v>75</v>
      </c>
      <c r="AB3" s="135" t="s">
        <v>76</v>
      </c>
      <c r="AC3" s="136" t="s">
        <v>80</v>
      </c>
      <c r="AD3" s="137" t="s">
        <v>81</v>
      </c>
      <c r="AE3" s="137" t="s">
        <v>82</v>
      </c>
    </row>
    <row r="4" spans="1:31" ht="32.25" customHeight="1" x14ac:dyDescent="0.3">
      <c r="A4" s="43">
        <v>43617</v>
      </c>
      <c r="B4" s="44">
        <v>70</v>
      </c>
      <c r="C4" s="42">
        <f>IF(AC4&gt;0,((B4-R4)+(S4-B5)),IF(B5=0, ,(B4-B5)))</f>
        <v>0</v>
      </c>
      <c r="D4" s="44">
        <v>71</v>
      </c>
      <c r="E4" s="42">
        <f>IF(AC4&gt;0,((D4-U4)+(V4-D5)),IF(D5=0, ,(D4-D5)))</f>
        <v>2</v>
      </c>
      <c r="F4" s="44">
        <v>75</v>
      </c>
      <c r="G4" s="42">
        <f>IF(AC4&gt;0,((F4-X4)+(Y4-F5)),IF(F5=0, ,(F4-F5)))</f>
        <v>5</v>
      </c>
      <c r="H4" s="44">
        <v>80</v>
      </c>
      <c r="I4" s="42">
        <f>IF(AC4&gt;0,((H4-AA4)+(AB4-H5)),IF(H5=0, ,(H4-H5)))</f>
        <v>1</v>
      </c>
      <c r="J4" s="42">
        <f>B4+D4+F4+H4</f>
        <v>296</v>
      </c>
      <c r="K4" s="42">
        <f>J4/4</f>
        <v>74</v>
      </c>
      <c r="L4" s="42">
        <f>IF(AC4&gt;0,((K4-AD4)+(AE4-K5)),IF(K5=0, ,(K4-K5)))</f>
        <v>2</v>
      </c>
      <c r="M4" s="42">
        <f>6049*4</f>
        <v>24196</v>
      </c>
      <c r="N4" s="42">
        <f>L4*M4/100</f>
        <v>483.92</v>
      </c>
      <c r="O4" s="42">
        <f>N4*0.529</f>
        <v>255.99368000000001</v>
      </c>
      <c r="P4" s="45">
        <f>O4*8</f>
        <v>2047.9494400000001</v>
      </c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>
        <f t="shared" ref="AC4:AC17" si="0">Q4+T4+W4+Z4</f>
        <v>0</v>
      </c>
      <c r="AD4" s="41">
        <f t="shared" ref="AD4:AD24" si="1">(R4+U4+X4+AA4)/4</f>
        <v>0</v>
      </c>
      <c r="AE4" s="41">
        <f t="shared" ref="AE4:AE29" si="2">(S4+V4+Y4+AB4)/4</f>
        <v>0</v>
      </c>
    </row>
    <row r="5" spans="1:31" ht="32.25" customHeight="1" x14ac:dyDescent="0.3">
      <c r="A5" s="43">
        <v>43618</v>
      </c>
      <c r="B5" s="44">
        <v>70</v>
      </c>
      <c r="C5" s="42">
        <f>IF(AC5&gt;0,((B5-R5)+(S5-B6)),IF(B6=0, ,(B5-B6)))</f>
        <v>5</v>
      </c>
      <c r="D5" s="44">
        <v>69</v>
      </c>
      <c r="E5" s="42">
        <f>IF(AC5&gt;0,((D5-U5)+(V5-D6)),IF(D6=0, ,(D5-D6)))</f>
        <v>4</v>
      </c>
      <c r="F5" s="44">
        <v>70</v>
      </c>
      <c r="G5" s="42">
        <f>IF(AC5&gt;0,((F5-X5)+(Y5-F6)),IF(F6=0, ,(F5-F6)))</f>
        <v>0</v>
      </c>
      <c r="H5" s="44">
        <v>79</v>
      </c>
      <c r="I5" s="42">
        <f>IF(AC5&gt;0,((H5-AA5)+(AB5-H6)),IF(H6=0, ,(H5-H6)))</f>
        <v>4</v>
      </c>
      <c r="J5" s="42">
        <f>B5+D5+F5+H5</f>
        <v>288</v>
      </c>
      <c r="K5" s="42">
        <f>J5/4</f>
        <v>72</v>
      </c>
      <c r="L5" s="42">
        <f>IF(AC5&gt;0,((K5-AD5)+(AE5-K6)),IF(K6=0, ,(K5-K6)))</f>
        <v>3.25</v>
      </c>
      <c r="M5" s="42">
        <f>6049*4</f>
        <v>24196</v>
      </c>
      <c r="N5" s="42">
        <f>L5*M5/100</f>
        <v>786.37</v>
      </c>
      <c r="O5" s="42">
        <f t="shared" ref="O5:O33" si="3">N5*0.529</f>
        <v>415.98973000000001</v>
      </c>
      <c r="P5" s="45">
        <f>O5*8</f>
        <v>3327.9178400000001</v>
      </c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>
        <f t="shared" si="0"/>
        <v>0</v>
      </c>
      <c r="AD5" s="41">
        <f t="shared" si="1"/>
        <v>0</v>
      </c>
      <c r="AE5" s="41">
        <f t="shared" si="2"/>
        <v>0</v>
      </c>
    </row>
    <row r="6" spans="1:31" ht="32.25" customHeight="1" x14ac:dyDescent="0.3">
      <c r="A6" s="43">
        <v>43619</v>
      </c>
      <c r="B6" s="44">
        <v>65</v>
      </c>
      <c r="C6" s="42">
        <f>IF(AC6&gt;0,((B6-R6)+(S6-B7)),IF(B7=0, ,(B6-B7)))</f>
        <v>0</v>
      </c>
      <c r="D6" s="44">
        <v>65</v>
      </c>
      <c r="E6" s="42">
        <f>IF(AC6:AC29&gt;0,((D6-U6)+(V6-D7)),IF(D7=0, ,(D6-D7)))</f>
        <v>0</v>
      </c>
      <c r="F6" s="44">
        <v>70</v>
      </c>
      <c r="G6" s="42">
        <f>IF(AC6&gt;0,((F6-X6)+(Y6-F7)),IF(F7=0, ,(F6-F7)))</f>
        <v>5</v>
      </c>
      <c r="H6" s="44">
        <v>75</v>
      </c>
      <c r="I6" s="42">
        <f>IF(AC6&gt;0,((H6-AA6)+(AB6-H7)),IF(H7=0, ,(H6-H7)))</f>
        <v>5</v>
      </c>
      <c r="J6" s="42">
        <f>B6+D6+F6+H6</f>
        <v>275</v>
      </c>
      <c r="K6" s="42">
        <f>J6/4</f>
        <v>68.75</v>
      </c>
      <c r="L6" s="42">
        <f>IF(AC6&gt;0,((K6-AD6)+(AE6-K7)),IF(K7=0, ,(K6-K7)))</f>
        <v>2.5</v>
      </c>
      <c r="M6" s="42">
        <f>6049*4</f>
        <v>24196</v>
      </c>
      <c r="N6" s="42">
        <f>L6*M6/100</f>
        <v>604.9</v>
      </c>
      <c r="O6" s="42">
        <f t="shared" si="3"/>
        <v>319.99209999999999</v>
      </c>
      <c r="P6" s="45">
        <f>O6*8</f>
        <v>2559.9367999999999</v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>
        <f t="shared" si="0"/>
        <v>0</v>
      </c>
      <c r="AD6" s="41">
        <f t="shared" si="1"/>
        <v>0</v>
      </c>
      <c r="AE6" s="41">
        <f t="shared" si="2"/>
        <v>0</v>
      </c>
    </row>
    <row r="7" spans="1:31" ht="32.25" customHeight="1" x14ac:dyDescent="0.3">
      <c r="A7" s="43">
        <v>43620</v>
      </c>
      <c r="B7" s="44">
        <v>65</v>
      </c>
      <c r="C7" s="42">
        <f>IF(AC7&gt;0,((B7-R7)+(S7-B8)),IF(B8=0, ,(B7-B8)))</f>
        <v>5</v>
      </c>
      <c r="D7" s="44">
        <v>65</v>
      </c>
      <c r="E7" s="42">
        <f>IF(AC7:AC30&gt;0,((D7-U7)+(V7-D8)),IF(D8=0, ,(D7-D8)))</f>
        <v>5</v>
      </c>
      <c r="F7" s="44">
        <v>65</v>
      </c>
      <c r="G7" s="42">
        <f>IF(AC7&gt;0,((F7-X7)+(Y7-F8)),IF(F8=0, ,(F7-F8)))</f>
        <v>0</v>
      </c>
      <c r="H7" s="44">
        <v>70</v>
      </c>
      <c r="I7" s="42">
        <f>IF(AC7&gt;0,((H7-AA7)+(AB7-H8)),IF(H8=0, ,(H7-H8)))</f>
        <v>0</v>
      </c>
      <c r="J7" s="42">
        <f>B7+D7+F7+H7</f>
        <v>265</v>
      </c>
      <c r="K7" s="42">
        <f>J7/4</f>
        <v>66.25</v>
      </c>
      <c r="L7" s="42">
        <f>IF(AC7&gt;0,((K7-AD7)+(AE7-K8)),IF(K8=0, ,(K7-K8)))</f>
        <v>2.5</v>
      </c>
      <c r="M7" s="42">
        <f>6049*4</f>
        <v>24196</v>
      </c>
      <c r="N7" s="42">
        <f>L7*M7/100</f>
        <v>604.9</v>
      </c>
      <c r="O7" s="42">
        <f t="shared" si="3"/>
        <v>319.99209999999999</v>
      </c>
      <c r="P7" s="45">
        <f t="shared" ref="P7:P39" si="4">O7*8</f>
        <v>2559.9367999999999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>
        <f t="shared" si="0"/>
        <v>0</v>
      </c>
      <c r="AD7" s="41">
        <f t="shared" si="1"/>
        <v>0</v>
      </c>
      <c r="AE7" s="41">
        <f t="shared" si="2"/>
        <v>0</v>
      </c>
    </row>
    <row r="8" spans="1:31" ht="32.25" customHeight="1" x14ac:dyDescent="0.3">
      <c r="A8" s="43">
        <v>43621</v>
      </c>
      <c r="B8" s="44">
        <v>60</v>
      </c>
      <c r="C8" s="42">
        <f t="shared" ref="C8:C19" si="5">IF(AC8&gt;0,((B8-R8)+(S8-B9)),IF(B9=0, ,(B8-B9)))</f>
        <v>1</v>
      </c>
      <c r="D8" s="44">
        <v>60</v>
      </c>
      <c r="E8" s="42">
        <f t="shared" ref="E8:E20" si="6">IF(AC8&gt;0,((D8-U8)+(V8-D9)),IF(D9=0, ,(D8-D9)))</f>
        <v>0</v>
      </c>
      <c r="F8" s="44">
        <v>65</v>
      </c>
      <c r="G8" s="42">
        <f t="shared" ref="G8:G19" si="7">IF(AC8&gt;0,((F8-X8)+(Y8-F9)),IF(F9=0, ,(F8-F9)))</f>
        <v>2</v>
      </c>
      <c r="H8" s="44">
        <v>70</v>
      </c>
      <c r="I8" s="42">
        <f t="shared" ref="I8:I36" si="8">IF(AC8&gt;0,((H8-AA8)+(AB8-H9)),IF(H9=0, ,(H8-H9)))</f>
        <v>5</v>
      </c>
      <c r="J8" s="42">
        <f t="shared" ref="J8:J42" si="9">B8+D8+F8+H8</f>
        <v>255</v>
      </c>
      <c r="K8" s="42">
        <f t="shared" ref="K8:K42" si="10">J8/4</f>
        <v>63.75</v>
      </c>
      <c r="L8" s="42">
        <f t="shared" ref="L8:L18" si="11">IF(AC8&gt;0,((K8-AD8)+(AE8-K9)),IF(K9=0, ,(K8-K9)))</f>
        <v>2</v>
      </c>
      <c r="M8" s="42">
        <f t="shared" ref="M8:M42" si="12">6049*4</f>
        <v>24196</v>
      </c>
      <c r="N8" s="42">
        <f t="shared" ref="N8:N42" si="13">L8*M8/100</f>
        <v>483.92</v>
      </c>
      <c r="O8" s="42">
        <f t="shared" si="3"/>
        <v>255.99368000000001</v>
      </c>
      <c r="P8" s="45">
        <f t="shared" si="4"/>
        <v>2047.9494400000001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>
        <f t="shared" si="0"/>
        <v>0</v>
      </c>
      <c r="AD8" s="41">
        <f t="shared" si="1"/>
        <v>0</v>
      </c>
      <c r="AE8" s="41">
        <f t="shared" si="2"/>
        <v>0</v>
      </c>
    </row>
    <row r="9" spans="1:31" ht="32.25" customHeight="1" x14ac:dyDescent="0.3">
      <c r="A9" s="43">
        <v>43622</v>
      </c>
      <c r="B9" s="44">
        <v>59</v>
      </c>
      <c r="C9" s="42">
        <f t="shared" si="5"/>
        <v>3</v>
      </c>
      <c r="D9" s="44">
        <v>60</v>
      </c>
      <c r="E9" s="42">
        <f t="shared" si="6"/>
        <v>3</v>
      </c>
      <c r="F9" s="44">
        <v>63</v>
      </c>
      <c r="G9" s="42">
        <f t="shared" si="7"/>
        <v>0</v>
      </c>
      <c r="H9" s="44">
        <v>65</v>
      </c>
      <c r="I9" s="42">
        <f t="shared" si="8"/>
        <v>3</v>
      </c>
      <c r="J9" s="42">
        <f t="shared" si="9"/>
        <v>247</v>
      </c>
      <c r="K9" s="42">
        <f t="shared" si="10"/>
        <v>61.75</v>
      </c>
      <c r="L9" s="42">
        <f t="shared" si="11"/>
        <v>2.25</v>
      </c>
      <c r="M9" s="42">
        <f t="shared" si="12"/>
        <v>24196</v>
      </c>
      <c r="N9" s="42">
        <f t="shared" si="13"/>
        <v>544.41</v>
      </c>
      <c r="O9" s="42">
        <f t="shared" si="3"/>
        <v>287.99288999999999</v>
      </c>
      <c r="P9" s="45">
        <f t="shared" si="4"/>
        <v>2303.9431199999999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>
        <f t="shared" si="0"/>
        <v>0</v>
      </c>
      <c r="AD9" s="41">
        <f t="shared" si="1"/>
        <v>0</v>
      </c>
      <c r="AE9" s="41">
        <f t="shared" si="2"/>
        <v>0</v>
      </c>
    </row>
    <row r="10" spans="1:31" ht="32.25" customHeight="1" x14ac:dyDescent="0.3">
      <c r="A10" s="43">
        <v>43623</v>
      </c>
      <c r="B10" s="44">
        <v>56</v>
      </c>
      <c r="C10" s="42">
        <f t="shared" si="5"/>
        <v>8</v>
      </c>
      <c r="D10" s="44">
        <v>57</v>
      </c>
      <c r="E10" s="42">
        <f t="shared" si="6"/>
        <v>5</v>
      </c>
      <c r="F10" s="44">
        <v>63</v>
      </c>
      <c r="G10" s="42">
        <f t="shared" si="7"/>
        <v>1</v>
      </c>
      <c r="H10" s="44">
        <v>62</v>
      </c>
      <c r="I10" s="42">
        <f t="shared" si="8"/>
        <v>-2</v>
      </c>
      <c r="J10" s="42">
        <f t="shared" si="9"/>
        <v>238</v>
      </c>
      <c r="K10" s="42">
        <f t="shared" si="10"/>
        <v>59.5</v>
      </c>
      <c r="L10" s="42">
        <f t="shared" si="11"/>
        <v>3</v>
      </c>
      <c r="M10" s="42">
        <f t="shared" si="12"/>
        <v>24196</v>
      </c>
      <c r="N10" s="42">
        <f t="shared" si="13"/>
        <v>725.88</v>
      </c>
      <c r="O10" s="42">
        <f t="shared" si="3"/>
        <v>383.99052</v>
      </c>
      <c r="P10" s="45">
        <f t="shared" si="4"/>
        <v>3071.92416</v>
      </c>
      <c r="Q10" s="42">
        <v>2603</v>
      </c>
      <c r="R10" s="42">
        <v>50</v>
      </c>
      <c r="S10" s="42">
        <v>85</v>
      </c>
      <c r="T10" s="42">
        <v>2345</v>
      </c>
      <c r="U10" s="42">
        <v>52</v>
      </c>
      <c r="V10" s="42">
        <v>85</v>
      </c>
      <c r="W10" s="42">
        <v>2125</v>
      </c>
      <c r="X10" s="42">
        <v>62</v>
      </c>
      <c r="Y10" s="42">
        <v>85</v>
      </c>
      <c r="Z10" s="42">
        <v>1761</v>
      </c>
      <c r="AA10" s="42">
        <v>64</v>
      </c>
      <c r="AB10" s="42">
        <v>85</v>
      </c>
      <c r="AC10" s="42">
        <f t="shared" si="0"/>
        <v>8834</v>
      </c>
      <c r="AD10" s="41">
        <f t="shared" si="1"/>
        <v>57</v>
      </c>
      <c r="AE10" s="41">
        <f t="shared" si="2"/>
        <v>85</v>
      </c>
    </row>
    <row r="11" spans="1:31" ht="32.25" customHeight="1" x14ac:dyDescent="0.3">
      <c r="A11" s="43">
        <v>43624</v>
      </c>
      <c r="B11" s="44">
        <v>83</v>
      </c>
      <c r="C11" s="42">
        <f t="shared" si="5"/>
        <v>3</v>
      </c>
      <c r="D11" s="44">
        <v>85</v>
      </c>
      <c r="E11" s="42">
        <f t="shared" si="6"/>
        <v>2</v>
      </c>
      <c r="F11" s="44">
        <v>85</v>
      </c>
      <c r="G11" s="42">
        <f t="shared" si="7"/>
        <v>3</v>
      </c>
      <c r="H11" s="44">
        <v>85</v>
      </c>
      <c r="I11" s="42">
        <f t="shared" si="8"/>
        <v>1</v>
      </c>
      <c r="J11" s="42">
        <f t="shared" si="9"/>
        <v>338</v>
      </c>
      <c r="K11" s="42">
        <f t="shared" si="10"/>
        <v>84.5</v>
      </c>
      <c r="L11" s="42">
        <f t="shared" si="11"/>
        <v>2.25</v>
      </c>
      <c r="M11" s="42">
        <f t="shared" si="12"/>
        <v>24196</v>
      </c>
      <c r="N11" s="42">
        <f t="shared" si="13"/>
        <v>544.41</v>
      </c>
      <c r="O11" s="42">
        <f t="shared" si="3"/>
        <v>287.99288999999999</v>
      </c>
      <c r="P11" s="45">
        <f t="shared" si="4"/>
        <v>2303.9431199999999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>
        <f t="shared" si="0"/>
        <v>0</v>
      </c>
      <c r="AD11" s="41">
        <f t="shared" si="1"/>
        <v>0</v>
      </c>
      <c r="AE11" s="41">
        <f t="shared" si="2"/>
        <v>0</v>
      </c>
    </row>
    <row r="12" spans="1:31" ht="32.25" customHeight="1" x14ac:dyDescent="0.3">
      <c r="A12" s="43">
        <v>43625</v>
      </c>
      <c r="B12" s="44">
        <v>80</v>
      </c>
      <c r="C12" s="42">
        <f t="shared" si="5"/>
        <v>2</v>
      </c>
      <c r="D12" s="44">
        <v>83</v>
      </c>
      <c r="E12" s="42">
        <f t="shared" si="6"/>
        <v>7</v>
      </c>
      <c r="F12" s="44">
        <v>82</v>
      </c>
      <c r="G12" s="42">
        <f t="shared" si="7"/>
        <v>2</v>
      </c>
      <c r="H12" s="44">
        <v>84</v>
      </c>
      <c r="I12" s="42">
        <f t="shared" si="8"/>
        <v>3</v>
      </c>
      <c r="J12" s="42">
        <f t="shared" si="9"/>
        <v>329</v>
      </c>
      <c r="K12" s="42">
        <f t="shared" si="10"/>
        <v>82.25</v>
      </c>
      <c r="L12" s="42">
        <f t="shared" si="11"/>
        <v>3.5</v>
      </c>
      <c r="M12" s="42">
        <f t="shared" si="12"/>
        <v>24196</v>
      </c>
      <c r="N12" s="42">
        <f t="shared" si="13"/>
        <v>846.86</v>
      </c>
      <c r="O12" s="42">
        <f t="shared" si="3"/>
        <v>447.98894000000001</v>
      </c>
      <c r="P12" s="45">
        <f t="shared" si="4"/>
        <v>3583.9115200000001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>
        <f>Q12+T12+W12+Z12</f>
        <v>0</v>
      </c>
      <c r="AD12" s="41">
        <f t="shared" si="1"/>
        <v>0</v>
      </c>
      <c r="AE12" s="41">
        <f t="shared" si="2"/>
        <v>0</v>
      </c>
    </row>
    <row r="13" spans="1:31" ht="32.25" customHeight="1" x14ac:dyDescent="0.3">
      <c r="A13" s="43">
        <v>43626</v>
      </c>
      <c r="B13" s="44">
        <v>78</v>
      </c>
      <c r="C13" s="42">
        <f t="shared" si="5"/>
        <v>2</v>
      </c>
      <c r="D13" s="44">
        <v>76</v>
      </c>
      <c r="E13" s="42">
        <f t="shared" si="6"/>
        <v>1</v>
      </c>
      <c r="F13" s="44">
        <v>80</v>
      </c>
      <c r="G13" s="42">
        <f t="shared" si="7"/>
        <v>3</v>
      </c>
      <c r="H13" s="44">
        <v>81</v>
      </c>
      <c r="I13" s="42">
        <f t="shared" si="8"/>
        <v>5</v>
      </c>
      <c r="J13" s="42">
        <f t="shared" si="9"/>
        <v>315</v>
      </c>
      <c r="K13" s="42">
        <f t="shared" si="10"/>
        <v>78.75</v>
      </c>
      <c r="L13" s="42">
        <f t="shared" si="11"/>
        <v>2.75</v>
      </c>
      <c r="M13" s="42">
        <f t="shared" si="12"/>
        <v>24196</v>
      </c>
      <c r="N13" s="42">
        <f t="shared" si="13"/>
        <v>665.39</v>
      </c>
      <c r="O13" s="42">
        <f t="shared" si="3"/>
        <v>351.99131</v>
      </c>
      <c r="P13" s="45">
        <f t="shared" si="4"/>
        <v>2815.93048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>
        <f t="shared" si="0"/>
        <v>0</v>
      </c>
      <c r="AD13" s="41">
        <f t="shared" si="1"/>
        <v>0</v>
      </c>
      <c r="AE13" s="41">
        <f t="shared" si="2"/>
        <v>0</v>
      </c>
    </row>
    <row r="14" spans="1:31" ht="32.25" customHeight="1" x14ac:dyDescent="0.3">
      <c r="A14" s="43">
        <v>43627</v>
      </c>
      <c r="B14" s="44">
        <v>76</v>
      </c>
      <c r="C14" s="42">
        <f t="shared" si="5"/>
        <v>2</v>
      </c>
      <c r="D14" s="44">
        <v>75</v>
      </c>
      <c r="E14" s="42">
        <f t="shared" si="6"/>
        <v>1</v>
      </c>
      <c r="F14" s="44">
        <v>77</v>
      </c>
      <c r="G14" s="42">
        <f t="shared" si="7"/>
        <v>2</v>
      </c>
      <c r="H14" s="44">
        <v>76</v>
      </c>
      <c r="I14" s="42">
        <f t="shared" si="8"/>
        <v>5</v>
      </c>
      <c r="J14" s="42">
        <f t="shared" si="9"/>
        <v>304</v>
      </c>
      <c r="K14" s="42">
        <f t="shared" si="10"/>
        <v>76</v>
      </c>
      <c r="L14" s="42">
        <f t="shared" si="11"/>
        <v>2.5</v>
      </c>
      <c r="M14" s="42">
        <f t="shared" si="12"/>
        <v>24196</v>
      </c>
      <c r="N14" s="42">
        <f t="shared" si="13"/>
        <v>604.9</v>
      </c>
      <c r="O14" s="42">
        <f t="shared" si="3"/>
        <v>319.99209999999999</v>
      </c>
      <c r="P14" s="45">
        <f t="shared" si="4"/>
        <v>2559.9367999999999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>
        <f t="shared" si="0"/>
        <v>0</v>
      </c>
      <c r="AD14" s="41">
        <f t="shared" si="1"/>
        <v>0</v>
      </c>
      <c r="AE14" s="41">
        <f t="shared" si="2"/>
        <v>0</v>
      </c>
    </row>
    <row r="15" spans="1:31" ht="32.25" customHeight="1" x14ac:dyDescent="0.3">
      <c r="A15" s="43">
        <v>43628</v>
      </c>
      <c r="B15" s="44">
        <v>74</v>
      </c>
      <c r="C15" s="42">
        <f t="shared" si="5"/>
        <v>4</v>
      </c>
      <c r="D15" s="44">
        <v>74</v>
      </c>
      <c r="E15" s="42">
        <f t="shared" si="6"/>
        <v>4</v>
      </c>
      <c r="F15" s="44">
        <v>75</v>
      </c>
      <c r="G15" s="42">
        <f t="shared" si="7"/>
        <v>5</v>
      </c>
      <c r="H15" s="44">
        <v>71</v>
      </c>
      <c r="I15" s="42">
        <f t="shared" si="8"/>
        <v>2</v>
      </c>
      <c r="J15" s="42">
        <f t="shared" si="9"/>
        <v>294</v>
      </c>
      <c r="K15" s="42">
        <f t="shared" si="10"/>
        <v>73.5</v>
      </c>
      <c r="L15" s="42">
        <f t="shared" si="11"/>
        <v>3.75</v>
      </c>
      <c r="M15" s="42">
        <f t="shared" si="12"/>
        <v>24196</v>
      </c>
      <c r="N15" s="42">
        <f t="shared" si="13"/>
        <v>907.35</v>
      </c>
      <c r="O15" s="42">
        <f t="shared" si="3"/>
        <v>479.98815000000002</v>
      </c>
      <c r="P15" s="45">
        <f t="shared" si="4"/>
        <v>3839.9052000000001</v>
      </c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>
        <f t="shared" si="0"/>
        <v>0</v>
      </c>
      <c r="AD15" s="41">
        <f t="shared" si="1"/>
        <v>0</v>
      </c>
      <c r="AE15" s="41">
        <f t="shared" si="2"/>
        <v>0</v>
      </c>
    </row>
    <row r="16" spans="1:31" ht="32.25" customHeight="1" x14ac:dyDescent="0.3">
      <c r="A16" s="43">
        <v>43629</v>
      </c>
      <c r="B16" s="44">
        <v>70</v>
      </c>
      <c r="C16" s="42">
        <f t="shared" si="5"/>
        <v>4</v>
      </c>
      <c r="D16" s="44">
        <v>70</v>
      </c>
      <c r="E16" s="42">
        <f t="shared" si="6"/>
        <v>3</v>
      </c>
      <c r="F16" s="44">
        <v>70</v>
      </c>
      <c r="G16" s="42">
        <f t="shared" si="7"/>
        <v>4</v>
      </c>
      <c r="H16" s="44">
        <v>69</v>
      </c>
      <c r="I16" s="42">
        <f t="shared" si="8"/>
        <v>5</v>
      </c>
      <c r="J16" s="42">
        <f t="shared" si="9"/>
        <v>279</v>
      </c>
      <c r="K16" s="42">
        <f t="shared" si="10"/>
        <v>69.75</v>
      </c>
      <c r="L16" s="42">
        <f t="shared" si="11"/>
        <v>4</v>
      </c>
      <c r="M16" s="42">
        <f t="shared" si="12"/>
        <v>24196</v>
      </c>
      <c r="N16" s="42">
        <f t="shared" si="13"/>
        <v>967.84</v>
      </c>
      <c r="O16" s="42">
        <f t="shared" si="3"/>
        <v>511.98736000000002</v>
      </c>
      <c r="P16" s="45">
        <f t="shared" si="4"/>
        <v>4095.8988800000002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>
        <f t="shared" si="0"/>
        <v>0</v>
      </c>
      <c r="AD16" s="41">
        <f t="shared" si="1"/>
        <v>0</v>
      </c>
      <c r="AE16" s="41">
        <f t="shared" si="2"/>
        <v>0</v>
      </c>
    </row>
    <row r="17" spans="1:31" ht="32.25" customHeight="1" x14ac:dyDescent="0.3">
      <c r="A17" s="43">
        <v>43630</v>
      </c>
      <c r="B17" s="44">
        <v>66</v>
      </c>
      <c r="C17" s="42">
        <f t="shared" si="5"/>
        <v>4</v>
      </c>
      <c r="D17" s="44">
        <v>67</v>
      </c>
      <c r="E17" s="42">
        <f t="shared" si="6"/>
        <v>3</v>
      </c>
      <c r="F17" s="44">
        <v>66</v>
      </c>
      <c r="G17" s="42">
        <f t="shared" si="7"/>
        <v>1</v>
      </c>
      <c r="H17" s="44">
        <v>64</v>
      </c>
      <c r="I17" s="42">
        <f t="shared" si="8"/>
        <v>4</v>
      </c>
      <c r="J17" s="42">
        <f t="shared" si="9"/>
        <v>263</v>
      </c>
      <c r="K17" s="42">
        <f t="shared" si="10"/>
        <v>65.75</v>
      </c>
      <c r="L17" s="42">
        <f t="shared" si="11"/>
        <v>3</v>
      </c>
      <c r="M17" s="42">
        <f t="shared" si="12"/>
        <v>24196</v>
      </c>
      <c r="N17" s="42">
        <f t="shared" si="13"/>
        <v>725.88</v>
      </c>
      <c r="O17" s="42">
        <f t="shared" si="3"/>
        <v>383.99052</v>
      </c>
      <c r="P17" s="45">
        <f t="shared" si="4"/>
        <v>3071.92416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>
        <f t="shared" si="0"/>
        <v>0</v>
      </c>
      <c r="AD17" s="41">
        <f t="shared" si="1"/>
        <v>0</v>
      </c>
      <c r="AE17" s="41">
        <f t="shared" si="2"/>
        <v>0</v>
      </c>
    </row>
    <row r="18" spans="1:31" ht="32.25" customHeight="1" x14ac:dyDescent="0.3">
      <c r="A18" s="43">
        <v>43631</v>
      </c>
      <c r="B18" s="44">
        <v>62</v>
      </c>
      <c r="C18" s="42">
        <f t="shared" si="5"/>
        <v>7</v>
      </c>
      <c r="D18" s="44">
        <v>64</v>
      </c>
      <c r="E18" s="42">
        <f t="shared" si="6"/>
        <v>5</v>
      </c>
      <c r="F18" s="44">
        <v>65</v>
      </c>
      <c r="G18" s="42">
        <f t="shared" si="7"/>
        <v>5</v>
      </c>
      <c r="H18" s="44">
        <v>60</v>
      </c>
      <c r="I18" s="42">
        <f t="shared" si="8"/>
        <v>0</v>
      </c>
      <c r="J18" s="42">
        <f t="shared" si="9"/>
        <v>251</v>
      </c>
      <c r="K18" s="42">
        <f t="shared" si="10"/>
        <v>62.75</v>
      </c>
      <c r="L18" s="42">
        <f t="shared" si="11"/>
        <v>4.25</v>
      </c>
      <c r="M18" s="42">
        <f t="shared" si="12"/>
        <v>24196</v>
      </c>
      <c r="N18" s="42">
        <f t="shared" si="13"/>
        <v>1028.33</v>
      </c>
      <c r="O18" s="42">
        <f t="shared" si="3"/>
        <v>543.98657000000003</v>
      </c>
      <c r="P18" s="45">
        <f t="shared" si="4"/>
        <v>4351.8925600000002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>
        <f t="shared" ref="AC18:AC25" si="14">Q18+T18+W18+Z18</f>
        <v>0</v>
      </c>
      <c r="AD18" s="41">
        <f t="shared" si="1"/>
        <v>0</v>
      </c>
      <c r="AE18" s="41">
        <f t="shared" si="2"/>
        <v>0</v>
      </c>
    </row>
    <row r="19" spans="1:31" ht="32.25" customHeight="1" x14ac:dyDescent="0.3">
      <c r="A19" s="43">
        <v>43632</v>
      </c>
      <c r="B19" s="44">
        <v>55</v>
      </c>
      <c r="C19" s="42">
        <f t="shared" si="5"/>
        <v>3</v>
      </c>
      <c r="D19" s="44">
        <v>59</v>
      </c>
      <c r="E19" s="42">
        <f t="shared" si="6"/>
        <v>4</v>
      </c>
      <c r="F19" s="44">
        <v>60</v>
      </c>
      <c r="G19" s="42">
        <f t="shared" si="7"/>
        <v>3</v>
      </c>
      <c r="H19" s="44">
        <v>60</v>
      </c>
      <c r="I19" s="42">
        <f t="shared" si="8"/>
        <v>3</v>
      </c>
      <c r="J19" s="42">
        <f t="shared" si="9"/>
        <v>234</v>
      </c>
      <c r="K19" s="42">
        <f t="shared" si="10"/>
        <v>58.5</v>
      </c>
      <c r="L19" s="42">
        <f>IF(AC19&gt;0,((K19-AD19)+(AE19-K20)),IF(K20=0, ,(K19-K20)))</f>
        <v>3.25</v>
      </c>
      <c r="M19" s="42">
        <f t="shared" si="12"/>
        <v>24196</v>
      </c>
      <c r="N19" s="42">
        <f t="shared" si="13"/>
        <v>786.37</v>
      </c>
      <c r="O19" s="42">
        <f t="shared" si="3"/>
        <v>415.98973000000001</v>
      </c>
      <c r="P19" s="45">
        <f t="shared" si="4"/>
        <v>3327.9178400000001</v>
      </c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>
        <f t="shared" si="14"/>
        <v>0</v>
      </c>
      <c r="AD19" s="41">
        <f t="shared" si="1"/>
        <v>0</v>
      </c>
      <c r="AE19" s="41">
        <f t="shared" si="2"/>
        <v>0</v>
      </c>
    </row>
    <row r="20" spans="1:31" ht="32.25" customHeight="1" x14ac:dyDescent="0.3">
      <c r="A20" s="43">
        <v>43633</v>
      </c>
      <c r="B20" s="44">
        <v>52</v>
      </c>
      <c r="C20" s="42">
        <f t="shared" ref="C20:C33" si="15">IF(AC20&gt;0,((B20-R20)+(S20-B21)),IF(B21=0, ,(B20-B21)))</f>
        <v>3</v>
      </c>
      <c r="D20" s="44">
        <v>55</v>
      </c>
      <c r="E20" s="42">
        <f t="shared" si="6"/>
        <v>4</v>
      </c>
      <c r="F20" s="44">
        <v>57</v>
      </c>
      <c r="G20" s="42">
        <f>IF(AC20&gt;0,((F20-X20)+(Y20-F21)),IF(F21=0, ,(F20-F21)))</f>
        <v>2</v>
      </c>
      <c r="H20" s="44">
        <v>57</v>
      </c>
      <c r="I20" s="42">
        <f t="shared" si="8"/>
        <v>2</v>
      </c>
      <c r="J20" s="42">
        <f t="shared" si="9"/>
        <v>221</v>
      </c>
      <c r="K20" s="42">
        <f t="shared" si="10"/>
        <v>55.25</v>
      </c>
      <c r="L20" s="42">
        <f t="shared" ref="L20:L42" si="16">IF(AC20&gt;0,((K20-AD20)+(AE20-K21)),IF(K21=0, ,(K20-K21)))</f>
        <v>2.75</v>
      </c>
      <c r="M20" s="42">
        <f t="shared" si="12"/>
        <v>24196</v>
      </c>
      <c r="N20" s="42">
        <f t="shared" si="13"/>
        <v>665.39</v>
      </c>
      <c r="O20" s="42">
        <f t="shared" si="3"/>
        <v>351.99131</v>
      </c>
      <c r="P20" s="45">
        <f t="shared" si="4"/>
        <v>2815.93048</v>
      </c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>
        <f t="shared" si="14"/>
        <v>0</v>
      </c>
      <c r="AD20" s="41">
        <f t="shared" si="1"/>
        <v>0</v>
      </c>
      <c r="AE20" s="41">
        <f t="shared" si="2"/>
        <v>0</v>
      </c>
    </row>
    <row r="21" spans="1:31" ht="32.25" customHeight="1" x14ac:dyDescent="0.3">
      <c r="A21" s="43">
        <v>43634</v>
      </c>
      <c r="B21" s="44">
        <v>49</v>
      </c>
      <c r="C21" s="42">
        <f t="shared" si="15"/>
        <v>4</v>
      </c>
      <c r="D21" s="44">
        <v>51</v>
      </c>
      <c r="E21" s="42">
        <f>IF(AC21&gt;0,((D21-U21)+(V21-D22)),IF(D22=0, ,(D21-D22)))</f>
        <v>1</v>
      </c>
      <c r="F21" s="44">
        <v>55</v>
      </c>
      <c r="G21" s="42">
        <f>IF(AC21&gt;0,((F21-X21)+(Y21-F22)),IF(F22=0, ,(F21-F22)))</f>
        <v>5</v>
      </c>
      <c r="H21" s="44">
        <v>55</v>
      </c>
      <c r="I21" s="42">
        <f t="shared" si="8"/>
        <v>5</v>
      </c>
      <c r="J21" s="42">
        <f t="shared" si="9"/>
        <v>210</v>
      </c>
      <c r="K21" s="42">
        <f t="shared" si="10"/>
        <v>52.5</v>
      </c>
      <c r="L21" s="42">
        <f>IF(AC21&gt;0,((K21-AD21)+(AE21-K22)),IF(K22=0, ,(K21-K22)))</f>
        <v>3.75</v>
      </c>
      <c r="M21" s="42">
        <f t="shared" si="12"/>
        <v>24196</v>
      </c>
      <c r="N21" s="42">
        <f t="shared" si="13"/>
        <v>907.35</v>
      </c>
      <c r="O21" s="42">
        <f t="shared" si="3"/>
        <v>479.98815000000002</v>
      </c>
      <c r="P21" s="45">
        <f t="shared" si="4"/>
        <v>3839.9052000000001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>
        <f t="shared" si="14"/>
        <v>0</v>
      </c>
      <c r="AD21" s="41">
        <f t="shared" si="1"/>
        <v>0</v>
      </c>
      <c r="AE21" s="41">
        <f t="shared" si="2"/>
        <v>0</v>
      </c>
    </row>
    <row r="22" spans="1:31" ht="32.25" customHeight="1" x14ac:dyDescent="0.3">
      <c r="A22" s="43">
        <v>43635</v>
      </c>
      <c r="B22" s="44">
        <v>45</v>
      </c>
      <c r="C22" s="42">
        <f t="shared" si="15"/>
        <v>1</v>
      </c>
      <c r="D22" s="44">
        <v>50</v>
      </c>
      <c r="E22" s="42">
        <f>IF(AC22&gt;0,((D22-U22)+(V22-D23)),IF(D23=0, ,(D22-D23)))</f>
        <v>5</v>
      </c>
      <c r="F22" s="44">
        <v>50</v>
      </c>
      <c r="G22" s="42">
        <f>IF(AC22&gt;0,((F22-X22)+(Y22-F23)),IF(F23=0, ,(F22-F23)))</f>
        <v>0</v>
      </c>
      <c r="H22" s="44">
        <v>50</v>
      </c>
      <c r="I22" s="42">
        <f t="shared" si="8"/>
        <v>0</v>
      </c>
      <c r="J22" s="42">
        <f t="shared" si="9"/>
        <v>195</v>
      </c>
      <c r="K22" s="42">
        <f t="shared" si="10"/>
        <v>48.75</v>
      </c>
      <c r="L22" s="42">
        <f>IF(AC22&gt;0,((K22-AD22)+(AE22-K23)),IF(K23=0, ,(K22-K23)))</f>
        <v>1.5</v>
      </c>
      <c r="M22" s="42">
        <f t="shared" si="12"/>
        <v>24196</v>
      </c>
      <c r="N22" s="42">
        <f>L22*M22/100</f>
        <v>362.94</v>
      </c>
      <c r="O22" s="42">
        <f t="shared" si="3"/>
        <v>191.99526</v>
      </c>
      <c r="P22" s="45">
        <f t="shared" si="4"/>
        <v>1535.96208</v>
      </c>
      <c r="Q22" s="42">
        <v>2957</v>
      </c>
      <c r="R22" s="42">
        <v>45</v>
      </c>
      <c r="S22" s="42">
        <v>85</v>
      </c>
      <c r="T22" s="42">
        <v>3064</v>
      </c>
      <c r="U22" s="42">
        <v>45</v>
      </c>
      <c r="V22" s="42">
        <v>85</v>
      </c>
      <c r="W22" s="42">
        <v>2647</v>
      </c>
      <c r="X22" s="42">
        <v>50</v>
      </c>
      <c r="Y22" s="42">
        <v>85</v>
      </c>
      <c r="Z22" s="42">
        <v>2648</v>
      </c>
      <c r="AA22" s="42">
        <v>50</v>
      </c>
      <c r="AB22" s="42">
        <v>85</v>
      </c>
      <c r="AC22" s="42">
        <f t="shared" si="14"/>
        <v>11316</v>
      </c>
      <c r="AD22" s="41">
        <f t="shared" si="1"/>
        <v>47.5</v>
      </c>
      <c r="AE22" s="41">
        <f t="shared" si="2"/>
        <v>85</v>
      </c>
    </row>
    <row r="23" spans="1:31" ht="32.25" customHeight="1" x14ac:dyDescent="0.3">
      <c r="A23" s="43">
        <v>43636</v>
      </c>
      <c r="B23" s="44">
        <v>84</v>
      </c>
      <c r="C23" s="42">
        <f t="shared" si="15"/>
        <v>3</v>
      </c>
      <c r="D23" s="44">
        <v>85</v>
      </c>
      <c r="E23" s="42">
        <f>IF(AC23&gt;0,((D23-U23)+(V23-D24)),IF(D24=0, ,(D23-D24)))</f>
        <v>2</v>
      </c>
      <c r="F23" s="44">
        <v>85</v>
      </c>
      <c r="G23" s="42">
        <f>IF(AC23&gt;0,((F23-X23)+(Y23-F24)),IF(F24=0, ,(F23-F24)))</f>
        <v>3</v>
      </c>
      <c r="H23" s="44">
        <v>85</v>
      </c>
      <c r="I23" s="42">
        <f t="shared" si="8"/>
        <v>2</v>
      </c>
      <c r="J23" s="42">
        <f t="shared" si="9"/>
        <v>339</v>
      </c>
      <c r="K23" s="42">
        <f t="shared" si="10"/>
        <v>84.75</v>
      </c>
      <c r="L23" s="42">
        <f t="shared" si="16"/>
        <v>2.5</v>
      </c>
      <c r="M23" s="42">
        <f t="shared" si="12"/>
        <v>24196</v>
      </c>
      <c r="N23" s="42">
        <f t="shared" si="13"/>
        <v>604.9</v>
      </c>
      <c r="O23" s="42">
        <f t="shared" si="3"/>
        <v>319.99209999999999</v>
      </c>
      <c r="P23" s="45">
        <f t="shared" si="4"/>
        <v>2559.9367999999999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>
        <f t="shared" si="14"/>
        <v>0</v>
      </c>
      <c r="AD23" s="41">
        <f t="shared" si="1"/>
        <v>0</v>
      </c>
      <c r="AE23" s="41">
        <f t="shared" si="2"/>
        <v>0</v>
      </c>
    </row>
    <row r="24" spans="1:31" ht="32.25" customHeight="1" x14ac:dyDescent="0.3">
      <c r="A24" s="43">
        <v>43637</v>
      </c>
      <c r="B24" s="44">
        <v>81</v>
      </c>
      <c r="C24" s="42">
        <f t="shared" si="15"/>
        <v>5</v>
      </c>
      <c r="D24" s="44">
        <v>83</v>
      </c>
      <c r="E24" s="42">
        <f t="shared" ref="E24:E34" si="17">IF(AC24&gt;0,((D24-U24)+(V24-D25)),IF(D25=0, ,(D24-D25)))</f>
        <v>3</v>
      </c>
      <c r="F24" s="44">
        <v>82</v>
      </c>
      <c r="G24" s="42">
        <f t="shared" ref="G24:G35" si="18">IF(AC24&gt;0,((F24-X24)+(Y24-F25)),IF(F25=0, ,(F24-F25)))</f>
        <v>4</v>
      </c>
      <c r="H24" s="44">
        <v>83</v>
      </c>
      <c r="I24" s="42">
        <f t="shared" si="8"/>
        <v>5</v>
      </c>
      <c r="J24" s="42">
        <f t="shared" si="9"/>
        <v>329</v>
      </c>
      <c r="K24" s="42">
        <f t="shared" si="10"/>
        <v>82.25</v>
      </c>
      <c r="L24" s="42">
        <f t="shared" si="16"/>
        <v>4.25</v>
      </c>
      <c r="M24" s="42">
        <f t="shared" si="12"/>
        <v>24196</v>
      </c>
      <c r="N24" s="42">
        <f t="shared" si="13"/>
        <v>1028.33</v>
      </c>
      <c r="O24" s="42">
        <f t="shared" si="3"/>
        <v>543.98657000000003</v>
      </c>
      <c r="P24" s="45">
        <f t="shared" si="4"/>
        <v>4351.8925600000002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>
        <f t="shared" si="14"/>
        <v>0</v>
      </c>
      <c r="AD24" s="41">
        <f t="shared" si="1"/>
        <v>0</v>
      </c>
      <c r="AE24" s="41">
        <f t="shared" si="2"/>
        <v>0</v>
      </c>
    </row>
    <row r="25" spans="1:31" ht="32.25" customHeight="1" x14ac:dyDescent="0.3">
      <c r="A25" s="43">
        <v>43638</v>
      </c>
      <c r="B25" s="44">
        <v>76</v>
      </c>
      <c r="C25" s="42">
        <f t="shared" si="15"/>
        <v>2</v>
      </c>
      <c r="D25" s="44">
        <v>80</v>
      </c>
      <c r="E25" s="42">
        <f t="shared" si="17"/>
        <v>4</v>
      </c>
      <c r="F25" s="44">
        <v>78</v>
      </c>
      <c r="G25" s="42">
        <f t="shared" si="18"/>
        <v>3</v>
      </c>
      <c r="H25" s="44">
        <v>78</v>
      </c>
      <c r="I25" s="42">
        <f t="shared" si="8"/>
        <v>3</v>
      </c>
      <c r="J25" s="42">
        <f t="shared" si="9"/>
        <v>312</v>
      </c>
      <c r="K25" s="42">
        <f t="shared" si="10"/>
        <v>78</v>
      </c>
      <c r="L25" s="42">
        <f t="shared" si="16"/>
        <v>3</v>
      </c>
      <c r="M25" s="42">
        <f t="shared" si="12"/>
        <v>24196</v>
      </c>
      <c r="N25" s="42">
        <f t="shared" si="13"/>
        <v>725.88</v>
      </c>
      <c r="O25" s="42">
        <f t="shared" si="3"/>
        <v>383.99052</v>
      </c>
      <c r="P25" s="45">
        <f t="shared" si="4"/>
        <v>3071.92416</v>
      </c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>
        <f t="shared" si="14"/>
        <v>0</v>
      </c>
      <c r="AD25" s="41">
        <f t="shared" ref="AD25:AD42" si="19">(R25+U25+X25+AA25)/4</f>
        <v>0</v>
      </c>
      <c r="AE25" s="41">
        <f t="shared" si="2"/>
        <v>0</v>
      </c>
    </row>
    <row r="26" spans="1:31" ht="32.25" customHeight="1" x14ac:dyDescent="0.3">
      <c r="A26" s="43">
        <v>43639</v>
      </c>
      <c r="B26" s="44">
        <v>74</v>
      </c>
      <c r="C26" s="42">
        <f t="shared" si="15"/>
        <v>4</v>
      </c>
      <c r="D26" s="44">
        <v>76</v>
      </c>
      <c r="E26" s="42">
        <f t="shared" si="17"/>
        <v>3</v>
      </c>
      <c r="F26" s="44">
        <v>75</v>
      </c>
      <c r="G26" s="42">
        <f t="shared" si="18"/>
        <v>3</v>
      </c>
      <c r="H26" s="44">
        <v>75</v>
      </c>
      <c r="I26" s="42">
        <f t="shared" si="8"/>
        <v>2</v>
      </c>
      <c r="J26" s="42">
        <f t="shared" si="9"/>
        <v>300</v>
      </c>
      <c r="K26" s="42">
        <f t="shared" si="10"/>
        <v>75</v>
      </c>
      <c r="L26" s="42">
        <f t="shared" si="16"/>
        <v>3</v>
      </c>
      <c r="M26" s="42">
        <f t="shared" si="12"/>
        <v>24196</v>
      </c>
      <c r="N26" s="42">
        <f t="shared" si="13"/>
        <v>725.88</v>
      </c>
      <c r="O26" s="42">
        <f t="shared" si="3"/>
        <v>383.99052</v>
      </c>
      <c r="P26" s="45">
        <f t="shared" si="4"/>
        <v>3071.92416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>
        <f t="shared" ref="AC26:AC43" si="20">Q26+T26+W26+Z26</f>
        <v>0</v>
      </c>
      <c r="AD26" s="41">
        <f t="shared" si="19"/>
        <v>0</v>
      </c>
      <c r="AE26" s="41">
        <f t="shared" si="2"/>
        <v>0</v>
      </c>
    </row>
    <row r="27" spans="1:31" ht="32.25" customHeight="1" x14ac:dyDescent="0.3">
      <c r="A27" s="43">
        <v>43640</v>
      </c>
      <c r="B27" s="44">
        <v>70</v>
      </c>
      <c r="C27" s="42">
        <f t="shared" si="15"/>
        <v>0</v>
      </c>
      <c r="D27" s="44">
        <v>73</v>
      </c>
      <c r="E27" s="42">
        <f t="shared" si="17"/>
        <v>4</v>
      </c>
      <c r="F27" s="44">
        <v>72</v>
      </c>
      <c r="G27" s="42">
        <f t="shared" si="18"/>
        <v>2</v>
      </c>
      <c r="H27" s="44">
        <v>73</v>
      </c>
      <c r="I27" s="42">
        <f t="shared" si="8"/>
        <v>3</v>
      </c>
      <c r="J27" s="42">
        <f t="shared" si="9"/>
        <v>288</v>
      </c>
      <c r="K27" s="42">
        <f t="shared" si="10"/>
        <v>72</v>
      </c>
      <c r="L27" s="42">
        <f t="shared" si="16"/>
        <v>2.25</v>
      </c>
      <c r="M27" s="42">
        <f t="shared" si="12"/>
        <v>24196</v>
      </c>
      <c r="N27" s="42">
        <f t="shared" si="13"/>
        <v>544.41</v>
      </c>
      <c r="O27" s="42">
        <f t="shared" si="3"/>
        <v>287.99288999999999</v>
      </c>
      <c r="P27" s="45">
        <f t="shared" si="4"/>
        <v>2303.9431199999999</v>
      </c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>
        <f t="shared" si="20"/>
        <v>0</v>
      </c>
      <c r="AD27" s="41">
        <f t="shared" si="19"/>
        <v>0</v>
      </c>
      <c r="AE27" s="41">
        <f t="shared" si="2"/>
        <v>0</v>
      </c>
    </row>
    <row r="28" spans="1:31" ht="32.25" customHeight="1" x14ac:dyDescent="0.3">
      <c r="A28" s="43">
        <v>43641</v>
      </c>
      <c r="B28" s="44">
        <v>70</v>
      </c>
      <c r="C28" s="42">
        <f t="shared" si="15"/>
        <v>8</v>
      </c>
      <c r="D28" s="44">
        <v>69</v>
      </c>
      <c r="E28" s="42">
        <f t="shared" si="17"/>
        <v>4</v>
      </c>
      <c r="F28" s="44">
        <v>70</v>
      </c>
      <c r="G28" s="42">
        <f t="shared" si="18"/>
        <v>6</v>
      </c>
      <c r="H28" s="44">
        <v>70</v>
      </c>
      <c r="I28" s="42">
        <f t="shared" si="8"/>
        <v>4</v>
      </c>
      <c r="J28" s="42">
        <f t="shared" si="9"/>
        <v>279</v>
      </c>
      <c r="K28" s="42">
        <f t="shared" si="10"/>
        <v>69.75</v>
      </c>
      <c r="L28" s="42">
        <f t="shared" si="16"/>
        <v>5.5</v>
      </c>
      <c r="M28" s="42">
        <f t="shared" si="12"/>
        <v>24196</v>
      </c>
      <c r="N28" s="42">
        <f t="shared" si="13"/>
        <v>1330.78</v>
      </c>
      <c r="O28" s="42">
        <f t="shared" si="3"/>
        <v>703.98262</v>
      </c>
      <c r="P28" s="45">
        <f t="shared" si="4"/>
        <v>5631.86096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>
        <f t="shared" si="20"/>
        <v>0</v>
      </c>
      <c r="AD28" s="41">
        <f t="shared" si="19"/>
        <v>0</v>
      </c>
      <c r="AE28" s="41">
        <f t="shared" si="2"/>
        <v>0</v>
      </c>
    </row>
    <row r="29" spans="1:31" ht="32.25" customHeight="1" x14ac:dyDescent="0.3">
      <c r="A29" s="43">
        <v>43642</v>
      </c>
      <c r="B29" s="44">
        <v>62</v>
      </c>
      <c r="C29" s="42">
        <f t="shared" si="15"/>
        <v>2</v>
      </c>
      <c r="D29" s="44">
        <v>65</v>
      </c>
      <c r="E29" s="42">
        <f t="shared" si="17"/>
        <v>3</v>
      </c>
      <c r="F29" s="44">
        <v>64</v>
      </c>
      <c r="G29" s="42">
        <f t="shared" si="18"/>
        <v>1</v>
      </c>
      <c r="H29" s="44">
        <v>66</v>
      </c>
      <c r="I29" s="42">
        <f t="shared" si="8"/>
        <v>2</v>
      </c>
      <c r="J29" s="42">
        <f t="shared" si="9"/>
        <v>257</v>
      </c>
      <c r="K29" s="42">
        <f t="shared" si="10"/>
        <v>64.25</v>
      </c>
      <c r="L29" s="42">
        <f t="shared" si="16"/>
        <v>2</v>
      </c>
      <c r="M29" s="42">
        <f t="shared" si="12"/>
        <v>24196</v>
      </c>
      <c r="N29" s="42">
        <f t="shared" si="13"/>
        <v>483.92</v>
      </c>
      <c r="O29" s="42">
        <f t="shared" si="3"/>
        <v>255.99368000000001</v>
      </c>
      <c r="P29" s="45">
        <f t="shared" si="4"/>
        <v>2047.9494400000001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>
        <f t="shared" si="20"/>
        <v>0</v>
      </c>
      <c r="AD29" s="41">
        <f t="shared" si="19"/>
        <v>0</v>
      </c>
      <c r="AE29" s="41">
        <f t="shared" si="2"/>
        <v>0</v>
      </c>
    </row>
    <row r="30" spans="1:31" ht="32.25" customHeight="1" x14ac:dyDescent="0.3">
      <c r="A30" s="43">
        <v>43643</v>
      </c>
      <c r="B30" s="44">
        <v>60</v>
      </c>
      <c r="C30" s="42">
        <f t="shared" si="15"/>
        <v>4</v>
      </c>
      <c r="D30" s="44">
        <v>62</v>
      </c>
      <c r="E30" s="42">
        <f t="shared" si="17"/>
        <v>4</v>
      </c>
      <c r="F30" s="44">
        <v>63</v>
      </c>
      <c r="G30" s="42">
        <f t="shared" si="18"/>
        <v>3</v>
      </c>
      <c r="H30" s="44">
        <v>64</v>
      </c>
      <c r="I30" s="42">
        <f t="shared" si="8"/>
        <v>4</v>
      </c>
      <c r="J30" s="42">
        <f t="shared" si="9"/>
        <v>249</v>
      </c>
      <c r="K30" s="42">
        <f t="shared" si="10"/>
        <v>62.25</v>
      </c>
      <c r="L30" s="42">
        <f t="shared" si="16"/>
        <v>3.75</v>
      </c>
      <c r="M30" s="42">
        <f t="shared" si="12"/>
        <v>24196</v>
      </c>
      <c r="N30" s="42">
        <f t="shared" si="13"/>
        <v>907.35</v>
      </c>
      <c r="O30" s="42">
        <f t="shared" si="3"/>
        <v>479.98815000000002</v>
      </c>
      <c r="P30" s="45">
        <f t="shared" si="4"/>
        <v>3839.9052000000001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>
        <f t="shared" si="20"/>
        <v>0</v>
      </c>
      <c r="AD30" s="41">
        <f t="shared" si="19"/>
        <v>0</v>
      </c>
      <c r="AE30" s="41">
        <f t="shared" ref="AE30:AE42" si="21">(S30+V30+Y30+AB30)/4</f>
        <v>0</v>
      </c>
    </row>
    <row r="31" spans="1:31" ht="32.25" customHeight="1" x14ac:dyDescent="0.3">
      <c r="A31" s="43">
        <v>43644</v>
      </c>
      <c r="B31" s="44">
        <v>56</v>
      </c>
      <c r="C31" s="42">
        <f t="shared" si="15"/>
        <v>4</v>
      </c>
      <c r="D31" s="44">
        <v>58</v>
      </c>
      <c r="E31" s="42">
        <f t="shared" si="17"/>
        <v>3</v>
      </c>
      <c r="F31" s="44">
        <v>60</v>
      </c>
      <c r="G31" s="42"/>
      <c r="H31" s="44">
        <v>60</v>
      </c>
      <c r="I31" s="42">
        <f t="shared" si="8"/>
        <v>4</v>
      </c>
      <c r="J31" s="42">
        <f t="shared" si="9"/>
        <v>234</v>
      </c>
      <c r="K31" s="42">
        <f t="shared" si="10"/>
        <v>58.5</v>
      </c>
      <c r="L31" s="42">
        <f t="shared" si="16"/>
        <v>3.75</v>
      </c>
      <c r="M31" s="42">
        <f t="shared" si="12"/>
        <v>24196</v>
      </c>
      <c r="N31" s="42">
        <f t="shared" si="13"/>
        <v>907.35</v>
      </c>
      <c r="O31" s="42">
        <f t="shared" si="3"/>
        <v>479.98815000000002</v>
      </c>
      <c r="P31" s="45">
        <f t="shared" si="4"/>
        <v>3839.9052000000001</v>
      </c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>
        <f t="shared" si="20"/>
        <v>0</v>
      </c>
      <c r="AD31" s="41">
        <f t="shared" si="19"/>
        <v>0</v>
      </c>
      <c r="AE31" s="41">
        <f t="shared" si="21"/>
        <v>0</v>
      </c>
    </row>
    <row r="32" spans="1:31" ht="32.25" customHeight="1" x14ac:dyDescent="0.3">
      <c r="A32" s="43">
        <v>43645</v>
      </c>
      <c r="B32" s="44">
        <v>52</v>
      </c>
      <c r="C32" s="42">
        <f t="shared" si="15"/>
        <v>2</v>
      </c>
      <c r="D32" s="44">
        <v>55</v>
      </c>
      <c r="E32" s="42">
        <f t="shared" si="17"/>
        <v>4</v>
      </c>
      <c r="F32" s="44">
        <v>56</v>
      </c>
      <c r="G32" s="42">
        <f t="shared" si="18"/>
        <v>3</v>
      </c>
      <c r="H32" s="44">
        <v>56</v>
      </c>
      <c r="I32" s="42">
        <f t="shared" si="8"/>
        <v>2</v>
      </c>
      <c r="J32" s="42">
        <f t="shared" si="9"/>
        <v>219</v>
      </c>
      <c r="K32" s="42">
        <f t="shared" si="10"/>
        <v>54.75</v>
      </c>
      <c r="L32" s="42">
        <f t="shared" si="16"/>
        <v>2.75</v>
      </c>
      <c r="M32" s="42">
        <f t="shared" si="12"/>
        <v>24196</v>
      </c>
      <c r="N32" s="42">
        <f t="shared" si="13"/>
        <v>665.39</v>
      </c>
      <c r="O32" s="42">
        <f t="shared" si="3"/>
        <v>351.99131</v>
      </c>
      <c r="P32" s="45">
        <f t="shared" si="4"/>
        <v>2815.93048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>
        <f>Q32+T32+W32+Z32</f>
        <v>0</v>
      </c>
      <c r="AD32" s="41">
        <f t="shared" si="19"/>
        <v>0</v>
      </c>
      <c r="AE32" s="41">
        <f t="shared" si="21"/>
        <v>0</v>
      </c>
    </row>
    <row r="33" spans="1:31" ht="32.25" customHeight="1" x14ac:dyDescent="0.3">
      <c r="A33" s="43">
        <v>43646</v>
      </c>
      <c r="B33" s="44">
        <v>50</v>
      </c>
      <c r="C33" s="42">
        <f t="shared" si="15"/>
        <v>5</v>
      </c>
      <c r="D33" s="44">
        <v>51</v>
      </c>
      <c r="E33" s="42">
        <f t="shared" si="17"/>
        <v>2</v>
      </c>
      <c r="F33" s="44">
        <v>53</v>
      </c>
      <c r="G33" s="42">
        <f t="shared" si="18"/>
        <v>4</v>
      </c>
      <c r="H33" s="44">
        <v>54</v>
      </c>
      <c r="I33" s="42">
        <f t="shared" si="8"/>
        <v>4</v>
      </c>
      <c r="J33" s="42">
        <f t="shared" si="9"/>
        <v>208</v>
      </c>
      <c r="K33" s="42">
        <f t="shared" si="10"/>
        <v>52</v>
      </c>
      <c r="L33" s="42">
        <f t="shared" si="16"/>
        <v>3.75</v>
      </c>
      <c r="M33" s="42">
        <f t="shared" si="12"/>
        <v>24196</v>
      </c>
      <c r="N33" s="42">
        <f t="shared" si="13"/>
        <v>907.35</v>
      </c>
      <c r="O33" s="42">
        <f t="shared" si="3"/>
        <v>479.98815000000002</v>
      </c>
      <c r="P33" s="45">
        <f t="shared" si="4"/>
        <v>3839.9052000000001</v>
      </c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>
        <f>Q33+T33+W33+Z33</f>
        <v>0</v>
      </c>
      <c r="AD33" s="41">
        <f t="shared" si="19"/>
        <v>0</v>
      </c>
      <c r="AE33" s="41">
        <f t="shared" si="21"/>
        <v>0</v>
      </c>
    </row>
    <row r="34" spans="1:31" ht="32.25" customHeight="1" x14ac:dyDescent="0.3">
      <c r="A34" s="43">
        <v>43647</v>
      </c>
      <c r="B34" s="44">
        <v>45</v>
      </c>
      <c r="C34" s="42">
        <f>IF(AC34&gt;0,((B34-R34)+(S34-B35)),IF(B35=0, ,(B34-B35)))</f>
        <v>0</v>
      </c>
      <c r="D34" s="44">
        <v>49</v>
      </c>
      <c r="E34" s="42">
        <f t="shared" si="17"/>
        <v>0</v>
      </c>
      <c r="F34" s="44">
        <v>49</v>
      </c>
      <c r="G34" s="42">
        <f t="shared" si="18"/>
        <v>0</v>
      </c>
      <c r="H34" s="44">
        <v>50</v>
      </c>
      <c r="I34" s="42">
        <f t="shared" si="8"/>
        <v>0</v>
      </c>
      <c r="J34" s="42">
        <f t="shared" si="9"/>
        <v>193</v>
      </c>
      <c r="K34" s="42">
        <f>J34/4</f>
        <v>48.25</v>
      </c>
      <c r="L34" s="42">
        <f t="shared" si="16"/>
        <v>0</v>
      </c>
      <c r="M34" s="42">
        <f t="shared" si="12"/>
        <v>24196</v>
      </c>
      <c r="N34" s="42">
        <f t="shared" si="13"/>
        <v>0</v>
      </c>
      <c r="O34" s="42">
        <f t="shared" ref="O8:O37" si="22">N34*0.529</f>
        <v>0</v>
      </c>
      <c r="P34" s="45">
        <f t="shared" si="4"/>
        <v>0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>
        <f t="shared" si="20"/>
        <v>0</v>
      </c>
      <c r="AD34" s="41">
        <f t="shared" si="19"/>
        <v>0</v>
      </c>
      <c r="AE34" s="41">
        <f t="shared" si="21"/>
        <v>0</v>
      </c>
    </row>
    <row r="35" spans="1:31" ht="32.25" customHeight="1" x14ac:dyDescent="0.3">
      <c r="A35" s="43">
        <v>43648</v>
      </c>
      <c r="B35" s="44"/>
      <c r="C35" s="42">
        <f>IF(AC35&gt;0,((B35-R35)+(S35-B36)),IF(B36=0, ,(B35-B36)))</f>
        <v>0</v>
      </c>
      <c r="D35" s="44"/>
      <c r="E35" s="42">
        <f>IF(AC35&gt;0,((D35-U35)+(V35-D36)),IF(D36=0, ,(D35-D36)))</f>
        <v>0</v>
      </c>
      <c r="F35" s="44"/>
      <c r="G35" s="42">
        <f t="shared" si="18"/>
        <v>0</v>
      </c>
      <c r="H35" s="44"/>
      <c r="I35" s="42">
        <f t="shared" si="8"/>
        <v>0</v>
      </c>
      <c r="J35" s="42">
        <f t="shared" si="9"/>
        <v>0</v>
      </c>
      <c r="K35" s="42">
        <f t="shared" si="10"/>
        <v>0</v>
      </c>
      <c r="L35" s="42">
        <f t="shared" si="16"/>
        <v>0</v>
      </c>
      <c r="M35" s="42">
        <f t="shared" si="12"/>
        <v>24196</v>
      </c>
      <c r="N35" s="42">
        <f t="shared" si="13"/>
        <v>0</v>
      </c>
      <c r="O35" s="42">
        <f t="shared" si="22"/>
        <v>0</v>
      </c>
      <c r="P35" s="45">
        <f t="shared" si="4"/>
        <v>0</v>
      </c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>
        <f t="shared" si="20"/>
        <v>0</v>
      </c>
      <c r="AD35" s="41">
        <f t="shared" si="19"/>
        <v>0</v>
      </c>
      <c r="AE35" s="41">
        <f t="shared" si="21"/>
        <v>0</v>
      </c>
    </row>
    <row r="36" spans="1:31" ht="32.25" customHeight="1" x14ac:dyDescent="0.3">
      <c r="A36" s="43"/>
      <c r="B36" s="44"/>
      <c r="C36" s="42">
        <f>IF(AC36&gt;0,((B36-R36)+(S36-B37)),IF(B37=0, ,(B36-B37)))</f>
        <v>0</v>
      </c>
      <c r="D36" s="44"/>
      <c r="E36" s="42">
        <f>IF(AC36&gt;0,((D36-U36)+(V36-D37)),IF(D37=0, ,(D36-D37)))</f>
        <v>0</v>
      </c>
      <c r="F36" s="44"/>
      <c r="G36" s="42">
        <f t="shared" ref="G36:G42" si="23">IF(AC36&gt;0,((F36-X36)+(Y36-F37)),IF(F37=0, ,(F36-F37)))</f>
        <v>0</v>
      </c>
      <c r="H36" s="44"/>
      <c r="I36" s="42">
        <f t="shared" si="8"/>
        <v>0</v>
      </c>
      <c r="J36" s="42">
        <f t="shared" si="9"/>
        <v>0</v>
      </c>
      <c r="K36" s="42">
        <f t="shared" si="10"/>
        <v>0</v>
      </c>
      <c r="L36" s="42">
        <f t="shared" si="16"/>
        <v>0</v>
      </c>
      <c r="M36" s="42">
        <f t="shared" si="12"/>
        <v>24196</v>
      </c>
      <c r="N36" s="42">
        <f t="shared" si="13"/>
        <v>0</v>
      </c>
      <c r="O36" s="42">
        <f t="shared" si="22"/>
        <v>0</v>
      </c>
      <c r="P36" s="45">
        <f t="shared" si="4"/>
        <v>0</v>
      </c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>
        <f t="shared" si="20"/>
        <v>0</v>
      </c>
      <c r="AD36" s="41">
        <f t="shared" si="19"/>
        <v>0</v>
      </c>
      <c r="AE36" s="41">
        <f t="shared" si="21"/>
        <v>0</v>
      </c>
    </row>
    <row r="37" spans="1:31" ht="32.25" customHeight="1" x14ac:dyDescent="0.3">
      <c r="A37" s="43"/>
      <c r="B37" s="44"/>
      <c r="C37" s="42">
        <f t="shared" ref="C37:C42" si="24">IF(AC37&gt;0,((B37-R37)+(S37-B38)),IF(B38=0, ,(B37-B38)))</f>
        <v>0</v>
      </c>
      <c r="D37" s="44"/>
      <c r="E37" s="42">
        <f>IF(AC37:AC60&gt;0,((D37-U37)+(V37-D38)),IF(D38=0, ,(D37-D38)))</f>
        <v>0</v>
      </c>
      <c r="F37" s="44"/>
      <c r="G37" s="42">
        <f t="shared" si="23"/>
        <v>0</v>
      </c>
      <c r="H37" s="44"/>
      <c r="I37" s="42">
        <f t="shared" ref="I37:I42" si="25">IF(AC37&gt;0,((H37-AA37)+(AB37-H38)),IF(H38=0, ,(H37-H38)))</f>
        <v>0</v>
      </c>
      <c r="J37" s="42">
        <f t="shared" si="9"/>
        <v>0</v>
      </c>
      <c r="K37" s="42">
        <f t="shared" si="10"/>
        <v>0</v>
      </c>
      <c r="L37" s="42">
        <f t="shared" si="16"/>
        <v>0</v>
      </c>
      <c r="M37" s="42">
        <f t="shared" si="12"/>
        <v>24196</v>
      </c>
      <c r="N37" s="42">
        <f t="shared" si="13"/>
        <v>0</v>
      </c>
      <c r="O37" s="42">
        <f t="shared" si="22"/>
        <v>0</v>
      </c>
      <c r="P37" s="45">
        <f t="shared" si="4"/>
        <v>0</v>
      </c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>
        <f t="shared" si="20"/>
        <v>0</v>
      </c>
      <c r="AD37" s="41">
        <f t="shared" si="19"/>
        <v>0</v>
      </c>
      <c r="AE37" s="41">
        <f t="shared" si="21"/>
        <v>0</v>
      </c>
    </row>
    <row r="38" spans="1:31" ht="32.25" customHeight="1" x14ac:dyDescent="0.3">
      <c r="A38" s="43"/>
      <c r="B38" s="44"/>
      <c r="C38" s="42">
        <f t="shared" si="24"/>
        <v>0</v>
      </c>
      <c r="D38" s="44"/>
      <c r="E38" s="42">
        <f>IF(AC38:AC61&gt;0,((D38-U38)+(V38-D39)),IF(D39=0, ,(D38-D39)))</f>
        <v>0</v>
      </c>
      <c r="F38" s="44"/>
      <c r="G38" s="42">
        <f t="shared" si="23"/>
        <v>0</v>
      </c>
      <c r="H38" s="44"/>
      <c r="I38" s="42">
        <f t="shared" si="25"/>
        <v>0</v>
      </c>
      <c r="J38" s="42">
        <f t="shared" si="9"/>
        <v>0</v>
      </c>
      <c r="K38" s="42">
        <f t="shared" si="10"/>
        <v>0</v>
      </c>
      <c r="L38" s="42">
        <f t="shared" si="16"/>
        <v>0</v>
      </c>
      <c r="M38" s="42">
        <f t="shared" si="12"/>
        <v>24196</v>
      </c>
      <c r="N38" s="42">
        <f t="shared" si="13"/>
        <v>0</v>
      </c>
      <c r="O38" s="42">
        <f>N38*0.53</f>
        <v>0</v>
      </c>
      <c r="P38" s="45">
        <f t="shared" si="4"/>
        <v>0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>
        <f t="shared" si="20"/>
        <v>0</v>
      </c>
      <c r="AD38" s="41">
        <f t="shared" si="19"/>
        <v>0</v>
      </c>
      <c r="AE38" s="41">
        <f t="shared" si="21"/>
        <v>0</v>
      </c>
    </row>
    <row r="39" spans="1:31" ht="32.25" customHeight="1" x14ac:dyDescent="0.3">
      <c r="A39" s="43"/>
      <c r="B39" s="44"/>
      <c r="C39" s="42">
        <f t="shared" si="24"/>
        <v>0</v>
      </c>
      <c r="D39" s="44"/>
      <c r="E39" s="42">
        <f>IF(AC39&gt;0,((D39-U39)+(V39-D40)),IF(D40=0, ,(D39-D40)))</f>
        <v>0</v>
      </c>
      <c r="F39" s="44"/>
      <c r="G39" s="42">
        <f t="shared" si="23"/>
        <v>0</v>
      </c>
      <c r="H39" s="44"/>
      <c r="I39" s="42">
        <f t="shared" si="25"/>
        <v>0</v>
      </c>
      <c r="J39" s="42">
        <f t="shared" si="9"/>
        <v>0</v>
      </c>
      <c r="K39" s="42">
        <f t="shared" si="10"/>
        <v>0</v>
      </c>
      <c r="L39" s="42">
        <f t="shared" si="16"/>
        <v>0</v>
      </c>
      <c r="M39" s="42">
        <f t="shared" si="12"/>
        <v>24196</v>
      </c>
      <c r="N39" s="42">
        <f t="shared" si="13"/>
        <v>0</v>
      </c>
      <c r="O39" s="42">
        <f>N39*0.53</f>
        <v>0</v>
      </c>
      <c r="P39" s="45">
        <f t="shared" si="4"/>
        <v>0</v>
      </c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>
        <f t="shared" si="20"/>
        <v>0</v>
      </c>
      <c r="AD39" s="41">
        <f t="shared" si="19"/>
        <v>0</v>
      </c>
      <c r="AE39" s="41">
        <f t="shared" si="21"/>
        <v>0</v>
      </c>
    </row>
    <row r="40" spans="1:31" ht="32.25" customHeight="1" x14ac:dyDescent="0.3">
      <c r="A40" s="43"/>
      <c r="B40" s="44"/>
      <c r="C40" s="42">
        <f t="shared" si="24"/>
        <v>0</v>
      </c>
      <c r="D40" s="44"/>
      <c r="E40" s="42">
        <f>IF(AC40&gt;0,((D40-U40)+(V40-D41)),IF(D41=0, ,(D40-D41)))</f>
        <v>0</v>
      </c>
      <c r="F40" s="44"/>
      <c r="G40" s="42">
        <f t="shared" si="23"/>
        <v>0</v>
      </c>
      <c r="H40" s="44"/>
      <c r="I40" s="42">
        <f t="shared" si="25"/>
        <v>0</v>
      </c>
      <c r="J40" s="42">
        <f t="shared" si="9"/>
        <v>0</v>
      </c>
      <c r="K40" s="42">
        <f t="shared" si="10"/>
        <v>0</v>
      </c>
      <c r="L40" s="42">
        <f t="shared" si="16"/>
        <v>0</v>
      </c>
      <c r="M40" s="42">
        <f t="shared" si="12"/>
        <v>24196</v>
      </c>
      <c r="N40" s="42">
        <f t="shared" si="13"/>
        <v>0</v>
      </c>
      <c r="O40" s="42">
        <f>N40*0.53</f>
        <v>0</v>
      </c>
      <c r="P40" s="45">
        <f>O40*8.75</f>
        <v>0</v>
      </c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>
        <f t="shared" si="20"/>
        <v>0</v>
      </c>
      <c r="AD40" s="41">
        <f t="shared" si="19"/>
        <v>0</v>
      </c>
      <c r="AE40" s="41">
        <f t="shared" si="21"/>
        <v>0</v>
      </c>
    </row>
    <row r="41" spans="1:31" ht="32.25" customHeight="1" x14ac:dyDescent="0.3">
      <c r="A41" s="43"/>
      <c r="B41" s="44"/>
      <c r="C41" s="42">
        <f t="shared" si="24"/>
        <v>0</v>
      </c>
      <c r="D41" s="44"/>
      <c r="E41" s="42">
        <f>IF(AC41&gt;0,((D41-U41)+(V41-D42)),IF(D42=0, ,(D41-D42)))</f>
        <v>0</v>
      </c>
      <c r="F41" s="44"/>
      <c r="G41" s="42">
        <f t="shared" si="23"/>
        <v>0</v>
      </c>
      <c r="H41" s="44"/>
      <c r="I41" s="42">
        <f t="shared" si="25"/>
        <v>0</v>
      </c>
      <c r="J41" s="42">
        <f t="shared" si="9"/>
        <v>0</v>
      </c>
      <c r="K41" s="42">
        <f t="shared" si="10"/>
        <v>0</v>
      </c>
      <c r="L41" s="42">
        <f t="shared" si="16"/>
        <v>0</v>
      </c>
      <c r="M41" s="42">
        <f t="shared" si="12"/>
        <v>24196</v>
      </c>
      <c r="N41" s="42">
        <f t="shared" si="13"/>
        <v>0</v>
      </c>
      <c r="O41" s="42">
        <f>N41*0.53</f>
        <v>0</v>
      </c>
      <c r="P41" s="45">
        <f>O41*8.75</f>
        <v>0</v>
      </c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>
        <f t="shared" si="20"/>
        <v>0</v>
      </c>
      <c r="AD41" s="41">
        <f t="shared" si="19"/>
        <v>0</v>
      </c>
      <c r="AE41" s="41">
        <f t="shared" si="21"/>
        <v>0</v>
      </c>
    </row>
    <row r="42" spans="1:31" ht="32.25" customHeight="1" x14ac:dyDescent="0.3">
      <c r="A42" s="43"/>
      <c r="B42" s="44"/>
      <c r="C42" s="42">
        <f t="shared" si="24"/>
        <v>0</v>
      </c>
      <c r="D42" s="44"/>
      <c r="E42" s="42">
        <f>IF(AC42&gt;0,((D42-U42)+(V42-D43)),IF(D43=0, ,(D42-D43)))</f>
        <v>0</v>
      </c>
      <c r="F42" s="44"/>
      <c r="G42" s="42">
        <f t="shared" si="23"/>
        <v>0</v>
      </c>
      <c r="H42" s="44"/>
      <c r="I42" s="42">
        <f t="shared" si="25"/>
        <v>0</v>
      </c>
      <c r="J42" s="42">
        <f t="shared" si="9"/>
        <v>0</v>
      </c>
      <c r="K42" s="42">
        <f t="shared" si="10"/>
        <v>0</v>
      </c>
      <c r="L42" s="42">
        <f t="shared" si="16"/>
        <v>0</v>
      </c>
      <c r="M42" s="42">
        <f t="shared" si="12"/>
        <v>24196</v>
      </c>
      <c r="N42" s="42">
        <f t="shared" si="13"/>
        <v>0</v>
      </c>
      <c r="O42" s="42">
        <f>N42*0.53</f>
        <v>0</v>
      </c>
      <c r="P42" s="45">
        <f>O42*8.75</f>
        <v>0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>
        <f t="shared" si="20"/>
        <v>0</v>
      </c>
      <c r="AD42" s="41">
        <f t="shared" si="19"/>
        <v>0</v>
      </c>
      <c r="AE42" s="41">
        <f t="shared" si="21"/>
        <v>0</v>
      </c>
    </row>
    <row r="43" spans="1:31" ht="32.25" customHeight="1" thickBot="1" x14ac:dyDescent="0.3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2">
        <f>SUM(N4:N42)</f>
        <v>22078.849999999991</v>
      </c>
      <c r="O43" s="42">
        <f>N43*0.529</f>
        <v>11679.711649999996</v>
      </c>
      <c r="P43" s="45">
        <f>O43*8</f>
        <v>93437.693199999965</v>
      </c>
      <c r="Q43" s="282">
        <f>SUM(Q4:Q42)</f>
        <v>5560</v>
      </c>
      <c r="R43" s="283"/>
      <c r="S43" s="284"/>
      <c r="T43" s="285">
        <f>SUM(T4:T42)</f>
        <v>5409</v>
      </c>
      <c r="U43" s="283"/>
      <c r="V43" s="284"/>
      <c r="W43" s="285">
        <f>SUM(W4:W42)</f>
        <v>4772</v>
      </c>
      <c r="X43" s="283"/>
      <c r="Y43" s="284"/>
      <c r="Z43" s="285">
        <f>SUM(Z4:Z42)</f>
        <v>4409</v>
      </c>
      <c r="AA43" s="283"/>
      <c r="AB43" s="284"/>
      <c r="AC43" s="42">
        <f t="shared" si="20"/>
        <v>20150</v>
      </c>
    </row>
    <row r="44" spans="1:31" ht="35.25" customHeight="1" thickBot="1" x14ac:dyDescent="0.35">
      <c r="B44" s="272"/>
      <c r="C44" s="273"/>
      <c r="D44" s="273"/>
      <c r="E44" s="273"/>
      <c r="F44" s="273"/>
      <c r="G44" s="273"/>
      <c r="H44" s="273"/>
      <c r="I44" s="274"/>
      <c r="J44" s="40"/>
      <c r="K44" s="40"/>
      <c r="L44" s="40"/>
      <c r="M44" s="40"/>
      <c r="N44" s="40"/>
      <c r="O44" s="40"/>
      <c r="P44" s="40"/>
      <c r="Q44" s="275">
        <f>Q43+T43+W43+Z43</f>
        <v>20150</v>
      </c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7"/>
      <c r="AC44" s="42">
        <f>Q44+T44+W44+Z44</f>
        <v>20150</v>
      </c>
    </row>
    <row r="45" spans="1:31" ht="7.5" customHeight="1" thickBot="1" x14ac:dyDescent="0.35">
      <c r="D45" s="39" t="s">
        <v>18</v>
      </c>
    </row>
    <row r="46" spans="1:31" ht="51" customHeight="1" thickBot="1" x14ac:dyDescent="0.35">
      <c r="H46" s="40"/>
      <c r="I46" s="40"/>
      <c r="J46" s="40"/>
      <c r="K46" s="46" t="s">
        <v>83</v>
      </c>
      <c r="L46" s="47" t="s">
        <v>84</v>
      </c>
      <c r="M46" s="47" t="s">
        <v>85</v>
      </c>
    </row>
    <row r="47" spans="1:31" ht="48" customHeight="1" thickBot="1" x14ac:dyDescent="0.35">
      <c r="H47" s="278" t="s">
        <v>86</v>
      </c>
      <c r="I47" s="279"/>
      <c r="J47" s="280"/>
      <c r="K47" s="48">
        <f>N43</f>
        <v>22078.849999999991</v>
      </c>
      <c r="L47" s="49">
        <f>O43</f>
        <v>11679.711649999996</v>
      </c>
      <c r="M47" s="49">
        <f>P43</f>
        <v>93437.693199999965</v>
      </c>
    </row>
    <row r="48" spans="1:31" ht="54.75" customHeight="1" thickBot="1" x14ac:dyDescent="0.35">
      <c r="H48" s="278" t="s">
        <v>87</v>
      </c>
      <c r="I48" s="279"/>
      <c r="J48" s="280"/>
      <c r="K48" s="46">
        <f>AC44</f>
        <v>20150</v>
      </c>
      <c r="L48" s="47">
        <f>K48*0.529</f>
        <v>10659.35</v>
      </c>
      <c r="M48" s="47">
        <f>L48*8</f>
        <v>85274.8</v>
      </c>
    </row>
  </sheetData>
  <mergeCells count="13">
    <mergeCell ref="B44:I44"/>
    <mergeCell ref="Q44:AB44"/>
    <mergeCell ref="H47:J47"/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1"/>
      <c r="B1" s="263"/>
      <c r="C1" s="349" t="s">
        <v>88</v>
      </c>
      <c r="D1" s="350"/>
      <c r="E1" s="350"/>
      <c r="F1" s="350"/>
      <c r="G1" s="350"/>
      <c r="H1" s="355" t="s">
        <v>89</v>
      </c>
      <c r="I1" s="356"/>
      <c r="J1" s="357"/>
    </row>
    <row r="2" spans="1:10" ht="16.5" customHeight="1" thickBot="1" x14ac:dyDescent="0.25">
      <c r="A2" s="264"/>
      <c r="B2" s="266"/>
      <c r="C2" s="351"/>
      <c r="D2" s="352"/>
      <c r="E2" s="352"/>
      <c r="F2" s="352"/>
      <c r="G2" s="352"/>
      <c r="H2" s="358"/>
      <c r="I2" s="359"/>
      <c r="J2" s="360"/>
    </row>
    <row r="3" spans="1:10" ht="15" customHeight="1" x14ac:dyDescent="0.2">
      <c r="A3" s="264"/>
      <c r="B3" s="266"/>
      <c r="C3" s="351"/>
      <c r="D3" s="352"/>
      <c r="E3" s="352"/>
      <c r="F3" s="352"/>
      <c r="G3" s="352"/>
      <c r="H3" s="361" t="s">
        <v>90</v>
      </c>
      <c r="I3" s="362"/>
      <c r="J3" s="363"/>
    </row>
    <row r="4" spans="1:10" ht="15.75" customHeight="1" thickBot="1" x14ac:dyDescent="0.25">
      <c r="A4" s="267"/>
      <c r="B4" s="269"/>
      <c r="C4" s="353"/>
      <c r="D4" s="354"/>
      <c r="E4" s="354"/>
      <c r="F4" s="354"/>
      <c r="G4" s="354"/>
      <c r="H4" s="364"/>
      <c r="I4" s="365"/>
      <c r="J4" s="366"/>
    </row>
    <row r="6" spans="1:10" ht="33" customHeight="1" thickBot="1" x14ac:dyDescent="0.25"/>
    <row r="7" spans="1:10" ht="36.75" thickTop="1" x14ac:dyDescent="0.2">
      <c r="A7" s="367" t="s">
        <v>91</v>
      </c>
      <c r="B7" s="367"/>
      <c r="C7" s="368" t="s">
        <v>92</v>
      </c>
      <c r="D7" s="369"/>
      <c r="E7" s="64" t="s">
        <v>93</v>
      </c>
      <c r="F7" s="64" t="s">
        <v>94</v>
      </c>
      <c r="G7" s="64" t="s">
        <v>95</v>
      </c>
      <c r="H7" s="64" t="s">
        <v>96</v>
      </c>
      <c r="I7" s="370" t="s">
        <v>97</v>
      </c>
      <c r="J7" s="371"/>
    </row>
    <row r="8" spans="1:10" x14ac:dyDescent="0.2">
      <c r="A8" s="337">
        <v>95670781</v>
      </c>
      <c r="B8" s="337"/>
      <c r="C8" s="342">
        <v>43612</v>
      </c>
      <c r="D8" s="343"/>
      <c r="E8" s="121">
        <v>43644</v>
      </c>
      <c r="F8" s="65" t="s">
        <v>98</v>
      </c>
      <c r="G8" s="66"/>
      <c r="H8" s="66"/>
      <c r="I8" s="344"/>
      <c r="J8" s="345"/>
    </row>
    <row r="10" spans="1:10" ht="23.25" customHeight="1" thickBot="1" x14ac:dyDescent="0.25"/>
    <row r="11" spans="1:10" ht="24.75" customHeight="1" thickTop="1" x14ac:dyDescent="0.2">
      <c r="A11" s="317" t="s">
        <v>99</v>
      </c>
      <c r="B11" s="317"/>
      <c r="C11" s="346" t="s">
        <v>100</v>
      </c>
      <c r="D11" s="347"/>
      <c r="E11" s="317" t="s">
        <v>101</v>
      </c>
      <c r="F11" s="317"/>
      <c r="G11" s="346" t="s">
        <v>102</v>
      </c>
      <c r="H11" s="347"/>
      <c r="I11" s="348" t="s">
        <v>103</v>
      </c>
      <c r="J11" s="348"/>
    </row>
    <row r="12" spans="1:10" x14ac:dyDescent="0.2">
      <c r="A12" s="337" t="s">
        <v>104</v>
      </c>
      <c r="B12" s="337"/>
      <c r="C12" s="337">
        <v>3750</v>
      </c>
      <c r="D12" s="337"/>
      <c r="E12" s="337">
        <v>1000</v>
      </c>
      <c r="F12" s="337"/>
      <c r="G12" s="338">
        <v>1359</v>
      </c>
      <c r="H12" s="338"/>
      <c r="I12" s="339"/>
      <c r="J12" s="339"/>
    </row>
    <row r="13" spans="1:10" x14ac:dyDescent="0.2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 x14ac:dyDescent="0.25"/>
    <row r="16" spans="1:10" ht="26.25" thickTop="1" x14ac:dyDescent="0.2">
      <c r="A16" s="317" t="s">
        <v>105</v>
      </c>
      <c r="B16" s="317"/>
      <c r="C16" s="68" t="s">
        <v>106</v>
      </c>
      <c r="D16" s="69" t="s">
        <v>107</v>
      </c>
      <c r="E16" s="69" t="s">
        <v>48</v>
      </c>
      <c r="F16" s="69" t="s">
        <v>108</v>
      </c>
      <c r="G16" s="334" t="s">
        <v>109</v>
      </c>
      <c r="H16" s="334"/>
      <c r="I16" s="335" t="s">
        <v>110</v>
      </c>
      <c r="J16" s="336"/>
    </row>
    <row r="17" spans="1:10" x14ac:dyDescent="0.2">
      <c r="A17" s="326" t="s">
        <v>111</v>
      </c>
      <c r="B17" s="327"/>
      <c r="C17" s="71">
        <v>14017857</v>
      </c>
      <c r="D17" s="71">
        <v>13724373</v>
      </c>
      <c r="E17" s="72">
        <f>MIN(C17-D17)</f>
        <v>293484</v>
      </c>
      <c r="F17" s="72">
        <f>+E17</f>
        <v>293484</v>
      </c>
      <c r="G17" s="328"/>
      <c r="H17" s="329"/>
      <c r="I17" s="328">
        <f>+E17</f>
        <v>293484</v>
      </c>
      <c r="J17" s="329"/>
    </row>
    <row r="18" spans="1:10" x14ac:dyDescent="0.2">
      <c r="A18" s="326" t="s">
        <v>112</v>
      </c>
      <c r="B18" s="327"/>
      <c r="C18" s="71">
        <v>8367617</v>
      </c>
      <c r="D18" s="71">
        <v>8231556</v>
      </c>
      <c r="E18" s="72">
        <f>MIN(C18-D18)</f>
        <v>136061</v>
      </c>
      <c r="F18" s="72">
        <f>+E18</f>
        <v>136061</v>
      </c>
      <c r="G18" s="328"/>
      <c r="H18" s="329"/>
      <c r="I18" s="328">
        <f>+E18</f>
        <v>136061</v>
      </c>
      <c r="J18" s="329"/>
    </row>
    <row r="19" spans="1:10" x14ac:dyDescent="0.2">
      <c r="A19" s="326" t="s">
        <v>113</v>
      </c>
      <c r="B19" s="327"/>
      <c r="C19" s="71">
        <v>6260526</v>
      </c>
      <c r="D19" s="71">
        <v>6140422</v>
      </c>
      <c r="E19" s="72">
        <f>AVERAGE(C19-D19)</f>
        <v>120104</v>
      </c>
      <c r="F19" s="72">
        <f>+E19</f>
        <v>120104</v>
      </c>
      <c r="G19" s="328"/>
      <c r="H19" s="329"/>
      <c r="I19" s="328">
        <f>+E19</f>
        <v>120104</v>
      </c>
      <c r="J19" s="329"/>
    </row>
    <row r="20" spans="1:10" ht="15" x14ac:dyDescent="0.25">
      <c r="A20" s="330" t="s">
        <v>114</v>
      </c>
      <c r="B20" s="331"/>
      <c r="C20" s="73"/>
      <c r="D20" s="74"/>
      <c r="E20" s="73">
        <f>SUM(E17:E19)</f>
        <v>549649</v>
      </c>
      <c r="F20" s="75"/>
      <c r="G20" s="332"/>
      <c r="H20" s="333"/>
      <c r="I20" s="332"/>
      <c r="J20" s="333"/>
    </row>
    <row r="21" spans="1:10" x14ac:dyDescent="0.2">
      <c r="C21" s="117" t="s">
        <v>18</v>
      </c>
      <c r="D21" t="s">
        <v>115</v>
      </c>
      <c r="G21" s="309"/>
      <c r="H21" s="309"/>
    </row>
    <row r="22" spans="1:10" ht="13.5" thickBot="1" x14ac:dyDescent="0.25">
      <c r="G22" s="310"/>
      <c r="H22" s="310"/>
    </row>
    <row r="23" spans="1:10" ht="13.5" thickTop="1" x14ac:dyDescent="0.2">
      <c r="A23" s="311" t="s">
        <v>116</v>
      </c>
      <c r="B23" s="312"/>
      <c r="C23" s="313"/>
      <c r="D23" s="317" t="s">
        <v>117</v>
      </c>
      <c r="E23" s="317" t="s">
        <v>118</v>
      </c>
      <c r="F23" s="319" t="s">
        <v>119</v>
      </c>
      <c r="G23" s="321" t="s">
        <v>120</v>
      </c>
      <c r="H23" s="321"/>
      <c r="I23" s="322" t="s">
        <v>121</v>
      </c>
      <c r="J23" s="322"/>
    </row>
    <row r="24" spans="1:10" x14ac:dyDescent="0.2">
      <c r="A24" s="314"/>
      <c r="B24" s="315"/>
      <c r="C24" s="316"/>
      <c r="D24" s="318"/>
      <c r="E24" s="318"/>
      <c r="F24" s="320"/>
      <c r="G24" s="110" t="s">
        <v>122</v>
      </c>
      <c r="H24" s="76" t="s">
        <v>123</v>
      </c>
      <c r="I24" s="322"/>
      <c r="J24" s="322"/>
    </row>
    <row r="25" spans="1:10" ht="15" x14ac:dyDescent="0.25">
      <c r="A25" s="323" t="s">
        <v>124</v>
      </c>
      <c r="B25" s="324"/>
      <c r="C25" s="325"/>
      <c r="D25" s="72">
        <f>+E17</f>
        <v>293484</v>
      </c>
      <c r="E25" s="77">
        <v>0.95140000000000002</v>
      </c>
      <c r="F25" s="78">
        <f>PRODUCT(D25*E25)</f>
        <v>279220.6776</v>
      </c>
      <c r="G25" s="67">
        <v>14</v>
      </c>
      <c r="H25" s="70">
        <f>PRODUCT(0.14,F25)</f>
        <v>39090.894864000002</v>
      </c>
      <c r="I25" s="294">
        <f>SUM(H25,F25)</f>
        <v>318311.57246399997</v>
      </c>
      <c r="J25" s="295"/>
    </row>
    <row r="26" spans="1:10" ht="15" x14ac:dyDescent="0.25">
      <c r="A26" s="301" t="s">
        <v>125</v>
      </c>
      <c r="B26" s="302"/>
      <c r="C26" s="303"/>
      <c r="D26" s="72">
        <f>+E18</f>
        <v>136061</v>
      </c>
      <c r="E26" s="79">
        <v>0.69850000000000001</v>
      </c>
      <c r="F26" s="78">
        <f>PRODUCT(D26*E26)</f>
        <v>95038.608500000002</v>
      </c>
      <c r="G26">
        <v>14</v>
      </c>
      <c r="H26" s="72">
        <f>PRODUCT(0.14,F26)</f>
        <v>13305.405190000001</v>
      </c>
      <c r="I26" s="294">
        <f t="shared" ref="I26:I31" si="0">SUM(H26,F26)</f>
        <v>108344.01369000001</v>
      </c>
      <c r="J26" s="295"/>
    </row>
    <row r="27" spans="1:10" ht="15" x14ac:dyDescent="0.25">
      <c r="A27" s="301" t="s">
        <v>126</v>
      </c>
      <c r="B27" s="302"/>
      <c r="C27" s="303"/>
      <c r="D27" s="72">
        <f>+E19</f>
        <v>120104</v>
      </c>
      <c r="E27" s="79">
        <v>1.3304</v>
      </c>
      <c r="F27" s="78">
        <f>PRODUCT(D27*E27)</f>
        <v>159786.3616</v>
      </c>
      <c r="G27">
        <v>14</v>
      </c>
      <c r="H27" s="72">
        <f>PRODUCT(0.14,F27)</f>
        <v>22370.090624000004</v>
      </c>
      <c r="I27" s="294">
        <f>SUM(H27,F27)</f>
        <v>182156.45222400001</v>
      </c>
      <c r="J27" s="295"/>
    </row>
    <row r="28" spans="1:10" ht="15" x14ac:dyDescent="0.25">
      <c r="A28" s="301" t="s">
        <v>127</v>
      </c>
      <c r="B28" s="302"/>
      <c r="C28" s="303"/>
      <c r="D28" s="72">
        <v>1000</v>
      </c>
      <c r="E28" s="79">
        <v>43.88167</v>
      </c>
      <c r="F28" s="78">
        <f>PRODUCT(D28,E28)</f>
        <v>43881.67</v>
      </c>
      <c r="G28">
        <v>14</v>
      </c>
      <c r="H28" s="72">
        <f>PRODUCT(0.14,F28)</f>
        <v>6143.4338000000007</v>
      </c>
      <c r="I28" s="294">
        <f t="shared" si="0"/>
        <v>50025.103799999997</v>
      </c>
      <c r="J28" s="295"/>
    </row>
    <row r="29" spans="1:10" ht="15" x14ac:dyDescent="0.25">
      <c r="A29" s="304" t="s">
        <v>128</v>
      </c>
      <c r="B29" s="305"/>
      <c r="C29" s="306"/>
      <c r="D29" s="80">
        <f>G12-E12</f>
        <v>359</v>
      </c>
      <c r="E29" s="81">
        <f>E28*1.5</f>
        <v>65.822505000000007</v>
      </c>
      <c r="F29" s="82">
        <f>PRODUCT(D29,E29)</f>
        <v>23630.279295000004</v>
      </c>
      <c r="G29" s="83">
        <v>14</v>
      </c>
      <c r="H29" s="80">
        <f>PRODUCT(0.14,F29)</f>
        <v>3308.239101300001</v>
      </c>
      <c r="I29" s="307">
        <f t="shared" si="0"/>
        <v>26938.518396300005</v>
      </c>
      <c r="J29" s="308"/>
    </row>
    <row r="30" spans="1:10" ht="15" x14ac:dyDescent="0.25">
      <c r="A30" s="301" t="s">
        <v>129</v>
      </c>
      <c r="B30" s="302"/>
      <c r="C30" s="303"/>
      <c r="D30" s="72"/>
      <c r="E30" s="84"/>
      <c r="F30" s="78">
        <v>841</v>
      </c>
      <c r="G30">
        <v>20</v>
      </c>
      <c r="H30" s="85">
        <f>PRODUCT(F30,0.2)</f>
        <v>168.20000000000002</v>
      </c>
      <c r="I30" s="294">
        <f>SUM(H30,F30)</f>
        <v>1009.2</v>
      </c>
      <c r="J30" s="295"/>
    </row>
    <row r="31" spans="1:10" ht="15.75" thickBot="1" x14ac:dyDescent="0.3">
      <c r="A31" s="291" t="s">
        <v>130</v>
      </c>
      <c r="B31" s="292"/>
      <c r="C31" s="293"/>
      <c r="D31" s="86"/>
      <c r="E31" s="87"/>
      <c r="F31" s="78">
        <v>1492</v>
      </c>
      <c r="G31" s="75">
        <v>7</v>
      </c>
      <c r="H31" s="88">
        <f>PRODUCT(F31,0.07)</f>
        <v>104.44000000000001</v>
      </c>
      <c r="I31" s="294">
        <f t="shared" si="0"/>
        <v>1596.44</v>
      </c>
      <c r="J31" s="295"/>
    </row>
    <row r="32" spans="1:10" ht="21" x14ac:dyDescent="0.2">
      <c r="A32" s="296" t="s">
        <v>131</v>
      </c>
      <c r="B32" s="297"/>
      <c r="C32" s="297"/>
      <c r="D32" s="297"/>
      <c r="E32" s="297"/>
      <c r="F32" s="89">
        <f>SUM(F25:F31)</f>
        <v>603890.59699500015</v>
      </c>
      <c r="G32" s="90"/>
      <c r="H32" s="91"/>
      <c r="I32" s="300">
        <f>SUM(I25:J31)</f>
        <v>688381.3005743</v>
      </c>
      <c r="J32" s="300"/>
    </row>
    <row r="33" spans="1:10" ht="21.75" thickBot="1" x14ac:dyDescent="0.25">
      <c r="A33" s="298"/>
      <c r="B33" s="299"/>
      <c r="C33" s="299"/>
      <c r="D33" s="299"/>
      <c r="E33" s="299"/>
      <c r="F33" s="92"/>
      <c r="G33" s="93"/>
      <c r="H33" s="94"/>
      <c r="I33" s="300"/>
      <c r="J33" s="30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A27:C27"/>
    <mergeCell ref="I27:J27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1"/>
      <c r="B1" s="263"/>
      <c r="C1" s="349" t="s">
        <v>132</v>
      </c>
      <c r="D1" s="350"/>
      <c r="E1" s="350"/>
      <c r="F1" s="350"/>
      <c r="G1" s="350"/>
      <c r="H1" s="355" t="s">
        <v>89</v>
      </c>
      <c r="I1" s="356"/>
      <c r="J1" s="357"/>
    </row>
    <row r="2" spans="1:10" ht="16.5" customHeight="1" thickBot="1" x14ac:dyDescent="0.25">
      <c r="A2" s="264"/>
      <c r="B2" s="266"/>
      <c r="C2" s="351"/>
      <c r="D2" s="352"/>
      <c r="E2" s="352"/>
      <c r="F2" s="352"/>
      <c r="G2" s="352"/>
      <c r="H2" s="358"/>
      <c r="I2" s="359"/>
      <c r="J2" s="360"/>
    </row>
    <row r="3" spans="1:10" ht="15" customHeight="1" x14ac:dyDescent="0.2">
      <c r="A3" s="264"/>
      <c r="B3" s="266"/>
      <c r="C3" s="351"/>
      <c r="D3" s="352"/>
      <c r="E3" s="352"/>
      <c r="F3" s="352"/>
      <c r="G3" s="352"/>
      <c r="H3" s="361" t="s">
        <v>90</v>
      </c>
      <c r="I3" s="362"/>
      <c r="J3" s="363"/>
    </row>
    <row r="4" spans="1:10" ht="15.75" customHeight="1" thickBot="1" x14ac:dyDescent="0.25">
      <c r="A4" s="267"/>
      <c r="B4" s="269"/>
      <c r="C4" s="353"/>
      <c r="D4" s="354"/>
      <c r="E4" s="354"/>
      <c r="F4" s="354"/>
      <c r="G4" s="354"/>
      <c r="H4" s="364"/>
      <c r="I4" s="365"/>
      <c r="J4" s="366"/>
    </row>
    <row r="6" spans="1:10" ht="33" customHeight="1" thickBot="1" x14ac:dyDescent="0.25"/>
    <row r="7" spans="1:10" ht="36.75" thickTop="1" x14ac:dyDescent="0.2">
      <c r="A7" s="367" t="s">
        <v>91</v>
      </c>
      <c r="B7" s="367"/>
      <c r="C7" s="368" t="s">
        <v>92</v>
      </c>
      <c r="D7" s="369"/>
      <c r="E7" s="64" t="s">
        <v>93</v>
      </c>
      <c r="F7" s="64" t="s">
        <v>94</v>
      </c>
      <c r="G7" s="64" t="s">
        <v>95</v>
      </c>
      <c r="H7" s="64" t="s">
        <v>96</v>
      </c>
      <c r="I7" s="370" t="s">
        <v>97</v>
      </c>
      <c r="J7" s="371"/>
    </row>
    <row r="8" spans="1:10" x14ac:dyDescent="0.2">
      <c r="A8" s="337">
        <v>95670781</v>
      </c>
      <c r="B8" s="337"/>
      <c r="C8" s="342">
        <v>43634</v>
      </c>
      <c r="D8" s="343"/>
      <c r="E8" s="121">
        <v>43635</v>
      </c>
      <c r="F8" s="65" t="s">
        <v>98</v>
      </c>
      <c r="G8" s="66"/>
      <c r="H8" s="66"/>
      <c r="I8" s="344"/>
      <c r="J8" s="345"/>
    </row>
    <row r="10" spans="1:10" ht="23.25" customHeight="1" thickBot="1" x14ac:dyDescent="0.25"/>
    <row r="11" spans="1:10" ht="24.75" customHeight="1" thickTop="1" x14ac:dyDescent="0.2">
      <c r="A11" s="317" t="s">
        <v>99</v>
      </c>
      <c r="B11" s="317"/>
      <c r="C11" s="346" t="s">
        <v>100</v>
      </c>
      <c r="D11" s="347"/>
      <c r="E11" s="317" t="s">
        <v>101</v>
      </c>
      <c r="F11" s="317"/>
      <c r="G11" s="346" t="s">
        <v>102</v>
      </c>
      <c r="H11" s="347"/>
      <c r="I11" s="348" t="s">
        <v>103</v>
      </c>
      <c r="J11" s="348"/>
    </row>
    <row r="12" spans="1:10" x14ac:dyDescent="0.2">
      <c r="A12" s="337" t="s">
        <v>104</v>
      </c>
      <c r="B12" s="337"/>
      <c r="C12" s="337">
        <v>3750</v>
      </c>
      <c r="D12" s="337"/>
      <c r="E12" s="337">
        <v>1000</v>
      </c>
      <c r="F12" s="337"/>
      <c r="G12" s="338">
        <v>1196</v>
      </c>
      <c r="H12" s="338"/>
      <c r="I12" s="339"/>
      <c r="J12" s="339"/>
    </row>
    <row r="13" spans="1:10" x14ac:dyDescent="0.2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 x14ac:dyDescent="0.25"/>
    <row r="16" spans="1:10" ht="26.25" thickTop="1" x14ac:dyDescent="0.2">
      <c r="A16" s="317" t="s">
        <v>105</v>
      </c>
      <c r="B16" s="317"/>
      <c r="C16" s="68" t="s">
        <v>106</v>
      </c>
      <c r="D16" s="69" t="s">
        <v>107</v>
      </c>
      <c r="E16" s="69" t="s">
        <v>48</v>
      </c>
      <c r="F16" s="69" t="s">
        <v>108</v>
      </c>
      <c r="G16" s="334" t="s">
        <v>109</v>
      </c>
      <c r="H16" s="334"/>
      <c r="I16" s="335" t="s">
        <v>110</v>
      </c>
      <c r="J16" s="336"/>
    </row>
    <row r="17" spans="1:10" x14ac:dyDescent="0.2">
      <c r="A17" s="326" t="s">
        <v>111</v>
      </c>
      <c r="B17" s="327"/>
      <c r="C17" s="71">
        <v>13925245</v>
      </c>
      <c r="D17" s="71">
        <v>13915410</v>
      </c>
      <c r="E17" s="72">
        <f>MIN(C17-D17)</f>
        <v>9835</v>
      </c>
      <c r="F17" s="72">
        <f>+E17</f>
        <v>9835</v>
      </c>
      <c r="G17" s="328"/>
      <c r="H17" s="329"/>
      <c r="I17" s="328">
        <f>+E17</f>
        <v>9835</v>
      </c>
      <c r="J17" s="329"/>
    </row>
    <row r="18" spans="1:10" x14ac:dyDescent="0.2">
      <c r="A18" s="326" t="s">
        <v>112</v>
      </c>
      <c r="B18" s="327"/>
      <c r="C18" s="71">
        <v>8327045</v>
      </c>
      <c r="D18" s="71">
        <v>8322667</v>
      </c>
      <c r="E18" s="72">
        <f>MIN(C18-D18)</f>
        <v>4378</v>
      </c>
      <c r="F18" s="72">
        <f>+E18</f>
        <v>4378</v>
      </c>
      <c r="G18" s="328"/>
      <c r="H18" s="329"/>
      <c r="I18" s="328">
        <f>+E18</f>
        <v>4378</v>
      </c>
      <c r="J18" s="329"/>
    </row>
    <row r="19" spans="1:10" x14ac:dyDescent="0.2">
      <c r="A19" s="326" t="s">
        <v>113</v>
      </c>
      <c r="B19" s="327"/>
      <c r="C19" s="71">
        <v>6224845</v>
      </c>
      <c r="D19" s="71">
        <v>6221062</v>
      </c>
      <c r="E19" s="72">
        <f>AVERAGE(C19-D19)</f>
        <v>3783</v>
      </c>
      <c r="F19" s="72">
        <f>+E19</f>
        <v>3783</v>
      </c>
      <c r="G19" s="328"/>
      <c r="H19" s="329"/>
      <c r="I19" s="328">
        <f>+E19</f>
        <v>3783</v>
      </c>
      <c r="J19" s="329"/>
    </row>
    <row r="20" spans="1:10" ht="15" x14ac:dyDescent="0.25">
      <c r="A20" s="330" t="s">
        <v>114</v>
      </c>
      <c r="B20" s="331"/>
      <c r="C20" s="73"/>
      <c r="D20" s="74"/>
      <c r="E20" s="73">
        <f>SUM(E17:E19)</f>
        <v>17996</v>
      </c>
      <c r="F20" s="75"/>
      <c r="G20" s="332"/>
      <c r="H20" s="333"/>
      <c r="I20" s="332"/>
      <c r="J20" s="333"/>
    </row>
    <row r="21" spans="1:10" x14ac:dyDescent="0.2">
      <c r="C21" s="117" t="s">
        <v>18</v>
      </c>
      <c r="D21" t="s">
        <v>115</v>
      </c>
      <c r="G21" s="309"/>
      <c r="H21" s="309"/>
    </row>
    <row r="22" spans="1:10" ht="13.5" thickBot="1" x14ac:dyDescent="0.25">
      <c r="G22" s="310"/>
      <c r="H22" s="310"/>
    </row>
    <row r="23" spans="1:10" ht="13.5" thickTop="1" x14ac:dyDescent="0.2">
      <c r="A23" s="311" t="s">
        <v>116</v>
      </c>
      <c r="B23" s="312"/>
      <c r="C23" s="313"/>
      <c r="D23" s="317" t="s">
        <v>117</v>
      </c>
      <c r="E23" s="317" t="s">
        <v>118</v>
      </c>
      <c r="F23" s="319" t="s">
        <v>119</v>
      </c>
      <c r="G23" s="321" t="s">
        <v>120</v>
      </c>
      <c r="H23" s="321"/>
      <c r="I23" s="322" t="s">
        <v>121</v>
      </c>
      <c r="J23" s="322"/>
    </row>
    <row r="24" spans="1:10" x14ac:dyDescent="0.2">
      <c r="A24" s="314"/>
      <c r="B24" s="315"/>
      <c r="C24" s="316"/>
      <c r="D24" s="318"/>
      <c r="E24" s="318"/>
      <c r="F24" s="320"/>
      <c r="G24" s="110" t="s">
        <v>122</v>
      </c>
      <c r="H24" s="76" t="s">
        <v>123</v>
      </c>
      <c r="I24" s="322"/>
      <c r="J24" s="322"/>
    </row>
    <row r="25" spans="1:10" ht="15" x14ac:dyDescent="0.25">
      <c r="A25" s="323" t="s">
        <v>124</v>
      </c>
      <c r="B25" s="324"/>
      <c r="C25" s="325"/>
      <c r="D25" s="72">
        <f>+E17</f>
        <v>9835</v>
      </c>
      <c r="E25" s="77">
        <v>0.95140000000000002</v>
      </c>
      <c r="F25" s="78">
        <f>PRODUCT(D25*E25)</f>
        <v>9357.0190000000002</v>
      </c>
      <c r="G25" s="67">
        <v>14</v>
      </c>
      <c r="H25" s="70">
        <f>PRODUCT(0.14,F25)</f>
        <v>1309.9826600000001</v>
      </c>
      <c r="I25" s="294">
        <f>SUM(H25,F25)</f>
        <v>10667.00166</v>
      </c>
      <c r="J25" s="295"/>
    </row>
    <row r="26" spans="1:10" ht="15" x14ac:dyDescent="0.25">
      <c r="A26" s="301" t="s">
        <v>125</v>
      </c>
      <c r="B26" s="302"/>
      <c r="C26" s="303"/>
      <c r="D26" s="72">
        <f>+E18</f>
        <v>4378</v>
      </c>
      <c r="E26" s="79">
        <v>0.69850000000000001</v>
      </c>
      <c r="F26" s="78">
        <f>PRODUCT(D26*E26)</f>
        <v>3058.0329999999999</v>
      </c>
      <c r="G26">
        <v>14</v>
      </c>
      <c r="H26" s="72">
        <f>PRODUCT(0.14,F26)</f>
        <v>428.12462000000005</v>
      </c>
      <c r="I26" s="294">
        <f t="shared" ref="I26:I31" si="0">SUM(H26,F26)</f>
        <v>3486.15762</v>
      </c>
      <c r="J26" s="295"/>
    </row>
    <row r="27" spans="1:10" ht="15" x14ac:dyDescent="0.25">
      <c r="A27" s="301" t="s">
        <v>126</v>
      </c>
      <c r="B27" s="302"/>
      <c r="C27" s="303"/>
      <c r="D27" s="72">
        <f>+E19</f>
        <v>3783</v>
      </c>
      <c r="E27" s="79">
        <v>1.3304</v>
      </c>
      <c r="F27" s="78">
        <f>PRODUCT(D27*E27)</f>
        <v>5032.9031999999997</v>
      </c>
      <c r="G27">
        <v>14</v>
      </c>
      <c r="H27" s="72">
        <f>PRODUCT(0.14,F27)</f>
        <v>704.606448</v>
      </c>
      <c r="I27" s="294">
        <f>SUM(H27,F27)</f>
        <v>5737.5096479999993</v>
      </c>
      <c r="J27" s="295"/>
    </row>
    <row r="28" spans="1:10" ht="15" x14ac:dyDescent="0.25">
      <c r="A28" s="301" t="s">
        <v>127</v>
      </c>
      <c r="B28" s="302"/>
      <c r="C28" s="303"/>
      <c r="D28" s="72">
        <v>1000</v>
      </c>
      <c r="E28" s="79">
        <v>43.88167</v>
      </c>
      <c r="F28" s="78">
        <f>PRODUCT(D28,E28)</f>
        <v>43881.67</v>
      </c>
      <c r="G28">
        <v>14</v>
      </c>
      <c r="H28" s="72">
        <f>PRODUCT(0.14,F28)</f>
        <v>6143.4338000000007</v>
      </c>
      <c r="I28" s="294">
        <f t="shared" si="0"/>
        <v>50025.103799999997</v>
      </c>
      <c r="J28" s="295"/>
    </row>
    <row r="29" spans="1:10" ht="15" x14ac:dyDescent="0.25">
      <c r="A29" s="304" t="s">
        <v>128</v>
      </c>
      <c r="B29" s="305"/>
      <c r="C29" s="306"/>
      <c r="D29" s="80">
        <f>G12-E12</f>
        <v>196</v>
      </c>
      <c r="E29" s="81">
        <v>48.972490000000001</v>
      </c>
      <c r="F29" s="82">
        <f>PRODUCT(D29,E29)</f>
        <v>9598.608040000001</v>
      </c>
      <c r="G29" s="83">
        <v>14</v>
      </c>
      <c r="H29" s="80">
        <f>PRODUCT(0.14,F29)</f>
        <v>1343.8051256000003</v>
      </c>
      <c r="I29" s="307">
        <f t="shared" si="0"/>
        <v>10942.413165600001</v>
      </c>
      <c r="J29" s="308"/>
    </row>
    <row r="30" spans="1:10" ht="15" x14ac:dyDescent="0.25">
      <c r="A30" s="301" t="s">
        <v>129</v>
      </c>
      <c r="B30" s="302"/>
      <c r="C30" s="303"/>
      <c r="D30" s="72"/>
      <c r="E30" s="84"/>
      <c r="F30" s="78">
        <v>841</v>
      </c>
      <c r="G30">
        <v>20</v>
      </c>
      <c r="H30" s="85">
        <f>PRODUCT(F30,0.2)</f>
        <v>168.20000000000002</v>
      </c>
      <c r="I30" s="294">
        <f>SUM(H30,F30)</f>
        <v>1009.2</v>
      </c>
      <c r="J30" s="295"/>
    </row>
    <row r="31" spans="1:10" ht="15.75" thickBot="1" x14ac:dyDescent="0.3">
      <c r="A31" s="291" t="s">
        <v>130</v>
      </c>
      <c r="B31" s="292"/>
      <c r="C31" s="293"/>
      <c r="D31" s="86"/>
      <c r="E31" s="87"/>
      <c r="F31" s="78">
        <v>1492</v>
      </c>
      <c r="G31" s="75">
        <v>7</v>
      </c>
      <c r="H31" s="88">
        <f>PRODUCT(F31,0.07)</f>
        <v>104.44000000000001</v>
      </c>
      <c r="I31" s="294">
        <f t="shared" si="0"/>
        <v>1596.44</v>
      </c>
      <c r="J31" s="295"/>
    </row>
    <row r="32" spans="1:10" ht="21" x14ac:dyDescent="0.2">
      <c r="A32" s="296" t="s">
        <v>131</v>
      </c>
      <c r="B32" s="297"/>
      <c r="C32" s="297"/>
      <c r="D32" s="297"/>
      <c r="E32" s="297"/>
      <c r="F32" s="89">
        <f>SUM(F25:F31)</f>
        <v>73261.233240000001</v>
      </c>
      <c r="G32" s="90"/>
      <c r="H32" s="91"/>
      <c r="I32" s="300">
        <f>SUM(I25:J31)</f>
        <v>83463.825893599991</v>
      </c>
      <c r="J32" s="300"/>
    </row>
    <row r="33" spans="1:10" ht="21.75" thickBot="1" x14ac:dyDescent="0.25">
      <c r="A33" s="298"/>
      <c r="B33" s="299"/>
      <c r="C33" s="299"/>
      <c r="D33" s="299"/>
      <c r="E33" s="299"/>
      <c r="F33" s="92"/>
      <c r="G33" s="93"/>
      <c r="H33" s="94"/>
      <c r="I33" s="300"/>
      <c r="J33" s="30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A18:B18"/>
    <mergeCell ref="G18:H18"/>
    <mergeCell ref="I18:J18"/>
    <mergeCell ref="A19:B19"/>
    <mergeCell ref="G19:H19"/>
    <mergeCell ref="I19:J19"/>
    <mergeCell ref="A13:J13"/>
    <mergeCell ref="A16:B16"/>
    <mergeCell ref="G16:H16"/>
    <mergeCell ref="I16:J16"/>
    <mergeCell ref="A17:B17"/>
    <mergeCell ref="G17:H17"/>
    <mergeCell ref="I17:J17"/>
    <mergeCell ref="A12:B12"/>
    <mergeCell ref="C12:D12"/>
    <mergeCell ref="E12:F12"/>
    <mergeCell ref="G12:H12"/>
    <mergeCell ref="I12:J12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5"/>
      <c r="B1" s="349" t="s">
        <v>133</v>
      </c>
      <c r="C1" s="350"/>
      <c r="D1" s="350"/>
      <c r="E1" s="350"/>
      <c r="F1" s="398" t="s">
        <v>89</v>
      </c>
      <c r="G1" s="399"/>
      <c r="H1" s="400"/>
    </row>
    <row r="2" spans="1:8" ht="15.75" customHeight="1" thickBot="1" x14ac:dyDescent="0.25">
      <c r="A2" s="396"/>
      <c r="B2" s="351"/>
      <c r="C2" s="352"/>
      <c r="D2" s="352"/>
      <c r="E2" s="352"/>
      <c r="F2" s="401"/>
      <c r="G2" s="402"/>
      <c r="H2" s="403"/>
    </row>
    <row r="3" spans="1:8" ht="15" customHeight="1" x14ac:dyDescent="0.2">
      <c r="A3" s="396"/>
      <c r="B3" s="351"/>
      <c r="C3" s="352"/>
      <c r="D3" s="352"/>
      <c r="E3" s="352"/>
      <c r="F3" s="398" t="s">
        <v>90</v>
      </c>
      <c r="G3" s="399"/>
      <c r="H3" s="400"/>
    </row>
    <row r="4" spans="1:8" ht="15.75" customHeight="1" thickBot="1" x14ac:dyDescent="0.25">
      <c r="A4" s="397"/>
      <c r="B4" s="353"/>
      <c r="C4" s="354"/>
      <c r="D4" s="354"/>
      <c r="E4" s="354"/>
      <c r="F4" s="404"/>
      <c r="G4" s="405"/>
      <c r="H4" s="406"/>
    </row>
    <row r="6" spans="1:8" ht="42.75" customHeight="1" x14ac:dyDescent="0.2"/>
    <row r="7" spans="1:8" ht="42.75" customHeight="1" x14ac:dyDescent="0.2">
      <c r="A7" s="98" t="s">
        <v>91</v>
      </c>
      <c r="B7" s="98" t="s">
        <v>134</v>
      </c>
      <c r="C7" s="98" t="s">
        <v>135</v>
      </c>
      <c r="D7" s="100" t="s">
        <v>92</v>
      </c>
      <c r="E7" s="98" t="s">
        <v>136</v>
      </c>
      <c r="F7" s="100" t="s">
        <v>93</v>
      </c>
      <c r="G7" s="100" t="s">
        <v>137</v>
      </c>
      <c r="H7" s="99" t="s">
        <v>94</v>
      </c>
    </row>
    <row r="8" spans="1:8" ht="15" x14ac:dyDescent="0.25">
      <c r="A8" s="119"/>
      <c r="B8" s="101" t="s">
        <v>138</v>
      </c>
      <c r="C8" s="102">
        <v>29182.6</v>
      </c>
      <c r="D8" s="103">
        <v>43617</v>
      </c>
      <c r="E8" s="102">
        <v>34451.800000000003</v>
      </c>
      <c r="F8" s="103">
        <v>43647</v>
      </c>
      <c r="G8" s="104">
        <f>E8-C8</f>
        <v>5269.2000000000044</v>
      </c>
      <c r="H8" s="105"/>
    </row>
    <row r="9" spans="1:8" ht="36" customHeight="1" x14ac:dyDescent="0.25">
      <c r="A9" s="106"/>
      <c r="B9" s="106"/>
      <c r="C9" s="106"/>
      <c r="D9" s="106"/>
      <c r="E9" s="106"/>
      <c r="F9" s="106"/>
      <c r="G9" s="106"/>
      <c r="H9" s="106"/>
    </row>
    <row r="10" spans="1:8" ht="15" x14ac:dyDescent="0.25">
      <c r="A10" s="107"/>
      <c r="B10" s="407" t="s">
        <v>117</v>
      </c>
      <c r="C10" s="408"/>
      <c r="D10" s="409" t="s">
        <v>139</v>
      </c>
      <c r="E10" s="409"/>
      <c r="F10" s="407" t="s">
        <v>140</v>
      </c>
      <c r="G10" s="410"/>
      <c r="H10" s="408"/>
    </row>
    <row r="11" spans="1:8" ht="15" x14ac:dyDescent="0.25">
      <c r="A11" s="108" t="s">
        <v>141</v>
      </c>
      <c r="B11" s="387"/>
      <c r="C11" s="387"/>
      <c r="D11" s="387"/>
      <c r="E11" s="387"/>
      <c r="F11" s="387">
        <v>23</v>
      </c>
      <c r="G11" s="387"/>
      <c r="H11" s="387"/>
    </row>
    <row r="12" spans="1:8" ht="21" x14ac:dyDescent="0.35">
      <c r="A12" s="393" t="s">
        <v>142</v>
      </c>
      <c r="B12" s="393"/>
      <c r="C12" s="393"/>
      <c r="D12" s="393"/>
      <c r="E12" s="393"/>
      <c r="F12" s="393"/>
      <c r="G12" s="393"/>
      <c r="H12" s="393"/>
    </row>
    <row r="13" spans="1:8" ht="15" x14ac:dyDescent="0.25">
      <c r="A13" s="108" t="s">
        <v>143</v>
      </c>
      <c r="B13" s="387">
        <f>G8</f>
        <v>5269.2000000000044</v>
      </c>
      <c r="C13" s="387"/>
      <c r="D13" s="387">
        <v>8.7899999999999991</v>
      </c>
      <c r="E13" s="387"/>
      <c r="F13" s="394">
        <f>PRODUCT(D13,B13)</f>
        <v>46316.268000000033</v>
      </c>
      <c r="G13" s="394"/>
      <c r="H13" s="394"/>
    </row>
    <row r="14" spans="1:8" ht="45" customHeight="1" x14ac:dyDescent="0.2">
      <c r="A14" s="391" t="s">
        <v>144</v>
      </c>
      <c r="B14" s="391"/>
      <c r="C14" s="391"/>
      <c r="D14" s="391"/>
      <c r="E14" s="391"/>
      <c r="F14" s="391"/>
      <c r="G14" s="391"/>
      <c r="H14" s="391"/>
    </row>
    <row r="15" spans="1:8" x14ac:dyDescent="0.2">
      <c r="A15" s="392"/>
      <c r="B15" s="392"/>
      <c r="C15" s="392"/>
      <c r="D15" s="392"/>
      <c r="E15" s="392"/>
      <c r="F15" s="392"/>
      <c r="G15" s="392"/>
      <c r="H15" s="392"/>
    </row>
    <row r="16" spans="1:8" ht="15" x14ac:dyDescent="0.25">
      <c r="A16" s="109" t="s">
        <v>145</v>
      </c>
      <c r="B16" s="387">
        <v>0</v>
      </c>
      <c r="C16" s="387"/>
      <c r="D16" s="387">
        <v>0</v>
      </c>
      <c r="E16" s="387"/>
      <c r="F16" s="387">
        <f>PRODUCT(D16,B16)</f>
        <v>0</v>
      </c>
      <c r="G16" s="387"/>
      <c r="H16" s="387"/>
    </row>
    <row r="17" spans="1:8" ht="15" x14ac:dyDescent="0.25">
      <c r="A17" s="109" t="s">
        <v>146</v>
      </c>
      <c r="B17" s="387">
        <v>0</v>
      </c>
      <c r="C17" s="387"/>
      <c r="D17" s="387">
        <v>0</v>
      </c>
      <c r="E17" s="387"/>
      <c r="F17" s="387">
        <f>PRODUCT(D17,B17)</f>
        <v>0</v>
      </c>
      <c r="G17" s="387"/>
      <c r="H17" s="387"/>
    </row>
    <row r="18" spans="1:8" ht="15" x14ac:dyDescent="0.25">
      <c r="A18" s="109" t="s">
        <v>147</v>
      </c>
      <c r="B18" s="387">
        <v>0</v>
      </c>
      <c r="C18" s="387"/>
      <c r="D18" s="387">
        <v>0</v>
      </c>
      <c r="E18" s="387"/>
      <c r="F18" s="387">
        <f>PRODUCT(D18,B18)</f>
        <v>0</v>
      </c>
      <c r="G18" s="387"/>
      <c r="H18" s="387"/>
    </row>
    <row r="19" spans="1:8" ht="15" x14ac:dyDescent="0.25">
      <c r="A19" s="109" t="s">
        <v>148</v>
      </c>
      <c r="B19" s="387">
        <f>G8</f>
        <v>5269.2000000000044</v>
      </c>
      <c r="C19" s="387"/>
      <c r="D19" s="387">
        <v>2.61</v>
      </c>
      <c r="E19" s="387"/>
      <c r="F19" s="387">
        <f>PRODUCT(D19,B19)</f>
        <v>13752.61200000001</v>
      </c>
      <c r="G19" s="387"/>
      <c r="H19" s="387"/>
    </row>
    <row r="20" spans="1:8" ht="18.75" x14ac:dyDescent="0.3">
      <c r="A20" s="383" t="s">
        <v>149</v>
      </c>
      <c r="B20" s="384"/>
      <c r="C20" s="384"/>
      <c r="D20" s="384"/>
      <c r="E20" s="385"/>
      <c r="F20" s="386">
        <f>SUM(F11+F13+F16+F17+F18+F19)</f>
        <v>60091.880000000041</v>
      </c>
      <c r="G20" s="386"/>
      <c r="H20" s="386"/>
    </row>
    <row r="21" spans="1:8" ht="15" x14ac:dyDescent="0.25">
      <c r="A21" s="372" t="s">
        <v>150</v>
      </c>
      <c r="B21" s="373"/>
      <c r="C21" s="373"/>
      <c r="D21" s="373"/>
      <c r="E21" s="374"/>
      <c r="F21" s="387">
        <f>PRODUCT(F20,0.07)</f>
        <v>4206.4316000000035</v>
      </c>
      <c r="G21" s="387"/>
      <c r="H21" s="387"/>
    </row>
    <row r="22" spans="1:8" ht="15" x14ac:dyDescent="0.25">
      <c r="A22" s="388" t="s">
        <v>151</v>
      </c>
      <c r="B22" s="389"/>
      <c r="C22" s="389"/>
      <c r="D22" s="389"/>
      <c r="E22" s="390"/>
      <c r="F22" s="387">
        <v>208.26</v>
      </c>
      <c r="G22" s="387"/>
      <c r="H22" s="387"/>
    </row>
    <row r="23" spans="1:8" ht="15.75" x14ac:dyDescent="0.25">
      <c r="A23" s="372" t="s">
        <v>152</v>
      </c>
      <c r="B23" s="373"/>
      <c r="C23" s="373"/>
      <c r="D23" s="373"/>
      <c r="E23" s="374"/>
      <c r="F23" s="375">
        <f>SUM(F21:H22)</f>
        <v>4414.6916000000037</v>
      </c>
      <c r="G23" s="375"/>
      <c r="H23" s="375"/>
    </row>
    <row r="24" spans="1:8" x14ac:dyDescent="0.2">
      <c r="A24" s="376" t="s">
        <v>153</v>
      </c>
      <c r="B24" s="377"/>
      <c r="C24" s="377"/>
      <c r="D24" s="377"/>
      <c r="E24" s="378"/>
      <c r="F24" s="382">
        <f>SUM(F20,F23)</f>
        <v>64506.571600000047</v>
      </c>
      <c r="G24" s="382"/>
      <c r="H24" s="382"/>
    </row>
    <row r="25" spans="1:8" x14ac:dyDescent="0.2">
      <c r="A25" s="379"/>
      <c r="B25" s="380"/>
      <c r="C25" s="380"/>
      <c r="D25" s="380"/>
      <c r="E25" s="381"/>
      <c r="F25" s="382"/>
      <c r="G25" s="382"/>
      <c r="H25" s="38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5"/>
      <c r="B1" s="349" t="s">
        <v>133</v>
      </c>
      <c r="C1" s="350"/>
      <c r="D1" s="350"/>
      <c r="E1" s="350"/>
      <c r="F1" s="398" t="s">
        <v>89</v>
      </c>
      <c r="G1" s="399"/>
      <c r="H1" s="400"/>
    </row>
    <row r="2" spans="1:8" ht="15.75" customHeight="1" thickBot="1" x14ac:dyDescent="0.25">
      <c r="A2" s="396"/>
      <c r="B2" s="351"/>
      <c r="C2" s="352"/>
      <c r="D2" s="352"/>
      <c r="E2" s="352"/>
      <c r="F2" s="401"/>
      <c r="G2" s="402"/>
      <c r="H2" s="403"/>
    </row>
    <row r="3" spans="1:8" ht="15" customHeight="1" x14ac:dyDescent="0.2">
      <c r="A3" s="396"/>
      <c r="B3" s="351"/>
      <c r="C3" s="352"/>
      <c r="D3" s="352"/>
      <c r="E3" s="352"/>
      <c r="F3" s="398" t="s">
        <v>90</v>
      </c>
      <c r="G3" s="399"/>
      <c r="H3" s="400"/>
    </row>
    <row r="4" spans="1:8" ht="15.75" customHeight="1" thickBot="1" x14ac:dyDescent="0.25">
      <c r="A4" s="397"/>
      <c r="B4" s="353"/>
      <c r="C4" s="354"/>
      <c r="D4" s="354"/>
      <c r="E4" s="354"/>
      <c r="F4" s="404"/>
      <c r="G4" s="405"/>
      <c r="H4" s="406"/>
    </row>
    <row r="6" spans="1:8" ht="42.75" customHeight="1" x14ac:dyDescent="0.2"/>
    <row r="7" spans="1:8" ht="42.75" customHeight="1" x14ac:dyDescent="0.2">
      <c r="A7" s="98" t="s">
        <v>91</v>
      </c>
      <c r="B7" s="98" t="s">
        <v>134</v>
      </c>
      <c r="C7" s="98" t="s">
        <v>135</v>
      </c>
      <c r="D7" s="100" t="s">
        <v>92</v>
      </c>
      <c r="E7" s="98" t="s">
        <v>136</v>
      </c>
      <c r="F7" s="100" t="s">
        <v>93</v>
      </c>
      <c r="G7" s="100" t="s">
        <v>137</v>
      </c>
      <c r="H7" s="99" t="s">
        <v>94</v>
      </c>
    </row>
    <row r="8" spans="1:8" ht="15" x14ac:dyDescent="0.25">
      <c r="A8" s="119"/>
      <c r="B8" s="101" t="s">
        <v>138</v>
      </c>
      <c r="C8" s="102">
        <v>31841</v>
      </c>
      <c r="D8" s="103">
        <v>43634</v>
      </c>
      <c r="E8" s="102">
        <v>32070</v>
      </c>
      <c r="F8" s="103">
        <v>43635</v>
      </c>
      <c r="G8" s="104">
        <f>E8-C8</f>
        <v>229</v>
      </c>
      <c r="H8" s="105"/>
    </row>
    <row r="9" spans="1:8" ht="36" customHeight="1" x14ac:dyDescent="0.25">
      <c r="A9" s="106"/>
      <c r="B9" s="106"/>
      <c r="C9" s="106"/>
      <c r="D9" s="106"/>
      <c r="E9" s="106"/>
      <c r="F9" s="106"/>
      <c r="G9" s="106"/>
      <c r="H9" s="106"/>
    </row>
    <row r="10" spans="1:8" ht="15" x14ac:dyDescent="0.25">
      <c r="A10" s="107"/>
      <c r="B10" s="407" t="s">
        <v>117</v>
      </c>
      <c r="C10" s="408"/>
      <c r="D10" s="409" t="s">
        <v>139</v>
      </c>
      <c r="E10" s="409"/>
      <c r="F10" s="407" t="s">
        <v>140</v>
      </c>
      <c r="G10" s="410"/>
      <c r="H10" s="408"/>
    </row>
    <row r="11" spans="1:8" ht="15" x14ac:dyDescent="0.25">
      <c r="A11" s="108" t="s">
        <v>141</v>
      </c>
      <c r="B11" s="387"/>
      <c r="C11" s="387"/>
      <c r="D11" s="387"/>
      <c r="E11" s="387"/>
      <c r="F11" s="387">
        <v>23</v>
      </c>
      <c r="G11" s="387"/>
      <c r="H11" s="387"/>
    </row>
    <row r="12" spans="1:8" ht="21" x14ac:dyDescent="0.35">
      <c r="A12" s="393" t="s">
        <v>142</v>
      </c>
      <c r="B12" s="393"/>
      <c r="C12" s="393"/>
      <c r="D12" s="393"/>
      <c r="E12" s="393"/>
      <c r="F12" s="393"/>
      <c r="G12" s="393"/>
      <c r="H12" s="393"/>
    </row>
    <row r="13" spans="1:8" ht="15" x14ac:dyDescent="0.25">
      <c r="A13" s="108" t="s">
        <v>143</v>
      </c>
      <c r="B13" s="387">
        <f>G8</f>
        <v>229</v>
      </c>
      <c r="C13" s="387"/>
      <c r="D13" s="387">
        <v>8.5</v>
      </c>
      <c r="E13" s="387"/>
      <c r="F13" s="394">
        <f>PRODUCT(D13,B13)</f>
        <v>1946.5</v>
      </c>
      <c r="G13" s="394"/>
      <c r="H13" s="394"/>
    </row>
    <row r="14" spans="1:8" ht="45" customHeight="1" x14ac:dyDescent="0.2">
      <c r="A14" s="391" t="s">
        <v>144</v>
      </c>
      <c r="B14" s="391"/>
      <c r="C14" s="391"/>
      <c r="D14" s="391"/>
      <c r="E14" s="391"/>
      <c r="F14" s="391"/>
      <c r="G14" s="391"/>
      <c r="H14" s="391"/>
    </row>
    <row r="15" spans="1:8" x14ac:dyDescent="0.2">
      <c r="A15" s="392"/>
      <c r="B15" s="392"/>
      <c r="C15" s="392"/>
      <c r="D15" s="392"/>
      <c r="E15" s="392"/>
      <c r="F15" s="392"/>
      <c r="G15" s="392"/>
      <c r="H15" s="392"/>
    </row>
    <row r="16" spans="1:8" ht="15" x14ac:dyDescent="0.25">
      <c r="A16" s="109" t="s">
        <v>145</v>
      </c>
      <c r="B16" s="387">
        <v>0</v>
      </c>
      <c r="C16" s="387"/>
      <c r="D16" s="387">
        <v>0</v>
      </c>
      <c r="E16" s="387"/>
      <c r="F16" s="387">
        <f>PRODUCT(D16,B16)</f>
        <v>0</v>
      </c>
      <c r="G16" s="387"/>
      <c r="H16" s="387"/>
    </row>
    <row r="17" spans="1:8" ht="15" x14ac:dyDescent="0.25">
      <c r="A17" s="109" t="s">
        <v>146</v>
      </c>
      <c r="B17" s="387">
        <v>0</v>
      </c>
      <c r="C17" s="387"/>
      <c r="D17" s="387">
        <v>0</v>
      </c>
      <c r="E17" s="387"/>
      <c r="F17" s="387">
        <f>PRODUCT(D17,B17)</f>
        <v>0</v>
      </c>
      <c r="G17" s="387"/>
      <c r="H17" s="387"/>
    </row>
    <row r="18" spans="1:8" ht="15" x14ac:dyDescent="0.25">
      <c r="A18" s="109" t="s">
        <v>147</v>
      </c>
      <c r="B18" s="387">
        <v>0</v>
      </c>
      <c r="C18" s="387"/>
      <c r="D18" s="387">
        <v>0</v>
      </c>
      <c r="E18" s="387"/>
      <c r="F18" s="387">
        <f>PRODUCT(D18,B18)</f>
        <v>0</v>
      </c>
      <c r="G18" s="387"/>
      <c r="H18" s="387"/>
    </row>
    <row r="19" spans="1:8" ht="15" x14ac:dyDescent="0.25">
      <c r="A19" s="109" t="s">
        <v>148</v>
      </c>
      <c r="B19" s="387">
        <v>0</v>
      </c>
      <c r="C19" s="387"/>
      <c r="D19" s="411">
        <v>0</v>
      </c>
      <c r="E19" s="412"/>
      <c r="F19" s="411">
        <v>0</v>
      </c>
      <c r="G19" s="412"/>
      <c r="H19" s="119"/>
    </row>
    <row r="20" spans="1:8" ht="15" x14ac:dyDescent="0.25">
      <c r="A20" s="109" t="s">
        <v>154</v>
      </c>
      <c r="B20" s="387">
        <f>G8</f>
        <v>229</v>
      </c>
      <c r="C20" s="387"/>
      <c r="D20" s="387">
        <v>2.54</v>
      </c>
      <c r="E20" s="387"/>
      <c r="F20" s="387">
        <f>PRODUCT(D20,B20)</f>
        <v>581.66</v>
      </c>
      <c r="G20" s="387"/>
      <c r="H20" s="387"/>
    </row>
    <row r="21" spans="1:8" ht="18.75" x14ac:dyDescent="0.3">
      <c r="A21" s="383" t="s">
        <v>149</v>
      </c>
      <c r="B21" s="384"/>
      <c r="C21" s="384"/>
      <c r="D21" s="384"/>
      <c r="E21" s="385"/>
      <c r="F21" s="386">
        <f>SUM(F11+F13+F16+F17+F18+F20)</f>
        <v>2551.16</v>
      </c>
      <c r="G21" s="386"/>
      <c r="H21" s="386"/>
    </row>
    <row r="22" spans="1:8" ht="15" x14ac:dyDescent="0.25">
      <c r="A22" s="372" t="s">
        <v>150</v>
      </c>
      <c r="B22" s="373"/>
      <c r="C22" s="373"/>
      <c r="D22" s="373"/>
      <c r="E22" s="374"/>
      <c r="F22" s="387">
        <f>PRODUCT(F21,0.07)</f>
        <v>178.5812</v>
      </c>
      <c r="G22" s="387"/>
      <c r="H22" s="387"/>
    </row>
    <row r="23" spans="1:8" ht="15" x14ac:dyDescent="0.25">
      <c r="A23" s="388" t="s">
        <v>151</v>
      </c>
      <c r="B23" s="389"/>
      <c r="C23" s="389"/>
      <c r="D23" s="389"/>
      <c r="E23" s="390"/>
      <c r="F23" s="387">
        <v>208.26</v>
      </c>
      <c r="G23" s="387"/>
      <c r="H23" s="387"/>
    </row>
    <row r="24" spans="1:8" ht="15.75" x14ac:dyDescent="0.25">
      <c r="A24" s="372" t="s">
        <v>152</v>
      </c>
      <c r="B24" s="373"/>
      <c r="C24" s="373"/>
      <c r="D24" s="373"/>
      <c r="E24" s="374"/>
      <c r="F24" s="375">
        <f>SUM(F22:H23)</f>
        <v>386.84119999999996</v>
      </c>
      <c r="G24" s="375"/>
      <c r="H24" s="375"/>
    </row>
    <row r="25" spans="1:8" x14ac:dyDescent="0.2">
      <c r="A25" s="376" t="s">
        <v>153</v>
      </c>
      <c r="B25" s="377"/>
      <c r="C25" s="377"/>
      <c r="D25" s="377"/>
      <c r="E25" s="378"/>
      <c r="F25" s="382">
        <f>SUM(F21,F24)</f>
        <v>2938.0011999999997</v>
      </c>
      <c r="G25" s="382"/>
      <c r="H25" s="382"/>
    </row>
    <row r="26" spans="1:8" x14ac:dyDescent="0.2">
      <c r="A26" s="379"/>
      <c r="B26" s="380"/>
      <c r="C26" s="380"/>
      <c r="D26" s="380"/>
      <c r="E26" s="381"/>
      <c r="F26" s="382"/>
      <c r="G26" s="382"/>
      <c r="H26" s="38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1" sqref="B1:E4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5"/>
      <c r="B1" s="349" t="s">
        <v>155</v>
      </c>
      <c r="C1" s="350"/>
      <c r="D1" s="350"/>
      <c r="E1" s="350"/>
      <c r="F1" s="398" t="s">
        <v>89</v>
      </c>
      <c r="G1" s="399"/>
      <c r="H1" s="400"/>
    </row>
    <row r="2" spans="1:8" ht="15.75" customHeight="1" thickBot="1" x14ac:dyDescent="0.25">
      <c r="A2" s="396"/>
      <c r="B2" s="351"/>
      <c r="C2" s="352"/>
      <c r="D2" s="352"/>
      <c r="E2" s="352"/>
      <c r="F2" s="401"/>
      <c r="G2" s="402"/>
      <c r="H2" s="403"/>
    </row>
    <row r="3" spans="1:8" ht="15" customHeight="1" x14ac:dyDescent="0.2">
      <c r="A3" s="396"/>
      <c r="B3" s="351"/>
      <c r="C3" s="352"/>
      <c r="D3" s="352"/>
      <c r="E3" s="352"/>
      <c r="F3" s="398" t="s">
        <v>90</v>
      </c>
      <c r="G3" s="399"/>
      <c r="H3" s="400"/>
    </row>
    <row r="4" spans="1:8" ht="15.75" customHeight="1" thickBot="1" x14ac:dyDescent="0.25">
      <c r="A4" s="397"/>
      <c r="B4" s="353"/>
      <c r="C4" s="354"/>
      <c r="D4" s="354"/>
      <c r="E4" s="354"/>
      <c r="F4" s="404"/>
      <c r="G4" s="405"/>
      <c r="H4" s="406"/>
    </row>
    <row r="6" spans="1:8" ht="42.75" customHeight="1" x14ac:dyDescent="0.2"/>
    <row r="7" spans="1:8" ht="42.75" customHeight="1" x14ac:dyDescent="0.2">
      <c r="A7" s="98" t="s">
        <v>91</v>
      </c>
      <c r="B7" s="98" t="s">
        <v>134</v>
      </c>
      <c r="C7" s="98" t="s">
        <v>135</v>
      </c>
      <c r="D7" s="100" t="s">
        <v>92</v>
      </c>
      <c r="E7" s="98" t="s">
        <v>136</v>
      </c>
      <c r="F7" s="100" t="s">
        <v>93</v>
      </c>
      <c r="G7" s="100" t="s">
        <v>137</v>
      </c>
      <c r="H7" s="99" t="s">
        <v>94</v>
      </c>
    </row>
    <row r="8" spans="1:8" ht="15" x14ac:dyDescent="0.25">
      <c r="A8" s="119"/>
      <c r="B8" s="101" t="s">
        <v>138</v>
      </c>
      <c r="C8" s="102">
        <v>2375</v>
      </c>
      <c r="D8" s="103">
        <v>43617</v>
      </c>
      <c r="E8" s="102">
        <v>2375</v>
      </c>
      <c r="F8" s="103">
        <v>43647</v>
      </c>
      <c r="G8" s="104">
        <f>E8-C8</f>
        <v>0</v>
      </c>
      <c r="H8" s="105"/>
    </row>
    <row r="9" spans="1:8" ht="36" customHeight="1" x14ac:dyDescent="0.25">
      <c r="A9" s="106"/>
      <c r="B9" s="106"/>
      <c r="C9" s="106"/>
      <c r="D9" s="106"/>
      <c r="E9" s="106"/>
      <c r="F9" s="106"/>
      <c r="G9" s="106"/>
      <c r="H9" s="106"/>
    </row>
    <row r="10" spans="1:8" ht="15" x14ac:dyDescent="0.25">
      <c r="A10" s="107"/>
      <c r="B10" s="407" t="s">
        <v>117</v>
      </c>
      <c r="C10" s="408"/>
      <c r="D10" s="409" t="s">
        <v>139</v>
      </c>
      <c r="E10" s="409"/>
      <c r="F10" s="407" t="s">
        <v>140</v>
      </c>
      <c r="G10" s="410"/>
      <c r="H10" s="408"/>
    </row>
    <row r="11" spans="1:8" ht="15" x14ac:dyDescent="0.25">
      <c r="A11" s="108" t="s">
        <v>141</v>
      </c>
      <c r="B11" s="387"/>
      <c r="C11" s="387"/>
      <c r="D11" s="387"/>
      <c r="E11" s="387"/>
      <c r="F11" s="387">
        <v>15</v>
      </c>
      <c r="G11" s="387"/>
      <c r="H11" s="387"/>
    </row>
    <row r="12" spans="1:8" ht="21" x14ac:dyDescent="0.35">
      <c r="A12" s="393" t="s">
        <v>142</v>
      </c>
      <c r="B12" s="393"/>
      <c r="C12" s="393"/>
      <c r="D12" s="393"/>
      <c r="E12" s="393"/>
      <c r="F12" s="393"/>
      <c r="G12" s="393"/>
      <c r="H12" s="393"/>
    </row>
    <row r="13" spans="1:8" ht="15" x14ac:dyDescent="0.25">
      <c r="A13" s="108" t="s">
        <v>156</v>
      </c>
      <c r="B13" s="387">
        <f>G8</f>
        <v>0</v>
      </c>
      <c r="C13" s="387"/>
      <c r="D13" s="387">
        <v>16.48</v>
      </c>
      <c r="E13" s="387"/>
      <c r="F13" s="394">
        <f>PRODUCT(D13,B13)</f>
        <v>0</v>
      </c>
      <c r="G13" s="394"/>
      <c r="H13" s="394"/>
    </row>
    <row r="14" spans="1:8" ht="15" x14ac:dyDescent="0.25">
      <c r="A14" s="108" t="s">
        <v>157</v>
      </c>
      <c r="B14" s="411"/>
      <c r="C14" s="412"/>
      <c r="D14" s="411"/>
      <c r="E14" s="412"/>
      <c r="F14" s="411"/>
      <c r="G14" s="412"/>
      <c r="H14" s="118"/>
    </row>
    <row r="15" spans="1:8" ht="15" x14ac:dyDescent="0.25">
      <c r="A15" s="108" t="s">
        <v>158</v>
      </c>
      <c r="B15" s="411"/>
      <c r="C15" s="412"/>
      <c r="D15" s="411"/>
      <c r="E15" s="412"/>
      <c r="F15" s="411"/>
      <c r="G15" s="412"/>
      <c r="H15" s="118"/>
    </row>
    <row r="16" spans="1:8" ht="15" x14ac:dyDescent="0.25">
      <c r="A16" s="108" t="s">
        <v>159</v>
      </c>
      <c r="B16" s="411"/>
      <c r="C16" s="412"/>
      <c r="D16" s="411"/>
      <c r="E16" s="412"/>
      <c r="F16" s="411"/>
      <c r="G16" s="412"/>
      <c r="H16" s="118"/>
    </row>
    <row r="17" spans="1:8" ht="15" x14ac:dyDescent="0.25">
      <c r="A17" s="108" t="s">
        <v>160</v>
      </c>
      <c r="B17" s="411"/>
      <c r="C17" s="412"/>
      <c r="D17" s="411"/>
      <c r="E17" s="412"/>
      <c r="F17" s="411"/>
      <c r="G17" s="412"/>
      <c r="H17" s="118"/>
    </row>
    <row r="18" spans="1:8" ht="45" customHeight="1" x14ac:dyDescent="0.2">
      <c r="A18" s="391" t="s">
        <v>144</v>
      </c>
      <c r="B18" s="391"/>
      <c r="C18" s="391"/>
      <c r="D18" s="391"/>
      <c r="E18" s="391"/>
      <c r="F18" s="391"/>
      <c r="G18" s="391"/>
      <c r="H18" s="391"/>
    </row>
    <row r="19" spans="1:8" x14ac:dyDescent="0.2">
      <c r="A19" s="392"/>
      <c r="B19" s="392"/>
      <c r="C19" s="392"/>
      <c r="D19" s="392"/>
      <c r="E19" s="392"/>
      <c r="F19" s="392"/>
      <c r="G19" s="392"/>
      <c r="H19" s="392"/>
    </row>
    <row r="20" spans="1:8" ht="15" x14ac:dyDescent="0.25">
      <c r="A20" s="109" t="s">
        <v>145</v>
      </c>
      <c r="B20" s="387">
        <v>0</v>
      </c>
      <c r="C20" s="387"/>
      <c r="D20" s="387">
        <v>0</v>
      </c>
      <c r="E20" s="387"/>
      <c r="F20" s="387">
        <f>PRODUCT(D20,B20)</f>
        <v>0</v>
      </c>
      <c r="G20" s="387"/>
      <c r="H20" s="387"/>
    </row>
    <row r="21" spans="1:8" ht="15" x14ac:dyDescent="0.25">
      <c r="A21" s="109" t="s">
        <v>146</v>
      </c>
      <c r="B21" s="387">
        <v>0</v>
      </c>
      <c r="C21" s="387"/>
      <c r="D21" s="387">
        <v>0</v>
      </c>
      <c r="E21" s="387"/>
      <c r="F21" s="387">
        <f>PRODUCT(D21,B21)</f>
        <v>0</v>
      </c>
      <c r="G21" s="387"/>
      <c r="H21" s="387"/>
    </row>
    <row r="22" spans="1:8" ht="15" x14ac:dyDescent="0.25">
      <c r="A22" s="109" t="s">
        <v>147</v>
      </c>
      <c r="B22" s="387">
        <v>0</v>
      </c>
      <c r="C22" s="387"/>
      <c r="D22" s="387">
        <v>0</v>
      </c>
      <c r="E22" s="387"/>
      <c r="F22" s="387">
        <f>PRODUCT(D22,B22)</f>
        <v>0</v>
      </c>
      <c r="G22" s="387"/>
      <c r="H22" s="387"/>
    </row>
    <row r="23" spans="1:8" ht="15" x14ac:dyDescent="0.25">
      <c r="A23" s="109" t="s">
        <v>148</v>
      </c>
      <c r="B23" s="387">
        <f>G8</f>
        <v>0</v>
      </c>
      <c r="C23" s="387"/>
      <c r="D23" s="387">
        <v>0</v>
      </c>
      <c r="E23" s="387"/>
      <c r="F23" s="387">
        <f>PRODUCT(D23,B23)</f>
        <v>0</v>
      </c>
      <c r="G23" s="387"/>
      <c r="H23" s="387"/>
    </row>
    <row r="24" spans="1:8" ht="15" x14ac:dyDescent="0.25">
      <c r="A24" s="109" t="s">
        <v>154</v>
      </c>
      <c r="B24" s="411">
        <v>0</v>
      </c>
      <c r="C24" s="412"/>
      <c r="D24" s="411">
        <v>2.54</v>
      </c>
      <c r="E24" s="412"/>
      <c r="F24" s="411">
        <f>B24*D24</f>
        <v>0</v>
      </c>
      <c r="G24" s="412"/>
      <c r="H24" s="119"/>
    </row>
    <row r="25" spans="1:8" ht="18.75" x14ac:dyDescent="0.3">
      <c r="A25" s="383" t="s">
        <v>149</v>
      </c>
      <c r="B25" s="384"/>
      <c r="C25" s="384"/>
      <c r="D25" s="384"/>
      <c r="E25" s="385"/>
      <c r="F25" s="413">
        <f>SUM(F11+F13+F20+F21+F22+F23)</f>
        <v>15</v>
      </c>
      <c r="G25" s="386"/>
      <c r="H25" s="386"/>
    </row>
    <row r="26" spans="1:8" ht="15" x14ac:dyDescent="0.25">
      <c r="A26" s="372" t="s">
        <v>150</v>
      </c>
      <c r="B26" s="373"/>
      <c r="C26" s="373"/>
      <c r="D26" s="373"/>
      <c r="E26" s="374"/>
      <c r="F26" s="387">
        <v>63.63</v>
      </c>
      <c r="G26" s="387"/>
      <c r="H26" s="387"/>
    </row>
    <row r="27" spans="1:8" ht="15" x14ac:dyDescent="0.25">
      <c r="A27" s="388" t="s">
        <v>151</v>
      </c>
      <c r="B27" s="389"/>
      <c r="C27" s="389"/>
      <c r="D27" s="389"/>
      <c r="E27" s="390"/>
      <c r="F27" s="387">
        <v>2.4300000000000002</v>
      </c>
      <c r="G27" s="387"/>
      <c r="H27" s="387"/>
    </row>
    <row r="28" spans="1:8" ht="15.75" x14ac:dyDescent="0.25">
      <c r="A28" s="372" t="s">
        <v>152</v>
      </c>
      <c r="B28" s="373"/>
      <c r="C28" s="373"/>
      <c r="D28" s="373"/>
      <c r="E28" s="374"/>
      <c r="F28" s="375">
        <f>SUM(F26:H27)</f>
        <v>66.06</v>
      </c>
      <c r="G28" s="375"/>
      <c r="H28" s="375"/>
    </row>
    <row r="29" spans="1:8" x14ac:dyDescent="0.2">
      <c r="A29" s="376" t="s">
        <v>153</v>
      </c>
      <c r="B29" s="377"/>
      <c r="C29" s="377"/>
      <c r="D29" s="377"/>
      <c r="E29" s="378"/>
      <c r="F29" s="382">
        <f>SUM(F25,F28)</f>
        <v>81.06</v>
      </c>
      <c r="G29" s="382"/>
      <c r="H29" s="382"/>
    </row>
    <row r="30" spans="1:8" x14ac:dyDescent="0.2">
      <c r="A30" s="379"/>
      <c r="B30" s="380"/>
      <c r="C30" s="380"/>
      <c r="D30" s="380"/>
      <c r="E30" s="381"/>
      <c r="F30" s="382"/>
      <c r="G30" s="382"/>
      <c r="H30" s="38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27"/>
  <sheetViews>
    <sheetView zoomScaleNormal="100" workbookViewId="0">
      <selection activeCell="H20" sqref="H20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14" t="s">
        <v>161</v>
      </c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6"/>
    </row>
    <row r="7" spans="2:14" x14ac:dyDescent="0.2">
      <c r="C7" s="112" t="s">
        <v>162</v>
      </c>
      <c r="D7" s="112" t="s">
        <v>163</v>
      </c>
      <c r="E7" s="112" t="s">
        <v>164</v>
      </c>
      <c r="F7" s="112" t="s">
        <v>165</v>
      </c>
      <c r="G7" s="112" t="s">
        <v>166</v>
      </c>
      <c r="H7" s="112" t="s">
        <v>167</v>
      </c>
      <c r="I7" s="112" t="s">
        <v>168</v>
      </c>
      <c r="J7" s="112" t="s">
        <v>169</v>
      </c>
      <c r="K7" s="112" t="s">
        <v>170</v>
      </c>
      <c r="L7" s="112" t="s">
        <v>171</v>
      </c>
      <c r="M7" s="112" t="s">
        <v>172</v>
      </c>
      <c r="N7" s="112" t="s">
        <v>173</v>
      </c>
    </row>
    <row r="8" spans="2:14" ht="32.25" customHeight="1" x14ac:dyDescent="0.2">
      <c r="B8" s="113" t="s">
        <v>174</v>
      </c>
      <c r="C8" s="420"/>
      <c r="D8" s="421"/>
      <c r="E8" s="421"/>
      <c r="F8" s="421"/>
      <c r="G8" s="421"/>
      <c r="H8" s="421"/>
      <c r="I8" s="421"/>
      <c r="J8" s="421"/>
      <c r="K8" s="422"/>
      <c r="L8" s="111">
        <v>544520</v>
      </c>
      <c r="M8" s="111">
        <v>561765</v>
      </c>
      <c r="N8" s="111">
        <v>546771</v>
      </c>
    </row>
    <row r="9" spans="2:14" ht="33" customHeight="1" x14ac:dyDescent="0.2">
      <c r="B9" s="114" t="s">
        <v>175</v>
      </c>
      <c r="C9" s="111">
        <v>564170</v>
      </c>
      <c r="D9" s="111">
        <v>532072</v>
      </c>
      <c r="E9" s="111">
        <v>405239</v>
      </c>
      <c r="F9" s="111">
        <v>469130</v>
      </c>
      <c r="G9" s="111">
        <v>543877</v>
      </c>
      <c r="H9" s="111">
        <v>605744</v>
      </c>
      <c r="I9" s="111">
        <v>722083</v>
      </c>
      <c r="J9" s="111">
        <v>802210</v>
      </c>
      <c r="K9" s="111">
        <v>762933</v>
      </c>
      <c r="L9" s="111">
        <v>670848</v>
      </c>
      <c r="M9" s="111">
        <v>626451</v>
      </c>
      <c r="N9" s="111">
        <v>557392</v>
      </c>
    </row>
    <row r="10" spans="2:14" ht="33" customHeight="1" x14ac:dyDescent="0.2">
      <c r="B10" s="120" t="s">
        <v>176</v>
      </c>
      <c r="C10" s="111">
        <v>520977</v>
      </c>
      <c r="D10" s="111">
        <v>541271</v>
      </c>
      <c r="E10" s="111">
        <v>508392</v>
      </c>
      <c r="F10" s="111">
        <v>659200</v>
      </c>
      <c r="G10" s="111">
        <v>705703</v>
      </c>
      <c r="H10" s="111">
        <v>784214</v>
      </c>
      <c r="I10" s="111">
        <v>823726</v>
      </c>
      <c r="J10" s="111">
        <v>913736</v>
      </c>
      <c r="K10" s="111">
        <v>831734</v>
      </c>
      <c r="L10" s="111">
        <v>794243</v>
      </c>
      <c r="M10" s="111">
        <v>688127</v>
      </c>
      <c r="N10" s="111">
        <v>577067</v>
      </c>
    </row>
    <row r="11" spans="2:14" ht="29.25" customHeight="1" x14ac:dyDescent="0.2">
      <c r="B11" s="115" t="s">
        <v>177</v>
      </c>
      <c r="C11" s="111">
        <v>586355</v>
      </c>
      <c r="D11" s="111">
        <v>563735</v>
      </c>
      <c r="E11" s="111">
        <v>512313</v>
      </c>
      <c r="F11" s="111">
        <v>573440</v>
      </c>
      <c r="G11" s="111">
        <v>535115</v>
      </c>
      <c r="H11" s="111">
        <v>570139</v>
      </c>
      <c r="I11" s="111">
        <v>669302</v>
      </c>
      <c r="J11" s="111">
        <v>704714</v>
      </c>
      <c r="K11" s="111">
        <v>682717</v>
      </c>
      <c r="L11" s="111">
        <v>581239</v>
      </c>
      <c r="M11" s="111">
        <v>438561</v>
      </c>
      <c r="N11" s="111">
        <v>400672</v>
      </c>
    </row>
    <row r="12" spans="2:14" ht="33.75" customHeight="1" x14ac:dyDescent="0.2">
      <c r="B12" s="126" t="s">
        <v>178</v>
      </c>
      <c r="C12" s="111">
        <v>388363</v>
      </c>
      <c r="D12" s="111">
        <v>407737</v>
      </c>
      <c r="E12" s="111">
        <v>392102</v>
      </c>
      <c r="F12" s="111">
        <v>454554</v>
      </c>
      <c r="G12" s="111">
        <v>448580</v>
      </c>
      <c r="H12" s="111">
        <v>549649</v>
      </c>
      <c r="I12" s="111"/>
      <c r="J12" s="111"/>
      <c r="K12" s="111"/>
      <c r="L12" s="111"/>
      <c r="M12" s="111"/>
      <c r="N12" s="111"/>
    </row>
    <row r="13" spans="2:14" ht="21" thickBot="1" x14ac:dyDescent="0.35">
      <c r="C13" s="417" t="s">
        <v>179</v>
      </c>
      <c r="D13" s="418"/>
      <c r="E13" s="418"/>
      <c r="F13" s="418"/>
      <c r="G13" s="418"/>
      <c r="H13" s="418"/>
      <c r="I13" s="418"/>
      <c r="J13" s="418"/>
      <c r="K13" s="418"/>
      <c r="L13" s="418"/>
      <c r="M13" s="418"/>
      <c r="N13" s="419"/>
    </row>
    <row r="15" spans="2:14" x14ac:dyDescent="0.2">
      <c r="C15" s="112" t="s">
        <v>162</v>
      </c>
      <c r="D15" s="112" t="s">
        <v>163</v>
      </c>
      <c r="E15" s="112" t="s">
        <v>164</v>
      </c>
      <c r="F15" s="112" t="s">
        <v>165</v>
      </c>
      <c r="G15" s="112" t="s">
        <v>166</v>
      </c>
      <c r="H15" s="112" t="s">
        <v>167</v>
      </c>
      <c r="I15" s="112" t="s">
        <v>168</v>
      </c>
      <c r="J15" s="112" t="s">
        <v>169</v>
      </c>
      <c r="K15" s="112" t="s">
        <v>170</v>
      </c>
      <c r="L15" s="112" t="s">
        <v>171</v>
      </c>
      <c r="M15" s="112" t="s">
        <v>172</v>
      </c>
      <c r="N15" s="112" t="s">
        <v>173</v>
      </c>
    </row>
    <row r="16" spans="2:14" ht="28.5" customHeight="1" x14ac:dyDescent="0.2">
      <c r="B16" s="113" t="s">
        <v>174</v>
      </c>
      <c r="C16" s="420"/>
      <c r="D16" s="421"/>
      <c r="E16" s="421"/>
      <c r="F16" s="421"/>
      <c r="G16" s="421"/>
      <c r="H16" s="421"/>
      <c r="I16" s="421"/>
      <c r="J16" s="421"/>
      <c r="K16" s="422"/>
      <c r="L16" s="111">
        <v>527344.76260000002</v>
      </c>
      <c r="M16" s="111">
        <v>542887.95270000002</v>
      </c>
      <c r="N16" s="111">
        <v>530789.10450000002</v>
      </c>
    </row>
    <row r="17" spans="2:14" ht="26.25" customHeight="1" x14ac:dyDescent="0.2">
      <c r="B17" s="114" t="s">
        <v>175</v>
      </c>
      <c r="C17" s="111">
        <v>577599.26069999998</v>
      </c>
      <c r="D17" s="111">
        <v>549500.304</v>
      </c>
      <c r="E17" s="111">
        <v>437038.73300000001</v>
      </c>
      <c r="F17" s="111">
        <v>498381.28909999994</v>
      </c>
      <c r="G17" s="111">
        <v>567710.58700000006</v>
      </c>
      <c r="H17" s="111">
        <v>626665.41229999997</v>
      </c>
      <c r="I17" s="111">
        <v>732996.54229999997</v>
      </c>
      <c r="J17" s="111">
        <v>807380.11509999994</v>
      </c>
      <c r="K17" s="111">
        <v>765103.69790000003</v>
      </c>
      <c r="L17" s="111">
        <v>674808.60869999998</v>
      </c>
      <c r="M17" s="111">
        <v>636029.23249999993</v>
      </c>
      <c r="N17" s="111">
        <v>575999.90890000004</v>
      </c>
    </row>
    <row r="18" spans="2:14" ht="28.5" customHeight="1" x14ac:dyDescent="0.2">
      <c r="B18" s="120" t="s">
        <v>176</v>
      </c>
      <c r="C18" s="111">
        <v>565777.06310000003</v>
      </c>
      <c r="D18" s="111">
        <v>589465.87030000007</v>
      </c>
      <c r="E18" s="111">
        <v>559348.96649999998</v>
      </c>
      <c r="F18" s="111">
        <v>706566.82740000007</v>
      </c>
      <c r="G18" s="111">
        <v>750048.77370000002</v>
      </c>
      <c r="H18" s="111">
        <v>823657.03619999997</v>
      </c>
      <c r="I18" s="111">
        <v>863911.20730000001</v>
      </c>
      <c r="J18" s="111">
        <v>948371.73810000008</v>
      </c>
      <c r="K18" s="111">
        <v>870086.49040000001</v>
      </c>
      <c r="L18" s="111">
        <v>828237.32940000005</v>
      </c>
      <c r="M18" s="111">
        <v>728226.36450000003</v>
      </c>
      <c r="N18" s="111">
        <v>620794.43210000009</v>
      </c>
    </row>
    <row r="19" spans="2:14" ht="30" customHeight="1" x14ac:dyDescent="0.2">
      <c r="B19" s="115" t="s">
        <v>177</v>
      </c>
      <c r="C19" s="111">
        <v>629018.45440000005</v>
      </c>
      <c r="D19" s="111">
        <v>609232.05440000002</v>
      </c>
      <c r="E19" s="111">
        <v>564099.54039999994</v>
      </c>
      <c r="F19" s="111">
        <v>625412.74040000001</v>
      </c>
      <c r="G19" s="111">
        <v>591310.6496</v>
      </c>
      <c r="H19" s="111">
        <v>627578.14100000006</v>
      </c>
      <c r="I19" s="111">
        <v>723790.51</v>
      </c>
      <c r="J19" s="111">
        <v>756208.25020000001</v>
      </c>
      <c r="K19" s="111">
        <v>734211.55240000004</v>
      </c>
      <c r="L19" s="111">
        <v>634725.01650000003</v>
      </c>
      <c r="M19" s="111">
        <v>492313.53600000002</v>
      </c>
      <c r="N19" s="111">
        <v>430486.08379999996</v>
      </c>
    </row>
    <row r="20" spans="2:14" ht="32.25" customHeight="1" x14ac:dyDescent="0.2">
      <c r="B20" s="126" t="s">
        <v>178</v>
      </c>
      <c r="C20" s="111">
        <v>417767.50199999998</v>
      </c>
      <c r="D20" s="111">
        <v>437511.45040000003</v>
      </c>
      <c r="E20" s="111">
        <v>422948.91399999999</v>
      </c>
      <c r="F20" s="111">
        <v>483026.4265</v>
      </c>
      <c r="G20" s="111">
        <v>494466.65997999994</v>
      </c>
      <c r="H20" s="111">
        <v>603890.59699500015</v>
      </c>
      <c r="I20" s="71"/>
      <c r="J20" s="71"/>
      <c r="K20" s="71"/>
      <c r="L20" s="71"/>
      <c r="M20" s="71"/>
      <c r="N20" s="71"/>
    </row>
    <row r="26" spans="2:14" ht="16.5" customHeight="1" x14ac:dyDescent="0.2"/>
    <row r="27" spans="2:14" ht="15.75" customHeight="1" x14ac:dyDescent="0.2"/>
  </sheetData>
  <mergeCells count="4">
    <mergeCell ref="C5:N5"/>
    <mergeCell ref="C13:N13"/>
    <mergeCell ref="C8:K8"/>
    <mergeCell ref="C16:K16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26"/>
  <sheetViews>
    <sheetView zoomScaleNormal="100" workbookViewId="0">
      <selection activeCell="H20" sqref="H20:J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4" t="s">
        <v>180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1" customHeight="1" x14ac:dyDescent="0.2"/>
    <row r="7" spans="2:14" x14ac:dyDescent="0.2">
      <c r="C7" s="112" t="s">
        <v>162</v>
      </c>
      <c r="D7" s="112" t="s">
        <v>163</v>
      </c>
      <c r="E7" s="112" t="s">
        <v>164</v>
      </c>
      <c r="F7" s="112" t="s">
        <v>165</v>
      </c>
      <c r="G7" s="112" t="s">
        <v>166</v>
      </c>
      <c r="H7" s="112" t="s">
        <v>167</v>
      </c>
      <c r="I7" s="112" t="s">
        <v>168</v>
      </c>
      <c r="J7" s="112" t="s">
        <v>169</v>
      </c>
      <c r="K7" s="112" t="s">
        <v>170</v>
      </c>
      <c r="L7" s="112" t="s">
        <v>171</v>
      </c>
      <c r="M7" s="112" t="s">
        <v>172</v>
      </c>
      <c r="N7" s="112" t="s">
        <v>173</v>
      </c>
    </row>
    <row r="8" spans="2:14" ht="33" customHeight="1" x14ac:dyDescent="0.2">
      <c r="B8" s="113" t="s">
        <v>174</v>
      </c>
      <c r="C8" s="420"/>
      <c r="D8" s="421"/>
      <c r="E8" s="421"/>
      <c r="F8" s="421"/>
      <c r="G8" s="421"/>
      <c r="H8" s="421"/>
      <c r="I8" s="421"/>
      <c r="J8" s="421"/>
      <c r="K8" s="422"/>
      <c r="L8" s="111"/>
      <c r="M8" s="111">
        <v>3298</v>
      </c>
      <c r="N8" s="111">
        <v>3866</v>
      </c>
    </row>
    <row r="9" spans="2:14" ht="39" customHeight="1" x14ac:dyDescent="0.2">
      <c r="B9" s="114" t="s">
        <v>175</v>
      </c>
      <c r="C9" s="111">
        <v>4094</v>
      </c>
      <c r="D9" s="111">
        <v>3691</v>
      </c>
      <c r="E9" s="111">
        <v>3917</v>
      </c>
      <c r="F9" s="111">
        <v>4785</v>
      </c>
      <c r="G9" s="111">
        <v>5213</v>
      </c>
      <c r="H9" s="111">
        <v>4103</v>
      </c>
      <c r="I9" s="111">
        <v>5622</v>
      </c>
      <c r="J9" s="111">
        <v>6568</v>
      </c>
      <c r="K9" s="111">
        <v>4813</v>
      </c>
      <c r="L9" s="111">
        <v>6088</v>
      </c>
      <c r="M9" s="111">
        <v>4819</v>
      </c>
      <c r="N9" s="111">
        <v>5252</v>
      </c>
    </row>
    <row r="10" spans="2:14" ht="36" customHeight="1" x14ac:dyDescent="0.2">
      <c r="B10" s="120" t="s">
        <v>176</v>
      </c>
      <c r="C10" s="111">
        <v>5132</v>
      </c>
      <c r="D10" s="111">
        <v>4589</v>
      </c>
      <c r="E10" s="111">
        <v>6190</v>
      </c>
      <c r="F10" s="111">
        <v>6170</v>
      </c>
      <c r="G10" s="111">
        <v>5980</v>
      </c>
      <c r="H10" s="111">
        <v>6097.8</v>
      </c>
      <c r="I10" s="111">
        <v>7050</v>
      </c>
      <c r="J10" s="111">
        <v>8050</v>
      </c>
      <c r="K10" s="111">
        <v>6678</v>
      </c>
      <c r="L10" s="111">
        <v>6859</v>
      </c>
      <c r="M10" s="111">
        <v>5960</v>
      </c>
      <c r="N10" s="111">
        <v>5210.0999999999985</v>
      </c>
    </row>
    <row r="11" spans="2:14" ht="36.75" customHeight="1" x14ac:dyDescent="0.2">
      <c r="B11" s="115" t="s">
        <v>177</v>
      </c>
      <c r="C11" s="111">
        <v>5598.9000000000015</v>
      </c>
      <c r="D11" s="111">
        <v>5297</v>
      </c>
      <c r="E11" s="111">
        <v>5857</v>
      </c>
      <c r="F11" s="111">
        <v>6284</v>
      </c>
      <c r="G11" s="111">
        <v>5500</v>
      </c>
      <c r="H11" s="111">
        <v>5583.8000000000029</v>
      </c>
      <c r="I11" s="111">
        <v>6266.8999999999942</v>
      </c>
      <c r="J11" s="111">
        <v>6178.3000000000029</v>
      </c>
      <c r="K11" s="111">
        <v>6144.5</v>
      </c>
      <c r="L11" s="111">
        <v>6117.5</v>
      </c>
      <c r="M11" s="111">
        <v>5023</v>
      </c>
      <c r="N11" s="111">
        <v>4767.8</v>
      </c>
    </row>
    <row r="12" spans="2:14" ht="33.75" customHeight="1" thickBot="1" x14ac:dyDescent="0.25">
      <c r="B12" s="126" t="s">
        <v>178</v>
      </c>
      <c r="C12" s="111">
        <v>5044.8</v>
      </c>
      <c r="D12" s="111">
        <v>5061</v>
      </c>
      <c r="E12" s="111">
        <v>5504</v>
      </c>
      <c r="F12" s="111">
        <v>5372.2999999999993</v>
      </c>
      <c r="G12" s="111">
        <v>4507.2999999999993</v>
      </c>
      <c r="H12" s="111">
        <v>5269.2000000000044</v>
      </c>
      <c r="I12" s="111"/>
      <c r="J12" s="111"/>
      <c r="K12" s="111"/>
      <c r="L12" s="111"/>
      <c r="M12" s="111"/>
      <c r="N12" s="111"/>
    </row>
    <row r="13" spans="2:14" ht="21" thickBot="1" x14ac:dyDescent="0.35">
      <c r="C13" s="414" t="s">
        <v>181</v>
      </c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4"/>
    </row>
    <row r="15" spans="2:14" ht="18" customHeight="1" x14ac:dyDescent="0.2">
      <c r="C15" s="112" t="s">
        <v>162</v>
      </c>
      <c r="D15" s="112" t="s">
        <v>163</v>
      </c>
      <c r="E15" s="112" t="s">
        <v>164</v>
      </c>
      <c r="F15" s="112" t="s">
        <v>165</v>
      </c>
      <c r="G15" s="112" t="s">
        <v>166</v>
      </c>
      <c r="H15" s="112" t="s">
        <v>167</v>
      </c>
      <c r="I15" s="112" t="s">
        <v>168</v>
      </c>
      <c r="J15" s="112" t="s">
        <v>169</v>
      </c>
      <c r="K15" s="112" t="s">
        <v>170</v>
      </c>
      <c r="L15" s="112" t="s">
        <v>171</v>
      </c>
      <c r="M15" s="112" t="s">
        <v>172</v>
      </c>
      <c r="N15" s="112" t="s">
        <v>173</v>
      </c>
    </row>
    <row r="16" spans="2:14" ht="30" customHeight="1" x14ac:dyDescent="0.2">
      <c r="B16" s="113" t="s">
        <v>174</v>
      </c>
      <c r="C16" s="420"/>
      <c r="D16" s="421"/>
      <c r="E16" s="421"/>
      <c r="F16" s="421"/>
      <c r="G16" s="421"/>
      <c r="H16" s="421"/>
      <c r="I16" s="421"/>
      <c r="J16" s="421"/>
      <c r="K16" s="422"/>
      <c r="L16" s="111"/>
      <c r="M16" s="111">
        <v>43165.84</v>
      </c>
      <c r="N16" s="111">
        <v>50595.28</v>
      </c>
    </row>
    <row r="17" spans="2:15" ht="31.5" customHeight="1" x14ac:dyDescent="0.2">
      <c r="B17" s="114" t="s">
        <v>175</v>
      </c>
      <c r="C17" s="111">
        <v>53565.520000000004</v>
      </c>
      <c r="D17" s="111">
        <v>48294.28</v>
      </c>
      <c r="E17" s="111">
        <v>51250.36</v>
      </c>
      <c r="F17" s="111">
        <v>62603.8</v>
      </c>
      <c r="G17" s="111">
        <v>68202.040000000008</v>
      </c>
      <c r="H17" s="111">
        <v>53683.240000000005</v>
      </c>
      <c r="I17" s="111">
        <v>73551.760000000009</v>
      </c>
      <c r="J17" s="111">
        <v>85925.440000000002</v>
      </c>
      <c r="K17" s="111">
        <v>57158.52</v>
      </c>
      <c r="L17" s="111">
        <v>67234.52</v>
      </c>
      <c r="M17" s="111">
        <v>53224.76</v>
      </c>
      <c r="N17" s="111">
        <v>58005.08</v>
      </c>
    </row>
    <row r="18" spans="2:15" ht="34.5" customHeight="1" x14ac:dyDescent="0.2">
      <c r="B18" s="120" t="s">
        <v>176</v>
      </c>
      <c r="C18" s="111">
        <v>56680.28</v>
      </c>
      <c r="D18" s="111">
        <v>50685.56</v>
      </c>
      <c r="E18" s="111">
        <v>68360.600000000006</v>
      </c>
      <c r="F18" s="111">
        <v>68139.8</v>
      </c>
      <c r="G18" s="111">
        <v>66042.2</v>
      </c>
      <c r="H18" s="111">
        <v>67342.712</v>
      </c>
      <c r="I18" s="111">
        <v>77855</v>
      </c>
      <c r="J18" s="111">
        <v>88895</v>
      </c>
      <c r="K18" s="111">
        <v>73748.12</v>
      </c>
      <c r="L18" s="111">
        <v>75746.36</v>
      </c>
      <c r="M18" s="111">
        <v>65821.399999999994</v>
      </c>
      <c r="N18" s="111">
        <v>57542.503999999986</v>
      </c>
    </row>
    <row r="19" spans="2:15" ht="36" customHeight="1" x14ac:dyDescent="0.2">
      <c r="B19" s="115" t="s">
        <v>177</v>
      </c>
      <c r="C19" s="111">
        <v>61834.856000000014</v>
      </c>
      <c r="D19" s="111">
        <v>58501.880000000005</v>
      </c>
      <c r="E19" s="111">
        <v>64684.28</v>
      </c>
      <c r="F19" s="111">
        <v>69398.36</v>
      </c>
      <c r="G19" s="111">
        <v>60743</v>
      </c>
      <c r="H19" s="111">
        <v>61668.152000000031</v>
      </c>
      <c r="I19" s="111">
        <v>69209.575999999943</v>
      </c>
      <c r="J19" s="111">
        <v>68231.43200000003</v>
      </c>
      <c r="K19" s="111">
        <v>67858.28</v>
      </c>
      <c r="L19" s="111">
        <v>67560.2</v>
      </c>
      <c r="M19" s="111">
        <v>55476.92</v>
      </c>
      <c r="N19" s="111">
        <v>52659.512000000002</v>
      </c>
    </row>
    <row r="20" spans="2:15" ht="32.25" customHeight="1" x14ac:dyDescent="0.2">
      <c r="B20" s="126" t="s">
        <v>178</v>
      </c>
      <c r="C20" s="111">
        <v>55717.592000000004</v>
      </c>
      <c r="D20" s="111">
        <v>57718.399999999994</v>
      </c>
      <c r="E20" s="111">
        <v>62768.599999999991</v>
      </c>
      <c r="F20" s="111">
        <v>61267.219999999987</v>
      </c>
      <c r="G20" s="111">
        <v>51406.219999999987</v>
      </c>
      <c r="H20" s="111">
        <v>60091.880000000041</v>
      </c>
      <c r="I20" s="111"/>
      <c r="J20" s="111"/>
      <c r="K20" s="111"/>
      <c r="L20" s="111"/>
      <c r="M20" s="111"/>
      <c r="N20" s="111"/>
    </row>
    <row r="25" spans="2:15" ht="16.5" customHeight="1" x14ac:dyDescent="0.2">
      <c r="O25" t="s">
        <v>18</v>
      </c>
    </row>
    <row r="26" spans="2:15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26"/>
  <sheetViews>
    <sheetView zoomScaleNormal="100" workbookViewId="0">
      <selection activeCell="H20" sqref="H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4" t="s">
        <v>182</v>
      </c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6"/>
    </row>
    <row r="6" spans="2:14" ht="23.25" customHeight="1" x14ac:dyDescent="0.2"/>
    <row r="7" spans="2:14" x14ac:dyDescent="0.2">
      <c r="C7" s="112" t="s">
        <v>162</v>
      </c>
      <c r="D7" s="112" t="s">
        <v>163</v>
      </c>
      <c r="E7" s="112" t="s">
        <v>164</v>
      </c>
      <c r="F7" s="112" t="s">
        <v>165</v>
      </c>
      <c r="G7" s="112" t="s">
        <v>166</v>
      </c>
      <c r="H7" s="112" t="s">
        <v>167</v>
      </c>
      <c r="I7" s="112" t="s">
        <v>168</v>
      </c>
      <c r="J7" s="112" t="s">
        <v>169</v>
      </c>
      <c r="K7" s="112" t="s">
        <v>170</v>
      </c>
      <c r="L7" s="112" t="s">
        <v>171</v>
      </c>
      <c r="M7" s="112" t="s">
        <v>172</v>
      </c>
      <c r="N7" s="112" t="s">
        <v>173</v>
      </c>
    </row>
    <row r="8" spans="2:14" ht="33.75" customHeight="1" x14ac:dyDescent="0.2">
      <c r="B8" s="113" t="s">
        <v>174</v>
      </c>
      <c r="C8" s="420"/>
      <c r="D8" s="421"/>
      <c r="E8" s="421"/>
      <c r="F8" s="421"/>
      <c r="G8" s="421"/>
      <c r="H8" s="421"/>
      <c r="I8" s="421"/>
      <c r="J8" s="421"/>
      <c r="K8" s="422"/>
      <c r="L8" s="111">
        <v>19365</v>
      </c>
      <c r="M8" s="111">
        <v>21235</v>
      </c>
      <c r="N8" s="111">
        <v>34053</v>
      </c>
    </row>
    <row r="9" spans="2:14" ht="35.25" customHeight="1" x14ac:dyDescent="0.2">
      <c r="B9" s="114" t="s">
        <v>175</v>
      </c>
      <c r="C9" s="111">
        <v>23598</v>
      </c>
      <c r="D9" s="111">
        <v>28302</v>
      </c>
      <c r="E9" s="111">
        <v>23000</v>
      </c>
      <c r="F9" s="111">
        <v>28601</v>
      </c>
      <c r="G9" s="111">
        <v>24612</v>
      </c>
      <c r="H9" s="111">
        <v>16695</v>
      </c>
      <c r="I9" s="111">
        <v>10756</v>
      </c>
      <c r="J9" s="111">
        <v>14749</v>
      </c>
      <c r="K9" s="111">
        <v>18297</v>
      </c>
      <c r="L9" s="111">
        <v>20801</v>
      </c>
      <c r="M9" s="111">
        <v>22927</v>
      </c>
      <c r="N9" s="111">
        <v>38265</v>
      </c>
    </row>
    <row r="10" spans="2:14" ht="32.25" customHeight="1" x14ac:dyDescent="0.2">
      <c r="B10" s="120" t="s">
        <v>176</v>
      </c>
      <c r="C10" s="111">
        <v>39843</v>
      </c>
      <c r="D10" s="111">
        <v>27644</v>
      </c>
      <c r="E10" s="111">
        <v>31207</v>
      </c>
      <c r="F10" s="111">
        <v>34231</v>
      </c>
      <c r="G10" s="111">
        <v>21149.420000000002</v>
      </c>
      <c r="H10" s="111">
        <v>19502</v>
      </c>
      <c r="I10" s="111">
        <v>22293</v>
      </c>
      <c r="J10" s="111">
        <v>21244</v>
      </c>
      <c r="K10" s="111">
        <v>20201</v>
      </c>
      <c r="L10" s="111">
        <v>21000</v>
      </c>
      <c r="M10" s="111">
        <v>30135</v>
      </c>
      <c r="N10" s="111">
        <v>28841</v>
      </c>
    </row>
    <row r="11" spans="2:14" ht="34.5" customHeight="1" x14ac:dyDescent="0.2">
      <c r="B11" s="115" t="s">
        <v>177</v>
      </c>
      <c r="C11" s="111">
        <v>33210.620000000003</v>
      </c>
      <c r="D11" s="111">
        <v>27328.669000000002</v>
      </c>
      <c r="E11" s="111">
        <v>22296.292000000001</v>
      </c>
      <c r="F11" s="111">
        <v>18205.006000000001</v>
      </c>
      <c r="G11" s="111">
        <v>16641.811000000002</v>
      </c>
      <c r="H11" s="111">
        <v>17087.758000000002</v>
      </c>
      <c r="I11" s="111">
        <v>13220.239000000001</v>
      </c>
      <c r="J11" s="111">
        <v>15457.909000000001</v>
      </c>
      <c r="K11" s="111">
        <v>10651.944000000001</v>
      </c>
      <c r="L11" s="111">
        <v>13951.846000000001</v>
      </c>
      <c r="M11" s="111">
        <v>24676.263000000003</v>
      </c>
      <c r="N11" s="111">
        <v>21781.575000000001</v>
      </c>
    </row>
    <row r="12" spans="2:14" ht="36.75" customHeight="1" thickBot="1" x14ac:dyDescent="0.25">
      <c r="B12" s="126" t="s">
        <v>178</v>
      </c>
      <c r="C12" s="111">
        <v>26669.535</v>
      </c>
      <c r="D12" s="111">
        <v>26601.294000000002</v>
      </c>
      <c r="E12" s="111">
        <v>23114.126</v>
      </c>
      <c r="F12" s="111">
        <v>20873.811000000002</v>
      </c>
      <c r="G12" s="111">
        <v>14596.168000000001</v>
      </c>
      <c r="H12" s="111">
        <v>10659.35</v>
      </c>
      <c r="I12" s="111"/>
      <c r="J12" s="111"/>
      <c r="K12" s="111"/>
      <c r="L12" s="111"/>
      <c r="M12" s="111"/>
      <c r="N12" s="111"/>
    </row>
    <row r="13" spans="2:14" ht="21" thickBot="1" x14ac:dyDescent="0.35">
      <c r="C13" s="414" t="s">
        <v>183</v>
      </c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6"/>
    </row>
    <row r="15" spans="2:14" ht="17.25" customHeight="1" x14ac:dyDescent="0.2">
      <c r="C15" s="112" t="s">
        <v>162</v>
      </c>
      <c r="D15" s="112" t="s">
        <v>163</v>
      </c>
      <c r="E15" s="112" t="s">
        <v>164</v>
      </c>
      <c r="F15" s="112" t="s">
        <v>165</v>
      </c>
      <c r="G15" s="112" t="s">
        <v>166</v>
      </c>
      <c r="H15" s="112" t="s">
        <v>167</v>
      </c>
      <c r="I15" s="112" t="s">
        <v>168</v>
      </c>
      <c r="J15" s="112" t="s">
        <v>169</v>
      </c>
      <c r="K15" s="112" t="s">
        <v>170</v>
      </c>
      <c r="L15" s="112" t="s">
        <v>171</v>
      </c>
      <c r="M15" s="112" t="s">
        <v>172</v>
      </c>
      <c r="N15" s="112" t="s">
        <v>173</v>
      </c>
    </row>
    <row r="16" spans="2:14" ht="30" customHeight="1" x14ac:dyDescent="0.2">
      <c r="B16" s="113" t="s">
        <v>174</v>
      </c>
      <c r="C16" s="420"/>
      <c r="D16" s="421"/>
      <c r="E16" s="421"/>
      <c r="F16" s="421"/>
      <c r="G16" s="421"/>
      <c r="H16" s="421"/>
      <c r="I16" s="421"/>
      <c r="J16" s="421"/>
      <c r="K16" s="422"/>
      <c r="L16" s="111">
        <v>222503.85</v>
      </c>
      <c r="M16" s="111">
        <v>248385.8</v>
      </c>
      <c r="N16" s="111">
        <v>412790.47</v>
      </c>
    </row>
    <row r="17" spans="2:14" ht="30" customHeight="1" x14ac:dyDescent="0.2">
      <c r="B17" s="114" t="s">
        <v>175</v>
      </c>
      <c r="C17" s="111">
        <v>281335.36</v>
      </c>
      <c r="D17" s="111">
        <v>329491.88</v>
      </c>
      <c r="E17" s="116">
        <v>263166</v>
      </c>
      <c r="F17" s="111">
        <v>334402.89</v>
      </c>
      <c r="G17" s="111">
        <v>287763.5</v>
      </c>
      <c r="H17" s="111">
        <v>200206.44</v>
      </c>
      <c r="I17" s="111">
        <v>128985.95</v>
      </c>
      <c r="J17" s="111">
        <v>174687.16</v>
      </c>
      <c r="K17" s="111">
        <v>221708.41</v>
      </c>
      <c r="L17" s="111">
        <v>257125.33</v>
      </c>
      <c r="M17" s="111">
        <v>290283.33</v>
      </c>
      <c r="N17" s="111">
        <v>491751.17</v>
      </c>
    </row>
    <row r="18" spans="2:14" ht="38.25" customHeight="1" x14ac:dyDescent="0.2">
      <c r="B18" s="120" t="s">
        <v>176</v>
      </c>
      <c r="C18" s="111">
        <v>534222.91</v>
      </c>
      <c r="D18" s="111">
        <v>397841.39</v>
      </c>
      <c r="E18" s="116">
        <v>463317.85</v>
      </c>
      <c r="F18" s="111">
        <v>473982.96</v>
      </c>
      <c r="G18" s="111">
        <v>288617.67497200001</v>
      </c>
      <c r="H18" s="111">
        <v>262138.08</v>
      </c>
      <c r="I18" s="111">
        <v>290959.32</v>
      </c>
      <c r="J18" s="111">
        <v>277268.19</v>
      </c>
      <c r="K18" s="111">
        <v>269109.64</v>
      </c>
      <c r="L18" s="111">
        <v>279753.59999999998</v>
      </c>
      <c r="M18" s="111">
        <v>411233.26</v>
      </c>
      <c r="N18" s="111">
        <v>393575.4632766</v>
      </c>
    </row>
    <row r="19" spans="2:14" ht="36" customHeight="1" x14ac:dyDescent="0.2">
      <c r="B19" s="115" t="s">
        <v>177</v>
      </c>
      <c r="C19" s="111">
        <v>433913.35561000003</v>
      </c>
      <c r="D19" s="111">
        <v>365261.32551950007</v>
      </c>
      <c r="E19" s="111">
        <v>291312.20312600001</v>
      </c>
      <c r="F19" s="111">
        <v>213834.17997540004</v>
      </c>
      <c r="G19" s="111">
        <v>197886.11041990001</v>
      </c>
      <c r="H19" s="111">
        <v>143537.16720000003</v>
      </c>
      <c r="I19" s="111">
        <v>111050.00760000001</v>
      </c>
      <c r="J19" s="111">
        <v>129846.43560000001</v>
      </c>
      <c r="K19" s="111">
        <v>97997.8848</v>
      </c>
      <c r="L19" s="111">
        <v>117195.50640000001</v>
      </c>
      <c r="M19" s="111">
        <v>207280.60920000004</v>
      </c>
      <c r="N19" s="111">
        <v>182965.23</v>
      </c>
    </row>
    <row r="20" spans="2:14" ht="36.75" customHeight="1" x14ac:dyDescent="0.2">
      <c r="B20" s="126" t="s">
        <v>178</v>
      </c>
      <c r="C20" s="111">
        <v>224024.09400000001</v>
      </c>
      <c r="D20" s="111">
        <v>223450.86960000003</v>
      </c>
      <c r="E20" s="111">
        <v>209182.84030000001</v>
      </c>
      <c r="F20" s="111">
        <v>188907.98955000003</v>
      </c>
      <c r="G20" s="111">
        <v>129176.0868</v>
      </c>
      <c r="H20" s="111">
        <v>85274.8</v>
      </c>
      <c r="I20" s="111"/>
      <c r="J20" s="111"/>
      <c r="K20" s="111"/>
      <c r="L20" s="111"/>
      <c r="M20" s="111"/>
      <c r="N20" s="111"/>
    </row>
    <row r="25" spans="2:14" ht="16.5" customHeight="1" x14ac:dyDescent="0.2"/>
    <row r="26" spans="2:14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3E609-ACD9-4147-BDDA-0CA639B2D1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951111-7CAD-4B70-A565-6466C2480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2023-02-27T17:46:36Z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