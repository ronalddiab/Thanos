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<sst xmlns="http://schemas.openxmlformats.org/spreadsheetml/2006/main" count="139" uniqueCount="59">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</sst>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0" fillId="2" borderId="2" xfId="0" applyFont="1" applyFill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D2" sqref="D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Submetering!S2</f>
        <v>396.66899999999998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76</v>
      </c>
    </row>
    <row r="3" spans="1:11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Submetering!S3</f>
        <v>425.88000000000005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78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Submetering!S4</f>
        <v>467.37599999999998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110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Submetering!S5</f>
        <v>445.80899999999997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141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Submetering!S6</f>
        <v>445.80899999999997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51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Submetering!S7</f>
        <v>459.18600000000004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62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Submetering!S8</f>
        <v>324.87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71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Submetering!S9</f>
        <v>409.5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65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Submetering!S10</f>
        <v>436.8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82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Submetering!S11</f>
        <v>1027.5720000000001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111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Submetering!S12</f>
        <v>201.47400000000002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125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Submetering!S13</f>
        <v>149.33100000000002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103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Submetering!S14</f>
        <v>478.02300000000002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75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Submetering!S15</f>
        <v>503.13900000000001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73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Submetering!S16</f>
        <v>375.64800000000002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64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Submetering!S17</f>
        <v>641.82300000000009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75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52920</v>
      </c>
      <c r="F18" s="11">
        <v>5.0000000000000001E-3</v>
      </c>
      <c r="G18" s="12">
        <f>Submetering!S18</f>
        <v>365.82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112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52320</v>
      </c>
      <c r="F19" s="11">
        <v>5.0000000000000001E-3</v>
      </c>
      <c r="G19" s="12">
        <f>Submetering!S19</f>
        <v>502.32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121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58012</v>
      </c>
      <c r="F20" s="11">
        <v>5.0000000000000001E-3</v>
      </c>
      <c r="G20" s="12">
        <f>Submetering!S20</f>
        <v>652.197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73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51350</v>
      </c>
      <c r="F21" s="11">
        <v>5.0000000000000001E-3</v>
      </c>
      <c r="G21" s="12">
        <f>Submetering!S21</f>
        <v>252.798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71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53658</v>
      </c>
      <c r="F22" s="11">
        <v>5.0000000000000001E-3</v>
      </c>
      <c r="G22" s="12">
        <f>Submetering!S22</f>
        <v>478.02300000000002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70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52810</v>
      </c>
      <c r="F23" s="11">
        <v>5.0000000000000001E-3</v>
      </c>
      <c r="G23" s="12">
        <f>Submetering!S23</f>
        <v>495.22199999999998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82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53470</v>
      </c>
      <c r="F24" s="11">
        <v>5.0000000000000001E-3</v>
      </c>
      <c r="G24" s="12">
        <f>Submetering!S24</f>
        <v>456.45599999999996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83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53160</v>
      </c>
      <c r="F25" s="11">
        <v>5.0000000000000001E-3</v>
      </c>
      <c r="G25" s="12">
        <f>Submetering!S25</f>
        <v>405.40500000000003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138</v>
      </c>
    </row>
    <row r="26" spans="1:11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57640</v>
      </c>
      <c r="F26" s="11">
        <v>5.0000000000000001E-3</v>
      </c>
      <c r="G26" s="12">
        <f>Submetering!S26</f>
        <v>491.4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166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50068</v>
      </c>
      <c r="F27" s="11">
        <v>5.0000000000000001E-3</v>
      </c>
      <c r="G27" s="12">
        <f>Submetering!S27</f>
        <v>559.37700000000007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90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60488</v>
      </c>
      <c r="F28" s="11">
        <v>5.0000000000000001E-3</v>
      </c>
      <c r="G28" s="12">
        <f>Submetering!S28</f>
        <v>512.96699999999998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85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54694</v>
      </c>
      <c r="F29" s="11">
        <v>5.0000000000000001E-3</v>
      </c>
      <c r="G29" s="12">
        <f>Submetering!S29</f>
        <v>419.05500000000001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84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55860</v>
      </c>
      <c r="F30" s="11">
        <v>5.0000000000000001E-3</v>
      </c>
      <c r="G30" s="12">
        <f>Submetering!S30</f>
        <v>511.875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85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53620</v>
      </c>
      <c r="F31" s="11">
        <v>5.0000000000000001E-3</v>
      </c>
      <c r="G31" s="12">
        <f>Submetering!S31</f>
        <v>449.08499999999998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92</v>
      </c>
    </row>
    <row r="32" spans="1:1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57270</v>
      </c>
      <c r="F32" s="11">
        <v>5.0000000000000001E-3</v>
      </c>
      <c r="G32" s="12">
        <f>Submetering!S32</f>
        <v>557.73900000000003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4" workbookViewId="0">
      <selection activeCell="D2" sqref="D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12</v>
      </c>
      <c r="D2" s="11">
        <f>TOTAL!D2</f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Hotel!AT7</f>
        <v>0</v>
      </c>
      <c r="S2" s="4">
        <f>Hotel!BA7</f>
        <v>396.66899999999998</v>
      </c>
      <c r="T2" s="4">
        <f>Hotel!AX7</f>
        <v>0</v>
      </c>
      <c r="U2" s="4">
        <f>Hotel!B7</f>
        <v>76</v>
      </c>
    </row>
    <row r="3" spans="1:21" x14ac:dyDescent="0.25">
      <c r="A3" s="21" t="s">
        <v>31</v>
      </c>
      <c r="B3" s="2">
        <f>B2+1</f>
        <v>2</v>
      </c>
      <c r="C3" s="3">
        <v>12</v>
      </c>
      <c r="D3" s="11">
        <f>TOTAL!D3</f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Hotel!AT8</f>
        <v>0</v>
      </c>
      <c r="S3" s="4">
        <f>Hotel!BA8</f>
        <v>425.88000000000005</v>
      </c>
      <c r="T3" s="4">
        <f>Hotel!AX8</f>
        <v>0</v>
      </c>
      <c r="U3" s="4">
        <f>Hotel!B8</f>
        <v>78</v>
      </c>
    </row>
    <row r="4" spans="1:21" x14ac:dyDescent="0.25">
      <c r="A4" s="21" t="s">
        <v>31</v>
      </c>
      <c r="B4" s="2">
        <f t="shared" ref="B4:B29" si="0">B3+1</f>
        <v>3</v>
      </c>
      <c r="C4" s="3">
        <v>12</v>
      </c>
      <c r="D4" s="11">
        <f>TOTAL!D4</f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Hotel!AT9</f>
        <v>0</v>
      </c>
      <c r="S4" s="4">
        <f>Hotel!BA9</f>
        <v>467.37599999999998</v>
      </c>
      <c r="T4" s="4">
        <f>Hotel!AX9</f>
        <v>0</v>
      </c>
      <c r="U4" s="4">
        <f>Hotel!B9</f>
        <v>110</v>
      </c>
    </row>
    <row r="5" spans="1:21" x14ac:dyDescent="0.25">
      <c r="A5" s="21" t="s">
        <v>31</v>
      </c>
      <c r="B5" s="2">
        <f t="shared" si="0"/>
        <v>4</v>
      </c>
      <c r="C5" s="3">
        <v>12</v>
      </c>
      <c r="D5" s="11">
        <f>TOTAL!D5</f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Hotel!AT10</f>
        <v>0</v>
      </c>
      <c r="S5" s="4">
        <f>Hotel!BA10</f>
        <v>445.80899999999997</v>
      </c>
      <c r="T5" s="4">
        <f>Hotel!AX10</f>
        <v>0</v>
      </c>
      <c r="U5" s="4">
        <f>Hotel!B10</f>
        <v>141</v>
      </c>
    </row>
    <row r="6" spans="1:21" x14ac:dyDescent="0.25">
      <c r="A6" s="21" t="s">
        <v>31</v>
      </c>
      <c r="B6" s="2">
        <f t="shared" si="0"/>
        <v>5</v>
      </c>
      <c r="C6" s="3">
        <v>12</v>
      </c>
      <c r="D6" s="11">
        <f>TOTAL!D6</f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Hotel!AT11</f>
        <v>0</v>
      </c>
      <c r="S6" s="4">
        <f>Hotel!BA11</f>
        <v>445.80899999999997</v>
      </c>
      <c r="T6" s="4">
        <f>Hotel!AX11</f>
        <v>0</v>
      </c>
      <c r="U6" s="4">
        <f>Hotel!B11</f>
        <v>51</v>
      </c>
    </row>
    <row r="7" spans="1:21" x14ac:dyDescent="0.25">
      <c r="A7" s="21" t="s">
        <v>31</v>
      </c>
      <c r="B7" s="2">
        <f t="shared" si="0"/>
        <v>6</v>
      </c>
      <c r="C7" s="3">
        <v>12</v>
      </c>
      <c r="D7" s="11">
        <f>TOTAL!D7</f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Hotel!AT12</f>
        <v>0</v>
      </c>
      <c r="S7" s="4">
        <f>Hotel!BA12</f>
        <v>459.18600000000004</v>
      </c>
      <c r="T7" s="4">
        <f>Hotel!AX12</f>
        <v>0</v>
      </c>
      <c r="U7" s="4">
        <f>Hotel!B12</f>
        <v>62</v>
      </c>
    </row>
    <row r="8" spans="1:21" x14ac:dyDescent="0.25">
      <c r="A8" s="21" t="s">
        <v>31</v>
      </c>
      <c r="B8" s="2">
        <f t="shared" si="0"/>
        <v>7</v>
      </c>
      <c r="C8" s="3">
        <v>12</v>
      </c>
      <c r="D8" s="11">
        <f>TOTAL!D8</f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Hotel!AT13</f>
        <v>0</v>
      </c>
      <c r="S8" s="4">
        <f>Hotel!BA13</f>
        <v>324.87</v>
      </c>
      <c r="T8" s="4">
        <f>Hotel!AX13</f>
        <v>0</v>
      </c>
      <c r="U8" s="4">
        <f>Hotel!B13</f>
        <v>71</v>
      </c>
    </row>
    <row r="9" spans="1:21" x14ac:dyDescent="0.25">
      <c r="A9" s="21" t="s">
        <v>31</v>
      </c>
      <c r="B9" s="2">
        <f t="shared" si="0"/>
        <v>8</v>
      </c>
      <c r="C9" s="3">
        <v>12</v>
      </c>
      <c r="D9" s="11">
        <f>TOTAL!D9</f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Hotel!AT14</f>
        <v>0</v>
      </c>
      <c r="S9" s="4">
        <f>Hotel!BA14</f>
        <v>409.5</v>
      </c>
      <c r="T9" s="4">
        <f>Hotel!AX14</f>
        <v>0</v>
      </c>
      <c r="U9" s="4">
        <f>Hotel!B14</f>
        <v>65</v>
      </c>
    </row>
    <row r="10" spans="1:21" x14ac:dyDescent="0.25">
      <c r="A10" s="21" t="s">
        <v>31</v>
      </c>
      <c r="B10" s="2">
        <f t="shared" si="0"/>
        <v>9</v>
      </c>
      <c r="C10" s="3">
        <v>12</v>
      </c>
      <c r="D10" s="11">
        <f>TOTAL!D10</f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Hotel!AT15</f>
        <v>0</v>
      </c>
      <c r="S10" s="4">
        <f>Hotel!BA15</f>
        <v>436.8</v>
      </c>
      <c r="T10" s="4">
        <f>Hotel!AX15</f>
        <v>0</v>
      </c>
      <c r="U10" s="4">
        <f>Hotel!B15</f>
        <v>82</v>
      </c>
    </row>
    <row r="11" spans="1:21" x14ac:dyDescent="0.25">
      <c r="A11" s="21" t="s">
        <v>31</v>
      </c>
      <c r="B11" s="2">
        <f t="shared" si="0"/>
        <v>10</v>
      </c>
      <c r="C11" s="3">
        <v>12</v>
      </c>
      <c r="D11" s="11">
        <f>TOTAL!D11</f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Hotel!AT16</f>
        <v>0</v>
      </c>
      <c r="S11" s="4">
        <f>Hotel!BA16</f>
        <v>1027.5720000000001</v>
      </c>
      <c r="T11" s="4">
        <f>Hotel!AX16</f>
        <v>0</v>
      </c>
      <c r="U11" s="4">
        <f>Hotel!B16</f>
        <v>111</v>
      </c>
    </row>
    <row r="12" spans="1:21" x14ac:dyDescent="0.25">
      <c r="A12" s="21" t="s">
        <v>31</v>
      </c>
      <c r="B12" s="2">
        <f t="shared" si="0"/>
        <v>11</v>
      </c>
      <c r="C12" s="3">
        <v>12</v>
      </c>
      <c r="D12" s="11">
        <f>TOTAL!D12</f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Hotel!AT17</f>
        <v>0</v>
      </c>
      <c r="S12" s="4">
        <f>Hotel!BA17</f>
        <v>201.47400000000002</v>
      </c>
      <c r="T12" s="4">
        <f>Hotel!AX17</f>
        <v>0</v>
      </c>
      <c r="U12" s="4">
        <f>Hotel!B17</f>
        <v>125</v>
      </c>
    </row>
    <row r="13" spans="1:21" x14ac:dyDescent="0.25">
      <c r="A13" s="21" t="s">
        <v>31</v>
      </c>
      <c r="B13" s="2">
        <f t="shared" si="0"/>
        <v>12</v>
      </c>
      <c r="C13" s="3">
        <v>12</v>
      </c>
      <c r="D13" s="11">
        <f>TOTAL!D13</f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Hotel!AT18</f>
        <v>0</v>
      </c>
      <c r="S13" s="4">
        <f>Hotel!BA18</f>
        <v>149.33100000000002</v>
      </c>
      <c r="T13" s="4">
        <f>Hotel!AX18</f>
        <v>0</v>
      </c>
      <c r="U13" s="4">
        <f>Hotel!B18</f>
        <v>103</v>
      </c>
    </row>
    <row r="14" spans="1:21" x14ac:dyDescent="0.25">
      <c r="A14" s="21" t="s">
        <v>31</v>
      </c>
      <c r="B14" s="2">
        <f t="shared" si="0"/>
        <v>13</v>
      </c>
      <c r="C14" s="3">
        <v>12</v>
      </c>
      <c r="D14" s="11">
        <f>TOTAL!D14</f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Hotel!AT19</f>
        <v>0</v>
      </c>
      <c r="S14" s="4">
        <f>Hotel!BA19</f>
        <v>478.02300000000002</v>
      </c>
      <c r="T14" s="4">
        <f>Hotel!AX19</f>
        <v>0</v>
      </c>
      <c r="U14" s="4">
        <f>Hotel!B19</f>
        <v>75</v>
      </c>
    </row>
    <row r="15" spans="1:21" x14ac:dyDescent="0.25">
      <c r="A15" s="21" t="s">
        <v>31</v>
      </c>
      <c r="B15" s="2">
        <f t="shared" si="0"/>
        <v>14</v>
      </c>
      <c r="C15" s="3">
        <v>12</v>
      </c>
      <c r="D15" s="11">
        <f>TOTAL!D15</f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Hotel!AT20</f>
        <v>0</v>
      </c>
      <c r="S15" s="4">
        <f>Hotel!BA20</f>
        <v>503.13900000000001</v>
      </c>
      <c r="T15" s="4">
        <f>Hotel!AX20</f>
        <v>0</v>
      </c>
      <c r="U15" s="4">
        <f>Hotel!B20</f>
        <v>73</v>
      </c>
    </row>
    <row r="16" spans="1:21" x14ac:dyDescent="0.25">
      <c r="A16" s="21" t="s">
        <v>31</v>
      </c>
      <c r="B16" s="2">
        <f t="shared" si="0"/>
        <v>15</v>
      </c>
      <c r="C16" s="3">
        <v>12</v>
      </c>
      <c r="D16" s="11">
        <f>TOTAL!D16</f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Hotel!AT21</f>
        <v>0</v>
      </c>
      <c r="S16" s="4">
        <f>Hotel!BA21</f>
        <v>375.64800000000002</v>
      </c>
      <c r="T16" s="4">
        <f>Hotel!AX21</f>
        <v>0</v>
      </c>
      <c r="U16" s="4">
        <f>Hotel!B21</f>
        <v>64</v>
      </c>
    </row>
    <row r="17" spans="1:21" x14ac:dyDescent="0.25">
      <c r="A17" s="21" t="s">
        <v>31</v>
      </c>
      <c r="B17" s="2">
        <f t="shared" si="0"/>
        <v>16</v>
      </c>
      <c r="C17" s="3">
        <v>12</v>
      </c>
      <c r="D17" s="11">
        <f>TOTAL!D17</f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Hotel!AT22</f>
        <v>0</v>
      </c>
      <c r="S17" s="4">
        <f>Hotel!BA22</f>
        <v>641.82300000000009</v>
      </c>
      <c r="T17" s="4">
        <f>Hotel!AX22</f>
        <v>0</v>
      </c>
      <c r="U17" s="4">
        <f>Hotel!B22</f>
        <v>75</v>
      </c>
    </row>
    <row r="18" spans="1:21" x14ac:dyDescent="0.25">
      <c r="A18" s="21" t="s">
        <v>31</v>
      </c>
      <c r="B18" s="2">
        <f t="shared" si="0"/>
        <v>17</v>
      </c>
      <c r="C18" s="3">
        <v>12</v>
      </c>
      <c r="D18" s="11">
        <f>TOTAL!D18</f>
        <v>2020</v>
      </c>
      <c r="E18" s="4">
        <f>Hotel!Q23</f>
        <v>550</v>
      </c>
      <c r="F18" s="4">
        <f>Hotel!R23</f>
        <v>1890</v>
      </c>
      <c r="G18" s="4">
        <f>Hotel!S23</f>
        <v>3070</v>
      </c>
      <c r="H18" s="4">
        <f>Hotel!T23</f>
        <v>1460</v>
      </c>
      <c r="I18" s="4">
        <f>Hotel!U23</f>
        <v>4840</v>
      </c>
      <c r="J18" s="4">
        <f>Hotel!V23</f>
        <v>3570</v>
      </c>
      <c r="K18" s="4">
        <f>Hotel!W23</f>
        <v>2420</v>
      </c>
      <c r="L18" s="4">
        <f>Hotel!X23</f>
        <v>3840</v>
      </c>
      <c r="M18" s="4">
        <f>Hotel!Y23</f>
        <v>5960</v>
      </c>
      <c r="N18" s="4">
        <f>Hotel!Z23</f>
        <v>2570</v>
      </c>
      <c r="O18" s="4">
        <f>Hotel!AA23</f>
        <v>3270</v>
      </c>
      <c r="P18" s="4">
        <f>Hotel!AB23</f>
        <v>7000</v>
      </c>
      <c r="Q18" s="4">
        <f>Hotel!AC23</f>
        <v>12480</v>
      </c>
      <c r="R18" s="4">
        <f>Hotel!AT23</f>
        <v>0</v>
      </c>
      <c r="S18" s="4">
        <f>Hotel!BA23</f>
        <v>365.82</v>
      </c>
      <c r="T18" s="4">
        <f>Hotel!AX23</f>
        <v>0</v>
      </c>
      <c r="U18" s="4">
        <f>Hotel!B23</f>
        <v>112</v>
      </c>
    </row>
    <row r="19" spans="1:21" x14ac:dyDescent="0.25">
      <c r="A19" s="21" t="s">
        <v>31</v>
      </c>
      <c r="B19" s="2">
        <f t="shared" si="0"/>
        <v>18</v>
      </c>
      <c r="C19" s="3">
        <v>12</v>
      </c>
      <c r="D19" s="11">
        <f>TOTAL!D19</f>
        <v>2020</v>
      </c>
      <c r="E19" s="4">
        <f>Hotel!Q24</f>
        <v>540</v>
      </c>
      <c r="F19" s="4">
        <f>Hotel!R24</f>
        <v>1810</v>
      </c>
      <c r="G19" s="4">
        <f>Hotel!S24</f>
        <v>2880</v>
      </c>
      <c r="H19" s="4">
        <f>Hotel!T24</f>
        <v>1410</v>
      </c>
      <c r="I19" s="4">
        <f>Hotel!U24</f>
        <v>4860</v>
      </c>
      <c r="J19" s="4">
        <f>Hotel!V24</f>
        <v>3600</v>
      </c>
      <c r="K19" s="4">
        <f>Hotel!W24</f>
        <v>2360</v>
      </c>
      <c r="L19" s="4">
        <f>Hotel!X24</f>
        <v>3770</v>
      </c>
      <c r="M19" s="4">
        <f>Hotel!Y24</f>
        <v>6180</v>
      </c>
      <c r="N19" s="4">
        <f>Hotel!Z24</f>
        <v>2620</v>
      </c>
      <c r="O19" s="4">
        <f>Hotel!AA24</f>
        <v>3270</v>
      </c>
      <c r="P19" s="4">
        <f>Hotel!AB24</f>
        <v>6980</v>
      </c>
      <c r="Q19" s="4">
        <f>Hotel!AC24</f>
        <v>12040</v>
      </c>
      <c r="R19" s="4">
        <f>Hotel!AT24</f>
        <v>0</v>
      </c>
      <c r="S19" s="4">
        <f>Hotel!BA24</f>
        <v>502.32</v>
      </c>
      <c r="T19" s="4">
        <f>Hotel!AX24</f>
        <v>0</v>
      </c>
      <c r="U19" s="4">
        <f>Hotel!B24</f>
        <v>121</v>
      </c>
    </row>
    <row r="20" spans="1:21" x14ac:dyDescent="0.25">
      <c r="A20" s="21" t="s">
        <v>31</v>
      </c>
      <c r="B20" s="2">
        <f t="shared" si="0"/>
        <v>19</v>
      </c>
      <c r="C20" s="3">
        <v>12</v>
      </c>
      <c r="D20" s="11">
        <f>TOTAL!D20</f>
        <v>2020</v>
      </c>
      <c r="E20" s="4">
        <f>Hotel!Q25</f>
        <v>600</v>
      </c>
      <c r="F20" s="4">
        <f>Hotel!R25</f>
        <v>2050</v>
      </c>
      <c r="G20" s="4">
        <f>Hotel!S25</f>
        <v>3110</v>
      </c>
      <c r="H20" s="4">
        <f>Hotel!T25</f>
        <v>1580</v>
      </c>
      <c r="I20" s="4">
        <f>Hotel!U25</f>
        <v>5500</v>
      </c>
      <c r="J20" s="4">
        <f>Hotel!V25</f>
        <v>3782</v>
      </c>
      <c r="K20" s="4">
        <f>Hotel!W25</f>
        <v>2640</v>
      </c>
      <c r="L20" s="4">
        <f>Hotel!X25</f>
        <v>4160</v>
      </c>
      <c r="M20" s="4">
        <f>Hotel!Y25</f>
        <v>6740</v>
      </c>
      <c r="N20" s="4">
        <f>Hotel!Z25</f>
        <v>2790</v>
      </c>
      <c r="O20" s="4">
        <f>Hotel!AA25</f>
        <v>3740</v>
      </c>
      <c r="P20" s="4">
        <f>Hotel!AB25</f>
        <v>7750</v>
      </c>
      <c r="Q20" s="4">
        <f>Hotel!AC25</f>
        <v>13570</v>
      </c>
      <c r="R20" s="4">
        <f>Hotel!AT25</f>
        <v>0</v>
      </c>
      <c r="S20" s="4">
        <f>Hotel!BA25</f>
        <v>652.197</v>
      </c>
      <c r="T20" s="4">
        <f>Hotel!AX25</f>
        <v>0</v>
      </c>
      <c r="U20" s="4">
        <f>Hotel!B25</f>
        <v>73</v>
      </c>
    </row>
    <row r="21" spans="1:21" x14ac:dyDescent="0.25">
      <c r="A21" s="21" t="s">
        <v>31</v>
      </c>
      <c r="B21" s="2">
        <f t="shared" si="0"/>
        <v>20</v>
      </c>
      <c r="C21" s="3">
        <v>12</v>
      </c>
      <c r="D21" s="11">
        <f>TOTAL!D21</f>
        <v>2020</v>
      </c>
      <c r="E21" s="4">
        <f>Hotel!Q26</f>
        <v>530</v>
      </c>
      <c r="F21" s="4">
        <f>Hotel!R26</f>
        <v>1810</v>
      </c>
      <c r="G21" s="4">
        <f>Hotel!S26</f>
        <v>2580</v>
      </c>
      <c r="H21" s="4">
        <f>Hotel!T26</f>
        <v>1400</v>
      </c>
      <c r="I21" s="4">
        <f>Hotel!U26</f>
        <v>4590</v>
      </c>
      <c r="J21" s="4">
        <f>Hotel!V26</f>
        <v>3348</v>
      </c>
      <c r="K21" s="4">
        <f>Hotel!W26</f>
        <v>2360</v>
      </c>
      <c r="L21" s="4">
        <f>Hotel!X26</f>
        <v>3420</v>
      </c>
      <c r="M21" s="4">
        <f>Hotel!Y26</f>
        <v>5520</v>
      </c>
      <c r="N21" s="4">
        <f>Hotel!Z26</f>
        <v>2380</v>
      </c>
      <c r="O21" s="4">
        <f>Hotel!AA26</f>
        <v>2970</v>
      </c>
      <c r="P21" s="4">
        <f>Hotel!AB26</f>
        <v>6790</v>
      </c>
      <c r="Q21" s="4">
        <f>Hotel!AC26</f>
        <v>13652</v>
      </c>
      <c r="R21" s="4">
        <f>Hotel!AT26</f>
        <v>0</v>
      </c>
      <c r="S21" s="4">
        <f>Hotel!BA26</f>
        <v>252.798</v>
      </c>
      <c r="T21" s="4">
        <f>Hotel!AX26</f>
        <v>0</v>
      </c>
      <c r="U21" s="4">
        <f>Hotel!B26</f>
        <v>71</v>
      </c>
    </row>
    <row r="22" spans="1:21" x14ac:dyDescent="0.25">
      <c r="A22" s="21" t="s">
        <v>31</v>
      </c>
      <c r="B22" s="2">
        <f t="shared" si="0"/>
        <v>21</v>
      </c>
      <c r="C22" s="3">
        <v>12</v>
      </c>
      <c r="D22" s="11">
        <f>TOTAL!D22</f>
        <v>2020</v>
      </c>
      <c r="E22" s="4">
        <f>Hotel!Q27</f>
        <v>560</v>
      </c>
      <c r="F22" s="4">
        <f>Hotel!R27</f>
        <v>1920</v>
      </c>
      <c r="G22" s="4">
        <f>Hotel!S27</f>
        <v>2660</v>
      </c>
      <c r="H22" s="4">
        <f>Hotel!T27</f>
        <v>1470</v>
      </c>
      <c r="I22" s="4">
        <f>Hotel!U27</f>
        <v>5100</v>
      </c>
      <c r="J22" s="4">
        <f>Hotel!V27</f>
        <v>3540</v>
      </c>
      <c r="K22" s="4">
        <f>Hotel!W27</f>
        <v>2500</v>
      </c>
      <c r="L22" s="4">
        <f>Hotel!X27</f>
        <v>3960</v>
      </c>
      <c r="M22" s="4">
        <f>Hotel!Y27</f>
        <v>6120</v>
      </c>
      <c r="N22" s="4">
        <f>Hotel!Z27</f>
        <v>2400</v>
      </c>
      <c r="O22" s="4">
        <f>Hotel!AA27</f>
        <v>3410</v>
      </c>
      <c r="P22" s="4">
        <f>Hotel!AB27</f>
        <v>7020</v>
      </c>
      <c r="Q22" s="4">
        <f>Hotel!AC27</f>
        <v>12998</v>
      </c>
      <c r="R22" s="4">
        <f>Hotel!AT27</f>
        <v>0</v>
      </c>
      <c r="S22" s="4">
        <f>Hotel!BA27</f>
        <v>478.02300000000002</v>
      </c>
      <c r="T22" s="4">
        <f>Hotel!AX27</f>
        <v>0</v>
      </c>
      <c r="U22" s="4">
        <f>Hotel!B27</f>
        <v>70</v>
      </c>
    </row>
    <row r="23" spans="1:21" x14ac:dyDescent="0.25">
      <c r="A23" s="21" t="s">
        <v>31</v>
      </c>
      <c r="B23" s="2">
        <f t="shared" si="0"/>
        <v>22</v>
      </c>
      <c r="C23" s="3">
        <v>12</v>
      </c>
      <c r="D23" s="11">
        <f>TOTAL!D23</f>
        <v>2020</v>
      </c>
      <c r="E23" s="4">
        <f>Hotel!Q28</f>
        <v>550</v>
      </c>
      <c r="F23" s="4">
        <f>Hotel!R28</f>
        <v>1860</v>
      </c>
      <c r="G23" s="4">
        <f>Hotel!S28</f>
        <v>2590</v>
      </c>
      <c r="H23" s="4">
        <f>Hotel!T28</f>
        <v>1430</v>
      </c>
      <c r="I23" s="4">
        <f>Hotel!U28</f>
        <v>5300</v>
      </c>
      <c r="J23" s="4">
        <f>Hotel!V28</f>
        <v>3460</v>
      </c>
      <c r="K23" s="4">
        <f>Hotel!W28</f>
        <v>2460</v>
      </c>
      <c r="L23" s="4">
        <f>Hotel!X28</f>
        <v>3840</v>
      </c>
      <c r="M23" s="4">
        <f>Hotel!Y28</f>
        <v>6170</v>
      </c>
      <c r="N23" s="4">
        <f>Hotel!Z28</f>
        <v>2530</v>
      </c>
      <c r="O23" s="4">
        <f>Hotel!AA28</f>
        <v>3120</v>
      </c>
      <c r="P23" s="4">
        <f>Hotel!AB28</f>
        <v>6710</v>
      </c>
      <c r="Q23" s="4">
        <f>Hotel!AC28</f>
        <v>12790</v>
      </c>
      <c r="R23" s="4">
        <f>Hotel!AT28</f>
        <v>0</v>
      </c>
      <c r="S23" s="4">
        <f>Hotel!BA28</f>
        <v>495.22199999999998</v>
      </c>
      <c r="T23" s="4">
        <f>Hotel!AX28</f>
        <v>0</v>
      </c>
      <c r="U23" s="4">
        <f>Hotel!B28</f>
        <v>82</v>
      </c>
    </row>
    <row r="24" spans="1:21" x14ac:dyDescent="0.25">
      <c r="A24" s="21" t="s">
        <v>31</v>
      </c>
      <c r="B24" s="2">
        <f t="shared" si="0"/>
        <v>23</v>
      </c>
      <c r="C24" s="3">
        <v>12</v>
      </c>
      <c r="D24" s="11">
        <f>TOTAL!D24</f>
        <v>2020</v>
      </c>
      <c r="E24" s="4">
        <f>Hotel!Q29</f>
        <v>560</v>
      </c>
      <c r="F24" s="4">
        <f>Hotel!R29</f>
        <v>1920</v>
      </c>
      <c r="G24" s="4">
        <f>Hotel!S29</f>
        <v>2730</v>
      </c>
      <c r="H24" s="4">
        <f>Hotel!T29</f>
        <v>1480</v>
      </c>
      <c r="I24" s="4">
        <f>Hotel!U29</f>
        <v>5400</v>
      </c>
      <c r="J24" s="4">
        <f>Hotel!V29</f>
        <v>3600</v>
      </c>
      <c r="K24" s="4">
        <f>Hotel!W29</f>
        <v>2510</v>
      </c>
      <c r="L24" s="4">
        <f>Hotel!X29</f>
        <v>3760</v>
      </c>
      <c r="M24" s="4">
        <f>Hotel!Y29</f>
        <v>6260</v>
      </c>
      <c r="N24" s="4">
        <f>Hotel!Z29</f>
        <v>2540</v>
      </c>
      <c r="O24" s="4">
        <f>Hotel!AA29</f>
        <v>3380</v>
      </c>
      <c r="P24" s="4">
        <f>Hotel!AB29</f>
        <v>7030</v>
      </c>
      <c r="Q24" s="4">
        <f>Hotel!AC29</f>
        <v>12300</v>
      </c>
      <c r="R24" s="4">
        <f>Hotel!AT29</f>
        <v>0</v>
      </c>
      <c r="S24" s="4">
        <f>Hotel!BA29</f>
        <v>456.45599999999996</v>
      </c>
      <c r="T24" s="4">
        <f>Hotel!AX29</f>
        <v>0</v>
      </c>
      <c r="U24" s="4">
        <f>Hotel!B29</f>
        <v>83</v>
      </c>
    </row>
    <row r="25" spans="1:21" x14ac:dyDescent="0.25">
      <c r="A25" s="21" t="s">
        <v>31</v>
      </c>
      <c r="B25" s="2">
        <f t="shared" si="0"/>
        <v>24</v>
      </c>
      <c r="C25" s="3">
        <v>12</v>
      </c>
      <c r="D25" s="11">
        <f>TOTAL!D25</f>
        <v>2020</v>
      </c>
      <c r="E25" s="4">
        <f>Hotel!Q30</f>
        <v>550</v>
      </c>
      <c r="F25" s="4">
        <f>Hotel!R30</f>
        <v>1870</v>
      </c>
      <c r="G25" s="4">
        <f>Hotel!S30</f>
        <v>2710</v>
      </c>
      <c r="H25" s="4">
        <f>Hotel!T30</f>
        <v>1440</v>
      </c>
      <c r="I25" s="4">
        <f>Hotel!U30</f>
        <v>5480</v>
      </c>
      <c r="J25" s="4">
        <f>Hotel!V30</f>
        <v>3580</v>
      </c>
      <c r="K25" s="4">
        <f>Hotel!W30</f>
        <v>2440</v>
      </c>
      <c r="L25" s="4">
        <f>Hotel!X30</f>
        <v>3690</v>
      </c>
      <c r="M25" s="4">
        <f>Hotel!Y30</f>
        <v>6170</v>
      </c>
      <c r="N25" s="4">
        <f>Hotel!Z30</f>
        <v>2580</v>
      </c>
      <c r="O25" s="4">
        <f>Hotel!AA30</f>
        <v>3420</v>
      </c>
      <c r="P25" s="4">
        <f>Hotel!AB30</f>
        <v>6830</v>
      </c>
      <c r="Q25" s="4">
        <f>Hotel!AC30</f>
        <v>12400</v>
      </c>
      <c r="R25" s="4">
        <f>Hotel!AT30</f>
        <v>0</v>
      </c>
      <c r="S25" s="4">
        <f>Hotel!BA30</f>
        <v>405.40500000000003</v>
      </c>
      <c r="T25" s="4">
        <f>Hotel!AX30</f>
        <v>0</v>
      </c>
      <c r="U25" s="4">
        <f>Hotel!B30</f>
        <v>138</v>
      </c>
    </row>
    <row r="26" spans="1:21" x14ac:dyDescent="0.25">
      <c r="A26" s="21" t="s">
        <v>31</v>
      </c>
      <c r="B26" s="2">
        <f>B25+1</f>
        <v>25</v>
      </c>
      <c r="C26" s="3">
        <v>12</v>
      </c>
      <c r="D26" s="11">
        <f>TOTAL!D26</f>
        <v>2020</v>
      </c>
      <c r="E26" s="4">
        <f>Hotel!Q31</f>
        <v>560</v>
      </c>
      <c r="F26" s="4">
        <f>Hotel!R31</f>
        <v>1930</v>
      </c>
      <c r="G26" s="4">
        <f>Hotel!S31</f>
        <v>2610</v>
      </c>
      <c r="H26" s="4">
        <f>Hotel!T31</f>
        <v>1480</v>
      </c>
      <c r="I26" s="4">
        <f>Hotel!U31</f>
        <v>5870</v>
      </c>
      <c r="J26" s="4">
        <f>Hotel!V31</f>
        <v>3850</v>
      </c>
      <c r="K26" s="4">
        <f>Hotel!W31</f>
        <v>2620</v>
      </c>
      <c r="L26" s="4">
        <f>Hotel!X31</f>
        <v>4070</v>
      </c>
      <c r="M26" s="4">
        <f>Hotel!Y31</f>
        <v>6470</v>
      </c>
      <c r="N26" s="4">
        <f>Hotel!Z31</f>
        <v>2860</v>
      </c>
      <c r="O26" s="4">
        <f>Hotel!AA31</f>
        <v>3840</v>
      </c>
      <c r="P26" s="4">
        <f>Hotel!AB31</f>
        <v>7000</v>
      </c>
      <c r="Q26" s="4">
        <f>Hotel!AC31</f>
        <v>14480</v>
      </c>
      <c r="R26" s="4">
        <f>Hotel!AT31</f>
        <v>0</v>
      </c>
      <c r="S26" s="4">
        <f>Hotel!BA31</f>
        <v>491.4</v>
      </c>
      <c r="T26" s="4">
        <f>Hotel!AX31</f>
        <v>0</v>
      </c>
      <c r="U26" s="4">
        <f>Hotel!B31</f>
        <v>166</v>
      </c>
    </row>
    <row r="27" spans="1:21" x14ac:dyDescent="0.25">
      <c r="A27" s="21" t="s">
        <v>31</v>
      </c>
      <c r="B27" s="2">
        <f t="shared" si="0"/>
        <v>26</v>
      </c>
      <c r="C27" s="3">
        <v>12</v>
      </c>
      <c r="D27" s="11">
        <f>TOTAL!D27</f>
        <v>2020</v>
      </c>
      <c r="E27" s="4">
        <f>Hotel!Q32</f>
        <v>580</v>
      </c>
      <c r="F27" s="4">
        <f>Hotel!R32</f>
        <v>1970</v>
      </c>
      <c r="G27" s="4">
        <f>Hotel!S32</f>
        <v>2500</v>
      </c>
      <c r="H27" s="4">
        <f>Hotel!T32</f>
        <v>1510</v>
      </c>
      <c r="I27" s="4">
        <f>Hotel!U32</f>
        <v>5980</v>
      </c>
      <c r="J27" s="4">
        <f>Hotel!V32</f>
        <v>3623</v>
      </c>
      <c r="K27" s="4">
        <f>Hotel!W32</f>
        <v>930</v>
      </c>
      <c r="L27" s="4">
        <f>Hotel!X32</f>
        <v>3685</v>
      </c>
      <c r="M27" s="4">
        <f>Hotel!Y32</f>
        <v>6550</v>
      </c>
      <c r="N27" s="4">
        <f>Hotel!Z32</f>
        <v>2930</v>
      </c>
      <c r="O27" s="4">
        <f>Hotel!AA32</f>
        <v>3710</v>
      </c>
      <c r="P27" s="4">
        <f>Hotel!AB32</f>
        <v>7000</v>
      </c>
      <c r="Q27" s="4">
        <f>Hotel!AC32</f>
        <v>9100</v>
      </c>
      <c r="R27" s="4">
        <f>Hotel!AT32</f>
        <v>0</v>
      </c>
      <c r="S27" s="4">
        <f>Hotel!BA32</f>
        <v>559.37700000000007</v>
      </c>
      <c r="T27" s="4">
        <f>Hotel!AX32</f>
        <v>0</v>
      </c>
      <c r="U27" s="4">
        <f>Hotel!B32</f>
        <v>90</v>
      </c>
    </row>
    <row r="28" spans="1:21" x14ac:dyDescent="0.25">
      <c r="A28" s="21" t="s">
        <v>31</v>
      </c>
      <c r="B28" s="2">
        <f t="shared" si="0"/>
        <v>27</v>
      </c>
      <c r="C28" s="3">
        <v>12</v>
      </c>
      <c r="D28" s="11">
        <f>TOTAL!D28</f>
        <v>2020</v>
      </c>
      <c r="E28" s="4">
        <f>Hotel!Q33</f>
        <v>540</v>
      </c>
      <c r="F28" s="4">
        <f>Hotel!R33</f>
        <v>1830</v>
      </c>
      <c r="G28" s="4">
        <f>Hotel!S33</f>
        <v>2290</v>
      </c>
      <c r="H28" s="4">
        <f>Hotel!T33</f>
        <v>1410</v>
      </c>
      <c r="I28" s="4">
        <f>Hotel!U33</f>
        <v>5250</v>
      </c>
      <c r="J28" s="4">
        <f>Hotel!V33</f>
        <v>3623</v>
      </c>
      <c r="K28" s="4">
        <f>Hotel!W33</f>
        <v>3150</v>
      </c>
      <c r="L28" s="4">
        <f>Hotel!X33</f>
        <v>3685</v>
      </c>
      <c r="M28" s="4">
        <f>Hotel!Y33</f>
        <v>5730</v>
      </c>
      <c r="N28" s="4">
        <f>Hotel!Z33</f>
        <v>2540</v>
      </c>
      <c r="O28" s="4">
        <f>Hotel!AA33</f>
        <v>3360</v>
      </c>
      <c r="P28" s="4">
        <f>Hotel!AB33</f>
        <v>7000</v>
      </c>
      <c r="Q28" s="4">
        <f>Hotel!AC33</f>
        <v>20080</v>
      </c>
      <c r="R28" s="4">
        <f>Hotel!AT33</f>
        <v>0</v>
      </c>
      <c r="S28" s="4">
        <f>Hotel!BA33</f>
        <v>512.96699999999998</v>
      </c>
      <c r="T28" s="4">
        <f>Hotel!AX33</f>
        <v>0</v>
      </c>
      <c r="U28" s="4">
        <f>Hotel!B33</f>
        <v>85</v>
      </c>
    </row>
    <row r="29" spans="1:21" x14ac:dyDescent="0.25">
      <c r="A29" s="21" t="s">
        <v>31</v>
      </c>
      <c r="B29" s="2">
        <f t="shared" si="0"/>
        <v>28</v>
      </c>
      <c r="C29" s="3">
        <v>12</v>
      </c>
      <c r="D29" s="11">
        <f>TOTAL!D29</f>
        <v>2020</v>
      </c>
      <c r="E29" s="4">
        <f>Hotel!Q34</f>
        <v>540</v>
      </c>
      <c r="F29" s="4">
        <f>Hotel!R34</f>
        <v>1840</v>
      </c>
      <c r="G29" s="4">
        <f>Hotel!S34</f>
        <v>2320</v>
      </c>
      <c r="H29" s="4">
        <f>Hotel!T34</f>
        <v>1410</v>
      </c>
      <c r="I29" s="4">
        <f>Hotel!U34</f>
        <v>5480</v>
      </c>
      <c r="J29" s="4">
        <f>Hotel!V34</f>
        <v>3624</v>
      </c>
      <c r="K29" s="4">
        <f>Hotel!W34</f>
        <v>3150</v>
      </c>
      <c r="L29" s="4">
        <f>Hotel!X34</f>
        <v>4160</v>
      </c>
      <c r="M29" s="4">
        <f>Hotel!Y34</f>
        <v>5800</v>
      </c>
      <c r="N29" s="4">
        <f>Hotel!Z34</f>
        <v>2390</v>
      </c>
      <c r="O29" s="4">
        <f>Hotel!AA34</f>
        <v>3460</v>
      </c>
      <c r="P29" s="4">
        <f>Hotel!AB34</f>
        <v>7000</v>
      </c>
      <c r="Q29" s="4">
        <f>Hotel!AC34</f>
        <v>13520</v>
      </c>
      <c r="R29" s="4">
        <f>Hotel!AT34</f>
        <v>0</v>
      </c>
      <c r="S29" s="4">
        <f>Hotel!BA34</f>
        <v>419.05500000000001</v>
      </c>
      <c r="T29" s="4">
        <f>Hotel!AX34</f>
        <v>0</v>
      </c>
      <c r="U29" s="4">
        <f>Hotel!B34</f>
        <v>84</v>
      </c>
    </row>
    <row r="30" spans="1:21" x14ac:dyDescent="0.25">
      <c r="A30" s="21" t="s">
        <v>31</v>
      </c>
      <c r="B30" s="2">
        <f>B29+1</f>
        <v>29</v>
      </c>
      <c r="C30" s="3">
        <v>12</v>
      </c>
      <c r="D30" s="11">
        <f>TOTAL!D30</f>
        <v>2020</v>
      </c>
      <c r="E30" s="4">
        <f>Hotel!Q35</f>
        <v>560</v>
      </c>
      <c r="F30" s="4">
        <f>Hotel!R35</f>
        <v>1920</v>
      </c>
      <c r="G30" s="4">
        <f>Hotel!S35</f>
        <v>2470</v>
      </c>
      <c r="H30" s="4">
        <f>Hotel!T35</f>
        <v>1480</v>
      </c>
      <c r="I30" s="4">
        <f>Hotel!U35</f>
        <v>6020</v>
      </c>
      <c r="J30" s="4">
        <f>Hotel!V35</f>
        <v>3650</v>
      </c>
      <c r="K30" s="4">
        <f>Hotel!W35</f>
        <v>2510</v>
      </c>
      <c r="L30" s="4">
        <f>Hotel!X35</f>
        <v>3890</v>
      </c>
      <c r="M30" s="4">
        <f>Hotel!Y35</f>
        <v>6280</v>
      </c>
      <c r="N30" s="4">
        <f>Hotel!Z35</f>
        <v>2650</v>
      </c>
      <c r="O30" s="4">
        <f>Hotel!AA35</f>
        <v>3600</v>
      </c>
      <c r="P30" s="4">
        <f>Hotel!AB35</f>
        <v>7000</v>
      </c>
      <c r="Q30" s="4">
        <f>Hotel!AC35</f>
        <v>13830</v>
      </c>
      <c r="R30" s="4">
        <f>Hotel!AT35</f>
        <v>0</v>
      </c>
      <c r="S30" s="4">
        <f>Hotel!BA35</f>
        <v>511.875</v>
      </c>
      <c r="T30" s="4">
        <f>Hotel!AX35</f>
        <v>0</v>
      </c>
      <c r="U30" s="4">
        <f>Hotel!B35</f>
        <v>85</v>
      </c>
    </row>
    <row r="31" spans="1:21" x14ac:dyDescent="0.25">
      <c r="A31" s="21" t="s">
        <v>31</v>
      </c>
      <c r="B31" s="2">
        <f>B30+1</f>
        <v>30</v>
      </c>
      <c r="C31" s="3">
        <v>12</v>
      </c>
      <c r="D31" s="11">
        <f>TOTAL!D31</f>
        <v>2020</v>
      </c>
      <c r="E31" s="4">
        <f>Hotel!Q36</f>
        <v>550</v>
      </c>
      <c r="F31" s="4">
        <f>Hotel!R36</f>
        <v>1890</v>
      </c>
      <c r="G31" s="4">
        <f>Hotel!S36</f>
        <v>2480</v>
      </c>
      <c r="H31" s="4">
        <f>Hotel!T36</f>
        <v>1440</v>
      </c>
      <c r="I31" s="4">
        <f>Hotel!U36</f>
        <v>5930</v>
      </c>
      <c r="J31" s="4">
        <f>Hotel!V36</f>
        <v>3580</v>
      </c>
      <c r="K31" s="4">
        <f>Hotel!W36</f>
        <v>2540</v>
      </c>
      <c r="L31" s="4">
        <f>Hotel!X36</f>
        <v>4150</v>
      </c>
      <c r="M31" s="4">
        <f>Hotel!Y36</f>
        <v>5450</v>
      </c>
      <c r="N31" s="4">
        <f>Hotel!Z36</f>
        <v>2670</v>
      </c>
      <c r="O31" s="4">
        <f>Hotel!AA36</f>
        <v>3530</v>
      </c>
      <c r="P31" s="4">
        <f>Hotel!AB36</f>
        <v>7000</v>
      </c>
      <c r="Q31" s="4">
        <f>Hotel!AC36</f>
        <v>12410</v>
      </c>
      <c r="R31" s="4">
        <f>Hotel!AT36</f>
        <v>0</v>
      </c>
      <c r="S31" s="4">
        <f>Hotel!BA36</f>
        <v>449.08499999999998</v>
      </c>
      <c r="T31" s="4">
        <f>Hotel!AX36</f>
        <v>0</v>
      </c>
      <c r="U31" s="4">
        <f>Hotel!B36</f>
        <v>92</v>
      </c>
    </row>
    <row r="32" spans="1:21" x14ac:dyDescent="0.25">
      <c r="A32" s="21" t="s">
        <v>31</v>
      </c>
      <c r="B32" s="2">
        <f>B31+1</f>
        <v>31</v>
      </c>
      <c r="C32" s="3">
        <v>12</v>
      </c>
      <c r="D32" s="11">
        <f>TOTAL!D32</f>
        <v>2020</v>
      </c>
      <c r="E32" s="4">
        <f>Hotel!Q37</f>
        <v>590</v>
      </c>
      <c r="F32" s="4">
        <f>Hotel!R37</f>
        <v>2010</v>
      </c>
      <c r="G32" s="4">
        <f>Hotel!S37</f>
        <v>2790</v>
      </c>
      <c r="H32" s="4">
        <f>Hotel!T37</f>
        <v>1560</v>
      </c>
      <c r="I32" s="4">
        <f>Hotel!U37</f>
        <v>6610</v>
      </c>
      <c r="J32" s="4">
        <f>Hotel!V37</f>
        <v>3860</v>
      </c>
      <c r="K32" s="4">
        <f>Hotel!W37</f>
        <v>2730</v>
      </c>
      <c r="L32" s="4">
        <f>Hotel!X37</f>
        <v>4430</v>
      </c>
      <c r="M32" s="4">
        <f>Hotel!Y37</f>
        <v>6040</v>
      </c>
      <c r="N32" s="4">
        <f>Hotel!Z37</f>
        <v>3250</v>
      </c>
      <c r="O32" s="4">
        <f>Hotel!AA37</f>
        <v>4180</v>
      </c>
      <c r="P32" s="4">
        <f>Hotel!AB37</f>
        <v>7000</v>
      </c>
      <c r="Q32" s="4">
        <f>Hotel!AC37</f>
        <v>12220</v>
      </c>
      <c r="R32" s="4">
        <f>Hotel!AT37</f>
        <v>0</v>
      </c>
      <c r="S32" s="4">
        <f>Hotel!BA37</f>
        <v>557.73900000000003</v>
      </c>
      <c r="T32" s="4">
        <f>Hotel!AX37</f>
        <v>0</v>
      </c>
      <c r="U32" s="4">
        <f>Hotel!B37</f>
        <v>255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" zoomScale="93" zoomScaleNormal="93" workbookViewId="0">
      <selection activeCell="AY9" sqref="AY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70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73">
        <v>330437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2" t="s">
        <v>23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Q4" s="64" t="s">
        <v>24</v>
      </c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  <c r="AD4" s="28" t="s">
        <v>25</v>
      </c>
      <c r="AF4" s="67" t="s">
        <v>26</v>
      </c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29" t="s">
        <v>27</v>
      </c>
      <c r="AT4" s="68" t="s">
        <v>51</v>
      </c>
      <c r="AV4" s="69" t="s">
        <v>53</v>
      </c>
      <c r="AW4" s="69" t="s">
        <v>55</v>
      </c>
      <c r="AX4" s="69" t="s">
        <v>56</v>
      </c>
      <c r="AY4" s="58" t="s">
        <v>28</v>
      </c>
      <c r="AZ4" s="59" t="s">
        <v>29</v>
      </c>
      <c r="BA4" s="59" t="s">
        <v>48</v>
      </c>
      <c r="BB4" s="61" t="s">
        <v>30</v>
      </c>
    </row>
    <row r="5" spans="1:54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8"/>
      <c r="AV5" s="69"/>
      <c r="AW5" s="69"/>
      <c r="AX5" s="69"/>
      <c r="AY5" s="58"/>
      <c r="AZ5" s="60"/>
      <c r="BA5" s="60"/>
      <c r="BB5" s="61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73">
        <v>330437</v>
      </c>
    </row>
    <row r="7" spans="1:54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 t="shared" ref="Q7:AC7" si="0">IF((C7-C2&lt;0), "0",C7-C2)</f>
        <v>550</v>
      </c>
      <c r="R7" s="37">
        <f t="shared" si="0"/>
        <v>1910</v>
      </c>
      <c r="S7" s="37">
        <f t="shared" si="0"/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3">
        <v>331890</v>
      </c>
      <c r="AZ7" s="37">
        <f>(IF((AY7-AY6&lt;0),"0",AY7-AY6))*100</f>
        <v>145300</v>
      </c>
      <c r="BA7" s="37">
        <f>AZ7*$AZ$44*60%</f>
        <v>396.66899999999998</v>
      </c>
      <c r="BB7" s="48">
        <f>BA7*0.4444</f>
        <v>176.2797036</v>
      </c>
    </row>
    <row r="8" spans="1:54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5">IF((D8-D7&lt;0), "0",D8-D7)</f>
        <v>1890</v>
      </c>
      <c r="S8" s="37">
        <f t="shared" ref="S8:S35" si="16">IF((E8-E7&lt;0), "0",E8-E7)</f>
        <v>10</v>
      </c>
      <c r="T8" s="37">
        <f t="shared" si="15"/>
        <v>4570</v>
      </c>
      <c r="U8" s="37">
        <f t="shared" si="15"/>
        <v>5070</v>
      </c>
      <c r="V8" s="37">
        <f t="shared" si="15"/>
        <v>3490</v>
      </c>
      <c r="W8" s="37">
        <f t="shared" si="15"/>
        <v>2380</v>
      </c>
      <c r="X8" s="37">
        <f t="shared" si="15"/>
        <v>4030</v>
      </c>
      <c r="Y8" s="37">
        <f t="shared" si="15"/>
        <v>5980</v>
      </c>
      <c r="Z8" s="37">
        <f t="shared" si="15"/>
        <v>2530</v>
      </c>
      <c r="AA8" s="37">
        <f t="shared" si="15"/>
        <v>3160</v>
      </c>
      <c r="AB8" s="37">
        <f t="shared" si="15"/>
        <v>6570</v>
      </c>
      <c r="AC8" s="37">
        <f t="shared" si="15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3">
        <v>333450</v>
      </c>
      <c r="AZ8" s="37">
        <f t="shared" ref="AZ8:AZ38" si="18">(IF((AY8-AY7&lt;0),"0",AY8-AY7))*100</f>
        <v>156000</v>
      </c>
      <c r="BA8" s="37">
        <f t="shared" ref="BA8:BA39" si="19">AZ8*$AZ$44*60%</f>
        <v>425.88000000000005</v>
      </c>
      <c r="BB8" s="48">
        <f t="shared" ref="BB8:BB38" si="20">BA8*0.4444</f>
        <v>189.26107200000004</v>
      </c>
    </row>
    <row r="9" spans="1:54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21">IF((C9-C8&lt;0), "0",C9-C8)</f>
        <v>560</v>
      </c>
      <c r="R9" s="37">
        <f t="shared" ref="R9:R37" si="22">IF((D9-D8&lt;0), "0",D9-D8)</f>
        <v>1930</v>
      </c>
      <c r="S9" s="37">
        <f t="shared" si="16"/>
        <v>30</v>
      </c>
      <c r="T9" s="37">
        <f t="shared" ref="T9:T35" si="23">IF((F9-F8&lt;0), "0",F9-F8)</f>
        <v>5030</v>
      </c>
      <c r="U9" s="37">
        <f t="shared" ref="U9:U35" si="24">IF((G9-G8&lt;0), "0",G9-G8)</f>
        <v>4970</v>
      </c>
      <c r="V9" s="37">
        <f t="shared" ref="V9:V35" si="25">IF((H9-H8&lt;0), "0",H9-H8)</f>
        <v>3520</v>
      </c>
      <c r="W9" s="37">
        <f t="shared" ref="W9:W35" si="26">IF((I9-I8&lt;0), "0",I9-I8)</f>
        <v>2430</v>
      </c>
      <c r="X9" s="37">
        <f t="shared" ref="X9:X37" si="27">IF((J9-J8&lt;0), "0",J9-J8)</f>
        <v>3840</v>
      </c>
      <c r="Y9" s="37">
        <f t="shared" ref="Y9:Y35" si="28">IF((K9-K8&lt;0), "0",K9-K8)</f>
        <v>6350</v>
      </c>
      <c r="Z9" s="37">
        <f t="shared" ref="Z9:Z35" si="29">IF((L9-L8&lt;0), "0",L9-L8)</f>
        <v>2700</v>
      </c>
      <c r="AA9" s="37">
        <f t="shared" ref="AA9:AA35" si="30">IF((M9-M8&lt;0), "0",M9-M8)</f>
        <v>3320</v>
      </c>
      <c r="AB9" s="37">
        <f t="shared" ref="AB9:AB37" si="31">IF((N9-N8&lt;0), "0",N9-N8)</f>
        <v>7270</v>
      </c>
      <c r="AC9" s="37">
        <f t="shared" ref="AC9:AC37" si="32">IF((O9-O8&lt;0), "0",O9-O8)</f>
        <v>11530</v>
      </c>
      <c r="AD9" s="35">
        <f t="shared" ref="AD9:AD37" si="33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34">SUM(AF9:AR9)</f>
        <v>267.39999999999998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3">
        <v>335162</v>
      </c>
      <c r="AZ9" s="37">
        <f t="shared" si="18"/>
        <v>171200</v>
      </c>
      <c r="BA9" s="37">
        <f t="shared" si="19"/>
        <v>467.37599999999998</v>
      </c>
      <c r="BB9" s="48">
        <f t="shared" si="20"/>
        <v>207.70189439999999</v>
      </c>
    </row>
    <row r="10" spans="1:54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21"/>
        <v>520</v>
      </c>
      <c r="R10" s="37">
        <f t="shared" si="22"/>
        <v>1810</v>
      </c>
      <c r="S10" s="37">
        <f t="shared" si="16"/>
        <v>30</v>
      </c>
      <c r="T10" s="37">
        <f t="shared" si="23"/>
        <v>4720</v>
      </c>
      <c r="U10" s="37">
        <f t="shared" si="24"/>
        <v>4930</v>
      </c>
      <c r="V10" s="37">
        <f t="shared" si="25"/>
        <v>3400</v>
      </c>
      <c r="W10" s="37">
        <f t="shared" si="26"/>
        <v>2240</v>
      </c>
      <c r="X10" s="37">
        <f t="shared" si="27"/>
        <v>3680</v>
      </c>
      <c r="Y10" s="37">
        <f t="shared" si="28"/>
        <v>6010</v>
      </c>
      <c r="Z10" s="37">
        <f t="shared" si="29"/>
        <v>2640</v>
      </c>
      <c r="AA10" s="37">
        <f t="shared" si="30"/>
        <v>3570</v>
      </c>
      <c r="AB10" s="37">
        <f t="shared" si="31"/>
        <v>7170</v>
      </c>
      <c r="AC10" s="37">
        <f t="shared" si="32"/>
        <v>9210</v>
      </c>
      <c r="AD10" s="35">
        <f t="shared" si="33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34"/>
        <v>249.65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3">
        <v>336795</v>
      </c>
      <c r="AZ10" s="37">
        <f t="shared" si="18"/>
        <v>163300</v>
      </c>
      <c r="BA10" s="37">
        <f t="shared" si="19"/>
        <v>445.80899999999997</v>
      </c>
      <c r="BB10" s="48">
        <f t="shared" si="20"/>
        <v>198.11751959999998</v>
      </c>
    </row>
    <row r="11" spans="1:54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21"/>
        <v>580</v>
      </c>
      <c r="R11" s="37">
        <f t="shared" si="22"/>
        <v>1980</v>
      </c>
      <c r="S11" s="37">
        <f t="shared" si="16"/>
        <v>30</v>
      </c>
      <c r="T11" s="37">
        <f t="shared" si="23"/>
        <v>5180</v>
      </c>
      <c r="U11" s="37">
        <f t="shared" si="24"/>
        <v>5340</v>
      </c>
      <c r="V11" s="37">
        <f t="shared" si="25"/>
        <v>3650</v>
      </c>
      <c r="W11" s="37">
        <f t="shared" si="26"/>
        <v>2460</v>
      </c>
      <c r="X11" s="37">
        <f t="shared" si="27"/>
        <v>3970</v>
      </c>
      <c r="Y11" s="37">
        <f t="shared" si="28"/>
        <v>6470</v>
      </c>
      <c r="Z11" s="37">
        <f t="shared" si="29"/>
        <v>2710</v>
      </c>
      <c r="AA11" s="37">
        <f t="shared" si="30"/>
        <v>3730</v>
      </c>
      <c r="AB11" s="37">
        <f t="shared" si="31"/>
        <v>7610</v>
      </c>
      <c r="AC11" s="37">
        <f t="shared" si="32"/>
        <v>10540</v>
      </c>
      <c r="AD11" s="35">
        <f t="shared" si="33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34"/>
        <v>271.25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3">
        <v>338428</v>
      </c>
      <c r="AZ11" s="37">
        <f t="shared" si="18"/>
        <v>163300</v>
      </c>
      <c r="BA11" s="37">
        <f t="shared" si="19"/>
        <v>445.80899999999997</v>
      </c>
      <c r="BB11" s="48">
        <f t="shared" si="20"/>
        <v>198.11751959999998</v>
      </c>
    </row>
    <row r="12" spans="1:54" x14ac:dyDescent="0.25">
      <c r="A12" s="23">
        <v>44171</v>
      </c>
      <c r="B12" s="40">
        <v>62</v>
      </c>
      <c r="C12" s="71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21"/>
        <v>550</v>
      </c>
      <c r="R12" s="37">
        <f t="shared" si="22"/>
        <v>1900</v>
      </c>
      <c r="S12" s="37">
        <f t="shared" si="16"/>
        <v>10</v>
      </c>
      <c r="T12" s="37">
        <f t="shared" ref="T12:W14" si="35">IF((F12-F11&lt;0), "0",F12-F11)</f>
        <v>4630</v>
      </c>
      <c r="U12" s="37">
        <f t="shared" si="35"/>
        <v>4730</v>
      </c>
      <c r="V12" s="37">
        <f t="shared" si="35"/>
        <v>3310</v>
      </c>
      <c r="W12" s="37">
        <f t="shared" si="35"/>
        <v>2400</v>
      </c>
      <c r="X12" s="37">
        <f t="shared" si="27"/>
        <v>3500</v>
      </c>
      <c r="Y12" s="37">
        <f t="shared" si="28"/>
        <v>5860</v>
      </c>
      <c r="Z12" s="37">
        <f>IF((L12-L11&lt;0), "0",L12-L11)</f>
        <v>2380</v>
      </c>
      <c r="AA12" s="37">
        <f t="shared" si="30"/>
        <v>3260</v>
      </c>
      <c r="AB12" s="37">
        <f t="shared" si="31"/>
        <v>7150</v>
      </c>
      <c r="AC12" s="37">
        <f t="shared" si="32"/>
        <v>10430</v>
      </c>
      <c r="AD12" s="35">
        <f t="shared" si="33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34"/>
        <v>250.55000000000004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3">
        <v>340110</v>
      </c>
      <c r="AZ12" s="37">
        <f t="shared" si="18"/>
        <v>168200</v>
      </c>
      <c r="BA12" s="37">
        <f t="shared" si="19"/>
        <v>459.18600000000004</v>
      </c>
      <c r="BB12" s="48">
        <f t="shared" si="20"/>
        <v>204.06225840000002</v>
      </c>
    </row>
    <row r="13" spans="1:54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21"/>
        <v>560</v>
      </c>
      <c r="R13" s="37">
        <f t="shared" si="22"/>
        <v>1900</v>
      </c>
      <c r="S13" s="37">
        <f t="shared" si="16"/>
        <v>0</v>
      </c>
      <c r="T13" s="37">
        <f t="shared" si="35"/>
        <v>4330</v>
      </c>
      <c r="U13" s="37">
        <f t="shared" si="35"/>
        <v>4570</v>
      </c>
      <c r="V13" s="37">
        <f t="shared" si="35"/>
        <v>3510</v>
      </c>
      <c r="W13" s="37">
        <f t="shared" si="35"/>
        <v>2420</v>
      </c>
      <c r="X13" s="37">
        <f t="shared" si="27"/>
        <v>3960</v>
      </c>
      <c r="Y13" s="37">
        <f t="shared" si="28"/>
        <v>5950</v>
      </c>
      <c r="Z13" s="37">
        <f>IF((L13-L12&lt;0), "0",L13-L12)</f>
        <v>2400</v>
      </c>
      <c r="AA13" s="37">
        <f t="shared" si="30"/>
        <v>2960</v>
      </c>
      <c r="AB13" s="37">
        <f t="shared" si="31"/>
        <v>7370</v>
      </c>
      <c r="AC13" s="37">
        <f t="shared" si="32"/>
        <v>10550</v>
      </c>
      <c r="AD13" s="35">
        <f t="shared" si="33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34"/>
        <v>252.4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3">
        <v>341300</v>
      </c>
      <c r="AZ13" s="37">
        <f t="shared" si="18"/>
        <v>119000</v>
      </c>
      <c r="BA13" s="37">
        <f t="shared" si="19"/>
        <v>324.87</v>
      </c>
      <c r="BB13" s="48">
        <f t="shared" si="20"/>
        <v>144.37222800000001</v>
      </c>
    </row>
    <row r="14" spans="1:54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47"/>
      <c r="Q14" s="37">
        <f t="shared" si="21"/>
        <v>560</v>
      </c>
      <c r="R14" s="37">
        <f t="shared" si="22"/>
        <v>1930</v>
      </c>
      <c r="S14" s="37">
        <f t="shared" si="16"/>
        <v>0</v>
      </c>
      <c r="T14" s="37">
        <f t="shared" si="35"/>
        <v>4410</v>
      </c>
      <c r="U14" s="37">
        <f t="shared" si="35"/>
        <v>4870</v>
      </c>
      <c r="V14" s="37">
        <f t="shared" si="35"/>
        <v>3540</v>
      </c>
      <c r="W14" s="37">
        <f t="shared" si="35"/>
        <v>2500</v>
      </c>
      <c r="X14" s="37">
        <f t="shared" si="27"/>
        <v>4070</v>
      </c>
      <c r="Y14" s="37">
        <f t="shared" si="28"/>
        <v>6130</v>
      </c>
      <c r="Z14" s="37">
        <f>IF((L14-L13&lt;0), "0",L14-L13)</f>
        <v>2540</v>
      </c>
      <c r="AA14" s="37">
        <f t="shared" si="30"/>
        <v>3340</v>
      </c>
      <c r="AB14" s="37">
        <f t="shared" si="31"/>
        <v>7520</v>
      </c>
      <c r="AC14" s="37">
        <f t="shared" si="32"/>
        <v>13540</v>
      </c>
      <c r="AD14" s="35">
        <f t="shared" si="33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34"/>
        <v>274.75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3">
        <v>342800</v>
      </c>
      <c r="AZ14" s="37">
        <f t="shared" si="18"/>
        <v>150000</v>
      </c>
      <c r="BA14" s="37">
        <f t="shared" si="19"/>
        <v>409.5</v>
      </c>
      <c r="BB14" s="48">
        <f t="shared" si="20"/>
        <v>181.98180000000002</v>
      </c>
    </row>
    <row r="15" spans="1:54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21"/>
        <v>550</v>
      </c>
      <c r="R15" s="37">
        <f t="shared" si="22"/>
        <v>1910</v>
      </c>
      <c r="S15" s="37">
        <f t="shared" si="16"/>
        <v>0</v>
      </c>
      <c r="T15" s="37">
        <f t="shared" si="23"/>
        <v>4320</v>
      </c>
      <c r="U15" s="37">
        <f t="shared" si="24"/>
        <v>4950</v>
      </c>
      <c r="V15" s="37">
        <f t="shared" si="25"/>
        <v>3470</v>
      </c>
      <c r="W15" s="37">
        <f t="shared" si="26"/>
        <v>2440</v>
      </c>
      <c r="X15" s="37">
        <f t="shared" si="27"/>
        <v>3890</v>
      </c>
      <c r="Y15" s="37">
        <f t="shared" si="28"/>
        <v>5980</v>
      </c>
      <c r="Z15" s="37">
        <f t="shared" si="29"/>
        <v>2570</v>
      </c>
      <c r="AA15" s="37">
        <f t="shared" si="30"/>
        <v>3210</v>
      </c>
      <c r="AB15" s="37">
        <f t="shared" si="31"/>
        <v>7440</v>
      </c>
      <c r="AC15" s="37">
        <f t="shared" si="32"/>
        <v>11980</v>
      </c>
      <c r="AD15" s="35">
        <f t="shared" si="33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34"/>
        <v>263.55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3">
        <v>344400</v>
      </c>
      <c r="AZ15" s="37">
        <f t="shared" si="18"/>
        <v>160000</v>
      </c>
      <c r="BA15" s="37">
        <f t="shared" si="19"/>
        <v>436.8</v>
      </c>
      <c r="BB15" s="48">
        <f t="shared" si="20"/>
        <v>194.11392000000001</v>
      </c>
    </row>
    <row r="16" spans="1:54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21"/>
        <v>540</v>
      </c>
      <c r="R16" s="37">
        <f t="shared" si="22"/>
        <v>1850</v>
      </c>
      <c r="S16" s="37">
        <f t="shared" si="16"/>
        <v>1630</v>
      </c>
      <c r="T16" s="37">
        <f t="shared" si="23"/>
        <v>2570</v>
      </c>
      <c r="U16" s="37">
        <f>IF((G16-G15&lt;0), "0",G16-G15)</f>
        <v>4930</v>
      </c>
      <c r="V16" s="37">
        <f>IF((H16-H15&lt;0), "0",H16-H15)</f>
        <v>3410</v>
      </c>
      <c r="W16" s="37">
        <f t="shared" si="26"/>
        <v>2370</v>
      </c>
      <c r="X16" s="37">
        <f t="shared" si="27"/>
        <v>3760</v>
      </c>
      <c r="Y16" s="37">
        <f t="shared" si="28"/>
        <v>6030</v>
      </c>
      <c r="Z16" s="37">
        <f t="shared" si="29"/>
        <v>2640</v>
      </c>
      <c r="AA16" s="37">
        <f t="shared" si="30"/>
        <v>3400</v>
      </c>
      <c r="AB16" s="37">
        <f t="shared" si="31"/>
        <v>6990</v>
      </c>
      <c r="AC16" s="37">
        <f t="shared" si="32"/>
        <v>10940</v>
      </c>
      <c r="AD16" s="35">
        <f t="shared" si="33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34"/>
        <v>255.29999999999995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3">
        <v>348164</v>
      </c>
      <c r="AZ16" s="37">
        <f t="shared" si="18"/>
        <v>376400</v>
      </c>
      <c r="BA16" s="37">
        <f t="shared" si="19"/>
        <v>1027.5720000000001</v>
      </c>
      <c r="BB16" s="48">
        <f t="shared" si="20"/>
        <v>456.6529968000001</v>
      </c>
    </row>
    <row r="17" spans="1:54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21"/>
        <v>580</v>
      </c>
      <c r="R17" s="37">
        <f t="shared" si="22"/>
        <v>1970</v>
      </c>
      <c r="S17" s="37">
        <f t="shared" si="16"/>
        <v>2960</v>
      </c>
      <c r="T17" s="37">
        <f t="shared" si="23"/>
        <v>1440</v>
      </c>
      <c r="U17" s="37">
        <f>IF((G17-G16&lt;0), "0",G17-G16)</f>
        <v>5380</v>
      </c>
      <c r="V17" s="37">
        <f>IF((H17-H16&lt;0), "0",H17-H16)</f>
        <v>3650</v>
      </c>
      <c r="W17" s="37">
        <f t="shared" si="26"/>
        <v>2510</v>
      </c>
      <c r="X17" s="37">
        <f t="shared" si="27"/>
        <v>4020</v>
      </c>
      <c r="Y17" s="37">
        <f t="shared" si="28"/>
        <v>6410</v>
      </c>
      <c r="Z17" s="37">
        <f t="shared" si="29"/>
        <v>2730</v>
      </c>
      <c r="AA17" s="37">
        <f t="shared" si="30"/>
        <v>3590</v>
      </c>
      <c r="AB17" s="37">
        <f t="shared" si="31"/>
        <v>7410</v>
      </c>
      <c r="AC17" s="37">
        <f t="shared" si="32"/>
        <v>11940</v>
      </c>
      <c r="AD17" s="35">
        <f t="shared" si="33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34"/>
        <v>272.95000000000005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3">
        <v>348902</v>
      </c>
      <c r="AZ17" s="37">
        <f t="shared" si="18"/>
        <v>73800</v>
      </c>
      <c r="BA17" s="37">
        <f t="shared" si="19"/>
        <v>201.47400000000002</v>
      </c>
      <c r="BB17" s="48">
        <f t="shared" si="20"/>
        <v>89.535045600000018</v>
      </c>
    </row>
    <row r="18" spans="1:54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21"/>
        <v>360</v>
      </c>
      <c r="R18" s="37">
        <f t="shared" si="22"/>
        <v>1890</v>
      </c>
      <c r="S18" s="37">
        <f t="shared" si="16"/>
        <v>2730</v>
      </c>
      <c r="T18" s="37">
        <f t="shared" si="23"/>
        <v>1390</v>
      </c>
      <c r="U18" s="37">
        <f t="shared" si="24"/>
        <v>5200</v>
      </c>
      <c r="V18" s="37">
        <f t="shared" si="25"/>
        <v>3550</v>
      </c>
      <c r="W18" s="37">
        <f t="shared" si="26"/>
        <v>2410</v>
      </c>
      <c r="X18" s="37">
        <f t="shared" si="27"/>
        <v>3860</v>
      </c>
      <c r="Y18" s="37">
        <f t="shared" si="28"/>
        <v>6240</v>
      </c>
      <c r="Z18" s="37">
        <f t="shared" si="29"/>
        <v>2540</v>
      </c>
      <c r="AA18" s="37">
        <f t="shared" si="30"/>
        <v>3720</v>
      </c>
      <c r="AB18" s="37">
        <f t="shared" si="31"/>
        <v>7090</v>
      </c>
      <c r="AC18" s="37">
        <f t="shared" si="32"/>
        <v>11830</v>
      </c>
      <c r="AD18" s="35">
        <f t="shared" si="33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34"/>
        <v>264.04999999999995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3">
        <v>349449</v>
      </c>
      <c r="AZ18" s="37">
        <f t="shared" si="18"/>
        <v>54700</v>
      </c>
      <c r="BA18" s="37">
        <f t="shared" si="19"/>
        <v>149.33100000000002</v>
      </c>
      <c r="BB18" s="48">
        <f t="shared" si="20"/>
        <v>66.362696400000004</v>
      </c>
    </row>
    <row r="19" spans="1:54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21"/>
        <v>750</v>
      </c>
      <c r="R19" s="37">
        <f t="shared" si="22"/>
        <v>1880</v>
      </c>
      <c r="S19" s="37">
        <f t="shared" si="16"/>
        <v>2670</v>
      </c>
      <c r="T19" s="37">
        <f t="shared" si="23"/>
        <v>1380</v>
      </c>
      <c r="U19" s="37">
        <f t="shared" si="24"/>
        <v>5160</v>
      </c>
      <c r="V19" s="37">
        <f t="shared" si="25"/>
        <v>3560</v>
      </c>
      <c r="W19" s="37">
        <f t="shared" si="26"/>
        <v>2390</v>
      </c>
      <c r="X19" s="37">
        <f t="shared" si="27"/>
        <v>3610</v>
      </c>
      <c r="Y19" s="37">
        <f t="shared" si="28"/>
        <v>5890</v>
      </c>
      <c r="Z19" s="37">
        <f t="shared" si="29"/>
        <v>2550</v>
      </c>
      <c r="AA19" s="37">
        <f t="shared" si="30"/>
        <v>3310</v>
      </c>
      <c r="AB19" s="37">
        <f t="shared" si="31"/>
        <v>6920</v>
      </c>
      <c r="AC19" s="37">
        <f t="shared" si="32"/>
        <v>11270</v>
      </c>
      <c r="AD19" s="35">
        <f t="shared" si="33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34"/>
        <v>256.7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3">
        <v>351200</v>
      </c>
      <c r="AZ19" s="37">
        <f t="shared" si="18"/>
        <v>175100</v>
      </c>
      <c r="BA19" s="37">
        <f t="shared" si="19"/>
        <v>478.02300000000002</v>
      </c>
      <c r="BB19" s="48">
        <f t="shared" si="20"/>
        <v>212.43342120000003</v>
      </c>
    </row>
    <row r="20" spans="1:54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21"/>
        <v>560</v>
      </c>
      <c r="R20" s="37">
        <f t="shared" si="22"/>
        <v>1900</v>
      </c>
      <c r="S20" s="37">
        <f t="shared" si="16"/>
        <v>2770</v>
      </c>
      <c r="T20" s="37">
        <f t="shared" si="23"/>
        <v>1390</v>
      </c>
      <c r="U20" s="37">
        <f t="shared" si="24"/>
        <v>5020</v>
      </c>
      <c r="V20" s="37">
        <f t="shared" si="25"/>
        <v>3500</v>
      </c>
      <c r="W20" s="37">
        <f t="shared" si="26"/>
        <v>2400</v>
      </c>
      <c r="X20" s="37">
        <f t="shared" si="27"/>
        <v>3710</v>
      </c>
      <c r="Y20" s="37">
        <f t="shared" si="28"/>
        <v>5850</v>
      </c>
      <c r="Z20" s="37">
        <f t="shared" si="29"/>
        <v>2450</v>
      </c>
      <c r="AA20" s="37">
        <f t="shared" si="30"/>
        <v>3210</v>
      </c>
      <c r="AB20" s="37">
        <f t="shared" si="31"/>
        <v>7080</v>
      </c>
      <c r="AC20" s="37">
        <f t="shared" si="32"/>
        <v>11520</v>
      </c>
      <c r="AD20" s="35">
        <f t="shared" si="33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34"/>
        <v>256.8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3">
        <v>353043</v>
      </c>
      <c r="AZ20" s="37">
        <f t="shared" si="18"/>
        <v>184300</v>
      </c>
      <c r="BA20" s="37">
        <f t="shared" si="19"/>
        <v>503.13900000000001</v>
      </c>
      <c r="BB20" s="48">
        <f t="shared" si="20"/>
        <v>223.59497160000001</v>
      </c>
    </row>
    <row r="21" spans="1:54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21"/>
        <v>550</v>
      </c>
      <c r="R21" s="37">
        <f t="shared" si="22"/>
        <v>1860</v>
      </c>
      <c r="S21" s="37">
        <f t="shared" si="16"/>
        <v>3000</v>
      </c>
      <c r="T21" s="37">
        <f t="shared" si="23"/>
        <v>1380</v>
      </c>
      <c r="U21" s="37">
        <f t="shared" si="24"/>
        <v>4620</v>
      </c>
      <c r="V21" s="37">
        <f t="shared" si="25"/>
        <v>3470</v>
      </c>
      <c r="W21" s="37">
        <f t="shared" si="26"/>
        <v>2450</v>
      </c>
      <c r="X21" s="37">
        <f t="shared" si="27"/>
        <v>3630</v>
      </c>
      <c r="Y21" s="37">
        <f t="shared" si="28"/>
        <v>6000</v>
      </c>
      <c r="Z21" s="37">
        <f t="shared" si="29"/>
        <v>2450</v>
      </c>
      <c r="AA21" s="37">
        <f t="shared" si="30"/>
        <v>2810</v>
      </c>
      <c r="AB21" s="37">
        <f t="shared" si="31"/>
        <v>6740</v>
      </c>
      <c r="AC21" s="37">
        <f t="shared" si="32"/>
        <v>11380</v>
      </c>
      <c r="AD21" s="35">
        <f t="shared" si="33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34"/>
        <v>251.70000000000002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3">
        <v>354419</v>
      </c>
      <c r="AZ21" s="37">
        <f t="shared" si="18"/>
        <v>137600</v>
      </c>
      <c r="BA21" s="37">
        <f t="shared" si="19"/>
        <v>375.64800000000002</v>
      </c>
      <c r="BB21" s="48">
        <f t="shared" si="20"/>
        <v>166.93797120000002</v>
      </c>
    </row>
    <row r="22" spans="1:54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72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72">
        <v>14797290</v>
      </c>
      <c r="Q22" s="37">
        <f t="shared" si="21"/>
        <v>560</v>
      </c>
      <c r="R22" s="37">
        <f t="shared" si="22"/>
        <v>1900</v>
      </c>
      <c r="S22" s="37">
        <f t="shared" si="16"/>
        <v>2960</v>
      </c>
      <c r="T22" s="37">
        <f t="shared" si="23"/>
        <v>1430</v>
      </c>
      <c r="U22" s="37">
        <f t="shared" si="24"/>
        <v>5280</v>
      </c>
      <c r="V22" s="37">
        <f t="shared" si="25"/>
        <v>3580</v>
      </c>
      <c r="W22" s="37">
        <f t="shared" si="26"/>
        <v>2430</v>
      </c>
      <c r="X22" s="37">
        <f t="shared" si="27"/>
        <v>3800</v>
      </c>
      <c r="Y22" s="37">
        <f t="shared" si="28"/>
        <v>6190</v>
      </c>
      <c r="Z22" s="37">
        <f t="shared" si="29"/>
        <v>2570</v>
      </c>
      <c r="AA22" s="37">
        <f t="shared" si="30"/>
        <v>3510</v>
      </c>
      <c r="AB22" s="37">
        <f t="shared" si="31"/>
        <v>7020</v>
      </c>
      <c r="AC22" s="37">
        <f t="shared" si="32"/>
        <v>12680</v>
      </c>
      <c r="AD22" s="35">
        <f t="shared" si="33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34"/>
        <v>269.55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3">
        <v>356770</v>
      </c>
      <c r="AZ22" s="37">
        <f t="shared" si="18"/>
        <v>235100</v>
      </c>
      <c r="BA22" s="37">
        <f t="shared" si="19"/>
        <v>641.82300000000009</v>
      </c>
      <c r="BB22" s="48">
        <f t="shared" si="20"/>
        <v>285.22614120000003</v>
      </c>
    </row>
    <row r="23" spans="1:54" x14ac:dyDescent="0.25">
      <c r="A23" s="23">
        <v>44182</v>
      </c>
      <c r="B23" s="40">
        <v>112</v>
      </c>
      <c r="C23" s="24">
        <v>6499680</v>
      </c>
      <c r="D23" s="24">
        <v>15008320</v>
      </c>
      <c r="E23" s="24">
        <v>2230610</v>
      </c>
      <c r="F23" s="24">
        <v>3205810</v>
      </c>
      <c r="G23" s="24">
        <v>9620350</v>
      </c>
      <c r="H23" s="24">
        <v>4967010</v>
      </c>
      <c r="I23" s="24">
        <v>4675990</v>
      </c>
      <c r="J23" s="24">
        <v>5330070</v>
      </c>
      <c r="K23" s="24">
        <v>8352040</v>
      </c>
      <c r="L23" s="24">
        <v>3405210</v>
      </c>
      <c r="M23" s="24">
        <v>7330150</v>
      </c>
      <c r="N23" s="24">
        <v>10866610</v>
      </c>
      <c r="O23" s="24">
        <v>14809770</v>
      </c>
      <c r="Q23" s="37">
        <f t="shared" si="21"/>
        <v>550</v>
      </c>
      <c r="R23" s="37">
        <f t="shared" si="22"/>
        <v>1890</v>
      </c>
      <c r="S23" s="37">
        <f t="shared" si="16"/>
        <v>3070</v>
      </c>
      <c r="T23" s="37">
        <f t="shared" si="23"/>
        <v>1460</v>
      </c>
      <c r="U23" s="37">
        <f t="shared" si="24"/>
        <v>4840</v>
      </c>
      <c r="V23" s="37">
        <f t="shared" si="25"/>
        <v>3570</v>
      </c>
      <c r="W23" s="37">
        <f t="shared" si="26"/>
        <v>2420</v>
      </c>
      <c r="X23" s="37">
        <f t="shared" si="27"/>
        <v>3840</v>
      </c>
      <c r="Y23" s="37">
        <f t="shared" si="28"/>
        <v>5960</v>
      </c>
      <c r="Z23" s="37">
        <f t="shared" si="29"/>
        <v>2570</v>
      </c>
      <c r="AA23" s="37">
        <f t="shared" si="30"/>
        <v>3270</v>
      </c>
      <c r="AB23" s="37">
        <f t="shared" si="31"/>
        <v>7000</v>
      </c>
      <c r="AC23" s="37">
        <f t="shared" si="32"/>
        <v>12480</v>
      </c>
      <c r="AD23" s="35">
        <f t="shared" si="33"/>
        <v>52920</v>
      </c>
      <c r="AF23" s="20">
        <f t="shared" si="1"/>
        <v>2.75</v>
      </c>
      <c r="AG23" s="20">
        <f t="shared" si="2"/>
        <v>9.4500000000000011</v>
      </c>
      <c r="AH23" s="20">
        <f t="shared" si="3"/>
        <v>15.35</v>
      </c>
      <c r="AI23" s="20">
        <f t="shared" si="4"/>
        <v>7.3</v>
      </c>
      <c r="AJ23" s="20">
        <f t="shared" si="5"/>
        <v>24.2</v>
      </c>
      <c r="AK23" s="20">
        <f t="shared" si="6"/>
        <v>17.850000000000001</v>
      </c>
      <c r="AL23" s="20">
        <f t="shared" si="7"/>
        <v>12.1</v>
      </c>
      <c r="AM23" s="20">
        <f t="shared" si="8"/>
        <v>19.2</v>
      </c>
      <c r="AN23" s="20">
        <f t="shared" si="9"/>
        <v>29.8</v>
      </c>
      <c r="AO23" s="20">
        <f t="shared" si="10"/>
        <v>12.85</v>
      </c>
      <c r="AP23" s="20">
        <f t="shared" si="11"/>
        <v>16.350000000000001</v>
      </c>
      <c r="AQ23" s="20">
        <f t="shared" si="12"/>
        <v>35</v>
      </c>
      <c r="AR23" s="20">
        <f t="shared" si="13"/>
        <v>62.4</v>
      </c>
      <c r="AS23" s="35">
        <f t="shared" si="34"/>
        <v>264.59999999999997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3">
        <v>358110</v>
      </c>
      <c r="AZ23" s="37">
        <f t="shared" si="18"/>
        <v>134000</v>
      </c>
      <c r="BA23" s="37">
        <f t="shared" si="19"/>
        <v>365.82</v>
      </c>
      <c r="BB23" s="48">
        <f t="shared" si="20"/>
        <v>162.57040800000001</v>
      </c>
    </row>
    <row r="24" spans="1:54" x14ac:dyDescent="0.25">
      <c r="A24" s="23">
        <v>44183</v>
      </c>
      <c r="B24" s="40">
        <v>121</v>
      </c>
      <c r="C24" s="24">
        <v>6500220</v>
      </c>
      <c r="D24" s="24">
        <v>15010130</v>
      </c>
      <c r="E24" s="24">
        <v>2233490</v>
      </c>
      <c r="F24" s="24">
        <v>3207220</v>
      </c>
      <c r="G24" s="24">
        <v>9625210</v>
      </c>
      <c r="H24" s="24">
        <v>4970610</v>
      </c>
      <c r="I24" s="24">
        <v>4678350</v>
      </c>
      <c r="J24" s="24">
        <v>5333840</v>
      </c>
      <c r="K24" s="24">
        <v>8358220</v>
      </c>
      <c r="L24" s="24">
        <v>3407830</v>
      </c>
      <c r="M24" s="24">
        <v>7333420</v>
      </c>
      <c r="N24" s="24">
        <v>10873590</v>
      </c>
      <c r="O24" s="24">
        <v>14821810</v>
      </c>
      <c r="Q24" s="37">
        <f t="shared" si="21"/>
        <v>540</v>
      </c>
      <c r="R24" s="37">
        <f t="shared" si="22"/>
        <v>1810</v>
      </c>
      <c r="S24" s="37">
        <f t="shared" si="16"/>
        <v>2880</v>
      </c>
      <c r="T24" s="37">
        <f t="shared" si="23"/>
        <v>1410</v>
      </c>
      <c r="U24" s="37">
        <f t="shared" si="24"/>
        <v>4860</v>
      </c>
      <c r="V24" s="37">
        <f t="shared" si="25"/>
        <v>3600</v>
      </c>
      <c r="W24" s="37">
        <f t="shared" si="26"/>
        <v>2360</v>
      </c>
      <c r="X24" s="37">
        <f t="shared" si="27"/>
        <v>3770</v>
      </c>
      <c r="Y24" s="37">
        <f t="shared" si="28"/>
        <v>6180</v>
      </c>
      <c r="Z24" s="37">
        <f t="shared" si="29"/>
        <v>2620</v>
      </c>
      <c r="AA24" s="37">
        <f t="shared" si="30"/>
        <v>3270</v>
      </c>
      <c r="AB24" s="37">
        <f t="shared" si="31"/>
        <v>6980</v>
      </c>
      <c r="AC24" s="37">
        <f t="shared" si="32"/>
        <v>12040</v>
      </c>
      <c r="AD24" s="35">
        <f t="shared" si="33"/>
        <v>52320</v>
      </c>
      <c r="AF24" s="20">
        <f t="shared" si="1"/>
        <v>2.7</v>
      </c>
      <c r="AG24" s="20">
        <f t="shared" si="2"/>
        <v>9.0500000000000007</v>
      </c>
      <c r="AH24" s="20">
        <f t="shared" si="3"/>
        <v>14.4</v>
      </c>
      <c r="AI24" s="20">
        <f t="shared" si="4"/>
        <v>7.05</v>
      </c>
      <c r="AJ24" s="20">
        <f t="shared" si="5"/>
        <v>24.3</v>
      </c>
      <c r="AK24" s="20">
        <f t="shared" si="6"/>
        <v>18</v>
      </c>
      <c r="AL24" s="20">
        <f t="shared" si="7"/>
        <v>11.8</v>
      </c>
      <c r="AM24" s="20">
        <f t="shared" si="8"/>
        <v>18.850000000000001</v>
      </c>
      <c r="AN24" s="20">
        <f t="shared" si="9"/>
        <v>30.900000000000002</v>
      </c>
      <c r="AO24" s="20">
        <f t="shared" si="10"/>
        <v>13.1</v>
      </c>
      <c r="AP24" s="20">
        <f t="shared" si="11"/>
        <v>16.350000000000001</v>
      </c>
      <c r="AQ24" s="20">
        <f t="shared" si="12"/>
        <v>34.9</v>
      </c>
      <c r="AR24" s="20">
        <f t="shared" si="13"/>
        <v>60.2</v>
      </c>
      <c r="AS24" s="35">
        <f t="shared" si="34"/>
        <v>261.60000000000002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3">
        <v>359950</v>
      </c>
      <c r="AZ24" s="37">
        <f t="shared" si="18"/>
        <v>184000</v>
      </c>
      <c r="BA24" s="37">
        <f t="shared" si="19"/>
        <v>502.32</v>
      </c>
      <c r="BB24" s="48">
        <f t="shared" si="20"/>
        <v>223.231008</v>
      </c>
    </row>
    <row r="25" spans="1:54" x14ac:dyDescent="0.25">
      <c r="A25" s="23">
        <v>44184</v>
      </c>
      <c r="B25" s="40">
        <v>73</v>
      </c>
      <c r="C25" s="24">
        <v>6500820</v>
      </c>
      <c r="D25" s="24">
        <v>15012180</v>
      </c>
      <c r="E25" s="24">
        <v>2236600</v>
      </c>
      <c r="F25" s="24">
        <v>3208800</v>
      </c>
      <c r="G25" s="24">
        <v>9630710</v>
      </c>
      <c r="H25" s="24">
        <v>4974392</v>
      </c>
      <c r="I25" s="24">
        <v>4680990</v>
      </c>
      <c r="J25" s="24">
        <v>5338000</v>
      </c>
      <c r="K25" s="24">
        <v>8364960</v>
      </c>
      <c r="L25" s="24">
        <v>3410620</v>
      </c>
      <c r="M25" s="24">
        <v>7337160</v>
      </c>
      <c r="N25" s="24">
        <v>10881340</v>
      </c>
      <c r="O25" s="24">
        <v>14835380</v>
      </c>
      <c r="Q25" s="37">
        <f t="shared" ref="Q25:AC27" si="36">IF((C25-C24&lt;0), "0",C25-C24)</f>
        <v>600</v>
      </c>
      <c r="R25" s="37">
        <f t="shared" si="22"/>
        <v>2050</v>
      </c>
      <c r="S25" s="37">
        <f t="shared" si="36"/>
        <v>3110</v>
      </c>
      <c r="T25" s="37">
        <f t="shared" si="36"/>
        <v>1580</v>
      </c>
      <c r="U25" s="37">
        <f t="shared" si="36"/>
        <v>5500</v>
      </c>
      <c r="V25" s="37">
        <f t="shared" si="36"/>
        <v>3782</v>
      </c>
      <c r="W25" s="37">
        <f t="shared" si="36"/>
        <v>2640</v>
      </c>
      <c r="X25" s="37">
        <f t="shared" si="36"/>
        <v>4160</v>
      </c>
      <c r="Y25" s="37">
        <f t="shared" si="36"/>
        <v>6740</v>
      </c>
      <c r="Z25" s="37">
        <f t="shared" si="36"/>
        <v>2790</v>
      </c>
      <c r="AA25" s="37">
        <f t="shared" si="36"/>
        <v>3740</v>
      </c>
      <c r="AB25" s="37">
        <f t="shared" si="36"/>
        <v>7750</v>
      </c>
      <c r="AC25" s="37">
        <f t="shared" si="36"/>
        <v>13570</v>
      </c>
      <c r="AD25" s="35">
        <f t="shared" si="33"/>
        <v>58012</v>
      </c>
      <c r="AF25" s="20">
        <f t="shared" si="1"/>
        <v>3</v>
      </c>
      <c r="AG25" s="20">
        <f t="shared" si="2"/>
        <v>10.25</v>
      </c>
      <c r="AH25" s="20">
        <f t="shared" si="3"/>
        <v>15.55</v>
      </c>
      <c r="AI25" s="20">
        <f t="shared" si="4"/>
        <v>7.9</v>
      </c>
      <c r="AJ25" s="20">
        <f t="shared" si="5"/>
        <v>27.5</v>
      </c>
      <c r="AK25" s="20">
        <f t="shared" si="6"/>
        <v>18.91</v>
      </c>
      <c r="AL25" s="20">
        <f t="shared" si="7"/>
        <v>13.200000000000001</v>
      </c>
      <c r="AM25" s="20">
        <f t="shared" si="8"/>
        <v>20.8</v>
      </c>
      <c r="AN25" s="20">
        <f t="shared" si="9"/>
        <v>33.700000000000003</v>
      </c>
      <c r="AO25" s="20">
        <f t="shared" si="10"/>
        <v>13.950000000000001</v>
      </c>
      <c r="AP25" s="20">
        <f t="shared" si="11"/>
        <v>18.7</v>
      </c>
      <c r="AQ25" s="20">
        <f t="shared" si="12"/>
        <v>38.75</v>
      </c>
      <c r="AR25" s="20">
        <f t="shared" si="13"/>
        <v>67.849999999999994</v>
      </c>
      <c r="AS25" s="35">
        <f t="shared" si="34"/>
        <v>290.05999999999995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3">
        <v>362339</v>
      </c>
      <c r="AZ25" s="37">
        <f t="shared" si="18"/>
        <v>238900</v>
      </c>
      <c r="BA25" s="37">
        <f t="shared" si="19"/>
        <v>652.197</v>
      </c>
      <c r="BB25" s="48">
        <f t="shared" si="20"/>
        <v>289.8363468</v>
      </c>
    </row>
    <row r="26" spans="1:54" x14ac:dyDescent="0.25">
      <c r="A26" s="23">
        <v>44185</v>
      </c>
      <c r="B26" s="40">
        <v>71</v>
      </c>
      <c r="C26" s="24">
        <v>6501350</v>
      </c>
      <c r="D26" s="24">
        <v>15013990</v>
      </c>
      <c r="E26" s="24">
        <v>2239180</v>
      </c>
      <c r="F26" s="24">
        <v>3210200</v>
      </c>
      <c r="G26" s="24">
        <v>9635300</v>
      </c>
      <c r="H26" s="24">
        <v>4977740</v>
      </c>
      <c r="I26" s="24">
        <v>4683350</v>
      </c>
      <c r="J26" s="24">
        <v>5341420</v>
      </c>
      <c r="K26" s="24">
        <v>8370480</v>
      </c>
      <c r="L26" s="24">
        <v>3413000</v>
      </c>
      <c r="M26" s="24">
        <v>7340130</v>
      </c>
      <c r="N26" s="24">
        <v>10888130</v>
      </c>
      <c r="O26" s="24">
        <v>14849032</v>
      </c>
      <c r="Q26" s="37">
        <f t="shared" si="36"/>
        <v>530</v>
      </c>
      <c r="R26" s="37">
        <f t="shared" si="22"/>
        <v>1810</v>
      </c>
      <c r="S26" s="37">
        <f t="shared" si="36"/>
        <v>2580</v>
      </c>
      <c r="T26" s="37">
        <f t="shared" si="36"/>
        <v>1400</v>
      </c>
      <c r="U26" s="37">
        <f t="shared" si="36"/>
        <v>4590</v>
      </c>
      <c r="V26" s="37">
        <f t="shared" si="36"/>
        <v>3348</v>
      </c>
      <c r="W26" s="37">
        <f t="shared" si="36"/>
        <v>2360</v>
      </c>
      <c r="X26" s="37">
        <f t="shared" si="36"/>
        <v>3420</v>
      </c>
      <c r="Y26" s="37">
        <f t="shared" si="36"/>
        <v>5520</v>
      </c>
      <c r="Z26" s="37">
        <f t="shared" si="36"/>
        <v>2380</v>
      </c>
      <c r="AA26" s="37">
        <f t="shared" si="36"/>
        <v>2970</v>
      </c>
      <c r="AB26" s="37">
        <f t="shared" si="36"/>
        <v>6790</v>
      </c>
      <c r="AC26" s="37">
        <f t="shared" si="36"/>
        <v>13652</v>
      </c>
      <c r="AD26" s="35">
        <f t="shared" si="33"/>
        <v>51350</v>
      </c>
      <c r="AF26" s="20">
        <f t="shared" si="1"/>
        <v>2.65</v>
      </c>
      <c r="AG26" s="20">
        <f t="shared" si="2"/>
        <v>9.0500000000000007</v>
      </c>
      <c r="AH26" s="20">
        <f t="shared" si="3"/>
        <v>12.9</v>
      </c>
      <c r="AI26" s="20">
        <f t="shared" si="4"/>
        <v>7</v>
      </c>
      <c r="AJ26" s="20">
        <f t="shared" si="5"/>
        <v>22.95</v>
      </c>
      <c r="AK26" s="20">
        <f t="shared" si="6"/>
        <v>16.740000000000002</v>
      </c>
      <c r="AL26" s="20">
        <f t="shared" si="7"/>
        <v>11.8</v>
      </c>
      <c r="AM26" s="20">
        <f t="shared" si="8"/>
        <v>17.100000000000001</v>
      </c>
      <c r="AN26" s="20">
        <f t="shared" si="9"/>
        <v>27.6</v>
      </c>
      <c r="AO26" s="20">
        <f t="shared" si="10"/>
        <v>11.9</v>
      </c>
      <c r="AP26" s="20">
        <f t="shared" si="11"/>
        <v>14.85</v>
      </c>
      <c r="AQ26" s="20">
        <f t="shared" si="12"/>
        <v>33.950000000000003</v>
      </c>
      <c r="AR26" s="20">
        <f t="shared" si="13"/>
        <v>68.260000000000005</v>
      </c>
      <c r="AS26" s="35">
        <f t="shared" si="34"/>
        <v>256.75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3">
        <v>363265</v>
      </c>
      <c r="AZ26" s="37">
        <f t="shared" si="18"/>
        <v>92600</v>
      </c>
      <c r="BA26" s="37">
        <f t="shared" si="19"/>
        <v>252.798</v>
      </c>
      <c r="BB26" s="48">
        <f t="shared" si="20"/>
        <v>112.34343120000001</v>
      </c>
    </row>
    <row r="27" spans="1:54" x14ac:dyDescent="0.25">
      <c r="A27" s="23">
        <v>44186</v>
      </c>
      <c r="B27" s="40">
        <v>70</v>
      </c>
      <c r="C27" s="24">
        <v>6501910</v>
      </c>
      <c r="D27" s="24">
        <v>15015910</v>
      </c>
      <c r="E27" s="24">
        <v>2241840</v>
      </c>
      <c r="F27" s="24">
        <v>3211670</v>
      </c>
      <c r="G27" s="24">
        <v>9640400</v>
      </c>
      <c r="H27" s="24">
        <v>4981280</v>
      </c>
      <c r="I27" s="24">
        <v>4685850</v>
      </c>
      <c r="J27" s="24">
        <v>5345380</v>
      </c>
      <c r="K27" s="24">
        <v>8376600</v>
      </c>
      <c r="L27" s="24">
        <v>3415400</v>
      </c>
      <c r="M27" s="24">
        <v>7343540</v>
      </c>
      <c r="N27" s="24">
        <v>10895150</v>
      </c>
      <c r="O27" s="24">
        <v>14862030</v>
      </c>
      <c r="Q27" s="37">
        <f t="shared" si="36"/>
        <v>560</v>
      </c>
      <c r="R27" s="37">
        <f t="shared" si="22"/>
        <v>1920</v>
      </c>
      <c r="S27" s="37">
        <f t="shared" si="36"/>
        <v>2660</v>
      </c>
      <c r="T27" s="37">
        <f t="shared" si="36"/>
        <v>1470</v>
      </c>
      <c r="U27" s="37">
        <f t="shared" si="36"/>
        <v>5100</v>
      </c>
      <c r="V27" s="37">
        <f t="shared" si="36"/>
        <v>3540</v>
      </c>
      <c r="W27" s="37">
        <f t="shared" si="36"/>
        <v>2500</v>
      </c>
      <c r="X27" s="37">
        <f t="shared" si="36"/>
        <v>3960</v>
      </c>
      <c r="Y27" s="37">
        <f t="shared" si="36"/>
        <v>6120</v>
      </c>
      <c r="Z27" s="37">
        <f t="shared" si="36"/>
        <v>2400</v>
      </c>
      <c r="AA27" s="37">
        <f t="shared" si="36"/>
        <v>3410</v>
      </c>
      <c r="AB27" s="37">
        <f t="shared" si="36"/>
        <v>7020</v>
      </c>
      <c r="AC27" s="37">
        <f t="shared" si="36"/>
        <v>12998</v>
      </c>
      <c r="AD27" s="35">
        <f t="shared" si="33"/>
        <v>53658</v>
      </c>
      <c r="AF27" s="20">
        <f t="shared" si="1"/>
        <v>2.8000000000000003</v>
      </c>
      <c r="AG27" s="20">
        <f t="shared" si="2"/>
        <v>9.6</v>
      </c>
      <c r="AH27" s="20">
        <f t="shared" si="3"/>
        <v>13.3</v>
      </c>
      <c r="AI27" s="20">
        <f t="shared" si="4"/>
        <v>7.3500000000000005</v>
      </c>
      <c r="AJ27" s="20">
        <f t="shared" si="5"/>
        <v>25.5</v>
      </c>
      <c r="AK27" s="20">
        <f t="shared" si="6"/>
        <v>17.7</v>
      </c>
      <c r="AL27" s="20">
        <f t="shared" si="7"/>
        <v>12.5</v>
      </c>
      <c r="AM27" s="20">
        <f t="shared" si="8"/>
        <v>19.8</v>
      </c>
      <c r="AN27" s="20">
        <f t="shared" si="9"/>
        <v>30.6</v>
      </c>
      <c r="AO27" s="20">
        <f t="shared" si="10"/>
        <v>12</v>
      </c>
      <c r="AP27" s="20">
        <f t="shared" si="11"/>
        <v>17.05</v>
      </c>
      <c r="AQ27" s="20">
        <f t="shared" si="12"/>
        <v>35.1</v>
      </c>
      <c r="AR27" s="20">
        <f t="shared" si="13"/>
        <v>64.989999999999995</v>
      </c>
      <c r="AS27" s="35">
        <f t="shared" si="34"/>
        <v>268.29000000000002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3">
        <v>365016</v>
      </c>
      <c r="AZ27" s="37">
        <f t="shared" si="18"/>
        <v>175100</v>
      </c>
      <c r="BA27" s="37">
        <f t="shared" si="19"/>
        <v>478.02300000000002</v>
      </c>
      <c r="BB27" s="48">
        <f t="shared" si="20"/>
        <v>212.43342120000003</v>
      </c>
    </row>
    <row r="28" spans="1:54" x14ac:dyDescent="0.25">
      <c r="A28" s="23">
        <v>44187</v>
      </c>
      <c r="B28" s="40">
        <v>82</v>
      </c>
      <c r="C28" s="24">
        <v>6502460</v>
      </c>
      <c r="D28" s="24">
        <v>15017770</v>
      </c>
      <c r="E28" s="24">
        <v>2244430</v>
      </c>
      <c r="F28" s="24">
        <v>3213100</v>
      </c>
      <c r="G28" s="24">
        <v>9645700</v>
      </c>
      <c r="H28" s="24">
        <v>4984740</v>
      </c>
      <c r="I28" s="24">
        <v>4688310</v>
      </c>
      <c r="J28" s="24">
        <v>5349220</v>
      </c>
      <c r="K28" s="24">
        <v>8382770</v>
      </c>
      <c r="L28" s="24">
        <v>3417930</v>
      </c>
      <c r="M28" s="24">
        <v>7346660</v>
      </c>
      <c r="N28" s="24">
        <v>10901860</v>
      </c>
      <c r="O28" s="24">
        <v>14874820</v>
      </c>
      <c r="Q28" s="37">
        <f t="shared" si="21"/>
        <v>550</v>
      </c>
      <c r="R28" s="37">
        <f t="shared" si="22"/>
        <v>1860</v>
      </c>
      <c r="S28" s="37">
        <f t="shared" si="16"/>
        <v>2590</v>
      </c>
      <c r="T28" s="37">
        <f t="shared" si="23"/>
        <v>1430</v>
      </c>
      <c r="U28" s="37">
        <f t="shared" si="24"/>
        <v>5300</v>
      </c>
      <c r="V28" s="37">
        <f t="shared" si="25"/>
        <v>3460</v>
      </c>
      <c r="W28" s="37">
        <f t="shared" si="26"/>
        <v>2460</v>
      </c>
      <c r="X28" s="37">
        <f t="shared" si="27"/>
        <v>3840</v>
      </c>
      <c r="Y28" s="37">
        <f t="shared" si="28"/>
        <v>6170</v>
      </c>
      <c r="Z28" s="37">
        <f t="shared" si="29"/>
        <v>2530</v>
      </c>
      <c r="AA28" s="37">
        <f t="shared" si="30"/>
        <v>3120</v>
      </c>
      <c r="AB28" s="37">
        <f t="shared" si="31"/>
        <v>6710</v>
      </c>
      <c r="AC28" s="37">
        <f t="shared" si="32"/>
        <v>12790</v>
      </c>
      <c r="AD28" s="35">
        <f t="shared" si="33"/>
        <v>52810</v>
      </c>
      <c r="AF28" s="20">
        <f t="shared" si="1"/>
        <v>2.75</v>
      </c>
      <c r="AG28" s="20">
        <f t="shared" si="2"/>
        <v>9.3000000000000007</v>
      </c>
      <c r="AH28" s="20">
        <f t="shared" si="3"/>
        <v>12.950000000000001</v>
      </c>
      <c r="AI28" s="20">
        <f t="shared" si="4"/>
        <v>7.15</v>
      </c>
      <c r="AJ28" s="20">
        <f t="shared" si="5"/>
        <v>26.5</v>
      </c>
      <c r="AK28" s="20">
        <f t="shared" si="6"/>
        <v>17.3</v>
      </c>
      <c r="AL28" s="20">
        <f t="shared" si="7"/>
        <v>12.3</v>
      </c>
      <c r="AM28" s="20">
        <f t="shared" si="8"/>
        <v>19.2</v>
      </c>
      <c r="AN28" s="20">
        <f t="shared" si="9"/>
        <v>30.85</v>
      </c>
      <c r="AO28" s="20">
        <f t="shared" si="10"/>
        <v>12.65</v>
      </c>
      <c r="AP28" s="20">
        <f t="shared" si="11"/>
        <v>15.6</v>
      </c>
      <c r="AQ28" s="20">
        <f t="shared" si="12"/>
        <v>33.549999999999997</v>
      </c>
      <c r="AR28" s="20">
        <f t="shared" si="13"/>
        <v>63.95</v>
      </c>
      <c r="AS28" s="35">
        <f t="shared" si="34"/>
        <v>264.05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3">
        <v>366830</v>
      </c>
      <c r="AZ28" s="37">
        <f t="shared" si="18"/>
        <v>181400</v>
      </c>
      <c r="BA28" s="37">
        <f t="shared" si="19"/>
        <v>495.22199999999998</v>
      </c>
      <c r="BB28" s="48">
        <f t="shared" si="20"/>
        <v>220.07665679999999</v>
      </c>
    </row>
    <row r="29" spans="1:54" x14ac:dyDescent="0.25">
      <c r="A29" s="23">
        <v>44188</v>
      </c>
      <c r="B29" s="40">
        <v>83</v>
      </c>
      <c r="C29" s="24">
        <v>6503020</v>
      </c>
      <c r="D29" s="24">
        <v>15019690</v>
      </c>
      <c r="E29" s="24">
        <v>2247160</v>
      </c>
      <c r="F29" s="24">
        <v>3214580</v>
      </c>
      <c r="G29" s="24">
        <v>9651100</v>
      </c>
      <c r="H29" s="24">
        <v>4988340</v>
      </c>
      <c r="I29" s="24">
        <v>4690820</v>
      </c>
      <c r="J29" s="24">
        <v>5352980</v>
      </c>
      <c r="K29" s="24">
        <v>8389030</v>
      </c>
      <c r="L29" s="24">
        <v>3420470</v>
      </c>
      <c r="M29" s="24">
        <v>7350040</v>
      </c>
      <c r="N29" s="24">
        <v>10908890</v>
      </c>
      <c r="O29" s="24">
        <v>14887120</v>
      </c>
      <c r="Q29" s="37">
        <f t="shared" si="21"/>
        <v>560</v>
      </c>
      <c r="R29" s="37">
        <f t="shared" si="22"/>
        <v>1920</v>
      </c>
      <c r="S29" s="37">
        <f t="shared" si="16"/>
        <v>2730</v>
      </c>
      <c r="T29" s="37">
        <f t="shared" si="23"/>
        <v>1480</v>
      </c>
      <c r="U29" s="37">
        <f t="shared" si="24"/>
        <v>5400</v>
      </c>
      <c r="V29" s="37">
        <f t="shared" si="25"/>
        <v>3600</v>
      </c>
      <c r="W29" s="37">
        <f t="shared" si="26"/>
        <v>2510</v>
      </c>
      <c r="X29" s="37">
        <f t="shared" si="27"/>
        <v>3760</v>
      </c>
      <c r="Y29" s="37">
        <f t="shared" si="28"/>
        <v>6260</v>
      </c>
      <c r="Z29" s="37">
        <f t="shared" si="29"/>
        <v>2540</v>
      </c>
      <c r="AA29" s="37">
        <f t="shared" si="30"/>
        <v>3380</v>
      </c>
      <c r="AB29" s="37">
        <f t="shared" si="31"/>
        <v>7030</v>
      </c>
      <c r="AC29" s="37">
        <f t="shared" si="32"/>
        <v>12300</v>
      </c>
      <c r="AD29" s="35">
        <f t="shared" si="33"/>
        <v>53470</v>
      </c>
      <c r="AF29" s="20">
        <f t="shared" si="1"/>
        <v>2.8000000000000003</v>
      </c>
      <c r="AG29" s="20">
        <f t="shared" si="2"/>
        <v>9.6</v>
      </c>
      <c r="AH29" s="20">
        <f t="shared" si="3"/>
        <v>13.65</v>
      </c>
      <c r="AI29" s="20">
        <f t="shared" si="4"/>
        <v>7.4</v>
      </c>
      <c r="AJ29" s="20">
        <f t="shared" si="5"/>
        <v>27</v>
      </c>
      <c r="AK29" s="20">
        <f t="shared" si="6"/>
        <v>18</v>
      </c>
      <c r="AL29" s="20">
        <f t="shared" si="7"/>
        <v>12.55</v>
      </c>
      <c r="AM29" s="20">
        <f t="shared" si="8"/>
        <v>18.8</v>
      </c>
      <c r="AN29" s="20">
        <f t="shared" si="9"/>
        <v>31.3</v>
      </c>
      <c r="AO29" s="20">
        <f t="shared" si="10"/>
        <v>12.700000000000001</v>
      </c>
      <c r="AP29" s="20">
        <f t="shared" si="11"/>
        <v>16.899999999999999</v>
      </c>
      <c r="AQ29" s="20">
        <f t="shared" si="12"/>
        <v>35.15</v>
      </c>
      <c r="AR29" s="20">
        <f t="shared" si="13"/>
        <v>61.5</v>
      </c>
      <c r="AS29" s="35">
        <f t="shared" si="34"/>
        <v>267.35000000000002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3">
        <v>368502</v>
      </c>
      <c r="AZ29" s="37">
        <f t="shared" si="18"/>
        <v>167200</v>
      </c>
      <c r="BA29" s="37">
        <f t="shared" si="19"/>
        <v>456.45599999999996</v>
      </c>
      <c r="BB29" s="48">
        <f t="shared" si="20"/>
        <v>202.84904639999999</v>
      </c>
    </row>
    <row r="30" spans="1:54" x14ac:dyDescent="0.25">
      <c r="A30" s="23">
        <v>44189</v>
      </c>
      <c r="B30" s="40">
        <v>138</v>
      </c>
      <c r="C30" s="24">
        <v>6503570</v>
      </c>
      <c r="D30" s="24">
        <v>15021560</v>
      </c>
      <c r="E30" s="24">
        <v>2249870</v>
      </c>
      <c r="F30" s="24">
        <v>3216020</v>
      </c>
      <c r="G30" s="24">
        <v>9656580</v>
      </c>
      <c r="H30" s="24">
        <v>4991920</v>
      </c>
      <c r="I30" s="24">
        <v>4693260</v>
      </c>
      <c r="J30" s="24">
        <v>5356670</v>
      </c>
      <c r="K30" s="24">
        <v>8395200</v>
      </c>
      <c r="L30" s="24">
        <v>3423050</v>
      </c>
      <c r="M30" s="24">
        <v>7353460</v>
      </c>
      <c r="N30" s="24">
        <v>10915720</v>
      </c>
      <c r="O30" s="24">
        <v>14899520</v>
      </c>
      <c r="Q30" s="37">
        <f t="shared" si="21"/>
        <v>550</v>
      </c>
      <c r="R30" s="37">
        <f t="shared" si="22"/>
        <v>1870</v>
      </c>
      <c r="S30" s="37">
        <f t="shared" si="16"/>
        <v>2710</v>
      </c>
      <c r="T30" s="37">
        <f t="shared" si="23"/>
        <v>1440</v>
      </c>
      <c r="U30" s="37">
        <f t="shared" si="24"/>
        <v>5480</v>
      </c>
      <c r="V30" s="37">
        <f t="shared" si="25"/>
        <v>3580</v>
      </c>
      <c r="W30" s="37">
        <f t="shared" si="26"/>
        <v>2440</v>
      </c>
      <c r="X30" s="37">
        <f t="shared" si="27"/>
        <v>3690</v>
      </c>
      <c r="Y30" s="37">
        <f t="shared" si="28"/>
        <v>6170</v>
      </c>
      <c r="Z30" s="37">
        <f t="shared" si="29"/>
        <v>2580</v>
      </c>
      <c r="AA30" s="37">
        <f t="shared" si="30"/>
        <v>3420</v>
      </c>
      <c r="AB30" s="37">
        <f t="shared" si="31"/>
        <v>6830</v>
      </c>
      <c r="AC30" s="37">
        <f t="shared" si="32"/>
        <v>12400</v>
      </c>
      <c r="AD30" s="35">
        <f t="shared" si="33"/>
        <v>53160</v>
      </c>
      <c r="AF30" s="20">
        <f t="shared" si="1"/>
        <v>2.75</v>
      </c>
      <c r="AG30" s="20">
        <f t="shared" si="2"/>
        <v>9.35</v>
      </c>
      <c r="AH30" s="20">
        <f t="shared" si="3"/>
        <v>13.55</v>
      </c>
      <c r="AI30" s="20">
        <f t="shared" si="4"/>
        <v>7.2</v>
      </c>
      <c r="AJ30" s="20">
        <f t="shared" si="5"/>
        <v>27.400000000000002</v>
      </c>
      <c r="AK30" s="20">
        <f t="shared" si="6"/>
        <v>17.900000000000002</v>
      </c>
      <c r="AL30" s="20">
        <f t="shared" si="7"/>
        <v>12.200000000000001</v>
      </c>
      <c r="AM30" s="20">
        <f t="shared" si="8"/>
        <v>18.45</v>
      </c>
      <c r="AN30" s="20">
        <f t="shared" si="9"/>
        <v>30.85</v>
      </c>
      <c r="AO30" s="20">
        <f t="shared" si="10"/>
        <v>12.9</v>
      </c>
      <c r="AP30" s="20">
        <f t="shared" si="11"/>
        <v>17.100000000000001</v>
      </c>
      <c r="AQ30" s="20">
        <f t="shared" si="12"/>
        <v>34.15</v>
      </c>
      <c r="AR30" s="20">
        <f t="shared" si="13"/>
        <v>62</v>
      </c>
      <c r="AS30" s="35">
        <f t="shared" si="34"/>
        <v>265.8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3">
        <v>369987</v>
      </c>
      <c r="AZ30" s="37">
        <f t="shared" si="18"/>
        <v>148500</v>
      </c>
      <c r="BA30" s="37">
        <f t="shared" si="19"/>
        <v>405.40500000000003</v>
      </c>
      <c r="BB30" s="48">
        <f t="shared" si="20"/>
        <v>180.16198200000002</v>
      </c>
    </row>
    <row r="31" spans="1:54" x14ac:dyDescent="0.25">
      <c r="A31" s="23">
        <v>44190</v>
      </c>
      <c r="B31" s="40">
        <v>166</v>
      </c>
      <c r="C31" s="24">
        <v>6504130</v>
      </c>
      <c r="D31" s="24">
        <v>15023490</v>
      </c>
      <c r="E31" s="24">
        <v>2252480</v>
      </c>
      <c r="F31" s="24">
        <v>3217500</v>
      </c>
      <c r="G31" s="24">
        <v>9662450</v>
      </c>
      <c r="H31" s="24">
        <v>4995770</v>
      </c>
      <c r="I31" s="24">
        <v>4695880</v>
      </c>
      <c r="J31" s="24">
        <v>5360740</v>
      </c>
      <c r="K31" s="24">
        <v>8401670</v>
      </c>
      <c r="L31" s="24">
        <v>3425910</v>
      </c>
      <c r="M31" s="24">
        <v>7357300</v>
      </c>
      <c r="N31" s="24">
        <v>10922720</v>
      </c>
      <c r="O31" s="24">
        <v>14914000</v>
      </c>
      <c r="Q31" s="37">
        <f>IF((C31-C30&lt;0), "0",C31-C30)</f>
        <v>560</v>
      </c>
      <c r="R31" s="37">
        <f t="shared" si="22"/>
        <v>1930</v>
      </c>
      <c r="S31" s="37">
        <f t="shared" si="16"/>
        <v>2610</v>
      </c>
      <c r="T31" s="37">
        <f t="shared" si="23"/>
        <v>1480</v>
      </c>
      <c r="U31" s="37">
        <f t="shared" si="24"/>
        <v>5870</v>
      </c>
      <c r="V31" s="37">
        <f t="shared" si="25"/>
        <v>3850</v>
      </c>
      <c r="W31" s="37">
        <f t="shared" si="26"/>
        <v>2620</v>
      </c>
      <c r="X31" s="37">
        <f t="shared" si="27"/>
        <v>4070</v>
      </c>
      <c r="Y31" s="37">
        <f t="shared" si="28"/>
        <v>6470</v>
      </c>
      <c r="Z31" s="37">
        <f t="shared" si="29"/>
        <v>2860</v>
      </c>
      <c r="AA31" s="37">
        <f t="shared" si="30"/>
        <v>3840</v>
      </c>
      <c r="AB31" s="37">
        <f t="shared" si="31"/>
        <v>7000</v>
      </c>
      <c r="AC31" s="37">
        <f t="shared" si="32"/>
        <v>14480</v>
      </c>
      <c r="AD31" s="35">
        <f t="shared" si="33"/>
        <v>57640</v>
      </c>
      <c r="AF31" s="20">
        <f t="shared" si="1"/>
        <v>2.8000000000000003</v>
      </c>
      <c r="AG31" s="20">
        <f t="shared" si="2"/>
        <v>9.65</v>
      </c>
      <c r="AH31" s="20">
        <f t="shared" si="3"/>
        <v>13.05</v>
      </c>
      <c r="AI31" s="20">
        <f t="shared" si="4"/>
        <v>7.4</v>
      </c>
      <c r="AJ31" s="20">
        <f t="shared" si="5"/>
        <v>29.35</v>
      </c>
      <c r="AK31" s="20">
        <f t="shared" si="6"/>
        <v>19.25</v>
      </c>
      <c r="AL31" s="20">
        <f t="shared" si="7"/>
        <v>13.1</v>
      </c>
      <c r="AM31" s="20">
        <f t="shared" si="8"/>
        <v>20.350000000000001</v>
      </c>
      <c r="AN31" s="20">
        <f t="shared" si="9"/>
        <v>32.35</v>
      </c>
      <c r="AO31" s="20">
        <f t="shared" si="10"/>
        <v>14.3</v>
      </c>
      <c r="AP31" s="20">
        <f t="shared" si="11"/>
        <v>19.2</v>
      </c>
      <c r="AQ31" s="20">
        <f t="shared" si="12"/>
        <v>35</v>
      </c>
      <c r="AR31" s="20">
        <f t="shared" si="13"/>
        <v>72.400000000000006</v>
      </c>
      <c r="AS31" s="35">
        <f t="shared" si="34"/>
        <v>288.2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3">
        <v>371787</v>
      </c>
      <c r="AZ31" s="37">
        <f t="shared" si="18"/>
        <v>180000</v>
      </c>
      <c r="BA31" s="37">
        <f t="shared" si="19"/>
        <v>491.4</v>
      </c>
      <c r="BB31" s="48">
        <f t="shared" si="20"/>
        <v>218.37816000000001</v>
      </c>
    </row>
    <row r="32" spans="1:54" x14ac:dyDescent="0.25">
      <c r="A32" s="23">
        <v>44191</v>
      </c>
      <c r="B32" s="40">
        <v>90</v>
      </c>
      <c r="C32" s="24">
        <v>6504710</v>
      </c>
      <c r="D32" s="24">
        <v>15025460</v>
      </c>
      <c r="E32" s="24">
        <v>2254980</v>
      </c>
      <c r="F32" s="24">
        <v>3219010</v>
      </c>
      <c r="G32" s="24">
        <v>9668430</v>
      </c>
      <c r="H32" s="24">
        <v>4999393</v>
      </c>
      <c r="I32" s="24">
        <v>4696810</v>
      </c>
      <c r="J32" s="24">
        <v>5364425</v>
      </c>
      <c r="K32" s="24">
        <v>8408220</v>
      </c>
      <c r="L32" s="24">
        <v>3428840</v>
      </c>
      <c r="M32" s="24">
        <v>7361010</v>
      </c>
      <c r="N32" s="24">
        <v>10929720</v>
      </c>
      <c r="O32" s="24">
        <v>14923100</v>
      </c>
      <c r="Q32" s="37">
        <f>IF((C32-C31&lt;0), "0",C32-C31)</f>
        <v>580</v>
      </c>
      <c r="R32" s="37">
        <f t="shared" si="22"/>
        <v>1970</v>
      </c>
      <c r="S32" s="37">
        <f t="shared" si="16"/>
        <v>2500</v>
      </c>
      <c r="T32" s="37">
        <f t="shared" si="23"/>
        <v>1510</v>
      </c>
      <c r="U32" s="37">
        <f t="shared" si="24"/>
        <v>5980</v>
      </c>
      <c r="V32" s="37">
        <f t="shared" si="25"/>
        <v>3623</v>
      </c>
      <c r="W32" s="37">
        <f t="shared" si="26"/>
        <v>930</v>
      </c>
      <c r="X32" s="37">
        <f t="shared" si="27"/>
        <v>3685</v>
      </c>
      <c r="Y32" s="37">
        <f t="shared" si="28"/>
        <v>6550</v>
      </c>
      <c r="Z32" s="37">
        <f t="shared" si="29"/>
        <v>2930</v>
      </c>
      <c r="AA32" s="37">
        <f t="shared" si="30"/>
        <v>3710</v>
      </c>
      <c r="AB32" s="37">
        <f t="shared" si="31"/>
        <v>7000</v>
      </c>
      <c r="AC32" s="37">
        <f t="shared" si="32"/>
        <v>9100</v>
      </c>
      <c r="AD32" s="35">
        <f t="shared" si="33"/>
        <v>50068</v>
      </c>
      <c r="AF32" s="20">
        <f t="shared" si="1"/>
        <v>2.9</v>
      </c>
      <c r="AG32" s="20">
        <f t="shared" si="2"/>
        <v>9.85</v>
      </c>
      <c r="AH32" s="20">
        <f t="shared" si="3"/>
        <v>12.5</v>
      </c>
      <c r="AI32" s="20">
        <f t="shared" si="4"/>
        <v>7.55</v>
      </c>
      <c r="AJ32" s="20">
        <f t="shared" si="5"/>
        <v>29.900000000000002</v>
      </c>
      <c r="AK32" s="20">
        <f t="shared" si="6"/>
        <v>18.115000000000002</v>
      </c>
      <c r="AL32" s="20">
        <f t="shared" si="7"/>
        <v>4.6500000000000004</v>
      </c>
      <c r="AM32" s="20">
        <f t="shared" si="8"/>
        <v>18.425000000000001</v>
      </c>
      <c r="AN32" s="20">
        <f t="shared" si="9"/>
        <v>32.75</v>
      </c>
      <c r="AO32" s="20">
        <f t="shared" si="10"/>
        <v>14.65</v>
      </c>
      <c r="AP32" s="20">
        <f t="shared" si="11"/>
        <v>18.55</v>
      </c>
      <c r="AQ32" s="20">
        <f t="shared" si="12"/>
        <v>35</v>
      </c>
      <c r="AR32" s="20">
        <f t="shared" si="13"/>
        <v>45.5</v>
      </c>
      <c r="AS32" s="35">
        <f t="shared" si="34"/>
        <v>250.34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3">
        <v>373836</v>
      </c>
      <c r="AZ32" s="37">
        <f t="shared" si="18"/>
        <v>204900</v>
      </c>
      <c r="BA32" s="37">
        <f t="shared" si="19"/>
        <v>559.37700000000007</v>
      </c>
      <c r="BB32" s="48">
        <f t="shared" si="20"/>
        <v>248.58713880000005</v>
      </c>
    </row>
    <row r="33" spans="1:54" x14ac:dyDescent="0.25">
      <c r="A33" s="23">
        <v>44192</v>
      </c>
      <c r="B33" s="40">
        <v>85</v>
      </c>
      <c r="C33" s="24">
        <v>6505250</v>
      </c>
      <c r="D33" s="24">
        <v>15027290</v>
      </c>
      <c r="E33" s="24">
        <v>2257270</v>
      </c>
      <c r="F33" s="24">
        <v>3220420</v>
      </c>
      <c r="G33" s="24">
        <v>9673680</v>
      </c>
      <c r="H33" s="24">
        <v>5003016</v>
      </c>
      <c r="I33" s="24">
        <v>4699960</v>
      </c>
      <c r="J33" s="24">
        <v>5368110</v>
      </c>
      <c r="K33" s="24">
        <v>8413950</v>
      </c>
      <c r="L33" s="24">
        <v>3431380</v>
      </c>
      <c r="M33" s="24">
        <v>7364370</v>
      </c>
      <c r="N33" s="24">
        <v>10936720</v>
      </c>
      <c r="O33" s="24">
        <v>14943180</v>
      </c>
      <c r="Q33" s="37">
        <f>IF((C33-C32&lt;0), "0",C33-C32)</f>
        <v>540</v>
      </c>
      <c r="R33" s="37">
        <f t="shared" si="22"/>
        <v>1830</v>
      </c>
      <c r="S33" s="37">
        <f t="shared" si="16"/>
        <v>2290</v>
      </c>
      <c r="T33" s="37">
        <f t="shared" si="23"/>
        <v>1410</v>
      </c>
      <c r="U33" s="37">
        <f t="shared" si="24"/>
        <v>5250</v>
      </c>
      <c r="V33" s="37">
        <f t="shared" si="25"/>
        <v>3623</v>
      </c>
      <c r="W33" s="37">
        <f t="shared" si="26"/>
        <v>3150</v>
      </c>
      <c r="X33" s="37">
        <f t="shared" si="27"/>
        <v>3685</v>
      </c>
      <c r="Y33" s="37">
        <f t="shared" si="28"/>
        <v>5730</v>
      </c>
      <c r="Z33" s="37">
        <f t="shared" si="29"/>
        <v>2540</v>
      </c>
      <c r="AA33" s="37">
        <f t="shared" si="30"/>
        <v>3360</v>
      </c>
      <c r="AB33" s="37">
        <f t="shared" si="31"/>
        <v>7000</v>
      </c>
      <c r="AC33" s="37">
        <f t="shared" si="32"/>
        <v>20080</v>
      </c>
      <c r="AD33" s="35">
        <f t="shared" si="33"/>
        <v>60488</v>
      </c>
      <c r="AF33" s="20">
        <f t="shared" si="1"/>
        <v>2.7</v>
      </c>
      <c r="AG33" s="20">
        <f t="shared" si="2"/>
        <v>9.15</v>
      </c>
      <c r="AH33" s="20">
        <f t="shared" si="3"/>
        <v>11.450000000000001</v>
      </c>
      <c r="AI33" s="20">
        <f t="shared" si="4"/>
        <v>7.05</v>
      </c>
      <c r="AJ33" s="20">
        <f t="shared" si="5"/>
        <v>26.25</v>
      </c>
      <c r="AK33" s="20">
        <f t="shared" si="6"/>
        <v>18.115000000000002</v>
      </c>
      <c r="AL33" s="20">
        <f t="shared" si="7"/>
        <v>15.75</v>
      </c>
      <c r="AM33" s="20">
        <f t="shared" si="8"/>
        <v>18.425000000000001</v>
      </c>
      <c r="AN33" s="20">
        <f t="shared" si="9"/>
        <v>28.650000000000002</v>
      </c>
      <c r="AO33" s="20">
        <f t="shared" si="10"/>
        <v>12.700000000000001</v>
      </c>
      <c r="AP33" s="20">
        <f t="shared" si="11"/>
        <v>16.8</v>
      </c>
      <c r="AQ33" s="20">
        <f t="shared" si="12"/>
        <v>35</v>
      </c>
      <c r="AR33" s="20">
        <f t="shared" si="13"/>
        <v>100.4</v>
      </c>
      <c r="AS33" s="35">
        <f t="shared" si="34"/>
        <v>302.44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3">
        <v>375715</v>
      </c>
      <c r="AZ33" s="37">
        <f t="shared" si="18"/>
        <v>187900</v>
      </c>
      <c r="BA33" s="37">
        <f t="shared" si="19"/>
        <v>512.96699999999998</v>
      </c>
      <c r="BB33" s="48">
        <f t="shared" si="20"/>
        <v>227.96253480000001</v>
      </c>
    </row>
    <row r="34" spans="1:54" x14ac:dyDescent="0.25">
      <c r="A34" s="23">
        <v>44193</v>
      </c>
      <c r="B34" s="46">
        <v>84</v>
      </c>
      <c r="C34" s="45">
        <v>6505790</v>
      </c>
      <c r="D34" s="24">
        <v>15029130</v>
      </c>
      <c r="E34" s="24">
        <v>2259590</v>
      </c>
      <c r="F34" s="24">
        <v>3221830</v>
      </c>
      <c r="G34" s="24">
        <v>9679160</v>
      </c>
      <c r="H34" s="24">
        <v>5006640</v>
      </c>
      <c r="I34" s="24">
        <v>4703110</v>
      </c>
      <c r="J34" s="24">
        <v>5372270</v>
      </c>
      <c r="K34" s="24">
        <v>8419750</v>
      </c>
      <c r="L34" s="24">
        <v>3433770</v>
      </c>
      <c r="M34" s="24">
        <v>7367830</v>
      </c>
      <c r="N34" s="24">
        <v>10943720</v>
      </c>
      <c r="O34" s="24">
        <v>14956700</v>
      </c>
      <c r="Q34" s="37">
        <f>IF((C34-C33&lt;0), "0",C34-C33)</f>
        <v>540</v>
      </c>
      <c r="R34" s="37">
        <f t="shared" si="22"/>
        <v>1840</v>
      </c>
      <c r="S34" s="37">
        <f t="shared" si="16"/>
        <v>2320</v>
      </c>
      <c r="T34" s="37">
        <f t="shared" si="23"/>
        <v>1410</v>
      </c>
      <c r="U34" s="37">
        <f t="shared" si="24"/>
        <v>5480</v>
      </c>
      <c r="V34" s="37">
        <f t="shared" si="25"/>
        <v>3624</v>
      </c>
      <c r="W34" s="37">
        <f t="shared" si="26"/>
        <v>3150</v>
      </c>
      <c r="X34" s="37">
        <f t="shared" si="27"/>
        <v>4160</v>
      </c>
      <c r="Y34" s="37">
        <f t="shared" si="28"/>
        <v>5800</v>
      </c>
      <c r="Z34" s="37">
        <f t="shared" si="29"/>
        <v>2390</v>
      </c>
      <c r="AA34" s="37">
        <f t="shared" si="30"/>
        <v>3460</v>
      </c>
      <c r="AB34" s="37">
        <f t="shared" si="31"/>
        <v>7000</v>
      </c>
      <c r="AC34" s="37">
        <f t="shared" si="32"/>
        <v>13520</v>
      </c>
      <c r="AD34" s="35">
        <f t="shared" si="33"/>
        <v>54694</v>
      </c>
      <c r="AF34" s="20">
        <f>Q34*$D$39</f>
        <v>2.7</v>
      </c>
      <c r="AG34" s="20">
        <f t="shared" si="2"/>
        <v>9.2000000000000011</v>
      </c>
      <c r="AH34" s="20">
        <f t="shared" si="3"/>
        <v>11.6</v>
      </c>
      <c r="AI34" s="20">
        <f t="shared" si="4"/>
        <v>7.05</v>
      </c>
      <c r="AJ34" s="20">
        <f t="shared" si="5"/>
        <v>27.400000000000002</v>
      </c>
      <c r="AK34" s="20">
        <f t="shared" si="6"/>
        <v>18.12</v>
      </c>
      <c r="AL34" s="20">
        <f t="shared" si="7"/>
        <v>15.75</v>
      </c>
      <c r="AM34" s="20">
        <f t="shared" si="8"/>
        <v>20.8</v>
      </c>
      <c r="AN34" s="20">
        <f t="shared" si="9"/>
        <v>29</v>
      </c>
      <c r="AO34" s="20">
        <f t="shared" si="10"/>
        <v>11.950000000000001</v>
      </c>
      <c r="AP34" s="20">
        <f t="shared" si="11"/>
        <v>17.3</v>
      </c>
      <c r="AQ34" s="20">
        <f t="shared" si="12"/>
        <v>35</v>
      </c>
      <c r="AR34" s="20">
        <f t="shared" si="13"/>
        <v>67.599999999999994</v>
      </c>
      <c r="AS34" s="35">
        <f>SUM(AF34:AR34)</f>
        <v>273.47000000000003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3">
        <v>377250</v>
      </c>
      <c r="AZ34" s="37">
        <f t="shared" si="18"/>
        <v>153500</v>
      </c>
      <c r="BA34" s="37">
        <f t="shared" si="19"/>
        <v>419.05500000000001</v>
      </c>
      <c r="BB34" s="48">
        <f t="shared" si="20"/>
        <v>186.22804200000002</v>
      </c>
    </row>
    <row r="35" spans="1:54" x14ac:dyDescent="0.25">
      <c r="A35" s="23">
        <v>44194</v>
      </c>
      <c r="B35" s="40">
        <v>85</v>
      </c>
      <c r="C35" s="24">
        <v>6506350</v>
      </c>
      <c r="D35" s="24">
        <v>15031050</v>
      </c>
      <c r="E35" s="24">
        <v>2262060</v>
      </c>
      <c r="F35" s="24">
        <v>3223310</v>
      </c>
      <c r="G35" s="24">
        <v>9685180</v>
      </c>
      <c r="H35" s="24">
        <v>5010290</v>
      </c>
      <c r="I35" s="24">
        <v>4705620</v>
      </c>
      <c r="J35" s="24">
        <v>5376160</v>
      </c>
      <c r="K35" s="24">
        <v>8426030</v>
      </c>
      <c r="L35" s="24">
        <v>3436420</v>
      </c>
      <c r="M35" s="24">
        <v>7371430</v>
      </c>
      <c r="N35" s="24">
        <v>10950720</v>
      </c>
      <c r="O35" s="24">
        <v>14970530</v>
      </c>
      <c r="Q35" s="37">
        <f>IF((C35-C34&lt;0), "0",C35-C34)</f>
        <v>560</v>
      </c>
      <c r="R35" s="37">
        <f t="shared" si="22"/>
        <v>1920</v>
      </c>
      <c r="S35" s="37">
        <f t="shared" si="16"/>
        <v>2470</v>
      </c>
      <c r="T35" s="37">
        <f t="shared" si="23"/>
        <v>1480</v>
      </c>
      <c r="U35" s="37">
        <f t="shared" si="24"/>
        <v>6020</v>
      </c>
      <c r="V35" s="37">
        <f t="shared" si="25"/>
        <v>3650</v>
      </c>
      <c r="W35" s="37">
        <f t="shared" si="26"/>
        <v>2510</v>
      </c>
      <c r="X35" s="37">
        <f t="shared" si="27"/>
        <v>3890</v>
      </c>
      <c r="Y35" s="37">
        <f t="shared" si="28"/>
        <v>6280</v>
      </c>
      <c r="Z35" s="37">
        <f t="shared" si="29"/>
        <v>2650</v>
      </c>
      <c r="AA35" s="37">
        <f t="shared" si="30"/>
        <v>3600</v>
      </c>
      <c r="AB35" s="37">
        <f t="shared" si="31"/>
        <v>7000</v>
      </c>
      <c r="AC35" s="37">
        <f t="shared" si="32"/>
        <v>13830</v>
      </c>
      <c r="AD35" s="35">
        <f t="shared" si="33"/>
        <v>55860</v>
      </c>
      <c r="AF35" s="20">
        <f t="shared" si="1"/>
        <v>2.8000000000000003</v>
      </c>
      <c r="AG35" s="20">
        <f t="shared" si="2"/>
        <v>9.6</v>
      </c>
      <c r="AH35" s="20">
        <f t="shared" si="3"/>
        <v>12.35</v>
      </c>
      <c r="AI35" s="20">
        <f t="shared" si="4"/>
        <v>7.4</v>
      </c>
      <c r="AJ35" s="20">
        <f t="shared" si="5"/>
        <v>30.1</v>
      </c>
      <c r="AK35" s="20">
        <f t="shared" si="6"/>
        <v>18.25</v>
      </c>
      <c r="AL35" s="20">
        <f t="shared" si="7"/>
        <v>12.55</v>
      </c>
      <c r="AM35" s="20">
        <f t="shared" si="8"/>
        <v>19.45</v>
      </c>
      <c r="AN35" s="20">
        <f t="shared" si="9"/>
        <v>31.400000000000002</v>
      </c>
      <c r="AO35" s="20">
        <f t="shared" si="10"/>
        <v>13.25</v>
      </c>
      <c r="AP35" s="20">
        <f t="shared" si="11"/>
        <v>18</v>
      </c>
      <c r="AQ35" s="20">
        <f t="shared" si="12"/>
        <v>35</v>
      </c>
      <c r="AR35" s="20">
        <f t="shared" si="13"/>
        <v>69.150000000000006</v>
      </c>
      <c r="AS35" s="35">
        <f>SUM(AF35:AR35)</f>
        <v>279.3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3">
        <v>379125</v>
      </c>
      <c r="AZ35" s="37">
        <f t="shared" si="18"/>
        <v>187500</v>
      </c>
      <c r="BA35" s="37">
        <f t="shared" si="19"/>
        <v>511.875</v>
      </c>
      <c r="BB35" s="48">
        <f t="shared" si="20"/>
        <v>227.47725</v>
      </c>
    </row>
    <row r="36" spans="1:54" x14ac:dyDescent="0.25">
      <c r="A36" s="23">
        <v>44195</v>
      </c>
      <c r="B36" s="40">
        <v>92</v>
      </c>
      <c r="C36" s="24">
        <v>6506900</v>
      </c>
      <c r="D36" s="24">
        <v>15032940</v>
      </c>
      <c r="E36" s="24">
        <v>2264540</v>
      </c>
      <c r="F36" s="24">
        <v>3224750</v>
      </c>
      <c r="G36" s="24">
        <v>9691110</v>
      </c>
      <c r="H36" s="24">
        <v>5013870</v>
      </c>
      <c r="I36" s="24">
        <v>4708160</v>
      </c>
      <c r="J36" s="70">
        <v>5380310</v>
      </c>
      <c r="K36" s="24">
        <v>8431480</v>
      </c>
      <c r="L36" s="24">
        <v>3439090</v>
      </c>
      <c r="M36" s="24">
        <v>7374960</v>
      </c>
      <c r="N36" s="24">
        <v>10957720</v>
      </c>
      <c r="O36" s="24">
        <v>14982940</v>
      </c>
      <c r="Q36" s="37">
        <f t="shared" ref="Q36:AA36" si="37">IF((C36-C35&lt;0), "0",C36-C35)</f>
        <v>550</v>
      </c>
      <c r="R36" s="37">
        <f t="shared" si="22"/>
        <v>1890</v>
      </c>
      <c r="S36" s="37">
        <f t="shared" si="37"/>
        <v>2480</v>
      </c>
      <c r="T36" s="37">
        <f t="shared" si="37"/>
        <v>1440</v>
      </c>
      <c r="U36" s="37">
        <f t="shared" si="37"/>
        <v>5930</v>
      </c>
      <c r="V36" s="37">
        <f t="shared" si="37"/>
        <v>3580</v>
      </c>
      <c r="W36" s="37">
        <f t="shared" si="37"/>
        <v>2540</v>
      </c>
      <c r="X36" s="37">
        <f t="shared" si="27"/>
        <v>4150</v>
      </c>
      <c r="Y36" s="37">
        <f t="shared" si="37"/>
        <v>5450</v>
      </c>
      <c r="Z36" s="37">
        <f t="shared" si="37"/>
        <v>2670</v>
      </c>
      <c r="AA36" s="37">
        <f t="shared" si="37"/>
        <v>3530</v>
      </c>
      <c r="AB36" s="37">
        <f t="shared" si="31"/>
        <v>7000</v>
      </c>
      <c r="AC36" s="37">
        <f t="shared" si="32"/>
        <v>12410</v>
      </c>
      <c r="AD36" s="35">
        <f t="shared" si="33"/>
        <v>53620</v>
      </c>
      <c r="AF36" s="20">
        <f t="shared" si="1"/>
        <v>2.75</v>
      </c>
      <c r="AG36" s="20">
        <f t="shared" si="2"/>
        <v>9.4500000000000011</v>
      </c>
      <c r="AH36" s="20">
        <f t="shared" si="3"/>
        <v>12.4</v>
      </c>
      <c r="AI36" s="20">
        <f t="shared" si="4"/>
        <v>7.2</v>
      </c>
      <c r="AJ36" s="20">
        <f t="shared" si="5"/>
        <v>29.650000000000002</v>
      </c>
      <c r="AK36" s="20">
        <f t="shared" si="6"/>
        <v>17.900000000000002</v>
      </c>
      <c r="AL36" s="20">
        <f t="shared" si="7"/>
        <v>12.700000000000001</v>
      </c>
      <c r="AM36" s="20">
        <f t="shared" si="8"/>
        <v>20.75</v>
      </c>
      <c r="AN36" s="20">
        <f t="shared" si="9"/>
        <v>27.25</v>
      </c>
      <c r="AO36" s="20">
        <f t="shared" si="10"/>
        <v>13.35</v>
      </c>
      <c r="AP36" s="20">
        <f t="shared" si="11"/>
        <v>17.650000000000002</v>
      </c>
      <c r="AQ36" s="20">
        <f t="shared" si="12"/>
        <v>35</v>
      </c>
      <c r="AR36" s="20">
        <f t="shared" si="13"/>
        <v>62.050000000000004</v>
      </c>
      <c r="AS36" s="35">
        <f>SUM(AF36:AR36)</f>
        <v>268.10000000000002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3">
        <v>380770</v>
      </c>
      <c r="AZ36" s="37">
        <f t="shared" si="18"/>
        <v>164500</v>
      </c>
      <c r="BA36" s="37">
        <f t="shared" si="19"/>
        <v>449.08499999999998</v>
      </c>
      <c r="BB36" s="48">
        <f t="shared" si="20"/>
        <v>199.573374</v>
      </c>
    </row>
    <row r="37" spans="1:54" x14ac:dyDescent="0.25">
      <c r="A37" s="23">
        <v>44196</v>
      </c>
      <c r="B37" s="40">
        <v>255</v>
      </c>
      <c r="C37" s="24">
        <v>6507490</v>
      </c>
      <c r="D37" s="24">
        <v>15034950</v>
      </c>
      <c r="E37" s="24">
        <v>2267330</v>
      </c>
      <c r="F37" s="24">
        <v>3226310</v>
      </c>
      <c r="G37" s="24">
        <v>9697720</v>
      </c>
      <c r="H37" s="24">
        <v>5017730</v>
      </c>
      <c r="I37" s="24">
        <v>4710890</v>
      </c>
      <c r="J37" s="24">
        <v>5384740</v>
      </c>
      <c r="K37" s="24">
        <v>8437520</v>
      </c>
      <c r="L37" s="24">
        <v>3442340</v>
      </c>
      <c r="M37" s="24">
        <v>7379140</v>
      </c>
      <c r="N37" s="24">
        <v>10964720</v>
      </c>
      <c r="O37" s="24">
        <v>14995160</v>
      </c>
      <c r="Q37" s="37">
        <f t="shared" ref="Q37" si="38">IF((C37-C36&lt;0), "0",C37-C36)</f>
        <v>590</v>
      </c>
      <c r="R37" s="37">
        <f t="shared" si="22"/>
        <v>2010</v>
      </c>
      <c r="S37" s="37">
        <f t="shared" ref="S37" si="39">IF((E37-E36&lt;0), "0",E37-E36)</f>
        <v>2790</v>
      </c>
      <c r="T37" s="37">
        <f t="shared" ref="T37" si="40">IF((F37-F36&lt;0), "0",F37-F36)</f>
        <v>1560</v>
      </c>
      <c r="U37" s="37">
        <f t="shared" ref="U37" si="41">IF((G37-G36&lt;0), "0",G37-G36)</f>
        <v>6610</v>
      </c>
      <c r="V37" s="37">
        <f t="shared" ref="V37" si="42">IF((H37-H36&lt;0), "0",H37-H36)</f>
        <v>3860</v>
      </c>
      <c r="W37" s="37">
        <f t="shared" ref="W37" si="43">IF((I37-I36&lt;0), "0",I37-I36)</f>
        <v>2730</v>
      </c>
      <c r="X37" s="37">
        <f t="shared" si="27"/>
        <v>4430</v>
      </c>
      <c r="Y37" s="37">
        <f t="shared" ref="Y37" si="44">IF((K37-K36&lt;0), "0",K37-K36)</f>
        <v>6040</v>
      </c>
      <c r="Z37" s="37">
        <f t="shared" ref="Z37" si="45">IF((L37-L36&lt;0), "0",L37-L36)</f>
        <v>3250</v>
      </c>
      <c r="AA37" s="37">
        <f t="shared" ref="AA37" si="46">IF((M37-M36&lt;0), "0",M37-M36)</f>
        <v>4180</v>
      </c>
      <c r="AB37" s="37">
        <f t="shared" si="31"/>
        <v>7000</v>
      </c>
      <c r="AC37" s="37">
        <f t="shared" si="32"/>
        <v>12220</v>
      </c>
      <c r="AD37" s="35">
        <f t="shared" si="33"/>
        <v>57270</v>
      </c>
      <c r="AF37" s="20">
        <f t="shared" ref="AF37" si="47">Q37*$D$39</f>
        <v>2.95</v>
      </c>
      <c r="AG37" s="20">
        <f t="shared" ref="AG37" si="48">R37*$D$39</f>
        <v>10.050000000000001</v>
      </c>
      <c r="AH37" s="20">
        <f t="shared" ref="AH37" si="49">S37*$D$39</f>
        <v>13.950000000000001</v>
      </c>
      <c r="AI37" s="20">
        <f t="shared" ref="AI37" si="50">T37*$D$39</f>
        <v>7.8</v>
      </c>
      <c r="AJ37" s="20">
        <f t="shared" ref="AJ37" si="51">U37*$D$39</f>
        <v>33.049999999999997</v>
      </c>
      <c r="AK37" s="20">
        <f t="shared" ref="AK37" si="52">V37*$D$39</f>
        <v>19.3</v>
      </c>
      <c r="AL37" s="20">
        <f t="shared" ref="AL37" si="53">W37*$D$39</f>
        <v>13.65</v>
      </c>
      <c r="AM37" s="20">
        <f t="shared" ref="AM37" si="54">X37*$D$39</f>
        <v>22.150000000000002</v>
      </c>
      <c r="AN37" s="20">
        <f t="shared" ref="AN37" si="55">Y37*$D$39</f>
        <v>30.2</v>
      </c>
      <c r="AO37" s="20">
        <f t="shared" ref="AO37" si="56">Z37*$D$39</f>
        <v>16.25</v>
      </c>
      <c r="AP37" s="20">
        <f t="shared" ref="AP37" si="57">AA37*$D$39</f>
        <v>20.900000000000002</v>
      </c>
      <c r="AQ37" s="20">
        <f t="shared" ref="AQ37" si="58">AB37*$D$39</f>
        <v>35</v>
      </c>
      <c r="AR37" s="20">
        <f t="shared" ref="AR37" si="59">AC37*$D$39</f>
        <v>61.1</v>
      </c>
      <c r="AS37" s="35">
        <f>SUM(AF37:AR37)</f>
        <v>286.35000000000002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73">
        <v>382813</v>
      </c>
      <c r="AZ37" s="37">
        <f t="shared" si="18"/>
        <v>204300</v>
      </c>
      <c r="BA37" s="37">
        <f t="shared" si="19"/>
        <v>557.73900000000003</v>
      </c>
      <c r="BB37" s="48">
        <f t="shared" si="20"/>
        <v>247.85921160000004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17240</v>
      </c>
      <c r="R38" s="38">
        <f t="shared" ref="R38:AD38" si="60">SUM(R7:R37)</f>
        <v>58930</v>
      </c>
      <c r="S38" s="38">
        <f t="shared" si="60"/>
        <v>58630</v>
      </c>
      <c r="T38" s="38">
        <f t="shared" si="60"/>
        <v>74640</v>
      </c>
      <c r="U38" s="38">
        <f t="shared" si="60"/>
        <v>161950</v>
      </c>
      <c r="V38" s="38">
        <f t="shared" si="60"/>
        <v>110420</v>
      </c>
      <c r="W38" s="38">
        <f t="shared" si="60"/>
        <v>75920</v>
      </c>
      <c r="X38" s="38">
        <f t="shared" si="60"/>
        <v>119730</v>
      </c>
      <c r="Y38" s="38">
        <f t="shared" si="60"/>
        <v>188820</v>
      </c>
      <c r="Z38" s="38">
        <f t="shared" si="60"/>
        <v>80580</v>
      </c>
      <c r="AA38" s="38">
        <f t="shared" si="60"/>
        <v>105550</v>
      </c>
      <c r="AB38" s="38">
        <f t="shared" si="60"/>
        <v>219100</v>
      </c>
      <c r="AC38" s="38">
        <f t="shared" si="60"/>
        <v>380990</v>
      </c>
      <c r="AD38" s="38">
        <f t="shared" si="60"/>
        <v>1652500</v>
      </c>
      <c r="AF38" s="35">
        <f>SUM(AF7:AF37)</f>
        <v>86.2</v>
      </c>
      <c r="AG38" s="35">
        <f t="shared" ref="AG38:AT38" si="61">SUM(AG7:AG37)</f>
        <v>294.65000000000003</v>
      </c>
      <c r="AH38" s="35">
        <f t="shared" si="61"/>
        <v>293.14999999999998</v>
      </c>
      <c r="AI38" s="35">
        <f t="shared" si="61"/>
        <v>373.19999999999993</v>
      </c>
      <c r="AJ38" s="35">
        <f t="shared" si="61"/>
        <v>809.75</v>
      </c>
      <c r="AK38" s="35">
        <f t="shared" si="61"/>
        <v>552.1</v>
      </c>
      <c r="AL38" s="35">
        <f t="shared" si="61"/>
        <v>379.59999999999997</v>
      </c>
      <c r="AM38" s="35">
        <f t="shared" si="61"/>
        <v>598.65000000000009</v>
      </c>
      <c r="AN38" s="35">
        <f t="shared" si="61"/>
        <v>944.1</v>
      </c>
      <c r="AO38" s="35">
        <f t="shared" si="61"/>
        <v>402.89999999999986</v>
      </c>
      <c r="AP38" s="35">
        <f t="shared" si="61"/>
        <v>527.75000000000011</v>
      </c>
      <c r="AQ38" s="35">
        <f t="shared" si="61"/>
        <v>1095.5</v>
      </c>
      <c r="AR38" s="35">
        <f t="shared" si="61"/>
        <v>1904.95</v>
      </c>
      <c r="AS38" s="35">
        <f t="shared" si="61"/>
        <v>8262.5000000000018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7"/>
      <c r="AZ38" s="37">
        <f t="shared" si="18"/>
        <v>0</v>
      </c>
      <c r="BA38" s="37">
        <f>SUM(BA7:BA37)</f>
        <v>14298.647999999999</v>
      </c>
      <c r="BB38" s="48">
        <f t="shared" si="20"/>
        <v>6354.3191711999998</v>
      </c>
    </row>
    <row r="39" spans="1:54" x14ac:dyDescent="0.25">
      <c r="B39" s="39">
        <f>SUM(B7:B37)</f>
        <v>2969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2023-02-14T18:32:59Z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