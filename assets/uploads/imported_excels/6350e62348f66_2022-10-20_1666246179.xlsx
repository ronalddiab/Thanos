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1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08" documentId="11_C6CB49589A6AEEA323ED615BAC1701928A2F9E95" xr6:coauthVersionLast="47" xr6:coauthVersionMax="47" xr10:uidLastSave="{656F1B8B-6CF3-4195-9627-C1868533767F}"/>
  <bookViews>
    <workbookView xWindow="0" yWindow="0" windowWidth="15696" windowHeight="8052" firstSheet="1" activeTab="1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<sst xmlns="http://schemas.openxmlformats.org/spreadsheetml/2006/main" count="902" uniqueCount="78">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</sst>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A266" workbookViewId="0">
      <selection activeCell="I294" sqref="I294"/>
    </sheetView>
  </sheetViews>
  <sheetFormatPr defaultRowHeight="14.4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43.15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 t="s">
        <v>14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 t="s">
        <v>14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 t="s">
        <v>14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 t="s">
        <v>13</v>
      </c>
      <c r="G275" s="4">
        <f>'Gas Water'!M278</f>
        <v>1829</v>
      </c>
      <c r="H275" s="124">
        <v>20</v>
      </c>
      <c r="I275" s="2">
        <f>'Gas Water'!L278</f>
        <v>283</v>
      </c>
      <c r="J275" s="124" t="s">
        <v>14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 t="s">
        <v>13</v>
      </c>
      <c r="G276" s="4">
        <f>'Gas Water'!M279</f>
        <v>2320</v>
      </c>
      <c r="H276" s="124">
        <v>20</v>
      </c>
      <c r="I276" s="2">
        <f>'Gas Water'!L279</f>
        <v>335</v>
      </c>
      <c r="J276" s="124" t="s">
        <v>14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 t="s">
        <v>13</v>
      </c>
      <c r="G277" s="4">
        <f>'Gas Water'!M280</f>
        <v>2189</v>
      </c>
      <c r="H277" s="124">
        <v>20</v>
      </c>
      <c r="I277" s="2">
        <f>'Gas Water'!L280</f>
        <v>251</v>
      </c>
      <c r="J277" s="124" t="s">
        <v>14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 t="s">
        <v>13</v>
      </c>
      <c r="G278" s="4">
        <f>'Gas Water'!M281</f>
        <v>2461</v>
      </c>
      <c r="H278" s="124">
        <v>20</v>
      </c>
      <c r="I278" s="2">
        <f>'Gas Water'!L281</f>
        <v>277</v>
      </c>
      <c r="J278" s="124" t="s">
        <v>14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 t="s">
        <v>13</v>
      </c>
      <c r="G279" s="4">
        <f>'Gas Water'!M282</f>
        <v>2849</v>
      </c>
      <c r="H279" s="124">
        <v>20</v>
      </c>
      <c r="I279" s="2">
        <f>'Gas Water'!L282</f>
        <v>243</v>
      </c>
      <c r="J279" s="124" t="s">
        <v>14</v>
      </c>
      <c r="K279" s="5">
        <v>134</v>
      </c>
      <c r="L279" s="5">
        <v>228</v>
      </c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 t="s">
        <v>13</v>
      </c>
      <c r="G280" s="4">
        <f>'Gas Water'!M283</f>
        <v>1574</v>
      </c>
      <c r="H280" s="124">
        <v>20</v>
      </c>
      <c r="I280" s="2">
        <f>'Gas Water'!L283</f>
        <v>290</v>
      </c>
      <c r="J280" s="124" t="s">
        <v>14</v>
      </c>
      <c r="K280" s="5">
        <v>168</v>
      </c>
      <c r="L280" s="5">
        <v>252</v>
      </c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 t="s">
        <v>13</v>
      </c>
      <c r="G281" s="4">
        <f>'Gas Water'!M284</f>
        <v>2356</v>
      </c>
      <c r="H281" s="124">
        <v>20</v>
      </c>
      <c r="I281" s="2">
        <f>'Gas Water'!L284</f>
        <v>285</v>
      </c>
      <c r="J281" s="124" t="s">
        <v>14</v>
      </c>
      <c r="K281" s="5">
        <v>155</v>
      </c>
      <c r="L281" s="5">
        <v>229</v>
      </c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 t="s">
        <v>13</v>
      </c>
      <c r="G282" s="4">
        <f>'Gas Water'!M285</f>
        <v>2221</v>
      </c>
      <c r="H282" s="124">
        <v>20</v>
      </c>
      <c r="I282" s="2">
        <f>'Gas Water'!L285</f>
        <v>252</v>
      </c>
      <c r="J282" s="124" t="s">
        <v>14</v>
      </c>
      <c r="K282" s="5">
        <v>131</v>
      </c>
      <c r="L282" s="5">
        <v>240</v>
      </c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 t="s">
        <v>13</v>
      </c>
      <c r="G283" s="4">
        <f>'Gas Water'!M286</f>
        <v>2181</v>
      </c>
      <c r="H283" s="124">
        <v>20</v>
      </c>
      <c r="I283" s="2">
        <f>'Gas Water'!L286</f>
        <v>254</v>
      </c>
      <c r="J283" s="124" t="s">
        <v>14</v>
      </c>
      <c r="K283" s="5">
        <v>99</v>
      </c>
      <c r="L283" s="5">
        <v>189</v>
      </c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 t="s">
        <v>13</v>
      </c>
      <c r="G284" s="4">
        <f>'Gas Water'!M287</f>
        <v>1995</v>
      </c>
      <c r="H284" s="124">
        <v>20</v>
      </c>
      <c r="I284" s="2">
        <f>'Gas Water'!L287</f>
        <v>291</v>
      </c>
      <c r="J284" s="124" t="s">
        <v>14</v>
      </c>
      <c r="K284" s="5">
        <v>125</v>
      </c>
      <c r="L284" s="5">
        <v>217</v>
      </c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 t="s">
        <v>13</v>
      </c>
      <c r="G285" s="4">
        <f>'Gas Water'!M288</f>
        <v>2359</v>
      </c>
      <c r="H285" s="124">
        <v>20</v>
      </c>
      <c r="I285" s="2">
        <f>'Gas Water'!L288</f>
        <v>261</v>
      </c>
      <c r="J285" s="124" t="s">
        <v>14</v>
      </c>
      <c r="K285" s="5">
        <v>143</v>
      </c>
      <c r="L285" s="5">
        <v>239</v>
      </c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 t="s">
        <v>13</v>
      </c>
      <c r="G286" s="4">
        <f>'Gas Water'!M289</f>
        <v>1969</v>
      </c>
      <c r="H286" s="124">
        <v>20</v>
      </c>
      <c r="I286" s="2">
        <f>'Gas Water'!L289</f>
        <v>266</v>
      </c>
      <c r="J286" s="124" t="s">
        <v>14</v>
      </c>
      <c r="K286" s="5">
        <v>135</v>
      </c>
      <c r="L286" s="5">
        <v>243</v>
      </c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 t="s">
        <v>13</v>
      </c>
      <c r="G287" s="4">
        <f>'Gas Water'!M290</f>
        <v>2194</v>
      </c>
      <c r="H287" s="124">
        <v>20</v>
      </c>
      <c r="I287" s="2">
        <f>'Gas Water'!L290</f>
        <v>333</v>
      </c>
      <c r="J287" s="124" t="s">
        <v>14</v>
      </c>
      <c r="K287" s="5">
        <v>134</v>
      </c>
      <c r="L287" s="5">
        <v>232</v>
      </c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 t="s">
        <v>13</v>
      </c>
      <c r="G288" s="4">
        <f>'Gas Water'!M291</f>
        <v>1888</v>
      </c>
      <c r="H288" s="124">
        <v>20</v>
      </c>
      <c r="I288" s="2">
        <f>'Gas Water'!L291</f>
        <v>297</v>
      </c>
      <c r="J288" s="124" t="s">
        <v>14</v>
      </c>
      <c r="K288" s="5">
        <v>159</v>
      </c>
      <c r="L288" s="5">
        <v>241</v>
      </c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 t="s">
        <v>13</v>
      </c>
      <c r="G289" s="4">
        <f>'Gas Water'!M292</f>
        <v>2213</v>
      </c>
      <c r="H289" s="124">
        <v>20</v>
      </c>
      <c r="I289" s="2">
        <f>'Gas Water'!L292</f>
        <v>287</v>
      </c>
      <c r="J289" s="124" t="s">
        <v>14</v>
      </c>
      <c r="K289" s="5">
        <v>163</v>
      </c>
      <c r="L289" s="5">
        <v>252</v>
      </c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 t="s">
        <v>13</v>
      </c>
      <c r="G290" s="4">
        <f>'Gas Water'!M293</f>
        <v>2123</v>
      </c>
      <c r="H290" s="124">
        <v>20</v>
      </c>
      <c r="I290" s="2">
        <f>'Gas Water'!L293</f>
        <v>267</v>
      </c>
      <c r="J290" s="124" t="s">
        <v>14</v>
      </c>
      <c r="K290" s="5">
        <v>124</v>
      </c>
      <c r="L290" s="5">
        <v>225</v>
      </c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 t="s">
        <v>13</v>
      </c>
      <c r="G291" s="4">
        <f>'Gas Water'!M294</f>
        <v>1715</v>
      </c>
      <c r="H291" s="124">
        <v>20</v>
      </c>
      <c r="I291" s="2">
        <f>'Gas Water'!L294</f>
        <v>274</v>
      </c>
      <c r="J291" s="124" t="s">
        <v>14</v>
      </c>
      <c r="K291" s="5">
        <v>126</v>
      </c>
      <c r="L291" s="5">
        <v>226</v>
      </c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 t="s">
        <v>13</v>
      </c>
      <c r="G292" s="4">
        <f>'Gas Water'!M295</f>
        <v>1770</v>
      </c>
      <c r="H292" s="124">
        <v>20</v>
      </c>
      <c r="I292" s="2">
        <f>'Gas Water'!L295</f>
        <v>321</v>
      </c>
      <c r="J292" s="124" t="s">
        <v>14</v>
      </c>
      <c r="K292" s="5">
        <v>130</v>
      </c>
      <c r="L292" s="5">
        <v>234</v>
      </c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 t="s">
        <v>13</v>
      </c>
      <c r="G293" s="4">
        <f>'Gas Water'!M296</f>
        <v>2392</v>
      </c>
      <c r="H293" s="124">
        <v>20</v>
      </c>
      <c r="I293" s="2">
        <f>'Gas Water'!L296</f>
        <v>283</v>
      </c>
      <c r="J293" s="124" t="s">
        <v>14</v>
      </c>
      <c r="K293" s="5">
        <v>115</v>
      </c>
      <c r="L293" s="5">
        <v>229</v>
      </c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 t="s">
        <v>13</v>
      </c>
      <c r="G294" s="4" t="str">
        <f>'Gas Water'!M297</f>
        <v/>
      </c>
      <c r="H294" s="124">
        <v>20</v>
      </c>
      <c r="I294" s="2" t="str">
        <f>'Gas Water'!L297</f>
        <v/>
      </c>
      <c r="J294" s="124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 t="s">
        <v>13</v>
      </c>
      <c r="G295" s="4" t="str">
        <f>'Gas Water'!M298</f>
        <v/>
      </c>
      <c r="H295" s="124">
        <v>20</v>
      </c>
      <c r="I295" s="2" t="str">
        <f>'Gas Water'!L298</f>
        <v/>
      </c>
      <c r="J295" s="124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 t="s">
        <v>13</v>
      </c>
      <c r="G296" s="4" t="str">
        <f>'Gas Water'!M299</f>
        <v/>
      </c>
      <c r="H296" s="124">
        <v>20</v>
      </c>
      <c r="I296" s="2" t="str">
        <f>'Gas Water'!L299</f>
        <v/>
      </c>
      <c r="J296" s="124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 t="s">
        <v>13</v>
      </c>
      <c r="G297" s="4" t="str">
        <f>'Gas Water'!M300</f>
        <v/>
      </c>
      <c r="H297" s="124">
        <v>20</v>
      </c>
      <c r="I297" s="2" t="str">
        <f>'Gas Water'!L300</f>
        <v/>
      </c>
      <c r="J297" s="124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 t="s">
        <v>13</v>
      </c>
      <c r="G298" s="4" t="str">
        <f>'Gas Water'!M301</f>
        <v/>
      </c>
      <c r="H298" s="124">
        <v>20</v>
      </c>
      <c r="I298" s="2" t="str">
        <f>'Gas Water'!L301</f>
        <v/>
      </c>
      <c r="J298" s="124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abSelected="1" topLeftCell="A274" workbookViewId="0">
      <selection activeCell="N297" sqref="N297"/>
    </sheetView>
  </sheetViews>
  <sheetFormatPr defaultColWidth="9.140625" defaultRowHeight="14.4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N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ht="15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ht="15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 ht="15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ht="15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 ht="15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 ht="15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 ht="15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 ht="15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 ht="15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 ht="15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 ht="15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 ht="15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 ht="15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 ht="15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 ht="15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 ht="15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 ht="15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 ht="15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 ht="15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1" t="s">
        <v>54</v>
      </c>
      <c r="Q295" s="182"/>
      <c r="R295" s="19">
        <f t="shared" si="88"/>
        <v>1</v>
      </c>
      <c r="S295" s="19">
        <f t="shared" si="91"/>
        <v>0</v>
      </c>
      <c r="T295" s="145"/>
    </row>
    <row r="296" spans="1:20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31</v>
      </c>
      <c r="Q297" s="62" t="s">
        <v>32</v>
      </c>
      <c r="R297" s="19">
        <f t="shared" si="88"/>
        <v>0</v>
      </c>
      <c r="S297" s="19">
        <f t="shared" si="91"/>
        <v>1</v>
      </c>
      <c r="T297" s="144"/>
    </row>
    <row r="298" spans="1:20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4.3228548169060341E-2</v>
      </c>
      <c r="Q298" s="63">
        <f>IF(L277="",0,+SUM(L277:L307)/SUM(I277:I307))</f>
        <v>4.3228548169060341E-2</v>
      </c>
      <c r="R298" s="19">
        <f t="shared" si="88"/>
        <v>0</v>
      </c>
      <c r="S298" s="19">
        <f t="shared" si="91"/>
        <v>1</v>
      </c>
      <c r="T298" s="145"/>
    </row>
    <row r="299" spans="1:20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0</v>
      </c>
      <c r="S299" s="19">
        <f t="shared" si="91"/>
        <v>1</v>
      </c>
      <c r="T299" s="145"/>
    </row>
    <row r="300" spans="1:20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33</v>
      </c>
      <c r="Q300" s="66" t="s">
        <v>34</v>
      </c>
      <c r="R300" s="19">
        <f t="shared" si="88"/>
        <v>0</v>
      </c>
      <c r="S300" s="19">
        <f t="shared" si="91"/>
        <v>1</v>
      </c>
      <c r="T300" s="145"/>
    </row>
    <row r="301" spans="1:20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1263</v>
      </c>
      <c r="Q301" s="68">
        <f>IF(P301="",0,+P301/SUM(R277:R307))</f>
        <v>66.473684210526315</v>
      </c>
      <c r="R301" s="19">
        <f t="shared" si="88"/>
        <v>0</v>
      </c>
      <c r="S301" s="19">
        <f t="shared" si="91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0</v>
      </c>
      <c r="S303" s="19">
        <f t="shared" si="91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0</v>
      </c>
      <c r="S305" s="19">
        <f t="shared" si="91"/>
        <v>1</v>
      </c>
      <c r="T305" s="144"/>
    </row>
    <row r="306" spans="1:20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0</v>
      </c>
      <c r="S307" s="19">
        <f t="shared" si="91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74" workbookViewId="0">
      <selection activeCell="G297" sqref="G297"/>
    </sheetView>
  </sheetViews>
  <sheetFormatPr defaultColWidth="9.140625" defaultRowHeight="13.1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9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5" customHeight="1" thickBot="1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9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2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5" customHeight="1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5" customHeight="1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5" customHeight="1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5" customHeight="1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5" customHeight="1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5" customHeight="1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5" customHeight="1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5" customHeight="1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5" customHeight="1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5" customHeight="1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5" customHeight="1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5" customHeight="1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5" customHeight="1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5" customHeight="1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5" customHeight="1">
      <c r="B296" s="21">
        <v>44488</v>
      </c>
      <c r="C296" s="39">
        <v>16416512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536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2392</v>
      </c>
      <c r="Q296" s="19">
        <f t="shared" si="104"/>
        <v>0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68</v>
      </c>
      <c r="O298" s="187" t="s">
        <v>69</v>
      </c>
      <c r="Q298" s="19">
        <f t="shared" si="104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5350</v>
      </c>
      <c r="O301" s="30">
        <f>SUM(M278:M308)</f>
        <v>40598</v>
      </c>
      <c r="Q301" s="19">
        <f t="shared" si="104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>
        <f>AVERAGE(L278:L308)</f>
        <v>281.57894736842104</v>
      </c>
      <c r="O304" s="30">
        <f>AVERAGE(M278:M308)</f>
        <v>2136.7368421052633</v>
      </c>
      <c r="Q304" s="19">
        <f t="shared" si="104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5" customHeight="1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CEBED28E-7EB1-4939-B257-E9DD061D1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2022-10-20T05:40:57Z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