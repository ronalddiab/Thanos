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570" activeTab="2"/>
  </bookViews>
  <sheets>
    <sheet name="TOTAL" sheetId="1" r:id="rId1"/>
    <sheet name="Submetering" sheetId="3" r:id="rId2"/>
    <sheet name="Hampshire Daily" sheetId="2" r:id="rId3"/>
  </sheets>
  <externalReferences>
    <externalReference r:id="rId4"/>
  </externalReferenc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1" i="3" l="1"/>
  <c r="L31" i="2"/>
  <c r="L32" i="2" s="1"/>
  <c r="L33" i="2" s="1"/>
  <c r="U25" i="2"/>
  <c r="R25" i="2"/>
  <c r="Q25" i="2"/>
  <c r="Q26" i="2" s="1"/>
  <c r="P25" i="2"/>
  <c r="O25" i="2"/>
  <c r="O26" i="2" s="1"/>
  <c r="N25" i="2"/>
  <c r="G25" i="2"/>
  <c r="F25" i="2"/>
  <c r="E25" i="2"/>
  <c r="D25" i="2"/>
  <c r="T24" i="2"/>
  <c r="T25" i="2" s="1"/>
  <c r="S24" i="2"/>
  <c r="S25" i="2" s="1"/>
  <c r="O24" i="2"/>
  <c r="M24" i="2"/>
  <c r="M25" i="2" s="1"/>
  <c r="M26" i="2" s="1"/>
  <c r="H24" i="2"/>
  <c r="H25" i="2" s="1"/>
  <c r="H26" i="2" s="1"/>
  <c r="L22" i="2"/>
  <c r="L23" i="2" s="1"/>
  <c r="L24" i="2" s="1"/>
  <c r="L25" i="2" s="1"/>
  <c r="L26" i="2" s="1"/>
  <c r="L27" i="2" s="1"/>
  <c r="L28" i="2" s="1"/>
  <c r="O19" i="2" l="1"/>
  <c r="O16" i="2"/>
  <c r="O17" i="2"/>
  <c r="L14" i="2"/>
  <c r="L15" i="2"/>
  <c r="O12" i="2"/>
  <c r="O13" i="2"/>
  <c r="L12" i="2"/>
  <c r="K9" i="3"/>
  <c r="L5" i="2"/>
  <c r="L6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Q27" i="3"/>
  <c r="M28" i="3"/>
  <c r="G28" i="1" s="1"/>
  <c r="E28" i="3"/>
  <c r="L25" i="3"/>
  <c r="E22" i="3"/>
  <c r="F22" i="3"/>
  <c r="E22" i="1" s="1"/>
  <c r="G22" i="3"/>
  <c r="H22" i="3"/>
  <c r="I22" i="3"/>
  <c r="J22" i="3"/>
  <c r="L22" i="3"/>
  <c r="M22" i="3"/>
  <c r="G22" i="1"/>
  <c r="N22" i="3"/>
  <c r="I22" i="1" s="1"/>
  <c r="O22" i="3"/>
  <c r="P22" i="3"/>
  <c r="Q22" i="3"/>
  <c r="R22" i="3"/>
  <c r="S22" i="3"/>
  <c r="T22" i="3"/>
  <c r="U22" i="3"/>
  <c r="V22" i="3"/>
  <c r="W22" i="3"/>
  <c r="X22" i="3"/>
  <c r="Y22" i="3"/>
  <c r="L22" i="1"/>
  <c r="E23" i="3"/>
  <c r="F23" i="3"/>
  <c r="H23" i="3"/>
  <c r="I23" i="3"/>
  <c r="J23" i="3"/>
  <c r="L23" i="3"/>
  <c r="M23" i="3"/>
  <c r="G23" i="1" s="1"/>
  <c r="N23" i="3"/>
  <c r="I23" i="1" s="1"/>
  <c r="O23" i="3"/>
  <c r="P23" i="3"/>
  <c r="Q23" i="3"/>
  <c r="R23" i="3"/>
  <c r="S23" i="3"/>
  <c r="T23" i="3"/>
  <c r="U23" i="3"/>
  <c r="V23" i="3"/>
  <c r="W23" i="3"/>
  <c r="X23" i="3"/>
  <c r="Y23" i="3"/>
  <c r="L23" i="1"/>
  <c r="E24" i="3"/>
  <c r="F24" i="3"/>
  <c r="E24" i="1" s="1"/>
  <c r="H24" i="3"/>
  <c r="I24" i="3"/>
  <c r="J24" i="3"/>
  <c r="M24" i="3"/>
  <c r="G24" i="1" s="1"/>
  <c r="O24" i="3"/>
  <c r="P24" i="3"/>
  <c r="Q24" i="3"/>
  <c r="R24" i="3"/>
  <c r="S24" i="3"/>
  <c r="T24" i="3"/>
  <c r="U24" i="3"/>
  <c r="V24" i="3"/>
  <c r="W24" i="3"/>
  <c r="X24" i="3"/>
  <c r="Y24" i="3"/>
  <c r="L24" i="1"/>
  <c r="E25" i="3"/>
  <c r="F25" i="3"/>
  <c r="E25" i="1" s="1"/>
  <c r="H25" i="3"/>
  <c r="I25" i="3"/>
  <c r="J25" i="3"/>
  <c r="M25" i="3"/>
  <c r="G25" i="1" s="1"/>
  <c r="O25" i="3"/>
  <c r="P25" i="3"/>
  <c r="Q25" i="3"/>
  <c r="R25" i="3"/>
  <c r="S25" i="3"/>
  <c r="T25" i="3"/>
  <c r="U25" i="3"/>
  <c r="V25" i="3"/>
  <c r="W25" i="3"/>
  <c r="X25" i="3"/>
  <c r="Y25" i="3"/>
  <c r="L25" i="1"/>
  <c r="E26" i="3"/>
  <c r="F26" i="3"/>
  <c r="E26" i="1" s="1"/>
  <c r="G26" i="3"/>
  <c r="H26" i="3"/>
  <c r="I26" i="3"/>
  <c r="J26" i="3"/>
  <c r="L26" i="3"/>
  <c r="M26" i="3"/>
  <c r="G26" i="1" s="1"/>
  <c r="N26" i="3"/>
  <c r="I26" i="1" s="1"/>
  <c r="O26" i="3"/>
  <c r="P26" i="3"/>
  <c r="Q26" i="3"/>
  <c r="R26" i="3"/>
  <c r="S26" i="3"/>
  <c r="T26" i="3"/>
  <c r="U26" i="3"/>
  <c r="V26" i="3"/>
  <c r="W26" i="3"/>
  <c r="X26" i="3"/>
  <c r="Y26" i="3"/>
  <c r="L26" i="1" s="1"/>
  <c r="E27" i="3"/>
  <c r="F27" i="3"/>
  <c r="E27" i="1" s="1"/>
  <c r="G27" i="3"/>
  <c r="H27" i="3"/>
  <c r="I27" i="3"/>
  <c r="J27" i="3"/>
  <c r="L27" i="3"/>
  <c r="N27" i="3"/>
  <c r="I27" i="1" s="1"/>
  <c r="O27" i="3"/>
  <c r="P27" i="3"/>
  <c r="R27" i="3"/>
  <c r="S27" i="3"/>
  <c r="T27" i="3"/>
  <c r="U27" i="3"/>
  <c r="V27" i="3"/>
  <c r="W27" i="3"/>
  <c r="X27" i="3"/>
  <c r="Y27" i="3"/>
  <c r="F28" i="3"/>
  <c r="E28" i="1" s="1"/>
  <c r="G28" i="3"/>
  <c r="H28" i="3"/>
  <c r="I28" i="3"/>
  <c r="J28" i="3"/>
  <c r="L28" i="3"/>
  <c r="N28" i="3"/>
  <c r="I28" i="1" s="1"/>
  <c r="O28" i="3"/>
  <c r="P28" i="3"/>
  <c r="R28" i="3"/>
  <c r="S28" i="3"/>
  <c r="T28" i="3"/>
  <c r="U28" i="3"/>
  <c r="V28" i="3"/>
  <c r="W28" i="3"/>
  <c r="X28" i="3"/>
  <c r="Y28" i="3"/>
  <c r="L28" i="1"/>
  <c r="E29" i="3"/>
  <c r="F29" i="3"/>
  <c r="G29" i="3"/>
  <c r="H29" i="3"/>
  <c r="I29" i="3"/>
  <c r="J29" i="3"/>
  <c r="L29" i="3"/>
  <c r="M29" i="3"/>
  <c r="G29" i="1" s="1"/>
  <c r="N29" i="3"/>
  <c r="I29" i="1" s="1"/>
  <c r="O29" i="3"/>
  <c r="P29" i="3"/>
  <c r="Q29" i="3"/>
  <c r="R29" i="3"/>
  <c r="S29" i="3"/>
  <c r="T29" i="3"/>
  <c r="U29" i="3"/>
  <c r="V29" i="3"/>
  <c r="W29" i="3"/>
  <c r="X29" i="3"/>
  <c r="Y29" i="3"/>
  <c r="L29" i="1" s="1"/>
  <c r="E30" i="3"/>
  <c r="F30" i="3"/>
  <c r="G30" i="3"/>
  <c r="H30" i="3"/>
  <c r="I30" i="3"/>
  <c r="J30" i="3"/>
  <c r="K30" i="3"/>
  <c r="L30" i="3"/>
  <c r="M30" i="3"/>
  <c r="G30" i="1" s="1"/>
  <c r="N30" i="3"/>
  <c r="I30" i="1" s="1"/>
  <c r="O30" i="3"/>
  <c r="P30" i="3"/>
  <c r="Q30" i="3"/>
  <c r="R30" i="3"/>
  <c r="S30" i="3"/>
  <c r="T30" i="3"/>
  <c r="U30" i="3"/>
  <c r="V30" i="3"/>
  <c r="W30" i="3"/>
  <c r="X30" i="3"/>
  <c r="Y30" i="3"/>
  <c r="L24" i="3"/>
  <c r="G23" i="3"/>
  <c r="Q20" i="3"/>
  <c r="L20" i="3"/>
  <c r="P6" i="3"/>
  <c r="G5" i="3"/>
  <c r="S6" i="3"/>
  <c r="O5" i="3"/>
  <c r="M6" i="3"/>
  <c r="G6" i="1"/>
  <c r="L6" i="3"/>
  <c r="M3" i="3"/>
  <c r="G3" i="1" s="1"/>
  <c r="L3" i="3"/>
  <c r="F3" i="3"/>
  <c r="E3" i="3"/>
  <c r="E3" i="1" s="1"/>
  <c r="F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31" i="3"/>
  <c r="F2" i="3"/>
  <c r="E7" i="3"/>
  <c r="E7" i="1" s="1"/>
  <c r="E8" i="3"/>
  <c r="E8" i="1" s="1"/>
  <c r="E9" i="3"/>
  <c r="E9" i="1" s="1"/>
  <c r="E10" i="3"/>
  <c r="E10" i="1" s="1"/>
  <c r="E11" i="3"/>
  <c r="E12" i="3"/>
  <c r="E13" i="3"/>
  <c r="E13" i="1" s="1"/>
  <c r="E14" i="3"/>
  <c r="E14" i="1" s="1"/>
  <c r="E15" i="3"/>
  <c r="E15" i="1" s="1"/>
  <c r="E16" i="3"/>
  <c r="E16" i="1" s="1"/>
  <c r="E17" i="3"/>
  <c r="E17" i="1" s="1"/>
  <c r="E18" i="3"/>
  <c r="E19" i="3"/>
  <c r="E20" i="3"/>
  <c r="E21" i="3"/>
  <c r="E21" i="1"/>
  <c r="E31" i="3"/>
  <c r="E31" i="1"/>
  <c r="E2" i="3"/>
  <c r="E2" i="1"/>
  <c r="G2" i="3"/>
  <c r="H2" i="3"/>
  <c r="I2" i="3"/>
  <c r="J2" i="3"/>
  <c r="L2" i="3"/>
  <c r="M2" i="3"/>
  <c r="G2" i="1" s="1"/>
  <c r="O2" i="3"/>
  <c r="P2" i="3"/>
  <c r="Q2" i="3"/>
  <c r="R2" i="3"/>
  <c r="S2" i="3"/>
  <c r="T2" i="3"/>
  <c r="U2" i="3"/>
  <c r="V2" i="3"/>
  <c r="W2" i="3"/>
  <c r="X2" i="3"/>
  <c r="Y2" i="3"/>
  <c r="L2" i="1" s="1"/>
  <c r="B3" i="3"/>
  <c r="H3" i="3"/>
  <c r="I3" i="3"/>
  <c r="J3" i="3"/>
  <c r="O3" i="3"/>
  <c r="P3" i="3"/>
  <c r="Q3" i="3"/>
  <c r="R3" i="3"/>
  <c r="S3" i="3"/>
  <c r="T3" i="3"/>
  <c r="U3" i="3"/>
  <c r="V3" i="3"/>
  <c r="W3" i="3"/>
  <c r="X3" i="3"/>
  <c r="Y3" i="3"/>
  <c r="L3" i="1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H4" i="3"/>
  <c r="I4" i="3"/>
  <c r="N4" i="3"/>
  <c r="I4" i="1" s="1"/>
  <c r="P4" i="3"/>
  <c r="Q4" i="3"/>
  <c r="R4" i="3"/>
  <c r="S4" i="3"/>
  <c r="T4" i="3"/>
  <c r="U4" i="3"/>
  <c r="W4" i="3"/>
  <c r="X4" i="3"/>
  <c r="Y4" i="3"/>
  <c r="L4" i="1" s="1"/>
  <c r="H5" i="3"/>
  <c r="I5" i="3"/>
  <c r="P5" i="3"/>
  <c r="T5" i="3"/>
  <c r="U5" i="3"/>
  <c r="W5" i="3"/>
  <c r="X5" i="3"/>
  <c r="Y5" i="3"/>
  <c r="L5" i="1" s="1"/>
  <c r="H6" i="3"/>
  <c r="I6" i="3"/>
  <c r="T6" i="3"/>
  <c r="U6" i="3"/>
  <c r="W6" i="3"/>
  <c r="X6" i="3"/>
  <c r="Y6" i="3"/>
  <c r="L6" i="1" s="1"/>
  <c r="H7" i="3"/>
  <c r="I7" i="3"/>
  <c r="L7" i="3"/>
  <c r="M7" i="3"/>
  <c r="G7" i="1" s="1"/>
  <c r="N7" i="3"/>
  <c r="I7" i="1" s="1"/>
  <c r="O7" i="3"/>
  <c r="P7" i="3"/>
  <c r="Q7" i="3"/>
  <c r="R7" i="3"/>
  <c r="S7" i="3"/>
  <c r="T7" i="3"/>
  <c r="U7" i="3"/>
  <c r="V7" i="3"/>
  <c r="W7" i="3"/>
  <c r="X7" i="3"/>
  <c r="Y7" i="3"/>
  <c r="L7" i="1" s="1"/>
  <c r="H8" i="3"/>
  <c r="I8" i="3"/>
  <c r="L8" i="3"/>
  <c r="M8" i="3"/>
  <c r="G8" i="1"/>
  <c r="N8" i="3"/>
  <c r="I8" i="1"/>
  <c r="O8" i="3"/>
  <c r="P8" i="3"/>
  <c r="Q8" i="3"/>
  <c r="R8" i="3"/>
  <c r="S8" i="3"/>
  <c r="T8" i="3"/>
  <c r="U8" i="3"/>
  <c r="V8" i="3"/>
  <c r="W8" i="3"/>
  <c r="X8" i="3"/>
  <c r="Y8" i="3"/>
  <c r="L8" i="1"/>
  <c r="H9" i="3"/>
  <c r="I9" i="3"/>
  <c r="L9" i="3"/>
  <c r="M9" i="3"/>
  <c r="G9" i="1" s="1"/>
  <c r="N9" i="3"/>
  <c r="I9" i="1" s="1"/>
  <c r="O9" i="3"/>
  <c r="P9" i="3"/>
  <c r="Q9" i="3"/>
  <c r="R9" i="3"/>
  <c r="S9" i="3"/>
  <c r="T9" i="3"/>
  <c r="U9" i="3"/>
  <c r="V9" i="3"/>
  <c r="W9" i="3"/>
  <c r="X9" i="3"/>
  <c r="Y9" i="3"/>
  <c r="L9" i="1" s="1"/>
  <c r="H10" i="3"/>
  <c r="I10" i="3"/>
  <c r="L10" i="3"/>
  <c r="M10" i="3"/>
  <c r="G10" i="1"/>
  <c r="O10" i="3"/>
  <c r="P10" i="3"/>
  <c r="Q10" i="3"/>
  <c r="R10" i="3"/>
  <c r="S10" i="3"/>
  <c r="T10" i="3"/>
  <c r="U10" i="3"/>
  <c r="V10" i="3"/>
  <c r="W10" i="3"/>
  <c r="X10" i="3"/>
  <c r="Y10" i="3"/>
  <c r="L10" i="1" s="1"/>
  <c r="H11" i="3"/>
  <c r="I11" i="3"/>
  <c r="L11" i="3"/>
  <c r="M11" i="3"/>
  <c r="G11" i="1" s="1"/>
  <c r="O11" i="3"/>
  <c r="P11" i="3"/>
  <c r="Q11" i="3"/>
  <c r="R11" i="3"/>
  <c r="S11" i="3"/>
  <c r="T11" i="3"/>
  <c r="U11" i="3"/>
  <c r="V11" i="3"/>
  <c r="W11" i="3"/>
  <c r="X11" i="3"/>
  <c r="Y11" i="3"/>
  <c r="L11" i="1" s="1"/>
  <c r="H12" i="3"/>
  <c r="I12" i="3"/>
  <c r="L12" i="3"/>
  <c r="M12" i="3"/>
  <c r="G12" i="1"/>
  <c r="O12" i="3"/>
  <c r="P12" i="3"/>
  <c r="Q12" i="3"/>
  <c r="R12" i="3"/>
  <c r="S12" i="3"/>
  <c r="T12" i="3"/>
  <c r="U12" i="3"/>
  <c r="V12" i="3"/>
  <c r="W12" i="3"/>
  <c r="X12" i="3"/>
  <c r="Y12" i="3"/>
  <c r="L12" i="1" s="1"/>
  <c r="H13" i="3"/>
  <c r="I13" i="3"/>
  <c r="L13" i="3"/>
  <c r="M13" i="3"/>
  <c r="G13" i="1" s="1"/>
  <c r="N13" i="3"/>
  <c r="I13" i="1" s="1"/>
  <c r="O13" i="3"/>
  <c r="P13" i="3"/>
  <c r="Q13" i="3"/>
  <c r="R13" i="3"/>
  <c r="S13" i="3"/>
  <c r="T13" i="3"/>
  <c r="U13" i="3"/>
  <c r="V13" i="3"/>
  <c r="W13" i="3"/>
  <c r="X13" i="3"/>
  <c r="Y13" i="3"/>
  <c r="L13" i="1" s="1"/>
  <c r="H14" i="3"/>
  <c r="I14" i="3"/>
  <c r="L14" i="3"/>
  <c r="M14" i="3"/>
  <c r="G14" i="1"/>
  <c r="O14" i="3"/>
  <c r="P14" i="3"/>
  <c r="Q14" i="3"/>
  <c r="R14" i="3"/>
  <c r="S14" i="3"/>
  <c r="T14" i="3"/>
  <c r="U14" i="3"/>
  <c r="V14" i="3"/>
  <c r="W14" i="3"/>
  <c r="X14" i="3"/>
  <c r="Y14" i="3"/>
  <c r="L14" i="1"/>
  <c r="G15" i="3"/>
  <c r="H15" i="3"/>
  <c r="I15" i="3"/>
  <c r="L15" i="3"/>
  <c r="M15" i="3"/>
  <c r="G15" i="1"/>
  <c r="O15" i="3"/>
  <c r="P15" i="3"/>
  <c r="Q15" i="3"/>
  <c r="R15" i="3"/>
  <c r="S15" i="3"/>
  <c r="T15" i="3"/>
  <c r="U15" i="3"/>
  <c r="V15" i="3"/>
  <c r="W15" i="3"/>
  <c r="X15" i="3"/>
  <c r="Y15" i="3"/>
  <c r="L15" i="1"/>
  <c r="G16" i="3"/>
  <c r="H16" i="3"/>
  <c r="I16" i="3"/>
  <c r="J16" i="3"/>
  <c r="L16" i="3"/>
  <c r="M16" i="3"/>
  <c r="G16" i="1" s="1"/>
  <c r="N16" i="3"/>
  <c r="I16" i="1" s="1"/>
  <c r="O16" i="3"/>
  <c r="P16" i="3"/>
  <c r="Q16" i="3"/>
  <c r="R16" i="3"/>
  <c r="S16" i="3"/>
  <c r="T16" i="3"/>
  <c r="U16" i="3"/>
  <c r="V16" i="3"/>
  <c r="W16" i="3"/>
  <c r="X16" i="3"/>
  <c r="Y16" i="3"/>
  <c r="L16" i="1" s="1"/>
  <c r="G17" i="3"/>
  <c r="H17" i="3"/>
  <c r="I17" i="3"/>
  <c r="J17" i="3"/>
  <c r="L17" i="3"/>
  <c r="M17" i="3"/>
  <c r="G17" i="1"/>
  <c r="N17" i="3"/>
  <c r="I17" i="1"/>
  <c r="O17" i="3"/>
  <c r="P17" i="3"/>
  <c r="Q17" i="3"/>
  <c r="R17" i="3"/>
  <c r="S17" i="3"/>
  <c r="T17" i="3"/>
  <c r="U17" i="3"/>
  <c r="V17" i="3"/>
  <c r="W17" i="3"/>
  <c r="X17" i="3"/>
  <c r="Y17" i="3"/>
  <c r="L17" i="1" s="1"/>
  <c r="G18" i="3"/>
  <c r="H18" i="3"/>
  <c r="I18" i="3"/>
  <c r="L18" i="3"/>
  <c r="M18" i="3"/>
  <c r="G18" i="1" s="1"/>
  <c r="N18" i="3"/>
  <c r="I18" i="1" s="1"/>
  <c r="O18" i="3"/>
  <c r="P18" i="3"/>
  <c r="Q18" i="3"/>
  <c r="R18" i="3"/>
  <c r="S18" i="3"/>
  <c r="T18" i="3"/>
  <c r="U18" i="3"/>
  <c r="V18" i="3"/>
  <c r="W18" i="3"/>
  <c r="X18" i="3"/>
  <c r="Y18" i="3"/>
  <c r="L18" i="1" s="1"/>
  <c r="H19" i="3"/>
  <c r="I19" i="3"/>
  <c r="M19" i="3"/>
  <c r="G19" i="1" s="1"/>
  <c r="O19" i="3"/>
  <c r="P19" i="3"/>
  <c r="R19" i="3"/>
  <c r="S19" i="3"/>
  <c r="T19" i="3"/>
  <c r="U19" i="3"/>
  <c r="V19" i="3"/>
  <c r="W19" i="3"/>
  <c r="X19" i="3"/>
  <c r="Y19" i="3"/>
  <c r="L19" i="1" s="1"/>
  <c r="H20" i="3"/>
  <c r="I20" i="3"/>
  <c r="M20" i="3"/>
  <c r="G20" i="1" s="1"/>
  <c r="O20" i="3"/>
  <c r="P20" i="3"/>
  <c r="R20" i="3"/>
  <c r="S20" i="3"/>
  <c r="T20" i="3"/>
  <c r="U20" i="3"/>
  <c r="V20" i="3"/>
  <c r="W20" i="3"/>
  <c r="X20" i="3"/>
  <c r="Y20" i="3"/>
  <c r="L20" i="1" s="1"/>
  <c r="G21" i="3"/>
  <c r="H21" i="3"/>
  <c r="I21" i="3"/>
  <c r="L21" i="3"/>
  <c r="M21" i="3"/>
  <c r="G21" i="1" s="1"/>
  <c r="N21" i="3"/>
  <c r="I21" i="1" s="1"/>
  <c r="O21" i="3"/>
  <c r="P21" i="3"/>
  <c r="Q21" i="3"/>
  <c r="R21" i="3"/>
  <c r="S21" i="3"/>
  <c r="T21" i="3"/>
  <c r="U21" i="3"/>
  <c r="V21" i="3"/>
  <c r="W21" i="3"/>
  <c r="X21" i="3"/>
  <c r="Y21" i="3"/>
  <c r="L21" i="1" s="1"/>
  <c r="L30" i="1"/>
  <c r="G31" i="3"/>
  <c r="H31" i="3"/>
  <c r="I31" i="3"/>
  <c r="J31" i="3"/>
  <c r="L31" i="3"/>
  <c r="M31" i="3"/>
  <c r="G31" i="1" s="1"/>
  <c r="N31" i="3"/>
  <c r="I31" i="1" s="1"/>
  <c r="O31" i="3"/>
  <c r="P31" i="3"/>
  <c r="Q31" i="3"/>
  <c r="R31" i="3"/>
  <c r="S31" i="3"/>
  <c r="T31" i="3"/>
  <c r="U31" i="3"/>
  <c r="V31" i="3"/>
  <c r="X31" i="3"/>
  <c r="Y31" i="3"/>
  <c r="L31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E11" i="1"/>
  <c r="L27" i="1"/>
  <c r="E29" i="1"/>
  <c r="N3" i="3"/>
  <c r="I3" i="1" s="1"/>
  <c r="N2" i="3"/>
  <c r="I2" i="1" s="1"/>
  <c r="J18" i="3"/>
  <c r="J19" i="3"/>
  <c r="J20" i="3"/>
  <c r="J21" i="3"/>
  <c r="G4" i="3"/>
  <c r="J4" i="3"/>
  <c r="G3" i="3"/>
  <c r="J5" i="3"/>
  <c r="G6" i="3"/>
  <c r="J6" i="3"/>
  <c r="G7" i="3"/>
  <c r="J7" i="3"/>
  <c r="J8" i="3"/>
  <c r="G8" i="3"/>
  <c r="G9" i="3"/>
  <c r="J9" i="3"/>
  <c r="G10" i="3"/>
  <c r="J10" i="3"/>
  <c r="J11" i="3"/>
  <c r="G11" i="3"/>
  <c r="J12" i="3"/>
  <c r="G12" i="3"/>
  <c r="J13" i="3"/>
  <c r="G14" i="3"/>
  <c r="G13" i="3"/>
  <c r="J14" i="3"/>
  <c r="J15" i="3"/>
  <c r="M4" i="3"/>
  <c r="G4" i="1" s="1"/>
  <c r="K2" i="3"/>
  <c r="L5" i="3"/>
  <c r="O6" i="3"/>
  <c r="M5" i="3"/>
  <c r="G5" i="1" s="1"/>
  <c r="L4" i="3"/>
  <c r="S5" i="3"/>
  <c r="E4" i="3"/>
  <c r="E4" i="1" s="1"/>
  <c r="O4" i="3"/>
  <c r="Q28" i="3"/>
  <c r="E12" i="1"/>
  <c r="K31" i="3"/>
  <c r="V6" i="3"/>
  <c r="V5" i="3"/>
  <c r="K18" i="3"/>
  <c r="G20" i="3"/>
  <c r="G19" i="3"/>
  <c r="R6" i="3"/>
  <c r="R5" i="3"/>
  <c r="N20" i="3"/>
  <c r="I20" i="1"/>
  <c r="N19" i="3"/>
  <c r="I19" i="1" s="1"/>
  <c r="G25" i="3"/>
  <c r="G24" i="3"/>
  <c r="E6" i="3"/>
  <c r="E5" i="3"/>
  <c r="E5" i="1" s="1"/>
  <c r="F6" i="3"/>
  <c r="E6" i="1" s="1"/>
  <c r="F5" i="3"/>
  <c r="N6" i="3"/>
  <c r="I6" i="1"/>
  <c r="N5" i="3"/>
  <c r="I5" i="1" s="1"/>
  <c r="Q5" i="3"/>
  <c r="Q6" i="3"/>
  <c r="N25" i="3"/>
  <c r="I25" i="1" s="1"/>
  <c r="N24" i="3"/>
  <c r="I24" i="1"/>
  <c r="Q19" i="3"/>
  <c r="L19" i="3"/>
  <c r="M27" i="3"/>
  <c r="G27" i="1"/>
  <c r="V4" i="3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N15" i="3"/>
  <c r="I15" i="1" s="1"/>
  <c r="N14" i="3"/>
  <c r="I14" i="1" s="1"/>
  <c r="L7" i="2"/>
  <c r="K3" i="3"/>
  <c r="N10" i="3"/>
  <c r="I10" i="1" s="1"/>
  <c r="O14" i="2"/>
  <c r="L16" i="2"/>
  <c r="K12" i="3"/>
  <c r="K11" i="3"/>
  <c r="K10" i="3"/>
  <c r="K13" i="3"/>
  <c r="L17" i="2"/>
  <c r="K5" i="3"/>
  <c r="K4" i="3"/>
  <c r="N12" i="3"/>
  <c r="I12" i="1" s="1"/>
  <c r="N11" i="3"/>
  <c r="I11" i="1"/>
  <c r="L18" i="2"/>
  <c r="K14" i="3"/>
  <c r="L19" i="2"/>
  <c r="K15" i="3"/>
  <c r="K17" i="3"/>
  <c r="K16" i="3"/>
  <c r="E20" i="1" l="1"/>
  <c r="E23" i="1"/>
  <c r="E19" i="1"/>
  <c r="E18" i="1"/>
  <c r="E30" i="1"/>
</calcChain>
</file>

<file path=xl/sharedStrings.xml><?xml version="1.0" encoding="utf-8"?>
<sst xmlns="http://schemas.openxmlformats.org/spreadsheetml/2006/main" count="130" uniqueCount="57">
  <si>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</si>
  <si>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</si>
  <si>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</si>
  <si>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</si>
  <si>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</si>
  <si>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</si>
  <si>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</si>
  <si>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</si>
  <si>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</si>
  <si>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</si>
  <si>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</si>
  <si>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</si>
  <si>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</si>
  <si>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</si>
  <si>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</si>
  <si>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</si>
  <si>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</si>
  <si>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</si>
  <si>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</si>
  <si>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</si>
  <si>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</si>
  <si>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Engineer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</si>
  <si>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</si>
  <si>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</si>
  <si>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</si>
  <si>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</si>
  <si>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</si>
  <si>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</si>
  <si>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</si>
  <si>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</si>
  <si>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</si>
  <si>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</si>
  <si>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</si>
  <si>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</si>
  <si>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</si>
  <si>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</si>
  <si>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</si>
  <si>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</si>
  <si>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</si>
  <si>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</si>
  <si>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</si>
  <si>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</si>
  <si>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</si>
  <si>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</si>
  <si>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</si>
  <si>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</si>
  <si>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</si>
  <si>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</si>
  <si>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</si>
  <si>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</si>
  <si>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</si>
  <si>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</si>
  <si>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East- m3</t>
  </si>
  <si>
    <t>Chilled make-up- m3</t>
  </si>
  <si>
    <t>LTHW SPA- m3</t>
  </si>
  <si>
    <t>Room Night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</si>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</sst>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[$-409]d\-mmm;@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2" xfId="1" applyBorder="1"/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6" fillId="0" borderId="4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0" fillId="2" borderId="3" xfId="0" applyFill="1" applyBorder="1" applyAlignment="1" applyProtection="1">
      <alignment horizontal="center"/>
      <protection locked="0"/>
    </xf>
    <xf numFmtId="0" fontId="1" fillId="0" borderId="2" xfId="1" applyBorder="1" applyAlignment="1">
      <alignment horizontal="right"/>
    </xf>
    <xf numFmtId="0" fontId="0" fillId="5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0" borderId="0" xfId="1"/>
    <xf numFmtId="0" fontId="1" fillId="0" borderId="3" xfId="1" applyBorder="1" applyAlignment="1">
      <alignment horizontal="right"/>
    </xf>
    <xf numFmtId="1" fontId="1" fillId="0" borderId="2" xfId="1" applyNumberFormat="1" applyBorder="1"/>
    <xf numFmtId="0" fontId="1" fillId="0" borderId="2" xfId="1" applyNumberFormat="1" applyBorder="1"/>
    <xf numFmtId="166" fontId="1" fillId="0" borderId="2" xfId="1" applyNumberFormat="1" applyBorder="1"/>
    <xf numFmtId="0" fontId="2" fillId="3" borderId="3" xfId="1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ampshire%20Submetering!Dail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mpshire Submetering!Dail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workbookViewId="0">
      <selection activeCell="N28" sqref="N28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43.15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5" x14ac:dyDescent="0.3">
      <c r="A2" s="3" t="s">
        <v>42</v>
      </c>
      <c r="B2" s="2">
        <v>1</v>
      </c>
      <c r="C2" s="2">
        <v>9</v>
      </c>
      <c r="D2" s="2">
        <v>2019</v>
      </c>
      <c r="E2" s="4">
        <f>(Submetering!E2+Submetering!F2)</f>
        <v>10920</v>
      </c>
      <c r="F2" s="12">
        <v>0.14199999999999999</v>
      </c>
      <c r="G2" s="4">
        <f>Submetering!M2</f>
        <v>1164</v>
      </c>
      <c r="H2" s="12">
        <v>0.21</v>
      </c>
      <c r="I2" s="4">
        <f>Submetering!N2</f>
        <v>229</v>
      </c>
      <c r="J2" s="13">
        <v>2.06</v>
      </c>
      <c r="K2" s="4">
        <f>'Hampshire Daily'!B5</f>
        <v>66</v>
      </c>
      <c r="L2" s="4">
        <f>Submetering!Y2</f>
        <v>170</v>
      </c>
    </row>
    <row r="3" spans="1:24" ht="14.45" x14ac:dyDescent="0.3">
      <c r="A3" s="3" t="s">
        <v>42</v>
      </c>
      <c r="B3" s="2">
        <f>B2+1</f>
        <v>2</v>
      </c>
      <c r="C3" s="2">
        <v>9</v>
      </c>
      <c r="D3" s="2">
        <v>2019</v>
      </c>
      <c r="E3" s="4">
        <f>Submetering!E3+Submetering!F3</f>
        <v>10840</v>
      </c>
      <c r="F3" s="12">
        <v>0.14199999999999999</v>
      </c>
      <c r="G3" s="4">
        <f>Submetering!M3</f>
        <v>1188</v>
      </c>
      <c r="H3" s="12">
        <v>0.21</v>
      </c>
      <c r="I3" s="4">
        <f>Submetering!N3</f>
        <v>216</v>
      </c>
      <c r="J3" s="13">
        <v>2.06</v>
      </c>
      <c r="K3" s="4">
        <f>'Hampshire Daily'!B6</f>
        <v>51</v>
      </c>
      <c r="L3" s="4">
        <f>Submetering!Y3</f>
        <v>124</v>
      </c>
    </row>
    <row r="4" spans="1:24" ht="14.45" x14ac:dyDescent="0.3">
      <c r="A4" s="3" t="s">
        <v>42</v>
      </c>
      <c r="B4" s="2">
        <f t="shared" ref="B4:B31" si="0">B3+1</f>
        <v>3</v>
      </c>
      <c r="C4" s="2">
        <v>9</v>
      </c>
      <c r="D4" s="2">
        <v>2019</v>
      </c>
      <c r="E4" s="4">
        <f>Submetering!E4+Submetering!F4</f>
        <v>10560</v>
      </c>
      <c r="F4" s="12">
        <v>0.14199999999999999</v>
      </c>
      <c r="G4" s="4">
        <f>Submetering!M4</f>
        <v>1006</v>
      </c>
      <c r="H4" s="12">
        <v>0.21</v>
      </c>
      <c r="I4" s="4">
        <f>Submetering!N4</f>
        <v>201</v>
      </c>
      <c r="J4" s="13">
        <v>2.06</v>
      </c>
      <c r="K4" s="4">
        <f>'Hampshire Daily'!B7</f>
        <v>88</v>
      </c>
      <c r="L4" s="4">
        <f>Submetering!Y4</f>
        <v>125</v>
      </c>
    </row>
    <row r="5" spans="1:24" ht="14.45" x14ac:dyDescent="0.3">
      <c r="A5" s="3" t="s">
        <v>42</v>
      </c>
      <c r="B5" s="2">
        <f t="shared" si="0"/>
        <v>4</v>
      </c>
      <c r="C5" s="2">
        <v>9</v>
      </c>
      <c r="D5" s="2">
        <v>2019</v>
      </c>
      <c r="E5" s="4">
        <f>Submetering!E5+Submetering!F5</f>
        <v>11360</v>
      </c>
      <c r="F5" s="12">
        <v>0.14199999999999999</v>
      </c>
      <c r="G5" s="4">
        <f>Submetering!M5</f>
        <v>1084</v>
      </c>
      <c r="H5" s="12">
        <v>0.21</v>
      </c>
      <c r="I5" s="4">
        <f>Submetering!N5</f>
        <v>147</v>
      </c>
      <c r="J5" s="13">
        <v>2.06</v>
      </c>
      <c r="K5" s="4">
        <f>'Hampshire Daily'!B8</f>
        <v>86</v>
      </c>
      <c r="L5" s="4">
        <f>Submetering!Y5</f>
        <v>117</v>
      </c>
    </row>
    <row r="6" spans="1:24" ht="14.45" x14ac:dyDescent="0.3">
      <c r="A6" s="3" t="s">
        <v>42</v>
      </c>
      <c r="B6" s="2">
        <f t="shared" si="0"/>
        <v>5</v>
      </c>
      <c r="C6" s="2">
        <v>9</v>
      </c>
      <c r="D6" s="2">
        <v>2019</v>
      </c>
      <c r="E6" s="4">
        <f>Submetering!E6+Submetering!F6</f>
        <v>11110</v>
      </c>
      <c r="F6" s="12">
        <v>0.14199999999999999</v>
      </c>
      <c r="G6" s="4">
        <f>Submetering!M6</f>
        <v>1198</v>
      </c>
      <c r="H6" s="12">
        <v>0.21</v>
      </c>
      <c r="I6" s="4">
        <f>Submetering!N6</f>
        <v>195</v>
      </c>
      <c r="J6" s="13">
        <v>2.06</v>
      </c>
      <c r="K6" s="4">
        <f>'Hampshire Daily'!B9</f>
        <v>50</v>
      </c>
      <c r="L6" s="4">
        <f>Submetering!Y6</f>
        <v>95</v>
      </c>
    </row>
    <row r="7" spans="1:24" ht="14.45" x14ac:dyDescent="0.3">
      <c r="A7" s="3" t="s">
        <v>42</v>
      </c>
      <c r="B7" s="2">
        <f t="shared" si="0"/>
        <v>6</v>
      </c>
      <c r="C7" s="2">
        <v>9</v>
      </c>
      <c r="D7" s="2">
        <v>2019</v>
      </c>
      <c r="E7" s="4">
        <f>Submetering!E7+Submetering!F7</f>
        <v>10550</v>
      </c>
      <c r="F7" s="12">
        <v>0.14199999999999999</v>
      </c>
      <c r="G7" s="4">
        <f>Submetering!M7</f>
        <v>1229</v>
      </c>
      <c r="H7" s="12">
        <v>0.21</v>
      </c>
      <c r="I7" s="4">
        <f>Submetering!N7</f>
        <v>184</v>
      </c>
      <c r="J7" s="13">
        <v>2.06</v>
      </c>
      <c r="K7" s="4">
        <f>'Hampshire Daily'!B10</f>
        <v>103</v>
      </c>
      <c r="L7" s="4">
        <f>Submetering!Y7</f>
        <v>212</v>
      </c>
    </row>
    <row r="8" spans="1:24" ht="14.45" x14ac:dyDescent="0.3">
      <c r="A8" s="3" t="s">
        <v>42</v>
      </c>
      <c r="B8" s="2">
        <f t="shared" si="0"/>
        <v>7</v>
      </c>
      <c r="C8" s="2">
        <v>9</v>
      </c>
      <c r="D8" s="2">
        <v>2019</v>
      </c>
      <c r="E8" s="4">
        <f>Submetering!E8+Submetering!F8</f>
        <v>10530</v>
      </c>
      <c r="F8" s="12">
        <v>0.14199999999999999</v>
      </c>
      <c r="G8" s="4">
        <f>Submetering!M8</f>
        <v>1413</v>
      </c>
      <c r="H8" s="12">
        <v>0.21</v>
      </c>
      <c r="I8" s="4">
        <f>Submetering!N8</f>
        <v>196</v>
      </c>
      <c r="J8" s="13">
        <v>2.06</v>
      </c>
      <c r="K8" s="4">
        <f>'Hampshire Daily'!B11</f>
        <v>114</v>
      </c>
      <c r="L8" s="4">
        <f>Submetering!Y8</f>
        <v>233</v>
      </c>
    </row>
    <row r="9" spans="1:24" ht="14.45" x14ac:dyDescent="0.3">
      <c r="A9" s="3" t="s">
        <v>42</v>
      </c>
      <c r="B9" s="2">
        <f t="shared" si="0"/>
        <v>8</v>
      </c>
      <c r="C9" s="2">
        <v>9</v>
      </c>
      <c r="D9" s="2">
        <v>2019</v>
      </c>
      <c r="E9" s="4">
        <f>Submetering!E9+Submetering!F9</f>
        <v>11200</v>
      </c>
      <c r="F9" s="12">
        <v>0.14199999999999999</v>
      </c>
      <c r="G9" s="4">
        <f>Submetering!M9</f>
        <v>1448</v>
      </c>
      <c r="H9" s="12">
        <v>0.21</v>
      </c>
      <c r="I9" s="4">
        <f>Submetering!N9</f>
        <v>190</v>
      </c>
      <c r="J9" s="13">
        <v>2.06</v>
      </c>
      <c r="K9" s="4">
        <f>'Hampshire Daily'!B12</f>
        <v>55</v>
      </c>
      <c r="L9" s="4">
        <f>Submetering!Y9</f>
        <v>99</v>
      </c>
    </row>
    <row r="10" spans="1:24" ht="14.45" x14ac:dyDescent="0.3">
      <c r="A10" s="3" t="s">
        <v>42</v>
      </c>
      <c r="B10" s="2">
        <f t="shared" si="0"/>
        <v>9</v>
      </c>
      <c r="C10" s="2">
        <v>9</v>
      </c>
      <c r="D10" s="2">
        <v>2019</v>
      </c>
      <c r="E10" s="4">
        <f>Submetering!E10+Submetering!F10</f>
        <v>10180</v>
      </c>
      <c r="F10" s="12">
        <v>0.14199999999999999</v>
      </c>
      <c r="G10" s="4">
        <f>Submetering!M10</f>
        <v>1238</v>
      </c>
      <c r="H10" s="12">
        <v>0.21</v>
      </c>
      <c r="I10" s="4">
        <f>Submetering!N10</f>
        <v>190</v>
      </c>
      <c r="J10" s="13">
        <v>2.06</v>
      </c>
      <c r="K10" s="4">
        <f>'Hampshire Daily'!B13</f>
        <v>70</v>
      </c>
      <c r="L10" s="4">
        <f>Submetering!Y10</f>
        <v>104</v>
      </c>
    </row>
    <row r="11" spans="1:24" ht="14.45" x14ac:dyDescent="0.3">
      <c r="A11" s="3" t="s">
        <v>42</v>
      </c>
      <c r="B11" s="2">
        <f t="shared" si="0"/>
        <v>10</v>
      </c>
      <c r="C11" s="2">
        <v>9</v>
      </c>
      <c r="D11" s="2">
        <v>2019</v>
      </c>
      <c r="E11" s="4">
        <f>Submetering!E11+Submetering!F11</f>
        <v>10450</v>
      </c>
      <c r="F11" s="12">
        <v>0.14199999999999999</v>
      </c>
      <c r="G11" s="4">
        <f>Submetering!M11</f>
        <v>1415</v>
      </c>
      <c r="H11" s="12">
        <v>0.21</v>
      </c>
      <c r="I11" s="4">
        <f>Submetering!N11</f>
        <v>190</v>
      </c>
      <c r="J11" s="13">
        <v>2.06</v>
      </c>
      <c r="K11" s="4">
        <f>'Hampshire Daily'!B14</f>
        <v>60</v>
      </c>
      <c r="L11" s="4">
        <f>Submetering!Y11</f>
        <v>96</v>
      </c>
    </row>
    <row r="12" spans="1:24" ht="14.45" x14ac:dyDescent="0.3">
      <c r="A12" s="3" t="s">
        <v>42</v>
      </c>
      <c r="B12" s="2">
        <f t="shared" si="0"/>
        <v>11</v>
      </c>
      <c r="C12" s="2">
        <v>9</v>
      </c>
      <c r="D12" s="2">
        <v>2019</v>
      </c>
      <c r="E12" s="4">
        <f>Submetering!E12+Submetering!F12</f>
        <v>10550</v>
      </c>
      <c r="F12" s="12">
        <v>0.14199999999999999</v>
      </c>
      <c r="G12" s="4">
        <f>Submetering!M12</f>
        <v>1198</v>
      </c>
      <c r="H12" s="12">
        <v>0.21</v>
      </c>
      <c r="I12" s="4">
        <f>Submetering!N12</f>
        <v>193</v>
      </c>
      <c r="J12" s="13">
        <v>2.06</v>
      </c>
      <c r="K12" s="4">
        <f>'Hampshire Daily'!B15</f>
        <v>126</v>
      </c>
      <c r="L12" s="4">
        <f>Submetering!Y12</f>
        <v>143</v>
      </c>
    </row>
    <row r="13" spans="1:24" ht="14.45" x14ac:dyDescent="0.3">
      <c r="A13" s="3" t="s">
        <v>42</v>
      </c>
      <c r="B13" s="2">
        <f t="shared" si="0"/>
        <v>12</v>
      </c>
      <c r="C13" s="2">
        <v>9</v>
      </c>
      <c r="D13" s="2">
        <v>2019</v>
      </c>
      <c r="E13" s="4">
        <f>Submetering!E13+Submetering!F13</f>
        <v>11370</v>
      </c>
      <c r="F13" s="12">
        <v>0.14199999999999999</v>
      </c>
      <c r="G13" s="4">
        <f>Submetering!M13</f>
        <v>1151</v>
      </c>
      <c r="H13" s="12">
        <v>0.21</v>
      </c>
      <c r="I13" s="4">
        <f>Submetering!N13</f>
        <v>190</v>
      </c>
      <c r="J13" s="13">
        <v>2.06</v>
      </c>
      <c r="K13" s="4">
        <f>'Hampshire Daily'!B16</f>
        <v>127</v>
      </c>
      <c r="L13" s="4">
        <f>Submetering!Y13</f>
        <v>148</v>
      </c>
    </row>
    <row r="14" spans="1:24" ht="14.45" x14ac:dyDescent="0.3">
      <c r="A14" s="3" t="s">
        <v>42</v>
      </c>
      <c r="B14" s="2">
        <f t="shared" si="0"/>
        <v>13</v>
      </c>
      <c r="C14" s="2">
        <v>9</v>
      </c>
      <c r="D14" s="2">
        <v>2019</v>
      </c>
      <c r="E14" s="4">
        <f>Submetering!E14+Submetering!F14</f>
        <v>11190</v>
      </c>
      <c r="F14" s="12">
        <v>0.14199999999999999</v>
      </c>
      <c r="G14" s="4">
        <f>Submetering!M14</f>
        <v>1101</v>
      </c>
      <c r="H14" s="12">
        <v>0.21</v>
      </c>
      <c r="I14" s="4">
        <f>Submetering!N14</f>
        <v>190</v>
      </c>
      <c r="J14" s="13">
        <v>2.06</v>
      </c>
      <c r="K14" s="4">
        <f>'Hampshire Daily'!B17</f>
        <v>89</v>
      </c>
      <c r="L14" s="4">
        <f>Submetering!Y14</f>
        <v>162</v>
      </c>
    </row>
    <row r="15" spans="1:24" ht="14.45" x14ac:dyDescent="0.3">
      <c r="A15" s="3" t="s">
        <v>42</v>
      </c>
      <c r="B15" s="2">
        <f t="shared" si="0"/>
        <v>14</v>
      </c>
      <c r="C15" s="2">
        <v>9</v>
      </c>
      <c r="D15" s="2">
        <v>2019</v>
      </c>
      <c r="E15" s="4">
        <f>Submetering!E15+Submetering!F15</f>
        <v>11350</v>
      </c>
      <c r="F15" s="12">
        <v>0.14199999999999999</v>
      </c>
      <c r="G15" s="4">
        <f>Submetering!M15</f>
        <v>1233</v>
      </c>
      <c r="H15" s="12">
        <v>0.21</v>
      </c>
      <c r="I15" s="4">
        <f>Submetering!N15</f>
        <v>187</v>
      </c>
      <c r="J15" s="13">
        <v>2.06</v>
      </c>
      <c r="K15" s="4">
        <f>'Hampshire Daily'!B18</f>
        <v>114</v>
      </c>
      <c r="L15" s="4">
        <f>Submetering!Y15</f>
        <v>223</v>
      </c>
    </row>
    <row r="16" spans="1:24" ht="14.45" x14ac:dyDescent="0.3">
      <c r="A16" s="3" t="s">
        <v>42</v>
      </c>
      <c r="B16" s="2">
        <f t="shared" si="0"/>
        <v>15</v>
      </c>
      <c r="C16" s="2">
        <v>9</v>
      </c>
      <c r="D16" s="2">
        <v>2019</v>
      </c>
      <c r="E16" s="4">
        <f>Submetering!E16+Submetering!F16</f>
        <v>11310</v>
      </c>
      <c r="F16" s="12">
        <v>0.14199999999999999</v>
      </c>
      <c r="G16" s="4">
        <f>Submetering!M16</f>
        <v>1185</v>
      </c>
      <c r="H16" s="12">
        <v>0.21</v>
      </c>
      <c r="I16" s="4">
        <f>Submetering!N16</f>
        <v>190</v>
      </c>
      <c r="J16" s="13">
        <v>2.06</v>
      </c>
      <c r="K16" s="4">
        <f>'Hampshire Daily'!B19</f>
        <v>71</v>
      </c>
      <c r="L16" s="4">
        <f>Submetering!Y16</f>
        <v>137</v>
      </c>
    </row>
    <row r="17" spans="1:12" ht="14.45" x14ac:dyDescent="0.3">
      <c r="A17" s="3" t="s">
        <v>42</v>
      </c>
      <c r="B17" s="2">
        <f t="shared" si="0"/>
        <v>16</v>
      </c>
      <c r="C17" s="2">
        <v>9</v>
      </c>
      <c r="D17" s="2">
        <v>2019</v>
      </c>
      <c r="E17" s="4">
        <f>Submetering!E17+Submetering!F17</f>
        <v>11840</v>
      </c>
      <c r="F17" s="12">
        <v>0.14199999999999999</v>
      </c>
      <c r="G17" s="4">
        <f>Submetering!M17</f>
        <v>1088</v>
      </c>
      <c r="H17" s="12">
        <v>0.21</v>
      </c>
      <c r="I17" s="4">
        <f>Submetering!N17</f>
        <v>203</v>
      </c>
      <c r="J17" s="13">
        <v>2.06</v>
      </c>
      <c r="K17" s="4">
        <f>'Hampshire Daily'!B20</f>
        <v>66</v>
      </c>
      <c r="L17" s="4">
        <f>Submetering!Y17</f>
        <v>108</v>
      </c>
    </row>
    <row r="18" spans="1:12" ht="14.45" x14ac:dyDescent="0.3">
      <c r="A18" s="3" t="s">
        <v>42</v>
      </c>
      <c r="B18" s="2">
        <f t="shared" si="0"/>
        <v>17</v>
      </c>
      <c r="C18" s="2">
        <v>9</v>
      </c>
      <c r="D18" s="2">
        <v>2019</v>
      </c>
      <c r="E18" s="4">
        <f>Submetering!E18+Submetering!F18</f>
        <v>11320</v>
      </c>
      <c r="F18" s="12">
        <v>0.14199999999999999</v>
      </c>
      <c r="G18" s="4">
        <f>Submetering!M18</f>
        <v>1224</v>
      </c>
      <c r="H18" s="12">
        <v>0.21</v>
      </c>
      <c r="I18" s="4">
        <f>Submetering!N18</f>
        <v>183</v>
      </c>
      <c r="J18" s="13">
        <v>2.06</v>
      </c>
      <c r="K18" s="4">
        <f>'Hampshire Daily'!B21</f>
        <v>107</v>
      </c>
      <c r="L18" s="4">
        <f>Submetering!Y18</f>
        <v>164</v>
      </c>
    </row>
    <row r="19" spans="1:12" ht="14.45" x14ac:dyDescent="0.3">
      <c r="A19" s="3" t="s">
        <v>42</v>
      </c>
      <c r="B19" s="2">
        <f t="shared" si="0"/>
        <v>18</v>
      </c>
      <c r="C19" s="2">
        <v>9</v>
      </c>
      <c r="D19" s="2">
        <v>2019</v>
      </c>
      <c r="E19" s="4">
        <f>Submetering!E19+Submetering!F19</f>
        <v>10600</v>
      </c>
      <c r="F19" s="12">
        <v>0.14199999999999999</v>
      </c>
      <c r="G19" s="4">
        <f>Submetering!M19</f>
        <v>1381</v>
      </c>
      <c r="H19" s="12">
        <v>0.21</v>
      </c>
      <c r="I19" s="4">
        <f>Submetering!N19</f>
        <v>185</v>
      </c>
      <c r="J19" s="13">
        <v>2.06</v>
      </c>
      <c r="K19" s="4">
        <f>'Hampshire Daily'!B22</f>
        <v>128</v>
      </c>
      <c r="L19" s="4">
        <f>Submetering!Y19</f>
        <v>177</v>
      </c>
    </row>
    <row r="20" spans="1:12" ht="14.45" x14ac:dyDescent="0.3">
      <c r="A20" s="3" t="s">
        <v>42</v>
      </c>
      <c r="B20" s="2">
        <f t="shared" si="0"/>
        <v>19</v>
      </c>
      <c r="C20" s="2">
        <v>9</v>
      </c>
      <c r="D20" s="2">
        <v>2019</v>
      </c>
      <c r="E20" s="4">
        <f>Submetering!E20+Submetering!F20</f>
        <v>11280</v>
      </c>
      <c r="F20" s="12">
        <v>0.14199999999999999</v>
      </c>
      <c r="G20" s="4">
        <f>Submetering!M20</f>
        <v>1477</v>
      </c>
      <c r="H20" s="12">
        <v>0.21</v>
      </c>
      <c r="I20" s="4">
        <f>Submetering!N20</f>
        <v>200</v>
      </c>
      <c r="J20" s="13">
        <v>2.06</v>
      </c>
      <c r="K20" s="4">
        <f>'Hampshire Daily'!B23</f>
        <v>75</v>
      </c>
      <c r="L20" s="4">
        <f>Submetering!Y20</f>
        <v>136</v>
      </c>
    </row>
    <row r="21" spans="1:12" ht="14.45" x14ac:dyDescent="0.3">
      <c r="A21" s="3" t="s">
        <v>42</v>
      </c>
      <c r="B21" s="2">
        <f t="shared" si="0"/>
        <v>20</v>
      </c>
      <c r="C21" s="2">
        <v>9</v>
      </c>
      <c r="D21" s="2">
        <v>2019</v>
      </c>
      <c r="E21" s="4">
        <f>Submetering!E21+Submetering!F21</f>
        <v>11510</v>
      </c>
      <c r="F21" s="12">
        <v>0.14199999999999999</v>
      </c>
      <c r="G21" s="4">
        <f>Submetering!M21</f>
        <v>1409</v>
      </c>
      <c r="H21" s="12">
        <v>0.21</v>
      </c>
      <c r="I21" s="4">
        <f>Submetering!N21</f>
        <v>187</v>
      </c>
      <c r="J21" s="13">
        <v>2.06</v>
      </c>
      <c r="K21" s="4">
        <f>'Hampshire Daily'!B24</f>
        <v>66</v>
      </c>
      <c r="L21" s="4">
        <f>Submetering!Y21</f>
        <v>177</v>
      </c>
    </row>
    <row r="22" spans="1:12" ht="14.45" x14ac:dyDescent="0.3">
      <c r="A22" s="3" t="s">
        <v>42</v>
      </c>
      <c r="B22" s="2">
        <f t="shared" si="0"/>
        <v>21</v>
      </c>
      <c r="C22" s="2">
        <v>9</v>
      </c>
      <c r="D22" s="2">
        <v>2019</v>
      </c>
      <c r="E22" s="4">
        <f>Submetering!E22+Submetering!F22</f>
        <v>11500</v>
      </c>
      <c r="F22" s="12">
        <v>0.14199999999999999</v>
      </c>
      <c r="G22" s="4">
        <f>Submetering!M22</f>
        <v>1282</v>
      </c>
      <c r="H22" s="12">
        <v>0.21</v>
      </c>
      <c r="I22" s="4">
        <f>Submetering!N22</f>
        <v>187</v>
      </c>
      <c r="J22" s="13">
        <v>2.06</v>
      </c>
      <c r="K22" s="4">
        <f>'Hampshire Daily'!B25</f>
        <v>121</v>
      </c>
      <c r="L22" s="4">
        <f>Submetering!Y22</f>
        <v>304</v>
      </c>
    </row>
    <row r="23" spans="1:12" ht="14.45" x14ac:dyDescent="0.3">
      <c r="A23" s="3" t="s">
        <v>42</v>
      </c>
      <c r="B23" s="2">
        <f t="shared" si="0"/>
        <v>22</v>
      </c>
      <c r="C23" s="2">
        <v>9</v>
      </c>
      <c r="D23" s="2">
        <v>2019</v>
      </c>
      <c r="E23" s="4">
        <f>Submetering!E23+Submetering!F23</f>
        <v>11500</v>
      </c>
      <c r="F23" s="12">
        <v>0.14199999999999999</v>
      </c>
      <c r="G23" s="4">
        <f>Submetering!M23</f>
        <v>1283</v>
      </c>
      <c r="H23" s="12">
        <v>0.21</v>
      </c>
      <c r="I23" s="4">
        <f>Submetering!N23</f>
        <v>187</v>
      </c>
      <c r="J23" s="13">
        <v>2.06</v>
      </c>
      <c r="K23" s="4">
        <f>'Hampshire Daily'!B26</f>
        <v>120</v>
      </c>
      <c r="L23" s="4">
        <f>Submetering!Y23</f>
        <v>189</v>
      </c>
    </row>
    <row r="24" spans="1:12" ht="14.45" x14ac:dyDescent="0.3">
      <c r="A24" s="3" t="s">
        <v>42</v>
      </c>
      <c r="B24" s="2">
        <f t="shared" si="0"/>
        <v>23</v>
      </c>
      <c r="C24" s="2">
        <v>9</v>
      </c>
      <c r="D24" s="2">
        <v>2019</v>
      </c>
      <c r="E24" s="4">
        <f>Submetering!E24+Submetering!F24</f>
        <v>13110</v>
      </c>
      <c r="F24" s="12">
        <v>0.14199999999999999</v>
      </c>
      <c r="G24" s="4">
        <f>Submetering!M24</f>
        <v>1454</v>
      </c>
      <c r="H24" s="12">
        <v>0.21</v>
      </c>
      <c r="I24" s="4">
        <f>Submetering!N24</f>
        <v>189.70000000001164</v>
      </c>
      <c r="J24" s="13">
        <v>2.06</v>
      </c>
      <c r="K24" s="4">
        <f>'Hampshire Daily'!B27</f>
        <v>106</v>
      </c>
      <c r="L24" s="4">
        <f>Submetering!Y24</f>
        <v>119</v>
      </c>
    </row>
    <row r="25" spans="1:12" ht="14.45" x14ac:dyDescent="0.3">
      <c r="A25" s="3" t="s">
        <v>42</v>
      </c>
      <c r="B25" s="2">
        <f t="shared" si="0"/>
        <v>24</v>
      </c>
      <c r="C25" s="2">
        <v>9</v>
      </c>
      <c r="D25" s="2">
        <v>2019</v>
      </c>
      <c r="E25" s="4">
        <f>Submetering!E25+Submetering!F25</f>
        <v>5310</v>
      </c>
      <c r="F25" s="12">
        <v>0.14199999999999999</v>
      </c>
      <c r="G25" s="4">
        <f>Submetering!M25</f>
        <v>1393</v>
      </c>
      <c r="H25" s="12">
        <v>0.21</v>
      </c>
      <c r="I25" s="4">
        <f>Submetering!N25</f>
        <v>203.29999999998836</v>
      </c>
      <c r="J25" s="13">
        <v>2.06</v>
      </c>
      <c r="K25" s="4">
        <f>'Hampshire Daily'!B28</f>
        <v>81</v>
      </c>
      <c r="L25" s="4">
        <f>Submetering!Y25</f>
        <v>100</v>
      </c>
    </row>
    <row r="26" spans="1:12" ht="14.45" x14ac:dyDescent="0.3">
      <c r="A26" s="3" t="s">
        <v>42</v>
      </c>
      <c r="B26" s="2">
        <f>B25+1</f>
        <v>25</v>
      </c>
      <c r="C26" s="2">
        <v>9</v>
      </c>
      <c r="D26" s="2">
        <v>2019</v>
      </c>
      <c r="E26" s="4">
        <f>Submetering!E26+Submetering!F26</f>
        <v>9250</v>
      </c>
      <c r="F26" s="12">
        <v>0.14199999999999999</v>
      </c>
      <c r="G26" s="4">
        <f>Submetering!M26</f>
        <v>1049</v>
      </c>
      <c r="H26" s="12">
        <v>0.21</v>
      </c>
      <c r="I26" s="4">
        <f>Submetering!N26</f>
        <v>149</v>
      </c>
      <c r="J26" s="13">
        <v>2.06</v>
      </c>
      <c r="K26" s="4">
        <f>'Hampshire Daily'!B29</f>
        <v>129</v>
      </c>
      <c r="L26" s="4">
        <f>Submetering!Y26</f>
        <v>146</v>
      </c>
    </row>
    <row r="27" spans="1:12" ht="14.45" x14ac:dyDescent="0.3">
      <c r="A27" s="3" t="s">
        <v>42</v>
      </c>
      <c r="B27" s="2">
        <f t="shared" si="0"/>
        <v>26</v>
      </c>
      <c r="C27" s="2">
        <v>9</v>
      </c>
      <c r="D27" s="2">
        <v>2019</v>
      </c>
      <c r="E27" s="4">
        <f>Submetering!E27+Submetering!F27</f>
        <v>11270</v>
      </c>
      <c r="F27" s="12">
        <v>0.14199999999999999</v>
      </c>
      <c r="G27" s="4">
        <f>Submetering!M27</f>
        <v>1214</v>
      </c>
      <c r="H27" s="12">
        <v>0.21</v>
      </c>
      <c r="I27" s="4">
        <f>Submetering!N27</f>
        <v>170</v>
      </c>
      <c r="J27" s="13">
        <v>2.06</v>
      </c>
      <c r="K27" s="4">
        <f>'Hampshire Daily'!B30</f>
        <v>59</v>
      </c>
      <c r="L27" s="4">
        <f>Submetering!Y27</f>
        <v>93</v>
      </c>
    </row>
    <row r="28" spans="1:12" ht="14.45" x14ac:dyDescent="0.3">
      <c r="A28" s="3" t="s">
        <v>42</v>
      </c>
      <c r="B28" s="2">
        <f t="shared" si="0"/>
        <v>27</v>
      </c>
      <c r="C28" s="2">
        <v>9</v>
      </c>
      <c r="D28" s="2">
        <v>2019</v>
      </c>
      <c r="E28" s="4">
        <f>Submetering!E28+Submetering!F28</f>
        <v>11280</v>
      </c>
      <c r="F28" s="12">
        <v>0.14199999999999999</v>
      </c>
      <c r="G28" s="4">
        <f>Submetering!M28</f>
        <v>1260</v>
      </c>
      <c r="H28" s="12">
        <v>0.21</v>
      </c>
      <c r="I28" s="4">
        <f>Submetering!N28</f>
        <v>176</v>
      </c>
      <c r="J28" s="13">
        <v>2.06</v>
      </c>
      <c r="K28" s="4">
        <f>'Hampshire Daily'!B31</f>
        <v>66</v>
      </c>
      <c r="L28" s="4">
        <f>Submetering!Y28</f>
        <v>168</v>
      </c>
    </row>
    <row r="29" spans="1:12" ht="14.45" x14ac:dyDescent="0.3">
      <c r="A29" s="3" t="s">
        <v>42</v>
      </c>
      <c r="B29" s="2">
        <f t="shared" si="0"/>
        <v>28</v>
      </c>
      <c r="C29" s="2">
        <v>9</v>
      </c>
      <c r="D29" s="2">
        <v>2019</v>
      </c>
      <c r="E29" s="4">
        <f>Submetering!E29+Submetering!F29</f>
        <v>11690</v>
      </c>
      <c r="F29" s="12">
        <v>0.14199999999999999</v>
      </c>
      <c r="G29" s="4">
        <f>Submetering!M29</f>
        <v>1428</v>
      </c>
      <c r="H29" s="12">
        <v>0.21</v>
      </c>
      <c r="I29" s="4">
        <f>Submetering!N29</f>
        <v>192</v>
      </c>
      <c r="J29" s="13">
        <v>2.06</v>
      </c>
      <c r="K29" s="4">
        <f>'Hampshire Daily'!B32</f>
        <v>119</v>
      </c>
      <c r="L29" s="4">
        <f>Submetering!Y29</f>
        <v>283</v>
      </c>
    </row>
    <row r="30" spans="1:12" ht="14.45" x14ac:dyDescent="0.3">
      <c r="A30" s="3" t="s">
        <v>42</v>
      </c>
      <c r="B30" s="2">
        <f t="shared" si="0"/>
        <v>29</v>
      </c>
      <c r="C30" s="2">
        <v>9</v>
      </c>
      <c r="D30" s="2">
        <v>2019</v>
      </c>
      <c r="E30" s="4">
        <f>Submetering!E30+Submetering!F30</f>
        <v>11690</v>
      </c>
      <c r="F30" s="12">
        <v>0.14199999999999999</v>
      </c>
      <c r="G30" s="4">
        <f>Submetering!M30</f>
        <v>1343</v>
      </c>
      <c r="H30" s="12">
        <v>0.21</v>
      </c>
      <c r="I30" s="4">
        <f>Submetering!N30</f>
        <v>186</v>
      </c>
      <c r="J30" s="13">
        <v>2.06</v>
      </c>
      <c r="K30" s="4">
        <f>'Hampshire Daily'!B33</f>
        <v>43</v>
      </c>
      <c r="L30" s="4">
        <f>Submetering!Y30</f>
        <v>82</v>
      </c>
    </row>
    <row r="31" spans="1:12" ht="14.45" x14ac:dyDescent="0.3">
      <c r="A31" s="3" t="s">
        <v>42</v>
      </c>
      <c r="B31" s="2">
        <f t="shared" si="0"/>
        <v>30</v>
      </c>
      <c r="C31" s="2">
        <v>9</v>
      </c>
      <c r="D31" s="2">
        <v>2019</v>
      </c>
      <c r="E31" s="4">
        <f>Submetering!E31+Submetering!F31</f>
        <v>11450</v>
      </c>
      <c r="F31" s="12">
        <v>0.14199999999999999</v>
      </c>
      <c r="G31" s="4">
        <f>Submetering!M31</f>
        <v>1382</v>
      </c>
      <c r="H31" s="12">
        <v>0.21</v>
      </c>
      <c r="I31" s="4">
        <f>Submetering!N31</f>
        <v>185</v>
      </c>
      <c r="J31" s="13">
        <v>2.06</v>
      </c>
      <c r="K31" s="4">
        <f>'Hampshire Daily'!B34</f>
        <v>68</v>
      </c>
      <c r="L31" s="4">
        <f>Submetering!Y31</f>
        <v>91</v>
      </c>
    </row>
    <row r="33" spans="5:5" ht="14.45" x14ac:dyDescent="0.3">
      <c r="E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E31"/>
  <sheetViews>
    <sheetView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W17" sqref="W17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8"/>
    <col min="4" max="4" width="13.42578125" style="1" customWidth="1"/>
    <col min="5" max="22" width="12.5703125" style="4" customWidth="1"/>
    <col min="23" max="24" width="11.5703125" style="1"/>
    <col min="25" max="25" width="11.5703125" style="4"/>
  </cols>
  <sheetData>
    <row r="1" spans="1:31" s="3" customFormat="1" ht="43.15" x14ac:dyDescent="0.3">
      <c r="A1" s="8" t="s">
        <v>0</v>
      </c>
      <c r="B1" s="8" t="s">
        <v>1</v>
      </c>
      <c r="C1" s="6" t="s">
        <v>2</v>
      </c>
      <c r="D1" s="8" t="s">
        <v>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54</v>
      </c>
      <c r="V1" s="9" t="s">
        <v>52</v>
      </c>
      <c r="W1" s="10" t="s">
        <v>53</v>
      </c>
      <c r="X1" s="10" t="s">
        <v>8</v>
      </c>
      <c r="Y1" s="9" t="s">
        <v>9</v>
      </c>
    </row>
    <row r="2" spans="1:31" ht="14.45" x14ac:dyDescent="0.3">
      <c r="A2" s="3" t="s">
        <v>42</v>
      </c>
      <c r="B2" s="1">
        <v>1</v>
      </c>
      <c r="C2" s="18">
        <v>9</v>
      </c>
      <c r="D2" s="1">
        <v>2019</v>
      </c>
      <c r="E2" s="4">
        <f>IF(('Hampshire Daily'!D5-'Hampshire Daily'!D4&lt;0), "0",('Hampshire Daily'!D5-'Hampshire Daily'!D4)*10)</f>
        <v>4270</v>
      </c>
      <c r="F2" s="4">
        <f>IF(('Hampshire Daily'!F5-'Hampshire Daily'!F4&lt;0), "0",('Hampshire Daily'!F5-'Hampshire Daily'!F4)*10)</f>
        <v>6650</v>
      </c>
      <c r="G2" s="4">
        <f>IF(('Hampshire Daily'!H5-'Hampshire Daily'!H4&lt;0), "0",'Hampshire Daily'!H5-'Hampshire Daily'!H4)</f>
        <v>627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 t="str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1124</v>
      </c>
      <c r="L2" s="4">
        <f>IF(('Hampshire Daily'!M5-'Hampshire Daily'!M4&lt;0), "0",'Hampshire Daily'!M5-'Hampshire Daily'!M4)</f>
        <v>724</v>
      </c>
      <c r="M2" s="4">
        <f>IF(('Hampshire Daily'!N5-'Hampshire Daily'!N4&lt;0), "0",'Hampshire Daily'!N5-'Hampshire Daily'!N4)</f>
        <v>1164</v>
      </c>
      <c r="N2" s="4">
        <f>IF(('Hampshire Daily'!O5-'Hampshire Daily'!O4&lt;0), "0",'Hampshire Daily'!O5-'Hampshire Daily'!O4)</f>
        <v>229</v>
      </c>
      <c r="O2" s="4">
        <f>IF(('Hampshire Daily'!P5-'Hampshire Daily'!P4&lt;0), "0",'Hampshire Daily'!P5-'Hampshire Daily'!P4)</f>
        <v>827</v>
      </c>
      <c r="P2" s="4">
        <f>IF(('Hampshire Daily'!Q5-'Hampshire Daily'!Q4&lt;0), "0",'Hampshire Daily'!Q5-'Hampshire Daily'!Q4)</f>
        <v>0</v>
      </c>
      <c r="Q2" s="4">
        <f>IF(('Hampshire Daily'!R5-'Hampshire Daily'!R4&lt;0), "0",'Hampshire Daily'!R5-'Hampshire Daily'!R4)</f>
        <v>2</v>
      </c>
      <c r="R2" s="4">
        <f>IF(('Hampshire Daily'!U5-'Hampshire Daily'!U4&lt;0), "0",'Hampshire Daily'!U5-'Hampshire Daily'!U4)</f>
        <v>13</v>
      </c>
      <c r="S2" s="4">
        <f>IF(('Hampshire Daily'!V5-'Hampshire Daily'!V4&lt;0), "0",'Hampshire Daily'!V5-'Hampshire Daily'!V4)</f>
        <v>0</v>
      </c>
      <c r="T2" s="4">
        <f>IF(('Hampshire Daily'!X5-'Hampshire Daily'!W4&lt;0), "0",'Hampshire Daily'!X5-'Hampshire Daily'!W4)</f>
        <v>326.654</v>
      </c>
      <c r="U2" s="4">
        <f>IF(('Hampshire Daily'!Y5-'Hampshire Daily'!X4&lt;0), "0",'Hampshire Daily'!Y5-'Hampshire Daily'!X4)</f>
        <v>454.52399999999994</v>
      </c>
      <c r="V2" s="4">
        <f>IF(('Hampshire Daily'!Z5-'Hampshire Daily'!Y4&lt;0), "0",'Hampshire Daily'!Z5-'Hampshire Daily'!Y4)</f>
        <v>3019.8909999999996</v>
      </c>
      <c r="W2" s="4" t="e">
        <f>IF(('Hampshire Daily'!#REF!-'Hampshire Daily'!Z4&lt;0), "0",'Hampshire Daily'!#REF!-'Hampshire Daily'!Z4)</f>
        <v>#REF!</v>
      </c>
      <c r="X2" s="4">
        <f>'Hampshire Daily'!B5</f>
        <v>66</v>
      </c>
      <c r="Y2" s="4">
        <f>'Hampshire Daily'!C5</f>
        <v>170</v>
      </c>
    </row>
    <row r="3" spans="1:31" ht="14.45" x14ac:dyDescent="0.3">
      <c r="A3" s="3" t="s">
        <v>42</v>
      </c>
      <c r="B3" s="1">
        <f>B2+1</f>
        <v>2</v>
      </c>
      <c r="C3" s="18">
        <v>9</v>
      </c>
      <c r="D3" s="1">
        <v>2019</v>
      </c>
      <c r="E3" s="4">
        <f>IF(('Hampshire Daily'!D6-'Hampshire Daily'!D5&lt;0), "0",('Hampshire Daily'!D6-'Hampshire Daily'!D5)*10)</f>
        <v>4170</v>
      </c>
      <c r="F3" s="4">
        <f>IF(('Hampshire Daily'!F6-'Hampshire Daily'!F5&lt;0), "0",('Hampshire Daily'!F6-'Hampshire Daily'!F5)*10)</f>
        <v>6670</v>
      </c>
      <c r="G3" s="19">
        <f>IF(('Hampshire Daily'!H6-'Hampshire Daily'!H5&lt;0), "0",'Hampshire Daily'!H6-'Hampshire Daily'!H5)</f>
        <v>645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9">
        <f>IF(('Hampshire Daily'!L6-'Hampshire Daily'!L5&lt;0), "0",'Hampshire Daily'!L6-'Hampshire Daily'!L5)</f>
        <v>1124</v>
      </c>
      <c r="L3" s="19">
        <f>IF(('Hampshire Daily'!M6-'Hampshire Daily'!M5&lt;0), "0",'Hampshire Daily'!M6-'Hampshire Daily'!M5)</f>
        <v>738</v>
      </c>
      <c r="M3" s="19">
        <f>IF(('Hampshire Daily'!N6-'Hampshire Daily'!N5&lt;0), "0",'Hampshire Daily'!N6-'Hampshire Daily'!N5)</f>
        <v>1188</v>
      </c>
      <c r="N3" s="4">
        <f>IF(('Hampshire Daily'!O6-'Hampshire Daily'!O5&lt;0), "0",'Hampshire Daily'!O6-'Hampshire Daily'!O5)</f>
        <v>216</v>
      </c>
      <c r="O3" s="4">
        <f>IF(('Hampshire Daily'!P6-'Hampshire Daily'!P5&lt;0), "0",'Hampshire Daily'!P6-'Hampshire Daily'!P5)</f>
        <v>830</v>
      </c>
      <c r="P3" s="4">
        <f>IF(('Hampshire Daily'!Q6-'Hampshire Daily'!Q5&lt;0), "0",'Hampshire Daily'!Q6-'Hampshire Daily'!Q5)</f>
        <v>0</v>
      </c>
      <c r="Q3" s="4">
        <f>IF(('Hampshire Daily'!R6-'Hampshire Daily'!R5&lt;0), "0",'Hampshire Daily'!R6-'Hampshire Daily'!R5)</f>
        <v>1</v>
      </c>
      <c r="R3" s="4">
        <f>IF(('Hampshire Daily'!U6-'Hampshire Daily'!U5&lt;0), "0",'Hampshire Daily'!U6-'Hampshire Daily'!U5)</f>
        <v>12</v>
      </c>
      <c r="S3" s="4">
        <f>IF(('Hampshire Daily'!V6-'Hampshire Daily'!V5&lt;0), "0",'Hampshire Daily'!V6-'Hampshire Daily'!V5)</f>
        <v>1</v>
      </c>
      <c r="T3" s="4">
        <f>IF(('Hampshire Daily'!X6-'Hampshire Daily'!X5&lt;0), "0",'Hampshire Daily'!X6-'Hampshire Daily'!X5)</f>
        <v>5.7000000000016371E-2</v>
      </c>
      <c r="U3" s="4">
        <f>IF(('Hampshire Daily'!Y6-'Hampshire Daily'!Y5&lt;0), "0",'Hampshire Daily'!Y6-'Hampshire Daily'!Y5)</f>
        <v>1.999999999998181E-2</v>
      </c>
      <c r="V3" s="4">
        <f>IF(('Hampshire Daily'!Z6-'Hampshire Daily'!Z5&lt;0), "0",'Hampshire Daily'!Z6-'Hampshire Daily'!Z5)</f>
        <v>2.5970000000002074</v>
      </c>
      <c r="W3" s="4" t="e">
        <f>IF(('Hampshire Daily'!#REF!-'Hampshire Daily'!#REF!&lt;0), "0",'Hampshire Daily'!#REF!-'Hampshire Daily'!#REF!)</f>
        <v>#REF!</v>
      </c>
      <c r="X3" s="4">
        <f>'Hampshire Daily'!B6</f>
        <v>51</v>
      </c>
      <c r="Y3" s="4">
        <f>'Hampshire Daily'!C6</f>
        <v>124</v>
      </c>
      <c r="Z3" t="s">
        <v>43</v>
      </c>
      <c r="AA3" t="s">
        <v>43</v>
      </c>
      <c r="AB3" t="s">
        <v>43</v>
      </c>
      <c r="AC3" t="s">
        <v>43</v>
      </c>
      <c r="AD3" t="s">
        <v>43</v>
      </c>
      <c r="AE3" t="s">
        <v>43</v>
      </c>
    </row>
    <row r="4" spans="1:31" ht="14.45" x14ac:dyDescent="0.3">
      <c r="A4" s="3" t="s">
        <v>42</v>
      </c>
      <c r="B4" s="1">
        <f t="shared" ref="B4:B31" si="0">B3+1</f>
        <v>3</v>
      </c>
      <c r="C4" s="18">
        <v>9</v>
      </c>
      <c r="D4" s="1">
        <v>2019</v>
      </c>
      <c r="E4" s="4">
        <f>IF(('Hampshire Daily'!D7-'Hampshire Daily'!D6&lt;0), "0",('Hampshire Daily'!D7-'Hampshire Daily'!D6)*10)</f>
        <v>4280</v>
      </c>
      <c r="F4" s="4">
        <f>IF(('Hampshire Daily'!F7-'Hampshire Daily'!F6&lt;0), "0",('Hampshire Daily'!F7-'Hampshire Daily'!F6)*10)</f>
        <v>6280</v>
      </c>
      <c r="G4" s="4">
        <f>IF(('Hampshire Daily'!H7-'Hampshire Daily'!H6&lt;0), "0",'Hampshire Daily'!H7-'Hampshire Daily'!H6)</f>
        <v>562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9">
        <f>IF(('Hampshire Daily'!L7-'Hampshire Daily'!L6&lt;0), "0",'Hampshire Daily'!L7-'Hampshire Daily'!L6)</f>
        <v>1124</v>
      </c>
      <c r="L4" s="4">
        <f>IF(('Hampshire Daily'!M7-'Hampshire Daily'!M6&lt;0), "0",'Hampshire Daily'!M7-'Hampshire Daily'!M6)</f>
        <v>711</v>
      </c>
      <c r="M4" s="4">
        <f>IF(('Hampshire Daily'!N7-'Hampshire Daily'!N6&lt;0), "0",'Hampshire Daily'!N7-'Hampshire Daily'!N6)</f>
        <v>1006</v>
      </c>
      <c r="N4" s="4">
        <f>IF(('Hampshire Daily'!O7-'Hampshire Daily'!O6&lt;0), "0",'Hampshire Daily'!O7-'Hampshire Daily'!O6)</f>
        <v>201</v>
      </c>
      <c r="O4" s="4">
        <f>IF(('Hampshire Daily'!P7-'Hampshire Daily'!P6&lt;0), "0",'Hampshire Daily'!P7-'Hampshire Daily'!P6)</f>
        <v>820</v>
      </c>
      <c r="P4" s="4">
        <f>IF(('Hampshire Daily'!Q7-'Hampshire Daily'!Q6&lt;0), "0",'Hampshire Daily'!Q7-'Hampshire Daily'!Q6)</f>
        <v>0</v>
      </c>
      <c r="Q4" s="4">
        <f>IF(('Hampshire Daily'!R7-'Hampshire Daily'!R6&lt;0), "0",'Hampshire Daily'!R7-'Hampshire Daily'!R6)</f>
        <v>1</v>
      </c>
      <c r="R4" s="4">
        <f>IF(('Hampshire Daily'!U7-'Hampshire Daily'!U6&lt;0), "0",'Hampshire Daily'!U7-'Hampshire Daily'!U6)</f>
        <v>10</v>
      </c>
      <c r="S4" s="4">
        <f>IF(('Hampshire Daily'!V7-'Hampshire Daily'!V6&lt;0), "0",'Hampshire Daily'!V7-'Hampshire Daily'!V6)</f>
        <v>8</v>
      </c>
      <c r="T4" s="4">
        <f>IF(('Hampshire Daily'!X7-'Hampshire Daily'!X6&lt;0), "0",'Hampshire Daily'!X7-'Hampshire Daily'!X6)</f>
        <v>5.5000000000006821E-2</v>
      </c>
      <c r="U4" s="4">
        <f>IF(('Hampshire Daily'!Y7-'Hampshire Daily'!Y6&lt;0), "0",'Hampshire Daily'!Y7-'Hampshire Daily'!Y6)</f>
        <v>2.2000000000048203E-2</v>
      </c>
      <c r="V4" s="4">
        <f>IF(('Hampshire Daily'!Z7-'Hampshire Daily'!Z6&lt;0), "0",'Hampshire Daily'!Z7-'Hampshire Daily'!Z6)</f>
        <v>0.54300000000012005</v>
      </c>
      <c r="W4" s="4" t="e">
        <f>IF(('Hampshire Daily'!#REF!-'Hampshire Daily'!#REF!&lt;0), "0",'Hampshire Daily'!#REF!-'Hampshire Daily'!#REF!)</f>
        <v>#REF!</v>
      </c>
      <c r="X4" s="4">
        <f>'Hampshire Daily'!B7</f>
        <v>88</v>
      </c>
      <c r="Y4" s="4">
        <f>'Hampshire Daily'!C7</f>
        <v>125</v>
      </c>
      <c r="AB4" t="s">
        <v>43</v>
      </c>
    </row>
    <row r="5" spans="1:31" ht="14.45" x14ac:dyDescent="0.3">
      <c r="A5" s="3" t="s">
        <v>42</v>
      </c>
      <c r="B5" s="1">
        <f t="shared" si="0"/>
        <v>4</v>
      </c>
      <c r="C5" s="18">
        <v>9</v>
      </c>
      <c r="D5" s="1">
        <v>2019</v>
      </c>
      <c r="E5" s="4">
        <f>IF(('Hampshire Daily'!D8-'Hampshire Daily'!D7&lt;0), "0",('Hampshire Daily'!D8-'Hampshire Daily'!D7)*10)</f>
        <v>4670</v>
      </c>
      <c r="F5" s="4">
        <f>IF(('Hampshire Daily'!F8-'Hampshire Daily'!F7&lt;0), "0",('Hampshire Daily'!F8-'Hampshire Daily'!F7)*10)</f>
        <v>6690</v>
      </c>
      <c r="G5" s="4">
        <f>IF(('Hampshire Daily'!H8-'Hampshire Daily'!H7&lt;0), "0",'Hampshire Daily'!H8-'Hampshire Daily'!H7)</f>
        <v>585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9">
        <f>IF(('Hampshire Daily'!L8-'Hampshire Daily'!L7&lt;0), "0",'Hampshire Daily'!L8-'Hampshire Daily'!L7)</f>
        <v>1127</v>
      </c>
      <c r="L5" s="4">
        <f>IF(('Hampshire Daily'!M8-'Hampshire Daily'!M7&lt;0), "0",'Hampshire Daily'!M8-'Hampshire Daily'!M7)</f>
        <v>738</v>
      </c>
      <c r="M5" s="4">
        <f>IF(('Hampshire Daily'!N8-'Hampshire Daily'!N7&lt;0), "0",'Hampshire Daily'!N8-'Hampshire Daily'!N7)</f>
        <v>1084</v>
      </c>
      <c r="N5" s="4">
        <f>IF(('Hampshire Daily'!O8-'Hampshire Daily'!O7&lt;0), "0",'Hampshire Daily'!O8-'Hampshire Daily'!O7)</f>
        <v>147</v>
      </c>
      <c r="O5" s="4">
        <f>IF(('Hampshire Daily'!P8-'Hampshire Daily'!P7&lt;0), "0",'Hampshire Daily'!P8-'Hampshire Daily'!P7)</f>
        <v>830</v>
      </c>
      <c r="P5" s="4">
        <f>IF(('Hampshire Daily'!Q8-'Hampshire Daily'!Q7&lt;0), "0",'Hampshire Daily'!Q8-'Hampshire Daily'!Q7)</f>
        <v>0</v>
      </c>
      <c r="Q5" s="4">
        <f>IF(('Hampshire Daily'!R8-'Hampshire Daily'!R7&lt;0), "0",'Hampshire Daily'!R8-'Hampshire Daily'!R7)</f>
        <v>1</v>
      </c>
      <c r="R5" s="4">
        <f>IF(('Hampshire Daily'!U8-'Hampshire Daily'!U7&lt;0), "0",'Hampshire Daily'!U8-'Hampshire Daily'!U7)</f>
        <v>11</v>
      </c>
      <c r="S5" s="4">
        <f>IF(('Hampshire Daily'!V8-'Hampshire Daily'!V7&lt;0), "0",'Hampshire Daily'!V8-'Hampshire Daily'!V7)</f>
        <v>0</v>
      </c>
      <c r="T5" s="4">
        <f>IF(('Hampshire Daily'!X8-'Hampshire Daily'!X7&lt;0), "0",'Hampshire Daily'!X8-'Hampshire Daily'!X7)</f>
        <v>4.9999999999954525E-2</v>
      </c>
      <c r="U5" s="4">
        <f>IF(('Hampshire Daily'!Y8-'Hampshire Daily'!Y7&lt;0), "0",'Hampshire Daily'!Y8-'Hampshire Daily'!Y7)</f>
        <v>3.3999999999991815E-2</v>
      </c>
      <c r="V5" s="4">
        <f>IF(('Hampshire Daily'!Z8-'Hampshire Daily'!Z7&lt;0), "0",'Hampshire Daily'!Z8-'Hampshire Daily'!Z7)</f>
        <v>0.35599999999976717</v>
      </c>
      <c r="W5" s="4" t="e">
        <f>IF(('Hampshire Daily'!#REF!-'Hampshire Daily'!#REF!&lt;0), "0",'Hampshire Daily'!#REF!-'Hampshire Daily'!#REF!)</f>
        <v>#REF!</v>
      </c>
      <c r="X5" s="4">
        <f>'Hampshire Daily'!B8</f>
        <v>86</v>
      </c>
      <c r="Y5" s="4">
        <f>'Hampshire Daily'!C8</f>
        <v>117</v>
      </c>
    </row>
    <row r="6" spans="1:31" ht="14.45" x14ac:dyDescent="0.3">
      <c r="A6" s="3" t="s">
        <v>42</v>
      </c>
      <c r="B6" s="1">
        <f t="shared" si="0"/>
        <v>5</v>
      </c>
      <c r="C6" s="18">
        <v>9</v>
      </c>
      <c r="D6" s="1">
        <v>2019</v>
      </c>
      <c r="E6" s="4">
        <f>IF(('Hampshire Daily'!D9-'Hampshire Daily'!D8&lt;0), "0",('Hampshire Daily'!D9-'Hampshire Daily'!D8)*10)</f>
        <v>4480</v>
      </c>
      <c r="F6" s="4">
        <f>IF(('Hampshire Daily'!F9-'Hampshire Daily'!F8&lt;0), "0",('Hampshire Daily'!F9-'Hampshire Daily'!F8)*10)</f>
        <v>6630</v>
      </c>
      <c r="G6" s="4">
        <f>IF(('Hampshire Daily'!H9-'Hampshire Daily'!H8&lt;0), "0",'Hampshire Daily'!H9-'Hampshire Daily'!H8)</f>
        <v>643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1003</v>
      </c>
      <c r="L6" s="4">
        <f>IF(('Hampshire Daily'!M9-'Hampshire Daily'!M8&lt;0), "0",'Hampshire Daily'!M9-'Hampshire Daily'!M8)</f>
        <v>733</v>
      </c>
      <c r="M6" s="4">
        <f>IF(('Hampshire Daily'!N9-'Hampshire Daily'!N8&lt;0), "0",'Hampshire Daily'!N9-'Hampshire Daily'!N8)</f>
        <v>1198</v>
      </c>
      <c r="N6" s="4">
        <f>IF(('Hampshire Daily'!O9-'Hampshire Daily'!O8&lt;0), "0",'Hampshire Daily'!O9-'Hampshire Daily'!O8)</f>
        <v>195</v>
      </c>
      <c r="O6" s="4">
        <f>IF(('Hampshire Daily'!P9-'Hampshire Daily'!P8&lt;0), "0",'Hampshire Daily'!P9-'Hampshire Daily'!P8)</f>
        <v>780</v>
      </c>
      <c r="P6" s="4">
        <f>IF(('Hampshire Daily'!Q9-'Hampshire Daily'!Q8&lt;0), "0",'Hampshire Daily'!Q9-'Hampshire Daily'!Q8)</f>
        <v>0</v>
      </c>
      <c r="Q6" s="4">
        <f>IF(('Hampshire Daily'!R9-'Hampshire Daily'!R8&lt;0), "0",'Hampshire Daily'!R9-'Hampshire Daily'!R8)</f>
        <v>2</v>
      </c>
      <c r="R6" s="4">
        <f>IF(('Hampshire Daily'!U9-'Hampshire Daily'!U8&lt;0), "0",'Hampshire Daily'!U9-'Hampshire Daily'!U8)</f>
        <v>8</v>
      </c>
      <c r="S6" s="4">
        <f>IF(('Hampshire Daily'!V9-'Hampshire Daily'!V8&lt;0), "0",'Hampshire Daily'!V9-'Hampshire Daily'!V8)</f>
        <v>0</v>
      </c>
      <c r="T6" s="4">
        <f>IF(('Hampshire Daily'!X9-'Hampshire Daily'!X8&lt;0), "0",'Hampshire Daily'!X9-'Hampshire Daily'!X8)</f>
        <v>5.3000000000054115E-2</v>
      </c>
      <c r="U6" s="4">
        <f>IF(('Hampshire Daily'!Y9-'Hampshire Daily'!Y8&lt;0), "0",'Hampshire Daily'!Y9-'Hampshire Daily'!Y8)</f>
        <v>4.0000000000190994E-3</v>
      </c>
      <c r="V6" s="4">
        <f>IF(('Hampshire Daily'!Z9-'Hampshire Daily'!Z8&lt;0), "0",'Hampshire Daily'!Z9-'Hampshire Daily'!Z8)</f>
        <v>0</v>
      </c>
      <c r="W6" s="4" t="e">
        <f>IF(('Hampshire Daily'!#REF!-'Hampshire Daily'!#REF!&lt;0), "0",'Hampshire Daily'!#REF!-'Hampshire Daily'!#REF!)</f>
        <v>#REF!</v>
      </c>
      <c r="X6" s="4">
        <f>'Hampshire Daily'!B9</f>
        <v>50</v>
      </c>
      <c r="Y6" s="4">
        <f>'Hampshire Daily'!C9</f>
        <v>95</v>
      </c>
    </row>
    <row r="7" spans="1:31" ht="14.45" x14ac:dyDescent="0.3">
      <c r="A7" s="3" t="s">
        <v>42</v>
      </c>
      <c r="B7" s="1">
        <f t="shared" si="0"/>
        <v>6</v>
      </c>
      <c r="C7" s="18">
        <v>9</v>
      </c>
      <c r="D7" s="1">
        <v>2019</v>
      </c>
      <c r="E7" s="4">
        <f>IF(('Hampshire Daily'!D10-'Hampshire Daily'!D9&lt;0), "0",('Hampshire Daily'!D10-'Hampshire Daily'!D9)*10)</f>
        <v>4070</v>
      </c>
      <c r="F7" s="4">
        <f>IF(('Hampshire Daily'!F10-'Hampshire Daily'!F9&lt;0), "0",('Hampshire Daily'!F10-'Hampshire Daily'!F9)*10)</f>
        <v>6480</v>
      </c>
      <c r="G7" s="4">
        <f>IF(('Hampshire Daily'!H10-'Hampshire Daily'!H9&lt;0), "0",'Hampshire Daily'!H10-'Hampshire Daily'!H9)</f>
        <v>651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1015</v>
      </c>
      <c r="L7" s="4">
        <f>IF(('Hampshire Daily'!M10-'Hampshire Daily'!M9&lt;0), "0",'Hampshire Daily'!M10-'Hampshire Daily'!M9)</f>
        <v>740</v>
      </c>
      <c r="M7" s="4">
        <f>IF(('Hampshire Daily'!N10-'Hampshire Daily'!N9&lt;0), "0",'Hampshire Daily'!N10-'Hampshire Daily'!N9)</f>
        <v>1229</v>
      </c>
      <c r="N7" s="4">
        <f>IF(('Hampshire Daily'!O10-'Hampshire Daily'!O9&lt;0), "0",'Hampshire Daily'!O10-'Hampshire Daily'!O9)</f>
        <v>184</v>
      </c>
      <c r="O7" s="4">
        <f>IF(('Hampshire Daily'!P10-'Hampshire Daily'!P9&lt;0), "0",'Hampshire Daily'!P10-'Hampshire Daily'!P9)</f>
        <v>770</v>
      </c>
      <c r="P7" s="4">
        <f>IF(('Hampshire Daily'!Q10-'Hampshire Daily'!Q9&lt;0), "0",'Hampshire Daily'!Q10-'Hampshire Daily'!Q9)</f>
        <v>0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9</v>
      </c>
      <c r="S7" s="4">
        <f>IF(('Hampshire Daily'!V10-'Hampshire Daily'!V9&lt;0), "0",'Hampshire Daily'!V10-'Hampshire Daily'!V9)</f>
        <v>1</v>
      </c>
      <c r="T7" s="4">
        <f>IF(('Hampshire Daily'!X10-'Hampshire Daily'!X9&lt;0), "0",'Hampshire Daily'!X10-'Hampshire Daily'!X9)</f>
        <v>5.4999999999949978E-2</v>
      </c>
      <c r="U7" s="4">
        <f>IF(('Hampshire Daily'!Y10-'Hampshire Daily'!Y9&lt;0), "0",'Hampshire Daily'!Y10-'Hampshire Daily'!Y9)</f>
        <v>8.0000000000381988E-3</v>
      </c>
      <c r="V7" s="4">
        <f>IF(('Hampshire Daily'!Z10-'Hampshire Daily'!Z9&lt;0), "0",'Hampshire Daily'!Z10-'Hampshire Daily'!Z9)</f>
        <v>0</v>
      </c>
      <c r="W7" s="4" t="e">
        <f>IF(('Hampshire Daily'!#REF!-'Hampshire Daily'!#REF!&lt;0), "0",'Hampshire Daily'!#REF!-'Hampshire Daily'!#REF!)</f>
        <v>#REF!</v>
      </c>
      <c r="X7" s="4">
        <f>'Hampshire Daily'!B10</f>
        <v>103</v>
      </c>
      <c r="Y7" s="4">
        <f>'Hampshire Daily'!C10</f>
        <v>212</v>
      </c>
    </row>
    <row r="8" spans="1:31" ht="14.45" x14ac:dyDescent="0.3">
      <c r="A8" s="3" t="s">
        <v>42</v>
      </c>
      <c r="B8" s="1">
        <f t="shared" si="0"/>
        <v>7</v>
      </c>
      <c r="C8" s="18">
        <v>9</v>
      </c>
      <c r="D8" s="1">
        <v>2019</v>
      </c>
      <c r="E8" s="4">
        <f>IF(('Hampshire Daily'!D11-'Hampshire Daily'!D10&lt;0), "0",('Hampshire Daily'!D11-'Hampshire Daily'!D10)*10)</f>
        <v>4010</v>
      </c>
      <c r="F8" s="4">
        <f>IF(('Hampshire Daily'!F11-'Hampshire Daily'!F10&lt;0), "0",('Hampshire Daily'!F11-'Hampshire Daily'!F10)*10)</f>
        <v>6520</v>
      </c>
      <c r="G8" s="4">
        <f>IF(('Hampshire Daily'!H11-'Hampshire Daily'!H10&lt;0), "0",'Hampshire Daily'!H11-'Hampshire Daily'!H10)</f>
        <v>704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1073</v>
      </c>
      <c r="L8" s="4">
        <f>IF(('Hampshire Daily'!M11-'Hampshire Daily'!M10&lt;0), "0",'Hampshire Daily'!M11-'Hampshire Daily'!M10)</f>
        <v>778</v>
      </c>
      <c r="M8" s="19">
        <f>IF(('Hampshire Daily'!N11-'Hampshire Daily'!N10&lt;0), "0",'Hampshire Daily'!N11-'Hampshire Daily'!N10)</f>
        <v>1413</v>
      </c>
      <c r="N8" s="4">
        <f>IF(('Hampshire Daily'!O11-'Hampshire Daily'!O10&lt;0), "0",'Hampshire Daily'!O11-'Hampshire Daily'!O10)</f>
        <v>196</v>
      </c>
      <c r="O8" s="4">
        <f>IF(('Hampshire Daily'!P11-'Hampshire Daily'!P10&lt;0), "0",'Hampshire Daily'!P11-'Hampshire Daily'!P10)</f>
        <v>790</v>
      </c>
      <c r="P8" s="4">
        <f>IF(('Hampshire Daily'!Q11-'Hampshire Daily'!Q10&lt;0), "0",'Hampshire Daily'!Q11-'Hampshire Daily'!Q10)</f>
        <v>0</v>
      </c>
      <c r="Q8" s="4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9</v>
      </c>
      <c r="S8" s="4">
        <f>IF(('Hampshire Daily'!V11-'Hampshire Daily'!V10&lt;0), "0",'Hampshire Daily'!V11-'Hampshire Daily'!V10)</f>
        <v>1</v>
      </c>
      <c r="T8" s="4">
        <f>IF(('Hampshire Daily'!X11-'Hampshire Daily'!X10&lt;0), "0",'Hampshire Daily'!X11-'Hampshire Daily'!X10)</f>
        <v>5.9000000000025921E-2</v>
      </c>
      <c r="U8" s="4">
        <f>IF(('Hampshire Daily'!Y11-'Hampshire Daily'!Y10&lt;0), "0",'Hampshire Daily'!Y11-'Hampshire Daily'!Y10)</f>
        <v>2.4999999999977263E-2</v>
      </c>
      <c r="V8" s="4">
        <f>IF(('Hampshire Daily'!Z11-'Hampshire Daily'!Z10&lt;0), "0",'Hampshire Daily'!Z11-'Hampshire Daily'!Z10)</f>
        <v>1.9999999999527063E-3</v>
      </c>
      <c r="W8" s="4" t="e">
        <f>IF(('Hampshire Daily'!#REF!-'Hampshire Daily'!#REF!&lt;0), "0",'Hampshire Daily'!#REF!-'Hampshire Daily'!#REF!)</f>
        <v>#REF!</v>
      </c>
      <c r="X8" s="4">
        <f>'Hampshire Daily'!B11</f>
        <v>114</v>
      </c>
      <c r="Y8" s="4">
        <f>'Hampshire Daily'!C11</f>
        <v>233</v>
      </c>
    </row>
    <row r="9" spans="1:31" ht="14.45" x14ac:dyDescent="0.3">
      <c r="A9" s="3" t="s">
        <v>42</v>
      </c>
      <c r="B9" s="1">
        <f t="shared" si="0"/>
        <v>8</v>
      </c>
      <c r="C9" s="18">
        <v>9</v>
      </c>
      <c r="D9" s="1">
        <v>2019</v>
      </c>
      <c r="E9" s="4">
        <f>IF(('Hampshire Daily'!D12-'Hampshire Daily'!D11&lt;0), "0",('Hampshire Daily'!D12-'Hampshire Daily'!D11)*10)</f>
        <v>4170</v>
      </c>
      <c r="F9" s="4">
        <f>IF(('Hampshire Daily'!F12-'Hampshire Daily'!F11&lt;0), "0",('Hampshire Daily'!F12-'Hampshire Daily'!F11)*10)</f>
        <v>7030</v>
      </c>
      <c r="G9" s="4">
        <f>IF(('Hampshire Daily'!H12-'Hampshire Daily'!H11&lt;0), "0",'Hampshire Daily'!H12-'Hampshire Daily'!H11)</f>
        <v>633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9">
        <f>IF(('Hampshire Daily'!L12-'Hampshire Daily'!L11&lt;0), "0",'Hampshire Daily'!L12-'Hampshire Daily'!L11)</f>
        <v>1124</v>
      </c>
      <c r="L9" s="4">
        <f>IF(('Hampshire Daily'!M12-'Hampshire Daily'!M11&lt;0), "0",'Hampshire Daily'!M12-'Hampshire Daily'!M11)</f>
        <v>778</v>
      </c>
      <c r="M9" s="4">
        <f>IF(('Hampshire Daily'!N12-'Hampshire Daily'!N11&lt;0), "0",'Hampshire Daily'!N12-'Hampshire Daily'!N11)</f>
        <v>1448</v>
      </c>
      <c r="N9" s="4">
        <f>IF(('Hampshire Daily'!O12-'Hampshire Daily'!O11&lt;0), "0",'Hampshire Daily'!O12-'Hampshire Daily'!O11)</f>
        <v>190</v>
      </c>
      <c r="O9" s="4">
        <f>IF(('Hampshire Daily'!P12-'Hampshire Daily'!P11&lt;0), "0",'Hampshire Daily'!P12-'Hampshire Daily'!P11)</f>
        <v>760</v>
      </c>
      <c r="P9" s="4">
        <f>IF(('Hampshire Daily'!Q12-'Hampshire Daily'!Q11&lt;0), "0",'Hampshire Daily'!Q12-'Hampshire Daily'!Q11)</f>
        <v>0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9</v>
      </c>
      <c r="S9" s="4">
        <f>IF(('Hampshire Daily'!V12-'Hampshire Daily'!V11&lt;0), "0",'Hampshire Daily'!V12-'Hampshire Daily'!V11)</f>
        <v>0</v>
      </c>
      <c r="T9" s="4">
        <f>IF(('Hampshire Daily'!X12-'Hampshire Daily'!X11&lt;0), "0",'Hampshire Daily'!X12-'Hampshire Daily'!X11)</f>
        <v>6.0000000000002274E-2</v>
      </c>
      <c r="U9" s="4">
        <f>IF(('Hampshire Daily'!Y12-'Hampshire Daily'!Y11&lt;0), "0",'Hampshire Daily'!Y12-'Hampshire Daily'!Y11)</f>
        <v>1.6999999999939064E-2</v>
      </c>
      <c r="V9" s="4">
        <f>IF(('Hampshire Daily'!Z12-'Hampshire Daily'!Z11&lt;0), "0",'Hampshire Daily'!Z12-'Hampshire Daily'!Z11)</f>
        <v>0</v>
      </c>
      <c r="W9" s="4" t="e">
        <f>IF(('Hampshire Daily'!#REF!-'Hampshire Daily'!#REF!&lt;0), "0",'Hampshire Daily'!#REF!-'Hampshire Daily'!#REF!)</f>
        <v>#REF!</v>
      </c>
      <c r="X9" s="4">
        <f>'Hampshire Daily'!B12</f>
        <v>55</v>
      </c>
      <c r="Y9" s="4">
        <f>'Hampshire Daily'!C12</f>
        <v>99</v>
      </c>
    </row>
    <row r="10" spans="1:31" ht="14.45" x14ac:dyDescent="0.3">
      <c r="A10" s="3" t="s">
        <v>42</v>
      </c>
      <c r="B10" s="1">
        <f t="shared" si="0"/>
        <v>9</v>
      </c>
      <c r="C10" s="18">
        <v>9</v>
      </c>
      <c r="D10" s="1">
        <v>2019</v>
      </c>
      <c r="E10" s="4">
        <f>IF(('Hampshire Daily'!D13-'Hampshire Daily'!D12&lt;0), "0",('Hampshire Daily'!D13-'Hampshire Daily'!D12)*10)</f>
        <v>3720</v>
      </c>
      <c r="F10" s="4">
        <f>IF(('Hampshire Daily'!F13-'Hampshire Daily'!F12&lt;0), "0",('Hampshire Daily'!F13-'Hampshire Daily'!F12)*10)</f>
        <v>6460</v>
      </c>
      <c r="G10" s="4">
        <f>IF(('Hampshire Daily'!H13-'Hampshire Daily'!H12&lt;0), "0",'Hampshire Daily'!H13-'Hampshire Daily'!H12)</f>
        <v>646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860</v>
      </c>
      <c r="L10" s="4">
        <f>IF(('Hampshire Daily'!M13-'Hampshire Daily'!M12&lt;0), "0",'Hampshire Daily'!M13-'Hampshire Daily'!M12)</f>
        <v>705</v>
      </c>
      <c r="M10" s="4">
        <f>IF(('Hampshire Daily'!N13-'Hampshire Daily'!N12&lt;0), "0",'Hampshire Daily'!N13-'Hampshire Daily'!N12)</f>
        <v>1238</v>
      </c>
      <c r="N10" s="4">
        <f>IF(('Hampshire Daily'!O13-'Hampshire Daily'!O12&lt;0), "0",'Hampshire Daily'!O13-'Hampshire Daily'!O12)</f>
        <v>190</v>
      </c>
      <c r="O10" s="4">
        <f>IF(('Hampshire Daily'!P13-'Hampshire Daily'!P12&lt;0), "0",'Hampshire Daily'!P13-'Hampshire Daily'!P12)</f>
        <v>810</v>
      </c>
      <c r="P10" s="4">
        <f>IF(('Hampshire Daily'!Q13-'Hampshire Daily'!Q12&lt;0), "0",'Hampshire Daily'!Q13-'Hampshire Daily'!Q12)</f>
        <v>0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7</v>
      </c>
      <c r="S10" s="4">
        <f>IF(('Hampshire Daily'!V13-'Hampshire Daily'!V12&lt;0), "0",'Hampshire Daily'!V13-'Hampshire Daily'!V12)</f>
        <v>5</v>
      </c>
      <c r="T10" s="4">
        <f>IF(('Hampshire Daily'!X13-'Hampshire Daily'!X12&lt;0), "0",'Hampshire Daily'!X13-'Hampshire Daily'!X12)</f>
        <v>4.5999999999992269E-2</v>
      </c>
      <c r="U10" s="4">
        <f>IF(('Hampshire Daily'!Y13-'Hampshire Daily'!Y12&lt;0), "0",'Hampshire Daily'!Y13-'Hampshire Daily'!Y12)</f>
        <v>1.7000000000052751E-2</v>
      </c>
      <c r="V10" s="4">
        <f>IF(('Hampshire Daily'!Z13-'Hampshire Daily'!Z12&lt;0), "0",'Hampshire Daily'!Z13-'Hampshire Daily'!Z12)</f>
        <v>0</v>
      </c>
      <c r="W10" s="4" t="e">
        <f>IF(('Hampshire Daily'!#REF!-'Hampshire Daily'!#REF!&lt;0), "0",'Hampshire Daily'!#REF!-'Hampshire Daily'!#REF!)</f>
        <v>#REF!</v>
      </c>
      <c r="X10" s="4">
        <f>'Hampshire Daily'!B13</f>
        <v>70</v>
      </c>
      <c r="Y10" s="4">
        <f>'Hampshire Daily'!C13</f>
        <v>104</v>
      </c>
    </row>
    <row r="11" spans="1:31" ht="14.45" x14ac:dyDescent="0.3">
      <c r="A11" s="3" t="s">
        <v>42</v>
      </c>
      <c r="B11" s="1">
        <f t="shared" si="0"/>
        <v>10</v>
      </c>
      <c r="C11" s="18">
        <v>9</v>
      </c>
      <c r="D11" s="1">
        <v>2019</v>
      </c>
      <c r="E11" s="4">
        <f>IF(('Hampshire Daily'!D14-'Hampshire Daily'!D13&lt;0), "0",('Hampshire Daily'!D14-'Hampshire Daily'!D13)*10)</f>
        <v>4010</v>
      </c>
      <c r="F11" s="4">
        <f>IF(('Hampshire Daily'!F14-'Hampshire Daily'!F13&lt;0), "0",('Hampshire Daily'!F14-'Hampshire Daily'!F13)*10)</f>
        <v>6440</v>
      </c>
      <c r="G11" s="4">
        <f>IF(('Hampshire Daily'!H14-'Hampshire Daily'!H13&lt;0), "0",'Hampshire Daily'!H14-'Hampshire Daily'!H13)</f>
        <v>679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1124</v>
      </c>
      <c r="L11" s="4">
        <f>IF(('Hampshire Daily'!M14-'Hampshire Daily'!M13&lt;0), "0",'Hampshire Daily'!M14-'Hampshire Daily'!M13)</f>
        <v>809</v>
      </c>
      <c r="M11" s="4">
        <f>IF(('Hampshire Daily'!N14-'Hampshire Daily'!N13&lt;0), "0",'Hampshire Daily'!N14-'Hampshire Daily'!N13)</f>
        <v>1415</v>
      </c>
      <c r="N11" s="4">
        <f>IF(('Hampshire Daily'!O14-'Hampshire Daily'!O13&lt;0), "0",'Hampshire Daily'!O14-'Hampshire Daily'!O13)</f>
        <v>190</v>
      </c>
      <c r="O11" s="4">
        <f>IF(('Hampshire Daily'!P14-'Hampshire Daily'!P13&lt;0), "0",'Hampshire Daily'!P14-'Hampshire Daily'!P13)</f>
        <v>720</v>
      </c>
      <c r="P11" s="4">
        <f>IF(('Hampshire Daily'!Q14-'Hampshire Daily'!Q13&lt;0), "0",'Hampshire Daily'!Q14-'Hampshire Daily'!Q13)</f>
        <v>0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10</v>
      </c>
      <c r="S11" s="4">
        <f>IF(('Hampshire Daily'!V14-'Hampshire Daily'!V13&lt;0), "0",'Hampshire Daily'!V14-'Hampshire Daily'!V13)</f>
        <v>0</v>
      </c>
      <c r="T11" s="4">
        <f>IF(('Hampshire Daily'!X14-'Hampshire Daily'!X13&lt;0), "0",'Hampshire Daily'!X14-'Hampshire Daily'!X13)</f>
        <v>7.1000000000026375E-2</v>
      </c>
      <c r="U11" s="4">
        <f>IF(('Hampshire Daily'!Y14-'Hampshire Daily'!Y13&lt;0), "0",'Hampshire Daily'!Y14-'Hampshire Daily'!Y13)</f>
        <v>6.100000000003547E-2</v>
      </c>
      <c r="V11" s="4">
        <f>IF(('Hampshire Daily'!Z14-'Hampshire Daily'!Z13&lt;0), "0",'Hampshire Daily'!Z14-'Hampshire Daily'!Z13)</f>
        <v>0</v>
      </c>
      <c r="W11" s="4" t="e">
        <f>IF(('Hampshire Daily'!#REF!-'Hampshire Daily'!#REF!&lt;0), "0",'Hampshire Daily'!#REF!-'Hampshire Daily'!#REF!)</f>
        <v>#REF!</v>
      </c>
      <c r="X11" s="4">
        <f>'Hampshire Daily'!B14</f>
        <v>60</v>
      </c>
      <c r="Y11" s="4">
        <f>'Hampshire Daily'!C14</f>
        <v>96</v>
      </c>
    </row>
    <row r="12" spans="1:31" ht="14.45" x14ac:dyDescent="0.3">
      <c r="A12" s="3" t="s">
        <v>42</v>
      </c>
      <c r="B12" s="1">
        <f t="shared" si="0"/>
        <v>11</v>
      </c>
      <c r="C12" s="18">
        <v>9</v>
      </c>
      <c r="D12" s="1">
        <v>2019</v>
      </c>
      <c r="E12" s="4">
        <f>IF(('Hampshire Daily'!D15-'Hampshire Daily'!D14&lt;0), "0",('Hampshire Daily'!D15-'Hampshire Daily'!D14)*10)</f>
        <v>4190</v>
      </c>
      <c r="F12" s="4">
        <f>IF(('Hampshire Daily'!F15-'Hampshire Daily'!F14&lt;0), "0",('Hampshire Daily'!F15-'Hampshire Daily'!F14)*10)</f>
        <v>6360</v>
      </c>
      <c r="G12" s="4">
        <f>IF(('Hampshire Daily'!H15-'Hampshire Daily'!H14&lt;0), "0",'Hampshire Daily'!H15-'Hampshire Daily'!H14)</f>
        <v>631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1124</v>
      </c>
      <c r="L12" s="4">
        <f>IF(('Hampshire Daily'!M15-'Hampshire Daily'!M14&lt;0), "0",'Hampshire Daily'!M15-'Hampshire Daily'!M14)</f>
        <v>769</v>
      </c>
      <c r="M12" s="4">
        <f>IF(('Hampshire Daily'!N15-'Hampshire Daily'!N14&lt;0), "0",'Hampshire Daily'!N15-'Hampshire Daily'!N14)</f>
        <v>1198</v>
      </c>
      <c r="N12" s="4">
        <f>IF(('Hampshire Daily'!O15-'Hampshire Daily'!O14&lt;0), "0",'Hampshire Daily'!O15-'Hampshire Daily'!O14)</f>
        <v>193</v>
      </c>
      <c r="O12" s="4">
        <f>IF(('Hampshire Daily'!P15-'Hampshire Daily'!P14&lt;0), "0",'Hampshire Daily'!P15-'Hampshire Daily'!P14)</f>
        <v>760</v>
      </c>
      <c r="P12" s="4">
        <f>IF(('Hampshire Daily'!Q15-'Hampshire Daily'!Q14&lt;0), "0",'Hampshire Daily'!Q15-'Hampshire Daily'!Q14)</f>
        <v>0</v>
      </c>
      <c r="Q12" s="4">
        <f>IF(('Hampshire Daily'!R15-'Hampshire Daily'!R14&lt;0), "0",'Hampshire Daily'!R15-'Hampshire Daily'!R14)</f>
        <v>1</v>
      </c>
      <c r="R12" s="4">
        <f>IF(('Hampshire Daily'!U15-'Hampshire Daily'!U14&lt;0), "0",'Hampshire Daily'!U15-'Hampshire Daily'!U14)</f>
        <v>9</v>
      </c>
      <c r="S12" s="4">
        <f>IF(('Hampshire Daily'!V15-'Hampshire Daily'!V14&lt;0), "0",'Hampshire Daily'!V15-'Hampshire Daily'!V14)</f>
        <v>1</v>
      </c>
      <c r="T12" s="4">
        <f>IF(('Hampshire Daily'!X15-'Hampshire Daily'!X14&lt;0), "0",'Hampshire Daily'!X15-'Hampshire Daily'!X14)</f>
        <v>4.5999999999992269E-2</v>
      </c>
      <c r="U12" s="4">
        <f>IF(('Hampshire Daily'!Y15-'Hampshire Daily'!Y14&lt;0), "0",'Hampshire Daily'!Y15-'Hampshire Daily'!Y14)</f>
        <v>9.6999999999979991E-2</v>
      </c>
      <c r="V12" s="4">
        <f>IF(('Hampshire Daily'!Z15-'Hampshire Daily'!Z14&lt;0), "0",'Hampshire Daily'!Z15-'Hampshire Daily'!Z14)</f>
        <v>0</v>
      </c>
      <c r="W12" s="4" t="e">
        <f>IF(('Hampshire Daily'!#REF!-'Hampshire Daily'!#REF!&lt;0), "0",'Hampshire Daily'!#REF!-'Hampshire Daily'!#REF!)</f>
        <v>#REF!</v>
      </c>
      <c r="X12" s="4">
        <f>'Hampshire Daily'!B15</f>
        <v>126</v>
      </c>
      <c r="Y12" s="4">
        <f>'Hampshire Daily'!C15</f>
        <v>143</v>
      </c>
    </row>
    <row r="13" spans="1:31" ht="14.45" x14ac:dyDescent="0.3">
      <c r="A13" s="3" t="s">
        <v>42</v>
      </c>
      <c r="B13" s="1">
        <f t="shared" si="0"/>
        <v>12</v>
      </c>
      <c r="C13" s="18">
        <v>9</v>
      </c>
      <c r="D13" s="1">
        <v>2019</v>
      </c>
      <c r="E13" s="4">
        <f>IF(('Hampshire Daily'!D16-'Hampshire Daily'!D15&lt;0), "0",('Hampshire Daily'!D16-'Hampshire Daily'!D15)*10)</f>
        <v>4650</v>
      </c>
      <c r="F13" s="4">
        <f>IF(('Hampshire Daily'!F16-'Hampshire Daily'!F15&lt;0), "0",('Hampshire Daily'!F16-'Hampshire Daily'!F15)*10)</f>
        <v>6720</v>
      </c>
      <c r="G13" s="4">
        <f>IF(('Hampshire Daily'!H16-'Hampshire Daily'!H15&lt;0), "0",'Hampshire Daily'!H16-'Hampshire Daily'!H15)</f>
        <v>668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1124</v>
      </c>
      <c r="L13" s="4">
        <f>IF(('Hampshire Daily'!M16-'Hampshire Daily'!M15&lt;0), "0",'Hampshire Daily'!M16-'Hampshire Daily'!M15)</f>
        <v>796</v>
      </c>
      <c r="M13" s="4">
        <f>IF(('Hampshire Daily'!N16-'Hampshire Daily'!N15&lt;0), "0",'Hampshire Daily'!N16-'Hampshire Daily'!N15)</f>
        <v>1151</v>
      </c>
      <c r="N13" s="4">
        <f>IF(('Hampshire Daily'!O16-'Hampshire Daily'!O15&lt;0), "0",'Hampshire Daily'!O16-'Hampshire Daily'!O15)</f>
        <v>190</v>
      </c>
      <c r="O13" s="4">
        <f>IF(('Hampshire Daily'!P16-'Hampshire Daily'!P15&lt;0), "0",'Hampshire Daily'!P16-'Hampshire Daily'!P15)</f>
        <v>820</v>
      </c>
      <c r="P13" s="4">
        <f>IF(('Hampshire Daily'!Q16-'Hampshire Daily'!Q15&lt;0), "0",'Hampshire Daily'!Q16-'Hampshire Daily'!Q15)</f>
        <v>0</v>
      </c>
      <c r="Q13" s="4">
        <f>IF(('Hampshire Daily'!R16-'Hampshire Daily'!R15&lt;0), "0",'Hampshire Daily'!R16-'Hampshire Daily'!R15)</f>
        <v>1</v>
      </c>
      <c r="R13" s="4">
        <f>IF(('Hampshire Daily'!U16-'Hampshire Daily'!U15&lt;0), "0",'Hampshire Daily'!U16-'Hampshire Daily'!U15)</f>
        <v>10</v>
      </c>
      <c r="S13" s="4">
        <f>IF(('Hampshire Daily'!V16-'Hampshire Daily'!V15&lt;0), "0",'Hampshire Daily'!V16-'Hampshire Daily'!V15)</f>
        <v>0</v>
      </c>
      <c r="T13" s="4">
        <f>IF(('Hampshire Daily'!X16-'Hampshire Daily'!X15&lt;0), "0",'Hampshire Daily'!X16-'Hampshire Daily'!X15)</f>
        <v>4.399999999998272E-2</v>
      </c>
      <c r="U13" s="4">
        <f>IF(('Hampshire Daily'!Y16-'Hampshire Daily'!Y15&lt;0), "0",'Hampshire Daily'!Y16-'Hampshire Daily'!Y15)</f>
        <v>2.6999999999929969E-2</v>
      </c>
      <c r="V13" s="4">
        <f>IF(('Hampshire Daily'!Z16-'Hampshire Daily'!Z15&lt;0), "0",'Hampshire Daily'!Z16-'Hampshire Daily'!Z15)</f>
        <v>0</v>
      </c>
      <c r="W13" s="4" t="e">
        <f>IF(('Hampshire Daily'!#REF!-'Hampshire Daily'!#REF!&lt;0), "0",'Hampshire Daily'!#REF!-'Hampshire Daily'!#REF!)</f>
        <v>#REF!</v>
      </c>
      <c r="X13" s="4">
        <f>'Hampshire Daily'!B16</f>
        <v>127</v>
      </c>
      <c r="Y13" s="4">
        <f>'Hampshire Daily'!C16</f>
        <v>148</v>
      </c>
    </row>
    <row r="14" spans="1:31" ht="14.45" x14ac:dyDescent="0.3">
      <c r="A14" s="3" t="s">
        <v>42</v>
      </c>
      <c r="B14" s="1">
        <f t="shared" si="0"/>
        <v>13</v>
      </c>
      <c r="C14" s="18">
        <v>9</v>
      </c>
      <c r="D14" s="1">
        <v>2019</v>
      </c>
      <c r="E14" s="4">
        <f>IF(('Hampshire Daily'!D17-'Hampshire Daily'!D16&lt;0), "0",('Hampshire Daily'!D17-'Hampshire Daily'!D16)*10)</f>
        <v>4720</v>
      </c>
      <c r="F14" s="4">
        <f>IF(('Hampshire Daily'!F17-'Hampshire Daily'!F16&lt;0), "0",('Hampshire Daily'!F17-'Hampshire Daily'!F16)*10)</f>
        <v>6470</v>
      </c>
      <c r="G14" s="4">
        <f>IF(('Hampshire Daily'!H17-'Hampshire Daily'!H16&lt;0), "0",'Hampshire Daily'!H17-'Hampshire Daily'!H16)</f>
        <v>610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1124</v>
      </c>
      <c r="L14" s="4">
        <f>IF(('Hampshire Daily'!M17-'Hampshire Daily'!M16&lt;0), "0",'Hampshire Daily'!M17-'Hampshire Daily'!M16)</f>
        <v>757</v>
      </c>
      <c r="M14" s="4">
        <f>IF(('Hampshire Daily'!N17-'Hampshire Daily'!N16&lt;0), "0",'Hampshire Daily'!N17-'Hampshire Daily'!N16)</f>
        <v>1101</v>
      </c>
      <c r="N14" s="4">
        <f>IF(('Hampshire Daily'!O17-'Hampshire Daily'!O16&lt;0), "0",'Hampshire Daily'!O17-'Hampshire Daily'!O16)</f>
        <v>190</v>
      </c>
      <c r="O14" s="4">
        <f>IF(('Hampshire Daily'!P17-'Hampshire Daily'!P16&lt;0), "0",'Hampshire Daily'!P17-'Hampshire Daily'!P16)</f>
        <v>840</v>
      </c>
      <c r="P14" s="4">
        <f>IF(('Hampshire Daily'!Q17-'Hampshire Daily'!Q16&lt;0), "0",'Hampshire Daily'!Q17-'Hampshire Daily'!Q16)</f>
        <v>0</v>
      </c>
      <c r="Q14" s="4">
        <f>IF(('Hampshire Daily'!R17-'Hampshire Daily'!R16&lt;0), "0",'Hampshire Daily'!R17-'Hampshire Daily'!R16)</f>
        <v>2</v>
      </c>
      <c r="R14" s="4">
        <f>IF(('Hampshire Daily'!U17-'Hampshire Daily'!U16&lt;0), "0",'Hampshire Daily'!U17-'Hampshire Daily'!U16)</f>
        <v>8</v>
      </c>
      <c r="S14" s="4">
        <f>IF(('Hampshire Daily'!V17-'Hampshire Daily'!V16&lt;0), "0",'Hampshire Daily'!V17-'Hampshire Daily'!V16)</f>
        <v>0</v>
      </c>
      <c r="T14" s="4">
        <f>IF(('Hampshire Daily'!X17-'Hampshire Daily'!X16&lt;0), "0",'Hampshire Daily'!X17-'Hampshire Daily'!X16)</f>
        <v>6.5999999999974079E-2</v>
      </c>
      <c r="U14" s="4">
        <f>IF(('Hampshire Daily'!Y17-'Hampshire Daily'!Y16&lt;0), "0",'Hampshire Daily'!Y17-'Hampshire Daily'!Y16)</f>
        <v>2.8999999999996362E-2</v>
      </c>
      <c r="V14" s="4">
        <f>IF(('Hampshire Daily'!Z17-'Hampshire Daily'!Z16&lt;0), "0",'Hampshire Daily'!Z17-'Hampshire Daily'!Z16)</f>
        <v>0</v>
      </c>
      <c r="W14" s="4" t="e">
        <f>IF(('Hampshire Daily'!#REF!-'Hampshire Daily'!#REF!&lt;0), "0",'Hampshire Daily'!#REF!-'Hampshire Daily'!#REF!)</f>
        <v>#REF!</v>
      </c>
      <c r="X14" s="4">
        <f>'Hampshire Daily'!B17</f>
        <v>89</v>
      </c>
      <c r="Y14" s="4">
        <f>'Hampshire Daily'!C17</f>
        <v>162</v>
      </c>
    </row>
    <row r="15" spans="1:31" ht="14.45" x14ac:dyDescent="0.3">
      <c r="A15" s="3" t="s">
        <v>42</v>
      </c>
      <c r="B15" s="1">
        <f t="shared" si="0"/>
        <v>14</v>
      </c>
      <c r="C15" s="18">
        <v>9</v>
      </c>
      <c r="D15" s="1">
        <v>2019</v>
      </c>
      <c r="E15" s="4">
        <f>IF(('Hampshire Daily'!D18-'Hampshire Daily'!D17&lt;0), "0",('Hampshire Daily'!D18-'Hampshire Daily'!D17)*10)</f>
        <v>4550</v>
      </c>
      <c r="F15" s="4">
        <f>IF(('Hampshire Daily'!F18-'Hampshire Daily'!F17&lt;0), "0",('Hampshire Daily'!F18-'Hampshire Daily'!F17)*10)</f>
        <v>6800</v>
      </c>
      <c r="G15" s="4">
        <f>IF(('Hampshire Daily'!H18-'Hampshire Daily'!H17&lt;0), "0",'Hampshire Daily'!H18-'Hampshire Daily'!H17)</f>
        <v>784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1124</v>
      </c>
      <c r="L15" s="4">
        <f>IF(('Hampshire Daily'!M18-'Hampshire Daily'!M17&lt;0), "0",'Hampshire Daily'!M18-'Hampshire Daily'!M17)</f>
        <v>786</v>
      </c>
      <c r="M15" s="4">
        <f>IF(('Hampshire Daily'!N18-'Hampshire Daily'!N17&lt;0), "0",'Hampshire Daily'!N18-'Hampshire Daily'!N17)</f>
        <v>1233</v>
      </c>
      <c r="N15" s="4">
        <f>IF(('Hampshire Daily'!O18-'Hampshire Daily'!O17&lt;0), "0",'Hampshire Daily'!O18-'Hampshire Daily'!O17)</f>
        <v>187</v>
      </c>
      <c r="O15" s="4">
        <f>IF(('Hampshire Daily'!P18-'Hampshire Daily'!P17&lt;0), "0",'Hampshire Daily'!P18-'Hampshire Daily'!P17)</f>
        <v>810</v>
      </c>
      <c r="P15" s="4">
        <f>IF(('Hampshire Daily'!Q18-'Hampshire Daily'!Q17&lt;0), "0",'Hampshire Daily'!Q18-'Hampshire Daily'!Q17)</f>
        <v>17</v>
      </c>
      <c r="Q15" s="4">
        <f>IF(('Hampshire Daily'!R18-'Hampshire Daily'!R17&lt;0), "0",'Hampshire Daily'!R18-'Hampshire Daily'!R17)</f>
        <v>2</v>
      </c>
      <c r="R15" s="4">
        <f>IF(('Hampshire Daily'!U18-'Hampshire Daily'!U17&lt;0), "0",'Hampshire Daily'!U18-'Hampshire Daily'!U17)</f>
        <v>10</v>
      </c>
      <c r="S15" s="4">
        <f>IF(('Hampshire Daily'!V18-'Hampshire Daily'!V17&lt;0), "0",'Hampshire Daily'!V18-'Hampshire Daily'!V17)</f>
        <v>2</v>
      </c>
      <c r="T15" s="4">
        <f>IF(('Hampshire Daily'!X18-'Hampshire Daily'!X17&lt;0), "0",'Hampshire Daily'!X18-'Hampshire Daily'!X17)</f>
        <v>6.7000000000007276E-2</v>
      </c>
      <c r="U15" s="4">
        <f>IF(('Hampshire Daily'!Y18-'Hampshire Daily'!Y17&lt;0), "0",'Hampshire Daily'!Y18-'Hampshire Daily'!Y17)</f>
        <v>2.8999999999996362E-2</v>
      </c>
      <c r="V15" s="4">
        <f>IF(('Hampshire Daily'!Z18-'Hampshire Daily'!Z17&lt;0), "0",'Hampshire Daily'!Z18-'Hampshire Daily'!Z17)</f>
        <v>1.0000000002037268E-3</v>
      </c>
      <c r="W15" s="4" t="e">
        <f>IF(('Hampshire Daily'!#REF!-'Hampshire Daily'!#REF!&lt;0), "0",'Hampshire Daily'!#REF!-'Hampshire Daily'!#REF!)</f>
        <v>#REF!</v>
      </c>
      <c r="X15" s="4">
        <f>'Hampshire Daily'!B18</f>
        <v>114</v>
      </c>
      <c r="Y15" s="4">
        <f>'Hampshire Daily'!C18</f>
        <v>223</v>
      </c>
    </row>
    <row r="16" spans="1:31" ht="14.45" x14ac:dyDescent="0.3">
      <c r="A16" s="3" t="s">
        <v>42</v>
      </c>
      <c r="B16" s="1">
        <f t="shared" si="0"/>
        <v>15</v>
      </c>
      <c r="C16" s="18">
        <v>9</v>
      </c>
      <c r="D16" s="1">
        <v>2019</v>
      </c>
      <c r="E16" s="4">
        <f>IF(('Hampshire Daily'!D19-'Hampshire Daily'!D18&lt;0), "0",('Hampshire Daily'!D19-'Hampshire Daily'!D18)*10)</f>
        <v>4540</v>
      </c>
      <c r="F16" s="4">
        <f>IF(('Hampshire Daily'!F19-'Hampshire Daily'!F18&lt;0), "0",('Hampshire Daily'!F19-'Hampshire Daily'!F18)*10)</f>
        <v>6770</v>
      </c>
      <c r="G16" s="4">
        <f>IF(('Hampshire Daily'!H19-'Hampshire Daily'!H18&lt;0), "0",'Hampshire Daily'!H19-'Hampshire Daily'!H18)</f>
        <v>635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1124</v>
      </c>
      <c r="L16" s="4">
        <f>IF(('Hampshire Daily'!M19-'Hampshire Daily'!M18&lt;0), "0",'Hampshire Daily'!M19-'Hampshire Daily'!M18)</f>
        <v>734</v>
      </c>
      <c r="M16" s="4">
        <f>IF(('Hampshire Daily'!N19-'Hampshire Daily'!N18&lt;0), "0",'Hampshire Daily'!N19-'Hampshire Daily'!N18)</f>
        <v>1185</v>
      </c>
      <c r="N16" s="4">
        <f>IF(('Hampshire Daily'!O19-'Hampshire Daily'!O18&lt;0), "0",'Hampshire Daily'!O19-'Hampshire Daily'!O18)</f>
        <v>190</v>
      </c>
      <c r="O16" s="4">
        <f>IF(('Hampshire Daily'!P19-'Hampshire Daily'!P18&lt;0), "0",'Hampshire Daily'!P19-'Hampshire Daily'!P18)</f>
        <v>820</v>
      </c>
      <c r="P16" s="4">
        <f>IF(('Hampshire Daily'!Q19-'Hampshire Daily'!Q18&lt;0), "0",'Hampshire Daily'!Q19-'Hampshire Daily'!Q18)</f>
        <v>24</v>
      </c>
      <c r="Q16" s="4">
        <f>IF(('Hampshire Daily'!R19-'Hampshire Daily'!R18&lt;0), "0",'Hampshire Daily'!R19-'Hampshire Daily'!R18)</f>
        <v>1</v>
      </c>
      <c r="R16" s="4">
        <f>IF(('Hampshire Daily'!U19-'Hampshire Daily'!U18&lt;0), "0",'Hampshire Daily'!U19-'Hampshire Daily'!U18)</f>
        <v>10</v>
      </c>
      <c r="S16" s="4">
        <f>IF(('Hampshire Daily'!V19-'Hampshire Daily'!V18&lt;0), "0",'Hampshire Daily'!V19-'Hampshire Daily'!V18)</f>
        <v>0</v>
      </c>
      <c r="T16" s="4">
        <f>IF(('Hampshire Daily'!X19-'Hampshire Daily'!X18&lt;0), "0",'Hampshire Daily'!X19-'Hampshire Daily'!X18)</f>
        <v>7.1000000000026375E-2</v>
      </c>
      <c r="U16" s="4">
        <f>IF(('Hampshire Daily'!Y19-'Hampshire Daily'!Y18&lt;0), "0",'Hampshire Daily'!Y19-'Hampshire Daily'!Y18)</f>
        <v>2.0000000000095497E-2</v>
      </c>
      <c r="V16" s="4">
        <f>IF(('Hampshire Daily'!Z19-'Hampshire Daily'!Z18&lt;0), "0",'Hampshire Daily'!Z19-'Hampshire Daily'!Z18)</f>
        <v>0</v>
      </c>
      <c r="W16" s="4" t="e">
        <f>IF(('Hampshire Daily'!#REF!-'Hampshire Daily'!#REF!&lt;0), "0",'Hampshire Daily'!#REF!-'Hampshire Daily'!#REF!)</f>
        <v>#REF!</v>
      </c>
      <c r="X16" s="4">
        <f>'Hampshire Daily'!B19</f>
        <v>71</v>
      </c>
      <c r="Y16" s="4">
        <f>'Hampshire Daily'!C19</f>
        <v>137</v>
      </c>
    </row>
    <row r="17" spans="1:25" ht="14.45" x14ac:dyDescent="0.3">
      <c r="A17" s="3" t="s">
        <v>42</v>
      </c>
      <c r="B17" s="1">
        <f t="shared" si="0"/>
        <v>16</v>
      </c>
      <c r="C17" s="18">
        <v>9</v>
      </c>
      <c r="D17" s="1">
        <v>2019</v>
      </c>
      <c r="E17" s="4">
        <f>IF(('Hampshire Daily'!D20-'Hampshire Daily'!D19&lt;0), "0",('Hampshire Daily'!D20-'Hampshire Daily'!D19)*10)</f>
        <v>5010</v>
      </c>
      <c r="F17" s="4">
        <f>IF(('Hampshire Daily'!F20-'Hampshire Daily'!F19&lt;0), "0",('Hampshire Daily'!F20-'Hampshire Daily'!F19)*10)</f>
        <v>6830</v>
      </c>
      <c r="G17" s="4">
        <f>IF(('Hampshire Daily'!H20-'Hampshire Daily'!H19&lt;0), "0",'Hampshire Daily'!H20-'Hampshire Daily'!H19)</f>
        <v>640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289</v>
      </c>
      <c r="L17" s="4">
        <f>IF(('Hampshire Daily'!M20-'Hampshire Daily'!M19&lt;0), "0",'Hampshire Daily'!M20-'Hampshire Daily'!M19)</f>
        <v>757</v>
      </c>
      <c r="M17" s="4">
        <f>IF(('Hampshire Daily'!N20-'Hampshire Daily'!N19&lt;0), "0",'Hampshire Daily'!N20-'Hampshire Daily'!N19)</f>
        <v>1088</v>
      </c>
      <c r="N17" s="4">
        <f>IF(('Hampshire Daily'!O20-'Hampshire Daily'!O19&lt;0), "0",'Hampshire Daily'!O20-'Hampshire Daily'!O19)</f>
        <v>203</v>
      </c>
      <c r="O17" s="4">
        <f>IF(('Hampshire Daily'!P20-'Hampshire Daily'!P19&lt;0), "0",'Hampshire Daily'!P20-'Hampshire Daily'!P19)</f>
        <v>860</v>
      </c>
      <c r="P17" s="4">
        <f>IF(('Hampshire Daily'!Q20-'Hampshire Daily'!Q19&lt;0), "0",'Hampshire Daily'!Q20-'Hampshire Daily'!Q19)</f>
        <v>212</v>
      </c>
      <c r="Q17" s="4">
        <f>IF(('Hampshire Daily'!R20-'Hampshire Daily'!R19&lt;0), "0",'Hampshire Daily'!R20-'Hampshire Daily'!R19)</f>
        <v>3</v>
      </c>
      <c r="R17" s="4">
        <f>IF(('Hampshire Daily'!U20-'Hampshire Daily'!U19&lt;0), "0",'Hampshire Daily'!U20-'Hampshire Daily'!U19)</f>
        <v>9</v>
      </c>
      <c r="S17" s="4">
        <f>IF(('Hampshire Daily'!V20-'Hampshire Daily'!V19&lt;0), "0",'Hampshire Daily'!V20-'Hampshire Daily'!V19)</f>
        <v>25</v>
      </c>
      <c r="T17" s="4">
        <f>IF(('Hampshire Daily'!X20-'Hampshire Daily'!X19&lt;0), "0",'Hampshire Daily'!X20-'Hampshire Daily'!X19)</f>
        <v>7.4999999999988631E-2</v>
      </c>
      <c r="U17" s="4">
        <f>IF(('Hampshire Daily'!Y20-'Hampshire Daily'!Y19&lt;0), "0",'Hampshire Daily'!Y20-'Hampshire Daily'!Y19)</f>
        <v>1.2999999999919964E-2</v>
      </c>
      <c r="V17" s="4">
        <f>IF(('Hampshire Daily'!Z20-'Hampshire Daily'!Z19&lt;0), "0",'Hampshire Daily'!Z20-'Hampshire Daily'!Z19)</f>
        <v>0</v>
      </c>
      <c r="W17" s="4" t="e">
        <f>IF(('Hampshire Daily'!#REF!-'Hampshire Daily'!#REF!&lt;0), "0",'Hampshire Daily'!#REF!-'Hampshire Daily'!#REF!)</f>
        <v>#REF!</v>
      </c>
      <c r="X17" s="4">
        <f>'Hampshire Daily'!B20</f>
        <v>66</v>
      </c>
      <c r="Y17" s="4">
        <f>'Hampshire Daily'!C20</f>
        <v>108</v>
      </c>
    </row>
    <row r="18" spans="1:25" ht="14.45" x14ac:dyDescent="0.3">
      <c r="A18" s="3" t="s">
        <v>42</v>
      </c>
      <c r="B18" s="1">
        <f t="shared" si="0"/>
        <v>17</v>
      </c>
      <c r="C18" s="18">
        <v>9</v>
      </c>
      <c r="D18" s="1">
        <v>2019</v>
      </c>
      <c r="E18" s="4">
        <f>IF(('Hampshire Daily'!D21-'Hampshire Daily'!D20&lt;0), "0",('Hampshire Daily'!D21-'Hampshire Daily'!D20)*10)</f>
        <v>4700</v>
      </c>
      <c r="F18" s="4">
        <f>IF(('Hampshire Daily'!F21-'Hampshire Daily'!F20&lt;0), "0",('Hampshire Daily'!F21-'Hampshire Daily'!F20)*10)</f>
        <v>6620</v>
      </c>
      <c r="G18" s="4">
        <f>IF(('Hampshire Daily'!H21-'Hampshire Daily'!H20&lt;0), "0",'Hampshire Daily'!H21-'Hampshire Daily'!H20)</f>
        <v>637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942</v>
      </c>
      <c r="L18" s="4">
        <f>IF(('Hampshire Daily'!M21-'Hampshire Daily'!M20&lt;0), "0",'Hampshire Daily'!M21-'Hampshire Daily'!M20)</f>
        <v>795</v>
      </c>
      <c r="M18" s="4">
        <f>IF(('Hampshire Daily'!N21-'Hampshire Daily'!N20&lt;0), "0",'Hampshire Daily'!N21-'Hampshire Daily'!N20)</f>
        <v>1224</v>
      </c>
      <c r="N18" s="4">
        <f>IF(('Hampshire Daily'!O21-'Hampshire Daily'!O20&lt;0), "0",'Hampshire Daily'!O21-'Hampshire Daily'!O20)</f>
        <v>183</v>
      </c>
      <c r="O18" s="4">
        <f>IF(('Hampshire Daily'!P21-'Hampshire Daily'!P20&lt;0), "0",'Hampshire Daily'!P21-'Hampshire Daily'!P20)</f>
        <v>841</v>
      </c>
      <c r="P18" s="4">
        <f>IF(('Hampshire Daily'!Q21-'Hampshire Daily'!Q20&lt;0), "0",'Hampshire Daily'!Q21-'Hampshire Daily'!Q20)</f>
        <v>0</v>
      </c>
      <c r="Q18" s="4">
        <f>IF(('Hampshire Daily'!R21-'Hampshire Daily'!R20&lt;0), "0",'Hampshire Daily'!R21-'Hampshire Daily'!R20)</f>
        <v>2</v>
      </c>
      <c r="R18" s="4">
        <f>IF(('Hampshire Daily'!U21-'Hampshire Daily'!U20&lt;0), "0",'Hampshire Daily'!U21-'Hampshire Daily'!U20)</f>
        <v>8</v>
      </c>
      <c r="S18" s="4" t="str">
        <f>IF(('Hampshire Daily'!V21-'Hampshire Daily'!V20&lt;0), "0",'Hampshire Daily'!V21-'Hampshire Daily'!V20)</f>
        <v>0</v>
      </c>
      <c r="T18" s="4">
        <f>IF(('Hampshire Daily'!Y21-'Hampshire Daily'!X20&lt;0), "0",'Hampshire Daily'!Y21-'Hampshire Daily'!X20)</f>
        <v>454.029</v>
      </c>
      <c r="U18" s="4">
        <f>IF(('Hampshire Daily'!Z21-'Hampshire Daily'!Y20&lt;0), "0",'Hampshire Daily'!Z21-'Hampshire Daily'!Y20)</f>
        <v>3022.91</v>
      </c>
      <c r="V18" s="4" t="e">
        <f>IF(('Hampshire Daily'!#REF!-'Hampshire Daily'!Z20&lt;0), "0",'Hampshire Daily'!#REF!-'Hampshire Daily'!Z20)</f>
        <v>#REF!</v>
      </c>
      <c r="W18" s="4" t="e">
        <f>IF(('Hampshire Daily'!#REF!-'Hampshire Daily'!#REF!&lt;0), "0",'Hampshire Daily'!#REF!-'Hampshire Daily'!#REF!)</f>
        <v>#REF!</v>
      </c>
      <c r="X18" s="4">
        <f>'Hampshire Daily'!B21</f>
        <v>107</v>
      </c>
      <c r="Y18" s="4">
        <f>'Hampshire Daily'!C21</f>
        <v>164</v>
      </c>
    </row>
    <row r="19" spans="1:25" ht="14.45" x14ac:dyDescent="0.3">
      <c r="A19" s="3" t="s">
        <v>42</v>
      </c>
      <c r="B19" s="1">
        <f t="shared" si="0"/>
        <v>18</v>
      </c>
      <c r="C19" s="18">
        <v>9</v>
      </c>
      <c r="D19" s="1">
        <v>2019</v>
      </c>
      <c r="E19" s="4">
        <f>IF(('Hampshire Daily'!D22-'Hampshire Daily'!D21&lt;0), "0",('Hampshire Daily'!D22-'Hampshire Daily'!D21)*10)</f>
        <v>4870</v>
      </c>
      <c r="F19" s="4">
        <f>IF(('Hampshire Daily'!F22-'Hampshire Daily'!F21&lt;0), "0",('Hampshire Daily'!F22-'Hampshire Daily'!F21)*10)</f>
        <v>5730</v>
      </c>
      <c r="G19" s="4">
        <f>IF(('Hampshire Daily'!H22-'Hampshire Daily'!H21&lt;0), "0",'Hampshire Daily'!H22-'Hampshire Daily'!H21)</f>
        <v>701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1035</v>
      </c>
      <c r="L19" s="4">
        <f>IF(('Hampshire Daily'!M22-'Hampshire Daily'!M21&lt;0), "0",'Hampshire Daily'!M22-'Hampshire Daily'!M21)</f>
        <v>779</v>
      </c>
      <c r="M19" s="4">
        <f>IF(('Hampshire Daily'!N22-'Hampshire Daily'!N21&lt;0), "0",'Hampshire Daily'!N22-'Hampshire Daily'!N21)</f>
        <v>1381</v>
      </c>
      <c r="N19" s="4">
        <f>IF(('Hampshire Daily'!O22-'Hampshire Daily'!O21&lt;0), "0",'Hampshire Daily'!O22-'Hampshire Daily'!O21)</f>
        <v>185</v>
      </c>
      <c r="O19" s="4">
        <f>IF(('Hampshire Daily'!P22-'Hampshire Daily'!P21&lt;0), "0",'Hampshire Daily'!P22-'Hampshire Daily'!P21)</f>
        <v>203</v>
      </c>
      <c r="P19" s="4">
        <f>IF(('Hampshire Daily'!Q22-'Hampshire Daily'!Q21&lt;0), "0",'Hampshire Daily'!Q22-'Hampshire Daily'!Q21)</f>
        <v>829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8</v>
      </c>
      <c r="S19" s="4">
        <f>IF(('Hampshire Daily'!V22-'Hampshire Daily'!V21&lt;0), "0",'Hampshire Daily'!V22-'Hampshire Daily'!V21)</f>
        <v>2</v>
      </c>
      <c r="T19" s="4">
        <f>IF(('Hampshire Daily'!Y22-'Hampshire Daily'!Y21&lt;0), "0",'Hampshire Daily'!Y22-'Hampshire Daily'!Y21)</f>
        <v>3.3999999999991815E-2</v>
      </c>
      <c r="U19" s="4">
        <f>IF(('Hampshire Daily'!Z22-'Hampshire Daily'!Z21&lt;0), "0",'Hampshire Daily'!Z22-'Hampshire Daily'!Z21)</f>
        <v>0</v>
      </c>
      <c r="V19" s="4" t="e">
        <f>IF(('Hampshire Daily'!#REF!-'Hampshire Daily'!#REF!&lt;0), "0",'Hampshire Daily'!#REF!-'Hampshire Daily'!#REF!)</f>
        <v>#REF!</v>
      </c>
      <c r="W19" s="4" t="e">
        <f>IF(('Hampshire Daily'!#REF!-'Hampshire Daily'!#REF!&lt;0), "0",'Hampshire Daily'!#REF!-'Hampshire Daily'!#REF!)</f>
        <v>#REF!</v>
      </c>
      <c r="X19" s="4">
        <f>'Hampshire Daily'!B22</f>
        <v>128</v>
      </c>
      <c r="Y19" s="4">
        <f>'Hampshire Daily'!C22</f>
        <v>177</v>
      </c>
    </row>
    <row r="20" spans="1:25" ht="14.45" x14ac:dyDescent="0.3">
      <c r="A20" s="3" t="s">
        <v>42</v>
      </c>
      <c r="B20" s="1">
        <f t="shared" si="0"/>
        <v>19</v>
      </c>
      <c r="C20" s="18">
        <v>9</v>
      </c>
      <c r="D20" s="1">
        <v>2019</v>
      </c>
      <c r="E20" s="4">
        <f>IF(('Hampshire Daily'!D23-'Hampshire Daily'!D22&lt;0), "0",('Hampshire Daily'!D23-'Hampshire Daily'!D22)*10)</f>
        <v>5420</v>
      </c>
      <c r="F20" s="4">
        <f>IF(('Hampshire Daily'!F23-'Hampshire Daily'!F22&lt;0), "0",('Hampshire Daily'!F23-'Hampshire Daily'!F22)*10)</f>
        <v>5860</v>
      </c>
      <c r="G20" s="4">
        <f>IF(('Hampshire Daily'!H23-'Hampshire Daily'!H22&lt;0), "0",'Hampshire Daily'!H23-'Hampshire Daily'!H22)</f>
        <v>769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1035</v>
      </c>
      <c r="L20" s="4">
        <f>IF(('Hampshire Daily'!M23-'Hampshire Daily'!M22&lt;0), "0",'Hampshire Daily'!M23-'Hampshire Daily'!M22)</f>
        <v>799</v>
      </c>
      <c r="M20" s="4">
        <f>IF(('Hampshire Daily'!N23-'Hampshire Daily'!N22&lt;0), "0",'Hampshire Daily'!N23-'Hampshire Daily'!N22)</f>
        <v>1477</v>
      </c>
      <c r="N20" s="4">
        <f>IF(('Hampshire Daily'!O23-'Hampshire Daily'!O22&lt;0), "0",'Hampshire Daily'!O23-'Hampshire Daily'!O22)</f>
        <v>200</v>
      </c>
      <c r="O20" s="4" t="str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1244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11</v>
      </c>
      <c r="S20" s="4">
        <f>IF(('Hampshire Daily'!V23-'Hampshire Daily'!V22&lt;0), "0",'Hampshire Daily'!V23-'Hampshire Daily'!V22)</f>
        <v>1</v>
      </c>
      <c r="T20" s="4">
        <f>IF(('Hampshire Daily'!Y23-'Hampshire Daily'!Y22&lt;0), "0",'Hampshire Daily'!Y23-'Hampshire Daily'!Y22)</f>
        <v>2.4000000000000909E-2</v>
      </c>
      <c r="U20" s="4">
        <f>IF(('Hampshire Daily'!Z23-'Hampshire Daily'!Z22&lt;0), "0",'Hampshire Daily'!Z23-'Hampshire Daily'!Z22)</f>
        <v>0</v>
      </c>
      <c r="V20" s="4" t="e">
        <f>IF(('Hampshire Daily'!#REF!-'Hampshire Daily'!#REF!&lt;0), "0",'Hampshire Daily'!#REF!-'Hampshire Daily'!#REF!)</f>
        <v>#REF!</v>
      </c>
      <c r="W20" s="4" t="e">
        <f>IF(('Hampshire Daily'!#REF!-'Hampshire Daily'!#REF!&lt;0), "0",'Hampshire Daily'!#REF!-'Hampshire Daily'!#REF!)</f>
        <v>#REF!</v>
      </c>
      <c r="X20" s="4">
        <f>'Hampshire Daily'!B23</f>
        <v>75</v>
      </c>
      <c r="Y20" s="4">
        <f>'Hampshire Daily'!C23</f>
        <v>136</v>
      </c>
    </row>
    <row r="21" spans="1:25" ht="14.45" x14ac:dyDescent="0.3">
      <c r="A21" s="3" t="s">
        <v>42</v>
      </c>
      <c r="B21" s="1">
        <f t="shared" si="0"/>
        <v>20</v>
      </c>
      <c r="C21" s="18">
        <v>9</v>
      </c>
      <c r="D21" s="1">
        <v>2019</v>
      </c>
      <c r="E21" s="4">
        <f>IF(('Hampshire Daily'!D24-'Hampshire Daily'!D23&lt;0), "0",('Hampshire Daily'!D24-'Hampshire Daily'!D23)*10)</f>
        <v>5600</v>
      </c>
      <c r="F21" s="4">
        <f>IF(('Hampshire Daily'!F24-'Hampshire Daily'!F23&lt;0), "0",('Hampshire Daily'!F24-'Hampshire Daily'!F23)*10)</f>
        <v>5910</v>
      </c>
      <c r="G21" s="4">
        <f>IF(('Hampshire Daily'!H24-'Hampshire Daily'!H23&lt;0), "0",'Hampshire Daily'!H24-'Hampshire Daily'!H23)</f>
        <v>778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1035</v>
      </c>
      <c r="L21" s="4">
        <f>IF(('Hampshire Daily'!M24-'Hampshire Daily'!M23&lt;0), "0",'Hampshire Daily'!M24-'Hampshire Daily'!M23)</f>
        <v>795</v>
      </c>
      <c r="M21" s="4">
        <f>IF(('Hampshire Daily'!N24-'Hampshire Daily'!N23&lt;0), "0",'Hampshire Daily'!N24-'Hampshire Daily'!N23)</f>
        <v>1409</v>
      </c>
      <c r="N21" s="4">
        <f>IF(('Hampshire Daily'!O24-'Hampshire Daily'!O23&lt;0), "0",'Hampshire Daily'!O24-'Hampshire Daily'!O23)</f>
        <v>187</v>
      </c>
      <c r="O21" s="4">
        <f>IF(('Hampshire Daily'!P24-'Hampshire Daily'!P23&lt;0), "0",'Hampshire Daily'!P24-'Hampshire Daily'!P23)</f>
        <v>2</v>
      </c>
      <c r="P21" s="4">
        <f>IF(('Hampshire Daily'!Q24-'Hampshire Daily'!Q23&lt;0), "0",'Hampshire Daily'!Q24-'Hampshire Daily'!Q23)</f>
        <v>1356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15</v>
      </c>
      <c r="S21" s="4">
        <f>IF(('Hampshire Daily'!V24-'Hampshire Daily'!V23&lt;0), "0",'Hampshire Daily'!V24-'Hampshire Daily'!V23)</f>
        <v>1</v>
      </c>
      <c r="T21" s="4">
        <f>IF(('Hampshire Daily'!Y24-'Hampshire Daily'!Y23&lt;0), "0",'Hampshire Daily'!Y24-'Hampshire Daily'!Y23)</f>
        <v>2.8000000000020009E-2</v>
      </c>
      <c r="U21" s="4">
        <f>IF(('Hampshire Daily'!Z24-'Hampshire Daily'!Z23&lt;0), "0",'Hampshire Daily'!Z24-'Hampshire Daily'!Z23)</f>
        <v>0</v>
      </c>
      <c r="V21" s="4" t="e">
        <f>IF(('Hampshire Daily'!#REF!-'Hampshire Daily'!#REF!&lt;0), "0",'Hampshire Daily'!#REF!-'Hampshire Daily'!#REF!)</f>
        <v>#REF!</v>
      </c>
      <c r="W21" s="4" t="e">
        <f>IF(('Hampshire Daily'!#REF!-'Hampshire Daily'!#REF!&lt;0), "0",'Hampshire Daily'!#REF!-'Hampshire Daily'!#REF!)</f>
        <v>#REF!</v>
      </c>
      <c r="X21" s="4">
        <f>'Hampshire Daily'!B24</f>
        <v>66</v>
      </c>
      <c r="Y21" s="4">
        <f>'Hampshire Daily'!C24</f>
        <v>177</v>
      </c>
    </row>
    <row r="22" spans="1:25" ht="14.45" x14ac:dyDescent="0.3">
      <c r="A22" s="3" t="s">
        <v>42</v>
      </c>
      <c r="B22" s="1">
        <f t="shared" si="0"/>
        <v>21</v>
      </c>
      <c r="C22" s="18">
        <v>9</v>
      </c>
      <c r="D22" s="1">
        <v>2019</v>
      </c>
      <c r="E22" s="4">
        <f>IF(('Hampshire Daily'!D25-'Hampshire Daily'!D24&lt;0), "0",('Hampshire Daily'!D25-'Hampshire Daily'!D24)*10)</f>
        <v>4820</v>
      </c>
      <c r="F22" s="4">
        <f>IF(('Hampshire Daily'!F25-'Hampshire Daily'!F24&lt;0), "0",('Hampshire Daily'!F25-'Hampshire Daily'!F24)*10)</f>
        <v>6680</v>
      </c>
      <c r="G22" s="4">
        <f>IF(('Hampshire Daily'!H25-'Hampshire Daily'!H24&lt;0), "0",'Hampshire Daily'!H25-'Hampshire Daily'!H24)</f>
        <v>778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1035</v>
      </c>
      <c r="L22" s="4">
        <f>IF(('Hampshire Daily'!M25-'Hampshire Daily'!M24&lt;0), "0",'Hampshire Daily'!M25-'Hampshire Daily'!M24)</f>
        <v>795</v>
      </c>
      <c r="M22" s="4">
        <f>IF(('Hampshire Daily'!N25-'Hampshire Daily'!N24&lt;0), "0",'Hampshire Daily'!N25-'Hampshire Daily'!N24)</f>
        <v>1282</v>
      </c>
      <c r="N22" s="4">
        <f>IF(('Hampshire Daily'!O25-'Hampshire Daily'!O24&lt;0), "0",'Hampshire Daily'!O25-'Hampshire Daily'!O24)</f>
        <v>187</v>
      </c>
      <c r="O22" s="4">
        <f>IF(('Hampshire Daily'!P25-'Hampshire Daily'!P24&lt;0), "0",'Hampshire Daily'!P25-'Hampshire Daily'!P24)</f>
        <v>723</v>
      </c>
      <c r="P22" s="4">
        <f>IF(('Hampshire Daily'!Q25-'Hampshire Daily'!Q24&lt;0), "0",'Hampshire Daily'!Q25-'Hampshire Daily'!Q24)</f>
        <v>0</v>
      </c>
      <c r="Q22" s="4">
        <f>IF(('Hampshire Daily'!R25-'Hampshire Daily'!R24&lt;0), "0",'Hampshire Daily'!R25-'Hampshire Daily'!R24)</f>
        <v>1.5</v>
      </c>
      <c r="R22" s="4">
        <f>IF(('Hampshire Daily'!U25-'Hampshire Daily'!U24&lt;0), "0",'Hampshire Daily'!U25-'Hampshire Daily'!U24)</f>
        <v>7.5</v>
      </c>
      <c r="S22" s="4">
        <f>IF(('Hampshire Daily'!V25-'Hampshire Daily'!V24&lt;0), "0",'Hampshire Daily'!V25-'Hampshire Daily'!V24)</f>
        <v>0</v>
      </c>
      <c r="T22" s="4">
        <f>IF(('Hampshire Daily'!Y25-'Hampshire Daily'!Y24&lt;0), "0",'Hampshire Daily'!Y25-'Hampshire Daily'!Y24)</f>
        <v>1.4000000000010004E-2</v>
      </c>
      <c r="U22" s="4">
        <f>IF(('Hampshire Daily'!Z25-'Hampshire Daily'!Z24&lt;0), "0",'Hampshire Daily'!Z25-'Hampshire Daily'!Z24)</f>
        <v>0</v>
      </c>
      <c r="V22" s="4" t="e">
        <f>IF(('Hampshire Daily'!#REF!-'Hampshire Daily'!#REF!&lt;0), "0",'Hampshire Daily'!#REF!-'Hampshire Daily'!#REF!)</f>
        <v>#REF!</v>
      </c>
      <c r="W22" s="4" t="e">
        <f>IF(('Hampshire Daily'!#REF!-'Hampshire Daily'!#REF!&lt;0), "0",'Hampshire Daily'!#REF!-'Hampshire Daily'!#REF!)</f>
        <v>#REF!</v>
      </c>
      <c r="X22" s="4">
        <f>'Hampshire Daily'!B25</f>
        <v>121</v>
      </c>
      <c r="Y22" s="4">
        <f>'Hampshire Daily'!C25</f>
        <v>304</v>
      </c>
    </row>
    <row r="23" spans="1:25" ht="14.45" x14ac:dyDescent="0.3">
      <c r="A23" s="3" t="s">
        <v>42</v>
      </c>
      <c r="B23" s="1">
        <f t="shared" si="0"/>
        <v>22</v>
      </c>
      <c r="C23" s="18">
        <v>9</v>
      </c>
      <c r="D23" s="1">
        <v>2019</v>
      </c>
      <c r="E23" s="4">
        <f>IF(('Hampshire Daily'!D26-'Hampshire Daily'!D25&lt;0), "0",('Hampshire Daily'!D26-'Hampshire Daily'!D25)*10)</f>
        <v>4820</v>
      </c>
      <c r="F23" s="4">
        <f>IF(('Hampshire Daily'!F26-'Hampshire Daily'!F25&lt;0), "0",('Hampshire Daily'!F26-'Hampshire Daily'!F25)*10)</f>
        <v>6680</v>
      </c>
      <c r="G23" s="4">
        <f>IF(('Hampshire Daily'!H26-'Hampshire Daily'!H25&lt;0), "0",'Hampshire Daily'!H26-'Hampshire Daily'!H25)</f>
        <v>778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1035</v>
      </c>
      <c r="L23" s="4">
        <f>IF(('Hampshire Daily'!M26-'Hampshire Daily'!M25&lt;0), "0",'Hampshire Daily'!M26-'Hampshire Daily'!M25)</f>
        <v>795</v>
      </c>
      <c r="M23" s="4">
        <f>IF(('Hampshire Daily'!N26-'Hampshire Daily'!N25&lt;0), "0",'Hampshire Daily'!N26-'Hampshire Daily'!N25)</f>
        <v>1283</v>
      </c>
      <c r="N23" s="4">
        <f>IF(('Hampshire Daily'!O26-'Hampshire Daily'!O25&lt;0), "0",'Hampshire Daily'!O26-'Hampshire Daily'!O25)</f>
        <v>187</v>
      </c>
      <c r="O23" s="4">
        <f>IF(('Hampshire Daily'!P26-'Hampshire Daily'!P25&lt;0), "0",'Hampshire Daily'!P26-'Hampshire Daily'!P25)</f>
        <v>723</v>
      </c>
      <c r="P23" s="4">
        <f>IF(('Hampshire Daily'!Q26-'Hampshire Daily'!Q25&lt;0), "0",'Hampshire Daily'!Q26-'Hampshire Daily'!Q25)</f>
        <v>157</v>
      </c>
      <c r="Q23" s="4">
        <f>IF(('Hampshire Daily'!R26-'Hampshire Daily'!R25&lt;0), "0",'Hampshire Daily'!R26-'Hampshire Daily'!R25)</f>
        <v>1.5</v>
      </c>
      <c r="R23" s="4">
        <f>IF(('Hampshire Daily'!U26-'Hampshire Daily'!U25&lt;0), "0",'Hampshire Daily'!U26-'Hampshire Daily'!U25)</f>
        <v>7.5</v>
      </c>
      <c r="S23" s="4">
        <f>IF(('Hampshire Daily'!V26-'Hampshire Daily'!V25&lt;0), "0",'Hampshire Daily'!V26-'Hampshire Daily'!V25)</f>
        <v>1</v>
      </c>
      <c r="T23" s="4">
        <f>IF(('Hampshire Daily'!Y26-'Hampshire Daily'!Y25&lt;0), "0",'Hampshire Daily'!Y26-'Hampshire Daily'!Y25)</f>
        <v>4.2000000000030013E-2</v>
      </c>
      <c r="U23" s="4">
        <f>IF(('Hampshire Daily'!Z26-'Hampshire Daily'!Z25&lt;0), "0",'Hampshire Daily'!Z26-'Hampshire Daily'!Z25)</f>
        <v>4.500000000007276E-2</v>
      </c>
      <c r="V23" s="4" t="e">
        <f>IF(('Hampshire Daily'!#REF!-'Hampshire Daily'!#REF!&lt;0), "0",'Hampshire Daily'!#REF!-'Hampshire Daily'!#REF!)</f>
        <v>#REF!</v>
      </c>
      <c r="W23" s="4" t="e">
        <f>IF(('Hampshire Daily'!#REF!-'Hampshire Daily'!#REF!&lt;0), "0",'Hampshire Daily'!#REF!-'Hampshire Daily'!#REF!)</f>
        <v>#REF!</v>
      </c>
      <c r="X23" s="4">
        <f>'Hampshire Daily'!B26</f>
        <v>120</v>
      </c>
      <c r="Y23" s="4">
        <f>'Hampshire Daily'!C26</f>
        <v>189</v>
      </c>
    </row>
    <row r="24" spans="1:25" ht="14.45" x14ac:dyDescent="0.3">
      <c r="A24" s="3" t="s">
        <v>42</v>
      </c>
      <c r="B24" s="1">
        <f t="shared" si="0"/>
        <v>23</v>
      </c>
      <c r="C24" s="18">
        <v>9</v>
      </c>
      <c r="D24" s="1">
        <v>2019</v>
      </c>
      <c r="E24" s="4">
        <f>IF(('Hampshire Daily'!D27-'Hampshire Daily'!D26&lt;0), "0",('Hampshire Daily'!D27-'Hampshire Daily'!D26)*10)</f>
        <v>5510</v>
      </c>
      <c r="F24" s="4">
        <f>IF(('Hampshire Daily'!F27-'Hampshire Daily'!F26&lt;0), "0",('Hampshire Daily'!F27-'Hampshire Daily'!F26)*10)</f>
        <v>7600</v>
      </c>
      <c r="G24" s="4">
        <f>IF(('Hampshire Daily'!H27-'Hampshire Daily'!H26&lt;0), "0",'Hampshire Daily'!H27-'Hampshire Daily'!H26)</f>
        <v>780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1035</v>
      </c>
      <c r="L24" s="4">
        <f>IF(('Hampshire Daily'!M27-'Hampshire Daily'!M26&lt;0), "0",'Hampshire Daily'!M27-'Hampshire Daily'!M26)</f>
        <v>795</v>
      </c>
      <c r="M24" s="4">
        <f>IF(('Hampshire Daily'!N27-'Hampshire Daily'!N26&lt;0), "0",'Hampshire Daily'!N27-'Hampshire Daily'!N26)</f>
        <v>1454</v>
      </c>
      <c r="N24" s="4">
        <f>IF(('Hampshire Daily'!O27-'Hampshire Daily'!O26&lt;0), "0",'Hampshire Daily'!O27-'Hampshire Daily'!O26)</f>
        <v>189.70000000001164</v>
      </c>
      <c r="O24" s="4">
        <f>IF(('Hampshire Daily'!P27-'Hampshire Daily'!P26&lt;0), "0",'Hampshire Daily'!P27-'Hampshire Daily'!P26)</f>
        <v>826</v>
      </c>
      <c r="P24" s="4">
        <f>IF(('Hampshire Daily'!Q27-'Hampshire Daily'!Q26&lt;0), "0",'Hampshire Daily'!Q27-'Hampshire Daily'!Q26)</f>
        <v>158</v>
      </c>
      <c r="Q24" s="4">
        <f>IF(('Hampshire Daily'!R27-'Hampshire Daily'!R26&lt;0), "0",'Hampshire Daily'!R27-'Hampshire Daily'!R26)</f>
        <v>3</v>
      </c>
      <c r="R24" s="4">
        <f>IF(('Hampshire Daily'!U27-'Hampshire Daily'!U26&lt;0), "0",'Hampshire Daily'!U27-'Hampshire Daily'!U26)</f>
        <v>8</v>
      </c>
      <c r="S24" s="4">
        <f>IF(('Hampshire Daily'!V27-'Hampshire Daily'!V26&lt;0), "0",'Hampshire Daily'!V27-'Hampshire Daily'!V26)</f>
        <v>0</v>
      </c>
      <c r="T24" s="4">
        <f>IF(('Hampshire Daily'!Y27-'Hampshire Daily'!Y26&lt;0), "0",'Hampshire Daily'!Y27-'Hampshire Daily'!Y26)</f>
        <v>1.0999999999967258E-2</v>
      </c>
      <c r="U24" s="4">
        <f>IF(('Hampshire Daily'!Z27-'Hampshire Daily'!Z26&lt;0), "0",'Hampshire Daily'!Z27-'Hampshire Daily'!Z26)</f>
        <v>0</v>
      </c>
      <c r="V24" s="4" t="e">
        <f>IF(('Hampshire Daily'!#REF!-'Hampshire Daily'!#REF!&lt;0), "0",'Hampshire Daily'!#REF!-'Hampshire Daily'!#REF!)</f>
        <v>#REF!</v>
      </c>
      <c r="W24" s="4" t="e">
        <f>IF(('Hampshire Daily'!#REF!-'Hampshire Daily'!#REF!&lt;0), "0",'Hampshire Daily'!#REF!-'Hampshire Daily'!#REF!)</f>
        <v>#REF!</v>
      </c>
      <c r="X24" s="4">
        <f>'Hampshire Daily'!B27</f>
        <v>106</v>
      </c>
      <c r="Y24" s="4">
        <f>'Hampshire Daily'!C27</f>
        <v>119</v>
      </c>
    </row>
    <row r="25" spans="1:25" ht="14.45" x14ac:dyDescent="0.3">
      <c r="A25" s="3" t="s">
        <v>42</v>
      </c>
      <c r="B25" s="1">
        <f t="shared" si="0"/>
        <v>24</v>
      </c>
      <c r="C25" s="18">
        <v>9</v>
      </c>
      <c r="D25" s="1">
        <v>2019</v>
      </c>
      <c r="E25" s="4">
        <f>IF(('Hampshire Daily'!D28-'Hampshire Daily'!D27&lt;0), "0",('Hampshire Daily'!D28-'Hampshire Daily'!D27)*10)</f>
        <v>5310</v>
      </c>
      <c r="F25" s="4" t="str">
        <f>IF(('Hampshire Daily'!F28-'Hampshire Daily'!F27&lt;0), "0",('Hampshire Daily'!F28-'Hampshire Daily'!F27)*10)</f>
        <v>0</v>
      </c>
      <c r="G25" s="4">
        <f>IF(('Hampshire Daily'!H28-'Hampshire Daily'!H27&lt;0), "0",'Hampshire Daily'!H28-'Hampshire Daily'!H27)</f>
        <v>769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1035</v>
      </c>
      <c r="L25" s="4">
        <f>IF(('Hampshire Daily'!M28-'Hampshire Daily'!M27&lt;0), "0",'Hampshire Daily'!M28-'Hampshire Daily'!M27)</f>
        <v>777</v>
      </c>
      <c r="M25" s="4">
        <f>IF(('Hampshire Daily'!N28-'Hampshire Daily'!N27&lt;0), "0",'Hampshire Daily'!N28-'Hampshire Daily'!N27)</f>
        <v>1393</v>
      </c>
      <c r="N25" s="4">
        <f>IF(('Hampshire Daily'!O28-'Hampshire Daily'!O27&lt;0), "0",'Hampshire Daily'!O28-'Hampshire Daily'!O27)</f>
        <v>203.29999999998836</v>
      </c>
      <c r="O25" s="4">
        <f>IF(('Hampshire Daily'!P28-'Hampshire Daily'!P27&lt;0), "0",'Hampshire Daily'!P28-'Hampshire Daily'!P27)</f>
        <v>787</v>
      </c>
      <c r="P25" s="4">
        <f>IF(('Hampshire Daily'!Q28-'Hampshire Daily'!Q27&lt;0), "0",'Hampshire Daily'!Q28-'Hampshire Daily'!Q27)</f>
        <v>53</v>
      </c>
      <c r="Q25" s="4">
        <f>IF(('Hampshire Daily'!R28-'Hampshire Daily'!R27&lt;0), "0",'Hampshire Daily'!R28-'Hampshire Daily'!R27)</f>
        <v>2</v>
      </c>
      <c r="R25" s="4">
        <f>IF(('Hampshire Daily'!U28-'Hampshire Daily'!U27&lt;0), "0",'Hampshire Daily'!U28-'Hampshire Daily'!U27)</f>
        <v>8</v>
      </c>
      <c r="S25" s="4">
        <f>IF(('Hampshire Daily'!V28-'Hampshire Daily'!V27&lt;0), "0",'Hampshire Daily'!V28-'Hampshire Daily'!V27)</f>
        <v>0</v>
      </c>
      <c r="T25" s="4">
        <f>IF(('Hampshire Daily'!Y28-'Hampshire Daily'!Y27&lt;0), "0",'Hampshire Daily'!Y28-'Hampshire Daily'!Y27)</f>
        <v>2.4000000000000909E-2</v>
      </c>
      <c r="U25" s="4">
        <f>IF(('Hampshire Daily'!Z28-'Hampshire Daily'!Z27&lt;0), "0",'Hampshire Daily'!Z28-'Hampshire Daily'!Z27)</f>
        <v>0.11699999999973443</v>
      </c>
      <c r="V25" s="4" t="e">
        <f>IF(('Hampshire Daily'!#REF!-'Hampshire Daily'!#REF!&lt;0), "0",'Hampshire Daily'!#REF!-'Hampshire Daily'!#REF!)</f>
        <v>#REF!</v>
      </c>
      <c r="W25" s="4" t="e">
        <f>IF(('Hampshire Daily'!#REF!-'Hampshire Daily'!#REF!&lt;0), "0",'Hampshire Daily'!#REF!-'Hampshire Daily'!#REF!)</f>
        <v>#REF!</v>
      </c>
      <c r="X25" s="4">
        <f>'Hampshire Daily'!B28</f>
        <v>81</v>
      </c>
      <c r="Y25" s="4">
        <f>'Hampshire Daily'!C28</f>
        <v>100</v>
      </c>
    </row>
    <row r="26" spans="1:25" ht="14.45" x14ac:dyDescent="0.3">
      <c r="A26" s="3" t="s">
        <v>42</v>
      </c>
      <c r="B26" s="1">
        <f>B25+1</f>
        <v>25</v>
      </c>
      <c r="C26" s="18">
        <v>9</v>
      </c>
      <c r="D26" s="1">
        <v>2019</v>
      </c>
      <c r="E26" s="4">
        <f>IF(('Hampshire Daily'!D29-'Hampshire Daily'!D28&lt;0), "0",('Hampshire Daily'!D29-'Hampshire Daily'!D28)*10)</f>
        <v>3800</v>
      </c>
      <c r="F26" s="4">
        <f>IF(('Hampshire Daily'!F29-'Hampshire Daily'!F28&lt;0), "0",('Hampshire Daily'!F29-'Hampshire Daily'!F28)*10)</f>
        <v>5450</v>
      </c>
      <c r="G26" s="4">
        <f>IF(('Hampshire Daily'!H29-'Hampshire Daily'!H28&lt;0), "0",'Hampshire Daily'!H29-'Hampshire Daily'!H28)</f>
        <v>755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1035</v>
      </c>
      <c r="L26" s="4">
        <f>IF(('Hampshire Daily'!M29-'Hampshire Daily'!M28&lt;0), "0",'Hampshire Daily'!M29-'Hampshire Daily'!M28)</f>
        <v>788</v>
      </c>
      <c r="M26" s="4">
        <f>IF(('Hampshire Daily'!N29-'Hampshire Daily'!N28&lt;0), "0",'Hampshire Daily'!N29-'Hampshire Daily'!N28)</f>
        <v>1049</v>
      </c>
      <c r="N26" s="4">
        <f>IF(('Hampshire Daily'!O29-'Hampshire Daily'!O28&lt;0), "0",'Hampshire Daily'!O29-'Hampshire Daily'!O28)</f>
        <v>149</v>
      </c>
      <c r="O26" s="4">
        <f>IF(('Hampshire Daily'!P29-'Hampshire Daily'!P28&lt;0), "0",'Hampshire Daily'!P29-'Hampshire Daily'!P28)</f>
        <v>647</v>
      </c>
      <c r="P26" s="4">
        <f>IF(('Hampshire Daily'!Q29-'Hampshire Daily'!Q28&lt;0), "0",'Hampshire Daily'!Q29-'Hampshire Daily'!Q28)</f>
        <v>0</v>
      </c>
      <c r="Q26" s="4">
        <f>IF(('Hampshire Daily'!R29-'Hampshire Daily'!R28&lt;0), "0",'Hampshire Daily'!R29-'Hampshire Daily'!R28)</f>
        <v>1</v>
      </c>
      <c r="R26" s="4">
        <f>IF(('Hampshire Daily'!U29-'Hampshire Daily'!U28&lt;0), "0",'Hampshire Daily'!U29-'Hampshire Daily'!U28)</f>
        <v>7</v>
      </c>
      <c r="S26" s="4">
        <f>IF(('Hampshire Daily'!V29-'Hampshire Daily'!V28&lt;0), "0",'Hampshire Daily'!V29-'Hampshire Daily'!V28)</f>
        <v>1</v>
      </c>
      <c r="T26" s="4">
        <f>IF(('Hampshire Daily'!Y29-'Hampshire Daily'!Y28&lt;0), "0",'Hampshire Daily'!Y29-'Hampshire Daily'!Y28)</f>
        <v>781040.26500000001</v>
      </c>
      <c r="U26" s="4">
        <f>IF(('Hampshire Daily'!Z29-'Hampshire Daily'!Z28&lt;0), "0",'Hampshire Daily'!Z29-'Hampshire Daily'!Z28)</f>
        <v>0.42900000000008731</v>
      </c>
      <c r="V26" s="4" t="e">
        <f>IF(('Hampshire Daily'!#REF!-'Hampshire Daily'!#REF!&lt;0), "0",'Hampshire Daily'!#REF!-'Hampshire Daily'!#REF!)</f>
        <v>#REF!</v>
      </c>
      <c r="W26" s="4" t="e">
        <f>IF(('Hampshire Daily'!#REF!-'Hampshire Daily'!#REF!&lt;0), "0",'Hampshire Daily'!#REF!-'Hampshire Daily'!#REF!)</f>
        <v>#REF!</v>
      </c>
      <c r="X26" s="4">
        <f>'Hampshire Daily'!B29</f>
        <v>129</v>
      </c>
      <c r="Y26" s="4">
        <f>'Hampshire Daily'!C29</f>
        <v>146</v>
      </c>
    </row>
    <row r="27" spans="1:25" ht="14.45" x14ac:dyDescent="0.3">
      <c r="A27" s="3" t="s">
        <v>42</v>
      </c>
      <c r="B27" s="1">
        <f t="shared" si="0"/>
        <v>26</v>
      </c>
      <c r="C27" s="18">
        <v>9</v>
      </c>
      <c r="D27" s="1">
        <v>2019</v>
      </c>
      <c r="E27" s="4">
        <f>IF(('Hampshire Daily'!D30-'Hampshire Daily'!D29&lt;0), "0",('Hampshire Daily'!D30-'Hampshire Daily'!D29)*10)</f>
        <v>5350</v>
      </c>
      <c r="F27" s="4">
        <f>IF(('Hampshire Daily'!F30-'Hampshire Daily'!F29&lt;0), "0",('Hampshire Daily'!F30-'Hampshire Daily'!F29)*10)</f>
        <v>5920</v>
      </c>
      <c r="G27" s="4">
        <f>IF(('Hampshire Daily'!H30-'Hampshire Daily'!H29&lt;0), "0",'Hampshire Daily'!H30-'Hampshire Daily'!H29)</f>
        <v>777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1001</v>
      </c>
      <c r="L27" s="4">
        <f>IF(('Hampshire Daily'!M30-'Hampshire Daily'!M29&lt;0), "0",'Hampshire Daily'!M30-'Hampshire Daily'!M29)</f>
        <v>789</v>
      </c>
      <c r="M27" s="4">
        <f>IF(('Hampshire Daily'!N30-'Hampshire Daily'!N29&lt;0), "0",'Hampshire Daily'!N30-'Hampshire Daily'!N29)</f>
        <v>1214</v>
      </c>
      <c r="N27" s="4">
        <f>IF(('Hampshire Daily'!O30-'Hampshire Daily'!O29&lt;0), "0",'Hampshire Daily'!O30-'Hampshire Daily'!O29)</f>
        <v>170</v>
      </c>
      <c r="O27" s="4">
        <f>IF(('Hampshire Daily'!P30-'Hampshire Daily'!P29&lt;0), "0",'Hampshire Daily'!P30-'Hampshire Daily'!P29)</f>
        <v>248</v>
      </c>
      <c r="P27" s="4">
        <f>IF(('Hampshire Daily'!Q30-'Hampshire Daily'!Q29&lt;0), "0",'Hampshire Daily'!Q30-'Hampshire Daily'!Q29)</f>
        <v>922</v>
      </c>
      <c r="Q27" s="4">
        <f>IF(('Hampshire Daily'!R30-'Hampshire Daily'!R29&lt;0), "0",'Hampshire Daily'!R30-'Hampshire Daily'!R29)</f>
        <v>1</v>
      </c>
      <c r="R27" s="4">
        <f>IF(('Hampshire Daily'!U30-'Hampshire Daily'!U29&lt;0), "0",'Hampshire Daily'!U30-'Hampshire Daily'!U29)</f>
        <v>7</v>
      </c>
      <c r="S27" s="4">
        <f>IF(('Hampshire Daily'!V30-'Hampshire Daily'!V29&lt;0), "0",'Hampshire Daily'!V30-'Hampshire Daily'!V29)</f>
        <v>0</v>
      </c>
      <c r="T27" s="4">
        <f>IF(('Hampshire Daily'!Y30-'Hampshire Daily'!Y29&lt;0), "0",'Hampshire Daily'!Y30-'Hampshire Daily'!Y29)</f>
        <v>26</v>
      </c>
      <c r="U27" s="4">
        <f>IF(('Hampshire Daily'!Z30-'Hampshire Daily'!Z29&lt;0), "0",'Hampshire Daily'!Z30-'Hampshire Daily'!Z29)</f>
        <v>0</v>
      </c>
      <c r="V27" s="4" t="e">
        <f>IF(('Hampshire Daily'!#REF!-'Hampshire Daily'!#REF!&lt;0), "0",'Hampshire Daily'!#REF!-'Hampshire Daily'!#REF!)</f>
        <v>#REF!</v>
      </c>
      <c r="W27" s="4" t="e">
        <f>IF(('Hampshire Daily'!#REF!-'Hampshire Daily'!#REF!&lt;0), "0",'Hampshire Daily'!#REF!-'Hampshire Daily'!#REF!)</f>
        <v>#REF!</v>
      </c>
      <c r="X27" s="4">
        <f>'Hampshire Daily'!B30</f>
        <v>59</v>
      </c>
      <c r="Y27" s="4">
        <f>'Hampshire Daily'!C30</f>
        <v>93</v>
      </c>
    </row>
    <row r="28" spans="1:25" ht="14.45" x14ac:dyDescent="0.3">
      <c r="A28" s="3" t="s">
        <v>42</v>
      </c>
      <c r="B28" s="1">
        <f t="shared" si="0"/>
        <v>27</v>
      </c>
      <c r="C28" s="18">
        <v>9</v>
      </c>
      <c r="D28" s="1">
        <v>2019</v>
      </c>
      <c r="E28" s="4">
        <f>IF(('Hampshire Daily'!D31-'Hampshire Daily'!D30&lt;0), "0",('Hampshire Daily'!D31-'Hampshire Daily'!D30)*10)</f>
        <v>4710</v>
      </c>
      <c r="F28" s="4">
        <f>IF(('Hampshire Daily'!F31-'Hampshire Daily'!F30&lt;0), "0",('Hampshire Daily'!F31-'Hampshire Daily'!F30)*10)</f>
        <v>6570</v>
      </c>
      <c r="G28" s="4">
        <f>IF(('Hampshire Daily'!H31-'Hampshire Daily'!H30&lt;0), "0",'Hampshire Daily'!H31-'Hampshire Daily'!H30)</f>
        <v>800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1035</v>
      </c>
      <c r="L28" s="4">
        <f>IF(('Hampshire Daily'!M31-'Hampshire Daily'!M30&lt;0), "0",'Hampshire Daily'!M31-'Hampshire Daily'!M30)</f>
        <v>791</v>
      </c>
      <c r="M28" s="4">
        <f>IF(('Hampshire Daily'!N31-'Hampshire Daily'!N30&lt;0), "0",'Hampshire Daily'!N31-'Hampshire Daily'!N30)</f>
        <v>1260</v>
      </c>
      <c r="N28" s="4">
        <f>IF(('Hampshire Daily'!O31-'Hampshire Daily'!O30&lt;0), "0",'Hampshire Daily'!O31-'Hampshire Daily'!O30)</f>
        <v>176</v>
      </c>
      <c r="O28" s="4">
        <f>IF(('Hampshire Daily'!P31-'Hampshire Daily'!P30&lt;0), "0",'Hampshire Daily'!P31-'Hampshire Daily'!P30)</f>
        <v>753</v>
      </c>
      <c r="P28" s="4">
        <f>IF(('Hampshire Daily'!Q31-'Hampshire Daily'!Q30&lt;0), "0",'Hampshire Daily'!Q31-'Hampshire Daily'!Q30)</f>
        <v>15</v>
      </c>
      <c r="Q28" s="4">
        <f>IF(('Hampshire Daily'!R31-'Hampshire Daily'!R30&lt;0), "0",'Hampshire Daily'!R31-'Hampshire Daily'!R30)</f>
        <v>2</v>
      </c>
      <c r="R28" s="4">
        <f>IF(('Hampshire Daily'!U31-'Hampshire Daily'!U30&lt;0), "0",'Hampshire Daily'!U31-'Hampshire Daily'!U30)</f>
        <v>8</v>
      </c>
      <c r="S28" s="4">
        <f>IF(('Hampshire Daily'!V31-'Hampshire Daily'!V30&lt;0), "0",'Hampshire Daily'!V31-'Hampshire Daily'!V30)</f>
        <v>1</v>
      </c>
      <c r="T28" s="4" t="str">
        <f>IF(('Hampshire Daily'!Y31-'Hampshire Daily'!Y30&lt;0), "0",'Hampshire Daily'!Y31-'Hampshire Daily'!Y30)</f>
        <v>0</v>
      </c>
      <c r="U28" s="4">
        <f>IF(('Hampshire Daily'!Z31-'Hampshire Daily'!Z30&lt;0), "0",'Hampshire Daily'!Z31-'Hampshire Daily'!Z30)</f>
        <v>0</v>
      </c>
      <c r="V28" s="4" t="e">
        <f>IF(('Hampshire Daily'!#REF!-'Hampshire Daily'!#REF!&lt;0), "0",'Hampshire Daily'!#REF!-'Hampshire Daily'!#REF!)</f>
        <v>#REF!</v>
      </c>
      <c r="W28" s="4" t="e">
        <f>IF(('Hampshire Daily'!#REF!-'Hampshire Daily'!#REF!&lt;0), "0",'Hampshire Daily'!#REF!-'Hampshire Daily'!#REF!)</f>
        <v>#REF!</v>
      </c>
      <c r="X28" s="4">
        <f>'Hampshire Daily'!B31</f>
        <v>66</v>
      </c>
      <c r="Y28" s="4">
        <f>'Hampshire Daily'!C31</f>
        <v>168</v>
      </c>
    </row>
    <row r="29" spans="1:25" ht="14.45" x14ac:dyDescent="0.3">
      <c r="A29" s="3" t="s">
        <v>42</v>
      </c>
      <c r="B29" s="1">
        <f t="shared" si="0"/>
        <v>28</v>
      </c>
      <c r="C29" s="18">
        <v>9</v>
      </c>
      <c r="D29" s="1">
        <v>2019</v>
      </c>
      <c r="E29" s="4">
        <f>IF(('Hampshire Daily'!D32-'Hampshire Daily'!D31&lt;0), "0",('Hampshire Daily'!D32-'Hampshire Daily'!D31)*10)</f>
        <v>4750</v>
      </c>
      <c r="F29" s="4">
        <f>IF(('Hampshire Daily'!F32-'Hampshire Daily'!F31&lt;0), "0",('Hampshire Daily'!F32-'Hampshire Daily'!F31)*10)</f>
        <v>6940</v>
      </c>
      <c r="G29" s="4">
        <f>IF(('Hampshire Daily'!H32-'Hampshire Daily'!H31&lt;0), "0",'Hampshire Daily'!H32-'Hampshire Daily'!H31)</f>
        <v>788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1035</v>
      </c>
      <c r="L29" s="4">
        <f>IF(('Hampshire Daily'!M32-'Hampshire Daily'!M31&lt;0), "0",'Hampshire Daily'!M32-'Hampshire Daily'!M31)</f>
        <v>846</v>
      </c>
      <c r="M29" s="4">
        <f>IF(('Hampshire Daily'!N32-'Hampshire Daily'!N31&lt;0), "0",'Hampshire Daily'!N32-'Hampshire Daily'!N31)</f>
        <v>1428</v>
      </c>
      <c r="N29" s="4">
        <f>IF(('Hampshire Daily'!O32-'Hampshire Daily'!O31&lt;0), "0",'Hampshire Daily'!O32-'Hampshire Daily'!O31)</f>
        <v>192</v>
      </c>
      <c r="O29" s="4">
        <f>IF(('Hampshire Daily'!P32-'Hampshire Daily'!P31&lt;0), "0",'Hampshire Daily'!P32-'Hampshire Daily'!P31)</f>
        <v>736</v>
      </c>
      <c r="P29" s="4">
        <f>IF(('Hampshire Daily'!Q32-'Hampshire Daily'!Q31&lt;0), "0",'Hampshire Daily'!Q32-'Hampshire Daily'!Q31)</f>
        <v>0</v>
      </c>
      <c r="Q29" s="4">
        <f>IF(('Hampshire Daily'!R32-'Hampshire Daily'!R31&lt;0), "0",'Hampshire Daily'!R32-'Hampshire Daily'!R31)</f>
        <v>2</v>
      </c>
      <c r="R29" s="4">
        <f>IF(('Hampshire Daily'!U32-'Hampshire Daily'!U31&lt;0), "0",'Hampshire Daily'!U32-'Hampshire Daily'!U31)</f>
        <v>8</v>
      </c>
      <c r="S29" s="4">
        <f>IF(('Hampshire Daily'!V32-'Hampshire Daily'!V31&lt;0), "0",'Hampshire Daily'!V32-'Hampshire Daily'!V31)</f>
        <v>1</v>
      </c>
      <c r="T29" s="4">
        <f>IF(('Hampshire Daily'!Y32-'Hampshire Daily'!Y31&lt;0), "0",'Hampshire Daily'!Y32-'Hampshire Daily'!Y31)</f>
        <v>3.6000000000058208E-2</v>
      </c>
      <c r="U29" s="4">
        <f>IF(('Hampshire Daily'!Z32-'Hampshire Daily'!Z31&lt;0), "0",'Hampshire Daily'!Z32-'Hampshire Daily'!Z31)</f>
        <v>0</v>
      </c>
      <c r="V29" s="4" t="e">
        <f>IF(('Hampshire Daily'!#REF!-'Hampshire Daily'!#REF!&lt;0), "0",'Hampshire Daily'!#REF!-'Hampshire Daily'!#REF!)</f>
        <v>#REF!</v>
      </c>
      <c r="W29" s="4" t="e">
        <f>IF(('Hampshire Daily'!#REF!-'Hampshire Daily'!#REF!&lt;0), "0",'Hampshire Daily'!#REF!-'Hampshire Daily'!#REF!)</f>
        <v>#REF!</v>
      </c>
      <c r="X29" s="4">
        <f>'Hampshire Daily'!B32</f>
        <v>119</v>
      </c>
      <c r="Y29" s="4">
        <f>'Hampshire Daily'!C32</f>
        <v>283</v>
      </c>
    </row>
    <row r="30" spans="1:25" ht="14.45" x14ac:dyDescent="0.3">
      <c r="A30" s="3" t="s">
        <v>42</v>
      </c>
      <c r="B30" s="1">
        <f t="shared" si="0"/>
        <v>29</v>
      </c>
      <c r="C30" s="18">
        <v>9</v>
      </c>
      <c r="D30" s="1">
        <v>2019</v>
      </c>
      <c r="E30" s="4">
        <f>IF(('Hampshire Daily'!D33-'Hampshire Daily'!D32&lt;0), "0",('Hampshire Daily'!D33-'Hampshire Daily'!D32)*10)</f>
        <v>4690</v>
      </c>
      <c r="F30" s="4">
        <f>IF(('Hampshire Daily'!F33-'Hampshire Daily'!F32&lt;0), "0",('Hampshire Daily'!F33-'Hampshire Daily'!F32)*10)</f>
        <v>7000</v>
      </c>
      <c r="G30" s="4">
        <f>IF(('Hampshire Daily'!H33-'Hampshire Daily'!H32&lt;0), "0",'Hampshire Daily'!H33-'Hampshire Daily'!H32)</f>
        <v>779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1035</v>
      </c>
      <c r="L30" s="4">
        <f>IF(('Hampshire Daily'!M33-'Hampshire Daily'!M32&lt;0), "0",'Hampshire Daily'!M33-'Hampshire Daily'!M32)</f>
        <v>790</v>
      </c>
      <c r="M30" s="4">
        <f>IF(('Hampshire Daily'!N33-'Hampshire Daily'!N32&lt;0), "0",'Hampshire Daily'!N33-'Hampshire Daily'!N32)</f>
        <v>1343</v>
      </c>
      <c r="N30" s="4">
        <f>IF(('Hampshire Daily'!O33-'Hampshire Daily'!O32&lt;0), "0",'Hampshire Daily'!O33-'Hampshire Daily'!O32)</f>
        <v>186</v>
      </c>
      <c r="O30" s="4">
        <f>IF(('Hampshire Daily'!P33-'Hampshire Daily'!P32&lt;0), "0",'Hampshire Daily'!P33-'Hampshire Daily'!P32)</f>
        <v>769</v>
      </c>
      <c r="P30" s="4">
        <f>IF(('Hampshire Daily'!Q33-'Hampshire Daily'!Q32&lt;0), "0",'Hampshire Daily'!Q33-'Hampshire Daily'!Q32)</f>
        <v>0</v>
      </c>
      <c r="Q30" s="4">
        <f>IF(('Hampshire Daily'!R33-'Hampshire Daily'!R32&lt;0), "0",'Hampshire Daily'!R33-'Hampshire Daily'!R32)</f>
        <v>1</v>
      </c>
      <c r="R30" s="4">
        <f>IF(('Hampshire Daily'!U33-'Hampshire Daily'!U32&lt;0), "0",'Hampshire Daily'!U33-'Hampshire Daily'!U32)</f>
        <v>9</v>
      </c>
      <c r="S30" s="4">
        <f>IF(('Hampshire Daily'!V33-'Hampshire Daily'!V32&lt;0), "0",'Hampshire Daily'!V33-'Hampshire Daily'!V32)</f>
        <v>0</v>
      </c>
      <c r="T30" s="4">
        <f>IF(('Hampshire Daily'!Y33-'Hampshire Daily'!Y32&lt;0), "0",'Hampshire Daily'!Y33-'Hampshire Daily'!Y32)</f>
        <v>2.3000000000024556E-2</v>
      </c>
      <c r="U30" s="4">
        <f>IF(('Hampshire Daily'!Z33-'Hampshire Daily'!Z32&lt;0), "0",'Hampshire Daily'!Z33-'Hampshire Daily'!Z32)</f>
        <v>0</v>
      </c>
      <c r="V30" s="4" t="e">
        <f>IF(('Hampshire Daily'!#REF!-'Hampshire Daily'!#REF!&lt;0), "0",'Hampshire Daily'!#REF!-'Hampshire Daily'!#REF!)</f>
        <v>#REF!</v>
      </c>
      <c r="W30" s="4" t="e">
        <f>IF(('Hampshire Daily'!#REF!-'Hampshire Daily'!#REF!&lt;0), "0",'Hampshire Daily'!#REF!-'Hampshire Daily'!#REF!)</f>
        <v>#REF!</v>
      </c>
      <c r="X30" s="4">
        <f>'Hampshire Daily'!B33</f>
        <v>43</v>
      </c>
      <c r="Y30" s="4">
        <f>'Hampshire Daily'!C33</f>
        <v>82</v>
      </c>
    </row>
    <row r="31" spans="1:25" ht="14.45" x14ac:dyDescent="0.3">
      <c r="A31" s="3" t="s">
        <v>42</v>
      </c>
      <c r="B31" s="1">
        <f t="shared" si="0"/>
        <v>30</v>
      </c>
      <c r="C31" s="18">
        <v>9</v>
      </c>
      <c r="D31" s="1">
        <v>2019</v>
      </c>
      <c r="E31" s="4">
        <f>IF(('Hampshire Daily'!D34-'Hampshire Daily'!D33&lt;0), "0",('Hampshire Daily'!D34-'Hampshire Daily'!D33)*10)</f>
        <v>4530</v>
      </c>
      <c r="F31" s="4">
        <f>IF(('Hampshire Daily'!F34-'Hampshire Daily'!F33&lt;0), "0",('Hampshire Daily'!F34-'Hampshire Daily'!F33)*10)</f>
        <v>6920</v>
      </c>
      <c r="G31" s="4">
        <f>IF(('Hampshire Daily'!H34-'Hampshire Daily'!H33&lt;0), "0",'Hampshire Daily'!H34-'Hampshire Daily'!H33)</f>
        <v>784</v>
      </c>
      <c r="H31" s="4">
        <f>IF(('Hampshire Daily'!I34-'Hampshire Daily'!I33&lt;0), "0",'Hampshire Daily'!I34-'Hampshire Daily'!I33)</f>
        <v>6146888</v>
      </c>
      <c r="I31" s="4">
        <f>IF(('Hampshire Daily'!J34-'Hampshire Daily'!J33&lt;0), "0",'Hampshire Daily'!J34-'Hampshire Daily'!J33)</f>
        <v>30888</v>
      </c>
      <c r="J31" s="4">
        <f>IF(('Hampshire Daily'!K34-'Hampshire Daily'!K33&lt;0), "0",'Hampshire Daily'!K34-'Hampshire Daily'!K33)</f>
        <v>3969196</v>
      </c>
      <c r="K31" s="4">
        <f>IF(('Hampshire Daily'!L34-'Hampshire Daily'!L33&lt;0), "0",'Hampshire Daily'!L34-'Hampshire Daily'!L33)</f>
        <v>1189</v>
      </c>
      <c r="L31" s="4">
        <f>IF(('Hampshire Daily'!M34-'Hampshire Daily'!M33&lt;0), "0",'Hampshire Daily'!M34-'Hampshire Daily'!M33)</f>
        <v>788</v>
      </c>
      <c r="M31" s="4">
        <f>IF(('Hampshire Daily'!N34-'Hampshire Daily'!N33&lt;0), "0",'Hampshire Daily'!N34-'Hampshire Daily'!N33)</f>
        <v>1382</v>
      </c>
      <c r="N31" s="4">
        <f>IF(('Hampshire Daily'!O34-'Hampshire Daily'!O33&lt;0), "0",'Hampshire Daily'!O34-'Hampshire Daily'!O33)</f>
        <v>185</v>
      </c>
      <c r="O31" s="4">
        <f>IF(('Hampshire Daily'!P34-'Hampshire Daily'!P33&lt;0), "0",'Hampshire Daily'!P34-'Hampshire Daily'!P33)</f>
        <v>789</v>
      </c>
      <c r="P31" s="4">
        <f>IF(('Hampshire Daily'!Q34-'Hampshire Daily'!Q33&lt;0), "0",'Hampshire Daily'!Q34-'Hampshire Daily'!Q33)</f>
        <v>0</v>
      </c>
      <c r="Q31" s="4">
        <f>IF(('Hampshire Daily'!R34-'Hampshire Daily'!R33&lt;0), "0",'Hampshire Daily'!R34-'Hampshire Daily'!R33)</f>
        <v>1</v>
      </c>
      <c r="R31" s="4">
        <f>IF(('Hampshire Daily'!U34-'Hampshire Daily'!U33&lt;0), "0",'Hampshire Daily'!U34-'Hampshire Daily'!U33)</f>
        <v>11</v>
      </c>
      <c r="S31" s="4">
        <f>IF(('Hampshire Daily'!V34-'Hampshire Daily'!V33&lt;0), "0",'Hampshire Daily'!V34-'Hampshire Daily'!V33)</f>
        <v>1</v>
      </c>
      <c r="T31" s="4">
        <f>IF(('Hampshire Daily'!Y34-'Hampshire Daily'!Y33&lt;0), "0",'Hampshire Daily'!Y34-'Hampshire Daily'!Y33)</f>
        <v>781186.05900000001</v>
      </c>
      <c r="U31" s="4">
        <f>IF(('Hampshire Daily'!Z34-'Hampshire Daily'!Z33&lt;0), "0",'Hampshire Daily'!Z34-'Hampshire Daily'!Z33)</f>
        <v>0</v>
      </c>
      <c r="V31" s="4" t="e">
        <f>IF(('Hampshire Daily'!#REF!-'Hampshire Daily'!#REF!&lt;0), "0",'Hampshire Daily'!#REF!-'Hampshire Daily'!#REF!)</f>
        <v>#REF!</v>
      </c>
      <c r="W31" s="4" t="e">
        <f>IF(('Hampshire Daily'!#REF!-'[1]Hampshire Submetering!Daily'!#REF!&lt;0), "0",'Hampshire Daily'!#REF!-'Hampshire Daily'!#REF!)</f>
        <v>#REF!</v>
      </c>
      <c r="X31" s="4">
        <f>'Hampshire Daily'!B34</f>
        <v>68</v>
      </c>
      <c r="Y31" s="4">
        <f>'Hampshire Daily'!C34</f>
        <v>91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7"/>
  <sheetViews>
    <sheetView tabSelected="1" zoomScale="85" zoomScaleNormal="85" workbookViewId="0">
      <pane xSplit="1" topLeftCell="B1" activePane="topRight" state="frozen"/>
      <selection pane="topRight" activeCell="J41" sqref="J41"/>
    </sheetView>
  </sheetViews>
  <sheetFormatPr defaultRowHeight="15" x14ac:dyDescent="0.25"/>
  <cols>
    <col min="1" max="1" width="8.7109375" style="17" customWidth="1"/>
    <col min="2" max="3" width="8.7109375" style="26" customWidth="1"/>
    <col min="26" max="26" width="10.42578125" style="22" bestFit="1" customWidth="1"/>
  </cols>
  <sheetData>
    <row r="1" spans="1:29" x14ac:dyDescent="0.25">
      <c r="A1" s="45"/>
      <c r="B1" s="25"/>
      <c r="C1" s="25"/>
      <c r="D1" s="48" t="s">
        <v>12</v>
      </c>
      <c r="E1" s="48"/>
      <c r="F1" s="48"/>
      <c r="G1" s="48"/>
      <c r="H1" s="48"/>
      <c r="I1" s="48"/>
      <c r="J1" s="48"/>
      <c r="K1" s="48"/>
      <c r="L1" s="48"/>
      <c r="M1" s="48"/>
      <c r="N1" s="41" t="s">
        <v>13</v>
      </c>
      <c r="O1" s="39" t="s">
        <v>14</v>
      </c>
      <c r="P1" s="28"/>
      <c r="Q1" s="28"/>
      <c r="R1" s="28"/>
      <c r="S1" s="39" t="s">
        <v>15</v>
      </c>
      <c r="T1" s="44"/>
      <c r="U1" s="39" t="s">
        <v>16</v>
      </c>
      <c r="V1" s="39" t="s">
        <v>17</v>
      </c>
      <c r="W1" s="28"/>
      <c r="X1" s="39" t="s">
        <v>18</v>
      </c>
      <c r="Y1" s="39" t="s">
        <v>19</v>
      </c>
      <c r="Z1" s="40" t="s">
        <v>20</v>
      </c>
      <c r="AA1" s="39" t="s">
        <v>21</v>
      </c>
    </row>
    <row r="2" spans="1:29" x14ac:dyDescent="0.25">
      <c r="A2" s="46"/>
      <c r="B2" s="51" t="s">
        <v>55</v>
      </c>
      <c r="C2" s="51" t="s">
        <v>56</v>
      </c>
      <c r="D2" s="49" t="s">
        <v>22</v>
      </c>
      <c r="E2" s="49" t="s">
        <v>23</v>
      </c>
      <c r="F2" s="49" t="s">
        <v>24</v>
      </c>
      <c r="G2" s="49" t="s">
        <v>25</v>
      </c>
      <c r="H2" s="49" t="s">
        <v>26</v>
      </c>
      <c r="I2" s="49" t="s">
        <v>27</v>
      </c>
      <c r="J2" s="49" t="s">
        <v>28</v>
      </c>
      <c r="K2" s="49" t="s">
        <v>29</v>
      </c>
      <c r="L2" s="49" t="s">
        <v>30</v>
      </c>
      <c r="M2" s="49" t="s">
        <v>31</v>
      </c>
      <c r="N2" s="42"/>
      <c r="O2" s="39"/>
      <c r="P2" s="28" t="s">
        <v>32</v>
      </c>
      <c r="Q2" s="28" t="s">
        <v>32</v>
      </c>
      <c r="R2" s="28" t="s">
        <v>32</v>
      </c>
      <c r="S2" s="39"/>
      <c r="T2" s="44"/>
      <c r="U2" s="39"/>
      <c r="V2" s="39"/>
      <c r="W2" s="39" t="s">
        <v>33</v>
      </c>
      <c r="X2" s="39"/>
      <c r="Y2" s="39"/>
      <c r="Z2" s="40"/>
      <c r="AA2" s="39"/>
    </row>
    <row r="3" spans="1:29" ht="27" customHeight="1" thickBot="1" x14ac:dyDescent="0.3">
      <c r="A3" s="47"/>
      <c r="B3" s="52"/>
      <c r="C3" s="52"/>
      <c r="D3" s="53"/>
      <c r="E3" s="53"/>
      <c r="F3" s="53"/>
      <c r="G3" s="53"/>
      <c r="H3" s="49"/>
      <c r="I3" s="49"/>
      <c r="J3" s="49"/>
      <c r="K3" s="49"/>
      <c r="L3" s="49"/>
      <c r="M3" s="50"/>
      <c r="N3" s="42"/>
      <c r="O3" s="43"/>
      <c r="P3" s="29">
        <v>2</v>
      </c>
      <c r="Q3" s="29">
        <v>3</v>
      </c>
      <c r="R3" s="29">
        <v>4</v>
      </c>
      <c r="S3" s="44"/>
      <c r="T3" s="44"/>
      <c r="U3" s="43"/>
      <c r="V3" s="43"/>
      <c r="W3" s="39"/>
      <c r="X3" s="39"/>
      <c r="Y3" s="39"/>
      <c r="Z3" s="40"/>
      <c r="AA3" s="39"/>
    </row>
    <row r="4" spans="1:29" s="20" customFormat="1" ht="19.899999999999999" customHeight="1" x14ac:dyDescent="0.3">
      <c r="A4" s="23">
        <v>43708</v>
      </c>
      <c r="B4" s="30">
        <v>120</v>
      </c>
      <c r="C4" s="30">
        <v>319</v>
      </c>
      <c r="D4" s="16">
        <v>779457</v>
      </c>
      <c r="E4" s="16">
        <v>781836</v>
      </c>
      <c r="F4" s="16">
        <v>984481</v>
      </c>
      <c r="G4" s="16">
        <v>983788</v>
      </c>
      <c r="H4" s="16">
        <v>9902787</v>
      </c>
      <c r="I4" s="16">
        <v>6087461</v>
      </c>
      <c r="J4" s="16">
        <v>30857</v>
      </c>
      <c r="K4" s="16">
        <v>3897669</v>
      </c>
      <c r="L4" s="16">
        <v>215484</v>
      </c>
      <c r="M4" s="16">
        <v>2380720</v>
      </c>
      <c r="N4" s="16">
        <v>9848404</v>
      </c>
      <c r="O4" s="16">
        <v>287977</v>
      </c>
      <c r="P4" s="16">
        <v>1381013</v>
      </c>
      <c r="Q4" s="16">
        <v>401026</v>
      </c>
      <c r="R4" s="16">
        <v>211</v>
      </c>
      <c r="S4" s="21">
        <v>300705</v>
      </c>
      <c r="T4" s="16">
        <v>94417</v>
      </c>
      <c r="U4" s="16">
        <v>46944</v>
      </c>
      <c r="V4" s="16">
        <v>29440</v>
      </c>
      <c r="W4" s="27"/>
      <c r="X4" s="16">
        <v>326.58300000000003</v>
      </c>
      <c r="Y4" s="16">
        <v>781.05</v>
      </c>
      <c r="Z4" s="16">
        <v>3799.739</v>
      </c>
      <c r="AA4" s="31"/>
    </row>
    <row r="5" spans="1:29" x14ac:dyDescent="0.25">
      <c r="A5" s="24">
        <v>43709</v>
      </c>
      <c r="B5" s="32">
        <v>66</v>
      </c>
      <c r="C5" s="33">
        <v>170</v>
      </c>
      <c r="D5" s="16">
        <v>779884</v>
      </c>
      <c r="E5" s="16">
        <v>782263</v>
      </c>
      <c r="F5" s="16">
        <v>985146</v>
      </c>
      <c r="G5" s="16">
        <v>984453</v>
      </c>
      <c r="H5" s="16">
        <v>9903414</v>
      </c>
      <c r="I5" s="27"/>
      <c r="J5" s="16"/>
      <c r="K5" s="16"/>
      <c r="L5" s="16">
        <f>L4+1124</f>
        <v>216608</v>
      </c>
      <c r="M5" s="16">
        <v>2381444</v>
      </c>
      <c r="N5" s="16">
        <v>9849568</v>
      </c>
      <c r="O5" s="16">
        <v>288206</v>
      </c>
      <c r="P5" s="16">
        <v>1381840</v>
      </c>
      <c r="Q5" s="16">
        <v>401026</v>
      </c>
      <c r="R5" s="16">
        <v>213</v>
      </c>
      <c r="S5" s="16">
        <v>94505</v>
      </c>
      <c r="T5" s="16">
        <v>300789</v>
      </c>
      <c r="U5" s="16">
        <v>46957</v>
      </c>
      <c r="V5" s="16">
        <v>29440</v>
      </c>
      <c r="W5" s="27"/>
      <c r="X5" s="16">
        <v>326.654</v>
      </c>
      <c r="Y5" s="16">
        <v>781.10699999999997</v>
      </c>
      <c r="Z5" s="16">
        <v>3800.9409999999998</v>
      </c>
      <c r="AA5" s="21"/>
    </row>
    <row r="6" spans="1:29" x14ac:dyDescent="0.25">
      <c r="A6" s="24">
        <v>43710</v>
      </c>
      <c r="B6" s="32">
        <v>51</v>
      </c>
      <c r="C6" s="33">
        <v>124</v>
      </c>
      <c r="D6" s="16">
        <v>780301</v>
      </c>
      <c r="E6" s="16">
        <v>782780</v>
      </c>
      <c r="F6" s="16">
        <v>985813</v>
      </c>
      <c r="G6" s="16">
        <v>985119</v>
      </c>
      <c r="H6" s="16">
        <v>9904059</v>
      </c>
      <c r="I6" s="27"/>
      <c r="J6" s="16"/>
      <c r="K6" s="16"/>
      <c r="L6" s="16">
        <f>L5+1124</f>
        <v>217732</v>
      </c>
      <c r="M6" s="16">
        <v>2382182</v>
      </c>
      <c r="N6" s="16">
        <v>9850756</v>
      </c>
      <c r="O6" s="16">
        <v>288422</v>
      </c>
      <c r="P6" s="16">
        <v>1382670</v>
      </c>
      <c r="Q6" s="16">
        <v>401026</v>
      </c>
      <c r="R6" s="16">
        <v>214</v>
      </c>
      <c r="S6" s="16">
        <v>94590</v>
      </c>
      <c r="T6" s="16">
        <v>300866</v>
      </c>
      <c r="U6" s="16">
        <v>46969</v>
      </c>
      <c r="V6" s="16">
        <v>29441</v>
      </c>
      <c r="W6" s="27"/>
      <c r="X6" s="16">
        <v>326.71100000000001</v>
      </c>
      <c r="Y6" s="16">
        <v>781.12699999999995</v>
      </c>
      <c r="Z6" s="16">
        <v>3803.538</v>
      </c>
      <c r="AA6" s="21"/>
    </row>
    <row r="7" spans="1:29" x14ac:dyDescent="0.25">
      <c r="A7" s="24">
        <v>43711</v>
      </c>
      <c r="B7" s="32">
        <v>88</v>
      </c>
      <c r="C7" s="33">
        <v>125</v>
      </c>
      <c r="D7" s="16">
        <v>780729</v>
      </c>
      <c r="E7" s="16">
        <v>783109</v>
      </c>
      <c r="F7" s="16">
        <v>986441</v>
      </c>
      <c r="G7" s="16">
        <v>985747</v>
      </c>
      <c r="H7" s="16">
        <v>9904621</v>
      </c>
      <c r="I7" s="27"/>
      <c r="J7" s="16"/>
      <c r="K7" s="16"/>
      <c r="L7" s="16">
        <f>L6+1124</f>
        <v>218856</v>
      </c>
      <c r="M7" s="16">
        <v>2382893</v>
      </c>
      <c r="N7" s="16">
        <v>9851762</v>
      </c>
      <c r="O7" s="16">
        <v>288623</v>
      </c>
      <c r="P7" s="16">
        <v>1383490</v>
      </c>
      <c r="Q7" s="16">
        <v>401026</v>
      </c>
      <c r="R7" s="16">
        <v>215</v>
      </c>
      <c r="S7" s="16">
        <v>94654</v>
      </c>
      <c r="T7" s="16">
        <v>300915</v>
      </c>
      <c r="U7" s="16">
        <v>46979</v>
      </c>
      <c r="V7" s="16">
        <v>29449</v>
      </c>
      <c r="W7" s="27"/>
      <c r="X7" s="16">
        <v>326.76600000000002</v>
      </c>
      <c r="Y7" s="16">
        <v>781.149</v>
      </c>
      <c r="Z7" s="16">
        <v>3804.0810000000001</v>
      </c>
      <c r="AA7" s="21"/>
    </row>
    <row r="8" spans="1:29" x14ac:dyDescent="0.25">
      <c r="A8" s="24">
        <v>43712</v>
      </c>
      <c r="B8" s="32">
        <v>86</v>
      </c>
      <c r="C8" s="33">
        <v>117</v>
      </c>
      <c r="D8" s="16">
        <v>781196</v>
      </c>
      <c r="E8" s="16">
        <v>783575</v>
      </c>
      <c r="F8" s="16">
        <v>987110</v>
      </c>
      <c r="G8" s="16">
        <v>986416</v>
      </c>
      <c r="H8" s="16">
        <v>9905206</v>
      </c>
      <c r="I8" s="27"/>
      <c r="J8" s="16"/>
      <c r="K8" s="16"/>
      <c r="L8" s="16">
        <v>219983</v>
      </c>
      <c r="M8" s="16">
        <v>2383631</v>
      </c>
      <c r="N8" s="16">
        <v>9852846</v>
      </c>
      <c r="O8" s="16">
        <v>288770</v>
      </c>
      <c r="P8" s="16">
        <v>1384320</v>
      </c>
      <c r="Q8" s="16">
        <v>401026</v>
      </c>
      <c r="R8" s="16">
        <v>216</v>
      </c>
      <c r="S8" s="16">
        <v>94714</v>
      </c>
      <c r="T8" s="16">
        <v>300941</v>
      </c>
      <c r="U8" s="16">
        <v>46990</v>
      </c>
      <c r="V8" s="16">
        <v>29449</v>
      </c>
      <c r="W8" s="27"/>
      <c r="X8" s="16">
        <v>326.81599999999997</v>
      </c>
      <c r="Y8" s="16">
        <v>781.18299999999999</v>
      </c>
      <c r="Z8" s="16">
        <v>3804.4369999999999</v>
      </c>
      <c r="AA8" s="21"/>
    </row>
    <row r="9" spans="1:29" x14ac:dyDescent="0.25">
      <c r="A9" s="24">
        <v>43713</v>
      </c>
      <c r="B9" s="32">
        <v>50</v>
      </c>
      <c r="C9" s="33">
        <v>95</v>
      </c>
      <c r="D9" s="16">
        <v>781644</v>
      </c>
      <c r="E9" s="16">
        <v>784025</v>
      </c>
      <c r="F9" s="16">
        <v>987773</v>
      </c>
      <c r="G9" s="16">
        <v>987078</v>
      </c>
      <c r="H9" s="16">
        <v>9905849</v>
      </c>
      <c r="I9" s="27"/>
      <c r="J9" s="16"/>
      <c r="K9" s="16"/>
      <c r="L9" s="16">
        <v>220986</v>
      </c>
      <c r="M9" s="16">
        <v>2384364</v>
      </c>
      <c r="N9" s="16">
        <v>9854044</v>
      </c>
      <c r="O9" s="16">
        <v>288965</v>
      </c>
      <c r="P9" s="16">
        <v>1385100</v>
      </c>
      <c r="Q9" s="16">
        <v>401026</v>
      </c>
      <c r="R9" s="16">
        <v>218</v>
      </c>
      <c r="S9" s="16">
        <v>94784</v>
      </c>
      <c r="T9" s="16">
        <v>301003</v>
      </c>
      <c r="U9" s="16">
        <v>46998</v>
      </c>
      <c r="V9" s="16">
        <v>29449</v>
      </c>
      <c r="W9" s="27"/>
      <c r="X9" s="16">
        <v>326.86900000000003</v>
      </c>
      <c r="Y9" s="16">
        <v>781.18700000000001</v>
      </c>
      <c r="Z9" s="16">
        <v>3804.4369999999999</v>
      </c>
      <c r="AA9" s="21"/>
    </row>
    <row r="10" spans="1:29" x14ac:dyDescent="0.25">
      <c r="A10" s="24">
        <v>43714</v>
      </c>
      <c r="B10" s="32">
        <v>103</v>
      </c>
      <c r="C10" s="33">
        <v>212</v>
      </c>
      <c r="D10" s="16">
        <v>782051</v>
      </c>
      <c r="E10" s="16">
        <v>784432</v>
      </c>
      <c r="F10" s="16">
        <v>988421</v>
      </c>
      <c r="G10" s="16">
        <v>987725</v>
      </c>
      <c r="H10" s="16">
        <v>9906500</v>
      </c>
      <c r="I10" s="27"/>
      <c r="J10" s="16"/>
      <c r="K10" s="16"/>
      <c r="L10" s="16">
        <v>222001</v>
      </c>
      <c r="M10" s="16">
        <v>2385104</v>
      </c>
      <c r="N10" s="16">
        <v>9855273</v>
      </c>
      <c r="O10" s="16">
        <v>289149</v>
      </c>
      <c r="P10" s="16">
        <v>1385870</v>
      </c>
      <c r="Q10" s="16">
        <v>401026</v>
      </c>
      <c r="R10" s="16">
        <v>218</v>
      </c>
      <c r="S10" s="16">
        <v>94848</v>
      </c>
      <c r="T10" s="16">
        <v>301055</v>
      </c>
      <c r="U10" s="16">
        <v>47007</v>
      </c>
      <c r="V10" s="16">
        <v>29450</v>
      </c>
      <c r="W10" s="27"/>
      <c r="X10" s="16">
        <v>326.92399999999998</v>
      </c>
      <c r="Y10" s="16">
        <v>781.19500000000005</v>
      </c>
      <c r="Z10" s="16">
        <v>3804.4369999999999</v>
      </c>
      <c r="AA10" s="21"/>
      <c r="AC10" s="34"/>
    </row>
    <row r="11" spans="1:29" x14ac:dyDescent="0.25">
      <c r="A11" s="24">
        <v>43715</v>
      </c>
      <c r="B11" s="32">
        <v>114</v>
      </c>
      <c r="C11" s="33">
        <v>233</v>
      </c>
      <c r="D11" s="16">
        <v>782452</v>
      </c>
      <c r="E11" s="16">
        <v>784833</v>
      </c>
      <c r="F11" s="16">
        <v>989073</v>
      </c>
      <c r="G11" s="16">
        <v>988377</v>
      </c>
      <c r="H11" s="16">
        <v>9907204</v>
      </c>
      <c r="I11" s="27"/>
      <c r="J11" s="16"/>
      <c r="K11" s="16"/>
      <c r="L11" s="16">
        <v>223074</v>
      </c>
      <c r="M11" s="16">
        <v>2385882</v>
      </c>
      <c r="N11" s="16">
        <v>9856686</v>
      </c>
      <c r="O11" s="16">
        <v>289345</v>
      </c>
      <c r="P11" s="16">
        <v>1386660</v>
      </c>
      <c r="Q11" s="16">
        <v>401026</v>
      </c>
      <c r="R11" s="16">
        <v>218</v>
      </c>
      <c r="S11" s="16">
        <v>94917</v>
      </c>
      <c r="T11" s="16">
        <v>301117</v>
      </c>
      <c r="U11" s="16">
        <v>47016</v>
      </c>
      <c r="V11" s="16">
        <v>29451</v>
      </c>
      <c r="W11" s="27"/>
      <c r="X11" s="16">
        <v>326.983</v>
      </c>
      <c r="Y11" s="16">
        <v>781.22</v>
      </c>
      <c r="Z11" s="16">
        <v>3804.4389999999999</v>
      </c>
      <c r="AA11" s="21"/>
      <c r="AC11" s="34"/>
    </row>
    <row r="12" spans="1:29" x14ac:dyDescent="0.25">
      <c r="A12" s="24">
        <v>43716</v>
      </c>
      <c r="B12" s="32">
        <v>55</v>
      </c>
      <c r="C12" s="33">
        <v>99</v>
      </c>
      <c r="D12" s="16">
        <v>782869</v>
      </c>
      <c r="E12" s="16">
        <v>785250</v>
      </c>
      <c r="F12" s="16">
        <v>989776</v>
      </c>
      <c r="G12" s="16">
        <v>989280</v>
      </c>
      <c r="H12" s="16">
        <v>9907837</v>
      </c>
      <c r="I12" s="27"/>
      <c r="J12" s="16"/>
      <c r="K12" s="16"/>
      <c r="L12" s="16">
        <f>L11+1124</f>
        <v>224198</v>
      </c>
      <c r="M12" s="16">
        <v>2386660</v>
      </c>
      <c r="N12" s="16">
        <v>9858134</v>
      </c>
      <c r="O12" s="16">
        <f>O11+190</f>
        <v>289535</v>
      </c>
      <c r="P12" s="16">
        <v>1387420</v>
      </c>
      <c r="Q12" s="16">
        <v>401026</v>
      </c>
      <c r="R12" s="16">
        <v>218</v>
      </c>
      <c r="S12" s="16">
        <v>95007</v>
      </c>
      <c r="T12" s="16">
        <v>301194</v>
      </c>
      <c r="U12" s="16">
        <v>47025</v>
      </c>
      <c r="V12" s="16">
        <v>29451</v>
      </c>
      <c r="W12" s="27"/>
      <c r="X12" s="16">
        <v>327.04300000000001</v>
      </c>
      <c r="Y12" s="16">
        <v>781.23699999999997</v>
      </c>
      <c r="Z12" s="16">
        <v>3804.4389999999999</v>
      </c>
      <c r="AA12" s="21"/>
      <c r="AC12" s="34"/>
    </row>
    <row r="13" spans="1:29" x14ac:dyDescent="0.25">
      <c r="A13" s="24">
        <v>43717</v>
      </c>
      <c r="B13" s="32">
        <v>70</v>
      </c>
      <c r="C13" s="33">
        <v>104</v>
      </c>
      <c r="D13" s="16">
        <v>783241</v>
      </c>
      <c r="E13" s="16">
        <v>785622</v>
      </c>
      <c r="F13" s="16">
        <v>990422</v>
      </c>
      <c r="G13" s="16">
        <v>989725</v>
      </c>
      <c r="H13" s="16">
        <v>9908483</v>
      </c>
      <c r="I13" s="27"/>
      <c r="J13" s="16"/>
      <c r="K13" s="16"/>
      <c r="L13" s="16">
        <v>225058</v>
      </c>
      <c r="M13" s="16">
        <v>2387365</v>
      </c>
      <c r="N13" s="16">
        <v>9859372</v>
      </c>
      <c r="O13" s="16">
        <f>O12+190</f>
        <v>289725</v>
      </c>
      <c r="P13" s="16">
        <v>1388230</v>
      </c>
      <c r="Q13" s="16">
        <v>401026</v>
      </c>
      <c r="R13" s="16">
        <v>218</v>
      </c>
      <c r="S13" s="16">
        <v>95081</v>
      </c>
      <c r="T13" s="16">
        <v>301256</v>
      </c>
      <c r="U13" s="16">
        <v>47032</v>
      </c>
      <c r="V13" s="16">
        <v>29456</v>
      </c>
      <c r="W13" s="27"/>
      <c r="X13" s="16">
        <v>327.089</v>
      </c>
      <c r="Y13" s="16">
        <v>781.25400000000002</v>
      </c>
      <c r="Z13" s="16">
        <v>3804.4389999999999</v>
      </c>
      <c r="AA13" s="21"/>
      <c r="AC13" s="34"/>
    </row>
    <row r="14" spans="1:29" x14ac:dyDescent="0.25">
      <c r="A14" s="24">
        <v>43718</v>
      </c>
      <c r="B14" s="32">
        <v>60</v>
      </c>
      <c r="C14" s="33">
        <v>96</v>
      </c>
      <c r="D14" s="16">
        <v>783642</v>
      </c>
      <c r="E14" s="16">
        <v>786024</v>
      </c>
      <c r="F14" s="16">
        <v>991066</v>
      </c>
      <c r="G14" s="16">
        <v>990369</v>
      </c>
      <c r="H14" s="16">
        <v>9909162</v>
      </c>
      <c r="I14" s="27"/>
      <c r="J14" s="16"/>
      <c r="K14" s="16"/>
      <c r="L14" s="16">
        <f t="shared" ref="L14:L19" si="0">L13+1124</f>
        <v>226182</v>
      </c>
      <c r="M14" s="16">
        <v>2388174</v>
      </c>
      <c r="N14" s="16">
        <v>9860787</v>
      </c>
      <c r="O14" s="16">
        <f>O13+190</f>
        <v>289915</v>
      </c>
      <c r="P14" s="16">
        <v>1388950</v>
      </c>
      <c r="Q14" s="16">
        <v>401026</v>
      </c>
      <c r="R14" s="16">
        <v>218</v>
      </c>
      <c r="S14" s="16">
        <v>95148</v>
      </c>
      <c r="T14" s="16">
        <v>301301</v>
      </c>
      <c r="U14" s="16">
        <v>47042</v>
      </c>
      <c r="V14" s="16">
        <v>29456</v>
      </c>
      <c r="W14" s="27"/>
      <c r="X14" s="16">
        <v>327.16000000000003</v>
      </c>
      <c r="Y14" s="16">
        <v>781.31500000000005</v>
      </c>
      <c r="Z14" s="16">
        <v>3804.4389999999999</v>
      </c>
      <c r="AA14" s="21"/>
      <c r="AC14" s="34"/>
    </row>
    <row r="15" spans="1:29" x14ac:dyDescent="0.25">
      <c r="A15" s="24">
        <v>43719</v>
      </c>
      <c r="B15" s="32">
        <v>126</v>
      </c>
      <c r="C15" s="33">
        <v>143</v>
      </c>
      <c r="D15" s="16">
        <v>784061</v>
      </c>
      <c r="E15" s="16">
        <v>786443</v>
      </c>
      <c r="F15" s="16">
        <v>991702</v>
      </c>
      <c r="G15" s="16">
        <v>991005</v>
      </c>
      <c r="H15" s="16">
        <v>9909793</v>
      </c>
      <c r="I15" s="27"/>
      <c r="J15" s="16"/>
      <c r="K15" s="16"/>
      <c r="L15" s="16">
        <f t="shared" si="0"/>
        <v>227306</v>
      </c>
      <c r="M15" s="16">
        <v>2388943</v>
      </c>
      <c r="N15" s="16">
        <v>9861985</v>
      </c>
      <c r="O15" s="16">
        <v>290108</v>
      </c>
      <c r="P15" s="16">
        <v>1389710</v>
      </c>
      <c r="Q15" s="16">
        <v>401026</v>
      </c>
      <c r="R15" s="16">
        <v>219</v>
      </c>
      <c r="S15" s="16">
        <v>95205</v>
      </c>
      <c r="T15" s="16">
        <v>301347</v>
      </c>
      <c r="U15" s="16">
        <v>47051</v>
      </c>
      <c r="V15" s="16">
        <v>29457</v>
      </c>
      <c r="W15" s="27"/>
      <c r="X15" s="16">
        <v>327.20600000000002</v>
      </c>
      <c r="Y15" s="16">
        <v>781.41200000000003</v>
      </c>
      <c r="Z15" s="16">
        <v>3804.4389999999999</v>
      </c>
      <c r="AA15" s="21"/>
      <c r="AC15" s="34"/>
    </row>
    <row r="16" spans="1:29" x14ac:dyDescent="0.25">
      <c r="A16" s="24">
        <v>43720</v>
      </c>
      <c r="B16" s="32">
        <v>127</v>
      </c>
      <c r="C16" s="33">
        <v>148</v>
      </c>
      <c r="D16" s="16">
        <v>784526</v>
      </c>
      <c r="E16" s="16">
        <v>786909</v>
      </c>
      <c r="F16" s="16">
        <v>992374</v>
      </c>
      <c r="G16" s="16">
        <v>991676</v>
      </c>
      <c r="H16" s="16">
        <v>9910461</v>
      </c>
      <c r="I16" s="27"/>
      <c r="J16" s="16"/>
      <c r="K16" s="16"/>
      <c r="L16" s="16">
        <f t="shared" si="0"/>
        <v>228430</v>
      </c>
      <c r="M16" s="16">
        <v>2389739</v>
      </c>
      <c r="N16" s="16">
        <v>9863136</v>
      </c>
      <c r="O16" s="16">
        <f>O15+190</f>
        <v>290298</v>
      </c>
      <c r="P16" s="16">
        <v>1390530</v>
      </c>
      <c r="Q16" s="16">
        <v>401026</v>
      </c>
      <c r="R16" s="16">
        <v>220</v>
      </c>
      <c r="S16" s="16">
        <v>95273</v>
      </c>
      <c r="T16" s="16">
        <v>301406</v>
      </c>
      <c r="U16" s="16">
        <v>47061</v>
      </c>
      <c r="V16" s="16">
        <v>29457</v>
      </c>
      <c r="W16" s="27"/>
      <c r="X16" s="16">
        <v>327.25</v>
      </c>
      <c r="Y16" s="16">
        <v>781.43899999999996</v>
      </c>
      <c r="Z16" s="16">
        <v>3804.4389999999999</v>
      </c>
      <c r="AA16" s="21"/>
      <c r="AC16" s="34"/>
    </row>
    <row r="17" spans="1:29" x14ac:dyDescent="0.25">
      <c r="A17" s="24">
        <v>43721</v>
      </c>
      <c r="B17" s="32">
        <v>89</v>
      </c>
      <c r="C17" s="33">
        <v>162</v>
      </c>
      <c r="D17" s="16">
        <v>784998</v>
      </c>
      <c r="E17" s="16">
        <v>787381</v>
      </c>
      <c r="F17" s="16">
        <v>993021</v>
      </c>
      <c r="G17" s="16">
        <v>992323</v>
      </c>
      <c r="H17" s="16">
        <v>9911071</v>
      </c>
      <c r="I17" s="27"/>
      <c r="J17" s="16"/>
      <c r="K17" s="16"/>
      <c r="L17" s="16">
        <f t="shared" si="0"/>
        <v>229554</v>
      </c>
      <c r="M17" s="16">
        <v>2390496</v>
      </c>
      <c r="N17" s="16">
        <v>9864237</v>
      </c>
      <c r="O17" s="16">
        <f>O16+190</f>
        <v>290488</v>
      </c>
      <c r="P17" s="16">
        <v>1391370</v>
      </c>
      <c r="Q17" s="16">
        <v>401026</v>
      </c>
      <c r="R17" s="16">
        <v>222</v>
      </c>
      <c r="S17" s="16">
        <v>95344</v>
      </c>
      <c r="T17" s="16">
        <v>301461</v>
      </c>
      <c r="U17" s="16">
        <v>47069</v>
      </c>
      <c r="V17" s="16">
        <v>29457</v>
      </c>
      <c r="W17" s="27"/>
      <c r="X17" s="16">
        <v>327.31599999999997</v>
      </c>
      <c r="Y17" s="16">
        <v>781.46799999999996</v>
      </c>
      <c r="Z17" s="16">
        <v>3804.4389999999999</v>
      </c>
      <c r="AA17" s="35"/>
      <c r="AC17" s="34"/>
    </row>
    <row r="18" spans="1:29" x14ac:dyDescent="0.25">
      <c r="A18" s="24">
        <v>43722</v>
      </c>
      <c r="B18" s="32">
        <v>114</v>
      </c>
      <c r="C18" s="33">
        <v>223</v>
      </c>
      <c r="D18" s="16">
        <v>785453</v>
      </c>
      <c r="E18" s="16">
        <v>787836</v>
      </c>
      <c r="F18" s="16">
        <v>993701</v>
      </c>
      <c r="G18" s="16">
        <v>993002</v>
      </c>
      <c r="H18" s="16">
        <v>9911855</v>
      </c>
      <c r="I18" s="27"/>
      <c r="J18" s="16"/>
      <c r="K18" s="16"/>
      <c r="L18" s="16">
        <f t="shared" si="0"/>
        <v>230678</v>
      </c>
      <c r="M18" s="16">
        <v>2391282</v>
      </c>
      <c r="N18" s="16">
        <v>9865470</v>
      </c>
      <c r="O18" s="16">
        <v>290675</v>
      </c>
      <c r="P18" s="16">
        <v>1392180</v>
      </c>
      <c r="Q18" s="16">
        <v>401043</v>
      </c>
      <c r="R18" s="16">
        <v>224</v>
      </c>
      <c r="S18" s="16">
        <v>95417</v>
      </c>
      <c r="T18" s="16">
        <v>301523</v>
      </c>
      <c r="U18" s="16">
        <v>47079</v>
      </c>
      <c r="V18" s="16">
        <v>29459</v>
      </c>
      <c r="W18" s="27"/>
      <c r="X18" s="16">
        <v>327.38299999999998</v>
      </c>
      <c r="Y18" s="16">
        <v>781.49699999999996</v>
      </c>
      <c r="Z18" s="16">
        <v>3804.44</v>
      </c>
      <c r="AA18" s="35"/>
      <c r="AC18" s="34"/>
    </row>
    <row r="19" spans="1:29" x14ac:dyDescent="0.25">
      <c r="A19" s="24">
        <v>43723</v>
      </c>
      <c r="B19" s="32">
        <v>71</v>
      </c>
      <c r="C19" s="33">
        <v>137</v>
      </c>
      <c r="D19" s="16">
        <v>785907</v>
      </c>
      <c r="E19" s="16">
        <v>788290</v>
      </c>
      <c r="F19" s="16">
        <v>994378</v>
      </c>
      <c r="G19" s="16">
        <v>993679</v>
      </c>
      <c r="H19" s="16">
        <v>9912490</v>
      </c>
      <c r="I19" s="27"/>
      <c r="J19" s="16"/>
      <c r="K19" s="16"/>
      <c r="L19" s="16">
        <f t="shared" si="0"/>
        <v>231802</v>
      </c>
      <c r="M19" s="16">
        <v>2392016</v>
      </c>
      <c r="N19" s="16">
        <v>9866655</v>
      </c>
      <c r="O19" s="16">
        <f>O18+190</f>
        <v>290865</v>
      </c>
      <c r="P19" s="16">
        <v>1393000</v>
      </c>
      <c r="Q19" s="16">
        <v>401067</v>
      </c>
      <c r="R19" s="16">
        <v>225</v>
      </c>
      <c r="S19" s="16">
        <v>95489</v>
      </c>
      <c r="T19" s="16">
        <v>301587</v>
      </c>
      <c r="U19" s="16">
        <v>47089</v>
      </c>
      <c r="V19" s="16">
        <v>29459</v>
      </c>
      <c r="W19" s="27"/>
      <c r="X19" s="16">
        <v>327.45400000000001</v>
      </c>
      <c r="Y19" s="16">
        <v>781.51700000000005</v>
      </c>
      <c r="Z19" s="16">
        <v>3804.44</v>
      </c>
      <c r="AA19" s="35"/>
      <c r="AC19" s="34"/>
    </row>
    <row r="20" spans="1:29" x14ac:dyDescent="0.25">
      <c r="A20" s="24">
        <v>43724</v>
      </c>
      <c r="B20" s="32">
        <v>66</v>
      </c>
      <c r="C20" s="33">
        <v>108</v>
      </c>
      <c r="D20" s="16">
        <v>786408</v>
      </c>
      <c r="E20" s="16">
        <v>788791</v>
      </c>
      <c r="F20" s="16">
        <v>995061</v>
      </c>
      <c r="G20" s="16">
        <v>994361</v>
      </c>
      <c r="H20" s="16">
        <v>9913130</v>
      </c>
      <c r="I20" s="27"/>
      <c r="J20" s="16"/>
      <c r="K20" s="16"/>
      <c r="L20" s="16">
        <v>232091</v>
      </c>
      <c r="M20" s="16">
        <v>2392773</v>
      </c>
      <c r="N20" s="16">
        <v>9867743</v>
      </c>
      <c r="O20" s="16">
        <v>291068</v>
      </c>
      <c r="P20" s="16">
        <v>1393860</v>
      </c>
      <c r="Q20" s="16">
        <v>401279</v>
      </c>
      <c r="R20" s="16">
        <v>228</v>
      </c>
      <c r="S20" s="16">
        <v>95562</v>
      </c>
      <c r="T20" s="16">
        <v>301651</v>
      </c>
      <c r="U20" s="16">
        <v>47098</v>
      </c>
      <c r="V20" s="16">
        <v>29484</v>
      </c>
      <c r="W20" s="27"/>
      <c r="X20" s="16">
        <v>327.529</v>
      </c>
      <c r="Y20" s="16">
        <v>781.53</v>
      </c>
      <c r="Z20" s="16">
        <v>3804.44</v>
      </c>
      <c r="AA20" s="35"/>
      <c r="AC20" s="34"/>
    </row>
    <row r="21" spans="1:29" x14ac:dyDescent="0.25">
      <c r="A21" s="24">
        <v>43725</v>
      </c>
      <c r="B21" s="32">
        <v>107</v>
      </c>
      <c r="C21" s="33">
        <v>164</v>
      </c>
      <c r="D21" s="16">
        <v>786878</v>
      </c>
      <c r="E21" s="16">
        <v>789261</v>
      </c>
      <c r="F21" s="16">
        <v>995723</v>
      </c>
      <c r="G21" s="16">
        <v>995023</v>
      </c>
      <c r="H21" s="16">
        <v>9913767</v>
      </c>
      <c r="I21" s="16"/>
      <c r="J21" s="16"/>
      <c r="K21" s="16"/>
      <c r="L21" s="16">
        <v>233033</v>
      </c>
      <c r="M21" s="16">
        <v>2393568</v>
      </c>
      <c r="N21" s="16">
        <v>9868967</v>
      </c>
      <c r="O21" s="16">
        <v>291251</v>
      </c>
      <c r="P21" s="16">
        <v>1394701</v>
      </c>
      <c r="Q21" s="16">
        <v>401279</v>
      </c>
      <c r="R21" s="16">
        <v>230</v>
      </c>
      <c r="S21" s="16">
        <v>95628</v>
      </c>
      <c r="T21" s="16">
        <v>301708</v>
      </c>
      <c r="U21" s="16">
        <v>47106</v>
      </c>
      <c r="V21" s="16">
        <v>29464</v>
      </c>
      <c r="W21" s="27"/>
      <c r="X21" s="16">
        <v>327.62599999999998</v>
      </c>
      <c r="Y21" s="16">
        <v>781.55799999999999</v>
      </c>
      <c r="Z21" s="16">
        <v>3804.44</v>
      </c>
      <c r="AA21" s="35"/>
    </row>
    <row r="22" spans="1:29" x14ac:dyDescent="0.25">
      <c r="A22" s="24">
        <v>43726</v>
      </c>
      <c r="B22" s="30">
        <v>128</v>
      </c>
      <c r="C22" s="30">
        <v>177</v>
      </c>
      <c r="D22" s="16">
        <v>787365</v>
      </c>
      <c r="E22" s="16">
        <v>789749</v>
      </c>
      <c r="F22" s="16">
        <v>996296</v>
      </c>
      <c r="G22" s="16">
        <v>995596</v>
      </c>
      <c r="H22" s="16">
        <v>9914468</v>
      </c>
      <c r="I22" s="16"/>
      <c r="J22" s="16"/>
      <c r="K22" s="16"/>
      <c r="L22" s="16">
        <f t="shared" ref="L22:L28" si="1">L21+1035</f>
        <v>234068</v>
      </c>
      <c r="M22" s="16">
        <v>2394347</v>
      </c>
      <c r="N22" s="16">
        <v>9870348</v>
      </c>
      <c r="O22" s="16">
        <v>291436</v>
      </c>
      <c r="P22" s="16">
        <v>1394904</v>
      </c>
      <c r="Q22" s="16">
        <v>402108</v>
      </c>
      <c r="R22" s="16">
        <v>230</v>
      </c>
      <c r="S22" s="16">
        <v>95694</v>
      </c>
      <c r="T22" s="16">
        <v>301765</v>
      </c>
      <c r="U22" s="16">
        <v>47114</v>
      </c>
      <c r="V22" s="16">
        <v>29466</v>
      </c>
      <c r="W22" s="27"/>
      <c r="X22" s="16">
        <v>327.71100000000001</v>
      </c>
      <c r="Y22" s="16">
        <v>781.59199999999998</v>
      </c>
      <c r="Z22" s="16">
        <v>3804.44</v>
      </c>
      <c r="AA22" s="35"/>
    </row>
    <row r="23" spans="1:29" x14ac:dyDescent="0.25">
      <c r="A23" s="24">
        <v>43727</v>
      </c>
      <c r="B23" s="30">
        <v>75</v>
      </c>
      <c r="C23" s="30">
        <v>136</v>
      </c>
      <c r="D23" s="16">
        <v>787907</v>
      </c>
      <c r="E23" s="16">
        <v>790291</v>
      </c>
      <c r="F23" s="16">
        <v>996882</v>
      </c>
      <c r="G23" s="16">
        <v>996181</v>
      </c>
      <c r="H23" s="16">
        <v>9915237</v>
      </c>
      <c r="I23" s="16"/>
      <c r="J23" s="16"/>
      <c r="K23" s="16"/>
      <c r="L23" s="16">
        <f t="shared" si="1"/>
        <v>235103</v>
      </c>
      <c r="M23" s="16">
        <v>2395146</v>
      </c>
      <c r="N23" s="16">
        <v>9871825</v>
      </c>
      <c r="O23" s="36">
        <v>291636</v>
      </c>
      <c r="P23" s="16">
        <v>1394902</v>
      </c>
      <c r="Q23" s="16">
        <v>403352</v>
      </c>
      <c r="R23" s="16">
        <v>230</v>
      </c>
      <c r="S23" s="16">
        <v>95770</v>
      </c>
      <c r="T23" s="16">
        <v>301830</v>
      </c>
      <c r="U23" s="16">
        <v>47125</v>
      </c>
      <c r="V23" s="16">
        <v>29467</v>
      </c>
      <c r="W23" s="27"/>
      <c r="X23" s="16">
        <v>327.798</v>
      </c>
      <c r="Y23" s="16">
        <v>781.61599999999999</v>
      </c>
      <c r="Z23" s="16">
        <v>3804.44</v>
      </c>
      <c r="AA23" s="35"/>
    </row>
    <row r="24" spans="1:29" x14ac:dyDescent="0.25">
      <c r="A24" s="24">
        <v>43728</v>
      </c>
      <c r="B24" s="30">
        <v>66</v>
      </c>
      <c r="C24" s="30">
        <v>177</v>
      </c>
      <c r="D24" s="36">
        <v>788467</v>
      </c>
      <c r="E24" s="36">
        <v>790852</v>
      </c>
      <c r="F24" s="36">
        <v>997473</v>
      </c>
      <c r="G24" s="36">
        <v>996772</v>
      </c>
      <c r="H24" s="36">
        <f>H23+778</f>
        <v>9916015</v>
      </c>
      <c r="I24" s="36"/>
      <c r="J24" s="36"/>
      <c r="K24" s="36"/>
      <c r="L24" s="36">
        <f t="shared" si="1"/>
        <v>236138</v>
      </c>
      <c r="M24" s="36">
        <f>M23+795</f>
        <v>2395941</v>
      </c>
      <c r="N24" s="36">
        <v>9873234</v>
      </c>
      <c r="O24" s="36">
        <f>O23+187</f>
        <v>291823</v>
      </c>
      <c r="P24" s="37">
        <v>1394904</v>
      </c>
      <c r="Q24" s="36">
        <v>404708</v>
      </c>
      <c r="R24" s="36">
        <v>230</v>
      </c>
      <c r="S24" s="36">
        <f>S23+77</f>
        <v>95847</v>
      </c>
      <c r="T24" s="36">
        <f>T23+66</f>
        <v>301896</v>
      </c>
      <c r="U24" s="36">
        <v>47140</v>
      </c>
      <c r="V24" s="36">
        <v>29468</v>
      </c>
      <c r="W24" s="27"/>
      <c r="X24" s="16">
        <v>327.87400000000002</v>
      </c>
      <c r="Y24" s="16">
        <v>781.64400000000001</v>
      </c>
      <c r="Z24" s="16">
        <v>3804.44</v>
      </c>
      <c r="AA24" s="35"/>
    </row>
    <row r="25" spans="1:29" x14ac:dyDescent="0.25">
      <c r="A25" s="24">
        <v>43729</v>
      </c>
      <c r="B25" s="30">
        <v>121</v>
      </c>
      <c r="C25" s="30">
        <v>304</v>
      </c>
      <c r="D25" s="36">
        <f>D24+482</f>
        <v>788949</v>
      </c>
      <c r="E25" s="36">
        <f>E24+482</f>
        <v>791334</v>
      </c>
      <c r="F25" s="36">
        <f>F24+668</f>
        <v>998141</v>
      </c>
      <c r="G25" s="36">
        <f>G24+668</f>
        <v>997440</v>
      </c>
      <c r="H25" s="36">
        <f>H24+778</f>
        <v>9916793</v>
      </c>
      <c r="I25" s="16"/>
      <c r="J25" s="16"/>
      <c r="K25" s="16"/>
      <c r="L25" s="36">
        <f t="shared" si="1"/>
        <v>237173</v>
      </c>
      <c r="M25" s="36">
        <f>M24+795</f>
        <v>2396736</v>
      </c>
      <c r="N25" s="36">
        <f>N24+1282</f>
        <v>9874516</v>
      </c>
      <c r="O25" s="36">
        <f>O24+187</f>
        <v>292010</v>
      </c>
      <c r="P25" s="16">
        <f>P24+723</f>
        <v>1395627</v>
      </c>
      <c r="Q25" s="36">
        <f>Q24</f>
        <v>404708</v>
      </c>
      <c r="R25" s="38">
        <f>R24+1.5</f>
        <v>231.5</v>
      </c>
      <c r="S25" s="36">
        <f>S24+77</f>
        <v>95924</v>
      </c>
      <c r="T25" s="36">
        <f>T24+66</f>
        <v>301962</v>
      </c>
      <c r="U25" s="38">
        <f>U24+7.5</f>
        <v>47147.5</v>
      </c>
      <c r="V25" s="16">
        <v>29468</v>
      </c>
      <c r="W25" s="27"/>
      <c r="X25" s="16">
        <v>327.87400000000002</v>
      </c>
      <c r="Y25" s="16">
        <v>781.65800000000002</v>
      </c>
      <c r="Z25" s="16">
        <v>3804.44</v>
      </c>
      <c r="AA25" s="35"/>
    </row>
    <row r="26" spans="1:29" x14ac:dyDescent="0.25">
      <c r="A26" s="24">
        <v>43730</v>
      </c>
      <c r="B26" s="30">
        <v>120</v>
      </c>
      <c r="C26" s="30">
        <v>189</v>
      </c>
      <c r="D26" s="16">
        <v>789431</v>
      </c>
      <c r="E26" s="16">
        <v>791817</v>
      </c>
      <c r="F26" s="16">
        <v>998809</v>
      </c>
      <c r="G26" s="16">
        <v>998108</v>
      </c>
      <c r="H26" s="36">
        <f>H25+778</f>
        <v>9917571</v>
      </c>
      <c r="I26" s="16"/>
      <c r="J26" s="16"/>
      <c r="K26" s="16"/>
      <c r="L26" s="36">
        <f t="shared" si="1"/>
        <v>238208</v>
      </c>
      <c r="M26" s="36">
        <f>M25+795</f>
        <v>2397531</v>
      </c>
      <c r="N26" s="16">
        <v>9875799</v>
      </c>
      <c r="O26" s="36">
        <f>O25+187</f>
        <v>292197</v>
      </c>
      <c r="P26" s="16">
        <v>1396350</v>
      </c>
      <c r="Q26" s="36">
        <f>Q25+157</f>
        <v>404865</v>
      </c>
      <c r="R26" s="16">
        <v>233</v>
      </c>
      <c r="S26" s="16">
        <v>96002</v>
      </c>
      <c r="T26" s="16">
        <v>302029</v>
      </c>
      <c r="U26" s="16">
        <v>47155</v>
      </c>
      <c r="V26" s="16">
        <v>29469</v>
      </c>
      <c r="W26" s="27"/>
      <c r="X26" s="16">
        <v>327.95600000000002</v>
      </c>
      <c r="Y26" s="16">
        <v>781.7</v>
      </c>
      <c r="Z26" s="16">
        <v>3804.4850000000001</v>
      </c>
      <c r="AA26" s="35"/>
    </row>
    <row r="27" spans="1:29" x14ac:dyDescent="0.25">
      <c r="A27" s="24">
        <v>43731</v>
      </c>
      <c r="B27" s="30">
        <v>106</v>
      </c>
      <c r="C27" s="30">
        <v>119</v>
      </c>
      <c r="D27" s="16">
        <v>789982</v>
      </c>
      <c r="E27" s="16">
        <v>792368</v>
      </c>
      <c r="F27" s="16">
        <v>999569</v>
      </c>
      <c r="G27" s="16">
        <v>998867</v>
      </c>
      <c r="H27" s="16">
        <v>9918351</v>
      </c>
      <c r="I27" s="16"/>
      <c r="J27" s="16"/>
      <c r="K27" s="16"/>
      <c r="L27" s="36">
        <f t="shared" si="1"/>
        <v>239243</v>
      </c>
      <c r="M27" s="16">
        <v>2398326</v>
      </c>
      <c r="N27" s="16">
        <v>9877253</v>
      </c>
      <c r="O27" s="36">
        <v>292386.7</v>
      </c>
      <c r="P27" s="16">
        <v>1397176</v>
      </c>
      <c r="Q27" s="16">
        <v>405023</v>
      </c>
      <c r="R27" s="16">
        <v>236</v>
      </c>
      <c r="S27" s="16">
        <v>96091</v>
      </c>
      <c r="T27" s="16">
        <v>302105</v>
      </c>
      <c r="U27" s="16">
        <v>47163</v>
      </c>
      <c r="V27" s="16">
        <v>29469</v>
      </c>
      <c r="W27" s="27"/>
      <c r="X27" s="16">
        <v>328.01900000000001</v>
      </c>
      <c r="Y27" s="16">
        <v>781.71100000000001</v>
      </c>
      <c r="Z27" s="16">
        <v>3804.4850000000001</v>
      </c>
      <c r="AA27" s="35"/>
    </row>
    <row r="28" spans="1:29" x14ac:dyDescent="0.25">
      <c r="A28" s="24">
        <v>43732</v>
      </c>
      <c r="B28" s="30">
        <v>81</v>
      </c>
      <c r="C28" s="30">
        <v>100</v>
      </c>
      <c r="D28" s="16">
        <v>790513</v>
      </c>
      <c r="E28" s="16">
        <v>792899</v>
      </c>
      <c r="F28" s="16">
        <v>285</v>
      </c>
      <c r="G28" s="16">
        <v>999583</v>
      </c>
      <c r="H28" s="16">
        <v>9919120</v>
      </c>
      <c r="I28" s="16"/>
      <c r="J28" s="16"/>
      <c r="K28" s="16"/>
      <c r="L28" s="36">
        <f t="shared" si="1"/>
        <v>240278</v>
      </c>
      <c r="M28" s="16">
        <v>2399103</v>
      </c>
      <c r="N28" s="16">
        <v>9878646</v>
      </c>
      <c r="O28" s="36">
        <v>292590</v>
      </c>
      <c r="P28" s="16">
        <v>1397963</v>
      </c>
      <c r="Q28" s="16">
        <v>405076</v>
      </c>
      <c r="R28" s="16">
        <v>238</v>
      </c>
      <c r="S28" s="16">
        <v>96163</v>
      </c>
      <c r="T28" s="16">
        <v>302163</v>
      </c>
      <c r="U28" s="16">
        <v>47171</v>
      </c>
      <c r="V28" s="16">
        <v>29469</v>
      </c>
      <c r="W28" s="27"/>
      <c r="X28" s="16">
        <v>328.06200000000001</v>
      </c>
      <c r="Y28" s="16">
        <v>781.73500000000001</v>
      </c>
      <c r="Z28" s="16">
        <v>3804.6019999999999</v>
      </c>
      <c r="AA28" s="35"/>
    </row>
    <row r="29" spans="1:29" x14ac:dyDescent="0.25">
      <c r="A29" s="24">
        <v>43733</v>
      </c>
      <c r="B29" s="30">
        <v>129</v>
      </c>
      <c r="C29" s="30">
        <v>146</v>
      </c>
      <c r="D29" s="16">
        <v>790893</v>
      </c>
      <c r="E29" s="16">
        <v>793280</v>
      </c>
      <c r="F29" s="16">
        <v>830</v>
      </c>
      <c r="G29" s="16">
        <v>127</v>
      </c>
      <c r="H29" s="16">
        <v>9919875</v>
      </c>
      <c r="I29" s="16"/>
      <c r="J29" s="16"/>
      <c r="K29" s="16"/>
      <c r="L29" s="16">
        <v>241313</v>
      </c>
      <c r="M29" s="16">
        <v>2399891</v>
      </c>
      <c r="N29" s="16">
        <v>9879695</v>
      </c>
      <c r="O29" s="16">
        <v>292739</v>
      </c>
      <c r="P29" s="16">
        <v>1398610</v>
      </c>
      <c r="Q29" s="16">
        <v>405076</v>
      </c>
      <c r="R29" s="16">
        <v>239</v>
      </c>
      <c r="S29" s="16">
        <v>96227</v>
      </c>
      <c r="T29" s="16">
        <v>302203</v>
      </c>
      <c r="U29" s="16">
        <v>47178</v>
      </c>
      <c r="V29" s="16">
        <v>29470</v>
      </c>
      <c r="W29" s="27"/>
      <c r="X29" s="16">
        <v>328.11700000000002</v>
      </c>
      <c r="Y29" s="16">
        <v>781822</v>
      </c>
      <c r="Z29" s="16">
        <v>3805.0309999999999</v>
      </c>
      <c r="AA29" s="35"/>
    </row>
    <row r="30" spans="1:29" x14ac:dyDescent="0.25">
      <c r="A30" s="24">
        <v>43734</v>
      </c>
      <c r="B30" s="30">
        <v>59</v>
      </c>
      <c r="C30" s="30">
        <v>93</v>
      </c>
      <c r="D30" s="16">
        <v>791428</v>
      </c>
      <c r="E30" s="16">
        <v>793815</v>
      </c>
      <c r="F30" s="16">
        <v>1422</v>
      </c>
      <c r="G30" s="16">
        <v>719</v>
      </c>
      <c r="H30" s="16">
        <v>9920652</v>
      </c>
      <c r="I30" s="16"/>
      <c r="J30" s="16"/>
      <c r="K30" s="16"/>
      <c r="L30" s="16">
        <v>242314</v>
      </c>
      <c r="M30" s="16">
        <v>2400680</v>
      </c>
      <c r="N30" s="16">
        <v>9880909</v>
      </c>
      <c r="O30" s="16">
        <v>292909</v>
      </c>
      <c r="P30" s="16">
        <v>1398858</v>
      </c>
      <c r="Q30" s="16">
        <v>405998</v>
      </c>
      <c r="R30" s="16">
        <v>240</v>
      </c>
      <c r="S30" s="16">
        <v>96297</v>
      </c>
      <c r="T30" s="16">
        <v>302255</v>
      </c>
      <c r="U30" s="16">
        <v>47185</v>
      </c>
      <c r="V30" s="16">
        <v>29470</v>
      </c>
      <c r="W30" s="27"/>
      <c r="X30" s="16">
        <v>328.19600000000003</v>
      </c>
      <c r="Y30" s="16">
        <v>781848</v>
      </c>
      <c r="Z30" s="16">
        <v>3805.0309999999999</v>
      </c>
      <c r="AA30" s="35"/>
    </row>
    <row r="31" spans="1:29" x14ac:dyDescent="0.25">
      <c r="A31" s="24">
        <v>43735</v>
      </c>
      <c r="B31" s="30">
        <v>66</v>
      </c>
      <c r="C31" s="30">
        <v>168</v>
      </c>
      <c r="D31" s="16">
        <v>791899</v>
      </c>
      <c r="E31" s="16">
        <v>794286</v>
      </c>
      <c r="F31" s="16">
        <v>2079</v>
      </c>
      <c r="G31" s="16">
        <v>1375</v>
      </c>
      <c r="H31" s="16">
        <v>9921452</v>
      </c>
      <c r="I31" s="16"/>
      <c r="J31" s="16"/>
      <c r="K31" s="16"/>
      <c r="L31" s="16">
        <f>L30+1035</f>
        <v>243349</v>
      </c>
      <c r="M31" s="16">
        <v>2401471</v>
      </c>
      <c r="N31" s="16">
        <v>9882169</v>
      </c>
      <c r="O31" s="36">
        <v>293085</v>
      </c>
      <c r="P31" s="16">
        <v>1399611</v>
      </c>
      <c r="Q31" s="16">
        <v>406013</v>
      </c>
      <c r="R31" s="16">
        <v>242</v>
      </c>
      <c r="S31" s="16">
        <v>96359</v>
      </c>
      <c r="T31" s="16">
        <v>302304</v>
      </c>
      <c r="U31" s="16">
        <v>47193</v>
      </c>
      <c r="V31" s="16">
        <v>29471</v>
      </c>
      <c r="W31" s="27"/>
      <c r="X31" s="16">
        <v>328.25900000000001</v>
      </c>
      <c r="Y31" s="16">
        <v>781.88199999999995</v>
      </c>
      <c r="Z31" s="16">
        <v>3805.0309999999999</v>
      </c>
      <c r="AA31" s="35"/>
    </row>
    <row r="32" spans="1:29" x14ac:dyDescent="0.25">
      <c r="A32" s="24">
        <v>43736</v>
      </c>
      <c r="B32" s="30">
        <v>119</v>
      </c>
      <c r="C32" s="30">
        <v>283</v>
      </c>
      <c r="D32" s="16">
        <v>792374</v>
      </c>
      <c r="E32" s="16">
        <v>794762</v>
      </c>
      <c r="F32" s="16">
        <v>2773</v>
      </c>
      <c r="G32" s="16">
        <v>2069</v>
      </c>
      <c r="H32" s="16">
        <v>9922240</v>
      </c>
      <c r="I32" s="16"/>
      <c r="J32" s="16"/>
      <c r="K32" s="16"/>
      <c r="L32" s="16">
        <f>L31+1035</f>
        <v>244384</v>
      </c>
      <c r="M32" s="16">
        <v>2402317</v>
      </c>
      <c r="N32" s="16">
        <v>9883597</v>
      </c>
      <c r="O32" s="36">
        <v>293277</v>
      </c>
      <c r="P32" s="16">
        <v>1400347</v>
      </c>
      <c r="Q32" s="16">
        <v>406013</v>
      </c>
      <c r="R32" s="16">
        <v>244</v>
      </c>
      <c r="S32" s="16">
        <v>96430</v>
      </c>
      <c r="T32" s="16">
        <v>302361</v>
      </c>
      <c r="U32" s="16">
        <v>47201</v>
      </c>
      <c r="V32" s="16">
        <v>29472</v>
      </c>
      <c r="W32" s="27"/>
      <c r="X32" s="16">
        <v>328.30900000000003</v>
      </c>
      <c r="Y32" s="16">
        <v>781.91800000000001</v>
      </c>
      <c r="Z32" s="16">
        <v>3805.0309999999999</v>
      </c>
      <c r="AA32" s="35"/>
    </row>
    <row r="33" spans="1:27" x14ac:dyDescent="0.25">
      <c r="A33" s="24">
        <v>43737</v>
      </c>
      <c r="B33" s="30">
        <v>43</v>
      </c>
      <c r="C33" s="30">
        <v>82</v>
      </c>
      <c r="D33" s="16">
        <v>792843</v>
      </c>
      <c r="E33" s="16">
        <v>795231</v>
      </c>
      <c r="F33" s="16">
        <v>3473</v>
      </c>
      <c r="G33" s="16">
        <v>2768</v>
      </c>
      <c r="H33" s="16">
        <v>9923019</v>
      </c>
      <c r="I33" s="16"/>
      <c r="J33" s="16"/>
      <c r="K33" s="16"/>
      <c r="L33" s="16">
        <f>L32+1035</f>
        <v>245419</v>
      </c>
      <c r="M33" s="16">
        <v>2403107</v>
      </c>
      <c r="N33" s="16">
        <v>9884940</v>
      </c>
      <c r="O33" s="36">
        <v>293463</v>
      </c>
      <c r="P33" s="16">
        <v>1401116</v>
      </c>
      <c r="Q33" s="16">
        <v>406013</v>
      </c>
      <c r="R33" s="16">
        <v>245</v>
      </c>
      <c r="S33" s="16">
        <v>96518</v>
      </c>
      <c r="T33" s="16">
        <v>302433</v>
      </c>
      <c r="U33" s="16">
        <v>47210</v>
      </c>
      <c r="V33" s="16">
        <v>29472</v>
      </c>
      <c r="W33" s="27"/>
      <c r="X33" s="16">
        <v>328.339</v>
      </c>
      <c r="Y33" s="16">
        <v>781.94100000000003</v>
      </c>
      <c r="Z33" s="16">
        <v>3805.0309999999999</v>
      </c>
      <c r="AA33" s="35"/>
    </row>
    <row r="34" spans="1:27" x14ac:dyDescent="0.25">
      <c r="A34" s="24">
        <v>43738</v>
      </c>
      <c r="B34" s="30">
        <v>68</v>
      </c>
      <c r="C34" s="30">
        <v>91</v>
      </c>
      <c r="D34" s="16">
        <v>793296</v>
      </c>
      <c r="E34" s="16">
        <v>795684</v>
      </c>
      <c r="F34" s="16">
        <v>4165</v>
      </c>
      <c r="G34" s="16">
        <v>3460</v>
      </c>
      <c r="H34" s="16">
        <v>9923803</v>
      </c>
      <c r="I34" s="16">
        <v>6146888</v>
      </c>
      <c r="J34" s="16">
        <v>30888</v>
      </c>
      <c r="K34" s="16">
        <v>3969196</v>
      </c>
      <c r="L34" s="16">
        <v>246608</v>
      </c>
      <c r="M34" s="16">
        <v>2403895</v>
      </c>
      <c r="N34" s="16">
        <v>9886322</v>
      </c>
      <c r="O34" s="16">
        <v>293648</v>
      </c>
      <c r="P34" s="16">
        <v>1401905</v>
      </c>
      <c r="Q34" s="16">
        <v>406013</v>
      </c>
      <c r="R34" s="16">
        <v>246</v>
      </c>
      <c r="S34" s="16">
        <v>96600</v>
      </c>
      <c r="T34" s="16">
        <v>302501</v>
      </c>
      <c r="U34" s="16">
        <v>47221</v>
      </c>
      <c r="V34" s="16">
        <v>29473</v>
      </c>
      <c r="W34" s="27"/>
      <c r="X34" s="16">
        <v>328.36200000000002</v>
      </c>
      <c r="Y34" s="16">
        <v>781968</v>
      </c>
      <c r="Z34" s="16">
        <v>3805.0309999999999</v>
      </c>
      <c r="AA34" s="35"/>
    </row>
    <row r="35" spans="1:27" x14ac:dyDescent="0.25">
      <c r="Z35"/>
    </row>
    <row r="37" spans="1:27" ht="14.45" x14ac:dyDescent="0.3"/>
  </sheetData>
  <mergeCells count="24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  <mergeCell ref="W2:W3"/>
    <mergeCell ref="Y1:Y3"/>
    <mergeCell ref="Z1:Z3"/>
    <mergeCell ref="AA1:AA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Darren Moakes</cp:lastModifiedBy>
  <cp:lastPrinted>2019-08-19T07:32:13Z</cp:lastPrinted>
  <dcterms:created xsi:type="dcterms:W3CDTF">2017-05-03T09:23:30Z</dcterms:created>
  <dcterms:modified xsi:type="dcterms:W3CDTF">2019-09-30T10:28:54Z</dcterms:modified>
</cp:coreProperties>
</file>