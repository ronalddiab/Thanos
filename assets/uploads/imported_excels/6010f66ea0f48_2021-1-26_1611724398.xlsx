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A24" i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<sst xmlns="http://schemas.openxmlformats.org/spreadsheetml/2006/main" count="108" uniqueCount="39">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</sst>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20" sqref="T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8274</v>
      </c>
      <c r="F18" s="22">
        <v>0.11799999999999999</v>
      </c>
      <c r="G18" s="24">
        <f>(('1 - 2020'!E24-'1 - 2020'!E23)+('1 - 2020'!F24-'1 - 2020'!F23)+('1 - 2020'!G24-'1 - 2020'!G23))*1.81</f>
        <v>86.88</v>
      </c>
      <c r="H18" s="22">
        <v>0.99</v>
      </c>
      <c r="I18" s="24">
        <f>'1 - 2020'!J24-'1 - 2020'!J23</f>
        <v>10298</v>
      </c>
      <c r="J18" s="22">
        <v>8.1000000000000003E-2</v>
      </c>
      <c r="K18" s="50">
        <f>'1 - 2020'!H24-'1 - 2020'!H23</f>
        <v>0</v>
      </c>
      <c r="L18" s="24">
        <f>'1 - 2020'!I24-'1 - 2020'!I23</f>
        <v>104</v>
      </c>
      <c r="M18" s="23">
        <v>4.393629424766913</v>
      </c>
      <c r="N18" s="24">
        <v>95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8124</v>
      </c>
      <c r="F19" s="22">
        <v>0.11799999999999999</v>
      </c>
      <c r="G19" s="24">
        <f>(('1 - 2020'!E25-'1 - 2020'!E24)+('1 - 2020'!F25-'1 - 2020'!F24)+('1 - 2020'!G25-'1 - 2020'!G24))*1.81</f>
        <v>90.5</v>
      </c>
      <c r="H19" s="22">
        <v>0.99</v>
      </c>
      <c r="I19" s="24">
        <f>'1 - 2020'!J25-'1 - 2020'!J24</f>
        <v>9785</v>
      </c>
      <c r="J19" s="22">
        <v>8.1000000000000003E-2</v>
      </c>
      <c r="K19" s="50">
        <f>'1 - 2020'!H25-'1 - 2020'!H24</f>
        <v>0</v>
      </c>
      <c r="L19" s="24">
        <f>'1 - 2020'!I25-'1 - 2020'!I24</f>
        <v>107</v>
      </c>
      <c r="M19" s="23">
        <v>4.393629424766913</v>
      </c>
      <c r="N19" s="44">
        <v>90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8715.8000000000466</v>
      </c>
      <c r="F20" s="22">
        <v>0.11799999999999999</v>
      </c>
      <c r="G20" s="24">
        <f>(('1 - 2020'!E26-'1 - 2020'!E25)+('1 - 2020'!F26-'1 - 2020'!F25)+('1 - 2020'!G26-'1 - 2020'!G25))*1.81</f>
        <v>87.314399999999608</v>
      </c>
      <c r="H20" s="22">
        <v>0.99</v>
      </c>
      <c r="I20" s="24">
        <f>'1 - 2020'!J26-'1 - 2020'!J25</f>
        <v>11732</v>
      </c>
      <c r="J20" s="22">
        <v>8.1000000000000003E-2</v>
      </c>
      <c r="K20" s="50">
        <f>'1 - 2020'!H26-'1 - 2020'!H25</f>
        <v>0</v>
      </c>
      <c r="L20" s="24">
        <f>'1 - 2020'!I26-'1 - 2020'!I25</f>
        <v>109</v>
      </c>
      <c r="M20" s="23">
        <v>4.393629424766913</v>
      </c>
      <c r="N20" s="44">
        <v>91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8458.3000000000466</v>
      </c>
      <c r="F21" s="22">
        <v>0.11799999999999999</v>
      </c>
      <c r="G21" s="24">
        <f>(('1 - 2020'!E27-'1 - 2020'!E26)+('1 - 2020'!F27-'1 - 2020'!F26)+('1 - 2020'!G27-'1 - 2020'!G26))*1.81</f>
        <v>88.328000000001978</v>
      </c>
      <c r="H21" s="22">
        <v>0.99</v>
      </c>
      <c r="I21" s="24">
        <f>'1 - 2020'!J27-'1 - 2020'!J26</f>
        <v>12442</v>
      </c>
      <c r="J21" s="22">
        <v>8.1000000000000003E-2</v>
      </c>
      <c r="K21" s="50">
        <f>'1 - 2020'!H27-'1 - 2020'!H26</f>
        <v>0</v>
      </c>
      <c r="L21" s="24">
        <f>'1 - 2020'!I27-'1 - 2020'!I26</f>
        <v>94</v>
      </c>
      <c r="M21" s="23">
        <v>4.393629424766913</v>
      </c>
      <c r="N21" s="44">
        <v>81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11060.5</v>
      </c>
      <c r="F22" s="22">
        <v>0.11799999999999999</v>
      </c>
      <c r="G22" s="24">
        <f>(('1 - 2020'!E28-'1 - 2020'!E27)+('1 - 2020'!F28-'1 - 2020'!F27)+('1 - 2020'!G28-'1 - 2020'!G27))*1.81</f>
        <v>87.042899999996976</v>
      </c>
      <c r="H22" s="22">
        <v>0.99</v>
      </c>
      <c r="I22" s="24">
        <f>'1 - 2020'!J28-'1 - 2020'!J27</f>
        <v>11466</v>
      </c>
      <c r="J22" s="22">
        <v>8.1000000000000003E-2</v>
      </c>
      <c r="K22" s="50">
        <f>'1 - 2020'!H28-'1 - 2020'!H27</f>
        <v>0</v>
      </c>
      <c r="L22" s="24">
        <f>'1 - 2020'!I28-'1 - 2020'!I27</f>
        <v>95</v>
      </c>
      <c r="M22" s="23">
        <v>4.393629424766913</v>
      </c>
      <c r="N22" s="44">
        <v>78</v>
      </c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6647.7999999998137</v>
      </c>
      <c r="F23" s="22">
        <v>0.11799999999999999</v>
      </c>
      <c r="G23" s="24">
        <f>(('1 - 2020'!E29-'1 - 2020'!E28)+('1 - 2020'!F29-'1 - 2020'!F28)+('1 - 2020'!G29-'1 - 2020'!G28))*1.81</f>
        <v>89.305400000000262</v>
      </c>
      <c r="H23" s="22">
        <v>0.99</v>
      </c>
      <c r="I23" s="24">
        <f>'1 - 2020'!J29-'1 - 2020'!J28</f>
        <v>12811</v>
      </c>
      <c r="J23" s="22">
        <v>8.1000000000000003E-2</v>
      </c>
      <c r="K23" s="50">
        <f>'1 - 2020'!H29-'1 - 2020'!H28</f>
        <v>0</v>
      </c>
      <c r="L23" s="24">
        <f>'1 - 2020'!I29-'1 - 2020'!I28</f>
        <v>100</v>
      </c>
      <c r="M23" s="23">
        <v>4.393629424766913</v>
      </c>
      <c r="N23" s="44">
        <v>85</v>
      </c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8635.2000000001863</v>
      </c>
      <c r="F24" s="22">
        <v>0.11799999999999999</v>
      </c>
      <c r="G24" s="24">
        <f>(('1 - 2020'!E30-'1 - 2020'!E29)+('1 - 2020'!F30-'1 - 2020'!F29)+('1 - 2020'!G30-'1 - 2020'!G29))*1.81</f>
        <v>77.739500000001314</v>
      </c>
      <c r="H24" s="22">
        <v>0.99</v>
      </c>
      <c r="I24" s="24">
        <f>'1 - 2020'!J30-'1 - 2020'!J29</f>
        <v>8366</v>
      </c>
      <c r="J24" s="22">
        <v>8.1000000000000003E-2</v>
      </c>
      <c r="K24" s="50">
        <f>'1 - 2020'!H30-'1 - 2020'!H29</f>
        <v>0</v>
      </c>
      <c r="L24" s="24">
        <f>'1 - 2020'!I30-'1 - 2020'!I29</f>
        <v>102</v>
      </c>
      <c r="M24" s="23">
        <v>4.393629424766913</v>
      </c>
      <c r="N24" s="44">
        <v>83</v>
      </c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8291.3999999999069</v>
      </c>
      <c r="F25" s="22">
        <v>0.11799999999999999</v>
      </c>
      <c r="G25" s="24">
        <f>(('1 - 2020'!E31-'1 - 2020'!E30)+('1 - 2020'!F31-'1 - 2020'!F30)+('1 - 2020'!G31-'1 - 2020'!G30))*1.81</f>
        <v>85.413900000000922</v>
      </c>
      <c r="H25" s="22">
        <v>0.99</v>
      </c>
      <c r="I25" s="24">
        <f>'1 - 2020'!J31-'1 - 2020'!J30</f>
        <v>10924</v>
      </c>
      <c r="J25" s="22">
        <v>8.1000000000000003E-2</v>
      </c>
      <c r="K25" s="50">
        <f>'1 - 2020'!H31-'1 - 2020'!H30</f>
        <v>0</v>
      </c>
      <c r="L25" s="24">
        <f>'1 - 2020'!I31-'1 - 2020'!I30</f>
        <v>102</v>
      </c>
      <c r="M25" s="23">
        <v>4.393629424766913</v>
      </c>
      <c r="N25" s="44">
        <v>77</v>
      </c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8768</v>
      </c>
      <c r="F26" s="22">
        <v>0.11799999999999999</v>
      </c>
      <c r="G26" s="24">
        <f>(('1 - 2020'!E32-'1 - 2020'!E31)+('1 - 2020'!F32-'1 - 2020'!F31)+('1 - 2020'!G32-'1 - 2020'!G31))*1.81</f>
        <v>83.893499999997374</v>
      </c>
      <c r="H26" s="22">
        <v>0.99</v>
      </c>
      <c r="I26" s="24">
        <f>'1 - 2020'!J32-'1 - 2020'!J31</f>
        <v>9380</v>
      </c>
      <c r="J26" s="22">
        <v>8.1000000000000003E-2</v>
      </c>
      <c r="K26" s="50">
        <f>'1 - 2020'!H32-'1 - 2020'!H31</f>
        <v>0</v>
      </c>
      <c r="L26" s="24">
        <f>'1 - 2020'!I32-'1 - 2020'!I31</f>
        <v>115</v>
      </c>
      <c r="M26" s="23">
        <v>4.393629424766913</v>
      </c>
      <c r="N26" s="44">
        <v>77</v>
      </c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8575</v>
      </c>
      <c r="F27" s="22">
        <v>0.11799999999999999</v>
      </c>
      <c r="G27" s="24">
        <f>(('1 - 2020'!E33-'1 - 2020'!E32)+('1 - 2020'!F33-'1 - 2020'!F32)+('1 - 2020'!G33-'1 - 2020'!G32))*1.81</f>
        <v>81.522400000001582</v>
      </c>
      <c r="H27" s="22">
        <v>0.99</v>
      </c>
      <c r="I27" s="24">
        <f>'1 - 2020'!J33-'1 - 2020'!J32</f>
        <v>10423</v>
      </c>
      <c r="J27" s="22">
        <v>8.1000000000000003E-2</v>
      </c>
      <c r="K27" s="50">
        <f>'1 - 2020'!H33-'1 - 2020'!H32</f>
        <v>0</v>
      </c>
      <c r="L27" s="24">
        <f>'1 - 2020'!I33-'1 - 2020'!I32</f>
        <v>99</v>
      </c>
      <c r="M27" s="23">
        <v>4.393629424766913</v>
      </c>
      <c r="N27" s="44">
        <v>80</v>
      </c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8680</v>
      </c>
      <c r="F28" s="22">
        <v>0.11799999999999999</v>
      </c>
      <c r="G28" s="24">
        <f>(('1 - 2020'!E34-'1 - 2020'!E33)+('1 - 2020'!F34-'1 - 2020'!F33)+('1 - 2020'!G34-'1 - 2020'!G33))*1.81</f>
        <v>83.26</v>
      </c>
      <c r="H28" s="22">
        <v>0.99</v>
      </c>
      <c r="I28" s="24">
        <f>'1 - 2020'!J34-'1 - 2020'!J33</f>
        <v>10605</v>
      </c>
      <c r="J28" s="22">
        <v>8.1000000000000003E-2</v>
      </c>
      <c r="K28" s="50">
        <f>'1 - 2020'!H34-'1 - 2020'!H33</f>
        <v>0</v>
      </c>
      <c r="L28" s="24">
        <f>'1 - 2020'!I34-'1 - 2020'!I33</f>
        <v>91</v>
      </c>
      <c r="M28" s="23">
        <v>4.393629424766913</v>
      </c>
      <c r="N28" s="44">
        <v>74</v>
      </c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v>0</v>
      </c>
      <c r="F29" s="22">
        <v>0.11799999999999999</v>
      </c>
      <c r="G29" s="24">
        <v>0</v>
      </c>
      <c r="H29" s="22">
        <v>0.99</v>
      </c>
      <c r="I29" s="24">
        <v>0</v>
      </c>
      <c r="J29" s="22">
        <v>8.1000000000000003E-2</v>
      </c>
      <c r="K29" s="50">
        <v>0</v>
      </c>
      <c r="L29" s="24"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3232</v>
      </c>
      <c r="F18" s="24">
        <f>'1 - 2020'!C24-'1 - 2020'!C23</f>
        <v>5042</v>
      </c>
      <c r="G18" s="22">
        <v>0.11799999999999999</v>
      </c>
      <c r="H18" s="24">
        <f>'1 - 2020'!E24-'1 - 2020'!E23</f>
        <v>4</v>
      </c>
      <c r="I18" s="24">
        <f>'1 - 2020'!F24-'1 - 2020'!F23</f>
        <v>5</v>
      </c>
      <c r="J18" s="24">
        <f>'1 - 2020'!G24-'1 - 2020'!G23</f>
        <v>39</v>
      </c>
      <c r="K18" s="22">
        <v>0.74</v>
      </c>
      <c r="L18" s="24">
        <v>95</v>
      </c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3162</v>
      </c>
      <c r="F19" s="24">
        <f>'1 - 2020'!C25-'1 - 2020'!C24</f>
        <v>4962</v>
      </c>
      <c r="G19" s="22">
        <v>0.11799999999999999</v>
      </c>
      <c r="H19" s="24">
        <f>'1 - 2020'!E25-'1 - 2020'!E24</f>
        <v>4</v>
      </c>
      <c r="I19" s="24">
        <f>'1 - 2020'!F25-'1 - 2020'!F24</f>
        <v>5</v>
      </c>
      <c r="J19" s="24">
        <f>'1 - 2020'!G25-'1 - 2020'!G24</f>
        <v>41</v>
      </c>
      <c r="K19" s="22">
        <v>0.74</v>
      </c>
      <c r="L19" s="24">
        <v>90</v>
      </c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3343</v>
      </c>
      <c r="F20" s="24">
        <f>'1 - 2020'!C26-'1 - 2020'!C25</f>
        <v>5372.8000000000466</v>
      </c>
      <c r="G20" s="22">
        <v>0.11799999999999999</v>
      </c>
      <c r="H20" s="24">
        <f>'1 - 2020'!E26-'1 - 2020'!E25</f>
        <v>1.2399999999997817</v>
      </c>
      <c r="I20" s="24">
        <f>'1 - 2020'!F26-'1 - 2020'!F25</f>
        <v>5</v>
      </c>
      <c r="J20" s="24">
        <f>'1 - 2020'!G26-'1 - 2020'!G25</f>
        <v>42</v>
      </c>
      <c r="K20" s="22">
        <v>0.74</v>
      </c>
      <c r="L20" s="6">
        <v>91</v>
      </c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3167</v>
      </c>
      <c r="F21" s="24">
        <f>'1 - 2020'!C27-'1 - 2020'!C26</f>
        <v>5291.3000000000466</v>
      </c>
      <c r="G21" s="22">
        <v>0.11799999999999999</v>
      </c>
      <c r="H21" s="24">
        <f>'1 - 2020'!E27-'1 - 2020'!E26</f>
        <v>4.8000000000010914</v>
      </c>
      <c r="I21" s="24">
        <f>'1 - 2020'!F27-'1 - 2020'!F26</f>
        <v>6</v>
      </c>
      <c r="J21" s="24">
        <f>'1 - 2020'!G27-'1 - 2020'!G26</f>
        <v>38</v>
      </c>
      <c r="K21" s="22">
        <v>0.74</v>
      </c>
      <c r="L21" s="6">
        <v>81</v>
      </c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3399</v>
      </c>
      <c r="F22" s="24">
        <f>'1 - 2020'!C28-'1 - 2020'!C27</f>
        <v>7661.5</v>
      </c>
      <c r="G22" s="22">
        <v>0.11799999999999999</v>
      </c>
      <c r="H22" s="24">
        <f>'1 - 2020'!E28-'1 - 2020'!E27</f>
        <v>5.0899999999983265</v>
      </c>
      <c r="I22" s="24">
        <f>'1 - 2020'!F28-'1 - 2020'!F27</f>
        <v>4</v>
      </c>
      <c r="J22" s="24">
        <f>'1 - 2020'!G28-'1 - 2020'!G27</f>
        <v>39</v>
      </c>
      <c r="K22" s="22">
        <v>0.74</v>
      </c>
      <c r="L22" s="24">
        <v>78</v>
      </c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3273</v>
      </c>
      <c r="F23" s="24">
        <f>'1 - 2020'!C29-'1 - 2020'!C28</f>
        <v>3374.7999999998137</v>
      </c>
      <c r="G23" s="22">
        <v>0.11799999999999999</v>
      </c>
      <c r="H23" s="24">
        <f>'1 - 2020'!E29-'1 - 2020'!E28</f>
        <v>5.5400000000008731</v>
      </c>
      <c r="I23" s="24">
        <f>'1 - 2020'!F29-'1 - 2020'!F28</f>
        <v>4</v>
      </c>
      <c r="J23" s="24">
        <f>'1 - 2020'!G29-'1 - 2020'!G28</f>
        <v>39.799999999999272</v>
      </c>
      <c r="K23" s="22">
        <v>0.74</v>
      </c>
      <c r="L23" s="24">
        <v>85</v>
      </c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3362</v>
      </c>
      <c r="F24" s="24">
        <f>'1 - 2020'!C30-'1 - 2020'!C29</f>
        <v>5273.2000000001863</v>
      </c>
      <c r="G24" s="22">
        <v>0.11799999999999999</v>
      </c>
      <c r="H24" s="24">
        <f>'1 - 2020'!E30-'1 - 2020'!E29</f>
        <v>5</v>
      </c>
      <c r="I24" s="24">
        <f>'1 - 2020'!F30-'1 - 2020'!F29</f>
        <v>4</v>
      </c>
      <c r="J24" s="24">
        <f>'1 - 2020'!G30-'1 - 2020'!G29</f>
        <v>33.950000000000728</v>
      </c>
      <c r="K24" s="22">
        <v>0.74</v>
      </c>
      <c r="L24" s="24">
        <v>83</v>
      </c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3166</v>
      </c>
      <c r="F25" s="24">
        <f>'1 - 2020'!C31-'1 - 2020'!C30</f>
        <v>5125.3999999999069</v>
      </c>
      <c r="G25" s="22">
        <v>0.11799999999999999</v>
      </c>
      <c r="H25" s="24">
        <f>'1 - 2020'!E31-'1 - 2020'!E30</f>
        <v>4.3299999999999272</v>
      </c>
      <c r="I25" s="24">
        <f>'1 - 2020'!F31-'1 - 2020'!F30</f>
        <v>5</v>
      </c>
      <c r="J25" s="24">
        <f>'1 - 2020'!G31-'1 - 2020'!G30</f>
        <v>37.860000000000582</v>
      </c>
      <c r="K25" s="22">
        <v>0.74</v>
      </c>
      <c r="L25" s="6">
        <v>77</v>
      </c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3370</v>
      </c>
      <c r="F26" s="24">
        <f>'1 - 2020'!C32-'1 - 2020'!C31</f>
        <v>5398</v>
      </c>
      <c r="G26" s="22">
        <v>0.11799999999999999</v>
      </c>
      <c r="H26" s="24">
        <f>'1 - 2020'!E32-'1 - 2020'!E31</f>
        <v>5</v>
      </c>
      <c r="I26" s="24">
        <f>'1 - 2020'!F32-'1 - 2020'!F31</f>
        <v>5</v>
      </c>
      <c r="J26" s="24">
        <f>'1 - 2020'!G32-'1 - 2020'!G31</f>
        <v>36.349999999998545</v>
      </c>
      <c r="K26" s="22">
        <v>0.74</v>
      </c>
      <c r="L26" s="6">
        <v>77</v>
      </c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3298</v>
      </c>
      <c r="F27" s="24">
        <f>'1 - 2020'!C33-'1 - 2020'!C32</f>
        <v>5277</v>
      </c>
      <c r="G27" s="22">
        <v>0.11799999999999999</v>
      </c>
      <c r="H27" s="24">
        <f>'1 - 2020'!E33-'1 - 2020'!E32</f>
        <v>5</v>
      </c>
      <c r="I27" s="24">
        <f>'1 - 2020'!F33-'1 - 2020'!F32</f>
        <v>5</v>
      </c>
      <c r="J27" s="24">
        <f>'1 - 2020'!G33-'1 - 2020'!G32</f>
        <v>35.040000000000873</v>
      </c>
      <c r="K27" s="22">
        <v>0.74</v>
      </c>
      <c r="L27" s="24">
        <v>80</v>
      </c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3306</v>
      </c>
      <c r="F28" s="24">
        <f>'1 - 2020'!C34-'1 - 2020'!C33</f>
        <v>5374</v>
      </c>
      <c r="G28" s="22">
        <v>0.11799999999999999</v>
      </c>
      <c r="H28" s="24">
        <f>'1 - 2020'!E34-'1 - 2020'!E33</f>
        <v>5</v>
      </c>
      <c r="I28" s="24">
        <f>'1 - 2020'!F34-'1 - 2020'!F33</f>
        <v>5</v>
      </c>
      <c r="J28" s="24">
        <f>'1 - 2020'!G34-'1 - 2020'!G33</f>
        <v>36</v>
      </c>
      <c r="K28" s="22">
        <v>0.74</v>
      </c>
      <c r="L28" s="6">
        <v>74</v>
      </c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v>0</v>
      </c>
      <c r="F29" s="24">
        <v>0</v>
      </c>
      <c r="G29" s="22">
        <v>0.11799999999999999</v>
      </c>
      <c r="H29" s="24">
        <v>0</v>
      </c>
      <c r="I29" s="24">
        <v>0</v>
      </c>
      <c r="J29" s="24"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6" zoomScaleNormal="100" workbookViewId="0">
      <selection activeCell="K34" sqref="K3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>
        <v>275494</v>
      </c>
      <c r="C24" s="51">
        <v>2065679</v>
      </c>
      <c r="D24" s="16">
        <v>0.72</v>
      </c>
      <c r="E24" s="52">
        <v>13500</v>
      </c>
      <c r="F24" s="21">
        <v>2940</v>
      </c>
      <c r="G24" s="52">
        <v>25166</v>
      </c>
      <c r="H24" s="15">
        <v>14528</v>
      </c>
      <c r="I24" s="51">
        <v>107822</v>
      </c>
      <c r="J24" s="51">
        <v>44018585</v>
      </c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>
        <v>278656</v>
      </c>
      <c r="C25" s="52">
        <v>2070641</v>
      </c>
      <c r="D25" s="26">
        <v>0.65</v>
      </c>
      <c r="E25" s="52">
        <v>13504</v>
      </c>
      <c r="F25" s="21">
        <v>2945</v>
      </c>
      <c r="G25" s="52">
        <v>25207</v>
      </c>
      <c r="H25" s="15">
        <v>14528</v>
      </c>
      <c r="I25" s="51">
        <v>107929</v>
      </c>
      <c r="J25" s="51">
        <v>44028370</v>
      </c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>
        <v>281999</v>
      </c>
      <c r="C26" s="52">
        <v>2076013.8</v>
      </c>
      <c r="D26" s="26">
        <v>0.59</v>
      </c>
      <c r="E26" s="52">
        <v>13505.24</v>
      </c>
      <c r="F26" s="21">
        <v>2950</v>
      </c>
      <c r="G26" s="52">
        <v>25249</v>
      </c>
      <c r="H26" s="15">
        <v>14528</v>
      </c>
      <c r="I26" s="51">
        <v>108038</v>
      </c>
      <c r="J26" s="51">
        <v>44040102</v>
      </c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>
        <v>285166</v>
      </c>
      <c r="C27" s="51">
        <v>2081305.1</v>
      </c>
      <c r="D27" s="16">
        <v>0.52</v>
      </c>
      <c r="E27" s="52">
        <v>13510.04</v>
      </c>
      <c r="F27" s="21">
        <v>2956</v>
      </c>
      <c r="G27" s="52">
        <v>25287</v>
      </c>
      <c r="H27" s="15">
        <v>14528</v>
      </c>
      <c r="I27" s="51">
        <v>108132</v>
      </c>
      <c r="J27" s="51">
        <v>44052544</v>
      </c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>
        <v>288565</v>
      </c>
      <c r="C28" s="51">
        <v>2088966.6</v>
      </c>
      <c r="D28" s="16">
        <v>0.45</v>
      </c>
      <c r="E28" s="52">
        <v>13515.13</v>
      </c>
      <c r="F28" s="21">
        <v>2960</v>
      </c>
      <c r="G28" s="52">
        <v>25326</v>
      </c>
      <c r="H28" s="15">
        <v>14528</v>
      </c>
      <c r="I28" s="51">
        <v>108227</v>
      </c>
      <c r="J28" s="51">
        <v>44064010</v>
      </c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>
        <v>291838</v>
      </c>
      <c r="C29" s="51">
        <v>2092341.4</v>
      </c>
      <c r="D29" s="16">
        <v>0.38</v>
      </c>
      <c r="E29" s="52">
        <v>13520.67</v>
      </c>
      <c r="F29" s="21">
        <v>2964</v>
      </c>
      <c r="G29" s="52">
        <v>25365.8</v>
      </c>
      <c r="H29" s="15">
        <v>14528</v>
      </c>
      <c r="I29" s="51">
        <v>108327</v>
      </c>
      <c r="J29" s="51">
        <v>44076821</v>
      </c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>
        <v>295200</v>
      </c>
      <c r="C30" s="51">
        <v>2097614.6</v>
      </c>
      <c r="D30" s="16">
        <v>0.3</v>
      </c>
      <c r="E30" s="52">
        <v>13525.67</v>
      </c>
      <c r="F30" s="21">
        <v>2968</v>
      </c>
      <c r="G30" s="52">
        <v>25399.75</v>
      </c>
      <c r="H30" s="15">
        <v>14528</v>
      </c>
      <c r="I30" s="51">
        <v>108429</v>
      </c>
      <c r="J30" s="51">
        <v>44085187</v>
      </c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>
        <v>298366</v>
      </c>
      <c r="C31" s="51">
        <v>2102740</v>
      </c>
      <c r="D31" s="16">
        <v>0.82</v>
      </c>
      <c r="E31" s="52">
        <v>13530</v>
      </c>
      <c r="F31" s="21">
        <v>2973</v>
      </c>
      <c r="G31" s="52">
        <v>25437.61</v>
      </c>
      <c r="H31" s="15">
        <v>14528</v>
      </c>
      <c r="I31" s="51">
        <v>108531</v>
      </c>
      <c r="J31" s="51">
        <v>44096111</v>
      </c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>
        <v>301736</v>
      </c>
      <c r="C32" s="51">
        <v>2108138</v>
      </c>
      <c r="D32" s="16">
        <v>0.76</v>
      </c>
      <c r="E32" s="52">
        <v>13535</v>
      </c>
      <c r="F32" s="21">
        <v>2978</v>
      </c>
      <c r="G32" s="52">
        <v>25473.96</v>
      </c>
      <c r="H32" s="15">
        <v>14528</v>
      </c>
      <c r="I32" s="51">
        <v>108646</v>
      </c>
      <c r="J32" s="51">
        <v>44105491</v>
      </c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>
        <v>305034</v>
      </c>
      <c r="C33" s="51">
        <v>2113415</v>
      </c>
      <c r="D33" s="16">
        <v>0.7</v>
      </c>
      <c r="E33" s="52">
        <v>13540</v>
      </c>
      <c r="F33" s="21">
        <v>2983</v>
      </c>
      <c r="G33" s="52">
        <v>25509</v>
      </c>
      <c r="H33" s="15">
        <v>14528</v>
      </c>
      <c r="I33" s="51">
        <v>108745</v>
      </c>
      <c r="J33" s="51">
        <v>44115914</v>
      </c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>
        <v>308340</v>
      </c>
      <c r="C34" s="54">
        <v>2118789</v>
      </c>
      <c r="D34" s="26">
        <v>0.65</v>
      </c>
      <c r="E34" s="52">
        <v>13545</v>
      </c>
      <c r="F34" s="21">
        <v>2988</v>
      </c>
      <c r="G34" s="52">
        <v>25545</v>
      </c>
      <c r="H34" s="15">
        <v>14528</v>
      </c>
      <c r="I34" s="52">
        <v>108836</v>
      </c>
      <c r="J34" s="52">
        <v>44126519</v>
      </c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71174</v>
      </c>
      <c r="C42" s="65">
        <f>C32-C10</f>
        <v>118313</v>
      </c>
      <c r="E42" s="65">
        <f t="shared" ref="E42:J42" si="3">E32-E10</f>
        <v>87</v>
      </c>
      <c r="F42" s="65">
        <f t="shared" si="3"/>
        <v>106</v>
      </c>
      <c r="G42" s="65">
        <f t="shared" si="3"/>
        <v>842.95999999999913</v>
      </c>
      <c r="H42" s="65">
        <f t="shared" si="3"/>
        <v>0</v>
      </c>
      <c r="I42" s="65">
        <f t="shared" si="3"/>
        <v>2273</v>
      </c>
      <c r="J42" s="65">
        <f t="shared" si="3"/>
        <v>225366</v>
      </c>
    </row>
    <row r="43" spans="1:16" hidden="1" x14ac:dyDescent="0.25">
      <c r="I43" s="20">
        <f>I42*219.969</f>
        <v>499989.53700000001</v>
      </c>
      <c r="J43" s="22">
        <v>768611</v>
      </c>
    </row>
    <row r="44" spans="1:16" hidden="1" x14ac:dyDescent="0.25">
      <c r="C44" s="24">
        <f>C42+B42</f>
        <v>189487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2.410501140367225</v>
      </c>
    </row>
    <row r="46" spans="1:16" hidden="1" x14ac:dyDescent="0.25">
      <c r="C46" s="67">
        <f>SUM(C45-C44)/C44</f>
        <v>-5.7127929620501672E-2</v>
      </c>
      <c r="I46" s="66">
        <f>SUM(I44-I43)/I43</f>
        <v>-9.9428068631764205E-2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2021-01-27T05:06:03Z</dcterms:modified>
</cp:coreProperties>
</file>