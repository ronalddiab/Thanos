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7562" documentId="8_{5B502D95-7A37-4D5A-8B6B-374537CC2F26}" xr6:coauthVersionLast="47" xr6:coauthVersionMax="47" xr10:uidLastSave="{4F99E2C8-8050-430B-B723-6CBF1047819B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9" i="2" l="1"/>
  <c r="O39" i="2"/>
  <c r="N39" i="2"/>
  <c r="N40" i="2"/>
  <c r="M39" i="2"/>
  <c r="M40" i="2"/>
  <c r="L39" i="2"/>
  <c r="L40" i="2"/>
  <c r="F39" i="2"/>
  <c r="F40" i="2"/>
  <c r="K38" i="6"/>
  <c r="I38" i="6"/>
  <c r="G38" i="6"/>
  <c r="E38" i="6"/>
  <c r="V37" i="2"/>
  <c r="N38" i="2"/>
  <c r="L38" i="2"/>
  <c r="F38" i="2"/>
  <c r="K37" i="6"/>
  <c r="I37" i="6"/>
  <c r="G37" i="6"/>
  <c r="E37" i="6"/>
  <c r="V36" i="2"/>
  <c r="N37" i="2"/>
  <c r="M37" i="2"/>
  <c r="M38" i="2"/>
  <c r="L37" i="2"/>
  <c r="F37" i="2"/>
  <c r="K36" i="6"/>
  <c r="I36" i="6"/>
  <c r="G36" i="6"/>
  <c r="E36" i="6"/>
  <c r="V35" i="2"/>
  <c r="N36" i="2"/>
  <c r="M36" i="2"/>
  <c r="L36" i="2"/>
  <c r="F36" i="2"/>
  <c r="K35" i="6"/>
  <c r="I35" i="6"/>
  <c r="G35" i="6"/>
  <c r="E35" i="6"/>
  <c r="V34" i="2"/>
  <c r="N35" i="2"/>
  <c r="M35" i="2"/>
  <c r="L35" i="2"/>
  <c r="F35" i="2"/>
  <c r="K34" i="6"/>
  <c r="I34" i="6"/>
  <c r="G34" i="6"/>
  <c r="E34" i="6"/>
  <c r="V31" i="2"/>
  <c r="V32" i="2"/>
  <c r="N32" i="2"/>
  <c r="N33" i="2"/>
  <c r="N34" i="2"/>
  <c r="M32" i="2"/>
  <c r="M33" i="2"/>
  <c r="M34" i="2"/>
  <c r="L32" i="2"/>
  <c r="L33" i="2"/>
  <c r="L34" i="2"/>
  <c r="F32" i="2"/>
  <c r="F33" i="2"/>
  <c r="F34" i="2"/>
  <c r="K31" i="6"/>
  <c r="K32" i="6"/>
  <c r="K33" i="6"/>
  <c r="I31" i="6"/>
  <c r="I32" i="6"/>
  <c r="I33" i="6"/>
  <c r="G31" i="6"/>
  <c r="G32" i="6"/>
  <c r="G33" i="6"/>
  <c r="E31" i="6"/>
  <c r="E32" i="6"/>
  <c r="E33" i="6"/>
  <c r="V30" i="2"/>
  <c r="N31" i="2"/>
  <c r="M31" i="2"/>
  <c r="L31" i="2"/>
  <c r="F31" i="2"/>
  <c r="K30" i="6"/>
  <c r="I30" i="6"/>
  <c r="G30" i="6"/>
  <c r="E30" i="6"/>
  <c r="V29" i="2"/>
  <c r="N30" i="2"/>
  <c r="M30" i="2"/>
  <c r="L30" i="2"/>
  <c r="F30" i="2"/>
  <c r="K29" i="6"/>
  <c r="I29" i="6"/>
  <c r="G29" i="6"/>
  <c r="E29" i="6"/>
  <c r="V27" i="2"/>
  <c r="V28" i="2"/>
  <c r="N28" i="2"/>
  <c r="N29" i="2"/>
  <c r="M28" i="2"/>
  <c r="M29" i="2"/>
  <c r="L28" i="2"/>
  <c r="L29" i="2"/>
  <c r="F28" i="2"/>
  <c r="F29" i="2"/>
  <c r="K28" i="6"/>
  <c r="I28" i="6"/>
  <c r="G28" i="6"/>
  <c r="E28" i="6"/>
  <c r="K27" i="6"/>
  <c r="I27" i="6"/>
  <c r="G27" i="6"/>
  <c r="E27" i="6"/>
  <c r="V24" i="2"/>
  <c r="V25" i="2"/>
  <c r="V26" i="2"/>
  <c r="N25" i="2"/>
  <c r="N26" i="2"/>
  <c r="N27" i="2"/>
  <c r="M25" i="2"/>
  <c r="M26" i="2"/>
  <c r="M27" i="2"/>
  <c r="L25" i="2"/>
  <c r="L26" i="2"/>
  <c r="L27" i="2"/>
  <c r="F25" i="2"/>
  <c r="F26" i="2"/>
  <c r="F27" i="2"/>
  <c r="K26" i="6"/>
  <c r="I26" i="6"/>
  <c r="G26" i="6"/>
  <c r="E26" i="6"/>
  <c r="K25" i="6"/>
  <c r="I25" i="6"/>
  <c r="G25" i="6"/>
  <c r="E25" i="6"/>
  <c r="K24" i="6"/>
  <c r="I24" i="6"/>
  <c r="G24" i="6"/>
  <c r="E24" i="6"/>
  <c r="V23" i="2"/>
  <c r="N24" i="2"/>
  <c r="M24" i="2"/>
  <c r="L24" i="2"/>
  <c r="F24" i="2"/>
  <c r="K23" i="6"/>
  <c r="I23" i="6"/>
  <c r="G23" i="6"/>
  <c r="E23" i="6"/>
  <c r="V22" i="2"/>
  <c r="N23" i="2"/>
  <c r="M23" i="2"/>
  <c r="L23" i="2"/>
  <c r="F23" i="2"/>
  <c r="G17" i="4"/>
  <c r="K22" i="6"/>
  <c r="I22" i="6"/>
  <c r="G22" i="6"/>
  <c r="E22" i="6"/>
  <c r="V21" i="2"/>
  <c r="N22" i="2"/>
  <c r="M22" i="2"/>
  <c r="L22" i="2"/>
  <c r="F22" i="2"/>
  <c r="K21" i="6"/>
  <c r="I21" i="6"/>
  <c r="G21" i="6"/>
  <c r="E21" i="6"/>
  <c r="V20" i="2"/>
  <c r="N21" i="2"/>
  <c r="M21" i="2"/>
  <c r="L21" i="2"/>
  <c r="F21" i="2"/>
  <c r="K20" i="6"/>
  <c r="I20" i="6"/>
  <c r="G20" i="6"/>
  <c r="E20" i="6"/>
  <c r="V17" i="2"/>
  <c r="V18" i="2"/>
  <c r="V19" i="2"/>
  <c r="N18" i="2"/>
  <c r="N19" i="2"/>
  <c r="N20" i="2"/>
  <c r="M18" i="2"/>
  <c r="M19" i="2"/>
  <c r="M20" i="2"/>
  <c r="L18" i="2"/>
  <c r="L19" i="2"/>
  <c r="L20" i="2"/>
  <c r="F18" i="2"/>
  <c r="F19" i="2"/>
  <c r="F20" i="2"/>
  <c r="K19" i="6"/>
  <c r="I19" i="6"/>
  <c r="G19" i="6"/>
  <c r="E19" i="6"/>
  <c r="K18" i="6"/>
  <c r="I18" i="6"/>
  <c r="G18" i="6"/>
  <c r="E18" i="6"/>
  <c r="K17" i="6"/>
  <c r="I17" i="6"/>
  <c r="G17" i="6"/>
  <c r="E17" i="6"/>
  <c r="F17" i="2"/>
  <c r="E16" i="6"/>
  <c r="V16" i="2"/>
  <c r="N17" i="2"/>
  <c r="M17" i="2"/>
  <c r="L17" i="2"/>
  <c r="K16" i="6"/>
  <c r="I16" i="6"/>
  <c r="G16" i="6"/>
  <c r="V15" i="2"/>
  <c r="N16" i="2"/>
  <c r="M16" i="2"/>
  <c r="L16" i="2"/>
  <c r="F16" i="2"/>
  <c r="K15" i="6"/>
  <c r="I15" i="6"/>
  <c r="G15" i="6"/>
  <c r="E15" i="6"/>
  <c r="V14" i="2"/>
  <c r="N15" i="2"/>
  <c r="M15" i="2"/>
  <c r="L15" i="2"/>
  <c r="F15" i="2"/>
  <c r="E14" i="6"/>
  <c r="G14" i="6"/>
  <c r="I14" i="6"/>
  <c r="K14" i="6"/>
  <c r="V11" i="2"/>
  <c r="V12" i="2"/>
  <c r="V13" i="2"/>
  <c r="V10" i="2"/>
  <c r="K13" i="6"/>
  <c r="N14" i="2" s="1"/>
  <c r="I13" i="6"/>
  <c r="M14" i="2" s="1"/>
  <c r="G13" i="6"/>
  <c r="L14" i="2" s="1"/>
  <c r="E13" i="6"/>
  <c r="F14" i="2" s="1"/>
  <c r="K11" i="6"/>
  <c r="N12" i="2" s="1"/>
  <c r="K12" i="6"/>
  <c r="N13" i="2" s="1"/>
  <c r="I11" i="6"/>
  <c r="M12" i="2" s="1"/>
  <c r="I12" i="6"/>
  <c r="M13" i="2" s="1"/>
  <c r="G11" i="6"/>
  <c r="L12" i="2" s="1"/>
  <c r="G12" i="6"/>
  <c r="L13" i="2" s="1"/>
  <c r="E11" i="6"/>
  <c r="F12" i="2" s="1"/>
  <c r="E12" i="6"/>
  <c r="F13" i="2" s="1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38" i="2"/>
  <c r="X39" i="2"/>
  <c r="X40" i="2"/>
  <c r="X10" i="2"/>
  <c r="P36" i="4"/>
  <c r="P37" i="4"/>
  <c r="P38" i="4"/>
  <c r="P39" i="4"/>
  <c r="P40" i="4"/>
  <c r="P41" i="4"/>
  <c r="P42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K39" i="6"/>
  <c r="I39" i="6"/>
  <c r="G39" i="6"/>
  <c r="E39" i="6"/>
  <c r="E40" i="6"/>
  <c r="C39" i="6"/>
  <c r="H39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K40" i="6"/>
  <c r="I40" i="6"/>
  <c r="G40" i="6"/>
  <c r="C40" i="6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M48" i="4"/>
  <c r="L9" i="4"/>
  <c r="N9" i="4"/>
  <c r="AC43" i="4"/>
  <c r="I9" i="4"/>
  <c r="O9" i="4"/>
  <c r="P9" i="4" s="1"/>
  <c r="P27" i="4" l="1"/>
  <c r="V33" i="2"/>
  <c r="X33" i="2" s="1"/>
  <c r="H40" i="2"/>
  <c r="G25" i="4"/>
  <c r="E25" i="4"/>
  <c r="C25" i="4"/>
  <c r="G7" i="4"/>
  <c r="E7" i="4"/>
  <c r="C7" i="4"/>
  <c r="G29" i="22"/>
  <c r="G27" i="22"/>
  <c r="G28" i="22"/>
  <c r="Q40" i="2"/>
  <c r="O40" i="2"/>
  <c r="L41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30" i="22" l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<sst xmlns="http://schemas.openxmlformats.org/spreadsheetml/2006/main" count="479" uniqueCount="187">
  <si>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</si>
  <si>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</si>
  <si>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</si>
  <si>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</si>
  <si>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</si>
  <si>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</si>
  <si>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</si>
  <si>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</si>
  <si>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</si>
  <si>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</si>
  <si>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</si>
  <si>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</si>
  <si>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</si>
  <si>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</si>
  <si>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</si>
  <si>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</si>
  <si>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</si>
  <si>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</si>
  <si>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</si>
  <si>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</si>
  <si>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</si>
  <si>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</si>
  <si>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</si>
  <si>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</si>
  <si>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</si>
  <si>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</si>
  <si>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</si>
  <si>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</si>
  <si>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</si>
  <si>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</si>
  <si>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</si>
  <si>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</si>
  <si>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</si>
  <si>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</si>
  <si>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</si>
  <si>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</si>
  <si>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</si>
  <si>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</si>
  <si>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</si>
  <si>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</si>
  <si>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</si>
  <si>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</si>
  <si>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</si>
  <si>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</si>
  <si>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</si>
  <si>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</si>
  <si>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</si>
  <si>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</si>
  <si>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</si>
  <si>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</si>
  <si>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</si>
  <si>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</si>
  <si>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</si>
  <si>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</si>
  <si>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</si>
  <si>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</si>
  <si>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</si>
  <si>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</si>
  <si>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</si>
  <si>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</si>
  <si>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</si>
  <si>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</si>
  <si>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</si>
  <si>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</si>
  <si>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</si>
  <si>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</si>
  <si>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</si>
  <si>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</si>
  <si>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</si>
  <si>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</si>
  <si>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</si>
  <si>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</si>
  <si>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</si>
  <si>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</si>
  <si>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</si>
  <si>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</si>
  <si>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</si>
  <si>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</si>
  <si>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</si>
  <si>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</si>
  <si>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</si>
  <si>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</si>
  <si>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</si>
  <si>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</si>
  <si>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</si>
  <si>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</si>
  <si>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</si>
  <si>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njb </t>
  </si>
  <si>
    <t xml:space="preserve">      Estimation  de la consommation électrique Octobre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</si>
  <si>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</si>
  <si>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</si>
  <si>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</si>
  <si>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</si>
  <si>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</si>
  <si>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</si>
  <si>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</si>
  <si>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</si>
  <si>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</si>
  <si>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</si>
  <si>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</si>
  <si>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</si>
  <si>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</si>
  <si>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</si>
  <si>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</si>
  <si>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</si>
  <si>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</si>
  <si>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</si>
  <si>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</si>
  <si>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</si>
  <si>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</si>
  <si>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</si>
  <si>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</si>
  <si>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</si>
  <si>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</si>
  <si>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</si>
  <si>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</si>
  <si>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</si>
  <si>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</si>
  <si>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</si>
  <si>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</si>
  <si>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</si>
  <si>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</si>
  <si>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</si>
  <si>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</si>
  <si>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</si>
  <si>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</si>
  <si>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</si>
  <si>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</si>
  <si>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</si>
  <si>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</si>
  <si>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</si>
  <si>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</si>
  <si>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Oct 2021</t>
  </si>
  <si>
    <t>01jours</t>
  </si>
  <si>
    <t>Estimation de la consommation d'Eau Sanitaire Oct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</si>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</sst>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</c:v>
                </c:pt>
                <c:pt idx="1">
                  <c:v>100.10000000000582</c:v>
                </c:pt>
                <c:pt idx="2">
                  <c:v>90.80000000000291</c:v>
                </c:pt>
                <c:pt idx="3">
                  <c:v>95.099999999991269</c:v>
                </c:pt>
                <c:pt idx="4">
                  <c:v>97.5</c:v>
                </c:pt>
                <c:pt idx="5">
                  <c:v>130.80000000000291</c:v>
                </c:pt>
                <c:pt idx="6">
                  <c:v>134.39999999999418</c:v>
                </c:pt>
                <c:pt idx="7">
                  <c:v>126.5</c:v>
                </c:pt>
                <c:pt idx="8">
                  <c:v>108.60000000000582</c:v>
                </c:pt>
                <c:pt idx="9">
                  <c:v>147</c:v>
                </c:pt>
                <c:pt idx="10">
                  <c:v>97</c:v>
                </c:pt>
                <c:pt idx="11">
                  <c:v>85.80000000000291</c:v>
                </c:pt>
                <c:pt idx="12">
                  <c:v>95.30000000000291</c:v>
                </c:pt>
                <c:pt idx="13">
                  <c:v>108.59999999999127</c:v>
                </c:pt>
                <c:pt idx="14">
                  <c:v>108.10000000000582</c:v>
                </c:pt>
                <c:pt idx="15">
                  <c:v>88.5</c:v>
                </c:pt>
                <c:pt idx="16">
                  <c:v>110.69999999999709</c:v>
                </c:pt>
                <c:pt idx="17">
                  <c:v>118</c:v>
                </c:pt>
                <c:pt idx="18">
                  <c:v>81.600000000005821</c:v>
                </c:pt>
                <c:pt idx="19">
                  <c:v>104.39999999999418</c:v>
                </c:pt>
                <c:pt idx="20">
                  <c:v>82</c:v>
                </c:pt>
                <c:pt idx="21">
                  <c:v>92</c:v>
                </c:pt>
                <c:pt idx="22">
                  <c:v>125</c:v>
                </c:pt>
                <c:pt idx="23">
                  <c:v>144</c:v>
                </c:pt>
                <c:pt idx="24">
                  <c:v>101</c:v>
                </c:pt>
                <c:pt idx="25">
                  <c:v>91.899999999994179</c:v>
                </c:pt>
                <c:pt idx="26">
                  <c:v>100.40000000000873</c:v>
                </c:pt>
                <c:pt idx="27">
                  <c:v>100.09999999999127</c:v>
                </c:pt>
                <c:pt idx="28">
                  <c:v>111.70000000001164</c:v>
                </c:pt>
                <c:pt idx="29">
                  <c:v>122.89999999999418</c:v>
                </c:pt>
                <c:pt idx="30">
                  <c:v>119.39999999999418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3908</c:v>
                </c:pt>
                <c:pt idx="1">
                  <c:v>4695</c:v>
                </c:pt>
                <c:pt idx="2">
                  <c:v>4359</c:v>
                </c:pt>
                <c:pt idx="3">
                  <c:v>3927</c:v>
                </c:pt>
                <c:pt idx="4">
                  <c:v>4144</c:v>
                </c:pt>
                <c:pt idx="5">
                  <c:v>4169</c:v>
                </c:pt>
                <c:pt idx="6">
                  <c:v>4218</c:v>
                </c:pt>
                <c:pt idx="7">
                  <c:v>4533</c:v>
                </c:pt>
                <c:pt idx="8">
                  <c:v>4108</c:v>
                </c:pt>
                <c:pt idx="9">
                  <c:v>4360</c:v>
                </c:pt>
                <c:pt idx="10">
                  <c:v>4131</c:v>
                </c:pt>
                <c:pt idx="11">
                  <c:v>4247</c:v>
                </c:pt>
                <c:pt idx="12">
                  <c:v>4560</c:v>
                </c:pt>
                <c:pt idx="13">
                  <c:v>4211</c:v>
                </c:pt>
                <c:pt idx="14">
                  <c:v>4677</c:v>
                </c:pt>
                <c:pt idx="15">
                  <c:v>4101</c:v>
                </c:pt>
                <c:pt idx="16">
                  <c:v>4279</c:v>
                </c:pt>
                <c:pt idx="17">
                  <c:v>4208</c:v>
                </c:pt>
                <c:pt idx="18">
                  <c:v>4896</c:v>
                </c:pt>
                <c:pt idx="19">
                  <c:v>3831</c:v>
                </c:pt>
                <c:pt idx="20">
                  <c:v>4252</c:v>
                </c:pt>
                <c:pt idx="21">
                  <c:v>4391</c:v>
                </c:pt>
                <c:pt idx="22">
                  <c:v>4208</c:v>
                </c:pt>
                <c:pt idx="23">
                  <c:v>3813</c:v>
                </c:pt>
                <c:pt idx="24">
                  <c:v>4104</c:v>
                </c:pt>
                <c:pt idx="25">
                  <c:v>2861</c:v>
                </c:pt>
                <c:pt idx="26">
                  <c:v>4256</c:v>
                </c:pt>
                <c:pt idx="27">
                  <c:v>4080</c:v>
                </c:pt>
                <c:pt idx="28">
                  <c:v>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8144</c:v>
                </c:pt>
                <c:pt idx="1">
                  <c:v>7577</c:v>
                </c:pt>
                <c:pt idx="2">
                  <c:v>7444</c:v>
                </c:pt>
                <c:pt idx="3">
                  <c:v>7105</c:v>
                </c:pt>
                <c:pt idx="4">
                  <c:v>7704</c:v>
                </c:pt>
                <c:pt idx="5">
                  <c:v>8044</c:v>
                </c:pt>
                <c:pt idx="6">
                  <c:v>8066</c:v>
                </c:pt>
                <c:pt idx="7">
                  <c:v>7295</c:v>
                </c:pt>
                <c:pt idx="8">
                  <c:v>7379</c:v>
                </c:pt>
                <c:pt idx="9">
                  <c:v>8527</c:v>
                </c:pt>
                <c:pt idx="10">
                  <c:v>6943</c:v>
                </c:pt>
                <c:pt idx="11">
                  <c:v>6997</c:v>
                </c:pt>
                <c:pt idx="12">
                  <c:v>8313</c:v>
                </c:pt>
                <c:pt idx="13">
                  <c:v>7254</c:v>
                </c:pt>
                <c:pt idx="14">
                  <c:v>7127</c:v>
                </c:pt>
                <c:pt idx="15">
                  <c:v>7224</c:v>
                </c:pt>
                <c:pt idx="16">
                  <c:v>6805</c:v>
                </c:pt>
                <c:pt idx="17">
                  <c:v>6809</c:v>
                </c:pt>
                <c:pt idx="18">
                  <c:v>7137</c:v>
                </c:pt>
                <c:pt idx="19">
                  <c:v>6969</c:v>
                </c:pt>
                <c:pt idx="20">
                  <c:v>7542</c:v>
                </c:pt>
                <c:pt idx="21">
                  <c:v>7388</c:v>
                </c:pt>
                <c:pt idx="22">
                  <c:v>6637</c:v>
                </c:pt>
                <c:pt idx="23">
                  <c:v>6763</c:v>
                </c:pt>
                <c:pt idx="24">
                  <c:v>6344</c:v>
                </c:pt>
                <c:pt idx="25">
                  <c:v>6663</c:v>
                </c:pt>
                <c:pt idx="26">
                  <c:v>9087</c:v>
                </c:pt>
                <c:pt idx="27">
                  <c:v>7395</c:v>
                </c:pt>
                <c:pt idx="28">
                  <c:v>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3340</c:v>
                </c:pt>
                <c:pt idx="1">
                  <c:v>3514</c:v>
                </c:pt>
                <c:pt idx="2">
                  <c:v>3362</c:v>
                </c:pt>
                <c:pt idx="3">
                  <c:v>3355</c:v>
                </c:pt>
                <c:pt idx="4">
                  <c:v>3340</c:v>
                </c:pt>
                <c:pt idx="5">
                  <c:v>3287</c:v>
                </c:pt>
                <c:pt idx="6">
                  <c:v>3493</c:v>
                </c:pt>
                <c:pt idx="7">
                  <c:v>3175</c:v>
                </c:pt>
                <c:pt idx="8">
                  <c:v>3533</c:v>
                </c:pt>
                <c:pt idx="9">
                  <c:v>3683</c:v>
                </c:pt>
                <c:pt idx="10">
                  <c:v>2788</c:v>
                </c:pt>
                <c:pt idx="11">
                  <c:v>3041</c:v>
                </c:pt>
                <c:pt idx="12">
                  <c:v>3242</c:v>
                </c:pt>
                <c:pt idx="13">
                  <c:v>3010</c:v>
                </c:pt>
                <c:pt idx="14">
                  <c:v>3246</c:v>
                </c:pt>
                <c:pt idx="15">
                  <c:v>3170</c:v>
                </c:pt>
                <c:pt idx="16">
                  <c:v>3501</c:v>
                </c:pt>
                <c:pt idx="17">
                  <c:v>2913</c:v>
                </c:pt>
                <c:pt idx="18">
                  <c:v>3916</c:v>
                </c:pt>
                <c:pt idx="19">
                  <c:v>2667</c:v>
                </c:pt>
                <c:pt idx="20">
                  <c:v>3273</c:v>
                </c:pt>
                <c:pt idx="21">
                  <c:v>3214</c:v>
                </c:pt>
                <c:pt idx="22">
                  <c:v>2708</c:v>
                </c:pt>
                <c:pt idx="23">
                  <c:v>3017</c:v>
                </c:pt>
                <c:pt idx="24">
                  <c:v>2822</c:v>
                </c:pt>
                <c:pt idx="25">
                  <c:v>2919</c:v>
                </c:pt>
                <c:pt idx="26">
                  <c:v>3555</c:v>
                </c:pt>
                <c:pt idx="27">
                  <c:v>2975</c:v>
                </c:pt>
                <c:pt idx="28">
                  <c:v>2952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518.42000000000007</c:v>
                </c:pt>
                <c:pt idx="1">
                  <c:v>333.27000000000004</c:v>
                </c:pt>
                <c:pt idx="2">
                  <c:v>444.36</c:v>
                </c:pt>
                <c:pt idx="3">
                  <c:v>556.5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191.99526</c:v>
                </c:pt>
                <c:pt idx="7">
                  <c:v>351.99131</c:v>
                </c:pt>
                <c:pt idx="8">
                  <c:v>191.99526</c:v>
                </c:pt>
                <c:pt idx="9">
                  <c:v>415.98973000000001</c:v>
                </c:pt>
                <c:pt idx="10">
                  <c:v>287.99288999999999</c:v>
                </c:pt>
                <c:pt idx="11">
                  <c:v>287.99288999999999</c:v>
                </c:pt>
                <c:pt idx="12">
                  <c:v>351.99131</c:v>
                </c:pt>
                <c:pt idx="13">
                  <c:v>63.998420000000003</c:v>
                </c:pt>
                <c:pt idx="14">
                  <c:v>479.98815000000002</c:v>
                </c:pt>
                <c:pt idx="15">
                  <c:v>479.98815000000002</c:v>
                </c:pt>
                <c:pt idx="16">
                  <c:v>543.98657000000003</c:v>
                </c:pt>
                <c:pt idx="17">
                  <c:v>319.99209999999999</c:v>
                </c:pt>
                <c:pt idx="18">
                  <c:v>383.99052</c:v>
                </c:pt>
                <c:pt idx="19">
                  <c:v>511.98736000000002</c:v>
                </c:pt>
                <c:pt idx="20">
                  <c:v>0</c:v>
                </c:pt>
                <c:pt idx="21">
                  <c:v>479.98815000000002</c:v>
                </c:pt>
                <c:pt idx="22">
                  <c:v>447.98894000000001</c:v>
                </c:pt>
                <c:pt idx="23">
                  <c:v>447.98894000000001</c:v>
                </c:pt>
                <c:pt idx="24">
                  <c:v>447.98894000000001</c:v>
                </c:pt>
                <c:pt idx="25">
                  <c:v>127.99684000000001</c:v>
                </c:pt>
                <c:pt idx="26">
                  <c:v>447.98894000000001</c:v>
                </c:pt>
                <c:pt idx="27">
                  <c:v>255.99368000000001</c:v>
                </c:pt>
                <c:pt idx="28">
                  <c:v>383.99052</c:v>
                </c:pt>
                <c:pt idx="29">
                  <c:v>607.98499000000004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0" workbookViewId="0">
      <selection activeCell="H2" sqref="H2:H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2021</v>
      </c>
      <c r="E2" s="137">
        <f>submetering!E2+submetering!F2+submetering!G2</f>
        <v>15392</v>
      </c>
      <c r="F2" s="134">
        <v>1.05</v>
      </c>
      <c r="G2" s="134">
        <f>'Consommation mensuel énergie'!V10</f>
        <v>518.42000000000007</v>
      </c>
      <c r="H2" s="134">
        <v>9.9649999999999999</v>
      </c>
      <c r="I2" s="134">
        <f>'Consommation mensuel énergie'!F10</f>
        <v>111</v>
      </c>
      <c r="J2" s="134">
        <v>11.4</v>
      </c>
      <c r="K2" s="137">
        <f>'Consommation mensuel énergie'!D10</f>
        <v>68</v>
      </c>
      <c r="L2" s="137">
        <f>'Consommation mensuel énergie'!E10</f>
        <v>110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submetering!E3+submetering!F3+submetering!G3</f>
        <v>15612</v>
      </c>
      <c r="F3" s="134">
        <v>1.05</v>
      </c>
      <c r="G3" s="134">
        <f>'Consommation mensuel énergie'!V11</f>
        <v>333.27000000000004</v>
      </c>
      <c r="H3" s="134">
        <v>9.9649999999999999</v>
      </c>
      <c r="I3" s="134">
        <f>'Consommation mensuel énergie'!F11</f>
        <v>100.10000000000582</v>
      </c>
      <c r="J3" s="134">
        <v>11.4</v>
      </c>
      <c r="K3" s="137">
        <f>'Consommation mensuel énergie'!D11</f>
        <v>72</v>
      </c>
      <c r="L3" s="137">
        <f>'Consommation mensuel énergie'!E11</f>
        <v>113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submetering!E4+submetering!F4+submetering!G4</f>
        <v>15165</v>
      </c>
      <c r="F4" s="134">
        <v>1.05</v>
      </c>
      <c r="G4" s="134">
        <f>'Consommation mensuel énergie'!V12</f>
        <v>444.36</v>
      </c>
      <c r="H4" s="134">
        <v>9.9649999999999999</v>
      </c>
      <c r="I4" s="134">
        <f>'Consommation mensuel énergie'!F12</f>
        <v>90.80000000000291</v>
      </c>
      <c r="J4" s="134">
        <v>11.4</v>
      </c>
      <c r="K4" s="137">
        <f>'Consommation mensuel énergie'!D12</f>
        <v>76</v>
      </c>
      <c r="L4" s="137">
        <f>'Consommation mensuel énergie'!E12</f>
        <v>107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submetering!E5+submetering!F5+submetering!G5</f>
        <v>14387</v>
      </c>
      <c r="F5" s="134">
        <v>1.05</v>
      </c>
      <c r="G5" s="134">
        <f>'Consommation mensuel énergie'!V13</f>
        <v>556.5</v>
      </c>
      <c r="H5" s="134">
        <v>9.9649999999999999</v>
      </c>
      <c r="I5" s="134">
        <f>'Consommation mensuel énergie'!F13</f>
        <v>95.099999999991269</v>
      </c>
      <c r="J5" s="134">
        <v>11.4</v>
      </c>
      <c r="K5" s="137">
        <f>'Consommation mensuel énergie'!D13</f>
        <v>99</v>
      </c>
      <c r="L5" s="137">
        <f>'Consommation mensuel énergie'!E13</f>
        <v>128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submetering!E6+submetering!F6+submetering!G6</f>
        <v>15188</v>
      </c>
      <c r="F6" s="134">
        <v>1.05</v>
      </c>
      <c r="G6" s="134">
        <f>'Consommation mensuel énergie'!V14</f>
        <v>287.99288999999999</v>
      </c>
      <c r="H6" s="134">
        <v>9.9649999999999999</v>
      </c>
      <c r="I6" s="134">
        <f>'Consommation mensuel énergie'!F14</f>
        <v>97.5</v>
      </c>
      <c r="J6" s="134">
        <v>11.4</v>
      </c>
      <c r="K6" s="137">
        <f>'Consommation mensuel énergie'!D14</f>
        <v>94</v>
      </c>
      <c r="L6" s="137">
        <f>'Consommation mensuel énergie'!E14</f>
        <v>123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submetering!E7+submetering!F7+submetering!G7</f>
        <v>15500</v>
      </c>
      <c r="F7" s="134">
        <v>1.05</v>
      </c>
      <c r="G7" s="134">
        <f>'Consommation mensuel énergie'!V15</f>
        <v>159.99605</v>
      </c>
      <c r="H7" s="134">
        <v>9.9649999999999999</v>
      </c>
      <c r="I7" s="134">
        <f>'Consommation mensuel énergie'!F15</f>
        <v>130.80000000000291</v>
      </c>
      <c r="J7" s="134">
        <v>11.4</v>
      </c>
      <c r="K7" s="137">
        <f>'Consommation mensuel énergie'!D15</f>
        <v>96</v>
      </c>
      <c r="L7" s="137">
        <f>'Consommation mensuel énergie'!E15</f>
        <v>124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submetering!E8+submetering!F8+submetering!G8</f>
        <v>15777</v>
      </c>
      <c r="F8" s="134">
        <v>1.05</v>
      </c>
      <c r="G8" s="134">
        <f>'Consommation mensuel énergie'!V16</f>
        <v>191.99526</v>
      </c>
      <c r="H8" s="134">
        <v>9.9649999999999999</v>
      </c>
      <c r="I8" s="134">
        <f>'Consommation mensuel énergie'!F16</f>
        <v>134.39999999999418</v>
      </c>
      <c r="J8" s="134">
        <v>11.4</v>
      </c>
      <c r="K8" s="137">
        <f>'Consommation mensuel énergie'!D16</f>
        <v>80</v>
      </c>
      <c r="L8" s="137">
        <f>'Consommation mensuel énergie'!E16</f>
        <v>103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submetering!E9+submetering!F9+submetering!G9</f>
        <v>15003</v>
      </c>
      <c r="F9" s="134">
        <v>1.05</v>
      </c>
      <c r="G9" s="134">
        <f>'Consommation mensuel énergie'!V17</f>
        <v>351.99131</v>
      </c>
      <c r="H9" s="134">
        <v>9.9649999999999999</v>
      </c>
      <c r="I9" s="134">
        <f>'Consommation mensuel énergie'!F17</f>
        <v>126.5</v>
      </c>
      <c r="J9" s="134">
        <v>11.4</v>
      </c>
      <c r="K9" s="137">
        <f>'Consommation mensuel énergie'!D17</f>
        <v>138</v>
      </c>
      <c r="L9" s="137">
        <f>'Consommation mensuel énergie'!E17</f>
        <v>184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submetering!E10+submetering!F10+submetering!G10</f>
        <v>15020</v>
      </c>
      <c r="F10" s="134">
        <v>1.05</v>
      </c>
      <c r="G10" s="134">
        <f>'Consommation mensuel énergie'!V19</f>
        <v>415.98973000000001</v>
      </c>
      <c r="H10" s="134">
        <v>9.9649999999999999</v>
      </c>
      <c r="I10" s="134">
        <f>'Consommation mensuel énergie'!F18</f>
        <v>108.60000000000582</v>
      </c>
      <c r="J10" s="134">
        <v>11.4</v>
      </c>
      <c r="K10" s="137">
        <f>'Consommation mensuel énergie'!D18</f>
        <v>133</v>
      </c>
      <c r="L10" s="137">
        <f>'Consommation mensuel énergie'!E18</f>
        <v>112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submetering!E11+submetering!F11+submetering!G11</f>
        <v>16570</v>
      </c>
      <c r="F11" s="134">
        <v>1.05</v>
      </c>
      <c r="G11" s="134">
        <f>'Consommation mensuel énergie'!V20</f>
        <v>287.99288999999999</v>
      </c>
      <c r="H11" s="134">
        <v>9.9649999999999999</v>
      </c>
      <c r="I11" s="134">
        <f>'Consommation mensuel énergie'!F19</f>
        <v>147</v>
      </c>
      <c r="J11" s="134">
        <v>11.4</v>
      </c>
      <c r="K11" s="137">
        <f>'Consommation mensuel énergie'!D19</f>
        <v>59</v>
      </c>
      <c r="L11" s="137">
        <f>'Consommation mensuel énergie'!E19</f>
        <v>80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submetering!E12+submetering!F12+submetering!G12</f>
        <v>13862</v>
      </c>
      <c r="F12" s="134">
        <v>1.05</v>
      </c>
      <c r="G12" s="134">
        <f>'Consommation mensuel énergie'!V21</f>
        <v>287.99288999999999</v>
      </c>
      <c r="H12" s="134">
        <v>9.9649999999999999</v>
      </c>
      <c r="I12" s="134">
        <f>'Consommation mensuel énergie'!F20</f>
        <v>97</v>
      </c>
      <c r="J12" s="134">
        <v>11.4</v>
      </c>
      <c r="K12" s="137">
        <f>'Consommation mensuel énergie'!D20</f>
        <v>69</v>
      </c>
      <c r="L12" s="137">
        <f>'Consommation mensuel énergie'!E20</f>
        <v>87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submetering!E13+submetering!F13+submetering!G13</f>
        <v>14285</v>
      </c>
      <c r="F13" s="134">
        <v>1.05</v>
      </c>
      <c r="G13" s="134">
        <f>'Consommation mensuel énergie'!V22</f>
        <v>351.99131</v>
      </c>
      <c r="H13" s="134">
        <v>9.9649999999999999</v>
      </c>
      <c r="I13" s="134">
        <f>'Consommation mensuel énergie'!F21</f>
        <v>85.80000000000291</v>
      </c>
      <c r="J13" s="134">
        <v>11.4</v>
      </c>
      <c r="K13" s="137">
        <f>'Consommation mensuel énergie'!D21</f>
        <v>77</v>
      </c>
      <c r="L13" s="137">
        <f>'Consommation mensuel énergie'!E21</f>
        <v>96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submetering!E14+submetering!F14+submetering!G14</f>
        <v>16115</v>
      </c>
      <c r="F14" s="134">
        <v>1.05</v>
      </c>
      <c r="G14" s="134">
        <f>'Consommation mensuel énergie'!V23</f>
        <v>63.998420000000003</v>
      </c>
      <c r="H14" s="134">
        <v>9.9649999999999999</v>
      </c>
      <c r="I14" s="134">
        <f>'Consommation mensuel énergie'!F22</f>
        <v>95.30000000000291</v>
      </c>
      <c r="J14" s="134">
        <v>11.4</v>
      </c>
      <c r="K14" s="137">
        <f>'Consommation mensuel énergie'!D22</f>
        <v>68</v>
      </c>
      <c r="L14" s="137">
        <f>'Consommation mensuel énergie'!E22</f>
        <v>80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submetering!E15+submetering!F15+submetering!G15</f>
        <v>14475</v>
      </c>
      <c r="F15" s="134">
        <v>1.05</v>
      </c>
      <c r="G15" s="134">
        <f>'Consommation mensuel énergie'!V24</f>
        <v>479.98815000000002</v>
      </c>
      <c r="H15" s="134">
        <v>9.9649999999999999</v>
      </c>
      <c r="I15" s="134">
        <f>'Consommation mensuel énergie'!F23</f>
        <v>108.59999999999127</v>
      </c>
      <c r="J15" s="134">
        <v>11.4</v>
      </c>
      <c r="K15" s="137">
        <f>'Consommation mensuel énergie'!D23</f>
        <v>70</v>
      </c>
      <c r="L15" s="137">
        <f>'Consommation mensuel énergie'!E23</f>
        <v>95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submetering!E16+submetering!F16+submetering!G16</f>
        <v>15050</v>
      </c>
      <c r="F16" s="134">
        <v>1.05</v>
      </c>
      <c r="G16" s="134">
        <f>'Consommation mensuel énergie'!V25</f>
        <v>479.98815000000002</v>
      </c>
      <c r="H16" s="134">
        <v>9.9649999999999999</v>
      </c>
      <c r="I16" s="134">
        <f>'Consommation mensuel énergie'!F24</f>
        <v>108.10000000000582</v>
      </c>
      <c r="J16" s="134">
        <v>11.4</v>
      </c>
      <c r="K16" s="137">
        <f>'Consommation mensuel énergie'!D24</f>
        <v>69</v>
      </c>
      <c r="L16" s="137">
        <f>'Consommation mensuel énergie'!E24</f>
        <v>104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submetering!E17+submetering!F17+submetering!G17</f>
        <v>14495</v>
      </c>
      <c r="F17" s="134">
        <v>1.05</v>
      </c>
      <c r="G17" s="134">
        <f>'Consommation mensuel énergie'!V26</f>
        <v>543.98657000000003</v>
      </c>
      <c r="H17" s="134">
        <v>9.9649999999999999</v>
      </c>
      <c r="I17" s="134">
        <f>'Consommation mensuel énergie'!F25</f>
        <v>88.5</v>
      </c>
      <c r="J17" s="134">
        <v>11.4</v>
      </c>
      <c r="K17" s="137">
        <f>'Consommation mensuel énergie'!D25</f>
        <v>89</v>
      </c>
      <c r="L17" s="137">
        <f>'Consommation mensuel énergie'!E25</f>
        <v>146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submetering!E18+submetering!F18+submetering!G18</f>
        <v>14585</v>
      </c>
      <c r="F18" s="134">
        <v>1.05</v>
      </c>
      <c r="G18" s="134">
        <f>'Consommation mensuel énergie'!V27</f>
        <v>319.99209999999999</v>
      </c>
      <c r="H18" s="134">
        <v>9.9649999999999999</v>
      </c>
      <c r="I18" s="134">
        <f>'Consommation mensuel énergie'!F26</f>
        <v>110.69999999999709</v>
      </c>
      <c r="J18" s="134">
        <v>11.4</v>
      </c>
      <c r="K18" s="137">
        <f>'Consommation mensuel énergie'!D26</f>
        <v>77</v>
      </c>
      <c r="L18" s="137">
        <f>'Consommation mensuel énergie'!E26</f>
        <v>107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submetering!E19+submetering!F19+submetering!G19</f>
        <v>13930</v>
      </c>
      <c r="F19" s="134">
        <v>1.05</v>
      </c>
      <c r="G19" s="134">
        <f>'Consommation mensuel énergie'!V28</f>
        <v>383.99052</v>
      </c>
      <c r="H19" s="134">
        <v>9.9649999999999999</v>
      </c>
      <c r="I19" s="134">
        <f>'Consommation mensuel énergie'!F27</f>
        <v>118</v>
      </c>
      <c r="J19" s="134">
        <v>11.4</v>
      </c>
      <c r="K19" s="137">
        <f>'Consommation mensuel énergie'!D27</f>
        <v>121</v>
      </c>
      <c r="L19" s="137">
        <f>'Consommation mensuel énergie'!E27</f>
        <v>198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submetering!E20+submetering!F20+submetering!G20</f>
        <v>15949</v>
      </c>
      <c r="F20" s="134">
        <v>1.05</v>
      </c>
      <c r="G20" s="134">
        <f>'Consommation mensuel énergie'!V29</f>
        <v>511.98736000000002</v>
      </c>
      <c r="H20" s="134">
        <v>9.9649999999999999</v>
      </c>
      <c r="I20" s="134">
        <f>'Consommation mensuel énergie'!F28</f>
        <v>81.600000000005821</v>
      </c>
      <c r="J20" s="134">
        <v>11.4</v>
      </c>
      <c r="K20" s="137">
        <f>'Consommation mensuel énergie'!D28</f>
        <v>87</v>
      </c>
      <c r="L20" s="137">
        <f>'Consommation mensuel énergie'!E28</f>
        <v>138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submetering!E21+submetering!F21+submetering!G21</f>
        <v>13467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104.39999999999418</v>
      </c>
      <c r="J21" s="134">
        <v>11.4</v>
      </c>
      <c r="K21" s="137">
        <f>'Consommation mensuel énergie'!D29</f>
        <v>79</v>
      </c>
      <c r="L21" s="137">
        <f>'Consommation mensuel énergie'!E29</f>
        <v>120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submetering!E22+submetering!F22+submetering!G22</f>
        <v>15067</v>
      </c>
      <c r="F22" s="134">
        <v>1.05</v>
      </c>
      <c r="G22" s="134">
        <f>'Consommation mensuel énergie'!V31</f>
        <v>479.98815000000002</v>
      </c>
      <c r="H22" s="134">
        <v>9.9649999999999999</v>
      </c>
      <c r="I22" s="134">
        <f>'Consommation mensuel énergie'!F30</f>
        <v>82</v>
      </c>
      <c r="J22" s="134">
        <v>11.4</v>
      </c>
      <c r="K22" s="137">
        <f>'Consommation mensuel énergie'!D30</f>
        <v>78</v>
      </c>
      <c r="L22" s="137">
        <f>'Consommation mensuel énergie'!E30</f>
        <v>119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submetering!E23+submetering!F23+submetering!G23</f>
        <v>14993</v>
      </c>
      <c r="F23" s="134">
        <v>1.05</v>
      </c>
      <c r="G23" s="134">
        <f>'Consommation mensuel énergie'!V32</f>
        <v>447.98894000000001</v>
      </c>
      <c r="H23" s="134">
        <v>9.9649999999999999</v>
      </c>
      <c r="I23" s="134">
        <f>'Consommation mensuel énergie'!F31</f>
        <v>92</v>
      </c>
      <c r="J23" s="134">
        <v>11.4</v>
      </c>
      <c r="K23" s="137">
        <f>'Consommation mensuel énergie'!D31</f>
        <v>93</v>
      </c>
      <c r="L23" s="137">
        <f>'Consommation mensuel énergie'!E31</f>
        <v>155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submetering!E24+submetering!F24+submetering!G24</f>
        <v>13553</v>
      </c>
      <c r="F24" s="134">
        <v>1.05</v>
      </c>
      <c r="G24" s="134">
        <f>'Consommation mensuel énergie'!V33</f>
        <v>447.98894000000001</v>
      </c>
      <c r="H24" s="134">
        <v>9.9649999999999999</v>
      </c>
      <c r="I24" s="134">
        <f>'Consommation mensuel énergie'!F32</f>
        <v>125</v>
      </c>
      <c r="J24" s="134">
        <v>11.4</v>
      </c>
      <c r="K24" s="137">
        <f>'Consommation mensuel énergie'!D32</f>
        <v>107</v>
      </c>
      <c r="L24" s="137">
        <f>'Consommation mensuel énergie'!E32</f>
        <v>172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submetering!E25+submetering!F25+submetering!G25</f>
        <v>13593</v>
      </c>
      <c r="F25" s="134">
        <v>1.05</v>
      </c>
      <c r="G25" s="134">
        <f>'Consommation mensuel énergie'!V34</f>
        <v>447.98894000000001</v>
      </c>
      <c r="H25" s="134">
        <v>9.9649999999999999</v>
      </c>
      <c r="I25" s="134">
        <f>'Consommation mensuel énergie'!F33</f>
        <v>144</v>
      </c>
      <c r="J25" s="134">
        <v>11.4</v>
      </c>
      <c r="K25" s="137">
        <f>'Consommation mensuel énergie'!D33</f>
        <v>87</v>
      </c>
      <c r="L25" s="137">
        <f>'Consommation mensuel énergie'!E33</f>
        <v>135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submetering!E26+submetering!F26+submetering!G26</f>
        <v>13270</v>
      </c>
      <c r="F26" s="134">
        <v>1.05</v>
      </c>
      <c r="G26" s="134">
        <f>'Consommation mensuel énergie'!V35</f>
        <v>127.99684000000001</v>
      </c>
      <c r="H26" s="134">
        <v>9.9649999999999999</v>
      </c>
      <c r="I26" s="134">
        <f>'Consommation mensuel énergie'!F34</f>
        <v>101</v>
      </c>
      <c r="J26" s="134">
        <v>11.4</v>
      </c>
      <c r="K26" s="137">
        <f>'Consommation mensuel énergie'!D34</f>
        <v>94</v>
      </c>
      <c r="L26" s="137">
        <f>'Consommation mensuel énergie'!E34</f>
        <v>134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submetering!E27+submetering!F27+submetering!G27</f>
        <v>12443</v>
      </c>
      <c r="F27" s="134">
        <v>1.05</v>
      </c>
      <c r="G27" s="134">
        <f>'Consommation mensuel énergie'!V36</f>
        <v>447.98894000000001</v>
      </c>
      <c r="H27" s="134">
        <v>9.9649999999999999</v>
      </c>
      <c r="I27" s="134">
        <f>'Consommation mensuel énergie'!F35</f>
        <v>91.899999999994179</v>
      </c>
      <c r="J27" s="134">
        <v>11.4</v>
      </c>
      <c r="K27" s="137">
        <f>'Consommation mensuel énergie'!D35</f>
        <v>94</v>
      </c>
      <c r="L27" s="137">
        <f>'Consommation mensuel énergie'!E35</f>
        <v>134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submetering!E28+submetering!F28+submetering!G28</f>
        <v>16898</v>
      </c>
      <c r="F28" s="134">
        <v>1.05</v>
      </c>
      <c r="G28" s="134">
        <f>'Consommation mensuel énergie'!V37</f>
        <v>255.99368000000001</v>
      </c>
      <c r="H28" s="134">
        <v>9.9649999999999999</v>
      </c>
      <c r="I28" s="134">
        <f>'Consommation mensuel énergie'!F36</f>
        <v>100.40000000000873</v>
      </c>
      <c r="J28" s="134">
        <v>11.4</v>
      </c>
      <c r="K28" s="137">
        <f>'Consommation mensuel énergie'!D36</f>
        <v>94</v>
      </c>
      <c r="L28" s="137">
        <f>'Consommation mensuel énergie'!E36</f>
        <v>130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submetering!E29+submetering!F29+submetering!G29</f>
        <v>14450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100.09999999999127</v>
      </c>
      <c r="J29" s="134">
        <v>11.4</v>
      </c>
      <c r="K29" s="137">
        <f>'Consommation mensuel énergie'!D37</f>
        <v>99</v>
      </c>
      <c r="L29" s="137">
        <f>'Consommation mensuel énergie'!E37</f>
        <v>145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submetering!E30+submetering!F30+submetering!G30</f>
        <v>15853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111.70000000001164</v>
      </c>
      <c r="J30" s="134">
        <v>11.4</v>
      </c>
      <c r="K30" s="137">
        <f>'Consommation mensuel énergie'!D38</f>
        <v>98</v>
      </c>
      <c r="L30" s="137">
        <f>'Consommation mensuel énergie'!E38</f>
        <v>158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submetering!E31+submetering!F31+submetering!G31</f>
        <v>13090</v>
      </c>
      <c r="F31" s="134">
        <v>1.05</v>
      </c>
      <c r="G31" s="134">
        <f>'Consommation mensuel énergie'!V41</f>
        <v>9820.3532899999991</v>
      </c>
      <c r="H31" s="134">
        <v>9.9649999999999999</v>
      </c>
      <c r="I31" s="134">
        <f>'Consommation mensuel énergie'!F39</f>
        <v>122.89999999999418</v>
      </c>
      <c r="J31" s="134">
        <v>11.4</v>
      </c>
      <c r="K31" s="137">
        <f>'Consommation mensuel énergie'!D39</f>
        <v>112</v>
      </c>
      <c r="L31" s="137">
        <f>'Consommation mensuel énergie'!E39</f>
        <v>190</v>
      </c>
      <c r="M31" s="133"/>
    </row>
    <row r="32" spans="1:13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submetering!E32+submetering!F32+submetering!G32</f>
        <v>13692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119.39999999999418</v>
      </c>
      <c r="J32" s="134">
        <v>11.4</v>
      </c>
      <c r="K32" s="137">
        <f>'Consommation mensuel énergie'!D40</f>
        <v>91</v>
      </c>
      <c r="L32" s="137">
        <f>'Consommation mensuel énergie'!E40</f>
        <v>161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27"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2021</v>
      </c>
      <c r="E2" s="137">
        <f>'Consommation mensuel énergie'!L10</f>
        <v>3908</v>
      </c>
      <c r="F2" s="137">
        <f>'Consommation mensuel énergie'!M10</f>
        <v>8144</v>
      </c>
      <c r="G2" s="137">
        <f>'Consommation mensuel énergie'!N10</f>
        <v>3340</v>
      </c>
      <c r="H2" s="137">
        <f>'Consommation mensuel énergie'!D10</f>
        <v>68</v>
      </c>
      <c r="I2" s="137">
        <f>'Consommation mensuel énergie'!E10</f>
        <v>110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'Consommation mensuel énergie'!L11</f>
        <v>4695</v>
      </c>
      <c r="F3" s="137">
        <f>'Consommation mensuel énergie'!M11</f>
        <v>7577</v>
      </c>
      <c r="G3" s="137">
        <f>'Consommation mensuel énergie'!N14</f>
        <v>3340</v>
      </c>
      <c r="H3" s="137">
        <f>'Consommation mensuel énergie'!D11</f>
        <v>72</v>
      </c>
      <c r="I3" s="137">
        <f>'Consommation mensuel énergie'!E11</f>
        <v>113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'Consommation mensuel énergie'!L12</f>
        <v>4359</v>
      </c>
      <c r="F4" s="137">
        <f>'Consommation mensuel énergie'!M12</f>
        <v>7444</v>
      </c>
      <c r="G4" s="137">
        <f>'Consommation mensuel énergie'!N12</f>
        <v>3362</v>
      </c>
      <c r="H4" s="137">
        <f>'Consommation mensuel énergie'!D12</f>
        <v>76</v>
      </c>
      <c r="I4" s="137">
        <f>'Consommation mensuel énergie'!E12</f>
        <v>107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'Consommation mensuel énergie'!L13</f>
        <v>3927</v>
      </c>
      <c r="F5" s="137">
        <f>'Consommation mensuel énergie'!M13</f>
        <v>7105</v>
      </c>
      <c r="G5" s="137">
        <f>'Consommation mensuel énergie'!N13</f>
        <v>3355</v>
      </c>
      <c r="H5" s="137">
        <f>'Consommation mensuel énergie'!D13</f>
        <v>99</v>
      </c>
      <c r="I5" s="137">
        <f>'Consommation mensuel énergie'!E13</f>
        <v>128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'Consommation mensuel énergie'!L14</f>
        <v>4144</v>
      </c>
      <c r="F6" s="137">
        <f>'Consommation mensuel énergie'!M14</f>
        <v>7704</v>
      </c>
      <c r="G6" s="137">
        <f>'Consommation mensuel énergie'!N14</f>
        <v>3340</v>
      </c>
      <c r="H6" s="137">
        <f>'Consommation mensuel énergie'!D14</f>
        <v>94</v>
      </c>
      <c r="I6" s="137">
        <f>'Consommation mensuel énergie'!E14</f>
        <v>123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'Consommation mensuel énergie'!L15</f>
        <v>4169</v>
      </c>
      <c r="F7" s="137">
        <f>'Consommation mensuel énergie'!M15</f>
        <v>8044</v>
      </c>
      <c r="G7" s="137">
        <f>'Consommation mensuel énergie'!N15</f>
        <v>3287</v>
      </c>
      <c r="H7" s="137">
        <f>'Consommation mensuel énergie'!D15</f>
        <v>96</v>
      </c>
      <c r="I7" s="137">
        <f>'Consommation mensuel énergie'!E15</f>
        <v>124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'Consommation mensuel énergie'!L16</f>
        <v>4218</v>
      </c>
      <c r="F8" s="137">
        <f>'Consommation mensuel énergie'!M16</f>
        <v>8066</v>
      </c>
      <c r="G8" s="137">
        <f>'Consommation mensuel énergie'!N16</f>
        <v>3493</v>
      </c>
      <c r="H8" s="137">
        <f>'Consommation mensuel énergie'!D16</f>
        <v>80</v>
      </c>
      <c r="I8" s="137">
        <f>'Consommation mensuel énergie'!E16</f>
        <v>103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'Consommation mensuel énergie'!L17</f>
        <v>4533</v>
      </c>
      <c r="F9" s="137">
        <f>'Consommation mensuel énergie'!M17</f>
        <v>7295</v>
      </c>
      <c r="G9" s="137">
        <f>'Consommation mensuel énergie'!N17</f>
        <v>3175</v>
      </c>
      <c r="H9" s="137">
        <f>'Consommation mensuel énergie'!D17</f>
        <v>138</v>
      </c>
      <c r="I9" s="137">
        <f>'Consommation mensuel énergie'!E17</f>
        <v>184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'Consommation mensuel énergie'!L18</f>
        <v>4108</v>
      </c>
      <c r="F10" s="137">
        <f>'Consommation mensuel énergie'!M18</f>
        <v>7379</v>
      </c>
      <c r="G10" s="137">
        <f>'Consommation mensuel énergie'!N18</f>
        <v>3533</v>
      </c>
      <c r="H10" s="137">
        <f>'Consommation mensuel énergie'!D18</f>
        <v>133</v>
      </c>
      <c r="I10" s="137">
        <f>'Consommation mensuel énergie'!E18</f>
        <v>112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'Consommation mensuel énergie'!L19</f>
        <v>4360</v>
      </c>
      <c r="F11" s="137">
        <f>'Consommation mensuel énergie'!M19</f>
        <v>8527</v>
      </c>
      <c r="G11" s="137">
        <f>'Consommation mensuel énergie'!N19</f>
        <v>3683</v>
      </c>
      <c r="H11" s="137">
        <f>'Consommation mensuel énergie'!D19</f>
        <v>59</v>
      </c>
      <c r="I11" s="137">
        <f>'Consommation mensuel énergie'!E19</f>
        <v>80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'Consommation mensuel énergie'!L20</f>
        <v>4131</v>
      </c>
      <c r="F12" s="137">
        <f>'Consommation mensuel énergie'!M20</f>
        <v>6943</v>
      </c>
      <c r="G12" s="137">
        <f>'Consommation mensuel énergie'!N20</f>
        <v>2788</v>
      </c>
      <c r="H12" s="137">
        <f>'Consommation mensuel énergie'!D20</f>
        <v>69</v>
      </c>
      <c r="I12" s="137">
        <f>'Consommation mensuel énergie'!E20</f>
        <v>87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'Consommation mensuel énergie'!L21</f>
        <v>4247</v>
      </c>
      <c r="F13" s="137">
        <f>'Consommation mensuel énergie'!M21</f>
        <v>6997</v>
      </c>
      <c r="G13" s="137">
        <f>'Consommation mensuel énergie'!N21</f>
        <v>3041</v>
      </c>
      <c r="H13" s="137">
        <f>'Consommation mensuel énergie'!D21</f>
        <v>77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'Consommation mensuel énergie'!L22</f>
        <v>4560</v>
      </c>
      <c r="F14" s="137">
        <f>'Consommation mensuel énergie'!M22</f>
        <v>8313</v>
      </c>
      <c r="G14" s="137">
        <f>'Consommation mensuel énergie'!N22</f>
        <v>3242</v>
      </c>
      <c r="H14" s="137">
        <f>'Consommation mensuel énergie'!D22</f>
        <v>68</v>
      </c>
      <c r="I14" s="137">
        <f>'Consommation mensuel énergie'!E22</f>
        <v>80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'Consommation mensuel énergie'!L23</f>
        <v>4211</v>
      </c>
      <c r="F15" s="137">
        <f>'Consommation mensuel énergie'!M23</f>
        <v>7254</v>
      </c>
      <c r="G15" s="137">
        <f>'Consommation mensuel énergie'!N23</f>
        <v>3010</v>
      </c>
      <c r="H15" s="137">
        <f>'Consommation mensuel énergie'!D23</f>
        <v>70</v>
      </c>
      <c r="I15" s="137">
        <f>'Consommation mensuel énergie'!E23</f>
        <v>95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'Consommation mensuel énergie'!L24</f>
        <v>4677</v>
      </c>
      <c r="F16" s="137">
        <f>'Consommation mensuel énergie'!M24</f>
        <v>7127</v>
      </c>
      <c r="G16" s="137">
        <f>'Consommation mensuel énergie'!N24</f>
        <v>3246</v>
      </c>
      <c r="H16" s="137">
        <f>'Consommation mensuel énergie'!D24</f>
        <v>69</v>
      </c>
      <c r="I16" s="137">
        <f>'Consommation mensuel énergie'!E24</f>
        <v>104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'Consommation mensuel énergie'!L25</f>
        <v>4101</v>
      </c>
      <c r="F17" s="137">
        <f>'Consommation mensuel énergie'!M25</f>
        <v>7224</v>
      </c>
      <c r="G17" s="137">
        <f>'Consommation mensuel énergie'!N25</f>
        <v>3170</v>
      </c>
      <c r="H17" s="137">
        <f>'Consommation mensuel énergie'!D25</f>
        <v>89</v>
      </c>
      <c r="I17" s="137">
        <f>'Consommation mensuel énergie'!E25</f>
        <v>146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'Consommation mensuel énergie'!L26</f>
        <v>4279</v>
      </c>
      <c r="F18" s="137">
        <f>'Consommation mensuel énergie'!M26</f>
        <v>6805</v>
      </c>
      <c r="G18" s="137">
        <f>'Consommation mensuel énergie'!N26</f>
        <v>3501</v>
      </c>
      <c r="H18" s="137">
        <f>'Consommation mensuel énergie'!D26</f>
        <v>77</v>
      </c>
      <c r="I18" s="137">
        <f>'Consommation mensuel énergie'!E26</f>
        <v>107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'Consommation mensuel énergie'!L27</f>
        <v>4208</v>
      </c>
      <c r="F19" s="137">
        <f>'Consommation mensuel énergie'!M27</f>
        <v>6809</v>
      </c>
      <c r="G19" s="137">
        <f>'Consommation mensuel énergie'!N27</f>
        <v>2913</v>
      </c>
      <c r="H19" s="137">
        <f>'Consommation mensuel énergie'!D27</f>
        <v>121</v>
      </c>
      <c r="I19" s="137">
        <f>'Consommation mensuel énergie'!E27</f>
        <v>198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'Consommation mensuel énergie'!L28</f>
        <v>4896</v>
      </c>
      <c r="F20" s="137">
        <f>'Consommation mensuel énergie'!M28</f>
        <v>7137</v>
      </c>
      <c r="G20" s="137">
        <f>'Consommation mensuel énergie'!N28</f>
        <v>3916</v>
      </c>
      <c r="H20" s="137">
        <f>'Consommation mensuel énergie'!D28</f>
        <v>87</v>
      </c>
      <c r="I20" s="137">
        <f>'Consommation mensuel énergie'!E28</f>
        <v>138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'Consommation mensuel énergie'!L29</f>
        <v>3831</v>
      </c>
      <c r="F21" s="137">
        <f>'Consommation mensuel énergie'!M29</f>
        <v>6969</v>
      </c>
      <c r="G21" s="137">
        <f>'Consommation mensuel énergie'!N29</f>
        <v>2667</v>
      </c>
      <c r="H21" s="137">
        <f>'Consommation mensuel énergie'!D29</f>
        <v>79</v>
      </c>
      <c r="I21" s="137">
        <f>'Consommation mensuel énergie'!E29</f>
        <v>120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'Consommation mensuel énergie'!L30</f>
        <v>4252</v>
      </c>
      <c r="F22" s="137">
        <f>'Consommation mensuel énergie'!M30</f>
        <v>7542</v>
      </c>
      <c r="G22" s="137">
        <f>'Consommation mensuel énergie'!N30</f>
        <v>3273</v>
      </c>
      <c r="H22" s="137">
        <f>'Consommation mensuel énergie'!D30</f>
        <v>78</v>
      </c>
      <c r="I22" s="137">
        <f>'Consommation mensuel énergie'!E30</f>
        <v>119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'Consommation mensuel énergie'!L31</f>
        <v>4391</v>
      </c>
      <c r="F23" s="137">
        <f>'Consommation mensuel énergie'!M31</f>
        <v>7388</v>
      </c>
      <c r="G23" s="137">
        <f>'Consommation mensuel énergie'!N31</f>
        <v>3214</v>
      </c>
      <c r="H23" s="137">
        <f>'Consommation mensuel énergie'!D31</f>
        <v>93</v>
      </c>
      <c r="I23" s="137">
        <f>'Consommation mensuel énergie'!E31</f>
        <v>155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'Consommation mensuel énergie'!L32</f>
        <v>4208</v>
      </c>
      <c r="F24" s="137">
        <f>'Consommation mensuel énergie'!M32</f>
        <v>6637</v>
      </c>
      <c r="G24" s="137">
        <f>'Consommation mensuel énergie'!N32</f>
        <v>2708</v>
      </c>
      <c r="H24" s="137">
        <f>'Consommation mensuel énergie'!D32</f>
        <v>107</v>
      </c>
      <c r="I24" s="137">
        <f>'Consommation mensuel énergie'!E32</f>
        <v>172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'Consommation mensuel énergie'!L33</f>
        <v>3813</v>
      </c>
      <c r="F25" s="137">
        <f>'Consommation mensuel énergie'!M33</f>
        <v>6763</v>
      </c>
      <c r="G25" s="137">
        <f>'Consommation mensuel énergie'!N33</f>
        <v>3017</v>
      </c>
      <c r="H25" s="137">
        <f>'Consommation mensuel énergie'!D33</f>
        <v>87</v>
      </c>
      <c r="I25" s="137">
        <f>'Consommation mensuel énergie'!E33</f>
        <v>135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'Consommation mensuel énergie'!L34</f>
        <v>4104</v>
      </c>
      <c r="F26" s="137">
        <f>'Consommation mensuel énergie'!M34</f>
        <v>6344</v>
      </c>
      <c r="G26" s="137">
        <f>'Consommation mensuel énergie'!N34</f>
        <v>2822</v>
      </c>
      <c r="H26" s="137">
        <f>'Consommation mensuel énergie'!D34</f>
        <v>94</v>
      </c>
      <c r="I26" s="137">
        <f>'Consommation mensuel énergie'!E34</f>
        <v>134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'Consommation mensuel énergie'!L35</f>
        <v>2861</v>
      </c>
      <c r="F27" s="137">
        <f>'Consommation mensuel énergie'!M35</f>
        <v>6663</v>
      </c>
      <c r="G27" s="137">
        <f>'Consommation mensuel énergie'!N35</f>
        <v>2919</v>
      </c>
      <c r="H27" s="137">
        <f>'Consommation mensuel énergie'!D35</f>
        <v>94</v>
      </c>
      <c r="I27" s="137">
        <f>'Consommation mensuel énergie'!E35</f>
        <v>134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'Consommation mensuel énergie'!L36</f>
        <v>4256</v>
      </c>
      <c r="F28" s="137">
        <f>'Consommation mensuel énergie'!M36</f>
        <v>9087</v>
      </c>
      <c r="G28" s="137">
        <f>'Consommation mensuel énergie'!N36</f>
        <v>3555</v>
      </c>
      <c r="H28" s="137">
        <f>'Consommation mensuel énergie'!D36</f>
        <v>94</v>
      </c>
      <c r="I28" s="137">
        <f>'Consommation mensuel énergie'!E36</f>
        <v>130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'Consommation mensuel énergie'!L37</f>
        <v>4080</v>
      </c>
      <c r="F29" s="137">
        <f>'Consommation mensuel énergie'!M37</f>
        <v>7395</v>
      </c>
      <c r="G29" s="137">
        <f>'Consommation mensuel énergie'!N37</f>
        <v>2975</v>
      </c>
      <c r="H29" s="137">
        <f>'Consommation mensuel énergie'!D37</f>
        <v>99</v>
      </c>
      <c r="I29" s="137">
        <f>'Consommation mensuel énergie'!E37</f>
        <v>145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'Consommation mensuel énergie'!L38</f>
        <v>5080</v>
      </c>
      <c r="F30" s="137">
        <f>'Consommation mensuel énergie'!M38</f>
        <v>7821</v>
      </c>
      <c r="G30" s="137">
        <f>'Consommation mensuel énergie'!N38</f>
        <v>2952</v>
      </c>
      <c r="H30" s="137">
        <f>'Consommation mensuel énergie'!D38</f>
        <v>98</v>
      </c>
      <c r="I30" s="137">
        <f>'Consommation mensuel énergie'!E38</f>
        <v>158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'Consommation mensuel énergie'!L39</f>
        <v>3965</v>
      </c>
      <c r="F31" s="137">
        <f>'Consommation mensuel énergie'!M39</f>
        <v>6394</v>
      </c>
      <c r="G31" s="137">
        <f>'Consommation mensuel énergie'!N39</f>
        <v>2731</v>
      </c>
      <c r="H31" s="137">
        <f>'Consommation mensuel énergie'!D39</f>
        <v>112</v>
      </c>
      <c r="I31" s="137">
        <f>'Consommation mensuel énergie'!E39</f>
        <v>190</v>
      </c>
      <c r="J31" s="133"/>
    </row>
    <row r="32" spans="1:10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'Consommation mensuel énergie'!L40</f>
        <v>3599</v>
      </c>
      <c r="F32" s="137">
        <f>'Consommation mensuel énergie'!M40</f>
        <v>6910</v>
      </c>
      <c r="G32" s="137">
        <f>'Consommation mensuel énergie'!N40</f>
        <v>3183</v>
      </c>
      <c r="H32" s="137">
        <f>'Consommation mensuel énergie'!D40</f>
        <v>91</v>
      </c>
      <c r="I32" s="137">
        <f>'Consommation mensuel énergie'!E40</f>
        <v>161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36" activePane="bottomRight" state="frozen"/>
      <selection pane="bottomRight" activeCell="E41" sqref="E4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44470</v>
      </c>
      <c r="C10" s="7"/>
      <c r="D10" s="143">
        <v>68</v>
      </c>
      <c r="E10" s="143">
        <v>110</v>
      </c>
      <c r="F10" s="13">
        <f>'Suivi EAU-ELEC'!E9</f>
        <v>111</v>
      </c>
      <c r="G10" s="11"/>
      <c r="H10" s="166">
        <f>F10*8.79</f>
        <v>975.68999999999994</v>
      </c>
      <c r="I10" s="167"/>
      <c r="J10" s="167"/>
      <c r="K10" s="60">
        <v>42278</v>
      </c>
      <c r="L10" s="90">
        <f>'Suivi EAU-ELEC'!G9</f>
        <v>3908</v>
      </c>
      <c r="M10" s="91">
        <f>'Suivi EAU-ELEC'!I9</f>
        <v>8144</v>
      </c>
      <c r="N10" s="91">
        <f>'Suivi EAU-ELEC'!K9</f>
        <v>3340</v>
      </c>
      <c r="O10" s="91">
        <f>L10+M10+N10</f>
        <v>15392</v>
      </c>
      <c r="P10" s="11"/>
      <c r="Q10" s="34">
        <f>L10*0.6985+M10*0.9514+N10*1.3304</f>
        <v>14921.4756</v>
      </c>
      <c r="R10" s="11"/>
      <c r="S10" s="28"/>
      <c r="T10" s="11"/>
      <c r="U10" s="28"/>
      <c r="V10" s="146">
        <f>'Suvi Gaz'!O4</f>
        <v>518.42000000000007</v>
      </c>
      <c r="W10" s="11"/>
      <c r="X10" s="34">
        <f>V10*9.965</f>
        <v>5166.0553000000009</v>
      </c>
    </row>
    <row r="11" spans="1:24" ht="32.25" customHeight="1">
      <c r="A11" s="2"/>
      <c r="B11" s="6">
        <v>44471</v>
      </c>
      <c r="C11" s="7"/>
      <c r="D11" s="143">
        <v>72</v>
      </c>
      <c r="E11" s="143">
        <v>113</v>
      </c>
      <c r="F11" s="13">
        <f>'Suivi EAU-ELEC'!E10</f>
        <v>100.10000000000582</v>
      </c>
      <c r="G11" s="11"/>
      <c r="H11" s="166">
        <f t="shared" ref="H11:H21" si="0">F11*8.79</f>
        <v>879.87900000005106</v>
      </c>
      <c r="I11" s="167"/>
      <c r="J11" s="167"/>
      <c r="K11" s="60">
        <v>42279</v>
      </c>
      <c r="L11" s="90">
        <f>'Suivi EAU-ELEC'!G10</f>
        <v>4695</v>
      </c>
      <c r="M11" s="91">
        <f>'Suivi EAU-ELEC'!I10</f>
        <v>7577</v>
      </c>
      <c r="N11" s="91">
        <f>'Suivi EAU-ELEC'!K10</f>
        <v>3514</v>
      </c>
      <c r="O11" s="91">
        <f>L11+M11+N11</f>
        <v>15786</v>
      </c>
      <c r="P11" s="11"/>
      <c r="Q11" s="34">
        <f>L11*0.6985+M11*0.9514+N14*1.3304</f>
        <v>14931.7513</v>
      </c>
      <c r="R11" s="11"/>
      <c r="S11" s="28"/>
      <c r="T11" s="11"/>
      <c r="U11" s="28"/>
      <c r="V11" s="146">
        <f>'Suvi Gaz'!O5</f>
        <v>333.27000000000004</v>
      </c>
      <c r="W11" s="11"/>
      <c r="X11" s="34">
        <f t="shared" ref="X11:X40" si="1">V11*9.965</f>
        <v>3321.0355500000005</v>
      </c>
    </row>
    <row r="12" spans="1:24" ht="32.25" customHeight="1">
      <c r="A12" s="2"/>
      <c r="B12" s="6">
        <v>44472</v>
      </c>
      <c r="C12" s="7"/>
      <c r="D12" s="143">
        <v>76</v>
      </c>
      <c r="E12" s="143">
        <v>107</v>
      </c>
      <c r="F12" s="13">
        <f>'Suivi EAU-ELEC'!E11</f>
        <v>90.80000000000291</v>
      </c>
      <c r="G12" s="11"/>
      <c r="H12" s="166">
        <f t="shared" si="0"/>
        <v>798.13200000002553</v>
      </c>
      <c r="I12" s="167"/>
      <c r="J12" s="167"/>
      <c r="K12" s="60">
        <v>42280</v>
      </c>
      <c r="L12" s="90">
        <f>'Suivi EAU-ELEC'!G11</f>
        <v>4359</v>
      </c>
      <c r="M12" s="91">
        <f>'Suivi EAU-ELEC'!I11</f>
        <v>7444</v>
      </c>
      <c r="N12" s="91">
        <f>'Suivi EAU-ELEC'!K11</f>
        <v>3362</v>
      </c>
      <c r="O12" s="91">
        <f>L12+M12+N12</f>
        <v>15165</v>
      </c>
      <c r="P12" s="11"/>
      <c r="Q12" s="34">
        <f>L12*0.6985+M12*0.9514+N12*1.3304</f>
        <v>14599.787899999999</v>
      </c>
      <c r="R12" s="11"/>
      <c r="S12" s="28"/>
      <c r="T12" s="11"/>
      <c r="U12" s="28"/>
      <c r="V12" s="146">
        <f>'Suvi Gaz'!O6</f>
        <v>444.36</v>
      </c>
      <c r="W12" s="11"/>
      <c r="X12" s="34">
        <f t="shared" si="1"/>
        <v>4428.0474000000004</v>
      </c>
    </row>
    <row r="13" spans="1:24" ht="32.25" customHeight="1">
      <c r="A13" s="2"/>
      <c r="B13" s="6">
        <v>44473</v>
      </c>
      <c r="C13" s="7"/>
      <c r="D13" s="143">
        <v>99</v>
      </c>
      <c r="E13" s="143">
        <v>128</v>
      </c>
      <c r="F13" s="13">
        <f>'Suivi EAU-ELEC'!E12</f>
        <v>95.099999999991269</v>
      </c>
      <c r="G13" s="11"/>
      <c r="H13" s="166">
        <f t="shared" si="0"/>
        <v>835.92899999992312</v>
      </c>
      <c r="I13" s="167"/>
      <c r="J13" s="167"/>
      <c r="K13" s="60">
        <v>42281</v>
      </c>
      <c r="L13" s="90">
        <f>'Suivi EAU-ELEC'!G12</f>
        <v>3927</v>
      </c>
      <c r="M13" s="91">
        <f>'Suivi EAU-ELEC'!I12</f>
        <v>7105</v>
      </c>
      <c r="N13" s="91">
        <f>'Suivi EAU-ELEC'!K12</f>
        <v>3355</v>
      </c>
      <c r="O13" s="91">
        <f t="shared" ref="O13:O40" si="2">L13+M13+N13</f>
        <v>14387</v>
      </c>
      <c r="P13" s="11"/>
      <c r="Q13" s="34">
        <f t="shared" ref="Q13:Q40" si="3">L13*0.6985+M13*0.9514+N13*1.3304</f>
        <v>13966.1985</v>
      </c>
      <c r="R13" s="11"/>
      <c r="S13" s="28"/>
      <c r="T13" s="11"/>
      <c r="U13" s="28"/>
      <c r="V13" s="146">
        <f>'Suvi Gaz'!O7</f>
        <v>556.5</v>
      </c>
      <c r="W13" s="11"/>
      <c r="X13" s="34">
        <f t="shared" si="1"/>
        <v>5545.5225</v>
      </c>
    </row>
    <row r="14" spans="1:24" ht="32.25" customHeight="1">
      <c r="A14" s="2"/>
      <c r="B14" s="6">
        <v>44474</v>
      </c>
      <c r="C14" s="7"/>
      <c r="D14" s="143">
        <v>94</v>
      </c>
      <c r="E14" s="143">
        <v>123</v>
      </c>
      <c r="F14" s="13">
        <f>'Suivi EAU-ELEC'!E13</f>
        <v>97.5</v>
      </c>
      <c r="G14" s="12"/>
      <c r="H14" s="166">
        <f t="shared" si="0"/>
        <v>857.02499999999986</v>
      </c>
      <c r="I14" s="167"/>
      <c r="J14" s="167"/>
      <c r="K14" s="60">
        <v>42282</v>
      </c>
      <c r="L14" s="90">
        <f>'Suivi EAU-ELEC'!G13</f>
        <v>4144</v>
      </c>
      <c r="M14" s="91">
        <f>'Suivi EAU-ELEC'!I13</f>
        <v>7704</v>
      </c>
      <c r="N14" s="91">
        <f>'Suivi EAU-ELEC'!K13</f>
        <v>3340</v>
      </c>
      <c r="O14" s="91">
        <f t="shared" si="2"/>
        <v>15188</v>
      </c>
      <c r="P14" s="12"/>
      <c r="Q14" s="34">
        <f t="shared" si="3"/>
        <v>14667.705600000001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2869.8491488499999</v>
      </c>
    </row>
    <row r="15" spans="1:24" ht="32.25" customHeight="1">
      <c r="A15" s="5"/>
      <c r="B15" s="6">
        <v>44475</v>
      </c>
      <c r="C15" s="7"/>
      <c r="D15" s="143">
        <v>96</v>
      </c>
      <c r="E15" s="143">
        <v>124</v>
      </c>
      <c r="F15" s="13">
        <f>'Suivi EAU-ELEC'!E14</f>
        <v>130.80000000000291</v>
      </c>
      <c r="G15" s="11"/>
      <c r="H15" s="166">
        <f t="shared" si="0"/>
        <v>1149.7320000000254</v>
      </c>
      <c r="I15" s="167"/>
      <c r="J15" s="167"/>
      <c r="K15" s="60">
        <v>42283</v>
      </c>
      <c r="L15" s="90">
        <f>'Suivi EAU-ELEC'!G14</f>
        <v>4169</v>
      </c>
      <c r="M15" s="91">
        <f>'Suivi EAU-ELEC'!I14</f>
        <v>8044</v>
      </c>
      <c r="N15" s="91">
        <f>'Suivi EAU-ELEC'!K14</f>
        <v>3287</v>
      </c>
      <c r="O15" s="91">
        <f t="shared" si="2"/>
        <v>15500</v>
      </c>
      <c r="P15" s="12"/>
      <c r="Q15" s="34">
        <f>L15*0.6985+M15*0.9514+N15*1.3304</f>
        <v>14938.132900000001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1594.36063825</v>
      </c>
    </row>
    <row r="16" spans="1:24" ht="32.25" customHeight="1">
      <c r="A16" s="5"/>
      <c r="B16" s="6">
        <v>44476</v>
      </c>
      <c r="C16" s="7"/>
      <c r="D16" s="143">
        <v>80</v>
      </c>
      <c r="E16" s="143">
        <v>103</v>
      </c>
      <c r="F16" s="13">
        <f>'Suivi EAU-ELEC'!E15</f>
        <v>134.39999999999418</v>
      </c>
      <c r="G16" s="11"/>
      <c r="H16" s="166">
        <f t="shared" si="0"/>
        <v>1181.3759999999488</v>
      </c>
      <c r="I16" s="167"/>
      <c r="J16" s="167"/>
      <c r="K16" s="60">
        <v>42284</v>
      </c>
      <c r="L16" s="90">
        <f>'Suivi EAU-ELEC'!G15</f>
        <v>4218</v>
      </c>
      <c r="M16" s="91">
        <f>'Suivi EAU-ELEC'!I15</f>
        <v>8066</v>
      </c>
      <c r="N16" s="91">
        <f>'Suivi EAU-ELEC'!K15</f>
        <v>3493</v>
      </c>
      <c r="O16" s="91">
        <f t="shared" si="2"/>
        <v>15777</v>
      </c>
      <c r="P16" s="11"/>
      <c r="Q16" s="34">
        <f t="shared" si="3"/>
        <v>15267.3526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1"/>
        <v>1913.2327659</v>
      </c>
    </row>
    <row r="17" spans="1:24" s="5" customFormat="1" ht="32.25" customHeight="1">
      <c r="A17" s="2"/>
      <c r="B17" s="6">
        <v>44477</v>
      </c>
      <c r="C17" s="7"/>
      <c r="D17" s="143">
        <v>138</v>
      </c>
      <c r="E17" s="143">
        <v>184</v>
      </c>
      <c r="F17" s="13">
        <f>'Suivi EAU-ELEC'!E16</f>
        <v>126.5</v>
      </c>
      <c r="G17" s="11"/>
      <c r="H17" s="166">
        <f t="shared" si="0"/>
        <v>1111.9349999999999</v>
      </c>
      <c r="I17" s="167"/>
      <c r="J17" s="167"/>
      <c r="K17" s="60">
        <v>42285</v>
      </c>
      <c r="L17" s="90">
        <f>'Suivi EAU-ELEC'!G16</f>
        <v>4533</v>
      </c>
      <c r="M17" s="91">
        <f>'Suivi EAU-ELEC'!I16</f>
        <v>7295</v>
      </c>
      <c r="N17" s="91">
        <f>'Suivi EAU-ELEC'!K16</f>
        <v>3175</v>
      </c>
      <c r="O17" s="91">
        <f t="shared" si="2"/>
        <v>15003</v>
      </c>
      <c r="P17" s="12"/>
      <c r="Q17" s="34">
        <f t="shared" si="3"/>
        <v>14330.7835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3507.59340415</v>
      </c>
    </row>
    <row r="18" spans="1:24" ht="32.25" customHeight="1">
      <c r="A18" s="2"/>
      <c r="B18" s="6">
        <v>44478</v>
      </c>
      <c r="C18" s="7"/>
      <c r="D18" s="143">
        <v>133</v>
      </c>
      <c r="E18" s="143">
        <v>112</v>
      </c>
      <c r="F18" s="13">
        <f>'Suivi EAU-ELEC'!E17</f>
        <v>108.60000000000582</v>
      </c>
      <c r="G18" s="11"/>
      <c r="H18" s="166">
        <f t="shared" si="0"/>
        <v>954.5940000000511</v>
      </c>
      <c r="I18" s="167"/>
      <c r="J18" s="167"/>
      <c r="K18" s="60">
        <v>42286</v>
      </c>
      <c r="L18" s="90">
        <f>'Suivi EAU-ELEC'!G17</f>
        <v>4108</v>
      </c>
      <c r="M18" s="91">
        <f>'Suivi EAU-ELEC'!I17</f>
        <v>7379</v>
      </c>
      <c r="N18" s="91">
        <f>'Suivi EAU-ELEC'!K17</f>
        <v>3533</v>
      </c>
      <c r="O18" s="91">
        <f t="shared" si="2"/>
        <v>15020</v>
      </c>
      <c r="P18" s="12"/>
      <c r="Q18" s="34">
        <f t="shared" si="3"/>
        <v>14590.121800000001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1913.2327659</v>
      </c>
    </row>
    <row r="19" spans="1:24" ht="32.25" customHeight="1">
      <c r="A19" s="2"/>
      <c r="B19" s="6">
        <v>44479</v>
      </c>
      <c r="C19" s="7"/>
      <c r="D19" s="143">
        <v>59</v>
      </c>
      <c r="E19" s="143">
        <v>80</v>
      </c>
      <c r="F19" s="13">
        <f>'Suivi EAU-ELEC'!E18</f>
        <v>147</v>
      </c>
      <c r="G19" s="12"/>
      <c r="H19" s="166">
        <f t="shared" si="0"/>
        <v>1292.1299999999999</v>
      </c>
      <c r="I19" s="167"/>
      <c r="J19" s="167"/>
      <c r="K19" s="60">
        <v>42287</v>
      </c>
      <c r="L19" s="90">
        <f>'Suivi EAU-ELEC'!G18</f>
        <v>4360</v>
      </c>
      <c r="M19" s="91">
        <f>'Suivi EAU-ELEC'!I18</f>
        <v>8527</v>
      </c>
      <c r="N19" s="91">
        <f>'Suivi EAU-ELEC'!K18</f>
        <v>3683</v>
      </c>
      <c r="O19" s="91">
        <f t="shared" si="2"/>
        <v>16570</v>
      </c>
      <c r="P19" s="12"/>
      <c r="Q19" s="34">
        <f t="shared" si="3"/>
        <v>16057.911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4145.3376594499996</v>
      </c>
    </row>
    <row r="20" spans="1:24" ht="32.25" customHeight="1">
      <c r="A20" s="2"/>
      <c r="B20" s="6">
        <v>44480</v>
      </c>
      <c r="C20" s="7"/>
      <c r="D20" s="143">
        <v>69</v>
      </c>
      <c r="E20" s="143">
        <v>87</v>
      </c>
      <c r="F20" s="13">
        <f>'Suivi EAU-ELEC'!E19</f>
        <v>97</v>
      </c>
      <c r="G20" s="12"/>
      <c r="H20" s="166">
        <f t="shared" si="0"/>
        <v>852.62999999999988</v>
      </c>
      <c r="I20" s="167"/>
      <c r="J20" s="167"/>
      <c r="K20" s="60">
        <v>42288</v>
      </c>
      <c r="L20" s="90">
        <f>'Suivi EAU-ELEC'!G19</f>
        <v>4131</v>
      </c>
      <c r="M20" s="91">
        <f>'Suivi EAU-ELEC'!I19</f>
        <v>6943</v>
      </c>
      <c r="N20" s="91">
        <f>'Suivi EAU-ELEC'!K19</f>
        <v>2788</v>
      </c>
      <c r="O20" s="91">
        <f t="shared" si="2"/>
        <v>13862</v>
      </c>
      <c r="P20" s="12"/>
      <c r="Q20" s="34">
        <f t="shared" si="3"/>
        <v>13200.228900000002</v>
      </c>
      <c r="R20" s="12"/>
      <c r="S20" s="28"/>
      <c r="T20" s="12"/>
      <c r="U20" s="28"/>
      <c r="V20" s="146">
        <f>'Suvi Gaz'!O14</f>
        <v>287.99288999999999</v>
      </c>
      <c r="W20" s="11"/>
      <c r="X20" s="34">
        <f t="shared" si="1"/>
        <v>2869.8491488499999</v>
      </c>
    </row>
    <row r="21" spans="1:24" ht="32.25" customHeight="1">
      <c r="A21" s="2"/>
      <c r="B21" s="6">
        <v>44481</v>
      </c>
      <c r="C21" s="7"/>
      <c r="D21" s="143">
        <v>77</v>
      </c>
      <c r="E21" s="143">
        <v>96</v>
      </c>
      <c r="F21" s="13">
        <f>'Suivi EAU-ELEC'!E20</f>
        <v>85.80000000000291</v>
      </c>
      <c r="G21" s="12"/>
      <c r="H21" s="166">
        <f t="shared" si="0"/>
        <v>754.18200000002548</v>
      </c>
      <c r="I21" s="167"/>
      <c r="J21" s="167"/>
      <c r="K21" s="60">
        <v>42289</v>
      </c>
      <c r="L21" s="90">
        <f>'Suivi EAU-ELEC'!G20</f>
        <v>4247</v>
      </c>
      <c r="M21" s="91">
        <f>'Suivi EAU-ELEC'!I20</f>
        <v>6997</v>
      </c>
      <c r="N21" s="91">
        <f>'Suivi EAU-ELEC'!K20</f>
        <v>3041</v>
      </c>
      <c r="O21" s="91">
        <f>L21+M21+N21</f>
        <v>14285</v>
      </c>
      <c r="P21" s="12"/>
      <c r="Q21" s="34">
        <f t="shared" si="3"/>
        <v>13669.2217</v>
      </c>
      <c r="R21" s="12"/>
      <c r="S21" s="28"/>
      <c r="T21" s="12"/>
      <c r="U21" s="28"/>
      <c r="V21" s="146">
        <f>'Suvi Gaz'!O15</f>
        <v>287.99288999999999</v>
      </c>
      <c r="W21" s="11"/>
      <c r="X21" s="34">
        <f t="shared" si="1"/>
        <v>2869.8491488499999</v>
      </c>
    </row>
    <row r="22" spans="1:24" ht="32.25" customHeight="1">
      <c r="A22" s="2"/>
      <c r="B22" s="6">
        <v>44482</v>
      </c>
      <c r="C22" s="7"/>
      <c r="D22" s="143">
        <v>68</v>
      </c>
      <c r="E22" s="143">
        <v>80</v>
      </c>
      <c r="F22" s="13">
        <f>'Suivi EAU-ELEC'!E21</f>
        <v>95.30000000000291</v>
      </c>
      <c r="G22" s="12"/>
      <c r="H22" s="166">
        <f t="shared" ref="H22:H35" si="4">F22*8.79</f>
        <v>837.68700000002548</v>
      </c>
      <c r="I22" s="167"/>
      <c r="J22" s="167"/>
      <c r="K22" s="60">
        <v>42290</v>
      </c>
      <c r="L22" s="90">
        <f>'Suivi EAU-ELEC'!G21</f>
        <v>4560</v>
      </c>
      <c r="M22" s="91">
        <f>'Suivi EAU-ELEC'!I21</f>
        <v>8313</v>
      </c>
      <c r="N22" s="91">
        <f>'Suivi EAU-ELEC'!K21</f>
        <v>3242</v>
      </c>
      <c r="O22" s="91">
        <f t="shared" si="2"/>
        <v>16115</v>
      </c>
      <c r="P22" s="12"/>
      <c r="Q22" s="34">
        <f t="shared" si="3"/>
        <v>15407.305</v>
      </c>
      <c r="R22" s="12"/>
      <c r="S22" s="28"/>
      <c r="T22" s="12"/>
      <c r="U22" s="28"/>
      <c r="V22" s="146">
        <f>'Suvi Gaz'!O16</f>
        <v>351.99131</v>
      </c>
      <c r="W22" s="11"/>
      <c r="X22" s="34">
        <f t="shared" si="1"/>
        <v>3507.59340415</v>
      </c>
    </row>
    <row r="23" spans="1:24" ht="32.25" customHeight="1">
      <c r="A23" s="2"/>
      <c r="B23" s="6">
        <v>44483</v>
      </c>
      <c r="C23" s="7"/>
      <c r="D23" s="143">
        <v>70</v>
      </c>
      <c r="E23" s="143">
        <v>95</v>
      </c>
      <c r="F23" s="13">
        <f>'Suivi EAU-ELEC'!E22</f>
        <v>108.59999999999127</v>
      </c>
      <c r="G23" s="14"/>
      <c r="H23" s="166">
        <f t="shared" si="4"/>
        <v>954.5939999999232</v>
      </c>
      <c r="I23" s="167"/>
      <c r="J23" s="167"/>
      <c r="K23" s="60">
        <v>42291</v>
      </c>
      <c r="L23" s="90">
        <f>'Suivi EAU-ELEC'!G22</f>
        <v>4211</v>
      </c>
      <c r="M23" s="91">
        <f>'Suivi EAU-ELEC'!I22</f>
        <v>7254</v>
      </c>
      <c r="N23" s="91">
        <f>'Suivi EAU-ELEC'!K22</f>
        <v>3010</v>
      </c>
      <c r="O23" s="91">
        <f>L23+M23+N23</f>
        <v>14475</v>
      </c>
      <c r="P23" s="12"/>
      <c r="Q23" s="34">
        <f>L23*0.6985+M23*0.9514+N23*1.3304</f>
        <v>13847.343100000002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637.74425530000008</v>
      </c>
    </row>
    <row r="24" spans="1:24" ht="32.25" customHeight="1">
      <c r="A24" s="2"/>
      <c r="B24" s="6">
        <v>44484</v>
      </c>
      <c r="C24" s="7"/>
      <c r="D24" s="143">
        <v>69</v>
      </c>
      <c r="E24" s="143">
        <v>104</v>
      </c>
      <c r="F24" s="13">
        <f>'Suivi EAU-ELEC'!E23</f>
        <v>108.10000000000582</v>
      </c>
      <c r="G24" s="14"/>
      <c r="H24" s="166">
        <f t="shared" si="4"/>
        <v>950.19900000005111</v>
      </c>
      <c r="I24" s="167"/>
      <c r="J24" s="167"/>
      <c r="K24" s="60">
        <v>42292</v>
      </c>
      <c r="L24" s="90">
        <f>'Suivi EAU-ELEC'!G23</f>
        <v>4677</v>
      </c>
      <c r="M24" s="91">
        <f>'Suivi EAU-ELEC'!I23</f>
        <v>7127</v>
      </c>
      <c r="N24" s="91">
        <f>'Suivi EAU-ELEC'!K23</f>
        <v>3246</v>
      </c>
      <c r="O24" s="91">
        <f>L24+M24+N24</f>
        <v>15050</v>
      </c>
      <c r="P24" s="12"/>
      <c r="Q24" s="34">
        <f>L24*0.6985+M24*0.9514+N24*1.3304</f>
        <v>14365.9907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1"/>
        <v>4783.0819147499997</v>
      </c>
    </row>
    <row r="25" spans="1:24" ht="32.25" customHeight="1">
      <c r="A25" s="2"/>
      <c r="B25" s="6">
        <v>44485</v>
      </c>
      <c r="C25" s="7"/>
      <c r="D25" s="143">
        <v>89</v>
      </c>
      <c r="E25" s="143">
        <v>146</v>
      </c>
      <c r="F25" s="13">
        <f>'Suivi EAU-ELEC'!E24</f>
        <v>88.5</v>
      </c>
      <c r="G25" s="14"/>
      <c r="H25" s="166">
        <f t="shared" si="4"/>
        <v>777.91499999999996</v>
      </c>
      <c r="I25" s="167"/>
      <c r="J25" s="167"/>
      <c r="K25" s="60">
        <v>42293</v>
      </c>
      <c r="L25" s="90">
        <f>'Suivi EAU-ELEC'!G24</f>
        <v>4101</v>
      </c>
      <c r="M25" s="91">
        <f>'Suivi EAU-ELEC'!I24</f>
        <v>7224</v>
      </c>
      <c r="N25" s="91">
        <f>'Suivi EAU-ELEC'!K24</f>
        <v>3170</v>
      </c>
      <c r="O25" s="91">
        <f t="shared" si="2"/>
        <v>14495</v>
      </c>
      <c r="P25" s="12"/>
      <c r="Q25" s="34">
        <f t="shared" si="3"/>
        <v>13954.830100000001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1"/>
        <v>4783.0819147499997</v>
      </c>
    </row>
    <row r="26" spans="1:24" ht="32.25" customHeight="1">
      <c r="A26" s="2"/>
      <c r="B26" s="6">
        <v>44486</v>
      </c>
      <c r="C26" s="7"/>
      <c r="D26" s="143">
        <v>77</v>
      </c>
      <c r="E26" s="143">
        <v>107</v>
      </c>
      <c r="F26" s="13">
        <f>'Suivi EAU-ELEC'!E25</f>
        <v>110.69999999999709</v>
      </c>
      <c r="G26" s="14"/>
      <c r="H26" s="166">
        <f t="shared" si="4"/>
        <v>973.0529999999743</v>
      </c>
      <c r="I26" s="167"/>
      <c r="J26" s="167"/>
      <c r="K26" s="60">
        <v>42294</v>
      </c>
      <c r="L26" s="90">
        <f>'Suivi EAU-ELEC'!G25</f>
        <v>4279</v>
      </c>
      <c r="M26" s="91">
        <f>'Suivi EAU-ELEC'!I25</f>
        <v>6805</v>
      </c>
      <c r="N26" s="91">
        <f>'Suivi EAU-ELEC'!K25</f>
        <v>3501</v>
      </c>
      <c r="O26" s="91">
        <f t="shared" si="2"/>
        <v>14585</v>
      </c>
      <c r="P26" s="14"/>
      <c r="Q26" s="34">
        <f t="shared" si="3"/>
        <v>14120.8889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1"/>
        <v>5420.8261700500007</v>
      </c>
    </row>
    <row r="27" spans="1:24" ht="32.25" customHeight="1">
      <c r="A27" s="2"/>
      <c r="B27" s="6">
        <v>44487</v>
      </c>
      <c r="C27" s="7"/>
      <c r="D27" s="143">
        <v>121</v>
      </c>
      <c r="E27" s="143">
        <v>198</v>
      </c>
      <c r="F27" s="13">
        <f>'Suivi EAU-ELEC'!E26</f>
        <v>118</v>
      </c>
      <c r="G27" s="14"/>
      <c r="H27" s="166">
        <f t="shared" si="4"/>
        <v>1037.2199999999998</v>
      </c>
      <c r="I27" s="167"/>
      <c r="J27" s="167"/>
      <c r="K27" s="60">
        <v>42295</v>
      </c>
      <c r="L27" s="90">
        <f>'Suivi EAU-ELEC'!G26</f>
        <v>4208</v>
      </c>
      <c r="M27" s="91">
        <f>'Suivi EAU-ELEC'!I26</f>
        <v>6809</v>
      </c>
      <c r="N27" s="91">
        <f>'Suivi EAU-ELEC'!K26</f>
        <v>2913</v>
      </c>
      <c r="O27" s="91">
        <f t="shared" si="2"/>
        <v>13930</v>
      </c>
      <c r="P27" s="14"/>
      <c r="Q27" s="34">
        <f t="shared" si="3"/>
        <v>13292.825800000001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1"/>
        <v>3188.7212764999999</v>
      </c>
    </row>
    <row r="28" spans="1:24" ht="32.25" customHeight="1">
      <c r="A28" s="2"/>
      <c r="B28" s="6">
        <v>44488</v>
      </c>
      <c r="C28" s="7"/>
      <c r="D28" s="143">
        <v>87</v>
      </c>
      <c r="E28" s="143">
        <v>138</v>
      </c>
      <c r="F28" s="13">
        <f>'Suivi EAU-ELEC'!E27</f>
        <v>81.600000000005821</v>
      </c>
      <c r="G28" s="11"/>
      <c r="H28" s="166">
        <f t="shared" si="4"/>
        <v>717.26400000005106</v>
      </c>
      <c r="I28" s="167"/>
      <c r="J28" s="167"/>
      <c r="K28" s="60">
        <v>42296</v>
      </c>
      <c r="L28" s="90">
        <f>'Suivi EAU-ELEC'!G27</f>
        <v>4896</v>
      </c>
      <c r="M28" s="91">
        <f>'Suivi EAU-ELEC'!I27</f>
        <v>7137</v>
      </c>
      <c r="N28" s="91">
        <f>'Suivi EAU-ELEC'!K27</f>
        <v>3916</v>
      </c>
      <c r="O28" s="91">
        <f t="shared" si="2"/>
        <v>15949</v>
      </c>
      <c r="P28" s="11"/>
      <c r="Q28" s="34">
        <f>L28*0.6985+M28*0.9514+N28*1.3304</f>
        <v>15419.844200000001</v>
      </c>
      <c r="R28" s="11"/>
      <c r="S28" s="28"/>
      <c r="T28" s="11"/>
      <c r="U28" s="28"/>
      <c r="V28" s="146">
        <f>'Suvi Gaz'!O22</f>
        <v>383.99052</v>
      </c>
      <c r="W28" s="11"/>
      <c r="X28" s="34">
        <f t="shared" si="1"/>
        <v>3826.4655318</v>
      </c>
    </row>
    <row r="29" spans="1:24" ht="32.25" customHeight="1">
      <c r="A29" s="2"/>
      <c r="B29" s="6">
        <v>44489</v>
      </c>
      <c r="C29" s="7"/>
      <c r="D29" s="143">
        <v>79</v>
      </c>
      <c r="E29" s="143">
        <v>120</v>
      </c>
      <c r="F29" s="13">
        <f>'Suivi EAU-ELEC'!E28</f>
        <v>104.39999999999418</v>
      </c>
      <c r="G29" s="11"/>
      <c r="H29" s="166">
        <f t="shared" si="4"/>
        <v>917.67599999994877</v>
      </c>
      <c r="I29" s="167"/>
      <c r="J29" s="167"/>
      <c r="K29" s="60">
        <v>42297</v>
      </c>
      <c r="L29" s="90">
        <f>'Suivi EAU-ELEC'!G28</f>
        <v>3831</v>
      </c>
      <c r="M29" s="91">
        <f>'Suivi EAU-ELEC'!I28</f>
        <v>6969</v>
      </c>
      <c r="N29" s="91">
        <f>'Suivi EAU-ELEC'!K28</f>
        <v>2667</v>
      </c>
      <c r="O29" s="91">
        <f>L29+M29+N29</f>
        <v>13467</v>
      </c>
      <c r="P29" s="11"/>
      <c r="Q29" s="34">
        <f t="shared" si="3"/>
        <v>12854.436900000001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1"/>
        <v>5101.9540424000006</v>
      </c>
    </row>
    <row r="30" spans="1:24" ht="32.25" customHeight="1">
      <c r="A30" s="2"/>
      <c r="B30" s="6">
        <v>44490</v>
      </c>
      <c r="C30" s="7"/>
      <c r="D30" s="143">
        <v>78</v>
      </c>
      <c r="E30" s="143">
        <v>119</v>
      </c>
      <c r="F30" s="13">
        <f>'Suivi EAU-ELEC'!E29</f>
        <v>82</v>
      </c>
      <c r="G30" s="11"/>
      <c r="H30" s="166">
        <f t="shared" si="4"/>
        <v>720.78</v>
      </c>
      <c r="I30" s="167"/>
      <c r="J30" s="167"/>
      <c r="K30" s="60">
        <v>42298</v>
      </c>
      <c r="L30" s="90">
        <f>'Suivi EAU-ELEC'!G29</f>
        <v>4252</v>
      </c>
      <c r="M30" s="91">
        <f>'Suivi EAU-ELEC'!I29</f>
        <v>7542</v>
      </c>
      <c r="N30" s="91">
        <f>'Suivi EAU-ELEC'!K29</f>
        <v>3273</v>
      </c>
      <c r="O30" s="91">
        <f>L30+M30+N30</f>
        <v>15067</v>
      </c>
      <c r="P30" s="11"/>
      <c r="Q30" s="34">
        <f>L30*0.6985+M30*0.9514+N30*1.3304</f>
        <v>14499.880000000001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44491</v>
      </c>
      <c r="C31" s="7"/>
      <c r="D31" s="143">
        <v>93</v>
      </c>
      <c r="E31" s="143">
        <v>155</v>
      </c>
      <c r="F31" s="13">
        <f>'Suivi EAU-ELEC'!E30</f>
        <v>92</v>
      </c>
      <c r="G31" s="11"/>
      <c r="H31" s="166">
        <f t="shared" si="4"/>
        <v>808.68</v>
      </c>
      <c r="I31" s="167"/>
      <c r="J31" s="167"/>
      <c r="K31" s="60">
        <v>42299</v>
      </c>
      <c r="L31" s="90">
        <f>'Suivi EAU-ELEC'!G30</f>
        <v>4391</v>
      </c>
      <c r="M31" s="91">
        <f>'Suivi EAU-ELEC'!I30</f>
        <v>7388</v>
      </c>
      <c r="N31" s="91">
        <f>'Suivi EAU-ELEC'!K30</f>
        <v>3214</v>
      </c>
      <c r="O31" s="91">
        <f>L31+M31+N31</f>
        <v>14993</v>
      </c>
      <c r="P31" s="11"/>
      <c r="Q31" s="34">
        <f>L31*0.6985+M31*0.9514+N31*1.3304</f>
        <v>14371.962300000001</v>
      </c>
      <c r="R31" s="11"/>
      <c r="S31" s="28"/>
      <c r="T31" s="11"/>
      <c r="U31" s="28"/>
      <c r="V31" s="146">
        <f>'Suvi Gaz'!O25</f>
        <v>479.98815000000002</v>
      </c>
      <c r="W31" s="11"/>
      <c r="X31" s="34">
        <f t="shared" si="1"/>
        <v>4783.0819147499997</v>
      </c>
    </row>
    <row r="32" spans="1:24" ht="37.5" customHeight="1">
      <c r="A32" s="2"/>
      <c r="B32" s="6">
        <v>44492</v>
      </c>
      <c r="C32" s="7"/>
      <c r="D32" s="143">
        <v>107</v>
      </c>
      <c r="E32" s="143">
        <v>172</v>
      </c>
      <c r="F32" s="13">
        <f>'Suivi EAU-ELEC'!E31</f>
        <v>125</v>
      </c>
      <c r="G32" s="11"/>
      <c r="H32" s="166">
        <f t="shared" si="4"/>
        <v>1098.75</v>
      </c>
      <c r="I32" s="167"/>
      <c r="J32" s="167"/>
      <c r="K32" s="60">
        <v>42300</v>
      </c>
      <c r="L32" s="90">
        <f>'Suivi EAU-ELEC'!G31</f>
        <v>4208</v>
      </c>
      <c r="M32" s="91">
        <f>'Suivi EAU-ELEC'!I31</f>
        <v>6637</v>
      </c>
      <c r="N32" s="91">
        <f>'Suivi EAU-ELEC'!K31</f>
        <v>2708</v>
      </c>
      <c r="O32" s="91">
        <f t="shared" si="2"/>
        <v>13553</v>
      </c>
      <c r="P32" s="11"/>
      <c r="Q32" s="34">
        <f t="shared" si="3"/>
        <v>12856.453000000001</v>
      </c>
      <c r="R32" s="11"/>
      <c r="S32" s="28"/>
      <c r="T32" s="11"/>
      <c r="U32" s="28"/>
      <c r="V32" s="146">
        <f>'Suvi Gaz'!O26</f>
        <v>447.98894000000001</v>
      </c>
      <c r="W32" s="11"/>
      <c r="X32" s="34">
        <f t="shared" si="1"/>
        <v>4464.2097870999996</v>
      </c>
    </row>
    <row r="33" spans="1:24" ht="37.5" customHeight="1">
      <c r="A33" s="2"/>
      <c r="B33" s="6">
        <v>44493</v>
      </c>
      <c r="C33" s="7"/>
      <c r="D33" s="143">
        <v>87</v>
      </c>
      <c r="E33" s="143">
        <v>135</v>
      </c>
      <c r="F33" s="13">
        <f>'Suivi EAU-ELEC'!E32</f>
        <v>144</v>
      </c>
      <c r="G33" s="11"/>
      <c r="H33" s="166">
        <f t="shared" si="4"/>
        <v>1265.7599999999998</v>
      </c>
      <c r="I33" s="167"/>
      <c r="J33" s="167"/>
      <c r="K33" s="60">
        <v>42301</v>
      </c>
      <c r="L33" s="90">
        <f>'Suivi EAU-ELEC'!G32</f>
        <v>3813</v>
      </c>
      <c r="M33" s="91">
        <f>'Suivi EAU-ELEC'!I32</f>
        <v>6763</v>
      </c>
      <c r="N33" s="91">
        <f>'Suivi EAU-ELEC'!K32</f>
        <v>3017</v>
      </c>
      <c r="O33" s="91">
        <f t="shared" si="2"/>
        <v>13593</v>
      </c>
      <c r="P33" s="11"/>
      <c r="Q33" s="34">
        <f t="shared" si="3"/>
        <v>13111.515500000001</v>
      </c>
      <c r="R33" s="11"/>
      <c r="S33" s="28"/>
      <c r="T33" s="11"/>
      <c r="U33" s="28"/>
      <c r="V33" s="146">
        <f>'Suvi Gaz'!O27</f>
        <v>447.98894000000001</v>
      </c>
      <c r="W33" s="11"/>
      <c r="X33" s="34">
        <f t="shared" si="1"/>
        <v>4464.2097870999996</v>
      </c>
    </row>
    <row r="34" spans="1:24" ht="37.5" customHeight="1">
      <c r="A34" s="2"/>
      <c r="B34" s="6">
        <v>44494</v>
      </c>
      <c r="C34" s="7"/>
      <c r="D34" s="143">
        <v>94</v>
      </c>
      <c r="E34" s="143">
        <v>134</v>
      </c>
      <c r="F34" s="13">
        <f>'Suivi EAU-ELEC'!E33</f>
        <v>101</v>
      </c>
      <c r="G34" s="11"/>
      <c r="H34" s="166">
        <f t="shared" si="4"/>
        <v>887.79</v>
      </c>
      <c r="I34" s="167"/>
      <c r="J34" s="167"/>
      <c r="K34" s="60">
        <v>42302</v>
      </c>
      <c r="L34" s="90">
        <f>'Suivi EAU-ELEC'!G33</f>
        <v>4104</v>
      </c>
      <c r="M34" s="91">
        <f>'Suivi EAU-ELEC'!I33</f>
        <v>6344</v>
      </c>
      <c r="N34" s="91">
        <f>'Suivi EAU-ELEC'!K33</f>
        <v>2822</v>
      </c>
      <c r="O34" s="91">
        <f t="shared" si="2"/>
        <v>13270</v>
      </c>
      <c r="P34" s="11"/>
      <c r="Q34" s="34">
        <f t="shared" si="3"/>
        <v>12656.714400000001</v>
      </c>
      <c r="R34" s="11"/>
      <c r="S34" s="28"/>
      <c r="T34" s="11"/>
      <c r="U34" s="28"/>
      <c r="V34" s="146">
        <f>'Suvi Gaz'!O28</f>
        <v>447.98894000000001</v>
      </c>
      <c r="W34" s="11"/>
      <c r="X34" s="34">
        <f t="shared" si="1"/>
        <v>4464.2097870999996</v>
      </c>
    </row>
    <row r="35" spans="1:24" ht="33.75" customHeight="1">
      <c r="A35" s="2"/>
      <c r="B35" s="6">
        <v>44495</v>
      </c>
      <c r="C35" s="7"/>
      <c r="D35" s="143">
        <v>94</v>
      </c>
      <c r="E35" s="143">
        <v>134</v>
      </c>
      <c r="F35" s="13">
        <f>'Suivi EAU-ELEC'!E34</f>
        <v>91.899999999994179</v>
      </c>
      <c r="G35" s="11"/>
      <c r="H35" s="166">
        <f t="shared" si="4"/>
        <v>807.80099999994877</v>
      </c>
      <c r="I35" s="167"/>
      <c r="J35" s="167"/>
      <c r="K35" s="60">
        <v>42303</v>
      </c>
      <c r="L35" s="90">
        <f>'Suivi EAU-ELEC'!G34</f>
        <v>2861</v>
      </c>
      <c r="M35" s="91">
        <f>'Suivi EAU-ELEC'!I34</f>
        <v>6663</v>
      </c>
      <c r="N35" s="91">
        <f>'Suivi EAU-ELEC'!K34</f>
        <v>2919</v>
      </c>
      <c r="O35" s="91">
        <f t="shared" si="2"/>
        <v>12443</v>
      </c>
      <c r="P35" s="11"/>
      <c r="Q35" s="34">
        <f t="shared" si="3"/>
        <v>12221.024300000001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1275.4885106000002</v>
      </c>
    </row>
    <row r="36" spans="1:24" ht="33.75" customHeight="1">
      <c r="A36" s="2"/>
      <c r="B36" s="6">
        <v>44496</v>
      </c>
      <c r="C36" s="7"/>
      <c r="D36" s="143">
        <v>94</v>
      </c>
      <c r="E36" s="143">
        <v>130</v>
      </c>
      <c r="F36" s="13">
        <f>'Suivi EAU-ELEC'!E35</f>
        <v>100.40000000000873</v>
      </c>
      <c r="G36" s="11"/>
      <c r="H36" s="166">
        <f>F36*8.79</f>
        <v>882.5160000000767</v>
      </c>
      <c r="I36" s="167"/>
      <c r="J36" s="167"/>
      <c r="K36" s="60">
        <v>42304</v>
      </c>
      <c r="L36" s="90">
        <f>'Suivi EAU-ELEC'!G35</f>
        <v>4256</v>
      </c>
      <c r="M36" s="91">
        <f>'Suivi EAU-ELEC'!I35</f>
        <v>9087</v>
      </c>
      <c r="N36" s="91">
        <f>'Suivi EAU-ELEC'!K35</f>
        <v>3555</v>
      </c>
      <c r="O36" s="91">
        <f t="shared" si="2"/>
        <v>16898</v>
      </c>
      <c r="P36" s="11"/>
      <c r="Q36" s="34">
        <f t="shared" si="3"/>
        <v>16347.759800000002</v>
      </c>
      <c r="R36" s="11"/>
      <c r="S36" s="28"/>
      <c r="T36" s="11"/>
      <c r="U36" s="28"/>
      <c r="V36" s="146">
        <f>'Suvi Gaz'!O30</f>
        <v>447.98894000000001</v>
      </c>
      <c r="W36" s="11"/>
      <c r="X36" s="34">
        <f t="shared" si="1"/>
        <v>4464.2097870999996</v>
      </c>
    </row>
    <row r="37" spans="1:24" ht="33.75" customHeight="1">
      <c r="A37" s="2"/>
      <c r="B37" s="6">
        <v>44497</v>
      </c>
      <c r="C37" s="7"/>
      <c r="D37" s="143">
        <v>99</v>
      </c>
      <c r="E37" s="143">
        <v>145</v>
      </c>
      <c r="F37" s="13">
        <f>'Suivi EAU-ELEC'!E36</f>
        <v>100.09999999999127</v>
      </c>
      <c r="G37" s="11"/>
      <c r="H37" s="166">
        <f t="shared" ref="H37:H38" si="5">F37*8.79</f>
        <v>879.87899999992317</v>
      </c>
      <c r="I37" s="167"/>
      <c r="J37" s="167"/>
      <c r="K37" s="60"/>
      <c r="L37" s="90">
        <f>'Suivi EAU-ELEC'!G36</f>
        <v>4080</v>
      </c>
      <c r="M37" s="91">
        <f>'Suivi EAU-ELEC'!I36</f>
        <v>7395</v>
      </c>
      <c r="N37" s="91">
        <f>'Suivi EAU-ELEC'!K36</f>
        <v>2975</v>
      </c>
      <c r="O37" s="91">
        <f t="shared" si="2"/>
        <v>14450</v>
      </c>
      <c r="P37" s="11"/>
      <c r="Q37" s="34">
        <f t="shared" si="3"/>
        <v>13843.423000000001</v>
      </c>
      <c r="R37" s="11"/>
      <c r="S37" s="28"/>
      <c r="T37" s="11"/>
      <c r="U37" s="28"/>
      <c r="V37" s="146">
        <f>'Suvi Gaz'!O31</f>
        <v>255.99368000000001</v>
      </c>
      <c r="W37" s="11"/>
      <c r="X37" s="34">
        <f t="shared" si="1"/>
        <v>2550.9770212000003</v>
      </c>
    </row>
    <row r="38" spans="1:24" ht="33.75" customHeight="1">
      <c r="A38" s="2"/>
      <c r="B38" s="6">
        <v>44498</v>
      </c>
      <c r="C38" s="7"/>
      <c r="D38" s="143">
        <v>98</v>
      </c>
      <c r="E38" s="143">
        <v>158</v>
      </c>
      <c r="F38" s="13">
        <f>'Suivi EAU-ELEC'!E37</f>
        <v>111.70000000001164</v>
      </c>
      <c r="G38" s="11"/>
      <c r="H38" s="166">
        <f t="shared" si="5"/>
        <v>981.84300000010228</v>
      </c>
      <c r="I38" s="167"/>
      <c r="J38" s="167"/>
      <c r="K38" s="60"/>
      <c r="L38" s="90">
        <f>'Suivi EAU-ELEC'!G37</f>
        <v>5080</v>
      </c>
      <c r="M38" s="91">
        <f>'Suivi EAU-ELEC'!I37</f>
        <v>7821</v>
      </c>
      <c r="N38" s="91">
        <f>'Suivi EAU-ELEC'!K37</f>
        <v>2952</v>
      </c>
      <c r="O38" s="91">
        <f t="shared" si="2"/>
        <v>15853</v>
      </c>
      <c r="P38" s="11"/>
      <c r="Q38" s="34">
        <f t="shared" si="3"/>
        <v>14916.620199999999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44499</v>
      </c>
      <c r="C39" s="7"/>
      <c r="D39" s="143">
        <v>112</v>
      </c>
      <c r="E39" s="143">
        <v>190</v>
      </c>
      <c r="F39" s="13">
        <f>'Suivi EAU-ELEC'!E38</f>
        <v>122.89999999999418</v>
      </c>
      <c r="G39" s="11"/>
      <c r="H39" s="166">
        <f t="shared" ref="H39" si="6">F39*8.79</f>
        <v>1080.2909999999488</v>
      </c>
      <c r="I39" s="167"/>
      <c r="J39" s="167"/>
      <c r="K39" s="60"/>
      <c r="L39" s="90">
        <f>'Suivi EAU-ELEC'!G38</f>
        <v>3965</v>
      </c>
      <c r="M39" s="91">
        <f>'Suivi EAU-ELEC'!I38</f>
        <v>6394</v>
      </c>
      <c r="N39" s="91">
        <f>'Suivi EAU-ELEC'!K38</f>
        <v>2731</v>
      </c>
      <c r="O39" s="91">
        <f t="shared" si="2"/>
        <v>13090</v>
      </c>
      <c r="P39" s="11"/>
      <c r="Q39" s="34">
        <f t="shared" si="3"/>
        <v>12486.126500000002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44500</v>
      </c>
      <c r="C40" s="7"/>
      <c r="D40" s="143">
        <v>91</v>
      </c>
      <c r="E40" s="143">
        <v>161</v>
      </c>
      <c r="F40" s="13">
        <f>'Suivi EAU-ELEC'!E39</f>
        <v>119.39999999999418</v>
      </c>
      <c r="G40" s="11"/>
      <c r="H40" s="166">
        <f t="shared" ref="H40" si="7">F40*8.79</f>
        <v>1049.5259999999487</v>
      </c>
      <c r="I40" s="167"/>
      <c r="J40" s="167"/>
      <c r="K40" s="60"/>
      <c r="L40" s="90">
        <f>'Suivi EAU-ELEC'!G39</f>
        <v>3599</v>
      </c>
      <c r="M40" s="91">
        <f>'Suivi EAU-ELEC'!I39</f>
        <v>6910</v>
      </c>
      <c r="N40" s="91">
        <f>'Suivi EAU-ELEC'!K39</f>
        <v>3183</v>
      </c>
      <c r="O40" s="91">
        <f t="shared" si="2"/>
        <v>13692</v>
      </c>
      <c r="P40" s="11"/>
      <c r="Q40" s="34">
        <f t="shared" si="3"/>
        <v>13322.738699999998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2768</v>
      </c>
      <c r="E41" s="8">
        <f>SUM(E10:E40)</f>
        <v>3988</v>
      </c>
      <c r="F41" s="152">
        <f>SUM(F10:F40)</f>
        <v>3330.1999999999971</v>
      </c>
      <c r="G41" s="1"/>
      <c r="H41" s="204">
        <f>SUM(H10:H40)</f>
        <v>29272.45799999997</v>
      </c>
      <c r="I41" s="205"/>
      <c r="J41" s="206"/>
      <c r="K41" s="1"/>
      <c r="L41" s="53">
        <f>SUM(L10:L40)</f>
        <v>130171</v>
      </c>
      <c r="M41" s="53">
        <f>SUM(M10:M40)</f>
        <v>227807</v>
      </c>
      <c r="N41" s="54">
        <f>SUM(N10:N40)</f>
        <v>98925</v>
      </c>
      <c r="O41" s="55">
        <f>SUM(O10:O40)</f>
        <v>456903</v>
      </c>
      <c r="P41" s="31"/>
      <c r="Q41" s="32">
        <f>SUM(Q10:Q40)</f>
        <v>439038.35369999992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9820.3532899999991</v>
      </c>
      <c r="W41" s="31"/>
      <c r="X41" s="32">
        <f>SUM(X10:X40)</f>
        <v>97859.820534850005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>
      <c r="A44" s="221" t="s">
        <v>38</v>
      </c>
      <c r="B44" s="222"/>
      <c r="C44" s="22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8">
        <f>L41</f>
        <v>130171</v>
      </c>
      <c r="J44" s="219"/>
      <c r="K44" s="220"/>
      <c r="L44" s="202">
        <f>I44*H44</f>
        <v>90924.443500000008</v>
      </c>
      <c r="M44" s="203"/>
      <c r="N44" s="175">
        <f>L44+L45+L46</f>
        <v>439269.84330000001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>
      <c r="A45" s="224"/>
      <c r="B45" s="225"/>
      <c r="C45" s="22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8">
        <f>M41</f>
        <v>227807</v>
      </c>
      <c r="J45" s="219"/>
      <c r="K45" s="220"/>
      <c r="L45" s="202">
        <f>I45*H45</f>
        <v>216735.57980000001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>
      <c r="A46" s="224"/>
      <c r="B46" s="225"/>
      <c r="C46" s="22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3">
        <f>N41</f>
        <v>98925</v>
      </c>
      <c r="J46" s="194"/>
      <c r="K46" s="195"/>
      <c r="L46" s="202">
        <f>I46*H46</f>
        <v>131609.82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199">
        <f>N44*1.3</f>
        <v>571050.79629000009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3330.1999999999971</v>
      </c>
      <c r="J48" s="214"/>
      <c r="K48" s="215"/>
      <c r="L48" s="216">
        <f>I48*H48</f>
        <v>29272.457999999973</v>
      </c>
      <c r="M48" s="217"/>
      <c r="N48" s="172">
        <f>L48</f>
        <v>29272.457999999973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>
      <c r="A49" s="187" t="s">
        <v>40</v>
      </c>
      <c r="B49" s="188"/>
      <c r="C49" s="188"/>
      <c r="D49" s="188"/>
      <c r="E49" s="188"/>
      <c r="F49" s="189"/>
      <c r="G49" s="24"/>
      <c r="H49" s="25">
        <v>9.9649999999999999</v>
      </c>
      <c r="I49" s="190">
        <f>V41</f>
        <v>9820.3532899999991</v>
      </c>
      <c r="J49" s="191"/>
      <c r="K49" s="192"/>
      <c r="L49" s="190">
        <f>I49*H49</f>
        <v>97859.820534849991</v>
      </c>
      <c r="M49" s="192"/>
      <c r="N49" s="169">
        <f>L49</f>
        <v>97859.820534849991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1" activePane="bottomRight" state="frozen"/>
      <selection pane="bottomRight" activeCell="D38" sqref="D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44470</v>
      </c>
      <c r="B9" s="116">
        <v>2560</v>
      </c>
      <c r="C9" s="115">
        <v>0</v>
      </c>
      <c r="D9" s="57">
        <v>124345.2</v>
      </c>
      <c r="E9" s="50">
        <v>111</v>
      </c>
      <c r="F9" s="51">
        <v>11040400</v>
      </c>
      <c r="G9" s="50">
        <v>3908</v>
      </c>
      <c r="H9" s="51">
        <v>18812100</v>
      </c>
      <c r="I9" s="50">
        <v>8144</v>
      </c>
      <c r="J9" s="51">
        <v>8253129</v>
      </c>
      <c r="K9" s="50">
        <v>3340</v>
      </c>
    </row>
    <row r="10" spans="1:12" ht="19.5">
      <c r="A10" s="59">
        <v>44471</v>
      </c>
      <c r="B10" s="116">
        <v>2560</v>
      </c>
      <c r="C10" s="115">
        <f>B10-B9</f>
        <v>0</v>
      </c>
      <c r="D10" s="57">
        <v>124445.3</v>
      </c>
      <c r="E10" s="50">
        <f>D10-D9</f>
        <v>100.10000000000582</v>
      </c>
      <c r="F10" s="51">
        <v>11045095</v>
      </c>
      <c r="G10" s="50">
        <f>F10-F9</f>
        <v>4695</v>
      </c>
      <c r="H10" s="51">
        <v>18819677</v>
      </c>
      <c r="I10" s="50">
        <f>H10-H9</f>
        <v>7577</v>
      </c>
      <c r="J10" s="51">
        <v>8256643</v>
      </c>
      <c r="K10" s="50">
        <f>J10-J9</f>
        <v>3514</v>
      </c>
    </row>
    <row r="11" spans="1:12" ht="19.5">
      <c r="A11" s="59">
        <v>44472</v>
      </c>
      <c r="B11" s="116">
        <v>2560</v>
      </c>
      <c r="C11" s="115">
        <v>0</v>
      </c>
      <c r="D11" s="57">
        <v>124536.1</v>
      </c>
      <c r="E11" s="50">
        <f t="shared" ref="E11:E12" si="0">D11-D10</f>
        <v>90.80000000000291</v>
      </c>
      <c r="F11" s="51">
        <v>11049454</v>
      </c>
      <c r="G11" s="50">
        <f t="shared" ref="G11:G38" si="1">F11-F10</f>
        <v>4359</v>
      </c>
      <c r="H11" s="51">
        <v>18827121</v>
      </c>
      <c r="I11" s="50">
        <f t="shared" ref="I11:I38" si="2">H11-H10</f>
        <v>7444</v>
      </c>
      <c r="J11" s="51">
        <v>8260005</v>
      </c>
      <c r="K11" s="50">
        <f t="shared" ref="K11:K38" si="3">J11-J10</f>
        <v>3362</v>
      </c>
    </row>
    <row r="12" spans="1:12" ht="19.5">
      <c r="A12" s="59">
        <v>44473</v>
      </c>
      <c r="B12" s="116">
        <v>2560</v>
      </c>
      <c r="C12" s="115">
        <v>0</v>
      </c>
      <c r="D12" s="57">
        <v>124631.2</v>
      </c>
      <c r="E12" s="50">
        <f t="shared" si="0"/>
        <v>95.099999999991269</v>
      </c>
      <c r="F12" s="51">
        <v>11053381</v>
      </c>
      <c r="G12" s="50">
        <f t="shared" si="1"/>
        <v>3927</v>
      </c>
      <c r="H12" s="51">
        <v>18834226</v>
      </c>
      <c r="I12" s="50">
        <f t="shared" si="2"/>
        <v>7105</v>
      </c>
      <c r="J12" s="51">
        <v>8263360</v>
      </c>
      <c r="K12" s="50">
        <f t="shared" si="3"/>
        <v>3355</v>
      </c>
    </row>
    <row r="13" spans="1:12" ht="19.5">
      <c r="A13" s="59">
        <v>44474</v>
      </c>
      <c r="B13" s="116">
        <v>2560</v>
      </c>
      <c r="C13" s="115">
        <v>0</v>
      </c>
      <c r="D13" s="57">
        <v>124728.7</v>
      </c>
      <c r="E13" s="50">
        <f>D13-D12</f>
        <v>97.5</v>
      </c>
      <c r="F13" s="51">
        <v>11057525</v>
      </c>
      <c r="G13" s="50">
        <f t="shared" si="1"/>
        <v>4144</v>
      </c>
      <c r="H13" s="51">
        <v>18841930</v>
      </c>
      <c r="I13" s="50">
        <f t="shared" si="2"/>
        <v>7704</v>
      </c>
      <c r="J13" s="51">
        <v>8266700</v>
      </c>
      <c r="K13" s="50">
        <f t="shared" si="3"/>
        <v>3340</v>
      </c>
    </row>
    <row r="14" spans="1:12" ht="19.5">
      <c r="A14" s="59">
        <v>44475</v>
      </c>
      <c r="B14" s="116">
        <v>2560</v>
      </c>
      <c r="C14" s="115">
        <v>0</v>
      </c>
      <c r="D14" s="57">
        <v>124859.5</v>
      </c>
      <c r="E14" s="50">
        <f>D14-D13</f>
        <v>130.80000000000291</v>
      </c>
      <c r="F14" s="51">
        <v>11061694</v>
      </c>
      <c r="G14" s="50">
        <f t="shared" si="1"/>
        <v>4169</v>
      </c>
      <c r="H14" s="51">
        <v>18849974</v>
      </c>
      <c r="I14" s="50">
        <f t="shared" si="2"/>
        <v>8044</v>
      </c>
      <c r="J14" s="51">
        <v>8269987</v>
      </c>
      <c r="K14" s="50">
        <f t="shared" si="3"/>
        <v>3287</v>
      </c>
    </row>
    <row r="15" spans="1:12" ht="19.5">
      <c r="A15" s="59">
        <v>44476</v>
      </c>
      <c r="B15" s="116">
        <v>2560</v>
      </c>
      <c r="C15" s="115">
        <v>0</v>
      </c>
      <c r="D15" s="57">
        <v>124993.9</v>
      </c>
      <c r="E15" s="50">
        <f>D15-D14</f>
        <v>134.39999999999418</v>
      </c>
      <c r="F15" s="51">
        <v>11065912</v>
      </c>
      <c r="G15" s="50">
        <f t="shared" si="1"/>
        <v>4218</v>
      </c>
      <c r="H15" s="51">
        <v>18858040</v>
      </c>
      <c r="I15" s="50">
        <f t="shared" si="2"/>
        <v>8066</v>
      </c>
      <c r="J15" s="51">
        <v>8273480</v>
      </c>
      <c r="K15" s="50">
        <f t="shared" si="3"/>
        <v>3493</v>
      </c>
    </row>
    <row r="16" spans="1:12" ht="19.5">
      <c r="A16" s="59">
        <v>44477</v>
      </c>
      <c r="B16" s="116">
        <v>2560</v>
      </c>
      <c r="C16" s="115">
        <v>0</v>
      </c>
      <c r="D16" s="57">
        <v>125120.4</v>
      </c>
      <c r="E16" s="50">
        <f>D16-D15</f>
        <v>126.5</v>
      </c>
      <c r="F16" s="51">
        <v>11070445</v>
      </c>
      <c r="G16" s="50">
        <f t="shared" si="1"/>
        <v>4533</v>
      </c>
      <c r="H16" s="51">
        <v>18865335</v>
      </c>
      <c r="I16" s="50">
        <f t="shared" si="2"/>
        <v>7295</v>
      </c>
      <c r="J16" s="51">
        <v>8276655</v>
      </c>
      <c r="K16" s="50">
        <f t="shared" si="3"/>
        <v>3175</v>
      </c>
    </row>
    <row r="17" spans="1:29" ht="19.5">
      <c r="A17" s="59">
        <v>44478</v>
      </c>
      <c r="B17" s="116">
        <v>2560</v>
      </c>
      <c r="C17" s="115">
        <v>0</v>
      </c>
      <c r="D17" s="57">
        <v>125229</v>
      </c>
      <c r="E17" s="50">
        <f>D17-D16</f>
        <v>108.60000000000582</v>
      </c>
      <c r="F17" s="51">
        <v>11074553</v>
      </c>
      <c r="G17" s="50">
        <f t="shared" si="1"/>
        <v>4108</v>
      </c>
      <c r="H17" s="51">
        <v>18872714</v>
      </c>
      <c r="I17" s="50">
        <f t="shared" si="2"/>
        <v>7379</v>
      </c>
      <c r="J17" s="51">
        <v>8280188</v>
      </c>
      <c r="K17" s="50">
        <f t="shared" si="3"/>
        <v>3533</v>
      </c>
    </row>
    <row r="18" spans="1:29" ht="19.5">
      <c r="A18" s="59">
        <v>44479</v>
      </c>
      <c r="B18" s="116">
        <v>2560</v>
      </c>
      <c r="C18" s="115">
        <v>0</v>
      </c>
      <c r="D18" s="57">
        <v>125376</v>
      </c>
      <c r="E18" s="50">
        <f>D18-D17</f>
        <v>147</v>
      </c>
      <c r="F18" s="51">
        <v>11078913</v>
      </c>
      <c r="G18" s="50">
        <f t="shared" si="1"/>
        <v>4360</v>
      </c>
      <c r="H18" s="51">
        <v>18881241</v>
      </c>
      <c r="I18" s="50">
        <f t="shared" si="2"/>
        <v>8527</v>
      </c>
      <c r="J18" s="51">
        <v>8283871</v>
      </c>
      <c r="K18" s="50">
        <f t="shared" si="3"/>
        <v>3683</v>
      </c>
    </row>
    <row r="19" spans="1:29" ht="19.5">
      <c r="A19" s="59">
        <v>44480</v>
      </c>
      <c r="B19" s="116">
        <v>2560</v>
      </c>
      <c r="C19" s="115">
        <v>0</v>
      </c>
      <c r="D19" s="57">
        <v>125473</v>
      </c>
      <c r="E19" s="50">
        <f>D19-D18</f>
        <v>97</v>
      </c>
      <c r="F19" s="51">
        <v>11083044</v>
      </c>
      <c r="G19" s="50">
        <f t="shared" si="1"/>
        <v>4131</v>
      </c>
      <c r="H19" s="51">
        <v>18888184</v>
      </c>
      <c r="I19" s="50">
        <f t="shared" si="2"/>
        <v>6943</v>
      </c>
      <c r="J19" s="51">
        <v>8286659</v>
      </c>
      <c r="K19" s="50">
        <f t="shared" si="3"/>
        <v>2788</v>
      </c>
    </row>
    <row r="20" spans="1:29" ht="25.5">
      <c r="A20" s="59">
        <v>44481</v>
      </c>
      <c r="B20" s="116">
        <v>2560</v>
      </c>
      <c r="C20" s="115">
        <v>0</v>
      </c>
      <c r="D20" s="57">
        <v>125558.8</v>
      </c>
      <c r="E20" s="50">
        <f>D20-D19</f>
        <v>85.80000000000291</v>
      </c>
      <c r="F20" s="51">
        <v>11087291</v>
      </c>
      <c r="G20" s="50">
        <f t="shared" si="1"/>
        <v>4247</v>
      </c>
      <c r="H20" s="51">
        <v>18895181</v>
      </c>
      <c r="I20" s="50">
        <f t="shared" si="2"/>
        <v>6997</v>
      </c>
      <c r="J20" s="51">
        <v>8289700</v>
      </c>
      <c r="K20" s="50">
        <f t="shared" si="3"/>
        <v>3041</v>
      </c>
      <c r="L20" s="117" t="s">
        <v>18</v>
      </c>
      <c r="AC20" t="s">
        <v>56</v>
      </c>
    </row>
    <row r="21" spans="1:29" ht="19.5">
      <c r="A21" s="59">
        <v>44482</v>
      </c>
      <c r="B21" s="116">
        <v>2560</v>
      </c>
      <c r="C21" s="115">
        <v>0</v>
      </c>
      <c r="D21" s="57">
        <v>125654.1</v>
      </c>
      <c r="E21" s="50">
        <f>D21-D20</f>
        <v>95.30000000000291</v>
      </c>
      <c r="F21" s="51">
        <v>11091851</v>
      </c>
      <c r="G21" s="50">
        <f t="shared" si="1"/>
        <v>4560</v>
      </c>
      <c r="H21" s="51">
        <v>18903494</v>
      </c>
      <c r="I21" s="50">
        <f t="shared" si="2"/>
        <v>8313</v>
      </c>
      <c r="J21" s="51">
        <v>8292942</v>
      </c>
      <c r="K21" s="50">
        <f t="shared" si="3"/>
        <v>3242</v>
      </c>
    </row>
    <row r="22" spans="1:29" ht="19.5">
      <c r="A22" s="59">
        <v>44483</v>
      </c>
      <c r="B22" s="116">
        <v>2560</v>
      </c>
      <c r="C22" s="115">
        <v>0</v>
      </c>
      <c r="D22" s="57">
        <v>125762.7</v>
      </c>
      <c r="E22" s="50">
        <f>D22-D21</f>
        <v>108.59999999999127</v>
      </c>
      <c r="F22" s="51">
        <v>11096062</v>
      </c>
      <c r="G22" s="50">
        <f t="shared" si="1"/>
        <v>4211</v>
      </c>
      <c r="H22" s="51">
        <v>18910748</v>
      </c>
      <c r="I22" s="50">
        <f t="shared" si="2"/>
        <v>7254</v>
      </c>
      <c r="J22" s="51">
        <v>8295952</v>
      </c>
      <c r="K22" s="50">
        <f t="shared" si="3"/>
        <v>3010</v>
      </c>
    </row>
    <row r="23" spans="1:29" ht="19.5">
      <c r="A23" s="59">
        <v>44484</v>
      </c>
      <c r="B23" s="116">
        <v>2560</v>
      </c>
      <c r="C23" s="115">
        <v>0</v>
      </c>
      <c r="D23" s="57">
        <v>125870.8</v>
      </c>
      <c r="E23" s="50">
        <f>D23-D22</f>
        <v>108.10000000000582</v>
      </c>
      <c r="F23" s="51">
        <v>11100739</v>
      </c>
      <c r="G23" s="50">
        <f t="shared" si="1"/>
        <v>4677</v>
      </c>
      <c r="H23" s="51">
        <v>18917875</v>
      </c>
      <c r="I23" s="50">
        <f t="shared" si="2"/>
        <v>7127</v>
      </c>
      <c r="J23" s="51">
        <v>8299198</v>
      </c>
      <c r="K23" s="50">
        <f t="shared" si="3"/>
        <v>3246</v>
      </c>
    </row>
    <row r="24" spans="1:29" ht="19.5">
      <c r="A24" s="59">
        <v>44485</v>
      </c>
      <c r="B24" s="116">
        <v>2560</v>
      </c>
      <c r="C24" s="115">
        <v>0</v>
      </c>
      <c r="D24" s="57">
        <v>125959.3</v>
      </c>
      <c r="E24" s="50">
        <f>D24-D23</f>
        <v>88.5</v>
      </c>
      <c r="F24" s="51">
        <v>11104840</v>
      </c>
      <c r="G24" s="50">
        <f t="shared" si="1"/>
        <v>4101</v>
      </c>
      <c r="H24" s="51">
        <v>18925099</v>
      </c>
      <c r="I24" s="50">
        <f t="shared" si="2"/>
        <v>7224</v>
      </c>
      <c r="J24" s="51">
        <v>8302368</v>
      </c>
      <c r="K24" s="50">
        <f t="shared" si="3"/>
        <v>3170</v>
      </c>
    </row>
    <row r="25" spans="1:29" ht="19.5">
      <c r="A25" s="59">
        <v>44486</v>
      </c>
      <c r="B25" s="116">
        <v>2560</v>
      </c>
      <c r="C25" s="115">
        <v>0</v>
      </c>
      <c r="D25" s="57">
        <v>126070</v>
      </c>
      <c r="E25" s="50">
        <f>D25-D24</f>
        <v>110.69999999999709</v>
      </c>
      <c r="F25" s="51">
        <v>11109119</v>
      </c>
      <c r="G25" s="50">
        <f t="shared" si="1"/>
        <v>4279</v>
      </c>
      <c r="H25" s="51">
        <v>18931904</v>
      </c>
      <c r="I25" s="50">
        <f t="shared" si="2"/>
        <v>6805</v>
      </c>
      <c r="J25" s="51">
        <v>8305869</v>
      </c>
      <c r="K25" s="50">
        <f t="shared" si="3"/>
        <v>3501</v>
      </c>
    </row>
    <row r="26" spans="1:29" ht="19.5">
      <c r="A26" s="59">
        <v>44487</v>
      </c>
      <c r="B26" s="116">
        <v>2560</v>
      </c>
      <c r="C26" s="115">
        <v>0</v>
      </c>
      <c r="D26" s="57">
        <v>126188</v>
      </c>
      <c r="E26" s="50">
        <f>D26-D25</f>
        <v>118</v>
      </c>
      <c r="F26" s="51">
        <v>11113327</v>
      </c>
      <c r="G26" s="50">
        <f t="shared" si="1"/>
        <v>4208</v>
      </c>
      <c r="H26" s="51">
        <v>18938713</v>
      </c>
      <c r="I26" s="50">
        <f t="shared" si="2"/>
        <v>6809</v>
      </c>
      <c r="J26" s="51">
        <v>8308782</v>
      </c>
      <c r="K26" s="50">
        <f t="shared" si="3"/>
        <v>2913</v>
      </c>
    </row>
    <row r="27" spans="1:29" ht="19.5">
      <c r="A27" s="59">
        <v>44488</v>
      </c>
      <c r="B27" s="116">
        <v>2560</v>
      </c>
      <c r="C27" s="115">
        <v>0</v>
      </c>
      <c r="D27" s="57">
        <v>126269.6</v>
      </c>
      <c r="E27" s="50">
        <f>D27-D26</f>
        <v>81.600000000005821</v>
      </c>
      <c r="F27" s="51">
        <v>11118223</v>
      </c>
      <c r="G27" s="50">
        <f t="shared" si="1"/>
        <v>4896</v>
      </c>
      <c r="H27" s="51">
        <v>18945850</v>
      </c>
      <c r="I27" s="50">
        <f t="shared" si="2"/>
        <v>7137</v>
      </c>
      <c r="J27" s="51">
        <v>8312698</v>
      </c>
      <c r="K27" s="50">
        <f t="shared" si="3"/>
        <v>3916</v>
      </c>
    </row>
    <row r="28" spans="1:29" ht="19.5">
      <c r="A28" s="59">
        <v>44489</v>
      </c>
      <c r="B28" s="116">
        <v>2560</v>
      </c>
      <c r="C28" s="115">
        <v>0</v>
      </c>
      <c r="D28" s="57">
        <v>126374</v>
      </c>
      <c r="E28" s="50">
        <f>D28-D27</f>
        <v>104.39999999999418</v>
      </c>
      <c r="F28" s="51">
        <v>11122054</v>
      </c>
      <c r="G28" s="50">
        <f t="shared" si="1"/>
        <v>3831</v>
      </c>
      <c r="H28" s="51">
        <v>18952819</v>
      </c>
      <c r="I28" s="50">
        <f t="shared" si="2"/>
        <v>6969</v>
      </c>
      <c r="J28" s="51">
        <v>8315365</v>
      </c>
      <c r="K28" s="50">
        <f t="shared" si="3"/>
        <v>2667</v>
      </c>
    </row>
    <row r="29" spans="1:29" ht="19.5">
      <c r="A29" s="59">
        <v>44490</v>
      </c>
      <c r="B29" s="116">
        <v>2560</v>
      </c>
      <c r="C29" s="115">
        <v>0</v>
      </c>
      <c r="D29" s="57">
        <v>126456</v>
      </c>
      <c r="E29" s="50">
        <f>D29-D28</f>
        <v>82</v>
      </c>
      <c r="F29" s="51">
        <v>11126306</v>
      </c>
      <c r="G29" s="50">
        <f t="shared" si="1"/>
        <v>4252</v>
      </c>
      <c r="H29" s="51">
        <v>18960361</v>
      </c>
      <c r="I29" s="50">
        <f t="shared" si="2"/>
        <v>7542</v>
      </c>
      <c r="J29" s="51">
        <v>8318638</v>
      </c>
      <c r="K29" s="50">
        <f t="shared" si="3"/>
        <v>3273</v>
      </c>
    </row>
    <row r="30" spans="1:29" ht="19.5">
      <c r="A30" s="59">
        <v>44491</v>
      </c>
      <c r="B30" s="116">
        <v>2560</v>
      </c>
      <c r="C30" s="115">
        <v>0</v>
      </c>
      <c r="D30" s="57">
        <v>126548</v>
      </c>
      <c r="E30" s="50">
        <f>D30-D29</f>
        <v>92</v>
      </c>
      <c r="F30" s="51">
        <v>11130697</v>
      </c>
      <c r="G30" s="50">
        <f t="shared" si="1"/>
        <v>4391</v>
      </c>
      <c r="H30" s="51">
        <v>18967749</v>
      </c>
      <c r="I30" s="50">
        <f t="shared" si="2"/>
        <v>7388</v>
      </c>
      <c r="J30" s="51">
        <v>8321852</v>
      </c>
      <c r="K30" s="50">
        <f t="shared" si="3"/>
        <v>3214</v>
      </c>
    </row>
    <row r="31" spans="1:29" ht="19.5">
      <c r="A31" s="59">
        <v>44492</v>
      </c>
      <c r="B31" s="116">
        <v>2560</v>
      </c>
      <c r="C31" s="115">
        <v>0</v>
      </c>
      <c r="D31" s="57">
        <v>126673</v>
      </c>
      <c r="E31" s="50">
        <f t="shared" ref="E31:E38" si="4">D31-D30</f>
        <v>125</v>
      </c>
      <c r="F31" s="51">
        <v>11134905</v>
      </c>
      <c r="G31" s="50">
        <f t="shared" si="1"/>
        <v>4208</v>
      </c>
      <c r="H31" s="51">
        <v>18974386</v>
      </c>
      <c r="I31" s="50">
        <f t="shared" si="2"/>
        <v>6637</v>
      </c>
      <c r="J31" s="51">
        <v>8324560</v>
      </c>
      <c r="K31" s="50">
        <f t="shared" si="3"/>
        <v>2708</v>
      </c>
    </row>
    <row r="32" spans="1:29" ht="19.5">
      <c r="A32" s="59">
        <v>44493</v>
      </c>
      <c r="B32" s="116">
        <v>2560</v>
      </c>
      <c r="C32" s="115">
        <v>0</v>
      </c>
      <c r="D32" s="57">
        <v>126817</v>
      </c>
      <c r="E32" s="50">
        <f t="shared" si="4"/>
        <v>144</v>
      </c>
      <c r="F32" s="51">
        <v>11138718</v>
      </c>
      <c r="G32" s="50">
        <f t="shared" si="1"/>
        <v>3813</v>
      </c>
      <c r="H32" s="51">
        <v>18981149</v>
      </c>
      <c r="I32" s="50">
        <f t="shared" si="2"/>
        <v>6763</v>
      </c>
      <c r="J32" s="51">
        <v>8327577</v>
      </c>
      <c r="K32" s="50">
        <f t="shared" si="3"/>
        <v>3017</v>
      </c>
    </row>
    <row r="33" spans="1:11" ht="19.5">
      <c r="A33" s="59">
        <v>44494</v>
      </c>
      <c r="B33" s="116">
        <v>2560</v>
      </c>
      <c r="C33" s="115">
        <v>0</v>
      </c>
      <c r="D33" s="57">
        <v>126918</v>
      </c>
      <c r="E33" s="50">
        <f t="shared" si="4"/>
        <v>101</v>
      </c>
      <c r="F33" s="51">
        <v>11142822</v>
      </c>
      <c r="G33" s="50">
        <f t="shared" si="1"/>
        <v>4104</v>
      </c>
      <c r="H33" s="51">
        <v>18987493</v>
      </c>
      <c r="I33" s="50">
        <f t="shared" si="2"/>
        <v>6344</v>
      </c>
      <c r="J33" s="51">
        <v>8330399</v>
      </c>
      <c r="K33" s="50">
        <f t="shared" si="3"/>
        <v>2822</v>
      </c>
    </row>
    <row r="34" spans="1:11" ht="19.5">
      <c r="A34" s="59">
        <v>44495</v>
      </c>
      <c r="B34" s="116">
        <v>2560</v>
      </c>
      <c r="C34" s="115">
        <v>0</v>
      </c>
      <c r="D34" s="57">
        <v>127009.9</v>
      </c>
      <c r="E34" s="50">
        <f t="shared" si="4"/>
        <v>91.899999999994179</v>
      </c>
      <c r="F34" s="51">
        <v>11145683</v>
      </c>
      <c r="G34" s="50">
        <f t="shared" si="1"/>
        <v>2861</v>
      </c>
      <c r="H34" s="51">
        <v>18994156</v>
      </c>
      <c r="I34" s="50">
        <f t="shared" si="2"/>
        <v>6663</v>
      </c>
      <c r="J34" s="51">
        <v>8333318</v>
      </c>
      <c r="K34" s="50">
        <f t="shared" si="3"/>
        <v>2919</v>
      </c>
    </row>
    <row r="35" spans="1:11" ht="19.5">
      <c r="A35" s="59">
        <v>44496</v>
      </c>
      <c r="B35" s="116">
        <v>2560</v>
      </c>
      <c r="C35" s="115">
        <v>0</v>
      </c>
      <c r="D35" s="57">
        <v>127110.3</v>
      </c>
      <c r="E35" s="50">
        <f t="shared" si="4"/>
        <v>100.40000000000873</v>
      </c>
      <c r="F35" s="51">
        <v>11149939</v>
      </c>
      <c r="G35" s="50">
        <f t="shared" si="1"/>
        <v>4256</v>
      </c>
      <c r="H35" s="51">
        <v>19003243</v>
      </c>
      <c r="I35" s="50">
        <f t="shared" si="2"/>
        <v>9087</v>
      </c>
      <c r="J35" s="51">
        <v>8336873</v>
      </c>
      <c r="K35" s="50">
        <f t="shared" si="3"/>
        <v>3555</v>
      </c>
    </row>
    <row r="36" spans="1:11" ht="19.5">
      <c r="A36" s="59">
        <v>44497</v>
      </c>
      <c r="B36" s="116">
        <v>2560</v>
      </c>
      <c r="C36" s="115">
        <v>0</v>
      </c>
      <c r="D36" s="57">
        <v>127210.4</v>
      </c>
      <c r="E36" s="50">
        <f t="shared" si="4"/>
        <v>100.09999999999127</v>
      </c>
      <c r="F36" s="51">
        <v>11154019</v>
      </c>
      <c r="G36" s="50">
        <f t="shared" si="1"/>
        <v>4080</v>
      </c>
      <c r="H36" s="51">
        <v>19010638</v>
      </c>
      <c r="I36" s="50">
        <f t="shared" si="2"/>
        <v>7395</v>
      </c>
      <c r="J36" s="51">
        <v>8339848</v>
      </c>
      <c r="K36" s="50">
        <f t="shared" si="3"/>
        <v>2975</v>
      </c>
    </row>
    <row r="37" spans="1:11" ht="19.5">
      <c r="A37" s="59">
        <v>44498</v>
      </c>
      <c r="B37" s="116">
        <v>2560</v>
      </c>
      <c r="C37" s="115">
        <v>0</v>
      </c>
      <c r="D37" s="57">
        <v>127322.1</v>
      </c>
      <c r="E37" s="50">
        <f t="shared" si="4"/>
        <v>111.70000000001164</v>
      </c>
      <c r="F37" s="51">
        <v>11159099</v>
      </c>
      <c r="G37" s="50">
        <f t="shared" si="1"/>
        <v>5080</v>
      </c>
      <c r="H37" s="51">
        <v>19018459</v>
      </c>
      <c r="I37" s="50">
        <f t="shared" si="2"/>
        <v>7821</v>
      </c>
      <c r="J37" s="51">
        <v>8342800</v>
      </c>
      <c r="K37" s="50">
        <f t="shared" si="3"/>
        <v>2952</v>
      </c>
    </row>
    <row r="38" spans="1:11" ht="19.5">
      <c r="A38" s="59">
        <v>44499</v>
      </c>
      <c r="B38" s="116">
        <v>2560</v>
      </c>
      <c r="C38" s="115">
        <v>0</v>
      </c>
      <c r="D38" s="57">
        <v>127445</v>
      </c>
      <c r="E38" s="50">
        <f t="shared" si="4"/>
        <v>122.89999999999418</v>
      </c>
      <c r="F38" s="51">
        <v>11163064</v>
      </c>
      <c r="G38" s="50">
        <f t="shared" si="1"/>
        <v>3965</v>
      </c>
      <c r="H38" s="51">
        <v>19024853</v>
      </c>
      <c r="I38" s="50">
        <f t="shared" si="2"/>
        <v>6394</v>
      </c>
      <c r="J38" s="51">
        <v>8345531</v>
      </c>
      <c r="K38" s="50">
        <f t="shared" si="3"/>
        <v>2731</v>
      </c>
    </row>
    <row r="39" spans="1:11" ht="19.5">
      <c r="A39" s="59">
        <v>44500</v>
      </c>
      <c r="B39" s="116">
        <v>2560</v>
      </c>
      <c r="C39" s="115">
        <f t="shared" ref="C11:D40" si="5">B39-B38</f>
        <v>0</v>
      </c>
      <c r="D39" s="57">
        <v>127564.4</v>
      </c>
      <c r="E39" s="50">
        <f t="shared" ref="E27:E40" si="6">D39-D38</f>
        <v>119.39999999999418</v>
      </c>
      <c r="F39" s="51">
        <v>11166663</v>
      </c>
      <c r="G39" s="50">
        <f t="shared" ref="G11:H40" si="7">F39-F38</f>
        <v>3599</v>
      </c>
      <c r="H39" s="51">
        <v>19031763</v>
      </c>
      <c r="I39" s="50">
        <f t="shared" ref="I11:I40" si="8">H39-H38</f>
        <v>6910</v>
      </c>
      <c r="J39" s="51">
        <v>8348714</v>
      </c>
      <c r="K39" s="50">
        <f t="shared" ref="K11:K40" si="9">J39-J38</f>
        <v>3183</v>
      </c>
    </row>
    <row r="40" spans="1:11" ht="21.75" customHeight="1">
      <c r="A40" s="59">
        <v>44501</v>
      </c>
      <c r="B40" s="116">
        <v>2560</v>
      </c>
      <c r="C40" s="115">
        <f t="shared" si="5"/>
        <v>0</v>
      </c>
      <c r="D40" s="57">
        <v>127675.7</v>
      </c>
      <c r="E40" s="50">
        <f t="shared" si="6"/>
        <v>111.30000000000291</v>
      </c>
      <c r="F40" s="51">
        <v>11170397</v>
      </c>
      <c r="G40" s="50">
        <f t="shared" si="7"/>
        <v>3734</v>
      </c>
      <c r="H40" s="51">
        <v>19038198</v>
      </c>
      <c r="I40" s="50">
        <f t="shared" si="8"/>
        <v>6435</v>
      </c>
      <c r="J40" s="51">
        <v>8351548</v>
      </c>
      <c r="K40" s="50">
        <f t="shared" si="9"/>
        <v>2834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0" activePane="bottomRight" state="frozen"/>
      <selection pane="bottomRight" activeCell="B33" sqref="B33:H3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44470</v>
      </c>
      <c r="B4" s="41">
        <v>68</v>
      </c>
      <c r="C4" s="39">
        <v>0</v>
      </c>
      <c r="D4" s="41">
        <v>70</v>
      </c>
      <c r="E4" s="39">
        <v>0</v>
      </c>
      <c r="F4" s="41">
        <v>70</v>
      </c>
      <c r="G4" s="39">
        <v>0</v>
      </c>
      <c r="H4" s="41">
        <v>70</v>
      </c>
      <c r="I4" s="39">
        <f>IF(AC4&gt;0,((H4-AA4)+(AB4-H5)),IF(H5=0, ,(H4-H5)))</f>
        <v>4</v>
      </c>
      <c r="J4" s="39">
        <f>B4+D4+F4+H4</f>
        <v>278</v>
      </c>
      <c r="K4" s="39">
        <f>J4/4</f>
        <v>69.5</v>
      </c>
      <c r="L4" s="39">
        <f>IF(AC4&gt;0,((K4-AD4)+(AE4-K5)),IF(K5=0, ,(K4-K5)))</f>
        <v>3.5</v>
      </c>
      <c r="M4" s="149">
        <f>7000*4</f>
        <v>28000</v>
      </c>
      <c r="N4" s="39">
        <f>L4*M4/100</f>
        <v>980</v>
      </c>
      <c r="O4" s="39">
        <f>N4*0.529</f>
        <v>518.42000000000007</v>
      </c>
      <c r="P4" s="42">
        <f>O4*9.965</f>
        <v>5166.0553000000009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44471</v>
      </c>
      <c r="B5" s="41">
        <v>65</v>
      </c>
      <c r="C5" s="39">
        <f t="shared" ref="C4:C35" si="3">IF(AC5&gt;0,((B5-R5)+(S5-B6)),IF(B6=0, ,(B5-B6)))</f>
        <v>2</v>
      </c>
      <c r="D5" s="41">
        <v>65</v>
      </c>
      <c r="E5" s="39">
        <f t="shared" ref="E4:E35" si="4">IF(AC5&gt;0,((D5-U5)+(V5-D6)),IF(D6=0, ,(D5-D6)))</f>
        <v>2</v>
      </c>
      <c r="F5" s="41">
        <v>68</v>
      </c>
      <c r="G5" s="39">
        <f t="shared" ref="G4:G35" si="5">IF(AC5&gt;0,((F5-X5)+(Y5-F6)),IF(F6=0, ,(F5-F6)))</f>
        <v>4</v>
      </c>
      <c r="H5" s="41">
        <v>66</v>
      </c>
      <c r="I5" s="39">
        <f>IF(AC5&gt;0,((H5-AA5)+(AB5-H6)),IF(H6=0, ,(H5-H6)))</f>
        <v>1</v>
      </c>
      <c r="J5" s="39">
        <f>B5+D5+F5+H5</f>
        <v>264</v>
      </c>
      <c r="K5" s="39">
        <f>J5/4</f>
        <v>66</v>
      </c>
      <c r="L5" s="39">
        <f>IF(AC5&gt;0,((K5-AD5)+(AE5-K6)),IF(K6=0, ,(K5-K6)))</f>
        <v>2.25</v>
      </c>
      <c r="M5" s="149">
        <f t="shared" ref="M5:M42" si="6">7000*4</f>
        <v>28000</v>
      </c>
      <c r="N5" s="39">
        <f>L5*M5/100</f>
        <v>630</v>
      </c>
      <c r="O5" s="39">
        <f>N5*0.529</f>
        <v>333.27000000000004</v>
      </c>
      <c r="P5" s="42">
        <f t="shared" ref="P5:P42" si="7">O5*9.965</f>
        <v>3321.0355500000005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44472</v>
      </c>
      <c r="B6" s="41">
        <v>63</v>
      </c>
      <c r="C6" s="39">
        <f t="shared" si="3"/>
        <v>3</v>
      </c>
      <c r="D6" s="41">
        <v>63</v>
      </c>
      <c r="E6" s="39">
        <f t="shared" si="4"/>
        <v>3</v>
      </c>
      <c r="F6" s="41">
        <v>64</v>
      </c>
      <c r="G6" s="39">
        <f t="shared" si="5"/>
        <v>2</v>
      </c>
      <c r="H6" s="41">
        <v>65</v>
      </c>
      <c r="I6" s="39">
        <f t="shared" ref="I6:I36" si="8">IF(AC6&gt;0,((H6-AA6)+(AB6-H7)),IF(H7=0, ,(H6-H7)))</f>
        <v>4</v>
      </c>
      <c r="J6" s="39">
        <f t="shared" ref="J6:J42" si="9">B6+D6+F6+H6</f>
        <v>255</v>
      </c>
      <c r="K6" s="39">
        <f t="shared" ref="K6:K42" si="10">J6/4</f>
        <v>63.75</v>
      </c>
      <c r="L6" s="39">
        <f t="shared" ref="L6:L19" si="11">IF(AC6&gt;0,((K6-AD6)+(AE6-K7)),IF(K7=0, ,(K6-K7)))</f>
        <v>3</v>
      </c>
      <c r="M6" s="149">
        <f t="shared" si="6"/>
        <v>28000</v>
      </c>
      <c r="N6" s="39">
        <f t="shared" ref="N6:N42" si="12">L6*M6/100</f>
        <v>840</v>
      </c>
      <c r="O6" s="39">
        <f>N6*0.529</f>
        <v>444.36</v>
      </c>
      <c r="P6" s="42">
        <f t="shared" si="7"/>
        <v>4428.0474000000004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44473</v>
      </c>
      <c r="B7" s="41">
        <v>60</v>
      </c>
      <c r="C7" s="39">
        <f t="shared" si="3"/>
        <v>6</v>
      </c>
      <c r="D7" s="41">
        <v>60</v>
      </c>
      <c r="E7" s="39">
        <f t="shared" si="4"/>
        <v>4</v>
      </c>
      <c r="F7" s="41">
        <v>62</v>
      </c>
      <c r="G7" s="39">
        <f t="shared" si="5"/>
        <v>3</v>
      </c>
      <c r="H7" s="41">
        <v>61</v>
      </c>
      <c r="I7" s="39">
        <f t="shared" si="8"/>
        <v>2</v>
      </c>
      <c r="J7" s="39">
        <f t="shared" si="9"/>
        <v>243</v>
      </c>
      <c r="K7" s="39">
        <f t="shared" si="10"/>
        <v>60.75</v>
      </c>
      <c r="L7" s="39">
        <f t="shared" si="11"/>
        <v>3.75</v>
      </c>
      <c r="M7" s="149">
        <f t="shared" si="6"/>
        <v>28000</v>
      </c>
      <c r="N7" s="39">
        <f t="shared" si="12"/>
        <v>1050</v>
      </c>
      <c r="O7" s="39">
        <f>N7*0.53</f>
        <v>556.5</v>
      </c>
      <c r="P7" s="42">
        <f t="shared" si="7"/>
        <v>5545.5225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44474</v>
      </c>
      <c r="B8" s="41">
        <v>54</v>
      </c>
      <c r="C8" s="39">
        <f t="shared" si="3"/>
        <v>0</v>
      </c>
      <c r="D8" s="41">
        <v>56</v>
      </c>
      <c r="E8" s="39">
        <f t="shared" si="4"/>
        <v>3</v>
      </c>
      <c r="F8" s="41">
        <v>59</v>
      </c>
      <c r="G8" s="39">
        <f t="shared" si="5"/>
        <v>3</v>
      </c>
      <c r="H8" s="41">
        <v>59</v>
      </c>
      <c r="I8" s="39">
        <f t="shared" si="8"/>
        <v>3</v>
      </c>
      <c r="J8" s="39">
        <f t="shared" si="9"/>
        <v>228</v>
      </c>
      <c r="K8" s="39">
        <f t="shared" si="10"/>
        <v>57</v>
      </c>
      <c r="L8" s="39">
        <f t="shared" si="11"/>
        <v>2.25</v>
      </c>
      <c r="M8" s="149">
        <f>6049*4</f>
        <v>24196</v>
      </c>
      <c r="N8" s="39">
        <f t="shared" si="12"/>
        <v>544.41</v>
      </c>
      <c r="O8" s="148">
        <f t="shared" ref="O8:O37" si="13">N8*0.529</f>
        <v>287.99288999999999</v>
      </c>
      <c r="P8" s="42">
        <f t="shared" si="7"/>
        <v>2869.8491488499999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44475</v>
      </c>
      <c r="B9" s="41">
        <v>54</v>
      </c>
      <c r="C9" s="39">
        <f t="shared" si="3"/>
        <v>1</v>
      </c>
      <c r="D9" s="41">
        <v>53</v>
      </c>
      <c r="E9" s="39">
        <f t="shared" si="4"/>
        <v>1</v>
      </c>
      <c r="F9" s="41">
        <v>56</v>
      </c>
      <c r="G9" s="39">
        <f t="shared" si="5"/>
        <v>1</v>
      </c>
      <c r="H9" s="41">
        <v>56</v>
      </c>
      <c r="I9" s="39">
        <f t="shared" si="8"/>
        <v>2</v>
      </c>
      <c r="J9" s="39">
        <f t="shared" si="9"/>
        <v>219</v>
      </c>
      <c r="K9" s="39">
        <f t="shared" si="10"/>
        <v>54.75</v>
      </c>
      <c r="L9" s="39">
        <f t="shared" si="11"/>
        <v>1.25</v>
      </c>
      <c r="M9" s="149">
        <f t="shared" ref="M9:M42" si="14">6049*4</f>
        <v>24196</v>
      </c>
      <c r="N9" s="39">
        <f t="shared" si="12"/>
        <v>302.45</v>
      </c>
      <c r="O9" s="39">
        <f t="shared" si="13"/>
        <v>159.99605</v>
      </c>
      <c r="P9" s="42">
        <f t="shared" si="7"/>
        <v>1594.36063825</v>
      </c>
      <c r="Q9" s="39">
        <v>2328</v>
      </c>
      <c r="R9" s="39">
        <v>53</v>
      </c>
      <c r="S9" s="39">
        <v>85</v>
      </c>
      <c r="T9" s="39">
        <v>2450</v>
      </c>
      <c r="U9" s="39">
        <v>52</v>
      </c>
      <c r="V9" s="39">
        <v>85</v>
      </c>
      <c r="W9" s="39">
        <v>2300</v>
      </c>
      <c r="X9" s="39">
        <v>55</v>
      </c>
      <c r="Y9" s="39">
        <v>85</v>
      </c>
      <c r="Z9" s="39">
        <v>2200</v>
      </c>
      <c r="AA9" s="39">
        <v>54</v>
      </c>
      <c r="AB9" s="39">
        <v>85</v>
      </c>
      <c r="AC9" s="39">
        <f t="shared" si="0"/>
        <v>9278</v>
      </c>
      <c r="AD9" s="38">
        <f t="shared" si="1"/>
        <v>53.5</v>
      </c>
      <c r="AE9" s="38">
        <f t="shared" si="2"/>
        <v>85</v>
      </c>
    </row>
    <row r="10" spans="1:31" ht="32.25" customHeight="1">
      <c r="A10" s="40">
        <v>44476</v>
      </c>
      <c r="B10" s="41">
        <v>85</v>
      </c>
      <c r="C10" s="39">
        <f t="shared" si="3"/>
        <v>0</v>
      </c>
      <c r="D10" s="41">
        <v>85</v>
      </c>
      <c r="E10" s="39">
        <f t="shared" si="4"/>
        <v>2</v>
      </c>
      <c r="F10" s="41">
        <v>85</v>
      </c>
      <c r="G10" s="39">
        <f t="shared" si="5"/>
        <v>1</v>
      </c>
      <c r="H10" s="41">
        <v>85</v>
      </c>
      <c r="I10" s="39">
        <f t="shared" si="8"/>
        <v>3</v>
      </c>
      <c r="J10" s="39">
        <f t="shared" si="9"/>
        <v>340</v>
      </c>
      <c r="K10" s="39">
        <f t="shared" si="10"/>
        <v>85</v>
      </c>
      <c r="L10" s="39">
        <f t="shared" si="11"/>
        <v>1.5</v>
      </c>
      <c r="M10" s="149">
        <f t="shared" si="14"/>
        <v>24196</v>
      </c>
      <c r="N10" s="39">
        <f t="shared" si="12"/>
        <v>362.94</v>
      </c>
      <c r="O10" s="148">
        <f t="shared" si="13"/>
        <v>191.99526</v>
      </c>
      <c r="P10" s="42">
        <f t="shared" si="7"/>
        <v>1913.2327659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44477</v>
      </c>
      <c r="B11" s="41">
        <v>85</v>
      </c>
      <c r="C11" s="39">
        <f t="shared" si="3"/>
        <v>5</v>
      </c>
      <c r="D11" s="41">
        <v>83</v>
      </c>
      <c r="E11" s="39">
        <f t="shared" si="4"/>
        <v>2</v>
      </c>
      <c r="F11" s="41">
        <v>84</v>
      </c>
      <c r="G11" s="39">
        <f t="shared" si="5"/>
        <v>2</v>
      </c>
      <c r="H11" s="41">
        <v>82</v>
      </c>
      <c r="I11" s="39">
        <f t="shared" si="8"/>
        <v>2</v>
      </c>
      <c r="J11" s="39">
        <f t="shared" si="9"/>
        <v>334</v>
      </c>
      <c r="K11" s="39">
        <f t="shared" si="10"/>
        <v>83.5</v>
      </c>
      <c r="L11" s="39">
        <f t="shared" si="11"/>
        <v>2.75</v>
      </c>
      <c r="M11" s="149">
        <f t="shared" si="14"/>
        <v>24196</v>
      </c>
      <c r="N11" s="39">
        <f t="shared" si="12"/>
        <v>665.39</v>
      </c>
      <c r="O11" s="39">
        <f t="shared" si="13"/>
        <v>351.99131</v>
      </c>
      <c r="P11" s="42">
        <f t="shared" si="7"/>
        <v>3507.59340415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44478</v>
      </c>
      <c r="B12" s="41">
        <v>80</v>
      </c>
      <c r="C12" s="39">
        <f t="shared" si="3"/>
        <v>1</v>
      </c>
      <c r="D12" s="41">
        <v>81</v>
      </c>
      <c r="E12" s="39">
        <f t="shared" si="4"/>
        <v>1</v>
      </c>
      <c r="F12" s="41">
        <v>82</v>
      </c>
      <c r="G12" s="39">
        <f t="shared" si="5"/>
        <v>2</v>
      </c>
      <c r="H12" s="41">
        <v>80</v>
      </c>
      <c r="I12" s="39">
        <f t="shared" si="8"/>
        <v>2</v>
      </c>
      <c r="J12" s="39">
        <f t="shared" si="9"/>
        <v>323</v>
      </c>
      <c r="K12" s="39">
        <f t="shared" si="10"/>
        <v>80.75</v>
      </c>
      <c r="L12" s="39">
        <f t="shared" si="11"/>
        <v>1.5</v>
      </c>
      <c r="M12" s="149">
        <f t="shared" si="14"/>
        <v>24196</v>
      </c>
      <c r="N12" s="39">
        <f t="shared" si="12"/>
        <v>362.94</v>
      </c>
      <c r="O12" s="39">
        <f t="shared" si="13"/>
        <v>191.99526</v>
      </c>
      <c r="P12" s="42">
        <f t="shared" si="7"/>
        <v>1913.2327659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44479</v>
      </c>
      <c r="B13" s="41">
        <v>79</v>
      </c>
      <c r="C13" s="39">
        <f t="shared" si="3"/>
        <v>4</v>
      </c>
      <c r="D13" s="41">
        <v>80</v>
      </c>
      <c r="E13" s="39">
        <f t="shared" si="4"/>
        <v>3</v>
      </c>
      <c r="F13" s="41">
        <v>80</v>
      </c>
      <c r="G13" s="39">
        <f t="shared" si="5"/>
        <v>3</v>
      </c>
      <c r="H13" s="41">
        <v>78</v>
      </c>
      <c r="I13" s="39">
        <f t="shared" si="8"/>
        <v>3</v>
      </c>
      <c r="J13" s="39">
        <f t="shared" si="9"/>
        <v>317</v>
      </c>
      <c r="K13" s="39">
        <f t="shared" si="10"/>
        <v>79.25</v>
      </c>
      <c r="L13" s="39">
        <f t="shared" si="11"/>
        <v>3.25</v>
      </c>
      <c r="M13" s="149">
        <f t="shared" si="14"/>
        <v>24196</v>
      </c>
      <c r="N13" s="39">
        <f t="shared" si="12"/>
        <v>786.37</v>
      </c>
      <c r="O13" s="39">
        <f t="shared" si="13"/>
        <v>415.98973000000001</v>
      </c>
      <c r="P13" s="42">
        <f t="shared" si="7"/>
        <v>4145.3376594499996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44480</v>
      </c>
      <c r="B14" s="41">
        <v>75</v>
      </c>
      <c r="C14" s="39">
        <f t="shared" si="3"/>
        <v>2</v>
      </c>
      <c r="D14" s="41">
        <v>77</v>
      </c>
      <c r="E14" s="39">
        <f t="shared" si="4"/>
        <v>2</v>
      </c>
      <c r="F14" s="41">
        <v>77</v>
      </c>
      <c r="G14" s="39">
        <f t="shared" si="5"/>
        <v>3</v>
      </c>
      <c r="H14" s="41">
        <v>75</v>
      </c>
      <c r="I14" s="39">
        <f>IF(AC14&gt;0,((H14-AA14)+(AB14-H15)),IF(H15=0, ,(H14-H15)))</f>
        <v>2</v>
      </c>
      <c r="J14" s="39">
        <f t="shared" si="9"/>
        <v>304</v>
      </c>
      <c r="K14" s="39">
        <f t="shared" si="10"/>
        <v>76</v>
      </c>
      <c r="L14" s="39">
        <f t="shared" si="11"/>
        <v>2.25</v>
      </c>
      <c r="M14" s="149">
        <f t="shared" si="14"/>
        <v>24196</v>
      </c>
      <c r="N14" s="39">
        <f t="shared" si="12"/>
        <v>544.41</v>
      </c>
      <c r="O14" s="39">
        <f t="shared" si="13"/>
        <v>287.99288999999999</v>
      </c>
      <c r="P14" s="42">
        <f t="shared" si="7"/>
        <v>2869.8491488499999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44481</v>
      </c>
      <c r="B15" s="41">
        <v>73</v>
      </c>
      <c r="C15" s="39">
        <f t="shared" si="3"/>
        <v>3</v>
      </c>
      <c r="D15" s="41">
        <v>75</v>
      </c>
      <c r="E15" s="39">
        <f t="shared" si="4"/>
        <v>2</v>
      </c>
      <c r="F15" s="41">
        <v>74</v>
      </c>
      <c r="G15" s="39">
        <f t="shared" si="5"/>
        <v>2</v>
      </c>
      <c r="H15" s="41">
        <v>73</v>
      </c>
      <c r="I15" s="39">
        <f>IF(AC15&gt;0,((H15-AA15)+(AB15-H16)),IF(H16=0, ,(H15-H16)))</f>
        <v>2</v>
      </c>
      <c r="J15" s="39">
        <f t="shared" si="9"/>
        <v>295</v>
      </c>
      <c r="K15" s="39">
        <f t="shared" si="10"/>
        <v>73.75</v>
      </c>
      <c r="L15" s="39">
        <f t="shared" si="11"/>
        <v>2.25</v>
      </c>
      <c r="M15" s="149">
        <f t="shared" si="14"/>
        <v>24196</v>
      </c>
      <c r="N15" s="39">
        <f t="shared" si="12"/>
        <v>544.41</v>
      </c>
      <c r="O15" s="39">
        <f t="shared" si="13"/>
        <v>287.99288999999999</v>
      </c>
      <c r="P15" s="42">
        <f t="shared" si="7"/>
        <v>2869.8491488499999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44482</v>
      </c>
      <c r="B16" s="41">
        <v>70</v>
      </c>
      <c r="C16" s="39">
        <f t="shared" si="3"/>
        <v>2</v>
      </c>
      <c r="D16" s="41">
        <v>73</v>
      </c>
      <c r="E16" s="39">
        <f t="shared" si="4"/>
        <v>3</v>
      </c>
      <c r="F16" s="41">
        <v>72</v>
      </c>
      <c r="G16" s="39">
        <f t="shared" si="5"/>
        <v>3</v>
      </c>
      <c r="H16" s="41">
        <v>71</v>
      </c>
      <c r="I16" s="39">
        <f t="shared" si="8"/>
        <v>3</v>
      </c>
      <c r="J16" s="39">
        <f t="shared" si="9"/>
        <v>286</v>
      </c>
      <c r="K16" s="39">
        <f t="shared" si="10"/>
        <v>71.5</v>
      </c>
      <c r="L16" s="39">
        <f t="shared" si="11"/>
        <v>2.75</v>
      </c>
      <c r="M16" s="149">
        <f t="shared" si="14"/>
        <v>24196</v>
      </c>
      <c r="N16" s="39">
        <f t="shared" si="12"/>
        <v>665.39</v>
      </c>
      <c r="O16" s="39">
        <f t="shared" si="13"/>
        <v>351.99131</v>
      </c>
      <c r="P16" s="42">
        <f t="shared" si="7"/>
        <v>3507.59340415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44483</v>
      </c>
      <c r="B17" s="41">
        <v>68</v>
      </c>
      <c r="C17" s="39">
        <f t="shared" si="3"/>
        <v>2</v>
      </c>
      <c r="D17" s="41">
        <v>70</v>
      </c>
      <c r="E17" s="39">
        <f t="shared" si="4"/>
        <v>0</v>
      </c>
      <c r="F17" s="41">
        <v>69</v>
      </c>
      <c r="G17" s="39">
        <f t="shared" si="5"/>
        <v>0</v>
      </c>
      <c r="H17" s="41">
        <v>68</v>
      </c>
      <c r="I17" s="39">
        <f t="shared" si="8"/>
        <v>0</v>
      </c>
      <c r="J17" s="39">
        <f t="shared" si="9"/>
        <v>275</v>
      </c>
      <c r="K17" s="39">
        <f t="shared" si="10"/>
        <v>68.75</v>
      </c>
      <c r="L17" s="39">
        <f t="shared" si="11"/>
        <v>0.5</v>
      </c>
      <c r="M17" s="149">
        <f t="shared" si="14"/>
        <v>24196</v>
      </c>
      <c r="N17" s="39">
        <f t="shared" si="12"/>
        <v>120.98</v>
      </c>
      <c r="O17" s="39">
        <f t="shared" si="13"/>
        <v>63.998420000000003</v>
      </c>
      <c r="P17" s="42">
        <f t="shared" si="7"/>
        <v>637.74425530000008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44484</v>
      </c>
      <c r="B18" s="41">
        <v>66</v>
      </c>
      <c r="C18" s="39">
        <f t="shared" si="3"/>
        <v>2</v>
      </c>
      <c r="D18" s="41">
        <v>70</v>
      </c>
      <c r="E18" s="39">
        <f t="shared" si="4"/>
        <v>5</v>
      </c>
      <c r="F18" s="41">
        <v>69</v>
      </c>
      <c r="G18" s="39">
        <f t="shared" si="5"/>
        <v>4</v>
      </c>
      <c r="H18" s="41">
        <v>68</v>
      </c>
      <c r="I18" s="39">
        <f t="shared" si="8"/>
        <v>4</v>
      </c>
      <c r="J18" s="39">
        <f t="shared" si="9"/>
        <v>273</v>
      </c>
      <c r="K18" s="39">
        <f t="shared" si="10"/>
        <v>68.25</v>
      </c>
      <c r="L18" s="39">
        <f t="shared" si="11"/>
        <v>3.75</v>
      </c>
      <c r="M18" s="149">
        <f t="shared" si="14"/>
        <v>24196</v>
      </c>
      <c r="N18" s="39">
        <f t="shared" si="12"/>
        <v>907.35</v>
      </c>
      <c r="O18" s="39">
        <f t="shared" si="13"/>
        <v>479.98815000000002</v>
      </c>
      <c r="P18" s="42">
        <f t="shared" si="7"/>
        <v>4783.0819147499997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44485</v>
      </c>
      <c r="B19" s="41">
        <v>64</v>
      </c>
      <c r="C19" s="39">
        <f t="shared" si="3"/>
        <v>4</v>
      </c>
      <c r="D19" s="41">
        <v>65</v>
      </c>
      <c r="E19" s="39">
        <f t="shared" si="4"/>
        <v>3</v>
      </c>
      <c r="F19" s="41">
        <v>65</v>
      </c>
      <c r="G19" s="39">
        <f t="shared" si="5"/>
        <v>4</v>
      </c>
      <c r="H19" s="41">
        <v>64</v>
      </c>
      <c r="I19" s="39">
        <f t="shared" si="8"/>
        <v>4</v>
      </c>
      <c r="J19" s="39">
        <f t="shared" si="9"/>
        <v>258</v>
      </c>
      <c r="K19" s="39">
        <f t="shared" si="10"/>
        <v>64.5</v>
      </c>
      <c r="L19" s="39">
        <f t="shared" si="11"/>
        <v>3.75</v>
      </c>
      <c r="M19" s="149">
        <f t="shared" si="14"/>
        <v>24196</v>
      </c>
      <c r="N19" s="39">
        <f t="shared" si="12"/>
        <v>907.35</v>
      </c>
      <c r="O19" s="39">
        <f t="shared" si="13"/>
        <v>479.98815000000002</v>
      </c>
      <c r="P19" s="42">
        <f t="shared" si="7"/>
        <v>4783.0819147499997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44486</v>
      </c>
      <c r="B20" s="41">
        <v>60</v>
      </c>
      <c r="C20" s="39">
        <f t="shared" si="3"/>
        <v>5</v>
      </c>
      <c r="D20" s="41">
        <v>62</v>
      </c>
      <c r="E20" s="39">
        <f t="shared" si="4"/>
        <v>6</v>
      </c>
      <c r="F20" s="41">
        <v>61</v>
      </c>
      <c r="G20" s="39">
        <f t="shared" si="5"/>
        <v>4</v>
      </c>
      <c r="H20" s="41">
        <v>60</v>
      </c>
      <c r="I20" s="39">
        <f t="shared" si="8"/>
        <v>2</v>
      </c>
      <c r="J20" s="39">
        <f t="shared" si="9"/>
        <v>243</v>
      </c>
      <c r="K20" s="39">
        <f t="shared" si="10"/>
        <v>60.75</v>
      </c>
      <c r="L20" s="39">
        <f t="shared" ref="L20:L42" si="15">IF(AC20&gt;0,((K20-AD20)+(AE20-K21)),IF(K21=0, ,(K20-K21)))</f>
        <v>4.25</v>
      </c>
      <c r="M20" s="149">
        <f t="shared" si="14"/>
        <v>24196</v>
      </c>
      <c r="N20" s="39">
        <f t="shared" si="12"/>
        <v>1028.33</v>
      </c>
      <c r="O20" s="39">
        <f t="shared" si="13"/>
        <v>543.98657000000003</v>
      </c>
      <c r="P20" s="42">
        <f t="shared" si="7"/>
        <v>5420.8261700500007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44487</v>
      </c>
      <c r="B21" s="41">
        <v>55</v>
      </c>
      <c r="C21" s="39">
        <f t="shared" si="3"/>
        <v>2</v>
      </c>
      <c r="D21" s="41">
        <v>56</v>
      </c>
      <c r="E21" s="39">
        <f t="shared" si="4"/>
        <v>2</v>
      </c>
      <c r="F21" s="41">
        <v>57</v>
      </c>
      <c r="G21" s="39">
        <f t="shared" si="5"/>
        <v>2</v>
      </c>
      <c r="H21" s="41">
        <v>58</v>
      </c>
      <c r="I21" s="39">
        <f t="shared" si="8"/>
        <v>4</v>
      </c>
      <c r="J21" s="39">
        <f t="shared" si="9"/>
        <v>226</v>
      </c>
      <c r="K21" s="39">
        <f t="shared" si="10"/>
        <v>56.5</v>
      </c>
      <c r="L21" s="39">
        <f>IF(AC21&gt;0,((K21-AD21)+(AE21-K22)),IF(K22=0, ,(K21-K22)))</f>
        <v>2.5</v>
      </c>
      <c r="M21" s="149">
        <f t="shared" si="14"/>
        <v>24196</v>
      </c>
      <c r="N21" s="39">
        <f t="shared" si="12"/>
        <v>604.9</v>
      </c>
      <c r="O21" s="39">
        <f t="shared" si="13"/>
        <v>319.99209999999999</v>
      </c>
      <c r="P21" s="42">
        <f t="shared" si="7"/>
        <v>3188.7212764999999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>
      <c r="A22" s="40">
        <v>44488</v>
      </c>
      <c r="B22" s="41">
        <v>53</v>
      </c>
      <c r="C22" s="39">
        <f t="shared" si="3"/>
        <v>3</v>
      </c>
      <c r="D22" s="41">
        <v>54</v>
      </c>
      <c r="E22" s="39">
        <f t="shared" si="4"/>
        <v>3</v>
      </c>
      <c r="F22" s="41">
        <v>55</v>
      </c>
      <c r="G22" s="39">
        <f t="shared" si="5"/>
        <v>3</v>
      </c>
      <c r="H22" s="41">
        <v>54</v>
      </c>
      <c r="I22" s="39">
        <f t="shared" si="8"/>
        <v>3</v>
      </c>
      <c r="J22" s="39">
        <f t="shared" si="9"/>
        <v>216</v>
      </c>
      <c r="K22" s="39">
        <f t="shared" si="10"/>
        <v>54</v>
      </c>
      <c r="L22" s="39">
        <f>IF(AC22&gt;0,((K22-AD22)+(AE22-K23)),IF(K23=0, ,(K22-K23)))</f>
        <v>3</v>
      </c>
      <c r="M22" s="149">
        <f t="shared" si="14"/>
        <v>24196</v>
      </c>
      <c r="N22" s="39">
        <f t="shared" si="12"/>
        <v>725.88</v>
      </c>
      <c r="O22" s="39">
        <f t="shared" si="13"/>
        <v>383.99052</v>
      </c>
      <c r="P22" s="42">
        <f t="shared" si="7"/>
        <v>3826.4655318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44489</v>
      </c>
      <c r="B23" s="41">
        <v>50</v>
      </c>
      <c r="C23" s="39">
        <f t="shared" si="3"/>
        <v>5</v>
      </c>
      <c r="D23" s="41">
        <v>51</v>
      </c>
      <c r="E23" s="39">
        <f t="shared" si="4"/>
        <v>4</v>
      </c>
      <c r="F23" s="41">
        <v>52</v>
      </c>
      <c r="G23" s="39">
        <f t="shared" si="5"/>
        <v>4</v>
      </c>
      <c r="H23" s="41">
        <v>51</v>
      </c>
      <c r="I23" s="39">
        <f t="shared" si="8"/>
        <v>3</v>
      </c>
      <c r="J23" s="39">
        <f t="shared" si="9"/>
        <v>204</v>
      </c>
      <c r="K23" s="39">
        <f t="shared" si="10"/>
        <v>51</v>
      </c>
      <c r="L23" s="39">
        <f t="shared" si="15"/>
        <v>4</v>
      </c>
      <c r="M23" s="149">
        <f t="shared" si="14"/>
        <v>24196</v>
      </c>
      <c r="N23" s="39">
        <f t="shared" si="12"/>
        <v>967.84</v>
      </c>
      <c r="O23" s="39">
        <f t="shared" si="13"/>
        <v>511.98736000000002</v>
      </c>
      <c r="P23" s="42">
        <f t="shared" si="7"/>
        <v>5101.9540424000006</v>
      </c>
      <c r="Q23" s="39">
        <v>3134</v>
      </c>
      <c r="R23" s="39">
        <v>45</v>
      </c>
      <c r="S23" s="39">
        <v>85</v>
      </c>
      <c r="T23" s="39">
        <v>2986</v>
      </c>
      <c r="U23" s="39">
        <v>47</v>
      </c>
      <c r="V23" s="39">
        <v>85</v>
      </c>
      <c r="W23" s="39">
        <v>2952</v>
      </c>
      <c r="X23" s="39">
        <v>48</v>
      </c>
      <c r="Y23" s="39">
        <v>85</v>
      </c>
      <c r="Z23" s="39">
        <v>2974</v>
      </c>
      <c r="AA23" s="39">
        <v>48</v>
      </c>
      <c r="AB23" s="39">
        <v>85</v>
      </c>
      <c r="AC23" s="39">
        <f t="shared" si="0"/>
        <v>12046</v>
      </c>
      <c r="AD23" s="38">
        <f t="shared" si="1"/>
        <v>47</v>
      </c>
      <c r="AE23" s="38">
        <f t="shared" si="2"/>
        <v>85</v>
      </c>
    </row>
    <row r="24" spans="1:31" ht="32.25" customHeight="1">
      <c r="A24" s="40">
        <v>44490</v>
      </c>
      <c r="B24" s="41">
        <v>85</v>
      </c>
      <c r="C24" s="39">
        <f t="shared" si="3"/>
        <v>0</v>
      </c>
      <c r="D24" s="41">
        <v>85</v>
      </c>
      <c r="E24" s="39">
        <f t="shared" si="4"/>
        <v>0</v>
      </c>
      <c r="F24" s="41">
        <v>85</v>
      </c>
      <c r="G24" s="39">
        <f t="shared" si="5"/>
        <v>0</v>
      </c>
      <c r="H24" s="41">
        <v>85</v>
      </c>
      <c r="I24" s="39">
        <f t="shared" si="8"/>
        <v>0</v>
      </c>
      <c r="J24" s="39">
        <f t="shared" si="9"/>
        <v>340</v>
      </c>
      <c r="K24" s="39">
        <f t="shared" si="10"/>
        <v>85</v>
      </c>
      <c r="L24" s="39">
        <f t="shared" si="15"/>
        <v>0</v>
      </c>
      <c r="M24" s="149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44491</v>
      </c>
      <c r="B25" s="41">
        <v>85</v>
      </c>
      <c r="C25" s="39">
        <f t="shared" si="3"/>
        <v>5</v>
      </c>
      <c r="D25" s="41">
        <v>85</v>
      </c>
      <c r="E25" s="39">
        <f t="shared" si="4"/>
        <v>3</v>
      </c>
      <c r="F25" s="41">
        <v>85</v>
      </c>
      <c r="G25" s="39">
        <f t="shared" si="5"/>
        <v>2</v>
      </c>
      <c r="H25" s="41">
        <v>85</v>
      </c>
      <c r="I25" s="39">
        <f t="shared" si="8"/>
        <v>5</v>
      </c>
      <c r="J25" s="39">
        <f t="shared" si="9"/>
        <v>340</v>
      </c>
      <c r="K25" s="39">
        <f t="shared" si="10"/>
        <v>85</v>
      </c>
      <c r="L25" s="39">
        <f t="shared" si="15"/>
        <v>3.75</v>
      </c>
      <c r="M25" s="149">
        <f t="shared" si="14"/>
        <v>24196</v>
      </c>
      <c r="N25" s="39">
        <f t="shared" si="12"/>
        <v>907.35</v>
      </c>
      <c r="O25" s="39">
        <f t="shared" si="13"/>
        <v>479.98815000000002</v>
      </c>
      <c r="P25" s="42">
        <f t="shared" si="7"/>
        <v>4783.0819147499997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44492</v>
      </c>
      <c r="B26" s="41">
        <v>80</v>
      </c>
      <c r="C26" s="39">
        <f t="shared" si="3"/>
        <v>4</v>
      </c>
      <c r="D26" s="41">
        <v>82</v>
      </c>
      <c r="E26" s="39">
        <f t="shared" si="4"/>
        <v>2</v>
      </c>
      <c r="F26" s="41">
        <v>83</v>
      </c>
      <c r="G26" s="39">
        <f t="shared" si="5"/>
        <v>3</v>
      </c>
      <c r="H26" s="41">
        <v>80</v>
      </c>
      <c r="I26" s="39">
        <f t="shared" si="8"/>
        <v>5</v>
      </c>
      <c r="J26" s="39">
        <f t="shared" si="9"/>
        <v>325</v>
      </c>
      <c r="K26" s="39">
        <f t="shared" si="10"/>
        <v>81.25</v>
      </c>
      <c r="L26" s="39">
        <f t="shared" si="15"/>
        <v>3.5</v>
      </c>
      <c r="M26" s="149">
        <f t="shared" si="14"/>
        <v>24196</v>
      </c>
      <c r="N26" s="39">
        <f t="shared" si="12"/>
        <v>846.86</v>
      </c>
      <c r="O26" s="39">
        <f t="shared" si="13"/>
        <v>447.98894000000001</v>
      </c>
      <c r="P26" s="42">
        <f t="shared" si="7"/>
        <v>4464.2097870999996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44493</v>
      </c>
      <c r="B27" s="41">
        <v>76</v>
      </c>
      <c r="C27" s="39">
        <f t="shared" si="3"/>
        <v>4</v>
      </c>
      <c r="D27" s="41">
        <v>80</v>
      </c>
      <c r="E27" s="39">
        <f t="shared" si="4"/>
        <v>2</v>
      </c>
      <c r="F27" s="41">
        <v>80</v>
      </c>
      <c r="G27" s="39">
        <f t="shared" si="5"/>
        <v>3</v>
      </c>
      <c r="H27" s="41">
        <v>75</v>
      </c>
      <c r="I27" s="39">
        <f t="shared" si="8"/>
        <v>5</v>
      </c>
      <c r="J27" s="39">
        <f t="shared" si="9"/>
        <v>311</v>
      </c>
      <c r="K27" s="39">
        <f t="shared" si="10"/>
        <v>77.75</v>
      </c>
      <c r="L27" s="39">
        <f t="shared" si="15"/>
        <v>3.5</v>
      </c>
      <c r="M27" s="149">
        <f t="shared" si="14"/>
        <v>24196</v>
      </c>
      <c r="N27" s="39">
        <f t="shared" si="12"/>
        <v>846.86</v>
      </c>
      <c r="O27" s="39">
        <f t="shared" si="13"/>
        <v>447.98894000000001</v>
      </c>
      <c r="P27" s="42">
        <f t="shared" si="7"/>
        <v>4464.2097870999996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44494</v>
      </c>
      <c r="B28" s="41">
        <v>72</v>
      </c>
      <c r="C28" s="39">
        <f t="shared" si="3"/>
        <v>2</v>
      </c>
      <c r="D28" s="41">
        <v>78</v>
      </c>
      <c r="E28" s="39">
        <f t="shared" si="4"/>
        <v>7</v>
      </c>
      <c r="F28" s="41">
        <v>77</v>
      </c>
      <c r="G28" s="39">
        <f t="shared" si="5"/>
        <v>5</v>
      </c>
      <c r="H28" s="41">
        <v>70</v>
      </c>
      <c r="I28" s="39">
        <f>IF(AC28&gt;0,((H28-AA28)+(AB28-H29)),IF(H29=0, ,(H28-H29)))</f>
        <v>0</v>
      </c>
      <c r="J28" s="39">
        <f t="shared" si="9"/>
        <v>297</v>
      </c>
      <c r="K28" s="39">
        <f t="shared" si="10"/>
        <v>74.25</v>
      </c>
      <c r="L28" s="39">
        <f t="shared" si="15"/>
        <v>3.5</v>
      </c>
      <c r="M28" s="149">
        <f t="shared" si="14"/>
        <v>24196</v>
      </c>
      <c r="N28" s="39">
        <f t="shared" si="12"/>
        <v>846.86</v>
      </c>
      <c r="O28" s="39">
        <f t="shared" si="13"/>
        <v>447.98894000000001</v>
      </c>
      <c r="P28" s="42">
        <f t="shared" si="7"/>
        <v>4464.2097870999996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44495</v>
      </c>
      <c r="B29" s="41">
        <v>70</v>
      </c>
      <c r="C29" s="39">
        <f t="shared" si="3"/>
        <v>2</v>
      </c>
      <c r="D29" s="41">
        <v>71</v>
      </c>
      <c r="E29" s="39">
        <f t="shared" si="4"/>
        <v>1</v>
      </c>
      <c r="F29" s="41">
        <v>72</v>
      </c>
      <c r="G29" s="39">
        <f t="shared" si="5"/>
        <v>1</v>
      </c>
      <c r="H29" s="41">
        <v>70</v>
      </c>
      <c r="I29" s="39">
        <f t="shared" si="8"/>
        <v>0</v>
      </c>
      <c r="J29" s="39">
        <f t="shared" si="9"/>
        <v>283</v>
      </c>
      <c r="K29" s="39">
        <f t="shared" si="10"/>
        <v>70.75</v>
      </c>
      <c r="L29" s="39">
        <f t="shared" si="15"/>
        <v>1</v>
      </c>
      <c r="M29" s="149">
        <f t="shared" si="14"/>
        <v>24196</v>
      </c>
      <c r="N29" s="39">
        <f t="shared" si="12"/>
        <v>241.96</v>
      </c>
      <c r="O29" s="39">
        <f t="shared" si="13"/>
        <v>127.99684000000001</v>
      </c>
      <c r="P29" s="42">
        <f t="shared" si="7"/>
        <v>1275.4885106000002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44496</v>
      </c>
      <c r="B30" s="41">
        <v>68</v>
      </c>
      <c r="C30" s="39">
        <f t="shared" si="3"/>
        <v>3</v>
      </c>
      <c r="D30" s="41">
        <v>70</v>
      </c>
      <c r="E30" s="39">
        <f t="shared" si="4"/>
        <v>3</v>
      </c>
      <c r="F30" s="41">
        <v>71</v>
      </c>
      <c r="G30" s="39">
        <f t="shared" si="5"/>
        <v>4</v>
      </c>
      <c r="H30" s="41">
        <v>70</v>
      </c>
      <c r="I30" s="39">
        <f t="shared" si="8"/>
        <v>4</v>
      </c>
      <c r="J30" s="39">
        <f t="shared" si="9"/>
        <v>279</v>
      </c>
      <c r="K30" s="39">
        <f t="shared" si="10"/>
        <v>69.75</v>
      </c>
      <c r="L30" s="39">
        <f t="shared" si="15"/>
        <v>3.5</v>
      </c>
      <c r="M30" s="149">
        <f t="shared" si="14"/>
        <v>24196</v>
      </c>
      <c r="N30" s="39">
        <f t="shared" si="12"/>
        <v>846.86</v>
      </c>
      <c r="O30" s="39">
        <f t="shared" si="13"/>
        <v>447.98894000000001</v>
      </c>
      <c r="P30" s="42">
        <f t="shared" si="7"/>
        <v>4464.2097870999996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44497</v>
      </c>
      <c r="B31" s="41">
        <v>65</v>
      </c>
      <c r="C31" s="39">
        <f t="shared" si="3"/>
        <v>2</v>
      </c>
      <c r="D31" s="41">
        <v>67</v>
      </c>
      <c r="E31" s="39">
        <f t="shared" si="4"/>
        <v>2</v>
      </c>
      <c r="F31" s="41">
        <v>67</v>
      </c>
      <c r="G31" s="39">
        <f t="shared" si="5"/>
        <v>3</v>
      </c>
      <c r="H31" s="41">
        <v>66</v>
      </c>
      <c r="I31" s="39">
        <f t="shared" si="8"/>
        <v>1</v>
      </c>
      <c r="J31" s="39">
        <f t="shared" si="9"/>
        <v>265</v>
      </c>
      <c r="K31" s="39">
        <f t="shared" si="10"/>
        <v>66.25</v>
      </c>
      <c r="L31" s="39">
        <f t="shared" si="15"/>
        <v>2</v>
      </c>
      <c r="M31" s="149">
        <f t="shared" si="14"/>
        <v>24196</v>
      </c>
      <c r="N31" s="39">
        <f t="shared" si="12"/>
        <v>483.92</v>
      </c>
      <c r="O31" s="39">
        <f t="shared" si="13"/>
        <v>255.99368000000001</v>
      </c>
      <c r="P31" s="42">
        <f t="shared" si="7"/>
        <v>2550.9770212000003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44498</v>
      </c>
      <c r="B32" s="41">
        <v>63</v>
      </c>
      <c r="C32" s="39">
        <f t="shared" si="3"/>
        <v>3</v>
      </c>
      <c r="D32" s="41">
        <v>65</v>
      </c>
      <c r="E32" s="39">
        <f t="shared" si="4"/>
        <v>3</v>
      </c>
      <c r="F32" s="41">
        <v>64</v>
      </c>
      <c r="G32" s="39">
        <f t="shared" si="5"/>
        <v>3</v>
      </c>
      <c r="H32" s="41">
        <v>65</v>
      </c>
      <c r="I32" s="39">
        <f t="shared" si="8"/>
        <v>3</v>
      </c>
      <c r="J32" s="39">
        <f t="shared" si="9"/>
        <v>257</v>
      </c>
      <c r="K32" s="39">
        <f t="shared" si="10"/>
        <v>64.25</v>
      </c>
      <c r="L32" s="39">
        <f t="shared" si="15"/>
        <v>3</v>
      </c>
      <c r="M32" s="149">
        <f t="shared" si="14"/>
        <v>24196</v>
      </c>
      <c r="N32" s="39">
        <f t="shared" si="12"/>
        <v>725.88</v>
      </c>
      <c r="O32" s="149">
        <f t="shared" si="13"/>
        <v>383.99052</v>
      </c>
      <c r="P32" s="42">
        <f t="shared" si="7"/>
        <v>3826.4655318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44499</v>
      </c>
      <c r="B33" s="41">
        <v>60</v>
      </c>
      <c r="C33" s="39">
        <f t="shared" si="3"/>
        <v>5</v>
      </c>
      <c r="D33" s="41">
        <v>62</v>
      </c>
      <c r="E33" s="39">
        <f t="shared" si="4"/>
        <v>6</v>
      </c>
      <c r="F33" s="41">
        <v>61</v>
      </c>
      <c r="G33" s="39">
        <f t="shared" si="5"/>
        <v>4</v>
      </c>
      <c r="H33" s="41">
        <v>62</v>
      </c>
      <c r="I33" s="39">
        <f t="shared" si="8"/>
        <v>4</v>
      </c>
      <c r="J33" s="39">
        <f t="shared" si="9"/>
        <v>245</v>
      </c>
      <c r="K33" s="39">
        <f t="shared" si="10"/>
        <v>61.25</v>
      </c>
      <c r="L33" s="39">
        <f t="shared" si="15"/>
        <v>4.75</v>
      </c>
      <c r="M33" s="149">
        <f t="shared" si="14"/>
        <v>24196</v>
      </c>
      <c r="N33" s="39">
        <f t="shared" si="12"/>
        <v>1149.31</v>
      </c>
      <c r="O33" s="39">
        <f t="shared" si="13"/>
        <v>607.98499000000004</v>
      </c>
      <c r="P33" s="42">
        <f t="shared" si="7"/>
        <v>6058.5704253500007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44500</v>
      </c>
      <c r="B34" s="41">
        <v>55</v>
      </c>
      <c r="C34" s="39">
        <f t="shared" si="3"/>
        <v>3</v>
      </c>
      <c r="D34" s="41">
        <v>56</v>
      </c>
      <c r="E34" s="39">
        <f t="shared" si="4"/>
        <v>3</v>
      </c>
      <c r="F34" s="41">
        <v>57</v>
      </c>
      <c r="G34" s="39">
        <f t="shared" si="5"/>
        <v>2</v>
      </c>
      <c r="H34" s="41">
        <v>58</v>
      </c>
      <c r="I34" s="39">
        <f t="shared" si="8"/>
        <v>3</v>
      </c>
      <c r="J34" s="39">
        <f>B34+D34+F34+H34</f>
        <v>226</v>
      </c>
      <c r="K34" s="39">
        <f>J34/4</f>
        <v>56.5</v>
      </c>
      <c r="L34" s="39">
        <f>IF(AC34&gt;0,((K34-AD34)+(AE34-K35)),IF(K35=0, ,(K34-K35)))</f>
        <v>2.75</v>
      </c>
      <c r="M34" s="149">
        <f t="shared" si="14"/>
        <v>24196</v>
      </c>
      <c r="N34" s="39">
        <f>L34*M34/100</f>
        <v>665.39</v>
      </c>
      <c r="O34" s="39">
        <f>N34*0.529</f>
        <v>351.99131</v>
      </c>
      <c r="P34" s="42">
        <f t="shared" si="7"/>
        <v>3507.59340415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44501</v>
      </c>
      <c r="B35" s="41">
        <v>52</v>
      </c>
      <c r="C35" s="39">
        <f t="shared" si="3"/>
        <v>0</v>
      </c>
      <c r="D35" s="41">
        <v>53</v>
      </c>
      <c r="E35" s="39">
        <f t="shared" si="4"/>
        <v>0</v>
      </c>
      <c r="F35" s="41">
        <v>55</v>
      </c>
      <c r="G35" s="39">
        <f t="shared" si="5"/>
        <v>0</v>
      </c>
      <c r="H35" s="41">
        <v>55</v>
      </c>
      <c r="I35" s="39">
        <f t="shared" si="8"/>
        <v>0</v>
      </c>
      <c r="J35" s="39">
        <f>B35+D35+F35+H35</f>
        <v>215</v>
      </c>
      <c r="K35" s="39">
        <f>J35/4</f>
        <v>53.75</v>
      </c>
      <c r="L35" s="39">
        <f t="shared" si="15"/>
        <v>0</v>
      </c>
      <c r="M35" s="149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49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49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49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49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49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49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49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21102.59</v>
      </c>
      <c r="O43" s="39">
        <f>N43*0.529</f>
        <v>11163.270110000001</v>
      </c>
      <c r="P43" s="42">
        <f>O43*9.965</f>
        <v>111241.98664615001</v>
      </c>
      <c r="Q43" s="284">
        <f>SUM(Q4:Q42)</f>
        <v>5462</v>
      </c>
      <c r="R43" s="285"/>
      <c r="S43" s="286"/>
      <c r="T43" s="287">
        <f>SUM(T4:T42)</f>
        <v>5436</v>
      </c>
      <c r="U43" s="285"/>
      <c r="V43" s="286"/>
      <c r="W43" s="287">
        <f>SUM(W4:W42)</f>
        <v>5252</v>
      </c>
      <c r="X43" s="285"/>
      <c r="Y43" s="286"/>
      <c r="Z43" s="287">
        <f>SUM(Z4:Z42)</f>
        <v>5174</v>
      </c>
      <c r="AA43" s="285"/>
      <c r="AB43" s="286"/>
      <c r="AC43" s="39">
        <f t="shared" si="17"/>
        <v>21324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21324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21324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21102.59</v>
      </c>
      <c r="L47" s="46">
        <f>O43</f>
        <v>11163.270110000001</v>
      </c>
      <c r="M47" s="46">
        <f>P43</f>
        <v>111241.98664615001</v>
      </c>
    </row>
    <row r="48" spans="1:31" ht="54.75" customHeight="1" thickBot="1">
      <c r="H48" s="280" t="s">
        <v>86</v>
      </c>
      <c r="I48" s="281"/>
      <c r="J48" s="282"/>
      <c r="K48" s="43">
        <f>AC44</f>
        <v>21324</v>
      </c>
      <c r="L48" s="44" t="s">
        <v>87</v>
      </c>
      <c r="M48" s="44" t="e">
        <f>L48*9.965</f>
        <v>#VALUE!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88</v>
      </c>
      <c r="D1" s="357"/>
      <c r="E1" s="357"/>
      <c r="F1" s="357"/>
      <c r="G1" s="357"/>
      <c r="H1" s="362" t="s">
        <v>89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90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91</v>
      </c>
      <c r="B7" s="374"/>
      <c r="C7" s="375" t="s">
        <v>92</v>
      </c>
      <c r="D7" s="376"/>
      <c r="E7" s="61" t="s">
        <v>93</v>
      </c>
      <c r="F7" s="61" t="s">
        <v>94</v>
      </c>
      <c r="G7" s="61" t="s">
        <v>95</v>
      </c>
      <c r="H7" s="61" t="s">
        <v>96</v>
      </c>
      <c r="I7" s="377" t="s">
        <v>97</v>
      </c>
      <c r="J7" s="378"/>
    </row>
    <row r="8" spans="1:10">
      <c r="A8" s="345">
        <v>95670781</v>
      </c>
      <c r="B8" s="345"/>
      <c r="C8" s="349">
        <v>44467</v>
      </c>
      <c r="D8" s="350"/>
      <c r="E8" s="113">
        <v>44497</v>
      </c>
      <c r="F8" s="163" t="s">
        <v>98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99</v>
      </c>
      <c r="B11" s="329"/>
      <c r="C11" s="353" t="s">
        <v>100</v>
      </c>
      <c r="D11" s="354"/>
      <c r="E11" s="329" t="s">
        <v>101</v>
      </c>
      <c r="F11" s="329"/>
      <c r="G11" s="353" t="s">
        <v>102</v>
      </c>
      <c r="H11" s="354"/>
      <c r="I11" s="355" t="s">
        <v>103</v>
      </c>
      <c r="J11" s="355"/>
    </row>
    <row r="12" spans="1:10">
      <c r="A12" s="345" t="s">
        <v>104</v>
      </c>
      <c r="B12" s="345"/>
      <c r="C12" s="345">
        <v>3750</v>
      </c>
      <c r="D12" s="345"/>
      <c r="E12" s="345">
        <v>1000</v>
      </c>
      <c r="F12" s="345"/>
      <c r="G12" s="346">
        <v>971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105</v>
      </c>
      <c r="B16" s="329"/>
      <c r="C16" s="63" t="s">
        <v>106</v>
      </c>
      <c r="D16" s="64" t="s">
        <v>107</v>
      </c>
      <c r="E16" s="64" t="s">
        <v>48</v>
      </c>
      <c r="F16" s="64" t="s">
        <v>108</v>
      </c>
      <c r="G16" s="342" t="s">
        <v>109</v>
      </c>
      <c r="H16" s="342"/>
      <c r="I16" s="343" t="s">
        <v>110</v>
      </c>
      <c r="J16" s="344"/>
    </row>
    <row r="17" spans="1:10">
      <c r="A17" s="334" t="s">
        <v>111</v>
      </c>
      <c r="B17" s="335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36"/>
      <c r="H17" s="337"/>
      <c r="I17" s="336">
        <f>+E17</f>
        <v>223158</v>
      </c>
      <c r="J17" s="337"/>
    </row>
    <row r="18" spans="1:10">
      <c r="A18" s="334" t="s">
        <v>112</v>
      </c>
      <c r="B18" s="335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36"/>
      <c r="H18" s="337"/>
      <c r="I18" s="336">
        <f>+E18</f>
        <v>125172</v>
      </c>
      <c r="J18" s="337"/>
    </row>
    <row r="19" spans="1:10">
      <c r="A19" s="334" t="s">
        <v>113</v>
      </c>
      <c r="B19" s="335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36"/>
      <c r="H19" s="337"/>
      <c r="I19" s="336">
        <f>+E19</f>
        <v>95869</v>
      </c>
      <c r="J19" s="337"/>
    </row>
    <row r="20" spans="1:10" ht="15">
      <c r="A20" s="338" t="s">
        <v>114</v>
      </c>
      <c r="B20" s="339"/>
      <c r="C20" s="68"/>
      <c r="D20" s="69"/>
      <c r="E20" s="68">
        <f>SUM(E17:E19)</f>
        <v>444199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115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116</v>
      </c>
      <c r="B23" s="324"/>
      <c r="C23" s="325"/>
      <c r="D23" s="329" t="s">
        <v>117</v>
      </c>
      <c r="E23" s="329" t="s">
        <v>118</v>
      </c>
      <c r="F23" s="331" t="s">
        <v>119</v>
      </c>
      <c r="G23" s="333" t="s">
        <v>120</v>
      </c>
      <c r="H23" s="333"/>
      <c r="I23" s="317" t="s">
        <v>121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122</v>
      </c>
      <c r="H24" s="71" t="s">
        <v>123</v>
      </c>
      <c r="I24" s="317"/>
      <c r="J24" s="317"/>
    </row>
    <row r="25" spans="1:10" ht="15">
      <c r="A25" s="318" t="s">
        <v>124</v>
      </c>
      <c r="B25" s="319"/>
      <c r="C25" s="320"/>
      <c r="D25" s="67">
        <f>+E17</f>
        <v>223158</v>
      </c>
      <c r="E25" s="72">
        <v>0.95140000000000002</v>
      </c>
      <c r="F25" s="73">
        <f>PRODUCT(D25*E25)</f>
        <v>212312.52120000002</v>
      </c>
      <c r="G25" s="151">
        <v>14</v>
      </c>
      <c r="H25" s="65">
        <f>PRODUCT(0.14,F25)</f>
        <v>29723.752968000004</v>
      </c>
      <c r="I25" s="302">
        <f>SUM(H25,F25)</f>
        <v>242036.27416800003</v>
      </c>
      <c r="J25" s="303"/>
    </row>
    <row r="26" spans="1:10" ht="15">
      <c r="A26" s="299" t="s">
        <v>125</v>
      </c>
      <c r="B26" s="300"/>
      <c r="C26" s="301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02">
        <f t="shared" ref="I26:I31" si="0">SUM(H26,F26)</f>
        <v>99673.211880000017</v>
      </c>
      <c r="J26" s="303"/>
    </row>
    <row r="27" spans="1:10" ht="15">
      <c r="A27" s="299" t="s">
        <v>126</v>
      </c>
      <c r="B27" s="300"/>
      <c r="C27" s="301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02">
        <f>SUM(H27,F27)</f>
        <v>145400.29406399999</v>
      </c>
      <c r="J27" s="303"/>
    </row>
    <row r="28" spans="1:10" ht="15">
      <c r="A28" s="299" t="s">
        <v>127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128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129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130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131</v>
      </c>
      <c r="B32" s="308"/>
      <c r="C32" s="308"/>
      <c r="D32" s="308"/>
      <c r="E32" s="308"/>
      <c r="F32" s="84">
        <f>SUM(F25:F31)</f>
        <v>473503.95079999999</v>
      </c>
      <c r="G32" s="85"/>
      <c r="H32" s="86"/>
      <c r="I32" s="311">
        <f>SUM(I25:J31)</f>
        <v>539740.523912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8" sqref="C8:D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132</v>
      </c>
      <c r="D1" s="357"/>
      <c r="E1" s="357"/>
      <c r="F1" s="357"/>
      <c r="G1" s="357"/>
      <c r="H1" s="362" t="s">
        <v>89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90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91</v>
      </c>
      <c r="B7" s="374"/>
      <c r="C7" s="375" t="s">
        <v>92</v>
      </c>
      <c r="D7" s="376"/>
      <c r="E7" s="61" t="s">
        <v>93</v>
      </c>
      <c r="F7" s="61" t="s">
        <v>94</v>
      </c>
      <c r="G7" s="61" t="s">
        <v>95</v>
      </c>
      <c r="H7" s="61" t="s">
        <v>96</v>
      </c>
      <c r="I7" s="377" t="s">
        <v>97</v>
      </c>
      <c r="J7" s="378"/>
    </row>
    <row r="8" spans="1:10">
      <c r="A8" s="345">
        <v>95670781</v>
      </c>
      <c r="B8" s="345"/>
      <c r="C8" s="349">
        <v>44296</v>
      </c>
      <c r="D8" s="350"/>
      <c r="E8" s="113">
        <v>44326</v>
      </c>
      <c r="F8" s="163" t="s">
        <v>133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99</v>
      </c>
      <c r="B11" s="329"/>
      <c r="C11" s="353" t="s">
        <v>100</v>
      </c>
      <c r="D11" s="354"/>
      <c r="E11" s="329" t="s">
        <v>101</v>
      </c>
      <c r="F11" s="329"/>
      <c r="G11" s="353" t="s">
        <v>102</v>
      </c>
      <c r="H11" s="354"/>
      <c r="I11" s="355" t="s">
        <v>103</v>
      </c>
      <c r="J11" s="355"/>
    </row>
    <row r="12" spans="1:10">
      <c r="A12" s="345" t="s">
        <v>104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105</v>
      </c>
      <c r="B16" s="329"/>
      <c r="C16" s="63" t="s">
        <v>106</v>
      </c>
      <c r="D16" s="64" t="s">
        <v>107</v>
      </c>
      <c r="E16" s="64" t="s">
        <v>48</v>
      </c>
      <c r="F16" s="64" t="s">
        <v>108</v>
      </c>
      <c r="G16" s="342" t="s">
        <v>109</v>
      </c>
      <c r="H16" s="342"/>
      <c r="I16" s="343" t="s">
        <v>110</v>
      </c>
      <c r="J16" s="344"/>
    </row>
    <row r="17" spans="1:10">
      <c r="A17" s="334" t="s">
        <v>111</v>
      </c>
      <c r="B17" s="335"/>
      <c r="C17" s="66">
        <v>18841930</v>
      </c>
      <c r="D17" s="66">
        <v>18834226</v>
      </c>
      <c r="E17" s="67">
        <f>MIN(C17-D17)</f>
        <v>7704</v>
      </c>
      <c r="F17" s="67">
        <f>+E17</f>
        <v>7704</v>
      </c>
      <c r="G17" s="336"/>
      <c r="H17" s="337"/>
      <c r="I17" s="336">
        <f>+E17</f>
        <v>7704</v>
      </c>
      <c r="J17" s="337"/>
    </row>
    <row r="18" spans="1:10">
      <c r="A18" s="334" t="s">
        <v>112</v>
      </c>
      <c r="B18" s="335"/>
      <c r="C18" s="66">
        <v>11057525</v>
      </c>
      <c r="D18" s="66">
        <v>11053381</v>
      </c>
      <c r="E18" s="67">
        <f>MIN(C18-D18)</f>
        <v>4144</v>
      </c>
      <c r="F18" s="67">
        <f>+E18</f>
        <v>4144</v>
      </c>
      <c r="G18" s="336"/>
      <c r="H18" s="337"/>
      <c r="I18" s="336">
        <f>+E18</f>
        <v>4144</v>
      </c>
      <c r="J18" s="337"/>
    </row>
    <row r="19" spans="1:10">
      <c r="A19" s="334" t="s">
        <v>113</v>
      </c>
      <c r="B19" s="335"/>
      <c r="C19" s="66">
        <v>8266700</v>
      </c>
      <c r="D19" s="66">
        <v>8263360</v>
      </c>
      <c r="E19" s="67">
        <f>AVERAGE(C19-D19)</f>
        <v>3340</v>
      </c>
      <c r="F19" s="67">
        <f>+E19</f>
        <v>3340</v>
      </c>
      <c r="G19" s="336"/>
      <c r="H19" s="337"/>
      <c r="I19" s="336">
        <f>+E19</f>
        <v>3340</v>
      </c>
      <c r="J19" s="337"/>
    </row>
    <row r="20" spans="1:10" ht="15">
      <c r="A20" s="338" t="s">
        <v>114</v>
      </c>
      <c r="B20" s="339"/>
      <c r="C20" s="68"/>
      <c r="D20" s="69"/>
      <c r="E20" s="68">
        <f>SUM(E17:E19)</f>
        <v>15188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115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116</v>
      </c>
      <c r="B23" s="324"/>
      <c r="C23" s="325"/>
      <c r="D23" s="329" t="s">
        <v>117</v>
      </c>
      <c r="E23" s="329" t="s">
        <v>118</v>
      </c>
      <c r="F23" s="331" t="s">
        <v>119</v>
      </c>
      <c r="G23" s="333" t="s">
        <v>120</v>
      </c>
      <c r="H23" s="333"/>
      <c r="I23" s="317" t="s">
        <v>121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122</v>
      </c>
      <c r="H24" s="71" t="s">
        <v>123</v>
      </c>
      <c r="I24" s="317"/>
      <c r="J24" s="317"/>
    </row>
    <row r="25" spans="1:10" ht="15">
      <c r="A25" s="318" t="s">
        <v>124</v>
      </c>
      <c r="B25" s="319"/>
      <c r="C25" s="320"/>
      <c r="D25" s="67">
        <f>+E17</f>
        <v>7704</v>
      </c>
      <c r="E25" s="72">
        <v>0.95140000000000002</v>
      </c>
      <c r="F25" s="73">
        <f>PRODUCT(D25*E25)</f>
        <v>7329.5856000000003</v>
      </c>
      <c r="G25" s="151">
        <v>14</v>
      </c>
      <c r="H25" s="65">
        <f>PRODUCT(0.14,F25)</f>
        <v>1026.1419840000001</v>
      </c>
      <c r="I25" s="302">
        <f>SUM(H25,F25)</f>
        <v>8355.7275840000002</v>
      </c>
      <c r="J25" s="303"/>
    </row>
    <row r="26" spans="1:10" ht="15">
      <c r="A26" s="299" t="s">
        <v>125</v>
      </c>
      <c r="B26" s="300"/>
      <c r="C26" s="301"/>
      <c r="D26" s="67">
        <f>+E18</f>
        <v>4144</v>
      </c>
      <c r="E26" s="74">
        <v>0.69850000000000001</v>
      </c>
      <c r="F26" s="73">
        <f>PRODUCT(D26*E26)</f>
        <v>2894.5839999999998</v>
      </c>
      <c r="G26">
        <v>14</v>
      </c>
      <c r="H26" s="67">
        <f>PRODUCT(0.14,F26)</f>
        <v>405.24176</v>
      </c>
      <c r="I26" s="302">
        <f t="shared" ref="I26:I31" si="0">SUM(H26,F26)</f>
        <v>3299.8257599999997</v>
      </c>
      <c r="J26" s="303"/>
    </row>
    <row r="27" spans="1:10" ht="15">
      <c r="A27" s="299" t="s">
        <v>126</v>
      </c>
      <c r="B27" s="300"/>
      <c r="C27" s="301"/>
      <c r="D27" s="67">
        <f>+E19</f>
        <v>3340</v>
      </c>
      <c r="E27" s="74">
        <v>1.3304</v>
      </c>
      <c r="F27" s="73">
        <f>PRODUCT(D27*E27)</f>
        <v>4443.5360000000001</v>
      </c>
      <c r="G27">
        <v>14</v>
      </c>
      <c r="H27" s="67">
        <f>PRODUCT(0.14,F27)</f>
        <v>622.09504000000004</v>
      </c>
      <c r="I27" s="302">
        <f>SUM(H27,F27)</f>
        <v>5065.6310400000002</v>
      </c>
      <c r="J27" s="303"/>
    </row>
    <row r="28" spans="1:10" ht="15">
      <c r="A28" s="299" t="s">
        <v>127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128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129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130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131</v>
      </c>
      <c r="B32" s="308"/>
      <c r="C32" s="308"/>
      <c r="D32" s="308"/>
      <c r="E32" s="308"/>
      <c r="F32" s="84">
        <f>SUM(F25:F31)</f>
        <v>60882.375599999999</v>
      </c>
      <c r="G32" s="85"/>
      <c r="H32" s="86"/>
      <c r="I32" s="311">
        <f>SUM(I25:J31)</f>
        <v>69351.928184000004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134</v>
      </c>
      <c r="C1" s="357"/>
      <c r="D1" s="357"/>
      <c r="E1" s="357"/>
      <c r="F1" s="402" t="s">
        <v>89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90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91</v>
      </c>
      <c r="B7" s="92" t="s">
        <v>135</v>
      </c>
      <c r="C7" s="92" t="s">
        <v>136</v>
      </c>
      <c r="D7" s="94" t="s">
        <v>92</v>
      </c>
      <c r="E7" s="92" t="s">
        <v>137</v>
      </c>
      <c r="F7" s="94" t="s">
        <v>93</v>
      </c>
      <c r="G7" s="94" t="s">
        <v>138</v>
      </c>
      <c r="H7" s="93" t="s">
        <v>94</v>
      </c>
    </row>
    <row r="8" spans="1:8" ht="15">
      <c r="A8" s="165"/>
      <c r="B8" s="95" t="s">
        <v>139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117</v>
      </c>
      <c r="C10" s="412"/>
      <c r="D10" s="413" t="s">
        <v>140</v>
      </c>
      <c r="E10" s="413"/>
      <c r="F10" s="411" t="s">
        <v>141</v>
      </c>
      <c r="G10" s="414"/>
      <c r="H10" s="412"/>
    </row>
    <row r="11" spans="1:8" ht="15">
      <c r="A11" s="102" t="s">
        <v>142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143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144</v>
      </c>
      <c r="B13" s="394">
        <f>G8</f>
        <v>3330.5</v>
      </c>
      <c r="C13" s="394"/>
      <c r="D13" s="394">
        <v>8.7899999999999991</v>
      </c>
      <c r="E13" s="394"/>
      <c r="F13" s="398">
        <f>PRODUCT(D13,B13)</f>
        <v>29275.094999999998</v>
      </c>
      <c r="G13" s="398"/>
      <c r="H13" s="398"/>
    </row>
    <row r="14" spans="1:8" ht="45" customHeight="1">
      <c r="A14" s="395" t="s">
        <v>145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146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147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148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149</v>
      </c>
      <c r="B19" s="394">
        <f>G8</f>
        <v>3330.5</v>
      </c>
      <c r="C19" s="394"/>
      <c r="D19" s="394">
        <v>2.61</v>
      </c>
      <c r="E19" s="394"/>
      <c r="F19" s="394">
        <f>PRODUCT(D19,B19)</f>
        <v>8692.6049999999996</v>
      </c>
      <c r="G19" s="394"/>
      <c r="H19" s="394"/>
    </row>
    <row r="20" spans="1:8" ht="18.75">
      <c r="A20" s="390" t="s">
        <v>150</v>
      </c>
      <c r="B20" s="391"/>
      <c r="C20" s="391"/>
      <c r="D20" s="391"/>
      <c r="E20" s="392"/>
      <c r="F20" s="393">
        <f>SUM(F11+F13+F16+F17+F18+F19)</f>
        <v>37990.699999999997</v>
      </c>
      <c r="G20" s="393"/>
      <c r="H20" s="393"/>
    </row>
    <row r="21" spans="1:8" ht="15">
      <c r="A21" s="379" t="s">
        <v>151</v>
      </c>
      <c r="B21" s="380"/>
      <c r="C21" s="380"/>
      <c r="D21" s="380"/>
      <c r="E21" s="381"/>
      <c r="F21" s="394">
        <f>PRODUCT(F20,0.07)</f>
        <v>2659.3490000000002</v>
      </c>
      <c r="G21" s="394"/>
      <c r="H21" s="394"/>
    </row>
    <row r="22" spans="1:8" ht="15">
      <c r="A22" s="432" t="s">
        <v>152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153</v>
      </c>
      <c r="B23" s="380"/>
      <c r="C23" s="380"/>
      <c r="D23" s="380"/>
      <c r="E23" s="381"/>
      <c r="F23" s="382">
        <f>SUM(F21:H22)</f>
        <v>2867.6090000000004</v>
      </c>
      <c r="G23" s="382"/>
      <c r="H23" s="382"/>
    </row>
    <row r="24" spans="1:8">
      <c r="A24" s="383" t="s">
        <v>154</v>
      </c>
      <c r="B24" s="384"/>
      <c r="C24" s="384"/>
      <c r="D24" s="384"/>
      <c r="E24" s="385"/>
      <c r="F24" s="389">
        <f>SUM(F20,F23)</f>
        <v>40858.308999999994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134</v>
      </c>
      <c r="C1" s="357"/>
      <c r="D1" s="357"/>
      <c r="E1" s="357"/>
      <c r="F1" s="402" t="s">
        <v>89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90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91</v>
      </c>
      <c r="B7" s="92" t="s">
        <v>135</v>
      </c>
      <c r="C7" s="92" t="s">
        <v>136</v>
      </c>
      <c r="D7" s="94" t="s">
        <v>92</v>
      </c>
      <c r="E7" s="92" t="s">
        <v>137</v>
      </c>
      <c r="F7" s="94" t="s">
        <v>93</v>
      </c>
      <c r="G7" s="94" t="s">
        <v>138</v>
      </c>
      <c r="H7" s="93" t="s">
        <v>94</v>
      </c>
    </row>
    <row r="8" spans="1:8" ht="15">
      <c r="A8" s="165"/>
      <c r="B8" s="95" t="s">
        <v>139</v>
      </c>
      <c r="C8" s="96">
        <v>124631.2</v>
      </c>
      <c r="D8" s="97">
        <v>44473</v>
      </c>
      <c r="E8" s="96">
        <v>124728.7</v>
      </c>
      <c r="F8" s="97">
        <v>44474</v>
      </c>
      <c r="G8" s="98">
        <f>E8-C8</f>
        <v>97.5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117</v>
      </c>
      <c r="C10" s="412"/>
      <c r="D10" s="413" t="s">
        <v>140</v>
      </c>
      <c r="E10" s="413"/>
      <c r="F10" s="411" t="s">
        <v>141</v>
      </c>
      <c r="G10" s="414"/>
      <c r="H10" s="412"/>
    </row>
    <row r="11" spans="1:8" ht="15">
      <c r="A11" s="102" t="s">
        <v>142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143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144</v>
      </c>
      <c r="B13" s="394">
        <f>G8</f>
        <v>97.5</v>
      </c>
      <c r="C13" s="394"/>
      <c r="D13" s="394">
        <v>8.5</v>
      </c>
      <c r="E13" s="394"/>
      <c r="F13" s="398">
        <f>PRODUCT(D13,B13)</f>
        <v>828.75</v>
      </c>
      <c r="G13" s="398"/>
      <c r="H13" s="398"/>
    </row>
    <row r="14" spans="1:8" ht="45" customHeight="1">
      <c r="A14" s="395" t="s">
        <v>145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146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147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148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149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155</v>
      </c>
      <c r="B20" s="394">
        <f>G8</f>
        <v>97.5</v>
      </c>
      <c r="C20" s="394"/>
      <c r="D20" s="394">
        <v>2.54</v>
      </c>
      <c r="E20" s="394"/>
      <c r="F20" s="394">
        <f>PRODUCT(D20,B20)</f>
        <v>247.65</v>
      </c>
      <c r="G20" s="394"/>
      <c r="H20" s="394"/>
    </row>
    <row r="21" spans="1:8" ht="18.75">
      <c r="A21" s="390" t="s">
        <v>150</v>
      </c>
      <c r="B21" s="391"/>
      <c r="C21" s="391"/>
      <c r="D21" s="391"/>
      <c r="E21" s="392"/>
      <c r="F21" s="393">
        <f>SUM(F11+F13+F16+F17+F18+F20)</f>
        <v>1099.4000000000001</v>
      </c>
      <c r="G21" s="393"/>
      <c r="H21" s="393"/>
    </row>
    <row r="22" spans="1:8" ht="15">
      <c r="A22" s="379" t="s">
        <v>151</v>
      </c>
      <c r="B22" s="380"/>
      <c r="C22" s="380"/>
      <c r="D22" s="380"/>
      <c r="E22" s="381"/>
      <c r="F22" s="394">
        <f>PRODUCT(F21,0.07)</f>
        <v>76.958000000000013</v>
      </c>
      <c r="G22" s="394"/>
      <c r="H22" s="394"/>
    </row>
    <row r="23" spans="1:8" ht="15">
      <c r="A23" s="432" t="s">
        <v>152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153</v>
      </c>
      <c r="B24" s="380"/>
      <c r="C24" s="380"/>
      <c r="D24" s="380"/>
      <c r="E24" s="381"/>
      <c r="F24" s="382">
        <f>SUM(F22:H23)</f>
        <v>285.21800000000002</v>
      </c>
      <c r="G24" s="382"/>
      <c r="H24" s="382"/>
    </row>
    <row r="25" spans="1:8">
      <c r="A25" s="383" t="s">
        <v>154</v>
      </c>
      <c r="B25" s="384"/>
      <c r="C25" s="384"/>
      <c r="D25" s="384"/>
      <c r="E25" s="385"/>
      <c r="F25" s="389">
        <f>SUM(F21,F24)</f>
        <v>1384.6180000000002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C9" sqref="C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156</v>
      </c>
      <c r="C1" s="357"/>
      <c r="D1" s="357"/>
      <c r="E1" s="357"/>
      <c r="F1" s="402" t="s">
        <v>89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90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91</v>
      </c>
      <c r="B7" s="92" t="s">
        <v>135</v>
      </c>
      <c r="C7" s="92" t="s">
        <v>136</v>
      </c>
      <c r="D7" s="94" t="s">
        <v>92</v>
      </c>
      <c r="E7" s="92" t="s">
        <v>137</v>
      </c>
      <c r="F7" s="94" t="s">
        <v>93</v>
      </c>
      <c r="G7" s="94" t="s">
        <v>138</v>
      </c>
      <c r="H7" s="93" t="s">
        <v>94</v>
      </c>
    </row>
    <row r="8" spans="1:8" ht="15">
      <c r="A8" s="165"/>
      <c r="B8" s="95" t="s">
        <v>139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117</v>
      </c>
      <c r="C10" s="412"/>
      <c r="D10" s="413" t="s">
        <v>140</v>
      </c>
      <c r="E10" s="413"/>
      <c r="F10" s="411" t="s">
        <v>141</v>
      </c>
      <c r="G10" s="414"/>
      <c r="H10" s="412"/>
    </row>
    <row r="11" spans="1:8" ht="15">
      <c r="A11" s="102" t="s">
        <v>142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143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157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158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159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160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161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145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146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147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148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149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155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150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151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152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153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154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L24" sqref="L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162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>
      <c r="B8" s="106" t="s">
        <v>175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>
      <c r="C15" s="421" t="s">
        <v>182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>
      <c r="B18" s="106" t="s">
        <v>175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9" zoomScaleNormal="100" workbookViewId="0">
      <selection activeCell="L24" sqref="L24: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>
      <c r="B8" s="106" t="s">
        <v>175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>
      <c r="C15" s="421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>
      <c r="B18" s="106" t="s">
        <v>175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9" zoomScaleNormal="100" workbookViewId="0">
      <selection activeCell="L14" sqref="L1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185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>
      <c r="B8" s="106" t="s">
        <v>175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>
      <c r="C15" s="421" t="s">
        <v>186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>
      <c r="B18" s="106" t="s">
        <v>175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2021-11-01T09:03:20Z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