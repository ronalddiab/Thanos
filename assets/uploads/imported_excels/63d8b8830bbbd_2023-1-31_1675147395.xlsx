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F32" i="3"/>
  <c r="E31" i="3"/>
  <c r="F31" i="3" l="1"/>
  <c r="E30" i="3"/>
  <c r="F30" i="3"/>
  <c r="E29" i="3"/>
  <c r="M30" i="1" l="1"/>
  <c r="M29" i="1"/>
  <c r="M28" i="1"/>
  <c r="F29" i="3"/>
  <c r="E28" i="3"/>
  <c r="F28" i="3" l="1"/>
  <c r="E27" i="3"/>
  <c r="F27" i="3" l="1"/>
  <c r="E26" i="3"/>
  <c r="F26" i="3" l="1"/>
  <c r="E25" i="3"/>
  <c r="F25" i="3" l="1"/>
  <c r="E24" i="3"/>
  <c r="F22" i="3" l="1"/>
  <c r="E21" i="3"/>
  <c r="F24" i="3"/>
  <c r="F23" i="3"/>
  <c r="E23" i="3"/>
  <c r="E22" i="3"/>
  <c r="F21" i="3" l="1"/>
  <c r="E20" i="3"/>
  <c r="F20" i="3" l="1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AI30" i="3" s="1"/>
  <c r="CH38" i="4"/>
  <c r="CG38" i="4"/>
  <c r="CF38" i="4"/>
  <c r="CE38" i="4"/>
  <c r="CD38" i="4"/>
  <c r="CC38" i="4"/>
  <c r="AF30" i="3" s="1"/>
  <c r="CB38" i="4"/>
  <c r="CA38" i="4"/>
  <c r="BZ38" i="4"/>
  <c r="BY38" i="4"/>
  <c r="BX38" i="4"/>
  <c r="BW38" i="4"/>
  <c r="BV38" i="4"/>
  <c r="BT38" i="4"/>
  <c r="BS38" i="4"/>
  <c r="BH38" i="4"/>
  <c r="BG38" i="4"/>
  <c r="BF38" i="4"/>
  <c r="Y30" i="3" s="1"/>
  <c r="BE38" i="4"/>
  <c r="BD38" i="4"/>
  <c r="BC38" i="4"/>
  <c r="BB38" i="4"/>
  <c r="BA38" i="4"/>
  <c r="AZ38" i="4"/>
  <c r="W30" i="3" s="1"/>
  <c r="AX38" i="4"/>
  <c r="AW38" i="4"/>
  <c r="AV38" i="4"/>
  <c r="AU38" i="4"/>
  <c r="AT38" i="4"/>
  <c r="AS38" i="4"/>
  <c r="U30" i="3" s="1"/>
  <c r="AR38" i="4"/>
  <c r="AQ38" i="4"/>
  <c r="AP38" i="4"/>
  <c r="AO38" i="4"/>
  <c r="AN38" i="4"/>
  <c r="AM38" i="4"/>
  <c r="S30" i="3" s="1"/>
  <c r="AL38" i="4"/>
  <c r="AK38" i="4"/>
  <c r="AJ38" i="4"/>
  <c r="AI38" i="4"/>
  <c r="AH38" i="4"/>
  <c r="AG38" i="4"/>
  <c r="Q30" i="3" s="1"/>
  <c r="AF38" i="4"/>
  <c r="AE38" i="4"/>
  <c r="AD38" i="4"/>
  <c r="AC38" i="4"/>
  <c r="AB38" i="4"/>
  <c r="AA38" i="4"/>
  <c r="O30" i="3" s="1"/>
  <c r="Z38" i="4"/>
  <c r="Y38" i="4"/>
  <c r="X38" i="4"/>
  <c r="W38" i="4"/>
  <c r="V38" i="4"/>
  <c r="U38" i="4"/>
  <c r="M30" i="3" s="1"/>
  <c r="S38" i="4"/>
  <c r="R38" i="4"/>
  <c r="Q38" i="4"/>
  <c r="P38" i="4"/>
  <c r="O38" i="4"/>
  <c r="N38" i="4"/>
  <c r="J30" i="3" s="1"/>
  <c r="M38" i="4"/>
  <c r="L38" i="4"/>
  <c r="I30" i="3" s="1"/>
  <c r="K38" i="4"/>
  <c r="J38" i="4"/>
  <c r="BL30" i="3" s="1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BJ29" i="3" s="1"/>
  <c r="EW37" i="4"/>
  <c r="EV37" i="4"/>
  <c r="EU37" i="4"/>
  <c r="ET37" i="4"/>
  <c r="ER37" i="4"/>
  <c r="EQ37" i="4"/>
  <c r="BC29" i="3" s="1"/>
  <c r="EP37" i="4"/>
  <c r="EO37" i="4"/>
  <c r="EN37" i="4"/>
  <c r="EM37" i="4"/>
  <c r="EL37" i="4"/>
  <c r="EK37" i="4"/>
  <c r="BD29" i="3" s="1"/>
  <c r="EJ37" i="4"/>
  <c r="EI37" i="4"/>
  <c r="EH37" i="4"/>
  <c r="EG37" i="4"/>
  <c r="EE37" i="4"/>
  <c r="ED37" i="4"/>
  <c r="AZ29" i="3" s="1"/>
  <c r="EC37" i="4"/>
  <c r="EB37" i="4"/>
  <c r="EA37" i="4"/>
  <c r="DZ37" i="4"/>
  <c r="DY37" i="4"/>
  <c r="DX37" i="4"/>
  <c r="AW29" i="3" s="1"/>
  <c r="DW37" i="4"/>
  <c r="DV37" i="4"/>
  <c r="DU37" i="4"/>
  <c r="DT37" i="4"/>
  <c r="DR37" i="4"/>
  <c r="DQ37" i="4"/>
  <c r="AT29" i="3" s="1"/>
  <c r="DP37" i="4"/>
  <c r="DO37" i="4"/>
  <c r="DN37" i="4"/>
  <c r="DM37" i="4"/>
  <c r="DL37" i="4"/>
  <c r="DK37" i="4"/>
  <c r="AP29" i="3" s="1"/>
  <c r="DJ37" i="4"/>
  <c r="DI37" i="4"/>
  <c r="DH37" i="4"/>
  <c r="DG37" i="4"/>
  <c r="DF37" i="4"/>
  <c r="DE37" i="4"/>
  <c r="AO29" i="3" s="1"/>
  <c r="DD37" i="4"/>
  <c r="DC37" i="4"/>
  <c r="DB37" i="4"/>
  <c r="DA37" i="4"/>
  <c r="CZ37" i="4"/>
  <c r="CY37" i="4"/>
  <c r="AJ29" i="3" s="1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X29" i="3" s="1"/>
  <c r="BB37" i="4"/>
  <c r="BA37" i="4"/>
  <c r="AZ37" i="4"/>
  <c r="AX37" i="4"/>
  <c r="AW37" i="4"/>
  <c r="AV37" i="4"/>
  <c r="V29" i="3" s="1"/>
  <c r="AU37" i="4"/>
  <c r="AT37" i="4"/>
  <c r="AS37" i="4"/>
  <c r="AR37" i="4"/>
  <c r="AQ37" i="4"/>
  <c r="AP37" i="4"/>
  <c r="T29" i="3" s="1"/>
  <c r="AO37" i="4"/>
  <c r="AN37" i="4"/>
  <c r="AM37" i="4"/>
  <c r="AL37" i="4"/>
  <c r="AK37" i="4"/>
  <c r="AJ37" i="4"/>
  <c r="R29" i="3" s="1"/>
  <c r="AI37" i="4"/>
  <c r="AH37" i="4"/>
  <c r="AG37" i="4"/>
  <c r="AF37" i="4"/>
  <c r="AE37" i="4"/>
  <c r="AD37" i="4"/>
  <c r="P29" i="3" s="1"/>
  <c r="AC37" i="4"/>
  <c r="AB37" i="4"/>
  <c r="AA37" i="4"/>
  <c r="Z37" i="4"/>
  <c r="Y37" i="4"/>
  <c r="X37" i="4"/>
  <c r="N29" i="3" s="1"/>
  <c r="W37" i="4"/>
  <c r="V37" i="4"/>
  <c r="U37" i="4"/>
  <c r="S37" i="4"/>
  <c r="R37" i="4"/>
  <c r="Q37" i="4"/>
  <c r="P37" i="4"/>
  <c r="O37" i="4"/>
  <c r="N37" i="4"/>
  <c r="J29" i="3" s="1"/>
  <c r="M37" i="4"/>
  <c r="L37" i="4"/>
  <c r="I29" i="3" s="1"/>
  <c r="K37" i="4"/>
  <c r="J37" i="4"/>
  <c r="BL29" i="3" s="1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F36" i="4"/>
  <c r="BC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R36" i="4"/>
  <c r="Q36" i="4"/>
  <c r="O36" i="4"/>
  <c r="N36" i="4"/>
  <c r="J28" i="3" s="1"/>
  <c r="M36" i="4"/>
  <c r="L36" i="4"/>
  <c r="I28" i="3" s="1"/>
  <c r="K36" i="4"/>
  <c r="J36" i="4"/>
  <c r="BL28" i="3" s="1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AK27" i="3" s="1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F35" i="4"/>
  <c r="BC35" i="4"/>
  <c r="X27" i="3" s="1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R35" i="4"/>
  <c r="Q35" i="4"/>
  <c r="O35" i="4"/>
  <c r="N35" i="4"/>
  <c r="J27" i="3" s="1"/>
  <c r="M35" i="4"/>
  <c r="L35" i="4"/>
  <c r="I27" i="3" s="1"/>
  <c r="K35" i="4"/>
  <c r="J35" i="4"/>
  <c r="BL27" i="3" s="1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F34" i="4"/>
  <c r="BC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R34" i="4"/>
  <c r="Q34" i="4"/>
  <c r="O34" i="4"/>
  <c r="N34" i="4"/>
  <c r="J26" i="3" s="1"/>
  <c r="M34" i="4"/>
  <c r="L34" i="4"/>
  <c r="I26" i="3" s="1"/>
  <c r="K34" i="4"/>
  <c r="J34" i="4"/>
  <c r="BL26" i="3" s="1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F33" i="4"/>
  <c r="BC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R33" i="4"/>
  <c r="Q33" i="4"/>
  <c r="O33" i="4"/>
  <c r="N33" i="4"/>
  <c r="J25" i="3" s="1"/>
  <c r="M33" i="4"/>
  <c r="L33" i="4"/>
  <c r="I25" i="3" s="1"/>
  <c r="K33" i="4"/>
  <c r="J33" i="4"/>
  <c r="BL25" i="3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J24" i="3" s="1"/>
  <c r="M32" i="4"/>
  <c r="L32" i="4"/>
  <c r="I24" i="3" s="1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J23" i="3" s="1"/>
  <c r="M31" i="4"/>
  <c r="L31" i="4"/>
  <c r="I23" i="3" s="1"/>
  <c r="K31" i="4"/>
  <c r="J31" i="4"/>
  <c r="BL23" i="3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J22" i="3" s="1"/>
  <c r="M30" i="4"/>
  <c r="L30" i="4"/>
  <c r="I22" i="3" s="1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J21" i="3" s="1"/>
  <c r="M29" i="4"/>
  <c r="L29" i="4"/>
  <c r="I21" i="3" s="1"/>
  <c r="K29" i="4"/>
  <c r="J29" i="4"/>
  <c r="BL21" i="3" s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0" i="3" s="1"/>
  <c r="M28" i="4"/>
  <c r="L28" i="4"/>
  <c r="I20" i="3" s="1"/>
  <c r="K28" i="4"/>
  <c r="J28" i="4"/>
  <c r="BL20" i="3" s="1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19" i="3" s="1"/>
  <c r="M27" i="4"/>
  <c r="L27" i="4"/>
  <c r="I19" i="3" s="1"/>
  <c r="K27" i="4"/>
  <c r="J27" i="4"/>
  <c r="BL19" i="3" s="1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9" i="3" l="1"/>
  <c r="L29" i="3"/>
  <c r="AE29" i="3"/>
  <c r="AH29" i="3"/>
  <c r="G30" i="3"/>
  <c r="K30" i="3"/>
  <c r="AK30" i="3"/>
  <c r="AL30" i="3"/>
  <c r="AQ30" i="3"/>
  <c r="AR30" i="3"/>
  <c r="AY30" i="3"/>
  <c r="BB30" i="3"/>
  <c r="BF30" i="3"/>
  <c r="BH30" i="3"/>
  <c r="BK30" i="3"/>
  <c r="AA29" i="3"/>
  <c r="AC29" i="3"/>
  <c r="AM29" i="3"/>
  <c r="AN29" i="3"/>
  <c r="AS29" i="3"/>
  <c r="AU29" i="3"/>
  <c r="AX29" i="3"/>
  <c r="BA29" i="3"/>
  <c r="BE29" i="3"/>
  <c r="BG29" i="3"/>
  <c r="BI29" i="3"/>
  <c r="AD30" i="3"/>
  <c r="AG30" i="3"/>
  <c r="Z30" i="3"/>
  <c r="AB30" i="3"/>
  <c r="AE27" i="3"/>
  <c r="AH27" i="3"/>
  <c r="G28" i="3"/>
  <c r="M29" i="3"/>
  <c r="O29" i="3"/>
  <c r="Q29" i="3"/>
  <c r="S29" i="3"/>
  <c r="U29" i="3"/>
  <c r="W29" i="3"/>
  <c r="Y29" i="3"/>
  <c r="AF29" i="3"/>
  <c r="AI29" i="3"/>
  <c r="N30" i="3"/>
  <c r="P30" i="3"/>
  <c r="R30" i="3"/>
  <c r="T30" i="3"/>
  <c r="V30" i="3"/>
  <c r="X30" i="3"/>
  <c r="AJ30" i="3"/>
  <c r="AO30" i="3"/>
  <c r="AP30" i="3"/>
  <c r="AT30" i="3"/>
  <c r="AW30" i="3"/>
  <c r="AZ30" i="3"/>
  <c r="BD30" i="3"/>
  <c r="BC30" i="3"/>
  <c r="BJ30" i="3"/>
  <c r="G29" i="3"/>
  <c r="K29" i="3"/>
  <c r="AK29" i="3"/>
  <c r="AL29" i="3"/>
  <c r="AQ29" i="3"/>
  <c r="AR29" i="3"/>
  <c r="AY29" i="3"/>
  <c r="BB29" i="3"/>
  <c r="BF29" i="3"/>
  <c r="BH29" i="3"/>
  <c r="BK29" i="3"/>
  <c r="H30" i="3"/>
  <c r="L30" i="3"/>
  <c r="AE30" i="3"/>
  <c r="AH30" i="3"/>
  <c r="AD29" i="3"/>
  <c r="AG29" i="3"/>
  <c r="Z29" i="3"/>
  <c r="AB29" i="3"/>
  <c r="AA30" i="3"/>
  <c r="AC30" i="3"/>
  <c r="AM30" i="3"/>
  <c r="AN30" i="3"/>
  <c r="AS30" i="3"/>
  <c r="AU30" i="3"/>
  <c r="AX30" i="3"/>
  <c r="BA30" i="3"/>
  <c r="BE30" i="3"/>
  <c r="BG30" i="3"/>
  <c r="BI30" i="3"/>
  <c r="AL27" i="3"/>
  <c r="AQ27" i="3"/>
  <c r="AR27" i="3"/>
  <c r="AY27" i="3"/>
  <c r="BB27" i="3"/>
  <c r="BF27" i="3"/>
  <c r="BH27" i="3"/>
  <c r="BK27" i="3"/>
  <c r="H28" i="3"/>
  <c r="M28" i="3"/>
  <c r="O28" i="3"/>
  <c r="Q28" i="3"/>
  <c r="S28" i="3"/>
  <c r="U28" i="3"/>
  <c r="W28" i="3"/>
  <c r="AF28" i="3"/>
  <c r="AI28" i="3"/>
  <c r="X28" i="3"/>
  <c r="AK28" i="3"/>
  <c r="AL28" i="3"/>
  <c r="AQ28" i="3"/>
  <c r="AR28" i="3"/>
  <c r="AY28" i="3"/>
  <c r="BB28" i="3"/>
  <c r="BF28" i="3"/>
  <c r="BH28" i="3"/>
  <c r="BK28" i="3"/>
  <c r="Y28" i="3"/>
  <c r="AD28" i="3"/>
  <c r="AG28" i="3"/>
  <c r="Z28" i="3"/>
  <c r="AB28" i="3"/>
  <c r="K28" i="3"/>
  <c r="N28" i="3"/>
  <c r="P28" i="3"/>
  <c r="R28" i="3"/>
  <c r="T28" i="3"/>
  <c r="V28" i="3"/>
  <c r="AJ28" i="3"/>
  <c r="AO28" i="3"/>
  <c r="AP28" i="3"/>
  <c r="AT28" i="3"/>
  <c r="AW28" i="3"/>
  <c r="AZ28" i="3"/>
  <c r="BD28" i="3"/>
  <c r="BC28" i="3"/>
  <c r="BJ28" i="3"/>
  <c r="AE28" i="3"/>
  <c r="AH28" i="3"/>
  <c r="L28" i="3"/>
  <c r="AA28" i="3"/>
  <c r="AC28" i="3"/>
  <c r="AM28" i="3"/>
  <c r="AN28" i="3"/>
  <c r="AS28" i="3"/>
  <c r="AU28" i="3"/>
  <c r="AX28" i="3"/>
  <c r="BA28" i="3"/>
  <c r="BE28" i="3"/>
  <c r="BG28" i="3"/>
  <c r="BI28" i="3"/>
  <c r="Y27" i="3"/>
  <c r="AD27" i="3"/>
  <c r="AG27" i="3"/>
  <c r="Z27" i="3"/>
  <c r="AB27" i="3"/>
  <c r="G27" i="3"/>
  <c r="K27" i="3"/>
  <c r="N27" i="3"/>
  <c r="P27" i="3"/>
  <c r="R27" i="3"/>
  <c r="T27" i="3"/>
  <c r="V27" i="3"/>
  <c r="AJ27" i="3"/>
  <c r="AO27" i="3"/>
  <c r="AP27" i="3"/>
  <c r="AT27" i="3"/>
  <c r="AW27" i="3"/>
  <c r="AZ27" i="3"/>
  <c r="BD27" i="3"/>
  <c r="BC27" i="3"/>
  <c r="BJ27" i="3"/>
  <c r="H26" i="3"/>
  <c r="M26" i="3"/>
  <c r="O26" i="3"/>
  <c r="Q26" i="3"/>
  <c r="S26" i="3"/>
  <c r="U26" i="3"/>
  <c r="W26" i="3"/>
  <c r="AF26" i="3"/>
  <c r="AI26" i="3"/>
  <c r="L27" i="3"/>
  <c r="AA27" i="3"/>
  <c r="AC27" i="3"/>
  <c r="AM27" i="3"/>
  <c r="AN27" i="3"/>
  <c r="AS27" i="3"/>
  <c r="AU27" i="3"/>
  <c r="AX27" i="3"/>
  <c r="BA27" i="3"/>
  <c r="BE27" i="3"/>
  <c r="BG27" i="3"/>
  <c r="BI27" i="3"/>
  <c r="H27" i="3"/>
  <c r="M27" i="3"/>
  <c r="O27" i="3"/>
  <c r="Q27" i="3"/>
  <c r="S27" i="3"/>
  <c r="U27" i="3"/>
  <c r="W27" i="3"/>
  <c r="AF27" i="3"/>
  <c r="AI27" i="3"/>
  <c r="AK26" i="3"/>
  <c r="AR26" i="3"/>
  <c r="BB26" i="3"/>
  <c r="BK26" i="3"/>
  <c r="Y26" i="3"/>
  <c r="AD26" i="3"/>
  <c r="AG26" i="3"/>
  <c r="Z26" i="3"/>
  <c r="AB26" i="3"/>
  <c r="AL26" i="3"/>
  <c r="AY26" i="3"/>
  <c r="BH26" i="3"/>
  <c r="AD21" i="3"/>
  <c r="AG21" i="3"/>
  <c r="Z21" i="3"/>
  <c r="AB21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E25" i="3"/>
  <c r="AH25" i="3"/>
  <c r="G26" i="3"/>
  <c r="K26" i="3"/>
  <c r="N26" i="3"/>
  <c r="P26" i="3"/>
  <c r="R26" i="3"/>
  <c r="T26" i="3"/>
  <c r="V26" i="3"/>
  <c r="AJ26" i="3"/>
  <c r="AO26" i="3"/>
  <c r="AP26" i="3"/>
  <c r="AT26" i="3"/>
  <c r="AW26" i="3"/>
  <c r="AZ26" i="3"/>
  <c r="BD26" i="3"/>
  <c r="BC26" i="3"/>
  <c r="BJ26" i="3"/>
  <c r="X26" i="3"/>
  <c r="AQ26" i="3"/>
  <c r="BF26" i="3"/>
  <c r="M18" i="3"/>
  <c r="O18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AE26" i="3"/>
  <c r="AH26" i="3"/>
  <c r="L26" i="3"/>
  <c r="AA26" i="3"/>
  <c r="AC26" i="3"/>
  <c r="AM26" i="3"/>
  <c r="AN26" i="3"/>
  <c r="AS26" i="3"/>
  <c r="AU26" i="3"/>
  <c r="AX26" i="3"/>
  <c r="BA26" i="3"/>
  <c r="BE26" i="3"/>
  <c r="BG26" i="3"/>
  <c r="BI26" i="3"/>
  <c r="X25" i="3"/>
  <c r="AK25" i="3"/>
  <c r="AL25" i="3"/>
  <c r="AQ25" i="3"/>
  <c r="AR25" i="3"/>
  <c r="AY25" i="3"/>
  <c r="BB25" i="3"/>
  <c r="BF25" i="3"/>
  <c r="BH25" i="3"/>
  <c r="BK25" i="3"/>
  <c r="Y25" i="3"/>
  <c r="AD25" i="3"/>
  <c r="AG25" i="3"/>
  <c r="Z25" i="3"/>
  <c r="AB25" i="3"/>
  <c r="G25" i="3"/>
  <c r="K25" i="3"/>
  <c r="N25" i="3"/>
  <c r="P25" i="3"/>
  <c r="R25" i="3"/>
  <c r="T25" i="3"/>
  <c r="V25" i="3"/>
  <c r="AJ25" i="3"/>
  <c r="AO25" i="3"/>
  <c r="AP25" i="3"/>
  <c r="AT25" i="3"/>
  <c r="AW25" i="3"/>
  <c r="AZ25" i="3"/>
  <c r="BD25" i="3"/>
  <c r="BC25" i="3"/>
  <c r="BJ25" i="3"/>
  <c r="O24" i="3"/>
  <c r="Q24" i="3"/>
  <c r="S24" i="3"/>
  <c r="U24" i="3"/>
  <c r="W24" i="3"/>
  <c r="Y24" i="3"/>
  <c r="L25" i="3"/>
  <c r="AA25" i="3"/>
  <c r="AC25" i="3"/>
  <c r="AM25" i="3"/>
  <c r="AN25" i="3"/>
  <c r="AS25" i="3"/>
  <c r="AU25" i="3"/>
  <c r="AX25" i="3"/>
  <c r="BA25" i="3"/>
  <c r="BE25" i="3"/>
  <c r="BG25" i="3"/>
  <c r="BI25" i="3"/>
  <c r="H25" i="3"/>
  <c r="M25" i="3"/>
  <c r="O25" i="3"/>
  <c r="Q25" i="3"/>
  <c r="S25" i="3"/>
  <c r="U25" i="3"/>
  <c r="W25" i="3"/>
  <c r="AF25" i="3"/>
  <c r="AI25" i="3"/>
  <c r="AF24" i="3"/>
  <c r="AI24" i="3"/>
  <c r="G24" i="3"/>
  <c r="K24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H24" i="3"/>
  <c r="L24" i="3"/>
  <c r="AE24" i="3"/>
  <c r="AH24" i="3"/>
  <c r="H21" i="3"/>
  <c r="L21" i="3"/>
  <c r="AE21" i="3"/>
  <c r="AH21" i="3"/>
  <c r="G22" i="3"/>
  <c r="K22" i="3"/>
  <c r="AK22" i="3"/>
  <c r="AL22" i="3"/>
  <c r="AQ22" i="3"/>
  <c r="AR22" i="3"/>
  <c r="AY22" i="3"/>
  <c r="BB22" i="3"/>
  <c r="BF22" i="3"/>
  <c r="BH22" i="3"/>
  <c r="BK22" i="3"/>
  <c r="H23" i="3"/>
  <c r="L23" i="3"/>
  <c r="AE23" i="3"/>
  <c r="AH23" i="3"/>
  <c r="AC21" i="3"/>
  <c r="AN21" i="3"/>
  <c r="AU21" i="3"/>
  <c r="BA21" i="3"/>
  <c r="BG21" i="3"/>
  <c r="AD22" i="3"/>
  <c r="AB22" i="3"/>
  <c r="AC23" i="3"/>
  <c r="AN23" i="3"/>
  <c r="AU23" i="3"/>
  <c r="BA23" i="3"/>
  <c r="BG23" i="3"/>
  <c r="M21" i="3"/>
  <c r="O21" i="3"/>
  <c r="Q21" i="3"/>
  <c r="S21" i="3"/>
  <c r="U21" i="3"/>
  <c r="W21" i="3"/>
  <c r="Y21" i="3"/>
  <c r="AF21" i="3"/>
  <c r="AI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AA21" i="3"/>
  <c r="AM21" i="3"/>
  <c r="AS21" i="3"/>
  <c r="AX21" i="3"/>
  <c r="BE21" i="3"/>
  <c r="BI21" i="3"/>
  <c r="AG22" i="3"/>
  <c r="Z22" i="3"/>
  <c r="AA23" i="3"/>
  <c r="AM23" i="3"/>
  <c r="AS23" i="3"/>
  <c r="AX23" i="3"/>
  <c r="BE23" i="3"/>
  <c r="BI23" i="3"/>
  <c r="G21" i="3"/>
  <c r="K21" i="3"/>
  <c r="AK21" i="3"/>
  <c r="AL21" i="3"/>
  <c r="AQ21" i="3"/>
  <c r="AR21" i="3"/>
  <c r="AY21" i="3"/>
  <c r="BB21" i="3"/>
  <c r="BF21" i="3"/>
  <c r="BH21" i="3"/>
  <c r="BK21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Q18" i="3"/>
  <c r="S18" i="3"/>
  <c r="U18" i="3"/>
  <c r="W18" i="3"/>
  <c r="Y18" i="3"/>
  <c r="AF18" i="3"/>
  <c r="AI18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G19" i="3"/>
  <c r="K19" i="3"/>
  <c r="AK19" i="3"/>
  <c r="AL19" i="3"/>
  <c r="AQ19" i="3"/>
  <c r="AR19" i="3"/>
  <c r="AY19" i="3"/>
  <c r="BB19" i="3"/>
  <c r="BF19" i="3"/>
  <c r="BH19" i="3"/>
  <c r="H20" i="3"/>
  <c r="L20" i="3"/>
  <c r="AE20" i="3"/>
  <c r="AH20" i="3"/>
  <c r="AD19" i="3"/>
  <c r="AG19" i="3"/>
  <c r="Z19" i="3"/>
  <c r="AA20" i="3"/>
  <c r="AC20" i="3"/>
  <c r="AM20" i="3"/>
  <c r="AN20" i="3"/>
  <c r="AS20" i="3"/>
  <c r="AU20" i="3"/>
  <c r="AX20" i="3"/>
  <c r="BA20" i="3"/>
  <c r="BE20" i="3"/>
  <c r="BG20" i="3"/>
  <c r="BI20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9" i="3"/>
  <c r="AC19" i="3"/>
  <c r="AM19" i="3"/>
  <c r="AN19" i="3"/>
  <c r="AS19" i="3"/>
  <c r="AU19" i="3"/>
  <c r="AX19" i="3"/>
  <c r="BA19" i="3"/>
  <c r="BE19" i="3"/>
  <c r="BG19" i="3"/>
  <c r="BI19" i="3"/>
  <c r="M19" i="3"/>
  <c r="O19" i="3"/>
  <c r="Q19" i="3"/>
  <c r="S19" i="3"/>
  <c r="U19" i="3"/>
  <c r="W19" i="3"/>
  <c r="Y19" i="3"/>
  <c r="AF19" i="3"/>
  <c r="AI19" i="3"/>
  <c r="BK19" i="3"/>
  <c r="AB19" i="3"/>
  <c r="AD18" i="3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V51" i="4" l="1"/>
  <c r="P33" i="4" l="1"/>
  <c r="S33" i="4"/>
  <c r="P34" i="4"/>
  <c r="S34" i="4"/>
  <c r="BH34" i="4" l="1"/>
  <c r="BG34" i="4"/>
  <c r="BH33" i="4"/>
  <c r="BG33" i="4"/>
  <c r="BE33" i="4"/>
  <c r="BD33" i="4"/>
  <c r="BE34" i="4"/>
  <c r="BD34" i="4"/>
  <c r="BB33" i="4"/>
  <c r="BA33" i="4"/>
  <c r="BB34" i="4"/>
  <c r="BA34" i="4"/>
  <c r="P35" i="4" l="1"/>
  <c r="S35" i="4"/>
  <c r="P36" i="4"/>
  <c r="S36" i="4"/>
  <c r="R48" i="4" l="1"/>
  <c r="R49" i="4" s="1"/>
  <c r="O48" i="4"/>
  <c r="O49" i="4" s="1"/>
  <c r="BH35" i="4"/>
  <c r="BG35" i="4"/>
  <c r="BH36" i="4"/>
  <c r="BG36" i="4"/>
  <c r="BD35" i="4"/>
  <c r="BE35" i="4"/>
  <c r="BE36" i="4"/>
  <c r="BD36" i="4"/>
  <c r="BB35" i="4"/>
  <c r="BA35" i="4"/>
  <c r="AZ48" i="4" s="1"/>
  <c r="BB36" i="4"/>
  <c r="BA36" i="4"/>
  <c r="BC48" i="4" l="1"/>
  <c r="BC49" i="4" s="1"/>
  <c r="BF48" i="4"/>
  <c r="BF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<sst xmlns="http://schemas.openxmlformats.org/spreadsheetml/2006/main" count="413" uniqueCount="202">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</sst>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B28">
            <v>0.94</v>
          </cell>
          <cell r="E28">
            <v>236508</v>
          </cell>
          <cell r="F28">
            <v>551</v>
          </cell>
          <cell r="G28">
            <v>454</v>
          </cell>
          <cell r="H28">
            <v>260345</v>
          </cell>
          <cell r="I28">
            <v>432</v>
          </cell>
          <cell r="J28">
            <v>355</v>
          </cell>
          <cell r="K28">
            <v>13722</v>
          </cell>
          <cell r="L28">
            <v>206</v>
          </cell>
          <cell r="N28">
            <v>927864</v>
          </cell>
          <cell r="O28">
            <v>81</v>
          </cell>
          <cell r="Q28">
            <v>245635</v>
          </cell>
          <cell r="R28">
            <v>0</v>
          </cell>
          <cell r="U28">
            <v>119588</v>
          </cell>
          <cell r="V28">
            <v>69</v>
          </cell>
          <cell r="W28">
            <v>75.049999999995634</v>
          </cell>
          <cell r="X28">
            <v>6652</v>
          </cell>
          <cell r="Y28">
            <v>2</v>
          </cell>
          <cell r="AE28">
            <v>8247906.2400000002</v>
          </cell>
          <cell r="AF28">
            <v>1948.7999999998137</v>
          </cell>
          <cell r="AH28">
            <v>15664259.52</v>
          </cell>
          <cell r="AI28">
            <v>4482.2399999983609</v>
          </cell>
          <cell r="AK28">
            <v>15892999.919999998</v>
          </cell>
          <cell r="AL28">
            <v>4287.359999999404</v>
          </cell>
          <cell r="AN28">
            <v>19021164.960000001</v>
          </cell>
          <cell r="AO28">
            <v>3507.8400000035763</v>
          </cell>
          <cell r="AQ28">
            <v>19283376</v>
          </cell>
          <cell r="AR28">
            <v>1315.4399999976158</v>
          </cell>
          <cell r="AT28">
            <v>17796587.760000002</v>
          </cell>
          <cell r="AU28">
            <v>5407.9200000017881</v>
          </cell>
          <cell r="AW28">
            <v>14962983.84</v>
          </cell>
          <cell r="AX28">
            <v>4092.480000000447</v>
          </cell>
          <cell r="AZ28">
            <v>14500679.76</v>
          </cell>
          <cell r="BA28">
            <v>4433.519999999553</v>
          </cell>
          <cell r="BC28">
            <v>11306206.799999999</v>
          </cell>
          <cell r="BD28">
            <v>2874.480000000447</v>
          </cell>
          <cell r="BF28">
            <v>17938119.359999999</v>
          </cell>
          <cell r="BG28">
            <v>5456.640000000596</v>
          </cell>
          <cell r="BM28">
            <v>78516400</v>
          </cell>
          <cell r="BN28">
            <v>20200</v>
          </cell>
          <cell r="BP28">
            <v>81417300</v>
          </cell>
          <cell r="BQ28">
            <v>18100</v>
          </cell>
          <cell r="BS28">
            <v>75325600</v>
          </cell>
          <cell r="BT28">
            <v>0</v>
          </cell>
          <cell r="BV28">
            <v>10514430</v>
          </cell>
          <cell r="BW28">
            <v>6620</v>
          </cell>
          <cell r="BY28">
            <v>0.57999999999999996</v>
          </cell>
          <cell r="BZ28">
            <v>-7.999999999999996E-2</v>
          </cell>
          <cell r="CB28">
            <v>65140</v>
          </cell>
          <cell r="CC28">
            <v>18</v>
          </cell>
          <cell r="CD28">
            <v>56218</v>
          </cell>
          <cell r="CE28">
            <v>20</v>
          </cell>
          <cell r="CF28">
            <v>18999</v>
          </cell>
          <cell r="CG28">
            <v>0</v>
          </cell>
          <cell r="CH28">
            <v>26010</v>
          </cell>
          <cell r="CI28">
            <v>10</v>
          </cell>
          <cell r="CJ28">
            <v>29084</v>
          </cell>
          <cell r="CK28">
            <v>13</v>
          </cell>
          <cell r="CL28">
            <v>63954</v>
          </cell>
          <cell r="CM28">
            <v>36</v>
          </cell>
          <cell r="CN28">
            <v>271116</v>
          </cell>
          <cell r="CO28">
            <v>76</v>
          </cell>
          <cell r="CQ28">
            <v>219695</v>
          </cell>
          <cell r="CR28">
            <v>103</v>
          </cell>
          <cell r="CT28">
            <v>366076</v>
          </cell>
          <cell r="CU28">
            <v>295</v>
          </cell>
          <cell r="CW28">
            <v>701854</v>
          </cell>
          <cell r="CX28">
            <v>158</v>
          </cell>
          <cell r="CZ28">
            <v>9226</v>
          </cell>
          <cell r="DA28">
            <v>9</v>
          </cell>
          <cell r="DB28">
            <v>6258</v>
          </cell>
          <cell r="DC28">
            <v>6</v>
          </cell>
          <cell r="DD28">
            <v>32802</v>
          </cell>
          <cell r="DE28">
            <v>15</v>
          </cell>
          <cell r="DF28">
            <v>32948</v>
          </cell>
          <cell r="DG28">
            <v>12</v>
          </cell>
          <cell r="DH28">
            <v>22301</v>
          </cell>
          <cell r="DI28">
            <v>9</v>
          </cell>
          <cell r="DJ28">
            <v>24297</v>
          </cell>
          <cell r="DK28">
            <v>5</v>
          </cell>
          <cell r="DL28">
            <v>7551</v>
          </cell>
          <cell r="DM28">
            <v>8</v>
          </cell>
          <cell r="DN28">
            <v>10097</v>
          </cell>
          <cell r="DO28">
            <v>8</v>
          </cell>
          <cell r="DP28">
            <v>3448</v>
          </cell>
          <cell r="DQ28">
            <v>5</v>
          </cell>
          <cell r="DR28">
            <v>6807</v>
          </cell>
          <cell r="DS28">
            <v>6</v>
          </cell>
          <cell r="DT28">
            <v>30458</v>
          </cell>
          <cell r="DU28">
            <v>0</v>
          </cell>
          <cell r="DW28">
            <v>6783.2</v>
          </cell>
          <cell r="DX28">
            <v>10.800000000000182</v>
          </cell>
          <cell r="DY28">
            <v>11606.9</v>
          </cell>
          <cell r="DZ28">
            <v>7.7999999999992724</v>
          </cell>
          <cell r="EA28">
            <v>5071.7</v>
          </cell>
          <cell r="EB28">
            <v>5.8999999999996362</v>
          </cell>
          <cell r="EC28">
            <v>5655.7</v>
          </cell>
          <cell r="ED28">
            <v>6.3999999999996362</v>
          </cell>
          <cell r="EE28">
            <v>1150270</v>
          </cell>
          <cell r="EF28">
            <v>542</v>
          </cell>
          <cell r="EI28">
            <v>237344.5</v>
          </cell>
          <cell r="EJ28">
            <v>180.89999999999418</v>
          </cell>
          <cell r="EL28">
            <v>12263600</v>
          </cell>
          <cell r="EM28">
            <v>1800</v>
          </cell>
          <cell r="EN28">
            <v>943490</v>
          </cell>
          <cell r="EO28">
            <v>170</v>
          </cell>
          <cell r="EP28">
            <v>7285400</v>
          </cell>
          <cell r="EQ28">
            <v>800</v>
          </cell>
          <cell r="ER28">
            <v>2508700</v>
          </cell>
          <cell r="ES28">
            <v>200</v>
          </cell>
          <cell r="ET28">
            <v>1301050</v>
          </cell>
          <cell r="EU28">
            <v>310</v>
          </cell>
          <cell r="EV28">
            <v>16720800</v>
          </cell>
          <cell r="EW28">
            <v>1800</v>
          </cell>
          <cell r="EY28">
            <v>42777</v>
          </cell>
          <cell r="EZ28">
            <v>17</v>
          </cell>
          <cell r="FA28">
            <v>37338</v>
          </cell>
          <cell r="FB28">
            <v>11</v>
          </cell>
          <cell r="FC28">
            <v>7941</v>
          </cell>
          <cell r="FD28">
            <v>8</v>
          </cell>
          <cell r="FE28">
            <v>59874</v>
          </cell>
          <cell r="FF28">
            <v>14</v>
          </cell>
          <cell r="FG28">
            <v>50938</v>
          </cell>
          <cell r="FH28">
            <v>29</v>
          </cell>
        </row>
        <row r="29">
          <cell r="B29">
            <v>0.75</v>
          </cell>
          <cell r="E29">
            <v>237084</v>
          </cell>
          <cell r="F29">
            <v>576</v>
          </cell>
          <cell r="G29">
            <v>496</v>
          </cell>
          <cell r="H29">
            <v>260805</v>
          </cell>
          <cell r="I29">
            <v>460</v>
          </cell>
          <cell r="J29">
            <v>371</v>
          </cell>
          <cell r="K29">
            <v>13928</v>
          </cell>
          <cell r="L29">
            <v>206</v>
          </cell>
          <cell r="N29">
            <v>928015</v>
          </cell>
          <cell r="O29">
            <v>151</v>
          </cell>
          <cell r="Q29">
            <v>245635</v>
          </cell>
          <cell r="R29">
            <v>0</v>
          </cell>
          <cell r="U29">
            <v>119651</v>
          </cell>
          <cell r="V29">
            <v>63</v>
          </cell>
          <cell r="W29">
            <v>75.75</v>
          </cell>
          <cell r="X29">
            <v>6655</v>
          </cell>
          <cell r="Y29">
            <v>3</v>
          </cell>
          <cell r="AE29">
            <v>8249952.4800000004</v>
          </cell>
          <cell r="AF29">
            <v>2046.2400000002235</v>
          </cell>
          <cell r="AH29">
            <v>15669277.68</v>
          </cell>
          <cell r="AI29">
            <v>5018.160000000149</v>
          </cell>
          <cell r="AK29">
            <v>15892999.919999998</v>
          </cell>
          <cell r="AL29">
            <v>0</v>
          </cell>
          <cell r="AN29">
            <v>19028229.359999999</v>
          </cell>
          <cell r="AO29">
            <v>7064.3999999985099</v>
          </cell>
          <cell r="AQ29">
            <v>19284740.16</v>
          </cell>
          <cell r="AR29">
            <v>1364.160000000149</v>
          </cell>
          <cell r="AT29">
            <v>17802093.119999997</v>
          </cell>
          <cell r="AU29">
            <v>5505.3599999956787</v>
          </cell>
          <cell r="AW29">
            <v>14967368.640000001</v>
          </cell>
          <cell r="AX29">
            <v>4384.8000000007451</v>
          </cell>
          <cell r="AZ29">
            <v>14505113.280000001</v>
          </cell>
          <cell r="BA29">
            <v>4433.5200000014156</v>
          </cell>
          <cell r="BC29">
            <v>11309227.439999999</v>
          </cell>
          <cell r="BD29">
            <v>3020.640000000596</v>
          </cell>
          <cell r="BF29">
            <v>17943673.439999998</v>
          </cell>
          <cell r="BG29">
            <v>5554.0799999982119</v>
          </cell>
          <cell r="BM29">
            <v>78516400</v>
          </cell>
          <cell r="BN29">
            <v>0</v>
          </cell>
          <cell r="BP29">
            <v>81452300</v>
          </cell>
          <cell r="BQ29">
            <v>35000</v>
          </cell>
          <cell r="BS29">
            <v>75325600</v>
          </cell>
          <cell r="BT29">
            <v>0</v>
          </cell>
          <cell r="BV29">
            <v>10521530</v>
          </cell>
          <cell r="BW29">
            <v>7100</v>
          </cell>
          <cell r="BY29">
            <v>0.48</v>
          </cell>
          <cell r="BZ29">
            <v>9.9999999999999978E-2</v>
          </cell>
          <cell r="CB29">
            <v>65158</v>
          </cell>
          <cell r="CC29">
            <v>18</v>
          </cell>
          <cell r="CD29">
            <v>56237</v>
          </cell>
          <cell r="CE29">
            <v>19</v>
          </cell>
          <cell r="CF29">
            <v>18999</v>
          </cell>
          <cell r="CG29">
            <v>0</v>
          </cell>
          <cell r="CH29">
            <v>26019</v>
          </cell>
          <cell r="CI29">
            <v>9</v>
          </cell>
          <cell r="CJ29">
            <v>29097</v>
          </cell>
          <cell r="CK29">
            <v>13</v>
          </cell>
          <cell r="CL29">
            <v>63994</v>
          </cell>
          <cell r="CM29">
            <v>40</v>
          </cell>
          <cell r="CN29">
            <v>271193</v>
          </cell>
          <cell r="CO29">
            <v>77</v>
          </cell>
          <cell r="CQ29">
            <v>219803</v>
          </cell>
          <cell r="CR29">
            <v>108</v>
          </cell>
          <cell r="CT29">
            <v>366384</v>
          </cell>
          <cell r="CU29">
            <v>308</v>
          </cell>
          <cell r="CW29">
            <v>702015</v>
          </cell>
          <cell r="CX29">
            <v>161</v>
          </cell>
          <cell r="CZ29">
            <v>9235</v>
          </cell>
          <cell r="DA29">
            <v>9</v>
          </cell>
          <cell r="DB29">
            <v>6264</v>
          </cell>
          <cell r="DC29">
            <v>6</v>
          </cell>
          <cell r="DD29">
            <v>32817</v>
          </cell>
          <cell r="DE29">
            <v>15</v>
          </cell>
          <cell r="DF29">
            <v>32960</v>
          </cell>
          <cell r="DG29">
            <v>12</v>
          </cell>
          <cell r="DH29">
            <v>22310</v>
          </cell>
          <cell r="DI29">
            <v>9</v>
          </cell>
          <cell r="DJ29">
            <v>24302</v>
          </cell>
          <cell r="DK29">
            <v>5</v>
          </cell>
          <cell r="DL29">
            <v>7559</v>
          </cell>
          <cell r="DM29">
            <v>8</v>
          </cell>
          <cell r="DN29">
            <v>10105</v>
          </cell>
          <cell r="DO29">
            <v>8</v>
          </cell>
          <cell r="DP29">
            <v>3453</v>
          </cell>
          <cell r="DQ29">
            <v>5</v>
          </cell>
          <cell r="DR29">
            <v>6813</v>
          </cell>
          <cell r="DS29">
            <v>6</v>
          </cell>
          <cell r="DT29">
            <v>30458</v>
          </cell>
          <cell r="DU29">
            <v>0</v>
          </cell>
          <cell r="DW29">
            <v>6794.6</v>
          </cell>
          <cell r="DX29">
            <v>11.400000000000546</v>
          </cell>
          <cell r="DY29">
            <v>11614.6</v>
          </cell>
          <cell r="DZ29">
            <v>7.7000000000007276</v>
          </cell>
          <cell r="EA29">
            <v>5077.8999999999996</v>
          </cell>
          <cell r="EB29">
            <v>6.1999999999998181</v>
          </cell>
          <cell r="EC29">
            <v>5662.7</v>
          </cell>
          <cell r="ED29">
            <v>7</v>
          </cell>
          <cell r="EE29">
            <v>1150860</v>
          </cell>
          <cell r="EF29">
            <v>590</v>
          </cell>
          <cell r="EI29">
            <v>237503.7</v>
          </cell>
          <cell r="EJ29">
            <v>159.20000000001164</v>
          </cell>
          <cell r="EL29">
            <v>12265600</v>
          </cell>
          <cell r="EM29">
            <v>2000</v>
          </cell>
          <cell r="EN29">
            <v>943700</v>
          </cell>
          <cell r="EO29">
            <v>210</v>
          </cell>
          <cell r="EP29">
            <v>7286400</v>
          </cell>
          <cell r="EQ29">
            <v>1000</v>
          </cell>
          <cell r="ER29">
            <v>2509000</v>
          </cell>
          <cell r="ES29">
            <v>300</v>
          </cell>
          <cell r="ET29">
            <v>1301440</v>
          </cell>
          <cell r="EU29">
            <v>390</v>
          </cell>
          <cell r="EV29">
            <v>16722700</v>
          </cell>
          <cell r="EW29">
            <v>1900</v>
          </cell>
          <cell r="EY29">
            <v>42796</v>
          </cell>
          <cell r="EZ29">
            <v>19</v>
          </cell>
          <cell r="FA29">
            <v>37349</v>
          </cell>
          <cell r="FB29">
            <v>11</v>
          </cell>
          <cell r="FC29">
            <v>7953</v>
          </cell>
          <cell r="FD29">
            <v>12</v>
          </cell>
          <cell r="FE29">
            <v>59887</v>
          </cell>
          <cell r="FF29">
            <v>13</v>
          </cell>
          <cell r="FG29">
            <v>50975</v>
          </cell>
          <cell r="FH29">
            <v>37</v>
          </cell>
        </row>
        <row r="30">
          <cell r="B30">
            <v>0.65</v>
          </cell>
          <cell r="E30">
            <v>237669</v>
          </cell>
          <cell r="F30">
            <v>585</v>
          </cell>
          <cell r="G30">
            <v>525</v>
          </cell>
          <cell r="H30">
            <v>261253</v>
          </cell>
          <cell r="I30">
            <v>448</v>
          </cell>
          <cell r="J30">
            <v>419</v>
          </cell>
          <cell r="K30">
            <v>14162</v>
          </cell>
          <cell r="L30">
            <v>234</v>
          </cell>
          <cell r="N30">
            <v>928235</v>
          </cell>
          <cell r="O30">
            <v>220</v>
          </cell>
          <cell r="Q30">
            <v>245635</v>
          </cell>
          <cell r="R30">
            <v>0</v>
          </cell>
          <cell r="U30">
            <v>119722</v>
          </cell>
          <cell r="V30">
            <v>71</v>
          </cell>
          <cell r="W30">
            <v>56.980000000003201</v>
          </cell>
          <cell r="X30">
            <v>6667</v>
          </cell>
          <cell r="Y30">
            <v>12</v>
          </cell>
          <cell r="AE30">
            <v>8253168</v>
          </cell>
          <cell r="AF30">
            <v>3215.519999999553</v>
          </cell>
          <cell r="AH30">
            <v>15673175.280000001</v>
          </cell>
          <cell r="AI30">
            <v>3897.6000000014901</v>
          </cell>
          <cell r="AK30">
            <v>15900259.199999999</v>
          </cell>
          <cell r="AL30">
            <v>7259.2800000011921</v>
          </cell>
          <cell r="AN30">
            <v>19028424.239999998</v>
          </cell>
          <cell r="AO30">
            <v>194.87999999895692</v>
          </cell>
          <cell r="AQ30">
            <v>19284740.16</v>
          </cell>
          <cell r="AR30">
            <v>0</v>
          </cell>
          <cell r="AT30">
            <v>17807452.32</v>
          </cell>
          <cell r="AU30">
            <v>5359.2000000029802</v>
          </cell>
          <cell r="AW30">
            <v>14971558.559999999</v>
          </cell>
          <cell r="AX30">
            <v>4189.9199999980628</v>
          </cell>
          <cell r="AZ30">
            <v>14509449.359999999</v>
          </cell>
          <cell r="BA30">
            <v>4336.0799999982119</v>
          </cell>
          <cell r="BC30">
            <v>11312150.640000001</v>
          </cell>
          <cell r="BD30">
            <v>2923.2000000011176</v>
          </cell>
          <cell r="BF30">
            <v>17949081.359999999</v>
          </cell>
          <cell r="BG30">
            <v>5407.9200000017881</v>
          </cell>
          <cell r="BM30">
            <v>78550800</v>
          </cell>
          <cell r="BN30">
            <v>34400</v>
          </cell>
          <cell r="BP30">
            <v>81454700</v>
          </cell>
          <cell r="BQ30">
            <v>2400</v>
          </cell>
          <cell r="BS30">
            <v>75325600</v>
          </cell>
          <cell r="BT30">
            <v>0</v>
          </cell>
          <cell r="BV30">
            <v>10528410</v>
          </cell>
          <cell r="BW30">
            <v>6880</v>
          </cell>
          <cell r="BY30">
            <v>0.57999999999999996</v>
          </cell>
          <cell r="BZ30">
            <v>-9.9999999999999978E-2</v>
          </cell>
          <cell r="CB30">
            <v>65176</v>
          </cell>
          <cell r="CC30">
            <v>18</v>
          </cell>
          <cell r="CD30">
            <v>56256</v>
          </cell>
          <cell r="CE30">
            <v>19</v>
          </cell>
          <cell r="CF30">
            <v>18999</v>
          </cell>
          <cell r="CG30">
            <v>0</v>
          </cell>
          <cell r="CH30">
            <v>26028</v>
          </cell>
          <cell r="CI30">
            <v>9</v>
          </cell>
          <cell r="CJ30">
            <v>29113</v>
          </cell>
          <cell r="CK30">
            <v>16</v>
          </cell>
          <cell r="CL30">
            <v>64028</v>
          </cell>
          <cell r="CM30">
            <v>34</v>
          </cell>
          <cell r="CN30">
            <v>271270</v>
          </cell>
          <cell r="CO30">
            <v>77</v>
          </cell>
          <cell r="CQ30">
            <v>219896</v>
          </cell>
          <cell r="CR30">
            <v>93</v>
          </cell>
          <cell r="CT30">
            <v>366684</v>
          </cell>
          <cell r="CU30">
            <v>300</v>
          </cell>
          <cell r="CW30">
            <v>702174</v>
          </cell>
          <cell r="CX30">
            <v>159</v>
          </cell>
          <cell r="CZ30">
            <v>9244</v>
          </cell>
          <cell r="DA30">
            <v>9</v>
          </cell>
          <cell r="DB30">
            <v>6270</v>
          </cell>
          <cell r="DC30">
            <v>6</v>
          </cell>
          <cell r="DD30">
            <v>32832</v>
          </cell>
          <cell r="DE30">
            <v>15</v>
          </cell>
          <cell r="DF30">
            <v>32972</v>
          </cell>
          <cell r="DG30">
            <v>12</v>
          </cell>
          <cell r="DH30">
            <v>22319</v>
          </cell>
          <cell r="DI30">
            <v>9</v>
          </cell>
          <cell r="DJ30">
            <v>24307</v>
          </cell>
          <cell r="DK30">
            <v>5</v>
          </cell>
          <cell r="DL30">
            <v>7567</v>
          </cell>
          <cell r="DM30">
            <v>8</v>
          </cell>
          <cell r="DN30">
            <v>10113</v>
          </cell>
          <cell r="DO30">
            <v>8</v>
          </cell>
          <cell r="DP30">
            <v>3458</v>
          </cell>
          <cell r="DQ30">
            <v>5</v>
          </cell>
          <cell r="DR30">
            <v>6818</v>
          </cell>
          <cell r="DS30">
            <v>5</v>
          </cell>
          <cell r="DT30">
            <v>30458</v>
          </cell>
          <cell r="DU30">
            <v>0</v>
          </cell>
          <cell r="DW30">
            <v>6805.6</v>
          </cell>
          <cell r="DX30">
            <v>11</v>
          </cell>
          <cell r="DY30">
            <v>11622.7</v>
          </cell>
          <cell r="DZ30">
            <v>8.1000000000003638</v>
          </cell>
          <cell r="EA30">
            <v>5083.8</v>
          </cell>
          <cell r="EB30">
            <v>5.9000000000005457</v>
          </cell>
          <cell r="EC30">
            <v>5669.9</v>
          </cell>
          <cell r="ED30">
            <v>7.1999999999998181</v>
          </cell>
          <cell r="EE30">
            <v>1151414</v>
          </cell>
          <cell r="EF30">
            <v>554</v>
          </cell>
          <cell r="EI30">
            <v>237653.9</v>
          </cell>
          <cell r="EJ30">
            <v>150.19999999998254</v>
          </cell>
          <cell r="EL30">
            <v>12267700</v>
          </cell>
          <cell r="EM30">
            <v>2100</v>
          </cell>
          <cell r="EN30">
            <v>943900</v>
          </cell>
          <cell r="EO30">
            <v>200</v>
          </cell>
          <cell r="EP30">
            <v>7287500</v>
          </cell>
          <cell r="EQ30">
            <v>1100</v>
          </cell>
          <cell r="ER30">
            <v>2509400</v>
          </cell>
          <cell r="ES30">
            <v>400</v>
          </cell>
          <cell r="ET30">
            <v>1301950</v>
          </cell>
          <cell r="EU30">
            <v>510</v>
          </cell>
          <cell r="EV30">
            <v>16724200</v>
          </cell>
          <cell r="EW30">
            <v>1500</v>
          </cell>
          <cell r="EY30">
            <v>42811</v>
          </cell>
          <cell r="EZ30">
            <v>15</v>
          </cell>
          <cell r="FA30">
            <v>37363</v>
          </cell>
          <cell r="FB30">
            <v>14</v>
          </cell>
          <cell r="FC30">
            <v>7966</v>
          </cell>
          <cell r="FD30">
            <v>13</v>
          </cell>
          <cell r="FE30">
            <v>59905</v>
          </cell>
          <cell r="FF30">
            <v>18</v>
          </cell>
          <cell r="FG30">
            <v>51008</v>
          </cell>
          <cell r="FH30">
            <v>33</v>
          </cell>
        </row>
        <row r="31">
          <cell r="B31">
            <v>0.68</v>
          </cell>
          <cell r="E31">
            <v>238182</v>
          </cell>
          <cell r="F31">
            <v>513</v>
          </cell>
          <cell r="G31">
            <v>687</v>
          </cell>
          <cell r="H31">
            <v>261669</v>
          </cell>
          <cell r="I31">
            <v>416</v>
          </cell>
          <cell r="J31">
            <v>470</v>
          </cell>
          <cell r="K31">
            <v>14394</v>
          </cell>
          <cell r="L31">
            <v>232</v>
          </cell>
          <cell r="N31">
            <v>928485</v>
          </cell>
          <cell r="O31">
            <v>250</v>
          </cell>
          <cell r="Q31">
            <v>245635</v>
          </cell>
          <cell r="R31">
            <v>0</v>
          </cell>
          <cell r="U31">
            <v>119788</v>
          </cell>
          <cell r="V31">
            <v>66</v>
          </cell>
          <cell r="W31">
            <v>52.430000000000291</v>
          </cell>
          <cell r="X31">
            <v>6676</v>
          </cell>
          <cell r="Y31">
            <v>9</v>
          </cell>
          <cell r="AE31">
            <v>8256627.1199999992</v>
          </cell>
          <cell r="AF31">
            <v>3459.1199999991804</v>
          </cell>
          <cell r="AH31">
            <v>15677998.559999999</v>
          </cell>
          <cell r="AI31">
            <v>4823.2799999974668</v>
          </cell>
          <cell r="AK31">
            <v>15907713.359999999</v>
          </cell>
          <cell r="AL31">
            <v>7454.160000000149</v>
          </cell>
          <cell r="AN31">
            <v>19028472.960000001</v>
          </cell>
          <cell r="AO31">
            <v>48.720000002533197</v>
          </cell>
          <cell r="AQ31">
            <v>19284740.16</v>
          </cell>
          <cell r="AR31">
            <v>0</v>
          </cell>
          <cell r="AT31">
            <v>17813444.879999999</v>
          </cell>
          <cell r="AU31">
            <v>5992.5599999986589</v>
          </cell>
          <cell r="AW31">
            <v>14975699.76</v>
          </cell>
          <cell r="AX31">
            <v>4141.2000000011176</v>
          </cell>
          <cell r="AZ31">
            <v>14514077.76</v>
          </cell>
          <cell r="BA31">
            <v>4628.4000000003725</v>
          </cell>
          <cell r="BC31">
            <v>11315414.880000001</v>
          </cell>
          <cell r="BD31">
            <v>3264.2400000002235</v>
          </cell>
          <cell r="BF31">
            <v>17954879.039999999</v>
          </cell>
          <cell r="BG31">
            <v>5797.679999999702</v>
          </cell>
          <cell r="BM31">
            <v>78585000</v>
          </cell>
          <cell r="BN31">
            <v>34200</v>
          </cell>
          <cell r="BP31">
            <v>81454700</v>
          </cell>
          <cell r="BQ31">
            <v>0</v>
          </cell>
          <cell r="BS31">
            <v>75325600</v>
          </cell>
          <cell r="BT31">
            <v>0</v>
          </cell>
          <cell r="BV31">
            <v>10534990</v>
          </cell>
          <cell r="BW31">
            <v>6580</v>
          </cell>
          <cell r="BY31">
            <v>0.76</v>
          </cell>
          <cell r="BZ31">
            <v>-0.18000000000000005</v>
          </cell>
          <cell r="CB31">
            <v>65193</v>
          </cell>
          <cell r="CC31">
            <v>17</v>
          </cell>
          <cell r="CD31">
            <v>56276</v>
          </cell>
          <cell r="CE31">
            <v>20</v>
          </cell>
          <cell r="CF31">
            <v>19003</v>
          </cell>
          <cell r="CG31">
            <v>4</v>
          </cell>
          <cell r="CH31">
            <v>26037</v>
          </cell>
          <cell r="CI31">
            <v>9</v>
          </cell>
          <cell r="CJ31">
            <v>29126</v>
          </cell>
          <cell r="CK31">
            <v>13</v>
          </cell>
          <cell r="CL31">
            <v>64062</v>
          </cell>
          <cell r="CM31">
            <v>34</v>
          </cell>
          <cell r="CN31">
            <v>271354</v>
          </cell>
          <cell r="CO31">
            <v>84</v>
          </cell>
          <cell r="CQ31">
            <v>220017</v>
          </cell>
          <cell r="CR31">
            <v>121</v>
          </cell>
          <cell r="CT31">
            <v>367009</v>
          </cell>
          <cell r="CU31">
            <v>325</v>
          </cell>
          <cell r="CW31">
            <v>702348</v>
          </cell>
          <cell r="CX31">
            <v>174</v>
          </cell>
          <cell r="CZ31">
            <v>9249</v>
          </cell>
          <cell r="DA31">
            <v>5</v>
          </cell>
          <cell r="DB31">
            <v>6273</v>
          </cell>
          <cell r="DC31">
            <v>3</v>
          </cell>
          <cell r="DD31">
            <v>32853</v>
          </cell>
          <cell r="DE31">
            <v>21</v>
          </cell>
          <cell r="DF31">
            <v>32993</v>
          </cell>
          <cell r="DG31">
            <v>21</v>
          </cell>
          <cell r="DH31">
            <v>22328</v>
          </cell>
          <cell r="DI31">
            <v>9</v>
          </cell>
          <cell r="DJ31">
            <v>24310</v>
          </cell>
          <cell r="DK31">
            <v>3</v>
          </cell>
          <cell r="DL31">
            <v>7587</v>
          </cell>
          <cell r="DM31">
            <v>20</v>
          </cell>
          <cell r="DN31">
            <v>10124</v>
          </cell>
          <cell r="DO31">
            <v>11</v>
          </cell>
          <cell r="DP31">
            <v>3465</v>
          </cell>
          <cell r="DQ31">
            <v>7</v>
          </cell>
          <cell r="DR31">
            <v>6832</v>
          </cell>
          <cell r="DS31">
            <v>14</v>
          </cell>
          <cell r="DT31">
            <v>30473</v>
          </cell>
          <cell r="DU31">
            <v>15</v>
          </cell>
          <cell r="DW31">
            <v>6817.2</v>
          </cell>
          <cell r="DX31">
            <v>11.599999999999454</v>
          </cell>
          <cell r="DY31">
            <v>11631.2</v>
          </cell>
          <cell r="DZ31">
            <v>8.5</v>
          </cell>
          <cell r="EA31">
            <v>5090.1000000000004</v>
          </cell>
          <cell r="EB31">
            <v>6.3000000000001819</v>
          </cell>
          <cell r="EC31">
            <v>5676.6</v>
          </cell>
          <cell r="ED31">
            <v>6.7000000000007276</v>
          </cell>
          <cell r="EE31">
            <v>1151950</v>
          </cell>
          <cell r="EF31">
            <v>536</v>
          </cell>
          <cell r="EI31">
            <v>237812.9</v>
          </cell>
          <cell r="EJ31">
            <v>159</v>
          </cell>
          <cell r="EL31">
            <v>12270200</v>
          </cell>
          <cell r="EM31">
            <v>2500</v>
          </cell>
          <cell r="EN31">
            <v>944120</v>
          </cell>
          <cell r="EO31">
            <v>220</v>
          </cell>
          <cell r="EP31">
            <v>7288700</v>
          </cell>
          <cell r="EQ31">
            <v>1200</v>
          </cell>
          <cell r="ER31">
            <v>2509600</v>
          </cell>
          <cell r="ES31">
            <v>200</v>
          </cell>
          <cell r="ET31">
            <v>1302650</v>
          </cell>
          <cell r="EU31">
            <v>700</v>
          </cell>
          <cell r="EV31">
            <v>16724600</v>
          </cell>
          <cell r="EW31">
            <v>400</v>
          </cell>
          <cell r="EY31">
            <v>42825</v>
          </cell>
          <cell r="EZ31">
            <v>14</v>
          </cell>
          <cell r="FA31">
            <v>37373</v>
          </cell>
          <cell r="FB31">
            <v>10</v>
          </cell>
          <cell r="FC31">
            <v>7977</v>
          </cell>
          <cell r="FD31">
            <v>11</v>
          </cell>
          <cell r="FE31">
            <v>59917</v>
          </cell>
          <cell r="FF31">
            <v>12</v>
          </cell>
          <cell r="FG31">
            <v>51038</v>
          </cell>
          <cell r="FH31">
            <v>30</v>
          </cell>
        </row>
        <row r="32">
          <cell r="B32">
            <v>0.69</v>
          </cell>
          <cell r="E32">
            <v>238767</v>
          </cell>
          <cell r="F32">
            <v>585</v>
          </cell>
          <cell r="G32">
            <v>443</v>
          </cell>
          <cell r="H32">
            <v>262087</v>
          </cell>
          <cell r="I32">
            <v>418</v>
          </cell>
          <cell r="J32">
            <v>318</v>
          </cell>
          <cell r="K32">
            <v>14613</v>
          </cell>
          <cell r="L32">
            <v>219</v>
          </cell>
          <cell r="N32">
            <v>928771</v>
          </cell>
          <cell r="O32">
            <v>286</v>
          </cell>
          <cell r="Q32">
            <v>245696</v>
          </cell>
          <cell r="R32">
            <v>61</v>
          </cell>
          <cell r="U32">
            <v>119848</v>
          </cell>
          <cell r="V32">
            <v>60</v>
          </cell>
          <cell r="W32">
            <v>58.549999999995634</v>
          </cell>
          <cell r="X32">
            <v>6681</v>
          </cell>
          <cell r="Y32">
            <v>5</v>
          </cell>
          <cell r="AE32">
            <v>8259599.04</v>
          </cell>
          <cell r="AF32">
            <v>2971.9200000008568</v>
          </cell>
          <cell r="AH32">
            <v>15682383.359999999</v>
          </cell>
          <cell r="AI32">
            <v>4384.8000000007451</v>
          </cell>
          <cell r="AK32">
            <v>15909564.719999999</v>
          </cell>
          <cell r="AL32">
            <v>1851.359999999404</v>
          </cell>
          <cell r="AN32">
            <v>19032906.48</v>
          </cell>
          <cell r="AO32">
            <v>4433.519999999553</v>
          </cell>
          <cell r="AQ32">
            <v>19284788.879999999</v>
          </cell>
          <cell r="AR32">
            <v>48.719999998807907</v>
          </cell>
          <cell r="AT32">
            <v>17818657.919999998</v>
          </cell>
          <cell r="AU32">
            <v>5213.0399999991059</v>
          </cell>
          <cell r="AW32">
            <v>14979548.640000001</v>
          </cell>
          <cell r="AX32">
            <v>3848.8800000008196</v>
          </cell>
          <cell r="AZ32">
            <v>14518365.119999999</v>
          </cell>
          <cell r="BA32">
            <v>4287.359999999404</v>
          </cell>
          <cell r="BC32">
            <v>11318386.799999999</v>
          </cell>
          <cell r="BD32">
            <v>2971.9199999980628</v>
          </cell>
          <cell r="BF32">
            <v>17959897.199999999</v>
          </cell>
          <cell r="BG32">
            <v>5018.160000000149</v>
          </cell>
          <cell r="BM32">
            <v>78596300</v>
          </cell>
          <cell r="BN32">
            <v>11300</v>
          </cell>
          <cell r="BP32">
            <v>81476100</v>
          </cell>
          <cell r="BQ32">
            <v>21400</v>
          </cell>
          <cell r="BS32">
            <v>75325600</v>
          </cell>
          <cell r="BT32">
            <v>0</v>
          </cell>
          <cell r="BV32">
            <v>10541250</v>
          </cell>
          <cell r="BW32">
            <v>6260</v>
          </cell>
          <cell r="BY32">
            <v>0.67</v>
          </cell>
          <cell r="BZ32">
            <v>8.9999999999999969E-2</v>
          </cell>
          <cell r="CB32">
            <v>65209</v>
          </cell>
          <cell r="CC32">
            <v>16</v>
          </cell>
          <cell r="CD32">
            <v>56296</v>
          </cell>
          <cell r="CE32">
            <v>20</v>
          </cell>
          <cell r="CF32">
            <v>19010</v>
          </cell>
          <cell r="CG32">
            <v>7</v>
          </cell>
          <cell r="CH32">
            <v>26045</v>
          </cell>
          <cell r="CI32">
            <v>8</v>
          </cell>
          <cell r="CJ32">
            <v>29143</v>
          </cell>
          <cell r="CK32">
            <v>17</v>
          </cell>
          <cell r="CL32">
            <v>64094</v>
          </cell>
          <cell r="CM32">
            <v>32</v>
          </cell>
          <cell r="CN32">
            <v>271426</v>
          </cell>
          <cell r="CO32">
            <v>72</v>
          </cell>
          <cell r="CQ32">
            <v>220129</v>
          </cell>
          <cell r="CR32">
            <v>112</v>
          </cell>
          <cell r="CT32">
            <v>367288</v>
          </cell>
          <cell r="CU32">
            <v>279</v>
          </cell>
          <cell r="CW32">
            <v>702496</v>
          </cell>
          <cell r="CX32">
            <v>148</v>
          </cell>
          <cell r="CZ32">
            <v>9252</v>
          </cell>
          <cell r="DA32">
            <v>3</v>
          </cell>
          <cell r="DB32">
            <v>6275</v>
          </cell>
          <cell r="DC32">
            <v>2</v>
          </cell>
          <cell r="DD32">
            <v>32867</v>
          </cell>
          <cell r="DE32">
            <v>14</v>
          </cell>
          <cell r="DF32">
            <v>33007</v>
          </cell>
          <cell r="DG32">
            <v>14</v>
          </cell>
          <cell r="DH32">
            <v>22337</v>
          </cell>
          <cell r="DI32">
            <v>9</v>
          </cell>
          <cell r="DJ32">
            <v>24315</v>
          </cell>
          <cell r="DK32">
            <v>5</v>
          </cell>
          <cell r="DL32">
            <v>7597</v>
          </cell>
          <cell r="DM32">
            <v>10</v>
          </cell>
          <cell r="DN32">
            <v>10131</v>
          </cell>
          <cell r="DO32">
            <v>7</v>
          </cell>
          <cell r="DP32">
            <v>3470</v>
          </cell>
          <cell r="DQ32">
            <v>5</v>
          </cell>
          <cell r="DR32">
            <v>6838</v>
          </cell>
          <cell r="DS32">
            <v>6</v>
          </cell>
          <cell r="DT32">
            <v>30483</v>
          </cell>
          <cell r="DU32">
            <v>10</v>
          </cell>
          <cell r="DW32">
            <v>6827.4</v>
          </cell>
          <cell r="DX32">
            <v>10.199999999999818</v>
          </cell>
          <cell r="DY32">
            <v>11638.5</v>
          </cell>
          <cell r="DZ32">
            <v>7.2999999999992724</v>
          </cell>
          <cell r="EA32">
            <v>5095.5</v>
          </cell>
          <cell r="EB32">
            <v>5.3999999999996362</v>
          </cell>
          <cell r="EC32">
            <v>5682.7</v>
          </cell>
          <cell r="ED32">
            <v>6.0999999999994543</v>
          </cell>
          <cell r="EE32">
            <v>1152446</v>
          </cell>
          <cell r="EF32">
            <v>496</v>
          </cell>
          <cell r="EI32">
            <v>237955.6</v>
          </cell>
          <cell r="EJ32">
            <v>142.70000000001164</v>
          </cell>
          <cell r="EL32">
            <v>12271700</v>
          </cell>
          <cell r="EM32">
            <v>1500</v>
          </cell>
          <cell r="EN32">
            <v>944290</v>
          </cell>
          <cell r="EO32">
            <v>170</v>
          </cell>
          <cell r="EP32">
            <v>7289500</v>
          </cell>
          <cell r="EQ32">
            <v>800</v>
          </cell>
          <cell r="ER32">
            <v>2509700</v>
          </cell>
          <cell r="ES32">
            <v>100</v>
          </cell>
          <cell r="ET32">
            <v>1302970</v>
          </cell>
          <cell r="EU32">
            <v>320</v>
          </cell>
          <cell r="EV32">
            <v>16724900</v>
          </cell>
          <cell r="EW32">
            <v>300</v>
          </cell>
          <cell r="EY32">
            <v>42841</v>
          </cell>
          <cell r="EZ32">
            <v>16</v>
          </cell>
          <cell r="FA32">
            <v>37384</v>
          </cell>
          <cell r="FB32">
            <v>11</v>
          </cell>
          <cell r="FC32">
            <v>7986</v>
          </cell>
          <cell r="FD32">
            <v>9</v>
          </cell>
          <cell r="FE32">
            <v>59929</v>
          </cell>
          <cell r="FF32">
            <v>12</v>
          </cell>
          <cell r="FG32">
            <v>51069</v>
          </cell>
          <cell r="FH32">
            <v>31</v>
          </cell>
        </row>
        <row r="33">
          <cell r="B33">
            <v>0.69</v>
          </cell>
          <cell r="E33">
            <v>239298</v>
          </cell>
          <cell r="F33">
            <v>531</v>
          </cell>
          <cell r="G33">
            <v>662</v>
          </cell>
          <cell r="H33">
            <v>262453</v>
          </cell>
          <cell r="I33">
            <v>366</v>
          </cell>
          <cell r="J33">
            <v>349</v>
          </cell>
          <cell r="K33">
            <v>14829</v>
          </cell>
          <cell r="L33">
            <v>216</v>
          </cell>
          <cell r="N33">
            <v>929011</v>
          </cell>
          <cell r="O33">
            <v>240</v>
          </cell>
          <cell r="Q33">
            <v>245755</v>
          </cell>
          <cell r="R33">
            <v>59</v>
          </cell>
          <cell r="U33">
            <v>119908</v>
          </cell>
          <cell r="V33">
            <v>60</v>
          </cell>
          <cell r="W33">
            <v>53.270000000004075</v>
          </cell>
          <cell r="X33">
            <v>6687</v>
          </cell>
          <cell r="Y33">
            <v>6</v>
          </cell>
          <cell r="AE33">
            <v>8262522.2400000002</v>
          </cell>
          <cell r="AF33">
            <v>2923.2000000001863</v>
          </cell>
          <cell r="AH33">
            <v>15686768.16</v>
          </cell>
          <cell r="AI33">
            <v>4384.8000000007451</v>
          </cell>
          <cell r="AK33">
            <v>15913657.199999999</v>
          </cell>
          <cell r="AL33">
            <v>4092.480000000447</v>
          </cell>
          <cell r="AN33">
            <v>19035780.960000001</v>
          </cell>
          <cell r="AO33">
            <v>2874.480000000447</v>
          </cell>
          <cell r="AQ33">
            <v>19284788.879999999</v>
          </cell>
          <cell r="AR33">
            <v>0</v>
          </cell>
          <cell r="AT33">
            <v>17822506.800000001</v>
          </cell>
          <cell r="AU33">
            <v>3848.8800000026822</v>
          </cell>
          <cell r="AW33">
            <v>14983446.24</v>
          </cell>
          <cell r="AX33">
            <v>3897.5999999996275</v>
          </cell>
          <cell r="AZ33">
            <v>14522165.280000001</v>
          </cell>
          <cell r="BA33">
            <v>3800.1600000020117</v>
          </cell>
          <cell r="BC33">
            <v>11321358.719999999</v>
          </cell>
          <cell r="BD33">
            <v>2971.9199999999255</v>
          </cell>
          <cell r="BF33">
            <v>17965110.239999998</v>
          </cell>
          <cell r="BG33">
            <v>5213.0399999991059</v>
          </cell>
          <cell r="BM33">
            <v>78617600</v>
          </cell>
          <cell r="BN33">
            <v>21300</v>
          </cell>
          <cell r="BP33">
            <v>81487000</v>
          </cell>
          <cell r="BQ33">
            <v>10900</v>
          </cell>
          <cell r="BS33">
            <v>75325600</v>
          </cell>
          <cell r="BT33">
            <v>0</v>
          </cell>
          <cell r="BV33">
            <v>10547250</v>
          </cell>
          <cell r="BW33">
            <v>6000</v>
          </cell>
          <cell r="BY33">
            <v>0.74</v>
          </cell>
          <cell r="BZ33">
            <v>-6.9999999999999951E-2</v>
          </cell>
          <cell r="CB33">
            <v>65221</v>
          </cell>
          <cell r="CC33">
            <v>12</v>
          </cell>
          <cell r="CD33">
            <v>56309</v>
          </cell>
          <cell r="CE33">
            <v>13</v>
          </cell>
          <cell r="CF33">
            <v>19015</v>
          </cell>
          <cell r="CG33">
            <v>5</v>
          </cell>
          <cell r="CH33">
            <v>26050</v>
          </cell>
          <cell r="CI33">
            <v>5</v>
          </cell>
          <cell r="CJ33">
            <v>29157</v>
          </cell>
          <cell r="CK33">
            <v>14</v>
          </cell>
          <cell r="CL33">
            <v>64128</v>
          </cell>
          <cell r="CM33">
            <v>34</v>
          </cell>
          <cell r="CN33">
            <v>271505</v>
          </cell>
          <cell r="CO33">
            <v>79</v>
          </cell>
          <cell r="CQ33">
            <v>220237</v>
          </cell>
          <cell r="CR33">
            <v>108</v>
          </cell>
          <cell r="CT33">
            <v>367571</v>
          </cell>
          <cell r="CU33">
            <v>283</v>
          </cell>
          <cell r="CW33">
            <v>702659</v>
          </cell>
          <cell r="CX33">
            <v>163</v>
          </cell>
          <cell r="CZ33">
            <v>9257</v>
          </cell>
          <cell r="DA33">
            <v>5</v>
          </cell>
          <cell r="DB33">
            <v>6277</v>
          </cell>
          <cell r="DC33">
            <v>2</v>
          </cell>
          <cell r="DD33">
            <v>32882</v>
          </cell>
          <cell r="DE33">
            <v>15</v>
          </cell>
          <cell r="DF33">
            <v>33021</v>
          </cell>
          <cell r="DG33">
            <v>14</v>
          </cell>
          <cell r="DH33">
            <v>22346</v>
          </cell>
          <cell r="DI33">
            <v>9</v>
          </cell>
          <cell r="DJ33">
            <v>24319</v>
          </cell>
          <cell r="DK33">
            <v>4</v>
          </cell>
          <cell r="DL33">
            <v>7606</v>
          </cell>
          <cell r="DM33">
            <v>9</v>
          </cell>
          <cell r="DN33">
            <v>10137</v>
          </cell>
          <cell r="DO33">
            <v>6</v>
          </cell>
          <cell r="DP33">
            <v>3475</v>
          </cell>
          <cell r="DQ33">
            <v>5</v>
          </cell>
          <cell r="DR33">
            <v>6844</v>
          </cell>
          <cell r="DS33">
            <v>6</v>
          </cell>
          <cell r="DT33">
            <v>30486</v>
          </cell>
          <cell r="DU33">
            <v>3</v>
          </cell>
          <cell r="DW33">
            <v>6838.5</v>
          </cell>
          <cell r="DX33">
            <v>11.100000000000364</v>
          </cell>
          <cell r="DY33">
            <v>11646.5</v>
          </cell>
          <cell r="DZ33">
            <v>8</v>
          </cell>
          <cell r="EA33">
            <v>5101.6000000000004</v>
          </cell>
          <cell r="EB33">
            <v>6.1000000000003638</v>
          </cell>
          <cell r="EC33">
            <v>5689.2</v>
          </cell>
          <cell r="ED33">
            <v>6.5</v>
          </cell>
          <cell r="EE33">
            <v>1152952</v>
          </cell>
          <cell r="EF33">
            <v>506</v>
          </cell>
          <cell r="EI33">
            <v>238109</v>
          </cell>
          <cell r="EJ33">
            <v>153.39999999999418</v>
          </cell>
          <cell r="EL33">
            <v>12273700</v>
          </cell>
          <cell r="EM33">
            <v>2000</v>
          </cell>
          <cell r="EN33">
            <v>944490</v>
          </cell>
          <cell r="EO33">
            <v>200</v>
          </cell>
          <cell r="EP33">
            <v>7290500</v>
          </cell>
          <cell r="EQ33">
            <v>1000</v>
          </cell>
          <cell r="ER33">
            <v>2509900</v>
          </cell>
          <cell r="ES33">
            <v>200</v>
          </cell>
          <cell r="ET33">
            <v>1303350</v>
          </cell>
          <cell r="EU33">
            <v>380</v>
          </cell>
          <cell r="EV33">
            <v>16725300</v>
          </cell>
          <cell r="EW33">
            <v>400</v>
          </cell>
          <cell r="EY33">
            <v>42856</v>
          </cell>
          <cell r="EZ33">
            <v>15</v>
          </cell>
          <cell r="FA33">
            <v>37395</v>
          </cell>
          <cell r="FB33">
            <v>11</v>
          </cell>
          <cell r="FC33">
            <v>7995</v>
          </cell>
          <cell r="FD33">
            <v>9</v>
          </cell>
          <cell r="FE33">
            <v>59941</v>
          </cell>
          <cell r="FF33">
            <v>12</v>
          </cell>
          <cell r="FG33">
            <v>51100</v>
          </cell>
          <cell r="FH33">
            <v>31</v>
          </cell>
        </row>
        <row r="34">
          <cell r="B34">
            <v>0.75</v>
          </cell>
          <cell r="E34">
            <v>239912</v>
          </cell>
          <cell r="F34">
            <v>614</v>
          </cell>
          <cell r="G34">
            <v>482</v>
          </cell>
          <cell r="H34">
            <v>262836</v>
          </cell>
          <cell r="I34">
            <v>383</v>
          </cell>
          <cell r="J34">
            <v>385</v>
          </cell>
          <cell r="K34">
            <v>15072</v>
          </cell>
          <cell r="L34">
            <v>243</v>
          </cell>
          <cell r="N34">
            <v>929073</v>
          </cell>
          <cell r="O34">
            <v>62</v>
          </cell>
          <cell r="Q34">
            <v>245861</v>
          </cell>
          <cell r="R34">
            <v>106</v>
          </cell>
          <cell r="U34">
            <v>119955</v>
          </cell>
          <cell r="V34">
            <v>47</v>
          </cell>
          <cell r="W34">
            <v>51.790000000000873</v>
          </cell>
          <cell r="X34">
            <v>6690</v>
          </cell>
          <cell r="Y34">
            <v>3</v>
          </cell>
          <cell r="AE34">
            <v>8265494.1599999992</v>
          </cell>
          <cell r="AF34">
            <v>2971.9199999989942</v>
          </cell>
          <cell r="AH34">
            <v>15691347.84</v>
          </cell>
          <cell r="AI34">
            <v>4579.679999999702</v>
          </cell>
          <cell r="AK34">
            <v>15913657.199999999</v>
          </cell>
          <cell r="AL34">
            <v>0</v>
          </cell>
          <cell r="AN34">
            <v>19041383.760000002</v>
          </cell>
          <cell r="AO34">
            <v>5602.8000000007451</v>
          </cell>
          <cell r="AQ34">
            <v>19285812</v>
          </cell>
          <cell r="AR34">
            <v>1023.1200000010431</v>
          </cell>
          <cell r="AT34">
            <v>17827671.119999997</v>
          </cell>
          <cell r="AU34">
            <v>5164.3199999965727</v>
          </cell>
          <cell r="AW34">
            <v>14987490</v>
          </cell>
          <cell r="AX34">
            <v>4043.7599999997765</v>
          </cell>
          <cell r="AZ34">
            <v>14526452.640000001</v>
          </cell>
          <cell r="BA34">
            <v>4287.359999999404</v>
          </cell>
          <cell r="BC34">
            <v>11324817.84</v>
          </cell>
          <cell r="BD34">
            <v>3459.1200000010431</v>
          </cell>
          <cell r="BF34">
            <v>17970469.439999998</v>
          </cell>
          <cell r="BG34">
            <v>5359.1999999992549</v>
          </cell>
          <cell r="BM34">
            <v>78617600</v>
          </cell>
          <cell r="BN34">
            <v>0</v>
          </cell>
          <cell r="BP34">
            <v>81512900</v>
          </cell>
          <cell r="BQ34">
            <v>25900</v>
          </cell>
          <cell r="BS34">
            <v>75329200</v>
          </cell>
          <cell r="BT34">
            <v>3600</v>
          </cell>
          <cell r="BV34">
            <v>10552910</v>
          </cell>
          <cell r="BW34">
            <v>5660</v>
          </cell>
          <cell r="BY34">
            <v>0.65</v>
          </cell>
          <cell r="BZ34">
            <v>8.9999999999999969E-2</v>
          </cell>
          <cell r="CB34">
            <v>65236</v>
          </cell>
          <cell r="CC34">
            <v>15</v>
          </cell>
          <cell r="CD34">
            <v>56329</v>
          </cell>
          <cell r="CE34">
            <v>20</v>
          </cell>
          <cell r="CF34">
            <v>19021</v>
          </cell>
          <cell r="CG34">
            <v>6</v>
          </cell>
          <cell r="CH34">
            <v>26061</v>
          </cell>
          <cell r="CI34">
            <v>11</v>
          </cell>
          <cell r="CJ34">
            <v>29173</v>
          </cell>
          <cell r="CK34">
            <v>16</v>
          </cell>
          <cell r="CL34">
            <v>64165</v>
          </cell>
          <cell r="CM34">
            <v>37</v>
          </cell>
          <cell r="CN34">
            <v>271582</v>
          </cell>
          <cell r="CO34">
            <v>77</v>
          </cell>
          <cell r="CQ34">
            <v>220353</v>
          </cell>
          <cell r="CR34">
            <v>116</v>
          </cell>
          <cell r="CT34">
            <v>367864</v>
          </cell>
          <cell r="CU34">
            <v>293</v>
          </cell>
          <cell r="CW34">
            <v>702819</v>
          </cell>
          <cell r="CX34">
            <v>160</v>
          </cell>
          <cell r="CZ34">
            <v>9268</v>
          </cell>
          <cell r="DA34">
            <v>11</v>
          </cell>
          <cell r="DB34">
            <v>6284</v>
          </cell>
          <cell r="DC34">
            <v>7</v>
          </cell>
          <cell r="DD34">
            <v>32895</v>
          </cell>
          <cell r="DE34">
            <v>13</v>
          </cell>
          <cell r="DF34">
            <v>33032</v>
          </cell>
          <cell r="DG34">
            <v>11</v>
          </cell>
          <cell r="DH34">
            <v>22354</v>
          </cell>
          <cell r="DI34">
            <v>8</v>
          </cell>
          <cell r="DJ34">
            <v>24323</v>
          </cell>
          <cell r="DK34">
            <v>4</v>
          </cell>
          <cell r="DL34">
            <v>7617</v>
          </cell>
          <cell r="DM34">
            <v>11</v>
          </cell>
          <cell r="DN34">
            <v>10143</v>
          </cell>
          <cell r="DO34">
            <v>6</v>
          </cell>
          <cell r="DP34">
            <v>3479</v>
          </cell>
          <cell r="DQ34">
            <v>4</v>
          </cell>
          <cell r="DR34">
            <v>6850</v>
          </cell>
          <cell r="DS34">
            <v>6</v>
          </cell>
          <cell r="DT34">
            <v>30489</v>
          </cell>
          <cell r="DU34">
            <v>3</v>
          </cell>
          <cell r="DW34">
            <v>6849</v>
          </cell>
          <cell r="DX34">
            <v>10.5</v>
          </cell>
          <cell r="DY34">
            <v>11654.3</v>
          </cell>
          <cell r="DZ34">
            <v>7.7999999999992724</v>
          </cell>
          <cell r="EA34">
            <v>5107.3999999999996</v>
          </cell>
          <cell r="EB34">
            <v>5.7999999999992724</v>
          </cell>
          <cell r="EC34">
            <v>5695.4</v>
          </cell>
          <cell r="ED34">
            <v>6.1999999999998181</v>
          </cell>
          <cell r="EE34">
            <v>1153467</v>
          </cell>
          <cell r="EF34">
            <v>515</v>
          </cell>
          <cell r="EI34">
            <v>238261.5</v>
          </cell>
          <cell r="EJ34">
            <v>152.5</v>
          </cell>
          <cell r="EL34">
            <v>12275500</v>
          </cell>
          <cell r="EM34">
            <v>1800</v>
          </cell>
          <cell r="EN34">
            <v>944690</v>
          </cell>
          <cell r="EO34">
            <v>200</v>
          </cell>
          <cell r="EP34">
            <v>7291400</v>
          </cell>
          <cell r="EQ34">
            <v>900</v>
          </cell>
          <cell r="ER34">
            <v>2510000</v>
          </cell>
          <cell r="ES34">
            <v>100</v>
          </cell>
          <cell r="ET34">
            <v>1303710</v>
          </cell>
          <cell r="EU34">
            <v>360</v>
          </cell>
          <cell r="EV34">
            <v>16725700</v>
          </cell>
          <cell r="EW34">
            <v>400</v>
          </cell>
          <cell r="EY34">
            <v>42872</v>
          </cell>
          <cell r="EZ34">
            <v>16</v>
          </cell>
          <cell r="FA34">
            <v>37406</v>
          </cell>
          <cell r="FB34">
            <v>11</v>
          </cell>
          <cell r="FC34">
            <v>8005</v>
          </cell>
          <cell r="FD34">
            <v>10</v>
          </cell>
          <cell r="FE34">
            <v>59956</v>
          </cell>
          <cell r="FF34">
            <v>15</v>
          </cell>
          <cell r="FG34">
            <v>51131</v>
          </cell>
          <cell r="FH34">
            <v>31</v>
          </cell>
        </row>
        <row r="35">
          <cell r="B35">
            <v>0.85</v>
          </cell>
          <cell r="E35">
            <v>240360</v>
          </cell>
          <cell r="F35">
            <v>448</v>
          </cell>
          <cell r="G35">
            <v>676</v>
          </cell>
          <cell r="H35">
            <v>263220</v>
          </cell>
          <cell r="I35">
            <v>384</v>
          </cell>
          <cell r="J35">
            <v>367</v>
          </cell>
          <cell r="K35">
            <v>15267</v>
          </cell>
          <cell r="L35">
            <v>195</v>
          </cell>
          <cell r="N35">
            <v>929073</v>
          </cell>
          <cell r="O35">
            <v>0</v>
          </cell>
          <cell r="Q35">
            <v>245861</v>
          </cell>
          <cell r="R35">
            <v>0</v>
          </cell>
          <cell r="U35">
            <v>120008</v>
          </cell>
          <cell r="V35">
            <v>53</v>
          </cell>
          <cell r="W35">
            <v>61.709999999999127</v>
          </cell>
          <cell r="X35">
            <v>6698</v>
          </cell>
          <cell r="Y35">
            <v>8</v>
          </cell>
          <cell r="AE35">
            <v>8268222.4800000004</v>
          </cell>
          <cell r="AF35">
            <v>2728.3200000012293</v>
          </cell>
          <cell r="AH35">
            <v>15695732.640000001</v>
          </cell>
          <cell r="AI35">
            <v>4384.8000000007451</v>
          </cell>
          <cell r="AK35">
            <v>15913657.199999999</v>
          </cell>
          <cell r="AL35">
            <v>0</v>
          </cell>
          <cell r="AN35">
            <v>19042309.439999998</v>
          </cell>
          <cell r="AO35">
            <v>925.67999999597669</v>
          </cell>
          <cell r="AQ35">
            <v>19291268.639999997</v>
          </cell>
          <cell r="AR35">
            <v>5456.6399999968708</v>
          </cell>
          <cell r="AT35">
            <v>17832055.919999998</v>
          </cell>
          <cell r="AU35">
            <v>4384.8000000007451</v>
          </cell>
          <cell r="AW35">
            <v>14991241.439999999</v>
          </cell>
          <cell r="AX35">
            <v>3751.4399999994785</v>
          </cell>
          <cell r="AZ35">
            <v>14530642.559999999</v>
          </cell>
          <cell r="BA35">
            <v>4189.9199999980628</v>
          </cell>
          <cell r="BC35">
            <v>11327838.48</v>
          </cell>
          <cell r="BD35">
            <v>3020.640000000596</v>
          </cell>
          <cell r="BF35">
            <v>17975682.48</v>
          </cell>
          <cell r="BG35">
            <v>5213.0400000028312</v>
          </cell>
          <cell r="BM35">
            <v>78617600</v>
          </cell>
          <cell r="BN35">
            <v>0</v>
          </cell>
          <cell r="BP35">
            <v>81516700</v>
          </cell>
          <cell r="BQ35">
            <v>3800</v>
          </cell>
          <cell r="BS35">
            <v>75355300</v>
          </cell>
          <cell r="BT35">
            <v>26100</v>
          </cell>
          <cell r="BV35">
            <v>10558120</v>
          </cell>
          <cell r="BW35">
            <v>5210</v>
          </cell>
          <cell r="BY35">
            <v>0.69</v>
          </cell>
          <cell r="BZ35">
            <v>-3.9999999999999925E-2</v>
          </cell>
          <cell r="CB35">
            <v>65253</v>
          </cell>
          <cell r="CC35">
            <v>17</v>
          </cell>
          <cell r="CD35">
            <v>56349</v>
          </cell>
          <cell r="CE35">
            <v>20</v>
          </cell>
          <cell r="CF35">
            <v>19026</v>
          </cell>
          <cell r="CG35">
            <v>5</v>
          </cell>
          <cell r="CH35">
            <v>26070</v>
          </cell>
          <cell r="CI35">
            <v>9</v>
          </cell>
          <cell r="CJ35">
            <v>29188</v>
          </cell>
          <cell r="CK35">
            <v>15</v>
          </cell>
          <cell r="CL35">
            <v>64197</v>
          </cell>
          <cell r="CM35">
            <v>32</v>
          </cell>
          <cell r="CN35">
            <v>271657</v>
          </cell>
          <cell r="CO35">
            <v>75</v>
          </cell>
          <cell r="CQ35">
            <v>220466</v>
          </cell>
          <cell r="CR35">
            <v>113</v>
          </cell>
          <cell r="CT35">
            <v>368150</v>
          </cell>
          <cell r="CU35">
            <v>286</v>
          </cell>
          <cell r="CW35">
            <v>702975</v>
          </cell>
          <cell r="CX35">
            <v>156</v>
          </cell>
          <cell r="CZ35">
            <v>9277</v>
          </cell>
          <cell r="DA35">
            <v>9</v>
          </cell>
          <cell r="DB35">
            <v>6287</v>
          </cell>
          <cell r="DC35">
            <v>3</v>
          </cell>
          <cell r="DD35">
            <v>32909</v>
          </cell>
          <cell r="DE35">
            <v>14</v>
          </cell>
          <cell r="DF35">
            <v>33047</v>
          </cell>
          <cell r="DG35">
            <v>15</v>
          </cell>
          <cell r="DH35">
            <v>22363</v>
          </cell>
          <cell r="DI35">
            <v>9</v>
          </cell>
          <cell r="DJ35">
            <v>24328</v>
          </cell>
          <cell r="DK35">
            <v>5</v>
          </cell>
          <cell r="DL35">
            <v>7628</v>
          </cell>
          <cell r="DM35">
            <v>11</v>
          </cell>
          <cell r="DN35">
            <v>10151</v>
          </cell>
          <cell r="DO35">
            <v>8</v>
          </cell>
          <cell r="DP35">
            <v>3484</v>
          </cell>
          <cell r="DQ35">
            <v>5</v>
          </cell>
          <cell r="DR35">
            <v>6856</v>
          </cell>
          <cell r="DS35">
            <v>6</v>
          </cell>
          <cell r="DT35">
            <v>30489</v>
          </cell>
          <cell r="DU35">
            <v>0</v>
          </cell>
          <cell r="DW35">
            <v>6859.7</v>
          </cell>
          <cell r="DX35">
            <v>10.699999999999818</v>
          </cell>
          <cell r="DY35">
            <v>11661.4</v>
          </cell>
          <cell r="DZ35">
            <v>7.1000000000003638</v>
          </cell>
          <cell r="EA35">
            <v>5113.1000000000004</v>
          </cell>
          <cell r="EB35">
            <v>5.7000000000007276</v>
          </cell>
          <cell r="EC35">
            <v>5701.7</v>
          </cell>
          <cell r="ED35">
            <v>6.3000000000001819</v>
          </cell>
          <cell r="EE35">
            <v>1153955</v>
          </cell>
          <cell r="EF35">
            <v>488</v>
          </cell>
          <cell r="EI35">
            <v>238408.2</v>
          </cell>
          <cell r="EJ35">
            <v>146.70000000001164</v>
          </cell>
          <cell r="EL35">
            <v>12277400</v>
          </cell>
          <cell r="EM35">
            <v>1900</v>
          </cell>
          <cell r="EN35">
            <v>944900</v>
          </cell>
          <cell r="EO35">
            <v>210</v>
          </cell>
          <cell r="EP35">
            <v>7292200</v>
          </cell>
          <cell r="EQ35">
            <v>800</v>
          </cell>
          <cell r="ER35">
            <v>2510200</v>
          </cell>
          <cell r="ES35">
            <v>200</v>
          </cell>
          <cell r="ET35">
            <v>1304140</v>
          </cell>
          <cell r="EU35">
            <v>430</v>
          </cell>
          <cell r="EV35">
            <v>16726800</v>
          </cell>
          <cell r="EW35">
            <v>1100</v>
          </cell>
          <cell r="EY35">
            <v>42886</v>
          </cell>
          <cell r="EZ35">
            <v>14</v>
          </cell>
          <cell r="FA35">
            <v>37417</v>
          </cell>
          <cell r="FB35">
            <v>11</v>
          </cell>
          <cell r="FC35">
            <v>8013</v>
          </cell>
          <cell r="FD35">
            <v>8</v>
          </cell>
          <cell r="FE35">
            <v>59970</v>
          </cell>
          <cell r="FF35">
            <v>14</v>
          </cell>
          <cell r="FG35">
            <v>51161</v>
          </cell>
          <cell r="FH35">
            <v>30</v>
          </cell>
        </row>
        <row r="36">
          <cell r="B36">
            <v>0.85</v>
          </cell>
          <cell r="E36">
            <v>240896</v>
          </cell>
          <cell r="F36">
            <v>536</v>
          </cell>
          <cell r="G36">
            <v>493</v>
          </cell>
          <cell r="H36">
            <v>263643</v>
          </cell>
          <cell r="I36">
            <v>423</v>
          </cell>
          <cell r="J36">
            <v>389</v>
          </cell>
          <cell r="K36">
            <v>15269</v>
          </cell>
          <cell r="L36">
            <v>2</v>
          </cell>
          <cell r="N36">
            <v>929073</v>
          </cell>
          <cell r="O36">
            <v>0</v>
          </cell>
          <cell r="Q36">
            <v>245861</v>
          </cell>
          <cell r="R36">
            <v>0</v>
          </cell>
          <cell r="U36">
            <v>120055</v>
          </cell>
          <cell r="V36">
            <v>47</v>
          </cell>
          <cell r="W36">
            <v>68.809999999997672</v>
          </cell>
          <cell r="X36">
            <v>6703</v>
          </cell>
          <cell r="Y36">
            <v>5</v>
          </cell>
          <cell r="AE36">
            <v>8270999.5199999996</v>
          </cell>
          <cell r="AF36">
            <v>2777.0399999991059</v>
          </cell>
          <cell r="AH36">
            <v>15700458.48</v>
          </cell>
          <cell r="AI36">
            <v>4725.839999999851</v>
          </cell>
          <cell r="AK36">
            <v>15913657.199999999</v>
          </cell>
          <cell r="AL36">
            <v>0</v>
          </cell>
          <cell r="AN36">
            <v>19048691.760000002</v>
          </cell>
          <cell r="AO36">
            <v>6382.3200000040233</v>
          </cell>
          <cell r="AQ36">
            <v>19291268.639999997</v>
          </cell>
          <cell r="AR36">
            <v>0</v>
          </cell>
          <cell r="AT36">
            <v>17836392</v>
          </cell>
          <cell r="AU36">
            <v>4336.0800000019372</v>
          </cell>
          <cell r="AW36">
            <v>14994992.880000001</v>
          </cell>
          <cell r="AX36">
            <v>3751.4400000013411</v>
          </cell>
          <cell r="AZ36">
            <v>14535027.359999999</v>
          </cell>
          <cell r="BA36">
            <v>4384.8000000007451</v>
          </cell>
          <cell r="BC36">
            <v>11330664.24</v>
          </cell>
          <cell r="BD36">
            <v>2825.7599999997765</v>
          </cell>
          <cell r="BF36">
            <v>17981139.119999997</v>
          </cell>
          <cell r="BG36">
            <v>5456.6399999968708</v>
          </cell>
          <cell r="BM36">
            <v>78617600</v>
          </cell>
          <cell r="BN36">
            <v>0</v>
          </cell>
          <cell r="BP36">
            <v>81543400</v>
          </cell>
          <cell r="BQ36">
            <v>26700</v>
          </cell>
          <cell r="BS36">
            <v>75355300</v>
          </cell>
          <cell r="BT36">
            <v>0</v>
          </cell>
          <cell r="BV36">
            <v>10564080</v>
          </cell>
          <cell r="BW36">
            <v>5960</v>
          </cell>
          <cell r="BY36">
            <v>0.61</v>
          </cell>
          <cell r="BZ36">
            <v>7.999999999999996E-2</v>
          </cell>
          <cell r="CB36">
            <v>65271</v>
          </cell>
          <cell r="CC36">
            <v>18</v>
          </cell>
          <cell r="CD36">
            <v>56371</v>
          </cell>
          <cell r="CE36">
            <v>22</v>
          </cell>
          <cell r="CF36">
            <v>19034</v>
          </cell>
          <cell r="CG36">
            <v>8</v>
          </cell>
          <cell r="CH36">
            <v>26080</v>
          </cell>
          <cell r="CI36">
            <v>10</v>
          </cell>
          <cell r="CJ36">
            <v>29203</v>
          </cell>
          <cell r="CK36">
            <v>15</v>
          </cell>
          <cell r="CL36">
            <v>64229</v>
          </cell>
          <cell r="CM36">
            <v>32</v>
          </cell>
          <cell r="CN36">
            <v>271737</v>
          </cell>
          <cell r="CO36">
            <v>80</v>
          </cell>
          <cell r="CQ36">
            <v>220605</v>
          </cell>
          <cell r="CR36">
            <v>139</v>
          </cell>
          <cell r="CT36">
            <v>368449</v>
          </cell>
          <cell r="CU36">
            <v>299</v>
          </cell>
          <cell r="CW36">
            <v>703141</v>
          </cell>
          <cell r="CX36">
            <v>166</v>
          </cell>
          <cell r="CZ36">
            <v>9287</v>
          </cell>
          <cell r="DA36">
            <v>10</v>
          </cell>
          <cell r="DB36">
            <v>6293</v>
          </cell>
          <cell r="DC36">
            <v>6</v>
          </cell>
          <cell r="DD36">
            <v>32926</v>
          </cell>
          <cell r="DE36">
            <v>17</v>
          </cell>
          <cell r="DF36">
            <v>33065</v>
          </cell>
          <cell r="DG36">
            <v>18</v>
          </cell>
          <cell r="DH36">
            <v>22374</v>
          </cell>
          <cell r="DI36">
            <v>11</v>
          </cell>
          <cell r="DJ36">
            <v>24333</v>
          </cell>
          <cell r="DK36">
            <v>5</v>
          </cell>
          <cell r="DL36">
            <v>7640</v>
          </cell>
          <cell r="DM36">
            <v>12</v>
          </cell>
          <cell r="DN36">
            <v>10159</v>
          </cell>
          <cell r="DO36">
            <v>8</v>
          </cell>
          <cell r="DP36">
            <v>3489</v>
          </cell>
          <cell r="DQ36">
            <v>5</v>
          </cell>
          <cell r="DR36">
            <v>6863</v>
          </cell>
          <cell r="DS36">
            <v>7</v>
          </cell>
          <cell r="DT36">
            <v>30489</v>
          </cell>
          <cell r="DU36">
            <v>0</v>
          </cell>
          <cell r="DW36">
            <v>6871.4</v>
          </cell>
          <cell r="DX36">
            <v>11.699999999999818</v>
          </cell>
          <cell r="DY36">
            <v>11668.4</v>
          </cell>
          <cell r="DZ36">
            <v>7</v>
          </cell>
          <cell r="EA36">
            <v>5119.2</v>
          </cell>
          <cell r="EB36">
            <v>6.0999999999994543</v>
          </cell>
          <cell r="EC36">
            <v>5708.8</v>
          </cell>
          <cell r="ED36">
            <v>7.1000000000003638</v>
          </cell>
          <cell r="EE36">
            <v>1154498</v>
          </cell>
          <cell r="EF36">
            <v>543</v>
          </cell>
          <cell r="EI36">
            <v>238566.8</v>
          </cell>
          <cell r="EJ36">
            <v>158.59999999997672</v>
          </cell>
          <cell r="EL36">
            <v>12279000</v>
          </cell>
          <cell r="EM36">
            <v>1600</v>
          </cell>
          <cell r="EN36">
            <v>945120</v>
          </cell>
          <cell r="EO36">
            <v>220</v>
          </cell>
          <cell r="EP36">
            <v>7292800</v>
          </cell>
          <cell r="EQ36">
            <v>600</v>
          </cell>
          <cell r="ER36">
            <v>2510400</v>
          </cell>
          <cell r="ES36">
            <v>200</v>
          </cell>
          <cell r="ET36">
            <v>1304670</v>
          </cell>
          <cell r="EU36">
            <v>530</v>
          </cell>
          <cell r="EV36">
            <v>16727300</v>
          </cell>
          <cell r="EW36">
            <v>500</v>
          </cell>
          <cell r="EY36">
            <v>42903</v>
          </cell>
          <cell r="EZ36">
            <v>17</v>
          </cell>
          <cell r="FA36">
            <v>37429</v>
          </cell>
          <cell r="FB36">
            <v>12</v>
          </cell>
          <cell r="FC36">
            <v>8026</v>
          </cell>
          <cell r="FD36">
            <v>13</v>
          </cell>
          <cell r="FE36">
            <v>59985</v>
          </cell>
          <cell r="FF36">
            <v>15</v>
          </cell>
          <cell r="FG36">
            <v>51199</v>
          </cell>
          <cell r="FH36">
            <v>38</v>
          </cell>
        </row>
        <row r="37">
          <cell r="B37">
            <v>0.83</v>
          </cell>
          <cell r="E37">
            <v>241473</v>
          </cell>
          <cell r="F37">
            <v>577</v>
          </cell>
          <cell r="G37">
            <v>534</v>
          </cell>
          <cell r="H37">
            <v>264129</v>
          </cell>
          <cell r="I37">
            <v>486</v>
          </cell>
          <cell r="J37">
            <v>400</v>
          </cell>
          <cell r="K37">
            <v>15269</v>
          </cell>
          <cell r="L37">
            <v>0</v>
          </cell>
          <cell r="N37">
            <v>929073</v>
          </cell>
          <cell r="O37">
            <v>0</v>
          </cell>
          <cell r="Q37">
            <v>245861</v>
          </cell>
          <cell r="R37">
            <v>0</v>
          </cell>
          <cell r="U37">
            <v>120109</v>
          </cell>
          <cell r="V37">
            <v>54</v>
          </cell>
          <cell r="W37">
            <v>65.5</v>
          </cell>
          <cell r="X37">
            <v>6705</v>
          </cell>
          <cell r="Y37">
            <v>2</v>
          </cell>
          <cell r="AE37">
            <v>8272802.1599999992</v>
          </cell>
          <cell r="AF37">
            <v>1802.6399999996647</v>
          </cell>
          <cell r="AH37">
            <v>15704794.559999999</v>
          </cell>
          <cell r="AI37">
            <v>4336.0799999982119</v>
          </cell>
          <cell r="AK37">
            <v>15913657.199999999</v>
          </cell>
          <cell r="AL37">
            <v>0</v>
          </cell>
          <cell r="AN37">
            <v>19050007.199999999</v>
          </cell>
          <cell r="AO37">
            <v>1315.4399999976158</v>
          </cell>
          <cell r="AQ37">
            <v>19297163.760000002</v>
          </cell>
          <cell r="AR37">
            <v>5895.1200000047684</v>
          </cell>
          <cell r="AT37">
            <v>17840630.639999997</v>
          </cell>
          <cell r="AU37">
            <v>4238.6399999968708</v>
          </cell>
          <cell r="AW37">
            <v>14998890.48</v>
          </cell>
          <cell r="AX37">
            <v>3897.5999999996275</v>
          </cell>
          <cell r="AZ37">
            <v>14539217.280000001</v>
          </cell>
          <cell r="BA37">
            <v>4189.9200000017881</v>
          </cell>
          <cell r="BC37">
            <v>11333490</v>
          </cell>
          <cell r="BD37">
            <v>2825.7599999997765</v>
          </cell>
          <cell r="BF37">
            <v>17986790.639999997</v>
          </cell>
          <cell r="BG37">
            <v>5651.519999999553</v>
          </cell>
          <cell r="BM37">
            <v>78617600</v>
          </cell>
          <cell r="BN37">
            <v>0</v>
          </cell>
          <cell r="BP37">
            <v>81547000</v>
          </cell>
          <cell r="BQ37">
            <v>3600</v>
          </cell>
          <cell r="BS37">
            <v>75380800</v>
          </cell>
          <cell r="BT37">
            <v>25500</v>
          </cell>
          <cell r="BV37">
            <v>10570620</v>
          </cell>
          <cell r="BW37">
            <v>6540</v>
          </cell>
          <cell r="BY37">
            <v>0.7</v>
          </cell>
          <cell r="BZ37">
            <v>-8.9999999999999969E-2</v>
          </cell>
          <cell r="CB37">
            <v>65287</v>
          </cell>
          <cell r="CC37">
            <v>16</v>
          </cell>
          <cell r="CD37">
            <v>56392</v>
          </cell>
          <cell r="CE37">
            <v>21</v>
          </cell>
          <cell r="CF37">
            <v>19040</v>
          </cell>
          <cell r="CG37">
            <v>6</v>
          </cell>
          <cell r="CH37">
            <v>26089</v>
          </cell>
          <cell r="CI37">
            <v>9</v>
          </cell>
          <cell r="CJ37">
            <v>29217</v>
          </cell>
          <cell r="CK37">
            <v>14</v>
          </cell>
          <cell r="CL37">
            <v>64264</v>
          </cell>
          <cell r="CM37">
            <v>35</v>
          </cell>
          <cell r="CN37">
            <v>271812</v>
          </cell>
          <cell r="CO37">
            <v>75</v>
          </cell>
          <cell r="CQ37">
            <v>220729</v>
          </cell>
          <cell r="CR37">
            <v>124</v>
          </cell>
          <cell r="CT37">
            <v>368722</v>
          </cell>
          <cell r="CU37">
            <v>273</v>
          </cell>
          <cell r="CW37">
            <v>703300</v>
          </cell>
          <cell r="CX37">
            <v>159</v>
          </cell>
          <cell r="CZ37">
            <v>9297</v>
          </cell>
          <cell r="DA37">
            <v>10</v>
          </cell>
          <cell r="DB37">
            <v>6296</v>
          </cell>
          <cell r="DC37">
            <v>3</v>
          </cell>
          <cell r="DD37">
            <v>32942</v>
          </cell>
          <cell r="DE37">
            <v>16</v>
          </cell>
          <cell r="DF37">
            <v>33075</v>
          </cell>
          <cell r="DG37">
            <v>10</v>
          </cell>
          <cell r="DH37">
            <v>22384</v>
          </cell>
          <cell r="DI37">
            <v>10</v>
          </cell>
          <cell r="DJ37">
            <v>24338</v>
          </cell>
          <cell r="DK37">
            <v>5</v>
          </cell>
          <cell r="DL37">
            <v>7648</v>
          </cell>
          <cell r="DM37">
            <v>8</v>
          </cell>
          <cell r="DN37">
            <v>10166</v>
          </cell>
          <cell r="DO37">
            <v>7</v>
          </cell>
          <cell r="DP37">
            <v>3493</v>
          </cell>
          <cell r="DQ37">
            <v>4</v>
          </cell>
          <cell r="DR37">
            <v>6869</v>
          </cell>
          <cell r="DS37">
            <v>6</v>
          </cell>
          <cell r="DT37">
            <v>30489</v>
          </cell>
          <cell r="DU37">
            <v>0</v>
          </cell>
          <cell r="DW37">
            <v>6882.9</v>
          </cell>
          <cell r="DX37">
            <v>11.5</v>
          </cell>
          <cell r="DY37">
            <v>11675.2</v>
          </cell>
          <cell r="DZ37">
            <v>6.8000000000010914</v>
          </cell>
          <cell r="EA37">
            <v>5124.8</v>
          </cell>
          <cell r="EB37">
            <v>5.6000000000003638</v>
          </cell>
          <cell r="EC37">
            <v>5716.2</v>
          </cell>
          <cell r="ED37">
            <v>7.3999999999996362</v>
          </cell>
          <cell r="EE37">
            <v>1155064</v>
          </cell>
          <cell r="EF37">
            <v>566</v>
          </cell>
          <cell r="EI37">
            <v>238716</v>
          </cell>
          <cell r="EJ37">
            <v>149.20000000001164</v>
          </cell>
          <cell r="EL37">
            <v>12280700</v>
          </cell>
          <cell r="EM37">
            <v>1700</v>
          </cell>
          <cell r="EN37">
            <v>945330</v>
          </cell>
          <cell r="EO37">
            <v>210</v>
          </cell>
          <cell r="EP37">
            <v>7293400</v>
          </cell>
          <cell r="EQ37">
            <v>600</v>
          </cell>
          <cell r="ER37">
            <v>2510500</v>
          </cell>
          <cell r="ES37">
            <v>100</v>
          </cell>
          <cell r="ET37">
            <v>1305330</v>
          </cell>
          <cell r="EU37">
            <v>660</v>
          </cell>
          <cell r="EV37">
            <v>16727900</v>
          </cell>
          <cell r="EW37">
            <v>600</v>
          </cell>
          <cell r="EY37">
            <v>42919</v>
          </cell>
          <cell r="EZ37">
            <v>16</v>
          </cell>
          <cell r="FA37">
            <v>37440</v>
          </cell>
          <cell r="FB37">
            <v>11</v>
          </cell>
          <cell r="FC37">
            <v>8040</v>
          </cell>
          <cell r="FD37">
            <v>14</v>
          </cell>
          <cell r="FE37">
            <v>60000</v>
          </cell>
          <cell r="FF37">
            <v>15</v>
          </cell>
          <cell r="FG37">
            <v>51233</v>
          </cell>
          <cell r="FH37">
            <v>34</v>
          </cell>
        </row>
        <row r="38">
          <cell r="B38">
            <v>0.71</v>
          </cell>
          <cell r="E38">
            <v>242006</v>
          </cell>
          <cell r="F38">
            <v>533</v>
          </cell>
          <cell r="G38">
            <v>565</v>
          </cell>
          <cell r="H38">
            <v>264544</v>
          </cell>
          <cell r="I38">
            <v>415</v>
          </cell>
          <cell r="J38">
            <v>429</v>
          </cell>
          <cell r="K38">
            <v>15269</v>
          </cell>
          <cell r="L38">
            <v>0</v>
          </cell>
          <cell r="N38">
            <v>929292</v>
          </cell>
          <cell r="O38">
            <v>219</v>
          </cell>
          <cell r="Q38">
            <v>245861</v>
          </cell>
          <cell r="R38">
            <v>0</v>
          </cell>
          <cell r="U38">
            <v>120159</v>
          </cell>
          <cell r="V38">
            <v>50</v>
          </cell>
          <cell r="W38">
            <v>71.5</v>
          </cell>
          <cell r="X38">
            <v>6712</v>
          </cell>
          <cell r="Y38">
            <v>7</v>
          </cell>
          <cell r="AE38">
            <v>8274799.6800000006</v>
          </cell>
          <cell r="AF38">
            <v>1997.5200000014156</v>
          </cell>
          <cell r="AH38">
            <v>15709228.08</v>
          </cell>
          <cell r="AI38">
            <v>4433.5200000014156</v>
          </cell>
          <cell r="AK38">
            <v>15913657.199999999</v>
          </cell>
          <cell r="AL38">
            <v>0</v>
          </cell>
          <cell r="AN38">
            <v>19050932.879999999</v>
          </cell>
          <cell r="AO38">
            <v>925.67999999970198</v>
          </cell>
          <cell r="AQ38">
            <v>19303546.080000002</v>
          </cell>
          <cell r="AR38">
            <v>6382.320000000298</v>
          </cell>
          <cell r="AT38">
            <v>17845064.16</v>
          </cell>
          <cell r="AU38">
            <v>4433.5200000032783</v>
          </cell>
          <cell r="AW38">
            <v>15002739.359999999</v>
          </cell>
          <cell r="AX38">
            <v>3848.8799999989569</v>
          </cell>
          <cell r="AZ38">
            <v>14543699.52</v>
          </cell>
          <cell r="BA38">
            <v>4482.2399999983609</v>
          </cell>
          <cell r="BC38">
            <v>11336656.799999999</v>
          </cell>
          <cell r="BD38">
            <v>3166.7999999988824</v>
          </cell>
          <cell r="BF38">
            <v>17992149.84</v>
          </cell>
          <cell r="BG38">
            <v>5359.2000000029802</v>
          </cell>
          <cell r="BM38">
            <v>78617600</v>
          </cell>
          <cell r="BN38">
            <v>0</v>
          </cell>
          <cell r="BP38">
            <v>81547000</v>
          </cell>
          <cell r="BQ38">
            <v>0</v>
          </cell>
          <cell r="BS38">
            <v>75408100</v>
          </cell>
          <cell r="BT38">
            <v>27300</v>
          </cell>
          <cell r="BV38">
            <v>10577120</v>
          </cell>
          <cell r="BW38">
            <v>6500</v>
          </cell>
          <cell r="BY38">
            <v>0.64</v>
          </cell>
          <cell r="BZ38">
            <v>5.9999999999999942E-2</v>
          </cell>
          <cell r="CB38">
            <v>65308</v>
          </cell>
          <cell r="CC38">
            <v>21</v>
          </cell>
          <cell r="CD38">
            <v>56419</v>
          </cell>
          <cell r="CE38">
            <v>27</v>
          </cell>
          <cell r="CF38">
            <v>19049</v>
          </cell>
          <cell r="CG38">
            <v>9</v>
          </cell>
          <cell r="CH38">
            <v>26100</v>
          </cell>
          <cell r="CI38">
            <v>11</v>
          </cell>
          <cell r="CJ38">
            <v>29231</v>
          </cell>
          <cell r="CK38">
            <v>14</v>
          </cell>
          <cell r="CL38">
            <v>64300</v>
          </cell>
          <cell r="CM38">
            <v>36</v>
          </cell>
          <cell r="CN38">
            <v>271890</v>
          </cell>
          <cell r="CO38">
            <v>78</v>
          </cell>
          <cell r="CQ38">
            <v>220852</v>
          </cell>
          <cell r="CR38">
            <v>123</v>
          </cell>
          <cell r="CT38">
            <v>369008</v>
          </cell>
          <cell r="CU38">
            <v>286</v>
          </cell>
          <cell r="CW38">
            <v>703474</v>
          </cell>
          <cell r="CX38">
            <v>174</v>
          </cell>
          <cell r="CZ38">
            <v>9301</v>
          </cell>
          <cell r="DA38">
            <v>4</v>
          </cell>
          <cell r="DB38">
            <v>6299</v>
          </cell>
          <cell r="DC38">
            <v>3</v>
          </cell>
          <cell r="DD38">
            <v>32959</v>
          </cell>
          <cell r="DE38">
            <v>17</v>
          </cell>
          <cell r="DF38">
            <v>33101</v>
          </cell>
          <cell r="DG38">
            <v>26</v>
          </cell>
          <cell r="DH38">
            <v>22393</v>
          </cell>
          <cell r="DI38">
            <v>9</v>
          </cell>
          <cell r="DJ38">
            <v>24342</v>
          </cell>
          <cell r="DK38">
            <v>4</v>
          </cell>
          <cell r="DL38">
            <v>7665</v>
          </cell>
          <cell r="DM38">
            <v>17</v>
          </cell>
          <cell r="DN38">
            <v>10179</v>
          </cell>
          <cell r="DO38">
            <v>13</v>
          </cell>
          <cell r="DP38">
            <v>3500</v>
          </cell>
          <cell r="DQ38">
            <v>7</v>
          </cell>
          <cell r="DR38">
            <v>6878</v>
          </cell>
          <cell r="DS38">
            <v>9</v>
          </cell>
          <cell r="DT38">
            <v>30492</v>
          </cell>
          <cell r="DU38">
            <v>3</v>
          </cell>
          <cell r="DW38">
            <v>6893.7</v>
          </cell>
          <cell r="DX38">
            <v>10.800000000000182</v>
          </cell>
          <cell r="DY38">
            <v>11681.7</v>
          </cell>
          <cell r="DZ38">
            <v>6.5</v>
          </cell>
          <cell r="EA38">
            <v>5130.7</v>
          </cell>
          <cell r="EB38">
            <v>5.8999999999996362</v>
          </cell>
          <cell r="EC38">
            <v>5723</v>
          </cell>
          <cell r="ED38">
            <v>6.8000000000001819</v>
          </cell>
          <cell r="EE38">
            <v>1155586</v>
          </cell>
          <cell r="EF38">
            <v>522</v>
          </cell>
          <cell r="EI38">
            <v>238865.1</v>
          </cell>
          <cell r="EJ38">
            <v>149.10000000000582</v>
          </cell>
          <cell r="EL38">
            <v>12282400</v>
          </cell>
          <cell r="EM38">
            <v>1700</v>
          </cell>
          <cell r="EN38">
            <v>945570</v>
          </cell>
          <cell r="EO38">
            <v>240</v>
          </cell>
          <cell r="EP38">
            <v>7294200</v>
          </cell>
          <cell r="EQ38">
            <v>800</v>
          </cell>
          <cell r="ER38">
            <v>2510600</v>
          </cell>
          <cell r="ES38">
            <v>100</v>
          </cell>
          <cell r="ET38">
            <v>1305760</v>
          </cell>
          <cell r="EU38">
            <v>430</v>
          </cell>
          <cell r="EV38">
            <v>16728400</v>
          </cell>
          <cell r="EW38">
            <v>500</v>
          </cell>
          <cell r="EY38">
            <v>42934</v>
          </cell>
          <cell r="EZ38">
            <v>15</v>
          </cell>
          <cell r="FA38">
            <v>37451</v>
          </cell>
          <cell r="FB38">
            <v>11</v>
          </cell>
          <cell r="FC38">
            <v>8051</v>
          </cell>
          <cell r="FD38">
            <v>11</v>
          </cell>
          <cell r="FE38">
            <v>60011</v>
          </cell>
          <cell r="FF38">
            <v>11</v>
          </cell>
          <cell r="FG38">
            <v>51263</v>
          </cell>
          <cell r="FH38">
            <v>30</v>
          </cell>
        </row>
        <row r="39">
          <cell r="B39">
            <v>0.7</v>
          </cell>
          <cell r="E39">
            <v>242506</v>
          </cell>
          <cell r="F39">
            <v>500</v>
          </cell>
          <cell r="G39">
            <v>511</v>
          </cell>
          <cell r="H39">
            <v>264947</v>
          </cell>
          <cell r="I39">
            <v>403</v>
          </cell>
          <cell r="J39">
            <v>394</v>
          </cell>
          <cell r="K39">
            <v>15281</v>
          </cell>
          <cell r="L39">
            <v>12</v>
          </cell>
          <cell r="N39">
            <v>929437</v>
          </cell>
          <cell r="O39">
            <v>145</v>
          </cell>
          <cell r="Q39">
            <v>245869</v>
          </cell>
          <cell r="R39">
            <v>8</v>
          </cell>
          <cell r="U39">
            <v>120217</v>
          </cell>
          <cell r="V39">
            <v>58</v>
          </cell>
          <cell r="W39">
            <v>65.340000000003783</v>
          </cell>
          <cell r="X39">
            <v>6714</v>
          </cell>
          <cell r="Y39">
            <v>2</v>
          </cell>
          <cell r="AE39">
            <v>8276651.04</v>
          </cell>
          <cell r="AF39">
            <v>1851.359999999404</v>
          </cell>
          <cell r="AH39">
            <v>15713612.880000001</v>
          </cell>
          <cell r="AI39">
            <v>4384.8000000007451</v>
          </cell>
          <cell r="AK39">
            <v>15913657.199999999</v>
          </cell>
          <cell r="AL39">
            <v>0</v>
          </cell>
          <cell r="AN39">
            <v>19052053.439999998</v>
          </cell>
          <cell r="AO39">
            <v>1120.5599999986589</v>
          </cell>
          <cell r="AQ39">
            <v>19310025.84</v>
          </cell>
          <cell r="AR39">
            <v>6479.7599999979138</v>
          </cell>
          <cell r="AT39">
            <v>17849400.239999998</v>
          </cell>
          <cell r="AU39">
            <v>4336.0799999982119</v>
          </cell>
          <cell r="AW39">
            <v>15006442.08</v>
          </cell>
          <cell r="AX39">
            <v>3702.7200000006706</v>
          </cell>
          <cell r="AZ39">
            <v>14547792</v>
          </cell>
          <cell r="BA39">
            <v>4092.480000000447</v>
          </cell>
          <cell r="BC39">
            <v>11339580</v>
          </cell>
          <cell r="BD39">
            <v>2923.2000000011176</v>
          </cell>
          <cell r="BF39">
            <v>17997362.879999999</v>
          </cell>
          <cell r="BG39">
            <v>5213.0399999991059</v>
          </cell>
          <cell r="BM39">
            <v>78617600</v>
          </cell>
          <cell r="BN39">
            <v>0</v>
          </cell>
          <cell r="BP39">
            <v>81547000</v>
          </cell>
          <cell r="BQ39">
            <v>0</v>
          </cell>
          <cell r="BS39">
            <v>75438500</v>
          </cell>
          <cell r="BT39">
            <v>30400</v>
          </cell>
          <cell r="BV39">
            <v>10583100</v>
          </cell>
          <cell r="BW39">
            <v>5980</v>
          </cell>
          <cell r="BY39">
            <v>0.65</v>
          </cell>
          <cell r="BZ39">
            <v>-1.0000000000000009E-2</v>
          </cell>
          <cell r="CB39">
            <v>65321</v>
          </cell>
          <cell r="CC39">
            <v>13</v>
          </cell>
          <cell r="CD39">
            <v>56436</v>
          </cell>
          <cell r="CE39">
            <v>17</v>
          </cell>
          <cell r="CF39">
            <v>19054</v>
          </cell>
          <cell r="CG39">
            <v>5</v>
          </cell>
          <cell r="CH39">
            <v>26107</v>
          </cell>
          <cell r="CI39">
            <v>7</v>
          </cell>
          <cell r="CJ39">
            <v>29246</v>
          </cell>
          <cell r="CK39">
            <v>15</v>
          </cell>
          <cell r="CL39">
            <v>64335</v>
          </cell>
          <cell r="CM39">
            <v>35</v>
          </cell>
          <cell r="CN39">
            <v>271966</v>
          </cell>
          <cell r="CO39">
            <v>76</v>
          </cell>
          <cell r="CQ39">
            <v>220966</v>
          </cell>
          <cell r="CR39">
            <v>114</v>
          </cell>
          <cell r="CT39">
            <v>369279</v>
          </cell>
          <cell r="CU39">
            <v>271</v>
          </cell>
          <cell r="CW39">
            <v>703646</v>
          </cell>
          <cell r="CX39">
            <v>172</v>
          </cell>
          <cell r="CZ39">
            <v>9305</v>
          </cell>
          <cell r="DA39">
            <v>4</v>
          </cell>
          <cell r="DB39">
            <v>6301</v>
          </cell>
          <cell r="DC39">
            <v>2</v>
          </cell>
          <cell r="DD39">
            <v>32971</v>
          </cell>
          <cell r="DE39">
            <v>12</v>
          </cell>
          <cell r="DF39">
            <v>33114</v>
          </cell>
          <cell r="DG39">
            <v>13</v>
          </cell>
          <cell r="DH39">
            <v>22402</v>
          </cell>
          <cell r="DI39">
            <v>9</v>
          </cell>
          <cell r="DJ39">
            <v>24347</v>
          </cell>
          <cell r="DK39">
            <v>5</v>
          </cell>
          <cell r="DL39">
            <v>7675</v>
          </cell>
          <cell r="DM39">
            <v>10</v>
          </cell>
          <cell r="DN39">
            <v>10188</v>
          </cell>
          <cell r="DO39">
            <v>9</v>
          </cell>
          <cell r="DP39">
            <v>3506</v>
          </cell>
          <cell r="DQ39">
            <v>6</v>
          </cell>
          <cell r="DR39">
            <v>6883</v>
          </cell>
          <cell r="DS39">
            <v>5</v>
          </cell>
          <cell r="DT39">
            <v>30495</v>
          </cell>
          <cell r="DU39">
            <v>3</v>
          </cell>
          <cell r="DW39">
            <v>6904.2</v>
          </cell>
          <cell r="DX39">
            <v>10.5</v>
          </cell>
          <cell r="DY39">
            <v>11687.9</v>
          </cell>
          <cell r="DZ39">
            <v>6.1999999999989086</v>
          </cell>
          <cell r="EA39">
            <v>5136.6000000000004</v>
          </cell>
          <cell r="EB39">
            <v>5.9000000000005457</v>
          </cell>
          <cell r="EC39">
            <v>5728.8</v>
          </cell>
          <cell r="ED39">
            <v>5.8000000000001819</v>
          </cell>
          <cell r="EE39">
            <v>1156114</v>
          </cell>
          <cell r="EF39">
            <v>528</v>
          </cell>
          <cell r="EI39">
            <v>239015.4</v>
          </cell>
          <cell r="EJ39">
            <v>150.29999999998836</v>
          </cell>
          <cell r="EL39">
            <v>12284300</v>
          </cell>
          <cell r="EM39">
            <v>1900</v>
          </cell>
          <cell r="EN39">
            <v>945800</v>
          </cell>
          <cell r="EO39">
            <v>230</v>
          </cell>
          <cell r="EP39">
            <v>7295000</v>
          </cell>
          <cell r="EQ39">
            <v>800</v>
          </cell>
          <cell r="ER39">
            <v>2510800</v>
          </cell>
          <cell r="ES39">
            <v>200</v>
          </cell>
          <cell r="ET39">
            <v>1306310</v>
          </cell>
          <cell r="EU39">
            <v>550</v>
          </cell>
          <cell r="EV39">
            <v>16729600</v>
          </cell>
          <cell r="EW39">
            <v>1200</v>
          </cell>
          <cell r="EY39">
            <v>42948</v>
          </cell>
          <cell r="EZ39">
            <v>14</v>
          </cell>
          <cell r="FA39">
            <v>37462</v>
          </cell>
          <cell r="FB39">
            <v>11</v>
          </cell>
          <cell r="FC39">
            <v>8058</v>
          </cell>
          <cell r="FD39">
            <v>7</v>
          </cell>
          <cell r="FE39">
            <v>60024</v>
          </cell>
          <cell r="FF39">
            <v>13</v>
          </cell>
          <cell r="FG39">
            <v>51315</v>
          </cell>
          <cell r="FH39">
            <v>52</v>
          </cell>
        </row>
        <row r="40">
          <cell r="F40">
            <v>-242506</v>
          </cell>
          <cell r="G40">
            <v>499</v>
          </cell>
          <cell r="I40">
            <v>-264947</v>
          </cell>
          <cell r="J40">
            <v>367</v>
          </cell>
          <cell r="L40">
            <v>-15281</v>
          </cell>
          <cell r="O40">
            <v>-929437</v>
          </cell>
          <cell r="R40">
            <v>-245869</v>
          </cell>
          <cell r="V40">
            <v>-120217</v>
          </cell>
          <cell r="W40">
            <v>75.129999999997381</v>
          </cell>
          <cell r="Y40">
            <v>-6714</v>
          </cell>
          <cell r="AF40">
            <v>-8276651.04</v>
          </cell>
          <cell r="AI40">
            <v>-15713612.880000001</v>
          </cell>
          <cell r="AL40">
            <v>-15913657.199999999</v>
          </cell>
          <cell r="AO40">
            <v>-19052053.439999998</v>
          </cell>
          <cell r="AR40">
            <v>-19310025.84</v>
          </cell>
          <cell r="AU40">
            <v>-17849400.239999998</v>
          </cell>
          <cell r="AX40">
            <v>-15006442.08</v>
          </cell>
          <cell r="BA40">
            <v>-14547792</v>
          </cell>
          <cell r="BD40">
            <v>-11339580</v>
          </cell>
          <cell r="BG40">
            <v>-17997362.879999999</v>
          </cell>
          <cell r="BN40">
            <v>-78617600</v>
          </cell>
          <cell r="BQ40">
            <v>-81547000</v>
          </cell>
          <cell r="BT40">
            <v>-75438500</v>
          </cell>
          <cell r="BW40">
            <v>-10583100</v>
          </cell>
          <cell r="BZ40">
            <v>0.65</v>
          </cell>
          <cell r="CC40">
            <v>-65321</v>
          </cell>
          <cell r="CE40">
            <v>-56436</v>
          </cell>
          <cell r="CG40">
            <v>-19054</v>
          </cell>
          <cell r="CI40">
            <v>-26107</v>
          </cell>
          <cell r="CK40">
            <v>-29246</v>
          </cell>
          <cell r="CM40">
            <v>-64335</v>
          </cell>
          <cell r="CO40">
            <v>-271966</v>
          </cell>
          <cell r="CR40">
            <v>-220966</v>
          </cell>
          <cell r="CU40">
            <v>-369279</v>
          </cell>
          <cell r="CX40">
            <v>-703646</v>
          </cell>
          <cell r="DA40">
            <v>-9305</v>
          </cell>
          <cell r="DC40">
            <v>-6301</v>
          </cell>
          <cell r="DE40">
            <v>-32971</v>
          </cell>
          <cell r="DG40">
            <v>-33114</v>
          </cell>
          <cell r="DI40">
            <v>-22402</v>
          </cell>
          <cell r="DK40">
            <v>-24347</v>
          </cell>
          <cell r="DM40">
            <v>-7675</v>
          </cell>
          <cell r="DO40">
            <v>-10188</v>
          </cell>
          <cell r="DQ40">
            <v>-3506</v>
          </cell>
          <cell r="DS40">
            <v>-6883</v>
          </cell>
          <cell r="DU40">
            <v>-30495</v>
          </cell>
          <cell r="DX40">
            <v>-6904.2</v>
          </cell>
          <cell r="DZ40">
            <v>-11687.9</v>
          </cell>
          <cell r="EB40">
            <v>-5136.6000000000004</v>
          </cell>
          <cell r="ED40">
            <v>-5728.8</v>
          </cell>
          <cell r="EF40">
            <v>-1156114</v>
          </cell>
          <cell r="EJ40">
            <v>-239015.4</v>
          </cell>
          <cell r="EM40">
            <v>-12284300</v>
          </cell>
          <cell r="EO40">
            <v>-945800</v>
          </cell>
          <cell r="EQ40">
            <v>-7295000</v>
          </cell>
          <cell r="ES40">
            <v>-2510800</v>
          </cell>
          <cell r="EU40">
            <v>-1306310</v>
          </cell>
          <cell r="EW40">
            <v>-16729600</v>
          </cell>
          <cell r="EZ40">
            <v>-42948</v>
          </cell>
          <cell r="FB40">
            <v>-37462</v>
          </cell>
          <cell r="FD40">
            <v>-8058</v>
          </cell>
          <cell r="FF40">
            <v>-60024</v>
          </cell>
          <cell r="FH40">
            <v>-51315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M32" sqref="M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3.3076923076923075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37806.720000001602</v>
      </c>
      <c r="F20">
        <v>0.44447999999999999</v>
      </c>
      <c r="G20" s="3">
        <f>Submetering!Z20+Submetering!AA20+Submetering!AB20</f>
        <v>895.8599999999999</v>
      </c>
      <c r="H20" s="217">
        <f t="shared" si="0"/>
        <v>3.3076923076923075</v>
      </c>
      <c r="I20" s="3">
        <f>Submetering!G20</f>
        <v>551</v>
      </c>
      <c r="J20">
        <v>13.83</v>
      </c>
      <c r="K20" s="3">
        <f>Submetering!BL20</f>
        <v>206</v>
      </c>
      <c r="L20">
        <v>1.2</v>
      </c>
      <c r="M20" s="217">
        <f>Submetering!E20</f>
        <v>222.78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38391.359999995679</v>
      </c>
      <c r="F21">
        <v>0.44447999999999999</v>
      </c>
      <c r="G21" s="3">
        <f>Submetering!Z21+Submetering!AA21+Submetering!AB21</f>
        <v>931.77</v>
      </c>
      <c r="H21" s="217">
        <f t="shared" si="0"/>
        <v>3.3076923076923075</v>
      </c>
      <c r="I21" s="3">
        <f>Submetering!G21</f>
        <v>576</v>
      </c>
      <c r="J21">
        <v>13.83</v>
      </c>
      <c r="K21" s="3">
        <f>Submetering!BL21</f>
        <v>206</v>
      </c>
      <c r="L21">
        <v>1.2</v>
      </c>
      <c r="M21" s="217">
        <f>Submetering!E21</f>
        <v>177.75</v>
      </c>
      <c r="N21">
        <f>Submetering!F21</f>
        <v>318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36783.600000003353</v>
      </c>
      <c r="F22">
        <v>0.44447999999999999</v>
      </c>
      <c r="G22" s="3">
        <f>Submetering!Z22+Submetering!AA22+Submetering!AB22</f>
        <v>888.3</v>
      </c>
      <c r="H22" s="217">
        <f t="shared" si="0"/>
        <v>3.3076923076923075</v>
      </c>
      <c r="I22" s="3">
        <f>Submetering!G22</f>
        <v>585</v>
      </c>
      <c r="J22">
        <v>13.83</v>
      </c>
      <c r="K22" s="3">
        <f>Submetering!BL22</f>
        <v>234</v>
      </c>
      <c r="L22">
        <v>1.2</v>
      </c>
      <c r="M22" s="217">
        <f>Submetering!E22</f>
        <v>154.05000000000001</v>
      </c>
      <c r="N22">
        <f>Submetering!F22</f>
        <v>270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39609.359999999404</v>
      </c>
      <c r="F23">
        <v>0.44447999999999999</v>
      </c>
      <c r="G23" s="3">
        <f>Submetering!Z23+Submetering!AA23+Submetering!AB23</f>
        <v>1001.7</v>
      </c>
      <c r="H23" s="217">
        <f t="shared" si="0"/>
        <v>3.3076923076923075</v>
      </c>
      <c r="I23" s="3">
        <f>Submetering!G23</f>
        <v>513</v>
      </c>
      <c r="J23">
        <v>13.83</v>
      </c>
      <c r="K23" s="3">
        <f>Submetering!BL23</f>
        <v>232</v>
      </c>
      <c r="L23">
        <v>1.2</v>
      </c>
      <c r="M23" s="217">
        <f>Submetering!E23</f>
        <v>161.16000000000003</v>
      </c>
      <c r="N23">
        <f>Submetering!F23</f>
        <v>255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35029.679999996908</v>
      </c>
      <c r="F24">
        <v>0.44447999999999999</v>
      </c>
      <c r="G24" s="3">
        <f>Submetering!Z24+Submetering!AA24+Submetering!AB24</f>
        <v>875.06999999999994</v>
      </c>
      <c r="H24" s="217">
        <f t="shared" si="0"/>
        <v>3.3076923076923075</v>
      </c>
      <c r="I24" s="3">
        <f>Submetering!G24</f>
        <v>585</v>
      </c>
      <c r="J24">
        <v>13.83</v>
      </c>
      <c r="K24" s="3">
        <f>Submetering!BL24</f>
        <v>219</v>
      </c>
      <c r="L24">
        <v>1.2</v>
      </c>
      <c r="M24" s="217">
        <f>Submetering!E24</f>
        <v>163.53</v>
      </c>
      <c r="N24">
        <f>Submetering!F24</f>
        <v>262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34006.560000005178</v>
      </c>
      <c r="F25">
        <v>0.44447999999999999</v>
      </c>
      <c r="G25" s="3">
        <f>Submetering!Z25+Submetering!AA25+Submetering!AB25</f>
        <v>888.3</v>
      </c>
      <c r="H25" s="217">
        <f t="shared" si="0"/>
        <v>3.3076923076923075</v>
      </c>
      <c r="I25" s="3">
        <f>Submetering!G25</f>
        <v>531</v>
      </c>
      <c r="J25">
        <v>13.83</v>
      </c>
      <c r="K25" s="3">
        <f>Submetering!BL25</f>
        <v>216</v>
      </c>
      <c r="L25">
        <v>1.2</v>
      </c>
      <c r="M25" s="217">
        <f>Submetering!E25</f>
        <v>163.53</v>
      </c>
      <c r="N25">
        <f>Submetering!F25</f>
        <v>281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36491.279999996535</v>
      </c>
      <c r="F26">
        <v>0.44447999999999999</v>
      </c>
      <c r="G26" s="3">
        <f>Submetering!Z26+Submetering!AA26+Submetering!AB26</f>
        <v>918.54</v>
      </c>
      <c r="H26" s="217">
        <f t="shared" si="0"/>
        <v>3.3076923076923075</v>
      </c>
      <c r="I26" s="3">
        <f>Submetering!G26</f>
        <v>614</v>
      </c>
      <c r="J26">
        <v>13.83</v>
      </c>
      <c r="K26" s="3">
        <f>Submetering!BL26</f>
        <v>243</v>
      </c>
      <c r="L26">
        <v>1.2</v>
      </c>
      <c r="M26" s="217">
        <f>Submetering!E26</f>
        <v>177.75</v>
      </c>
      <c r="N26">
        <f>Submetering!F26</f>
        <v>281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34055.279999996535</v>
      </c>
      <c r="F27">
        <v>0.44447999999999999</v>
      </c>
      <c r="G27" s="3">
        <f>Submetering!Z27+Submetering!AA27+Submetering!AB27</f>
        <v>895.8599999999999</v>
      </c>
      <c r="H27" s="217">
        <f t="shared" si="0"/>
        <v>3.3076923076923075</v>
      </c>
      <c r="I27" s="3">
        <f>Submetering!G27</f>
        <v>448</v>
      </c>
      <c r="J27">
        <v>13.83</v>
      </c>
      <c r="K27" s="3">
        <f>Submetering!BL27</f>
        <v>195</v>
      </c>
      <c r="L27">
        <v>1.2</v>
      </c>
      <c r="M27" s="217">
        <f>Submetering!E27</f>
        <v>201.45</v>
      </c>
      <c r="N27">
        <f>Submetering!F27</f>
        <v>345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34639.920000003651</v>
      </c>
      <c r="F28">
        <v>0.44447999999999999</v>
      </c>
      <c r="G28" s="3">
        <f>Submetering!Z28+Submetering!AA28+Submetering!AB28</f>
        <v>979.02</v>
      </c>
      <c r="H28" s="217">
        <f t="shared" si="0"/>
        <v>3.3076923076923075</v>
      </c>
      <c r="I28" s="3">
        <f>Submetering!G28</f>
        <v>536</v>
      </c>
      <c r="J28">
        <v>13.83</v>
      </c>
      <c r="K28" s="3">
        <f>Submetering!BL28</f>
        <v>2</v>
      </c>
      <c r="L28">
        <v>1.2</v>
      </c>
      <c r="M28" s="217">
        <f>Submetering!E28</f>
        <v>201.45</v>
      </c>
      <c r="N28">
        <f>Submetering!F28</f>
        <v>368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34152.719999997877</v>
      </c>
      <c r="F29">
        <v>0.44447999999999999</v>
      </c>
      <c r="G29" s="3">
        <f>Submetering!Z29+Submetering!AA29+Submetering!AB29</f>
        <v>892.08</v>
      </c>
      <c r="H29" s="217">
        <f t="shared" si="0"/>
        <v>3.3076923076923075</v>
      </c>
      <c r="I29" s="3">
        <f>Submetering!G29</f>
        <v>577</v>
      </c>
      <c r="J29">
        <v>13.83</v>
      </c>
      <c r="K29" s="3">
        <f>Submetering!BL29</f>
        <v>0</v>
      </c>
      <c r="L29">
        <v>1.2</v>
      </c>
      <c r="M29" s="217">
        <f>Submetering!E29</f>
        <v>196.70999999999998</v>
      </c>
      <c r="N29">
        <f>Submetering!F29</f>
        <v>372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35029.68000000529</v>
      </c>
      <c r="F30">
        <v>0.44447999999999999</v>
      </c>
      <c r="G30" s="3">
        <f>Submetering!Z30+Submetering!AA30+Submetering!AB30</f>
        <v>920.43</v>
      </c>
      <c r="H30" s="217">
        <f t="shared" si="0"/>
        <v>3.3076923076923075</v>
      </c>
      <c r="I30" s="3">
        <f>Submetering!G30</f>
        <v>533</v>
      </c>
      <c r="J30">
        <v>13.83</v>
      </c>
      <c r="K30" s="3">
        <f>Submetering!BL30</f>
        <v>0</v>
      </c>
      <c r="L30">
        <v>1.2</v>
      </c>
      <c r="M30" s="217">
        <f>Submetering!E30</f>
        <v>168.26999999999998</v>
      </c>
      <c r="N30">
        <f>Submetering!F30</f>
        <v>316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34103.999999996275</v>
      </c>
      <c r="F31">
        <v>0.44447999999999999</v>
      </c>
      <c r="G31" s="3">
        <f>Submetering!Z31+Submetering!AA31+Submetering!AB31</f>
        <v>871.29</v>
      </c>
      <c r="H31" s="217">
        <f t="shared" si="0"/>
        <v>3.3076923076923075</v>
      </c>
      <c r="I31" s="3">
        <f>Submetering!G31</f>
        <v>500</v>
      </c>
      <c r="J31">
        <v>13.83</v>
      </c>
      <c r="K31" s="3">
        <f>Submetering!BL31</f>
        <v>12</v>
      </c>
      <c r="L31">
        <v>1.2</v>
      </c>
      <c r="M31" s="217">
        <f>Submetering!E31</f>
        <v>165.89999999999998</v>
      </c>
      <c r="N31">
        <f>Submetering!F31</f>
        <v>304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331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0" sqref="B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>
        <f>237*0.94</f>
        <v>222.78</v>
      </c>
      <c r="F20" s="75">
        <f>335+25</f>
        <v>360</v>
      </c>
      <c r="G20" s="3">
        <f>'DJB Daily Readings'!C28-'DJB Daily Readings'!C27</f>
        <v>551</v>
      </c>
      <c r="H20" s="3">
        <f>'DJB Daily Readings'!F28-'DJB Daily Readings'!F27</f>
        <v>432</v>
      </c>
      <c r="I20" s="3">
        <f>'DJB Daily Readings'!L28</f>
        <v>81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2</v>
      </c>
      <c r="M20" s="3">
        <f>'DJB Daily Readings'!U28-'DJB Daily Readings'!U27</f>
        <v>1948.7999999998137</v>
      </c>
      <c r="N20" s="3">
        <f>'DJB Daily Readings'!X28-'DJB Daily Readings'!X27</f>
        <v>4482.2399999983609</v>
      </c>
      <c r="O20" s="3">
        <f>'DJB Daily Readings'!AA28-'DJB Daily Readings'!AA27</f>
        <v>4287.359999999404</v>
      </c>
      <c r="P20" s="3">
        <f>'DJB Daily Readings'!AD28-'DJB Daily Readings'!AD27</f>
        <v>3507.8400000035763</v>
      </c>
      <c r="Q20" s="3">
        <f>'DJB Daily Readings'!AG28-'DJB Daily Readings'!AG27</f>
        <v>1315.4399999976158</v>
      </c>
      <c r="R20" s="3">
        <f>'DJB Daily Readings'!AJ28-'DJB Daily Readings'!AJ27</f>
        <v>5407.9200000017881</v>
      </c>
      <c r="S20" s="3">
        <f>'DJB Daily Readings'!AM28-'DJB Daily Readings'!AM27</f>
        <v>4092.480000000447</v>
      </c>
      <c r="T20" s="3">
        <f>'DJB Daily Readings'!AP28-'DJB Daily Readings'!AP27</f>
        <v>4433.519999999553</v>
      </c>
      <c r="U20" s="3">
        <f>'DJB Daily Readings'!AS28-'DJB Daily Readings'!AS27</f>
        <v>2874.480000000447</v>
      </c>
      <c r="V20" s="3">
        <f>'DJB Daily Readings'!AV28-'DJB Daily Readings'!AV27</f>
        <v>5456.640000000596</v>
      </c>
      <c r="W20" s="3">
        <f>'DJB Daily Readings'!AZ28-'DJB Daily Readings'!AZ27</f>
        <v>20200</v>
      </c>
      <c r="X20" s="3">
        <f>'DJB Daily Readings'!BC28-'DJB Daily Readings'!BC27</f>
        <v>18100</v>
      </c>
      <c r="Y20" s="3">
        <f>'DJB Daily Readings'!BF28-'DJB Daily Readings'!BF27</f>
        <v>0</v>
      </c>
      <c r="Z20" s="3">
        <f>('DJB Daily Readings'!CK28-'DJB Daily Readings'!CK27)*1.89</f>
        <v>143.63999999999999</v>
      </c>
      <c r="AA20" s="3">
        <f>('DJB Daily Readings'!CN28-'DJB Daily Readings'!CN27)*1.89</f>
        <v>194.67</v>
      </c>
      <c r="AB20" s="3">
        <f>('DJB Daily Readings'!CQ28-'DJB Daily Readings'!CQ27)*1.89</f>
        <v>557.54999999999995</v>
      </c>
      <c r="AC20" s="3">
        <f>'DJB Daily Readings'!CT28-'DJB Daily Readings'!CT27</f>
        <v>158</v>
      </c>
      <c r="AD20" s="80">
        <f>('DJB Daily Readings'!BY28-'DJB Daily Readings'!BY27)*1.89</f>
        <v>34.019999999999996</v>
      </c>
      <c r="AE20" s="80">
        <f>('DJB Daily Readings'!CA28-'DJB Daily Readings'!CA27)*1.89</f>
        <v>37.799999999999997</v>
      </c>
      <c r="AF20" s="80">
        <f>('DJB Daily Readings'!CC28-'DJB Daily Readings'!CC27)*1.89</f>
        <v>0</v>
      </c>
      <c r="AG20" s="80">
        <f>('DJB Daily Readings'!CE28-'DJB Daily Readings'!CE27)*1.89</f>
        <v>18.899999999999999</v>
      </c>
      <c r="AH20" s="80">
        <f>('DJB Daily Readings'!CG28-'DJB Daily Readings'!CG27)*1.89</f>
        <v>24.57</v>
      </c>
      <c r="AI20" s="80">
        <f>('DJB Daily Readings'!CI28-'DJB Daily Readings'!CI27)*1.89</f>
        <v>68.039999999999992</v>
      </c>
      <c r="AJ20" s="77">
        <f>'DJB Daily Readings'!CY28-'DJB Daily Readings'!CY27</f>
        <v>6</v>
      </c>
      <c r="AK20" s="77">
        <f>'DJB Daily Readings'!CW28-'DJB Daily Readings'!CW27</f>
        <v>9</v>
      </c>
      <c r="AL20" s="78">
        <f>'DJB Daily Readings'!DC28-'DJB Daily Readings'!DC27</f>
        <v>12</v>
      </c>
      <c r="AM20" s="78">
        <f>'DJB Daily Readings'!DA28-'DJB Daily Readings'!DA27</f>
        <v>15</v>
      </c>
      <c r="AN20" s="78">
        <f>'DJB Daily Readings'!DG28-'DJB Daily Readings'!DG27</f>
        <v>5</v>
      </c>
      <c r="AO20" s="78">
        <f>'DJB Daily Readings'!DE28-'DJB Daily Readings'!DE27</f>
        <v>9</v>
      </c>
      <c r="AP20" s="78">
        <f>'DJB Daily Readings'!DK28-'DJB Daily Readings'!DK27</f>
        <v>8</v>
      </c>
      <c r="AQ20" s="78">
        <f>'DJB Daily Readings'!DI28-'DJB Daily Readings'!DI27</f>
        <v>8</v>
      </c>
      <c r="AR20" s="78">
        <f>'DJB Daily Readings'!DO28-'DJB Daily Readings'!DO27</f>
        <v>6</v>
      </c>
      <c r="AS20" s="78">
        <f>'DJB Daily Readings'!DM28-'DJB Daily Readings'!DM27</f>
        <v>5</v>
      </c>
      <c r="AT20" s="78">
        <f>'DJB Daily Readings'!DQ28-'DJB Daily Readings'!DQ27</f>
        <v>0</v>
      </c>
      <c r="AU20" s="78">
        <f>'DJB Daily Readings'!DT28-'DJB Daily Readings'!DT27</f>
        <v>10.800000000000182</v>
      </c>
      <c r="AW20" s="78">
        <f>'DJB Daily Readings'!DX28-'DJB Daily Readings'!DX27</f>
        <v>5.8999999999996362</v>
      </c>
      <c r="AX20" s="78">
        <f>'DJB Daily Readings'!DZ28-'DJB Daily Readings'!DZ27</f>
        <v>6.3999999999996362</v>
      </c>
      <c r="AY20" s="78">
        <f>'DJB Daily Readings'!EB28-'DJB Daily Readings'!EB27</f>
        <v>542</v>
      </c>
      <c r="AZ20" s="78">
        <f>'DJB Daily Readings'!ED28-'DJB Daily Readings'!ED27</f>
        <v>180.89999999999418</v>
      </c>
      <c r="BA20" s="78">
        <f>'DJB Daily Readings'!EG28-'DJB Daily Readings'!EG27</f>
        <v>1800</v>
      </c>
      <c r="BB20" s="78">
        <f>'DJB Daily Readings'!EI28-'DJB Daily Readings'!EI27</f>
        <v>170</v>
      </c>
      <c r="BC20" s="78">
        <f>'DJB Daily Readings'!EQ28-'DJB Daily Readings'!EQ27</f>
        <v>1800</v>
      </c>
      <c r="BD20" s="78">
        <f>'DJB Daily Readings'!EK28-'DJB Daily Readings'!EK27</f>
        <v>800</v>
      </c>
      <c r="BE20" s="78">
        <f>'DJB Daily Readings'!EM28-'DJB Daily Readings'!EM27</f>
        <v>200</v>
      </c>
      <c r="BF20" s="78">
        <f>'DJB Daily Readings'!EO28-'DJB Daily Readings'!EO27</f>
        <v>310</v>
      </c>
      <c r="BG20" s="78">
        <f>('DJB Daily Readings'!ET28-'DJB Daily Readings'!ET27)*1.89</f>
        <v>32.129999999999995</v>
      </c>
      <c r="BH20" s="78">
        <f>('DJB Daily Readings'!EV28-'DJB Daily Readings'!EV27)*1.89</f>
        <v>20.79</v>
      </c>
      <c r="BI20" s="78">
        <f>('DJB Daily Readings'!EZ28-'DJB Daily Readings'!EZ27)*1.89</f>
        <v>26.459999999999997</v>
      </c>
      <c r="BJ20" s="78">
        <f>('DJB Daily Readings'!EX28-'DJB Daily Readings'!EX27)*1.89</f>
        <v>15.12</v>
      </c>
      <c r="BK20" s="78">
        <f>('DJB Daily Readings'!FB28-'DJB Daily Readings'!FB27)*1.89</f>
        <v>54.809999999999995</v>
      </c>
      <c r="BL20" s="78">
        <f>'DJB Daily Readings'!J28</f>
        <v>206</v>
      </c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>
        <f>237*0.75</f>
        <v>177.75</v>
      </c>
      <c r="F21" s="75">
        <f>288+30</f>
        <v>318</v>
      </c>
      <c r="G21" s="3">
        <f>'DJB Daily Readings'!C29-'DJB Daily Readings'!C28</f>
        <v>576</v>
      </c>
      <c r="H21" s="3">
        <f>'DJB Daily Readings'!F29-'DJB Daily Readings'!F28</f>
        <v>460</v>
      </c>
      <c r="I21" s="3">
        <f>'DJB Daily Readings'!L29</f>
        <v>151</v>
      </c>
      <c r="J21" s="3">
        <f>'DJB Daily Readings'!N29</f>
        <v>0</v>
      </c>
      <c r="K21" s="3">
        <f>'DJB Daily Readings'!O29-'DJB Daily Readings'!O28</f>
        <v>63</v>
      </c>
      <c r="L21" s="3">
        <f>'DJB Daily Readings'!R29-'DJB Daily Readings'!R28</f>
        <v>3</v>
      </c>
      <c r="M21" s="3">
        <f>'DJB Daily Readings'!U29-'DJB Daily Readings'!U28</f>
        <v>2046.2400000002235</v>
      </c>
      <c r="N21" s="3">
        <f>'DJB Daily Readings'!X29-'DJB Daily Readings'!X28</f>
        <v>5018.160000000149</v>
      </c>
      <c r="O21" s="3">
        <f>'DJB Daily Readings'!AA29-'DJB Daily Readings'!AA28</f>
        <v>0</v>
      </c>
      <c r="P21" s="3">
        <f>'DJB Daily Readings'!AD29-'DJB Daily Readings'!AD28</f>
        <v>7064.3999999985099</v>
      </c>
      <c r="Q21" s="3">
        <f>'DJB Daily Readings'!AG29-'DJB Daily Readings'!AG28</f>
        <v>1364.160000000149</v>
      </c>
      <c r="R21" s="3">
        <f>'DJB Daily Readings'!AJ29-'DJB Daily Readings'!AJ28</f>
        <v>5505.3599999956787</v>
      </c>
      <c r="S21" s="3">
        <f>'DJB Daily Readings'!AM29-'DJB Daily Readings'!AM28</f>
        <v>4384.8000000007451</v>
      </c>
      <c r="T21" s="3">
        <f>'DJB Daily Readings'!AP29-'DJB Daily Readings'!AP28</f>
        <v>4433.5200000014156</v>
      </c>
      <c r="U21" s="3">
        <f>'DJB Daily Readings'!AS29-'DJB Daily Readings'!AS28</f>
        <v>3020.640000000596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35000</v>
      </c>
      <c r="Y21" s="3">
        <f>'DJB Daily Readings'!BF29-'DJB Daily Readings'!BF28</f>
        <v>0</v>
      </c>
      <c r="Z21" s="3">
        <f>('DJB Daily Readings'!CK29-'DJB Daily Readings'!CK28)*1.89</f>
        <v>145.53</v>
      </c>
      <c r="AA21" s="3">
        <f>('DJB Daily Readings'!CN29-'DJB Daily Readings'!CN28)*1.89</f>
        <v>204.11999999999998</v>
      </c>
      <c r="AB21" s="3">
        <f>('DJB Daily Readings'!CQ29-'DJB Daily Readings'!CQ28)*1.89</f>
        <v>582.12</v>
      </c>
      <c r="AC21" s="3">
        <f>'DJB Daily Readings'!CT29-'DJB Daily Readings'!CT28</f>
        <v>161</v>
      </c>
      <c r="AD21" s="80">
        <f>('DJB Daily Readings'!BY29-'DJB Daily Readings'!BY28)*1.89</f>
        <v>34.019999999999996</v>
      </c>
      <c r="AE21" s="80">
        <f>('DJB Daily Readings'!CA29-'DJB Daily Readings'!CA28)*1.89</f>
        <v>35.909999999999997</v>
      </c>
      <c r="AF21" s="80">
        <f>('DJB Daily Readings'!CC29-'DJB Daily Readings'!CC28)*1.89</f>
        <v>0</v>
      </c>
      <c r="AG21" s="80">
        <f>('DJB Daily Readings'!CE29-'DJB Daily Readings'!CE28)*1.89</f>
        <v>17.009999999999998</v>
      </c>
      <c r="AH21" s="80">
        <f>('DJB Daily Readings'!CG29-'DJB Daily Readings'!CG28)*1.89</f>
        <v>24.57</v>
      </c>
      <c r="AI21" s="80">
        <f>('DJB Daily Readings'!CI29-'DJB Daily Readings'!CI28)*1.89</f>
        <v>75.599999999999994</v>
      </c>
      <c r="AJ21" s="77">
        <f>'DJB Daily Readings'!CY29-'DJB Daily Readings'!CY28</f>
        <v>6</v>
      </c>
      <c r="AK21" s="77">
        <f>'DJB Daily Readings'!CW29-'DJB Daily Readings'!CW28</f>
        <v>9</v>
      </c>
      <c r="AL21" s="78">
        <f>'DJB Daily Readings'!DC29-'DJB Daily Readings'!DC28</f>
        <v>12</v>
      </c>
      <c r="AM21" s="78">
        <f>'DJB Daily Readings'!DA29-'DJB Daily Readings'!DA28</f>
        <v>15</v>
      </c>
      <c r="AN21" s="78">
        <f>'DJB Daily Readings'!DG29-'DJB Daily Readings'!DG28</f>
        <v>5</v>
      </c>
      <c r="AO21" s="78">
        <f>'DJB Daily Readings'!DE29-'DJB Daily Readings'!DE28</f>
        <v>9</v>
      </c>
      <c r="AP21" s="78">
        <f>'DJB Daily Readings'!DK29-'DJB Daily Readings'!DK28</f>
        <v>8</v>
      </c>
      <c r="AQ21" s="78">
        <f>'DJB Daily Readings'!DI29-'DJB Daily Readings'!DI28</f>
        <v>8</v>
      </c>
      <c r="AR21" s="78">
        <f>'DJB Daily Readings'!DO29-'DJB Daily Readings'!DO28</f>
        <v>6</v>
      </c>
      <c r="AS21" s="78">
        <f>'DJB Daily Readings'!DM29-'DJB Daily Readings'!DM28</f>
        <v>5</v>
      </c>
      <c r="AT21" s="78">
        <f>'DJB Daily Readings'!DQ29-'DJB Daily Readings'!DQ28</f>
        <v>0</v>
      </c>
      <c r="AU21" s="78">
        <f>'DJB Daily Readings'!DT29-'DJB Daily Readings'!DT28</f>
        <v>11.400000000000546</v>
      </c>
      <c r="AW21" s="78">
        <f>'DJB Daily Readings'!DX29-'DJB Daily Readings'!DX28</f>
        <v>6.1999999999998181</v>
      </c>
      <c r="AX21" s="78">
        <f>'DJB Daily Readings'!DZ29-'DJB Daily Readings'!DZ28</f>
        <v>7</v>
      </c>
      <c r="AY21" s="78">
        <f>'DJB Daily Readings'!EB29-'DJB Daily Readings'!EB28</f>
        <v>590</v>
      </c>
      <c r="AZ21" s="78">
        <f>'DJB Daily Readings'!ED29-'DJB Daily Readings'!ED28</f>
        <v>159.20000000001164</v>
      </c>
      <c r="BA21" s="78">
        <f>'DJB Daily Readings'!EG29-'DJB Daily Readings'!EG28</f>
        <v>2000</v>
      </c>
      <c r="BB21" s="78">
        <f>'DJB Daily Readings'!EI29-'DJB Daily Readings'!EI28</f>
        <v>210</v>
      </c>
      <c r="BC21" s="78">
        <f>'DJB Daily Readings'!EQ29-'DJB Daily Readings'!EQ28</f>
        <v>1900</v>
      </c>
      <c r="BD21" s="78">
        <f>'DJB Daily Readings'!EK29-'DJB Daily Readings'!EK28</f>
        <v>1000</v>
      </c>
      <c r="BE21" s="78">
        <f>'DJB Daily Readings'!EM29-'DJB Daily Readings'!EM28</f>
        <v>300</v>
      </c>
      <c r="BF21" s="78">
        <f>'DJB Daily Readings'!EO29-'DJB Daily Readings'!EO28</f>
        <v>390</v>
      </c>
      <c r="BG21" s="78">
        <f>('DJB Daily Readings'!ET29-'DJB Daily Readings'!ET28)*1.89</f>
        <v>35.909999999999997</v>
      </c>
      <c r="BH21" s="78">
        <f>('DJB Daily Readings'!EV29-'DJB Daily Readings'!EV28)*1.89</f>
        <v>20.79</v>
      </c>
      <c r="BI21" s="78">
        <f>('DJB Daily Readings'!EZ29-'DJB Daily Readings'!EZ28)*1.89</f>
        <v>24.57</v>
      </c>
      <c r="BJ21" s="78">
        <f>('DJB Daily Readings'!EX29-'DJB Daily Readings'!EX28)*1.89</f>
        <v>22.68</v>
      </c>
      <c r="BK21" s="78">
        <f>('DJB Daily Readings'!FB29-'DJB Daily Readings'!FB28)*1.89</f>
        <v>69.929999999999993</v>
      </c>
      <c r="BL21" s="78">
        <f>'DJB Daily Readings'!J29</f>
        <v>206</v>
      </c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>
        <f>237*0.65</f>
        <v>154.05000000000001</v>
      </c>
      <c r="F22" s="75">
        <f>245+25</f>
        <v>270</v>
      </c>
      <c r="G22" s="3">
        <f>'DJB Daily Readings'!C30-'DJB Daily Readings'!C29</f>
        <v>585</v>
      </c>
      <c r="H22" s="3">
        <f>'DJB Daily Readings'!F30-'DJB Daily Readings'!F29</f>
        <v>448</v>
      </c>
      <c r="I22" s="3">
        <f>'DJB Daily Readings'!L30</f>
        <v>220</v>
      </c>
      <c r="J22" s="3">
        <f>'DJB Daily Readings'!N30</f>
        <v>0</v>
      </c>
      <c r="K22" s="3">
        <f>'DJB Daily Readings'!O30-'DJB Daily Readings'!O29</f>
        <v>71</v>
      </c>
      <c r="L22" s="3">
        <f>'DJB Daily Readings'!R30-'DJB Daily Readings'!R29</f>
        <v>12</v>
      </c>
      <c r="M22" s="3">
        <f>'DJB Daily Readings'!U30-'DJB Daily Readings'!U29</f>
        <v>3215.519999999553</v>
      </c>
      <c r="N22" s="3">
        <f>'DJB Daily Readings'!X30-'DJB Daily Readings'!X29</f>
        <v>3897.6000000014901</v>
      </c>
      <c r="O22" s="3">
        <f>'DJB Daily Readings'!AA30-'DJB Daily Readings'!AA29</f>
        <v>7259.2800000011921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5359.2000000029802</v>
      </c>
      <c r="S22" s="3">
        <f>'DJB Daily Readings'!AM30-'DJB Daily Readings'!AM29</f>
        <v>4189.9199999980628</v>
      </c>
      <c r="T22" s="3">
        <f>'DJB Daily Readings'!AP30-'DJB Daily Readings'!AP29</f>
        <v>4336.0799999982119</v>
      </c>
      <c r="U22" s="3">
        <f>'DJB Daily Readings'!AS30-'DJB Daily Readings'!AS29</f>
        <v>2923.2000000011176</v>
      </c>
      <c r="V22" s="3">
        <f>'DJB Daily Readings'!AV30-'DJB Daily Readings'!AV29</f>
        <v>5407.9200000017881</v>
      </c>
      <c r="W22" s="3">
        <f>'DJB Daily Readings'!AZ30-'DJB Daily Readings'!AZ29</f>
        <v>34400</v>
      </c>
      <c r="X22" s="3">
        <f>'DJB Daily Readings'!BC30-'DJB Daily Readings'!BC29</f>
        <v>2400</v>
      </c>
      <c r="Y22" s="3">
        <f>'DJB Daily Readings'!BF30-'DJB Daily Readings'!BF29</f>
        <v>0</v>
      </c>
      <c r="Z22" s="3">
        <f>('DJB Daily Readings'!CK30-'DJB Daily Readings'!CK29)*1.89</f>
        <v>145.53</v>
      </c>
      <c r="AA22" s="3">
        <f>('DJB Daily Readings'!CN30-'DJB Daily Readings'!CN29)*1.89</f>
        <v>175.76999999999998</v>
      </c>
      <c r="AB22" s="3">
        <f>('DJB Daily Readings'!CQ30-'DJB Daily Readings'!CQ29)*1.89</f>
        <v>567</v>
      </c>
      <c r="AC22" s="3">
        <f>'DJB Daily Readings'!CT30-'DJB Daily Readings'!CT29</f>
        <v>159</v>
      </c>
      <c r="AD22" s="80">
        <f>('DJB Daily Readings'!BY30-'DJB Daily Readings'!BY29)*1.89</f>
        <v>34.019999999999996</v>
      </c>
      <c r="AE22" s="80">
        <f>('DJB Daily Readings'!CA30-'DJB Daily Readings'!CA29)*1.89</f>
        <v>35.909999999999997</v>
      </c>
      <c r="AF22" s="80">
        <f>('DJB Daily Readings'!CC30-'DJB Daily Readings'!CC29)*1.89</f>
        <v>0</v>
      </c>
      <c r="AG22" s="80">
        <f>('DJB Daily Readings'!CE30-'DJB Daily Readings'!CE29)*1.89</f>
        <v>17.009999999999998</v>
      </c>
      <c r="AH22" s="80">
        <f>('DJB Daily Readings'!CG30-'DJB Daily Readings'!CG29)*1.89</f>
        <v>30.24</v>
      </c>
      <c r="AI22" s="80">
        <f>('DJB Daily Readings'!CI30-'DJB Daily Readings'!CI29)*1.89</f>
        <v>64.259999999999991</v>
      </c>
      <c r="AJ22" s="77">
        <f>'DJB Daily Readings'!CY30-'DJB Daily Readings'!CY29</f>
        <v>6</v>
      </c>
      <c r="AK22" s="77">
        <f>'DJB Daily Readings'!CW30-'DJB Daily Readings'!CW29</f>
        <v>9</v>
      </c>
      <c r="AL22" s="78">
        <f>'DJB Daily Readings'!DC30-'DJB Daily Readings'!DC29</f>
        <v>12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9</v>
      </c>
      <c r="AP22" s="78">
        <f>'DJB Daily Readings'!DK30-'DJB Daily Readings'!DK29</f>
        <v>8</v>
      </c>
      <c r="AQ22" s="78">
        <f>'DJB Daily Readings'!DI30-'DJB Daily Readings'!DI29</f>
        <v>8</v>
      </c>
      <c r="AR22" s="78">
        <f>'DJB Daily Readings'!DO30-'DJB Daily Readings'!DO29</f>
        <v>5</v>
      </c>
      <c r="AS22" s="78">
        <f>'DJB Daily Readings'!DM30-'DJB Daily Readings'!DM29</f>
        <v>5</v>
      </c>
      <c r="AT22" s="78">
        <f>'DJB Daily Readings'!DQ30-'DJB Daily Readings'!DQ29</f>
        <v>0</v>
      </c>
      <c r="AU22" s="78">
        <f>'DJB Daily Readings'!DT30-'DJB Daily Readings'!DT29</f>
        <v>11</v>
      </c>
      <c r="AW22" s="78">
        <f>'DJB Daily Readings'!DX30-'DJB Daily Readings'!DX29</f>
        <v>5.9000000000005457</v>
      </c>
      <c r="AX22" s="78">
        <f>'DJB Daily Readings'!DZ30-'DJB Daily Readings'!DZ29</f>
        <v>7.1999999999998181</v>
      </c>
      <c r="AY22" s="78">
        <f>'DJB Daily Readings'!EB30-'DJB Daily Readings'!EB29</f>
        <v>554</v>
      </c>
      <c r="AZ22" s="78">
        <f>'DJB Daily Readings'!ED30-'DJB Daily Readings'!ED29</f>
        <v>150.19999999998254</v>
      </c>
      <c r="BA22" s="78">
        <f>'DJB Daily Readings'!EG30-'DJB Daily Readings'!EG29</f>
        <v>2100</v>
      </c>
      <c r="BB22" s="78">
        <f>'DJB Daily Readings'!EI30-'DJB Daily Readings'!EI29</f>
        <v>200</v>
      </c>
      <c r="BC22" s="78">
        <f>'DJB Daily Readings'!EQ30-'DJB Daily Readings'!EQ29</f>
        <v>1500</v>
      </c>
      <c r="BD22" s="78">
        <f>'DJB Daily Readings'!EK30-'DJB Daily Readings'!EK29</f>
        <v>1100</v>
      </c>
      <c r="BE22" s="78">
        <f>'DJB Daily Readings'!EM30-'DJB Daily Readings'!EM29</f>
        <v>400</v>
      </c>
      <c r="BF22" s="78">
        <f>'DJB Daily Readings'!EO30-'DJB Daily Readings'!EO29</f>
        <v>510</v>
      </c>
      <c r="BG22" s="78">
        <f>('DJB Daily Readings'!ET30-'DJB Daily Readings'!ET29)*1.89</f>
        <v>28.349999999999998</v>
      </c>
      <c r="BH22" s="78">
        <f>('DJB Daily Readings'!EV30-'DJB Daily Readings'!EV29)*1.89</f>
        <v>26.459999999999997</v>
      </c>
      <c r="BI22" s="78">
        <f>('DJB Daily Readings'!EZ30-'DJB Daily Readings'!EZ29)*1.89</f>
        <v>34.019999999999996</v>
      </c>
      <c r="BJ22" s="78">
        <f>('DJB Daily Readings'!EX30-'DJB Daily Readings'!EX29)*1.89</f>
        <v>24.57</v>
      </c>
      <c r="BK22" s="78">
        <f>('DJB Daily Readings'!FB30-'DJB Daily Readings'!FB29)*1.89</f>
        <v>62.37</v>
      </c>
      <c r="BL22" s="78">
        <f>'DJB Daily Readings'!J30</f>
        <v>234</v>
      </c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>
        <f>237*0.68</f>
        <v>161.16000000000003</v>
      </c>
      <c r="F23" s="75">
        <f>237+18</f>
        <v>255</v>
      </c>
      <c r="G23" s="3">
        <f>'DJB Daily Readings'!C31-'DJB Daily Readings'!C30</f>
        <v>513</v>
      </c>
      <c r="H23" s="3">
        <f>'DJB Daily Readings'!F31-'DJB Daily Readings'!F30</f>
        <v>416</v>
      </c>
      <c r="I23" s="3">
        <f>'DJB Daily Readings'!L31</f>
        <v>250</v>
      </c>
      <c r="J23" s="3">
        <f>'DJB Daily Readings'!N31</f>
        <v>0</v>
      </c>
      <c r="K23" s="3">
        <f>'DJB Daily Readings'!O31-'DJB Daily Readings'!O30</f>
        <v>66</v>
      </c>
      <c r="L23" s="3">
        <f>'DJB Daily Readings'!R31-'DJB Daily Readings'!R30</f>
        <v>9</v>
      </c>
      <c r="M23" s="3">
        <f>'DJB Daily Readings'!U31-'DJB Daily Readings'!U30</f>
        <v>3459.1199999991804</v>
      </c>
      <c r="N23" s="3">
        <f>'DJB Daily Readings'!X31-'DJB Daily Readings'!X30</f>
        <v>4823.2799999974668</v>
      </c>
      <c r="O23" s="3">
        <f>'DJB Daily Readings'!AA31-'DJB Daily Readings'!AA30</f>
        <v>7454.160000000149</v>
      </c>
      <c r="P23" s="3">
        <f>'DJB Daily Readings'!AD31-'DJB Daily Readings'!AD30</f>
        <v>48.720000002533197</v>
      </c>
      <c r="Q23" s="3">
        <f>'DJB Daily Readings'!AG31-'DJB Daily Readings'!AG30</f>
        <v>0</v>
      </c>
      <c r="R23" s="3">
        <f>'DJB Daily Readings'!AJ31-'DJB Daily Readings'!AJ30</f>
        <v>5992.5599999986589</v>
      </c>
      <c r="S23" s="3">
        <f>'DJB Daily Readings'!AM31-'DJB Daily Readings'!AM30</f>
        <v>4141.2000000011176</v>
      </c>
      <c r="T23" s="3">
        <f>'DJB Daily Readings'!AP31-'DJB Daily Readings'!AP30</f>
        <v>4628.4000000003725</v>
      </c>
      <c r="U23" s="3">
        <f>'DJB Daily Readings'!AS31-'DJB Daily Readings'!AS30</f>
        <v>3264.2400000002235</v>
      </c>
      <c r="V23" s="3">
        <f>'DJB Daily Readings'!AV31-'DJB Daily Readings'!AV30</f>
        <v>5797.679999999702</v>
      </c>
      <c r="W23" s="3">
        <f>'DJB Daily Readings'!AZ31-'DJB Daily Readings'!AZ30</f>
        <v>34200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158.76</v>
      </c>
      <c r="AA23" s="3">
        <f>('DJB Daily Readings'!CN31-'DJB Daily Readings'!CN30)*1.89</f>
        <v>228.69</v>
      </c>
      <c r="AB23" s="3">
        <f>('DJB Daily Readings'!CQ31-'DJB Daily Readings'!CQ30)*1.89</f>
        <v>614.25</v>
      </c>
      <c r="AC23" s="3">
        <f>'DJB Daily Readings'!CT31-'DJB Daily Readings'!CT30</f>
        <v>174</v>
      </c>
      <c r="AD23" s="80">
        <f>('DJB Daily Readings'!BY31-'DJB Daily Readings'!BY30)*1.89</f>
        <v>32.129999999999995</v>
      </c>
      <c r="AE23" s="80">
        <f>('DJB Daily Readings'!CA31-'DJB Daily Readings'!CA30)*1.89</f>
        <v>37.799999999999997</v>
      </c>
      <c r="AF23" s="80">
        <f>('DJB Daily Readings'!CC31-'DJB Daily Readings'!CC30)*1.89</f>
        <v>7.56</v>
      </c>
      <c r="AG23" s="80">
        <f>('DJB Daily Readings'!CE31-'DJB Daily Readings'!CE30)*1.89</f>
        <v>17.009999999999998</v>
      </c>
      <c r="AH23" s="80">
        <f>('DJB Daily Readings'!CG31-'DJB Daily Readings'!CG30)*1.89</f>
        <v>24.57</v>
      </c>
      <c r="AI23" s="80">
        <f>('DJB Daily Readings'!CI31-'DJB Daily Readings'!CI30)*1.89</f>
        <v>64.259999999999991</v>
      </c>
      <c r="AJ23" s="77">
        <f>'DJB Daily Readings'!CY31-'DJB Daily Readings'!CY30</f>
        <v>3</v>
      </c>
      <c r="AK23" s="77">
        <f>'DJB Daily Readings'!CW31-'DJB Daily Readings'!CW30</f>
        <v>5</v>
      </c>
      <c r="AL23" s="78">
        <f>'DJB Daily Readings'!DC31-'DJB Daily Readings'!DC30</f>
        <v>21</v>
      </c>
      <c r="AM23" s="78">
        <f>'DJB Daily Readings'!DA31-'DJB Daily Readings'!DA30</f>
        <v>21</v>
      </c>
      <c r="AN23" s="78">
        <f>'DJB Daily Readings'!DG31-'DJB Daily Readings'!DG30</f>
        <v>3</v>
      </c>
      <c r="AO23" s="78">
        <f>'DJB Daily Readings'!DE31-'DJB Daily Readings'!DE30</f>
        <v>9</v>
      </c>
      <c r="AP23" s="78">
        <f>'DJB Daily Readings'!DK31-'DJB Daily Readings'!DK30</f>
        <v>11</v>
      </c>
      <c r="AQ23" s="78">
        <f>'DJB Daily Readings'!DI31-'DJB Daily Readings'!DI30</f>
        <v>20</v>
      </c>
      <c r="AR23" s="78">
        <f>'DJB Daily Readings'!DO31-'DJB Daily Readings'!DO30</f>
        <v>14</v>
      </c>
      <c r="AS23" s="78">
        <f>'DJB Daily Readings'!DM31-'DJB Daily Readings'!DM30</f>
        <v>7</v>
      </c>
      <c r="AT23" s="78">
        <f>'DJB Daily Readings'!DQ31-'DJB Daily Readings'!DQ30</f>
        <v>15</v>
      </c>
      <c r="AU23" s="78">
        <f>'DJB Daily Readings'!DT31-'DJB Daily Readings'!DT30</f>
        <v>11.599999999999454</v>
      </c>
      <c r="AW23" s="78">
        <f>'DJB Daily Readings'!DX31-'DJB Daily Readings'!DX30</f>
        <v>6.3000000000001819</v>
      </c>
      <c r="AX23" s="78">
        <f>'DJB Daily Readings'!DZ31-'DJB Daily Readings'!DZ30</f>
        <v>6.7000000000007276</v>
      </c>
      <c r="AY23" s="78">
        <f>'DJB Daily Readings'!EB31-'DJB Daily Readings'!EB30</f>
        <v>536</v>
      </c>
      <c r="AZ23" s="78">
        <f>'DJB Daily Readings'!ED31-'DJB Daily Readings'!ED30</f>
        <v>159</v>
      </c>
      <c r="BA23" s="78">
        <f>'DJB Daily Readings'!EG31-'DJB Daily Readings'!EG30</f>
        <v>2500</v>
      </c>
      <c r="BB23" s="78">
        <f>'DJB Daily Readings'!EI31-'DJB Daily Readings'!EI30</f>
        <v>220</v>
      </c>
      <c r="BC23" s="78">
        <f>'DJB Daily Readings'!EQ31-'DJB Daily Readings'!EQ30</f>
        <v>400</v>
      </c>
      <c r="BD23" s="78">
        <f>'DJB Daily Readings'!EK31-'DJB Daily Readings'!EK30</f>
        <v>1200</v>
      </c>
      <c r="BE23" s="78">
        <f>'DJB Daily Readings'!EM31-'DJB Daily Readings'!EM30</f>
        <v>200</v>
      </c>
      <c r="BF23" s="78">
        <f>'DJB Daily Readings'!EO31-'DJB Daily Readings'!EO30</f>
        <v>700</v>
      </c>
      <c r="BG23" s="78">
        <f>('DJB Daily Readings'!ET31-'DJB Daily Readings'!ET30)*1.89</f>
        <v>26.459999999999997</v>
      </c>
      <c r="BH23" s="78">
        <f>('DJB Daily Readings'!EV31-'DJB Daily Readings'!EV30)*1.89</f>
        <v>18.899999999999999</v>
      </c>
      <c r="BI23" s="78">
        <f>('DJB Daily Readings'!EZ31-'DJB Daily Readings'!EZ30)*1.89</f>
        <v>22.68</v>
      </c>
      <c r="BJ23" s="78">
        <f>('DJB Daily Readings'!EX31-'DJB Daily Readings'!EX30)*1.89</f>
        <v>20.79</v>
      </c>
      <c r="BK23" s="78">
        <f>('DJB Daily Readings'!FB31-'DJB Daily Readings'!FB30)*1.89</f>
        <v>56.699999999999996</v>
      </c>
      <c r="BL23" s="78">
        <f>'DJB Daily Readings'!J31</f>
        <v>232</v>
      </c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>
        <f>237*0.69</f>
        <v>163.53</v>
      </c>
      <c r="F24" s="75">
        <f>243+19</f>
        <v>262</v>
      </c>
      <c r="G24" s="3">
        <f>'DJB Daily Readings'!C32-'DJB Daily Readings'!C31</f>
        <v>585</v>
      </c>
      <c r="H24" s="3">
        <f>'DJB Daily Readings'!F32-'DJB Daily Readings'!F31</f>
        <v>418</v>
      </c>
      <c r="I24" s="3">
        <f>'DJB Daily Readings'!L32</f>
        <v>286</v>
      </c>
      <c r="J24" s="3">
        <f>'DJB Daily Readings'!N32</f>
        <v>61</v>
      </c>
      <c r="K24" s="3">
        <f>'DJB Daily Readings'!O32-'DJB Daily Readings'!O31</f>
        <v>60</v>
      </c>
      <c r="L24" s="3">
        <f>'DJB Daily Readings'!R32-'DJB Daily Readings'!R31</f>
        <v>5</v>
      </c>
      <c r="M24" s="3">
        <f>'DJB Daily Readings'!U32-'DJB Daily Readings'!U31</f>
        <v>2971.9200000008568</v>
      </c>
      <c r="N24" s="3">
        <f>'DJB Daily Readings'!X32-'DJB Daily Readings'!X31</f>
        <v>4384.8000000007451</v>
      </c>
      <c r="O24" s="3">
        <f>'DJB Daily Readings'!AA32-'DJB Daily Readings'!AA31</f>
        <v>1851.359999999404</v>
      </c>
      <c r="P24" s="3">
        <f>'DJB Daily Readings'!AD32-'DJB Daily Readings'!AD31</f>
        <v>4433.519999999553</v>
      </c>
      <c r="Q24" s="3">
        <f>'DJB Daily Readings'!AG32-'DJB Daily Readings'!AG31</f>
        <v>48.719999998807907</v>
      </c>
      <c r="R24" s="3">
        <f>'DJB Daily Readings'!AJ32-'DJB Daily Readings'!AJ31</f>
        <v>5213.0399999991059</v>
      </c>
      <c r="S24" s="3">
        <f>'DJB Daily Readings'!AM32-'DJB Daily Readings'!AM31</f>
        <v>3848.8800000008196</v>
      </c>
      <c r="T24" s="3">
        <f>'DJB Daily Readings'!AP32-'DJB Daily Readings'!AP31</f>
        <v>4287.359999999404</v>
      </c>
      <c r="U24" s="3">
        <f>'DJB Daily Readings'!AS32-'DJB Daily Readings'!AS31</f>
        <v>2971.9199999980628</v>
      </c>
      <c r="V24" s="3">
        <f>'DJB Daily Readings'!AV32-'DJB Daily Readings'!AV31</f>
        <v>5018.160000000149</v>
      </c>
      <c r="W24" s="3">
        <f>'DJB Daily Readings'!AZ32-'DJB Daily Readings'!AZ31</f>
        <v>11300</v>
      </c>
      <c r="X24" s="3">
        <f>'DJB Daily Readings'!BC32-'DJB Daily Readings'!BC31</f>
        <v>21400</v>
      </c>
      <c r="Y24" s="3">
        <f>'DJB Daily Readings'!BF32-'DJB Daily Readings'!BF31</f>
        <v>0</v>
      </c>
      <c r="Z24" s="3">
        <f>('DJB Daily Readings'!CK32-'DJB Daily Readings'!CK31)*1.89</f>
        <v>136.07999999999998</v>
      </c>
      <c r="AA24" s="3">
        <f>('DJB Daily Readings'!CN32-'DJB Daily Readings'!CN31)*1.89</f>
        <v>211.67999999999998</v>
      </c>
      <c r="AB24" s="3">
        <f>('DJB Daily Readings'!CQ32-'DJB Daily Readings'!CQ31)*1.89</f>
        <v>527.30999999999995</v>
      </c>
      <c r="AC24" s="3">
        <f>'DJB Daily Readings'!CT32-'DJB Daily Readings'!CT31</f>
        <v>148</v>
      </c>
      <c r="AD24" s="80">
        <f>('DJB Daily Readings'!BY32-'DJB Daily Readings'!BY31)*1.89</f>
        <v>30.24</v>
      </c>
      <c r="AE24" s="80">
        <f>('DJB Daily Readings'!CA32-'DJB Daily Readings'!CA31)*1.89</f>
        <v>37.799999999999997</v>
      </c>
      <c r="AF24" s="80">
        <f>('DJB Daily Readings'!CC32-'DJB Daily Readings'!CC31)*1.89</f>
        <v>13.229999999999999</v>
      </c>
      <c r="AG24" s="80">
        <f>('DJB Daily Readings'!CE32-'DJB Daily Readings'!CE31)*1.89</f>
        <v>15.12</v>
      </c>
      <c r="AH24" s="80">
        <f>('DJB Daily Readings'!CG32-'DJB Daily Readings'!CG31)*1.89</f>
        <v>32.129999999999995</v>
      </c>
      <c r="AI24" s="80">
        <f>('DJB Daily Readings'!CI32-'DJB Daily Readings'!CI31)*1.89</f>
        <v>60.48</v>
      </c>
      <c r="AJ24" s="77">
        <f>'DJB Daily Readings'!CY32-'DJB Daily Readings'!CY31</f>
        <v>2</v>
      </c>
      <c r="AK24" s="77">
        <f>'DJB Daily Readings'!CW32-'DJB Daily Readings'!CW31</f>
        <v>3</v>
      </c>
      <c r="AL24" s="78">
        <f>'DJB Daily Readings'!DC32-'DJB Daily Readings'!DC31</f>
        <v>14</v>
      </c>
      <c r="AM24" s="78">
        <f>'DJB Daily Readings'!DA32-'DJB Daily Readings'!DA31</f>
        <v>14</v>
      </c>
      <c r="AN24" s="78">
        <f>'DJB Daily Readings'!DG32-'DJB Daily Readings'!DG31</f>
        <v>5</v>
      </c>
      <c r="AO24" s="78">
        <f>'DJB Daily Readings'!DE32-'DJB Daily Readings'!DE31</f>
        <v>9</v>
      </c>
      <c r="AP24" s="78">
        <f>'DJB Daily Readings'!DK32-'DJB Daily Readings'!DK31</f>
        <v>7</v>
      </c>
      <c r="AQ24" s="78">
        <f>'DJB Daily Readings'!DI32-'DJB Daily Readings'!DI31</f>
        <v>10</v>
      </c>
      <c r="AR24" s="78">
        <f>'DJB Daily Readings'!DO32-'DJB Daily Readings'!DO31</f>
        <v>6</v>
      </c>
      <c r="AS24" s="78">
        <f>'DJB Daily Readings'!DM32-'DJB Daily Readings'!DM31</f>
        <v>5</v>
      </c>
      <c r="AT24" s="78">
        <f>'DJB Daily Readings'!DQ32-'DJB Daily Readings'!DQ31</f>
        <v>10</v>
      </c>
      <c r="AU24" s="78">
        <f>'DJB Daily Readings'!DT32-'DJB Daily Readings'!DT31</f>
        <v>10.199999999999818</v>
      </c>
      <c r="AW24" s="78">
        <f>'DJB Daily Readings'!DX32-'DJB Daily Readings'!DX31</f>
        <v>5.3999999999996362</v>
      </c>
      <c r="AX24" s="78">
        <f>'DJB Daily Readings'!DZ32-'DJB Daily Readings'!DZ31</f>
        <v>6.0999999999994543</v>
      </c>
      <c r="AY24" s="78">
        <f>'DJB Daily Readings'!EB32-'DJB Daily Readings'!EB31</f>
        <v>496</v>
      </c>
      <c r="AZ24" s="78">
        <f>'DJB Daily Readings'!ED32-'DJB Daily Readings'!ED31</f>
        <v>142.70000000001164</v>
      </c>
      <c r="BA24" s="78">
        <f>'DJB Daily Readings'!EG32-'DJB Daily Readings'!EG31</f>
        <v>1500</v>
      </c>
      <c r="BB24" s="78">
        <f>'DJB Daily Readings'!EI32-'DJB Daily Readings'!EI31</f>
        <v>170</v>
      </c>
      <c r="BC24" s="78">
        <f>'DJB Daily Readings'!EQ32-'DJB Daily Readings'!EQ31</f>
        <v>300</v>
      </c>
      <c r="BD24" s="78">
        <f>'DJB Daily Readings'!EK32-'DJB Daily Readings'!EK31</f>
        <v>800</v>
      </c>
      <c r="BE24" s="78">
        <f>'DJB Daily Readings'!EM32-'DJB Daily Readings'!EM31</f>
        <v>100</v>
      </c>
      <c r="BF24" s="78">
        <f>'DJB Daily Readings'!EO32-'DJB Daily Readings'!EO31</f>
        <v>320</v>
      </c>
      <c r="BG24" s="78">
        <f>('DJB Daily Readings'!ET32-'DJB Daily Readings'!ET31)*1.89</f>
        <v>30.24</v>
      </c>
      <c r="BH24" s="78">
        <f>('DJB Daily Readings'!EV32-'DJB Daily Readings'!EV31)*1.89</f>
        <v>20.79</v>
      </c>
      <c r="BI24" s="78">
        <f>('DJB Daily Readings'!EZ32-'DJB Daily Readings'!EZ31)*1.89</f>
        <v>22.68</v>
      </c>
      <c r="BJ24" s="78">
        <f>('DJB Daily Readings'!EX32-'DJB Daily Readings'!EX31)*1.89</f>
        <v>17.009999999999998</v>
      </c>
      <c r="BK24" s="78">
        <f>('DJB Daily Readings'!FB32-'DJB Daily Readings'!FB31)*1.89</f>
        <v>58.589999999999996</v>
      </c>
      <c r="BL24" s="78">
        <f>'DJB Daily Readings'!J32</f>
        <v>219</v>
      </c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>
        <f>237*0.69</f>
        <v>163.53</v>
      </c>
      <c r="F25" s="75">
        <f>244+37</f>
        <v>281</v>
      </c>
      <c r="G25" s="3">
        <f>'DJB Daily Readings'!C33-'DJB Daily Readings'!C32</f>
        <v>531</v>
      </c>
      <c r="H25" s="3">
        <f>'DJB Daily Readings'!F33-'DJB Daily Readings'!F32</f>
        <v>366</v>
      </c>
      <c r="I25" s="3">
        <f>'DJB Daily Readings'!L33</f>
        <v>240</v>
      </c>
      <c r="J25" s="3">
        <f>'DJB Daily Readings'!N33</f>
        <v>59</v>
      </c>
      <c r="K25" s="3">
        <f>'DJB Daily Readings'!O33-'DJB Daily Readings'!O32</f>
        <v>60</v>
      </c>
      <c r="L25" s="3">
        <f>'DJB Daily Readings'!R33-'DJB Daily Readings'!R32</f>
        <v>6</v>
      </c>
      <c r="M25" s="3">
        <f>'DJB Daily Readings'!U33-'DJB Daily Readings'!U32</f>
        <v>2923.2000000001863</v>
      </c>
      <c r="N25" s="3">
        <f>'DJB Daily Readings'!X33-'DJB Daily Readings'!X32</f>
        <v>4384.8000000007451</v>
      </c>
      <c r="O25" s="3">
        <f>'DJB Daily Readings'!AA33-'DJB Daily Readings'!AA32</f>
        <v>4092.480000000447</v>
      </c>
      <c r="P25" s="3">
        <f>'DJB Daily Readings'!AD33-'DJB Daily Readings'!AD32</f>
        <v>2874.480000000447</v>
      </c>
      <c r="Q25" s="3">
        <f>'DJB Daily Readings'!AG33-'DJB Daily Readings'!AG32</f>
        <v>0</v>
      </c>
      <c r="R25" s="3">
        <f>'DJB Daily Readings'!AJ33-'DJB Daily Readings'!AJ32</f>
        <v>3848.8800000026822</v>
      </c>
      <c r="S25" s="3">
        <f>'DJB Daily Readings'!AM33-'DJB Daily Readings'!AM32</f>
        <v>3897.5999999996275</v>
      </c>
      <c r="T25" s="3">
        <f>'DJB Daily Readings'!AP33-'DJB Daily Readings'!AP32</f>
        <v>3800.1600000020117</v>
      </c>
      <c r="U25" s="3">
        <f>'DJB Daily Readings'!AS33-'DJB Daily Readings'!AS32</f>
        <v>2971.9199999999255</v>
      </c>
      <c r="V25" s="3">
        <f>'DJB Daily Readings'!AV33-'DJB Daily Readings'!AV32</f>
        <v>5213.0399999991059</v>
      </c>
      <c r="W25" s="3">
        <f>'DJB Daily Readings'!AZ33-'DJB Daily Readings'!AZ32</f>
        <v>21300</v>
      </c>
      <c r="X25" s="3">
        <f>'DJB Daily Readings'!BC33-'DJB Daily Readings'!BC32</f>
        <v>10900</v>
      </c>
      <c r="Y25" s="3">
        <f>'DJB Daily Readings'!BF33-'DJB Daily Readings'!BF32</f>
        <v>0</v>
      </c>
      <c r="Z25" s="3">
        <f>('DJB Daily Readings'!CK33-'DJB Daily Readings'!CK32)*1.89</f>
        <v>149.31</v>
      </c>
      <c r="AA25" s="3">
        <f>('DJB Daily Readings'!CN33-'DJB Daily Readings'!CN32)*1.89</f>
        <v>204.11999999999998</v>
      </c>
      <c r="AB25" s="3">
        <f>('DJB Daily Readings'!CQ33-'DJB Daily Readings'!CQ32)*1.89</f>
        <v>534.87</v>
      </c>
      <c r="AC25" s="3">
        <f>'DJB Daily Readings'!CT33-'DJB Daily Readings'!CT32</f>
        <v>163</v>
      </c>
      <c r="AD25" s="80">
        <f>('DJB Daily Readings'!BY33-'DJB Daily Readings'!BY32)*1.89</f>
        <v>22.68</v>
      </c>
      <c r="AE25" s="80">
        <f>('DJB Daily Readings'!CA33-'DJB Daily Readings'!CA32)*1.89</f>
        <v>24.57</v>
      </c>
      <c r="AF25" s="80">
        <f>('DJB Daily Readings'!CC33-'DJB Daily Readings'!CC32)*1.89</f>
        <v>9.4499999999999993</v>
      </c>
      <c r="AG25" s="80">
        <f>('DJB Daily Readings'!CE33-'DJB Daily Readings'!CE32)*1.89</f>
        <v>9.4499999999999993</v>
      </c>
      <c r="AH25" s="80">
        <f>('DJB Daily Readings'!CG33-'DJB Daily Readings'!CG32)*1.89</f>
        <v>26.459999999999997</v>
      </c>
      <c r="AI25" s="80">
        <f>('DJB Daily Readings'!CI33-'DJB Daily Readings'!CI32)*1.89</f>
        <v>64.259999999999991</v>
      </c>
      <c r="AJ25" s="77">
        <f>'DJB Daily Readings'!CY33-'DJB Daily Readings'!CY32</f>
        <v>2</v>
      </c>
      <c r="AK25" s="77">
        <f>'DJB Daily Readings'!CW33-'DJB Daily Readings'!CW32</f>
        <v>5</v>
      </c>
      <c r="AL25" s="78">
        <f>'DJB Daily Readings'!DC33-'DJB Daily Readings'!DC32</f>
        <v>14</v>
      </c>
      <c r="AM25" s="78">
        <f>'DJB Daily Readings'!DA33-'DJB Daily Readings'!DA32</f>
        <v>15</v>
      </c>
      <c r="AN25" s="78">
        <f>'DJB Daily Readings'!DG33-'DJB Daily Readings'!DG32</f>
        <v>4</v>
      </c>
      <c r="AO25" s="78">
        <f>'DJB Daily Readings'!DE33-'DJB Daily Readings'!DE32</f>
        <v>9</v>
      </c>
      <c r="AP25" s="78">
        <f>'DJB Daily Readings'!DK33-'DJB Daily Readings'!DK32</f>
        <v>6</v>
      </c>
      <c r="AQ25" s="78">
        <f>'DJB Daily Readings'!DI33-'DJB Daily Readings'!DI32</f>
        <v>9</v>
      </c>
      <c r="AR25" s="78">
        <f>'DJB Daily Readings'!DO33-'DJB Daily Readings'!DO32</f>
        <v>6</v>
      </c>
      <c r="AS25" s="78">
        <f>'DJB Daily Readings'!DM33-'DJB Daily Readings'!DM32</f>
        <v>5</v>
      </c>
      <c r="AT25" s="78">
        <f>'DJB Daily Readings'!DQ33-'DJB Daily Readings'!DQ32</f>
        <v>3</v>
      </c>
      <c r="AU25" s="78">
        <f>'DJB Daily Readings'!DT33-'DJB Daily Readings'!DT32</f>
        <v>11.100000000000364</v>
      </c>
      <c r="AW25" s="78">
        <f>'DJB Daily Readings'!DX33-'DJB Daily Readings'!DX32</f>
        <v>6.1000000000003638</v>
      </c>
      <c r="AX25" s="78">
        <f>'DJB Daily Readings'!DZ33-'DJB Daily Readings'!DZ32</f>
        <v>6.5</v>
      </c>
      <c r="AY25" s="78">
        <f>'DJB Daily Readings'!EB33-'DJB Daily Readings'!EB32</f>
        <v>506</v>
      </c>
      <c r="AZ25" s="78">
        <f>'DJB Daily Readings'!ED33-'DJB Daily Readings'!ED32</f>
        <v>153.39999999999418</v>
      </c>
      <c r="BA25" s="78">
        <f>'DJB Daily Readings'!EG33-'DJB Daily Readings'!EG32</f>
        <v>2000</v>
      </c>
      <c r="BB25" s="78">
        <f>'DJB Daily Readings'!EI33-'DJB Daily Readings'!EI32</f>
        <v>200</v>
      </c>
      <c r="BC25" s="78">
        <f>'DJB Daily Readings'!EQ33-'DJB Daily Readings'!EQ32</f>
        <v>400</v>
      </c>
      <c r="BD25" s="78">
        <f>'DJB Daily Readings'!EK33-'DJB Daily Readings'!EK32</f>
        <v>1000</v>
      </c>
      <c r="BE25" s="78">
        <f>'DJB Daily Readings'!EM33-'DJB Daily Readings'!EM32</f>
        <v>200</v>
      </c>
      <c r="BF25" s="78">
        <f>'DJB Daily Readings'!EO33-'DJB Daily Readings'!EO32</f>
        <v>380</v>
      </c>
      <c r="BG25" s="78">
        <f>('DJB Daily Readings'!ET33-'DJB Daily Readings'!ET32)*1.89</f>
        <v>28.349999999999998</v>
      </c>
      <c r="BH25" s="78">
        <f>('DJB Daily Readings'!EV33-'DJB Daily Readings'!EV32)*1.89</f>
        <v>20.79</v>
      </c>
      <c r="BI25" s="78">
        <f>('DJB Daily Readings'!EZ33-'DJB Daily Readings'!EZ32)*1.89</f>
        <v>22.68</v>
      </c>
      <c r="BJ25" s="78">
        <f>('DJB Daily Readings'!EX33-'DJB Daily Readings'!EX32)*1.89</f>
        <v>17.009999999999998</v>
      </c>
      <c r="BK25" s="78">
        <f>('DJB Daily Readings'!FB33-'DJB Daily Readings'!FB32)*1.89</f>
        <v>58.589999999999996</v>
      </c>
      <c r="BL25" s="78">
        <f>'DJB Daily Readings'!J33</f>
        <v>216</v>
      </c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>
        <f>237*0.75</f>
        <v>177.75</v>
      </c>
      <c r="F26" s="75">
        <f>244+37</f>
        <v>281</v>
      </c>
      <c r="G26" s="3">
        <f>'DJB Daily Readings'!C34-'DJB Daily Readings'!C33</f>
        <v>614</v>
      </c>
      <c r="H26" s="3">
        <f>'DJB Daily Readings'!F34-'DJB Daily Readings'!F33</f>
        <v>383</v>
      </c>
      <c r="I26" s="3">
        <f>'DJB Daily Readings'!L34</f>
        <v>62</v>
      </c>
      <c r="J26" s="3">
        <f>'DJB Daily Readings'!N34</f>
        <v>106</v>
      </c>
      <c r="K26" s="3">
        <f>'DJB Daily Readings'!O34-'DJB Daily Readings'!O33</f>
        <v>47</v>
      </c>
      <c r="L26" s="3">
        <f>'DJB Daily Readings'!R34-'DJB Daily Readings'!R33</f>
        <v>3</v>
      </c>
      <c r="M26" s="3">
        <f>'DJB Daily Readings'!U34-'DJB Daily Readings'!U33</f>
        <v>2971.9199999989942</v>
      </c>
      <c r="N26" s="3">
        <f>'DJB Daily Readings'!X34-'DJB Daily Readings'!X33</f>
        <v>4579.679999999702</v>
      </c>
      <c r="O26" s="3">
        <f>'DJB Daily Readings'!AA34-'DJB Daily Readings'!AA33</f>
        <v>0</v>
      </c>
      <c r="P26" s="3">
        <f>'DJB Daily Readings'!AD34-'DJB Daily Readings'!AD33</f>
        <v>5602.8000000007451</v>
      </c>
      <c r="Q26" s="3">
        <f>'DJB Daily Readings'!AG34-'DJB Daily Readings'!AG33</f>
        <v>1023.1200000010431</v>
      </c>
      <c r="R26" s="3">
        <f>'DJB Daily Readings'!AJ34-'DJB Daily Readings'!AJ33</f>
        <v>5164.3199999965727</v>
      </c>
      <c r="S26" s="3">
        <f>'DJB Daily Readings'!AM34-'DJB Daily Readings'!AM33</f>
        <v>4043.7599999997765</v>
      </c>
      <c r="T26" s="3">
        <f>'DJB Daily Readings'!AP34-'DJB Daily Readings'!AP33</f>
        <v>4287.359999999404</v>
      </c>
      <c r="U26" s="3">
        <f>'DJB Daily Readings'!AS34-'DJB Daily Readings'!AS33</f>
        <v>3459.1200000010431</v>
      </c>
      <c r="V26" s="3">
        <f>'DJB Daily Readings'!AV34-'DJB Daily Readings'!AV33</f>
        <v>5359.1999999992549</v>
      </c>
      <c r="W26" s="3">
        <f>'DJB Daily Readings'!AZ34-'DJB Daily Readings'!AZ33</f>
        <v>0</v>
      </c>
      <c r="X26" s="3">
        <f>'DJB Daily Readings'!BC34-'DJB Daily Readings'!BC33</f>
        <v>25900</v>
      </c>
      <c r="Y26" s="3">
        <f>'DJB Daily Readings'!BF34-'DJB Daily Readings'!BF33</f>
        <v>3600</v>
      </c>
      <c r="Z26" s="3">
        <f>('DJB Daily Readings'!CK34-'DJB Daily Readings'!CK33)*1.89</f>
        <v>145.53</v>
      </c>
      <c r="AA26" s="3">
        <f>('DJB Daily Readings'!CN34-'DJB Daily Readings'!CN33)*1.89</f>
        <v>219.23999999999998</v>
      </c>
      <c r="AB26" s="3">
        <f>('DJB Daily Readings'!CQ34-'DJB Daily Readings'!CQ33)*1.89</f>
        <v>553.77</v>
      </c>
      <c r="AC26" s="3">
        <f>'DJB Daily Readings'!CT34-'DJB Daily Readings'!CT33</f>
        <v>160</v>
      </c>
      <c r="AD26" s="80">
        <f>('DJB Daily Readings'!BY34-'DJB Daily Readings'!BY33)*1.89</f>
        <v>28.349999999999998</v>
      </c>
      <c r="AE26" s="80">
        <f>('DJB Daily Readings'!CA34-'DJB Daily Readings'!CA33)*1.89</f>
        <v>37.799999999999997</v>
      </c>
      <c r="AF26" s="80">
        <f>('DJB Daily Readings'!CC34-'DJB Daily Readings'!CC33)*1.89</f>
        <v>11.34</v>
      </c>
      <c r="AG26" s="80">
        <f>('DJB Daily Readings'!CE34-'DJB Daily Readings'!CE33)*1.89</f>
        <v>20.79</v>
      </c>
      <c r="AH26" s="80">
        <f>('DJB Daily Readings'!CG34-'DJB Daily Readings'!CG33)*1.89</f>
        <v>30.24</v>
      </c>
      <c r="AI26" s="80">
        <f>('DJB Daily Readings'!CI34-'DJB Daily Readings'!CI33)*1.89</f>
        <v>69.929999999999993</v>
      </c>
      <c r="AJ26" s="77">
        <f>'DJB Daily Readings'!CY34-'DJB Daily Readings'!CY33</f>
        <v>7</v>
      </c>
      <c r="AK26" s="77">
        <f>'DJB Daily Readings'!CW34-'DJB Daily Readings'!CW33</f>
        <v>11</v>
      </c>
      <c r="AL26" s="78">
        <f>'DJB Daily Readings'!DC34-'DJB Daily Readings'!DC33</f>
        <v>11</v>
      </c>
      <c r="AM26" s="78">
        <f>'DJB Daily Readings'!DA34-'DJB Daily Readings'!DA33</f>
        <v>13</v>
      </c>
      <c r="AN26" s="78">
        <f>'DJB Daily Readings'!DG34-'DJB Daily Readings'!DG33</f>
        <v>4</v>
      </c>
      <c r="AO26" s="78">
        <f>'DJB Daily Readings'!DE34-'DJB Daily Readings'!DE33</f>
        <v>8</v>
      </c>
      <c r="AP26" s="78">
        <f>'DJB Daily Readings'!DK34-'DJB Daily Readings'!DK33</f>
        <v>6</v>
      </c>
      <c r="AQ26" s="78">
        <f>'DJB Daily Readings'!DI34-'DJB Daily Readings'!DI33</f>
        <v>11</v>
      </c>
      <c r="AR26" s="78">
        <f>'DJB Daily Readings'!DO34-'DJB Daily Readings'!DO33</f>
        <v>6</v>
      </c>
      <c r="AS26" s="78">
        <f>'DJB Daily Readings'!DM34-'DJB Daily Readings'!DM33</f>
        <v>4</v>
      </c>
      <c r="AT26" s="78">
        <f>'DJB Daily Readings'!DQ34-'DJB Daily Readings'!DQ33</f>
        <v>3</v>
      </c>
      <c r="AU26" s="78">
        <f>'DJB Daily Readings'!DT34-'DJB Daily Readings'!DT33</f>
        <v>10.5</v>
      </c>
      <c r="AW26" s="78">
        <f>'DJB Daily Readings'!DX34-'DJB Daily Readings'!DX33</f>
        <v>5.7999999999992724</v>
      </c>
      <c r="AX26" s="78">
        <f>'DJB Daily Readings'!DZ34-'DJB Daily Readings'!DZ33</f>
        <v>6.1999999999998181</v>
      </c>
      <c r="AY26" s="78">
        <f>'DJB Daily Readings'!EB34-'DJB Daily Readings'!EB33</f>
        <v>515</v>
      </c>
      <c r="AZ26" s="78">
        <f>'DJB Daily Readings'!ED34-'DJB Daily Readings'!ED33</f>
        <v>152.5</v>
      </c>
      <c r="BA26" s="78">
        <f>'DJB Daily Readings'!EG34-'DJB Daily Readings'!EG33</f>
        <v>1800</v>
      </c>
      <c r="BB26" s="78">
        <f>'DJB Daily Readings'!EI34-'DJB Daily Readings'!EI33</f>
        <v>200</v>
      </c>
      <c r="BC26" s="78">
        <f>'DJB Daily Readings'!EQ34-'DJB Daily Readings'!EQ33</f>
        <v>400</v>
      </c>
      <c r="BD26" s="78">
        <f>'DJB Daily Readings'!EK34-'DJB Daily Readings'!EK33</f>
        <v>900</v>
      </c>
      <c r="BE26" s="78">
        <f>'DJB Daily Readings'!EM34-'DJB Daily Readings'!EM33</f>
        <v>100</v>
      </c>
      <c r="BF26" s="78">
        <f>'DJB Daily Readings'!EO34-'DJB Daily Readings'!EO33</f>
        <v>360</v>
      </c>
      <c r="BG26" s="78">
        <f>('DJB Daily Readings'!ET34-'DJB Daily Readings'!ET33)*1.89</f>
        <v>30.24</v>
      </c>
      <c r="BH26" s="78">
        <f>('DJB Daily Readings'!EV34-'DJB Daily Readings'!EV33)*1.89</f>
        <v>20.79</v>
      </c>
      <c r="BI26" s="78">
        <f>('DJB Daily Readings'!EZ34-'DJB Daily Readings'!EZ33)*1.89</f>
        <v>28.349999999999998</v>
      </c>
      <c r="BJ26" s="78">
        <f>('DJB Daily Readings'!EX34-'DJB Daily Readings'!EX33)*1.89</f>
        <v>18.899999999999999</v>
      </c>
      <c r="BK26" s="78">
        <f>('DJB Daily Readings'!FB34-'DJB Daily Readings'!FB33)*1.89</f>
        <v>58.589999999999996</v>
      </c>
      <c r="BL26" s="78">
        <f>'DJB Daily Readings'!J34</f>
        <v>243</v>
      </c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>
        <f>237*0.85</f>
        <v>201.45</v>
      </c>
      <c r="F27" s="75">
        <f>310+35</f>
        <v>345</v>
      </c>
      <c r="G27" s="3">
        <f>'DJB Daily Readings'!C35-'DJB Daily Readings'!C34</f>
        <v>448</v>
      </c>
      <c r="H27" s="3">
        <f>'DJB Daily Readings'!F35-'DJB Daily Readings'!F34</f>
        <v>384</v>
      </c>
      <c r="I27" s="3">
        <f>'DJB Daily Readings'!L35</f>
        <v>0</v>
      </c>
      <c r="J27" s="3">
        <f>'DJB Daily Readings'!N35</f>
        <v>0</v>
      </c>
      <c r="K27" s="3">
        <f>'DJB Daily Readings'!O35-'DJB Daily Readings'!O34</f>
        <v>53</v>
      </c>
      <c r="L27" s="3">
        <f>'DJB Daily Readings'!R35-'DJB Daily Readings'!R34</f>
        <v>8</v>
      </c>
      <c r="M27" s="3">
        <f>'DJB Daily Readings'!U35-'DJB Daily Readings'!U34</f>
        <v>2728.3200000012293</v>
      </c>
      <c r="N27" s="3">
        <f>'DJB Daily Readings'!X35-'DJB Daily Readings'!X34</f>
        <v>4384.8000000007451</v>
      </c>
      <c r="O27" s="3">
        <f>'DJB Daily Readings'!AA35-'DJB Daily Readings'!AA34</f>
        <v>0</v>
      </c>
      <c r="P27" s="3">
        <f>'DJB Daily Readings'!AD35-'DJB Daily Readings'!AD34</f>
        <v>925.67999999597669</v>
      </c>
      <c r="Q27" s="3">
        <f>'DJB Daily Readings'!AG35-'DJB Daily Readings'!AG34</f>
        <v>5456.6399999968708</v>
      </c>
      <c r="R27" s="3">
        <f>'DJB Daily Readings'!AJ35-'DJB Daily Readings'!AJ34</f>
        <v>4384.8000000007451</v>
      </c>
      <c r="S27" s="3">
        <f>'DJB Daily Readings'!AM35-'DJB Daily Readings'!AM34</f>
        <v>3751.4399999994785</v>
      </c>
      <c r="T27" s="3">
        <f>'DJB Daily Readings'!AP35-'DJB Daily Readings'!AP34</f>
        <v>4189.9199999980628</v>
      </c>
      <c r="U27" s="3">
        <f>'DJB Daily Readings'!AS35-'DJB Daily Readings'!AS34</f>
        <v>3020.640000000596</v>
      </c>
      <c r="V27" s="3">
        <f>'DJB Daily Readings'!AV35-'DJB Daily Readings'!AV34</f>
        <v>5213.0400000028312</v>
      </c>
      <c r="W27" s="3">
        <f>'DJB Daily Readings'!AZ35-'DJB Daily Readings'!AZ34</f>
        <v>0</v>
      </c>
      <c r="X27" s="3">
        <f>'DJB Daily Readings'!BC35-'DJB Daily Readings'!BC34</f>
        <v>3800</v>
      </c>
      <c r="Y27" s="3">
        <f>'DJB Daily Readings'!BF35-'DJB Daily Readings'!BF34</f>
        <v>26100</v>
      </c>
      <c r="Z27" s="3">
        <f>('DJB Daily Readings'!CK35-'DJB Daily Readings'!CK34)*1.89</f>
        <v>141.75</v>
      </c>
      <c r="AA27" s="3">
        <f>('DJB Daily Readings'!CN35-'DJB Daily Readings'!CN34)*1.89</f>
        <v>213.57</v>
      </c>
      <c r="AB27" s="3">
        <f>('DJB Daily Readings'!CQ35-'DJB Daily Readings'!CQ34)*1.89</f>
        <v>540.54</v>
      </c>
      <c r="AC27" s="3">
        <f>'DJB Daily Readings'!CT35-'DJB Daily Readings'!CT34</f>
        <v>156</v>
      </c>
      <c r="AD27" s="80">
        <f>('DJB Daily Readings'!BY35-'DJB Daily Readings'!BY34)*1.89</f>
        <v>32.129999999999995</v>
      </c>
      <c r="AE27" s="80">
        <f>('DJB Daily Readings'!CA35-'DJB Daily Readings'!CA34)*1.89</f>
        <v>37.799999999999997</v>
      </c>
      <c r="AF27" s="80">
        <f>('DJB Daily Readings'!CC35-'DJB Daily Readings'!CC34)*1.89</f>
        <v>9.4499999999999993</v>
      </c>
      <c r="AG27" s="80">
        <f>('DJB Daily Readings'!CE35-'DJB Daily Readings'!CE34)*1.89</f>
        <v>17.009999999999998</v>
      </c>
      <c r="AH27" s="80">
        <f>('DJB Daily Readings'!CG35-'DJB Daily Readings'!CG34)*1.89</f>
        <v>28.349999999999998</v>
      </c>
      <c r="AI27" s="80">
        <f>('DJB Daily Readings'!CI35-'DJB Daily Readings'!CI34)*1.89</f>
        <v>60.48</v>
      </c>
      <c r="AJ27" s="77">
        <f>'DJB Daily Readings'!CY35-'DJB Daily Readings'!CY34</f>
        <v>3</v>
      </c>
      <c r="AK27" s="77">
        <f>'DJB Daily Readings'!CW35-'DJB Daily Readings'!CW34</f>
        <v>9</v>
      </c>
      <c r="AL27" s="78">
        <f>'DJB Daily Readings'!DC35-'DJB Daily Readings'!DC34</f>
        <v>15</v>
      </c>
      <c r="AM27" s="78">
        <f>'DJB Daily Readings'!DA35-'DJB Daily Readings'!DA34</f>
        <v>14</v>
      </c>
      <c r="AN27" s="78">
        <f>'DJB Daily Readings'!DG35-'DJB Daily Readings'!DG34</f>
        <v>5</v>
      </c>
      <c r="AO27" s="78">
        <f>'DJB Daily Readings'!DE35-'DJB Daily Readings'!DE34</f>
        <v>9</v>
      </c>
      <c r="AP27" s="78">
        <f>'DJB Daily Readings'!DK35-'DJB Daily Readings'!DK34</f>
        <v>8</v>
      </c>
      <c r="AQ27" s="78">
        <f>'DJB Daily Readings'!DI35-'DJB Daily Readings'!DI34</f>
        <v>11</v>
      </c>
      <c r="AR27" s="78">
        <f>'DJB Daily Readings'!DO35-'DJB Daily Readings'!DO34</f>
        <v>6</v>
      </c>
      <c r="AS27" s="78">
        <f>'DJB Daily Readings'!DM35-'DJB Daily Readings'!DM34</f>
        <v>5</v>
      </c>
      <c r="AT27" s="78">
        <f>'DJB Daily Readings'!DQ35-'DJB Daily Readings'!DQ34</f>
        <v>0</v>
      </c>
      <c r="AU27" s="78">
        <f>'DJB Daily Readings'!DT35-'DJB Daily Readings'!DT34</f>
        <v>10.699999999999818</v>
      </c>
      <c r="AW27" s="78">
        <f>'DJB Daily Readings'!DX35-'DJB Daily Readings'!DX34</f>
        <v>5.7000000000007276</v>
      </c>
      <c r="AX27" s="78">
        <f>'DJB Daily Readings'!DZ35-'DJB Daily Readings'!DZ34</f>
        <v>6.3000000000001819</v>
      </c>
      <c r="AY27" s="78">
        <f>'DJB Daily Readings'!EB35-'DJB Daily Readings'!EB34</f>
        <v>488</v>
      </c>
      <c r="AZ27" s="78">
        <f>'DJB Daily Readings'!ED35-'DJB Daily Readings'!ED34</f>
        <v>146.70000000001164</v>
      </c>
      <c r="BA27" s="78">
        <f>'DJB Daily Readings'!EG35-'DJB Daily Readings'!EG34</f>
        <v>1900</v>
      </c>
      <c r="BB27" s="78">
        <f>'DJB Daily Readings'!EI35-'DJB Daily Readings'!EI34</f>
        <v>210</v>
      </c>
      <c r="BC27" s="78">
        <f>'DJB Daily Readings'!EQ35-'DJB Daily Readings'!EQ34</f>
        <v>1100</v>
      </c>
      <c r="BD27" s="78">
        <f>'DJB Daily Readings'!EK35-'DJB Daily Readings'!EK34</f>
        <v>800</v>
      </c>
      <c r="BE27" s="78">
        <f>'DJB Daily Readings'!EM35-'DJB Daily Readings'!EM34</f>
        <v>200</v>
      </c>
      <c r="BF27" s="78">
        <f>'DJB Daily Readings'!EO35-'DJB Daily Readings'!EO34</f>
        <v>430</v>
      </c>
      <c r="BG27" s="78">
        <f>('DJB Daily Readings'!ET35-'DJB Daily Readings'!ET34)*1.89</f>
        <v>26.459999999999997</v>
      </c>
      <c r="BH27" s="78">
        <f>('DJB Daily Readings'!EV35-'DJB Daily Readings'!EV34)*1.89</f>
        <v>20.79</v>
      </c>
      <c r="BI27" s="78">
        <f>('DJB Daily Readings'!EZ35-'DJB Daily Readings'!EZ34)*1.89</f>
        <v>26.459999999999997</v>
      </c>
      <c r="BJ27" s="78">
        <f>('DJB Daily Readings'!EX35-'DJB Daily Readings'!EX34)*1.89</f>
        <v>15.12</v>
      </c>
      <c r="BK27" s="78">
        <f>('DJB Daily Readings'!FB35-'DJB Daily Readings'!FB34)*1.89</f>
        <v>56.699999999999996</v>
      </c>
      <c r="BL27" s="78">
        <f>'DJB Daily Readings'!J35</f>
        <v>195</v>
      </c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>
        <f>237*0.85</f>
        <v>201.45</v>
      </c>
      <c r="F28" s="75">
        <f>333+35</f>
        <v>368</v>
      </c>
      <c r="G28" s="3">
        <f>'DJB Daily Readings'!C36-'DJB Daily Readings'!C35</f>
        <v>536</v>
      </c>
      <c r="H28" s="3">
        <f>'DJB Daily Readings'!F36-'DJB Daily Readings'!F35</f>
        <v>423</v>
      </c>
      <c r="I28" s="3">
        <f>'DJB Daily Readings'!L36</f>
        <v>0</v>
      </c>
      <c r="J28" s="3">
        <f>'DJB Daily Readings'!N36</f>
        <v>0</v>
      </c>
      <c r="K28" s="3">
        <f>'DJB Daily Readings'!O36-'DJB Daily Readings'!O35</f>
        <v>47</v>
      </c>
      <c r="L28" s="3">
        <f>'DJB Daily Readings'!R36-'DJB Daily Readings'!R35</f>
        <v>5</v>
      </c>
      <c r="M28" s="3">
        <f>'DJB Daily Readings'!U36-'DJB Daily Readings'!U35</f>
        <v>2777.0399999991059</v>
      </c>
      <c r="N28" s="3">
        <f>'DJB Daily Readings'!X36-'DJB Daily Readings'!X35</f>
        <v>4725.839999999851</v>
      </c>
      <c r="O28" s="3">
        <f>'DJB Daily Readings'!AA36-'DJB Daily Readings'!AA35</f>
        <v>0</v>
      </c>
      <c r="P28" s="3">
        <f>'DJB Daily Readings'!AD36-'DJB Daily Readings'!AD35</f>
        <v>6382.3200000040233</v>
      </c>
      <c r="Q28" s="3">
        <f>'DJB Daily Readings'!AG36-'DJB Daily Readings'!AG35</f>
        <v>0</v>
      </c>
      <c r="R28" s="3">
        <f>'DJB Daily Readings'!AJ36-'DJB Daily Readings'!AJ35</f>
        <v>4336.0800000019372</v>
      </c>
      <c r="S28" s="3">
        <f>'DJB Daily Readings'!AM36-'DJB Daily Readings'!AM35</f>
        <v>3751.4400000013411</v>
      </c>
      <c r="T28" s="3">
        <f>'DJB Daily Readings'!AP36-'DJB Daily Readings'!AP35</f>
        <v>4384.8000000007451</v>
      </c>
      <c r="U28" s="3">
        <f>'DJB Daily Readings'!AS36-'DJB Daily Readings'!AS35</f>
        <v>2825.7599999997765</v>
      </c>
      <c r="V28" s="3">
        <f>'DJB Daily Readings'!AV36-'DJB Daily Readings'!AV35</f>
        <v>5456.6399999968708</v>
      </c>
      <c r="W28" s="3">
        <f>'DJB Daily Readings'!AZ36-'DJB Daily Readings'!AZ35</f>
        <v>0</v>
      </c>
      <c r="X28" s="3">
        <f>'DJB Daily Readings'!BC36-'DJB Daily Readings'!BC35</f>
        <v>26700</v>
      </c>
      <c r="Y28" s="3">
        <f>'DJB Daily Readings'!BF36-'DJB Daily Readings'!BF35</f>
        <v>0</v>
      </c>
      <c r="Z28" s="3">
        <f>('DJB Daily Readings'!CK36-'DJB Daily Readings'!CK35)*1.89</f>
        <v>151.19999999999999</v>
      </c>
      <c r="AA28" s="3">
        <f>('DJB Daily Readings'!CN36-'DJB Daily Readings'!CN35)*1.89</f>
        <v>262.70999999999998</v>
      </c>
      <c r="AB28" s="3">
        <f>('DJB Daily Readings'!CQ36-'DJB Daily Readings'!CQ35)*1.89</f>
        <v>565.11</v>
      </c>
      <c r="AC28" s="3">
        <f>'DJB Daily Readings'!CT36-'DJB Daily Readings'!CT35</f>
        <v>166</v>
      </c>
      <c r="AD28" s="80">
        <f>('DJB Daily Readings'!BY36-'DJB Daily Readings'!BY35)*1.89</f>
        <v>34.019999999999996</v>
      </c>
      <c r="AE28" s="80">
        <f>('DJB Daily Readings'!CA36-'DJB Daily Readings'!CA35)*1.89</f>
        <v>41.58</v>
      </c>
      <c r="AF28" s="80">
        <f>('DJB Daily Readings'!CC36-'DJB Daily Readings'!CC35)*1.89</f>
        <v>15.12</v>
      </c>
      <c r="AG28" s="80">
        <f>('DJB Daily Readings'!CE36-'DJB Daily Readings'!CE35)*1.89</f>
        <v>18.899999999999999</v>
      </c>
      <c r="AH28" s="80">
        <f>('DJB Daily Readings'!CG36-'DJB Daily Readings'!CG35)*1.89</f>
        <v>28.349999999999998</v>
      </c>
      <c r="AI28" s="80">
        <f>('DJB Daily Readings'!CI36-'DJB Daily Readings'!CI35)*1.89</f>
        <v>60.48</v>
      </c>
      <c r="AJ28" s="77">
        <f>'DJB Daily Readings'!CY36-'DJB Daily Readings'!CY35</f>
        <v>6</v>
      </c>
      <c r="AK28" s="77">
        <f>'DJB Daily Readings'!CW36-'DJB Daily Readings'!CW35</f>
        <v>10</v>
      </c>
      <c r="AL28" s="78">
        <f>'DJB Daily Readings'!DC36-'DJB Daily Readings'!DC35</f>
        <v>18</v>
      </c>
      <c r="AM28" s="78">
        <f>'DJB Daily Readings'!DA36-'DJB Daily Readings'!DA35</f>
        <v>17</v>
      </c>
      <c r="AN28" s="78">
        <f>'DJB Daily Readings'!DG36-'DJB Daily Readings'!DG35</f>
        <v>5</v>
      </c>
      <c r="AO28" s="78">
        <f>'DJB Daily Readings'!DE36-'DJB Daily Readings'!DE35</f>
        <v>11</v>
      </c>
      <c r="AP28" s="78">
        <f>'DJB Daily Readings'!DK36-'DJB Daily Readings'!DK35</f>
        <v>8</v>
      </c>
      <c r="AQ28" s="78">
        <f>'DJB Daily Readings'!DI36-'DJB Daily Readings'!DI35</f>
        <v>12</v>
      </c>
      <c r="AR28" s="78">
        <f>'DJB Daily Readings'!DO36-'DJB Daily Readings'!DO35</f>
        <v>7</v>
      </c>
      <c r="AS28" s="78">
        <f>'DJB Daily Readings'!DM36-'DJB Daily Readings'!DM35</f>
        <v>5</v>
      </c>
      <c r="AT28" s="78">
        <f>'DJB Daily Readings'!DQ36-'DJB Daily Readings'!DQ35</f>
        <v>0</v>
      </c>
      <c r="AU28" s="78">
        <f>'DJB Daily Readings'!DT36-'DJB Daily Readings'!DT35</f>
        <v>11.699999999999818</v>
      </c>
      <c r="AW28" s="78">
        <f>'DJB Daily Readings'!DX36-'DJB Daily Readings'!DX35</f>
        <v>6.0999999999994543</v>
      </c>
      <c r="AX28" s="78">
        <f>'DJB Daily Readings'!DZ36-'DJB Daily Readings'!DZ35</f>
        <v>7.1000000000003638</v>
      </c>
      <c r="AY28" s="78">
        <f>'DJB Daily Readings'!EB36-'DJB Daily Readings'!EB35</f>
        <v>543</v>
      </c>
      <c r="AZ28" s="78">
        <f>'DJB Daily Readings'!ED36-'DJB Daily Readings'!ED35</f>
        <v>158.59999999997672</v>
      </c>
      <c r="BA28" s="78">
        <f>'DJB Daily Readings'!EG36-'DJB Daily Readings'!EG35</f>
        <v>1600</v>
      </c>
      <c r="BB28" s="78">
        <f>'DJB Daily Readings'!EI36-'DJB Daily Readings'!EI35</f>
        <v>220</v>
      </c>
      <c r="BC28" s="78">
        <f>'DJB Daily Readings'!EQ36-'DJB Daily Readings'!EQ35</f>
        <v>500</v>
      </c>
      <c r="BD28" s="78">
        <f>'DJB Daily Readings'!EK36-'DJB Daily Readings'!EK35</f>
        <v>600</v>
      </c>
      <c r="BE28" s="78">
        <f>'DJB Daily Readings'!EM36-'DJB Daily Readings'!EM35</f>
        <v>200</v>
      </c>
      <c r="BF28" s="78">
        <f>'DJB Daily Readings'!EO36-'DJB Daily Readings'!EO35</f>
        <v>530</v>
      </c>
      <c r="BG28" s="78">
        <f>('DJB Daily Readings'!ET36-'DJB Daily Readings'!ET35)*1.89</f>
        <v>32.129999999999995</v>
      </c>
      <c r="BH28" s="78">
        <f>('DJB Daily Readings'!EV36-'DJB Daily Readings'!EV35)*1.89</f>
        <v>22.68</v>
      </c>
      <c r="BI28" s="78">
        <f>('DJB Daily Readings'!EZ36-'DJB Daily Readings'!EZ35)*1.89</f>
        <v>28.349999999999998</v>
      </c>
      <c r="BJ28" s="78">
        <f>('DJB Daily Readings'!EX36-'DJB Daily Readings'!EX35)*1.89</f>
        <v>24.57</v>
      </c>
      <c r="BK28" s="78">
        <f>('DJB Daily Readings'!FB36-'DJB Daily Readings'!FB35)*1.89</f>
        <v>71.819999999999993</v>
      </c>
      <c r="BL28" s="78">
        <f>'DJB Daily Readings'!J36</f>
        <v>2</v>
      </c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>
        <f>237*0.83</f>
        <v>196.70999999999998</v>
      </c>
      <c r="F29" s="75">
        <f>343+29</f>
        <v>372</v>
      </c>
      <c r="G29" s="3">
        <f>'DJB Daily Readings'!C37-'DJB Daily Readings'!C36</f>
        <v>577</v>
      </c>
      <c r="H29" s="3">
        <f>'DJB Daily Readings'!F37-'DJB Daily Readings'!F36</f>
        <v>486</v>
      </c>
      <c r="I29" s="3">
        <f>'DJB Daily Readings'!L37</f>
        <v>0</v>
      </c>
      <c r="J29" s="3">
        <f>'DJB Daily Readings'!N37</f>
        <v>0</v>
      </c>
      <c r="K29" s="3">
        <f>'DJB Daily Readings'!O37-'DJB Daily Readings'!O36</f>
        <v>54</v>
      </c>
      <c r="L29" s="3">
        <f>'DJB Daily Readings'!R37-'DJB Daily Readings'!R36</f>
        <v>2</v>
      </c>
      <c r="M29" s="3">
        <f>'DJB Daily Readings'!U37-'DJB Daily Readings'!U36</f>
        <v>1802.6399999996647</v>
      </c>
      <c r="N29" s="3">
        <f>'DJB Daily Readings'!X37-'DJB Daily Readings'!X36</f>
        <v>4336.0799999982119</v>
      </c>
      <c r="O29" s="3">
        <f>'DJB Daily Readings'!AA37-'DJB Daily Readings'!AA36</f>
        <v>0</v>
      </c>
      <c r="P29" s="3">
        <f>'DJB Daily Readings'!AD37-'DJB Daily Readings'!AD36</f>
        <v>1315.4399999976158</v>
      </c>
      <c r="Q29" s="3">
        <f>'DJB Daily Readings'!AG37-'DJB Daily Readings'!AG36</f>
        <v>5895.1200000047684</v>
      </c>
      <c r="R29" s="3">
        <f>'DJB Daily Readings'!AJ37-'DJB Daily Readings'!AJ36</f>
        <v>4238.6399999968708</v>
      </c>
      <c r="S29" s="3">
        <f>'DJB Daily Readings'!AM37-'DJB Daily Readings'!AM36</f>
        <v>3897.5999999996275</v>
      </c>
      <c r="T29" s="3">
        <f>'DJB Daily Readings'!AP37-'DJB Daily Readings'!AP36</f>
        <v>4189.9200000017881</v>
      </c>
      <c r="U29" s="3">
        <f>'DJB Daily Readings'!AS37-'DJB Daily Readings'!AS36</f>
        <v>2825.7599999997765</v>
      </c>
      <c r="V29" s="3">
        <f>'DJB Daily Readings'!AV37-'DJB Daily Readings'!AV36</f>
        <v>5651.519999999553</v>
      </c>
      <c r="W29" s="3">
        <f>'DJB Daily Readings'!AZ37-'DJB Daily Readings'!AZ36</f>
        <v>0</v>
      </c>
      <c r="X29" s="3">
        <f>'DJB Daily Readings'!BC37-'DJB Daily Readings'!BC36</f>
        <v>3600</v>
      </c>
      <c r="Y29" s="3">
        <f>'DJB Daily Readings'!BF37-'DJB Daily Readings'!BF36</f>
        <v>25500</v>
      </c>
      <c r="Z29" s="3">
        <f>('DJB Daily Readings'!CK37-'DJB Daily Readings'!CK36)*1.89</f>
        <v>141.75</v>
      </c>
      <c r="AA29" s="3">
        <f>('DJB Daily Readings'!CN37-'DJB Daily Readings'!CN36)*1.89</f>
        <v>234.35999999999999</v>
      </c>
      <c r="AB29" s="3">
        <f>('DJB Daily Readings'!CQ37-'DJB Daily Readings'!CQ36)*1.89</f>
        <v>515.97</v>
      </c>
      <c r="AC29" s="3">
        <f>'DJB Daily Readings'!CT37-'DJB Daily Readings'!CT36</f>
        <v>159</v>
      </c>
      <c r="AD29" s="80">
        <f>('DJB Daily Readings'!BY37-'DJB Daily Readings'!BY36)*1.89</f>
        <v>30.24</v>
      </c>
      <c r="AE29" s="80">
        <f>('DJB Daily Readings'!CA37-'DJB Daily Readings'!CA36)*1.89</f>
        <v>39.69</v>
      </c>
      <c r="AF29" s="80">
        <f>('DJB Daily Readings'!CC37-'DJB Daily Readings'!CC36)*1.89</f>
        <v>11.34</v>
      </c>
      <c r="AG29" s="80">
        <f>('DJB Daily Readings'!CE37-'DJB Daily Readings'!CE36)*1.89</f>
        <v>17.009999999999998</v>
      </c>
      <c r="AH29" s="80">
        <f>('DJB Daily Readings'!CG37-'DJB Daily Readings'!CG36)*1.89</f>
        <v>26.459999999999997</v>
      </c>
      <c r="AI29" s="80">
        <f>('DJB Daily Readings'!CI37-'DJB Daily Readings'!CI36)*1.89</f>
        <v>66.149999999999991</v>
      </c>
      <c r="AJ29" s="77">
        <f>'DJB Daily Readings'!CY37-'DJB Daily Readings'!CY36</f>
        <v>3</v>
      </c>
      <c r="AK29" s="77">
        <f>'DJB Daily Readings'!CW37-'DJB Daily Readings'!CW36</f>
        <v>10</v>
      </c>
      <c r="AL29" s="78">
        <f>'DJB Daily Readings'!DC37-'DJB Daily Readings'!DC36</f>
        <v>10</v>
      </c>
      <c r="AM29" s="78">
        <f>'DJB Daily Readings'!DA37-'DJB Daily Readings'!DA36</f>
        <v>16</v>
      </c>
      <c r="AN29" s="78">
        <f>'DJB Daily Readings'!DG37-'DJB Daily Readings'!DG36</f>
        <v>5</v>
      </c>
      <c r="AO29" s="78">
        <f>'DJB Daily Readings'!DE37-'DJB Daily Readings'!DE36</f>
        <v>10</v>
      </c>
      <c r="AP29" s="78">
        <f>'DJB Daily Readings'!DK37-'DJB Daily Readings'!DK36</f>
        <v>7</v>
      </c>
      <c r="AQ29" s="78">
        <f>'DJB Daily Readings'!DI37-'DJB Daily Readings'!DI36</f>
        <v>8</v>
      </c>
      <c r="AR29" s="78">
        <f>'DJB Daily Readings'!DO37-'DJB Daily Readings'!DO36</f>
        <v>6</v>
      </c>
      <c r="AS29" s="78">
        <f>'DJB Daily Readings'!DM37-'DJB Daily Readings'!DM36</f>
        <v>4</v>
      </c>
      <c r="AT29" s="78">
        <f>'DJB Daily Readings'!DQ37-'DJB Daily Readings'!DQ36</f>
        <v>0</v>
      </c>
      <c r="AU29" s="78">
        <f>'DJB Daily Readings'!DT37-'DJB Daily Readings'!DT36</f>
        <v>11.5</v>
      </c>
      <c r="AW29" s="78">
        <f>'DJB Daily Readings'!DX37-'DJB Daily Readings'!DX36</f>
        <v>5.6000000000003638</v>
      </c>
      <c r="AX29" s="78">
        <f>'DJB Daily Readings'!DZ37-'DJB Daily Readings'!DZ36</f>
        <v>7.3999999999996362</v>
      </c>
      <c r="AY29" s="78">
        <f>'DJB Daily Readings'!EB37-'DJB Daily Readings'!EB36</f>
        <v>566</v>
      </c>
      <c r="AZ29" s="78">
        <f>'DJB Daily Readings'!ED37-'DJB Daily Readings'!ED36</f>
        <v>149.20000000001164</v>
      </c>
      <c r="BA29" s="78">
        <f>'DJB Daily Readings'!EG37-'DJB Daily Readings'!EG36</f>
        <v>1700</v>
      </c>
      <c r="BB29" s="78">
        <f>'DJB Daily Readings'!EI37-'DJB Daily Readings'!EI36</f>
        <v>210</v>
      </c>
      <c r="BC29" s="78">
        <f>'DJB Daily Readings'!EQ37-'DJB Daily Readings'!EQ36</f>
        <v>600</v>
      </c>
      <c r="BD29" s="78">
        <f>'DJB Daily Readings'!EK37-'DJB Daily Readings'!EK36</f>
        <v>600</v>
      </c>
      <c r="BE29" s="78">
        <f>'DJB Daily Readings'!EM37-'DJB Daily Readings'!EM36</f>
        <v>100</v>
      </c>
      <c r="BF29" s="78">
        <f>'DJB Daily Readings'!EO37-'DJB Daily Readings'!EO36</f>
        <v>660</v>
      </c>
      <c r="BG29" s="78">
        <f>('DJB Daily Readings'!ET37-'DJB Daily Readings'!ET36)*1.89</f>
        <v>30.24</v>
      </c>
      <c r="BH29" s="78">
        <f>('DJB Daily Readings'!EV37-'DJB Daily Readings'!EV36)*1.89</f>
        <v>20.79</v>
      </c>
      <c r="BI29" s="78">
        <f>('DJB Daily Readings'!EZ37-'DJB Daily Readings'!EZ36)*1.89</f>
        <v>28.349999999999998</v>
      </c>
      <c r="BJ29" s="78">
        <f>('DJB Daily Readings'!EX37-'DJB Daily Readings'!EX36)*1.89</f>
        <v>26.459999999999997</v>
      </c>
      <c r="BK29" s="78">
        <f>('DJB Daily Readings'!FB37-'DJB Daily Readings'!FB36)*1.89</f>
        <v>64.259999999999991</v>
      </c>
      <c r="BL29" s="78">
        <f>'DJB Daily Readings'!J37</f>
        <v>0</v>
      </c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>
        <f>237*0.71</f>
        <v>168.26999999999998</v>
      </c>
      <c r="F30" s="75">
        <f>292+24</f>
        <v>316</v>
      </c>
      <c r="G30" s="3">
        <f>'DJB Daily Readings'!C38-'DJB Daily Readings'!C37</f>
        <v>533</v>
      </c>
      <c r="H30" s="3">
        <f>'DJB Daily Readings'!F38-'DJB Daily Readings'!F37</f>
        <v>415</v>
      </c>
      <c r="I30" s="3">
        <f>'DJB Daily Readings'!L38</f>
        <v>219</v>
      </c>
      <c r="J30" s="3">
        <f>'DJB Daily Readings'!N38</f>
        <v>0</v>
      </c>
      <c r="K30" s="3">
        <f>'DJB Daily Readings'!O38-'DJB Daily Readings'!O37</f>
        <v>50</v>
      </c>
      <c r="L30" s="3">
        <f>'DJB Daily Readings'!R38-'DJB Daily Readings'!R37</f>
        <v>7</v>
      </c>
      <c r="M30" s="3">
        <f>'DJB Daily Readings'!U38-'DJB Daily Readings'!U37</f>
        <v>1997.5200000014156</v>
      </c>
      <c r="N30" s="3">
        <f>'DJB Daily Readings'!X38-'DJB Daily Readings'!X37</f>
        <v>4433.5200000014156</v>
      </c>
      <c r="O30" s="3">
        <f>'DJB Daily Readings'!AA38-'DJB Daily Readings'!AA37</f>
        <v>0</v>
      </c>
      <c r="P30" s="3">
        <f>'DJB Daily Readings'!AD38-'DJB Daily Readings'!AD37</f>
        <v>925.67999999970198</v>
      </c>
      <c r="Q30" s="3">
        <f>'DJB Daily Readings'!AG38-'DJB Daily Readings'!AG37</f>
        <v>6382.320000000298</v>
      </c>
      <c r="R30" s="3">
        <f>'DJB Daily Readings'!AJ38-'DJB Daily Readings'!AJ37</f>
        <v>4433.5200000032783</v>
      </c>
      <c r="S30" s="3">
        <f>'DJB Daily Readings'!AM38-'DJB Daily Readings'!AM37</f>
        <v>3848.8799999989569</v>
      </c>
      <c r="T30" s="3">
        <f>'DJB Daily Readings'!AP38-'DJB Daily Readings'!AP37</f>
        <v>4482.2399999983609</v>
      </c>
      <c r="U30" s="3">
        <f>'DJB Daily Readings'!AS38-'DJB Daily Readings'!AS37</f>
        <v>3166.7999999988824</v>
      </c>
      <c r="V30" s="3">
        <f>'DJB Daily Readings'!AV38-'DJB Daily Readings'!AV37</f>
        <v>5359.2000000029802</v>
      </c>
      <c r="W30" s="3">
        <f>'DJB Daily Readings'!AZ38-'DJB Daily Readings'!AZ37</f>
        <v>0</v>
      </c>
      <c r="X30" s="3">
        <f>'DJB Daily Readings'!BC38-'DJB Daily Readings'!BC37</f>
        <v>0</v>
      </c>
      <c r="Y30" s="3">
        <f>'DJB Daily Readings'!BF38-'DJB Daily Readings'!BF37</f>
        <v>27300</v>
      </c>
      <c r="Z30" s="3">
        <f>('DJB Daily Readings'!CK38-'DJB Daily Readings'!CK37)*1.89</f>
        <v>147.41999999999999</v>
      </c>
      <c r="AA30" s="3">
        <f>('DJB Daily Readings'!CN38-'DJB Daily Readings'!CN37)*1.89</f>
        <v>232.47</v>
      </c>
      <c r="AB30" s="3">
        <f>('DJB Daily Readings'!CQ38-'DJB Daily Readings'!CQ37)*1.89</f>
        <v>540.54</v>
      </c>
      <c r="AC30" s="3">
        <f>'DJB Daily Readings'!CT38-'DJB Daily Readings'!CT37</f>
        <v>174</v>
      </c>
      <c r="AD30" s="80">
        <f>('DJB Daily Readings'!BY38-'DJB Daily Readings'!BY37)*1.89</f>
        <v>39.69</v>
      </c>
      <c r="AE30" s="80">
        <f>('DJB Daily Readings'!CA38-'DJB Daily Readings'!CA37)*1.89</f>
        <v>51.029999999999994</v>
      </c>
      <c r="AF30" s="80">
        <f>('DJB Daily Readings'!CC38-'DJB Daily Readings'!CC37)*1.89</f>
        <v>17.009999999999998</v>
      </c>
      <c r="AG30" s="80">
        <f>('DJB Daily Readings'!CE38-'DJB Daily Readings'!CE37)*1.89</f>
        <v>20.79</v>
      </c>
      <c r="AH30" s="80">
        <f>('DJB Daily Readings'!CG38-'DJB Daily Readings'!CG37)*1.89</f>
        <v>26.459999999999997</v>
      </c>
      <c r="AI30" s="80">
        <f>('DJB Daily Readings'!CI38-'DJB Daily Readings'!CI37)*1.89</f>
        <v>68.039999999999992</v>
      </c>
      <c r="AJ30" s="77">
        <f>'DJB Daily Readings'!CY38-'DJB Daily Readings'!CY37</f>
        <v>3</v>
      </c>
      <c r="AK30" s="77">
        <f>'DJB Daily Readings'!CW38-'DJB Daily Readings'!CW37</f>
        <v>4</v>
      </c>
      <c r="AL30" s="78">
        <f>'DJB Daily Readings'!DC38-'DJB Daily Readings'!DC37</f>
        <v>26</v>
      </c>
      <c r="AM30" s="78">
        <f>'DJB Daily Readings'!DA38-'DJB Daily Readings'!DA37</f>
        <v>17</v>
      </c>
      <c r="AN30" s="78">
        <f>'DJB Daily Readings'!DG38-'DJB Daily Readings'!DG37</f>
        <v>4</v>
      </c>
      <c r="AO30" s="78">
        <f>'DJB Daily Readings'!DE38-'DJB Daily Readings'!DE37</f>
        <v>9</v>
      </c>
      <c r="AP30" s="78">
        <f>'DJB Daily Readings'!DK38-'DJB Daily Readings'!DK37</f>
        <v>13</v>
      </c>
      <c r="AQ30" s="78">
        <f>'DJB Daily Readings'!DI38-'DJB Daily Readings'!DI37</f>
        <v>17</v>
      </c>
      <c r="AR30" s="78">
        <f>'DJB Daily Readings'!DO38-'DJB Daily Readings'!DO37</f>
        <v>9</v>
      </c>
      <c r="AS30" s="78">
        <f>'DJB Daily Readings'!DM38-'DJB Daily Readings'!DM37</f>
        <v>7</v>
      </c>
      <c r="AT30" s="78">
        <f>'DJB Daily Readings'!DQ38-'DJB Daily Readings'!DQ37</f>
        <v>3</v>
      </c>
      <c r="AU30" s="78">
        <f>'DJB Daily Readings'!DT38-'DJB Daily Readings'!DT37</f>
        <v>10.800000000000182</v>
      </c>
      <c r="AW30" s="78">
        <f>'DJB Daily Readings'!DX38-'DJB Daily Readings'!DX37</f>
        <v>5.8999999999996362</v>
      </c>
      <c r="AX30" s="78">
        <f>'DJB Daily Readings'!DZ38-'DJB Daily Readings'!DZ37</f>
        <v>6.8000000000001819</v>
      </c>
      <c r="AY30" s="78">
        <f>'DJB Daily Readings'!EB38-'DJB Daily Readings'!EB37</f>
        <v>522</v>
      </c>
      <c r="AZ30" s="78">
        <f>'DJB Daily Readings'!ED38-'DJB Daily Readings'!ED37</f>
        <v>149.10000000000582</v>
      </c>
      <c r="BA30" s="78">
        <f>'DJB Daily Readings'!EG38-'DJB Daily Readings'!EG37</f>
        <v>1700</v>
      </c>
      <c r="BB30" s="78">
        <f>'DJB Daily Readings'!EI38-'DJB Daily Readings'!EI37</f>
        <v>240</v>
      </c>
      <c r="BC30" s="78">
        <f>'DJB Daily Readings'!EQ38-'DJB Daily Readings'!EQ37</f>
        <v>500</v>
      </c>
      <c r="BD30" s="78">
        <f>'DJB Daily Readings'!EK38-'DJB Daily Readings'!EK37</f>
        <v>800</v>
      </c>
      <c r="BE30" s="78">
        <f>'DJB Daily Readings'!EM38-'DJB Daily Readings'!EM37</f>
        <v>100</v>
      </c>
      <c r="BF30" s="78">
        <f>'DJB Daily Readings'!EO38-'DJB Daily Readings'!EO37</f>
        <v>430</v>
      </c>
      <c r="BG30" s="78">
        <f>('DJB Daily Readings'!ET38-'DJB Daily Readings'!ET37)*1.89</f>
        <v>28.349999999999998</v>
      </c>
      <c r="BH30" s="78">
        <f>('DJB Daily Readings'!EV38-'DJB Daily Readings'!EV37)*1.89</f>
        <v>20.79</v>
      </c>
      <c r="BI30" s="78">
        <f>('DJB Daily Readings'!EZ38-'DJB Daily Readings'!EZ37)*1.89</f>
        <v>20.79</v>
      </c>
      <c r="BJ30" s="78">
        <f>('DJB Daily Readings'!EX38-'DJB Daily Readings'!EX37)*1.89</f>
        <v>20.79</v>
      </c>
      <c r="BK30" s="78">
        <f>('DJB Daily Readings'!FB38-'DJB Daily Readings'!FB37)*1.89</f>
        <v>56.699999999999996</v>
      </c>
      <c r="BL30" s="78">
        <f>'DJB Daily Readings'!J38</f>
        <v>0</v>
      </c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>
        <f>237*0.7</f>
        <v>165.89999999999998</v>
      </c>
      <c r="F31" s="75">
        <f>275+29</f>
        <v>304</v>
      </c>
      <c r="G31" s="3">
        <f>'DJB Daily Readings'!C39-'DJB Daily Readings'!C38</f>
        <v>500</v>
      </c>
      <c r="H31" s="3">
        <f>'DJB Daily Readings'!F39-'DJB Daily Readings'!F38</f>
        <v>403</v>
      </c>
      <c r="I31" s="3">
        <f>'DJB Daily Readings'!L39</f>
        <v>145</v>
      </c>
      <c r="J31" s="3">
        <f>'DJB Daily Readings'!N39</f>
        <v>8</v>
      </c>
      <c r="K31" s="3">
        <f>'DJB Daily Readings'!O39-'DJB Daily Readings'!O38</f>
        <v>58</v>
      </c>
      <c r="L31" s="3">
        <f>'DJB Daily Readings'!R39-'DJB Daily Readings'!R38</f>
        <v>2</v>
      </c>
      <c r="M31" s="3">
        <f>'DJB Daily Readings'!U39-'DJB Daily Readings'!U38</f>
        <v>1851.359999999404</v>
      </c>
      <c r="N31" s="3">
        <f>'DJB Daily Readings'!X39-'DJB Daily Readings'!X38</f>
        <v>4384.8000000007451</v>
      </c>
      <c r="O31" s="3">
        <f>'DJB Daily Readings'!AA39-'DJB Daily Readings'!AA38</f>
        <v>0</v>
      </c>
      <c r="P31" s="3">
        <f>'DJB Daily Readings'!AD39-'DJB Daily Readings'!AD38</f>
        <v>1120.5599999986589</v>
      </c>
      <c r="Q31" s="3">
        <f>'DJB Daily Readings'!AG39-'DJB Daily Readings'!AG38</f>
        <v>6479.7599999979138</v>
      </c>
      <c r="R31" s="3">
        <f>'DJB Daily Readings'!AJ39-'DJB Daily Readings'!AJ38</f>
        <v>4336.0799999982119</v>
      </c>
      <c r="S31" s="3">
        <f>'DJB Daily Readings'!AM39-'DJB Daily Readings'!AM38</f>
        <v>3702.7200000006706</v>
      </c>
      <c r="T31" s="3">
        <f>'DJB Daily Readings'!AP39-'DJB Daily Readings'!AP38</f>
        <v>4092.480000000447</v>
      </c>
      <c r="U31" s="3">
        <f>'DJB Daily Readings'!AS39-'DJB Daily Readings'!AS38</f>
        <v>2923.2000000011176</v>
      </c>
      <c r="V31" s="3">
        <f>'DJB Daily Readings'!AV39-'DJB Daily Readings'!AV38</f>
        <v>5213.0399999991059</v>
      </c>
      <c r="W31" s="3">
        <f>'DJB Daily Readings'!AZ39-'DJB Daily Readings'!AZ38</f>
        <v>0</v>
      </c>
      <c r="X31" s="3">
        <f>'DJB Daily Readings'!BC39-'DJB Daily Readings'!BC38</f>
        <v>0</v>
      </c>
      <c r="Y31" s="3">
        <f>'DJB Daily Readings'!BF39-'DJB Daily Readings'!BF38</f>
        <v>30400</v>
      </c>
      <c r="Z31" s="3">
        <f>('DJB Daily Readings'!CK39-'DJB Daily Readings'!CK38)*1.89</f>
        <v>143.63999999999999</v>
      </c>
      <c r="AA31" s="3">
        <f>('DJB Daily Readings'!CN39-'DJB Daily Readings'!CN38)*1.89</f>
        <v>215.45999999999998</v>
      </c>
      <c r="AB31" s="3">
        <f>('DJB Daily Readings'!CQ39-'DJB Daily Readings'!CQ38)*1.89</f>
        <v>512.18999999999994</v>
      </c>
      <c r="AC31" s="3">
        <f>'DJB Daily Readings'!CT39-'DJB Daily Readings'!CT38</f>
        <v>172</v>
      </c>
      <c r="AD31" s="80">
        <f>('DJB Daily Readings'!BY39-'DJB Daily Readings'!BY38)*1.89</f>
        <v>24.57</v>
      </c>
      <c r="AE31" s="80">
        <f>('DJB Daily Readings'!CA39-'DJB Daily Readings'!CA38)*1.89</f>
        <v>32.129999999999995</v>
      </c>
      <c r="AF31" s="80">
        <f>('DJB Daily Readings'!CC39-'DJB Daily Readings'!CC38)*1.89</f>
        <v>9.4499999999999993</v>
      </c>
      <c r="AG31" s="80">
        <f>('DJB Daily Readings'!CE39-'DJB Daily Readings'!CE38)*1.89</f>
        <v>13.229999999999999</v>
      </c>
      <c r="AH31" s="80">
        <f>('DJB Daily Readings'!CG39-'DJB Daily Readings'!CG38)*1.89</f>
        <v>28.349999999999998</v>
      </c>
      <c r="AI31" s="80">
        <f>('DJB Daily Readings'!CI39-'DJB Daily Readings'!CI38)*1.89</f>
        <v>66.149999999999991</v>
      </c>
      <c r="AJ31" s="77">
        <f>'DJB Daily Readings'!CY39-'DJB Daily Readings'!CY38</f>
        <v>2</v>
      </c>
      <c r="AK31" s="77">
        <f>'DJB Daily Readings'!CW39-'DJB Daily Readings'!CW38</f>
        <v>4</v>
      </c>
      <c r="AL31" s="78">
        <f>'DJB Daily Readings'!DC39-'DJB Daily Readings'!DC38</f>
        <v>13</v>
      </c>
      <c r="AM31" s="78">
        <f>'DJB Daily Readings'!DA39-'DJB Daily Readings'!DA38</f>
        <v>12</v>
      </c>
      <c r="AN31" s="78">
        <f>'DJB Daily Readings'!DG39-'DJB Daily Readings'!DG38</f>
        <v>5</v>
      </c>
      <c r="AO31" s="78">
        <f>'DJB Daily Readings'!DE39-'DJB Daily Readings'!DE38</f>
        <v>9</v>
      </c>
      <c r="AP31" s="78">
        <f>'DJB Daily Readings'!DK39-'DJB Daily Readings'!DK38</f>
        <v>9</v>
      </c>
      <c r="AQ31" s="78">
        <f>'DJB Daily Readings'!DI39-'DJB Daily Readings'!DI38</f>
        <v>10</v>
      </c>
      <c r="AR31" s="78">
        <f>'DJB Daily Readings'!DO39-'DJB Daily Readings'!DO38</f>
        <v>5</v>
      </c>
      <c r="AS31" s="78">
        <f>'DJB Daily Readings'!DM39-'DJB Daily Readings'!DM38</f>
        <v>6</v>
      </c>
      <c r="AT31" s="78">
        <f>'DJB Daily Readings'!DQ39-'DJB Daily Readings'!DQ38</f>
        <v>3</v>
      </c>
      <c r="AU31" s="78">
        <f>'DJB Daily Readings'!DT39-'DJB Daily Readings'!DT38</f>
        <v>10.5</v>
      </c>
      <c r="AW31" s="78">
        <f>'DJB Daily Readings'!DX39-'DJB Daily Readings'!DX38</f>
        <v>5.9000000000005457</v>
      </c>
      <c r="AX31" s="78">
        <f>'DJB Daily Readings'!DZ39-'DJB Daily Readings'!DZ38</f>
        <v>5.8000000000001819</v>
      </c>
      <c r="AY31" s="78">
        <f>'DJB Daily Readings'!EB39-'DJB Daily Readings'!EB38</f>
        <v>528</v>
      </c>
      <c r="AZ31" s="78">
        <f>'DJB Daily Readings'!ED39-'DJB Daily Readings'!ED38</f>
        <v>150.29999999998836</v>
      </c>
      <c r="BA31" s="78">
        <f>'DJB Daily Readings'!EG39-'DJB Daily Readings'!EG38</f>
        <v>1900</v>
      </c>
      <c r="BB31" s="78">
        <f>'DJB Daily Readings'!EI39-'DJB Daily Readings'!EI38</f>
        <v>230</v>
      </c>
      <c r="BC31" s="78">
        <f>'DJB Daily Readings'!EQ39-'DJB Daily Readings'!EQ38</f>
        <v>1200</v>
      </c>
      <c r="BD31" s="78">
        <f>'DJB Daily Readings'!EK39-'DJB Daily Readings'!EK38</f>
        <v>800</v>
      </c>
      <c r="BE31" s="78">
        <f>'DJB Daily Readings'!EM39-'DJB Daily Readings'!EM38</f>
        <v>200</v>
      </c>
      <c r="BF31" s="78">
        <f>'DJB Daily Readings'!EO39-'DJB Daily Readings'!EO38</f>
        <v>550</v>
      </c>
      <c r="BG31" s="78">
        <f>('DJB Daily Readings'!ET39-'DJB Daily Readings'!ET38)*1.89</f>
        <v>26.459999999999997</v>
      </c>
      <c r="BH31" s="78">
        <f>('DJB Daily Readings'!EV39-'DJB Daily Readings'!EV38)*1.89</f>
        <v>20.79</v>
      </c>
      <c r="BI31" s="78">
        <f>('DJB Daily Readings'!EZ39-'DJB Daily Readings'!EZ38)*1.89</f>
        <v>24.57</v>
      </c>
      <c r="BJ31" s="78">
        <f>('DJB Daily Readings'!EX39-'DJB Daily Readings'!EX38)*1.89</f>
        <v>13.229999999999999</v>
      </c>
      <c r="BK31" s="78">
        <f>('DJB Daily Readings'!FB39-'DJB Daily Readings'!FB38)*1.89</f>
        <v>98.28</v>
      </c>
      <c r="BL31" s="78">
        <f>'DJB Daily Readings'!J39</f>
        <v>12</v>
      </c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F32" s="75">
        <f>300+31</f>
        <v>331</v>
      </c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63" t="s">
        <v>73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</row>
    <row r="2" spans="1:159" ht="16.5" customHeight="1" x14ac:dyDescent="0.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</row>
    <row r="3" spans="1:159" ht="45" customHeight="1" x14ac:dyDescent="0.25">
      <c r="A3" s="463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</row>
    <row r="4" spans="1:159" ht="16.5" customHeight="1" x14ac:dyDescent="0.25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</row>
    <row r="5" spans="1:159" ht="10.5" customHeight="1" thickBot="1" x14ac:dyDescent="0.3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3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3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3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3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3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3"/>
      <c r="ET5" s="464"/>
      <c r="EU5" s="464"/>
      <c r="EV5" s="464"/>
      <c r="EW5" s="464"/>
      <c r="EX5" s="464"/>
      <c r="EY5" s="464"/>
      <c r="EZ5" s="464"/>
      <c r="FA5" s="464"/>
      <c r="FB5" s="464"/>
      <c r="FC5" s="464"/>
    </row>
    <row r="6" spans="1:159" ht="24.75" customHeight="1" thickBot="1" x14ac:dyDescent="0.3">
      <c r="A6" s="465" t="s">
        <v>74</v>
      </c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7"/>
      <c r="T6" s="489"/>
      <c r="U6" s="468" t="s">
        <v>75</v>
      </c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70"/>
      <c r="AY6" s="396"/>
      <c r="AZ6" s="468" t="s">
        <v>76</v>
      </c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69"/>
      <c r="BN6" s="469"/>
      <c r="BO6" s="469"/>
      <c r="BP6" s="469"/>
      <c r="BQ6" s="469"/>
      <c r="BR6" s="469"/>
      <c r="BS6" s="469"/>
      <c r="BT6" s="470"/>
      <c r="BU6" s="362"/>
      <c r="BV6" s="471" t="s">
        <v>77</v>
      </c>
      <c r="BW6" s="472"/>
      <c r="BX6" s="472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3"/>
      <c r="CV6" s="422"/>
      <c r="CW6" s="481" t="s">
        <v>78</v>
      </c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2"/>
      <c r="DS6" s="407"/>
      <c r="DT6" s="372" t="s">
        <v>79</v>
      </c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4"/>
      <c r="EF6" s="346"/>
      <c r="EG6" s="372" t="s">
        <v>80</v>
      </c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4"/>
      <c r="ES6" s="395"/>
      <c r="ET6" s="392" t="s">
        <v>81</v>
      </c>
      <c r="EU6" s="393"/>
      <c r="EV6" s="393"/>
      <c r="EW6" s="393"/>
      <c r="EX6" s="393"/>
      <c r="EY6" s="393"/>
      <c r="EZ6" s="393"/>
      <c r="FA6" s="393"/>
      <c r="FB6" s="393"/>
      <c r="FC6" s="394"/>
    </row>
    <row r="7" spans="1:159" ht="45" customHeight="1" thickBot="1" x14ac:dyDescent="0.3">
      <c r="A7" s="474" t="s">
        <v>82</v>
      </c>
      <c r="B7" s="476" t="s">
        <v>83</v>
      </c>
      <c r="C7" s="435" t="s">
        <v>84</v>
      </c>
      <c r="D7" s="433"/>
      <c r="E7" s="436"/>
      <c r="F7" s="478" t="s">
        <v>85</v>
      </c>
      <c r="G7" s="479"/>
      <c r="H7" s="480"/>
      <c r="I7" s="483" t="s">
        <v>86</v>
      </c>
      <c r="J7" s="483"/>
      <c r="K7" s="484" t="s">
        <v>87</v>
      </c>
      <c r="L7" s="485"/>
      <c r="M7" s="486" t="s">
        <v>88</v>
      </c>
      <c r="N7" s="480"/>
      <c r="O7" s="486" t="s">
        <v>89</v>
      </c>
      <c r="P7" s="479"/>
      <c r="Q7" s="480"/>
      <c r="R7" s="484" t="s">
        <v>90</v>
      </c>
      <c r="S7" s="487"/>
      <c r="T7" s="489"/>
      <c r="U7" s="488" t="s">
        <v>91</v>
      </c>
      <c r="V7" s="448"/>
      <c r="W7" s="449"/>
      <c r="X7" s="447" t="s">
        <v>92</v>
      </c>
      <c r="Y7" s="448"/>
      <c r="Z7" s="449"/>
      <c r="AA7" s="447" t="s">
        <v>93</v>
      </c>
      <c r="AB7" s="448"/>
      <c r="AC7" s="449"/>
      <c r="AD7" s="447" t="s">
        <v>94</v>
      </c>
      <c r="AE7" s="448"/>
      <c r="AF7" s="449"/>
      <c r="AG7" s="447" t="s">
        <v>95</v>
      </c>
      <c r="AH7" s="448"/>
      <c r="AI7" s="449"/>
      <c r="AJ7" s="444" t="s">
        <v>96</v>
      </c>
      <c r="AK7" s="445"/>
      <c r="AL7" s="446"/>
      <c r="AM7" s="444" t="s">
        <v>97</v>
      </c>
      <c r="AN7" s="445"/>
      <c r="AO7" s="446"/>
      <c r="AP7" s="447" t="s">
        <v>98</v>
      </c>
      <c r="AQ7" s="448"/>
      <c r="AR7" s="449"/>
      <c r="AS7" s="444" t="s">
        <v>99</v>
      </c>
      <c r="AT7" s="445"/>
      <c r="AU7" s="446"/>
      <c r="AV7" s="450" t="s">
        <v>100</v>
      </c>
      <c r="AW7" s="451"/>
      <c r="AX7" s="452"/>
      <c r="AY7" s="396"/>
      <c r="AZ7" s="453" t="s">
        <v>101</v>
      </c>
      <c r="BA7" s="451"/>
      <c r="BB7" s="454"/>
      <c r="BC7" s="455" t="s">
        <v>102</v>
      </c>
      <c r="BD7" s="455"/>
      <c r="BE7" s="455"/>
      <c r="BF7" s="455" t="s">
        <v>103</v>
      </c>
      <c r="BG7" s="455"/>
      <c r="BH7" s="455"/>
      <c r="BI7" s="439" t="s">
        <v>104</v>
      </c>
      <c r="BJ7" s="439"/>
      <c r="BK7" s="439" t="s">
        <v>105</v>
      </c>
      <c r="BL7" s="439"/>
      <c r="BM7" s="439" t="s">
        <v>106</v>
      </c>
      <c r="BN7" s="439"/>
      <c r="BO7" s="439" t="s">
        <v>107</v>
      </c>
      <c r="BP7" s="439"/>
      <c r="BQ7" s="440" t="s">
        <v>108</v>
      </c>
      <c r="BR7" s="441"/>
      <c r="BS7" s="442" t="s">
        <v>109</v>
      </c>
      <c r="BT7" s="443"/>
      <c r="BU7" s="363"/>
      <c r="BV7" s="365" t="s">
        <v>110</v>
      </c>
      <c r="BW7" s="366"/>
      <c r="BX7" s="367"/>
      <c r="BY7" s="368" t="s">
        <v>111</v>
      </c>
      <c r="BZ7" s="368"/>
      <c r="CA7" s="369" t="s">
        <v>112</v>
      </c>
      <c r="CB7" s="370"/>
      <c r="CC7" s="369" t="s">
        <v>113</v>
      </c>
      <c r="CD7" s="370"/>
      <c r="CE7" s="369" t="s">
        <v>114</v>
      </c>
      <c r="CF7" s="370"/>
      <c r="CG7" s="369" t="s">
        <v>115</v>
      </c>
      <c r="CH7" s="370"/>
      <c r="CI7" s="369" t="s">
        <v>116</v>
      </c>
      <c r="CJ7" s="370"/>
      <c r="CK7" s="419" t="s">
        <v>117</v>
      </c>
      <c r="CL7" s="366"/>
      <c r="CM7" s="367"/>
      <c r="CN7" s="419" t="s">
        <v>118</v>
      </c>
      <c r="CO7" s="366"/>
      <c r="CP7" s="367"/>
      <c r="CQ7" s="419" t="s">
        <v>119</v>
      </c>
      <c r="CR7" s="366"/>
      <c r="CS7" s="367"/>
      <c r="CT7" s="420" t="s">
        <v>120</v>
      </c>
      <c r="CU7" s="421"/>
      <c r="CV7" s="423"/>
      <c r="CW7" s="390" t="s">
        <v>121</v>
      </c>
      <c r="CX7" s="391"/>
      <c r="CY7" s="391"/>
      <c r="CZ7" s="391"/>
      <c r="DA7" s="432" t="s">
        <v>122</v>
      </c>
      <c r="DB7" s="433"/>
      <c r="DC7" s="433"/>
      <c r="DD7" s="434"/>
      <c r="DE7" s="432" t="s">
        <v>123</v>
      </c>
      <c r="DF7" s="433"/>
      <c r="DG7" s="433"/>
      <c r="DH7" s="433"/>
      <c r="DI7" s="390" t="s">
        <v>124</v>
      </c>
      <c r="DJ7" s="432"/>
      <c r="DK7" s="432"/>
      <c r="DL7" s="398"/>
      <c r="DM7" s="435" t="s">
        <v>125</v>
      </c>
      <c r="DN7" s="433"/>
      <c r="DO7" s="433"/>
      <c r="DP7" s="436"/>
      <c r="DQ7" s="435" t="s">
        <v>126</v>
      </c>
      <c r="DR7" s="436"/>
      <c r="DS7" s="408"/>
      <c r="DT7" s="405" t="s">
        <v>127</v>
      </c>
      <c r="DU7" s="406"/>
      <c r="DV7" s="413" t="s">
        <v>128</v>
      </c>
      <c r="DW7" s="406"/>
      <c r="DX7" s="371" t="s">
        <v>129</v>
      </c>
      <c r="DY7" s="413"/>
      <c r="DZ7" s="413" t="s">
        <v>130</v>
      </c>
      <c r="EA7" s="406"/>
      <c r="EB7" s="413" t="s">
        <v>131</v>
      </c>
      <c r="EC7" s="406"/>
      <c r="ED7" s="413" t="s">
        <v>132</v>
      </c>
      <c r="EE7" s="414"/>
      <c r="EF7" s="347"/>
      <c r="EG7" s="388" t="s">
        <v>133</v>
      </c>
      <c r="EH7" s="371"/>
      <c r="EI7" s="371" t="s">
        <v>134</v>
      </c>
      <c r="EJ7" s="371"/>
      <c r="EK7" s="371" t="s">
        <v>135</v>
      </c>
      <c r="EL7" s="371"/>
      <c r="EM7" s="371" t="s">
        <v>136</v>
      </c>
      <c r="EN7" s="371"/>
      <c r="EO7" s="371" t="s">
        <v>137</v>
      </c>
      <c r="EP7" s="371"/>
      <c r="EQ7" s="371" t="s">
        <v>138</v>
      </c>
      <c r="ER7" s="389"/>
      <c r="ES7" s="395"/>
      <c r="ET7" s="390" t="s">
        <v>139</v>
      </c>
      <c r="EU7" s="391"/>
      <c r="EV7" s="391" t="s">
        <v>140</v>
      </c>
      <c r="EW7" s="391"/>
      <c r="EX7" s="391" t="s">
        <v>141</v>
      </c>
      <c r="EY7" s="391"/>
      <c r="EZ7" s="391" t="s">
        <v>142</v>
      </c>
      <c r="FA7" s="391"/>
      <c r="FB7" s="391" t="s">
        <v>143</v>
      </c>
      <c r="FC7" s="398"/>
    </row>
    <row r="8" spans="1:159" s="4" customFormat="1" ht="44.25" customHeight="1" thickBot="1" x14ac:dyDescent="0.3">
      <c r="A8" s="475"/>
      <c r="B8" s="477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89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396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363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23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408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347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396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380">
        <f>C10-C9</f>
        <v>686</v>
      </c>
      <c r="E9" s="382">
        <f>'[1]January - 2023'!G9</f>
        <v>627</v>
      </c>
      <c r="F9" s="150">
        <f>'[1]January - 2023'!H9</f>
        <v>251689</v>
      </c>
      <c r="G9" s="338">
        <f>F10-F9</f>
        <v>550</v>
      </c>
      <c r="H9" s="382">
        <f>'[1]January - 2023'!J9</f>
        <v>493.56999999999243</v>
      </c>
      <c r="I9" s="242">
        <f>'[1]January - 2023'!K9</f>
        <v>10233</v>
      </c>
      <c r="J9" s="338">
        <f>I10-I9</f>
        <v>157</v>
      </c>
      <c r="K9" s="242">
        <f>'[1]January - 2023'!N9</f>
        <v>924513</v>
      </c>
      <c r="L9" s="337">
        <f>K10-K9</f>
        <v>319</v>
      </c>
      <c r="M9" s="242">
        <f>'[1]January - 2023'!Q9</f>
        <v>245382</v>
      </c>
      <c r="N9" s="337">
        <f>M10-M9</f>
        <v>0</v>
      </c>
      <c r="O9" s="242">
        <f>'[1]January - 2023'!U9</f>
        <v>118193</v>
      </c>
      <c r="P9" s="338">
        <f>O10-O9</f>
        <v>86</v>
      </c>
      <c r="Q9" s="382">
        <f>'[1]January - 2023'!W9</f>
        <v>73.419999999998254</v>
      </c>
      <c r="R9" s="242">
        <f>'[1]January - 2023'!X9</f>
        <v>6524</v>
      </c>
      <c r="S9" s="384">
        <f>R10-R9</f>
        <v>15</v>
      </c>
      <c r="T9" s="490"/>
      <c r="U9" s="247">
        <f>'[1]January - 2023'!AE9</f>
        <v>8204545.4400000004</v>
      </c>
      <c r="V9" s="386">
        <f>U10-U9</f>
        <v>3312.9599999990314</v>
      </c>
      <c r="W9" s="378">
        <f>'[1]January - 2023'!AF9</f>
        <v>3312.9599999990314</v>
      </c>
      <c r="X9" s="233">
        <f>'[1]January - 2023'!AH9</f>
        <v>15578561.039999999</v>
      </c>
      <c r="Y9" s="338">
        <f>X10-X9</f>
        <v>4579.679999999702</v>
      </c>
      <c r="Z9" s="378">
        <f>'[1]January - 2023'!AI9</f>
        <v>4579.679999999702</v>
      </c>
      <c r="AA9" s="233">
        <f>'[1]January - 2023'!AK9</f>
        <v>15837020.640000001</v>
      </c>
      <c r="AB9" s="338">
        <f>AA10-AA9</f>
        <v>8720.8799999989569</v>
      </c>
      <c r="AC9" s="378">
        <f>'[1]January - 2023'!AL9</f>
        <v>8720.8799999989569</v>
      </c>
      <c r="AD9" s="233">
        <f>'[1]January - 2023'!AN9</f>
        <v>18967085.760000002</v>
      </c>
      <c r="AE9" s="338">
        <f>AD10-AD9</f>
        <v>97.439999997615814</v>
      </c>
      <c r="AF9" s="378">
        <f>'[1]January - 2023'!AO9</f>
        <v>97.439999997615814</v>
      </c>
      <c r="AG9" s="233">
        <f>'[1]January - 2023'!AQ9</f>
        <v>19227689.039999999</v>
      </c>
      <c r="AH9" s="338">
        <f>AG10-AG9</f>
        <v>146.16000000014901</v>
      </c>
      <c r="AI9" s="378">
        <f>'[1]January - 2023'!AR9</f>
        <v>146.16000000014901</v>
      </c>
      <c r="AJ9" s="233">
        <f>'[1]January - 2023'!AT9</f>
        <v>17693496.239999998</v>
      </c>
      <c r="AK9" s="338">
        <f>AJ10-AJ9</f>
        <v>5602.8000000007451</v>
      </c>
      <c r="AL9" s="378">
        <f>'[1]January - 2023'!AU9</f>
        <v>5602.8000000007451</v>
      </c>
      <c r="AM9" s="233">
        <f>'[1]January - 2023'!AW9</f>
        <v>14884008.719999999</v>
      </c>
      <c r="AN9" s="338">
        <f>AM10-AM9</f>
        <v>3946.320000000298</v>
      </c>
      <c r="AO9" s="378">
        <f>'[1]January - 2023'!AX9</f>
        <v>3946.320000000298</v>
      </c>
      <c r="AP9" s="233">
        <f>'[1]January - 2023'!AZ9</f>
        <v>14414542.799999999</v>
      </c>
      <c r="AQ9" s="338">
        <f>AP10-AP9</f>
        <v>4579.6800000015646</v>
      </c>
      <c r="AR9" s="378">
        <f>'[1]January - 2023'!BA9</f>
        <v>4579.6800000015646</v>
      </c>
      <c r="AS9" s="233">
        <f>'[1]January - 2023'!BC9</f>
        <v>11250130.08</v>
      </c>
      <c r="AT9" s="338">
        <f>AS10-AS9</f>
        <v>2728.320000000298</v>
      </c>
      <c r="AU9" s="378">
        <f>'[1]January - 2023'!BD9</f>
        <v>2728.320000000298</v>
      </c>
      <c r="AV9" s="233">
        <f>'[1]January - 2023'!BF9</f>
        <v>17832591.84</v>
      </c>
      <c r="AW9" s="338">
        <f>AV10-AV9</f>
        <v>6041.2799999974668</v>
      </c>
      <c r="AX9" s="459">
        <f>'[1]January - 2023'!BG9</f>
        <v>6041.2799999974668</v>
      </c>
      <c r="AY9" s="456"/>
      <c r="AZ9" s="250">
        <f>'[1]January - 2023'!BM9</f>
        <v>78229800</v>
      </c>
      <c r="BA9" s="461">
        <f>AZ10-AZ9</f>
        <v>45400</v>
      </c>
      <c r="BB9" s="457">
        <f>'[1]January - 2023'!BN9</f>
        <v>45400</v>
      </c>
      <c r="BC9" s="250">
        <f>'[1]January - 2023'!BP9</f>
        <v>81187800</v>
      </c>
      <c r="BD9" s="461">
        <f>BC10-BC9</f>
        <v>0</v>
      </c>
      <c r="BE9" s="457">
        <f>'[1]January - 2023'!BQ9</f>
        <v>0</v>
      </c>
      <c r="BF9" s="250">
        <f>'[1]January - 2023'!BS9</f>
        <v>75092800</v>
      </c>
      <c r="BG9" s="461">
        <f>BF10-BF9</f>
        <v>0</v>
      </c>
      <c r="BH9" s="457">
        <f>'[1]January - 2023'!BT9</f>
        <v>0</v>
      </c>
      <c r="BI9" s="26"/>
      <c r="BJ9" s="33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355">
        <f>BS10-BS9</f>
        <v>7250</v>
      </c>
      <c r="BU9" s="363"/>
      <c r="BV9" s="84">
        <f>'[1]January - 2023'!BY9</f>
        <v>0.6</v>
      </c>
      <c r="BW9" s="357">
        <f>BV10-BV9</f>
        <v>3.0000000000000027E-2</v>
      </c>
      <c r="BX9" s="359">
        <f>'[1]January - 2023'!$BZ$9:$BZ$10</f>
        <v>-3.0000000000000027E-2</v>
      </c>
      <c r="BY9" s="85">
        <f>'[1]January - 2023'!CB9</f>
        <v>64774</v>
      </c>
      <c r="BZ9" s="361">
        <f>BY10-BY9</f>
        <v>26</v>
      </c>
      <c r="CA9" s="85">
        <f>'[1]January - 2023'!CD9</f>
        <v>55850</v>
      </c>
      <c r="CB9" s="361">
        <f>CA10-CA9</f>
        <v>22</v>
      </c>
      <c r="CC9" s="85">
        <f>'[1]January - 2023'!CF9</f>
        <v>18895</v>
      </c>
      <c r="CD9" s="361">
        <f>CC10-CC9</f>
        <v>7</v>
      </c>
      <c r="CE9" s="85">
        <f>'[1]January - 2023'!CH9</f>
        <v>25836</v>
      </c>
      <c r="CF9" s="361">
        <f>CE10-CE9</f>
        <v>10</v>
      </c>
      <c r="CG9" s="85">
        <f>'[1]January - 2023'!CJ9</f>
        <v>28807</v>
      </c>
      <c r="CH9" s="361">
        <f>CG10-CG9</f>
        <v>11</v>
      </c>
      <c r="CI9" s="85">
        <f>'[1]January - 2023'!CL9</f>
        <v>63265</v>
      </c>
      <c r="CJ9" s="361">
        <f>CI10-CI9</f>
        <v>39</v>
      </c>
      <c r="CK9" s="85">
        <f>'[1]January - 2023'!CN9</f>
        <v>269697</v>
      </c>
      <c r="CL9" s="361">
        <f>CK10-CK9</f>
        <v>74</v>
      </c>
      <c r="CM9" s="375">
        <f>'[1]January - 2023'!CO9</f>
        <v>74</v>
      </c>
      <c r="CN9" s="85">
        <f>'[1]January - 2023'!CQ9</f>
        <v>217553</v>
      </c>
      <c r="CO9" s="361">
        <f>CN10-CN9</f>
        <v>130</v>
      </c>
      <c r="CP9" s="375">
        <f>'[1]January - 2023'!CR9</f>
        <v>130</v>
      </c>
      <c r="CQ9" s="85">
        <f>'[1]January - 2023'!CT9</f>
        <v>360873</v>
      </c>
      <c r="CR9" s="361">
        <f>CQ10-CQ9</f>
        <v>267</v>
      </c>
      <c r="CS9" s="375">
        <f>'[1]January - 2023'!CU9</f>
        <v>267</v>
      </c>
      <c r="CT9" s="85">
        <f>'[1]January - 2023'!CW9</f>
        <v>698665</v>
      </c>
      <c r="CU9" s="437">
        <f>CT10-CT9</f>
        <v>178</v>
      </c>
      <c r="CV9" s="423"/>
      <c r="CW9" s="267">
        <f>'[1]January - 2023'!CZ9</f>
        <v>9063</v>
      </c>
      <c r="CX9" s="349">
        <f>CW10-CW9</f>
        <v>10</v>
      </c>
      <c r="CY9" s="268">
        <f>'[1]January - 2023'!DB9</f>
        <v>6152</v>
      </c>
      <c r="CZ9" s="349">
        <f>CY10-CY9</f>
        <v>7</v>
      </c>
      <c r="DA9" s="268">
        <f>'[1]January - 2023'!DD9</f>
        <v>32506</v>
      </c>
      <c r="DB9" s="349">
        <f>DA10-DA9</f>
        <v>20</v>
      </c>
      <c r="DC9" s="268">
        <f>'[1]January - 2023'!DF9</f>
        <v>32683</v>
      </c>
      <c r="DD9" s="349">
        <f>DC10-DC9</f>
        <v>16</v>
      </c>
      <c r="DE9" s="268">
        <f>'[1]January - 2023'!DH9</f>
        <v>22093</v>
      </c>
      <c r="DF9" s="349">
        <f>DE10-DE9</f>
        <v>14</v>
      </c>
      <c r="DG9" s="268">
        <f>'[1]January - 2023'!DJ9</f>
        <v>24185</v>
      </c>
      <c r="DH9" s="349">
        <f>DG10-DG9</f>
        <v>8</v>
      </c>
      <c r="DI9" s="268">
        <f>'[1]January - 2023'!DL9</f>
        <v>7343</v>
      </c>
      <c r="DJ9" s="349">
        <f>DI10-DI9</f>
        <v>15</v>
      </c>
      <c r="DK9" s="268">
        <f>'[1]January - 2023'!DN9</f>
        <v>9948</v>
      </c>
      <c r="DL9" s="349">
        <f>DK10-DK9</f>
        <v>11</v>
      </c>
      <c r="DM9" s="268">
        <f>'[1]January - 2023'!DP9</f>
        <v>3360</v>
      </c>
      <c r="DN9" s="349">
        <f>DM10-DM9</f>
        <v>6</v>
      </c>
      <c r="DO9" s="268">
        <f>'[1]January - 2023'!DR9</f>
        <v>6638</v>
      </c>
      <c r="DP9" s="349">
        <f>DO10-DO9</f>
        <v>12</v>
      </c>
      <c r="DQ9" s="268">
        <f>'[1]January - 2023'!DT9</f>
        <v>30380</v>
      </c>
      <c r="DR9" s="351">
        <f>DQ10-DQ9</f>
        <v>7</v>
      </c>
      <c r="DS9" s="408"/>
      <c r="DT9" s="190">
        <f>'[1]January - 2023'!DW9</f>
        <v>6580.2</v>
      </c>
      <c r="DU9" s="353">
        <f>DT10-DT9</f>
        <v>10.800000000000182</v>
      </c>
      <c r="DV9" s="87">
        <f>'[1]January - 2023'!DY9</f>
        <v>11466.6</v>
      </c>
      <c r="DW9" s="415">
        <f>DV10-DV9</f>
        <v>8.1000000000003638</v>
      </c>
      <c r="DX9" s="87">
        <f>'[1]January - 2023'!EA9</f>
        <v>4951.1000000000004</v>
      </c>
      <c r="DY9" s="353">
        <f>DX10-DX9</f>
        <v>6.8999999999996362</v>
      </c>
      <c r="DZ9" s="87">
        <f>'[1]January - 2023'!EC9</f>
        <v>5530.6</v>
      </c>
      <c r="EA9" s="353">
        <f>DZ10-DZ9</f>
        <v>7.7999999999992724</v>
      </c>
      <c r="EB9" s="87">
        <f>'[1]January - 2023'!EE9</f>
        <v>1139808</v>
      </c>
      <c r="EC9" s="353">
        <f>EB10-EB9</f>
        <v>585</v>
      </c>
      <c r="ED9" s="87">
        <f>'[1]January - 2023'!EI9</f>
        <v>234781.9</v>
      </c>
      <c r="EE9" s="417">
        <f>ED10-ED9</f>
        <v>132.89999999999418</v>
      </c>
      <c r="EF9" s="347"/>
      <c r="EG9" s="214">
        <f>'[1]January - 2023'!EL9</f>
        <v>12217800</v>
      </c>
      <c r="EH9" s="339">
        <f>EG10-EG9</f>
        <v>3100</v>
      </c>
      <c r="EI9" s="86">
        <f>'[1]January - 2023'!EN9</f>
        <v>939210</v>
      </c>
      <c r="EJ9" s="339">
        <f>EI10-EI9</f>
        <v>210</v>
      </c>
      <c r="EK9" s="86">
        <f>'[1]January - 2023'!EP9</f>
        <v>7261800</v>
      </c>
      <c r="EL9" s="339">
        <f>EK10-EK9</f>
        <v>1500</v>
      </c>
      <c r="EM9" s="86">
        <f>'[1]January - 2023'!ER9</f>
        <v>2504400</v>
      </c>
      <c r="EN9" s="339">
        <f>EM10-EM9</f>
        <v>200</v>
      </c>
      <c r="EO9" s="86">
        <f>'[1]January - 2023'!ET9</f>
        <v>1291970</v>
      </c>
      <c r="EP9" s="339">
        <f>EO10-EO9</f>
        <v>470</v>
      </c>
      <c r="EQ9" s="86">
        <f>'[1]January - 2023'!EV9</f>
        <v>16681600</v>
      </c>
      <c r="ER9" s="403">
        <f>EQ10-EQ9</f>
        <v>2900</v>
      </c>
      <c r="ES9" s="395"/>
      <c r="ET9" s="256">
        <f>'[1]January - 2023'!EY9</f>
        <v>42480</v>
      </c>
      <c r="EU9" s="350">
        <f>ET10-ET9</f>
        <v>16</v>
      </c>
      <c r="EV9" s="257">
        <f>'[1]January - 2023'!FA9</f>
        <v>37086</v>
      </c>
      <c r="EW9" s="350">
        <f>EV10-EV9</f>
        <v>18</v>
      </c>
      <c r="EX9" s="257">
        <f>'[1]January - 2023'!FC9</f>
        <v>7748</v>
      </c>
      <c r="EY9" s="350">
        <v>0</v>
      </c>
      <c r="EZ9" s="257">
        <f>'[1]January - 2023'!FE9</f>
        <v>59602</v>
      </c>
      <c r="FA9" s="350">
        <f>EZ10-EZ9</f>
        <v>17</v>
      </c>
      <c r="FB9" s="257">
        <f>'[1]January - 2023'!FG9</f>
        <v>50302</v>
      </c>
      <c r="FC9" s="352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381"/>
      <c r="E10" s="383"/>
      <c r="F10" s="150">
        <f>'[1]January - 2023'!H10</f>
        <v>252239</v>
      </c>
      <c r="G10" s="377"/>
      <c r="H10" s="383"/>
      <c r="I10" s="150">
        <f>'[1]January - 2023'!K10</f>
        <v>10390</v>
      </c>
      <c r="J10" s="377"/>
      <c r="K10" s="150">
        <f>'[1]January - 2023'!N10</f>
        <v>924832</v>
      </c>
      <c r="L10" s="338"/>
      <c r="M10" s="150">
        <f>'[1]January - 2023'!Q10</f>
        <v>245382</v>
      </c>
      <c r="N10" s="338"/>
      <c r="O10" s="150">
        <f>'[1]January - 2023'!U10</f>
        <v>118279</v>
      </c>
      <c r="P10" s="377"/>
      <c r="Q10" s="383"/>
      <c r="R10" s="150">
        <f>'[1]January - 2023'!X10</f>
        <v>6539</v>
      </c>
      <c r="S10" s="385"/>
      <c r="T10" s="490"/>
      <c r="U10" s="247">
        <f>'[1]January - 2023'!AE10</f>
        <v>8207858.3999999994</v>
      </c>
      <c r="V10" s="387"/>
      <c r="W10" s="379"/>
      <c r="X10" s="233">
        <f>'[1]January - 2023'!AH10</f>
        <v>15583140.719999999</v>
      </c>
      <c r="Y10" s="377"/>
      <c r="Z10" s="379"/>
      <c r="AA10" s="233">
        <f>'[1]January - 2023'!AK10</f>
        <v>15845741.52</v>
      </c>
      <c r="AB10" s="377"/>
      <c r="AC10" s="379"/>
      <c r="AD10" s="233">
        <f>'[1]January - 2023'!AN10</f>
        <v>18967183.199999999</v>
      </c>
      <c r="AE10" s="377"/>
      <c r="AF10" s="379"/>
      <c r="AG10" s="233">
        <f>'[1]January - 2023'!AQ10</f>
        <v>19227835.199999999</v>
      </c>
      <c r="AH10" s="377"/>
      <c r="AI10" s="379"/>
      <c r="AJ10" s="233">
        <f>'[1]January - 2023'!AT10</f>
        <v>17699099.039999999</v>
      </c>
      <c r="AK10" s="377"/>
      <c r="AL10" s="379"/>
      <c r="AM10" s="233">
        <f>'[1]January - 2023'!AW10</f>
        <v>14887955.039999999</v>
      </c>
      <c r="AN10" s="377"/>
      <c r="AO10" s="379"/>
      <c r="AP10" s="233">
        <f>'[1]January - 2023'!AZ10</f>
        <v>14419122.48</v>
      </c>
      <c r="AQ10" s="377"/>
      <c r="AR10" s="379"/>
      <c r="AS10" s="233">
        <f>'[1]January - 2023'!BC10</f>
        <v>11252858.4</v>
      </c>
      <c r="AT10" s="377"/>
      <c r="AU10" s="379"/>
      <c r="AV10" s="233">
        <f>'[1]January - 2023'!BF10</f>
        <v>17838633.119999997</v>
      </c>
      <c r="AW10" s="377"/>
      <c r="AX10" s="460"/>
      <c r="AY10" s="456"/>
      <c r="AZ10" s="250">
        <f>'[1]January - 2023'!BM10</f>
        <v>78275200</v>
      </c>
      <c r="BA10" s="462"/>
      <c r="BB10" s="458"/>
      <c r="BC10" s="250">
        <f>'[1]January - 2023'!BP10</f>
        <v>81187800</v>
      </c>
      <c r="BD10" s="462"/>
      <c r="BE10" s="458"/>
      <c r="BF10" s="250">
        <f>'[1]January - 2023'!BS10</f>
        <v>75092800</v>
      </c>
      <c r="BG10" s="462"/>
      <c r="BH10" s="458"/>
      <c r="BI10" s="25"/>
      <c r="BJ10" s="33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356"/>
      <c r="BU10" s="363"/>
      <c r="BV10" s="84">
        <f>'[1]January - 2023'!BY10</f>
        <v>0.63</v>
      </c>
      <c r="BW10" s="358"/>
      <c r="BX10" s="360"/>
      <c r="BY10" s="85">
        <f>'[1]January - 2023'!CB10</f>
        <v>64800</v>
      </c>
      <c r="BZ10" s="355"/>
      <c r="CA10" s="85">
        <f>'[1]January - 2023'!CD10</f>
        <v>55872</v>
      </c>
      <c r="CB10" s="355"/>
      <c r="CC10" s="85">
        <f>'[1]January - 2023'!CF10</f>
        <v>18902</v>
      </c>
      <c r="CD10" s="355"/>
      <c r="CE10" s="85">
        <f>'[1]January - 2023'!CH10</f>
        <v>25846</v>
      </c>
      <c r="CF10" s="355"/>
      <c r="CG10" s="85">
        <f>'[1]January - 2023'!CJ10</f>
        <v>28818</v>
      </c>
      <c r="CH10" s="355"/>
      <c r="CI10" s="85">
        <f>'[1]January - 2023'!CL10</f>
        <v>63304</v>
      </c>
      <c r="CJ10" s="355"/>
      <c r="CK10" s="85">
        <f>'[1]January - 2023'!CN10</f>
        <v>269771</v>
      </c>
      <c r="CL10" s="355"/>
      <c r="CM10" s="376"/>
      <c r="CN10" s="85">
        <f>'[1]January - 2023'!CQ10</f>
        <v>217683</v>
      </c>
      <c r="CO10" s="355"/>
      <c r="CP10" s="376"/>
      <c r="CQ10" s="85">
        <f>'[1]January - 2023'!CT10</f>
        <v>361140</v>
      </c>
      <c r="CR10" s="355"/>
      <c r="CS10" s="376"/>
      <c r="CT10" s="85">
        <f>'[1]January - 2023'!CW10</f>
        <v>698843</v>
      </c>
      <c r="CU10" s="438"/>
      <c r="CV10" s="423"/>
      <c r="CW10" s="234">
        <f>'[1]January - 2023'!CZ10</f>
        <v>9073</v>
      </c>
      <c r="CX10" s="350"/>
      <c r="CY10" s="235">
        <f>'[1]January - 2023'!DB10</f>
        <v>6159</v>
      </c>
      <c r="CZ10" s="350"/>
      <c r="DA10" s="235">
        <f>'[1]January - 2023'!DD10</f>
        <v>32526</v>
      </c>
      <c r="DB10" s="350"/>
      <c r="DC10" s="235">
        <f>'[1]January - 2023'!DF10</f>
        <v>32699</v>
      </c>
      <c r="DD10" s="350"/>
      <c r="DE10" s="235">
        <f>'[1]January - 2023'!DH10</f>
        <v>22107</v>
      </c>
      <c r="DF10" s="350"/>
      <c r="DG10" s="235">
        <f>'[1]January - 2023'!DJ10</f>
        <v>24193</v>
      </c>
      <c r="DH10" s="350"/>
      <c r="DI10" s="235">
        <f>'[1]January - 2023'!DL10</f>
        <v>7358</v>
      </c>
      <c r="DJ10" s="350"/>
      <c r="DK10" s="235">
        <f>'[1]January - 2023'!DN10</f>
        <v>9959</v>
      </c>
      <c r="DL10" s="350"/>
      <c r="DM10" s="235">
        <f>'[1]January - 2023'!DP10</f>
        <v>3366</v>
      </c>
      <c r="DN10" s="350"/>
      <c r="DO10" s="235">
        <f>'[1]January - 2023'!DR10</f>
        <v>6650</v>
      </c>
      <c r="DP10" s="350"/>
      <c r="DQ10" s="268">
        <f>'[1]January - 2023'!DT10</f>
        <v>30387</v>
      </c>
      <c r="DR10" s="352"/>
      <c r="DS10" s="408"/>
      <c r="DT10" s="190">
        <f>'[1]January - 2023'!DW10</f>
        <v>6591</v>
      </c>
      <c r="DU10" s="354"/>
      <c r="DV10" s="87">
        <f>'[1]January - 2023'!DY10</f>
        <v>11474.7</v>
      </c>
      <c r="DW10" s="416"/>
      <c r="DX10" s="87">
        <f>'[1]January - 2023'!EA10</f>
        <v>4958</v>
      </c>
      <c r="DY10" s="354"/>
      <c r="DZ10" s="87">
        <f>'[1]January - 2023'!EC10</f>
        <v>5538.4</v>
      </c>
      <c r="EA10" s="354"/>
      <c r="EB10" s="87">
        <f>'[1]January - 2023'!EE10</f>
        <v>1140393</v>
      </c>
      <c r="EC10" s="354"/>
      <c r="ED10" s="87">
        <f>'[1]January - 2023'!EI10</f>
        <v>234914.8</v>
      </c>
      <c r="EE10" s="418"/>
      <c r="EF10" s="347"/>
      <c r="EG10" s="214">
        <f>'[1]January - 2023'!EL10</f>
        <v>12220900</v>
      </c>
      <c r="EH10" s="340"/>
      <c r="EI10" s="86">
        <f>'[1]January - 2023'!EN10</f>
        <v>939420</v>
      </c>
      <c r="EJ10" s="340"/>
      <c r="EK10" s="86">
        <f>'[1]January - 2023'!EP10</f>
        <v>7263300</v>
      </c>
      <c r="EL10" s="340"/>
      <c r="EM10" s="86">
        <f>'[1]January - 2023'!ER10</f>
        <v>2504600</v>
      </c>
      <c r="EN10" s="340"/>
      <c r="EO10" s="86">
        <f>'[1]January - 2023'!ET10</f>
        <v>1292440</v>
      </c>
      <c r="EP10" s="340"/>
      <c r="EQ10" s="86">
        <f>'[1]January - 2023'!EV10</f>
        <v>16684500</v>
      </c>
      <c r="ER10" s="404"/>
      <c r="ES10" s="395"/>
      <c r="ET10" s="256">
        <f>'[1]January - 2023'!EY10</f>
        <v>42496</v>
      </c>
      <c r="EU10" s="399"/>
      <c r="EV10" s="257">
        <f>'[1]January - 2023'!FA10</f>
        <v>37104</v>
      </c>
      <c r="EW10" s="399"/>
      <c r="EX10" s="257">
        <f>'[1]January - 2023'!FC10</f>
        <v>7761</v>
      </c>
      <c r="EY10" s="399"/>
      <c r="EZ10" s="257">
        <f>'[1]January - 2023'!FE10</f>
        <v>59619</v>
      </c>
      <c r="FA10" s="399"/>
      <c r="FB10" s="257">
        <f>'[1]January - 2023'!FG10</f>
        <v>50337</v>
      </c>
      <c r="FC10" s="400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90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56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363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23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408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347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39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90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56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363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23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408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347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39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90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56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363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23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408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347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39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90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56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363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23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408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347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39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90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56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363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23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408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347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39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90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56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363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23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408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347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39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90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56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363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23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408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347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39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90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56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363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23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408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347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39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90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56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363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23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408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347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39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90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56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363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23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408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347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39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90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56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363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23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408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347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39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90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56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363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23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408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347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39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90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56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363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23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408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347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39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90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56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363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23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408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347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39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90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56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363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23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408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347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39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90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56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363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23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408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347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39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90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56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363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23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408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347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39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0.94</v>
      </c>
      <c r="C28" s="229">
        <f>'[1]January - 2023'!E28</f>
        <v>236508</v>
      </c>
      <c r="D28" s="152">
        <f>'[1]January - 2023'!F28</f>
        <v>551</v>
      </c>
      <c r="E28" s="150">
        <f>'[1]January - 2023'!G28</f>
        <v>454</v>
      </c>
      <c r="F28" s="150">
        <f>'[1]January - 2023'!H28</f>
        <v>260345</v>
      </c>
      <c r="G28" s="152">
        <f>'[1]January - 2023'!I28</f>
        <v>432</v>
      </c>
      <c r="H28" s="150">
        <f>'[1]January - 2023'!J28</f>
        <v>355</v>
      </c>
      <c r="I28" s="150">
        <f>'[1]January - 2023'!K28</f>
        <v>13722</v>
      </c>
      <c r="J28" s="152">
        <f>'[1]January - 2023'!L28</f>
        <v>206</v>
      </c>
      <c r="K28" s="150">
        <f>'[1]January - 2023'!N28</f>
        <v>927864</v>
      </c>
      <c r="L28" s="152">
        <f>'[1]January - 2023'!O28</f>
        <v>81</v>
      </c>
      <c r="M28" s="150">
        <f>'[1]January - 2023'!Q28</f>
        <v>245635</v>
      </c>
      <c r="N28" s="152">
        <f>'[1]January - 2023'!R28</f>
        <v>0</v>
      </c>
      <c r="O28" s="150">
        <f>'[1]January - 2023'!U28</f>
        <v>119588</v>
      </c>
      <c r="P28" s="152">
        <f>'[1]January - 2023'!V28</f>
        <v>69</v>
      </c>
      <c r="Q28" s="150">
        <f>'[1]January - 2023'!W28</f>
        <v>75.049999999995634</v>
      </c>
      <c r="R28" s="150">
        <f>'[1]January - 2023'!X28</f>
        <v>6652</v>
      </c>
      <c r="S28" s="188">
        <f>'[1]January - 2023'!Y28</f>
        <v>2</v>
      </c>
      <c r="T28" s="490"/>
      <c r="U28" s="151">
        <f>'[1]January - 2023'!AE28</f>
        <v>8247906.2400000002</v>
      </c>
      <c r="V28" s="218">
        <f>'[1]January - 2023'!AF28</f>
        <v>1948.7999999998137</v>
      </c>
      <c r="W28" s="88">
        <f>'[1]January - 2023'!AF28</f>
        <v>1948.7999999998137</v>
      </c>
      <c r="X28" s="233">
        <f>'[1]January - 2023'!AH28</f>
        <v>15664259.52</v>
      </c>
      <c r="Y28" s="218">
        <f>'[1]January - 2023'!AI28</f>
        <v>4482.2399999983609</v>
      </c>
      <c r="Z28" s="88">
        <f>'[1]January - 2023'!AI28</f>
        <v>4482.2399999983609</v>
      </c>
      <c r="AA28" s="233">
        <f>'[1]January - 2023'!AK28</f>
        <v>15892999.919999998</v>
      </c>
      <c r="AB28" s="218">
        <f>'[1]January - 2023'!AL28</f>
        <v>4287.359999999404</v>
      </c>
      <c r="AC28" s="88">
        <f>'[1]January - 2023'!AL28</f>
        <v>4287.359999999404</v>
      </c>
      <c r="AD28" s="233">
        <f>'[1]January - 2023'!AN28</f>
        <v>19021164.960000001</v>
      </c>
      <c r="AE28" s="218">
        <f>'[1]January - 2023'!AO28</f>
        <v>3507.8400000035763</v>
      </c>
      <c r="AF28" s="88">
        <f>'[1]January - 2023'!AO28</f>
        <v>3507.8400000035763</v>
      </c>
      <c r="AG28" s="233">
        <f>'[1]January - 2023'!AQ28</f>
        <v>19283376</v>
      </c>
      <c r="AH28" s="218">
        <f>'[1]January - 2023'!AR28</f>
        <v>1315.4399999976158</v>
      </c>
      <c r="AI28" s="88">
        <f>'[1]January - 2023'!AR28</f>
        <v>1315.4399999976158</v>
      </c>
      <c r="AJ28" s="233">
        <f>'[1]January - 2023'!AT28</f>
        <v>17796587.760000002</v>
      </c>
      <c r="AK28" s="218">
        <f>'[1]January - 2023'!AU28</f>
        <v>5407.9200000017881</v>
      </c>
      <c r="AL28" s="88">
        <f>'[1]January - 2023'!AU28</f>
        <v>5407.9200000017881</v>
      </c>
      <c r="AM28" s="233">
        <f>'[1]January - 2023'!AW28</f>
        <v>14962983.84</v>
      </c>
      <c r="AN28" s="218">
        <f>'[1]January - 2023'!AX28</f>
        <v>4092.480000000447</v>
      </c>
      <c r="AO28" s="88">
        <f>'[1]January - 2023'!AX28</f>
        <v>4092.480000000447</v>
      </c>
      <c r="AP28" s="233">
        <f>'[1]January - 2023'!AZ28</f>
        <v>14500679.76</v>
      </c>
      <c r="AQ28" s="218">
        <f>'[1]January - 2023'!BA28</f>
        <v>4433.519999999553</v>
      </c>
      <c r="AR28" s="88">
        <f>'[1]January - 2023'!BA28</f>
        <v>4433.519999999553</v>
      </c>
      <c r="AS28" s="233">
        <f>'[1]January - 2023'!BC28</f>
        <v>11306206.799999999</v>
      </c>
      <c r="AT28" s="218">
        <f>'[1]January - 2023'!BD28</f>
        <v>2874.480000000447</v>
      </c>
      <c r="AU28" s="88">
        <f>'[1]January - 2023'!BD28</f>
        <v>2874.480000000447</v>
      </c>
      <c r="AV28" s="233">
        <f>'[1]January - 2023'!BF28</f>
        <v>17938119.359999999</v>
      </c>
      <c r="AW28" s="230">
        <f>'[1]January - 2023'!BG28</f>
        <v>5456.640000000596</v>
      </c>
      <c r="AX28" s="231">
        <f>'[1]January - 2023'!BG28</f>
        <v>5456.640000000596</v>
      </c>
      <c r="AY28" s="456"/>
      <c r="AZ28" s="250">
        <f>'[1]January - 2023'!BM28</f>
        <v>78516400</v>
      </c>
      <c r="BA28" s="161">
        <f>'[1]January - 2023'!BN28</f>
        <v>20200</v>
      </c>
      <c r="BB28" s="89">
        <f>'[1]January - 2023'!BN28</f>
        <v>20200</v>
      </c>
      <c r="BC28" s="250">
        <f>'[1]January - 2023'!BP28</f>
        <v>81417300</v>
      </c>
      <c r="BD28" s="224">
        <f>'[1]January - 2023'!BQ28</f>
        <v>18100</v>
      </c>
      <c r="BE28" s="89">
        <f>'[1]January - 2023'!BQ28</f>
        <v>18100</v>
      </c>
      <c r="BF28" s="250">
        <f>'[1]January - 2023'!BS28</f>
        <v>75325600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10514430</v>
      </c>
      <c r="BT28" s="166">
        <f>'[1]January - 2023'!BW28</f>
        <v>6620</v>
      </c>
      <c r="BU28" s="363"/>
      <c r="BV28" s="84">
        <f>'[1]January - 2023'!BY28</f>
        <v>0.57999999999999996</v>
      </c>
      <c r="BW28" s="220">
        <f>'[1]January - 2023'!BZ28</f>
        <v>-7.999999999999996E-2</v>
      </c>
      <c r="BX28" s="84">
        <f>'[1]January - 2023'!BZ28</f>
        <v>-7.999999999999996E-2</v>
      </c>
      <c r="BY28" s="85">
        <f>'[1]January - 2023'!CB28</f>
        <v>65140</v>
      </c>
      <c r="BZ28" s="172">
        <f>'[1]January - 2023'!CC28</f>
        <v>18</v>
      </c>
      <c r="CA28" s="85">
        <f>'[1]January - 2023'!CD28</f>
        <v>56218</v>
      </c>
      <c r="CB28" s="172">
        <f>'[1]January - 2023'!CE28</f>
        <v>20</v>
      </c>
      <c r="CC28" s="85">
        <f>'[1]January - 2023'!CF28</f>
        <v>18999</v>
      </c>
      <c r="CD28" s="172">
        <f>'[1]January - 2023'!CG28</f>
        <v>0</v>
      </c>
      <c r="CE28" s="85">
        <f>'[1]January - 2023'!CH28</f>
        <v>26010</v>
      </c>
      <c r="CF28" s="172">
        <f>'[1]January - 2023'!CI28</f>
        <v>10</v>
      </c>
      <c r="CG28" s="85">
        <f>'[1]January - 2023'!CJ28</f>
        <v>29084</v>
      </c>
      <c r="CH28" s="172">
        <f>'[1]January - 2023'!CK28</f>
        <v>13</v>
      </c>
      <c r="CI28" s="85">
        <f>'[1]January - 2023'!CL28</f>
        <v>63954</v>
      </c>
      <c r="CJ28" s="172">
        <f>'[1]January - 2023'!CM28</f>
        <v>36</v>
      </c>
      <c r="CK28" s="85">
        <f>'[1]January - 2023'!CN28</f>
        <v>271116</v>
      </c>
      <c r="CL28" s="225">
        <f>'[1]January - 2023'!CO28</f>
        <v>76</v>
      </c>
      <c r="CM28" s="85">
        <f>'[1]January - 2023'!CO28</f>
        <v>76</v>
      </c>
      <c r="CN28" s="85">
        <f>'[1]January - 2023'!CQ28</f>
        <v>219695</v>
      </c>
      <c r="CO28" s="225">
        <f>'[1]January - 2023'!CR28</f>
        <v>103</v>
      </c>
      <c r="CP28" s="85">
        <f>'[1]January - 2023'!CR28</f>
        <v>103</v>
      </c>
      <c r="CQ28" s="85">
        <f>'[1]January - 2023'!CT28</f>
        <v>366076</v>
      </c>
      <c r="CR28" s="225">
        <f>'[1]January - 2023'!CU28</f>
        <v>295</v>
      </c>
      <c r="CS28" s="85">
        <f>'[1]January - 2023'!CU28</f>
        <v>295</v>
      </c>
      <c r="CT28" s="85">
        <f>'[1]January - 2023'!CW28</f>
        <v>701854</v>
      </c>
      <c r="CU28" s="172">
        <f>'[1]January - 2023'!CX28</f>
        <v>158</v>
      </c>
      <c r="CV28" s="423"/>
      <c r="CW28" s="234">
        <f>'[1]January - 2023'!CZ28</f>
        <v>9226</v>
      </c>
      <c r="CX28" s="179">
        <f>'[1]January - 2023'!DA28</f>
        <v>9</v>
      </c>
      <c r="CY28" s="235">
        <f>'[1]January - 2023'!DB28</f>
        <v>6258</v>
      </c>
      <c r="CZ28" s="179">
        <f>'[1]January - 2023'!DC28</f>
        <v>6</v>
      </c>
      <c r="DA28" s="235">
        <f>'[1]January - 2023'!DD28</f>
        <v>32802</v>
      </c>
      <c r="DB28" s="179">
        <f>'[1]January - 2023'!DE28</f>
        <v>15</v>
      </c>
      <c r="DC28" s="235">
        <f>'[1]January - 2023'!DF28</f>
        <v>32948</v>
      </c>
      <c r="DD28" s="179">
        <f>'[1]January - 2023'!DG28</f>
        <v>12</v>
      </c>
      <c r="DE28" s="235">
        <f>'[1]January - 2023'!DH28</f>
        <v>22301</v>
      </c>
      <c r="DF28" s="179">
        <f>'[1]January - 2023'!DI28</f>
        <v>9</v>
      </c>
      <c r="DG28" s="235">
        <f>'[1]January - 2023'!DJ28</f>
        <v>24297</v>
      </c>
      <c r="DH28" s="179">
        <f>'[1]January - 2023'!DK28</f>
        <v>5</v>
      </c>
      <c r="DI28" s="235">
        <f>'[1]January - 2023'!DL28</f>
        <v>7551</v>
      </c>
      <c r="DJ28" s="179">
        <f>'[1]January - 2023'!DM28</f>
        <v>8</v>
      </c>
      <c r="DK28" s="235">
        <f>'[1]January - 2023'!DN28</f>
        <v>10097</v>
      </c>
      <c r="DL28" s="179">
        <f>'[1]January - 2023'!DO28</f>
        <v>8</v>
      </c>
      <c r="DM28" s="235">
        <f>'[1]January - 2023'!DP28</f>
        <v>3448</v>
      </c>
      <c r="DN28" s="179">
        <f>'[1]January - 2023'!DQ28</f>
        <v>5</v>
      </c>
      <c r="DO28" s="235">
        <f>'[1]January - 2023'!DR28</f>
        <v>6807</v>
      </c>
      <c r="DP28" s="179">
        <f>'[1]January - 2023'!DS28</f>
        <v>6</v>
      </c>
      <c r="DQ28" s="235">
        <f>'[1]January - 2023'!DT28</f>
        <v>30458</v>
      </c>
      <c r="DR28" s="186">
        <f>'[1]January - 2023'!DU28</f>
        <v>0</v>
      </c>
      <c r="DS28" s="408"/>
      <c r="DT28" s="190">
        <f>'[1]January - 2023'!DW28</f>
        <v>6783.2</v>
      </c>
      <c r="DU28" s="201">
        <f>'[1]January - 2023'!DX28</f>
        <v>10.800000000000182</v>
      </c>
      <c r="DV28" s="87">
        <f>'[1]January - 2023'!DY28</f>
        <v>11606.9</v>
      </c>
      <c r="DW28" s="195">
        <f>'[1]January - 2023'!DZ28</f>
        <v>7.7999999999992724</v>
      </c>
      <c r="DX28" s="87">
        <f>'[1]January - 2023'!EA28</f>
        <v>5071.7</v>
      </c>
      <c r="DY28" s="195">
        <f>'[1]January - 2023'!EB28</f>
        <v>5.8999999999996362</v>
      </c>
      <c r="DZ28" s="87">
        <f>'[1]January - 2023'!EC28</f>
        <v>5655.7</v>
      </c>
      <c r="EA28" s="195">
        <f>'[1]January - 2023'!ED28</f>
        <v>6.3999999999996362</v>
      </c>
      <c r="EB28" s="87">
        <f>'[1]January - 2023'!EE28</f>
        <v>1150270</v>
      </c>
      <c r="EC28" s="195">
        <f>'[1]January - 2023'!EF28</f>
        <v>542</v>
      </c>
      <c r="ED28" s="87">
        <f>'[1]January - 2023'!EI28</f>
        <v>237344.5</v>
      </c>
      <c r="EE28" s="208">
        <f>'[1]January - 2023'!EJ28</f>
        <v>180.89999999999418</v>
      </c>
      <c r="EF28" s="347"/>
      <c r="EG28" s="214">
        <f>'[1]January - 2023'!EL28</f>
        <v>12263600</v>
      </c>
      <c r="EH28" s="209">
        <f>'[1]January - 2023'!EM28</f>
        <v>1800</v>
      </c>
      <c r="EI28" s="86">
        <f>'[1]January - 2023'!EN28</f>
        <v>943490</v>
      </c>
      <c r="EJ28" s="209">
        <f>'[1]January - 2023'!EO28</f>
        <v>170</v>
      </c>
      <c r="EK28" s="86">
        <f>'[1]January - 2023'!EP28</f>
        <v>7285400</v>
      </c>
      <c r="EL28" s="209">
        <f>'[1]January - 2023'!EQ28</f>
        <v>800</v>
      </c>
      <c r="EM28" s="86">
        <f>'[1]January - 2023'!ER28</f>
        <v>2508700</v>
      </c>
      <c r="EN28" s="209">
        <f>'[1]January - 2023'!ES28</f>
        <v>200</v>
      </c>
      <c r="EO28" s="86">
        <f>'[1]January - 2023'!ET28</f>
        <v>1301050</v>
      </c>
      <c r="EP28" s="209">
        <f>'[1]January - 2023'!EU28</f>
        <v>310</v>
      </c>
      <c r="EQ28" s="86">
        <f>'[1]January - 2023'!EV28</f>
        <v>16720800</v>
      </c>
      <c r="ER28" s="209">
        <f>'[1]January - 2023'!EW28</f>
        <v>1800</v>
      </c>
      <c r="ES28" s="395"/>
      <c r="ET28" s="256">
        <f>'[1]January - 2023'!EY28</f>
        <v>42777</v>
      </c>
      <c r="EU28" s="253">
        <f>'[1]January - 2023'!EZ28</f>
        <v>17</v>
      </c>
      <c r="EV28" s="257">
        <f>'[1]January - 2023'!FA28</f>
        <v>37338</v>
      </c>
      <c r="EW28" s="253">
        <f>'[1]January - 2023'!FB28</f>
        <v>11</v>
      </c>
      <c r="EX28" s="257">
        <f>'[1]January - 2023'!FC28</f>
        <v>7941</v>
      </c>
      <c r="EY28" s="253">
        <f>'[1]January - 2023'!FD28</f>
        <v>8</v>
      </c>
      <c r="EZ28" s="257">
        <f>'[1]January - 2023'!FE28</f>
        <v>59874</v>
      </c>
      <c r="FA28" s="253">
        <f>'[1]January - 2023'!FF28</f>
        <v>14</v>
      </c>
      <c r="FB28" s="257">
        <f>'[1]January - 2023'!FG28</f>
        <v>50938</v>
      </c>
      <c r="FC28" s="254">
        <f>'[1]January - 2023'!FH28</f>
        <v>29</v>
      </c>
    </row>
    <row r="29" spans="1:159" ht="30" customHeight="1" x14ac:dyDescent="0.25">
      <c r="A29" s="187">
        <v>44946</v>
      </c>
      <c r="B29" s="189">
        <f>'[1]January - 2023'!B29</f>
        <v>0.75</v>
      </c>
      <c r="C29" s="229">
        <f>'[1]January - 2023'!E29</f>
        <v>237084</v>
      </c>
      <c r="D29" s="152">
        <f>'[1]January - 2023'!F29</f>
        <v>576</v>
      </c>
      <c r="E29" s="150">
        <f>'[1]January - 2023'!G29</f>
        <v>496</v>
      </c>
      <c r="F29" s="150">
        <f>'[1]January - 2023'!H29</f>
        <v>260805</v>
      </c>
      <c r="G29" s="152">
        <f>'[1]January - 2023'!I29</f>
        <v>460</v>
      </c>
      <c r="H29" s="150">
        <f>'[1]January - 2023'!J29</f>
        <v>371</v>
      </c>
      <c r="I29" s="150">
        <f>'[1]January - 2023'!K29</f>
        <v>13928</v>
      </c>
      <c r="J29" s="152">
        <f>'[1]January - 2023'!L29</f>
        <v>206</v>
      </c>
      <c r="K29" s="150">
        <f>'[1]January - 2023'!N29</f>
        <v>928015</v>
      </c>
      <c r="L29" s="152">
        <f>'[1]January - 2023'!O29</f>
        <v>151</v>
      </c>
      <c r="M29" s="150">
        <f>'[1]January - 2023'!Q29</f>
        <v>245635</v>
      </c>
      <c r="N29" s="152">
        <f>'[1]January - 2023'!R29</f>
        <v>0</v>
      </c>
      <c r="O29" s="150">
        <f>'[1]January - 2023'!U29</f>
        <v>119651</v>
      </c>
      <c r="P29" s="152">
        <f>'[1]January - 2023'!V29</f>
        <v>63</v>
      </c>
      <c r="Q29" s="150">
        <f>'[1]January - 2023'!W29</f>
        <v>75.75</v>
      </c>
      <c r="R29" s="150">
        <f>'[1]January - 2023'!X29</f>
        <v>6655</v>
      </c>
      <c r="S29" s="188">
        <f>'[1]January - 2023'!Y29</f>
        <v>3</v>
      </c>
      <c r="T29" s="490"/>
      <c r="U29" s="151">
        <f>'[1]January - 2023'!AE29</f>
        <v>8249952.4800000004</v>
      </c>
      <c r="V29" s="218">
        <f>'[1]January - 2023'!AF29</f>
        <v>2046.2400000002235</v>
      </c>
      <c r="W29" s="88">
        <f>'[1]January - 2023'!AF29</f>
        <v>2046.2400000002235</v>
      </c>
      <c r="X29" s="233">
        <f>'[1]January - 2023'!AH29</f>
        <v>15669277.68</v>
      </c>
      <c r="Y29" s="218">
        <f>'[1]January - 2023'!AI29</f>
        <v>5018.160000000149</v>
      </c>
      <c r="Z29" s="88">
        <f>'[1]January - 2023'!AI29</f>
        <v>5018.160000000149</v>
      </c>
      <c r="AA29" s="233">
        <f>'[1]January - 2023'!AK29</f>
        <v>15892999.919999998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19028229.359999999</v>
      </c>
      <c r="AE29" s="218">
        <f>'[1]January - 2023'!AO29</f>
        <v>7064.3999999985099</v>
      </c>
      <c r="AF29" s="88">
        <f>'[1]January - 2023'!AO29</f>
        <v>7064.3999999985099</v>
      </c>
      <c r="AG29" s="233">
        <f>'[1]January - 2023'!AQ29</f>
        <v>19284740.16</v>
      </c>
      <c r="AH29" s="218">
        <f>'[1]January - 2023'!AR29</f>
        <v>1364.160000000149</v>
      </c>
      <c r="AI29" s="88">
        <f>'[1]January - 2023'!AR29</f>
        <v>1364.160000000149</v>
      </c>
      <c r="AJ29" s="233">
        <f>'[1]January - 2023'!AT29</f>
        <v>17802093.119999997</v>
      </c>
      <c r="AK29" s="218">
        <f>'[1]January - 2023'!AU29</f>
        <v>5505.3599999956787</v>
      </c>
      <c r="AL29" s="88">
        <f>'[1]January - 2023'!AU29</f>
        <v>5505.3599999956787</v>
      </c>
      <c r="AM29" s="233">
        <f>'[1]January - 2023'!AW29</f>
        <v>14967368.640000001</v>
      </c>
      <c r="AN29" s="218">
        <f>'[1]January - 2023'!AX29</f>
        <v>4384.8000000007451</v>
      </c>
      <c r="AO29" s="88">
        <f>'[1]January - 2023'!AX29</f>
        <v>4384.8000000007451</v>
      </c>
      <c r="AP29" s="233">
        <f>'[1]January - 2023'!AZ29</f>
        <v>14505113.280000001</v>
      </c>
      <c r="AQ29" s="218">
        <f>'[1]January - 2023'!BA29</f>
        <v>4433.5200000014156</v>
      </c>
      <c r="AR29" s="88">
        <f>'[1]January - 2023'!BA29</f>
        <v>4433.5200000014156</v>
      </c>
      <c r="AS29" s="233">
        <f>'[1]January - 2023'!BC29</f>
        <v>11309227.439999999</v>
      </c>
      <c r="AT29" s="218">
        <f>'[1]January - 2023'!BD29</f>
        <v>3020.640000000596</v>
      </c>
      <c r="AU29" s="88">
        <f>'[1]January - 2023'!BD29</f>
        <v>3020.640000000596</v>
      </c>
      <c r="AV29" s="233">
        <f>'[1]January - 2023'!BF29</f>
        <v>17943673.439999998</v>
      </c>
      <c r="AW29" s="230">
        <f>'[1]January - 2023'!BG29</f>
        <v>5554.0799999982119</v>
      </c>
      <c r="AX29" s="231">
        <f>'[1]January - 2023'!BG29</f>
        <v>5554.0799999982119</v>
      </c>
      <c r="AY29" s="456"/>
      <c r="AZ29" s="250">
        <f>'[1]January - 2023'!BM29</f>
        <v>78516400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81452300</v>
      </c>
      <c r="BD29" s="224">
        <f>'[1]January - 2023'!BQ29</f>
        <v>35000</v>
      </c>
      <c r="BE29" s="89">
        <f>'[1]January - 2023'!BQ29</f>
        <v>35000</v>
      </c>
      <c r="BF29" s="250">
        <f>'[1]January - 2023'!BS29</f>
        <v>75325600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10521530</v>
      </c>
      <c r="BT29" s="166">
        <f>'[1]January - 2023'!BW29</f>
        <v>7100</v>
      </c>
      <c r="BU29" s="363"/>
      <c r="BV29" s="84">
        <f>'[1]January - 2023'!BY29</f>
        <v>0.48</v>
      </c>
      <c r="BW29" s="220">
        <f>'[1]January - 2023'!BZ29</f>
        <v>9.9999999999999978E-2</v>
      </c>
      <c r="BX29" s="84">
        <f>'[1]January - 2023'!BZ29</f>
        <v>9.9999999999999978E-2</v>
      </c>
      <c r="BY29" s="85">
        <f>'[1]January - 2023'!CB29</f>
        <v>65158</v>
      </c>
      <c r="BZ29" s="172">
        <f>'[1]January - 2023'!CC29</f>
        <v>18</v>
      </c>
      <c r="CA29" s="85">
        <f>'[1]January - 2023'!CD29</f>
        <v>56237</v>
      </c>
      <c r="CB29" s="172">
        <f>'[1]January - 2023'!CE29</f>
        <v>19</v>
      </c>
      <c r="CC29" s="85">
        <f>'[1]January - 2023'!CF29</f>
        <v>18999</v>
      </c>
      <c r="CD29" s="172">
        <f>'[1]January - 2023'!CG29</f>
        <v>0</v>
      </c>
      <c r="CE29" s="85">
        <f>'[1]January - 2023'!CH29</f>
        <v>26019</v>
      </c>
      <c r="CF29" s="172">
        <f>'[1]January - 2023'!CI29</f>
        <v>9</v>
      </c>
      <c r="CG29" s="85">
        <f>'[1]January - 2023'!CJ29</f>
        <v>29097</v>
      </c>
      <c r="CH29" s="172">
        <f>'[1]January - 2023'!CK29</f>
        <v>13</v>
      </c>
      <c r="CI29" s="85">
        <f>'[1]January - 2023'!CL29</f>
        <v>63994</v>
      </c>
      <c r="CJ29" s="172">
        <f>'[1]January - 2023'!CM29</f>
        <v>40</v>
      </c>
      <c r="CK29" s="85">
        <f>'[1]January - 2023'!CN29</f>
        <v>271193</v>
      </c>
      <c r="CL29" s="225">
        <f>'[1]January - 2023'!CO29</f>
        <v>77</v>
      </c>
      <c r="CM29" s="85">
        <f>'[1]January - 2023'!CO29</f>
        <v>77</v>
      </c>
      <c r="CN29" s="85">
        <f>'[1]January - 2023'!CQ29</f>
        <v>219803</v>
      </c>
      <c r="CO29" s="225">
        <f>'[1]January - 2023'!CR29</f>
        <v>108</v>
      </c>
      <c r="CP29" s="85">
        <f>'[1]January - 2023'!CR29</f>
        <v>108</v>
      </c>
      <c r="CQ29" s="85">
        <f>'[1]January - 2023'!CT29</f>
        <v>366384</v>
      </c>
      <c r="CR29" s="225">
        <f>'[1]January - 2023'!CU29</f>
        <v>308</v>
      </c>
      <c r="CS29" s="85">
        <f>'[1]January - 2023'!CU29</f>
        <v>308</v>
      </c>
      <c r="CT29" s="85">
        <f>'[1]January - 2023'!CW29</f>
        <v>702015</v>
      </c>
      <c r="CU29" s="172">
        <f>'[1]January - 2023'!CX29</f>
        <v>161</v>
      </c>
      <c r="CV29" s="423"/>
      <c r="CW29" s="234">
        <f>'[1]January - 2023'!CZ29</f>
        <v>9235</v>
      </c>
      <c r="CX29" s="179">
        <f>'[1]January - 2023'!DA29</f>
        <v>9</v>
      </c>
      <c r="CY29" s="235">
        <f>'[1]January - 2023'!DB29</f>
        <v>6264</v>
      </c>
      <c r="CZ29" s="179">
        <f>'[1]January - 2023'!DC29</f>
        <v>6</v>
      </c>
      <c r="DA29" s="235">
        <f>'[1]January - 2023'!DD29</f>
        <v>32817</v>
      </c>
      <c r="DB29" s="179">
        <f>'[1]January - 2023'!DE29</f>
        <v>15</v>
      </c>
      <c r="DC29" s="235">
        <f>'[1]January - 2023'!DF29</f>
        <v>32960</v>
      </c>
      <c r="DD29" s="179">
        <f>'[1]January - 2023'!DG29</f>
        <v>12</v>
      </c>
      <c r="DE29" s="235">
        <f>'[1]January - 2023'!DH29</f>
        <v>22310</v>
      </c>
      <c r="DF29" s="179">
        <f>'[1]January - 2023'!DI29</f>
        <v>9</v>
      </c>
      <c r="DG29" s="235">
        <f>'[1]January - 2023'!DJ29</f>
        <v>24302</v>
      </c>
      <c r="DH29" s="179">
        <f>'[1]January - 2023'!DK29</f>
        <v>5</v>
      </c>
      <c r="DI29" s="235">
        <f>'[1]January - 2023'!DL29</f>
        <v>7559</v>
      </c>
      <c r="DJ29" s="179">
        <f>'[1]January - 2023'!DM29</f>
        <v>8</v>
      </c>
      <c r="DK29" s="235">
        <f>'[1]January - 2023'!DN29</f>
        <v>10105</v>
      </c>
      <c r="DL29" s="179">
        <f>'[1]January - 2023'!DO29</f>
        <v>8</v>
      </c>
      <c r="DM29" s="235">
        <f>'[1]January - 2023'!DP29</f>
        <v>3453</v>
      </c>
      <c r="DN29" s="179">
        <f>'[1]January - 2023'!DQ29</f>
        <v>5</v>
      </c>
      <c r="DO29" s="235">
        <f>'[1]January - 2023'!DR29</f>
        <v>6813</v>
      </c>
      <c r="DP29" s="179">
        <f>'[1]January - 2023'!DS29</f>
        <v>6</v>
      </c>
      <c r="DQ29" s="235">
        <f>'[1]January - 2023'!DT29</f>
        <v>30458</v>
      </c>
      <c r="DR29" s="186">
        <f>'[1]January - 2023'!DU29</f>
        <v>0</v>
      </c>
      <c r="DS29" s="408"/>
      <c r="DT29" s="190">
        <f>'[1]January - 2023'!DW29</f>
        <v>6794.6</v>
      </c>
      <c r="DU29" s="201">
        <f>'[1]January - 2023'!DX29</f>
        <v>11.400000000000546</v>
      </c>
      <c r="DV29" s="87">
        <f>'[1]January - 2023'!DY29</f>
        <v>11614.6</v>
      </c>
      <c r="DW29" s="195">
        <f>'[1]January - 2023'!DZ29</f>
        <v>7.7000000000007276</v>
      </c>
      <c r="DX29" s="87">
        <f>'[1]January - 2023'!EA29</f>
        <v>5077.8999999999996</v>
      </c>
      <c r="DY29" s="195">
        <f>'[1]January - 2023'!EB29</f>
        <v>6.1999999999998181</v>
      </c>
      <c r="DZ29" s="87">
        <f>'[1]January - 2023'!EC29</f>
        <v>5662.7</v>
      </c>
      <c r="EA29" s="195">
        <f>'[1]January - 2023'!ED29</f>
        <v>7</v>
      </c>
      <c r="EB29" s="87">
        <f>'[1]January - 2023'!EE29</f>
        <v>1150860</v>
      </c>
      <c r="EC29" s="195">
        <f>'[1]January - 2023'!EF29</f>
        <v>590</v>
      </c>
      <c r="ED29" s="87">
        <f>'[1]January - 2023'!EI29</f>
        <v>237503.7</v>
      </c>
      <c r="EE29" s="208">
        <f>'[1]January - 2023'!EJ29</f>
        <v>159.20000000001164</v>
      </c>
      <c r="EF29" s="347"/>
      <c r="EG29" s="214">
        <f>'[1]January - 2023'!EL29</f>
        <v>12265600</v>
      </c>
      <c r="EH29" s="209">
        <f>'[1]January - 2023'!EM29</f>
        <v>2000</v>
      </c>
      <c r="EI29" s="86">
        <f>'[1]January - 2023'!EN29</f>
        <v>943700</v>
      </c>
      <c r="EJ29" s="209">
        <f>'[1]January - 2023'!EO29</f>
        <v>210</v>
      </c>
      <c r="EK29" s="86">
        <f>'[1]January - 2023'!EP29</f>
        <v>7286400</v>
      </c>
      <c r="EL29" s="209">
        <f>'[1]January - 2023'!EQ29</f>
        <v>1000</v>
      </c>
      <c r="EM29" s="86">
        <f>'[1]January - 2023'!ER29</f>
        <v>2509000</v>
      </c>
      <c r="EN29" s="209">
        <f>'[1]January - 2023'!ES29</f>
        <v>300</v>
      </c>
      <c r="EO29" s="86">
        <f>'[1]January - 2023'!ET29</f>
        <v>1301440</v>
      </c>
      <c r="EP29" s="209">
        <f>'[1]January - 2023'!EU29</f>
        <v>390</v>
      </c>
      <c r="EQ29" s="86">
        <f>'[1]January - 2023'!EV29</f>
        <v>16722700</v>
      </c>
      <c r="ER29" s="209">
        <f>'[1]January - 2023'!EW29</f>
        <v>1900</v>
      </c>
      <c r="ES29" s="395"/>
      <c r="ET29" s="256">
        <f>'[1]January - 2023'!EY29</f>
        <v>42796</v>
      </c>
      <c r="EU29" s="253">
        <f>'[1]January - 2023'!EZ29</f>
        <v>19</v>
      </c>
      <c r="EV29" s="257">
        <f>'[1]January - 2023'!FA29</f>
        <v>37349</v>
      </c>
      <c r="EW29" s="253">
        <f>'[1]January - 2023'!FB29</f>
        <v>11</v>
      </c>
      <c r="EX29" s="257">
        <f>'[1]January - 2023'!FC29</f>
        <v>7953</v>
      </c>
      <c r="EY29" s="253">
        <f>'[1]January - 2023'!FD29</f>
        <v>12</v>
      </c>
      <c r="EZ29" s="257">
        <f>'[1]January - 2023'!FE29</f>
        <v>59887</v>
      </c>
      <c r="FA29" s="253">
        <f>'[1]January - 2023'!FF29</f>
        <v>13</v>
      </c>
      <c r="FB29" s="257">
        <f>'[1]January - 2023'!FG29</f>
        <v>50975</v>
      </c>
      <c r="FC29" s="254">
        <f>'[1]January - 2023'!FH29</f>
        <v>37</v>
      </c>
    </row>
    <row r="30" spans="1:159" ht="30" customHeight="1" x14ac:dyDescent="0.25">
      <c r="A30" s="187">
        <v>44947</v>
      </c>
      <c r="B30" s="189">
        <f>'[1]January - 2023'!B30</f>
        <v>0.65</v>
      </c>
      <c r="C30" s="229">
        <f>'[1]January - 2023'!E30</f>
        <v>237669</v>
      </c>
      <c r="D30" s="152">
        <f>'[1]January - 2023'!F30</f>
        <v>585</v>
      </c>
      <c r="E30" s="150">
        <f>'[1]January - 2023'!G30</f>
        <v>525</v>
      </c>
      <c r="F30" s="150">
        <f>'[1]January - 2023'!H30</f>
        <v>261253</v>
      </c>
      <c r="G30" s="152">
        <f>'[1]January - 2023'!I30</f>
        <v>448</v>
      </c>
      <c r="H30" s="150">
        <f>'[1]January - 2023'!J30</f>
        <v>419</v>
      </c>
      <c r="I30" s="150">
        <f>'[1]January - 2023'!K30</f>
        <v>14162</v>
      </c>
      <c r="J30" s="152">
        <f>'[1]January - 2023'!L30</f>
        <v>234</v>
      </c>
      <c r="K30" s="150">
        <f>'[1]January - 2023'!N30</f>
        <v>928235</v>
      </c>
      <c r="L30" s="152">
        <f>'[1]January - 2023'!O30</f>
        <v>220</v>
      </c>
      <c r="M30" s="150">
        <f>'[1]January - 2023'!Q30</f>
        <v>245635</v>
      </c>
      <c r="N30" s="152">
        <f>'[1]January - 2023'!R30</f>
        <v>0</v>
      </c>
      <c r="O30" s="150">
        <f>'[1]January - 2023'!U30</f>
        <v>119722</v>
      </c>
      <c r="P30" s="152">
        <f>'[1]January - 2023'!V30</f>
        <v>71</v>
      </c>
      <c r="Q30" s="150">
        <f>'[1]January - 2023'!W30</f>
        <v>56.980000000003201</v>
      </c>
      <c r="R30" s="150">
        <f>'[1]January - 2023'!X30</f>
        <v>6667</v>
      </c>
      <c r="S30" s="188">
        <f>'[1]January - 2023'!Y30</f>
        <v>12</v>
      </c>
      <c r="T30" s="490"/>
      <c r="U30" s="151">
        <f>'[1]January - 2023'!AE30</f>
        <v>8253168</v>
      </c>
      <c r="V30" s="218">
        <f>'[1]January - 2023'!AF30</f>
        <v>3215.519999999553</v>
      </c>
      <c r="W30" s="88">
        <f>'[1]January - 2023'!AF30</f>
        <v>3215.519999999553</v>
      </c>
      <c r="X30" s="233">
        <f>'[1]January - 2023'!AH30</f>
        <v>15673175.280000001</v>
      </c>
      <c r="Y30" s="218">
        <f>'[1]January - 2023'!AI30</f>
        <v>3897.6000000014901</v>
      </c>
      <c r="Z30" s="88">
        <f>'[1]January - 2023'!AI30</f>
        <v>3897.6000000014901</v>
      </c>
      <c r="AA30" s="233">
        <f>'[1]January - 2023'!AK30</f>
        <v>15900259.199999999</v>
      </c>
      <c r="AB30" s="218">
        <f>'[1]January - 2023'!AL30</f>
        <v>7259.2800000011921</v>
      </c>
      <c r="AC30" s="88">
        <f>'[1]January - 2023'!AL30</f>
        <v>7259.2800000011921</v>
      </c>
      <c r="AD30" s="233">
        <f>'[1]January - 2023'!AN30</f>
        <v>19028424.239999998</v>
      </c>
      <c r="AE30" s="218">
        <f>'[1]January - 2023'!AO30</f>
        <v>194.87999999895692</v>
      </c>
      <c r="AF30" s="88">
        <f>'[1]January - 2023'!AO30</f>
        <v>194.87999999895692</v>
      </c>
      <c r="AG30" s="233">
        <f>'[1]January - 2023'!AQ30</f>
        <v>19284740.16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17807452.32</v>
      </c>
      <c r="AK30" s="218">
        <f>'[1]January - 2023'!AU30</f>
        <v>5359.2000000029802</v>
      </c>
      <c r="AL30" s="88">
        <f>'[1]January - 2023'!AU30</f>
        <v>5359.2000000029802</v>
      </c>
      <c r="AM30" s="233">
        <f>'[1]January - 2023'!AW30</f>
        <v>14971558.559999999</v>
      </c>
      <c r="AN30" s="218">
        <f>'[1]January - 2023'!AX30</f>
        <v>4189.9199999980628</v>
      </c>
      <c r="AO30" s="88">
        <f>'[1]January - 2023'!AX30</f>
        <v>4189.9199999980628</v>
      </c>
      <c r="AP30" s="233">
        <f>'[1]January - 2023'!AZ30</f>
        <v>14509449.359999999</v>
      </c>
      <c r="AQ30" s="218">
        <f>'[1]January - 2023'!BA30</f>
        <v>4336.0799999982119</v>
      </c>
      <c r="AR30" s="88">
        <f>'[1]January - 2023'!BA30</f>
        <v>4336.0799999982119</v>
      </c>
      <c r="AS30" s="233">
        <f>'[1]January - 2023'!BC30</f>
        <v>11312150.640000001</v>
      </c>
      <c r="AT30" s="218">
        <f>'[1]January - 2023'!BD30</f>
        <v>2923.2000000011176</v>
      </c>
      <c r="AU30" s="88">
        <f>'[1]January - 2023'!BD30</f>
        <v>2923.2000000011176</v>
      </c>
      <c r="AV30" s="233">
        <f>'[1]January - 2023'!BF30</f>
        <v>17949081.359999999</v>
      </c>
      <c r="AW30" s="230">
        <f>'[1]January - 2023'!BG30</f>
        <v>5407.9200000017881</v>
      </c>
      <c r="AX30" s="231">
        <f>'[1]January - 2023'!BG30</f>
        <v>5407.9200000017881</v>
      </c>
      <c r="AY30" s="456"/>
      <c r="AZ30" s="250">
        <f>'[1]January - 2023'!BM30</f>
        <v>78550800</v>
      </c>
      <c r="BA30" s="161">
        <f>'[1]January - 2023'!BN30</f>
        <v>34400</v>
      </c>
      <c r="BB30" s="89">
        <f>'[1]January - 2023'!BN30</f>
        <v>34400</v>
      </c>
      <c r="BC30" s="250">
        <f>'[1]January - 2023'!BP30</f>
        <v>81454700</v>
      </c>
      <c r="BD30" s="224">
        <f>'[1]January - 2023'!BQ30</f>
        <v>2400</v>
      </c>
      <c r="BE30" s="89">
        <f>'[1]January - 2023'!BQ30</f>
        <v>2400</v>
      </c>
      <c r="BF30" s="250">
        <f>'[1]January - 2023'!BS30</f>
        <v>75325600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10528410</v>
      </c>
      <c r="BT30" s="166">
        <f>'[1]January - 2023'!BW30</f>
        <v>6880</v>
      </c>
      <c r="BU30" s="363"/>
      <c r="BV30" s="84">
        <f>'[1]January - 2023'!BY30</f>
        <v>0.57999999999999996</v>
      </c>
      <c r="BW30" s="220">
        <f>'[1]January - 2023'!BZ30</f>
        <v>-9.9999999999999978E-2</v>
      </c>
      <c r="BX30" s="84">
        <f>'[1]January - 2023'!BZ30</f>
        <v>-9.9999999999999978E-2</v>
      </c>
      <c r="BY30" s="85">
        <f>'[1]January - 2023'!CB30</f>
        <v>65176</v>
      </c>
      <c r="BZ30" s="172">
        <f>'[1]January - 2023'!CC30</f>
        <v>18</v>
      </c>
      <c r="CA30" s="85">
        <f>'[1]January - 2023'!CD30</f>
        <v>56256</v>
      </c>
      <c r="CB30" s="172">
        <f>'[1]January - 2023'!CE30</f>
        <v>19</v>
      </c>
      <c r="CC30" s="85">
        <f>'[1]January - 2023'!CF30</f>
        <v>18999</v>
      </c>
      <c r="CD30" s="172">
        <f>'[1]January - 2023'!CG30</f>
        <v>0</v>
      </c>
      <c r="CE30" s="85">
        <f>'[1]January - 2023'!CH30</f>
        <v>26028</v>
      </c>
      <c r="CF30" s="172">
        <f>'[1]January - 2023'!CI30</f>
        <v>9</v>
      </c>
      <c r="CG30" s="85">
        <f>'[1]January - 2023'!CJ30</f>
        <v>29113</v>
      </c>
      <c r="CH30" s="172">
        <f>'[1]January - 2023'!CK30</f>
        <v>16</v>
      </c>
      <c r="CI30" s="85">
        <f>'[1]January - 2023'!CL30</f>
        <v>64028</v>
      </c>
      <c r="CJ30" s="172">
        <f>'[1]January - 2023'!CM30</f>
        <v>34</v>
      </c>
      <c r="CK30" s="85">
        <f>'[1]January - 2023'!CN30</f>
        <v>271270</v>
      </c>
      <c r="CL30" s="225">
        <f>'[1]January - 2023'!CO30</f>
        <v>77</v>
      </c>
      <c r="CM30" s="85">
        <f>'[1]January - 2023'!CO30</f>
        <v>77</v>
      </c>
      <c r="CN30" s="85">
        <f>'[1]January - 2023'!CQ30</f>
        <v>219896</v>
      </c>
      <c r="CO30" s="225">
        <f>'[1]January - 2023'!CR30</f>
        <v>93</v>
      </c>
      <c r="CP30" s="85">
        <f>'[1]January - 2023'!CR30</f>
        <v>93</v>
      </c>
      <c r="CQ30" s="85">
        <f>'[1]January - 2023'!CT30</f>
        <v>366684</v>
      </c>
      <c r="CR30" s="225">
        <f>'[1]January - 2023'!CU30</f>
        <v>300</v>
      </c>
      <c r="CS30" s="85">
        <f>'[1]January - 2023'!CU30</f>
        <v>300</v>
      </c>
      <c r="CT30" s="85">
        <f>'[1]January - 2023'!CW30</f>
        <v>702174</v>
      </c>
      <c r="CU30" s="172">
        <f>'[1]January - 2023'!CX30</f>
        <v>159</v>
      </c>
      <c r="CV30" s="423"/>
      <c r="CW30" s="234">
        <f>'[1]January - 2023'!CZ30</f>
        <v>9244</v>
      </c>
      <c r="CX30" s="179">
        <f>'[1]January - 2023'!DA30</f>
        <v>9</v>
      </c>
      <c r="CY30" s="235">
        <f>'[1]January - 2023'!DB30</f>
        <v>6270</v>
      </c>
      <c r="CZ30" s="179">
        <f>'[1]January - 2023'!DC30</f>
        <v>6</v>
      </c>
      <c r="DA30" s="235">
        <f>'[1]January - 2023'!DD30</f>
        <v>32832</v>
      </c>
      <c r="DB30" s="179">
        <f>'[1]January - 2023'!DE30</f>
        <v>15</v>
      </c>
      <c r="DC30" s="235">
        <f>'[1]January - 2023'!DF30</f>
        <v>32972</v>
      </c>
      <c r="DD30" s="179">
        <f>'[1]January - 2023'!DG30</f>
        <v>12</v>
      </c>
      <c r="DE30" s="235">
        <f>'[1]January - 2023'!DH30</f>
        <v>22319</v>
      </c>
      <c r="DF30" s="179">
        <f>'[1]January - 2023'!DI30</f>
        <v>9</v>
      </c>
      <c r="DG30" s="235">
        <f>'[1]January - 2023'!DJ30</f>
        <v>24307</v>
      </c>
      <c r="DH30" s="179">
        <f>'[1]January - 2023'!DK30</f>
        <v>5</v>
      </c>
      <c r="DI30" s="235">
        <f>'[1]January - 2023'!DL30</f>
        <v>7567</v>
      </c>
      <c r="DJ30" s="179">
        <f>'[1]January - 2023'!DM30</f>
        <v>8</v>
      </c>
      <c r="DK30" s="235">
        <f>'[1]January - 2023'!DN30</f>
        <v>10113</v>
      </c>
      <c r="DL30" s="179">
        <f>'[1]January - 2023'!DO30</f>
        <v>8</v>
      </c>
      <c r="DM30" s="235">
        <f>'[1]January - 2023'!DP30</f>
        <v>3458</v>
      </c>
      <c r="DN30" s="179">
        <f>'[1]January - 2023'!DQ30</f>
        <v>5</v>
      </c>
      <c r="DO30" s="235">
        <f>'[1]January - 2023'!DR30</f>
        <v>6818</v>
      </c>
      <c r="DP30" s="179">
        <f>'[1]January - 2023'!DS30</f>
        <v>5</v>
      </c>
      <c r="DQ30" s="235">
        <f>'[1]January - 2023'!DT30</f>
        <v>30458</v>
      </c>
      <c r="DR30" s="186">
        <f>'[1]January - 2023'!DU30</f>
        <v>0</v>
      </c>
      <c r="DS30" s="408"/>
      <c r="DT30" s="190">
        <f>'[1]January - 2023'!DW30</f>
        <v>6805.6</v>
      </c>
      <c r="DU30" s="201">
        <f>'[1]January - 2023'!DX30</f>
        <v>11</v>
      </c>
      <c r="DV30" s="87">
        <f>'[1]January - 2023'!DY30</f>
        <v>11622.7</v>
      </c>
      <c r="DW30" s="195">
        <f>'[1]January - 2023'!DZ30</f>
        <v>8.1000000000003638</v>
      </c>
      <c r="DX30" s="87">
        <f>'[1]January - 2023'!EA30</f>
        <v>5083.8</v>
      </c>
      <c r="DY30" s="195">
        <f>'[1]January - 2023'!EB30</f>
        <v>5.9000000000005457</v>
      </c>
      <c r="DZ30" s="87">
        <f>'[1]January - 2023'!EC30</f>
        <v>5669.9</v>
      </c>
      <c r="EA30" s="195">
        <f>'[1]January - 2023'!ED30</f>
        <v>7.1999999999998181</v>
      </c>
      <c r="EB30" s="87">
        <f>'[1]January - 2023'!EE30</f>
        <v>1151414</v>
      </c>
      <c r="EC30" s="195">
        <f>'[1]January - 2023'!EF30</f>
        <v>554</v>
      </c>
      <c r="ED30" s="87">
        <f>'[1]January - 2023'!EI30</f>
        <v>237653.9</v>
      </c>
      <c r="EE30" s="208">
        <f>'[1]January - 2023'!EJ30</f>
        <v>150.19999999998254</v>
      </c>
      <c r="EF30" s="347"/>
      <c r="EG30" s="214">
        <f>'[1]January - 2023'!EL30</f>
        <v>12267700</v>
      </c>
      <c r="EH30" s="209">
        <f>'[1]January - 2023'!EM30</f>
        <v>2100</v>
      </c>
      <c r="EI30" s="86">
        <f>'[1]January - 2023'!EN30</f>
        <v>943900</v>
      </c>
      <c r="EJ30" s="209">
        <f>'[1]January - 2023'!EO30</f>
        <v>200</v>
      </c>
      <c r="EK30" s="86">
        <f>'[1]January - 2023'!EP30</f>
        <v>7287500</v>
      </c>
      <c r="EL30" s="209">
        <f>'[1]January - 2023'!EQ30</f>
        <v>1100</v>
      </c>
      <c r="EM30" s="86">
        <f>'[1]January - 2023'!ER30</f>
        <v>2509400</v>
      </c>
      <c r="EN30" s="209">
        <f>'[1]January - 2023'!ES30</f>
        <v>400</v>
      </c>
      <c r="EO30" s="86">
        <f>'[1]January - 2023'!ET30</f>
        <v>1301950</v>
      </c>
      <c r="EP30" s="209">
        <f>'[1]January - 2023'!EU30</f>
        <v>510</v>
      </c>
      <c r="EQ30" s="86">
        <f>'[1]January - 2023'!EV30</f>
        <v>16724200</v>
      </c>
      <c r="ER30" s="209">
        <f>'[1]January - 2023'!EW30</f>
        <v>1500</v>
      </c>
      <c r="ES30" s="395"/>
      <c r="ET30" s="256">
        <f>'[1]January - 2023'!EY30</f>
        <v>42811</v>
      </c>
      <c r="EU30" s="253">
        <f>'[1]January - 2023'!EZ30</f>
        <v>15</v>
      </c>
      <c r="EV30" s="257">
        <f>'[1]January - 2023'!FA30</f>
        <v>37363</v>
      </c>
      <c r="EW30" s="253">
        <f>'[1]January - 2023'!FB30</f>
        <v>14</v>
      </c>
      <c r="EX30" s="257">
        <f>'[1]January - 2023'!FC30</f>
        <v>7966</v>
      </c>
      <c r="EY30" s="253">
        <f>'[1]January - 2023'!FD30</f>
        <v>13</v>
      </c>
      <c r="EZ30" s="257">
        <f>'[1]January - 2023'!FE30</f>
        <v>59905</v>
      </c>
      <c r="FA30" s="253">
        <f>'[1]January - 2023'!FF30</f>
        <v>18</v>
      </c>
      <c r="FB30" s="257">
        <f>'[1]January - 2023'!FG30</f>
        <v>51008</v>
      </c>
      <c r="FC30" s="254">
        <f>'[1]January - 2023'!FH30</f>
        <v>33</v>
      </c>
    </row>
    <row r="31" spans="1:159" ht="30" customHeight="1" x14ac:dyDescent="0.25">
      <c r="A31" s="187">
        <v>44948</v>
      </c>
      <c r="B31" s="189">
        <f>'[1]January - 2023'!B31</f>
        <v>0.68</v>
      </c>
      <c r="C31" s="229">
        <f>'[1]January - 2023'!E31</f>
        <v>238182</v>
      </c>
      <c r="D31" s="152">
        <f>'[1]January - 2023'!F31</f>
        <v>513</v>
      </c>
      <c r="E31" s="150">
        <f>'[1]January - 2023'!G31</f>
        <v>687</v>
      </c>
      <c r="F31" s="150">
        <f>'[1]January - 2023'!H31</f>
        <v>261669</v>
      </c>
      <c r="G31" s="152">
        <f>'[1]January - 2023'!I31</f>
        <v>416</v>
      </c>
      <c r="H31" s="150">
        <f>'[1]January - 2023'!J31</f>
        <v>470</v>
      </c>
      <c r="I31" s="150">
        <f>'[1]January - 2023'!K31</f>
        <v>14394</v>
      </c>
      <c r="J31" s="152">
        <f>'[1]January - 2023'!L31</f>
        <v>232</v>
      </c>
      <c r="K31" s="150">
        <f>'[1]January - 2023'!N31</f>
        <v>928485</v>
      </c>
      <c r="L31" s="152">
        <f>'[1]January - 2023'!O31</f>
        <v>250</v>
      </c>
      <c r="M31" s="150">
        <f>'[1]January - 2023'!Q31</f>
        <v>245635</v>
      </c>
      <c r="N31" s="152">
        <f>'[1]January - 2023'!R31</f>
        <v>0</v>
      </c>
      <c r="O31" s="150">
        <f>'[1]January - 2023'!U31</f>
        <v>119788</v>
      </c>
      <c r="P31" s="152">
        <f>'[1]January - 2023'!V31</f>
        <v>66</v>
      </c>
      <c r="Q31" s="150">
        <f>'[1]January - 2023'!W31</f>
        <v>52.430000000000291</v>
      </c>
      <c r="R31" s="150">
        <f>'[1]January - 2023'!X31</f>
        <v>6676</v>
      </c>
      <c r="S31" s="188">
        <f>'[1]January - 2023'!Y31</f>
        <v>9</v>
      </c>
      <c r="T31" s="490"/>
      <c r="U31" s="151">
        <f>'[1]January - 2023'!AE31</f>
        <v>8256627.1199999992</v>
      </c>
      <c r="V31" s="218">
        <f>'[1]January - 2023'!AF31</f>
        <v>3459.1199999991804</v>
      </c>
      <c r="W31" s="88">
        <f>'[1]January - 2023'!AF31</f>
        <v>3459.1199999991804</v>
      </c>
      <c r="X31" s="233">
        <f>'[1]January - 2023'!AH31</f>
        <v>15677998.559999999</v>
      </c>
      <c r="Y31" s="218">
        <f>'[1]January - 2023'!AI31</f>
        <v>4823.2799999974668</v>
      </c>
      <c r="Z31" s="88">
        <f>'[1]January - 2023'!AI31</f>
        <v>4823.2799999974668</v>
      </c>
      <c r="AA31" s="233">
        <f>'[1]January - 2023'!AK31</f>
        <v>15907713.359999999</v>
      </c>
      <c r="AB31" s="218">
        <f>'[1]January - 2023'!AL31</f>
        <v>7454.160000000149</v>
      </c>
      <c r="AC31" s="88">
        <f>'[1]January - 2023'!AL31</f>
        <v>7454.160000000149</v>
      </c>
      <c r="AD31" s="233">
        <f>'[1]January - 2023'!AN31</f>
        <v>19028472.960000001</v>
      </c>
      <c r="AE31" s="218">
        <f>'[1]January - 2023'!AO31</f>
        <v>48.720000002533197</v>
      </c>
      <c r="AF31" s="88">
        <f>'[1]January - 2023'!AO31</f>
        <v>48.720000002533197</v>
      </c>
      <c r="AG31" s="233">
        <f>'[1]January - 2023'!AQ31</f>
        <v>19284740.16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17813444.879999999</v>
      </c>
      <c r="AK31" s="218">
        <f>'[1]January - 2023'!AU31</f>
        <v>5992.5599999986589</v>
      </c>
      <c r="AL31" s="88">
        <f>'[1]January - 2023'!AU31</f>
        <v>5992.5599999986589</v>
      </c>
      <c r="AM31" s="233">
        <f>'[1]January - 2023'!AW31</f>
        <v>14975699.76</v>
      </c>
      <c r="AN31" s="218">
        <f>'[1]January - 2023'!AX31</f>
        <v>4141.2000000011176</v>
      </c>
      <c r="AO31" s="88">
        <f>'[1]January - 2023'!AX31</f>
        <v>4141.2000000011176</v>
      </c>
      <c r="AP31" s="233">
        <f>'[1]January - 2023'!AZ31</f>
        <v>14514077.76</v>
      </c>
      <c r="AQ31" s="218">
        <f>'[1]January - 2023'!BA31</f>
        <v>4628.4000000003725</v>
      </c>
      <c r="AR31" s="88">
        <f>'[1]January - 2023'!BA31</f>
        <v>4628.4000000003725</v>
      </c>
      <c r="AS31" s="233">
        <f>'[1]January - 2023'!BC31</f>
        <v>11315414.880000001</v>
      </c>
      <c r="AT31" s="218">
        <f>'[1]January - 2023'!BD31</f>
        <v>3264.2400000002235</v>
      </c>
      <c r="AU31" s="88">
        <f>'[1]January - 2023'!BD31</f>
        <v>3264.2400000002235</v>
      </c>
      <c r="AV31" s="233">
        <f>'[1]January - 2023'!BF31</f>
        <v>17954879.039999999</v>
      </c>
      <c r="AW31" s="230">
        <f>'[1]January - 2023'!BG31</f>
        <v>5797.679999999702</v>
      </c>
      <c r="AX31" s="231">
        <f>'[1]January - 2023'!BG31</f>
        <v>5797.679999999702</v>
      </c>
      <c r="AY31" s="456"/>
      <c r="AZ31" s="250">
        <f>'[1]January - 2023'!BM31</f>
        <v>78585000</v>
      </c>
      <c r="BA31" s="161">
        <f>'[1]January - 2023'!BN31</f>
        <v>34200</v>
      </c>
      <c r="BB31" s="89">
        <f>'[1]January - 2023'!BN31</f>
        <v>34200</v>
      </c>
      <c r="BC31" s="250">
        <f>'[1]January - 2023'!BP31</f>
        <v>81454700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75325600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10534990</v>
      </c>
      <c r="BT31" s="166">
        <f>'[1]January - 2023'!BW31</f>
        <v>6580</v>
      </c>
      <c r="BU31" s="363"/>
      <c r="BV31" s="84">
        <f>'[1]January - 2023'!BY31</f>
        <v>0.76</v>
      </c>
      <c r="BW31" s="220">
        <f>'[1]January - 2023'!BZ31</f>
        <v>-0.18000000000000005</v>
      </c>
      <c r="BX31" s="84">
        <f>'[1]January - 2023'!BZ31</f>
        <v>-0.18000000000000005</v>
      </c>
      <c r="BY31" s="85">
        <f>'[1]January - 2023'!CB31</f>
        <v>65193</v>
      </c>
      <c r="BZ31" s="172">
        <f>'[1]January - 2023'!CC31</f>
        <v>17</v>
      </c>
      <c r="CA31" s="85">
        <f>'[1]January - 2023'!CD31</f>
        <v>56276</v>
      </c>
      <c r="CB31" s="172">
        <f>'[1]January - 2023'!CE31</f>
        <v>20</v>
      </c>
      <c r="CC31" s="85">
        <f>'[1]January - 2023'!CF31</f>
        <v>19003</v>
      </c>
      <c r="CD31" s="172">
        <f>'[1]January - 2023'!CG31</f>
        <v>4</v>
      </c>
      <c r="CE31" s="85">
        <f>'[1]January - 2023'!CH31</f>
        <v>26037</v>
      </c>
      <c r="CF31" s="172">
        <f>'[1]January - 2023'!CI31</f>
        <v>9</v>
      </c>
      <c r="CG31" s="85">
        <f>'[1]January - 2023'!CJ31</f>
        <v>29126</v>
      </c>
      <c r="CH31" s="172">
        <f>'[1]January - 2023'!CK31</f>
        <v>13</v>
      </c>
      <c r="CI31" s="85">
        <f>'[1]January - 2023'!CL31</f>
        <v>64062</v>
      </c>
      <c r="CJ31" s="172">
        <f>'[1]January - 2023'!CM31</f>
        <v>34</v>
      </c>
      <c r="CK31" s="85">
        <f>'[1]January - 2023'!CN31</f>
        <v>271354</v>
      </c>
      <c r="CL31" s="225">
        <f>'[1]January - 2023'!CO31</f>
        <v>84</v>
      </c>
      <c r="CM31" s="85">
        <f>'[1]January - 2023'!CO31</f>
        <v>84</v>
      </c>
      <c r="CN31" s="85">
        <f>'[1]January - 2023'!CQ31</f>
        <v>220017</v>
      </c>
      <c r="CO31" s="225">
        <f>'[1]January - 2023'!CR31</f>
        <v>121</v>
      </c>
      <c r="CP31" s="85">
        <f>'[1]January - 2023'!CR31</f>
        <v>121</v>
      </c>
      <c r="CQ31" s="85">
        <f>'[1]January - 2023'!CT31</f>
        <v>367009</v>
      </c>
      <c r="CR31" s="225">
        <f>'[1]January - 2023'!CU31</f>
        <v>325</v>
      </c>
      <c r="CS31" s="85">
        <f>'[1]January - 2023'!CU31</f>
        <v>325</v>
      </c>
      <c r="CT31" s="85">
        <f>'[1]January - 2023'!CW31</f>
        <v>702348</v>
      </c>
      <c r="CU31" s="172">
        <f>'[1]January - 2023'!CX31</f>
        <v>174</v>
      </c>
      <c r="CV31" s="423"/>
      <c r="CW31" s="234">
        <f>'[1]January - 2023'!CZ31</f>
        <v>9249</v>
      </c>
      <c r="CX31" s="179">
        <f>'[1]January - 2023'!DA31</f>
        <v>5</v>
      </c>
      <c r="CY31" s="235">
        <f>'[1]January - 2023'!DB31</f>
        <v>6273</v>
      </c>
      <c r="CZ31" s="179">
        <f>'[1]January - 2023'!DC31</f>
        <v>3</v>
      </c>
      <c r="DA31" s="235">
        <f>'[1]January - 2023'!DD31</f>
        <v>32853</v>
      </c>
      <c r="DB31" s="179">
        <f>'[1]January - 2023'!DE31</f>
        <v>21</v>
      </c>
      <c r="DC31" s="235">
        <f>'[1]January - 2023'!DF31</f>
        <v>32993</v>
      </c>
      <c r="DD31" s="179">
        <f>'[1]January - 2023'!DG31</f>
        <v>21</v>
      </c>
      <c r="DE31" s="235">
        <f>'[1]January - 2023'!DH31</f>
        <v>22328</v>
      </c>
      <c r="DF31" s="179">
        <f>'[1]January - 2023'!DI31</f>
        <v>9</v>
      </c>
      <c r="DG31" s="235">
        <f>'[1]January - 2023'!DJ31</f>
        <v>24310</v>
      </c>
      <c r="DH31" s="179">
        <f>'[1]January - 2023'!DK31</f>
        <v>3</v>
      </c>
      <c r="DI31" s="235">
        <f>'[1]January - 2023'!DL31</f>
        <v>7587</v>
      </c>
      <c r="DJ31" s="179">
        <f>'[1]January - 2023'!DM31</f>
        <v>20</v>
      </c>
      <c r="DK31" s="235">
        <f>'[1]January - 2023'!DN31</f>
        <v>10124</v>
      </c>
      <c r="DL31" s="179">
        <f>'[1]January - 2023'!DO31</f>
        <v>11</v>
      </c>
      <c r="DM31" s="235">
        <f>'[1]January - 2023'!DP31</f>
        <v>3465</v>
      </c>
      <c r="DN31" s="179">
        <f>'[1]January - 2023'!DQ31</f>
        <v>7</v>
      </c>
      <c r="DO31" s="235">
        <f>'[1]January - 2023'!DR31</f>
        <v>6832</v>
      </c>
      <c r="DP31" s="179">
        <f>'[1]January - 2023'!DS31</f>
        <v>14</v>
      </c>
      <c r="DQ31" s="235">
        <f>'[1]January - 2023'!DT31</f>
        <v>30473</v>
      </c>
      <c r="DR31" s="186">
        <f>'[1]January - 2023'!DU31</f>
        <v>15</v>
      </c>
      <c r="DS31" s="408"/>
      <c r="DT31" s="190">
        <f>'[1]January - 2023'!DW31</f>
        <v>6817.2</v>
      </c>
      <c r="DU31" s="201">
        <f>'[1]January - 2023'!DX31</f>
        <v>11.599999999999454</v>
      </c>
      <c r="DV31" s="87">
        <f>'[1]January - 2023'!DY31</f>
        <v>11631.2</v>
      </c>
      <c r="DW31" s="195">
        <f>'[1]January - 2023'!DZ31</f>
        <v>8.5</v>
      </c>
      <c r="DX31" s="87">
        <f>'[1]January - 2023'!EA31</f>
        <v>5090.1000000000004</v>
      </c>
      <c r="DY31" s="195">
        <f>'[1]January - 2023'!EB31</f>
        <v>6.3000000000001819</v>
      </c>
      <c r="DZ31" s="87">
        <f>'[1]January - 2023'!EC31</f>
        <v>5676.6</v>
      </c>
      <c r="EA31" s="195">
        <f>'[1]January - 2023'!ED31</f>
        <v>6.7000000000007276</v>
      </c>
      <c r="EB31" s="87">
        <f>'[1]January - 2023'!EE31</f>
        <v>1151950</v>
      </c>
      <c r="EC31" s="195">
        <f>'[1]January - 2023'!EF31</f>
        <v>536</v>
      </c>
      <c r="ED31" s="87">
        <f>'[1]January - 2023'!EI31</f>
        <v>237812.9</v>
      </c>
      <c r="EE31" s="208">
        <f>'[1]January - 2023'!EJ31</f>
        <v>159</v>
      </c>
      <c r="EF31" s="347"/>
      <c r="EG31" s="214">
        <f>'[1]January - 2023'!EL31</f>
        <v>12270200</v>
      </c>
      <c r="EH31" s="209">
        <f>'[1]January - 2023'!EM31</f>
        <v>2500</v>
      </c>
      <c r="EI31" s="86">
        <f>'[1]January - 2023'!EN31</f>
        <v>944120</v>
      </c>
      <c r="EJ31" s="209">
        <f>'[1]January - 2023'!EO31</f>
        <v>220</v>
      </c>
      <c r="EK31" s="86">
        <f>'[1]January - 2023'!EP31</f>
        <v>7288700</v>
      </c>
      <c r="EL31" s="209">
        <f>'[1]January - 2023'!EQ31</f>
        <v>1200</v>
      </c>
      <c r="EM31" s="86">
        <f>'[1]January - 2023'!ER31</f>
        <v>2509600</v>
      </c>
      <c r="EN31" s="209">
        <f>'[1]January - 2023'!ES31</f>
        <v>200</v>
      </c>
      <c r="EO31" s="86">
        <f>'[1]January - 2023'!ET31</f>
        <v>1302650</v>
      </c>
      <c r="EP31" s="209">
        <f>'[1]January - 2023'!EU31</f>
        <v>700</v>
      </c>
      <c r="EQ31" s="86">
        <f>'[1]January - 2023'!EV31</f>
        <v>16724600</v>
      </c>
      <c r="ER31" s="209">
        <f>'[1]January - 2023'!EW31</f>
        <v>400</v>
      </c>
      <c r="ES31" s="395"/>
      <c r="ET31" s="256">
        <f>'[1]January - 2023'!EY31</f>
        <v>42825</v>
      </c>
      <c r="EU31" s="253">
        <f>'[1]January - 2023'!EZ31</f>
        <v>14</v>
      </c>
      <c r="EV31" s="257">
        <f>'[1]January - 2023'!FA31</f>
        <v>37373</v>
      </c>
      <c r="EW31" s="253">
        <f>'[1]January - 2023'!FB31</f>
        <v>10</v>
      </c>
      <c r="EX31" s="257">
        <f>'[1]January - 2023'!FC31</f>
        <v>7977</v>
      </c>
      <c r="EY31" s="253">
        <f>'[1]January - 2023'!FD31</f>
        <v>11</v>
      </c>
      <c r="EZ31" s="257">
        <f>'[1]January - 2023'!FE31</f>
        <v>59917</v>
      </c>
      <c r="FA31" s="253">
        <f>'[1]January - 2023'!FF31</f>
        <v>12</v>
      </c>
      <c r="FB31" s="257">
        <f>'[1]January - 2023'!FG31</f>
        <v>51038</v>
      </c>
      <c r="FC31" s="254">
        <f>'[1]January - 2023'!FH31</f>
        <v>30</v>
      </c>
    </row>
    <row r="32" spans="1:159" ht="30" customHeight="1" x14ac:dyDescent="0.25">
      <c r="A32" s="187">
        <v>44949</v>
      </c>
      <c r="B32" s="189">
        <f>'[1]January - 2023'!B32</f>
        <v>0.69</v>
      </c>
      <c r="C32" s="229">
        <f>'[1]January - 2023'!E32</f>
        <v>238767</v>
      </c>
      <c r="D32" s="152">
        <f>'[1]January - 2023'!F32</f>
        <v>585</v>
      </c>
      <c r="E32" s="150">
        <f>'[1]January - 2023'!G32</f>
        <v>443</v>
      </c>
      <c r="F32" s="150">
        <f>'[1]January - 2023'!H32</f>
        <v>262087</v>
      </c>
      <c r="G32" s="152">
        <f>'[1]January - 2023'!I32</f>
        <v>418</v>
      </c>
      <c r="H32" s="150">
        <f>'[1]January - 2023'!J32</f>
        <v>318</v>
      </c>
      <c r="I32" s="150">
        <f>'[1]January - 2023'!K32</f>
        <v>14613</v>
      </c>
      <c r="J32" s="152">
        <f>'[1]January - 2023'!L32</f>
        <v>219</v>
      </c>
      <c r="K32" s="150">
        <f>'[1]January - 2023'!N32</f>
        <v>928771</v>
      </c>
      <c r="L32" s="152">
        <f>'[1]January - 2023'!O32</f>
        <v>286</v>
      </c>
      <c r="M32" s="150">
        <f>'[1]January - 2023'!Q32</f>
        <v>245696</v>
      </c>
      <c r="N32" s="152">
        <f>'[1]January - 2023'!R32</f>
        <v>61</v>
      </c>
      <c r="O32" s="150">
        <f>'[1]January - 2023'!U32</f>
        <v>119848</v>
      </c>
      <c r="P32" s="152">
        <f>'[1]January - 2023'!V32</f>
        <v>60</v>
      </c>
      <c r="Q32" s="150">
        <f>'[1]January - 2023'!W32</f>
        <v>58.549999999995634</v>
      </c>
      <c r="R32" s="150">
        <f>'[1]January - 2023'!X32</f>
        <v>6681</v>
      </c>
      <c r="S32" s="188">
        <f>'[1]January - 2023'!Y32</f>
        <v>5</v>
      </c>
      <c r="T32" s="490"/>
      <c r="U32" s="151">
        <f>'[1]January - 2023'!AE32</f>
        <v>8259599.04</v>
      </c>
      <c r="V32" s="218">
        <f>'[1]January - 2023'!AF32</f>
        <v>2971.9200000008568</v>
      </c>
      <c r="W32" s="88">
        <f>'[1]January - 2023'!AF32</f>
        <v>2971.9200000008568</v>
      </c>
      <c r="X32" s="233">
        <f>'[1]January - 2023'!AH32</f>
        <v>15682383.359999999</v>
      </c>
      <c r="Y32" s="218">
        <f>'[1]January - 2023'!AI32</f>
        <v>4384.8000000007451</v>
      </c>
      <c r="Z32" s="88">
        <f>'[1]January - 2023'!AI32</f>
        <v>4384.8000000007451</v>
      </c>
      <c r="AA32" s="233">
        <f>'[1]January - 2023'!AK32</f>
        <v>15909564.719999999</v>
      </c>
      <c r="AB32" s="218">
        <f>'[1]January - 2023'!AL32</f>
        <v>1851.359999999404</v>
      </c>
      <c r="AC32" s="88">
        <f>'[1]January - 2023'!AL32</f>
        <v>1851.359999999404</v>
      </c>
      <c r="AD32" s="233">
        <f>'[1]January - 2023'!AN32</f>
        <v>19032906.48</v>
      </c>
      <c r="AE32" s="218">
        <f>'[1]January - 2023'!AO32</f>
        <v>4433.519999999553</v>
      </c>
      <c r="AF32" s="88">
        <f>'[1]January - 2023'!AO32</f>
        <v>4433.519999999553</v>
      </c>
      <c r="AG32" s="233">
        <f>'[1]January - 2023'!AQ32</f>
        <v>19284788.879999999</v>
      </c>
      <c r="AH32" s="218">
        <f>'[1]January - 2023'!AR32</f>
        <v>48.719999998807907</v>
      </c>
      <c r="AI32" s="88">
        <f>'[1]January - 2023'!AR32</f>
        <v>48.719999998807907</v>
      </c>
      <c r="AJ32" s="233">
        <f>'[1]January - 2023'!AT32</f>
        <v>17818657.919999998</v>
      </c>
      <c r="AK32" s="218">
        <f>'[1]January - 2023'!AU32</f>
        <v>5213.0399999991059</v>
      </c>
      <c r="AL32" s="88">
        <f>'[1]January - 2023'!AU32</f>
        <v>5213.0399999991059</v>
      </c>
      <c r="AM32" s="233">
        <f>'[1]January - 2023'!AW32</f>
        <v>14979548.640000001</v>
      </c>
      <c r="AN32" s="218">
        <f>'[1]January - 2023'!AX32</f>
        <v>3848.8800000008196</v>
      </c>
      <c r="AO32" s="88">
        <f>'[1]January - 2023'!AX32</f>
        <v>3848.8800000008196</v>
      </c>
      <c r="AP32" s="233">
        <f>'[1]January - 2023'!AZ32</f>
        <v>14518365.119999999</v>
      </c>
      <c r="AQ32" s="218">
        <f>'[1]January - 2023'!BA32</f>
        <v>4287.359999999404</v>
      </c>
      <c r="AR32" s="88">
        <f>'[1]January - 2023'!BA32</f>
        <v>4287.359999999404</v>
      </c>
      <c r="AS32" s="233">
        <f>'[1]January - 2023'!BC32</f>
        <v>11318386.799999999</v>
      </c>
      <c r="AT32" s="218">
        <f>'[1]January - 2023'!BD32</f>
        <v>2971.9199999980628</v>
      </c>
      <c r="AU32" s="88">
        <f>'[1]January - 2023'!BD32</f>
        <v>2971.9199999980628</v>
      </c>
      <c r="AV32" s="233">
        <f>'[1]January - 2023'!BF32</f>
        <v>17959897.199999999</v>
      </c>
      <c r="AW32" s="230">
        <f>'[1]January - 2023'!BG32</f>
        <v>5018.160000000149</v>
      </c>
      <c r="AX32" s="231">
        <f>'[1]January - 2023'!BG32</f>
        <v>5018.160000000149</v>
      </c>
      <c r="AY32" s="456"/>
      <c r="AZ32" s="250">
        <f>'[1]January - 2023'!BM32</f>
        <v>78596300</v>
      </c>
      <c r="BA32" s="161">
        <f>'[1]January - 2023'!BN32</f>
        <v>11300</v>
      </c>
      <c r="BB32" s="89">
        <f>'[1]January - 2023'!BN32</f>
        <v>11300</v>
      </c>
      <c r="BC32" s="250">
        <f>'[1]January - 2023'!BP32</f>
        <v>81476100</v>
      </c>
      <c r="BD32" s="224">
        <f>'[1]January - 2023'!BQ32</f>
        <v>21400</v>
      </c>
      <c r="BE32" s="89">
        <f>'[1]January - 2023'!BQ32</f>
        <v>21400</v>
      </c>
      <c r="BF32" s="250">
        <f>'[1]January - 2023'!BS32</f>
        <v>75325600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10541250</v>
      </c>
      <c r="BT32" s="166">
        <f>'[1]January - 2023'!BW32</f>
        <v>6260</v>
      </c>
      <c r="BU32" s="363"/>
      <c r="BV32" s="84">
        <f>'[1]January - 2023'!BY32</f>
        <v>0.67</v>
      </c>
      <c r="BW32" s="220">
        <f>'[1]January - 2023'!BZ32</f>
        <v>8.9999999999999969E-2</v>
      </c>
      <c r="BX32" s="84">
        <f>'[1]January - 2023'!BZ32</f>
        <v>8.9999999999999969E-2</v>
      </c>
      <c r="BY32" s="85">
        <f>'[1]January - 2023'!CB32</f>
        <v>65209</v>
      </c>
      <c r="BZ32" s="172">
        <f>'[1]January - 2023'!CC32</f>
        <v>16</v>
      </c>
      <c r="CA32" s="85">
        <f>'[1]January - 2023'!CD32</f>
        <v>56296</v>
      </c>
      <c r="CB32" s="172">
        <f>'[1]January - 2023'!CE32</f>
        <v>20</v>
      </c>
      <c r="CC32" s="85">
        <f>'[1]January - 2023'!CF32</f>
        <v>19010</v>
      </c>
      <c r="CD32" s="172">
        <f>'[1]January - 2023'!CG32</f>
        <v>7</v>
      </c>
      <c r="CE32" s="85">
        <f>'[1]January - 2023'!CH32</f>
        <v>26045</v>
      </c>
      <c r="CF32" s="172">
        <f>'[1]January - 2023'!CI32</f>
        <v>8</v>
      </c>
      <c r="CG32" s="85">
        <f>'[1]January - 2023'!CJ32</f>
        <v>29143</v>
      </c>
      <c r="CH32" s="172">
        <f>'[1]January - 2023'!CK32</f>
        <v>17</v>
      </c>
      <c r="CI32" s="85">
        <f>'[1]January - 2023'!CL32</f>
        <v>64094</v>
      </c>
      <c r="CJ32" s="172">
        <f>'[1]January - 2023'!CM32</f>
        <v>32</v>
      </c>
      <c r="CK32" s="85">
        <f>'[1]January - 2023'!CN32</f>
        <v>271426</v>
      </c>
      <c r="CL32" s="225">
        <f>'[1]January - 2023'!CO32</f>
        <v>72</v>
      </c>
      <c r="CM32" s="85">
        <f>'[1]January - 2023'!CO32</f>
        <v>72</v>
      </c>
      <c r="CN32" s="85">
        <f>'[1]January - 2023'!CQ32</f>
        <v>220129</v>
      </c>
      <c r="CO32" s="225">
        <f>'[1]January - 2023'!CR32</f>
        <v>112</v>
      </c>
      <c r="CP32" s="85">
        <f>'[1]January - 2023'!CR32</f>
        <v>112</v>
      </c>
      <c r="CQ32" s="85">
        <f>'[1]January - 2023'!CT32</f>
        <v>367288</v>
      </c>
      <c r="CR32" s="225">
        <f>'[1]January - 2023'!CU32</f>
        <v>279</v>
      </c>
      <c r="CS32" s="85">
        <f>'[1]January - 2023'!CU32</f>
        <v>279</v>
      </c>
      <c r="CT32" s="85">
        <f>'[1]January - 2023'!CW32</f>
        <v>702496</v>
      </c>
      <c r="CU32" s="172">
        <f>'[1]January - 2023'!CX32</f>
        <v>148</v>
      </c>
      <c r="CV32" s="423"/>
      <c r="CW32" s="234">
        <f>'[1]January - 2023'!CZ32</f>
        <v>9252</v>
      </c>
      <c r="CX32" s="179">
        <f>'[1]January - 2023'!DA32</f>
        <v>3</v>
      </c>
      <c r="CY32" s="235">
        <f>'[1]January - 2023'!DB32</f>
        <v>6275</v>
      </c>
      <c r="CZ32" s="179">
        <f>'[1]January - 2023'!DC32</f>
        <v>2</v>
      </c>
      <c r="DA32" s="235">
        <f>'[1]January - 2023'!DD32</f>
        <v>32867</v>
      </c>
      <c r="DB32" s="179">
        <f>'[1]January - 2023'!DE32</f>
        <v>14</v>
      </c>
      <c r="DC32" s="235">
        <f>'[1]January - 2023'!DF32</f>
        <v>33007</v>
      </c>
      <c r="DD32" s="179">
        <f>'[1]January - 2023'!DG32</f>
        <v>14</v>
      </c>
      <c r="DE32" s="235">
        <f>'[1]January - 2023'!DH32</f>
        <v>22337</v>
      </c>
      <c r="DF32" s="179">
        <f>'[1]January - 2023'!DI32</f>
        <v>9</v>
      </c>
      <c r="DG32" s="235">
        <f>'[1]January - 2023'!DJ32</f>
        <v>24315</v>
      </c>
      <c r="DH32" s="179">
        <f>'[1]January - 2023'!DK32</f>
        <v>5</v>
      </c>
      <c r="DI32" s="235">
        <f>'[1]January - 2023'!DL32</f>
        <v>7597</v>
      </c>
      <c r="DJ32" s="179">
        <f>'[1]January - 2023'!DM32</f>
        <v>10</v>
      </c>
      <c r="DK32" s="235">
        <f>'[1]January - 2023'!DN32</f>
        <v>10131</v>
      </c>
      <c r="DL32" s="179">
        <f>'[1]January - 2023'!DO32</f>
        <v>7</v>
      </c>
      <c r="DM32" s="235">
        <f>'[1]January - 2023'!DP32</f>
        <v>3470</v>
      </c>
      <c r="DN32" s="179">
        <f>'[1]January - 2023'!DQ32</f>
        <v>5</v>
      </c>
      <c r="DO32" s="235">
        <f>'[1]January - 2023'!DR32</f>
        <v>6838</v>
      </c>
      <c r="DP32" s="179">
        <f>'[1]January - 2023'!DS32</f>
        <v>6</v>
      </c>
      <c r="DQ32" s="235">
        <f>'[1]January - 2023'!DT32</f>
        <v>30483</v>
      </c>
      <c r="DR32" s="186">
        <f>'[1]January - 2023'!DU32</f>
        <v>10</v>
      </c>
      <c r="DS32" s="408"/>
      <c r="DT32" s="190">
        <f>'[1]January - 2023'!DW32</f>
        <v>6827.4</v>
      </c>
      <c r="DU32" s="201">
        <f>'[1]January - 2023'!DX32</f>
        <v>10.199999999999818</v>
      </c>
      <c r="DV32" s="87">
        <f>'[1]January - 2023'!DY32</f>
        <v>11638.5</v>
      </c>
      <c r="DW32" s="195">
        <f>'[1]January - 2023'!DZ32</f>
        <v>7.2999999999992724</v>
      </c>
      <c r="DX32" s="87">
        <f>'[1]January - 2023'!EA32</f>
        <v>5095.5</v>
      </c>
      <c r="DY32" s="195">
        <f>'[1]January - 2023'!EB32</f>
        <v>5.3999999999996362</v>
      </c>
      <c r="DZ32" s="87">
        <f>'[1]January - 2023'!EC32</f>
        <v>5682.7</v>
      </c>
      <c r="EA32" s="195">
        <f>'[1]January - 2023'!ED32</f>
        <v>6.0999999999994543</v>
      </c>
      <c r="EB32" s="87">
        <f>'[1]January - 2023'!EE32</f>
        <v>1152446</v>
      </c>
      <c r="EC32" s="195">
        <f>'[1]January - 2023'!EF32</f>
        <v>496</v>
      </c>
      <c r="ED32" s="87">
        <f>'[1]January - 2023'!EI32</f>
        <v>237955.6</v>
      </c>
      <c r="EE32" s="208">
        <f>'[1]January - 2023'!EJ32</f>
        <v>142.70000000001164</v>
      </c>
      <c r="EF32" s="347"/>
      <c r="EG32" s="214">
        <f>'[1]January - 2023'!EL32</f>
        <v>12271700</v>
      </c>
      <c r="EH32" s="209">
        <f>'[1]January - 2023'!EM32</f>
        <v>1500</v>
      </c>
      <c r="EI32" s="86">
        <f>'[1]January - 2023'!EN32</f>
        <v>944290</v>
      </c>
      <c r="EJ32" s="209">
        <f>'[1]January - 2023'!EO32</f>
        <v>170</v>
      </c>
      <c r="EK32" s="86">
        <f>'[1]January - 2023'!EP32</f>
        <v>7289500</v>
      </c>
      <c r="EL32" s="209">
        <f>'[1]January - 2023'!EQ32</f>
        <v>800</v>
      </c>
      <c r="EM32" s="86">
        <f>'[1]January - 2023'!ER32</f>
        <v>2509700</v>
      </c>
      <c r="EN32" s="209">
        <f>'[1]January - 2023'!ES32</f>
        <v>100</v>
      </c>
      <c r="EO32" s="86">
        <f>'[1]January - 2023'!ET32</f>
        <v>1302970</v>
      </c>
      <c r="EP32" s="209">
        <f>'[1]January - 2023'!EU32</f>
        <v>320</v>
      </c>
      <c r="EQ32" s="86">
        <f>'[1]January - 2023'!EV32</f>
        <v>16724900</v>
      </c>
      <c r="ER32" s="209">
        <f>'[1]January - 2023'!EW32</f>
        <v>300</v>
      </c>
      <c r="ES32" s="395"/>
      <c r="ET32" s="256">
        <f>'[1]January - 2023'!EY32</f>
        <v>42841</v>
      </c>
      <c r="EU32" s="253">
        <f>'[1]January - 2023'!EZ32</f>
        <v>16</v>
      </c>
      <c r="EV32" s="257">
        <f>'[1]January - 2023'!FA32</f>
        <v>37384</v>
      </c>
      <c r="EW32" s="253">
        <f>'[1]January - 2023'!FB32</f>
        <v>11</v>
      </c>
      <c r="EX32" s="257">
        <f>'[1]January - 2023'!FC32</f>
        <v>7986</v>
      </c>
      <c r="EY32" s="253">
        <f>'[1]January - 2023'!FD32</f>
        <v>9</v>
      </c>
      <c r="EZ32" s="257">
        <f>'[1]January - 2023'!FE32</f>
        <v>59929</v>
      </c>
      <c r="FA32" s="253">
        <f>'[1]January - 2023'!FF32</f>
        <v>12</v>
      </c>
      <c r="FB32" s="257">
        <f>'[1]January - 2023'!FG32</f>
        <v>51069</v>
      </c>
      <c r="FC32" s="254">
        <f>'[1]January - 2023'!FH32</f>
        <v>31</v>
      </c>
    </row>
    <row r="33" spans="1:160" ht="30" customHeight="1" x14ac:dyDescent="0.25">
      <c r="A33" s="187">
        <v>44950</v>
      </c>
      <c r="B33" s="189">
        <f>'[1]January - 2023'!B33</f>
        <v>0.69</v>
      </c>
      <c r="C33" s="229">
        <f>'[1]January - 2023'!E33</f>
        <v>239298</v>
      </c>
      <c r="D33" s="152">
        <f>'[1]January - 2023'!F33</f>
        <v>531</v>
      </c>
      <c r="E33" s="150">
        <f>'[1]January - 2023'!G33</f>
        <v>662</v>
      </c>
      <c r="F33" s="150">
        <f>'[1]January - 2023'!H33</f>
        <v>262453</v>
      </c>
      <c r="G33" s="152">
        <f>'[1]January - 2023'!I33</f>
        <v>366</v>
      </c>
      <c r="H33" s="150">
        <f>'[1]January - 2023'!J33</f>
        <v>349</v>
      </c>
      <c r="I33" s="150">
        <f>'[1]January - 2023'!K33</f>
        <v>14829</v>
      </c>
      <c r="J33" s="152">
        <f>'[1]January - 2023'!L33</f>
        <v>216</v>
      </c>
      <c r="K33" s="150">
        <f>'[1]January - 2023'!N33</f>
        <v>929011</v>
      </c>
      <c r="L33" s="152">
        <f>'[1]January - 2023'!O33</f>
        <v>240</v>
      </c>
      <c r="M33" s="150">
        <f>'[1]January - 2023'!Q33</f>
        <v>245755</v>
      </c>
      <c r="N33" s="152">
        <f>'[1]January - 2023'!R33</f>
        <v>59</v>
      </c>
      <c r="O33" s="150">
        <f>'[1]January - 2023'!U33</f>
        <v>119908</v>
      </c>
      <c r="P33" s="152">
        <f>'[1]January - 2023'!V33</f>
        <v>60</v>
      </c>
      <c r="Q33" s="150">
        <f>'[1]January - 2023'!W33</f>
        <v>53.270000000004075</v>
      </c>
      <c r="R33" s="150">
        <f>'[1]January - 2023'!X33</f>
        <v>6687</v>
      </c>
      <c r="S33" s="188">
        <f>'[1]January - 2023'!Y33</f>
        <v>6</v>
      </c>
      <c r="T33" s="490"/>
      <c r="U33" s="151">
        <f>'[1]January - 2023'!AE33</f>
        <v>8262522.2400000002</v>
      </c>
      <c r="V33" s="218">
        <f>'[1]January - 2023'!AF33</f>
        <v>2923.2000000001863</v>
      </c>
      <c r="W33" s="88">
        <f>'[1]January - 2023'!AF33</f>
        <v>2923.2000000001863</v>
      </c>
      <c r="X33" s="233">
        <f>'[1]January - 2023'!AH33</f>
        <v>15686768.16</v>
      </c>
      <c r="Y33" s="218">
        <f>'[1]January - 2023'!AI33</f>
        <v>4384.8000000007451</v>
      </c>
      <c r="Z33" s="88">
        <f>'[1]January - 2023'!AI33</f>
        <v>4384.8000000007451</v>
      </c>
      <c r="AA33" s="233">
        <f>'[1]January - 2023'!AK33</f>
        <v>15913657.199999999</v>
      </c>
      <c r="AB33" s="218">
        <f>'[1]January - 2023'!AL33</f>
        <v>4092.480000000447</v>
      </c>
      <c r="AC33" s="88">
        <f>'[1]January - 2023'!AL33</f>
        <v>4092.480000000447</v>
      </c>
      <c r="AD33" s="233">
        <f>'[1]January - 2023'!AN33</f>
        <v>19035780.960000001</v>
      </c>
      <c r="AE33" s="218">
        <f>'[1]January - 2023'!AO33</f>
        <v>2874.480000000447</v>
      </c>
      <c r="AF33" s="88">
        <f>'[1]January - 2023'!AO33</f>
        <v>2874.480000000447</v>
      </c>
      <c r="AG33" s="233">
        <f>'[1]January - 2023'!AQ33</f>
        <v>19284788.879999999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17822506.800000001</v>
      </c>
      <c r="AK33" s="218">
        <f>'[1]January - 2023'!AU33</f>
        <v>3848.8800000026822</v>
      </c>
      <c r="AL33" s="88">
        <f>'[1]January - 2023'!AU33</f>
        <v>3848.8800000026822</v>
      </c>
      <c r="AM33" s="233">
        <f>'[1]January - 2023'!AW33</f>
        <v>14983446.24</v>
      </c>
      <c r="AN33" s="218">
        <f>'[1]January - 2023'!AX33</f>
        <v>3897.5999999996275</v>
      </c>
      <c r="AO33" s="88">
        <f>'[1]January - 2023'!AX33</f>
        <v>3897.5999999996275</v>
      </c>
      <c r="AP33" s="233">
        <f>'[1]January - 2023'!AZ33</f>
        <v>14522165.280000001</v>
      </c>
      <c r="AQ33" s="218">
        <f>'[1]January - 2023'!BA33</f>
        <v>3800.1600000020117</v>
      </c>
      <c r="AR33" s="88">
        <f>'[1]January - 2023'!BA33</f>
        <v>3800.1600000020117</v>
      </c>
      <c r="AS33" s="233">
        <f>'[1]January - 2023'!BC33</f>
        <v>11321358.719999999</v>
      </c>
      <c r="AT33" s="218">
        <f>'[1]January - 2023'!BD33</f>
        <v>2971.9199999999255</v>
      </c>
      <c r="AU33" s="88">
        <f>'[1]January - 2023'!BD33</f>
        <v>2971.9199999999255</v>
      </c>
      <c r="AV33" s="233">
        <f>'[1]January - 2023'!BF33</f>
        <v>17965110.239999998</v>
      </c>
      <c r="AW33" s="230">
        <f>'[1]January - 2023'!BG33</f>
        <v>5213.0399999991059</v>
      </c>
      <c r="AX33" s="231">
        <f>'[1]January - 2023'!BG33</f>
        <v>5213.0399999991059</v>
      </c>
      <c r="AY33" s="456"/>
      <c r="AZ33" s="250">
        <f>'[1]January - 2023'!BM33</f>
        <v>78617600</v>
      </c>
      <c r="BA33" s="161">
        <f>'[1]January - 2023'!BN33</f>
        <v>21300</v>
      </c>
      <c r="BB33" s="89">
        <f>'[1]January - 2023'!BN33</f>
        <v>21300</v>
      </c>
      <c r="BC33" s="250">
        <f>'[1]January - 2023'!BP33</f>
        <v>81487000</v>
      </c>
      <c r="BD33" s="224">
        <f>'[1]January - 2023'!BQ33</f>
        <v>10900</v>
      </c>
      <c r="BE33" s="89">
        <f>'[1]January - 2023'!BQ33</f>
        <v>10900</v>
      </c>
      <c r="BF33" s="250">
        <f>'[1]January - 2023'!BS33</f>
        <v>75325600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10547250</v>
      </c>
      <c r="BT33" s="166">
        <f>'[1]January - 2023'!BW33</f>
        <v>6000</v>
      </c>
      <c r="BU33" s="363"/>
      <c r="BV33" s="84">
        <f>'[1]January - 2023'!BY33</f>
        <v>0.74</v>
      </c>
      <c r="BW33" s="220">
        <f>'[1]January - 2023'!BZ33</f>
        <v>-6.9999999999999951E-2</v>
      </c>
      <c r="BX33" s="84">
        <f>'[1]January - 2023'!BZ33</f>
        <v>-6.9999999999999951E-2</v>
      </c>
      <c r="BY33" s="85">
        <f>'[1]January - 2023'!CB33</f>
        <v>65221</v>
      </c>
      <c r="BZ33" s="172">
        <f>'[1]January - 2023'!CC33</f>
        <v>12</v>
      </c>
      <c r="CA33" s="85">
        <f>'[1]January - 2023'!CD33</f>
        <v>56309</v>
      </c>
      <c r="CB33" s="172">
        <f>'[1]January - 2023'!CE33</f>
        <v>13</v>
      </c>
      <c r="CC33" s="85">
        <f>'[1]January - 2023'!CF33</f>
        <v>19015</v>
      </c>
      <c r="CD33" s="172">
        <f>'[1]January - 2023'!CG33</f>
        <v>5</v>
      </c>
      <c r="CE33" s="85">
        <f>'[1]January - 2023'!CH33</f>
        <v>26050</v>
      </c>
      <c r="CF33" s="172">
        <f>'[1]January - 2023'!CI33</f>
        <v>5</v>
      </c>
      <c r="CG33" s="85">
        <f>'[1]January - 2023'!CJ33</f>
        <v>29157</v>
      </c>
      <c r="CH33" s="172">
        <f>'[1]January - 2023'!CK33</f>
        <v>14</v>
      </c>
      <c r="CI33" s="85">
        <f>'[1]January - 2023'!CL33</f>
        <v>64128</v>
      </c>
      <c r="CJ33" s="172">
        <f>'[1]January - 2023'!CM33</f>
        <v>34</v>
      </c>
      <c r="CK33" s="85">
        <f>'[1]January - 2023'!CN33</f>
        <v>271505</v>
      </c>
      <c r="CL33" s="225">
        <f>'[1]January - 2023'!CO33</f>
        <v>79</v>
      </c>
      <c r="CM33" s="85">
        <f>'[1]January - 2023'!CO33</f>
        <v>79</v>
      </c>
      <c r="CN33" s="85">
        <f>'[1]January - 2023'!CQ33</f>
        <v>220237</v>
      </c>
      <c r="CO33" s="225">
        <f>'[1]January - 2023'!CR33</f>
        <v>108</v>
      </c>
      <c r="CP33" s="85">
        <f>'[1]January - 2023'!CR33</f>
        <v>108</v>
      </c>
      <c r="CQ33" s="85">
        <f>'[1]January - 2023'!CT33</f>
        <v>367571</v>
      </c>
      <c r="CR33" s="225">
        <f>'[1]January - 2023'!CU33</f>
        <v>283</v>
      </c>
      <c r="CS33" s="85">
        <f>'[1]January - 2023'!CU33</f>
        <v>283</v>
      </c>
      <c r="CT33" s="85">
        <f>'[1]January - 2023'!CW33</f>
        <v>702659</v>
      </c>
      <c r="CU33" s="172">
        <f>'[1]January - 2023'!CX33</f>
        <v>163</v>
      </c>
      <c r="CV33" s="423"/>
      <c r="CW33" s="234">
        <f>'[1]January - 2023'!CZ33</f>
        <v>9257</v>
      </c>
      <c r="CX33" s="179">
        <f>'[1]January - 2023'!DA33</f>
        <v>5</v>
      </c>
      <c r="CY33" s="235">
        <f>'[1]January - 2023'!DB33</f>
        <v>6277</v>
      </c>
      <c r="CZ33" s="179">
        <f>'[1]January - 2023'!DC33</f>
        <v>2</v>
      </c>
      <c r="DA33" s="235">
        <f>'[1]January - 2023'!DD33</f>
        <v>32882</v>
      </c>
      <c r="DB33" s="179">
        <f>'[1]January - 2023'!DE33</f>
        <v>15</v>
      </c>
      <c r="DC33" s="235">
        <f>'[1]January - 2023'!DF33</f>
        <v>33021</v>
      </c>
      <c r="DD33" s="179">
        <f>'[1]January - 2023'!DG33</f>
        <v>14</v>
      </c>
      <c r="DE33" s="235">
        <f>'[1]January - 2023'!DH33</f>
        <v>22346</v>
      </c>
      <c r="DF33" s="179">
        <f>'[1]January - 2023'!DI33</f>
        <v>9</v>
      </c>
      <c r="DG33" s="235">
        <f>'[1]January - 2023'!DJ33</f>
        <v>24319</v>
      </c>
      <c r="DH33" s="179">
        <f>'[1]January - 2023'!DK33</f>
        <v>4</v>
      </c>
      <c r="DI33" s="235">
        <f>'[1]January - 2023'!DL33</f>
        <v>7606</v>
      </c>
      <c r="DJ33" s="179">
        <f>'[1]January - 2023'!DM33</f>
        <v>9</v>
      </c>
      <c r="DK33" s="235">
        <f>'[1]January - 2023'!DN33</f>
        <v>10137</v>
      </c>
      <c r="DL33" s="179">
        <f>'[1]January - 2023'!DO33</f>
        <v>6</v>
      </c>
      <c r="DM33" s="235">
        <f>'[1]January - 2023'!DP33</f>
        <v>3475</v>
      </c>
      <c r="DN33" s="179">
        <f>'[1]January - 2023'!DQ33</f>
        <v>5</v>
      </c>
      <c r="DO33" s="235">
        <f>'[1]January - 2023'!DR33</f>
        <v>6844</v>
      </c>
      <c r="DP33" s="179">
        <f>'[1]January - 2023'!DS33</f>
        <v>6</v>
      </c>
      <c r="DQ33" s="235">
        <f>'[1]January - 2023'!DT33</f>
        <v>30486</v>
      </c>
      <c r="DR33" s="186">
        <f>'[1]January - 2023'!DU33</f>
        <v>3</v>
      </c>
      <c r="DS33" s="408"/>
      <c r="DT33" s="190">
        <f>'[1]January - 2023'!DW33</f>
        <v>6838.5</v>
      </c>
      <c r="DU33" s="201">
        <f>'[1]January - 2023'!DX33</f>
        <v>11.100000000000364</v>
      </c>
      <c r="DV33" s="87">
        <f>'[1]January - 2023'!DY33</f>
        <v>11646.5</v>
      </c>
      <c r="DW33" s="195">
        <f>'[1]January - 2023'!DZ33</f>
        <v>8</v>
      </c>
      <c r="DX33" s="87">
        <f>'[1]January - 2023'!EA33</f>
        <v>5101.6000000000004</v>
      </c>
      <c r="DY33" s="195">
        <f>'[1]January - 2023'!EB33</f>
        <v>6.1000000000003638</v>
      </c>
      <c r="DZ33" s="87">
        <f>'[1]January - 2023'!EC33</f>
        <v>5689.2</v>
      </c>
      <c r="EA33" s="195">
        <f>'[1]January - 2023'!ED33</f>
        <v>6.5</v>
      </c>
      <c r="EB33" s="87">
        <f>'[1]January - 2023'!EE33</f>
        <v>1152952</v>
      </c>
      <c r="EC33" s="195">
        <f>'[1]January - 2023'!EF33</f>
        <v>506</v>
      </c>
      <c r="ED33" s="87">
        <f>'[1]January - 2023'!EI33</f>
        <v>238109</v>
      </c>
      <c r="EE33" s="208">
        <f>'[1]January - 2023'!EJ33</f>
        <v>153.39999999999418</v>
      </c>
      <c r="EF33" s="347"/>
      <c r="EG33" s="214">
        <f>'[1]January - 2023'!EL33</f>
        <v>12273700</v>
      </c>
      <c r="EH33" s="209">
        <f>'[1]January - 2023'!EM33</f>
        <v>2000</v>
      </c>
      <c r="EI33" s="86">
        <f>'[1]January - 2023'!EN33</f>
        <v>944490</v>
      </c>
      <c r="EJ33" s="209">
        <f>'[1]January - 2023'!EO33</f>
        <v>200</v>
      </c>
      <c r="EK33" s="86">
        <f>'[1]January - 2023'!EP33</f>
        <v>7290500</v>
      </c>
      <c r="EL33" s="209">
        <f>'[1]January - 2023'!EQ33</f>
        <v>1000</v>
      </c>
      <c r="EM33" s="86">
        <f>'[1]January - 2023'!ER33</f>
        <v>2509900</v>
      </c>
      <c r="EN33" s="209">
        <f>'[1]January - 2023'!ES33</f>
        <v>200</v>
      </c>
      <c r="EO33" s="86">
        <f>'[1]January - 2023'!ET33</f>
        <v>1303350</v>
      </c>
      <c r="EP33" s="209">
        <f>'[1]January - 2023'!EU33</f>
        <v>380</v>
      </c>
      <c r="EQ33" s="86">
        <f>'[1]January - 2023'!EV33</f>
        <v>16725300</v>
      </c>
      <c r="ER33" s="209">
        <f>'[1]January - 2023'!EW33</f>
        <v>400</v>
      </c>
      <c r="ES33" s="395"/>
      <c r="ET33" s="256">
        <f>'[1]January - 2023'!EY33</f>
        <v>42856</v>
      </c>
      <c r="EU33" s="253">
        <f>'[1]January - 2023'!EZ33</f>
        <v>15</v>
      </c>
      <c r="EV33" s="257">
        <f>'[1]January - 2023'!FA33</f>
        <v>37395</v>
      </c>
      <c r="EW33" s="253">
        <f>'[1]January - 2023'!FB33</f>
        <v>11</v>
      </c>
      <c r="EX33" s="257">
        <f>'[1]January - 2023'!FC33</f>
        <v>7995</v>
      </c>
      <c r="EY33" s="253">
        <f>'[1]January - 2023'!FD33</f>
        <v>9</v>
      </c>
      <c r="EZ33" s="257">
        <f>'[1]January - 2023'!FE33</f>
        <v>59941</v>
      </c>
      <c r="FA33" s="253">
        <f>'[1]January - 2023'!FF33</f>
        <v>12</v>
      </c>
      <c r="FB33" s="257">
        <f>'[1]January - 2023'!FG33</f>
        <v>51100</v>
      </c>
      <c r="FC33" s="254">
        <f>'[1]January - 2023'!FH33</f>
        <v>31</v>
      </c>
    </row>
    <row r="34" spans="1:160" ht="30" customHeight="1" x14ac:dyDescent="0.25">
      <c r="A34" s="187">
        <v>44951</v>
      </c>
      <c r="B34" s="189">
        <f>'[1]January - 2023'!B34</f>
        <v>0.75</v>
      </c>
      <c r="C34" s="229">
        <f>'[1]January - 2023'!E34</f>
        <v>239912</v>
      </c>
      <c r="D34" s="152">
        <f>'[1]January - 2023'!F34</f>
        <v>614</v>
      </c>
      <c r="E34" s="150">
        <f>'[1]January - 2023'!G34</f>
        <v>482</v>
      </c>
      <c r="F34" s="150">
        <f>'[1]January - 2023'!H34</f>
        <v>262836</v>
      </c>
      <c r="G34" s="152">
        <f>'[1]January - 2023'!I34</f>
        <v>383</v>
      </c>
      <c r="H34" s="150">
        <f>'[1]January - 2023'!J34</f>
        <v>385</v>
      </c>
      <c r="I34" s="150">
        <f>'[1]January - 2023'!K34</f>
        <v>15072</v>
      </c>
      <c r="J34" s="152">
        <f>'[1]January - 2023'!L34</f>
        <v>243</v>
      </c>
      <c r="K34" s="150">
        <f>'[1]January - 2023'!N34</f>
        <v>929073</v>
      </c>
      <c r="L34" s="152">
        <f>'[1]January - 2023'!O34</f>
        <v>62</v>
      </c>
      <c r="M34" s="150">
        <f>'[1]January - 2023'!Q34</f>
        <v>245861</v>
      </c>
      <c r="N34" s="152">
        <f>'[1]January - 2023'!R34</f>
        <v>106</v>
      </c>
      <c r="O34" s="150">
        <f>'[1]January - 2023'!U34</f>
        <v>119955</v>
      </c>
      <c r="P34" s="152">
        <f>'[1]January - 2023'!V34</f>
        <v>47</v>
      </c>
      <c r="Q34" s="150">
        <f>'[1]January - 2023'!W34</f>
        <v>51.790000000000873</v>
      </c>
      <c r="R34" s="150">
        <f>'[1]January - 2023'!X34</f>
        <v>6690</v>
      </c>
      <c r="S34" s="188">
        <f>'[1]January - 2023'!Y34</f>
        <v>3</v>
      </c>
      <c r="T34" s="490"/>
      <c r="U34" s="151">
        <f>'[1]January - 2023'!AE34</f>
        <v>8265494.1599999992</v>
      </c>
      <c r="V34" s="218">
        <f>'[1]January - 2023'!AF34</f>
        <v>2971.9199999989942</v>
      </c>
      <c r="W34" s="88">
        <f>'[1]January - 2023'!AF34</f>
        <v>2971.9199999989942</v>
      </c>
      <c r="X34" s="233">
        <f>'[1]January - 2023'!AH34</f>
        <v>15691347.84</v>
      </c>
      <c r="Y34" s="218">
        <f>'[1]January - 2023'!AI34</f>
        <v>4579.679999999702</v>
      </c>
      <c r="Z34" s="88">
        <f>'[1]January - 2023'!AI34</f>
        <v>4579.679999999702</v>
      </c>
      <c r="AA34" s="233">
        <f>'[1]January - 2023'!AK34</f>
        <v>15913657.199999999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19041383.760000002</v>
      </c>
      <c r="AE34" s="218">
        <f>'[1]January - 2023'!AO34</f>
        <v>5602.8000000007451</v>
      </c>
      <c r="AF34" s="88">
        <f>'[1]January - 2023'!AO34</f>
        <v>5602.8000000007451</v>
      </c>
      <c r="AG34" s="233">
        <f>'[1]January - 2023'!AQ34</f>
        <v>19285812</v>
      </c>
      <c r="AH34" s="218">
        <f>'[1]January - 2023'!AR34</f>
        <v>1023.1200000010431</v>
      </c>
      <c r="AI34" s="88">
        <f>'[1]January - 2023'!AR34</f>
        <v>1023.1200000010431</v>
      </c>
      <c r="AJ34" s="233">
        <f>'[1]January - 2023'!AT34</f>
        <v>17827671.119999997</v>
      </c>
      <c r="AK34" s="218">
        <f>'[1]January - 2023'!AU34</f>
        <v>5164.3199999965727</v>
      </c>
      <c r="AL34" s="88">
        <f>'[1]January - 2023'!AU34</f>
        <v>5164.3199999965727</v>
      </c>
      <c r="AM34" s="233">
        <f>'[1]January - 2023'!AW34</f>
        <v>14987490</v>
      </c>
      <c r="AN34" s="218">
        <f>'[1]January - 2023'!AX34</f>
        <v>4043.7599999997765</v>
      </c>
      <c r="AO34" s="88">
        <f>'[1]January - 2023'!AX34</f>
        <v>4043.7599999997765</v>
      </c>
      <c r="AP34" s="233">
        <f>'[1]January - 2023'!AZ34</f>
        <v>14526452.640000001</v>
      </c>
      <c r="AQ34" s="218">
        <f>'[1]January - 2023'!BA34</f>
        <v>4287.359999999404</v>
      </c>
      <c r="AR34" s="88">
        <f>'[1]January - 2023'!BA34</f>
        <v>4287.359999999404</v>
      </c>
      <c r="AS34" s="233">
        <f>'[1]January - 2023'!BC34</f>
        <v>11324817.84</v>
      </c>
      <c r="AT34" s="218">
        <f>'[1]January - 2023'!BD34</f>
        <v>3459.1200000010431</v>
      </c>
      <c r="AU34" s="88">
        <f>'[1]January - 2023'!BD34</f>
        <v>3459.1200000010431</v>
      </c>
      <c r="AV34" s="233">
        <f>'[1]January - 2023'!BF34</f>
        <v>17970469.439999998</v>
      </c>
      <c r="AW34" s="230">
        <f>'[1]January - 2023'!BG34</f>
        <v>5359.1999999992549</v>
      </c>
      <c r="AX34" s="231">
        <f>'[1]January - 2023'!BG34</f>
        <v>5359.1999999992549</v>
      </c>
      <c r="AY34" s="456"/>
      <c r="AZ34" s="250">
        <f>'[1]January - 2023'!BM34</f>
        <v>78617600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81512900</v>
      </c>
      <c r="BD34" s="224">
        <f>'[1]January - 2023'!BQ34</f>
        <v>25900</v>
      </c>
      <c r="BE34" s="89">
        <f>'[1]January - 2023'!BQ34</f>
        <v>25900</v>
      </c>
      <c r="BF34" s="250">
        <f>'[1]January - 2023'!BS34</f>
        <v>75329200</v>
      </c>
      <c r="BG34" s="224">
        <f>'[1]January - 2023'!BT34</f>
        <v>3600</v>
      </c>
      <c r="BH34" s="89">
        <f>'[1]January - 2023'!BT34</f>
        <v>3600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10552910</v>
      </c>
      <c r="BT34" s="166">
        <f>'[1]January - 2023'!BW34</f>
        <v>5660</v>
      </c>
      <c r="BU34" s="363"/>
      <c r="BV34" s="84">
        <f>'[1]January - 2023'!BY34</f>
        <v>0.65</v>
      </c>
      <c r="BW34" s="220">
        <f>'[1]January - 2023'!BZ34</f>
        <v>8.9999999999999969E-2</v>
      </c>
      <c r="BX34" s="84">
        <f>'[1]January - 2023'!BZ34</f>
        <v>8.9999999999999969E-2</v>
      </c>
      <c r="BY34" s="85">
        <f>'[1]January - 2023'!CB34</f>
        <v>65236</v>
      </c>
      <c r="BZ34" s="172">
        <f>'[1]January - 2023'!CC34</f>
        <v>15</v>
      </c>
      <c r="CA34" s="85">
        <f>'[1]January - 2023'!CD34</f>
        <v>56329</v>
      </c>
      <c r="CB34" s="172">
        <f>'[1]January - 2023'!CE34</f>
        <v>20</v>
      </c>
      <c r="CC34" s="85">
        <f>'[1]January - 2023'!CF34</f>
        <v>19021</v>
      </c>
      <c r="CD34" s="172">
        <f>'[1]January - 2023'!CG34</f>
        <v>6</v>
      </c>
      <c r="CE34" s="85">
        <f>'[1]January - 2023'!CH34</f>
        <v>26061</v>
      </c>
      <c r="CF34" s="172">
        <f>'[1]January - 2023'!CI34</f>
        <v>11</v>
      </c>
      <c r="CG34" s="85">
        <f>'[1]January - 2023'!CJ34</f>
        <v>29173</v>
      </c>
      <c r="CH34" s="172">
        <f>'[1]January - 2023'!CK34</f>
        <v>16</v>
      </c>
      <c r="CI34" s="85">
        <f>'[1]January - 2023'!CL34</f>
        <v>64165</v>
      </c>
      <c r="CJ34" s="172">
        <f>'[1]January - 2023'!CM34</f>
        <v>37</v>
      </c>
      <c r="CK34" s="85">
        <f>'[1]January - 2023'!CN34</f>
        <v>271582</v>
      </c>
      <c r="CL34" s="225">
        <f>'[1]January - 2023'!CO34</f>
        <v>77</v>
      </c>
      <c r="CM34" s="85">
        <f>'[1]January - 2023'!CO34</f>
        <v>77</v>
      </c>
      <c r="CN34" s="85">
        <f>'[1]January - 2023'!CQ34</f>
        <v>220353</v>
      </c>
      <c r="CO34" s="225">
        <f>'[1]January - 2023'!CR34</f>
        <v>116</v>
      </c>
      <c r="CP34" s="85">
        <f>'[1]January - 2023'!CR34</f>
        <v>116</v>
      </c>
      <c r="CQ34" s="85">
        <f>'[1]January - 2023'!CT34</f>
        <v>367864</v>
      </c>
      <c r="CR34" s="225">
        <f>'[1]January - 2023'!CU34</f>
        <v>293</v>
      </c>
      <c r="CS34" s="85">
        <f>'[1]January - 2023'!CU34</f>
        <v>293</v>
      </c>
      <c r="CT34" s="85">
        <f>'[1]January - 2023'!CW34</f>
        <v>702819</v>
      </c>
      <c r="CU34" s="172">
        <f>'[1]January - 2023'!CX34</f>
        <v>160</v>
      </c>
      <c r="CV34" s="423"/>
      <c r="CW34" s="234">
        <f>'[1]January - 2023'!CZ34</f>
        <v>9268</v>
      </c>
      <c r="CX34" s="179">
        <f>'[1]January - 2023'!DA34</f>
        <v>11</v>
      </c>
      <c r="CY34" s="235">
        <f>'[1]January - 2023'!DB34</f>
        <v>6284</v>
      </c>
      <c r="CZ34" s="179">
        <f>'[1]January - 2023'!DC34</f>
        <v>7</v>
      </c>
      <c r="DA34" s="235">
        <f>'[1]January - 2023'!DD34</f>
        <v>32895</v>
      </c>
      <c r="DB34" s="179">
        <f>'[1]January - 2023'!DE34</f>
        <v>13</v>
      </c>
      <c r="DC34" s="235">
        <f>'[1]January - 2023'!DF34</f>
        <v>33032</v>
      </c>
      <c r="DD34" s="179">
        <f>'[1]January - 2023'!DG34</f>
        <v>11</v>
      </c>
      <c r="DE34" s="235">
        <f>'[1]January - 2023'!DH34</f>
        <v>22354</v>
      </c>
      <c r="DF34" s="179">
        <f>'[1]January - 2023'!DI34</f>
        <v>8</v>
      </c>
      <c r="DG34" s="235">
        <f>'[1]January - 2023'!DJ34</f>
        <v>24323</v>
      </c>
      <c r="DH34" s="179">
        <f>'[1]January - 2023'!DK34</f>
        <v>4</v>
      </c>
      <c r="DI34" s="235">
        <f>'[1]January - 2023'!DL34</f>
        <v>7617</v>
      </c>
      <c r="DJ34" s="179">
        <f>'[1]January - 2023'!DM34</f>
        <v>11</v>
      </c>
      <c r="DK34" s="235">
        <f>'[1]January - 2023'!DN34</f>
        <v>10143</v>
      </c>
      <c r="DL34" s="179">
        <f>'[1]January - 2023'!DO34</f>
        <v>6</v>
      </c>
      <c r="DM34" s="235">
        <f>'[1]January - 2023'!DP34</f>
        <v>3479</v>
      </c>
      <c r="DN34" s="179">
        <f>'[1]January - 2023'!DQ34</f>
        <v>4</v>
      </c>
      <c r="DO34" s="235">
        <f>'[1]January - 2023'!DR34</f>
        <v>6850</v>
      </c>
      <c r="DP34" s="179">
        <f>'[1]January - 2023'!DS34</f>
        <v>6</v>
      </c>
      <c r="DQ34" s="235">
        <f>'[1]January - 2023'!DT34</f>
        <v>30489</v>
      </c>
      <c r="DR34" s="186">
        <f>'[1]January - 2023'!DU34</f>
        <v>3</v>
      </c>
      <c r="DS34" s="408"/>
      <c r="DT34" s="190">
        <f>'[1]January - 2023'!DW34</f>
        <v>6849</v>
      </c>
      <c r="DU34" s="201">
        <f>'[1]January - 2023'!DX34</f>
        <v>10.5</v>
      </c>
      <c r="DV34" s="87">
        <f>'[1]January - 2023'!DY34</f>
        <v>11654.3</v>
      </c>
      <c r="DW34" s="195">
        <f>'[1]January - 2023'!DZ34</f>
        <v>7.7999999999992724</v>
      </c>
      <c r="DX34" s="87">
        <f>'[1]January - 2023'!EA34</f>
        <v>5107.3999999999996</v>
      </c>
      <c r="DY34" s="195">
        <f>'[1]January - 2023'!EB34</f>
        <v>5.7999999999992724</v>
      </c>
      <c r="DZ34" s="87">
        <f>'[1]January - 2023'!EC34</f>
        <v>5695.4</v>
      </c>
      <c r="EA34" s="195">
        <f>'[1]January - 2023'!ED34</f>
        <v>6.1999999999998181</v>
      </c>
      <c r="EB34" s="87">
        <f>'[1]January - 2023'!EE34</f>
        <v>1153467</v>
      </c>
      <c r="EC34" s="195">
        <f>'[1]January - 2023'!EF34</f>
        <v>515</v>
      </c>
      <c r="ED34" s="87">
        <f>'[1]January - 2023'!EI34</f>
        <v>238261.5</v>
      </c>
      <c r="EE34" s="208">
        <f>'[1]January - 2023'!EJ34</f>
        <v>152.5</v>
      </c>
      <c r="EF34" s="347"/>
      <c r="EG34" s="214">
        <f>'[1]January - 2023'!EL34</f>
        <v>12275500</v>
      </c>
      <c r="EH34" s="209">
        <f>'[1]January - 2023'!EM34</f>
        <v>1800</v>
      </c>
      <c r="EI34" s="86">
        <f>'[1]January - 2023'!EN34</f>
        <v>944690</v>
      </c>
      <c r="EJ34" s="209">
        <f>'[1]January - 2023'!EO34</f>
        <v>200</v>
      </c>
      <c r="EK34" s="86">
        <f>'[1]January - 2023'!EP34</f>
        <v>7291400</v>
      </c>
      <c r="EL34" s="209">
        <f>'[1]January - 2023'!EQ34</f>
        <v>900</v>
      </c>
      <c r="EM34" s="86">
        <f>'[1]January - 2023'!ER34</f>
        <v>2510000</v>
      </c>
      <c r="EN34" s="209">
        <f>'[1]January - 2023'!ES34</f>
        <v>100</v>
      </c>
      <c r="EO34" s="86">
        <f>'[1]January - 2023'!ET34</f>
        <v>1303710</v>
      </c>
      <c r="EP34" s="209">
        <f>'[1]January - 2023'!EU34</f>
        <v>360</v>
      </c>
      <c r="EQ34" s="86">
        <f>'[1]January - 2023'!EV34</f>
        <v>16725700</v>
      </c>
      <c r="ER34" s="209">
        <f>'[1]January - 2023'!EW34</f>
        <v>400</v>
      </c>
      <c r="ES34" s="395"/>
      <c r="ET34" s="256">
        <f>'[1]January - 2023'!EY34</f>
        <v>42872</v>
      </c>
      <c r="EU34" s="253">
        <f>'[1]January - 2023'!EZ34</f>
        <v>16</v>
      </c>
      <c r="EV34" s="257">
        <f>'[1]January - 2023'!FA34</f>
        <v>37406</v>
      </c>
      <c r="EW34" s="253">
        <f>'[1]January - 2023'!FB34</f>
        <v>11</v>
      </c>
      <c r="EX34" s="257">
        <f>'[1]January - 2023'!FC34</f>
        <v>8005</v>
      </c>
      <c r="EY34" s="253">
        <f>'[1]January - 2023'!FD34</f>
        <v>10</v>
      </c>
      <c r="EZ34" s="257">
        <f>'[1]January - 2023'!FE34</f>
        <v>59956</v>
      </c>
      <c r="FA34" s="253">
        <f>'[1]January - 2023'!FF34</f>
        <v>15</v>
      </c>
      <c r="FB34" s="257">
        <f>'[1]January - 2023'!FG34</f>
        <v>51131</v>
      </c>
      <c r="FC34" s="254">
        <f>'[1]January - 2023'!FH34</f>
        <v>31</v>
      </c>
    </row>
    <row r="35" spans="1:160" ht="30" customHeight="1" x14ac:dyDescent="0.25">
      <c r="A35" s="187">
        <v>44952</v>
      </c>
      <c r="B35" s="189">
        <f>'[1]January - 2023'!B35</f>
        <v>0.85</v>
      </c>
      <c r="C35" s="229">
        <f>'[1]January - 2023'!E35</f>
        <v>240360</v>
      </c>
      <c r="D35" s="152">
        <f>'[1]January - 2023'!F35</f>
        <v>448</v>
      </c>
      <c r="E35" s="150">
        <f>'[1]January - 2023'!G35</f>
        <v>676</v>
      </c>
      <c r="F35" s="150">
        <f>'[1]January - 2023'!H35</f>
        <v>263220</v>
      </c>
      <c r="G35" s="152">
        <f>'[1]January - 2023'!I35</f>
        <v>384</v>
      </c>
      <c r="H35" s="150">
        <f>'[1]January - 2023'!J35</f>
        <v>367</v>
      </c>
      <c r="I35" s="150">
        <f>'[1]January - 2023'!K35</f>
        <v>15267</v>
      </c>
      <c r="J35" s="152">
        <f>'[1]January - 2023'!L35</f>
        <v>195</v>
      </c>
      <c r="K35" s="150">
        <f>'[1]January - 2023'!N35</f>
        <v>929073</v>
      </c>
      <c r="L35" s="152">
        <f>'[1]January - 2023'!O35</f>
        <v>0</v>
      </c>
      <c r="M35" s="150">
        <f>'[1]January - 2023'!Q35</f>
        <v>245861</v>
      </c>
      <c r="N35" s="152">
        <f>'[1]January - 2023'!R35</f>
        <v>0</v>
      </c>
      <c r="O35" s="150">
        <f>'[1]January - 2023'!U35</f>
        <v>120008</v>
      </c>
      <c r="P35" s="152">
        <f>'[1]January - 2023'!V35</f>
        <v>53</v>
      </c>
      <c r="Q35" s="150">
        <f>'[1]January - 2023'!W35</f>
        <v>61.709999999999127</v>
      </c>
      <c r="R35" s="150">
        <f>'[1]January - 2023'!X35</f>
        <v>6698</v>
      </c>
      <c r="S35" s="188">
        <f>'[1]January - 2023'!Y35</f>
        <v>8</v>
      </c>
      <c r="T35" s="490"/>
      <c r="U35" s="151">
        <f>'[1]January - 2023'!AE35</f>
        <v>8268222.4800000004</v>
      </c>
      <c r="V35" s="218">
        <f>'[1]January - 2023'!AF35</f>
        <v>2728.3200000012293</v>
      </c>
      <c r="W35" s="88">
        <f>'[1]January - 2023'!AF35</f>
        <v>2728.3200000012293</v>
      </c>
      <c r="X35" s="233">
        <f>'[1]January - 2023'!AH35</f>
        <v>15695732.640000001</v>
      </c>
      <c r="Y35" s="218">
        <f>'[1]January - 2023'!AI35</f>
        <v>4384.8000000007451</v>
      </c>
      <c r="Z35" s="88">
        <f>'[1]January - 2023'!AI35</f>
        <v>4384.8000000007451</v>
      </c>
      <c r="AA35" s="233">
        <f>'[1]January - 2023'!AK35</f>
        <v>15913657.199999999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19042309.439999998</v>
      </c>
      <c r="AE35" s="218">
        <f>'[1]January - 2023'!AO35</f>
        <v>925.67999999597669</v>
      </c>
      <c r="AF35" s="88">
        <f>'[1]January - 2023'!AO35</f>
        <v>925.67999999597669</v>
      </c>
      <c r="AG35" s="233">
        <f>'[1]January - 2023'!AQ35</f>
        <v>19291268.639999997</v>
      </c>
      <c r="AH35" s="218">
        <f>'[1]January - 2023'!AR35</f>
        <v>5456.6399999968708</v>
      </c>
      <c r="AI35" s="88">
        <f>'[1]January - 2023'!AR35</f>
        <v>5456.6399999968708</v>
      </c>
      <c r="AJ35" s="233">
        <f>'[1]January - 2023'!AT35</f>
        <v>17832055.919999998</v>
      </c>
      <c r="AK35" s="218">
        <f>'[1]January - 2023'!AU35</f>
        <v>4384.8000000007451</v>
      </c>
      <c r="AL35" s="88">
        <f>'[1]January - 2023'!AU35</f>
        <v>4384.8000000007451</v>
      </c>
      <c r="AM35" s="233">
        <f>'[1]January - 2023'!AW35</f>
        <v>14991241.439999999</v>
      </c>
      <c r="AN35" s="218">
        <f>'[1]January - 2023'!AX35</f>
        <v>3751.4399999994785</v>
      </c>
      <c r="AO35" s="88">
        <f>'[1]January - 2023'!AX35</f>
        <v>3751.4399999994785</v>
      </c>
      <c r="AP35" s="233">
        <f>'[1]January - 2023'!AZ35</f>
        <v>14530642.559999999</v>
      </c>
      <c r="AQ35" s="218">
        <f>'[1]January - 2023'!BA35</f>
        <v>4189.9199999980628</v>
      </c>
      <c r="AR35" s="88">
        <f>'[1]January - 2023'!BA35</f>
        <v>4189.9199999980628</v>
      </c>
      <c r="AS35" s="233">
        <f>'[1]January - 2023'!BC35</f>
        <v>11327838.48</v>
      </c>
      <c r="AT35" s="218">
        <f>'[1]January - 2023'!BD35</f>
        <v>3020.640000000596</v>
      </c>
      <c r="AU35" s="88">
        <f>'[1]January - 2023'!BD35</f>
        <v>3020.640000000596</v>
      </c>
      <c r="AV35" s="233">
        <f>'[1]January - 2023'!BF35</f>
        <v>17975682.48</v>
      </c>
      <c r="AW35" s="230">
        <f>'[1]January - 2023'!BG35</f>
        <v>5213.0400000028312</v>
      </c>
      <c r="AX35" s="231">
        <f>'[1]January - 2023'!BG35</f>
        <v>5213.0400000028312</v>
      </c>
      <c r="AY35" s="456"/>
      <c r="AZ35" s="250">
        <f>'[1]January - 2023'!BM35</f>
        <v>78617600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81516700</v>
      </c>
      <c r="BD35" s="224">
        <f>'[1]January - 2023'!BQ35</f>
        <v>3800</v>
      </c>
      <c r="BE35" s="89">
        <f>'[1]January - 2023'!BQ35</f>
        <v>3800</v>
      </c>
      <c r="BF35" s="250">
        <f>'[1]January - 2023'!BS35</f>
        <v>75355300</v>
      </c>
      <c r="BG35" s="224">
        <f>'[1]January - 2023'!BT35</f>
        <v>26100</v>
      </c>
      <c r="BH35" s="89">
        <f>'[1]January - 2023'!BT35</f>
        <v>26100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10558120</v>
      </c>
      <c r="BT35" s="166">
        <f>'[1]January - 2023'!BW35</f>
        <v>5210</v>
      </c>
      <c r="BU35" s="363"/>
      <c r="BV35" s="84">
        <f>'[1]January - 2023'!BY35</f>
        <v>0.69</v>
      </c>
      <c r="BW35" s="220">
        <f>'[1]January - 2023'!BZ35</f>
        <v>-3.9999999999999925E-2</v>
      </c>
      <c r="BX35" s="84">
        <f>'[1]January - 2023'!BZ35</f>
        <v>-3.9999999999999925E-2</v>
      </c>
      <c r="BY35" s="85">
        <f>'[1]January - 2023'!CB35</f>
        <v>65253</v>
      </c>
      <c r="BZ35" s="172">
        <f>'[1]January - 2023'!CC35</f>
        <v>17</v>
      </c>
      <c r="CA35" s="85">
        <f>'[1]January - 2023'!CD35</f>
        <v>56349</v>
      </c>
      <c r="CB35" s="172">
        <f>'[1]January - 2023'!CE35</f>
        <v>20</v>
      </c>
      <c r="CC35" s="85">
        <f>'[1]January - 2023'!CF35</f>
        <v>19026</v>
      </c>
      <c r="CD35" s="172">
        <f>'[1]January - 2023'!CG35</f>
        <v>5</v>
      </c>
      <c r="CE35" s="85">
        <f>'[1]January - 2023'!CH35</f>
        <v>26070</v>
      </c>
      <c r="CF35" s="172">
        <f>'[1]January - 2023'!CI35</f>
        <v>9</v>
      </c>
      <c r="CG35" s="85">
        <f>'[1]January - 2023'!CJ35</f>
        <v>29188</v>
      </c>
      <c r="CH35" s="172">
        <f>'[1]January - 2023'!CK35</f>
        <v>15</v>
      </c>
      <c r="CI35" s="85">
        <f>'[1]January - 2023'!CL35</f>
        <v>64197</v>
      </c>
      <c r="CJ35" s="172">
        <f>'[1]January - 2023'!CM35</f>
        <v>32</v>
      </c>
      <c r="CK35" s="85">
        <f>'[1]January - 2023'!CN35</f>
        <v>271657</v>
      </c>
      <c r="CL35" s="225">
        <f>'[1]January - 2023'!CO35</f>
        <v>75</v>
      </c>
      <c r="CM35" s="85">
        <f>'[1]January - 2023'!CO35</f>
        <v>75</v>
      </c>
      <c r="CN35" s="85">
        <f>'[1]January - 2023'!CQ35</f>
        <v>220466</v>
      </c>
      <c r="CO35" s="225">
        <f>'[1]January - 2023'!CR35</f>
        <v>113</v>
      </c>
      <c r="CP35" s="85">
        <f>'[1]January - 2023'!CR35</f>
        <v>113</v>
      </c>
      <c r="CQ35" s="85">
        <f>'[1]January - 2023'!CT35</f>
        <v>368150</v>
      </c>
      <c r="CR35" s="225">
        <f>'[1]January - 2023'!CU35</f>
        <v>286</v>
      </c>
      <c r="CS35" s="85">
        <f>'[1]January - 2023'!CU35</f>
        <v>286</v>
      </c>
      <c r="CT35" s="85">
        <f>'[1]January - 2023'!CW35</f>
        <v>702975</v>
      </c>
      <c r="CU35" s="172">
        <f>'[1]January - 2023'!CX35</f>
        <v>156</v>
      </c>
      <c r="CV35" s="423"/>
      <c r="CW35" s="234">
        <f>'[1]January - 2023'!CZ35</f>
        <v>9277</v>
      </c>
      <c r="CX35" s="179">
        <f>'[1]January - 2023'!DA35</f>
        <v>9</v>
      </c>
      <c r="CY35" s="235">
        <f>'[1]January - 2023'!DB35</f>
        <v>6287</v>
      </c>
      <c r="CZ35" s="179">
        <f>'[1]January - 2023'!DC35</f>
        <v>3</v>
      </c>
      <c r="DA35" s="235">
        <f>'[1]January - 2023'!DD35</f>
        <v>32909</v>
      </c>
      <c r="DB35" s="179">
        <f>'[1]January - 2023'!DE35</f>
        <v>14</v>
      </c>
      <c r="DC35" s="235">
        <f>'[1]January - 2023'!DF35</f>
        <v>33047</v>
      </c>
      <c r="DD35" s="179">
        <f>'[1]January - 2023'!DG35</f>
        <v>15</v>
      </c>
      <c r="DE35" s="235">
        <f>'[1]January - 2023'!DH35</f>
        <v>22363</v>
      </c>
      <c r="DF35" s="179">
        <f>'[1]January - 2023'!DI35</f>
        <v>9</v>
      </c>
      <c r="DG35" s="235">
        <f>'[1]January - 2023'!DJ35</f>
        <v>24328</v>
      </c>
      <c r="DH35" s="179">
        <f>'[1]January - 2023'!DK35</f>
        <v>5</v>
      </c>
      <c r="DI35" s="235">
        <f>'[1]January - 2023'!DL35</f>
        <v>7628</v>
      </c>
      <c r="DJ35" s="179">
        <f>'[1]January - 2023'!DM35</f>
        <v>11</v>
      </c>
      <c r="DK35" s="235">
        <f>'[1]January - 2023'!DN35</f>
        <v>10151</v>
      </c>
      <c r="DL35" s="179">
        <f>'[1]January - 2023'!DO35</f>
        <v>8</v>
      </c>
      <c r="DM35" s="235">
        <f>'[1]January - 2023'!DP35</f>
        <v>3484</v>
      </c>
      <c r="DN35" s="179">
        <f>'[1]January - 2023'!DQ35</f>
        <v>5</v>
      </c>
      <c r="DO35" s="235">
        <f>'[1]January - 2023'!DR35</f>
        <v>6856</v>
      </c>
      <c r="DP35" s="179">
        <f>'[1]January - 2023'!DS35</f>
        <v>6</v>
      </c>
      <c r="DQ35" s="235">
        <f>'[1]January - 2023'!DT35</f>
        <v>30489</v>
      </c>
      <c r="DR35" s="186">
        <f>'[1]January - 2023'!DU35</f>
        <v>0</v>
      </c>
      <c r="DS35" s="408"/>
      <c r="DT35" s="190">
        <f>'[1]January - 2023'!DW35</f>
        <v>6859.7</v>
      </c>
      <c r="DU35" s="201">
        <f>'[1]January - 2023'!DX35</f>
        <v>10.699999999999818</v>
      </c>
      <c r="DV35" s="87">
        <f>'[1]January - 2023'!DY35</f>
        <v>11661.4</v>
      </c>
      <c r="DW35" s="195">
        <f>'[1]January - 2023'!DZ35</f>
        <v>7.1000000000003638</v>
      </c>
      <c r="DX35" s="87">
        <f>'[1]January - 2023'!EA35</f>
        <v>5113.1000000000004</v>
      </c>
      <c r="DY35" s="195">
        <f>'[1]January - 2023'!EB35</f>
        <v>5.7000000000007276</v>
      </c>
      <c r="DZ35" s="87">
        <f>'[1]January - 2023'!EC35</f>
        <v>5701.7</v>
      </c>
      <c r="EA35" s="195">
        <f>'[1]January - 2023'!ED35</f>
        <v>6.3000000000001819</v>
      </c>
      <c r="EB35" s="87">
        <f>'[1]January - 2023'!EE35</f>
        <v>1153955</v>
      </c>
      <c r="EC35" s="195">
        <f>'[1]January - 2023'!EF35</f>
        <v>488</v>
      </c>
      <c r="ED35" s="87">
        <f>'[1]January - 2023'!EI35</f>
        <v>238408.2</v>
      </c>
      <c r="EE35" s="208">
        <f>'[1]January - 2023'!EJ35</f>
        <v>146.70000000001164</v>
      </c>
      <c r="EF35" s="347"/>
      <c r="EG35" s="214">
        <f>'[1]January - 2023'!EL35</f>
        <v>12277400</v>
      </c>
      <c r="EH35" s="209">
        <f>'[1]January - 2023'!EM35</f>
        <v>1900</v>
      </c>
      <c r="EI35" s="86">
        <f>'[1]January - 2023'!EN35</f>
        <v>944900</v>
      </c>
      <c r="EJ35" s="209">
        <f>'[1]January - 2023'!EO35</f>
        <v>210</v>
      </c>
      <c r="EK35" s="86">
        <f>'[1]January - 2023'!EP35</f>
        <v>7292200</v>
      </c>
      <c r="EL35" s="209">
        <f>'[1]January - 2023'!EQ35</f>
        <v>800</v>
      </c>
      <c r="EM35" s="86">
        <f>'[1]January - 2023'!ER35</f>
        <v>2510200</v>
      </c>
      <c r="EN35" s="209">
        <f>'[1]January - 2023'!ES35</f>
        <v>200</v>
      </c>
      <c r="EO35" s="86">
        <f>'[1]January - 2023'!ET35</f>
        <v>1304140</v>
      </c>
      <c r="EP35" s="209">
        <f>'[1]January - 2023'!EU35</f>
        <v>430</v>
      </c>
      <c r="EQ35" s="86">
        <f>'[1]January - 2023'!EV35</f>
        <v>16726800</v>
      </c>
      <c r="ER35" s="209">
        <f>'[1]January - 2023'!EW35</f>
        <v>1100</v>
      </c>
      <c r="ES35" s="395"/>
      <c r="ET35" s="256">
        <f>'[1]January - 2023'!EY35</f>
        <v>42886</v>
      </c>
      <c r="EU35" s="253">
        <f>'[1]January - 2023'!EZ35</f>
        <v>14</v>
      </c>
      <c r="EV35" s="257">
        <f>'[1]January - 2023'!FA35</f>
        <v>37417</v>
      </c>
      <c r="EW35" s="253">
        <f>'[1]January - 2023'!FB35</f>
        <v>11</v>
      </c>
      <c r="EX35" s="257">
        <f>'[1]January - 2023'!FC35</f>
        <v>8013</v>
      </c>
      <c r="EY35" s="253">
        <f>'[1]January - 2023'!FD35</f>
        <v>8</v>
      </c>
      <c r="EZ35" s="257">
        <f>'[1]January - 2023'!FE35</f>
        <v>59970</v>
      </c>
      <c r="FA35" s="253">
        <f>'[1]January - 2023'!FF35</f>
        <v>14</v>
      </c>
      <c r="FB35" s="257">
        <f>'[1]January - 2023'!FG35</f>
        <v>51161</v>
      </c>
      <c r="FC35" s="254">
        <f>'[1]January - 2023'!FH35</f>
        <v>30</v>
      </c>
    </row>
    <row r="36" spans="1:160" ht="30" customHeight="1" x14ac:dyDescent="0.25">
      <c r="A36" s="187">
        <v>44953</v>
      </c>
      <c r="B36" s="189">
        <f>'[1]January - 2023'!B36</f>
        <v>0.85</v>
      </c>
      <c r="C36" s="229">
        <f>'[1]January - 2023'!E36</f>
        <v>240896</v>
      </c>
      <c r="D36" s="152">
        <f>'[1]January - 2023'!F36</f>
        <v>536</v>
      </c>
      <c r="E36" s="150">
        <f>'[1]January - 2023'!G36</f>
        <v>493</v>
      </c>
      <c r="F36" s="150">
        <f>'[1]January - 2023'!H36</f>
        <v>263643</v>
      </c>
      <c r="G36" s="152">
        <f>'[1]January - 2023'!I36</f>
        <v>423</v>
      </c>
      <c r="H36" s="150">
        <f>'[1]January - 2023'!J36</f>
        <v>389</v>
      </c>
      <c r="I36" s="150">
        <f>'[1]January - 2023'!K36</f>
        <v>15269</v>
      </c>
      <c r="J36" s="152">
        <f>'[1]January - 2023'!L36</f>
        <v>2</v>
      </c>
      <c r="K36" s="150">
        <f>'[1]January - 2023'!N36</f>
        <v>929073</v>
      </c>
      <c r="L36" s="152">
        <f>'[1]January - 2023'!O36</f>
        <v>0</v>
      </c>
      <c r="M36" s="150">
        <f>'[1]January - 2023'!Q36</f>
        <v>245861</v>
      </c>
      <c r="N36" s="152">
        <f>'[1]January - 2023'!R36</f>
        <v>0</v>
      </c>
      <c r="O36" s="150">
        <f>'[1]January - 2023'!U36</f>
        <v>120055</v>
      </c>
      <c r="P36" s="152">
        <f>'[1]January - 2023'!V36</f>
        <v>47</v>
      </c>
      <c r="Q36" s="150">
        <f>'[1]January - 2023'!W36</f>
        <v>68.809999999997672</v>
      </c>
      <c r="R36" s="150">
        <f>'[1]January - 2023'!X36</f>
        <v>6703</v>
      </c>
      <c r="S36" s="188">
        <f>'[1]January - 2023'!Y36</f>
        <v>5</v>
      </c>
      <c r="T36" s="490"/>
      <c r="U36" s="151">
        <f>'[1]January - 2023'!AE36</f>
        <v>8270999.5199999996</v>
      </c>
      <c r="V36" s="218">
        <f>'[1]January - 2023'!AF36</f>
        <v>2777.0399999991059</v>
      </c>
      <c r="W36" s="88">
        <f>'[1]January - 2023'!AF36</f>
        <v>2777.0399999991059</v>
      </c>
      <c r="X36" s="233">
        <f>'[1]January - 2023'!AH36</f>
        <v>15700458.48</v>
      </c>
      <c r="Y36" s="218">
        <f>'[1]January - 2023'!AI36</f>
        <v>4725.839999999851</v>
      </c>
      <c r="Z36" s="88">
        <f>'[1]January - 2023'!AI36</f>
        <v>4725.839999999851</v>
      </c>
      <c r="AA36" s="233">
        <f>'[1]January - 2023'!AK36</f>
        <v>15913657.199999999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19048691.760000002</v>
      </c>
      <c r="AE36" s="218">
        <f>'[1]January - 2023'!AO36</f>
        <v>6382.3200000040233</v>
      </c>
      <c r="AF36" s="88">
        <f>'[1]January - 2023'!AO36</f>
        <v>6382.3200000040233</v>
      </c>
      <c r="AG36" s="233">
        <f>'[1]January - 2023'!AQ36</f>
        <v>19291268.639999997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17836392</v>
      </c>
      <c r="AK36" s="218">
        <f>'[1]January - 2023'!AU36</f>
        <v>4336.0800000019372</v>
      </c>
      <c r="AL36" s="88">
        <f>'[1]January - 2023'!AU36</f>
        <v>4336.0800000019372</v>
      </c>
      <c r="AM36" s="233">
        <f>'[1]January - 2023'!AW36</f>
        <v>14994992.880000001</v>
      </c>
      <c r="AN36" s="218">
        <f>'[1]January - 2023'!AX36</f>
        <v>3751.4400000013411</v>
      </c>
      <c r="AO36" s="88">
        <f>'[1]January - 2023'!AX36</f>
        <v>3751.4400000013411</v>
      </c>
      <c r="AP36" s="233">
        <f>'[1]January - 2023'!AZ36</f>
        <v>14535027.359999999</v>
      </c>
      <c r="AQ36" s="218">
        <f>'[1]January - 2023'!BA36</f>
        <v>4384.8000000007451</v>
      </c>
      <c r="AR36" s="88">
        <f>'[1]January - 2023'!BA36</f>
        <v>4384.8000000007451</v>
      </c>
      <c r="AS36" s="233">
        <f>'[1]January - 2023'!BC36</f>
        <v>11330664.24</v>
      </c>
      <c r="AT36" s="218">
        <f>'[1]January - 2023'!BD36</f>
        <v>2825.7599999997765</v>
      </c>
      <c r="AU36" s="88">
        <f>'[1]January - 2023'!BD36</f>
        <v>2825.7599999997765</v>
      </c>
      <c r="AV36" s="233">
        <f>'[1]January - 2023'!BF36</f>
        <v>17981139.119999997</v>
      </c>
      <c r="AW36" s="230">
        <f>'[1]January - 2023'!BG36</f>
        <v>5456.6399999968708</v>
      </c>
      <c r="AX36" s="231">
        <f>'[1]January - 2023'!BG36</f>
        <v>5456.6399999968708</v>
      </c>
      <c r="AY36" s="456"/>
      <c r="AZ36" s="250">
        <f>'[1]January - 2023'!BM36</f>
        <v>78617600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81543400</v>
      </c>
      <c r="BD36" s="224">
        <f>'[1]January - 2023'!BQ36</f>
        <v>26700</v>
      </c>
      <c r="BE36" s="89">
        <f>'[1]January - 2023'!BQ36</f>
        <v>26700</v>
      </c>
      <c r="BF36" s="250">
        <f>'[1]January - 2023'!BS36</f>
        <v>75355300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10564080</v>
      </c>
      <c r="BT36" s="166">
        <f>'[1]January - 2023'!BW36</f>
        <v>5960</v>
      </c>
      <c r="BU36" s="363"/>
      <c r="BV36" s="84">
        <f>'[1]January - 2023'!BY36</f>
        <v>0.61</v>
      </c>
      <c r="BW36" s="220">
        <f>'[1]January - 2023'!BZ36</f>
        <v>7.999999999999996E-2</v>
      </c>
      <c r="BX36" s="84">
        <f>'[1]January - 2023'!BZ36</f>
        <v>7.999999999999996E-2</v>
      </c>
      <c r="BY36" s="85">
        <f>'[1]January - 2023'!CB36</f>
        <v>65271</v>
      </c>
      <c r="BZ36" s="172">
        <f>'[1]January - 2023'!CC36</f>
        <v>18</v>
      </c>
      <c r="CA36" s="85">
        <f>'[1]January - 2023'!CD36</f>
        <v>56371</v>
      </c>
      <c r="CB36" s="172">
        <f>'[1]January - 2023'!CE36</f>
        <v>22</v>
      </c>
      <c r="CC36" s="85">
        <f>'[1]January - 2023'!CF36</f>
        <v>19034</v>
      </c>
      <c r="CD36" s="172">
        <f>'[1]January - 2023'!CG36</f>
        <v>8</v>
      </c>
      <c r="CE36" s="85">
        <f>'[1]January - 2023'!CH36</f>
        <v>26080</v>
      </c>
      <c r="CF36" s="172">
        <f>'[1]January - 2023'!CI36</f>
        <v>10</v>
      </c>
      <c r="CG36" s="85">
        <f>'[1]January - 2023'!CJ36</f>
        <v>29203</v>
      </c>
      <c r="CH36" s="172">
        <f>'[1]January - 2023'!CK36</f>
        <v>15</v>
      </c>
      <c r="CI36" s="85">
        <f>'[1]January - 2023'!CL36</f>
        <v>64229</v>
      </c>
      <c r="CJ36" s="172">
        <f>'[1]January - 2023'!CM36</f>
        <v>32</v>
      </c>
      <c r="CK36" s="85">
        <f>'[1]January - 2023'!CN36</f>
        <v>271737</v>
      </c>
      <c r="CL36" s="225">
        <f>'[1]January - 2023'!CO36</f>
        <v>80</v>
      </c>
      <c r="CM36" s="85">
        <f>'[1]January - 2023'!CO36</f>
        <v>80</v>
      </c>
      <c r="CN36" s="85">
        <f>'[1]January - 2023'!CQ36</f>
        <v>220605</v>
      </c>
      <c r="CO36" s="225">
        <f>'[1]January - 2023'!CR36</f>
        <v>139</v>
      </c>
      <c r="CP36" s="85">
        <f>'[1]January - 2023'!CR36</f>
        <v>139</v>
      </c>
      <c r="CQ36" s="85">
        <f>'[1]January - 2023'!CT36</f>
        <v>368449</v>
      </c>
      <c r="CR36" s="225">
        <f>'[1]January - 2023'!CU36</f>
        <v>299</v>
      </c>
      <c r="CS36" s="85">
        <f>'[1]January - 2023'!CU36</f>
        <v>299</v>
      </c>
      <c r="CT36" s="85">
        <f>'[1]January - 2023'!CW36</f>
        <v>703141</v>
      </c>
      <c r="CU36" s="172">
        <f>'[1]January - 2023'!CX36</f>
        <v>166</v>
      </c>
      <c r="CV36" s="423"/>
      <c r="CW36" s="234">
        <f>'[1]January - 2023'!CZ36</f>
        <v>9287</v>
      </c>
      <c r="CX36" s="179">
        <f>'[1]January - 2023'!DA36</f>
        <v>10</v>
      </c>
      <c r="CY36" s="235">
        <f>'[1]January - 2023'!DB36</f>
        <v>6293</v>
      </c>
      <c r="CZ36" s="179">
        <f>'[1]January - 2023'!DC36</f>
        <v>6</v>
      </c>
      <c r="DA36" s="235">
        <f>'[1]January - 2023'!DD36</f>
        <v>32926</v>
      </c>
      <c r="DB36" s="179">
        <f>'[1]January - 2023'!DE36</f>
        <v>17</v>
      </c>
      <c r="DC36" s="235">
        <f>'[1]January - 2023'!DF36</f>
        <v>33065</v>
      </c>
      <c r="DD36" s="179">
        <f>'[1]January - 2023'!DG36</f>
        <v>18</v>
      </c>
      <c r="DE36" s="235">
        <f>'[1]January - 2023'!DH36</f>
        <v>22374</v>
      </c>
      <c r="DF36" s="179">
        <f>'[1]January - 2023'!DI36</f>
        <v>11</v>
      </c>
      <c r="DG36" s="235">
        <f>'[1]January - 2023'!DJ36</f>
        <v>24333</v>
      </c>
      <c r="DH36" s="179">
        <f>'[1]January - 2023'!DK36</f>
        <v>5</v>
      </c>
      <c r="DI36" s="235">
        <f>'[1]January - 2023'!DL36</f>
        <v>7640</v>
      </c>
      <c r="DJ36" s="179">
        <f>'[1]January - 2023'!DM36</f>
        <v>12</v>
      </c>
      <c r="DK36" s="235">
        <f>'[1]January - 2023'!DN36</f>
        <v>10159</v>
      </c>
      <c r="DL36" s="179">
        <f>'[1]January - 2023'!DO36</f>
        <v>8</v>
      </c>
      <c r="DM36" s="235">
        <f>'[1]January - 2023'!DP36</f>
        <v>3489</v>
      </c>
      <c r="DN36" s="179">
        <f>'[1]January - 2023'!DQ36</f>
        <v>5</v>
      </c>
      <c r="DO36" s="235">
        <f>'[1]January - 2023'!DR36</f>
        <v>6863</v>
      </c>
      <c r="DP36" s="179">
        <f>'[1]January - 2023'!DS36</f>
        <v>7</v>
      </c>
      <c r="DQ36" s="235">
        <f>'[1]January - 2023'!DT36</f>
        <v>30489</v>
      </c>
      <c r="DR36" s="186">
        <f>'[1]January - 2023'!DU36</f>
        <v>0</v>
      </c>
      <c r="DS36" s="408"/>
      <c r="DT36" s="190">
        <f>'[1]January - 2023'!DW36</f>
        <v>6871.4</v>
      </c>
      <c r="DU36" s="201">
        <f>'[1]January - 2023'!DX36</f>
        <v>11.699999999999818</v>
      </c>
      <c r="DV36" s="87">
        <f>'[1]January - 2023'!DY36</f>
        <v>11668.4</v>
      </c>
      <c r="DW36" s="195">
        <f>'[1]January - 2023'!DZ36</f>
        <v>7</v>
      </c>
      <c r="DX36" s="87">
        <f>'[1]January - 2023'!EA36</f>
        <v>5119.2</v>
      </c>
      <c r="DY36" s="195">
        <f>'[1]January - 2023'!EB36</f>
        <v>6.0999999999994543</v>
      </c>
      <c r="DZ36" s="87">
        <f>'[1]January - 2023'!EC36</f>
        <v>5708.8</v>
      </c>
      <c r="EA36" s="195">
        <f>'[1]January - 2023'!ED36</f>
        <v>7.1000000000003638</v>
      </c>
      <c r="EB36" s="87">
        <f>'[1]January - 2023'!EE36</f>
        <v>1154498</v>
      </c>
      <c r="EC36" s="195">
        <f>'[1]January - 2023'!EF36</f>
        <v>543</v>
      </c>
      <c r="ED36" s="87">
        <f>'[1]January - 2023'!EI36</f>
        <v>238566.8</v>
      </c>
      <c r="EE36" s="208">
        <f>'[1]January - 2023'!EJ36</f>
        <v>158.59999999997672</v>
      </c>
      <c r="EF36" s="347"/>
      <c r="EG36" s="214">
        <f>'[1]January - 2023'!EL36</f>
        <v>12279000</v>
      </c>
      <c r="EH36" s="209">
        <f>'[1]January - 2023'!EM36</f>
        <v>1600</v>
      </c>
      <c r="EI36" s="86">
        <f>'[1]January - 2023'!EN36</f>
        <v>945120</v>
      </c>
      <c r="EJ36" s="209">
        <f>'[1]January - 2023'!EO36</f>
        <v>220</v>
      </c>
      <c r="EK36" s="86">
        <f>'[1]January - 2023'!EP36</f>
        <v>7292800</v>
      </c>
      <c r="EL36" s="209">
        <f>'[1]January - 2023'!EQ36</f>
        <v>600</v>
      </c>
      <c r="EM36" s="86">
        <f>'[1]January - 2023'!ER36</f>
        <v>2510400</v>
      </c>
      <c r="EN36" s="209">
        <f>'[1]January - 2023'!ES36</f>
        <v>200</v>
      </c>
      <c r="EO36" s="86">
        <f>'[1]January - 2023'!ET36</f>
        <v>1304670</v>
      </c>
      <c r="EP36" s="209">
        <f>'[1]January - 2023'!EU36</f>
        <v>530</v>
      </c>
      <c r="EQ36" s="86">
        <f>'[1]January - 2023'!EV36</f>
        <v>16727300</v>
      </c>
      <c r="ER36" s="209">
        <f>'[1]January - 2023'!EW36</f>
        <v>500</v>
      </c>
      <c r="ES36" s="395"/>
      <c r="ET36" s="256">
        <f>'[1]January - 2023'!EY36</f>
        <v>42903</v>
      </c>
      <c r="EU36" s="253">
        <f>'[1]January - 2023'!EZ36</f>
        <v>17</v>
      </c>
      <c r="EV36" s="257">
        <f>'[1]January - 2023'!FA36</f>
        <v>37429</v>
      </c>
      <c r="EW36" s="253">
        <f>'[1]January - 2023'!FB36</f>
        <v>12</v>
      </c>
      <c r="EX36" s="257">
        <f>'[1]January - 2023'!FC36</f>
        <v>8026</v>
      </c>
      <c r="EY36" s="253">
        <f>'[1]January - 2023'!FD36</f>
        <v>13</v>
      </c>
      <c r="EZ36" s="257">
        <f>'[1]January - 2023'!FE36</f>
        <v>59985</v>
      </c>
      <c r="FA36" s="253">
        <f>'[1]January - 2023'!FF36</f>
        <v>15</v>
      </c>
      <c r="FB36" s="257">
        <f>'[1]January - 2023'!FG36</f>
        <v>51199</v>
      </c>
      <c r="FC36" s="254">
        <f>'[1]January - 2023'!FH36</f>
        <v>38</v>
      </c>
    </row>
    <row r="37" spans="1:160" ht="30" customHeight="1" x14ac:dyDescent="0.25">
      <c r="A37" s="187">
        <v>44954</v>
      </c>
      <c r="B37" s="189">
        <f>'[1]January - 2023'!B37</f>
        <v>0.83</v>
      </c>
      <c r="C37" s="229">
        <f>'[1]January - 2023'!E37</f>
        <v>241473</v>
      </c>
      <c r="D37" s="152">
        <f>'[1]January - 2023'!F37</f>
        <v>577</v>
      </c>
      <c r="E37" s="150">
        <f>'[1]January - 2023'!G37</f>
        <v>534</v>
      </c>
      <c r="F37" s="150">
        <f>'[1]January - 2023'!H37</f>
        <v>264129</v>
      </c>
      <c r="G37" s="152">
        <f>'[1]January - 2023'!I37</f>
        <v>486</v>
      </c>
      <c r="H37" s="150">
        <f>'[1]January - 2023'!J37</f>
        <v>400</v>
      </c>
      <c r="I37" s="150">
        <f>'[1]January - 2023'!K37</f>
        <v>15269</v>
      </c>
      <c r="J37" s="152">
        <f>'[1]January - 2023'!L37</f>
        <v>0</v>
      </c>
      <c r="K37" s="150">
        <f>'[1]January - 2023'!N37</f>
        <v>929073</v>
      </c>
      <c r="L37" s="152">
        <f>'[1]January - 2023'!O37</f>
        <v>0</v>
      </c>
      <c r="M37" s="150">
        <f>'[1]January - 2023'!Q37</f>
        <v>245861</v>
      </c>
      <c r="N37" s="152">
        <f>'[1]January - 2023'!R37</f>
        <v>0</v>
      </c>
      <c r="O37" s="150">
        <f>'[1]January - 2023'!U37</f>
        <v>120109</v>
      </c>
      <c r="P37" s="152">
        <f>'[1]January - 2023'!V37</f>
        <v>54</v>
      </c>
      <c r="Q37" s="150">
        <f>'[1]January - 2023'!W37</f>
        <v>65.5</v>
      </c>
      <c r="R37" s="150">
        <f>'[1]January - 2023'!X37</f>
        <v>6705</v>
      </c>
      <c r="S37" s="188">
        <f>'[1]January - 2023'!Y37</f>
        <v>2</v>
      </c>
      <c r="T37" s="490"/>
      <c r="U37" s="151">
        <f>'[1]January - 2023'!AE37</f>
        <v>8272802.1599999992</v>
      </c>
      <c r="V37" s="218">
        <f>'[1]January - 2023'!AF37</f>
        <v>1802.6399999996647</v>
      </c>
      <c r="W37" s="88">
        <f>'[1]January - 2023'!AF37</f>
        <v>1802.6399999996647</v>
      </c>
      <c r="X37" s="233">
        <f>'[1]January - 2023'!AH37</f>
        <v>15704794.559999999</v>
      </c>
      <c r="Y37" s="218">
        <f>'[1]January - 2023'!AI37</f>
        <v>4336.0799999982119</v>
      </c>
      <c r="Z37" s="88">
        <f>'[1]January - 2023'!AI37</f>
        <v>4336.0799999982119</v>
      </c>
      <c r="AA37" s="233">
        <f>'[1]January - 2023'!AK37</f>
        <v>15913657.199999999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19050007.199999999</v>
      </c>
      <c r="AE37" s="218">
        <f>'[1]January - 2023'!AO37</f>
        <v>1315.4399999976158</v>
      </c>
      <c r="AF37" s="88">
        <f>'[1]January - 2023'!AO37</f>
        <v>1315.4399999976158</v>
      </c>
      <c r="AG37" s="233">
        <f>'[1]January - 2023'!AQ37</f>
        <v>19297163.760000002</v>
      </c>
      <c r="AH37" s="218">
        <f>'[1]January - 2023'!AR37</f>
        <v>5895.1200000047684</v>
      </c>
      <c r="AI37" s="88">
        <f>'[1]January - 2023'!AR37</f>
        <v>5895.1200000047684</v>
      </c>
      <c r="AJ37" s="233">
        <f>'[1]January - 2023'!AT37</f>
        <v>17840630.639999997</v>
      </c>
      <c r="AK37" s="218">
        <f>'[1]January - 2023'!AU37</f>
        <v>4238.6399999968708</v>
      </c>
      <c r="AL37" s="88">
        <f>'[1]January - 2023'!AU37</f>
        <v>4238.6399999968708</v>
      </c>
      <c r="AM37" s="233">
        <f>'[1]January - 2023'!AW37</f>
        <v>14998890.48</v>
      </c>
      <c r="AN37" s="218">
        <f>'[1]January - 2023'!AX37</f>
        <v>3897.5999999996275</v>
      </c>
      <c r="AO37" s="88">
        <f>'[1]January - 2023'!AX37</f>
        <v>3897.5999999996275</v>
      </c>
      <c r="AP37" s="233">
        <f>'[1]January - 2023'!AZ37</f>
        <v>14539217.280000001</v>
      </c>
      <c r="AQ37" s="218">
        <f>'[1]January - 2023'!BA37</f>
        <v>4189.9200000017881</v>
      </c>
      <c r="AR37" s="88">
        <f>'[1]January - 2023'!BA37</f>
        <v>4189.9200000017881</v>
      </c>
      <c r="AS37" s="233">
        <f>'[1]January - 2023'!BC37</f>
        <v>11333490</v>
      </c>
      <c r="AT37" s="218">
        <f>'[1]January - 2023'!BD37</f>
        <v>2825.7599999997765</v>
      </c>
      <c r="AU37" s="88">
        <f>'[1]January - 2023'!BD37</f>
        <v>2825.7599999997765</v>
      </c>
      <c r="AV37" s="233">
        <f>'[1]January - 2023'!BF37</f>
        <v>17986790.639999997</v>
      </c>
      <c r="AW37" s="230">
        <f>'[1]January - 2023'!BG37</f>
        <v>5651.519999999553</v>
      </c>
      <c r="AX37" s="231">
        <f>'[1]January - 2023'!BG37</f>
        <v>5651.519999999553</v>
      </c>
      <c r="AY37" s="456"/>
      <c r="AZ37" s="250">
        <f>'[1]January - 2023'!BM37</f>
        <v>78617600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81547000</v>
      </c>
      <c r="BD37" s="224">
        <f>'[1]January - 2023'!BQ37</f>
        <v>3600</v>
      </c>
      <c r="BE37" s="89">
        <f>'[1]January - 2023'!BQ37</f>
        <v>3600</v>
      </c>
      <c r="BF37" s="250">
        <f>'[1]January - 2023'!BS37</f>
        <v>75380800</v>
      </c>
      <c r="BG37" s="224">
        <f>'[1]January - 2023'!BT37</f>
        <v>25500</v>
      </c>
      <c r="BH37" s="89">
        <f>'[1]January - 2023'!BT37</f>
        <v>25500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10570620</v>
      </c>
      <c r="BT37" s="166">
        <f>'[1]January - 2023'!BW37</f>
        <v>6540</v>
      </c>
      <c r="BU37" s="363"/>
      <c r="BV37" s="84">
        <f>'[1]January - 2023'!BY37</f>
        <v>0.7</v>
      </c>
      <c r="BW37" s="220">
        <f>'[1]January - 2023'!BZ37</f>
        <v>-8.9999999999999969E-2</v>
      </c>
      <c r="BX37" s="84">
        <f>'[1]January - 2023'!BZ37</f>
        <v>-8.9999999999999969E-2</v>
      </c>
      <c r="BY37" s="85">
        <f>'[1]January - 2023'!CB37</f>
        <v>65287</v>
      </c>
      <c r="BZ37" s="172">
        <f>'[1]January - 2023'!CC37</f>
        <v>16</v>
      </c>
      <c r="CA37" s="85">
        <f>'[1]January - 2023'!CD37</f>
        <v>56392</v>
      </c>
      <c r="CB37" s="172">
        <f>'[1]January - 2023'!CE37</f>
        <v>21</v>
      </c>
      <c r="CC37" s="85">
        <f>'[1]January - 2023'!CF37</f>
        <v>19040</v>
      </c>
      <c r="CD37" s="172">
        <f>'[1]January - 2023'!CG37</f>
        <v>6</v>
      </c>
      <c r="CE37" s="85">
        <f>'[1]January - 2023'!CH37</f>
        <v>26089</v>
      </c>
      <c r="CF37" s="172">
        <f>'[1]January - 2023'!CI37</f>
        <v>9</v>
      </c>
      <c r="CG37" s="85">
        <f>'[1]January - 2023'!CJ37</f>
        <v>29217</v>
      </c>
      <c r="CH37" s="172">
        <f>'[1]January - 2023'!CK37</f>
        <v>14</v>
      </c>
      <c r="CI37" s="85">
        <f>'[1]January - 2023'!CL37</f>
        <v>64264</v>
      </c>
      <c r="CJ37" s="172">
        <f>'[1]January - 2023'!CM37</f>
        <v>35</v>
      </c>
      <c r="CK37" s="85">
        <f>'[1]January - 2023'!CN37</f>
        <v>271812</v>
      </c>
      <c r="CL37" s="225">
        <f>'[1]January - 2023'!CO37</f>
        <v>75</v>
      </c>
      <c r="CM37" s="85">
        <f>'[1]January - 2023'!CO37</f>
        <v>75</v>
      </c>
      <c r="CN37" s="85">
        <f>'[1]January - 2023'!CQ37</f>
        <v>220729</v>
      </c>
      <c r="CO37" s="225">
        <f>'[1]January - 2023'!CR37</f>
        <v>124</v>
      </c>
      <c r="CP37" s="85">
        <f>'[1]January - 2023'!CR37</f>
        <v>124</v>
      </c>
      <c r="CQ37" s="85">
        <f>'[1]January - 2023'!CT37</f>
        <v>368722</v>
      </c>
      <c r="CR37" s="225">
        <f>'[1]January - 2023'!CU37</f>
        <v>273</v>
      </c>
      <c r="CS37" s="85">
        <f>'[1]January - 2023'!CU37</f>
        <v>273</v>
      </c>
      <c r="CT37" s="85">
        <f>'[1]January - 2023'!CW37</f>
        <v>703300</v>
      </c>
      <c r="CU37" s="172">
        <f>'[1]January - 2023'!CX37</f>
        <v>159</v>
      </c>
      <c r="CV37" s="423"/>
      <c r="CW37" s="234">
        <f>'[1]January - 2023'!CZ37</f>
        <v>9297</v>
      </c>
      <c r="CX37" s="179">
        <f>'[1]January - 2023'!DA37</f>
        <v>10</v>
      </c>
      <c r="CY37" s="235">
        <f>'[1]January - 2023'!DB37</f>
        <v>6296</v>
      </c>
      <c r="CZ37" s="179">
        <f>'[1]January - 2023'!DC37</f>
        <v>3</v>
      </c>
      <c r="DA37" s="235">
        <f>'[1]January - 2023'!DD37</f>
        <v>32942</v>
      </c>
      <c r="DB37" s="179">
        <f>'[1]January - 2023'!DE37</f>
        <v>16</v>
      </c>
      <c r="DC37" s="235">
        <f>'[1]January - 2023'!DF37</f>
        <v>33075</v>
      </c>
      <c r="DD37" s="179">
        <f>'[1]January - 2023'!DG37</f>
        <v>10</v>
      </c>
      <c r="DE37" s="235">
        <f>'[1]January - 2023'!DH37</f>
        <v>22384</v>
      </c>
      <c r="DF37" s="179">
        <f>'[1]January - 2023'!DI37</f>
        <v>10</v>
      </c>
      <c r="DG37" s="235">
        <f>'[1]January - 2023'!DJ37</f>
        <v>24338</v>
      </c>
      <c r="DH37" s="179">
        <f>'[1]January - 2023'!DK37</f>
        <v>5</v>
      </c>
      <c r="DI37" s="235">
        <f>'[1]January - 2023'!DL37</f>
        <v>7648</v>
      </c>
      <c r="DJ37" s="179">
        <f>'[1]January - 2023'!DM37</f>
        <v>8</v>
      </c>
      <c r="DK37" s="235">
        <f>'[1]January - 2023'!DN37</f>
        <v>10166</v>
      </c>
      <c r="DL37" s="179">
        <f>'[1]January - 2023'!DO37</f>
        <v>7</v>
      </c>
      <c r="DM37" s="235">
        <f>'[1]January - 2023'!DP37</f>
        <v>3493</v>
      </c>
      <c r="DN37" s="179">
        <f>'[1]January - 2023'!DQ37</f>
        <v>4</v>
      </c>
      <c r="DO37" s="235">
        <f>'[1]January - 2023'!DR37</f>
        <v>6869</v>
      </c>
      <c r="DP37" s="179">
        <f>'[1]January - 2023'!DS37</f>
        <v>6</v>
      </c>
      <c r="DQ37" s="235">
        <f>'[1]January - 2023'!DT37</f>
        <v>30489</v>
      </c>
      <c r="DR37" s="186">
        <f>'[1]January - 2023'!DU37</f>
        <v>0</v>
      </c>
      <c r="DS37" s="408"/>
      <c r="DT37" s="190">
        <f>'[1]January - 2023'!DW37</f>
        <v>6882.9</v>
      </c>
      <c r="DU37" s="201">
        <f>'[1]January - 2023'!DX37</f>
        <v>11.5</v>
      </c>
      <c r="DV37" s="87">
        <f>'[1]January - 2023'!DY37</f>
        <v>11675.2</v>
      </c>
      <c r="DW37" s="195">
        <f>'[1]January - 2023'!DZ37</f>
        <v>6.8000000000010914</v>
      </c>
      <c r="DX37" s="87">
        <f>'[1]January - 2023'!EA37</f>
        <v>5124.8</v>
      </c>
      <c r="DY37" s="195">
        <f>'[1]January - 2023'!EB37</f>
        <v>5.6000000000003638</v>
      </c>
      <c r="DZ37" s="87">
        <f>'[1]January - 2023'!EC37</f>
        <v>5716.2</v>
      </c>
      <c r="EA37" s="195">
        <f>'[1]January - 2023'!ED37</f>
        <v>7.3999999999996362</v>
      </c>
      <c r="EB37" s="87">
        <f>'[1]January - 2023'!EE37</f>
        <v>1155064</v>
      </c>
      <c r="EC37" s="195">
        <f>'[1]January - 2023'!EF37</f>
        <v>566</v>
      </c>
      <c r="ED37" s="87">
        <f>'[1]January - 2023'!EI37</f>
        <v>238716</v>
      </c>
      <c r="EE37" s="208">
        <f>'[1]January - 2023'!EJ37</f>
        <v>149.20000000001164</v>
      </c>
      <c r="EF37" s="347"/>
      <c r="EG37" s="214">
        <f>'[1]January - 2023'!EL37</f>
        <v>12280700</v>
      </c>
      <c r="EH37" s="209">
        <f>'[1]January - 2023'!EM37</f>
        <v>1700</v>
      </c>
      <c r="EI37" s="86">
        <f>'[1]January - 2023'!EN37</f>
        <v>945330</v>
      </c>
      <c r="EJ37" s="209">
        <f>'[1]January - 2023'!EO37</f>
        <v>210</v>
      </c>
      <c r="EK37" s="86">
        <f>'[1]January - 2023'!EP37</f>
        <v>7293400</v>
      </c>
      <c r="EL37" s="209">
        <f>'[1]January - 2023'!EQ37</f>
        <v>600</v>
      </c>
      <c r="EM37" s="86">
        <f>'[1]January - 2023'!ER37</f>
        <v>2510500</v>
      </c>
      <c r="EN37" s="209">
        <f>'[1]January - 2023'!ES37</f>
        <v>100</v>
      </c>
      <c r="EO37" s="86">
        <f>'[1]January - 2023'!ET37</f>
        <v>1305330</v>
      </c>
      <c r="EP37" s="209">
        <f>'[1]January - 2023'!EU37</f>
        <v>660</v>
      </c>
      <c r="EQ37" s="86">
        <f>'[1]January - 2023'!EV37</f>
        <v>16727900</v>
      </c>
      <c r="ER37" s="209">
        <f>'[1]January - 2023'!EW37</f>
        <v>600</v>
      </c>
      <c r="ES37" s="395"/>
      <c r="ET37" s="256">
        <f>'[1]January - 2023'!EY37</f>
        <v>42919</v>
      </c>
      <c r="EU37" s="253">
        <f>'[1]January - 2023'!EZ37</f>
        <v>16</v>
      </c>
      <c r="EV37" s="257">
        <f>'[1]January - 2023'!FA37</f>
        <v>37440</v>
      </c>
      <c r="EW37" s="253">
        <f>'[1]January - 2023'!FB37</f>
        <v>11</v>
      </c>
      <c r="EX37" s="257">
        <f>'[1]January - 2023'!FC37</f>
        <v>8040</v>
      </c>
      <c r="EY37" s="253">
        <f>'[1]January - 2023'!FD37</f>
        <v>14</v>
      </c>
      <c r="EZ37" s="257">
        <f>'[1]January - 2023'!FE37</f>
        <v>60000</v>
      </c>
      <c r="FA37" s="253">
        <f>'[1]January - 2023'!FF37</f>
        <v>15</v>
      </c>
      <c r="FB37" s="257">
        <f>'[1]January - 2023'!FG37</f>
        <v>51233</v>
      </c>
      <c r="FC37" s="254">
        <f>'[1]January - 2023'!FH37</f>
        <v>34</v>
      </c>
    </row>
    <row r="38" spans="1:160" ht="30" customHeight="1" x14ac:dyDescent="0.25">
      <c r="A38" s="187">
        <v>44955</v>
      </c>
      <c r="B38" s="189">
        <f>'[1]January - 2023'!B38</f>
        <v>0.71</v>
      </c>
      <c r="C38" s="229">
        <f>'[1]January - 2023'!E38</f>
        <v>242006</v>
      </c>
      <c r="D38" s="152">
        <f>'[1]January - 2023'!F38</f>
        <v>533</v>
      </c>
      <c r="E38" s="150">
        <f>'[1]January - 2023'!G38</f>
        <v>565</v>
      </c>
      <c r="F38" s="150">
        <f>'[1]January - 2023'!H38</f>
        <v>264544</v>
      </c>
      <c r="G38" s="152">
        <f>'[1]January - 2023'!I38</f>
        <v>415</v>
      </c>
      <c r="H38" s="150">
        <f>'[1]January - 2023'!J38</f>
        <v>429</v>
      </c>
      <c r="I38" s="150">
        <f>'[1]January - 2023'!K38</f>
        <v>15269</v>
      </c>
      <c r="J38" s="152">
        <f>'[1]January - 2023'!L38</f>
        <v>0</v>
      </c>
      <c r="K38" s="150">
        <f>'[1]January - 2023'!N38</f>
        <v>929292</v>
      </c>
      <c r="L38" s="152">
        <f>'[1]January - 2023'!O38</f>
        <v>219</v>
      </c>
      <c r="M38" s="150">
        <f>'[1]January - 2023'!Q38</f>
        <v>245861</v>
      </c>
      <c r="N38" s="152">
        <f>'[1]January - 2023'!R38</f>
        <v>0</v>
      </c>
      <c r="O38" s="150">
        <f>'[1]January - 2023'!U38</f>
        <v>120159</v>
      </c>
      <c r="P38" s="152">
        <f>'[1]January - 2023'!V38</f>
        <v>50</v>
      </c>
      <c r="Q38" s="150">
        <f>'[1]January - 2023'!W38</f>
        <v>71.5</v>
      </c>
      <c r="R38" s="150">
        <f>'[1]January - 2023'!X38</f>
        <v>6712</v>
      </c>
      <c r="S38" s="188">
        <f>'[1]January - 2023'!Y38</f>
        <v>7</v>
      </c>
      <c r="T38" s="490"/>
      <c r="U38" s="151">
        <f>'[1]January - 2023'!AE38</f>
        <v>8274799.6800000006</v>
      </c>
      <c r="V38" s="218">
        <f>'[1]January - 2023'!AF38</f>
        <v>1997.5200000014156</v>
      </c>
      <c r="W38" s="88">
        <f>'[1]January - 2023'!AF38</f>
        <v>1997.5200000014156</v>
      </c>
      <c r="X38" s="233">
        <f>'[1]January - 2023'!AH38</f>
        <v>15709228.08</v>
      </c>
      <c r="Y38" s="218">
        <f>'[1]January - 2023'!AI38</f>
        <v>4433.5200000014156</v>
      </c>
      <c r="Z38" s="88">
        <f>'[1]January - 2023'!AI38</f>
        <v>4433.5200000014156</v>
      </c>
      <c r="AA38" s="233">
        <f>'[1]January - 2023'!AK38</f>
        <v>15913657.199999999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19050932.879999999</v>
      </c>
      <c r="AE38" s="218">
        <f>'[1]January - 2023'!AO38</f>
        <v>925.67999999970198</v>
      </c>
      <c r="AF38" s="88">
        <f>'[1]January - 2023'!AO38</f>
        <v>925.67999999970198</v>
      </c>
      <c r="AG38" s="233">
        <f>'[1]January - 2023'!AQ38</f>
        <v>19303546.080000002</v>
      </c>
      <c r="AH38" s="218">
        <f>'[1]January - 2023'!AR38</f>
        <v>6382.320000000298</v>
      </c>
      <c r="AI38" s="88">
        <f>'[1]January - 2023'!AR38</f>
        <v>6382.320000000298</v>
      </c>
      <c r="AJ38" s="233">
        <f>'[1]January - 2023'!AT38</f>
        <v>17845064.16</v>
      </c>
      <c r="AK38" s="218">
        <f>'[1]January - 2023'!AU38</f>
        <v>4433.5200000032783</v>
      </c>
      <c r="AL38" s="88">
        <f>'[1]January - 2023'!AU38</f>
        <v>4433.5200000032783</v>
      </c>
      <c r="AM38" s="233">
        <f>'[1]January - 2023'!AW38</f>
        <v>15002739.359999999</v>
      </c>
      <c r="AN38" s="218">
        <f>'[1]January - 2023'!AX38</f>
        <v>3848.8799999989569</v>
      </c>
      <c r="AO38" s="88">
        <f>'[1]January - 2023'!AX38</f>
        <v>3848.8799999989569</v>
      </c>
      <c r="AP38" s="233">
        <f>'[1]January - 2023'!AZ38</f>
        <v>14543699.52</v>
      </c>
      <c r="AQ38" s="218">
        <f>'[1]January - 2023'!BA38</f>
        <v>4482.2399999983609</v>
      </c>
      <c r="AR38" s="88">
        <f>'[1]January - 2023'!BA38</f>
        <v>4482.2399999983609</v>
      </c>
      <c r="AS38" s="233">
        <f>'[1]January - 2023'!BC38</f>
        <v>11336656.799999999</v>
      </c>
      <c r="AT38" s="218">
        <f>'[1]January - 2023'!BD38</f>
        <v>3166.7999999988824</v>
      </c>
      <c r="AU38" s="88">
        <f>'[1]January - 2023'!BD38</f>
        <v>3166.7999999988824</v>
      </c>
      <c r="AV38" s="233">
        <f>'[1]January - 2023'!BF38</f>
        <v>17992149.84</v>
      </c>
      <c r="AW38" s="230">
        <f>'[1]January - 2023'!BG38</f>
        <v>5359.2000000029802</v>
      </c>
      <c r="AX38" s="231">
        <f>'[1]January - 2023'!BG38</f>
        <v>5359.2000000029802</v>
      </c>
      <c r="AY38" s="456"/>
      <c r="AZ38" s="250">
        <f>'[1]January - 2023'!BM38</f>
        <v>78617600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81547000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75408100</v>
      </c>
      <c r="BG38" s="224">
        <f>'[1]January - 2023'!BT38</f>
        <v>27300</v>
      </c>
      <c r="BH38" s="89">
        <f>'[1]January - 2023'!BT38</f>
        <v>27300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10577120</v>
      </c>
      <c r="BT38" s="166">
        <f>'[1]January - 2023'!BW38</f>
        <v>6500</v>
      </c>
      <c r="BU38" s="363"/>
      <c r="BV38" s="84">
        <f>'[1]January - 2023'!BY38</f>
        <v>0.64</v>
      </c>
      <c r="BW38" s="220">
        <f>'[1]January - 2023'!BZ38</f>
        <v>5.9999999999999942E-2</v>
      </c>
      <c r="BX38" s="84">
        <f>'[1]January - 2023'!BZ38</f>
        <v>5.9999999999999942E-2</v>
      </c>
      <c r="BY38" s="85">
        <f>'[1]January - 2023'!CB38</f>
        <v>65308</v>
      </c>
      <c r="BZ38" s="172">
        <f>'[1]January - 2023'!CC38</f>
        <v>21</v>
      </c>
      <c r="CA38" s="85">
        <f>'[1]January - 2023'!CD38</f>
        <v>56419</v>
      </c>
      <c r="CB38" s="172">
        <f>'[1]January - 2023'!CE38</f>
        <v>27</v>
      </c>
      <c r="CC38" s="85">
        <f>'[1]January - 2023'!CF38</f>
        <v>19049</v>
      </c>
      <c r="CD38" s="172">
        <f>'[1]January - 2023'!CG38</f>
        <v>9</v>
      </c>
      <c r="CE38" s="85">
        <f>'[1]January - 2023'!CH38</f>
        <v>26100</v>
      </c>
      <c r="CF38" s="172">
        <f>'[1]January - 2023'!CI38</f>
        <v>11</v>
      </c>
      <c r="CG38" s="85">
        <f>'[1]January - 2023'!CJ38</f>
        <v>29231</v>
      </c>
      <c r="CH38" s="172">
        <f>'[1]January - 2023'!CK38</f>
        <v>14</v>
      </c>
      <c r="CI38" s="85">
        <f>'[1]January - 2023'!CL38</f>
        <v>64300</v>
      </c>
      <c r="CJ38" s="172">
        <f>'[1]January - 2023'!CM38</f>
        <v>36</v>
      </c>
      <c r="CK38" s="85">
        <f>'[1]January - 2023'!CN38</f>
        <v>271890</v>
      </c>
      <c r="CL38" s="225">
        <f>'[1]January - 2023'!CO38</f>
        <v>78</v>
      </c>
      <c r="CM38" s="85">
        <f>'[1]January - 2023'!CO38</f>
        <v>78</v>
      </c>
      <c r="CN38" s="85">
        <f>'[1]January - 2023'!CQ38</f>
        <v>220852</v>
      </c>
      <c r="CO38" s="225">
        <f>'[1]January - 2023'!CR38</f>
        <v>123</v>
      </c>
      <c r="CP38" s="85">
        <f>'[1]January - 2023'!CR38</f>
        <v>123</v>
      </c>
      <c r="CQ38" s="85">
        <f>'[1]January - 2023'!CT38</f>
        <v>369008</v>
      </c>
      <c r="CR38" s="225">
        <f>'[1]January - 2023'!CU38</f>
        <v>286</v>
      </c>
      <c r="CS38" s="85">
        <f>'[1]January - 2023'!CU38</f>
        <v>286</v>
      </c>
      <c r="CT38" s="85">
        <f>'[1]January - 2023'!CW38</f>
        <v>703474</v>
      </c>
      <c r="CU38" s="172">
        <f>'[1]January - 2023'!CX38</f>
        <v>174</v>
      </c>
      <c r="CV38" s="423"/>
      <c r="CW38" s="234">
        <f>'[1]January - 2023'!CZ38</f>
        <v>9301</v>
      </c>
      <c r="CX38" s="179">
        <f>'[1]January - 2023'!DA38</f>
        <v>4</v>
      </c>
      <c r="CY38" s="235">
        <f>'[1]January - 2023'!DB38</f>
        <v>6299</v>
      </c>
      <c r="CZ38" s="179">
        <f>'[1]January - 2023'!DC38</f>
        <v>3</v>
      </c>
      <c r="DA38" s="235">
        <f>'[1]January - 2023'!DD38</f>
        <v>32959</v>
      </c>
      <c r="DB38" s="179">
        <f>'[1]January - 2023'!DE38</f>
        <v>17</v>
      </c>
      <c r="DC38" s="235">
        <f>'[1]January - 2023'!DF38</f>
        <v>33101</v>
      </c>
      <c r="DD38" s="179">
        <f>'[1]January - 2023'!DG38</f>
        <v>26</v>
      </c>
      <c r="DE38" s="235">
        <f>'[1]January - 2023'!DH38</f>
        <v>22393</v>
      </c>
      <c r="DF38" s="179">
        <f>'[1]January - 2023'!DI38</f>
        <v>9</v>
      </c>
      <c r="DG38" s="235">
        <f>'[1]January - 2023'!DJ38</f>
        <v>24342</v>
      </c>
      <c r="DH38" s="179">
        <f>'[1]January - 2023'!DK38</f>
        <v>4</v>
      </c>
      <c r="DI38" s="235">
        <f>'[1]January - 2023'!DL38</f>
        <v>7665</v>
      </c>
      <c r="DJ38" s="179">
        <f>'[1]January - 2023'!DM38</f>
        <v>17</v>
      </c>
      <c r="DK38" s="235">
        <f>'[1]January - 2023'!DN38</f>
        <v>10179</v>
      </c>
      <c r="DL38" s="179">
        <f>'[1]January - 2023'!DO38</f>
        <v>13</v>
      </c>
      <c r="DM38" s="235">
        <f>'[1]January - 2023'!DP38</f>
        <v>3500</v>
      </c>
      <c r="DN38" s="179">
        <f>'[1]January - 2023'!DQ38</f>
        <v>7</v>
      </c>
      <c r="DO38" s="235">
        <f>'[1]January - 2023'!DR38</f>
        <v>6878</v>
      </c>
      <c r="DP38" s="179">
        <f>'[1]January - 2023'!DS38</f>
        <v>9</v>
      </c>
      <c r="DQ38" s="235">
        <f>'[1]January - 2023'!DT38</f>
        <v>30492</v>
      </c>
      <c r="DR38" s="186">
        <f>'[1]January - 2023'!DU38</f>
        <v>3</v>
      </c>
      <c r="DS38" s="408"/>
      <c r="DT38" s="190">
        <f>'[1]January - 2023'!DW38</f>
        <v>6893.7</v>
      </c>
      <c r="DU38" s="201">
        <f>'[1]January - 2023'!DX38</f>
        <v>10.800000000000182</v>
      </c>
      <c r="DV38" s="87">
        <f>'[1]January - 2023'!DY38</f>
        <v>11681.7</v>
      </c>
      <c r="DW38" s="195">
        <f>'[1]January - 2023'!DZ38</f>
        <v>6.5</v>
      </c>
      <c r="DX38" s="87">
        <f>'[1]January - 2023'!EA38</f>
        <v>5130.7</v>
      </c>
      <c r="DY38" s="195">
        <f>'[1]January - 2023'!EB38</f>
        <v>5.8999999999996362</v>
      </c>
      <c r="DZ38" s="87">
        <f>'[1]January - 2023'!EC38</f>
        <v>5723</v>
      </c>
      <c r="EA38" s="195">
        <f>'[1]January - 2023'!ED38</f>
        <v>6.8000000000001819</v>
      </c>
      <c r="EB38" s="87">
        <f>'[1]January - 2023'!EE38</f>
        <v>1155586</v>
      </c>
      <c r="EC38" s="195">
        <f>'[1]January - 2023'!EF38</f>
        <v>522</v>
      </c>
      <c r="ED38" s="87">
        <f>'[1]January - 2023'!EI38</f>
        <v>238865.1</v>
      </c>
      <c r="EE38" s="208">
        <f>'[1]January - 2023'!EJ38</f>
        <v>149.10000000000582</v>
      </c>
      <c r="EF38" s="347"/>
      <c r="EG38" s="214">
        <f>'[1]January - 2023'!EL38</f>
        <v>12282400</v>
      </c>
      <c r="EH38" s="209">
        <f>'[1]January - 2023'!EM38</f>
        <v>1700</v>
      </c>
      <c r="EI38" s="86">
        <f>'[1]January - 2023'!EN38</f>
        <v>945570</v>
      </c>
      <c r="EJ38" s="209">
        <f>'[1]January - 2023'!EO38</f>
        <v>240</v>
      </c>
      <c r="EK38" s="86">
        <f>'[1]January - 2023'!EP38</f>
        <v>7294200</v>
      </c>
      <c r="EL38" s="209">
        <f>'[1]January - 2023'!EQ38</f>
        <v>800</v>
      </c>
      <c r="EM38" s="86">
        <f>'[1]January - 2023'!ER38</f>
        <v>2510600</v>
      </c>
      <c r="EN38" s="209">
        <f>'[1]January - 2023'!ES38</f>
        <v>100</v>
      </c>
      <c r="EO38" s="86">
        <f>'[1]January - 2023'!ET38</f>
        <v>1305760</v>
      </c>
      <c r="EP38" s="209">
        <f>'[1]January - 2023'!EU38</f>
        <v>430</v>
      </c>
      <c r="EQ38" s="86">
        <f>'[1]January - 2023'!EV38</f>
        <v>16728400</v>
      </c>
      <c r="ER38" s="209">
        <f>'[1]January - 2023'!EW38</f>
        <v>500</v>
      </c>
      <c r="ES38" s="395"/>
      <c r="ET38" s="256">
        <f>'[1]January - 2023'!EY38</f>
        <v>42934</v>
      </c>
      <c r="EU38" s="253">
        <f>'[1]January - 2023'!EZ38</f>
        <v>15</v>
      </c>
      <c r="EV38" s="257">
        <f>'[1]January - 2023'!FA38</f>
        <v>37451</v>
      </c>
      <c r="EW38" s="253">
        <f>'[1]January - 2023'!FB38</f>
        <v>11</v>
      </c>
      <c r="EX38" s="257">
        <f>'[1]January - 2023'!FC38</f>
        <v>8051</v>
      </c>
      <c r="EY38" s="253">
        <f>'[1]January - 2023'!FD38</f>
        <v>11</v>
      </c>
      <c r="EZ38" s="257">
        <f>'[1]January - 2023'!FE38</f>
        <v>60011</v>
      </c>
      <c r="FA38" s="253">
        <f>'[1]January - 2023'!FF38</f>
        <v>11</v>
      </c>
      <c r="FB38" s="257">
        <f>'[1]January - 2023'!FG38</f>
        <v>51263</v>
      </c>
      <c r="FC38" s="254">
        <f>'[1]January - 2023'!FH38</f>
        <v>30</v>
      </c>
    </row>
    <row r="39" spans="1:160" ht="30" customHeight="1" x14ac:dyDescent="0.25">
      <c r="A39" s="187">
        <v>44956</v>
      </c>
      <c r="B39" s="189">
        <f>'[1]January - 2023'!B39</f>
        <v>0.7</v>
      </c>
      <c r="C39" s="229">
        <f>'[1]January - 2023'!E39</f>
        <v>242506</v>
      </c>
      <c r="D39" s="152">
        <f>'[1]January - 2023'!F39</f>
        <v>500</v>
      </c>
      <c r="E39" s="150">
        <f>'[1]January - 2023'!G39</f>
        <v>511</v>
      </c>
      <c r="F39" s="150">
        <f>'[1]January - 2023'!H39</f>
        <v>264947</v>
      </c>
      <c r="G39" s="152">
        <f>'[1]January - 2023'!I39</f>
        <v>403</v>
      </c>
      <c r="H39" s="150">
        <f>'[1]January - 2023'!J39</f>
        <v>394</v>
      </c>
      <c r="I39" s="150">
        <f>'[1]January - 2023'!K39</f>
        <v>15281</v>
      </c>
      <c r="J39" s="152">
        <f>'[1]January - 2023'!L39</f>
        <v>12</v>
      </c>
      <c r="K39" s="150">
        <f>'[1]January - 2023'!N39</f>
        <v>929437</v>
      </c>
      <c r="L39" s="152">
        <f>'[1]January - 2023'!O39</f>
        <v>145</v>
      </c>
      <c r="M39" s="150">
        <f>'[1]January - 2023'!Q39</f>
        <v>245869</v>
      </c>
      <c r="N39" s="152">
        <f>'[1]January - 2023'!R39</f>
        <v>8</v>
      </c>
      <c r="O39" s="150">
        <f>'[1]January - 2023'!U39</f>
        <v>120217</v>
      </c>
      <c r="P39" s="152">
        <f>'[1]January - 2023'!V39</f>
        <v>58</v>
      </c>
      <c r="Q39" s="150">
        <f>'[1]January - 2023'!W39</f>
        <v>65.340000000003783</v>
      </c>
      <c r="R39" s="150">
        <f>'[1]January - 2023'!X39</f>
        <v>6714</v>
      </c>
      <c r="S39" s="188">
        <f>'[1]January - 2023'!Y39</f>
        <v>2</v>
      </c>
      <c r="T39" s="490"/>
      <c r="U39" s="151">
        <f>'[1]January - 2023'!AE39</f>
        <v>8276651.04</v>
      </c>
      <c r="V39" s="218">
        <f>'[1]January - 2023'!AF39</f>
        <v>1851.359999999404</v>
      </c>
      <c r="W39" s="88">
        <f>'[1]January - 2023'!AF39</f>
        <v>1851.359999999404</v>
      </c>
      <c r="X39" s="233">
        <f>'[1]January - 2023'!AH39</f>
        <v>15713612.880000001</v>
      </c>
      <c r="Y39" s="218">
        <f>'[1]January - 2023'!AI39</f>
        <v>4384.8000000007451</v>
      </c>
      <c r="Z39" s="88">
        <f>'[1]January - 2023'!AI39</f>
        <v>4384.8000000007451</v>
      </c>
      <c r="AA39" s="233">
        <f>'[1]January - 2023'!AK39</f>
        <v>15913657.199999999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19052053.439999998</v>
      </c>
      <c r="AE39" s="218">
        <f>'[1]January - 2023'!AO39</f>
        <v>1120.5599999986589</v>
      </c>
      <c r="AF39" s="88">
        <f>'[1]January - 2023'!AO39</f>
        <v>1120.5599999986589</v>
      </c>
      <c r="AG39" s="233">
        <f>'[1]January - 2023'!AQ39</f>
        <v>19310025.84</v>
      </c>
      <c r="AH39" s="218">
        <f>'[1]January - 2023'!AR39</f>
        <v>6479.7599999979138</v>
      </c>
      <c r="AI39" s="88">
        <f>'[1]January - 2023'!AR39</f>
        <v>6479.7599999979138</v>
      </c>
      <c r="AJ39" s="233">
        <f>'[1]January - 2023'!AT39</f>
        <v>17849400.239999998</v>
      </c>
      <c r="AK39" s="218">
        <f>'[1]January - 2023'!AU39</f>
        <v>4336.0799999982119</v>
      </c>
      <c r="AL39" s="88">
        <f>'[1]January - 2023'!AU39</f>
        <v>4336.0799999982119</v>
      </c>
      <c r="AM39" s="233">
        <f>'[1]January - 2023'!AW39</f>
        <v>15006442.08</v>
      </c>
      <c r="AN39" s="218">
        <f>'[1]January - 2023'!AX39</f>
        <v>3702.7200000006706</v>
      </c>
      <c r="AO39" s="88">
        <f>'[1]January - 2023'!AX39</f>
        <v>3702.7200000006706</v>
      </c>
      <c r="AP39" s="233">
        <f>'[1]January - 2023'!AZ39</f>
        <v>14547792</v>
      </c>
      <c r="AQ39" s="218">
        <f>'[1]January - 2023'!BA39</f>
        <v>4092.480000000447</v>
      </c>
      <c r="AR39" s="88">
        <f>'[1]January - 2023'!BA39</f>
        <v>4092.480000000447</v>
      </c>
      <c r="AS39" s="233">
        <f>'[1]January - 2023'!BC39</f>
        <v>11339580</v>
      </c>
      <c r="AT39" s="218">
        <f>'[1]January - 2023'!BD39</f>
        <v>2923.2000000011176</v>
      </c>
      <c r="AU39" s="88">
        <f>'[1]January - 2023'!BD39</f>
        <v>2923.2000000011176</v>
      </c>
      <c r="AV39" s="233">
        <f>'[1]January - 2023'!BF39</f>
        <v>17997362.879999999</v>
      </c>
      <c r="AW39" s="230">
        <f>'[1]January - 2023'!BG39</f>
        <v>5213.0399999991059</v>
      </c>
      <c r="AX39" s="231">
        <f>'[1]January - 2023'!BG39</f>
        <v>5213.0399999991059</v>
      </c>
      <c r="AY39" s="456"/>
      <c r="AZ39" s="250">
        <f>'[1]January - 2023'!BM39</f>
        <v>78617600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81547000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75438500</v>
      </c>
      <c r="BG39" s="224">
        <f>'[1]January - 2023'!BT39</f>
        <v>30400</v>
      </c>
      <c r="BH39" s="89">
        <f>'[1]January - 2023'!BT39</f>
        <v>30400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10583100</v>
      </c>
      <c r="BT39" s="166">
        <f>'[1]January - 2023'!BW39</f>
        <v>5980</v>
      </c>
      <c r="BU39" s="364"/>
      <c r="BV39" s="84">
        <f>'[1]January - 2023'!BY39</f>
        <v>0.65</v>
      </c>
      <c r="BW39" s="220">
        <f>'[1]January - 2023'!BZ39</f>
        <v>-1.0000000000000009E-2</v>
      </c>
      <c r="BX39" s="84">
        <f>'[1]January - 2023'!BZ39</f>
        <v>-1.0000000000000009E-2</v>
      </c>
      <c r="BY39" s="85">
        <f>'[1]January - 2023'!CB39</f>
        <v>65321</v>
      </c>
      <c r="BZ39" s="172">
        <f>'[1]January - 2023'!CC39</f>
        <v>13</v>
      </c>
      <c r="CA39" s="85">
        <f>'[1]January - 2023'!CD39</f>
        <v>56436</v>
      </c>
      <c r="CB39" s="172">
        <f>'[1]January - 2023'!CE39</f>
        <v>17</v>
      </c>
      <c r="CC39" s="85">
        <f>'[1]January - 2023'!CF39</f>
        <v>19054</v>
      </c>
      <c r="CD39" s="172">
        <f>'[1]January - 2023'!CG39</f>
        <v>5</v>
      </c>
      <c r="CE39" s="85">
        <f>'[1]January - 2023'!CH39</f>
        <v>26107</v>
      </c>
      <c r="CF39" s="172">
        <f>'[1]January - 2023'!CI39</f>
        <v>7</v>
      </c>
      <c r="CG39" s="85">
        <f>'[1]January - 2023'!CJ39</f>
        <v>29246</v>
      </c>
      <c r="CH39" s="172">
        <f>'[1]January - 2023'!CK39</f>
        <v>15</v>
      </c>
      <c r="CI39" s="85">
        <f>'[1]January - 2023'!CL39</f>
        <v>64335</v>
      </c>
      <c r="CJ39" s="172">
        <f>'[1]January - 2023'!CM39</f>
        <v>35</v>
      </c>
      <c r="CK39" s="85">
        <f>'[1]January - 2023'!CN39</f>
        <v>271966</v>
      </c>
      <c r="CL39" s="225">
        <f>'[1]January - 2023'!CO39</f>
        <v>76</v>
      </c>
      <c r="CM39" s="85">
        <f>'[1]January - 2023'!CO39</f>
        <v>76</v>
      </c>
      <c r="CN39" s="85">
        <f>'[1]January - 2023'!CQ39</f>
        <v>220966</v>
      </c>
      <c r="CO39" s="225">
        <f>'[1]January - 2023'!CR39</f>
        <v>114</v>
      </c>
      <c r="CP39" s="85">
        <f>'[1]January - 2023'!CR39</f>
        <v>114</v>
      </c>
      <c r="CQ39" s="85">
        <f>'[1]January - 2023'!CT39</f>
        <v>369279</v>
      </c>
      <c r="CR39" s="225">
        <f>'[1]January - 2023'!CU39</f>
        <v>271</v>
      </c>
      <c r="CS39" s="85">
        <f>'[1]January - 2023'!CU39</f>
        <v>271</v>
      </c>
      <c r="CT39" s="85">
        <f>'[1]January - 2023'!CW39</f>
        <v>703646</v>
      </c>
      <c r="CU39" s="172">
        <f>'[1]January - 2023'!CX39</f>
        <v>172</v>
      </c>
      <c r="CV39" s="423"/>
      <c r="CW39" s="234">
        <f>'[1]January - 2023'!CZ39</f>
        <v>9305</v>
      </c>
      <c r="CX39" s="179">
        <f>'[1]January - 2023'!DA39</f>
        <v>4</v>
      </c>
      <c r="CY39" s="235">
        <f>'[1]January - 2023'!DB39</f>
        <v>6301</v>
      </c>
      <c r="CZ39" s="179">
        <f>'[1]January - 2023'!DC39</f>
        <v>2</v>
      </c>
      <c r="DA39" s="235">
        <f>'[1]January - 2023'!DD39</f>
        <v>32971</v>
      </c>
      <c r="DB39" s="179">
        <f>'[1]January - 2023'!DE39</f>
        <v>12</v>
      </c>
      <c r="DC39" s="235">
        <f>'[1]January - 2023'!DF39</f>
        <v>33114</v>
      </c>
      <c r="DD39" s="179">
        <f>'[1]January - 2023'!DG39</f>
        <v>13</v>
      </c>
      <c r="DE39" s="235">
        <f>'[1]January - 2023'!DH39</f>
        <v>22402</v>
      </c>
      <c r="DF39" s="179">
        <f>'[1]January - 2023'!DI39</f>
        <v>9</v>
      </c>
      <c r="DG39" s="235">
        <f>'[1]January - 2023'!DJ39</f>
        <v>24347</v>
      </c>
      <c r="DH39" s="179">
        <f>'[1]January - 2023'!DK39</f>
        <v>5</v>
      </c>
      <c r="DI39" s="235">
        <f>'[1]January - 2023'!DL39</f>
        <v>7675</v>
      </c>
      <c r="DJ39" s="179">
        <f>'[1]January - 2023'!DM39</f>
        <v>10</v>
      </c>
      <c r="DK39" s="235">
        <f>'[1]January - 2023'!DN39</f>
        <v>10188</v>
      </c>
      <c r="DL39" s="179">
        <f>'[1]January - 2023'!DO39</f>
        <v>9</v>
      </c>
      <c r="DM39" s="235">
        <f>'[1]January - 2023'!DP39</f>
        <v>3506</v>
      </c>
      <c r="DN39" s="179">
        <f>'[1]January - 2023'!DQ39</f>
        <v>6</v>
      </c>
      <c r="DO39" s="235">
        <f>'[1]January - 2023'!DR39</f>
        <v>6883</v>
      </c>
      <c r="DP39" s="179">
        <f>'[1]January - 2023'!DS39</f>
        <v>5</v>
      </c>
      <c r="DQ39" s="235">
        <f>'[1]January - 2023'!DT39</f>
        <v>30495</v>
      </c>
      <c r="DR39" s="186">
        <f>'[1]January - 2023'!DU39</f>
        <v>3</v>
      </c>
      <c r="DS39" s="408"/>
      <c r="DT39" s="190">
        <f>'[1]January - 2023'!DW39</f>
        <v>6904.2</v>
      </c>
      <c r="DU39" s="201">
        <f>'[1]January - 2023'!DX39</f>
        <v>10.5</v>
      </c>
      <c r="DV39" s="87">
        <f>'[1]January - 2023'!DY39</f>
        <v>11687.9</v>
      </c>
      <c r="DW39" s="195">
        <f>'[1]January - 2023'!DZ39</f>
        <v>6.1999999999989086</v>
      </c>
      <c r="DX39" s="87">
        <f>'[1]January - 2023'!EA39</f>
        <v>5136.6000000000004</v>
      </c>
      <c r="DY39" s="195">
        <f>'[1]January - 2023'!EB39</f>
        <v>5.9000000000005457</v>
      </c>
      <c r="DZ39" s="87">
        <f>'[1]January - 2023'!EC39</f>
        <v>5728.8</v>
      </c>
      <c r="EA39" s="195">
        <f>'[1]January - 2023'!ED39</f>
        <v>5.8000000000001819</v>
      </c>
      <c r="EB39" s="87">
        <f>'[1]January - 2023'!EE39</f>
        <v>1156114</v>
      </c>
      <c r="EC39" s="195">
        <f>'[1]January - 2023'!EF39</f>
        <v>528</v>
      </c>
      <c r="ED39" s="87">
        <f>'[1]January - 2023'!EI39</f>
        <v>239015.4</v>
      </c>
      <c r="EE39" s="208">
        <f>'[1]January - 2023'!EJ39</f>
        <v>150.29999999998836</v>
      </c>
      <c r="EF39" s="347"/>
      <c r="EG39" s="214">
        <f>'[1]January - 2023'!EL39</f>
        <v>12284300</v>
      </c>
      <c r="EH39" s="209">
        <f>'[1]January - 2023'!EM39</f>
        <v>1900</v>
      </c>
      <c r="EI39" s="86">
        <f>'[1]January - 2023'!EN39</f>
        <v>945800</v>
      </c>
      <c r="EJ39" s="209">
        <f>'[1]January - 2023'!EO39</f>
        <v>230</v>
      </c>
      <c r="EK39" s="86">
        <f>'[1]January - 2023'!EP39</f>
        <v>7295000</v>
      </c>
      <c r="EL39" s="209">
        <f>'[1]January - 2023'!EQ39</f>
        <v>800</v>
      </c>
      <c r="EM39" s="86">
        <f>'[1]January - 2023'!ER39</f>
        <v>2510800</v>
      </c>
      <c r="EN39" s="209">
        <f>'[1]January - 2023'!ES39</f>
        <v>200</v>
      </c>
      <c r="EO39" s="86">
        <f>'[1]January - 2023'!ET39</f>
        <v>1306310</v>
      </c>
      <c r="EP39" s="209">
        <f>'[1]January - 2023'!EU39</f>
        <v>550</v>
      </c>
      <c r="EQ39" s="86">
        <f>'[1]January - 2023'!EV39</f>
        <v>16729600</v>
      </c>
      <c r="ER39" s="209">
        <f>'[1]January - 2023'!EW39</f>
        <v>1200</v>
      </c>
      <c r="ES39" s="395"/>
      <c r="ET39" s="256">
        <f>'[1]January - 2023'!EY39</f>
        <v>42948</v>
      </c>
      <c r="EU39" s="253">
        <f>'[1]January - 2023'!EZ39</f>
        <v>14</v>
      </c>
      <c r="EV39" s="257">
        <f>'[1]January - 2023'!FA39</f>
        <v>37462</v>
      </c>
      <c r="EW39" s="253">
        <f>'[1]January - 2023'!FB39</f>
        <v>11</v>
      </c>
      <c r="EX39" s="257">
        <f>'[1]January - 2023'!FC39</f>
        <v>8058</v>
      </c>
      <c r="EY39" s="253">
        <f>'[1]January - 2023'!FD39</f>
        <v>7</v>
      </c>
      <c r="EZ39" s="257">
        <f>'[1]January - 2023'!FE39</f>
        <v>60024</v>
      </c>
      <c r="FA39" s="253">
        <f>'[1]January - 2023'!FF39</f>
        <v>13</v>
      </c>
      <c r="FB39" s="257">
        <f>'[1]January - 2023'!FG39</f>
        <v>51315</v>
      </c>
      <c r="FC39" s="254">
        <f>'[1]January - 2023'!FH39</f>
        <v>52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-242506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-264947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-15281</v>
      </c>
      <c r="K40" s="150">
        <f>'[1]January - 2023'!N40</f>
        <v>0</v>
      </c>
      <c r="L40" s="152">
        <f>'[1]January - 2023'!O40</f>
        <v>-929437</v>
      </c>
      <c r="M40" s="150">
        <f>'[1]January - 2023'!Q40</f>
        <v>0</v>
      </c>
      <c r="N40" s="152">
        <f>'[1]January - 2023'!R40</f>
        <v>-245869</v>
      </c>
      <c r="O40" s="150">
        <f>'[1]January - 2023'!U40</f>
        <v>0</v>
      </c>
      <c r="P40" s="152">
        <f>'[1]January - 2023'!V40</f>
        <v>-120217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-6714</v>
      </c>
      <c r="T40" s="259"/>
      <c r="U40" s="262">
        <f>'[1]January - 2023'!AE40</f>
        <v>0</v>
      </c>
      <c r="V40" s="263">
        <f>'[1]January - 2023'!AF40</f>
        <v>-8276651.04</v>
      </c>
      <c r="W40" s="264">
        <f>'[1]January - 2023'!AF40</f>
        <v>-8276651.04</v>
      </c>
      <c r="X40" s="265">
        <f>'[1]January - 2023'!AH40</f>
        <v>0</v>
      </c>
      <c r="Y40" s="263">
        <f>'[1]January - 2023'!AI40</f>
        <v>-15713612.880000001</v>
      </c>
      <c r="Z40" s="264">
        <f>'[1]January - 2023'!AI40</f>
        <v>-15713612.880000001</v>
      </c>
      <c r="AA40" s="265">
        <f>'[1]January - 2023'!AK40</f>
        <v>0</v>
      </c>
      <c r="AB40" s="263">
        <f>'[1]January - 2023'!AL40</f>
        <v>-15913657.199999999</v>
      </c>
      <c r="AC40" s="264">
        <f>'[1]January - 2023'!AL40</f>
        <v>-15913657.199999999</v>
      </c>
      <c r="AD40" s="265">
        <f>'[1]January - 2023'!AN40</f>
        <v>0</v>
      </c>
      <c r="AE40" s="263">
        <f>'[1]January - 2023'!AO40</f>
        <v>-19052053.439999998</v>
      </c>
      <c r="AF40" s="264">
        <f>'[1]January - 2023'!AO40</f>
        <v>-19052053.439999998</v>
      </c>
      <c r="AG40" s="265">
        <f>'[1]January - 2023'!AQ40</f>
        <v>0</v>
      </c>
      <c r="AH40" s="263">
        <f>'[1]January - 2023'!AR40</f>
        <v>-19310025.84</v>
      </c>
      <c r="AI40" s="264">
        <f>'[1]January - 2023'!AR40</f>
        <v>-19310025.84</v>
      </c>
      <c r="AJ40" s="265">
        <f>'[1]January - 2023'!AT40</f>
        <v>0</v>
      </c>
      <c r="AK40" s="263">
        <f>'[1]January - 2023'!AU40</f>
        <v>-17849400.239999998</v>
      </c>
      <c r="AL40" s="264">
        <f>'[1]January - 2023'!AU40</f>
        <v>-17849400.239999998</v>
      </c>
      <c r="AM40" s="265">
        <f>'[1]January - 2023'!AW40</f>
        <v>0</v>
      </c>
      <c r="AN40" s="263">
        <f>'[1]January - 2023'!AX40</f>
        <v>-15006442.08</v>
      </c>
      <c r="AO40" s="264">
        <f>'[1]January - 2023'!AX40</f>
        <v>-15006442.08</v>
      </c>
      <c r="AP40" s="265">
        <f>'[1]January - 2023'!AZ40</f>
        <v>0</v>
      </c>
      <c r="AQ40" s="263">
        <f>'[1]January - 2023'!BA40</f>
        <v>-14547792</v>
      </c>
      <c r="AR40" s="264">
        <f>'[1]January - 2023'!BA40</f>
        <v>-14547792</v>
      </c>
      <c r="AS40" s="265">
        <f>'[1]January - 2023'!BC40</f>
        <v>0</v>
      </c>
      <c r="AT40" s="263">
        <f>'[1]January - 2023'!BD40</f>
        <v>-11339580</v>
      </c>
      <c r="AU40" s="264">
        <f>'[1]January - 2023'!BD40</f>
        <v>-11339580</v>
      </c>
      <c r="AV40" s="265">
        <f>'[1]January - 2023'!BF40</f>
        <v>0</v>
      </c>
      <c r="AW40" s="230">
        <f>'[1]January - 2023'!BG40</f>
        <v>-17997362.879999999</v>
      </c>
      <c r="AX40" s="231">
        <f>'[1]January - 2023'!BG40</f>
        <v>-17997362.879999999</v>
      </c>
      <c r="AY40" s="260"/>
      <c r="AZ40" s="250">
        <f>'[1]January - 2023'!BM40</f>
        <v>0</v>
      </c>
      <c r="BA40" s="161">
        <f>'[1]January - 2023'!BN40</f>
        <v>-78617600</v>
      </c>
      <c r="BB40" s="89">
        <f>'[1]January - 2023'!BN40</f>
        <v>-78617600</v>
      </c>
      <c r="BC40" s="250">
        <f>'[1]January - 2023'!BP40</f>
        <v>0</v>
      </c>
      <c r="BD40" s="224">
        <f>'[1]January - 2023'!BQ40</f>
        <v>-81547000</v>
      </c>
      <c r="BE40" s="89">
        <f>'[1]January - 2023'!BQ40</f>
        <v>-81547000</v>
      </c>
      <c r="BF40" s="250">
        <f>'[1]January - 2023'!BS40</f>
        <v>0</v>
      </c>
      <c r="BG40" s="224">
        <f>'[1]January - 2023'!BT40</f>
        <v>-75438500</v>
      </c>
      <c r="BH40" s="89">
        <f>'[1]January - 2023'!BT40</f>
        <v>-75438500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-10583100</v>
      </c>
      <c r="BU40" s="261"/>
      <c r="BV40" s="84">
        <f>'[1]January - 2023'!BY40</f>
        <v>0</v>
      </c>
      <c r="BW40" s="220">
        <f>'[1]January - 2023'!BZ40</f>
        <v>0.65</v>
      </c>
      <c r="BX40" s="84">
        <f>'[1]January - 2023'!BZ40</f>
        <v>0.65</v>
      </c>
      <c r="BY40" s="85">
        <f>'[1]January - 2023'!CB40</f>
        <v>0</v>
      </c>
      <c r="BZ40" s="172">
        <f>'[1]January - 2023'!CC40</f>
        <v>-65321</v>
      </c>
      <c r="CA40" s="85">
        <f>'[1]January - 2023'!CD40</f>
        <v>0</v>
      </c>
      <c r="CB40" s="172">
        <f>'[1]January - 2023'!CE40</f>
        <v>-56436</v>
      </c>
      <c r="CC40" s="85">
        <f>'[1]January - 2023'!CF40</f>
        <v>0</v>
      </c>
      <c r="CD40" s="172">
        <f>'[1]January - 2023'!CG40</f>
        <v>-19054</v>
      </c>
      <c r="CE40" s="85">
        <f>'[1]January - 2023'!CH40</f>
        <v>0</v>
      </c>
      <c r="CF40" s="172">
        <f>'[1]January - 2023'!CI40</f>
        <v>-26107</v>
      </c>
      <c r="CG40" s="85">
        <f>'[1]January - 2023'!CJ40</f>
        <v>0</v>
      </c>
      <c r="CH40" s="172">
        <f>'[1]January - 2023'!CK40</f>
        <v>-29246</v>
      </c>
      <c r="CI40" s="85">
        <f>'[1]January - 2023'!CL40</f>
        <v>0</v>
      </c>
      <c r="CJ40" s="172">
        <f>'[1]January - 2023'!CM40</f>
        <v>-64335</v>
      </c>
      <c r="CK40" s="85">
        <f>'[1]January - 2023'!CN40</f>
        <v>0</v>
      </c>
      <c r="CL40" s="225">
        <f>'[1]January - 2023'!CO40</f>
        <v>-271966</v>
      </c>
      <c r="CM40" s="85">
        <f>'[1]January - 2023'!CO40</f>
        <v>-271966</v>
      </c>
      <c r="CN40" s="85">
        <f>'[1]January - 2023'!CQ40</f>
        <v>0</v>
      </c>
      <c r="CO40" s="225">
        <f>'[1]January - 2023'!CR40</f>
        <v>-220966</v>
      </c>
      <c r="CP40" s="85">
        <f>'[1]January - 2023'!CR40</f>
        <v>-220966</v>
      </c>
      <c r="CQ40" s="85">
        <f>'[1]January - 2023'!CT40</f>
        <v>0</v>
      </c>
      <c r="CR40" s="225">
        <f>'[1]January - 2023'!CU40</f>
        <v>-369279</v>
      </c>
      <c r="CS40" s="85">
        <f>'[1]January - 2023'!CU40</f>
        <v>-369279</v>
      </c>
      <c r="CT40" s="85">
        <f>'[1]January - 2023'!CW40</f>
        <v>0</v>
      </c>
      <c r="CU40" s="172">
        <f>'[1]January - 2023'!CX40</f>
        <v>-703646</v>
      </c>
      <c r="CV40" s="423"/>
      <c r="CW40" s="234">
        <f>'[1]January - 2023'!CZ40</f>
        <v>0</v>
      </c>
      <c r="CX40" s="179">
        <f>'[1]January - 2023'!DA40</f>
        <v>-9305</v>
      </c>
      <c r="CY40" s="235">
        <f>'[1]January - 2023'!DB40</f>
        <v>0</v>
      </c>
      <c r="CZ40" s="179">
        <f>'[1]January - 2023'!DC40</f>
        <v>-6301</v>
      </c>
      <c r="DA40" s="235">
        <f>'[1]January - 2023'!DD40</f>
        <v>0</v>
      </c>
      <c r="DB40" s="179">
        <f>'[1]January - 2023'!DE40</f>
        <v>-32971</v>
      </c>
      <c r="DC40" s="235">
        <f>'[1]January - 2023'!DF40</f>
        <v>0</v>
      </c>
      <c r="DD40" s="179">
        <f>'[1]January - 2023'!DG40</f>
        <v>-33114</v>
      </c>
      <c r="DE40" s="235">
        <f>'[1]January - 2023'!DH40</f>
        <v>0</v>
      </c>
      <c r="DF40" s="179">
        <f>'[1]January - 2023'!DI40</f>
        <v>-22402</v>
      </c>
      <c r="DG40" s="235">
        <f>'[1]January - 2023'!DJ40</f>
        <v>0</v>
      </c>
      <c r="DH40" s="179">
        <f>'[1]January - 2023'!DK40</f>
        <v>-24347</v>
      </c>
      <c r="DI40" s="235">
        <f>'[1]January - 2023'!DL40</f>
        <v>0</v>
      </c>
      <c r="DJ40" s="179">
        <f>'[1]January - 2023'!DM40</f>
        <v>-7675</v>
      </c>
      <c r="DK40" s="235">
        <f>'[1]January - 2023'!DN40</f>
        <v>0</v>
      </c>
      <c r="DL40" s="179">
        <f>'[1]January - 2023'!DO40</f>
        <v>-10188</v>
      </c>
      <c r="DM40" s="235">
        <f>'[1]January - 2023'!DP40</f>
        <v>0</v>
      </c>
      <c r="DN40" s="179">
        <f>'[1]January - 2023'!DQ40</f>
        <v>-3506</v>
      </c>
      <c r="DO40" s="235">
        <f>'[1]January - 2023'!DR40</f>
        <v>0</v>
      </c>
      <c r="DP40" s="179">
        <f>'[1]January - 2023'!DS40</f>
        <v>-6883</v>
      </c>
      <c r="DQ40" s="235">
        <f>'[1]January - 2023'!DT40</f>
        <v>0</v>
      </c>
      <c r="DR40" s="186">
        <f>'[1]January - 2023'!DU40</f>
        <v>-30495</v>
      </c>
      <c r="DS40" s="408"/>
      <c r="DT40" s="190">
        <f>'[1]January - 2023'!DW40</f>
        <v>0</v>
      </c>
      <c r="DU40" s="201">
        <f>'[1]January - 2023'!DX40</f>
        <v>-6904.2</v>
      </c>
      <c r="DV40" s="87">
        <f>'[1]January - 2023'!DY40</f>
        <v>0</v>
      </c>
      <c r="DW40" s="195">
        <f>'[1]January - 2023'!DZ40</f>
        <v>-11687.9</v>
      </c>
      <c r="DX40" s="87">
        <f>'[1]January - 2023'!EA40</f>
        <v>0</v>
      </c>
      <c r="DY40" s="195">
        <f>'[1]January - 2023'!EB40</f>
        <v>-5136.6000000000004</v>
      </c>
      <c r="DZ40" s="87">
        <f>'[1]January - 2023'!EC40</f>
        <v>0</v>
      </c>
      <c r="EA40" s="195">
        <f>'[1]January - 2023'!ED40</f>
        <v>-5728.8</v>
      </c>
      <c r="EB40" s="87">
        <f>'[1]January - 2023'!EE40</f>
        <v>0</v>
      </c>
      <c r="EC40" s="195">
        <f>'[1]January - 2023'!EF40</f>
        <v>-1156114</v>
      </c>
      <c r="ED40" s="87">
        <f>'[1]January - 2023'!EI40</f>
        <v>0</v>
      </c>
      <c r="EE40" s="208">
        <f>'[1]January - 2023'!EJ40</f>
        <v>-239015.4</v>
      </c>
      <c r="EF40" s="347"/>
      <c r="EG40" s="214">
        <f>'[1]January - 2023'!EL40</f>
        <v>0</v>
      </c>
      <c r="EH40" s="209">
        <f>'[1]January - 2023'!EM40</f>
        <v>-12284300</v>
      </c>
      <c r="EI40" s="86">
        <f>'[1]January - 2023'!EN40</f>
        <v>0</v>
      </c>
      <c r="EJ40" s="209">
        <f>'[1]January - 2023'!EO40</f>
        <v>-945800</v>
      </c>
      <c r="EK40" s="86">
        <f>'[1]January - 2023'!EP40</f>
        <v>0</v>
      </c>
      <c r="EL40" s="209">
        <f>'[1]January - 2023'!EQ40</f>
        <v>-7295000</v>
      </c>
      <c r="EM40" s="86">
        <f>'[1]January - 2023'!ER40</f>
        <v>0</v>
      </c>
      <c r="EN40" s="209">
        <f>'[1]January - 2023'!ES40</f>
        <v>-2510800</v>
      </c>
      <c r="EO40" s="86">
        <f>'[1]January - 2023'!ET40</f>
        <v>0</v>
      </c>
      <c r="EP40" s="209">
        <f>'[1]January - 2023'!EU40</f>
        <v>-1306310</v>
      </c>
      <c r="EQ40" s="86">
        <f>'[1]January - 2023'!EV40</f>
        <v>0</v>
      </c>
      <c r="ER40" s="209">
        <f>'[1]January - 2023'!EW40</f>
        <v>-16729600</v>
      </c>
      <c r="ES40" s="397"/>
      <c r="ET40" s="256">
        <f>'[1]January - 2023'!EY40</f>
        <v>0</v>
      </c>
      <c r="EU40" s="253">
        <f>'[1]January - 2023'!EZ40</f>
        <v>-42948</v>
      </c>
      <c r="EV40" s="257">
        <f>'[1]January - 2023'!FA40</f>
        <v>0</v>
      </c>
      <c r="EW40" s="253">
        <f>'[1]January - 2023'!FB40</f>
        <v>-37462</v>
      </c>
      <c r="EX40" s="257">
        <f>'[1]January - 2023'!FC40</f>
        <v>0</v>
      </c>
      <c r="EY40" s="253">
        <f>'[1]January - 2023'!FD40</f>
        <v>-8058</v>
      </c>
      <c r="EZ40" s="257">
        <f>'[1]January - 2023'!FE40</f>
        <v>0</v>
      </c>
      <c r="FA40" s="253">
        <f>'[1]January - 2023'!FF40</f>
        <v>-60024</v>
      </c>
      <c r="FB40" s="257">
        <f>'[1]January - 2023'!FG40</f>
        <v>0</v>
      </c>
      <c r="FC40" s="254">
        <f>'[1]January - 2023'!FH40</f>
        <v>-51315</v>
      </c>
    </row>
    <row r="41" spans="1:160" s="29" customFormat="1" ht="14.25" customHeight="1" thickBot="1" x14ac:dyDescent="0.35">
      <c r="A41" s="511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3"/>
      <c r="U41" s="512"/>
      <c r="V41" s="512"/>
      <c r="W41" s="512"/>
      <c r="X41" s="512"/>
      <c r="Y41" s="512"/>
      <c r="Z41" s="512"/>
      <c r="AA41" s="512"/>
      <c r="AB41" s="512"/>
      <c r="AC41" s="512"/>
      <c r="AD41" s="512"/>
      <c r="AE41" s="512"/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4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5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423"/>
      <c r="CW41" s="425"/>
      <c r="CX41" s="425"/>
      <c r="CY41" s="425"/>
      <c r="CZ41" s="425"/>
      <c r="DA41" s="425"/>
      <c r="DB41" s="425"/>
      <c r="DC41" s="425"/>
      <c r="DD41" s="425"/>
      <c r="DE41" s="425"/>
      <c r="DF41" s="425"/>
      <c r="DG41" s="425"/>
      <c r="DH41" s="425"/>
      <c r="DI41" s="425"/>
      <c r="DJ41" s="425"/>
      <c r="DK41" s="425"/>
      <c r="DL41" s="425"/>
      <c r="DM41" s="425"/>
      <c r="DN41" s="425"/>
      <c r="DO41" s="425"/>
      <c r="DP41" s="425"/>
      <c r="DQ41" s="425"/>
      <c r="DR41" s="426"/>
      <c r="DS41" s="409"/>
      <c r="DT41" s="410"/>
      <c r="DU41" s="411"/>
      <c r="DV41" s="411"/>
      <c r="DW41" s="411"/>
      <c r="DX41" s="411"/>
      <c r="DY41" s="411"/>
      <c r="DZ41" s="411"/>
      <c r="EA41" s="411"/>
      <c r="EB41" s="411"/>
      <c r="EC41" s="411"/>
      <c r="ED41" s="411"/>
      <c r="EE41" s="412"/>
      <c r="EF41" s="348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397"/>
      <c r="ET41" s="402"/>
      <c r="EU41" s="402"/>
      <c r="EV41" s="402"/>
      <c r="EW41" s="402"/>
      <c r="EX41" s="402"/>
      <c r="EY41" s="402"/>
      <c r="EZ41" s="402"/>
      <c r="FA41" s="402"/>
      <c r="FB41" s="402"/>
      <c r="FC41" s="402"/>
      <c r="FD41" s="28"/>
    </row>
    <row r="42" spans="1:160" ht="28.5" customHeight="1" thickBot="1" x14ac:dyDescent="0.35">
      <c r="A42" s="491" t="s">
        <v>164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  <c r="T42" s="494"/>
      <c r="U42" s="497" t="s">
        <v>165</v>
      </c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8"/>
      <c r="AZ42" s="499" t="s">
        <v>166</v>
      </c>
      <c r="BA42" s="500"/>
      <c r="BB42" s="500"/>
      <c r="BC42" s="500"/>
      <c r="BD42" s="500"/>
      <c r="BE42" s="500"/>
      <c r="BF42" s="500"/>
      <c r="BG42" s="500"/>
      <c r="BH42" s="501"/>
      <c r="BI42" s="502"/>
      <c r="BJ42" s="503"/>
      <c r="BK42" s="503"/>
      <c r="BL42" s="503"/>
      <c r="BM42" s="503"/>
      <c r="BN42" s="503"/>
      <c r="BO42" s="503"/>
      <c r="BP42" s="503"/>
      <c r="BQ42" s="503"/>
      <c r="BR42" s="504"/>
      <c r="BS42" s="505" t="s">
        <v>167</v>
      </c>
      <c r="BT42" s="506"/>
      <c r="BU42" s="30"/>
      <c r="BV42" s="341" t="s">
        <v>77</v>
      </c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3"/>
      <c r="CV42" s="423"/>
      <c r="CW42" s="507"/>
      <c r="CX42" s="508"/>
      <c r="CY42" s="508"/>
      <c r="CZ42" s="508"/>
      <c r="DA42" s="508"/>
      <c r="DB42" s="508"/>
      <c r="DC42" s="508"/>
      <c r="DD42" s="508"/>
      <c r="DE42" s="508"/>
      <c r="DF42" s="508"/>
      <c r="DG42" s="508"/>
      <c r="DH42" s="508"/>
      <c r="DI42" s="508"/>
      <c r="DJ42" s="508"/>
      <c r="DK42" s="508"/>
      <c r="DL42" s="508"/>
      <c r="DM42" s="508"/>
      <c r="DN42" s="508"/>
      <c r="DO42" s="508"/>
      <c r="DP42" s="508"/>
      <c r="DQ42" s="508"/>
      <c r="DR42" s="509"/>
      <c r="DS42" s="409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48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397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510" t="s">
        <v>169</v>
      </c>
      <c r="B43" s="510"/>
      <c r="C43" s="529" t="s">
        <v>170</v>
      </c>
      <c r="D43" s="529"/>
      <c r="E43" s="530"/>
      <c r="F43" s="528" t="s">
        <v>171</v>
      </c>
      <c r="G43" s="529"/>
      <c r="H43" s="530"/>
      <c r="I43" s="531" t="s">
        <v>172</v>
      </c>
      <c r="J43" s="531"/>
      <c r="K43" s="531" t="s">
        <v>173</v>
      </c>
      <c r="L43" s="531"/>
      <c r="M43" s="531"/>
      <c r="N43" s="531"/>
      <c r="O43" s="528" t="s">
        <v>174</v>
      </c>
      <c r="P43" s="529"/>
      <c r="Q43" s="529"/>
      <c r="R43" s="529"/>
      <c r="S43" s="529"/>
      <c r="T43" s="495"/>
      <c r="U43" s="528" t="s">
        <v>175</v>
      </c>
      <c r="V43" s="529"/>
      <c r="W43" s="530"/>
      <c r="X43" s="528" t="s">
        <v>176</v>
      </c>
      <c r="Y43" s="529"/>
      <c r="Z43" s="530"/>
      <c r="AA43" s="528" t="s">
        <v>177</v>
      </c>
      <c r="AB43" s="529"/>
      <c r="AC43" s="530"/>
      <c r="AD43" s="528" t="s">
        <v>178</v>
      </c>
      <c r="AE43" s="529"/>
      <c r="AF43" s="530"/>
      <c r="AG43" s="528" t="s">
        <v>179</v>
      </c>
      <c r="AH43" s="529"/>
      <c r="AI43" s="530"/>
      <c r="AJ43" s="528" t="s">
        <v>180</v>
      </c>
      <c r="AK43" s="529"/>
      <c r="AL43" s="530"/>
      <c r="AM43" s="528" t="s">
        <v>181</v>
      </c>
      <c r="AN43" s="529"/>
      <c r="AO43" s="530"/>
      <c r="AP43" s="528" t="s">
        <v>182</v>
      </c>
      <c r="AQ43" s="529"/>
      <c r="AR43" s="530"/>
      <c r="AS43" s="528" t="s">
        <v>183</v>
      </c>
      <c r="AT43" s="529"/>
      <c r="AU43" s="530"/>
      <c r="AV43" s="528" t="s">
        <v>184</v>
      </c>
      <c r="AW43" s="529"/>
      <c r="AX43" s="529"/>
      <c r="AY43" s="554"/>
      <c r="AZ43" s="344" t="s">
        <v>185</v>
      </c>
      <c r="BA43" s="345"/>
      <c r="BB43" s="345"/>
      <c r="BC43" s="345" t="s">
        <v>186</v>
      </c>
      <c r="BD43" s="345"/>
      <c r="BE43" s="345"/>
      <c r="BF43" s="345" t="s">
        <v>187</v>
      </c>
      <c r="BG43" s="345"/>
      <c r="BH43" s="345"/>
      <c r="BI43" s="533"/>
      <c r="BJ43" s="534"/>
      <c r="BK43" s="533"/>
      <c r="BL43" s="534"/>
      <c r="BM43" s="533"/>
      <c r="BN43" s="534"/>
      <c r="BO43" s="533"/>
      <c r="BP43" s="534"/>
      <c r="BQ43" s="533"/>
      <c r="BR43" s="534"/>
      <c r="BS43" s="533" t="s">
        <v>188</v>
      </c>
      <c r="BT43" s="534"/>
      <c r="BU43" s="535"/>
      <c r="BV43" s="536" t="s">
        <v>110</v>
      </c>
      <c r="BW43" s="537"/>
      <c r="BX43" s="91"/>
      <c r="BY43" s="538" t="s">
        <v>111</v>
      </c>
      <c r="BZ43" s="538"/>
      <c r="CA43" s="427" t="s">
        <v>112</v>
      </c>
      <c r="CB43" s="428"/>
      <c r="CC43" s="427" t="s">
        <v>113</v>
      </c>
      <c r="CD43" s="428"/>
      <c r="CE43" s="427" t="s">
        <v>114</v>
      </c>
      <c r="CF43" s="428"/>
      <c r="CG43" s="427" t="s">
        <v>115</v>
      </c>
      <c r="CH43" s="428"/>
      <c r="CI43" s="427" t="s">
        <v>116</v>
      </c>
      <c r="CJ43" s="428"/>
      <c r="CK43" s="429" t="s">
        <v>117</v>
      </c>
      <c r="CL43" s="430"/>
      <c r="CM43" s="431"/>
      <c r="CN43" s="541" t="s">
        <v>118</v>
      </c>
      <c r="CO43" s="542"/>
      <c r="CP43" s="543"/>
      <c r="CQ43" s="429" t="s">
        <v>189</v>
      </c>
      <c r="CR43" s="430"/>
      <c r="CS43" s="431"/>
      <c r="CT43" s="549" t="s">
        <v>190</v>
      </c>
      <c r="CU43" s="550"/>
      <c r="CV43" s="423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09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48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397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516" t="s">
        <v>191</v>
      </c>
      <c r="B44" s="516"/>
      <c r="C44" s="517">
        <f>SUM(E9:E24)</f>
        <v>11358</v>
      </c>
      <c r="D44" s="518"/>
      <c r="E44" s="519"/>
      <c r="F44" s="520">
        <f>SUM(H9:H24)</f>
        <v>7513.5299999999988</v>
      </c>
      <c r="G44" s="521"/>
      <c r="H44" s="522"/>
      <c r="I44" s="520"/>
      <c r="J44" s="522"/>
      <c r="K44" s="523"/>
      <c r="L44" s="524"/>
      <c r="M44" s="525"/>
      <c r="N44" s="525"/>
      <c r="O44" s="520">
        <f>SUM(Q9:Q24)</f>
        <v>1032.9800000000032</v>
      </c>
      <c r="P44" s="521"/>
      <c r="Q44" s="522"/>
      <c r="R44" s="526"/>
      <c r="S44" s="527"/>
      <c r="T44" s="495"/>
      <c r="U44" s="332">
        <f>SUM(W9:W24)</f>
        <v>35614.319999999367</v>
      </c>
      <c r="V44" s="333"/>
      <c r="W44" s="334"/>
      <c r="X44" s="332">
        <f>SUM(Z9:Z24)</f>
        <v>67720.800000000745</v>
      </c>
      <c r="Y44" s="333"/>
      <c r="Z44" s="334"/>
      <c r="AA44" s="332">
        <f>SUM(AC9:AC24)</f>
        <v>51594.479999998584</v>
      </c>
      <c r="AB44" s="333"/>
      <c r="AC44" s="334"/>
      <c r="AD44" s="332">
        <f>SUM(AF9:AF24)</f>
        <v>28014</v>
      </c>
      <c r="AE44" s="333"/>
      <c r="AF44" s="334"/>
      <c r="AG44" s="332">
        <f>SUM(AI9:AI24)</f>
        <v>50376.480000000447</v>
      </c>
      <c r="AH44" s="333"/>
      <c r="AI44" s="334"/>
      <c r="AJ44" s="332">
        <f>SUM(AL9:AL24)</f>
        <v>81411.120000001043</v>
      </c>
      <c r="AK44" s="333"/>
      <c r="AL44" s="334"/>
      <c r="AM44" s="332">
        <f>SUM(AO9:AO24)</f>
        <v>62410.320000000298</v>
      </c>
      <c r="AN44" s="333"/>
      <c r="AO44" s="334"/>
      <c r="AP44" s="332">
        <f>SUM(AR9:AR24)</f>
        <v>68305.440000001341</v>
      </c>
      <c r="AQ44" s="333"/>
      <c r="AR44" s="334"/>
      <c r="AS44" s="332">
        <f>SUM(AU9:AU24)</f>
        <v>43555.679999999702</v>
      </c>
      <c r="AT44" s="333"/>
      <c r="AU44" s="334"/>
      <c r="AV44" s="332">
        <f>SUM(AX9:AX24)</f>
        <v>83847.120000001043</v>
      </c>
      <c r="AW44" s="333"/>
      <c r="AX44" s="333"/>
      <c r="AY44" s="554"/>
      <c r="AZ44" s="333">
        <f>SUM(BB9:BB24)</f>
        <v>266400</v>
      </c>
      <c r="BA44" s="333"/>
      <c r="BB44" s="333"/>
      <c r="BC44" s="332">
        <f>SUM(BE9:BE24)</f>
        <v>94500</v>
      </c>
      <c r="BD44" s="333"/>
      <c r="BE44" s="333"/>
      <c r="BF44" s="327">
        <f>SUM(BH9:BH24)</f>
        <v>232800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35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1111</v>
      </c>
      <c r="CL44" s="327"/>
      <c r="CM44" s="327"/>
      <c r="CN44" s="327">
        <f>SUM(CP9:CP24)</f>
        <v>1730</v>
      </c>
      <c r="CO44" s="327"/>
      <c r="CP44" s="327"/>
      <c r="CQ44" s="327">
        <f>SUM(CS9:CS24)</f>
        <v>4021</v>
      </c>
      <c r="CR44" s="327"/>
      <c r="CS44" s="327"/>
      <c r="CT44" s="96"/>
      <c r="CU44" s="177"/>
      <c r="CV44" s="423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09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48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397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328" t="s">
        <v>191</v>
      </c>
      <c r="B45" s="328"/>
      <c r="C45" s="329">
        <f>SUM(D9:D24)</f>
        <v>9068</v>
      </c>
      <c r="D45" s="329"/>
      <c r="E45" s="330"/>
      <c r="F45" s="329">
        <f>SUM(G9:G24)</f>
        <v>6983</v>
      </c>
      <c r="G45" s="329"/>
      <c r="H45" s="330"/>
      <c r="I45" s="331"/>
      <c r="J45" s="331"/>
      <c r="K45" s="331"/>
      <c r="L45" s="331"/>
      <c r="M45" s="331"/>
      <c r="N45" s="331"/>
      <c r="O45" s="329">
        <f>SUM(P9:P24)</f>
        <v>1117</v>
      </c>
      <c r="P45" s="329"/>
      <c r="Q45" s="330"/>
      <c r="R45" s="335"/>
      <c r="S45" s="336"/>
      <c r="T45" s="496"/>
      <c r="U45" s="320">
        <f>SUM(V9:V24)</f>
        <v>35614.319999999367</v>
      </c>
      <c r="V45" s="320"/>
      <c r="W45" s="321"/>
      <c r="X45" s="320">
        <f>SUM(Y9:Y24)</f>
        <v>67720.800000000745</v>
      </c>
      <c r="Y45" s="320"/>
      <c r="Z45" s="321"/>
      <c r="AA45" s="320">
        <f>SUM(AB9:AB24)</f>
        <v>51594.479999998584</v>
      </c>
      <c r="AB45" s="320"/>
      <c r="AC45" s="321"/>
      <c r="AD45" s="320">
        <f>SUM(AE9:AE24)</f>
        <v>28014</v>
      </c>
      <c r="AE45" s="320"/>
      <c r="AF45" s="321"/>
      <c r="AG45" s="320">
        <f>SUM(AH9:AH24)</f>
        <v>50376.480000000447</v>
      </c>
      <c r="AH45" s="320"/>
      <c r="AI45" s="321"/>
      <c r="AJ45" s="320">
        <f>SUM(AK9:AK24)</f>
        <v>81411.120000001043</v>
      </c>
      <c r="AK45" s="320"/>
      <c r="AL45" s="321"/>
      <c r="AM45" s="320">
        <f>SUM(AN9:AN24)</f>
        <v>62410.320000000298</v>
      </c>
      <c r="AN45" s="320"/>
      <c r="AO45" s="321"/>
      <c r="AP45" s="320">
        <f>SUM(AQ9:AQ24)</f>
        <v>68305.440000001341</v>
      </c>
      <c r="AQ45" s="320"/>
      <c r="AR45" s="321"/>
      <c r="AS45" s="320">
        <f>SUM(AT9:AT24)</f>
        <v>43555.679999999702</v>
      </c>
      <c r="AT45" s="320"/>
      <c r="AU45" s="321"/>
      <c r="AV45" s="320">
        <f>SUM(AW9:AW24)</f>
        <v>83847.120000001043</v>
      </c>
      <c r="AW45" s="320"/>
      <c r="AX45" s="320"/>
      <c r="AY45" s="554"/>
      <c r="AZ45" s="321">
        <f>SUM(BA9:BA24)</f>
        <v>266400</v>
      </c>
      <c r="BA45" s="327"/>
      <c r="BB45" s="327"/>
      <c r="BC45" s="327">
        <f>SUM(BD9:BD24)</f>
        <v>94500</v>
      </c>
      <c r="BD45" s="327"/>
      <c r="BE45" s="327"/>
      <c r="BF45" s="327">
        <f>SUM(BG9:BG24)</f>
        <v>232800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35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1111</v>
      </c>
      <c r="CL45" s="327"/>
      <c r="CM45" s="327"/>
      <c r="CN45" s="327">
        <f>SUM(CO9:CO24)</f>
        <v>1730</v>
      </c>
      <c r="CO45" s="327"/>
      <c r="CP45" s="327"/>
      <c r="CQ45" s="327">
        <f>SUM(CR9:CR24)</f>
        <v>4021</v>
      </c>
      <c r="CR45" s="327"/>
      <c r="CS45" s="327"/>
      <c r="CT45" s="101"/>
      <c r="CU45" s="178"/>
      <c r="CV45" s="423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09"/>
      <c r="DT45" s="551" t="s">
        <v>192</v>
      </c>
      <c r="DU45" s="552"/>
      <c r="DV45" s="552"/>
      <c r="DW45" s="552"/>
      <c r="DX45" s="552"/>
      <c r="DY45" s="552"/>
      <c r="DZ45" s="552"/>
      <c r="EA45" s="552"/>
      <c r="EB45" s="552"/>
      <c r="EC45" s="552"/>
      <c r="ED45" s="552"/>
      <c r="EE45" s="552"/>
      <c r="EF45" s="552"/>
      <c r="EG45" s="552"/>
      <c r="EH45" s="552"/>
      <c r="EI45" s="552"/>
      <c r="EJ45" s="553"/>
      <c r="EK45" s="532"/>
      <c r="EL45" s="532"/>
      <c r="EM45" s="532"/>
      <c r="EN45" s="532"/>
      <c r="EO45" s="532"/>
      <c r="EP45" s="532"/>
      <c r="EQ45" s="532"/>
      <c r="ER45" s="532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4"/>
      <c r="AZ46" s="325">
        <f>AZ44-AZ45</f>
        <v>0</v>
      </c>
      <c r="BA46" s="326"/>
      <c r="BB46" s="326"/>
      <c r="BC46" s="325">
        <f>BC45-BC44</f>
        <v>0</v>
      </c>
      <c r="BD46" s="326"/>
      <c r="BE46" s="326"/>
      <c r="BF46" s="325">
        <f>BF45-BF44</f>
        <v>0</v>
      </c>
      <c r="BG46" s="326"/>
      <c r="BH46" s="32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35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40"/>
      <c r="CV46" s="423"/>
    </row>
    <row r="47" spans="1:160" ht="33.75" customHeight="1" x14ac:dyDescent="0.25">
      <c r="A47" s="544" t="s">
        <v>194</v>
      </c>
      <c r="B47" s="544"/>
      <c r="C47" s="545">
        <f>SUM(E9:E39)</f>
        <v>19672</v>
      </c>
      <c r="D47" s="546"/>
      <c r="E47" s="547"/>
      <c r="F47" s="545">
        <f>SUM(H9:H39)</f>
        <v>13437.529999999999</v>
      </c>
      <c r="G47" s="546"/>
      <c r="H47" s="547"/>
      <c r="I47" s="548">
        <v>7048.9</v>
      </c>
      <c r="J47" s="548"/>
      <c r="K47" s="548">
        <v>7702.2000000000116</v>
      </c>
      <c r="L47" s="548"/>
      <c r="M47" s="548"/>
      <c r="N47" s="548"/>
      <c r="O47" s="548">
        <f>SUM(Q9:Q39)</f>
        <v>2041.2700000000041</v>
      </c>
      <c r="P47" s="548"/>
      <c r="Q47" s="548"/>
      <c r="R47" s="545">
        <v>476</v>
      </c>
      <c r="S47" s="546"/>
      <c r="T47" s="555"/>
      <c r="U47" s="319">
        <f>SUM(W9:W39)</f>
        <v>72105.599999999627</v>
      </c>
      <c r="V47" s="320"/>
      <c r="W47" s="321"/>
      <c r="X47" s="319">
        <f>SUM(Z9:Z39)</f>
        <v>135051.84000000171</v>
      </c>
      <c r="Y47" s="320"/>
      <c r="Z47" s="321"/>
      <c r="AA47" s="319">
        <f>SUM(AC9:AC39)</f>
        <v>76636.559999998659</v>
      </c>
      <c r="AB47" s="320"/>
      <c r="AC47" s="321"/>
      <c r="AD47" s="319">
        <f>SUM(AF9:AF39)</f>
        <v>84967.679999995977</v>
      </c>
      <c r="AE47" s="320"/>
      <c r="AF47" s="321"/>
      <c r="AG47" s="319">
        <f>SUM(AI9:AI39)</f>
        <v>82336.800000000745</v>
      </c>
      <c r="AH47" s="320"/>
      <c r="AI47" s="321"/>
      <c r="AJ47" s="319">
        <f>SUM(AL9:AL39)</f>
        <v>155904</v>
      </c>
      <c r="AK47" s="320"/>
      <c r="AL47" s="321"/>
      <c r="AM47" s="319">
        <f>SUM(AO9:AO39)</f>
        <v>122433.36000000127</v>
      </c>
      <c r="AN47" s="320"/>
      <c r="AO47" s="321"/>
      <c r="AP47" s="319">
        <f>SUM(AR9:AR39)</f>
        <v>133249.20000000112</v>
      </c>
      <c r="AQ47" s="320"/>
      <c r="AR47" s="321"/>
      <c r="AS47" s="319">
        <f>SUM(AU9:AU39)</f>
        <v>89449.919999999925</v>
      </c>
      <c r="AT47" s="320"/>
      <c r="AU47" s="321"/>
      <c r="AV47" s="319">
        <f>SUM(AX9:AX39)</f>
        <v>164771.03999999911</v>
      </c>
      <c r="AW47" s="320"/>
      <c r="AX47" s="320"/>
      <c r="AY47" s="554"/>
      <c r="AZ47" s="305">
        <v>347300</v>
      </c>
      <c r="BA47" s="305"/>
      <c r="BB47" s="306"/>
      <c r="BC47" s="313">
        <v>361100</v>
      </c>
      <c r="BD47" s="305"/>
      <c r="BE47" s="306"/>
      <c r="BF47" s="313">
        <v>558842</v>
      </c>
      <c r="BG47" s="305"/>
      <c r="BH47" s="306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4">
        <v>131110</v>
      </c>
      <c r="BT47" s="315"/>
      <c r="BU47" s="535"/>
      <c r="BV47" s="316"/>
      <c r="BW47" s="316"/>
      <c r="BX47" s="108"/>
      <c r="BY47" s="317">
        <v>718</v>
      </c>
      <c r="BZ47" s="318"/>
      <c r="CA47" s="317">
        <v>719</v>
      </c>
      <c r="CB47" s="318"/>
      <c r="CC47" s="317">
        <v>234</v>
      </c>
      <c r="CD47" s="318"/>
      <c r="CE47" s="317">
        <v>265</v>
      </c>
      <c r="CF47" s="318"/>
      <c r="CG47" s="317">
        <v>368</v>
      </c>
      <c r="CH47" s="318"/>
      <c r="CI47" s="317">
        <v>820</v>
      </c>
      <c r="CJ47" s="318"/>
      <c r="CK47" s="319">
        <f>SUM(CM9:CM39)</f>
        <v>2269</v>
      </c>
      <c r="CL47" s="320"/>
      <c r="CM47" s="321"/>
      <c r="CN47" s="319">
        <f>SUM(CP9:CP39)</f>
        <v>3413</v>
      </c>
      <c r="CO47" s="320"/>
      <c r="CP47" s="321"/>
      <c r="CQ47" s="319">
        <f>SUM(CS9:CS39)</f>
        <v>8406</v>
      </c>
      <c r="CR47" s="320"/>
      <c r="CS47" s="321"/>
      <c r="CT47" s="307">
        <v>3894</v>
      </c>
      <c r="CU47" s="308"/>
      <c r="CV47" s="423"/>
      <c r="DJ47" s="4">
        <v>487.2</v>
      </c>
    </row>
    <row r="48" spans="1:160" ht="30" customHeight="1" x14ac:dyDescent="0.25">
      <c r="A48" s="560" t="s">
        <v>195</v>
      </c>
      <c r="B48" s="560"/>
      <c r="C48" s="545">
        <f>SUM(D10:D39)</f>
        <v>16594</v>
      </c>
      <c r="D48" s="546"/>
      <c r="E48" s="547"/>
      <c r="F48" s="545">
        <f>SUM(G9:G39)</f>
        <v>13258</v>
      </c>
      <c r="G48" s="546"/>
      <c r="H48" s="547"/>
      <c r="I48" s="545">
        <f>SUM(J10:J39)</f>
        <v>4891</v>
      </c>
      <c r="J48" s="547"/>
      <c r="K48" s="545">
        <f>SUM(L9:L39)</f>
        <v>4924</v>
      </c>
      <c r="L48" s="547"/>
      <c r="M48" s="545"/>
      <c r="N48" s="547"/>
      <c r="O48" s="545">
        <f>SUM(P9:P39)</f>
        <v>2024</v>
      </c>
      <c r="P48" s="546"/>
      <c r="Q48" s="547"/>
      <c r="R48" s="545">
        <f>SUM(S9:S39)</f>
        <v>190</v>
      </c>
      <c r="S48" s="546"/>
      <c r="T48" s="555"/>
      <c r="U48" s="556">
        <f>SUM(V9:V39)</f>
        <v>72105.599999999627</v>
      </c>
      <c r="V48" s="557"/>
      <c r="W48" s="558"/>
      <c r="X48" s="556">
        <f>SUM(Y9:Y39)</f>
        <v>135051.84000000171</v>
      </c>
      <c r="Y48" s="557"/>
      <c r="Z48" s="558"/>
      <c r="AA48" s="309">
        <f>SUM(AB9:AB39)</f>
        <v>76636.559999998659</v>
      </c>
      <c r="AB48" s="310"/>
      <c r="AC48" s="311"/>
      <c r="AD48" s="309">
        <f>SUM(AE9:AE39)</f>
        <v>84967.679999995977</v>
      </c>
      <c r="AE48" s="310"/>
      <c r="AF48" s="311"/>
      <c r="AG48" s="309">
        <f>SUM(AH9:AH39)</f>
        <v>82336.800000000745</v>
      </c>
      <c r="AH48" s="310"/>
      <c r="AI48" s="311"/>
      <c r="AJ48" s="309">
        <f>SUM(AK9:AK39)</f>
        <v>155904</v>
      </c>
      <c r="AK48" s="310"/>
      <c r="AL48" s="311"/>
      <c r="AM48" s="309">
        <f>SUM(AN9:AN39)</f>
        <v>122433.36000000127</v>
      </c>
      <c r="AN48" s="310"/>
      <c r="AO48" s="311"/>
      <c r="AP48" s="309">
        <f>SUM(AQ9:AQ39)</f>
        <v>133249.20000000112</v>
      </c>
      <c r="AQ48" s="310"/>
      <c r="AR48" s="311"/>
      <c r="AS48" s="309">
        <f>SUM(AT9:AT39)</f>
        <v>89449.919999999925</v>
      </c>
      <c r="AT48" s="310"/>
      <c r="AU48" s="311"/>
      <c r="AV48" s="309">
        <f>SUM(AW9:AW39)</f>
        <v>164771.03999999911</v>
      </c>
      <c r="AW48" s="310"/>
      <c r="AX48" s="310"/>
      <c r="AY48" s="554"/>
      <c r="AZ48" s="305">
        <f>SUM(BA9:BA40)</f>
        <v>-78229800</v>
      </c>
      <c r="BA48" s="305"/>
      <c r="BB48" s="306"/>
      <c r="BC48" s="305">
        <f t="shared" ref="BC48" si="0">SUM(BD9:BD40)</f>
        <v>-81187800</v>
      </c>
      <c r="BD48" s="305"/>
      <c r="BE48" s="306"/>
      <c r="BF48" s="305">
        <f t="shared" ref="BF48" si="1">SUM(BG9:BG40)</f>
        <v>-75092800</v>
      </c>
      <c r="BG48" s="305"/>
      <c r="BH48" s="306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2">
        <f>SUM(BT9:BT39)</f>
        <v>198250</v>
      </c>
      <c r="BT48" s="312"/>
      <c r="BU48" s="535"/>
      <c r="BV48" s="322"/>
      <c r="BW48" s="323"/>
      <c r="BX48" s="111"/>
      <c r="BY48" s="317">
        <f>SUM(BZ9:BZ39)</f>
        <v>547</v>
      </c>
      <c r="BZ48" s="318"/>
      <c r="CA48" s="317">
        <f>SUM(CB9:CB39)</f>
        <v>586</v>
      </c>
      <c r="CB48" s="318"/>
      <c r="CC48" s="317">
        <f>SUM(CD9:CD39)</f>
        <v>159</v>
      </c>
      <c r="CD48" s="318"/>
      <c r="CE48" s="317">
        <f>SUM(CF9:CF39)</f>
        <v>271</v>
      </c>
      <c r="CF48" s="318"/>
      <c r="CG48" s="317">
        <f>SUM(CH9:CH39)</f>
        <v>439</v>
      </c>
      <c r="CH48" s="318"/>
      <c r="CI48" s="317">
        <f>SUM(CJ9:CJ39)</f>
        <v>1070</v>
      </c>
      <c r="CJ48" s="318"/>
      <c r="CK48" s="317">
        <f>SUM(CL9:CL39)</f>
        <v>2269</v>
      </c>
      <c r="CL48" s="324"/>
      <c r="CM48" s="318"/>
      <c r="CN48" s="317">
        <f>SUM(CO9:CO39)</f>
        <v>3413</v>
      </c>
      <c r="CO48" s="324"/>
      <c r="CP48" s="318"/>
      <c r="CQ48" s="317">
        <f>SUM(CR9:CR39)</f>
        <v>8406</v>
      </c>
      <c r="CR48" s="324"/>
      <c r="CS48" s="318"/>
      <c r="CT48" s="317">
        <f>SUM(CU9:CU39)</f>
        <v>4981</v>
      </c>
      <c r="CU48" s="324"/>
      <c r="CV48" s="423"/>
    </row>
    <row r="49" spans="1:159" ht="30" customHeight="1" x14ac:dyDescent="0.25">
      <c r="A49" s="271" t="s">
        <v>193</v>
      </c>
      <c r="B49" s="271"/>
      <c r="C49" s="272">
        <f>C47-C48</f>
        <v>3078</v>
      </c>
      <c r="D49" s="273"/>
      <c r="E49" s="274"/>
      <c r="F49" s="272">
        <f>F47-F48</f>
        <v>179.52999999999884</v>
      </c>
      <c r="G49" s="273"/>
      <c r="H49" s="274"/>
      <c r="I49" s="272">
        <f>I47-I48</f>
        <v>2157.8999999999996</v>
      </c>
      <c r="J49" s="274"/>
      <c r="K49" s="272">
        <f>K47-K48</f>
        <v>2778.2000000000116</v>
      </c>
      <c r="L49" s="274"/>
      <c r="M49" s="272"/>
      <c r="N49" s="274"/>
      <c r="O49" s="559">
        <f>O47-O48</f>
        <v>17.270000000004075</v>
      </c>
      <c r="P49" s="559"/>
      <c r="Q49" s="559"/>
      <c r="R49" s="272">
        <f>R47-R48</f>
        <v>286</v>
      </c>
      <c r="S49" s="273"/>
      <c r="T49" s="555"/>
      <c r="U49" s="269">
        <f>U48-U47</f>
        <v>0</v>
      </c>
      <c r="V49" s="270"/>
      <c r="W49" s="561"/>
      <c r="X49" s="269">
        <f>X47-X48</f>
        <v>0</v>
      </c>
      <c r="Y49" s="270"/>
      <c r="Z49" s="561"/>
      <c r="AA49" s="269">
        <f>AA47-AA48</f>
        <v>0</v>
      </c>
      <c r="AB49" s="270"/>
      <c r="AC49" s="561"/>
      <c r="AD49" s="269">
        <f>AD47-AD48</f>
        <v>0</v>
      </c>
      <c r="AE49" s="270"/>
      <c r="AF49" s="561"/>
      <c r="AG49" s="269">
        <f>AG47-AG48</f>
        <v>0</v>
      </c>
      <c r="AH49" s="270"/>
      <c r="AI49" s="561"/>
      <c r="AJ49" s="269">
        <f>AJ47-AJ48</f>
        <v>0</v>
      </c>
      <c r="AK49" s="270"/>
      <c r="AL49" s="561"/>
      <c r="AM49" s="269">
        <f>AM47-AM48</f>
        <v>0</v>
      </c>
      <c r="AN49" s="270"/>
      <c r="AO49" s="561"/>
      <c r="AP49" s="269">
        <f>AP47-AP48</f>
        <v>0</v>
      </c>
      <c r="AQ49" s="270"/>
      <c r="AR49" s="561"/>
      <c r="AS49" s="269">
        <f>AS47-AS48</f>
        <v>0</v>
      </c>
      <c r="AT49" s="270"/>
      <c r="AU49" s="561"/>
      <c r="AV49" s="269">
        <f>AV47-AV48</f>
        <v>0</v>
      </c>
      <c r="AW49" s="270"/>
      <c r="AX49" s="270"/>
      <c r="AY49" s="554"/>
      <c r="AZ49" s="305">
        <f>AZ48-AZ47</f>
        <v>-78577100</v>
      </c>
      <c r="BA49" s="305"/>
      <c r="BB49" s="306"/>
      <c r="BC49" s="305">
        <f t="shared" ref="BC49" si="2">BC48-BC47</f>
        <v>-81548900</v>
      </c>
      <c r="BD49" s="305"/>
      <c r="BE49" s="306"/>
      <c r="BF49" s="305">
        <f t="shared" ref="BF49" si="3">BF48-BF47</f>
        <v>-75651642</v>
      </c>
      <c r="BG49" s="305"/>
      <c r="BH49" s="306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3"/>
      <c r="BT49" s="306"/>
      <c r="BU49" s="535"/>
      <c r="BV49" s="297"/>
      <c r="BW49" s="30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76">
        <f>CK47-CK48</f>
        <v>0</v>
      </c>
      <c r="CL49" s="562"/>
      <c r="CM49" s="563"/>
      <c r="CN49" s="276">
        <f>CN47-CN48</f>
        <v>0</v>
      </c>
      <c r="CO49" s="562"/>
      <c r="CP49" s="563"/>
      <c r="CQ49" s="276">
        <f>CQ47-CQ48</f>
        <v>0</v>
      </c>
      <c r="CR49" s="562"/>
      <c r="CS49" s="563"/>
      <c r="CT49" s="275">
        <f>CT47-CT48</f>
        <v>-1087</v>
      </c>
      <c r="CU49" s="276"/>
      <c r="CV49" s="423"/>
    </row>
    <row r="50" spans="1:159" ht="31.5" customHeight="1" thickBot="1" x14ac:dyDescent="0.3">
      <c r="A50" s="277" t="s">
        <v>196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8" t="s">
        <v>197</v>
      </c>
      <c r="V50" s="279"/>
      <c r="W50" s="279"/>
      <c r="X50" s="279"/>
      <c r="Y50" s="279"/>
      <c r="Z50" s="280"/>
      <c r="AA50" s="281">
        <f>SUM(U47,X47,AA47,AD47,AG47,AJ47,AM47,AP47,AS47,AV47)</f>
        <v>1116905.9999999981</v>
      </c>
      <c r="AB50" s="282"/>
      <c r="AC50" s="282"/>
      <c r="AD50" s="282"/>
      <c r="AE50" s="282"/>
      <c r="AF50" s="283"/>
      <c r="AG50" s="284" t="s">
        <v>198</v>
      </c>
      <c r="AH50" s="285"/>
      <c r="AI50" s="285"/>
      <c r="AJ50" s="285"/>
      <c r="AK50" s="285"/>
      <c r="AL50" s="286"/>
      <c r="AM50" s="287">
        <f>SUM(U48,X48,AA48,AD48,AG48,AJ48,AM48,AP48,AS48,AV48)</f>
        <v>1116905.9999999981</v>
      </c>
      <c r="AN50" s="288"/>
      <c r="AO50" s="288"/>
      <c r="AP50" s="288"/>
      <c r="AQ50" s="288"/>
      <c r="AR50" s="289"/>
      <c r="AS50" s="290" t="s">
        <v>199</v>
      </c>
      <c r="AT50" s="291"/>
      <c r="AU50" s="292"/>
      <c r="AV50" s="290">
        <f>AA50-AM50</f>
        <v>0</v>
      </c>
      <c r="AW50" s="291"/>
      <c r="AX50" s="291"/>
      <c r="AY50" s="554"/>
      <c r="AZ50" s="293">
        <v>44577</v>
      </c>
      <c r="BA50" s="294"/>
      <c r="BB50" s="295"/>
      <c r="BC50" s="293">
        <v>44942</v>
      </c>
      <c r="BD50" s="294"/>
      <c r="BE50" s="295"/>
      <c r="BF50" s="298" t="s">
        <v>193</v>
      </c>
      <c r="BG50" s="299"/>
      <c r="BH50" s="30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1"/>
      <c r="BT50" s="302"/>
      <c r="BU50" s="535"/>
      <c r="BV50" s="297"/>
      <c r="BW50" s="30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297"/>
      <c r="CL50" s="304"/>
      <c r="CM50" s="303"/>
      <c r="CN50" s="297"/>
      <c r="CO50" s="304"/>
      <c r="CP50" s="303"/>
      <c r="CQ50" s="297"/>
      <c r="CR50" s="304"/>
      <c r="CS50" s="303"/>
      <c r="CT50" s="296"/>
      <c r="CU50" s="297"/>
      <c r="CV50" s="424"/>
    </row>
    <row r="51" spans="1:159" ht="27.75" customHeight="1" x14ac:dyDescent="0.3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34"/>
      <c r="U51" s="565" t="s">
        <v>200</v>
      </c>
      <c r="V51" s="566"/>
      <c r="W51" s="566"/>
      <c r="X51" s="566"/>
      <c r="Y51" s="566"/>
      <c r="Z51" s="567"/>
      <c r="AA51" s="281">
        <f>SUM(U44:AX44)</f>
        <v>572849.76000000257</v>
      </c>
      <c r="AB51" s="282"/>
      <c r="AC51" s="282"/>
      <c r="AD51" s="282"/>
      <c r="AE51" s="282"/>
      <c r="AF51" s="283"/>
      <c r="AG51" s="568" t="s">
        <v>201</v>
      </c>
      <c r="AH51" s="569"/>
      <c r="AI51" s="569"/>
      <c r="AJ51" s="569"/>
      <c r="AK51" s="569"/>
      <c r="AL51" s="570"/>
      <c r="AM51" s="571">
        <f>SUM(U45:AX45)</f>
        <v>572849.76000000257</v>
      </c>
      <c r="AN51" s="571"/>
      <c r="AO51" s="571"/>
      <c r="AP51" s="571"/>
      <c r="AQ51" s="571"/>
      <c r="AR51" s="571"/>
      <c r="AS51" s="290" t="s">
        <v>199</v>
      </c>
      <c r="AT51" s="291"/>
      <c r="AU51" s="292"/>
      <c r="AV51" s="290">
        <f>AA51-AM51</f>
        <v>0</v>
      </c>
      <c r="AW51" s="291"/>
      <c r="AX51" s="292"/>
      <c r="AY51" s="554"/>
      <c r="AZ51" s="298">
        <f>SUM(AZ47,BC47,BF47)</f>
        <v>1267242</v>
      </c>
      <c r="BA51" s="299"/>
      <c r="BB51" s="300"/>
      <c r="BC51" s="298">
        <f>SUM(AZ48:BG48)</f>
        <v>-234510400</v>
      </c>
      <c r="BD51" s="299"/>
      <c r="BE51" s="300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1"/>
      <c r="BT51" s="302"/>
      <c r="BU51" s="535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574"/>
      <c r="B52" s="574"/>
      <c r="C52" s="574"/>
      <c r="D52" s="575"/>
      <c r="E52" s="575"/>
      <c r="F52" s="575"/>
      <c r="G52" s="576"/>
      <c r="H52" s="576"/>
      <c r="I52" s="576"/>
      <c r="J52" s="576"/>
      <c r="K52" s="117"/>
      <c r="L52" s="575"/>
      <c r="M52" s="575"/>
      <c r="N52" s="575"/>
      <c r="O52" s="575"/>
      <c r="P52" s="36"/>
      <c r="Q52" s="36"/>
      <c r="R52" s="118"/>
      <c r="S52" s="37"/>
      <c r="T52" s="38"/>
      <c r="U52" s="577"/>
      <c r="V52" s="577"/>
      <c r="W52" s="39"/>
      <c r="X52" s="578"/>
      <c r="Y52" s="578"/>
      <c r="Z52" s="7"/>
      <c r="AA52" s="119"/>
      <c r="AY52" s="554"/>
    </row>
    <row r="53" spans="1:159" ht="25.5" customHeight="1" x14ac:dyDescent="0.25">
      <c r="A53" s="579">
        <v>487.2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79"/>
      <c r="AL53" s="579"/>
      <c r="AM53" s="579"/>
      <c r="AN53" s="579"/>
      <c r="AO53" s="579"/>
      <c r="AP53" s="579"/>
      <c r="AQ53" s="579"/>
      <c r="AR53" s="579"/>
      <c r="AS53" s="579"/>
      <c r="AT53" s="579"/>
      <c r="AU53" s="579"/>
      <c r="AV53" s="579"/>
      <c r="AW53" s="579"/>
      <c r="AX53" s="579"/>
      <c r="AY53" s="579"/>
      <c r="AZ53" s="579"/>
      <c r="BA53" s="579"/>
      <c r="BB53" s="579"/>
      <c r="BC53" s="579"/>
      <c r="BD53" s="579"/>
      <c r="BE53" s="579"/>
      <c r="BF53" s="579"/>
      <c r="BG53" s="579"/>
      <c r="BH53" s="579"/>
      <c r="BI53" s="579"/>
      <c r="BJ53" s="579"/>
      <c r="BK53" s="579"/>
      <c r="BL53" s="579"/>
      <c r="BM53" s="579"/>
      <c r="BN53" s="579"/>
      <c r="BO53" s="579"/>
      <c r="BP53" s="579"/>
      <c r="BQ53" s="579"/>
      <c r="BR53" s="579"/>
      <c r="BS53" s="579"/>
      <c r="BT53" s="579"/>
      <c r="BU53" s="579"/>
      <c r="BV53" s="579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  <c r="CQ53" s="579"/>
      <c r="CR53" s="579"/>
      <c r="CS53" s="579"/>
      <c r="CT53" s="579"/>
      <c r="CU53" s="579"/>
    </row>
    <row r="54" spans="1:159" s="1" customFormat="1" ht="12.75" customHeight="1" x14ac:dyDescent="0.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40"/>
      <c r="R54" s="40"/>
      <c r="S54" s="149"/>
      <c r="T54" s="38"/>
      <c r="U54" s="585"/>
      <c r="V54" s="585"/>
      <c r="W54" s="585"/>
      <c r="X54" s="585"/>
      <c r="Y54" s="585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583"/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6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4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4"/>
      <c r="AZ55" s="584"/>
      <c r="BA55" s="584"/>
      <c r="BB55" s="584"/>
      <c r="BC55" s="584"/>
      <c r="BD55" s="584"/>
      <c r="BE55" s="584"/>
      <c r="BF55" s="584"/>
      <c r="BG55" s="584"/>
      <c r="BH55" s="584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580"/>
      <c r="B56" s="580"/>
      <c r="C56" s="580"/>
      <c r="D56" s="580"/>
      <c r="E56" s="580"/>
      <c r="F56" s="580"/>
      <c r="G56" s="580"/>
      <c r="H56" s="580"/>
      <c r="I56" s="580"/>
      <c r="J56" s="593"/>
      <c r="K56" s="593"/>
      <c r="L56" s="593"/>
      <c r="M56" s="593"/>
      <c r="N56" s="580"/>
      <c r="O56" s="580"/>
      <c r="P56" s="580"/>
      <c r="Q56" s="580"/>
      <c r="R56" s="580"/>
      <c r="S56" s="580"/>
      <c r="T56" s="580"/>
      <c r="U56" s="580"/>
      <c r="V56" s="581">
        <v>487.2</v>
      </c>
      <c r="W56" s="581"/>
      <c r="X56" s="586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4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3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6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4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3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590"/>
      <c r="D58" s="143"/>
      <c r="E58" s="587"/>
      <c r="F58" s="45"/>
      <c r="G58" s="587"/>
      <c r="H58" s="46"/>
      <c r="I58" s="590"/>
      <c r="J58" s="146"/>
      <c r="K58" s="590"/>
      <c r="L58" s="48"/>
      <c r="M58" s="590"/>
      <c r="N58" s="146"/>
      <c r="O58" s="590"/>
      <c r="P58" s="146"/>
      <c r="Q58" s="587"/>
      <c r="R58" s="54"/>
      <c r="S58" s="47"/>
      <c r="T58" s="47"/>
      <c r="U58" s="54"/>
      <c r="V58" s="48"/>
      <c r="W58" s="587"/>
      <c r="X58" s="586"/>
      <c r="Y58" s="2"/>
      <c r="Z58" s="587"/>
      <c r="AB58" s="589"/>
      <c r="AC58" s="45"/>
      <c r="AD58" s="590"/>
      <c r="AE58" s="47"/>
      <c r="AF58" s="587"/>
      <c r="AG58" s="45"/>
      <c r="AH58" s="587"/>
      <c r="AI58" s="45"/>
      <c r="AJ58" s="590"/>
      <c r="AK58" s="584"/>
      <c r="AL58" s="49"/>
      <c r="AM58" s="590"/>
      <c r="AN58" s="153"/>
      <c r="AO58" s="587"/>
      <c r="AP58" s="50"/>
      <c r="AQ58" s="587"/>
      <c r="AS58" s="590"/>
      <c r="AT58" s="2"/>
      <c r="AU58" s="587"/>
      <c r="AV58" s="51"/>
      <c r="AW58" s="588"/>
      <c r="AX58" s="583"/>
      <c r="AY58" s="52"/>
      <c r="AZ58" s="590"/>
      <c r="BA58" s="160"/>
      <c r="BB58" s="587"/>
      <c r="BC58" s="53"/>
      <c r="BD58" s="592"/>
      <c r="BE58" s="53"/>
      <c r="BF58" s="590"/>
      <c r="BG58" s="160"/>
      <c r="BH58" s="58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590"/>
      <c r="D59" s="144"/>
      <c r="E59" s="587"/>
      <c r="F59" s="55"/>
      <c r="G59" s="587"/>
      <c r="H59" s="121"/>
      <c r="I59" s="590"/>
      <c r="J59" s="131"/>
      <c r="K59" s="590"/>
      <c r="L59" s="131"/>
      <c r="M59" s="590"/>
      <c r="N59" s="130"/>
      <c r="O59" s="590"/>
      <c r="P59" s="146"/>
      <c r="Q59" s="587"/>
      <c r="R59" s="54"/>
      <c r="S59" s="47"/>
      <c r="T59" s="47"/>
      <c r="U59" s="54"/>
      <c r="V59" s="48"/>
      <c r="W59" s="587"/>
      <c r="X59" s="586"/>
      <c r="Y59" s="131"/>
      <c r="Z59" s="587"/>
      <c r="AB59" s="589"/>
      <c r="AC59" s="55"/>
      <c r="AD59" s="590"/>
      <c r="AE59" s="47"/>
      <c r="AF59" s="587"/>
      <c r="AG59" s="55"/>
      <c r="AH59" s="587"/>
      <c r="AI59" s="55"/>
      <c r="AJ59" s="590"/>
      <c r="AK59" s="584"/>
      <c r="AL59" s="49"/>
      <c r="AM59" s="590"/>
      <c r="AN59" s="154"/>
      <c r="AO59" s="587"/>
      <c r="AP59" s="50"/>
      <c r="AQ59" s="587"/>
      <c r="AR59" s="56"/>
      <c r="AS59" s="590"/>
      <c r="AT59" s="154"/>
      <c r="AU59" s="587"/>
      <c r="AV59" s="57"/>
      <c r="AW59" s="589"/>
      <c r="AX59" s="583"/>
      <c r="AY59" s="58"/>
      <c r="AZ59" s="590"/>
      <c r="BA59" s="160"/>
      <c r="BB59" s="587"/>
      <c r="BC59" s="53"/>
      <c r="BD59" s="592"/>
      <c r="BE59" s="53"/>
      <c r="BF59" s="590"/>
      <c r="BG59" s="160"/>
      <c r="BH59" s="58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6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4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83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6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4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83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6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4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83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6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4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83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6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4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83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6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4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83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6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4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83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6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4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83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6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4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83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6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4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83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6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4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83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6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4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83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6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4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83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6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4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83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6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4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83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6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4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83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6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4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83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6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4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83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6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4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83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6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4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83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6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4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83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6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4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83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6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4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83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6"/>
      <c r="Y83" s="2"/>
      <c r="Z83" s="48"/>
      <c r="AB83" s="48"/>
      <c r="AD83" s="123"/>
      <c r="AE83" s="60"/>
      <c r="AF83" s="60"/>
      <c r="AH83" s="60"/>
      <c r="AJ83" s="123"/>
      <c r="AK83" s="584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83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6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4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83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6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4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83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6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4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83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6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4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83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6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4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83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6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4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83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6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4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3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6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4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3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6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4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3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6"/>
      <c r="AA93" s="1"/>
      <c r="AD93" s="1"/>
      <c r="AG93" s="1"/>
      <c r="AJ93" s="1"/>
      <c r="AK93" s="584"/>
      <c r="AL93" s="1"/>
      <c r="AM93" s="1"/>
      <c r="AO93" s="61"/>
      <c r="AP93" s="49"/>
      <c r="AR93" s="1"/>
      <c r="AS93" s="1"/>
      <c r="AU93" s="1"/>
      <c r="AV93" s="49"/>
      <c r="AX93" s="583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6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573"/>
      <c r="AQ94" s="573"/>
      <c r="AR94" s="573"/>
      <c r="AS94" s="573"/>
      <c r="AT94" s="573"/>
      <c r="AU94" s="573"/>
      <c r="AV94" s="573"/>
      <c r="AW94" s="573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2023-01-31T06:32:43Z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