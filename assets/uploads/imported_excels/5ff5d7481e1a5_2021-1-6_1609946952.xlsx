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B32" i="3" l="1"/>
  <c r="L32" i="1"/>
  <c r="K32" i="1"/>
  <c r="I32" i="1"/>
  <c r="G32" i="1"/>
  <c r="E32" i="1"/>
  <c r="B32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<sst xmlns="http://schemas.openxmlformats.org/spreadsheetml/2006/main" count="108" uniqueCount="33">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</sst>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D34" sqref="D34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v>2020</v>
      </c>
      <c r="E2" s="20">
        <f>Submetering!E3</f>
        <v>6084</v>
      </c>
      <c r="F2" s="16">
        <v>0.12</v>
      </c>
      <c r="G2" s="20">
        <f>Submetering!F3+Submetering!G3</f>
        <v>757.18822204887852</v>
      </c>
      <c r="H2" s="16">
        <v>0.71</v>
      </c>
      <c r="I2" s="20">
        <f>Submetering!J3+Submetering!I3+Submetering!H3</f>
        <v>50.783367881300002</v>
      </c>
      <c r="J2" s="16">
        <v>2.3196172978505634</v>
      </c>
      <c r="K2" s="20">
        <f>Submetering!K2</f>
        <v>29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v>2020</v>
      </c>
      <c r="E3" s="20">
        <f>Submetering!E4</f>
        <v>5836.5</v>
      </c>
      <c r="F3" s="16">
        <v>0.12</v>
      </c>
      <c r="G3" s="20">
        <f>Submetering!F4+Submetering!G4</f>
        <v>763.17243789626173</v>
      </c>
      <c r="H3" s="16">
        <v>0.71</v>
      </c>
      <c r="I3" s="20">
        <f>Submetering!J4+Submetering!I4+Submetering!H4</f>
        <v>40.0770878716</v>
      </c>
      <c r="J3" s="16">
        <v>2.3196172978505634</v>
      </c>
      <c r="K3" s="20">
        <f>Submetering!K3</f>
        <v>24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v>2020</v>
      </c>
      <c r="E4" s="20">
        <f>Submetering!E5</f>
        <v>6034.5</v>
      </c>
      <c r="F4" s="16">
        <v>0.12</v>
      </c>
      <c r="G4" s="20">
        <f>Submetering!F5+Submetering!G5</f>
        <v>690.63150064878516</v>
      </c>
      <c r="H4" s="16">
        <v>0.71</v>
      </c>
      <c r="I4" s="20">
        <f>Submetering!J5+Submetering!I5+Submetering!H5</f>
        <v>41.022375628799992</v>
      </c>
      <c r="J4" s="16">
        <v>2.3196172978505634</v>
      </c>
      <c r="K4" s="20">
        <f>Submetering!K4</f>
        <v>13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v>2020</v>
      </c>
      <c r="E5" s="20">
        <f>Submetering!E6</f>
        <v>0</v>
      </c>
      <c r="F5" s="16">
        <v>0.12</v>
      </c>
      <c r="G5" s="20">
        <f>Submetering!F6+Submetering!G6</f>
        <v>0</v>
      </c>
      <c r="H5" s="16">
        <v>0.71</v>
      </c>
      <c r="I5" s="20">
        <f>Submetering!J6+Submetering!I6+Submetering!H6</f>
        <v>0</v>
      </c>
      <c r="J5" s="16">
        <v>2.3196172978505634</v>
      </c>
      <c r="K5" s="20">
        <f>Submetering!K5</f>
        <v>14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v>2020</v>
      </c>
      <c r="E6" s="20">
        <f>Submetering!E7</f>
        <v>0</v>
      </c>
      <c r="F6" s="16">
        <v>0.12</v>
      </c>
      <c r="G6" s="20">
        <f>Submetering!F7+Submetering!G7</f>
        <v>0</v>
      </c>
      <c r="H6" s="16">
        <v>0.71</v>
      </c>
      <c r="I6" s="20">
        <f>Submetering!J7+Submetering!I7+Submetering!H7</f>
        <v>0</v>
      </c>
      <c r="J6" s="16">
        <v>2.3196172978505634</v>
      </c>
      <c r="K6" s="20">
        <f>Submetering!K6</f>
        <v>17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v>2020</v>
      </c>
      <c r="E7" s="20">
        <f>Submetering!E8</f>
        <v>0</v>
      </c>
      <c r="F7" s="16">
        <v>0.12</v>
      </c>
      <c r="G7" s="20">
        <f>Submetering!F8+Submetering!G8</f>
        <v>0</v>
      </c>
      <c r="H7" s="16">
        <v>0.71</v>
      </c>
      <c r="I7" s="20">
        <f>Submetering!J8+Submetering!I8+Submetering!H8</f>
        <v>0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v>2020</v>
      </c>
      <c r="E8" s="20">
        <f>Submetering!E9</f>
        <v>0</v>
      </c>
      <c r="F8" s="16">
        <v>0.12</v>
      </c>
      <c r="G8" s="20">
        <f>Submetering!F9+Submetering!G9</f>
        <v>0</v>
      </c>
      <c r="H8" s="16">
        <v>0.71</v>
      </c>
      <c r="I8" s="20">
        <f>Submetering!J9+Submetering!I9+Submetering!H9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v>2020</v>
      </c>
      <c r="E9" s="20">
        <f>Submetering!E9</f>
        <v>0</v>
      </c>
      <c r="F9" s="16">
        <v>0.12</v>
      </c>
      <c r="G9" s="20">
        <f>Submetering!F10+Submetering!G10</f>
        <v>0</v>
      </c>
      <c r="H9" s="16">
        <v>0.71</v>
      </c>
      <c r="I9" s="20">
        <f>Submetering!J10+Submetering!I10+Submetering!H10</f>
        <v>0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v>2020</v>
      </c>
      <c r="E10" s="20">
        <f>Submetering!E10</f>
        <v>0</v>
      </c>
      <c r="F10" s="16">
        <v>0.12</v>
      </c>
      <c r="G10" s="20">
        <f>Submetering!F11+Submetering!G11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v>2020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v>2020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Submetering!H12+Submetering!J12+Submetering!I12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v>2020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v>2020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v>2020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v>2020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v>2020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v>2020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v>2020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v>2020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v>2020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v>2020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v>2020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v>2020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v>2020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v>2020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K2" sqref="K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</v>
      </c>
      <c r="D2" s="6">
        <v>2021</v>
      </c>
      <c r="E2" s="20">
        <v>6147</v>
      </c>
      <c r="F2" s="20">
        <v>624.03627480280375</v>
      </c>
      <c r="G2" s="20">
        <v>28.134816970841126</v>
      </c>
      <c r="H2" s="20">
        <v>1.1479999999999999</v>
      </c>
      <c r="I2" s="20">
        <v>27</v>
      </c>
      <c r="J2" s="20">
        <v>28.010686848999999</v>
      </c>
      <c r="K2" s="20">
        <v>29</v>
      </c>
    </row>
    <row r="3" spans="1:12" x14ac:dyDescent="0.25">
      <c r="A3" s="17" t="s">
        <v>32</v>
      </c>
      <c r="B3" s="6">
        <f>B2+1</f>
        <v>2</v>
      </c>
      <c r="C3" s="6">
        <v>1</v>
      </c>
      <c r="D3" s="6">
        <v>2021</v>
      </c>
      <c r="E3" s="20">
        <v>6084</v>
      </c>
      <c r="F3" s="20">
        <v>730.27687579626172</v>
      </c>
      <c r="G3" s="20">
        <v>26.911346252616827</v>
      </c>
      <c r="H3" s="20">
        <v>0.80200000000000005</v>
      </c>
      <c r="I3" s="20">
        <v>27</v>
      </c>
      <c r="J3" s="20">
        <v>22.981367881299999</v>
      </c>
      <c r="K3" s="20">
        <v>24</v>
      </c>
    </row>
    <row r="4" spans="1:12" x14ac:dyDescent="0.25">
      <c r="A4" s="17" t="s">
        <v>32</v>
      </c>
      <c r="B4" s="6">
        <f t="shared" ref="B4:B32" si="0">B3+1</f>
        <v>3</v>
      </c>
      <c r="C4" s="6">
        <v>1</v>
      </c>
      <c r="D4" s="6">
        <v>2021</v>
      </c>
      <c r="E4" s="20">
        <v>5836.5</v>
      </c>
      <c r="F4" s="20">
        <v>739.19831324672896</v>
      </c>
      <c r="G4" s="20">
        <v>23.974124649532712</v>
      </c>
      <c r="H4" s="20">
        <v>0.8</v>
      </c>
      <c r="I4" s="20">
        <v>19</v>
      </c>
      <c r="J4" s="20">
        <v>20.277087871599999</v>
      </c>
      <c r="K4" s="20">
        <v>13</v>
      </c>
    </row>
    <row r="5" spans="1:12" x14ac:dyDescent="0.25">
      <c r="A5" s="17" t="s">
        <v>32</v>
      </c>
      <c r="B5" s="6">
        <f t="shared" si="0"/>
        <v>4</v>
      </c>
      <c r="C5" s="6">
        <v>1</v>
      </c>
      <c r="D5" s="6">
        <v>2021</v>
      </c>
      <c r="E5" s="20">
        <v>6034.5</v>
      </c>
      <c r="F5" s="20">
        <v>673.69358844112162</v>
      </c>
      <c r="G5" s="20">
        <v>16.937912207663555</v>
      </c>
      <c r="H5" s="20">
        <v>4.7699999999999996</v>
      </c>
      <c r="I5" s="20">
        <v>16</v>
      </c>
      <c r="J5" s="20">
        <v>20.252375628799999</v>
      </c>
      <c r="K5" s="20">
        <v>14</v>
      </c>
    </row>
    <row r="6" spans="1:12" x14ac:dyDescent="0.25">
      <c r="A6" s="17" t="s">
        <v>32</v>
      </c>
      <c r="B6" s="6">
        <f t="shared" si="0"/>
        <v>5</v>
      </c>
      <c r="C6" s="6">
        <v>1</v>
      </c>
      <c r="D6" s="6">
        <v>2021</v>
      </c>
      <c r="K6" s="20">
        <v>17</v>
      </c>
    </row>
    <row r="7" spans="1:12" x14ac:dyDescent="0.25">
      <c r="A7" s="17" t="s">
        <v>32</v>
      </c>
      <c r="B7" s="6">
        <f t="shared" si="0"/>
        <v>6</v>
      </c>
      <c r="C7" s="6">
        <v>1</v>
      </c>
      <c r="D7" s="6">
        <v>2021</v>
      </c>
      <c r="K7" s="20"/>
    </row>
    <row r="8" spans="1:12" x14ac:dyDescent="0.25">
      <c r="A8" s="17" t="s">
        <v>32</v>
      </c>
      <c r="B8" s="6">
        <f t="shared" si="0"/>
        <v>7</v>
      </c>
      <c r="C8" s="6">
        <v>1</v>
      </c>
      <c r="D8" s="6">
        <v>2021</v>
      </c>
      <c r="I8" s="6"/>
      <c r="K8" s="20"/>
    </row>
    <row r="9" spans="1:12" x14ac:dyDescent="0.25">
      <c r="A9" s="17" t="s">
        <v>32</v>
      </c>
      <c r="B9" s="6">
        <f t="shared" si="0"/>
        <v>8</v>
      </c>
      <c r="C9" s="6">
        <v>1</v>
      </c>
      <c r="D9" s="6">
        <v>2021</v>
      </c>
      <c r="I9" s="6"/>
      <c r="K9" s="20"/>
    </row>
    <row r="10" spans="1:12" x14ac:dyDescent="0.25">
      <c r="A10" s="17" t="s">
        <v>32</v>
      </c>
      <c r="B10" s="6">
        <f t="shared" si="0"/>
        <v>9</v>
      </c>
      <c r="C10" s="6">
        <v>1</v>
      </c>
      <c r="D10" s="6">
        <v>2021</v>
      </c>
      <c r="I10" s="6"/>
      <c r="K10" s="20"/>
    </row>
    <row r="11" spans="1:12" x14ac:dyDescent="0.25">
      <c r="A11" s="17" t="s">
        <v>32</v>
      </c>
      <c r="B11" s="6">
        <f t="shared" si="0"/>
        <v>10</v>
      </c>
      <c r="C11" s="6">
        <v>1</v>
      </c>
      <c r="D11" s="6">
        <v>2021</v>
      </c>
      <c r="I11" s="6"/>
      <c r="K11" s="20"/>
    </row>
    <row r="12" spans="1:12" x14ac:dyDescent="0.25">
      <c r="A12" s="17" t="s">
        <v>32</v>
      </c>
      <c r="B12" s="6">
        <f t="shared" si="0"/>
        <v>11</v>
      </c>
      <c r="C12" s="6">
        <v>1</v>
      </c>
      <c r="D12" s="6">
        <v>2021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1</v>
      </c>
      <c r="D13" s="6">
        <v>2021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1</v>
      </c>
      <c r="D14" s="6">
        <v>2021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1</v>
      </c>
      <c r="D15" s="6">
        <v>2021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1</v>
      </c>
      <c r="D16" s="6">
        <v>2021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1</v>
      </c>
      <c r="D17" s="6">
        <v>2021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1</v>
      </c>
      <c r="D18" s="6">
        <v>2021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1</v>
      </c>
      <c r="D19" s="6">
        <v>2021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1</v>
      </c>
      <c r="D20" s="6">
        <v>2021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1</v>
      </c>
      <c r="D21" s="6">
        <v>2021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</v>
      </c>
      <c r="D22" s="6">
        <v>2021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</v>
      </c>
      <c r="D23" s="6">
        <v>2021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</v>
      </c>
      <c r="D24" s="6">
        <v>2021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</v>
      </c>
      <c r="D25" s="6">
        <v>2021</v>
      </c>
      <c r="K25" s="20"/>
    </row>
    <row r="26" spans="1:11" x14ac:dyDescent="0.25">
      <c r="A26" s="17" t="s">
        <v>32</v>
      </c>
      <c r="B26" s="6">
        <f>B25+1</f>
        <v>25</v>
      </c>
      <c r="C26" s="6">
        <v>1</v>
      </c>
      <c r="D26" s="6">
        <v>2021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v>2021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</v>
      </c>
      <c r="D28" s="6">
        <v>2021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</v>
      </c>
      <c r="D29" s="6">
        <v>2021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</v>
      </c>
      <c r="D30" s="6">
        <v>2021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</v>
      </c>
      <c r="D31" s="6">
        <v>2021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</v>
      </c>
      <c r="D32" s="6">
        <v>2021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2021-01-06T15:28:33Z</dcterms:modified>
</cp:coreProperties>
</file>