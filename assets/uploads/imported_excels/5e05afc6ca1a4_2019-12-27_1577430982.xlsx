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<sst xmlns="http://schemas.openxmlformats.org/spreadsheetml/2006/main" count="108" uniqueCount="33">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</sst>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v>2019</v>
      </c>
      <c r="E2" s="20">
        <f>Submetering!E3</f>
        <v>8196.75</v>
      </c>
      <c r="F2" s="16">
        <v>0.12</v>
      </c>
      <c r="G2" s="20">
        <f>Submetering!F3+Submetering!G3</f>
        <v>629.73520308943932</v>
      </c>
      <c r="H2" s="16">
        <v>0.71</v>
      </c>
      <c r="I2" s="20">
        <f>Submetering!J3+Submetering!I3+Submetering!H3</f>
        <v>85.072357448000005</v>
      </c>
      <c r="J2" s="16">
        <v>2.3196172978505634</v>
      </c>
      <c r="K2" s="20">
        <f>Submetering!K2</f>
        <v>58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12</v>
      </c>
      <c r="D3" s="9">
        <v>2019</v>
      </c>
      <c r="E3" s="20">
        <f>Submetering!E4</f>
        <v>8127</v>
      </c>
      <c r="F3" s="16">
        <v>0.12</v>
      </c>
      <c r="G3" s="20">
        <f>Submetering!F4+Submetering!G4</f>
        <v>659.27418547252341</v>
      </c>
      <c r="H3" s="16">
        <v>0.71</v>
      </c>
      <c r="I3" s="20">
        <f>Submetering!J4+Submetering!I4+Submetering!H4</f>
        <v>91.745882078499989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12</v>
      </c>
      <c r="D4" s="9">
        <v>2019</v>
      </c>
      <c r="E4" s="20">
        <f>Submetering!E5</f>
        <v>8005.5</v>
      </c>
      <c r="F4" s="16">
        <v>0.12</v>
      </c>
      <c r="G4" s="20">
        <f>Submetering!F5+Submetering!G5</f>
        <v>619.91274916607483</v>
      </c>
      <c r="H4" s="16">
        <v>0.71</v>
      </c>
      <c r="I4" s="20">
        <f>Submetering!J5+Submetering!I5+Submetering!H5</f>
        <v>81.728790229499992</v>
      </c>
      <c r="J4" s="16">
        <v>2.3196172978505634</v>
      </c>
      <c r="K4" s="20">
        <f>Submetering!K4</f>
        <v>82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12</v>
      </c>
      <c r="D5" s="9">
        <v>2019</v>
      </c>
      <c r="E5" s="20">
        <f>Submetering!E6</f>
        <v>8399.25</v>
      </c>
      <c r="F5" s="16">
        <v>0.12</v>
      </c>
      <c r="G5" s="20">
        <f>Submetering!F6+Submetering!G6</f>
        <v>626.89614799280378</v>
      </c>
      <c r="H5" s="16">
        <v>0.71</v>
      </c>
      <c r="I5" s="20">
        <f>Submetering!J6+Submetering!I6+Submetering!H6</f>
        <v>87.155658694300001</v>
      </c>
      <c r="J5" s="16">
        <v>2.3196172978505634</v>
      </c>
      <c r="K5" s="20">
        <f>Submetering!K5</f>
        <v>87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12</v>
      </c>
      <c r="D6" s="9">
        <v>2019</v>
      </c>
      <c r="E6" s="20">
        <f>Submetering!E7</f>
        <v>8138.25</v>
      </c>
      <c r="F6" s="16">
        <v>0.12</v>
      </c>
      <c r="G6" s="20">
        <f>Submetering!F7+Submetering!G7</f>
        <v>659.94359345953274</v>
      </c>
      <c r="H6" s="16">
        <v>0.71</v>
      </c>
      <c r="I6" s="20">
        <f>Submetering!J7+Submetering!I7+Submetering!H7</f>
        <v>84.7638469308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12</v>
      </c>
      <c r="D7" s="9">
        <v>2019</v>
      </c>
      <c r="E7" s="20">
        <f>Submetering!E8</f>
        <v>8178.75</v>
      </c>
      <c r="F7" s="16">
        <v>0.12</v>
      </c>
      <c r="G7" s="20">
        <f>Submetering!F8+Submetering!G8</f>
        <v>413.61655089915894</v>
      </c>
      <c r="H7" s="16">
        <v>0.71</v>
      </c>
      <c r="I7" s="20">
        <f>Submetering!J8+Submetering!I8+Submetering!H8</f>
        <v>83.602478077000001</v>
      </c>
      <c r="J7" s="16">
        <v>2.3196172978505634</v>
      </c>
      <c r="K7" s="20">
        <f>Submetering!K7</f>
        <v>69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12</v>
      </c>
      <c r="D8" s="9">
        <v>2019</v>
      </c>
      <c r="E8" s="20">
        <f>Submetering!E9</f>
        <v>7848</v>
      </c>
      <c r="F8" s="16">
        <v>0.12</v>
      </c>
      <c r="G8" s="20">
        <f>Submetering!F9+Submetering!G9</f>
        <v>485.2968697152337</v>
      </c>
      <c r="H8" s="16">
        <v>0.71</v>
      </c>
      <c r="I8" s="20">
        <f>Submetering!J9+Submetering!I9+Submetering!H9</f>
        <v>79.20174970250001</v>
      </c>
      <c r="J8" s="16">
        <v>2.3196172978505634</v>
      </c>
      <c r="K8" s="20">
        <f>Submetering!K8</f>
        <v>46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12</v>
      </c>
      <c r="D9" s="9">
        <v>2019</v>
      </c>
      <c r="E9" s="20">
        <f>Submetering!E9</f>
        <v>7848</v>
      </c>
      <c r="F9" s="16">
        <v>0.12</v>
      </c>
      <c r="G9" s="20">
        <f>Submetering!F10+Submetering!G10</f>
        <v>528.0981211946729</v>
      </c>
      <c r="H9" s="16">
        <v>0.71</v>
      </c>
      <c r="I9" s="20">
        <f>Submetering!J10+Submetering!I10+Submetering!H10</f>
        <v>89.934477512599997</v>
      </c>
      <c r="J9" s="16">
        <v>2.3196172978505634</v>
      </c>
      <c r="K9" s="20">
        <f>Submetering!K9</f>
        <v>58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12</v>
      </c>
      <c r="D10" s="9">
        <v>2019</v>
      </c>
      <c r="E10" s="20">
        <f>Submetering!E10</f>
        <v>8417.25</v>
      </c>
      <c r="F10" s="16">
        <v>0.12</v>
      </c>
      <c r="G10" s="20">
        <f>Submetering!F11+Submetering!G11</f>
        <v>650.48468792037386</v>
      </c>
      <c r="H10" s="16">
        <v>0.71</v>
      </c>
      <c r="I10" s="20">
        <f>Submetering!J10+Submetering!I10+Submetering!H10</f>
        <v>89.934477512599997</v>
      </c>
      <c r="J10" s="16">
        <v>2.3196172978505634</v>
      </c>
      <c r="K10" s="20">
        <f>Submetering!K10</f>
        <v>94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12</v>
      </c>
      <c r="D11" s="9">
        <v>2019</v>
      </c>
      <c r="E11" s="20">
        <f>Submetering!E11</f>
        <v>8444.25</v>
      </c>
      <c r="F11" s="16">
        <v>0.12</v>
      </c>
      <c r="G11" s="20">
        <f>Submetering!F11+Submetering!G11</f>
        <v>650.48468792037386</v>
      </c>
      <c r="H11" s="16">
        <v>0.71</v>
      </c>
      <c r="I11" s="20">
        <f>Submetering!J11+Submetering!I11+Submetering!H11</f>
        <v>91.403199035000014</v>
      </c>
      <c r="J11" s="16">
        <v>2.3196172978505634</v>
      </c>
      <c r="K11" s="20">
        <f>Submetering!K11</f>
        <v>105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12</v>
      </c>
      <c r="D12" s="9">
        <v>2019</v>
      </c>
      <c r="E12" s="20">
        <f>Submetering!E12</f>
        <v>8637.75</v>
      </c>
      <c r="F12" s="16">
        <v>0.12</v>
      </c>
      <c r="G12" s="20">
        <f>Submetering!F12+Submetering!G12</f>
        <v>766.45848396775705</v>
      </c>
      <c r="H12" s="16">
        <v>0.71</v>
      </c>
      <c r="I12" s="20">
        <f>Submetering!J12+Submetering!I12+Submetering!H12</f>
        <v>91.209147024399996</v>
      </c>
      <c r="J12" s="16">
        <v>2.3196172978505634</v>
      </c>
      <c r="K12" s="20">
        <f>Submetering!K12</f>
        <v>105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12</v>
      </c>
      <c r="D13" s="9">
        <v>2019</v>
      </c>
      <c r="E13" s="20">
        <f>Submetering!E13</f>
        <v>8527.5</v>
      </c>
      <c r="F13" s="16">
        <v>0.12</v>
      </c>
      <c r="G13" s="20">
        <f>Submetering!F13+Submetering!G13</f>
        <v>714.70242907794398</v>
      </c>
      <c r="H13" s="16">
        <v>0.71</v>
      </c>
      <c r="I13" s="20">
        <f>Submetering!J13+Submetering!I13+Submetering!H13</f>
        <v>93.778796495600005</v>
      </c>
      <c r="J13" s="16">
        <v>2.3196172978505634</v>
      </c>
      <c r="K13" s="20">
        <f>Submetering!K13</f>
        <v>88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12</v>
      </c>
      <c r="D14" s="9">
        <v>2019</v>
      </c>
      <c r="E14" s="20">
        <f>Submetering!E14</f>
        <v>8714.25</v>
      </c>
      <c r="F14" s="16">
        <v>0.12</v>
      </c>
      <c r="G14" s="20">
        <f>Submetering!F14+Submetering!G14</f>
        <v>725.95258891149535</v>
      </c>
      <c r="H14" s="16">
        <v>0.71</v>
      </c>
      <c r="I14" s="20">
        <f>Submetering!H12+Submetering!J12+Submetering!I12</f>
        <v>91.209147024400011</v>
      </c>
      <c r="J14" s="16">
        <v>2.3196172978505634</v>
      </c>
      <c r="K14" s="20">
        <f>Submetering!K14</f>
        <v>96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12</v>
      </c>
      <c r="D15" s="9">
        <v>2019</v>
      </c>
      <c r="E15" s="20">
        <f>Submetering!E15</f>
        <v>8482.5</v>
      </c>
      <c r="F15" s="16">
        <v>0.12</v>
      </c>
      <c r="G15" s="20">
        <f>Submetering!F15+Submetering!G15</f>
        <v>551.60508023084117</v>
      </c>
      <c r="H15" s="16">
        <v>0.71</v>
      </c>
      <c r="I15" s="20">
        <f>Submetering!J15+Submetering!I15+Submetering!H15</f>
        <v>91.825111858599996</v>
      </c>
      <c r="J15" s="16">
        <v>2.3196172978505634</v>
      </c>
      <c r="K15" s="20">
        <f>Submetering!K15</f>
        <v>109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12</v>
      </c>
      <c r="D16" s="9">
        <v>2019</v>
      </c>
      <c r="E16" s="20">
        <f>Submetering!E16</f>
        <v>8208</v>
      </c>
      <c r="F16" s="16">
        <v>0.12</v>
      </c>
      <c r="G16" s="20">
        <f>Submetering!F16+Submetering!G16</f>
        <v>398.09533197009347</v>
      </c>
      <c r="H16" s="16">
        <v>0.71</v>
      </c>
      <c r="I16" s="20">
        <f>Submetering!J16+Submetering!I16+Submetering!H16</f>
        <v>84.367206239999987</v>
      </c>
      <c r="J16" s="16">
        <v>2.3196172978505634</v>
      </c>
      <c r="K16" s="20">
        <f>Submetering!K16</f>
        <v>50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12</v>
      </c>
      <c r="D17" s="9">
        <v>2019</v>
      </c>
      <c r="E17" s="20">
        <f>Submetering!E17</f>
        <v>8757</v>
      </c>
      <c r="F17" s="16">
        <v>0.12</v>
      </c>
      <c r="G17" s="20">
        <f>Submetering!F17+Submetering!G17</f>
        <v>493.09641572785051</v>
      </c>
      <c r="H17" s="16">
        <v>0.71</v>
      </c>
      <c r="I17" s="20">
        <f>Submetering!J17+Submetering!I17+Submetering!H17</f>
        <v>88.202068550500002</v>
      </c>
      <c r="J17" s="16">
        <v>2.3196172978505634</v>
      </c>
      <c r="K17" s="20">
        <f>Submetering!K17</f>
        <v>64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12</v>
      </c>
      <c r="D18" s="9">
        <v>2019</v>
      </c>
      <c r="E18" s="20">
        <f>Submetering!E18</f>
        <v>8358.75</v>
      </c>
      <c r="F18" s="16">
        <v>0.12</v>
      </c>
      <c r="G18" s="20">
        <f>Submetering!F18+Submetering!G18</f>
        <v>545.13176622654203</v>
      </c>
      <c r="H18" s="16">
        <v>0.71</v>
      </c>
      <c r="I18" s="20">
        <f>Submetering!J18+Submetering!I18+Submetering!H18</f>
        <v>85.534853299600002</v>
      </c>
      <c r="J18" s="16">
        <v>2.3196172978505634</v>
      </c>
      <c r="K18" s="20">
        <f>Submetering!K18</f>
        <v>73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12</v>
      </c>
      <c r="D19" s="9">
        <v>2019</v>
      </c>
      <c r="E19" s="20">
        <f>Submetering!E19</f>
        <v>8298</v>
      </c>
      <c r="F19" s="16">
        <v>0.12</v>
      </c>
      <c r="G19" s="20">
        <f>Submetering!F19+Submetering!G19</f>
        <v>414.40960641971964</v>
      </c>
      <c r="H19" s="16">
        <v>0.71</v>
      </c>
      <c r="I19" s="20">
        <f>Submetering!J19+Submetering!I19+Submetering!H19</f>
        <v>88.6515931438</v>
      </c>
      <c r="J19" s="16">
        <v>2.3196172978505634</v>
      </c>
      <c r="K19" s="20">
        <f>Submetering!K19</f>
        <v>78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12</v>
      </c>
      <c r="D20" s="9">
        <v>2019</v>
      </c>
      <c r="E20" s="20">
        <f>Submetering!E20</f>
        <v>8376.75</v>
      </c>
      <c r="F20" s="16">
        <v>0.12</v>
      </c>
      <c r="G20" s="20">
        <f>Submetering!F20+Submetering!G20</f>
        <v>486.76672417738325</v>
      </c>
      <c r="H20" s="16">
        <v>0.71</v>
      </c>
      <c r="I20" s="20">
        <f>Submetering!J20+Submetering!I20+Submetering!H20</f>
        <v>79.695241420499997</v>
      </c>
      <c r="J20" s="16">
        <v>2.3196172978505634</v>
      </c>
      <c r="K20" s="20">
        <f>Submetering!K20</f>
        <v>78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12</v>
      </c>
      <c r="D21" s="9">
        <v>2019</v>
      </c>
      <c r="E21" s="20">
        <f>Submetering!E21</f>
        <v>8331.75</v>
      </c>
      <c r="F21" s="16">
        <v>0.12</v>
      </c>
      <c r="G21" s="20">
        <f>Submetering!F21+Submetering!G21</f>
        <v>527.09493707523359</v>
      </c>
      <c r="H21" s="16">
        <v>0.71</v>
      </c>
      <c r="I21" s="20">
        <f>Submetering!J21+Submetering!I21+Submetering!H21</f>
        <v>83.198496738599999</v>
      </c>
      <c r="J21" s="16">
        <v>2.3196172978505634</v>
      </c>
      <c r="K21" s="20">
        <f>Submetering!K21</f>
        <v>63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12</v>
      </c>
      <c r="D22" s="9">
        <v>2019</v>
      </c>
      <c r="E22" s="20">
        <f>Submetering!E22</f>
        <v>8183.25</v>
      </c>
      <c r="F22" s="16">
        <v>0.12</v>
      </c>
      <c r="G22" s="20">
        <f>Submetering!F22+Submetering!G22</f>
        <v>437.36263001252343</v>
      </c>
      <c r="H22" s="16">
        <v>0.71</v>
      </c>
      <c r="I22" s="20">
        <f>Submetering!J22+Submetering!I22+Submetering!H22</f>
        <v>69.798370875999993</v>
      </c>
      <c r="J22" s="16">
        <v>2.3196172978505634</v>
      </c>
      <c r="K22" s="20">
        <f>Submetering!K22</f>
        <v>58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12</v>
      </c>
      <c r="D23" s="9">
        <v>2019</v>
      </c>
      <c r="E23" s="20">
        <f>Submetering!E23</f>
        <v>7931.25</v>
      </c>
      <c r="F23" s="16">
        <v>0.12</v>
      </c>
      <c r="G23" s="20">
        <f>Submetering!F23+Submetering!G23</f>
        <v>505.4749012421496</v>
      </c>
      <c r="H23" s="16">
        <v>0.71</v>
      </c>
      <c r="I23" s="20">
        <f>Submetering!J23+Submetering!I23+Submetering!H23</f>
        <v>67.890520558199995</v>
      </c>
      <c r="J23" s="16">
        <v>2.3196172978505634</v>
      </c>
      <c r="K23" s="20">
        <f>Submetering!K23</f>
        <v>55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12</v>
      </c>
      <c r="D24" s="9">
        <v>2019</v>
      </c>
      <c r="E24" s="20">
        <f>Submetering!E24</f>
        <v>7886.25</v>
      </c>
      <c r="F24" s="16">
        <v>0.12</v>
      </c>
      <c r="G24" s="20">
        <f>Submetering!F24+Submetering!G24</f>
        <v>583.73455021682241</v>
      </c>
      <c r="H24" s="16">
        <v>0.71</v>
      </c>
      <c r="I24" s="20">
        <f>Submetering!J24+Submetering!I24+Submetering!H24</f>
        <v>85.300636215799997</v>
      </c>
      <c r="J24" s="16">
        <v>2.3196172978505634</v>
      </c>
      <c r="K24" s="20">
        <f>Submetering!K24</f>
        <v>54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12</v>
      </c>
      <c r="D25" s="9">
        <v>2019</v>
      </c>
      <c r="E25" s="20">
        <f>Submetering!E25</f>
        <v>7668</v>
      </c>
      <c r="F25" s="16">
        <v>0.12</v>
      </c>
      <c r="G25" s="20">
        <f>Submetering!F25+Submetering!G25</f>
        <v>575.83246108317758</v>
      </c>
      <c r="H25" s="16">
        <v>0.71</v>
      </c>
      <c r="I25" s="20">
        <f>Submetering!J25+Submetering!I25+Submetering!H25</f>
        <v>73.908674884600003</v>
      </c>
      <c r="J25" s="16">
        <v>2.3196172978505634</v>
      </c>
      <c r="K25" s="20">
        <f>Submetering!K25</f>
        <v>61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12</v>
      </c>
      <c r="D26" s="9">
        <v>2019</v>
      </c>
      <c r="E26" s="20">
        <f>Submetering!E26</f>
        <v>7796.25</v>
      </c>
      <c r="F26" s="16">
        <v>0.12</v>
      </c>
      <c r="G26" s="20">
        <f>Submetering!F26+Submetering!G26</f>
        <v>450.12985493271037</v>
      </c>
      <c r="H26" s="16">
        <v>0.71</v>
      </c>
      <c r="I26" s="20">
        <f>Submetering!J26+Submetering!I26+Submetering!H26</f>
        <v>73.093628478599996</v>
      </c>
      <c r="J26" s="16">
        <v>2.3196172978505634</v>
      </c>
      <c r="K26" s="20">
        <f>Submetering!K26</f>
        <v>71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12</v>
      </c>
      <c r="D27" s="9">
        <v>2019</v>
      </c>
      <c r="E27" s="20">
        <f>Submetering!E27</f>
        <v>7731</v>
      </c>
      <c r="F27" s="16">
        <v>0.12</v>
      </c>
      <c r="G27" s="20">
        <f>Submetering!F27+Submetering!G27</f>
        <v>690.58512768598132</v>
      </c>
      <c r="H27" s="16">
        <v>0.71</v>
      </c>
      <c r="I27" s="20">
        <f>Submetering!J27+Submetering!I27+Submetering!H27</f>
        <v>80.644503974700001</v>
      </c>
      <c r="J27" s="16">
        <v>2.3196172978505634</v>
      </c>
      <c r="K27" s="20">
        <f>Submetering!K27</f>
        <v>95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12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12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12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12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12</v>
      </c>
      <c r="D32" s="9">
        <v>2019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J34" sqref="J34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12</v>
      </c>
      <c r="D2" s="6">
        <v>2019</v>
      </c>
      <c r="E2" s="20">
        <v>7749</v>
      </c>
      <c r="F2" s="20">
        <v>633.1040864813084</v>
      </c>
      <c r="G2" s="20">
        <v>19.563100073364488</v>
      </c>
      <c r="H2" s="20">
        <v>5.7160000000000002</v>
      </c>
      <c r="I2" s="20">
        <v>35</v>
      </c>
      <c r="J2" s="20">
        <v>28.006041423300001</v>
      </c>
      <c r="K2" s="20">
        <v>58</v>
      </c>
    </row>
    <row r="3" spans="1:12" x14ac:dyDescent="0.25">
      <c r="A3" s="17" t="s">
        <v>32</v>
      </c>
      <c r="B3" s="6">
        <f>B2+1</f>
        <v>2</v>
      </c>
      <c r="C3" s="6">
        <v>12</v>
      </c>
      <c r="D3" s="6">
        <v>2019</v>
      </c>
      <c r="E3" s="20">
        <v>8196.75</v>
      </c>
      <c r="F3" s="20">
        <v>608.86447387850478</v>
      </c>
      <c r="G3" s="20">
        <v>20.870729210934581</v>
      </c>
      <c r="H3" s="20">
        <v>9.7620000000000005</v>
      </c>
      <c r="I3" s="20">
        <v>46</v>
      </c>
      <c r="J3" s="20">
        <v>29.310357448000001</v>
      </c>
      <c r="K3" s="20">
        <v>96</v>
      </c>
    </row>
    <row r="4" spans="1:12" x14ac:dyDescent="0.25">
      <c r="A4" s="17" t="s">
        <v>32</v>
      </c>
      <c r="B4" s="6">
        <f t="shared" ref="B4:B32" si="0">B3+1</f>
        <v>3</v>
      </c>
      <c r="C4" s="6">
        <v>12</v>
      </c>
      <c r="D4" s="6">
        <v>2019</v>
      </c>
      <c r="E4" s="20">
        <v>8127</v>
      </c>
      <c r="F4" s="20">
        <v>639.56937914485991</v>
      </c>
      <c r="G4" s="20">
        <v>19.704806327663551</v>
      </c>
      <c r="H4" s="20">
        <v>9.0609999999999999</v>
      </c>
      <c r="I4" s="20">
        <v>51</v>
      </c>
      <c r="J4" s="20">
        <v>31.684882078499999</v>
      </c>
      <c r="K4" s="20">
        <v>82</v>
      </c>
    </row>
    <row r="5" spans="1:12" x14ac:dyDescent="0.25">
      <c r="A5" s="17" t="s">
        <v>32</v>
      </c>
      <c r="B5" s="6">
        <f t="shared" si="0"/>
        <v>4</v>
      </c>
      <c r="C5" s="6">
        <v>12</v>
      </c>
      <c r="D5" s="6">
        <v>2019</v>
      </c>
      <c r="E5" s="20">
        <v>8005.5</v>
      </c>
      <c r="F5" s="20">
        <v>604.79564845700941</v>
      </c>
      <c r="G5" s="20">
        <v>15.117100709065422</v>
      </c>
      <c r="H5" s="20">
        <v>7.75</v>
      </c>
      <c r="I5" s="20">
        <v>46</v>
      </c>
      <c r="J5" s="20">
        <v>27.978790229499999</v>
      </c>
      <c r="K5" s="20">
        <v>87</v>
      </c>
    </row>
    <row r="6" spans="1:12" x14ac:dyDescent="0.25">
      <c r="A6" s="17" t="s">
        <v>32</v>
      </c>
      <c r="B6" s="6">
        <f t="shared" si="0"/>
        <v>5</v>
      </c>
      <c r="C6" s="6">
        <v>12</v>
      </c>
      <c r="D6" s="6">
        <v>2019</v>
      </c>
      <c r="E6" s="20">
        <v>8399.25</v>
      </c>
      <c r="F6" s="20">
        <v>612.25824115794398</v>
      </c>
      <c r="G6" s="20">
        <v>14.637906834859814</v>
      </c>
      <c r="H6" s="20">
        <v>5.8170000000000002</v>
      </c>
      <c r="I6" s="20">
        <v>50</v>
      </c>
      <c r="J6" s="20">
        <v>31.338658694300001</v>
      </c>
      <c r="K6" s="20">
        <v>104</v>
      </c>
    </row>
    <row r="7" spans="1:12" x14ac:dyDescent="0.25">
      <c r="A7" s="17" t="s">
        <v>32</v>
      </c>
      <c r="B7" s="6">
        <f t="shared" si="0"/>
        <v>6</v>
      </c>
      <c r="C7" s="6">
        <v>12</v>
      </c>
      <c r="D7" s="6">
        <v>2019</v>
      </c>
      <c r="E7" s="20">
        <v>8138.25</v>
      </c>
      <c r="F7" s="20">
        <v>644.49465135046728</v>
      </c>
      <c r="G7" s="20">
        <v>15.44894210906542</v>
      </c>
      <c r="H7" s="20">
        <v>6.0830000000000002</v>
      </c>
      <c r="I7" s="20">
        <v>47</v>
      </c>
      <c r="J7" s="20">
        <v>31.680846930800001</v>
      </c>
      <c r="K7" s="20">
        <v>69</v>
      </c>
    </row>
    <row r="8" spans="1:12" x14ac:dyDescent="0.25">
      <c r="A8" s="17" t="s">
        <v>32</v>
      </c>
      <c r="B8" s="6">
        <f t="shared" si="0"/>
        <v>7</v>
      </c>
      <c r="C8" s="6">
        <v>12</v>
      </c>
      <c r="D8" s="6">
        <v>2019</v>
      </c>
      <c r="E8" s="20">
        <v>8178.75</v>
      </c>
      <c r="F8" s="20">
        <v>392.87135370000004</v>
      </c>
      <c r="G8" s="20">
        <v>20.745197199158881</v>
      </c>
      <c r="H8" s="20">
        <v>5.8819999999999997</v>
      </c>
      <c r="I8" s="6">
        <v>43</v>
      </c>
      <c r="J8" s="20">
        <v>34.720478077000003</v>
      </c>
      <c r="K8" s="20">
        <v>46</v>
      </c>
    </row>
    <row r="9" spans="1:12" x14ac:dyDescent="0.25">
      <c r="A9" s="17" t="s">
        <v>32</v>
      </c>
      <c r="B9" s="6">
        <f t="shared" si="0"/>
        <v>8</v>
      </c>
      <c r="C9" s="6">
        <v>12</v>
      </c>
      <c r="D9" s="6">
        <v>2019</v>
      </c>
      <c r="E9" s="20">
        <v>7848</v>
      </c>
      <c r="F9" s="20">
        <v>462.96431616822434</v>
      </c>
      <c r="G9" s="20">
        <v>22.332553547009347</v>
      </c>
      <c r="H9" s="20">
        <v>5.9260000000000002</v>
      </c>
      <c r="I9" s="6">
        <v>39</v>
      </c>
      <c r="J9" s="20">
        <v>34.275749702500001</v>
      </c>
      <c r="K9" s="20">
        <v>58</v>
      </c>
    </row>
    <row r="10" spans="1:12" x14ac:dyDescent="0.25">
      <c r="A10" s="17" t="s">
        <v>32</v>
      </c>
      <c r="B10" s="6">
        <f t="shared" si="0"/>
        <v>9</v>
      </c>
      <c r="C10" s="6">
        <v>12</v>
      </c>
      <c r="D10" s="6">
        <v>2019</v>
      </c>
      <c r="E10" s="20">
        <v>8417.25</v>
      </c>
      <c r="F10" s="20">
        <v>504.36692070000004</v>
      </c>
      <c r="G10" s="20">
        <v>23.731200494672898</v>
      </c>
      <c r="H10" s="20">
        <v>9.5630000000000006</v>
      </c>
      <c r="I10" s="6">
        <v>49</v>
      </c>
      <c r="J10" s="20">
        <v>31.371477512599999</v>
      </c>
      <c r="K10" s="20">
        <v>94</v>
      </c>
    </row>
    <row r="11" spans="1:12" x14ac:dyDescent="0.25">
      <c r="A11" s="17" t="s">
        <v>32</v>
      </c>
      <c r="B11" s="6">
        <f t="shared" si="0"/>
        <v>10</v>
      </c>
      <c r="C11" s="6">
        <v>12</v>
      </c>
      <c r="D11" s="6">
        <v>2019</v>
      </c>
      <c r="E11" s="20">
        <v>8444.25</v>
      </c>
      <c r="F11" s="20">
        <v>628.26309627102808</v>
      </c>
      <c r="G11" s="20">
        <v>22.221591649345797</v>
      </c>
      <c r="H11" s="20">
        <v>9.4030000000000005</v>
      </c>
      <c r="I11" s="6">
        <v>53</v>
      </c>
      <c r="J11" s="20">
        <v>29.000199035000001</v>
      </c>
      <c r="K11" s="20">
        <v>105</v>
      </c>
    </row>
    <row r="12" spans="1:12" x14ac:dyDescent="0.25">
      <c r="A12" s="17" t="s">
        <v>32</v>
      </c>
      <c r="B12" s="6">
        <f t="shared" si="0"/>
        <v>11</v>
      </c>
      <c r="C12" s="6">
        <v>12</v>
      </c>
      <c r="D12" s="6">
        <v>2019</v>
      </c>
      <c r="E12" s="20">
        <v>8637.75</v>
      </c>
      <c r="F12" s="20">
        <v>750.79385300280376</v>
      </c>
      <c r="G12" s="20">
        <v>15.664630964953272</v>
      </c>
      <c r="H12" s="20">
        <v>8.2370000000000001</v>
      </c>
      <c r="I12" s="20">
        <v>55</v>
      </c>
      <c r="J12" s="20">
        <v>27.972147024400002</v>
      </c>
      <c r="K12" s="20">
        <v>105</v>
      </c>
    </row>
    <row r="13" spans="1:12" x14ac:dyDescent="0.25">
      <c r="A13" s="17" t="s">
        <v>32</v>
      </c>
      <c r="B13" s="6">
        <f t="shared" si="0"/>
        <v>12</v>
      </c>
      <c r="C13" s="6">
        <v>12</v>
      </c>
      <c r="D13" s="6">
        <v>2019</v>
      </c>
      <c r="E13" s="20">
        <v>8527.5</v>
      </c>
      <c r="F13" s="20">
        <v>699.11421640186916</v>
      </c>
      <c r="G13" s="20">
        <v>15.588212676074766</v>
      </c>
      <c r="H13" s="20">
        <v>5.7720000000000002</v>
      </c>
      <c r="I13" s="20">
        <v>56</v>
      </c>
      <c r="J13" s="20">
        <v>32.0067964956</v>
      </c>
      <c r="K13" s="20">
        <v>88</v>
      </c>
    </row>
    <row r="14" spans="1:12" x14ac:dyDescent="0.25">
      <c r="A14" s="17" t="s">
        <v>32</v>
      </c>
      <c r="B14" s="6">
        <f t="shared" si="0"/>
        <v>13</v>
      </c>
      <c r="C14" s="6">
        <v>12</v>
      </c>
      <c r="D14" s="6">
        <v>2019</v>
      </c>
      <c r="E14" s="20">
        <v>8714.25</v>
      </c>
      <c r="F14" s="20">
        <v>707.00607674392529</v>
      </c>
      <c r="G14" s="20">
        <v>18.946512167570095</v>
      </c>
      <c r="H14" s="20">
        <v>6.048</v>
      </c>
      <c r="I14" s="20">
        <v>52</v>
      </c>
      <c r="J14" s="20">
        <v>33.018804019699999</v>
      </c>
      <c r="K14" s="20">
        <v>96</v>
      </c>
    </row>
    <row r="15" spans="1:12" x14ac:dyDescent="0.25">
      <c r="A15" s="17" t="s">
        <v>32</v>
      </c>
      <c r="B15" s="6">
        <f t="shared" si="0"/>
        <v>14</v>
      </c>
      <c r="C15" s="6">
        <v>12</v>
      </c>
      <c r="D15" s="6">
        <v>2019</v>
      </c>
      <c r="E15" s="20">
        <v>8482.5</v>
      </c>
      <c r="F15" s="20">
        <v>529.65682292523366</v>
      </c>
      <c r="G15" s="20">
        <v>21.948257305607477</v>
      </c>
      <c r="H15" s="20">
        <v>6.1890000000000001</v>
      </c>
      <c r="I15" s="20">
        <v>55</v>
      </c>
      <c r="J15" s="20">
        <v>30.6361118586</v>
      </c>
      <c r="K15" s="20">
        <v>109</v>
      </c>
    </row>
    <row r="16" spans="1:12" x14ac:dyDescent="0.25">
      <c r="A16" s="17" t="s">
        <v>32</v>
      </c>
      <c r="B16" s="6">
        <f t="shared" si="0"/>
        <v>15</v>
      </c>
      <c r="C16" s="6">
        <v>12</v>
      </c>
      <c r="D16" s="6">
        <v>2019</v>
      </c>
      <c r="E16" s="20">
        <v>8208</v>
      </c>
      <c r="F16" s="20">
        <v>380.00826901869158</v>
      </c>
      <c r="G16" s="20">
        <v>18.087062951401872</v>
      </c>
      <c r="H16" s="20">
        <v>6.0140000000000002</v>
      </c>
      <c r="I16" s="20">
        <v>48</v>
      </c>
      <c r="J16" s="20">
        <v>30.353206239999999</v>
      </c>
      <c r="K16" s="20">
        <v>50</v>
      </c>
    </row>
    <row r="17" spans="1:11" x14ac:dyDescent="0.25">
      <c r="A17" s="17" t="s">
        <v>32</v>
      </c>
      <c r="B17" s="6">
        <f t="shared" si="0"/>
        <v>16</v>
      </c>
      <c r="C17" s="6">
        <v>12</v>
      </c>
      <c r="D17" s="6">
        <v>2019</v>
      </c>
      <c r="E17" s="20">
        <v>8757</v>
      </c>
      <c r="F17" s="20">
        <v>476.22719932710282</v>
      </c>
      <c r="G17" s="20">
        <v>16.869216400747664</v>
      </c>
      <c r="H17" s="20">
        <v>10.214</v>
      </c>
      <c r="I17" s="20">
        <v>45</v>
      </c>
      <c r="J17" s="20">
        <v>32.988068550500003</v>
      </c>
      <c r="K17" s="20">
        <v>64</v>
      </c>
    </row>
    <row r="18" spans="1:11" x14ac:dyDescent="0.25">
      <c r="A18" s="17" t="s">
        <v>32</v>
      </c>
      <c r="B18" s="6">
        <f t="shared" si="0"/>
        <v>17</v>
      </c>
      <c r="C18" s="6">
        <v>12</v>
      </c>
      <c r="D18" s="6">
        <v>2019</v>
      </c>
      <c r="E18" s="20">
        <v>8358.75</v>
      </c>
      <c r="F18" s="20">
        <v>527.31408926635515</v>
      </c>
      <c r="G18" s="20">
        <v>17.817676960186915</v>
      </c>
      <c r="H18" s="20">
        <v>5.8780000000000001</v>
      </c>
      <c r="I18" s="20">
        <v>51</v>
      </c>
      <c r="J18" s="20">
        <v>28.656853299600002</v>
      </c>
      <c r="K18" s="20">
        <v>73</v>
      </c>
    </row>
    <row r="19" spans="1:11" x14ac:dyDescent="0.25">
      <c r="A19" s="17" t="s">
        <v>32</v>
      </c>
      <c r="B19" s="6">
        <f t="shared" si="0"/>
        <v>18</v>
      </c>
      <c r="C19" s="6">
        <v>12</v>
      </c>
      <c r="D19" s="6">
        <v>2019</v>
      </c>
      <c r="E19" s="20">
        <v>8298</v>
      </c>
      <c r="F19" s="20">
        <v>399.08744994112152</v>
      </c>
      <c r="G19" s="20">
        <v>15.322156478598131</v>
      </c>
      <c r="H19" s="20">
        <v>3.6429999999999998</v>
      </c>
      <c r="I19" s="20">
        <v>53</v>
      </c>
      <c r="J19" s="20">
        <v>32.008593143799999</v>
      </c>
      <c r="K19" s="20">
        <v>78</v>
      </c>
    </row>
    <row r="20" spans="1:11" x14ac:dyDescent="0.25">
      <c r="A20" s="17" t="s">
        <v>32</v>
      </c>
      <c r="B20" s="6">
        <f t="shared" si="0"/>
        <v>19</v>
      </c>
      <c r="C20" s="6">
        <v>12</v>
      </c>
      <c r="D20" s="6">
        <v>2019</v>
      </c>
      <c r="E20" s="20">
        <v>8376.75</v>
      </c>
      <c r="F20" s="20">
        <v>471.52443730186923</v>
      </c>
      <c r="G20" s="20">
        <v>15.24228687551402</v>
      </c>
      <c r="H20" s="20">
        <v>1.335</v>
      </c>
      <c r="I20" s="20">
        <v>47</v>
      </c>
      <c r="J20" s="20">
        <v>31.3602414205</v>
      </c>
      <c r="K20" s="20">
        <v>78</v>
      </c>
    </row>
    <row r="21" spans="1:11" x14ac:dyDescent="0.25">
      <c r="A21" s="17" t="s">
        <v>32</v>
      </c>
      <c r="B21" s="6">
        <f t="shared" si="0"/>
        <v>20</v>
      </c>
      <c r="C21" s="6">
        <v>12</v>
      </c>
      <c r="D21" s="6">
        <v>2019</v>
      </c>
      <c r="E21" s="20">
        <v>8331.75</v>
      </c>
      <c r="F21" s="20">
        <v>509.38424387009343</v>
      </c>
      <c r="G21" s="20">
        <v>17.710693205140188</v>
      </c>
      <c r="H21" s="20">
        <v>1.5629999999999999</v>
      </c>
      <c r="I21" s="20">
        <v>50</v>
      </c>
      <c r="J21" s="20">
        <v>31.635496738600001</v>
      </c>
      <c r="K21" s="20">
        <v>63</v>
      </c>
    </row>
    <row r="22" spans="1:11" x14ac:dyDescent="0.25">
      <c r="A22" s="17" t="s">
        <v>32</v>
      </c>
      <c r="B22" s="6">
        <f t="shared" si="0"/>
        <v>21</v>
      </c>
      <c r="C22" s="6">
        <v>12</v>
      </c>
      <c r="D22" s="6">
        <v>2019</v>
      </c>
      <c r="E22" s="20">
        <v>8183.25</v>
      </c>
      <c r="F22" s="20">
        <v>412.64113610747671</v>
      </c>
      <c r="G22" s="20">
        <v>24.721493905046728</v>
      </c>
      <c r="H22" s="20">
        <v>1.4419999999999999</v>
      </c>
      <c r="I22" s="20">
        <v>40</v>
      </c>
      <c r="J22" s="20">
        <v>28.356370876</v>
      </c>
      <c r="K22" s="20">
        <v>58</v>
      </c>
    </row>
    <row r="23" spans="1:11" x14ac:dyDescent="0.25">
      <c r="A23" s="17" t="s">
        <v>32</v>
      </c>
      <c r="B23" s="6">
        <f t="shared" si="0"/>
        <v>22</v>
      </c>
      <c r="C23" s="6">
        <v>12</v>
      </c>
      <c r="D23" s="6">
        <v>2019</v>
      </c>
      <c r="E23" s="20">
        <v>7931.25</v>
      </c>
      <c r="F23" s="20">
        <v>487.36366532336456</v>
      </c>
      <c r="G23" s="20">
        <v>18.111235918785049</v>
      </c>
      <c r="H23" s="20">
        <v>1.2470000000000001</v>
      </c>
      <c r="I23" s="20">
        <v>39</v>
      </c>
      <c r="J23" s="20">
        <v>27.643520558199999</v>
      </c>
      <c r="K23" s="20">
        <v>55</v>
      </c>
    </row>
    <row r="24" spans="1:11" x14ac:dyDescent="0.25">
      <c r="A24" s="17" t="s">
        <v>32</v>
      </c>
      <c r="B24" s="6">
        <f t="shared" si="0"/>
        <v>23</v>
      </c>
      <c r="C24" s="6">
        <v>12</v>
      </c>
      <c r="D24" s="6">
        <v>2019</v>
      </c>
      <c r="E24" s="20">
        <v>7886.25</v>
      </c>
      <c r="F24" s="20">
        <v>568.94691784205611</v>
      </c>
      <c r="G24" s="20">
        <v>14.787632374766357</v>
      </c>
      <c r="H24" s="20">
        <v>6.3150000000000004</v>
      </c>
      <c r="I24" s="20">
        <v>49</v>
      </c>
      <c r="J24" s="20">
        <v>29.9856362158</v>
      </c>
      <c r="K24" s="20">
        <v>54</v>
      </c>
    </row>
    <row r="25" spans="1:11" x14ac:dyDescent="0.25">
      <c r="A25" s="17" t="s">
        <v>32</v>
      </c>
      <c r="B25" s="6">
        <f t="shared" si="0"/>
        <v>24</v>
      </c>
      <c r="C25" s="6">
        <v>12</v>
      </c>
      <c r="D25" s="6">
        <v>2019</v>
      </c>
      <c r="E25" s="20">
        <v>7668</v>
      </c>
      <c r="F25" s="20">
        <v>575.83246108317758</v>
      </c>
      <c r="H25" s="20">
        <v>4.5309999999999997</v>
      </c>
      <c r="I25" s="20">
        <v>41</v>
      </c>
      <c r="J25" s="20">
        <v>28.377674884600001</v>
      </c>
      <c r="K25" s="20">
        <v>61</v>
      </c>
    </row>
    <row r="26" spans="1:11" x14ac:dyDescent="0.25">
      <c r="A26" s="17" t="s">
        <v>32</v>
      </c>
      <c r="B26" s="6">
        <f>B25+1</f>
        <v>25</v>
      </c>
      <c r="C26" s="6">
        <v>12</v>
      </c>
      <c r="D26" s="6">
        <v>2019</v>
      </c>
      <c r="E26" s="20">
        <v>7796.25</v>
      </c>
      <c r="F26" s="20">
        <v>450.12985493271037</v>
      </c>
      <c r="H26" s="20">
        <v>1.45</v>
      </c>
      <c r="I26" s="20">
        <v>42</v>
      </c>
      <c r="J26" s="20">
        <v>29.6436284786</v>
      </c>
      <c r="K26" s="20">
        <v>71</v>
      </c>
    </row>
    <row r="27" spans="1:11" x14ac:dyDescent="0.25">
      <c r="A27" s="17" t="s">
        <v>32</v>
      </c>
      <c r="B27" s="6">
        <f t="shared" si="0"/>
        <v>26</v>
      </c>
      <c r="C27" s="6">
        <v>12</v>
      </c>
      <c r="D27" s="6">
        <v>2019</v>
      </c>
      <c r="E27" s="20">
        <v>7731</v>
      </c>
      <c r="F27" s="20">
        <v>690.58512768598132</v>
      </c>
      <c r="H27" s="20">
        <v>1.298</v>
      </c>
      <c r="I27" s="20">
        <v>49</v>
      </c>
      <c r="J27" s="20">
        <v>30.346503974699999</v>
      </c>
      <c r="K27" s="20">
        <v>95</v>
      </c>
    </row>
    <row r="28" spans="1:11" x14ac:dyDescent="0.25">
      <c r="A28" s="17" t="s">
        <v>32</v>
      </c>
      <c r="B28" s="6">
        <f t="shared" si="0"/>
        <v>27</v>
      </c>
      <c r="C28" s="6">
        <v>12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12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12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12</v>
      </c>
      <c r="D31" s="6">
        <v>2019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12</v>
      </c>
      <c r="D32" s="6">
        <v>2019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2019-12-27T07:15:48Z</dcterms:modified>
</cp:coreProperties>
</file>