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30" i="6" l="1"/>
  <c r="B31" i="6"/>
  <c r="B32" i="6" s="1"/>
  <c r="BB8" i="7" l="1"/>
  <c r="BB7" i="7"/>
  <c r="AP8" i="7"/>
  <c r="Z8" i="7"/>
  <c r="V6" i="7" l="1"/>
  <c r="V7" i="7"/>
  <c r="V8" i="7"/>
  <c r="V9" i="7"/>
  <c r="V10" i="7"/>
  <c r="V11" i="7"/>
  <c r="B32" i="3" l="1"/>
  <c r="B30" i="3"/>
  <c r="B31" i="3" s="1"/>
  <c r="CJ6" i="7" l="1"/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4" i="7"/>
  <c r="CM27" i="7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<sst xmlns="http://schemas.openxmlformats.org/spreadsheetml/2006/main" count="313" uniqueCount="148">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</sst>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D33" sqref="D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5320.0000000000091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40.520000000000437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5230.0000000000109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26.880000000000109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>
        <f>Submetering!E7+Submetering!F7+Submetering!G7+Submetering!H7+Submetering!J7-Submetering!AV7</f>
        <v>5159.9999999994088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34.149999999999636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4400.0000000001264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23.770000000000437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 t="e">
        <f>Submetering!E9+Submetering!F9+Submetering!G9+Submetering!H9+Submetering!J9-Submetering!AV9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 t="e">
        <f>'FS Desroches Daily'!CM11</f>
        <v>#VALUE!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35" sqref="H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3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3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>
        <f>'FS Desroches Daily'!P6</f>
        <v>0</v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262.59999999997672</v>
      </c>
      <c r="O4" s="31">
        <f>'FS Desroches Daily'!X7</f>
        <v>99.999999999965894</v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3</v>
      </c>
      <c r="D5" s="27">
        <v>2021</v>
      </c>
      <c r="E5" s="31">
        <f>'FS Desroches Daily'!D7</f>
        <v>799.99999999991189</v>
      </c>
      <c r="F5" s="32">
        <f>'FS Desroches Daily'!F7</f>
        <v>1199.9999999998679</v>
      </c>
      <c r="G5" s="31">
        <f>'FS Desroches Daily'!H7</f>
        <v>2000.0000000002237</v>
      </c>
      <c r="H5" s="32">
        <f>'FS Desroches Daily'!J7</f>
        <v>1099.9999999998788</v>
      </c>
      <c r="I5" s="31">
        <f>'FS Desroches Daily'!L7</f>
        <v>2000.0000000002237</v>
      </c>
      <c r="J5" s="32">
        <f>'FS Desroches Daily'!N7</f>
        <v>700.00000000014495</v>
      </c>
      <c r="K5" s="13">
        <f>'FS Desroches Daily'!P7</f>
        <v>0</v>
      </c>
      <c r="L5" s="31">
        <f>'FS Desroches Daily'!R7</f>
        <v>5</v>
      </c>
      <c r="M5" s="31">
        <f>'FS Desroches Daily'!T7</f>
        <v>372.19999999995343</v>
      </c>
      <c r="N5" s="31">
        <f>'FS Desroches Daily'!V7</f>
        <v>266.10000000003492</v>
      </c>
      <c r="O5" s="31">
        <f>'FS Desroches Daily'!X8</f>
        <v>100.00000000002274</v>
      </c>
      <c r="P5" s="31">
        <f>'FS Desroches Daily'!Z7</f>
        <v>1100.000000000101</v>
      </c>
      <c r="Q5" s="31">
        <f>'FS Desroches Daily'!AB7</f>
        <v>210.00000000003638</v>
      </c>
      <c r="R5" s="31">
        <f>'FS Desroches Daily'!AD7</f>
        <v>149.99999999997726</v>
      </c>
      <c r="S5" s="31">
        <f>'FS Desroches Daily'!AF7</f>
        <v>189.99999999994088</v>
      </c>
      <c r="T5" s="31">
        <f>'FS Desroches Daily'!AH7</f>
        <v>33</v>
      </c>
      <c r="U5" s="35">
        <f>'FS Desroches Daily'!AJ7</f>
        <v>182.55</v>
      </c>
      <c r="V5" s="35">
        <f>'FS Desroches Daily'!AL7</f>
        <v>50.000000000011369</v>
      </c>
      <c r="W5" s="35">
        <f>'FS Desroches Daily'!AN7</f>
        <v>20.000000000010232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29.999999999972715</v>
      </c>
      <c r="AA5" s="35">
        <f>'FS Desroches Daily'!AT7</f>
        <v>29.999999999972715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19.99999999998181</v>
      </c>
      <c r="AF5" s="31">
        <f>'FS Desroches Daily'!BF7</f>
        <v>37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40.000000000020464</v>
      </c>
      <c r="AL5" s="32">
        <f>'FS Desroches Daily'!BR7</f>
        <v>34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20.000000000010232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31.600000000005821</v>
      </c>
      <c r="AU5" s="31">
        <f>'FS Desroches Daily'!CJ7</f>
        <v>178</v>
      </c>
      <c r="AV5" s="31">
        <f>'FS Desroches Daily'!CL7</f>
        <v>480.00000000001819</v>
      </c>
      <c r="AW5" s="31">
        <f>'FS Desroches Daily'!CM7</f>
        <v>40.520000000000437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3</v>
      </c>
      <c r="D6" s="27">
        <v>2021</v>
      </c>
      <c r="E6" s="31">
        <f>'FS Desroches Daily'!D8</f>
        <v>799.99999999991189</v>
      </c>
      <c r="F6" s="32">
        <f>'FS Desroches Daily'!F8</f>
        <v>1400.0000000002899</v>
      </c>
      <c r="G6" s="31">
        <f>'FS Desroches Daily'!H8</f>
        <v>1799.9999999998017</v>
      </c>
      <c r="H6" s="32">
        <f>'FS Desroches Daily'!J8</f>
        <v>1000.0000000001119</v>
      </c>
      <c r="I6" s="31">
        <f>'FS Desroches Daily'!L8</f>
        <v>1999.9999999997797</v>
      </c>
      <c r="J6" s="32">
        <f>'FS Desroches Daily'!N8</f>
        <v>699.99999999992292</v>
      </c>
      <c r="K6" s="13">
        <f>'FS Desroches Daily'!P8</f>
        <v>0</v>
      </c>
      <c r="L6" s="31">
        <f>'FS Desroches Daily'!R8</f>
        <v>5</v>
      </c>
      <c r="M6" s="31">
        <f>'FS Desroches Daily'!T8</f>
        <v>312.80000000004657</v>
      </c>
      <c r="N6" s="31">
        <f>'FS Desroches Daily'!V8</f>
        <v>234.89999999996508</v>
      </c>
      <c r="O6" s="31">
        <f>'FS Desroches Daily'!X8</f>
        <v>100.00000000002274</v>
      </c>
      <c r="P6" s="31">
        <f>'FS Desroches Daily'!Z8</f>
        <v>1200.000000000312</v>
      </c>
      <c r="Q6" s="31">
        <f>'FS Desroches Daily'!AB8</f>
        <v>219.99999999997044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31</v>
      </c>
      <c r="U6" s="35">
        <f>'FS Desroches Daily'!AJ8</f>
        <v>350.00000000002274</v>
      </c>
      <c r="V6" s="35">
        <f>'FS Desroches Daily'!AL8</f>
        <v>30.000000000001137</v>
      </c>
      <c r="W6" s="35">
        <f>'FS Desroches Daily'!AN8</f>
        <v>30.000000000001137</v>
      </c>
      <c r="X6" s="35">
        <f>'FS Desroches Daily'!AP8</f>
        <v>30.000000000001137</v>
      </c>
      <c r="Y6" s="35">
        <f>'FS Desroches Daily'!AR8</f>
        <v>40.000000000020464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9.9999999999909051</v>
      </c>
      <c r="AD6" s="35">
        <f>'FS Desroches Daily'!BB8</f>
        <v>19.99999999998181</v>
      </c>
      <c r="AE6" s="35">
        <f>'FS Desroches Daily'!BD8</f>
        <v>10.000000000019327</v>
      </c>
      <c r="AF6" s="31">
        <f>'FS Desroches Daily'!BF8</f>
        <v>33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10.000000000019327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22</v>
      </c>
      <c r="AM6" s="32">
        <f>'FS Desroches Daily'!BT8</f>
        <v>19.99999999998181</v>
      </c>
      <c r="AN6" s="32">
        <f>'FS Desroches Daily'!BV8</f>
        <v>27</v>
      </c>
      <c r="AO6" s="32">
        <f>'FS Desroches Daily'!BX8</f>
        <v>19.99999999998181</v>
      </c>
      <c r="AP6" s="32">
        <f>'FS Desroches Daily'!BZ8</f>
        <v>36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29.399999999994179</v>
      </c>
      <c r="AU6" s="31">
        <f>'FS Desroches Daily'!CJ8</f>
        <v>181</v>
      </c>
      <c r="AV6" s="31">
        <f>'FS Desroches Daily'!CL8</f>
        <v>470.00000000002728</v>
      </c>
      <c r="AW6" s="31">
        <f>'FS Desroches Daily'!CM8</f>
        <v>26.880000000000109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3</v>
      </c>
      <c r="D7" s="27">
        <v>2021</v>
      </c>
      <c r="E7" s="31">
        <f>'FS Desroches Daily'!D9</f>
        <v>799.99999999991189</v>
      </c>
      <c r="F7" s="32">
        <f>'FS Desroches Daily'!F9</f>
        <v>1199.9999999998679</v>
      </c>
      <c r="G7" s="31">
        <f>'FS Desroches Daily'!H9</f>
        <v>1999.9999999997797</v>
      </c>
      <c r="H7" s="32">
        <f>'FS Desroches Daily'!J9</f>
        <v>999.99999999988984</v>
      </c>
      <c r="I7" s="31">
        <f>'FS Desroches Daily'!L9</f>
        <v>1900.0000000000127</v>
      </c>
      <c r="J7" s="32">
        <f>'FS Desroches Daily'!N9</f>
        <v>699.99999999992292</v>
      </c>
      <c r="K7" s="13" t="str">
        <f>'FS Desroches Daily'!P9</f>
        <v/>
      </c>
      <c r="L7" s="31">
        <f>'FS Desroches Daily'!R9</f>
        <v>5</v>
      </c>
      <c r="M7" s="31">
        <f>'FS Desroches Daily'!T9</f>
        <v>273.39999999990687</v>
      </c>
      <c r="N7" s="31">
        <f>'FS Desroches Daily'!V9</f>
        <v>220.5</v>
      </c>
      <c r="O7" s="31">
        <f>'FS Desroches Daily'!X9</f>
        <v>90.000000000031832</v>
      </c>
      <c r="P7" s="31">
        <f>'FS Desroches Daily'!Z9</f>
        <v>999.99999999988984</v>
      </c>
      <c r="Q7" s="31">
        <f>'FS Desroches Daily'!AB9</f>
        <v>280.00000000002956</v>
      </c>
      <c r="R7" s="31">
        <f>'FS Desroches Daily'!AD9</f>
        <v>159.99999999996817</v>
      </c>
      <c r="S7" s="31">
        <f>'FS Desroches Daily'!AF9</f>
        <v>169.99999999995907</v>
      </c>
      <c r="T7" s="31">
        <f>'FS Desroches Daily'!AH9</f>
        <v>29</v>
      </c>
      <c r="U7" s="35">
        <f>'FS Desroches Daily'!AJ9</f>
        <v>319.99999999993634</v>
      </c>
      <c r="V7" s="35">
        <f>'FS Desroches Daily'!AL9</f>
        <v>30.000000000001137</v>
      </c>
      <c r="W7" s="35">
        <f>'FS Desroches Daily'!AN9</f>
        <v>60.000000000002274</v>
      </c>
      <c r="X7" s="35">
        <f>'FS Desroches Daily'!AP9</f>
        <v>20.000000000010232</v>
      </c>
      <c r="Y7" s="35">
        <f>'FS Desroches Daily'!AR9</f>
        <v>30.000000000001137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20.000000000038654</v>
      </c>
      <c r="AC7" s="35">
        <f>'FS Desroches Daily'!AZ9</f>
        <v>9.9999999999909051</v>
      </c>
      <c r="AD7" s="35">
        <f>'FS Desroches Daily'!BB9</f>
        <v>9.9999999999909051</v>
      </c>
      <c r="AE7" s="35">
        <f>'FS Desroches Daily'!BD9</f>
        <v>9.9999999999909051</v>
      </c>
      <c r="AF7" s="31" t="str">
        <f>'FS Desroches Daily'!BF9</f>
        <v/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0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31</v>
      </c>
      <c r="AM7" s="32">
        <f>'FS Desroches Daily'!BT9</f>
        <v>30.000000000001137</v>
      </c>
      <c r="AN7" s="32">
        <f>'FS Desroches Daily'!BV9</f>
        <v>24</v>
      </c>
      <c r="AO7" s="32">
        <f>'FS Desroches Daily'!BX9</f>
        <v>20.000000000010232</v>
      </c>
      <c r="AP7" s="32">
        <f>'FS Desroches Daily'!BZ9</f>
        <v>34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40.5</v>
      </c>
      <c r="AU7" s="31">
        <f>'FS Desroches Daily'!CJ9</f>
        <v>176</v>
      </c>
      <c r="AV7" s="31">
        <f>'FS Desroches Daily'!CL9</f>
        <v>539.99999999996362</v>
      </c>
      <c r="AW7" s="31">
        <f>'FS Desroches Daily'!CM9</f>
        <v>34.149999999999636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3</v>
      </c>
      <c r="D8" s="27">
        <v>2021</v>
      </c>
      <c r="E8" s="31">
        <f>'FS Desroches Daily'!D10</f>
        <v>599.99999999993395</v>
      </c>
      <c r="F8" s="32">
        <f>'FS Desroches Daily'!F10</f>
        <v>799.99999999991189</v>
      </c>
      <c r="G8" s="31">
        <f>'FS Desroches Daily'!H10</f>
        <v>1700.0000000000348</v>
      </c>
      <c r="H8" s="32">
        <f>'FS Desroches Daily'!J10</f>
        <v>1100.000000000101</v>
      </c>
      <c r="I8" s="31">
        <f>'FS Desroches Daily'!L10</f>
        <v>2099.9999999999909</v>
      </c>
      <c r="J8" s="32">
        <f>'FS Desroches Daily'!N10</f>
        <v>700.00000000014495</v>
      </c>
      <c r="K8" s="13">
        <f>'FS Desroches Daily'!P10</f>
        <v>0</v>
      </c>
      <c r="L8" s="31">
        <f>'FS Desroches Daily'!R10</f>
        <v>6</v>
      </c>
      <c r="M8" s="31">
        <f>'FS Desroches Daily'!T10</f>
        <v>103.40000000002328</v>
      </c>
      <c r="N8" s="31">
        <f>'FS Desroches Daily'!V10</f>
        <v>73.600000000034925</v>
      </c>
      <c r="O8" s="31">
        <f>'FS Desroches Daily'!X10</f>
        <v>89.999999999974989</v>
      </c>
      <c r="P8" s="31">
        <f>'FS Desroches Daily'!Z10</f>
        <v>799.99999999991189</v>
      </c>
      <c r="Q8" s="31">
        <f>'FS Desroches Daily'!AB10</f>
        <v>269.99999999998181</v>
      </c>
      <c r="R8" s="31">
        <f>'FS Desroches Daily'!AD10</f>
        <v>150.00000000003411</v>
      </c>
      <c r="S8" s="31">
        <f>'FS Desroches Daily'!AF10</f>
        <v>180.00000000006366</v>
      </c>
      <c r="T8" s="31">
        <f>'FS Desroches Daily'!AH10</f>
        <v>30</v>
      </c>
      <c r="U8" s="35">
        <f>'FS Desroches Daily'!AJ10</f>
        <v>310.00000000005912</v>
      </c>
      <c r="V8" s="35">
        <f>'FS Desroches Daily'!AL10</f>
        <v>19.99999999998181</v>
      </c>
      <c r="W8" s="35">
        <f>'FS Desroches Daily'!AN10</f>
        <v>9.9999999999909051</v>
      </c>
      <c r="X8" s="35">
        <f>'FS Desroches Daily'!AP10</f>
        <v>19.99999999998181</v>
      </c>
      <c r="Y8" s="35">
        <f>'FS Desroches Daily'!AR10</f>
        <v>19.99999999998181</v>
      </c>
      <c r="Z8" s="35">
        <f>'FS Desroches Daily'!AT10</f>
        <v>30.000000000029559</v>
      </c>
      <c r="AA8" s="35">
        <f>'FS Desroches Daily'!AT10</f>
        <v>30.000000000029559</v>
      </c>
      <c r="AB8" s="35">
        <f>'FS Desroches Daily'!AV10</f>
        <v>9.9999999999909051</v>
      </c>
      <c r="AC8" s="35">
        <f>'FS Desroches Daily'!AZ10</f>
        <v>9.9999999999909051</v>
      </c>
      <c r="AD8" s="35">
        <f>'FS Desroches Daily'!BB10</f>
        <v>10.000000000047748</v>
      </c>
      <c r="AE8" s="35">
        <f>'FS Desroches Daily'!BD10</f>
        <v>99.999999999994316</v>
      </c>
      <c r="AF8" s="31">
        <f>'FS Desroches Daily'!BF10</f>
        <v>0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29.999999999972715</v>
      </c>
      <c r="AL8" s="32">
        <f>'FS Desroches Daily'!BR10</f>
        <v>34</v>
      </c>
      <c r="AM8" s="32">
        <f>'FS Desroches Daily'!BT10</f>
        <v>30.000000000001137</v>
      </c>
      <c r="AN8" s="32">
        <f>'FS Desroches Daily'!BV10</f>
        <v>30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47.200000000004366</v>
      </c>
      <c r="AU8" s="31">
        <f>'FS Desroches Daily'!CJ10</f>
        <v>179</v>
      </c>
      <c r="AV8" s="31">
        <f>'FS Desroches Daily'!CL10</f>
        <v>500</v>
      </c>
      <c r="AW8" s="31">
        <f>'FS Desroches Daily'!CM10</f>
        <v>23.770000000000437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3</v>
      </c>
      <c r="D9" s="27">
        <v>2021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>
        <f>'FS Desroches Daily'!P11</f>
        <v>0</v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>
        <f>'FS Desroches Daily'!BF11</f>
        <v>0</v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3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3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3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3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3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3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3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3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3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3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3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3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3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3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3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3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3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3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3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3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3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3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3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5299.999999999638</v>
      </c>
      <c r="F33" s="17">
        <f t="shared" ref="F33:BC33" si="1">SUM(F2:F32)</f>
        <v>8099.9999999997754</v>
      </c>
      <c r="G33" s="17">
        <f t="shared" si="1"/>
        <v>13199.999999999878</v>
      </c>
      <c r="H33" s="17">
        <f t="shared" si="1"/>
        <v>7200.0000000000955</v>
      </c>
      <c r="I33" s="17">
        <f t="shared" si="1"/>
        <v>13900.000000000024</v>
      </c>
      <c r="J33" s="17">
        <f t="shared" si="1"/>
        <v>4599.9999999999372</v>
      </c>
      <c r="K33" s="17">
        <f t="shared" si="1"/>
        <v>0</v>
      </c>
      <c r="L33" s="17">
        <f t="shared" si="1"/>
        <v>36</v>
      </c>
      <c r="M33" s="17">
        <f t="shared" si="1"/>
        <v>1956.7999999999302</v>
      </c>
      <c r="N33" s="17">
        <f t="shared" si="1"/>
        <v>1467.2999999999884</v>
      </c>
      <c r="O33" s="17">
        <f t="shared" si="1"/>
        <v>690.00000000005457</v>
      </c>
      <c r="P33" s="17">
        <f t="shared" si="1"/>
        <v>7099.9999999998845</v>
      </c>
      <c r="Q33" s="17">
        <f t="shared" si="1"/>
        <v>1430.0000000000068</v>
      </c>
      <c r="R33" s="17">
        <f t="shared" si="1"/>
        <v>1080.0000000000409</v>
      </c>
      <c r="S33" s="17">
        <f t="shared" si="1"/>
        <v>1360.0000000000136</v>
      </c>
      <c r="T33" s="17">
        <f t="shared" si="1"/>
        <v>221</v>
      </c>
      <c r="U33" s="35">
        <f t="shared" si="1"/>
        <v>1962.5499999999727</v>
      </c>
      <c r="V33" s="35">
        <f t="shared" si="1"/>
        <v>400.00000000000568</v>
      </c>
      <c r="W33" s="35">
        <f t="shared" si="1"/>
        <v>189.99999999999773</v>
      </c>
      <c r="X33" s="35">
        <f t="shared" si="1"/>
        <v>159.99999999999659</v>
      </c>
      <c r="Y33" s="35">
        <f t="shared" si="1"/>
        <v>210.00000000000796</v>
      </c>
      <c r="Z33" s="35">
        <f t="shared" si="1"/>
        <v>189.99999999999773</v>
      </c>
      <c r="AA33" s="35">
        <f t="shared" si="1"/>
        <v>189.99999999999773</v>
      </c>
      <c r="AB33" s="35">
        <f t="shared" si="1"/>
        <v>129.99999999999545</v>
      </c>
      <c r="AC33" s="35">
        <f t="shared" si="1"/>
        <v>99.999999999965894</v>
      </c>
      <c r="AD33" s="35">
        <f t="shared" si="1"/>
        <v>110.00000000001364</v>
      </c>
      <c r="AE33" s="35">
        <f t="shared" si="1"/>
        <v>169.99999999998749</v>
      </c>
      <c r="AF33" s="17">
        <f t="shared" si="1"/>
        <v>170</v>
      </c>
      <c r="AG33" s="32">
        <f t="shared" si="1"/>
        <v>270.00000000001023</v>
      </c>
      <c r="AH33" s="32">
        <f t="shared" si="1"/>
        <v>250</v>
      </c>
      <c r="AI33" s="32">
        <f t="shared" si="1"/>
        <v>69.999999999993179</v>
      </c>
      <c r="AJ33" s="32">
        <f t="shared" si="1"/>
        <v>280.00000000000114</v>
      </c>
      <c r="AK33" s="32">
        <f t="shared" si="1"/>
        <v>230.00000000001819</v>
      </c>
      <c r="AL33" s="32">
        <f t="shared" si="1"/>
        <v>213</v>
      </c>
      <c r="AM33" s="32">
        <f t="shared" si="1"/>
        <v>199.99999999998863</v>
      </c>
      <c r="AN33" s="32">
        <f t="shared" si="1"/>
        <v>193</v>
      </c>
      <c r="AO33" s="32">
        <f t="shared" si="1"/>
        <v>150.00000000000568</v>
      </c>
      <c r="AP33" s="32">
        <f t="shared" si="1"/>
        <v>247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251.80000000000291</v>
      </c>
      <c r="AU33" s="17">
        <f t="shared" si="1"/>
        <v>1263</v>
      </c>
      <c r="AV33" s="17">
        <f t="shared" si="1"/>
        <v>3299.9999999999545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0.1794298869253084</v>
      </c>
      <c r="G35" s="29">
        <f>G33-M36</f>
        <v>9775.8999999999596</v>
      </c>
      <c r="AE35" s="35">
        <f>SUM(U33:AE33)</f>
        <v>3812.5499999999392</v>
      </c>
      <c r="AG35" s="32">
        <f>SUM(AG33:AP33)</f>
        <v>2103.0000000000173</v>
      </c>
    </row>
    <row r="36" spans="5:55" x14ac:dyDescent="0.25">
      <c r="G36" s="29">
        <f>G35-633*14</f>
        <v>913.89999999995962</v>
      </c>
      <c r="M36" s="29">
        <f>M33+N33</f>
        <v>3424.0999999999185</v>
      </c>
    </row>
    <row r="37" spans="5:55" x14ac:dyDescent="0.25">
      <c r="E37" s="17">
        <f>E33+F33+G33+H33+J33-633*14</f>
        <v>29537.999999999323</v>
      </c>
      <c r="G37" s="37">
        <f>M36/E37</f>
        <v>0.11592186336244827</v>
      </c>
      <c r="M37" s="35">
        <f>AE35</f>
        <v>3812.5499999999392</v>
      </c>
    </row>
    <row r="38" spans="5:55" x14ac:dyDescent="0.25">
      <c r="L38" s="27">
        <f>M38/E37</f>
        <v>7.1196424944141967E-2</v>
      </c>
      <c r="M38" s="29">
        <f>AG35</f>
        <v>2103.0000000000173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77" zoomScaleNormal="77" workbookViewId="0">
      <pane ySplit="1" topLeftCell="A2" activePane="bottomLeft" state="frozen"/>
      <selection pane="bottomLeft" activeCell="CH14" sqref="CH14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>
        <v>2.0670000000000002</v>
      </c>
      <c r="D6" s="64">
        <f t="shared" si="0"/>
        <v>800.00000000035595</v>
      </c>
      <c r="E6" s="58">
        <v>2.9373</v>
      </c>
      <c r="F6" s="64">
        <f t="shared" si="1"/>
        <v>1199.9999999998679</v>
      </c>
      <c r="G6" s="58">
        <v>3.0202</v>
      </c>
      <c r="H6" s="64">
        <f t="shared" si="2"/>
        <v>1900.0000000000127</v>
      </c>
      <c r="I6" s="58">
        <v>1.4773000000000001</v>
      </c>
      <c r="J6" s="64">
        <f t="shared" si="3"/>
        <v>1000.0000000001119</v>
      </c>
      <c r="K6" s="58">
        <v>2.3976999999999999</v>
      </c>
      <c r="L6" s="64">
        <f t="shared" si="39"/>
        <v>1900.0000000000127</v>
      </c>
      <c r="M6" s="58">
        <v>1.3496999999999999</v>
      </c>
      <c r="N6" s="64">
        <f t="shared" si="4"/>
        <v>599.99999999993395</v>
      </c>
      <c r="O6" s="58">
        <v>12745</v>
      </c>
      <c r="P6" s="67">
        <f t="shared" si="5"/>
        <v>0</v>
      </c>
      <c r="Q6" s="58">
        <v>417</v>
      </c>
      <c r="R6" s="67">
        <f t="shared" si="6"/>
        <v>5</v>
      </c>
      <c r="S6" s="58">
        <v>904135.8</v>
      </c>
      <c r="T6" s="67">
        <f t="shared" si="7"/>
        <v>341.60000000009313</v>
      </c>
      <c r="U6" s="58">
        <v>376458.1</v>
      </c>
      <c r="V6" s="67">
        <f t="shared" si="8"/>
        <v>262.59999999997672</v>
      </c>
      <c r="W6" s="58">
        <v>364.18</v>
      </c>
      <c r="X6" s="65">
        <f t="shared" si="9"/>
        <v>100.00000000002274</v>
      </c>
      <c r="Y6" s="58">
        <v>2.5602999999999998</v>
      </c>
      <c r="Z6" s="65">
        <f t="shared" si="10"/>
        <v>999.99999999988984</v>
      </c>
      <c r="AA6" s="58">
        <v>358.45</v>
      </c>
      <c r="AB6" s="65">
        <f t="shared" si="11"/>
        <v>170.00000000001592</v>
      </c>
      <c r="AC6" s="58">
        <v>345.23</v>
      </c>
      <c r="AD6" s="65">
        <f t="shared" si="12"/>
        <v>150.00000000003411</v>
      </c>
      <c r="AE6" s="58">
        <v>533.59</v>
      </c>
      <c r="AF6" s="65">
        <f t="shared" si="13"/>
        <v>180.00000000006366</v>
      </c>
      <c r="AG6" s="58">
        <v>488</v>
      </c>
      <c r="AH6" s="67">
        <f t="shared" si="14"/>
        <v>33</v>
      </c>
      <c r="AI6" s="58">
        <v>535.37</v>
      </c>
      <c r="AJ6" s="65">
        <f t="shared" si="15"/>
        <v>279.99999999997272</v>
      </c>
      <c r="AK6" s="58">
        <v>182.5</v>
      </c>
      <c r="AL6" s="65">
        <f t="shared" si="15"/>
        <v>120.00000000000455</v>
      </c>
      <c r="AM6" s="58">
        <v>179.88</v>
      </c>
      <c r="AN6" s="65">
        <f t="shared" si="15"/>
        <v>19.99999999998181</v>
      </c>
      <c r="AO6" s="58">
        <v>171.53</v>
      </c>
      <c r="AP6" s="65">
        <f t="shared" si="15"/>
        <v>20.000000000010232</v>
      </c>
      <c r="AQ6" s="58">
        <v>229.76</v>
      </c>
      <c r="AR6" s="65">
        <f t="shared" si="16"/>
        <v>30.000000000001137</v>
      </c>
      <c r="AS6" s="58">
        <v>357.54</v>
      </c>
      <c r="AT6" s="65">
        <f t="shared" si="17"/>
        <v>20.000000000038654</v>
      </c>
      <c r="AU6" s="58">
        <v>276.05</v>
      </c>
      <c r="AV6" s="65">
        <f t="shared" si="18"/>
        <v>40.000000000020464</v>
      </c>
      <c r="AW6" s="58">
        <v>312.23</v>
      </c>
      <c r="AX6" s="65">
        <f t="shared" si="19"/>
        <v>20.000000000038654</v>
      </c>
      <c r="AY6" s="58">
        <v>357.28</v>
      </c>
      <c r="AZ6" s="65">
        <f t="shared" si="20"/>
        <v>9.9999999999909051</v>
      </c>
      <c r="BA6" s="58">
        <v>378.6</v>
      </c>
      <c r="BB6" s="65">
        <f t="shared" si="21"/>
        <v>20.000000000038654</v>
      </c>
      <c r="BC6" s="58">
        <v>236.96</v>
      </c>
      <c r="BD6" s="65">
        <f t="shared" si="22"/>
        <v>10.000000000019327</v>
      </c>
      <c r="BE6" s="59">
        <v>36022</v>
      </c>
      <c r="BF6" s="67">
        <f t="shared" si="40"/>
        <v>33</v>
      </c>
      <c r="BG6" s="60">
        <v>229.41</v>
      </c>
      <c r="BH6" s="65">
        <f t="shared" si="23"/>
        <v>30.000000000001137</v>
      </c>
      <c r="BI6" s="60">
        <v>288.79000000000002</v>
      </c>
      <c r="BJ6" s="65">
        <f t="shared" si="41"/>
        <v>40.000000000020464</v>
      </c>
      <c r="BK6" s="60">
        <v>233.22</v>
      </c>
      <c r="BL6" s="65">
        <f t="shared" si="24"/>
        <v>9.9999999999909051</v>
      </c>
      <c r="BM6" s="60">
        <v>219.05</v>
      </c>
      <c r="BN6" s="65">
        <f t="shared" si="25"/>
        <v>40.000000000020464</v>
      </c>
      <c r="BO6" s="60">
        <v>284.06</v>
      </c>
      <c r="BP6" s="65">
        <f t="shared" si="26"/>
        <v>30.000000000029559</v>
      </c>
      <c r="BQ6" s="60">
        <v>42028</v>
      </c>
      <c r="BR6" s="65">
        <f t="shared" si="27"/>
        <v>30</v>
      </c>
      <c r="BS6" s="60">
        <v>197.27</v>
      </c>
      <c r="BT6" s="65">
        <f t="shared" ref="BT6:BT35" si="42">IF((BS6-BS5&lt;0), "",(BS6-BS5)*1000)</f>
        <v>40.000000000020464</v>
      </c>
      <c r="BU6" s="60">
        <v>35690</v>
      </c>
      <c r="BV6" s="65">
        <f t="shared" si="28"/>
        <v>28</v>
      </c>
      <c r="BW6" s="60">
        <v>228.78</v>
      </c>
      <c r="BX6" s="65">
        <f t="shared" si="29"/>
        <v>20.000000000010232</v>
      </c>
      <c r="BY6" s="60">
        <v>54595</v>
      </c>
      <c r="BZ6" s="67">
        <f t="shared" si="30"/>
        <v>38</v>
      </c>
      <c r="CA6" s="60">
        <v>28616.400000000001</v>
      </c>
      <c r="CB6" s="67">
        <f t="shared" si="31"/>
        <v>0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55606.2</v>
      </c>
      <c r="CH6" s="67">
        <f t="shared" si="34"/>
        <v>30.799999999995634</v>
      </c>
      <c r="CI6" s="60">
        <v>914804</v>
      </c>
      <c r="CJ6" s="67">
        <f t="shared" si="35"/>
        <v>178</v>
      </c>
      <c r="CK6" s="60">
        <v>685.9</v>
      </c>
      <c r="CL6" s="64">
        <f t="shared" si="36"/>
        <v>470.00000000002728</v>
      </c>
      <c r="CM6" s="65">
        <f t="shared" si="37"/>
        <v>29.199999999999818</v>
      </c>
      <c r="CN6" s="62">
        <v>0</v>
      </c>
      <c r="CO6" s="62">
        <v>0</v>
      </c>
      <c r="CP6" s="68">
        <v>4223.28</v>
      </c>
      <c r="CQ6" s="67">
        <f t="shared" si="38"/>
        <v>24.199999999999818</v>
      </c>
      <c r="CR6" s="68">
        <v>12120</v>
      </c>
      <c r="CS6" s="67">
        <f t="shared" si="38"/>
        <v>5</v>
      </c>
      <c r="CT6" s="68">
        <v>4950</v>
      </c>
      <c r="CU6" s="67">
        <f t="shared" si="38"/>
        <v>11</v>
      </c>
      <c r="CV6" s="68">
        <v>12632</v>
      </c>
      <c r="CW6" s="67">
        <f t="shared" si="38"/>
        <v>27</v>
      </c>
    </row>
    <row r="7" spans="1:102" ht="25.5" customHeight="1" thickBot="1" x14ac:dyDescent="0.45">
      <c r="A7" s="63">
        <v>44259</v>
      </c>
      <c r="B7" s="44"/>
      <c r="C7" s="58">
        <v>2.0678000000000001</v>
      </c>
      <c r="D7" s="64">
        <f t="shared" si="0"/>
        <v>799.99999999991189</v>
      </c>
      <c r="E7" s="58">
        <v>2.9384999999999999</v>
      </c>
      <c r="F7" s="64">
        <f t="shared" si="1"/>
        <v>1199.9999999998679</v>
      </c>
      <c r="G7" s="58">
        <v>3.0222000000000002</v>
      </c>
      <c r="H7" s="64">
        <f t="shared" si="2"/>
        <v>2000.0000000002237</v>
      </c>
      <c r="I7" s="58">
        <v>1.4783999999999999</v>
      </c>
      <c r="J7" s="64">
        <f t="shared" si="3"/>
        <v>1099.9999999998788</v>
      </c>
      <c r="K7" s="58">
        <v>2.3997000000000002</v>
      </c>
      <c r="L7" s="64">
        <f t="shared" si="39"/>
        <v>2000.0000000002237</v>
      </c>
      <c r="M7" s="58">
        <v>1.3504</v>
      </c>
      <c r="N7" s="64">
        <f t="shared" si="4"/>
        <v>700.00000000014495</v>
      </c>
      <c r="O7" s="58">
        <v>12745</v>
      </c>
      <c r="P7" s="67">
        <f t="shared" si="5"/>
        <v>0</v>
      </c>
      <c r="Q7" s="58">
        <v>422</v>
      </c>
      <c r="R7" s="67">
        <f t="shared" si="6"/>
        <v>5</v>
      </c>
      <c r="S7" s="58">
        <v>904508</v>
      </c>
      <c r="T7" s="67">
        <f t="shared" si="7"/>
        <v>372.19999999995343</v>
      </c>
      <c r="U7" s="58">
        <v>376724.2</v>
      </c>
      <c r="V7" s="67">
        <f t="shared" si="8"/>
        <v>266.10000000003492</v>
      </c>
      <c r="W7" s="58">
        <v>364.28</v>
      </c>
      <c r="X7" s="65">
        <f t="shared" si="9"/>
        <v>99.999999999965894</v>
      </c>
      <c r="Y7" s="58">
        <v>2.5613999999999999</v>
      </c>
      <c r="Z7" s="65">
        <f t="shared" si="10"/>
        <v>1100.000000000101</v>
      </c>
      <c r="AA7" s="58">
        <v>358.66</v>
      </c>
      <c r="AB7" s="65">
        <f t="shared" si="11"/>
        <v>210.00000000003638</v>
      </c>
      <c r="AC7" s="58">
        <v>345.38</v>
      </c>
      <c r="AD7" s="65">
        <f t="shared" si="12"/>
        <v>149.99999999997726</v>
      </c>
      <c r="AE7" s="58">
        <v>533.78</v>
      </c>
      <c r="AF7" s="65">
        <f t="shared" si="13"/>
        <v>189.99999999994088</v>
      </c>
      <c r="AG7" s="58">
        <v>521</v>
      </c>
      <c r="AH7" s="67">
        <f t="shared" si="14"/>
        <v>33</v>
      </c>
      <c r="AI7" s="58">
        <v>535.63</v>
      </c>
      <c r="AJ7" s="65">
        <v>182.55</v>
      </c>
      <c r="AK7" s="58">
        <v>182.55</v>
      </c>
      <c r="AL7" s="65">
        <f t="shared" si="15"/>
        <v>50.000000000011369</v>
      </c>
      <c r="AM7" s="58">
        <v>179.9</v>
      </c>
      <c r="AN7" s="65">
        <f t="shared" si="15"/>
        <v>20.000000000010232</v>
      </c>
      <c r="AO7" s="58">
        <v>171.56</v>
      </c>
      <c r="AP7" s="65">
        <f t="shared" si="15"/>
        <v>30.000000000001137</v>
      </c>
      <c r="AQ7" s="58">
        <v>229.79</v>
      </c>
      <c r="AR7" s="65">
        <f t="shared" si="16"/>
        <v>30.000000000001137</v>
      </c>
      <c r="AS7" s="58">
        <v>357.57</v>
      </c>
      <c r="AT7" s="65">
        <f t="shared" si="17"/>
        <v>29.999999999972715</v>
      </c>
      <c r="AU7" s="58">
        <v>276.07</v>
      </c>
      <c r="AV7" s="65">
        <f t="shared" si="18"/>
        <v>19.99999999998181</v>
      </c>
      <c r="AW7" s="58">
        <v>312.29000000000002</v>
      </c>
      <c r="AX7" s="65">
        <f t="shared" si="19"/>
        <v>60.000000000002274</v>
      </c>
      <c r="AY7" s="58">
        <v>357.3</v>
      </c>
      <c r="AZ7" s="65">
        <f t="shared" si="20"/>
        <v>20.000000000038654</v>
      </c>
      <c r="BA7" s="58">
        <v>378.62</v>
      </c>
      <c r="BB7" s="65">
        <f t="shared" si="21"/>
        <v>19.99999999998181</v>
      </c>
      <c r="BC7" s="58">
        <v>236.98</v>
      </c>
      <c r="BD7" s="65">
        <f t="shared" si="22"/>
        <v>19.99999999998181</v>
      </c>
      <c r="BE7" s="59">
        <v>36059</v>
      </c>
      <c r="BF7" s="67">
        <f t="shared" si="40"/>
        <v>37</v>
      </c>
      <c r="BG7" s="60">
        <v>229.45</v>
      </c>
      <c r="BH7" s="65">
        <f t="shared" si="23"/>
        <v>39.999999999992042</v>
      </c>
      <c r="BI7" s="60">
        <v>288.83</v>
      </c>
      <c r="BJ7" s="65">
        <f t="shared" si="41"/>
        <v>39.99999999996362</v>
      </c>
      <c r="BK7" s="60">
        <v>233.23</v>
      </c>
      <c r="BL7" s="65">
        <f t="shared" si="24"/>
        <v>9.9999999999909051</v>
      </c>
      <c r="BM7" s="60">
        <v>219.09</v>
      </c>
      <c r="BN7" s="65">
        <f t="shared" si="25"/>
        <v>39.999999999992042</v>
      </c>
      <c r="BO7" s="60">
        <v>284.10000000000002</v>
      </c>
      <c r="BP7" s="65">
        <f t="shared" si="26"/>
        <v>40.000000000020464</v>
      </c>
      <c r="BQ7" s="60">
        <v>42062</v>
      </c>
      <c r="BR7" s="65">
        <f t="shared" si="27"/>
        <v>34</v>
      </c>
      <c r="BS7" s="60">
        <v>197.3</v>
      </c>
      <c r="BT7" s="65">
        <f t="shared" si="42"/>
        <v>30.000000000001137</v>
      </c>
      <c r="BU7" s="60">
        <v>35720</v>
      </c>
      <c r="BV7" s="65">
        <f t="shared" si="28"/>
        <v>30</v>
      </c>
      <c r="BW7" s="60">
        <v>228.8</v>
      </c>
      <c r="BX7" s="65">
        <f t="shared" si="29"/>
        <v>20.000000000010232</v>
      </c>
      <c r="BY7" s="60">
        <v>54630</v>
      </c>
      <c r="BZ7" s="67">
        <f t="shared" si="30"/>
        <v>35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55637.8</v>
      </c>
      <c r="CH7" s="67">
        <f t="shared" si="34"/>
        <v>31.600000000005821</v>
      </c>
      <c r="CI7" s="60">
        <v>914982</v>
      </c>
      <c r="CJ7" s="67">
        <f t="shared" si="35"/>
        <v>178</v>
      </c>
      <c r="CK7" s="60">
        <v>686.38</v>
      </c>
      <c r="CL7" s="64">
        <f t="shared" si="36"/>
        <v>480.00000000001819</v>
      </c>
      <c r="CM7" s="65">
        <f t="shared" si="37"/>
        <v>40.520000000000437</v>
      </c>
      <c r="CN7" s="62">
        <v>0</v>
      </c>
      <c r="CO7" s="62">
        <v>0</v>
      </c>
      <c r="CP7" s="68">
        <v>4253.8</v>
      </c>
      <c r="CQ7" s="67">
        <f t="shared" si="38"/>
        <v>30.520000000000437</v>
      </c>
      <c r="CR7" s="68">
        <v>12130</v>
      </c>
      <c r="CS7" s="67">
        <f t="shared" si="38"/>
        <v>10</v>
      </c>
      <c r="CT7" s="75">
        <v>4960</v>
      </c>
      <c r="CU7" s="67">
        <f t="shared" si="38"/>
        <v>10</v>
      </c>
      <c r="CV7" s="68">
        <v>12652</v>
      </c>
      <c r="CW7" s="67">
        <f t="shared" si="38"/>
        <v>20</v>
      </c>
    </row>
    <row r="8" spans="1:102" ht="25.5" customHeight="1" thickBot="1" x14ac:dyDescent="0.45">
      <c r="A8" s="63">
        <v>44260</v>
      </c>
      <c r="B8" s="44"/>
      <c r="C8" s="58">
        <v>2.0686</v>
      </c>
      <c r="D8" s="64">
        <f t="shared" si="0"/>
        <v>799.99999999991189</v>
      </c>
      <c r="E8" s="58">
        <v>2.9399000000000002</v>
      </c>
      <c r="F8" s="64">
        <f t="shared" si="1"/>
        <v>1400.0000000002899</v>
      </c>
      <c r="G8" s="58">
        <v>3.024</v>
      </c>
      <c r="H8" s="64">
        <f t="shared" si="2"/>
        <v>1799.9999999998017</v>
      </c>
      <c r="I8" s="58">
        <v>1.4794</v>
      </c>
      <c r="J8" s="64">
        <f t="shared" si="3"/>
        <v>1000.0000000001119</v>
      </c>
      <c r="K8" s="58">
        <v>2.4016999999999999</v>
      </c>
      <c r="L8" s="64">
        <f t="shared" si="39"/>
        <v>1999.9999999997797</v>
      </c>
      <c r="M8" s="58">
        <v>1.3511</v>
      </c>
      <c r="N8" s="64">
        <f t="shared" si="4"/>
        <v>699.99999999992292</v>
      </c>
      <c r="O8" s="58">
        <v>12745</v>
      </c>
      <c r="P8" s="67">
        <f t="shared" si="5"/>
        <v>0</v>
      </c>
      <c r="Q8" s="58">
        <v>427</v>
      </c>
      <c r="R8" s="67">
        <f t="shared" si="6"/>
        <v>5</v>
      </c>
      <c r="S8" s="58">
        <v>904820.8</v>
      </c>
      <c r="T8" s="67">
        <f t="shared" si="7"/>
        <v>312.80000000004657</v>
      </c>
      <c r="U8" s="58">
        <v>376959.1</v>
      </c>
      <c r="V8" s="67">
        <f t="shared" si="8"/>
        <v>234.89999999996508</v>
      </c>
      <c r="W8" s="58">
        <v>364.38</v>
      </c>
      <c r="X8" s="65">
        <f t="shared" si="9"/>
        <v>100.00000000002274</v>
      </c>
      <c r="Y8" s="58">
        <v>2.5626000000000002</v>
      </c>
      <c r="Z8" s="65">
        <f t="shared" si="10"/>
        <v>1200.000000000312</v>
      </c>
      <c r="AA8" s="58">
        <v>358.88</v>
      </c>
      <c r="AB8" s="65">
        <f t="shared" si="11"/>
        <v>219.99999999997044</v>
      </c>
      <c r="AC8" s="58">
        <v>345.54</v>
      </c>
      <c r="AD8" s="65">
        <f t="shared" si="12"/>
        <v>160.00000000002501</v>
      </c>
      <c r="AE8" s="58">
        <v>534.01</v>
      </c>
      <c r="AF8" s="65">
        <f t="shared" si="13"/>
        <v>230.00000000001819</v>
      </c>
      <c r="AG8" s="58">
        <v>552</v>
      </c>
      <c r="AH8" s="67">
        <f t="shared" si="14"/>
        <v>31</v>
      </c>
      <c r="AI8" s="58">
        <v>535.98</v>
      </c>
      <c r="AJ8" s="65">
        <f t="shared" si="15"/>
        <v>350.00000000002274</v>
      </c>
      <c r="AK8" s="58">
        <v>182.58</v>
      </c>
      <c r="AL8" s="65">
        <f t="shared" si="15"/>
        <v>30.000000000001137</v>
      </c>
      <c r="AM8" s="58">
        <v>179.93</v>
      </c>
      <c r="AN8" s="65">
        <f t="shared" si="15"/>
        <v>30.000000000001137</v>
      </c>
      <c r="AO8" s="58">
        <v>171.59</v>
      </c>
      <c r="AP8" s="65">
        <f t="shared" si="15"/>
        <v>30.000000000001137</v>
      </c>
      <c r="AQ8" s="58">
        <v>229.83</v>
      </c>
      <c r="AR8" s="65">
        <f t="shared" si="16"/>
        <v>40.000000000020464</v>
      </c>
      <c r="AS8" s="58">
        <v>357.59</v>
      </c>
      <c r="AT8" s="65">
        <f t="shared" si="17"/>
        <v>19.99999999998181</v>
      </c>
      <c r="AU8" s="58">
        <v>276.08</v>
      </c>
      <c r="AV8" s="65">
        <f t="shared" si="18"/>
        <v>9.9999999999909051</v>
      </c>
      <c r="AW8" s="58">
        <v>312.31</v>
      </c>
      <c r="AX8" s="65">
        <f t="shared" si="19"/>
        <v>19.99999999998181</v>
      </c>
      <c r="AY8" s="58">
        <v>357.31</v>
      </c>
      <c r="AZ8" s="65">
        <f t="shared" si="20"/>
        <v>9.9999999999909051</v>
      </c>
      <c r="BA8" s="58">
        <v>378.64</v>
      </c>
      <c r="BB8" s="65">
        <f t="shared" si="21"/>
        <v>19.99999999998181</v>
      </c>
      <c r="BC8" s="58">
        <v>236.99</v>
      </c>
      <c r="BD8" s="65">
        <f t="shared" si="22"/>
        <v>10.000000000019327</v>
      </c>
      <c r="BE8" s="59">
        <v>36092</v>
      </c>
      <c r="BF8" s="67">
        <f t="shared" si="40"/>
        <v>33</v>
      </c>
      <c r="BG8" s="60">
        <v>229.5</v>
      </c>
      <c r="BH8" s="65">
        <f t="shared" si="23"/>
        <v>50.000000000011369</v>
      </c>
      <c r="BI8" s="60">
        <v>288.87</v>
      </c>
      <c r="BJ8" s="65">
        <f t="shared" si="41"/>
        <v>40.000000000020464</v>
      </c>
      <c r="BK8" s="60">
        <v>233.24</v>
      </c>
      <c r="BL8" s="65">
        <f t="shared" si="24"/>
        <v>10.000000000019327</v>
      </c>
      <c r="BM8" s="60">
        <v>219.13</v>
      </c>
      <c r="BN8" s="65">
        <f t="shared" si="25"/>
        <v>39.999999999992042</v>
      </c>
      <c r="BO8" s="60">
        <v>284.13</v>
      </c>
      <c r="BP8" s="65">
        <f t="shared" si="26"/>
        <v>29.999999999972715</v>
      </c>
      <c r="BQ8" s="60">
        <v>42084</v>
      </c>
      <c r="BR8" s="65">
        <f t="shared" si="27"/>
        <v>22</v>
      </c>
      <c r="BS8" s="60">
        <v>197.32</v>
      </c>
      <c r="BT8" s="65">
        <f t="shared" si="42"/>
        <v>19.99999999998181</v>
      </c>
      <c r="BU8" s="60">
        <v>35747</v>
      </c>
      <c r="BV8" s="65">
        <f t="shared" si="28"/>
        <v>27</v>
      </c>
      <c r="BW8" s="60">
        <v>228.82</v>
      </c>
      <c r="BX8" s="65">
        <f t="shared" si="29"/>
        <v>19.99999999998181</v>
      </c>
      <c r="BY8" s="60">
        <v>54666</v>
      </c>
      <c r="BZ8" s="67">
        <f t="shared" si="30"/>
        <v>36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55667.199999999997</v>
      </c>
      <c r="CH8" s="67">
        <f t="shared" si="34"/>
        <v>29.399999999994179</v>
      </c>
      <c r="CI8" s="60">
        <v>915163</v>
      </c>
      <c r="CJ8" s="67">
        <f t="shared" si="35"/>
        <v>181</v>
      </c>
      <c r="CK8" s="60">
        <v>686.85</v>
      </c>
      <c r="CL8" s="64">
        <f t="shared" si="36"/>
        <v>470.00000000002728</v>
      </c>
      <c r="CM8" s="65">
        <f t="shared" si="37"/>
        <v>26.880000000000109</v>
      </c>
      <c r="CN8" s="62">
        <v>0</v>
      </c>
      <c r="CO8" s="62">
        <v>0</v>
      </c>
      <c r="CP8" s="68">
        <v>4271.68</v>
      </c>
      <c r="CQ8" s="67">
        <f t="shared" si="38"/>
        <v>17.880000000000109</v>
      </c>
      <c r="CR8" s="68">
        <v>12139</v>
      </c>
      <c r="CS8" s="67">
        <f t="shared" si="38"/>
        <v>9</v>
      </c>
      <c r="CT8" s="75">
        <v>4971</v>
      </c>
      <c r="CU8" s="67">
        <f t="shared" si="38"/>
        <v>11</v>
      </c>
      <c r="CV8" s="68">
        <v>12672</v>
      </c>
      <c r="CW8" s="67">
        <f t="shared" si="38"/>
        <v>20</v>
      </c>
    </row>
    <row r="9" spans="1:102" ht="25.5" customHeight="1" thickBot="1" x14ac:dyDescent="0.45">
      <c r="A9" s="63">
        <v>44261</v>
      </c>
      <c r="B9" s="44"/>
      <c r="C9" s="58">
        <v>2.0693999999999999</v>
      </c>
      <c r="D9" s="64">
        <f t="shared" si="0"/>
        <v>799.99999999991189</v>
      </c>
      <c r="E9" s="58">
        <v>2.9411</v>
      </c>
      <c r="F9" s="64">
        <f t="shared" si="1"/>
        <v>1199.9999999998679</v>
      </c>
      <c r="G9" s="58">
        <v>3.0259999999999998</v>
      </c>
      <c r="H9" s="64">
        <f t="shared" si="2"/>
        <v>1999.9999999997797</v>
      </c>
      <c r="I9" s="58">
        <v>1.4803999999999999</v>
      </c>
      <c r="J9" s="64">
        <f t="shared" si="3"/>
        <v>999.99999999988984</v>
      </c>
      <c r="K9" s="58">
        <v>2.4036</v>
      </c>
      <c r="L9" s="64">
        <f t="shared" si="39"/>
        <v>1900.0000000000127</v>
      </c>
      <c r="M9" s="58">
        <v>1.3517999999999999</v>
      </c>
      <c r="N9" s="64">
        <f t="shared" si="4"/>
        <v>699.99999999992292</v>
      </c>
      <c r="O9" s="58"/>
      <c r="P9" s="67" t="str">
        <f t="shared" si="5"/>
        <v/>
      </c>
      <c r="Q9" s="58">
        <v>432</v>
      </c>
      <c r="R9" s="67">
        <f t="shared" si="6"/>
        <v>5</v>
      </c>
      <c r="S9" s="58">
        <v>905094.2</v>
      </c>
      <c r="T9" s="67">
        <f t="shared" si="7"/>
        <v>273.39999999990687</v>
      </c>
      <c r="U9" s="58">
        <v>377179.6</v>
      </c>
      <c r="V9" s="67">
        <f t="shared" si="8"/>
        <v>220.5</v>
      </c>
      <c r="W9" s="58">
        <v>364.47</v>
      </c>
      <c r="X9" s="65">
        <f t="shared" si="9"/>
        <v>90.000000000031832</v>
      </c>
      <c r="Y9" s="58">
        <v>2.5636000000000001</v>
      </c>
      <c r="Z9" s="65">
        <f t="shared" si="10"/>
        <v>999.99999999988984</v>
      </c>
      <c r="AA9" s="58">
        <v>359.16</v>
      </c>
      <c r="AB9" s="65">
        <f t="shared" si="11"/>
        <v>280.00000000002956</v>
      </c>
      <c r="AC9" s="58">
        <v>345.7</v>
      </c>
      <c r="AD9" s="65">
        <f t="shared" si="12"/>
        <v>159.99999999996817</v>
      </c>
      <c r="AE9" s="58">
        <v>534.17999999999995</v>
      </c>
      <c r="AF9" s="65">
        <f t="shared" si="13"/>
        <v>169.99999999995907</v>
      </c>
      <c r="AG9" s="58">
        <v>581</v>
      </c>
      <c r="AH9" s="67">
        <f t="shared" si="14"/>
        <v>29</v>
      </c>
      <c r="AI9" s="58">
        <v>536.29999999999995</v>
      </c>
      <c r="AJ9" s="65">
        <f t="shared" si="15"/>
        <v>319.99999999993634</v>
      </c>
      <c r="AK9" s="58">
        <v>182.61</v>
      </c>
      <c r="AL9" s="65">
        <f t="shared" si="15"/>
        <v>30.000000000001137</v>
      </c>
      <c r="AM9" s="58">
        <v>179.99</v>
      </c>
      <c r="AN9" s="65">
        <f t="shared" si="15"/>
        <v>60.000000000002274</v>
      </c>
      <c r="AO9" s="58">
        <v>171.61</v>
      </c>
      <c r="AP9" s="65">
        <f t="shared" si="15"/>
        <v>20.000000000010232</v>
      </c>
      <c r="AQ9" s="58">
        <v>229.86</v>
      </c>
      <c r="AR9" s="65">
        <f t="shared" si="16"/>
        <v>30.000000000001137</v>
      </c>
      <c r="AS9" s="58">
        <v>357.63</v>
      </c>
      <c r="AT9" s="65">
        <f t="shared" si="17"/>
        <v>40.000000000020464</v>
      </c>
      <c r="AU9" s="58">
        <v>276.10000000000002</v>
      </c>
      <c r="AV9" s="65">
        <f t="shared" si="18"/>
        <v>20.000000000038654</v>
      </c>
      <c r="AW9" s="58">
        <v>312.33</v>
      </c>
      <c r="AX9" s="65">
        <f t="shared" si="19"/>
        <v>19.99999999998181</v>
      </c>
      <c r="AY9" s="58">
        <v>357.32</v>
      </c>
      <c r="AZ9" s="65">
        <f t="shared" si="20"/>
        <v>9.9999999999909051</v>
      </c>
      <c r="BA9" s="58">
        <v>378.65</v>
      </c>
      <c r="BB9" s="65">
        <f t="shared" si="21"/>
        <v>9.9999999999909051</v>
      </c>
      <c r="BC9" s="58">
        <v>237</v>
      </c>
      <c r="BD9" s="65">
        <f t="shared" si="22"/>
        <v>9.9999999999909051</v>
      </c>
      <c r="BE9" s="59"/>
      <c r="BF9" s="67" t="str">
        <f t="shared" si="40"/>
        <v/>
      </c>
      <c r="BG9" s="60">
        <v>229.54</v>
      </c>
      <c r="BH9" s="65">
        <f t="shared" si="23"/>
        <v>39.999999999992042</v>
      </c>
      <c r="BI9" s="60">
        <v>288.89999999999998</v>
      </c>
      <c r="BJ9" s="65">
        <f t="shared" si="41"/>
        <v>29.999999999972715</v>
      </c>
      <c r="BK9" s="60">
        <v>233.24</v>
      </c>
      <c r="BL9" s="65">
        <f t="shared" si="24"/>
        <v>0</v>
      </c>
      <c r="BM9" s="60">
        <v>219.17</v>
      </c>
      <c r="BN9" s="65">
        <f t="shared" si="25"/>
        <v>39.999999999992042</v>
      </c>
      <c r="BO9" s="60">
        <v>284.16000000000003</v>
      </c>
      <c r="BP9" s="65">
        <f t="shared" si="26"/>
        <v>30.000000000029559</v>
      </c>
      <c r="BQ9" s="60">
        <v>42115</v>
      </c>
      <c r="BR9" s="65">
        <f t="shared" si="27"/>
        <v>31</v>
      </c>
      <c r="BS9" s="60">
        <v>197.35</v>
      </c>
      <c r="BT9" s="65">
        <f t="shared" si="42"/>
        <v>30.000000000001137</v>
      </c>
      <c r="BU9" s="60">
        <v>35771</v>
      </c>
      <c r="BV9" s="65">
        <f t="shared" si="28"/>
        <v>24</v>
      </c>
      <c r="BW9" s="60">
        <v>228.84</v>
      </c>
      <c r="BX9" s="65">
        <f t="shared" si="29"/>
        <v>20.000000000010232</v>
      </c>
      <c r="BY9" s="60">
        <v>54700</v>
      </c>
      <c r="BZ9" s="67">
        <f t="shared" si="30"/>
        <v>34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55707.7</v>
      </c>
      <c r="CH9" s="67">
        <f t="shared" si="34"/>
        <v>40.5</v>
      </c>
      <c r="CI9" s="60">
        <v>915339</v>
      </c>
      <c r="CJ9" s="67">
        <f t="shared" si="35"/>
        <v>176</v>
      </c>
      <c r="CK9" s="60">
        <v>687.39</v>
      </c>
      <c r="CL9" s="64">
        <f t="shared" si="36"/>
        <v>539.99999999996362</v>
      </c>
      <c r="CM9" s="65">
        <f t="shared" si="37"/>
        <v>34.149999999999636</v>
      </c>
      <c r="CN9" s="62">
        <v>0</v>
      </c>
      <c r="CO9" s="62">
        <v>0</v>
      </c>
      <c r="CP9" s="68">
        <v>4297.83</v>
      </c>
      <c r="CQ9" s="67">
        <f t="shared" si="38"/>
        <v>26.149999999999636</v>
      </c>
      <c r="CR9" s="68">
        <v>12147</v>
      </c>
      <c r="CS9" s="67">
        <f t="shared" si="38"/>
        <v>8</v>
      </c>
      <c r="CT9" s="75">
        <v>4980</v>
      </c>
      <c r="CU9" s="67">
        <f t="shared" si="38"/>
        <v>9</v>
      </c>
      <c r="CV9" s="68">
        <v>12708</v>
      </c>
      <c r="CW9" s="67">
        <f t="shared" si="38"/>
        <v>36</v>
      </c>
    </row>
    <row r="10" spans="1:102" ht="25.5" customHeight="1" thickBot="1" x14ac:dyDescent="0.45">
      <c r="A10" s="63">
        <v>44262</v>
      </c>
      <c r="B10" s="44"/>
      <c r="C10" s="58">
        <v>2.0699999999999998</v>
      </c>
      <c r="D10" s="64">
        <f t="shared" si="0"/>
        <v>599.99999999993395</v>
      </c>
      <c r="E10" s="58">
        <v>2.9419</v>
      </c>
      <c r="F10" s="64">
        <f t="shared" si="1"/>
        <v>799.99999999991189</v>
      </c>
      <c r="G10" s="58">
        <v>3.0276999999999998</v>
      </c>
      <c r="H10" s="64">
        <f t="shared" si="2"/>
        <v>1700.0000000000348</v>
      </c>
      <c r="I10" s="58">
        <v>1.4815</v>
      </c>
      <c r="J10" s="64">
        <f t="shared" si="3"/>
        <v>1100.000000000101</v>
      </c>
      <c r="K10" s="58">
        <v>2.4056999999999999</v>
      </c>
      <c r="L10" s="64">
        <f t="shared" si="39"/>
        <v>2099.9999999999909</v>
      </c>
      <c r="M10" s="58">
        <v>1.3525</v>
      </c>
      <c r="N10" s="64">
        <f t="shared" si="4"/>
        <v>700.00000000014495</v>
      </c>
      <c r="O10" s="58"/>
      <c r="P10" s="67">
        <f t="shared" si="5"/>
        <v>0</v>
      </c>
      <c r="Q10" s="58">
        <v>438</v>
      </c>
      <c r="R10" s="67">
        <f t="shared" si="6"/>
        <v>6</v>
      </c>
      <c r="S10" s="58">
        <v>905197.6</v>
      </c>
      <c r="T10" s="67">
        <f t="shared" si="7"/>
        <v>103.40000000002328</v>
      </c>
      <c r="U10" s="58">
        <v>377253.2</v>
      </c>
      <c r="V10" s="67">
        <f t="shared" si="8"/>
        <v>73.600000000034925</v>
      </c>
      <c r="W10" s="58">
        <v>364.56</v>
      </c>
      <c r="X10" s="65">
        <f t="shared" si="9"/>
        <v>89.999999999974989</v>
      </c>
      <c r="Y10" s="58">
        <v>2.5644</v>
      </c>
      <c r="Z10" s="65">
        <f t="shared" si="10"/>
        <v>799.99999999991189</v>
      </c>
      <c r="AA10" s="58">
        <v>359.43</v>
      </c>
      <c r="AB10" s="65">
        <f t="shared" si="11"/>
        <v>269.99999999998181</v>
      </c>
      <c r="AC10" s="58">
        <v>345.85</v>
      </c>
      <c r="AD10" s="65">
        <f t="shared" si="12"/>
        <v>150.00000000003411</v>
      </c>
      <c r="AE10" s="58">
        <v>534.36</v>
      </c>
      <c r="AF10" s="65">
        <f t="shared" si="13"/>
        <v>180.00000000006366</v>
      </c>
      <c r="AG10" s="58">
        <v>611</v>
      </c>
      <c r="AH10" s="67">
        <f t="shared" si="14"/>
        <v>30</v>
      </c>
      <c r="AI10" s="58">
        <v>536.61</v>
      </c>
      <c r="AJ10" s="65">
        <f t="shared" si="15"/>
        <v>310.00000000005912</v>
      </c>
      <c r="AK10" s="58">
        <v>182.63</v>
      </c>
      <c r="AL10" s="65">
        <f t="shared" si="15"/>
        <v>19.99999999998181</v>
      </c>
      <c r="AM10" s="58">
        <v>180</v>
      </c>
      <c r="AN10" s="65">
        <f t="shared" si="15"/>
        <v>9.9999999999909051</v>
      </c>
      <c r="AO10" s="58">
        <v>171.63</v>
      </c>
      <c r="AP10" s="65">
        <f t="shared" si="15"/>
        <v>19.99999999998181</v>
      </c>
      <c r="AQ10" s="58">
        <v>229.88</v>
      </c>
      <c r="AR10" s="65">
        <f t="shared" si="16"/>
        <v>19.99999999998181</v>
      </c>
      <c r="AS10" s="58">
        <v>357.66</v>
      </c>
      <c r="AT10" s="65">
        <f t="shared" si="17"/>
        <v>30.000000000029559</v>
      </c>
      <c r="AU10" s="58">
        <v>276.11</v>
      </c>
      <c r="AV10" s="65">
        <f t="shared" si="18"/>
        <v>9.9999999999909051</v>
      </c>
      <c r="AW10" s="58">
        <v>312.33999999999997</v>
      </c>
      <c r="AX10" s="65">
        <f t="shared" si="19"/>
        <v>9.9999999999909051</v>
      </c>
      <c r="AY10" s="58">
        <v>357.33</v>
      </c>
      <c r="AZ10" s="65">
        <f t="shared" si="20"/>
        <v>9.9999999999909051</v>
      </c>
      <c r="BA10" s="58">
        <v>378.66</v>
      </c>
      <c r="BB10" s="65">
        <f t="shared" si="21"/>
        <v>10.000000000047748</v>
      </c>
      <c r="BC10" s="58">
        <v>237.1</v>
      </c>
      <c r="BD10" s="65">
        <f t="shared" si="22"/>
        <v>99.999999999994316</v>
      </c>
      <c r="BE10" s="59"/>
      <c r="BF10" s="67">
        <f t="shared" si="40"/>
        <v>0</v>
      </c>
      <c r="BG10" s="60">
        <v>229.59</v>
      </c>
      <c r="BH10" s="65">
        <f t="shared" si="23"/>
        <v>50.000000000011369</v>
      </c>
      <c r="BI10" s="60">
        <v>288.94</v>
      </c>
      <c r="BJ10" s="65">
        <f t="shared" si="41"/>
        <v>40.000000000020464</v>
      </c>
      <c r="BK10" s="60">
        <v>233.26</v>
      </c>
      <c r="BL10" s="65">
        <f t="shared" si="24"/>
        <v>19.99999999998181</v>
      </c>
      <c r="BM10" s="60">
        <v>219.21</v>
      </c>
      <c r="BN10" s="65">
        <f t="shared" si="25"/>
        <v>40.000000000020464</v>
      </c>
      <c r="BO10" s="60">
        <v>284.19</v>
      </c>
      <c r="BP10" s="65">
        <f t="shared" si="26"/>
        <v>29.999999999972715</v>
      </c>
      <c r="BQ10" s="60">
        <v>42149</v>
      </c>
      <c r="BR10" s="65">
        <f t="shared" si="27"/>
        <v>34</v>
      </c>
      <c r="BS10" s="60">
        <v>197.38</v>
      </c>
      <c r="BT10" s="65">
        <f t="shared" si="42"/>
        <v>30.000000000001137</v>
      </c>
      <c r="BU10" s="60">
        <v>35801</v>
      </c>
      <c r="BV10" s="65">
        <f t="shared" si="28"/>
        <v>30</v>
      </c>
      <c r="BW10" s="60">
        <v>228.87</v>
      </c>
      <c r="BX10" s="65">
        <f t="shared" si="29"/>
        <v>30.000000000001137</v>
      </c>
      <c r="BY10" s="60">
        <v>54735</v>
      </c>
      <c r="BZ10" s="67">
        <f t="shared" si="30"/>
        <v>35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55754.9</v>
      </c>
      <c r="CH10" s="67">
        <f t="shared" si="34"/>
        <v>47.200000000004366</v>
      </c>
      <c r="CI10" s="60">
        <v>915518</v>
      </c>
      <c r="CJ10" s="67">
        <f t="shared" si="35"/>
        <v>179</v>
      </c>
      <c r="CK10" s="60">
        <v>687.89</v>
      </c>
      <c r="CL10" s="64">
        <f t="shared" si="36"/>
        <v>500</v>
      </c>
      <c r="CM10" s="65">
        <f t="shared" si="37"/>
        <v>23.770000000000437</v>
      </c>
      <c r="CN10" s="62">
        <v>0</v>
      </c>
      <c r="CO10" s="62">
        <v>0</v>
      </c>
      <c r="CP10" s="68">
        <v>4315.6000000000004</v>
      </c>
      <c r="CQ10" s="67">
        <f>IF((CP10-CP9&lt;0), "",CP10-CP9)</f>
        <v>17.770000000000437</v>
      </c>
      <c r="CR10" s="68">
        <v>12153</v>
      </c>
      <c r="CS10" s="67">
        <f t="shared" si="38"/>
        <v>6</v>
      </c>
      <c r="CT10" s="75">
        <v>4992</v>
      </c>
      <c r="CU10" s="67">
        <f t="shared" si="38"/>
        <v>12</v>
      </c>
      <c r="CV10" s="68">
        <v>12733</v>
      </c>
      <c r="CW10" s="67">
        <f t="shared" si="38"/>
        <v>25</v>
      </c>
    </row>
    <row r="11" spans="1:102" ht="25.5" customHeight="1" thickBot="1" x14ac:dyDescent="0.45">
      <c r="A11" s="63">
        <v>44263</v>
      </c>
      <c r="B11" s="44"/>
      <c r="C11" s="58"/>
      <c r="D11" s="64" t="str">
        <f t="shared" si="0"/>
        <v>0</v>
      </c>
      <c r="E11" s="58"/>
      <c r="F11" s="64" t="str">
        <f t="shared" si="1"/>
        <v>0</v>
      </c>
      <c r="G11" s="58"/>
      <c r="H11" s="64" t="str">
        <f t="shared" si="2"/>
        <v>0</v>
      </c>
      <c r="I11" s="58"/>
      <c r="J11" s="64" t="str">
        <f t="shared" si="3"/>
        <v>0</v>
      </c>
      <c r="K11" s="58"/>
      <c r="L11" s="64" t="str">
        <f t="shared" si="39"/>
        <v>0</v>
      </c>
      <c r="M11" s="58"/>
      <c r="N11" s="64" t="str">
        <f t="shared" si="4"/>
        <v/>
      </c>
      <c r="O11" s="58"/>
      <c r="P11" s="67">
        <f t="shared" ref="P11:P34" si="43">IF((O11-O10&lt;0), "",O11-O10)</f>
        <v>0</v>
      </c>
      <c r="Q11" s="58"/>
      <c r="R11" s="67" t="str">
        <f t="shared" si="6"/>
        <v/>
      </c>
      <c r="S11" s="58"/>
      <c r="T11" s="67" t="str">
        <f t="shared" si="7"/>
        <v/>
      </c>
      <c r="U11" s="58"/>
      <c r="V11" s="67" t="str">
        <f t="shared" si="8"/>
        <v/>
      </c>
      <c r="W11" s="58"/>
      <c r="X11" s="65" t="str">
        <f t="shared" si="9"/>
        <v/>
      </c>
      <c r="Y11" s="58"/>
      <c r="Z11" s="65" t="str">
        <f t="shared" si="10"/>
        <v/>
      </c>
      <c r="AA11" s="58"/>
      <c r="AB11" s="65" t="str">
        <f t="shared" si="11"/>
        <v/>
      </c>
      <c r="AC11" s="58"/>
      <c r="AD11" s="65" t="str">
        <f t="shared" si="12"/>
        <v/>
      </c>
      <c r="AE11" s="58"/>
      <c r="AF11" s="65" t="str">
        <f t="shared" si="13"/>
        <v/>
      </c>
      <c r="AG11" s="58"/>
      <c r="AH11" s="67" t="str">
        <f t="shared" si="14"/>
        <v/>
      </c>
      <c r="AI11" s="58"/>
      <c r="AJ11" s="65" t="str">
        <f t="shared" si="15"/>
        <v/>
      </c>
      <c r="AK11" s="58"/>
      <c r="AL11" s="65" t="str">
        <f t="shared" si="15"/>
        <v/>
      </c>
      <c r="AM11" s="58"/>
      <c r="AN11" s="65" t="str">
        <f t="shared" si="15"/>
        <v/>
      </c>
      <c r="AO11" s="58"/>
      <c r="AP11" s="65" t="str">
        <f t="shared" si="15"/>
        <v/>
      </c>
      <c r="AQ11" s="58"/>
      <c r="AR11" s="65" t="str">
        <f t="shared" si="16"/>
        <v/>
      </c>
      <c r="AS11" s="58"/>
      <c r="AT11" s="65" t="str">
        <f t="shared" si="17"/>
        <v/>
      </c>
      <c r="AU11" s="58"/>
      <c r="AV11" s="65" t="str">
        <f t="shared" si="18"/>
        <v/>
      </c>
      <c r="AW11" s="58"/>
      <c r="AX11" s="65" t="str">
        <f t="shared" si="19"/>
        <v/>
      </c>
      <c r="AY11" s="58"/>
      <c r="AZ11" s="65" t="str">
        <f t="shared" si="20"/>
        <v/>
      </c>
      <c r="BA11" s="58"/>
      <c r="BB11" s="65" t="str">
        <f t="shared" si="21"/>
        <v/>
      </c>
      <c r="BC11" s="58"/>
      <c r="BD11" s="65" t="str">
        <f>IF((BC11-BC10&lt;0), "",(BC11-BC10)*1000)</f>
        <v/>
      </c>
      <c r="BE11" s="59"/>
      <c r="BF11" s="67">
        <f t="shared" si="40"/>
        <v>0</v>
      </c>
      <c r="BG11" s="60"/>
      <c r="BH11" s="65" t="str">
        <f t="shared" si="23"/>
        <v/>
      </c>
      <c r="BI11" s="60"/>
      <c r="BJ11" s="65" t="str">
        <f t="shared" si="41"/>
        <v/>
      </c>
      <c r="BK11" s="60"/>
      <c r="BL11" s="65" t="str">
        <f t="shared" si="24"/>
        <v/>
      </c>
      <c r="BM11" s="60"/>
      <c r="BN11" s="65" t="str">
        <f t="shared" si="25"/>
        <v/>
      </c>
      <c r="BO11" s="60"/>
      <c r="BP11" s="65" t="str">
        <f t="shared" si="26"/>
        <v/>
      </c>
      <c r="BQ11" s="60"/>
      <c r="BR11" s="65" t="str">
        <f t="shared" si="27"/>
        <v/>
      </c>
      <c r="BS11" s="60"/>
      <c r="BT11" s="65" t="str">
        <f t="shared" si="42"/>
        <v/>
      </c>
      <c r="BU11" s="60"/>
      <c r="BV11" s="65" t="str">
        <f t="shared" si="28"/>
        <v/>
      </c>
      <c r="BW11" s="60"/>
      <c r="BX11" s="65" t="str">
        <f t="shared" si="29"/>
        <v/>
      </c>
      <c r="BY11" s="60"/>
      <c r="BZ11" s="67" t="str">
        <f t="shared" si="30"/>
        <v/>
      </c>
      <c r="CA11" s="60"/>
      <c r="CB11" s="67" t="str">
        <f t="shared" si="31"/>
        <v/>
      </c>
      <c r="CC11" s="60"/>
      <c r="CD11" s="67" t="str">
        <f t="shared" si="32"/>
        <v/>
      </c>
      <c r="CE11" s="60"/>
      <c r="CF11" s="67" t="str">
        <f t="shared" si="33"/>
        <v/>
      </c>
      <c r="CG11" s="60"/>
      <c r="CH11" s="67" t="str">
        <f t="shared" si="34"/>
        <v/>
      </c>
      <c r="CI11" s="60"/>
      <c r="CJ11" s="67" t="str">
        <f t="shared" si="35"/>
        <v/>
      </c>
      <c r="CK11" s="60"/>
      <c r="CL11" s="64" t="str">
        <f t="shared" si="36"/>
        <v/>
      </c>
      <c r="CM11" s="65" t="e">
        <f t="shared" si="37"/>
        <v>#VALUE!</v>
      </c>
      <c r="CN11" s="62">
        <v>0</v>
      </c>
      <c r="CO11" s="62">
        <v>0</v>
      </c>
      <c r="CP11" s="68"/>
      <c r="CQ11" s="67" t="str">
        <f>IF((CP11-CP10&lt;0), "",CP11-CP10)</f>
        <v/>
      </c>
      <c r="CR11" s="68"/>
      <c r="CS11" s="67" t="str">
        <f t="shared" si="38"/>
        <v/>
      </c>
      <c r="CT11" s="75"/>
      <c r="CU11" s="67" t="str">
        <f t="shared" si="38"/>
        <v/>
      </c>
      <c r="CV11" s="68"/>
      <c r="CW11" s="67" t="str">
        <f t="shared" si="38"/>
        <v/>
      </c>
    </row>
    <row r="12" spans="1:102" ht="25.5" customHeight="1" thickBot="1" x14ac:dyDescent="0.45">
      <c r="A12" s="63">
        <v>44264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9"/>
        <v>0</v>
      </c>
      <c r="M12" s="58"/>
      <c r="N12" s="64">
        <f t="shared" si="4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40"/>
        <v>0</v>
      </c>
      <c r="BG12" s="60"/>
      <c r="BH12" s="65">
        <f t="shared" si="23"/>
        <v>0</v>
      </c>
      <c r="BI12" s="60"/>
      <c r="BJ12" s="65">
        <f t="shared" si="41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37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44265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9"/>
        <v>0</v>
      </c>
      <c r="M13" s="58"/>
      <c r="N13" s="64">
        <f t="shared" si="4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40"/>
        <v>0</v>
      </c>
      <c r="BG13" s="60"/>
      <c r="BH13" s="65">
        <f t="shared" si="23"/>
        <v>0</v>
      </c>
      <c r="BI13" s="60"/>
      <c r="BJ13" s="65">
        <f t="shared" si="41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37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44266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44267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44268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>IF((CA16-CA15&lt;0), "",CA16-CA15)</f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44269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>IF((CA17-CA16&lt;0), "",CA17-CA16)</f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44270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>IF((CA18-CA17&lt;0), "",CA18-CA17)</f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44271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44272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44273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44274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44275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G25" sqref="G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>
        <v>0</v>
      </c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>
        <v>0</v>
      </c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>
        <v>0</v>
      </c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8">
        <v>79</v>
      </c>
      <c r="S10" s="78">
        <v>197</v>
      </c>
      <c r="T10">
        <f t="shared" si="1"/>
        <v>0</v>
      </c>
    </row>
    <row r="11" spans="1:20" x14ac:dyDescent="0.25">
      <c r="A11" s="73">
        <v>44260</v>
      </c>
      <c r="B11" s="40">
        <v>0</v>
      </c>
      <c r="C11" s="40">
        <v>0</v>
      </c>
      <c r="D11" s="40">
        <v>0</v>
      </c>
      <c r="E11" s="41">
        <v>85</v>
      </c>
      <c r="F11" s="41">
        <v>4857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85</v>
      </c>
      <c r="M11" s="42">
        <v>1173</v>
      </c>
      <c r="N11" s="39">
        <v>83</v>
      </c>
      <c r="O11" s="39">
        <v>1</v>
      </c>
      <c r="P11" s="39">
        <v>1</v>
      </c>
      <c r="Q11" s="39">
        <v>3366</v>
      </c>
      <c r="R11" s="78">
        <v>79</v>
      </c>
      <c r="S11" s="78">
        <v>197</v>
      </c>
      <c r="T11">
        <f t="shared" si="1"/>
        <v>0</v>
      </c>
    </row>
    <row r="12" spans="1:20" x14ac:dyDescent="0.25">
      <c r="A12" s="73">
        <v>44261</v>
      </c>
      <c r="B12" s="40">
        <v>0</v>
      </c>
      <c r="C12" s="40">
        <v>0</v>
      </c>
      <c r="D12" s="40">
        <v>0</v>
      </c>
      <c r="E12" s="41">
        <v>85</v>
      </c>
      <c r="F12" s="41">
        <v>4857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85</v>
      </c>
      <c r="M12" s="42">
        <v>1173</v>
      </c>
      <c r="N12" s="39">
        <v>80</v>
      </c>
      <c r="O12" s="39">
        <v>1</v>
      </c>
      <c r="P12" s="39">
        <v>1</v>
      </c>
      <c r="Q12" s="39">
        <v>3370</v>
      </c>
      <c r="R12" s="78">
        <v>79</v>
      </c>
      <c r="S12" s="78">
        <v>197</v>
      </c>
      <c r="T12">
        <f t="shared" si="1"/>
        <v>0</v>
      </c>
    </row>
    <row r="13" spans="1:20" x14ac:dyDescent="0.25">
      <c r="A13" s="73">
        <v>44262</v>
      </c>
      <c r="B13" s="40">
        <v>0</v>
      </c>
      <c r="C13" s="40">
        <v>0</v>
      </c>
      <c r="D13" s="40">
        <v>0</v>
      </c>
      <c r="E13" s="41">
        <v>85</v>
      </c>
      <c r="F13" s="41">
        <v>4857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85</v>
      </c>
      <c r="M13" s="42">
        <v>1173</v>
      </c>
      <c r="N13" s="39">
        <v>75</v>
      </c>
      <c r="O13" s="39">
        <v>1</v>
      </c>
      <c r="P13" s="39">
        <v>1</v>
      </c>
      <c r="Q13" s="39">
        <v>3374</v>
      </c>
      <c r="R13" s="78">
        <v>79</v>
      </c>
      <c r="S13" s="78">
        <v>197</v>
      </c>
      <c r="T13">
        <f t="shared" si="1"/>
        <v>0</v>
      </c>
    </row>
    <row r="14" spans="1:20" x14ac:dyDescent="0.25">
      <c r="A14" s="73">
        <v>44263</v>
      </c>
      <c r="B14" s="40">
        <v>0</v>
      </c>
      <c r="C14" s="40">
        <v>0</v>
      </c>
      <c r="D14" s="40">
        <v>0</v>
      </c>
      <c r="E14" s="41">
        <v>85</v>
      </c>
      <c r="F14" s="41">
        <v>4857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85</v>
      </c>
      <c r="M14" s="42">
        <v>1173</v>
      </c>
      <c r="N14" s="39">
        <v>70</v>
      </c>
      <c r="O14" s="39">
        <v>1</v>
      </c>
      <c r="P14" s="39">
        <v>1</v>
      </c>
      <c r="Q14" s="39">
        <v>3378</v>
      </c>
      <c r="R14" s="78">
        <v>79</v>
      </c>
      <c r="S14" s="78">
        <v>197</v>
      </c>
      <c r="T14">
        <f t="shared" si="1"/>
        <v>0</v>
      </c>
    </row>
    <row r="15" spans="1:20" x14ac:dyDescent="0.25">
      <c r="A15" s="73">
        <v>44264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1"/>
        <v>-197</v>
      </c>
    </row>
    <row r="16" spans="1:20" x14ac:dyDescent="0.25">
      <c r="A16" s="73">
        <v>44265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1"/>
        <v>0</v>
      </c>
    </row>
    <row r="17" spans="1:20" x14ac:dyDescent="0.25">
      <c r="A17" s="73">
        <v>44266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1"/>
        <v>0</v>
      </c>
    </row>
    <row r="18" spans="1:20" x14ac:dyDescent="0.25">
      <c r="A18" s="73">
        <v>44267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1"/>
        <v>0</v>
      </c>
    </row>
    <row r="19" spans="1:20" x14ac:dyDescent="0.25">
      <c r="A19" s="73">
        <v>44268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1"/>
        <v>0</v>
      </c>
    </row>
    <row r="20" spans="1:20" x14ac:dyDescent="0.25">
      <c r="A20" s="73">
        <v>44269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1"/>
        <v>0</v>
      </c>
    </row>
    <row r="21" spans="1:20" x14ac:dyDescent="0.25">
      <c r="A21" s="73">
        <v>44270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1"/>
        <v>0</v>
      </c>
    </row>
    <row r="22" spans="1:20" x14ac:dyDescent="0.25">
      <c r="A22" s="73">
        <v>44271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1"/>
        <v>0</v>
      </c>
    </row>
    <row r="23" spans="1:20" x14ac:dyDescent="0.25">
      <c r="A23" s="73">
        <v>44272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1"/>
        <v>0</v>
      </c>
    </row>
    <row r="24" spans="1:20" x14ac:dyDescent="0.25">
      <c r="A24" s="73">
        <v>44273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1"/>
        <v>0</v>
      </c>
    </row>
    <row r="25" spans="1:20" x14ac:dyDescent="0.25">
      <c r="A25" s="73">
        <v>44274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1"/>
        <v>0</v>
      </c>
    </row>
    <row r="26" spans="1:20" x14ac:dyDescent="0.25">
      <c r="A26" s="73">
        <v>44275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0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2021-03-08T08:08:53Z</dcterms:modified>
</cp:coreProperties>
</file>